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<sst xmlns="http://schemas.openxmlformats.org/spreadsheetml/2006/main" count="9605" uniqueCount="2255">
  <si>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</si>
  <si>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</si>
  <si>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</si>
  <si>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</si>
  <si>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</si>
  <si>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</si>
  <si>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</si>
  <si>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</si>
  <si>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</si>
  <si>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</si>
  <si>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</si>
  <si>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</si>
  <si>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Charlie</t>
  </si>
  <si>
    <t>Charlie Rose :</t>
  </si>
  <si>
    <t>file://conllu/pt/teddy-4467.conllu#s1_0</t>
  </si>
  <si>
    <t>2</t>
  </si>
  <si>
    <t>enviar</t>
  </si>
  <si>
    <t>Larry enviou-me enviou me um &amp;quot; email &amp;quot; que basicamente dizia :</t>
  </si>
  <si>
    <t>file://conllu/pt/teddy-4467.conllu#s2_0</t>
  </si>
  <si>
    <t>3</t>
  </si>
  <si>
    <t>8</t>
  </si>
  <si>
    <t>parecer (parecer garantir)</t>
  </si>
  <si>
    <t>&amp;quot; Temos que garantir que não iremos parecer &amp;quot; um par de enfadonhos homens de meia-idade . &amp;quot;</t>
  </si>
  <si>
    <t>file://conllu/pt/teddy-4467.conllu#s3_0</t>
  </si>
  <si>
    <t>4</t>
  </si>
  <si>
    <t>dizer</t>
  </si>
  <si>
    <t>Eu disse :</t>
  </si>
  <si>
    <t>file://conllu/pt/teddy-4467.conllu#s4_0</t>
  </si>
  <si>
    <t>5</t>
  </si>
  <si>
    <t>sentir</t>
  </si>
  <si>
    <t>&amp;quot; Sinto-me Sinto me lisonjeado ... ( Risos ) &amp;quot; ... porque sou um pouco mais velho , &amp;quot; e ele tem um pouco mais de património do de o que eu. &amp;quot; Larry Page :</t>
  </si>
  <si>
    <t>file://conllu/pt/teddy-4467.conllu#s5_0</t>
  </si>
  <si>
    <t>6</t>
  </si>
  <si>
    <t>bom</t>
  </si>
  <si>
    <t>Bom , obrigado .</t>
  </si>
  <si>
    <t>file://conllu/pt/teddy-4467.conllu#s6_0</t>
  </si>
  <si>
    <t>7</t>
  </si>
  <si>
    <t>Cr</t>
  </si>
  <si>
    <t>CR : Então vamos ter uma conversa sobre a Internet e sobre a Google e sobre pesquisa e privacidade , e também sobre a sua filosofia e o sentido de como você ligou os pontos e como esta viagem , que começou há algum tempo , tem perspectivas tão interessantes .</t>
  </si>
  <si>
    <t>file://conllu/pt/teddy-4467.conllu#s7_0</t>
  </si>
  <si>
    <t>falar (falar querer)</t>
  </si>
  <si>
    <t>Queremos falar principalmente do de o futuro .</t>
  </si>
  <si>
    <t>file://conllu/pt/teddy-4467.conllu#s8_0</t>
  </si>
  <si>
    <t>9</t>
  </si>
  <si>
    <t>pergunta</t>
  </si>
  <si>
    <t>Então a minha primeira pergunta : onde está a Google e para onde vai ?</t>
  </si>
  <si>
    <t>file://conllu/pt/teddy-4467.conllu#s9_0</t>
  </si>
  <si>
    <t>10</t>
  </si>
  <si>
    <t>23</t>
  </si>
  <si>
    <t>ser (ser organizar)</t>
  </si>
  <si>
    <t>LP : Bem , é algo em que pensamos muito , e a nossa missão , que definimos há muito tempo , é organizar a informação mundial e torná-la torná la universalmente acessível e útil .</t>
  </si>
  <si>
    <t>file://conllu/pt/teddy-4467.conllu#s10_0</t>
  </si>
  <si>
    <t>11</t>
  </si>
  <si>
    <t>E as pessoas dizem sempre , é mesmo isso que vocês ainda estão a fazer ?</t>
  </si>
  <si>
    <t>file://conllu/pt/teddy-4467.conllu#s11_0</t>
  </si>
  <si>
    <t>12</t>
  </si>
  <si>
    <t>eu</t>
  </si>
  <si>
    <t>E eu próprio penso nisso em isso e não tenho bem a certeza .</t>
  </si>
  <si>
    <t>file://conllu/pt/teddy-4467.conllu#s12_0</t>
  </si>
  <si>
    <t>13</t>
  </si>
  <si>
    <t>20</t>
  </si>
  <si>
    <t>perceber</t>
  </si>
  <si>
    <t>Mas , na em a realidade , quando penso sobre pesquisa , é algo tão profundo para todos nós , perceber realmente o que queremos , perceber a informação mundial , e ainda estamos na em a fase inicial , o que é uma loucura .</t>
  </si>
  <si>
    <t>file://conllu/pt/teddy-4467.conllu#s13_0</t>
  </si>
  <si>
    <t>14</t>
  </si>
  <si>
    <t>Trabalhar</t>
  </si>
  <si>
    <t>Trabalhamos nisso em isso há já 15 anos , mas ainda não está de todo terminado .</t>
  </si>
  <si>
    <t>file://conllu/pt/teddy-4467.conllu#s14_0</t>
  </si>
  <si>
    <t>15</t>
  </si>
  <si>
    <t>cr</t>
  </si>
  <si>
    <t>CR : Quando estiver , como será ?</t>
  </si>
  <si>
    <t>file://conllu/pt/teddy-4467.conllu#s15_0</t>
  </si>
  <si>
    <t>16</t>
  </si>
  <si>
    <t>achar</t>
  </si>
  <si>
    <t>LP : Bem , acho que , pensando para onde vamos — sabe , porque é que não está feito ? — em grande parte é apenas uma grande confusão computacional .</t>
  </si>
  <si>
    <t>file://conllu/pt/teddy-4467.conllu#s16_0</t>
  </si>
  <si>
    <t>17</t>
  </si>
  <si>
    <t>saber (saber saber)</t>
  </si>
  <si>
    <t>Sabe , o nosso computador não sabe onde estamos , não sabe o que estamos a fazer , não sabe o que sabemos , e muito do de o que temos tentado fazer recentemente é apenas pôr os nossos dispositivos a funcionar , fazê-los fazê los perceber o nosso contexto .</t>
  </si>
  <si>
    <t>file://conllu/pt/teddy-4467.conllu#s17_0</t>
  </si>
  <si>
    <t>18</t>
  </si>
  <si>
    <t>saber</t>
  </si>
  <si>
    <t>A Google Now sabe onde você está , sabe do de o que pode precisar .</t>
  </si>
  <si>
    <t>file://conllu/pt/teddy-4467.conllu#s18_0</t>
  </si>
  <si>
    <t>estar (estar imperfeito)</t>
  </si>
  <si>
    <t>Ainda está muito , muito imperfeito .</t>
  </si>
  <si>
    <t>file://conllu/pt/teddy-4467.conllu#s20_0</t>
  </si>
  <si>
    <t>21</t>
  </si>
  <si>
    <t>CR : Diga-me Diga me , quando olha para o que a Google está a fazer , onde se encaixa a Deep Mind ?</t>
  </si>
  <si>
    <t>file://conllu/pt/teddy-4467.conllu#s21_0</t>
  </si>
  <si>
    <t>22</t>
  </si>
  <si>
    <t>lp</t>
  </si>
  <si>
    <t>LP : A Deep Mind é uma empresa que adquirimos recentemente .</t>
  </si>
  <si>
    <t>file://conllu/pt/teddy-4467.conllu#s22_0</t>
  </si>
  <si>
    <t>24</t>
  </si>
  <si>
    <t>41</t>
  </si>
  <si>
    <t>ser (ser importante)</t>
  </si>
  <si>
    <t>Primeiro , deixe-me deixe me dizer-lhe dizer lhe como chegámos lá , foi olhando para a pesquisa e percebendo realmente , tentando perceber tudo , e tentar fazer os computadores menos imperfeitos e perceberem-nos perceberem nos realmente — por exemplo , a voz era realmente importante .</t>
  </si>
  <si>
    <t>file://conllu/pt/teddy-4467.conllu#s24_0</t>
  </si>
  <si>
    <t>25</t>
  </si>
  <si>
    <t>ser (ser estado)</t>
  </si>
  <si>
    <t>Então , qual é o estado da de a arte no em o reconhecimento da de a voz ?</t>
  </si>
  <si>
    <t>file://conllu/pt/teddy-4467.conllu#s25_0</t>
  </si>
  <si>
    <t>26</t>
  </si>
  <si>
    <t>ser (ser bom)</t>
  </si>
  <si>
    <t>Não é muito bom .</t>
  </si>
  <si>
    <t>file://conllu/pt/teddy-4467.conllu#s26_0</t>
  </si>
  <si>
    <t>27</t>
  </si>
  <si>
    <t>entende</t>
  </si>
  <si>
    <t>Não nos em os entende realmente .</t>
  </si>
  <si>
    <t>file://conllu/pt/teddy-4467.conllu#s27_0</t>
  </si>
  <si>
    <t>28</t>
  </si>
  <si>
    <t>Iniciámo</t>
  </si>
  <si>
    <t>Iniciámos pesquisas sobre a aprendizagem automática para o melhorar .</t>
  </si>
  <si>
    <t>file://conllu/pt/teddy-4467.conllu#s28_0</t>
  </si>
  <si>
    <t>29</t>
  </si>
  <si>
    <t>ajudar</t>
  </si>
  <si>
    <t>Isso ajudou bastante .</t>
  </si>
  <si>
    <t>file://conllu/pt/teddy-4467.conllu#s29_0</t>
  </si>
  <si>
    <t>30</t>
  </si>
  <si>
    <t>começar</t>
  </si>
  <si>
    <t>E começámos a olhar para coisas como o YouTube .</t>
  </si>
  <si>
    <t>file://conllu/pt/teddy-4467.conllu#s30_0</t>
  </si>
  <si>
    <t>31</t>
  </si>
  <si>
    <t>poder</t>
  </si>
  <si>
    <t>Podemos perceber o YouTube ?</t>
  </si>
  <si>
    <t>file://conllu/pt/teddy-4467.conllu#s31_0</t>
  </si>
  <si>
    <t>32</t>
  </si>
  <si>
    <t>Executar</t>
  </si>
  <si>
    <t>Executámos a aprendizagem automática no em o YouTube e ele descobriu gatos , sozinho .</t>
  </si>
  <si>
    <t>file://conllu/pt/teddy-4467.conllu#s32_0</t>
  </si>
  <si>
    <t>33</t>
  </si>
  <si>
    <t>ser (ser conceito)</t>
  </si>
  <si>
    <t>É um conceito importante .</t>
  </si>
  <si>
    <t>file://conllu/pt/teddy-4467.conllu#s33_0</t>
  </si>
  <si>
    <t>34</t>
  </si>
  <si>
    <t>Percebemos que há algo aqui .</t>
  </si>
  <si>
    <t>file://conllu/pt/teddy-4467.conllu#s34_0</t>
  </si>
  <si>
    <t>35</t>
  </si>
  <si>
    <t>aprender</t>
  </si>
  <si>
    <t>Se aprendemos o que são gatos , isso deve ser muito importante .</t>
  </si>
  <si>
    <t>file://conllu/pt/teddy-4467.conllu#s35_0</t>
  </si>
  <si>
    <t>36</t>
  </si>
  <si>
    <t>pensar</t>
  </si>
  <si>
    <t>Penso que a Deep Mind , o que é realmente extraordinário na em a Deep Mind é que consegue realmente ... ... estão a aprender coisas deste de este modo sem supervisão .</t>
  </si>
  <si>
    <t>file://conllu/pt/teddy-4467.conllu#s36_0</t>
  </si>
  <si>
    <t>37</t>
  </si>
  <si>
    <t>Começaram com jogos de vídeo , — talvez possa mostrar o vídeo — apenas a jogar jogos de vídeo , e a aprender como o fazer automaticamente .</t>
  </si>
  <si>
    <t>file://conllu/pt/teddy-4467.conllu#s37_0</t>
  </si>
  <si>
    <t>38</t>
  </si>
  <si>
    <t>estar</t>
  </si>
  <si>
    <t>CR : Reparem nos em os jogos de vídeo e como as máquinas estão a conseguir fazer coisas notáveis .</t>
  </si>
  <si>
    <t>file://conllu/pt/teddy-4467.conllu#s38_0</t>
  </si>
  <si>
    <t>39</t>
  </si>
  <si>
    <t>LP : extraordinário acerca disto de isto é que , obviamente , trata-se trata se de jogos antigos , mas o sistema só vê o mesmo que nós , os píxeis , e tem os controlos e a pontuação e aprendeu a jogar todos estes jogos , o mesmo programa .</t>
  </si>
  <si>
    <t>file://conllu/pt/teddy-4467.conllu#s39_0</t>
  </si>
  <si>
    <t>40</t>
  </si>
  <si>
    <t>Aprender</t>
  </si>
  <si>
    <t>Aprendeu a jogar todos estes jogos , com um desempenho sobre-humano .</t>
  </si>
  <si>
    <t>file://conllu/pt/teddy-4467.conllu#s40_0</t>
  </si>
  <si>
    <t>conseguir</t>
  </si>
  <si>
    <t>Nunca tínhamos conseguido fazer coisas destas de estas com computadores .</t>
  </si>
  <si>
    <t>file://conllu/pt/teddy-4467.conllu#s41_0</t>
  </si>
  <si>
    <t>42</t>
  </si>
  <si>
    <t>comente</t>
  </si>
  <si>
    <t>Talvez comente apenas este , rapidamente .</t>
  </si>
  <si>
    <t>file://conllu/pt/teddy-4467.conllu#s42_0</t>
  </si>
  <si>
    <t>43</t>
  </si>
  <si>
    <t>ser (ser boxe)</t>
  </si>
  <si>
    <t>É boxe , e descobre que consegue deitar o oponente ao a o chão .</t>
  </si>
  <si>
    <t>file://conllu/pt/teddy-4467.conllu#s43_0</t>
  </si>
  <si>
    <t>44</t>
  </si>
  <si>
    <t>estar (estar esquerda)</t>
  </si>
  <si>
    <t>computador está à a a esquerda , e está a somar pontos .</t>
  </si>
  <si>
    <t>file://conllu/pt/teddy-4467.conllu#s44_0</t>
  </si>
  <si>
    <t>45</t>
  </si>
  <si>
    <t>Imaginir</t>
  </si>
  <si>
    <t>Imagine se esta inteligência fosse aplicada na em a nossa agenda , ou em necessidades de informação , ou coisas dessas de essas .</t>
  </si>
  <si>
    <t>file://conllu/pt/teddy-4467.conllu#s45_0</t>
  </si>
  <si>
    <t>46</t>
  </si>
  <si>
    <t>estar (estar mesmo)</t>
  </si>
  <si>
    <t>Estamos mesmo no em o início disto de isto e é isso que me entusiasma .</t>
  </si>
  <si>
    <t>file://conllu/pt/teddy-4467.conllu#s46_0</t>
  </si>
  <si>
    <t>47</t>
  </si>
  <si>
    <t>CR : Quando olhamos para tudo o que aconteceu com a Deep Mind e o boxe , uma parte do de o nosso objectivo é também a inteligência artificial .</t>
  </si>
  <si>
    <t>file://conllu/pt/teddy-4467.conllu#s47_0</t>
  </si>
  <si>
    <t>48</t>
  </si>
  <si>
    <t>Onde estamos , em relação a isso ?</t>
  </si>
  <si>
    <t>file://conllu/pt/teddy-4467.conllu#s48_0</t>
  </si>
  <si>
    <t>49</t>
  </si>
  <si>
    <t>ser (ser um)</t>
  </si>
  <si>
    <t>LP : Bom , para mim , é uma das de as coisas mais excitantes que tenho visto desde há muito tempo .</t>
  </si>
  <si>
    <t>file://conllu/pt/teddy-4467.conllu#s49_0</t>
  </si>
  <si>
    <t>50</t>
  </si>
  <si>
    <t>indivíduo</t>
  </si>
  <si>
    <t>indivíduo que começou esta empresa , Demis , tem formação em neurociência e computadores .</t>
  </si>
  <si>
    <t>file://conllu/pt/teddy-4467.conllu#s50_0</t>
  </si>
  <si>
    <t>51</t>
  </si>
  <si>
    <t>voltar</t>
  </si>
  <si>
    <t>Ele voltou à a a escola para fazer o doutoramento , para estudar o cérebro .</t>
  </si>
  <si>
    <t>file://conllu/pt/teddy-4467.conllu#s51_0</t>
  </si>
  <si>
    <t>52</t>
  </si>
  <si>
    <t>Por isso , penso que estamos a ver muito trabalho excitante neste em este tipo de cruzamento entre computadores e neurociência no em o que se refere a perceber realmente o que é necessário para tornar algo mais inteligente e fazer coisas mesmo interessantes .</t>
  </si>
  <si>
    <t>file://conllu/pt/teddy-4467.conllu#s52_0</t>
  </si>
  <si>
    <t>53</t>
  </si>
  <si>
    <t>CR : Mas em que nível está agora ?</t>
  </si>
  <si>
    <t>file://conllu/pt/teddy-4467.conllu#s53_0</t>
  </si>
  <si>
    <t>54</t>
  </si>
  <si>
    <t>velocidade</t>
  </si>
  <si>
    <t>Qual a velocidade a que vamos ?</t>
  </si>
  <si>
    <t>file://conllu/pt/teddy-4467.conllu#s54_0</t>
  </si>
  <si>
    <t>55</t>
  </si>
  <si>
    <t>LP : Bem , isto é o estado da de a arte neste em este momento , perceber os gatos no em o YouTube e coisas do de o género , melhorar o reconhecimento de voz .</t>
  </si>
  <si>
    <t>file://conllu/pt/teddy-4467.conllu#s55_0</t>
  </si>
  <si>
    <t>56</t>
  </si>
  <si>
    <t>Usar</t>
  </si>
  <si>
    <t>Usámos bastante a aprendizagem automática para melhorar as coisas gradualmente , mas penso que este exemplo é realmente excitante , porque é um programa que consegue fazer muitas coisas .</t>
  </si>
  <si>
    <t>file://conllu/pt/teddy-4467.conllu#s56_0</t>
  </si>
  <si>
    <t>57</t>
  </si>
  <si>
    <t>CR : Não sei se podemos fazer isto , mas temos a imagem de um gato .</t>
  </si>
  <si>
    <t>file://conllu/pt/teddy-4467.conllu#s57_0</t>
  </si>
  <si>
    <t>58</t>
  </si>
  <si>
    <t>ser (ser maravilhoso)</t>
  </si>
  <si>
    <t>Seria maravilhoso ver isto .</t>
  </si>
  <si>
    <t>file://conllu/pt/teddy-4467.conllu#s58_0</t>
  </si>
  <si>
    <t>59</t>
  </si>
  <si>
    <t>ser (ser forma)</t>
  </si>
  <si>
    <t>Esta é a forma como as máquinas olhavam para os gatos e aquilo a que chegaram .</t>
  </si>
  <si>
    <t>file://conllu/pt/teddy-4467.conllu#s59_0</t>
  </si>
  <si>
    <t>60</t>
  </si>
  <si>
    <t>Consegue ver essa imagem ?</t>
  </si>
  <si>
    <t>file://conllu/pt/teddy-4467.conllu#s60_0</t>
  </si>
  <si>
    <t>61</t>
  </si>
  <si>
    <t>LP : Sim .</t>
  </si>
  <si>
    <t>file://conllu/pt/teddy-4467.conllu#s61_0</t>
  </si>
  <si>
    <t>62</t>
  </si>
  <si>
    <t>CR :</t>
  </si>
  <si>
    <t>file://conllu/pt/teddy-4467.conllu#s62_0</t>
  </si>
  <si>
    <t>63</t>
  </si>
  <si>
    <t>estar (estar cá)</t>
  </si>
  <si>
    <t>Cá está .</t>
  </si>
  <si>
    <t>file://conllu/pt/teddy-4467.conllu#s63_0</t>
  </si>
  <si>
    <t>64</t>
  </si>
  <si>
    <t>Conseguem ver o gato ?</t>
  </si>
  <si>
    <t>file://conllu/pt/teddy-4467.conllu#s64_0</t>
  </si>
  <si>
    <t>65</t>
  </si>
  <si>
    <t>Desenhar</t>
  </si>
  <si>
    <t>Desenhado por máquinas , visto por máquinas .</t>
  </si>
  <si>
    <t>file://conllu/pt/teddy-4467.conllu#s65_0</t>
  </si>
  <si>
    <t>66</t>
  </si>
  <si>
    <t>LP : Isso mesmo .</t>
  </si>
  <si>
    <t>file://conllu/pt/teddy-4467.conllu#s66_0</t>
  </si>
  <si>
    <t>67</t>
  </si>
  <si>
    <t>ver (ver aprender)</t>
  </si>
  <si>
    <t>Isto foi aprendido apenas vendo o YouTube .</t>
  </si>
  <si>
    <t>file://conllu/pt/teddy-4467.conllu#s67_0</t>
  </si>
  <si>
    <t>68</t>
  </si>
  <si>
    <t>noção</t>
  </si>
  <si>
    <t>E sem treino , sem noção de gato , mas este conceito de gato é algo importante que devíamos entender , e agora que as máquinas conseguem como que perceber .</t>
  </si>
  <si>
    <t>file://conllu/pt/teddy-4467.conllu#s68_0</t>
  </si>
  <si>
    <t>69</t>
  </si>
  <si>
    <t>Talvez apenas terminar também na em a parte da de a pesquisa , começou com a pesquisa , perceber realmente o contexto das de as pessoas e a sua informação .</t>
  </si>
  <si>
    <t>file://conllu/pt/teddy-4467.conllu#s69_0</t>
  </si>
  <si>
    <t>70</t>
  </si>
  <si>
    <t>ter</t>
  </si>
  <si>
    <t>Eu tinha um vídeo que queria mostrar rapidamente sobre o que realmente encontrámos .</t>
  </si>
  <si>
    <t>file://conllu/pt/teddy-4467.conllu#s70_0</t>
  </si>
  <si>
    <t>71</t>
  </si>
  <si>
    <t>Vídeo</t>
  </si>
  <si>
    <t>( Vídeo ) [ Canção : &amp;quot; Soy , Kenya &amp;quot; ] Zack Matere :</t>
  </si>
  <si>
    <t>file://conllu/pt/teddy-4467.conllu#s71_0</t>
  </si>
  <si>
    <t>72</t>
  </si>
  <si>
    <t>plantar</t>
  </si>
  <si>
    <t>Há pouco tempo , plantei uns rebentos de batatas .</t>
  </si>
  <si>
    <t>file://conllu/pt/teddy-4467.conllu#s72_0</t>
  </si>
  <si>
    <t>73</t>
  </si>
  <si>
    <t>De repente , começaram a morrer uns atrás dos de os outros .</t>
  </si>
  <si>
    <t>file://conllu/pt/teddy-4467.conllu#s73_0</t>
  </si>
  <si>
    <t>74</t>
  </si>
  <si>
    <t>procurar</t>
  </si>
  <si>
    <t>Procurei nos em os livros mas não diziam muito .</t>
  </si>
  <si>
    <t>file://conllu/pt/teddy-4467.conllu#s74_0</t>
  </si>
  <si>
    <t>75</t>
  </si>
  <si>
    <t>fazer</t>
  </si>
  <si>
    <t>Então fiz uma pesquisa .</t>
  </si>
  <si>
    <t>file://conllu/pt/teddy-4467.conllu#s75_0</t>
  </si>
  <si>
    <t>76</t>
  </si>
  <si>
    <t>Zack Matere , agricultor &amp;quot; doenças das de as batatas &amp;quot; Um dos de os &amp;quot;websites &amp;quot; disse-me disse me que as formigas podiam ser o problema .</t>
  </si>
  <si>
    <t>file://conllu/pt/teddy-4467.conllu#s76_0</t>
  </si>
  <si>
    <t>77</t>
  </si>
  <si>
    <t>Dizia : &amp;quot; Espalhe cinza de madeira sobre as plantas &amp;quot; .</t>
  </si>
  <si>
    <t>file://conllu/pt/teddy-4467.conllu#s77_0</t>
  </si>
  <si>
    <t>78</t>
  </si>
  <si>
    <t>desaparecer</t>
  </si>
  <si>
    <t>Após alguns dias as formigas desapareceram .</t>
  </si>
  <si>
    <t>file://conllu/pt/teddy-4467.conllu#s78_0</t>
  </si>
  <si>
    <t>79</t>
  </si>
  <si>
    <t>Fiquei</t>
  </si>
  <si>
    <t>Fiquei entusiasmado com a Internet .</t>
  </si>
  <si>
    <t>file://conllu/pt/teddy-4467.conllu#s79_0</t>
  </si>
  <si>
    <t>80</t>
  </si>
  <si>
    <t>Tenho um amigo que gostaria mesmo de expandir o seu negócio .</t>
  </si>
  <si>
    <t>file://conllu/pt/teddy-4467.conllu#s80_0</t>
  </si>
  <si>
    <t>81</t>
  </si>
  <si>
    <t>ser (ser ele)</t>
  </si>
  <si>
    <t>Fui com ele a um ciber café e visitámos vários &amp;quot; sites &amp;quot; .</t>
  </si>
  <si>
    <t>file://conllu/pt/teddy-4467.conllu#s81_0</t>
  </si>
  <si>
    <t>82</t>
  </si>
  <si>
    <t>pôr</t>
  </si>
  <si>
    <t>Quando o encontrei de novo , ele ia pôr um moinho de vento na em a escola local .</t>
  </si>
  <si>
    <t>file://conllu/pt/teddy-4467.conllu#s82_0</t>
  </si>
  <si>
    <t>84</t>
  </si>
  <si>
    <t>Perceber</t>
  </si>
  <si>
    <t>Percebi que nem toda a gente tem acesso ao a o mesmo que eu .</t>
  </si>
  <si>
    <t>file://conllu/pt/teddy-4467.conllu#s84_0</t>
  </si>
  <si>
    <t>85</t>
  </si>
  <si>
    <t>Pensei que tinha que ter uma Internet que a minha avó possa usar .</t>
  </si>
  <si>
    <t>file://conllu/pt/teddy-4467.conllu#s85_0</t>
  </si>
  <si>
    <t>86</t>
  </si>
  <si>
    <t>Pensei num em um painel informativo .</t>
  </si>
  <si>
    <t>file://conllu/pt/teddy-4467.conllu#s86_0</t>
  </si>
  <si>
    <t>87</t>
  </si>
  <si>
    <t>painel</t>
  </si>
  <si>
    <t>Um simples painel informativo de madeira .</t>
  </si>
  <si>
    <t>file://conllu/pt/teddy-4467.conllu#s87_0</t>
  </si>
  <si>
    <t>88</t>
  </si>
  <si>
    <t>Quando tenho informação no em o meu telefone , posso colocar essa informação no em o painel informativo .</t>
  </si>
  <si>
    <t>file://conllu/pt/teddy-4467.conllu#s88_0</t>
  </si>
  <si>
    <t>89</t>
  </si>
  <si>
    <t>ser (ser basicamente)</t>
  </si>
  <si>
    <t>É basicamente como um computador .</t>
  </si>
  <si>
    <t>file://conllu/pt/teddy-4467.conllu#s89_0</t>
  </si>
  <si>
    <t>90</t>
  </si>
  <si>
    <t>ajudar (ajudar usar)</t>
  </si>
  <si>
    <t>Uso a Internet para ajudar as pessoas .</t>
  </si>
  <si>
    <t>file://conllu/pt/teddy-4467.conllu#s90_0</t>
  </si>
  <si>
    <t>91</t>
  </si>
  <si>
    <t>Penso que procuro uma vida melhor , para mim e para os meus vizinhos .</t>
  </si>
  <si>
    <t>file://conllu/pt/teddy-4467.conllu#s91_0</t>
  </si>
  <si>
    <t>92</t>
  </si>
  <si>
    <t>Muita gente tem acesso à a a informação , mas depois não há seguimento .</t>
  </si>
  <si>
    <t>file://conllu/pt/teddy-4467.conllu#s92_0</t>
  </si>
  <si>
    <t>93</t>
  </si>
  <si>
    <t>Penso que o seguimento é o nosso conhecimento .</t>
  </si>
  <si>
    <t>file://conllu/pt/teddy-4467.conllu#s93_0</t>
  </si>
  <si>
    <t>94</t>
  </si>
  <si>
    <t>Quando as pessoas têm conhecimento , conseguem encontrar soluções sem terem de ser ajudadas .</t>
  </si>
  <si>
    <t>file://conllu/pt/teddy-4467.conllu#s94_0</t>
  </si>
  <si>
    <t>95</t>
  </si>
  <si>
    <t>ser (ser poderoso)</t>
  </si>
  <si>
    <t>A informação é poderosa , mas é o modo como a usamos que nos em os definirá .</t>
  </si>
  <si>
    <t>file://conllu/pt/teddy-4467.conllu#s95_0</t>
  </si>
  <si>
    <t>96</t>
  </si>
  <si>
    <t>aplauso</t>
  </si>
  <si>
    <t>( Aplausos ) LP :</t>
  </si>
  <si>
    <t>file://conllu/pt/teddy-4467.conllu#s96_0</t>
  </si>
  <si>
    <t>97</t>
  </si>
  <si>
    <t>acabar</t>
  </si>
  <si>
    <t>extraordinário neste em este vídeo era que tínhamos acabado de ler nas em as notícias , e aparece este senhor ... CR : Sim .</t>
  </si>
  <si>
    <t>file://conllu/pt/teddy-4467.conllu#s97_0</t>
  </si>
  <si>
    <t>98</t>
  </si>
  <si>
    <t>LP : ... E fez este pequeno filme .</t>
  </si>
  <si>
    <t>file://conllu/pt/teddy-4467.conllu#s98_0</t>
  </si>
  <si>
    <t>99</t>
  </si>
  <si>
    <t>Quem?</t>
  </si>
  <si>
    <t>CR : Quando falo de si às a as pessoas , dizem-me dizem me , quem o conhece bem , dizem que o Larry quer mudar o mundo , e pensa que a tecnologia pode indicar o caminho .</t>
  </si>
  <si>
    <t>file://conllu/pt/teddy-4467.conllu#s99_0</t>
  </si>
  <si>
    <t>100</t>
  </si>
  <si>
    <t>Isso significa?</t>
  </si>
  <si>
    <t>significar</t>
  </si>
  <si>
    <t>E isso significa acesso à a a Internet .</t>
  </si>
  <si>
    <t>file://conllu/pt/teddy-4467.conllu#s100_0</t>
  </si>
  <si>
    <t>101</t>
  </si>
  <si>
    <t>Tem a ver com os idiomas .</t>
  </si>
  <si>
    <t>file://conllu/pt/teddy-4467.conllu#s101_0</t>
  </si>
  <si>
    <t>102</t>
  </si>
  <si>
    <t>Também significa como as pessoas podem ter acesso e fazer coisas que afectarão a sua comunidade , e isto é um exemplo .</t>
  </si>
  <si>
    <t>file://conllu/pt/teddy-4467.conllu#s102_0</t>
  </si>
  <si>
    <t>103</t>
  </si>
  <si>
    <t>LP : Sim , é certo , e eu penso ...</t>
  </si>
  <si>
    <t>file://conllu/pt/teddy-4467.conllu#s103_0</t>
  </si>
  <si>
    <t>105</t>
  </si>
  <si>
    <t>apresentar</t>
  </si>
  <si>
    <t>Recentemente apresentámos o Projecto Loon que usa balões para fazer isso .</t>
  </si>
  <si>
    <t>file://conllu/pt/teddy-4467.conllu#s105_0</t>
  </si>
  <si>
    <t>106</t>
  </si>
  <si>
    <t>parecer</t>
  </si>
  <si>
    <t>Parece uma loucura total .</t>
  </si>
  <si>
    <t>file://conllu/pt/teddy-4467.conllu#s106_0</t>
  </si>
  <si>
    <t>107</t>
  </si>
  <si>
    <t>Podemos mostrar o vídeo aqui .</t>
  </si>
  <si>
    <t>file://conllu/pt/teddy-4467.conllu#s107_0</t>
  </si>
  <si>
    <t>108</t>
  </si>
  <si>
    <t>Duas em cada três pessoas , no em o mundo , não têm bom acesso à a a Internet , neste em este momento .</t>
  </si>
  <si>
    <t>file://conllu/pt/teddy-4467.conllu#s108_0</t>
  </si>
  <si>
    <t>109</t>
  </si>
  <si>
    <t>Pensamos que isto pode mesmo ajudar as pessoas de um modo eficiente .</t>
  </si>
  <si>
    <t>file://conllu/pt/teddy-4467.conllu#s109_0</t>
  </si>
  <si>
    <t>110</t>
  </si>
  <si>
    <t>file://conllu/pt/teddy-4467.conllu#s110_0</t>
  </si>
  <si>
    <t>111</t>
  </si>
  <si>
    <t>ser (ser balão)</t>
  </si>
  <si>
    <t>É um balão !</t>
  </si>
  <si>
    <t>file://conllu/pt/teddy-4467.conllu#s111_0</t>
  </si>
  <si>
    <t>112</t>
  </si>
  <si>
    <t>LP :</t>
  </si>
  <si>
    <t>file://conllu/pt/teddy-4467.conllu#s112_0</t>
  </si>
  <si>
    <t>113</t>
  </si>
  <si>
    <t>ser (ser aceder)</t>
  </si>
  <si>
    <t>É , acede à a a Internet .</t>
  </si>
  <si>
    <t>file://conllu/pt/teddy-4467.conllu#s113_0</t>
  </si>
  <si>
    <t>114</t>
  </si>
  <si>
    <t>CR : E porque é que este balão nos em os dá acesso à a a Internet ?</t>
  </si>
  <si>
    <t>file://conllu/pt/teddy-4467.conllu#s114_0</t>
  </si>
  <si>
    <t>115</t>
  </si>
  <si>
    <t>haver</t>
  </si>
  <si>
    <t>Porque havia algumas coisas interessantes que tinha que fazer para descobrir como tornar possíveis os balões , não precisavam de estar amarrados .</t>
  </si>
  <si>
    <t>file://conllu/pt/teddy-4467.conllu#s115_0</t>
  </si>
  <si>
    <t>116</t>
  </si>
  <si>
    <t>LP : Sim , e isto é um bom exemplo de inovação .</t>
  </si>
  <si>
    <t>file://conllu/pt/teddy-4467.conllu#s116_0</t>
  </si>
  <si>
    <t>117</t>
  </si>
  <si>
    <t>Já pensávamos nesta em esta ideia há cinco anos ou mais antes de começarmos a trabalhar nela em ela , mas , na em a realidade era apenas , como conseguimos pontos de acesso baratos , lá em cima ?</t>
  </si>
  <si>
    <t>file://conllu/pt/teddy-4467.conllu#s117_0</t>
  </si>
  <si>
    <t>118</t>
  </si>
  <si>
    <t>usar</t>
  </si>
  <si>
    <t>Normalmente temos que usar satélites e demora muito tempo lançá-los lançá los .</t>
  </si>
  <si>
    <t>file://conllu/pt/teddy-4467.conllu#s118_0</t>
  </si>
  <si>
    <t>119</t>
  </si>
  <si>
    <t>descobrir (descobrir ver)</t>
  </si>
  <si>
    <t>Mas vimos como é fácil lançar um balão e fazê-lo fazê lo subir , e novamente é o poder da de a Internet , fiz uma pesquisa , e descobri que , há 30 ou 40 anos , alguém tinha feito subir um balão que deu a volta à a a Terra várias vezes .</t>
  </si>
  <si>
    <t>file://conllu/pt/teddy-4467.conllu#s119_0</t>
  </si>
  <si>
    <t>120</t>
  </si>
  <si>
    <t>E pensei , porque é que não podemos fazer isso hoje ?</t>
  </si>
  <si>
    <t>file://conllu/pt/teddy-4467.conllu#s120_0</t>
  </si>
  <si>
    <t>121</t>
  </si>
  <si>
    <t>ser</t>
  </si>
  <si>
    <t>E foi assim que este projecto começou .</t>
  </si>
  <si>
    <t>file://conllu/pt/teddy-4467.conllu#s121_0</t>
  </si>
  <si>
    <t>122</t>
  </si>
  <si>
    <t>CR : Mas não fica à a a mercê do de o vento ?</t>
  </si>
  <si>
    <t>file://conllu/pt/teddy-4467.conllu#s122_0</t>
  </si>
  <si>
    <t>123</t>
  </si>
  <si>
    <t>LP : Sim , mas depois , fizemos simulações de tempo o que provavelmente nunca tinha sido feito e , se controlarmos a altitude dos de os balões , o que se consegue injectando-lhes injectando lhes ar ou por outras formas , conseguimos controlar de certo modo para onde vão , e assim penso que conseguimos criar uma rede mundial destes de estes balões que podem cobrir todo o planeta .</t>
  </si>
  <si>
    <t>file://conllu/pt/teddy-4467.conllu#s123_0</t>
  </si>
  <si>
    <t>124</t>
  </si>
  <si>
    <t>CR : Antes de falar do de o futuro e dos de os transportes , em que foi um crânio durante algum tempo , e este fascínio que tem por transportes e carros automáticos e bicicletas , deixe-me deixe me falar um pouco sobre o que foi o assunto anteriormente com Edward Snowden .</t>
  </si>
  <si>
    <t>file://conllu/pt/teddy-4467.conllu#s124_0</t>
  </si>
  <si>
    <t>125</t>
  </si>
  <si>
    <t>ser (ser segurança)</t>
  </si>
  <si>
    <t>É sobre segurança e privacidade .</t>
  </si>
  <si>
    <t>file://conllu/pt/teddy-4467.conllu#s125_0</t>
  </si>
  <si>
    <t>126</t>
  </si>
  <si>
    <t>dever</t>
  </si>
  <si>
    <t>Deve ter andado a pensar sobre isto .</t>
  </si>
  <si>
    <t>file://conllu/pt/teddy-4467.conllu#s126_0</t>
  </si>
  <si>
    <t>127</t>
  </si>
  <si>
    <t>file://conllu/pt/teddy-4467.conllu#s127_0</t>
  </si>
  <si>
    <t>128</t>
  </si>
  <si>
    <t>dúvida</t>
  </si>
  <si>
    <t>Sim , sem dúvida nenhuma .</t>
  </si>
  <si>
    <t>file://conllu/pt/teddy-4467.conllu#s128_0</t>
  </si>
  <si>
    <t>129</t>
  </si>
  <si>
    <t>vir</t>
  </si>
  <si>
    <t>Ontem vi a foto do de o Sergey com o Edward Snowden .</t>
  </si>
  <si>
    <t>file://conllu/pt/teddy-4467.conllu#s129_0</t>
  </si>
  <si>
    <t>130</t>
  </si>
  <si>
    <t>Alguns de vocês devem tê-la tê la visto .</t>
  </si>
  <si>
    <t>file://conllu/pt/teddy-4467.conllu#s130_0</t>
  </si>
  <si>
    <t>131</t>
  </si>
  <si>
    <t>Quanto a mim , penso que , privacidade e segurança são coisas muito importantes .</t>
  </si>
  <si>
    <t>file://conllu/pt/teddy-4467.conllu#s131_0</t>
  </si>
  <si>
    <t>132</t>
  </si>
  <si>
    <t>pensar (pensar pensar)</t>
  </si>
  <si>
    <t>Pensamos nisso em isso em função das de as duas coisas , e penso que não podemos ter privacidade sem segurança , por isso , deixe-me deixe me falar primeiro sobre segurança , porque perguntou sobre Snowden e tudo isso , e depois direi qualquer coisa sobre privacidade .</t>
  </si>
  <si>
    <t>file://conllu/pt/teddy-4467.conllu#s132_0</t>
  </si>
  <si>
    <t>133</t>
  </si>
  <si>
    <t>Penso que é tremendamente decepcionante que o governo tenha feito tudo isto secretamente e não nos em os tenha dito nada .</t>
  </si>
  <si>
    <t>file://conllu/pt/teddy-4467.conllu#s133_0</t>
  </si>
  <si>
    <t>134</t>
  </si>
  <si>
    <t>Penso que não podemos ter uma democracia se temos que nos em os proteger e aos a os nossos utilizadores do de o governo por coisas de que nunca falámos .</t>
  </si>
  <si>
    <t>file://conllu/pt/teddy-4467.conllu#s134_0</t>
  </si>
  <si>
    <t>135</t>
  </si>
  <si>
    <t>E não estou a dizer que temos que saber qual o ataque terrorista em particular de que nos em os querem proteger , mas temos que saber quais são os seus parâmetros , que tipo de vigilância irá o governo fazer , como e porquê , e acho que não tivemos essa conversa .</t>
  </si>
  <si>
    <t>file://conllu/pt/teddy-4467.conllu#s135_0</t>
  </si>
  <si>
    <t>136</t>
  </si>
  <si>
    <t>Por isso acho que o governo , na em a verdade , prestou a si mesmo um péssimo serviço fazendo tudo em segredo .</t>
  </si>
  <si>
    <t>file://conllu/pt/teddy-4467.conllu#s136_0</t>
  </si>
  <si>
    <t>137</t>
  </si>
  <si>
    <t>CR : Nunca ter ido à a a Google perguntar alguma coisa .</t>
  </si>
  <si>
    <t>file://conllu/pt/teddy-4467.conllu#s137_0</t>
  </si>
  <si>
    <t>138</t>
  </si>
  <si>
    <t>LP : À A A Google não , mas ao a o público .</t>
  </si>
  <si>
    <t>file://conllu/pt/teddy-4467.conllu#s138_0</t>
  </si>
  <si>
    <t>139</t>
  </si>
  <si>
    <t>Penso que temos que ter um debate sobre isso , ou não podemos ter uma democracia que funcione .</t>
  </si>
  <si>
    <t>file://conllu/pt/teddy-4467.conllu#s139_0</t>
  </si>
  <si>
    <t>140</t>
  </si>
  <si>
    <t>ser (ser possível)</t>
  </si>
  <si>
    <t>Simplesmente não é possível .</t>
  </si>
  <si>
    <t>file://conllu/pt/teddy-4467.conllu#s140_0</t>
  </si>
  <si>
    <t>141</t>
  </si>
  <si>
    <t>triste</t>
  </si>
  <si>
    <t>Por isso , fico triste que a Google esteja na em a posição de nos em os proteger e aos a os nossos utilizadores quanto ao a o governo fazer em segredo coisas que ninguém sabe .</t>
  </si>
  <si>
    <t>file://conllu/pt/teddy-4467.conllu#s141_0</t>
  </si>
  <si>
    <t>142</t>
  </si>
  <si>
    <t>Não faz qualquer sentido .</t>
  </si>
  <si>
    <t>file://conllu/pt/teddy-4467.conllu#s142_0</t>
  </si>
  <si>
    <t>143</t>
  </si>
  <si>
    <t>CR : Pois .</t>
  </si>
  <si>
    <t>file://conllu/pt/teddy-4467.conllu#s143_0</t>
  </si>
  <si>
    <t>144</t>
  </si>
  <si>
    <t>E ainda há a questão da de a privacidade .</t>
  </si>
  <si>
    <t>file://conllu/pt/teddy-4467.conllu#s144_0</t>
  </si>
  <si>
    <t>145</t>
  </si>
  <si>
    <t>file://conllu/pt/teddy-4467.conllu#s145_0</t>
  </si>
  <si>
    <t>146</t>
  </si>
  <si>
    <t>A questão da de a privacidade , Penso que é ... o mundo está a mudar .</t>
  </si>
  <si>
    <t>file://conllu/pt/teddy-4467.conllu#s146_0</t>
  </si>
  <si>
    <t>147</t>
  </si>
  <si>
    <t>Andar</t>
  </si>
  <si>
    <t>Andamos com um telefone .</t>
  </si>
  <si>
    <t>file://conllu/pt/teddy-4467.conllu#s147_0</t>
  </si>
  <si>
    <t>148</t>
  </si>
  <si>
    <t>Ele sabe onde nós estamos .</t>
  </si>
  <si>
    <t>file://conllu/pt/teddy-4467.conllu#s148_0</t>
  </si>
  <si>
    <t>149</t>
  </si>
  <si>
    <t>Há tanta informação sobre nós , e isso é uma coisa importante , e faz sentido as pessoas fazerem perguntas difíceis .</t>
  </si>
  <si>
    <t>file://conllu/pt/teddy-4467.conllu#s149_0</t>
  </si>
  <si>
    <t>150</t>
  </si>
  <si>
    <t>pensar (pensar passar)</t>
  </si>
  <si>
    <t>Passamos muito tempo a pensar nisto em isto e em quais são as questões .</t>
  </si>
  <si>
    <t>file://conllu/pt/teddy-4467.conllu#s150_0</t>
  </si>
  <si>
    <t>151</t>
  </si>
  <si>
    <t>estar (estar pouco)</t>
  </si>
  <si>
    <t>Estou um pouco ...</t>
  </si>
  <si>
    <t>file://conllu/pt/teddy-4467.conllu#s151_0</t>
  </si>
  <si>
    <t>152</t>
  </si>
  <si>
    <t>pensar (pensar permitir)</t>
  </si>
  <si>
    <t>Penso que o mais importante que temos que fazer é permitir que as pessoas escolham , mostrar-lhes mostrar lhes que dados estão a ser recolhidos — o histórico de pesquisas , os dados de localização .</t>
  </si>
  <si>
    <t>file://conllu/pt/teddy-4467.conllu#s152_0</t>
  </si>
  <si>
    <t>153</t>
  </si>
  <si>
    <t>entusiasmar</t>
  </si>
  <si>
    <t>Estamos entusiasmados com o modo incógnito no em o Chrome , e fazer isso de outros modos , dando às a as pessoas mais escolha e mais consciência do de o que se passa .</t>
  </si>
  <si>
    <t>file://conllu/pt/teddy-4467.conllu#s153_0</t>
  </si>
  <si>
    <t>154</t>
  </si>
  <si>
    <t>Penso que é muito fácil .</t>
  </si>
  <si>
    <t>file://conllu/pt/teddy-4467.conllu#s154_0</t>
  </si>
  <si>
    <t>155</t>
  </si>
  <si>
    <t>que me preocupa é que deitemos fora o bebé com a água do de o banho .</t>
  </si>
  <si>
    <t>file://conllu/pt/teddy-4467.conllu#s155_0</t>
  </si>
  <si>
    <t>156</t>
  </si>
  <si>
    <t>reparar</t>
  </si>
  <si>
    <t>E reparo , no em o seu programa , parece que perdi a voz , e não a recuperei .</t>
  </si>
  <si>
    <t>file://conllu/pt/teddy-4467.conllu#s156_0</t>
  </si>
  <si>
    <t>157</t>
  </si>
  <si>
    <t>esperar</t>
  </si>
  <si>
    <t>Espero que , ao a o falar consigo com si a vá recuperar .</t>
  </si>
  <si>
    <t>file://conllu/pt/teddy-4467.conllu#s157_0</t>
  </si>
  <si>
    <t>158</t>
  </si>
  <si>
    <t>CR : Se eu pudesse fazer alguma coisa , seria isso .</t>
  </si>
  <si>
    <t>file://conllu/pt/teddy-4467.conllu#s158_0</t>
  </si>
  <si>
    <t>159</t>
  </si>
  <si>
    <t>LP : Muito bem .</t>
  </si>
  <si>
    <t>file://conllu/pt/teddy-4467.conllu#s159_0</t>
  </si>
  <si>
    <t>160</t>
  </si>
  <si>
    <t>vudr</t>
  </si>
  <si>
    <t>Então saque do de o boneco vudu ... faça o que for preciso .</t>
  </si>
  <si>
    <t>file://conllu/pt/teddy-4467.conllu#s160_0</t>
  </si>
  <si>
    <t>161</t>
  </si>
  <si>
    <t>pensar (pensar saber)</t>
  </si>
  <si>
    <t>Mas penso , sabe que mais , olho para isso , tornei isso público , e consegui muita informação .</t>
  </si>
  <si>
    <t>file://conllu/pt/teddy-4467.conllu#s161_0</t>
  </si>
  <si>
    <t>162</t>
  </si>
  <si>
    <t>ser (ser espantoso)</t>
  </si>
  <si>
    <t>Mandámos fazer uma sondagem sobre problemas de saúde em pessoas com queixas semelhantes , e olho para os processos clínicos e digo , não seria espantoso se todos os processos clínicos estivessem disponíveis anonimamente aos a os médicos investigadores ?</t>
  </si>
  <si>
    <t>file://conllu/pt/teddy-4467.conllu#s162_0</t>
  </si>
  <si>
    <t>163</t>
  </si>
  <si>
    <t>aceder</t>
  </si>
  <si>
    <t>E quando alguém acede ao a o nosso processo clínico , um médico investigador , eles podiam ver , nós podíamos ver que médico lá foi e porquê , e talvez pudéssemos aprender sobre os problemas que temos .</t>
  </si>
  <si>
    <t>file://conllu/pt/teddy-4467.conllu#s163_0</t>
  </si>
  <si>
    <t>164</t>
  </si>
  <si>
    <t>Penso que , se fizéssemos apenas isso salvaríamos 100 000 vidas este ano .</t>
  </si>
  <si>
    <t>file://conllu/pt/teddy-4467.conllu#s164_0</t>
  </si>
  <si>
    <t>165</t>
  </si>
  <si>
    <t>CR : Absolutamente .</t>
  </si>
  <si>
    <t>file://conllu/pt/teddy-4467.conllu#s165_0</t>
  </si>
  <si>
    <t>166</t>
  </si>
  <si>
    <t>LP : Penso que estou apenas muito preocupado com a privacidade na em a Internet , estamos a fazer o mesmo que fazemos com os processos clínicos , estamos a deitar fora o bebé com a água do de o banho , e não estamos realmente a pensar no em o bem tremendo que pode decorrer de as pessoas partilharem informação com as pessoas certas e da de a forma correcta .</t>
  </si>
  <si>
    <t>file://conllu/pt/teddy-4467.conllu#s166_0</t>
  </si>
  <si>
    <t>167</t>
  </si>
  <si>
    <t>CR : E a condição necessária de que as pessoas têm que ter confiança que as informações sobre elas não serão usadas abusivamente .</t>
  </si>
  <si>
    <t>file://conllu/pt/teddy-4467.conllu#s167_0</t>
  </si>
  <si>
    <t>168</t>
  </si>
  <si>
    <t>LP : Sim , eu tive esse problema com a minha voz .</t>
  </si>
  <si>
    <t>file://conllu/pt/teddy-4467.conllu#s168_0</t>
  </si>
  <si>
    <t>169</t>
  </si>
  <si>
    <t>Tive medo de o partilhar .</t>
  </si>
  <si>
    <t>file://conllu/pt/teddy-4467.conllu#s169_0</t>
  </si>
  <si>
    <t>170</t>
  </si>
  <si>
    <t>encorajar</t>
  </si>
  <si>
    <t>Sergey encorajou-me encorajou me a fazê-lo fazê lo , e foi uma coisa importante .</t>
  </si>
  <si>
    <t>file://conllu/pt/teddy-4467.conllu#s170_0</t>
  </si>
  <si>
    <t>171</t>
  </si>
  <si>
    <t>CR : E a resposta tem sido esmagadora .</t>
  </si>
  <si>
    <t>file://conllu/pt/teddy-4467.conllu#s171_0</t>
  </si>
  <si>
    <t>172</t>
  </si>
  <si>
    <t>super</t>
  </si>
  <si>
    <t>LP : Sim , as pessoas são super positivas .</t>
  </si>
  <si>
    <t>file://conllu/pt/teddy-4467.conllu#s172_0</t>
  </si>
  <si>
    <t>173</t>
  </si>
  <si>
    <t>Temos milhares e milhares de pessoas com problemas semelhantes , de que não há dados hoje em dia .</t>
  </si>
  <si>
    <t>file://conllu/pt/teddy-4467.conllu#s173_0</t>
  </si>
  <si>
    <t>174</t>
  </si>
  <si>
    <t>ser (ser coisa)</t>
  </si>
  <si>
    <t>Por isso , foi uma coisa muito boa .</t>
  </si>
  <si>
    <t>file://conllu/pt/teddy-4467.conllu#s174_0</t>
  </si>
  <si>
    <t>175</t>
  </si>
  <si>
    <t>CR : Falando do de o futuro , o que se passa consigo com si e os sistemas de transporte ?</t>
  </si>
  <si>
    <t>file://conllu/pt/teddy-4467.conllu#s175_0</t>
  </si>
  <si>
    <t>176</t>
  </si>
  <si>
    <t>LP : Penso que estava apenas frustrado com isso quando estava na em a universidade no em o Michigan .</t>
  </si>
  <si>
    <t>file://conllu/pt/teddy-4467.conllu#s176_0</t>
  </si>
  <si>
    <t>177</t>
  </si>
  <si>
    <t>Tinha que apanhar o autocarro e esperar por ele .</t>
  </si>
  <si>
    <t>file://conllu/pt/teddy-4467.conllu#s177_0</t>
  </si>
  <si>
    <t>178</t>
  </si>
  <si>
    <t>estar (estar frio)</t>
  </si>
  <si>
    <t>E estava frio e a nevar .</t>
  </si>
  <si>
    <t>file://conllu/pt/teddy-4467.conllu#s178_0</t>
  </si>
  <si>
    <t>179</t>
  </si>
  <si>
    <t>Fiz alguma pesquisa sobre quanto custaria , e fiquei um pouco obcecado com os sistemas de transporte ...</t>
  </si>
  <si>
    <t>file://conllu/pt/teddy-4467.conllu#s179_0</t>
  </si>
  <si>
    <t>180</t>
  </si>
  <si>
    <t>CR : E assim começou a ideia de um carro automático [ o Zippie] .</t>
  </si>
  <si>
    <t>file://conllu/pt/teddy-4467.conllu#s180_0</t>
  </si>
  <si>
    <t>181</t>
  </si>
  <si>
    <t>falar (falar ouvir)</t>
  </si>
  <si>
    <t>LP : Sim , há cerca de 18 anos ouvi falar de pessoas que trabalham com carros automáticos , e fiquei fascinado com isso , e demora algum tempo pôr estes projectos em curso , mas estou super entusiasmado sobre as possibilidades de isso melhorar o mundo .</t>
  </si>
  <si>
    <t>file://conllu/pt/teddy-4467.conllu#s181_0</t>
  </si>
  <si>
    <t>182</t>
  </si>
  <si>
    <t>Há 20 milhões de pessoas ou mais feridas em acidentes , todos os anos .</t>
  </si>
  <si>
    <t>file://conllu/pt/teddy-4467.conllu#s182_0</t>
  </si>
  <si>
    <t>183</t>
  </si>
  <si>
    <t>ser (ser causa)</t>
  </si>
  <si>
    <t>É a maior causa de morte em pessoas com menos de 34 anos , nos em os EUA .</t>
  </si>
  <si>
    <t>file://conllu/pt/teddy-4467.conllu#s183_0</t>
  </si>
  <si>
    <t>184</t>
  </si>
  <si>
    <t>CR : Está a falar de salvar vidas .</t>
  </si>
  <si>
    <t>file://conllu/pt/teddy-4467.conllu#s184_0</t>
  </si>
  <si>
    <t>185</t>
  </si>
  <si>
    <t>LP : Sim , e também de poupar espaço e melhorar a vida .</t>
  </si>
  <si>
    <t>file://conllu/pt/teddy-4467.conllu#s185_0</t>
  </si>
  <si>
    <t>186</t>
  </si>
  <si>
    <t>parque</t>
  </si>
  <si>
    <t>Metade de Los Angeles são parques de estacionamento e estradas , metade da de a área , e a maioria das de as cidades não fica muito atrás .</t>
  </si>
  <si>
    <t>file://conllu/pt/teddy-4467.conllu#s186_0</t>
  </si>
  <si>
    <t>187</t>
  </si>
  <si>
    <t>ser (ser loucura)</t>
  </si>
  <si>
    <t>É uma loucura a forma como usamos o nosso espaço .</t>
  </si>
  <si>
    <t>file://conllu/pt/teddy-4467.conllu#s187_0</t>
  </si>
  <si>
    <t>188</t>
  </si>
  <si>
    <t>CR : E quando lá chegaremos ?</t>
  </si>
  <si>
    <t>file://conllu/pt/teddy-4467.conllu#s188_0</t>
  </si>
  <si>
    <t>189</t>
  </si>
  <si>
    <t>LP : Penso que muito , muito cedo .</t>
  </si>
  <si>
    <t>file://conllu/pt/teddy-4467.conllu#s189_0</t>
  </si>
  <si>
    <t>190</t>
  </si>
  <si>
    <t>Conduzir</t>
  </si>
  <si>
    <t>Conduzimos bem durante mais de 160 000 Km de modo totalmente automático .</t>
  </si>
  <si>
    <t>file://conllu/pt/teddy-4467.conllu#s190_0</t>
  </si>
  <si>
    <t>191</t>
  </si>
  <si>
    <t>estar (estar super)</t>
  </si>
  <si>
    <t>Estou super entusiasmado em conseguir isto rapidamente .</t>
  </si>
  <si>
    <t>file://conllu/pt/teddy-4467.conllu#s191_0</t>
  </si>
  <si>
    <t>192</t>
  </si>
  <si>
    <t>CR : Mas não está a falar apenas de carros automáticos .</t>
  </si>
  <si>
    <t>file://conllu/pt/teddy-4467.conllu#s192_0</t>
  </si>
  <si>
    <t>193</t>
  </si>
  <si>
    <t>Também tem esta ideia para bicicletas .</t>
  </si>
  <si>
    <t>file://conllu/pt/teddy-4467.conllu#s193_0</t>
  </si>
  <si>
    <t>194</t>
  </si>
  <si>
    <t>LP : Bem , na em a Google temos a ideia que devíamos disponibilizar bicicletas grátis para todos , e tem sido fantástico , a maioria das de as viagens .</t>
  </si>
  <si>
    <t>file://conllu/pt/teddy-4467.conllu#s194_0</t>
  </si>
  <si>
    <t>195</t>
  </si>
  <si>
    <t>ver (ver bicicleta)</t>
  </si>
  <si>
    <t>Vemos bicicletas por todo o lado , e as bicicletas gastam-se gastam se .</t>
  </si>
  <si>
    <t>file://conllu/pt/teddy-4467.conllu#s195_0</t>
  </si>
  <si>
    <t>196</t>
  </si>
  <si>
    <t>São usadas 24 horas por dia .</t>
  </si>
  <si>
    <t>file://conllu/pt/teddy-4467.conllu#s196_0</t>
  </si>
  <si>
    <t>197</t>
  </si>
  <si>
    <t>CR : Mas também as quer pôr na em a estrada .</t>
  </si>
  <si>
    <t>file://conllu/pt/teddy-4467.conllu#s197_0</t>
  </si>
  <si>
    <t>198</t>
  </si>
  <si>
    <t>LP : Pensei , como fazer para que as pessoas usem mais as bicicletas ?</t>
  </si>
  <si>
    <t>file://conllu/pt/teddy-4467.conllu#s198_0</t>
  </si>
  <si>
    <t>199</t>
  </si>
  <si>
    <t>CR : Talvez tenhamos aqui um vídeo .</t>
  </si>
  <si>
    <t>file://conllu/pt/teddy-4467.conllu#s199_0</t>
  </si>
  <si>
    <t>200</t>
  </si>
  <si>
    <t>LP : Sim , vamos mostrar o vídeo .</t>
  </si>
  <si>
    <t>file://conllu/pt/teddy-4467.conllu#s200_0</t>
  </si>
  <si>
    <t>201</t>
  </si>
  <si>
    <t>Fiquei entusiasmado com isto .</t>
  </si>
  <si>
    <t>file://conllu/pt/teddy-4467.conllu#s201_0</t>
  </si>
  <si>
    <t>202</t>
  </si>
  <si>
    <t>música</t>
  </si>
  <si>
    <t>( Música )</t>
  </si>
  <si>
    <t>file://conllu/pt/teddy-4467.conllu#s202_0</t>
  </si>
  <si>
    <t>203</t>
  </si>
  <si>
    <t>Esta é a forma de separar bicicletas e carros com custos mínimos .</t>
  </si>
  <si>
    <t>file://conllu/pt/teddy-4467.conllu#s203_0</t>
  </si>
  <si>
    <t>204</t>
  </si>
  <si>
    <t>De qualquer modo , parece uma loucura , mas estava a pensar no em o nosso &amp;quot; campus &amp;quot; , trabalhar com os Zippies e outras coisas , e tentar conseguir maior utilização de bicicletas , e estava a pensar como separar mais eficazmente as bicicletas do de o tráfego ?</t>
  </si>
  <si>
    <t>file://conllu/pt/teddy-4467.conllu#s204_0</t>
  </si>
  <si>
    <t>205</t>
  </si>
  <si>
    <t>E comecei a pesquisar , e encontrei isto .</t>
  </si>
  <si>
    <t>file://conllu/pt/teddy-4467.conllu#s205_0</t>
  </si>
  <si>
    <t>206</t>
  </si>
  <si>
    <t>E não estamos a trabalhar nisto em isto , nisto em isto em particular , mas põe a nossa imaginação a trabalhar .</t>
  </si>
  <si>
    <t>file://conllu/pt/teddy-4467.conllu#s206_0</t>
  </si>
  <si>
    <t>207</t>
  </si>
  <si>
    <t>file://conllu/pt/teddy-4467.conllu#s207_0</t>
  </si>
  <si>
    <t>210</t>
  </si>
  <si>
    <t>Tem esta ideia do de o TEDx .</t>
  </si>
  <si>
    <t>file://conllu/pt/teddy-4467.conllu#s210_0</t>
  </si>
  <si>
    <t>211</t>
  </si>
  <si>
    <t>querer</t>
  </si>
  <si>
    <t>Não quer simplesmente estar numa em uma pequena e mensurável área de progresso .</t>
  </si>
  <si>
    <t>file://conllu/pt/teddy-4467.conllu#s211_0</t>
  </si>
  <si>
    <t>212</t>
  </si>
  <si>
    <t>LP : Sim , eu penso que muitas das de as coisas de que falámos são assim , em que realmente ...</t>
  </si>
  <si>
    <t>file://conllu/pt/teddy-4467.conllu#s212_0</t>
  </si>
  <si>
    <t>213</t>
  </si>
  <si>
    <t>Quase usei o conceito económico de adicionalidade , que significa que estamos a fazer algo que não aconteceria se não o fizéssemos .</t>
  </si>
  <si>
    <t>file://conllu/pt/teddy-4467.conllu#s213_0</t>
  </si>
  <si>
    <t>214</t>
  </si>
  <si>
    <t>coisa</t>
  </si>
  <si>
    <t>E , quanto mais coisas destas de estas fizermos , maior o impacto que teremos , e trata-se trata se de fazer coisas que as pessoas podem pensar que não são possíveis .</t>
  </si>
  <si>
    <t>file://conllu/pt/teddy-4467.conllu#s214_0</t>
  </si>
  <si>
    <t>215</t>
  </si>
  <si>
    <t>aperceber</t>
  </si>
  <si>
    <t>E fiquei maravilhado , quanto mais aprendo sobre tecnologia , mais me apercebo do de o que não sei , e é devido a este horizonte tecnológico , aquilo que vemos que vamos fazer a seguir , quanto mais aprendemos sobre tecnologia , mais aprendemos sobre o que é possível .</t>
  </si>
  <si>
    <t>file://conllu/pt/teddy-4467.conllu#s215_0</t>
  </si>
  <si>
    <t>216</t>
  </si>
  <si>
    <t>Aprendemos que os balões são possíveis porque há algum material que os fará funcionar .</t>
  </si>
  <si>
    <t>file://conllu/pt/teddy-4467.conllu#s216_0</t>
  </si>
  <si>
    <t>217</t>
  </si>
  <si>
    <t>CR : Mas , o que é interessante sobre si , quanto a mim , é que temos muita gente a pensar sobre o futuro , andam , olham e voltam mas nunca vemos a implementação .</t>
  </si>
  <si>
    <t>file://conllu/pt/teddy-4467.conllu#s217_0</t>
  </si>
  <si>
    <t>218</t>
  </si>
  <si>
    <t>Penso em alguém que conheceu e sobre quem leu , Tesla .</t>
  </si>
  <si>
    <t>file://conllu/pt/teddy-4467.conllu#s218_0</t>
  </si>
  <si>
    <t>219</t>
  </si>
  <si>
    <t>ser (ser princípio)</t>
  </si>
  <si>
    <t>Para si , qual é o princípio disso de isso ?</t>
  </si>
  <si>
    <t>file://conllu/pt/teddy-4467.conllu#s219_0</t>
  </si>
  <si>
    <t>220</t>
  </si>
  <si>
    <t>LP : Bem , penso que a invenção não é suficiente .</t>
  </si>
  <si>
    <t>file://conllu/pt/teddy-4467.conllu#s220_0</t>
  </si>
  <si>
    <t>221</t>
  </si>
  <si>
    <t>inventar</t>
  </si>
  <si>
    <t>Se inventarmos algo , Tesla inventou a energia eléctrica que usamos , mas lutou para a levar às a as pessoas .</t>
  </si>
  <si>
    <t>file://conllu/pt/teddy-4467.conllu#s221_0</t>
  </si>
  <si>
    <t>222</t>
  </si>
  <si>
    <t>Isso teve que ser feito por outros .</t>
  </si>
  <si>
    <t>file://conllu/pt/teddy-4467.conllu#s222_0</t>
  </si>
  <si>
    <t>223</t>
  </si>
  <si>
    <t>levar</t>
  </si>
  <si>
    <t>Levou muito tempo .</t>
  </si>
  <si>
    <t>file://conllu/pt/teddy-4467.conllu#s223_0</t>
  </si>
  <si>
    <t>224</t>
  </si>
  <si>
    <t>conseguísser</t>
  </si>
  <si>
    <t>Se conseguíssemos mesmo combinar ambas as coisas , quando temos uma inovação e um foco de invenção , mais a habilidade de juntar — uma empresa que possa mesmo comercializar as coisas e levá-las levá las às a as pessoas de um modo positivo para o mundo e dar esperança às a as pessoas .</t>
  </si>
  <si>
    <t>file://conllu/pt/teddy-4467.conllu#s224_0</t>
  </si>
  <si>
    <t>225</t>
  </si>
  <si>
    <t>Sabe</t>
  </si>
  <si>
    <t>Sabe , estou espantado com o Projecto Loon como as pessoas estavam tão entusiasmadas , porque deu esperanças a dois terços do de o mundo que , neste em este momento , não têm Internet de jeito .</t>
  </si>
  <si>
    <t>file://conllu/pt/teddy-4467.conllu#s225_0</t>
  </si>
  <si>
    <t>226</t>
  </si>
  <si>
    <t>CR : que é uma coisa secundária para as empresas .</t>
  </si>
  <si>
    <t>file://conllu/pt/teddy-4467.conllu#s226_0</t>
  </si>
  <si>
    <t>227</t>
  </si>
  <si>
    <t>Você é uma daquelas de aquelas pessoas que acredita que as empresas são agentes de mudança se forem bem geridas .</t>
  </si>
  <si>
    <t>file://conllu/pt/teddy-4467.conllu#s227_0</t>
  </si>
  <si>
    <t>228</t>
  </si>
  <si>
    <t>file://conllu/pt/teddy-4467.conllu#s228_0</t>
  </si>
  <si>
    <t>230</t>
  </si>
  <si>
    <t>Têm má reputação .</t>
  </si>
  <si>
    <t>file://conllu/pt/teddy-4467.conllu#s230_0</t>
  </si>
  <si>
    <t>231</t>
  </si>
  <si>
    <t>Penso que é de certo modo correcto .</t>
  </si>
  <si>
    <t>file://conllu/pt/teddy-4467.conllu#s231_0</t>
  </si>
  <si>
    <t>232</t>
  </si>
  <si>
    <t>As empresas fazem as coisas rotineiramente como faziam há 50 anos ou há 20 anos .</t>
  </si>
  <si>
    <t>file://conllu/pt/teddy-4467.conllu#s232_0</t>
  </si>
  <si>
    <t>233</t>
  </si>
  <si>
    <t>ser (ser isso)</t>
  </si>
  <si>
    <t>Não é disso de isso que precisamos .</t>
  </si>
  <si>
    <t>file://conllu/pt/teddy-4467.conllu#s233_0</t>
  </si>
  <si>
    <t>234</t>
  </si>
  <si>
    <t>precisar</t>
  </si>
  <si>
    <t>Precisamos , especialmente na em a tecnologia , de uma mudança revolucionária , não gradual .</t>
  </si>
  <si>
    <t>file://conllu/pt/teddy-4467.conllu#s234_0</t>
  </si>
  <si>
    <t>235</t>
  </si>
  <si>
    <t>CR : Você disse uma vez , — penso ter percebido bem — que consideraria , em vez de dar o seu dinheiro , se o deixasse a alguma causa , simplesmente o daria a Elon Musk , porque tinha confiança que ele mudaria o futuro , e que , portanto , poderia ... LP :</t>
  </si>
  <si>
    <t>file://conllu/pt/teddy-4467.conllu#s235_0</t>
  </si>
  <si>
    <t>236</t>
  </si>
  <si>
    <t>ser (ser objectivo)</t>
  </si>
  <si>
    <t>Sim , se quisermos ir a Marte , ele quer ir a Marte , para apoiar a Humanidade , é um objectivo de valor , mas é uma empresa , e é filantrópica .</t>
  </si>
  <si>
    <t>file://conllu/pt/teddy-4467.conllu#s236_0</t>
  </si>
  <si>
    <t>237</t>
  </si>
  <si>
    <t>Penso que o nosso objectivo é fazer coisas semelhantes .</t>
  </si>
  <si>
    <t>file://conllu/pt/teddy-4467.conllu#s237_0</t>
  </si>
  <si>
    <t>238</t>
  </si>
  <si>
    <t>E , penso que você perguntou , temos muitos funcionários na em a Google que ficaram bem na em a vida .</t>
  </si>
  <si>
    <t>file://conllu/pt/teddy-4467.conllu#s238_0</t>
  </si>
  <si>
    <t>239</t>
  </si>
  <si>
    <t>ganhar</t>
  </si>
  <si>
    <t>As pessoas ganham muito dinheiro com a tecnologia .</t>
  </si>
  <si>
    <t>file://conllu/pt/teddy-4467.conllu#s239_0</t>
  </si>
  <si>
    <t>240</t>
  </si>
  <si>
    <t>Há muitas pessoas na em a sala que estão bem na em a vida .</t>
  </si>
  <si>
    <t>file://conllu/pt/teddy-4467.conllu#s240_0</t>
  </si>
  <si>
    <t>241</t>
  </si>
  <si>
    <t>Trabalhamos porque queremos mudar o mundo .</t>
  </si>
  <si>
    <t>file://conllu/pt/teddy-4467.conllu#s241_0</t>
  </si>
  <si>
    <t>242</t>
  </si>
  <si>
    <t>Queremos torná-lo torná lo melhor .</t>
  </si>
  <si>
    <t>file://conllu/pt/teddy-4467.conllu#s242_0</t>
  </si>
  <si>
    <t>243</t>
  </si>
  <si>
    <t>Porque é que?</t>
  </si>
  <si>
    <t>ser (ser merecedor)</t>
  </si>
  <si>
    <t>Porque é que a empresa em que trabalhamos não é merecedora apenas do de o nosso tempo mas também do de o nosso dinheiro ?</t>
  </si>
  <si>
    <t>file://conllu/pt/teddy-4467.conllu#s243_0</t>
  </si>
  <si>
    <t>244</t>
  </si>
  <si>
    <t>Mas não temos esse conceito .</t>
  </si>
  <si>
    <t>file://conllu/pt/teddy-4467.conllu#s244_0</t>
  </si>
  <si>
    <t>245</t>
  </si>
  <si>
    <t>Não é isso que pensamos sobre as empresas , e penso que é triste , porque as empresas são sobretudo o resultado do de o nosso esforço .</t>
  </si>
  <si>
    <t>file://conllu/pt/teddy-4467.conllu#s245_0</t>
  </si>
  <si>
    <t>246</t>
  </si>
  <si>
    <t>É onde as pessoas passam a maior parte do de o tempo , onde há muito dinheiro , e penso que gostaria que ajudássemos mais do de o que estamos a ajudar .</t>
  </si>
  <si>
    <t>file://conllu/pt/teddy-4467.conllu#s246_0</t>
  </si>
  <si>
    <t>247</t>
  </si>
  <si>
    <t>CR : Quanto termino conversas com muitas pessoas , pergunto sempre :</t>
  </si>
  <si>
    <t>file://conllu/pt/teddy-4467.conllu#s247_0</t>
  </si>
  <si>
    <t>248</t>
  </si>
  <si>
    <t>estado</t>
  </si>
  <si>
    <t>Que estado de espírito , qual foi a qualidade de espírito que melhor o serviu ?</t>
  </si>
  <si>
    <t>file://conllu/pt/teddy-4467.conllu#s248_0</t>
  </si>
  <si>
    <t>249</t>
  </si>
  <si>
    <t>pessoa</t>
  </si>
  <si>
    <t>Pessoas como Rupert</t>
  </si>
  <si>
    <t>file://conllu/pt/teddy-4467.conllu#s249_0</t>
  </si>
  <si>
    <t>250</t>
  </si>
  <si>
    <t>referir</t>
  </si>
  <si>
    <t>Murdoch referiram a curiosidade , e outras pessoas dos de os &amp;quot; media &amp;quot; disseram o mesmo .</t>
  </si>
  <si>
    <t>file://conllu/pt/teddy-4467.conllu#s250_0</t>
  </si>
  <si>
    <t>251</t>
  </si>
  <si>
    <t>Bill Gates e Warren Buffett referiram a concentração .</t>
  </si>
  <si>
    <t>file://conllu/pt/teddy-4467.conllu#s251_0</t>
  </si>
  <si>
    <t>252</t>
  </si>
  <si>
    <t>Que qualidade de espírito , ao a o deixar esta audiência , lhe permitiu pensar sobre o futuro e ao a o mesmo tempo mudar o presente ?</t>
  </si>
  <si>
    <t>file://conllu/pt/teddy-4467.conllu#s252_0</t>
  </si>
  <si>
    <t>253</t>
  </si>
  <si>
    <t>LP : Penso que o mais importante ...</t>
  </si>
  <si>
    <t>file://conllu/pt/teddy-4467.conllu#s253_0</t>
  </si>
  <si>
    <t>254</t>
  </si>
  <si>
    <t>Observar</t>
  </si>
  <si>
    <t>Observei uma série de empresas e pensei que não viriam a ter êxito .</t>
  </si>
  <si>
    <t>file://conllu/pt/teddy-4467.conllu#s254_0</t>
  </si>
  <si>
    <t>255</t>
  </si>
  <si>
    <t>Tivemos uma rotatividade muito rápida de empresas .</t>
  </si>
  <si>
    <t>file://conllu/pt/teddy-4467.conllu#s255_0</t>
  </si>
  <si>
    <t>256</t>
  </si>
  <si>
    <t>Que fizeram de fundamentalmente errado ?</t>
  </si>
  <si>
    <t>file://conllu/pt/teddy-4467.conllu#s256_0</t>
  </si>
  <si>
    <t>257</t>
  </si>
  <si>
    <t>Que fizeram de errado , todas elas ?</t>
  </si>
  <si>
    <t>file://conllu/pt/teddy-4467.conllu#s257_0</t>
  </si>
  <si>
    <t>258</t>
  </si>
  <si>
    <t>falhar</t>
  </si>
  <si>
    <t>E , normalmente , apenas falharam o futuro .</t>
  </si>
  <si>
    <t>file://conllu/pt/teddy-4467.conllu#s258_0</t>
  </si>
  <si>
    <t>259</t>
  </si>
  <si>
    <t>tentar (tentar pensar)</t>
  </si>
  <si>
    <t>E assim penso que me tento concentrar nisso em isso e dizer , o que será esse futuro e como o criamos , e como levamos a nossa organização , a nossa organização a concentrar-se concentrar se realmente nisso em isso e levar isso a um nível mesmo elevado ?</t>
  </si>
  <si>
    <t>file://conllu/pt/teddy-4467.conllu#s259_0</t>
  </si>
  <si>
    <t>260</t>
  </si>
  <si>
    <t>ser (ser olhar)</t>
  </si>
  <si>
    <t>E então tem sido a curiosidade , tem sido olhar para as coisas em que as pessoas podiam não ter pensado , trabalhar em coisas em que ninguém está a trabalhar , porque é onde está a adicionalidade , e querer fazer isso , arriscar .</t>
  </si>
  <si>
    <t>file://conllu/pt/teddy-4467.conllu#s260_0</t>
  </si>
  <si>
    <t>261</t>
  </si>
  <si>
    <t>Reparar</t>
  </si>
  <si>
    <t>Repare no em o Android .</t>
  </si>
  <si>
    <t>file://conllu/pt/teddy-4467.conllu#s261_0</t>
  </si>
  <si>
    <t>263</t>
  </si>
  <si>
    <t>ser (ser negócio)</t>
  </si>
  <si>
    <t>Quando estava a começar , era um pequeno negócio novo que comprámos .</t>
  </si>
  <si>
    <t>file://conllu/pt/teddy-4467.conllu#s263_0</t>
  </si>
  <si>
    <t>264</t>
  </si>
  <si>
    <t>Não era naquilo em aquilo que estávamos propriamente a trabalhar .</t>
  </si>
  <si>
    <t>file://conllu/pt/teddy-4467.conllu#s264_0</t>
  </si>
  <si>
    <t>265</t>
  </si>
  <si>
    <t>E senti-me senti me culpado por gastar tempo naquilo em aquilo .</t>
  </si>
  <si>
    <t>file://conllu/pt/teddy-4467.conllu#s265_0</t>
  </si>
  <si>
    <t>266</t>
  </si>
  <si>
    <t>ser (ser estupidez)</t>
  </si>
  <si>
    <t>Foi uma estupidez .</t>
  </si>
  <si>
    <t>file://conllu/pt/teddy-4467.conllu#s266_0</t>
  </si>
  <si>
    <t>267</t>
  </si>
  <si>
    <t>ser (ser futuro)</t>
  </si>
  <si>
    <t>Era o futuro , não era ?</t>
  </si>
  <si>
    <t>file://conllu/pt/teddy-4467.conllu#s267_0</t>
  </si>
  <si>
    <t>268</t>
  </si>
  <si>
    <t>Era uma boa coisa em que trabalhar .</t>
  </si>
  <si>
    <t>file://conllu/pt/teddy-4467.conllu#s268_0</t>
  </si>
  <si>
    <t>269</t>
  </si>
  <si>
    <t>ser (ser óptimo)</t>
  </si>
  <si>
    <t>CR : É óptimo vê-lo vê lo aqui .</t>
  </si>
  <si>
    <t>file://conllu/pt/teddy-4467.conllu#s269_0</t>
  </si>
  <si>
    <t>270</t>
  </si>
  <si>
    <t>É óptimo ouvi-lo ouvi lo , e um prazer sentar-me sentar me a esta mesa consigo com si .</t>
  </si>
  <si>
    <t>file://conllu/pt/teddy-4467.conllu#s270_0</t>
  </si>
  <si>
    <t>271</t>
  </si>
  <si>
    <t>Obrigado</t>
  </si>
  <si>
    <t>Obrigado , Larry .</t>
  </si>
  <si>
    <t>file://conllu/pt/teddy-4467.conllu#s271_0</t>
  </si>
  <si>
    <t>272</t>
  </si>
  <si>
    <t>LP : Obrigado .</t>
  </si>
  <si>
    <t>file://conllu/pt/teddy-4467.conllu#s272_0</t>
  </si>
  <si>
    <t>273</t>
  </si>
  <si>
    <t>CR : Larry Page .</t>
  </si>
  <si>
    <t>file://conllu/pt/teddy-4467.conllu#s273_0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</si>
  <si>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</si>
  <si>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</si>
  <si>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</si>
  <si>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</si>
  <si>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</si>
  <si>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</si>
  <si>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</si>
  <si>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</si>
  <si>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</si>
  <si>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</si>
  <si>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</si>
  <si>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Charlie Rose:</t>
  </si>
  <si>
    <t>other</t>
  </si>
  <si>
    <t>ne</t>
  </si>
  <si>
    <t>?OLD</t>
  </si>
  <si>
    <t>Rose</t>
  </si>
  <si>
    <t>:</t>
  </si>
  <si>
    <t>--</t>
  </si>
  <si>
    <t># text = Larry enviou-me um \"email\" que basicamente dizia:</t>
  </si>
  <si>
    <t>Larry</t>
  </si>
  <si>
    <t>SBJ</t>
  </si>
  <si>
    <t>enviou</t>
  </si>
  <si>
    <t>me</t>
  </si>
  <si>
    <t>OBJ</t>
  </si>
  <si>
    <t>pron.pper</t>
  </si>
  <si>
    <t>um</t>
  </si>
  <si>
    <t>&amp;quot;</t>
  </si>
  <si>
    <t>email</t>
  </si>
  <si>
    <t>indef-np.a</t>
  </si>
  <si>
    <t>que</t>
  </si>
  <si>
    <t>SBJ_3</t>
  </si>
  <si>
    <t>basicamente</t>
  </si>
  <si>
    <t>dizia</t>
  </si>
  <si>
    <t># text = "Temos que garantir que não iremos parecer "um par de enfadonhos homens de meia-idade."</t>
  </si>
  <si>
    <t>Temos</t>
  </si>
  <si>
    <t>garantir</t>
  </si>
  <si>
    <t>não</t>
  </si>
  <si>
    <t>iremos</t>
  </si>
  <si>
    <t>par</t>
  </si>
  <si>
    <t>OBJ_2</t>
  </si>
  <si>
    <t>def-np.poss</t>
  </si>
  <si>
    <t>de</t>
  </si>
  <si>
    <t>enfadonhos</t>
  </si>
  <si>
    <t>homens</t>
  </si>
  <si>
    <t>other_3</t>
  </si>
  <si>
    <t>meia-idade</t>
  </si>
  <si>
    <t>other_4</t>
  </si>
  <si>
    <t>indef-np.bare</t>
  </si>
  <si>
    <t>.</t>
  </si>
  <si>
    <t># text = Eu disse:</t>
  </si>
  <si>
    <t>Eu</t>
  </si>
  <si>
    <t>disse</t>
  </si>
  <si>
    <t># text = \"Sinto-me lisonjeado... (Risos) \"... porque sou um pouco mais velho, \"e ele tem um pouco mais de património do que eu.\" Larry Page:</t>
  </si>
  <si>
    <t>Sinto</t>
  </si>
  <si>
    <t>lisonjeado</t>
  </si>
  <si>
    <t>...</t>
  </si>
  <si>
    <t>(</t>
  </si>
  <si>
    <t>Risos</t>
  </si>
  <si>
    <t>)</t>
  </si>
  <si>
    <t>porque</t>
  </si>
  <si>
    <t>sou</t>
  </si>
  <si>
    <t>pouco</t>
  </si>
  <si>
    <t>mais</t>
  </si>
  <si>
    <t>velho</t>
  </si>
  <si>
    <t>,</t>
  </si>
  <si>
    <t>e</t>
  </si>
  <si>
    <t>ele</t>
  </si>
  <si>
    <t>tem</t>
  </si>
  <si>
    <t>património</t>
  </si>
  <si>
    <t>OBJ_3</t>
  </si>
  <si>
    <t>o</t>
  </si>
  <si>
    <t>other_6</t>
  </si>
  <si>
    <t>pron.pds</t>
  </si>
  <si>
    <t>eu.</t>
  </si>
  <si>
    <t>other_5</t>
  </si>
  <si>
    <t>Page</t>
  </si>
  <si>
    <t># text = Bom, obrigado.</t>
  </si>
  <si>
    <t>Bom</t>
  </si>
  <si>
    <t>obrigado</t>
  </si>
  <si>
    <t># text = CR: Então vamos ter uma conversa sobre a Internet e sobre a Google e sobre pesquisa e privacidade, e também sobre a sua filosofia e o sentido de como você ligou os pontos e como esta viagem, que começou há algum tempo, tem perspectivas tão interessantes.</t>
  </si>
  <si>
    <t>CR</t>
  </si>
  <si>
    <t>Então</t>
  </si>
  <si>
    <t>vamos</t>
  </si>
  <si>
    <t>uma</t>
  </si>
  <si>
    <t>conversa</t>
  </si>
  <si>
    <t>sobre</t>
  </si>
  <si>
    <t>a</t>
  </si>
  <si>
    <t>Internet</t>
  </si>
  <si>
    <t>Google</t>
  </si>
  <si>
    <t>pesquisa</t>
  </si>
  <si>
    <t>privacidade</t>
  </si>
  <si>
    <t>também</t>
  </si>
  <si>
    <t>sua</t>
  </si>
  <si>
    <t>pron.ppos</t>
  </si>
  <si>
    <t>filosofia</t>
  </si>
  <si>
    <t>other_2</t>
  </si>
  <si>
    <t>def-np.the</t>
  </si>
  <si>
    <t>sentido</t>
  </si>
  <si>
    <t>como</t>
  </si>
  <si>
    <t>você</t>
  </si>
  <si>
    <t>SBJ_5</t>
  </si>
  <si>
    <t>ligou</t>
  </si>
  <si>
    <t>os</t>
  </si>
  <si>
    <t>pontos</t>
  </si>
  <si>
    <t>OBJ_5</t>
  </si>
  <si>
    <t>esta</t>
  </si>
  <si>
    <t>viagem</t>
  </si>
  <si>
    <t>SBJ_6</t>
  </si>
  <si>
    <t>def-np.dem</t>
  </si>
  <si>
    <t>SBJ_8</t>
  </si>
  <si>
    <t>começou</t>
  </si>
  <si>
    <t>há</t>
  </si>
  <si>
    <t>algum</t>
  </si>
  <si>
    <t>tempo</t>
  </si>
  <si>
    <t>OBJ_9</t>
  </si>
  <si>
    <t>indef-np</t>
  </si>
  <si>
    <t>perspectivas</t>
  </si>
  <si>
    <t>OBJ_6</t>
  </si>
  <si>
    <t>tão</t>
  </si>
  <si>
    <t>interessantes</t>
  </si>
  <si>
    <t># text = Queremos falar principalmente do futuro.</t>
  </si>
  <si>
    <t>Queremos</t>
  </si>
  <si>
    <t>falar</t>
  </si>
  <si>
    <t>principalmente</t>
  </si>
  <si>
    <t>futuro</t>
  </si>
  <si>
    <t># text = Então a minha primeira pergunta: onde está a Google e para onde vai?</t>
  </si>
  <si>
    <t>minha</t>
  </si>
  <si>
    <t>primeira</t>
  </si>
  <si>
    <t>onde</t>
  </si>
  <si>
    <t>está</t>
  </si>
  <si>
    <t>para</t>
  </si>
  <si>
    <t>vai</t>
  </si>
  <si>
    <t>?</t>
  </si>
  <si>
    <t># text = LP: Bem, é algo em que pensamos muito, e a nossa missão, que definimos há muito tempo, é organizar a informação mundial e torná-la universalmente acessível e útil.</t>
  </si>
  <si>
    <t>LP</t>
  </si>
  <si>
    <t>Bem</t>
  </si>
  <si>
    <t>é</t>
  </si>
  <si>
    <t>algo</t>
  </si>
  <si>
    <t>pron.pind</t>
  </si>
  <si>
    <t>em</t>
  </si>
  <si>
    <t>pensamos</t>
  </si>
  <si>
    <t>muito</t>
  </si>
  <si>
    <t>nossa</t>
  </si>
  <si>
    <t>missão</t>
  </si>
  <si>
    <t>SBJ_4</t>
  </si>
  <si>
    <t>definimos</t>
  </si>
  <si>
    <t>OBJ_4</t>
  </si>
  <si>
    <t>organizar</t>
  </si>
  <si>
    <t>informação</t>
  </si>
  <si>
    <t>mundial</t>
  </si>
  <si>
    <t>torná</t>
  </si>
  <si>
    <t>la</t>
  </si>
  <si>
    <t>universalmente</t>
  </si>
  <si>
    <t>acessível</t>
  </si>
  <si>
    <t>útil</t>
  </si>
  <si>
    <t># text = E as pessoas dizem sempre, é mesmo isso que vocês ainda estão a fazer?</t>
  </si>
  <si>
    <t>E</t>
  </si>
  <si>
    <t>as</t>
  </si>
  <si>
    <t>pessoas</t>
  </si>
  <si>
    <t>dizem</t>
  </si>
  <si>
    <t>sempre</t>
  </si>
  <si>
    <t>mesmo</t>
  </si>
  <si>
    <t>isso</t>
  </si>
  <si>
    <t>vocês</t>
  </si>
  <si>
    <t>ainda</t>
  </si>
  <si>
    <t>estão</t>
  </si>
  <si>
    <t># text = E eu próprio penso nisso e não tenho bem a certeza.</t>
  </si>
  <si>
    <t>próprio</t>
  </si>
  <si>
    <t>penso</t>
  </si>
  <si>
    <t>tenho</t>
  </si>
  <si>
    <t>bem</t>
  </si>
  <si>
    <t>certeza</t>
  </si>
  <si>
    <t># text = Mas, na realidade, quando penso sobre pesquisa, é algo tão profundo para todos nós, perceber realmente o que queremos, perceber a informação mundial, e ainda estamos na fase inicial, o que é uma loucura.</t>
  </si>
  <si>
    <t>Mas</t>
  </si>
  <si>
    <t>realidade</t>
  </si>
  <si>
    <t>quando</t>
  </si>
  <si>
    <t>profundo</t>
  </si>
  <si>
    <t>todos</t>
  </si>
  <si>
    <t>nós</t>
  </si>
  <si>
    <t>realmente</t>
  </si>
  <si>
    <t>queremos</t>
  </si>
  <si>
    <t>estamos</t>
  </si>
  <si>
    <t>fase</t>
  </si>
  <si>
    <t>inicial</t>
  </si>
  <si>
    <t>loucura</t>
  </si>
  <si>
    <t># text = Trabalhamos nisso há já 15 anos, mas ainda não está de todo terminado.</t>
  </si>
  <si>
    <t>Trabalhamos</t>
  </si>
  <si>
    <t>já</t>
  </si>
  <si>
    <t>anos</t>
  </si>
  <si>
    <t>indef-np.quant</t>
  </si>
  <si>
    <t>mas</t>
  </si>
  <si>
    <t>todo</t>
  </si>
  <si>
    <t>terminado</t>
  </si>
  <si>
    <t># text = CR: Quando estiver, como será?</t>
  </si>
  <si>
    <t>Quando</t>
  </si>
  <si>
    <t>estiver</t>
  </si>
  <si>
    <t>será</t>
  </si>
  <si>
    <t># text = LP: Bem, acho que, pensando para onde vamos — sabe, porque é que não está feito? — em grande parte é apenas uma grande confusão computacional.</t>
  </si>
  <si>
    <t>acho</t>
  </si>
  <si>
    <t>pensando</t>
  </si>
  <si>
    <t>—</t>
  </si>
  <si>
    <t>sabe</t>
  </si>
  <si>
    <t>feito</t>
  </si>
  <si>
    <t>grande</t>
  </si>
  <si>
    <t>parte</t>
  </si>
  <si>
    <t>apenas</t>
  </si>
  <si>
    <t>confusão</t>
  </si>
  <si>
    <t>SBJ_2</t>
  </si>
  <si>
    <t>computacional</t>
  </si>
  <si>
    <t># text = Sabe, o nosso computador não sabe onde estamos, não sabe o que estamos a fazer, não sabe o que sabemos, e muito do que temos tentado fazer recentemente é apenas pôr os nossos dispositivos a funcionar, fazê-los perceber o nosso contexto.</t>
  </si>
  <si>
    <t>nosso</t>
  </si>
  <si>
    <t>computador</t>
  </si>
  <si>
    <t>pron.pint</t>
  </si>
  <si>
    <t>sabemos</t>
  </si>
  <si>
    <t>temos</t>
  </si>
  <si>
    <t>tentado</t>
  </si>
  <si>
    <t>recentemente</t>
  </si>
  <si>
    <t>nossos</t>
  </si>
  <si>
    <t>dispositivos</t>
  </si>
  <si>
    <t>funcionar</t>
  </si>
  <si>
    <t>fazê</t>
  </si>
  <si>
    <t>los</t>
  </si>
  <si>
    <t>OBJ_7</t>
  </si>
  <si>
    <t>other_8</t>
  </si>
  <si>
    <t>contexto</t>
  </si>
  <si>
    <t>SBJ_7</t>
  </si>
  <si>
    <t># text = A Google Now sabe onde você está, sabe do que pode precisar.</t>
  </si>
  <si>
    <t>A</t>
  </si>
  <si>
    <t>Now</t>
  </si>
  <si>
    <t>pode</t>
  </si>
  <si>
    <t># text = Na realidade, fazer com que os computadores funcionem e nos percebam e percebam essa informação isso ainda não fizemos.</t>
  </si>
  <si>
    <t>Em</t>
  </si>
  <si>
    <t>com</t>
  </si>
  <si>
    <t>computadores</t>
  </si>
  <si>
    <t>funcionem</t>
  </si>
  <si>
    <t>percebam</t>
  </si>
  <si>
    <t>essa</t>
  </si>
  <si>
    <t>fizemos</t>
  </si>
  <si>
    <t># text = Ainda está muito, muito imperfeito.</t>
  </si>
  <si>
    <t>Ainda</t>
  </si>
  <si>
    <t>imperfeito</t>
  </si>
  <si>
    <t># text = CR: Diga-me, quando olha para o que a Google está a fazer, onde se encaixa a Deep Mind ?</t>
  </si>
  <si>
    <t>Diga</t>
  </si>
  <si>
    <t>olha</t>
  </si>
  <si>
    <t>se</t>
  </si>
  <si>
    <t>encaixa</t>
  </si>
  <si>
    <t>Deep</t>
  </si>
  <si>
    <t>Mind</t>
  </si>
  <si>
    <t># text = LP: A Deep Mind é uma empresa que adquirimos recentemente.</t>
  </si>
  <si>
    <t>empresa</t>
  </si>
  <si>
    <t>adquirimos</t>
  </si>
  <si>
    <t># text = Situa-se no Reino Unido.</t>
  </si>
  <si>
    <t>Situa</t>
  </si>
  <si>
    <t>Reino</t>
  </si>
  <si>
    <t>Unido</t>
  </si>
  <si>
    <t># text = Primeiro, deixe-me dizer-lhe como chegámos lá, foi olhando para a pesquisa e percebendo realmente, tentando perceber tudo, e tentar fazer os computadores menos imperfeitos e perceberem-nos realmente — por exemplo, a voz era realmente importante.</t>
  </si>
  <si>
    <t>Primeiro</t>
  </si>
  <si>
    <t>deixe</t>
  </si>
  <si>
    <t>lhe</t>
  </si>
  <si>
    <t>chegámos</t>
  </si>
  <si>
    <t>lá</t>
  </si>
  <si>
    <t>foi</t>
  </si>
  <si>
    <t>olhando</t>
  </si>
  <si>
    <t>percebendo</t>
  </si>
  <si>
    <t>tentando</t>
  </si>
  <si>
    <t>tudo</t>
  </si>
  <si>
    <t>tentar</t>
  </si>
  <si>
    <t>menos</t>
  </si>
  <si>
    <t>imperfeitos</t>
  </si>
  <si>
    <t>perceberem</t>
  </si>
  <si>
    <t>nos</t>
  </si>
  <si>
    <t>por</t>
  </si>
  <si>
    <t>exemplo</t>
  </si>
  <si>
    <t>voz</t>
  </si>
  <si>
    <t>era</t>
  </si>
  <si>
    <t>importante</t>
  </si>
  <si>
    <t># text = Então, qual é o estado da arte no reconhecimento da voz?</t>
  </si>
  <si>
    <t>qual</t>
  </si>
  <si>
    <t>arte</t>
  </si>
  <si>
    <t>reconhecimento</t>
  </si>
  <si>
    <t># text = Não é muito bom.</t>
  </si>
  <si>
    <t>Não</t>
  </si>
  <si>
    <t># text = Não nos entende realmente.</t>
  </si>
  <si>
    <t># text = Iniciámos pesquisas sobre a aprendizagem automática para o melhorar.</t>
  </si>
  <si>
    <t>Iniciámos</t>
  </si>
  <si>
    <t>pesquisas</t>
  </si>
  <si>
    <t>aprendizagem</t>
  </si>
  <si>
    <t>automática</t>
  </si>
  <si>
    <t>melhorar</t>
  </si>
  <si>
    <t># text = Isso ajudou bastante.</t>
  </si>
  <si>
    <t>Isso</t>
  </si>
  <si>
    <t>ajudou</t>
  </si>
  <si>
    <t>bastante</t>
  </si>
  <si>
    <t># text = E começámos a olhar para coisas como o YouTube.</t>
  </si>
  <si>
    <t>começámos</t>
  </si>
  <si>
    <t>olhar</t>
  </si>
  <si>
    <t>coisas</t>
  </si>
  <si>
    <t>YouTube</t>
  </si>
  <si>
    <t># text = Podemos perceber o YouTube?</t>
  </si>
  <si>
    <t>Podemos</t>
  </si>
  <si>
    <t># text = Executámos a aprendizagem automática no YouTube e ele descobriu gatos, sozinho.</t>
  </si>
  <si>
    <t>Executámos</t>
  </si>
  <si>
    <t>descobriu</t>
  </si>
  <si>
    <t>gatos</t>
  </si>
  <si>
    <t>sozinho</t>
  </si>
  <si>
    <t># text = É um conceito importante.</t>
  </si>
  <si>
    <t>É</t>
  </si>
  <si>
    <t>conceito</t>
  </si>
  <si>
    <t># text = Percebemos que há algo aqui.</t>
  </si>
  <si>
    <t>Percebemos</t>
  </si>
  <si>
    <t>aqui</t>
  </si>
  <si>
    <t># text = Se aprendemos o que são gatos, isso deve ser muito importante.</t>
  </si>
  <si>
    <t>Se</t>
  </si>
  <si>
    <t>aprendemos</t>
  </si>
  <si>
    <t>são</t>
  </si>
  <si>
    <t>deve</t>
  </si>
  <si>
    <t># text = Penso que a Deep Mind, o que é realmente extraordinário na Deep Mind é que consegue realmente... ... estão a aprender coisas deste modo sem supervisão.</t>
  </si>
  <si>
    <t>Penso</t>
  </si>
  <si>
    <t>extraordinário</t>
  </si>
  <si>
    <t>consegue</t>
  </si>
  <si>
    <t>este</t>
  </si>
  <si>
    <t>modo</t>
  </si>
  <si>
    <t>sem</t>
  </si>
  <si>
    <t>supervisão</t>
  </si>
  <si>
    <t># text = Começaram com jogos de vídeo, — talvez possa mostrar o vídeo — apenas a jogar jogos de vídeo, e a aprender como o fazer automaticamente.</t>
  </si>
  <si>
    <t>Começaram</t>
  </si>
  <si>
    <t>jogos</t>
  </si>
  <si>
    <t>vídeo</t>
  </si>
  <si>
    <t>talvez</t>
  </si>
  <si>
    <t>possa</t>
  </si>
  <si>
    <t>mostrar</t>
  </si>
  <si>
    <t>jogar</t>
  </si>
  <si>
    <t>automaticamente</t>
  </si>
  <si>
    <t># text = CR: Reparem nos jogos de vídeo e como as máquinas estão a conseguir fazer coisas notáveis.</t>
  </si>
  <si>
    <t>Reparem</t>
  </si>
  <si>
    <t>máquinas</t>
  </si>
  <si>
    <t>notáveis</t>
  </si>
  <si>
    <t># text = LP: O extraordinário acerca disto é que, obviamente, trata-se de jogos antigos, mas o sistema só vê o mesmo que nós, os píxeis, e tem os controlos e a pontuação e aprendeu a jogar todos estes jogos, o mesmo programa.</t>
  </si>
  <si>
    <t>acerca</t>
  </si>
  <si>
    <t>isto</t>
  </si>
  <si>
    <t>obviamente</t>
  </si>
  <si>
    <t>trata</t>
  </si>
  <si>
    <t>antigos</t>
  </si>
  <si>
    <t>sistema</t>
  </si>
  <si>
    <t>só</t>
  </si>
  <si>
    <t>vê</t>
  </si>
  <si>
    <t>píxeis</t>
  </si>
  <si>
    <t>controlos</t>
  </si>
  <si>
    <t>pontuação</t>
  </si>
  <si>
    <t>other_10</t>
  </si>
  <si>
    <t>aprendeu</t>
  </si>
  <si>
    <t>estes</t>
  </si>
  <si>
    <t>OBJ_8</t>
  </si>
  <si>
    <t>programa</t>
  </si>
  <si>
    <t>other_9</t>
  </si>
  <si>
    <t># text = Aprendeu a jogar todos estes jogos, com um desempenho sobre-humano.</t>
  </si>
  <si>
    <t>Aprendeu</t>
  </si>
  <si>
    <t>desempenho</t>
  </si>
  <si>
    <t>sobre-humano</t>
  </si>
  <si>
    <t># text = Nunca tínhamos conseguido fazer coisas destas com computadores.</t>
  </si>
  <si>
    <t>Nunca</t>
  </si>
  <si>
    <t>tínhamos</t>
  </si>
  <si>
    <t>conseguido</t>
  </si>
  <si>
    <t>estas</t>
  </si>
  <si>
    <t># text = Talvez comente apenas este, rapidamente.</t>
  </si>
  <si>
    <t>Talvez</t>
  </si>
  <si>
    <t>rapidamente</t>
  </si>
  <si>
    <t># text = É boxe, e descobre que consegue deitar o oponente ao chão.</t>
  </si>
  <si>
    <t>boxe</t>
  </si>
  <si>
    <t>descobre</t>
  </si>
  <si>
    <t>deitar</t>
  </si>
  <si>
    <t>oponente</t>
  </si>
  <si>
    <t>chão</t>
  </si>
  <si>
    <t># text = O computador está à esquerda, e está a somar pontos.</t>
  </si>
  <si>
    <t>esquerda</t>
  </si>
  <si>
    <t>somar</t>
  </si>
  <si>
    <t># text = Imagine se esta inteligência fosse aplicada na nossa agenda, ou em necessidades de informação, ou coisas dessas.</t>
  </si>
  <si>
    <t>Imagine</t>
  </si>
  <si>
    <t>inteligência</t>
  </si>
  <si>
    <t>fosse</t>
  </si>
  <si>
    <t>aplicada</t>
  </si>
  <si>
    <t>agenda</t>
  </si>
  <si>
    <t>ou</t>
  </si>
  <si>
    <t>necessidades</t>
  </si>
  <si>
    <t>essas</t>
  </si>
  <si>
    <t># text = Estamos mesmo no início disto e é isso que me entusiasma.</t>
  </si>
  <si>
    <t>Estamos</t>
  </si>
  <si>
    <t>início</t>
  </si>
  <si>
    <t>entusiasma</t>
  </si>
  <si>
    <t># text = CR: Quando olhamos para tudo o que aconteceu com a Deep Mind e o boxe, uma parte do nosso objectivo é também a inteligência artificial.</t>
  </si>
  <si>
    <t>olhamos</t>
  </si>
  <si>
    <t>aconteceu</t>
  </si>
  <si>
    <t>other_7</t>
  </si>
  <si>
    <t>objectivo</t>
  </si>
  <si>
    <t>artificial</t>
  </si>
  <si>
    <t># text = Onde estamos, em relação a isso?</t>
  </si>
  <si>
    <t>Onde</t>
  </si>
  <si>
    <t>relação</t>
  </si>
  <si>
    <t># text = LP: Bom, para mim, é uma das coisas mais excitantes que tenho visto desde há muito tempo.</t>
  </si>
  <si>
    <t>mim</t>
  </si>
  <si>
    <t>excitantes</t>
  </si>
  <si>
    <t>visto</t>
  </si>
  <si>
    <t>desde</t>
  </si>
  <si>
    <t># text = O indivíduo que começou esta empresa, Demis, tem formação em neurociência e computadores.</t>
  </si>
  <si>
    <t>Demis</t>
  </si>
  <si>
    <t>formação</t>
  </si>
  <si>
    <t>neurociência</t>
  </si>
  <si>
    <t># text = Ele voltou à escola para fazer o doutoramento, para estudar o cérebro.</t>
  </si>
  <si>
    <t>Ele</t>
  </si>
  <si>
    <t>voltou</t>
  </si>
  <si>
    <t>escola</t>
  </si>
  <si>
    <t>doutoramento</t>
  </si>
  <si>
    <t>estudar</t>
  </si>
  <si>
    <t>cérebro</t>
  </si>
  <si>
    <t># text = Por isso, penso que estamos a ver muito trabalho excitante neste tipo de cruzamento entre computadores e neurociência no que se refere a perceber realmente o que é necessário para tornar algo mais inteligente e fazer coisas mesmo interessantes.</t>
  </si>
  <si>
    <t>Por</t>
  </si>
  <si>
    <t>ver</t>
  </si>
  <si>
    <t>trabalho</t>
  </si>
  <si>
    <t>excitante</t>
  </si>
  <si>
    <t>tipo</t>
  </si>
  <si>
    <t>cruzamento</t>
  </si>
  <si>
    <t>entre</t>
  </si>
  <si>
    <t>refere</t>
  </si>
  <si>
    <t>SBJ_10</t>
  </si>
  <si>
    <t>necessário</t>
  </si>
  <si>
    <t>tornar</t>
  </si>
  <si>
    <t>OBJ_11</t>
  </si>
  <si>
    <t>inteligente</t>
  </si>
  <si>
    <t>OBJ_12</t>
  </si>
  <si>
    <t># text = CR: Mas em que nível está agora?</t>
  </si>
  <si>
    <t>nível</t>
  </si>
  <si>
    <t>agora</t>
  </si>
  <si>
    <t># text = Qual a velocidade a que vamos?</t>
  </si>
  <si>
    <t>Qual</t>
  </si>
  <si>
    <t># text = LP: Bem, isto é o estado da arte neste momento, perceber os gatos no YouTube e coisas do género, melhorar o reconhecimento de voz.</t>
  </si>
  <si>
    <t>momento</t>
  </si>
  <si>
    <t>género</t>
  </si>
  <si>
    <t># text = Usámos bastante a aprendizagem automática para melhorar as coisas gradualmente, mas penso que este exemplo é realmente excitante, porque é um programa que consegue fazer muitas coisas.</t>
  </si>
  <si>
    <t>Usámos</t>
  </si>
  <si>
    <t>gradualmente</t>
  </si>
  <si>
    <t>muitas</t>
  </si>
  <si>
    <t># text = CR: Não sei se podemos fazer isto, mas temos a imagem de um gato.</t>
  </si>
  <si>
    <t>sei</t>
  </si>
  <si>
    <t>podemos</t>
  </si>
  <si>
    <t>imagem</t>
  </si>
  <si>
    <t>gato</t>
  </si>
  <si>
    <t># text = Seria maravilhoso ver isto.</t>
  </si>
  <si>
    <t>Seria</t>
  </si>
  <si>
    <t>maravilhoso</t>
  </si>
  <si>
    <t># text = Esta é a forma como as máquinas olhavam para os gatos e aquilo a que chegaram.</t>
  </si>
  <si>
    <t>Esta</t>
  </si>
  <si>
    <t>forma</t>
  </si>
  <si>
    <t>olhavam</t>
  </si>
  <si>
    <t>aquilo</t>
  </si>
  <si>
    <t>chegaram</t>
  </si>
  <si>
    <t># text = Consegue ver essa imagem?</t>
  </si>
  <si>
    <t>Consegue</t>
  </si>
  <si>
    <t># text = LP: Sim.</t>
  </si>
  <si>
    <t>Sim</t>
  </si>
  <si>
    <t># text = CR:</t>
  </si>
  <si>
    <t># text = Cá está.</t>
  </si>
  <si>
    <t>Cá</t>
  </si>
  <si>
    <t># text = Conseguem ver o gato?</t>
  </si>
  <si>
    <t>Conseguem</t>
  </si>
  <si>
    <t># text = Desenhado por máquinas, visto por máquinas.</t>
  </si>
  <si>
    <t>Desenhado</t>
  </si>
  <si>
    <t># text = LP: Isso mesmo.</t>
  </si>
  <si>
    <t># text = Isto foi aprendido apenas vendo o YouTube.</t>
  </si>
  <si>
    <t>Isto</t>
  </si>
  <si>
    <t>aprendido</t>
  </si>
  <si>
    <t>vendo</t>
  </si>
  <si>
    <t># text = E sem treino, sem noção de gato, mas este conceito de gato é algo importante que devíamos entender, e agora que as máquinas conseguem como que perceber.</t>
  </si>
  <si>
    <t>treino</t>
  </si>
  <si>
    <t>devíamos</t>
  </si>
  <si>
    <t>entender</t>
  </si>
  <si>
    <t>conseguem</t>
  </si>
  <si>
    <t># text = Talvez apenas terminar também na parte da pesquisa, começou com a pesquisa, perceber realmente o contexto das pessoas e a sua informação.</t>
  </si>
  <si>
    <t>terminar</t>
  </si>
  <si>
    <t># text = Eu tinha um vídeo que queria mostrar rapidamente sobre o que realmente encontrámos.</t>
  </si>
  <si>
    <t>tinha</t>
  </si>
  <si>
    <t>queria</t>
  </si>
  <si>
    <t>encontrámos</t>
  </si>
  <si>
    <t># text = (Vídeo) [Canção: \"Soy, Kenya\" ] Zack Matere:</t>
  </si>
  <si>
    <t>[</t>
  </si>
  <si>
    <t>Canção</t>
  </si>
  <si>
    <t>Soy</t>
  </si>
  <si>
    <t>Kenya</t>
  </si>
  <si>
    <t>]</t>
  </si>
  <si>
    <t>Zack</t>
  </si>
  <si>
    <t>Matere</t>
  </si>
  <si>
    <t># text = Há pouco tempo, plantei uns rebentos de batatas.</t>
  </si>
  <si>
    <t>Há</t>
  </si>
  <si>
    <t>plantei</t>
  </si>
  <si>
    <t>uns</t>
  </si>
  <si>
    <t>rebentos</t>
  </si>
  <si>
    <t>batatas</t>
  </si>
  <si>
    <t># text = De repente, começaram a morrer uns atrás dos outros.</t>
  </si>
  <si>
    <t>De</t>
  </si>
  <si>
    <t>repente</t>
  </si>
  <si>
    <t>começaram</t>
  </si>
  <si>
    <t>morrer</t>
  </si>
  <si>
    <t>atrás</t>
  </si>
  <si>
    <t>outros</t>
  </si>
  <si>
    <t># text = Procurei nos livros mas não diziam muito.</t>
  </si>
  <si>
    <t>Procurei</t>
  </si>
  <si>
    <t>livros</t>
  </si>
  <si>
    <t>diziam</t>
  </si>
  <si>
    <t># text = Então fiz uma pesquisa.</t>
  </si>
  <si>
    <t>fiz</t>
  </si>
  <si>
    <t># text = Zack Matere, agricultor "doenças das batatas" Um dos "websites" disse-me que as formigas podiam ser o problema.</t>
  </si>
  <si>
    <t>agricultor</t>
  </si>
  <si>
    <t>doenças</t>
  </si>
  <si>
    <t>def-np.quant</t>
  </si>
  <si>
    <t>Um</t>
  </si>
  <si>
    <t>&amp;quot;websites</t>
  </si>
  <si>
    <t>formigas</t>
  </si>
  <si>
    <t>podiam</t>
  </si>
  <si>
    <t>problema</t>
  </si>
  <si>
    <t># text = Dizia: \"Espalhe cinza de madeira sobre as plantas\".</t>
  </si>
  <si>
    <t>Dizia</t>
  </si>
  <si>
    <t>Espalhe</t>
  </si>
  <si>
    <t>cinza</t>
  </si>
  <si>
    <t>madeira</t>
  </si>
  <si>
    <t>plantas</t>
  </si>
  <si>
    <t># text = Após alguns dias as formigas desapareceram.</t>
  </si>
  <si>
    <t>Após</t>
  </si>
  <si>
    <t>alguns</t>
  </si>
  <si>
    <t>dias</t>
  </si>
  <si>
    <t>desapareceram</t>
  </si>
  <si>
    <t># text = Fiquei entusiasmado com a Internet.</t>
  </si>
  <si>
    <t>entusiasmado</t>
  </si>
  <si>
    <t># text = Tenho um amigo que gostaria mesmo de expandir o seu negócio.</t>
  </si>
  <si>
    <t>Tenho</t>
  </si>
  <si>
    <t>amigo</t>
  </si>
  <si>
    <t>gostaria</t>
  </si>
  <si>
    <t>expandir</t>
  </si>
  <si>
    <t>seu</t>
  </si>
  <si>
    <t>negócio</t>
  </si>
  <si>
    <t># text = Fui com ele a um ciber café e visitámos vários "sites".</t>
  </si>
  <si>
    <t>Fui</t>
  </si>
  <si>
    <t>ciber</t>
  </si>
  <si>
    <t>café</t>
  </si>
  <si>
    <t>visitámos</t>
  </si>
  <si>
    <t>vários</t>
  </si>
  <si>
    <t>sites</t>
  </si>
  <si>
    <t># text = Quando o encontrei de novo, ele ia pôr um moinho de vento na escola local.</t>
  </si>
  <si>
    <t>encontrei</t>
  </si>
  <si>
    <t>novo</t>
  </si>
  <si>
    <t>ia</t>
  </si>
  <si>
    <t>moinho</t>
  </si>
  <si>
    <t>vento</t>
  </si>
  <si>
    <t>local</t>
  </si>
  <si>
    <t># text = Senti-me orgulhoso, porque algo que não estava ali antes estava ali, de repente.</t>
  </si>
  <si>
    <t>Senti</t>
  </si>
  <si>
    <t>orgulhoso</t>
  </si>
  <si>
    <t>estava</t>
  </si>
  <si>
    <t>ali</t>
  </si>
  <si>
    <t>antes</t>
  </si>
  <si>
    <t># text = Percebi que nem toda a gente tem acesso ao mesmo que eu.</t>
  </si>
  <si>
    <t>Percebi</t>
  </si>
  <si>
    <t>nem</t>
  </si>
  <si>
    <t>toda</t>
  </si>
  <si>
    <t>gente</t>
  </si>
  <si>
    <t>acesso</t>
  </si>
  <si>
    <t># text = Pensei que tinha que ter uma Internet que a minha avó possa usar.</t>
  </si>
  <si>
    <t>Pensei</t>
  </si>
  <si>
    <t>avó</t>
  </si>
  <si>
    <t># text = Pensei num painel informativo.</t>
  </si>
  <si>
    <t>informativo</t>
  </si>
  <si>
    <t># text = Um simples painel informativo de madeira.</t>
  </si>
  <si>
    <t>simples</t>
  </si>
  <si>
    <t># text = Quando tenho informação no meu telefone, posso colocar essa informação no painel informativo.</t>
  </si>
  <si>
    <t>meu</t>
  </si>
  <si>
    <t>telefone</t>
  </si>
  <si>
    <t>posso</t>
  </si>
  <si>
    <t>colocar</t>
  </si>
  <si>
    <t># text = É basicamente como um computador.</t>
  </si>
  <si>
    <t># text = Uso a Internet para ajudar as pessoas.</t>
  </si>
  <si>
    <t>Uso</t>
  </si>
  <si>
    <t># text = Penso que procuro uma vida melhor, para mim e para os meus vizinhos.</t>
  </si>
  <si>
    <t>procuro</t>
  </si>
  <si>
    <t>vida</t>
  </si>
  <si>
    <t>melhor</t>
  </si>
  <si>
    <t>meus</t>
  </si>
  <si>
    <t>vizinhos</t>
  </si>
  <si>
    <t># text = Muita gente tem acesso à informação, mas depois não há seguimento.</t>
  </si>
  <si>
    <t>Muita</t>
  </si>
  <si>
    <t>depois</t>
  </si>
  <si>
    <t>seguimento</t>
  </si>
  <si>
    <t># text = Penso que o seguimento é o nosso conhecimento.</t>
  </si>
  <si>
    <t>conhecimento</t>
  </si>
  <si>
    <t># text = Quando as pessoas têm conhecimento, conseguem encontrar soluções sem terem de ser ajudadas.</t>
  </si>
  <si>
    <t>têm</t>
  </si>
  <si>
    <t>encontrar</t>
  </si>
  <si>
    <t>soluções</t>
  </si>
  <si>
    <t>terem</t>
  </si>
  <si>
    <t>ajudadas</t>
  </si>
  <si>
    <t># text = A informação é poderosa, mas é o modo como a usamos que nos definirá.</t>
  </si>
  <si>
    <t>poderosa</t>
  </si>
  <si>
    <t>usamos</t>
  </si>
  <si>
    <t>definirá</t>
  </si>
  <si>
    <t># text = (Aplausos) LP:</t>
  </si>
  <si>
    <t>Aplausos</t>
  </si>
  <si>
    <t># text = O extraordinário neste vídeo era que tínhamos acabado de ler nas notícias, e aparece este senhor... CR: Sim.</t>
  </si>
  <si>
    <t>acabado</t>
  </si>
  <si>
    <t>ler</t>
  </si>
  <si>
    <t>notícias</t>
  </si>
  <si>
    <t>aparece</t>
  </si>
  <si>
    <t>senhor</t>
  </si>
  <si>
    <t># text = LP: ... E fez este pequeno filme.</t>
  </si>
  <si>
    <t>fez</t>
  </si>
  <si>
    <t>pequeno</t>
  </si>
  <si>
    <t>filme</t>
  </si>
  <si>
    <t># text = CR: Quando falo de si às pessoas, dizem-me, quem o conhece bem, dizem que o Larry quer mudar o mundo, e pensa que a tecnologia pode indicar o caminho.</t>
  </si>
  <si>
    <t>falo</t>
  </si>
  <si>
    <t>si</t>
  </si>
  <si>
    <t>quem</t>
  </si>
  <si>
    <t>conhece</t>
  </si>
  <si>
    <t>quer</t>
  </si>
  <si>
    <t>mudar</t>
  </si>
  <si>
    <t>mundo</t>
  </si>
  <si>
    <t>pensa</t>
  </si>
  <si>
    <t>tecnologia</t>
  </si>
  <si>
    <t>indicar</t>
  </si>
  <si>
    <t>caminho</t>
  </si>
  <si>
    <t># text = E isso significa acesso à Internet.</t>
  </si>
  <si>
    <t>significa</t>
  </si>
  <si>
    <t># text = Tem a ver com os idiomas.</t>
  </si>
  <si>
    <t>Tem</t>
  </si>
  <si>
    <t>idiomas</t>
  </si>
  <si>
    <t># text = Também significa como as pessoas podem ter acesso e fazer coisas que afectarão a sua comunidade, e isto é um exemplo.</t>
  </si>
  <si>
    <t>Também</t>
  </si>
  <si>
    <t>podem</t>
  </si>
  <si>
    <t>afectarão</t>
  </si>
  <si>
    <t>comunidade</t>
  </si>
  <si>
    <t># text = LP: Sim, é certo, e eu penso...</t>
  </si>
  <si>
    <t>certo</t>
  </si>
  <si>
    <t># text = Tenho-me concentrado num acesso maior, se estamos a falar do futuro.</t>
  </si>
  <si>
    <t>concentrado</t>
  </si>
  <si>
    <t>maior</t>
  </si>
  <si>
    <t># text = Recentemente apresentámos o Projecto Loon que usa balões para fazer isso.</t>
  </si>
  <si>
    <t>Recentemente</t>
  </si>
  <si>
    <t>apresentámos</t>
  </si>
  <si>
    <t>Projecto</t>
  </si>
  <si>
    <t>Loon</t>
  </si>
  <si>
    <t>usa</t>
  </si>
  <si>
    <t>balões</t>
  </si>
  <si>
    <t># text = Parece uma loucura total.</t>
  </si>
  <si>
    <t>Parece</t>
  </si>
  <si>
    <t>total</t>
  </si>
  <si>
    <t># text = Podemos mostrar o vídeo aqui.</t>
  </si>
  <si>
    <t># text = Duas em cada três pessoas, no mundo, não têm bom acesso à Internet, neste momento.</t>
  </si>
  <si>
    <t>Duas</t>
  </si>
  <si>
    <t>cada</t>
  </si>
  <si>
    <t>três</t>
  </si>
  <si>
    <t># text = Pensamos que isto pode mesmo ajudar as pessoas de um modo eficiente.</t>
  </si>
  <si>
    <t>Pensamos</t>
  </si>
  <si>
    <t>eficiente</t>
  </si>
  <si>
    <t># text = É um balão!</t>
  </si>
  <si>
    <t>balão</t>
  </si>
  <si>
    <t>!</t>
  </si>
  <si>
    <t># text = LP:</t>
  </si>
  <si>
    <t># text = É, acede à Internet.</t>
  </si>
  <si>
    <t>acede</t>
  </si>
  <si>
    <t># text = CR: E porque é que este balão nos dá acesso à Internet?</t>
  </si>
  <si>
    <t>dá</t>
  </si>
  <si>
    <t># text = Porque havia algumas coisas interessantes que tinha que fazer para descobrir como tornar possíveis os balões, não precisavam de estar amarrados.</t>
  </si>
  <si>
    <t>Porque</t>
  </si>
  <si>
    <t>havia</t>
  </si>
  <si>
    <t>algumas</t>
  </si>
  <si>
    <t>descobrir</t>
  </si>
  <si>
    <t>possíveis</t>
  </si>
  <si>
    <t>precisavam</t>
  </si>
  <si>
    <t>amarrados</t>
  </si>
  <si>
    <t># text = LP: Sim, e isto é um bom exemplo de inovação.</t>
  </si>
  <si>
    <t>inovação</t>
  </si>
  <si>
    <t># text = Já pensávamos nesta ideia há cinco anos ou mais antes de começarmos a trabalhar nela, mas, na realidade era apenas, como conseguimos pontos de acesso baratos, lá em cima?</t>
  </si>
  <si>
    <t>Já</t>
  </si>
  <si>
    <t>pensávamos</t>
  </si>
  <si>
    <t>ideia</t>
  </si>
  <si>
    <t>cinco</t>
  </si>
  <si>
    <t>começarmos</t>
  </si>
  <si>
    <t>trabalhar</t>
  </si>
  <si>
    <t>ela</t>
  </si>
  <si>
    <t>conseguimos</t>
  </si>
  <si>
    <t>baratos</t>
  </si>
  <si>
    <t>cima</t>
  </si>
  <si>
    <t># text = Normalmente temos que usar satélites e demora muito tempo lançá-los.</t>
  </si>
  <si>
    <t>Normalmente</t>
  </si>
  <si>
    <t>satélites</t>
  </si>
  <si>
    <t>demora</t>
  </si>
  <si>
    <t>lançá</t>
  </si>
  <si>
    <t># text = Mas vimos como é fácil lançar um balão e fazê-lo subir, e novamente é o poder da Internet, fiz uma pesquisa, e descobri que, há 30 ou 40 anos, alguém tinha feito subir um balão que deu a volta à Terra várias vezes.</t>
  </si>
  <si>
    <t>vimos</t>
  </si>
  <si>
    <t>fácil</t>
  </si>
  <si>
    <t>lançar</t>
  </si>
  <si>
    <t>lo</t>
  </si>
  <si>
    <t>subir</t>
  </si>
  <si>
    <t>novamente</t>
  </si>
  <si>
    <t>descobri</t>
  </si>
  <si>
    <t>alguém</t>
  </si>
  <si>
    <t>deu</t>
  </si>
  <si>
    <t>volta</t>
  </si>
  <si>
    <t>Terra</t>
  </si>
  <si>
    <t>várias</t>
  </si>
  <si>
    <t>vezes</t>
  </si>
  <si>
    <t># text = E pensei, porque é que não podemos fazer isso hoje?</t>
  </si>
  <si>
    <t>pensei</t>
  </si>
  <si>
    <t>hoje</t>
  </si>
  <si>
    <t># text = E foi assim que este projecto começou.</t>
  </si>
  <si>
    <t>assim</t>
  </si>
  <si>
    <t>projecto</t>
  </si>
  <si>
    <t># text = CR: Mas não fica à mercê do vento?</t>
  </si>
  <si>
    <t>fica</t>
  </si>
  <si>
    <t>mercê</t>
  </si>
  <si>
    <t># text = LP: Sim, mas depois, fizemos simulações de tempo o que provavelmente nunca tinha sido feito e, se controlarmos a altitude dos balões, o que se consegue injectando-lhes ar ou por outras formas, conseguimos controlar de certo modo para onde vão, e assim penso que conseguimos criar uma rede mundial destes balões que podem cobrir todo o planeta.</t>
  </si>
  <si>
    <t>simulações</t>
  </si>
  <si>
    <t>provavelmente</t>
  </si>
  <si>
    <t>nunca</t>
  </si>
  <si>
    <t>sido</t>
  </si>
  <si>
    <t>controlarmos</t>
  </si>
  <si>
    <t>altitude</t>
  </si>
  <si>
    <t>SBJ_9</t>
  </si>
  <si>
    <t>injectando</t>
  </si>
  <si>
    <t>lhes</t>
  </si>
  <si>
    <t>OBJ_10</t>
  </si>
  <si>
    <t>ar</t>
  </si>
  <si>
    <t>outras</t>
  </si>
  <si>
    <t>formas</t>
  </si>
  <si>
    <t>other_11</t>
  </si>
  <si>
    <t>controlar</t>
  </si>
  <si>
    <t>vão</t>
  </si>
  <si>
    <t>criar</t>
  </si>
  <si>
    <t>rede</t>
  </si>
  <si>
    <t>other_12</t>
  </si>
  <si>
    <t>SBJ_15</t>
  </si>
  <si>
    <t>cobrir</t>
  </si>
  <si>
    <t>planeta</t>
  </si>
  <si>
    <t>OBJ_15</t>
  </si>
  <si>
    <t># text = CR: Antes de falar do futuro e dos transportes, em que foi um crânio durante algum tempo, e este fascínio que tem por transportes e carros automáticos e bicicletas, deixe-me falar um pouco sobre o que foi o assunto anteriormente com Edward Snowden.</t>
  </si>
  <si>
    <t>Antes</t>
  </si>
  <si>
    <t>transportes</t>
  </si>
  <si>
    <t>crânio</t>
  </si>
  <si>
    <t>durante</t>
  </si>
  <si>
    <t>fascínio</t>
  </si>
  <si>
    <t>carros</t>
  </si>
  <si>
    <t>automáticos</t>
  </si>
  <si>
    <t>bicicletas</t>
  </si>
  <si>
    <t>assunto</t>
  </si>
  <si>
    <t>anteriormente</t>
  </si>
  <si>
    <t>Edward</t>
  </si>
  <si>
    <t>Snowden</t>
  </si>
  <si>
    <t># text = É sobre segurança e privacidade.</t>
  </si>
  <si>
    <t>segurança</t>
  </si>
  <si>
    <t># text = Deve ter andado a pensar sobre isto.</t>
  </si>
  <si>
    <t>Deve</t>
  </si>
  <si>
    <t>andado</t>
  </si>
  <si>
    <t># text = Sim, sem dúvida nenhuma.</t>
  </si>
  <si>
    <t>nenhuma</t>
  </si>
  <si>
    <t># text = Ontem vi a foto do Sergey com o Edward Snowden.</t>
  </si>
  <si>
    <t>Ontem</t>
  </si>
  <si>
    <t>vi</t>
  </si>
  <si>
    <t>foto</t>
  </si>
  <si>
    <t>Sergey</t>
  </si>
  <si>
    <t># text = Alguns de vocês devem tê-la visto.</t>
  </si>
  <si>
    <t>Alguns</t>
  </si>
  <si>
    <t>devem</t>
  </si>
  <si>
    <t>tê</t>
  </si>
  <si>
    <t># text = Quanto a mim, penso que, privacidade e segurança são coisas muito importantes.</t>
  </si>
  <si>
    <t>Quanto</t>
  </si>
  <si>
    <t>importantes</t>
  </si>
  <si>
    <t># text = Pensamos nisso em função das duas coisas, e penso que não podemos ter privacidade sem segurança, por isso, deixe-me falar primeiro sobre segurança, porque perguntou sobre Snowden e tudo isso, e depois direi qualquer coisa sobre privacidade.</t>
  </si>
  <si>
    <t>função</t>
  </si>
  <si>
    <t>duas</t>
  </si>
  <si>
    <t>primeiro</t>
  </si>
  <si>
    <t>perguntou</t>
  </si>
  <si>
    <t>direi</t>
  </si>
  <si>
    <t>qualquer</t>
  </si>
  <si>
    <t># text = Penso que é tremendamente decepcionante que o governo tenha feito tudo isto secretamente e não nos tenha dito nada.</t>
  </si>
  <si>
    <t>tremendamente</t>
  </si>
  <si>
    <t>decepcionante</t>
  </si>
  <si>
    <t>governo</t>
  </si>
  <si>
    <t>tenha</t>
  </si>
  <si>
    <t>secretamente</t>
  </si>
  <si>
    <t>dito</t>
  </si>
  <si>
    <t>nada</t>
  </si>
  <si>
    <t># text = Penso que não podemos ter uma democracia se temos que nos proteger e aos nossos utilizadores do governo por coisas de que nunca falámos.</t>
  </si>
  <si>
    <t>democracia</t>
  </si>
  <si>
    <t>proteger</t>
  </si>
  <si>
    <t>utilizadores</t>
  </si>
  <si>
    <t>falámos</t>
  </si>
  <si>
    <t># text = E não estou a dizer que temos que saber qual o ataque terrorista em particular de que nos querem proteger, mas temos que saber quais são os seus parâmetros, que tipo de vigilância irá o governo fazer, como e porquê, e acho que não tivemos essa conversa.</t>
  </si>
  <si>
    <t>estou</t>
  </si>
  <si>
    <t>ataque</t>
  </si>
  <si>
    <t>terrorista</t>
  </si>
  <si>
    <t>particular</t>
  </si>
  <si>
    <t>querem</t>
  </si>
  <si>
    <t>quais</t>
  </si>
  <si>
    <t>seus</t>
  </si>
  <si>
    <t>parâmetros</t>
  </si>
  <si>
    <t>vigilância</t>
  </si>
  <si>
    <t>irá</t>
  </si>
  <si>
    <t>porquê</t>
  </si>
  <si>
    <t>tivemos</t>
  </si>
  <si>
    <t># text = Por isso acho que o governo, na verdade, prestou a si mesmo um péssimo serviço fazendo tudo em segredo.</t>
  </si>
  <si>
    <t>verdade</t>
  </si>
  <si>
    <t>prestou</t>
  </si>
  <si>
    <t>péssimo</t>
  </si>
  <si>
    <t>serviço</t>
  </si>
  <si>
    <t>fazendo</t>
  </si>
  <si>
    <t>segredo</t>
  </si>
  <si>
    <t># text = CR: Nunca ter ido à Google perguntar alguma coisa.</t>
  </si>
  <si>
    <t>ido</t>
  </si>
  <si>
    <t>perguntar</t>
  </si>
  <si>
    <t>alguma</t>
  </si>
  <si>
    <t># text = LP: À Google não, mas ao público.</t>
  </si>
  <si>
    <t>público</t>
  </si>
  <si>
    <t># text = Penso que temos que ter um debate sobre isso, ou não podemos ter uma democracia que funcione.</t>
  </si>
  <si>
    <t>debate</t>
  </si>
  <si>
    <t>funcione</t>
  </si>
  <si>
    <t># text = Simplesmente não é possível.</t>
  </si>
  <si>
    <t>Simplesmente</t>
  </si>
  <si>
    <t>possível</t>
  </si>
  <si>
    <t># text = Por isso, fico triste que a Google esteja na posição de nos proteger e aos nossos utilizadores quanto ao governo fazer em segredo coisas que ninguém sabe.</t>
  </si>
  <si>
    <t>fico</t>
  </si>
  <si>
    <t>esteja</t>
  </si>
  <si>
    <t>posição</t>
  </si>
  <si>
    <t>quanto</t>
  </si>
  <si>
    <t>ninguém</t>
  </si>
  <si>
    <t># text = Não faz qualquer sentido.</t>
  </si>
  <si>
    <t>faz</t>
  </si>
  <si>
    <t># text = CR: Pois.</t>
  </si>
  <si>
    <t>Pois</t>
  </si>
  <si>
    <t># text = E ainda há a questão da privacidade.</t>
  </si>
  <si>
    <t>questão</t>
  </si>
  <si>
    <t># text = A questão da privacidade, Penso que é... o mundo está a mudar.</t>
  </si>
  <si>
    <t># text = Andamos com um telefone.</t>
  </si>
  <si>
    <t>Andamos</t>
  </si>
  <si>
    <t># text = Ele sabe onde nós estamos.</t>
  </si>
  <si>
    <t># text = Há tanta informação sobre nós, e isso é uma coisa importante, e faz sentido as pessoas fazerem perguntas difíceis.</t>
  </si>
  <si>
    <t>tanta</t>
  </si>
  <si>
    <t>fazerem</t>
  </si>
  <si>
    <t>perguntas</t>
  </si>
  <si>
    <t>difíceis</t>
  </si>
  <si>
    <t># text = Passamos muito tempo a pensar nisto e em quais são as questões.</t>
  </si>
  <si>
    <t>Passamos</t>
  </si>
  <si>
    <t>questões</t>
  </si>
  <si>
    <t># text = Estou um pouco...</t>
  </si>
  <si>
    <t>Estou</t>
  </si>
  <si>
    <t># text = Penso que o mais importante que temos que fazer é permitir que as pessoas escolham, mostrar-lhes que dados estão a ser recolhidos — o histórico de pesquisas, os dados de localização.</t>
  </si>
  <si>
    <t>permitir</t>
  </si>
  <si>
    <t>escolham</t>
  </si>
  <si>
    <t>dados</t>
  </si>
  <si>
    <t>recolhidos</t>
  </si>
  <si>
    <t>histórico</t>
  </si>
  <si>
    <t>localização</t>
  </si>
  <si>
    <t># text = Estamos entusiasmados com o modo incógnito no Chrome, e fazer isso de outros modos, dando às pessoas mais escolha e mais consciência do que se passa.</t>
  </si>
  <si>
    <t>entusiasmados</t>
  </si>
  <si>
    <t>incógnito</t>
  </si>
  <si>
    <t>Chrome</t>
  </si>
  <si>
    <t>modos</t>
  </si>
  <si>
    <t>dando</t>
  </si>
  <si>
    <t>escolha</t>
  </si>
  <si>
    <t>consciência</t>
  </si>
  <si>
    <t>passa</t>
  </si>
  <si>
    <t># text = Penso que é muito fácil.</t>
  </si>
  <si>
    <t># text = O que me preocupa é que deitemos fora o bebé com a água do banho.</t>
  </si>
  <si>
    <t>preocupa</t>
  </si>
  <si>
    <t>deitemos</t>
  </si>
  <si>
    <t>fora</t>
  </si>
  <si>
    <t>bebé</t>
  </si>
  <si>
    <t>água</t>
  </si>
  <si>
    <t>banho</t>
  </si>
  <si>
    <t># text = E reparo, no seu programa, parece que perdi a voz, e não a recuperei.</t>
  </si>
  <si>
    <t>reparo</t>
  </si>
  <si>
    <t>parece</t>
  </si>
  <si>
    <t>perdi</t>
  </si>
  <si>
    <t>recuperei</t>
  </si>
  <si>
    <t># text = Espero que, ao falar consigo a vá recuperar.</t>
  </si>
  <si>
    <t>Espero</t>
  </si>
  <si>
    <t>vá</t>
  </si>
  <si>
    <t>recuperar</t>
  </si>
  <si>
    <t># text = CR: Se eu pudesse fazer alguma coisa, seria isso.</t>
  </si>
  <si>
    <t>pudesse</t>
  </si>
  <si>
    <t>seria</t>
  </si>
  <si>
    <t># text = LP: Muito bem.</t>
  </si>
  <si>
    <t>Muito</t>
  </si>
  <si>
    <t># text = Então saque do boneco vudu... faça o que for preciso.</t>
  </si>
  <si>
    <t>saque</t>
  </si>
  <si>
    <t>boneco</t>
  </si>
  <si>
    <t>vudu</t>
  </si>
  <si>
    <t>faça</t>
  </si>
  <si>
    <t>for</t>
  </si>
  <si>
    <t>preciso</t>
  </si>
  <si>
    <t># text = Mas penso, sabe que mais, olho para isso, tornei isso público, e consegui muita informação.</t>
  </si>
  <si>
    <t>olho</t>
  </si>
  <si>
    <t>tornei</t>
  </si>
  <si>
    <t>consegui</t>
  </si>
  <si>
    <t>muita</t>
  </si>
  <si>
    <t># text = Mandámos fazer uma sondagem sobre problemas de saúde em pessoas com queixas semelhantes, e olho para os processos clínicos e digo, não seria espantoso se todos os processos clínicos estivessem disponíveis anonimamente aos médicos investigadores?</t>
  </si>
  <si>
    <t>Mandámos</t>
  </si>
  <si>
    <t>sondagem</t>
  </si>
  <si>
    <t>problemas</t>
  </si>
  <si>
    <t>saúde</t>
  </si>
  <si>
    <t>queixas</t>
  </si>
  <si>
    <t>semelhantes</t>
  </si>
  <si>
    <t>processos</t>
  </si>
  <si>
    <t>clínicos</t>
  </si>
  <si>
    <t>digo</t>
  </si>
  <si>
    <t>espantoso</t>
  </si>
  <si>
    <t>estivessem</t>
  </si>
  <si>
    <t>disponíveis</t>
  </si>
  <si>
    <t>anonimamente</t>
  </si>
  <si>
    <t>médicos</t>
  </si>
  <si>
    <t>investigadores</t>
  </si>
  <si>
    <t># text = E quando alguém acede ao nosso processo clínico, um médico investigador, eles podiam ver, nós podíamos ver que médico lá foi e porquê, e talvez pudéssemos aprender sobre os problemas que temos.</t>
  </si>
  <si>
    <t>processo</t>
  </si>
  <si>
    <t>clínico</t>
  </si>
  <si>
    <t>médico</t>
  </si>
  <si>
    <t>investigador</t>
  </si>
  <si>
    <t>eles</t>
  </si>
  <si>
    <t>podíamos</t>
  </si>
  <si>
    <t>pudéssemos</t>
  </si>
  <si>
    <t># text = Penso que, se fizéssemos apenas isso salvaríamos 100 000 vidas este ano.</t>
  </si>
  <si>
    <t>fizéssemos</t>
  </si>
  <si>
    <t>salvaríamos</t>
  </si>
  <si>
    <t>000</t>
  </si>
  <si>
    <t>vidas</t>
  </si>
  <si>
    <t>ano</t>
  </si>
  <si>
    <t># text = CR: Absolutamente.</t>
  </si>
  <si>
    <t>Absolutamente</t>
  </si>
  <si>
    <t># text = LP: Penso que estou apenas muito preocupado com a privacidade na Internet, estamos a fazer o mesmo que fazemos com os processos clínicos, estamos a deitar fora o bebé com a água do banho, e não estamos realmente a pensar no bem tremendo que pode decorrer de as pessoas partilharem informação com as pessoas certas e da forma correcta.</t>
  </si>
  <si>
    <t>preocupado</t>
  </si>
  <si>
    <t>fazemos</t>
  </si>
  <si>
    <t>tremendo</t>
  </si>
  <si>
    <t>decorrer</t>
  </si>
  <si>
    <t>partilharem</t>
  </si>
  <si>
    <t>certas</t>
  </si>
  <si>
    <t>correcta</t>
  </si>
  <si>
    <t># text = CR: E a condição necessária de que as pessoas têm que ter confiança que as informações sobre elas não serão usadas abusivamente.</t>
  </si>
  <si>
    <t>condição</t>
  </si>
  <si>
    <t>necessária</t>
  </si>
  <si>
    <t>confiança</t>
  </si>
  <si>
    <t>informações</t>
  </si>
  <si>
    <t>elas</t>
  </si>
  <si>
    <t>serão</t>
  </si>
  <si>
    <t>usadas</t>
  </si>
  <si>
    <t>abusivamente</t>
  </si>
  <si>
    <t># text = LP: Sim, eu tive esse problema com a minha voz.</t>
  </si>
  <si>
    <t>tive</t>
  </si>
  <si>
    <t>esse</t>
  </si>
  <si>
    <t># text = Tive medo de o partilhar.</t>
  </si>
  <si>
    <t>Tive</t>
  </si>
  <si>
    <t>medo</t>
  </si>
  <si>
    <t>partilhar</t>
  </si>
  <si>
    <t># text = O Sergey encorajou-me a fazê-lo, e foi uma coisa importante.</t>
  </si>
  <si>
    <t>encorajou</t>
  </si>
  <si>
    <t># text = CR: E a resposta tem sido esmagadora.</t>
  </si>
  <si>
    <t>resposta</t>
  </si>
  <si>
    <t>esmagadora</t>
  </si>
  <si>
    <t># text = LP: Sim, as pessoas são super positivas.</t>
  </si>
  <si>
    <t>positivas</t>
  </si>
  <si>
    <t># text = Temos milhares e milhares de pessoas com problemas semelhantes, de que não há dados hoje em dia.</t>
  </si>
  <si>
    <t>milhares</t>
  </si>
  <si>
    <t>dia</t>
  </si>
  <si>
    <t># text = Por isso, foi uma coisa muito boa.</t>
  </si>
  <si>
    <t>boa</t>
  </si>
  <si>
    <t># text = CR: Falando do futuro, o que se passa consigo e os sistemas de transporte?</t>
  </si>
  <si>
    <t>Falando</t>
  </si>
  <si>
    <t>sistemas</t>
  </si>
  <si>
    <t>transporte</t>
  </si>
  <si>
    <t># text = LP: Penso que estava apenas frustrado com isso quando estava na universidade no Michigan.</t>
  </si>
  <si>
    <t>frustrado</t>
  </si>
  <si>
    <t>universidade</t>
  </si>
  <si>
    <t>Michigan</t>
  </si>
  <si>
    <t># text = Tinha que apanhar o autocarro e esperar por ele.</t>
  </si>
  <si>
    <t>Tinha</t>
  </si>
  <si>
    <t>apanhar</t>
  </si>
  <si>
    <t>autocarro</t>
  </si>
  <si>
    <t># text = E estava frio e a nevar.</t>
  </si>
  <si>
    <t>frio</t>
  </si>
  <si>
    <t>nevar</t>
  </si>
  <si>
    <t># text = Fiz alguma pesquisa sobre quanto custaria, e fiquei um pouco obcecado com os sistemas de transporte...</t>
  </si>
  <si>
    <t>Fiz</t>
  </si>
  <si>
    <t>custaria</t>
  </si>
  <si>
    <t>fiquei</t>
  </si>
  <si>
    <t>obcecado</t>
  </si>
  <si>
    <t># text = CR: E assim começou a ideia de um carro automático [o Zippie].</t>
  </si>
  <si>
    <t>carro</t>
  </si>
  <si>
    <t>automático</t>
  </si>
  <si>
    <t>Zippie]</t>
  </si>
  <si>
    <t># text = LP: Sim, há cerca de 18 anos ouvi falar de pessoas que trabalham com carros automáticos, e fiquei fascinado com isso, e demora algum tempo pôr estes projectos em curso, mas estou super entusiasmado sobre as possibilidades de isso melhorar o mundo.</t>
  </si>
  <si>
    <t>cerca</t>
  </si>
  <si>
    <t>ouvi</t>
  </si>
  <si>
    <t>trabalham</t>
  </si>
  <si>
    <t>fascinado</t>
  </si>
  <si>
    <t>projectos</t>
  </si>
  <si>
    <t>curso</t>
  </si>
  <si>
    <t>possibilidades</t>
  </si>
  <si>
    <t># text = Há 20 milhões de pessoas ou mais feridas em acidentes, todos os anos.</t>
  </si>
  <si>
    <t>milhões</t>
  </si>
  <si>
    <t>feridas</t>
  </si>
  <si>
    <t>acidentes</t>
  </si>
  <si>
    <t># text = É a maior causa de morte em pessoas com menos de 34 anos, nos EUA.</t>
  </si>
  <si>
    <t>causa</t>
  </si>
  <si>
    <t>morte</t>
  </si>
  <si>
    <t>EUA</t>
  </si>
  <si>
    <t># text = CR: Está a falar de salvar vidas.</t>
  </si>
  <si>
    <t>Está</t>
  </si>
  <si>
    <t>salvar</t>
  </si>
  <si>
    <t># text = LP: Sim, e também de poupar espaço e melhorar a vida.</t>
  </si>
  <si>
    <t>poupar</t>
  </si>
  <si>
    <t>espaço</t>
  </si>
  <si>
    <t># text = Metade de Los Angeles são parques de estacionamento e estradas, metade da área, e a maioria das cidades não fica muito atrás.</t>
  </si>
  <si>
    <t>Metade</t>
  </si>
  <si>
    <t>Los</t>
  </si>
  <si>
    <t>Angeles</t>
  </si>
  <si>
    <t>parques</t>
  </si>
  <si>
    <t>estacionamento</t>
  </si>
  <si>
    <t>estradas</t>
  </si>
  <si>
    <t>metade</t>
  </si>
  <si>
    <t>área</t>
  </si>
  <si>
    <t>maioria</t>
  </si>
  <si>
    <t>cidades</t>
  </si>
  <si>
    <t># text = É uma loucura a forma como usamos o nosso espaço.</t>
  </si>
  <si>
    <t># text = CR: E quando lá chegaremos?</t>
  </si>
  <si>
    <t>chegaremos</t>
  </si>
  <si>
    <t># text = LP: Penso que muito, muito cedo.</t>
  </si>
  <si>
    <t>cedo</t>
  </si>
  <si>
    <t># text = Conduzimos bem durante mais de 160 000 Km de modo totalmente automático.</t>
  </si>
  <si>
    <t>Conduzimos</t>
  </si>
  <si>
    <t>Km</t>
  </si>
  <si>
    <t>totalmente</t>
  </si>
  <si>
    <t># text = Estou super entusiasmado em conseguir isto rapidamente.</t>
  </si>
  <si>
    <t># text = CR: Mas não está a falar apenas de carros automáticos.</t>
  </si>
  <si>
    <t># text = Também tem esta ideia para bicicletas.</t>
  </si>
  <si>
    <t># text = LP: Bem, na Google temos a ideia que devíamos disponibilizar bicicletas grátis para todos, e tem sido fantástico, a maioria das viagens.</t>
  </si>
  <si>
    <t>disponibilizar</t>
  </si>
  <si>
    <t>grátis</t>
  </si>
  <si>
    <t>pron</t>
  </si>
  <si>
    <t>fantástico</t>
  </si>
  <si>
    <t>viagens</t>
  </si>
  <si>
    <t># text = Vemos bicicletas por todo o lado, e as bicicletas gastam-se.</t>
  </si>
  <si>
    <t>Vemos</t>
  </si>
  <si>
    <t>lado</t>
  </si>
  <si>
    <t>gastam</t>
  </si>
  <si>
    <t># text = São usadas 24 horas por dia.</t>
  </si>
  <si>
    <t>São</t>
  </si>
  <si>
    <t>horas</t>
  </si>
  <si>
    <t># text = CR: Mas também as quer pôr na estrada.</t>
  </si>
  <si>
    <t>estrada</t>
  </si>
  <si>
    <t># text = LP: Pensei, como fazer para que as pessoas usem mais as bicicletas?</t>
  </si>
  <si>
    <t>usem</t>
  </si>
  <si>
    <t># text = CR: Talvez tenhamos aqui um vídeo.</t>
  </si>
  <si>
    <t>tenhamos</t>
  </si>
  <si>
    <t># text = LP: Sim, vamos mostrar o vídeo.</t>
  </si>
  <si>
    <t># text = Fiquei entusiasmado com isto.</t>
  </si>
  <si>
    <t># text = (Música)</t>
  </si>
  <si>
    <t>Música</t>
  </si>
  <si>
    <t># text = Esta é a forma de separar bicicletas e carros com custos mínimos.</t>
  </si>
  <si>
    <t>separar</t>
  </si>
  <si>
    <t>custos</t>
  </si>
  <si>
    <t>mínimos</t>
  </si>
  <si>
    <t># text = De qualquer modo, parece uma loucura, mas estava a pensar no nosso \"campus\", trabalhar com os Zippies e outras coisas, e tentar conseguir maior utilização de bicicletas, e estava a pensar como separar mais eficazmente as bicicletas do tráfego?</t>
  </si>
  <si>
    <t>campus</t>
  </si>
  <si>
    <t>Zippies</t>
  </si>
  <si>
    <t>utilização</t>
  </si>
  <si>
    <t>eficazmente</t>
  </si>
  <si>
    <t>tráfego</t>
  </si>
  <si>
    <t># text = E comecei a pesquisar, e encontrei isto.</t>
  </si>
  <si>
    <t>comecei</t>
  </si>
  <si>
    <t>pesquisar</t>
  </si>
  <si>
    <t># text = E não estamos a trabalhar nisto, nisto em particular, mas põe a nossa imaginação a trabalhar.</t>
  </si>
  <si>
    <t>põe</t>
  </si>
  <si>
    <t>imaginação</t>
  </si>
  <si>
    <t># text = Deixe-me terminar com isto.</t>
  </si>
  <si>
    <t>Deixe</t>
  </si>
  <si>
    <t># text = Dê-me uma ideia da sua própria filosofia.</t>
  </si>
  <si>
    <t>Dê</t>
  </si>
  <si>
    <t>própria</t>
  </si>
  <si>
    <t># text = Tem esta ideia do TEDx.</t>
  </si>
  <si>
    <t>TEDx</t>
  </si>
  <si>
    <t># text = Não quer simplesmente estar numa pequena e mensurável área de progresso.</t>
  </si>
  <si>
    <t>simplesmente</t>
  </si>
  <si>
    <t>pequena</t>
  </si>
  <si>
    <t>mensurável</t>
  </si>
  <si>
    <t>progresso</t>
  </si>
  <si>
    <t># text = LP: Sim, eu penso que muitas das coisas de que falámos são assim, em que realmente...</t>
  </si>
  <si>
    <t># text = Quase usei o conceito económico de adicionalidade, que significa que estamos a fazer algo que não aconteceria se não o fizéssemos.</t>
  </si>
  <si>
    <t>Quase</t>
  </si>
  <si>
    <t>usei</t>
  </si>
  <si>
    <t>económico</t>
  </si>
  <si>
    <t>adicionalidade</t>
  </si>
  <si>
    <t>aconteceria</t>
  </si>
  <si>
    <t># text = E, quanto mais coisas destas fizermos, maior o impacto que teremos, e trata-se de fazer coisas que as pessoas podem pensar que não são possíveis.</t>
  </si>
  <si>
    <t>fizermos</t>
  </si>
  <si>
    <t>impacto</t>
  </si>
  <si>
    <t>teremos</t>
  </si>
  <si>
    <t># text = E fiquei maravilhado, quanto mais aprendo sobre tecnologia, mais me apercebo do que não sei, e é devido a este horizonte tecnológico, aquilo que vemos que vamos fazer a seguir, quanto mais aprendemos sobre tecnologia, mais aprendemos sobre o que é possível.</t>
  </si>
  <si>
    <t>maravilhado</t>
  </si>
  <si>
    <t>aprendo</t>
  </si>
  <si>
    <t>apercebo</t>
  </si>
  <si>
    <t>devido</t>
  </si>
  <si>
    <t>horizonte</t>
  </si>
  <si>
    <t>tecnológico</t>
  </si>
  <si>
    <t>vemos</t>
  </si>
  <si>
    <t>seguir</t>
  </si>
  <si>
    <t># text = Aprendemos que os balões são possíveis porque há algum material que os fará funcionar.</t>
  </si>
  <si>
    <t>Aprendemos</t>
  </si>
  <si>
    <t>material</t>
  </si>
  <si>
    <t>fará</t>
  </si>
  <si>
    <t># text = CR: Mas, o que é interessante sobre si, quanto a mim, é que temos muita gente a pensar sobre o futuro, andam, olham e voltam mas nunca vemos a implementação.</t>
  </si>
  <si>
    <t>interessante</t>
  </si>
  <si>
    <t>andam</t>
  </si>
  <si>
    <t>olham</t>
  </si>
  <si>
    <t>voltam</t>
  </si>
  <si>
    <t>implementação</t>
  </si>
  <si>
    <t># text = Penso em alguém que conheceu e sobre quem leu, Tesla.</t>
  </si>
  <si>
    <t>conheceu</t>
  </si>
  <si>
    <t>leu</t>
  </si>
  <si>
    <t>Tesla</t>
  </si>
  <si>
    <t># text = Para si, qual é o princípio disso?</t>
  </si>
  <si>
    <t>Para</t>
  </si>
  <si>
    <t>princípio</t>
  </si>
  <si>
    <t># text = LP: Bem, penso que a invenção não é suficiente.</t>
  </si>
  <si>
    <t>invenção</t>
  </si>
  <si>
    <t>suficiente</t>
  </si>
  <si>
    <t># text = Se inventarmos algo, Tesla inventou a energia eléctrica que usamos, mas lutou para a levar às pessoas.</t>
  </si>
  <si>
    <t>inventarmos</t>
  </si>
  <si>
    <t>inventou</t>
  </si>
  <si>
    <t>energia</t>
  </si>
  <si>
    <t>eléctrica</t>
  </si>
  <si>
    <t>lutou</t>
  </si>
  <si>
    <t># text = Isso teve que ser feito por outros.</t>
  </si>
  <si>
    <t>teve</t>
  </si>
  <si>
    <t># text = Levou muito tempo.</t>
  </si>
  <si>
    <t>Levou</t>
  </si>
  <si>
    <t># text = Se conseguíssemos mesmo combinar ambas as coisas, quando temos uma inovação e um foco de invenção, mais a habilidade de juntar — uma empresa que possa mesmo comercializar as coisas e levá-las às pessoas de um modo positivo para o mundo e dar esperança às pessoas.</t>
  </si>
  <si>
    <t>conseguíssemos</t>
  </si>
  <si>
    <t>combinar</t>
  </si>
  <si>
    <t>ambas</t>
  </si>
  <si>
    <t>foco</t>
  </si>
  <si>
    <t>habilidade</t>
  </si>
  <si>
    <t>juntar</t>
  </si>
  <si>
    <t>comercializar</t>
  </si>
  <si>
    <t>levá</t>
  </si>
  <si>
    <t>las</t>
  </si>
  <si>
    <t>positivo</t>
  </si>
  <si>
    <t>dar</t>
  </si>
  <si>
    <t>esperança</t>
  </si>
  <si>
    <t># text = Sabe, estou espantado com o Projecto Loon como as pessoas estavam tão entusiasmadas, porque deu esperanças a dois terços do mundo que, neste momento, não têm Internet de jeito.</t>
  </si>
  <si>
    <t>espantado</t>
  </si>
  <si>
    <t>estavam</t>
  </si>
  <si>
    <t>entusiasmadas</t>
  </si>
  <si>
    <t>esperanças</t>
  </si>
  <si>
    <t>dois</t>
  </si>
  <si>
    <t>terços</t>
  </si>
  <si>
    <t>jeito</t>
  </si>
  <si>
    <t># text = CR: O que é uma coisa secundária para as empresas.</t>
  </si>
  <si>
    <t>secundária</t>
  </si>
  <si>
    <t>empresas</t>
  </si>
  <si>
    <t># text = Você é uma daquelas pessoas que acredita que as empresas são agentes de mudança se forem bem geridas.</t>
  </si>
  <si>
    <t>Você</t>
  </si>
  <si>
    <t>aquelas</t>
  </si>
  <si>
    <t>acredita</t>
  </si>
  <si>
    <t>agentes</t>
  </si>
  <si>
    <t>mudança</t>
  </si>
  <si>
    <t>forem</t>
  </si>
  <si>
    <t>geridas</t>
  </si>
  <si>
    <t># text = Sinto-me mesmo consternado por a maioria das pessoas pensar que as empresas são basicamente más.</t>
  </si>
  <si>
    <t>consternado</t>
  </si>
  <si>
    <t>más</t>
  </si>
  <si>
    <t># text = Têm má reputação.</t>
  </si>
  <si>
    <t>Têm</t>
  </si>
  <si>
    <t>má</t>
  </si>
  <si>
    <t>reputação</t>
  </si>
  <si>
    <t># text = Penso que é de certo modo correcto.</t>
  </si>
  <si>
    <t>correcto</t>
  </si>
  <si>
    <t># text = As empresas fazem as coisas rotineiramente como faziam há 50 anos ou há 20 anos.</t>
  </si>
  <si>
    <t>As</t>
  </si>
  <si>
    <t>fazem</t>
  </si>
  <si>
    <t>rotineiramente</t>
  </si>
  <si>
    <t>faziam</t>
  </si>
  <si>
    <t># text = Não é disso que precisamos.</t>
  </si>
  <si>
    <t>precisamos</t>
  </si>
  <si>
    <t># text = Precisamos, especialmente na tecnologia, de uma mudança revolucionária, não gradual.</t>
  </si>
  <si>
    <t>Precisamos</t>
  </si>
  <si>
    <t>especialmente</t>
  </si>
  <si>
    <t>revolucionária</t>
  </si>
  <si>
    <t>gradual</t>
  </si>
  <si>
    <t># text = CR: Você disse uma vez, — penso ter percebido bem — que consideraria, em vez de dar o seu dinheiro, se o deixasse a alguma causa, simplesmente o daria a Elon Musk, porque tinha confiança que ele mudaria o futuro, e que, portanto, poderia... LP:</t>
  </si>
  <si>
    <t>vez</t>
  </si>
  <si>
    <t>percebido</t>
  </si>
  <si>
    <t>consideraria</t>
  </si>
  <si>
    <t>dinheiro</t>
  </si>
  <si>
    <t>deixasse</t>
  </si>
  <si>
    <t>daria</t>
  </si>
  <si>
    <t>Elon</t>
  </si>
  <si>
    <t>Musk</t>
  </si>
  <si>
    <t>mudaria</t>
  </si>
  <si>
    <t>portanto</t>
  </si>
  <si>
    <t>poderia</t>
  </si>
  <si>
    <t># text = Sim, se quisermos ir a Marte, ele quer ir a Marte, para apoiar a Humanidade, é um objectivo de valor, mas é uma empresa, e é filantrópica.</t>
  </si>
  <si>
    <t>quisermos</t>
  </si>
  <si>
    <t>ir</t>
  </si>
  <si>
    <t>Marte</t>
  </si>
  <si>
    <t>apoiar</t>
  </si>
  <si>
    <t>Humanidade</t>
  </si>
  <si>
    <t>valor</t>
  </si>
  <si>
    <t>filantrópica</t>
  </si>
  <si>
    <t># text = Penso que o nosso objectivo é fazer coisas semelhantes.</t>
  </si>
  <si>
    <t># text = E, penso que você perguntou, temos muitos funcionários na Google que ficaram bem na vida.</t>
  </si>
  <si>
    <t>muitos</t>
  </si>
  <si>
    <t>funcionários</t>
  </si>
  <si>
    <t>ficaram</t>
  </si>
  <si>
    <t># text = As pessoas ganham muito dinheiro com a tecnologia.</t>
  </si>
  <si>
    <t>ganham</t>
  </si>
  <si>
    <t># text = Há muitas pessoas na sala que estão bem na vida.</t>
  </si>
  <si>
    <t>sala</t>
  </si>
  <si>
    <t># text = Trabalhamos porque queremos mudar o mundo.</t>
  </si>
  <si>
    <t># text = Queremos torná-lo melhor.</t>
  </si>
  <si>
    <t># text = Porque é que a empresa em que trabalhamos não é merecedora apenas do nosso tempo mas também do nosso dinheiro?</t>
  </si>
  <si>
    <t>trabalhamos</t>
  </si>
  <si>
    <t>merecedora</t>
  </si>
  <si>
    <t># text = Mas não temos esse conceito.</t>
  </si>
  <si>
    <t># text = Não é isso que pensamos sobre as empresas, e penso que é triste, porque as empresas são sobretudo o resultado do nosso esforço.</t>
  </si>
  <si>
    <t>sobretudo</t>
  </si>
  <si>
    <t>resultado</t>
  </si>
  <si>
    <t>esforço</t>
  </si>
  <si>
    <t># text = É onde as pessoas passam a maior parte do tempo, onde há muito dinheiro, e penso que gostaria que ajudássemos mais do que estamos a ajudar.</t>
  </si>
  <si>
    <t>passam</t>
  </si>
  <si>
    <t>ajudássemos</t>
  </si>
  <si>
    <t># text = CR: Quanto termino conversas com muitas pessoas, pergunto sempre:</t>
  </si>
  <si>
    <t>termino</t>
  </si>
  <si>
    <t>conversas</t>
  </si>
  <si>
    <t>pergunto</t>
  </si>
  <si>
    <t># text = Que estado de espírito, qual foi a qualidade de espírito que melhor o serviu?</t>
  </si>
  <si>
    <t>Que</t>
  </si>
  <si>
    <t>espírito</t>
  </si>
  <si>
    <t>qualidade</t>
  </si>
  <si>
    <t>serviu</t>
  </si>
  <si>
    <t># text = Pessoas como Rupert</t>
  </si>
  <si>
    <t>Pessoas</t>
  </si>
  <si>
    <t>Rupert</t>
  </si>
  <si>
    <t># text = Murdoch referiram a curiosidade, e outras pessoas dos \"media\" disseram o mesmo.</t>
  </si>
  <si>
    <t>Murdoch</t>
  </si>
  <si>
    <t>referiram</t>
  </si>
  <si>
    <t>curiosidade</t>
  </si>
  <si>
    <t>media</t>
  </si>
  <si>
    <t>disseram</t>
  </si>
  <si>
    <t># text = Bill Gates e Warren Buffett referiram a concentração.</t>
  </si>
  <si>
    <t>Bill</t>
  </si>
  <si>
    <t>Gates</t>
  </si>
  <si>
    <t>Warren</t>
  </si>
  <si>
    <t>Buffett</t>
  </si>
  <si>
    <t>concentração</t>
  </si>
  <si>
    <t># text = Que qualidade de espírito, ao deixar esta audiência, lhe permitiu pensar sobre o futuro e ao mesmo tempo mudar o presente?</t>
  </si>
  <si>
    <t>deixar</t>
  </si>
  <si>
    <t>audiência</t>
  </si>
  <si>
    <t>permitiu</t>
  </si>
  <si>
    <t>presente</t>
  </si>
  <si>
    <t># text = LP: Penso que o mais importante...</t>
  </si>
  <si>
    <t># text = Observei uma série de empresas e pensei que não viriam a ter êxito.</t>
  </si>
  <si>
    <t>Observei</t>
  </si>
  <si>
    <t>série</t>
  </si>
  <si>
    <t>viriam</t>
  </si>
  <si>
    <t>êxito</t>
  </si>
  <si>
    <t># text = Tivemos uma rotatividade muito rápida de empresas.</t>
  </si>
  <si>
    <t>Tivemos</t>
  </si>
  <si>
    <t>rotatividade</t>
  </si>
  <si>
    <t>rápida</t>
  </si>
  <si>
    <t># text = Que fizeram de fundamentalmente errado?</t>
  </si>
  <si>
    <t>fizeram</t>
  </si>
  <si>
    <t>fundamentalmente</t>
  </si>
  <si>
    <t>errado</t>
  </si>
  <si>
    <t># text = Que fizeram de errado, todas elas?</t>
  </si>
  <si>
    <t>todas</t>
  </si>
  <si>
    <t># text = E, normalmente, apenas falharam o futuro.</t>
  </si>
  <si>
    <t>normalmente</t>
  </si>
  <si>
    <t>falharam</t>
  </si>
  <si>
    <t># text = E assim penso que me tento concentrar nisso e dizer, o que será esse futuro e como o criamos, e como levamos a nossa organização, a nossa organização a concentrar-se realmente nisso e levar isso a um nível mesmo elevado?</t>
  </si>
  <si>
    <t>tento</t>
  </si>
  <si>
    <t>concentrar</t>
  </si>
  <si>
    <t>criamos</t>
  </si>
  <si>
    <t>levamos</t>
  </si>
  <si>
    <t>organização</t>
  </si>
  <si>
    <t>elevado</t>
  </si>
  <si>
    <t># text = E então tem sido a curiosidade, tem sido olhar para as coisas em que as pessoas podiam não ter pensado, trabalhar em coisas em que ninguém está a trabalhar, porque é onde está a adicionalidade, e querer fazer isso, arriscar.</t>
  </si>
  <si>
    <t>então</t>
  </si>
  <si>
    <t>pensado</t>
  </si>
  <si>
    <t>arriscar</t>
  </si>
  <si>
    <t># text = Repare no Android.</t>
  </si>
  <si>
    <t>Repare</t>
  </si>
  <si>
    <t>Android</t>
  </si>
  <si>
    <t># text = Senti-me culpado por trabalhar no Android.</t>
  </si>
  <si>
    <t>culpado</t>
  </si>
  <si>
    <t># text = Quando estava a começar, era um pequeno negócio novo que comprámos.</t>
  </si>
  <si>
    <t>comprámos</t>
  </si>
  <si>
    <t># text = Não era naquilo que estávamos propriamente a trabalhar.</t>
  </si>
  <si>
    <t>estávamos</t>
  </si>
  <si>
    <t>propriamente</t>
  </si>
  <si>
    <t># text = E senti-me culpado por gastar tempo naquilo.</t>
  </si>
  <si>
    <t>senti</t>
  </si>
  <si>
    <t>gastar</t>
  </si>
  <si>
    <t># text = Foi uma estupidez.</t>
  </si>
  <si>
    <t>Foi</t>
  </si>
  <si>
    <t>estupidez</t>
  </si>
  <si>
    <t># text = Era o futuro, não era?</t>
  </si>
  <si>
    <t>Era</t>
  </si>
  <si>
    <t># text = Era uma boa coisa em que trabalhar.</t>
  </si>
  <si>
    <t># text = CR: É óptimo vê-lo aqui.</t>
  </si>
  <si>
    <t>óptimo</t>
  </si>
  <si>
    <t># text = É óptimo ouvi-lo, e um prazer sentar-me a esta mesa consigo.</t>
  </si>
  <si>
    <t>prazer</t>
  </si>
  <si>
    <t>sentar</t>
  </si>
  <si>
    <t>mesa</t>
  </si>
  <si>
    <t># text = Obrigado, Larry.</t>
  </si>
  <si>
    <t># text = LP: Obrigado.</t>
  </si>
  <si>
    <t># text = CR: Larry Page.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</si>
</sst>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6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20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15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15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10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10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20</v>
      </c>
      <c r="B9" s="6" t="s">
        <v>15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28</v>
      </c>
      <c r="C10" s="6" t="s">
        <v>11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47</v>
      </c>
      <c r="B11" s="6" t="s">
        <v>48</v>
      </c>
      <c r="C11" s="6" t="s">
        <v>11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52</v>
      </c>
      <c r="B12" s="6" t="s">
        <v>24</v>
      </c>
      <c r="C12" s="6" t="s">
        <v>11</v>
      </c>
      <c r="D12" s="7" t="s">
        <v>25</v>
      </c>
      <c r="E12" s="8" t="s">
        <v>53</v>
      </c>
      <c r="F12" s="6" t="s">
        <v>54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55</v>
      </c>
      <c r="B13" s="6" t="s">
        <v>15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60</v>
      </c>
      <c r="C14" s="6" t="s">
        <v>11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64</v>
      </c>
      <c r="B15" s="6" t="s">
        <v>10</v>
      </c>
      <c r="C15" s="6" t="s">
        <v>11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68</v>
      </c>
      <c r="B16" s="6" t="s">
        <v>10</v>
      </c>
      <c r="C16" s="6" t="s">
        <v>11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28</v>
      </c>
      <c r="C17" s="6" t="s">
        <v>11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10</v>
      </c>
      <c r="C18" s="6" t="s">
        <v>11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80</v>
      </c>
      <c r="B19" s="6" t="s">
        <v>24</v>
      </c>
      <c r="C19" s="6" t="s">
        <v>11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60</v>
      </c>
      <c r="B20" s="6" t="s">
        <v>15</v>
      </c>
      <c r="C20" s="6" t="s">
        <v>11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87</v>
      </c>
      <c r="B21" s="6" t="s">
        <v>19</v>
      </c>
      <c r="C21" s="6" t="s">
        <v>11</v>
      </c>
      <c r="D21" s="7" t="s">
        <v>25</v>
      </c>
      <c r="E21" s="8" t="s">
        <v>88</v>
      </c>
      <c r="F21" s="6" t="s">
        <v>89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90</v>
      </c>
      <c r="B22" s="6" t="s">
        <v>10</v>
      </c>
      <c r="C22" s="6" t="s">
        <v>11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94</v>
      </c>
      <c r="B23" s="6" t="s">
        <v>95</v>
      </c>
      <c r="C23" s="6" t="s">
        <v>11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99</v>
      </c>
      <c r="B24" s="6" t="s">
        <v>24</v>
      </c>
      <c r="C24" s="6" t="s">
        <v>11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103</v>
      </c>
      <c r="B25" s="6" t="s">
        <v>15</v>
      </c>
      <c r="C25" s="6" t="s">
        <v>11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107</v>
      </c>
      <c r="B26" s="6" t="s">
        <v>24</v>
      </c>
      <c r="C26" s="6" t="s">
        <v>11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111</v>
      </c>
      <c r="B27" s="6" t="s">
        <v>10</v>
      </c>
      <c r="C27" s="6" t="s">
        <v>11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115</v>
      </c>
      <c r="B28" s="6" t="s">
        <v>15</v>
      </c>
      <c r="C28" s="6" t="s">
        <v>11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119</v>
      </c>
      <c r="B29" s="6" t="s">
        <v>15</v>
      </c>
      <c r="C29" s="6" t="s">
        <v>11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123</v>
      </c>
      <c r="B30" s="6" t="s">
        <v>10</v>
      </c>
      <c r="C30" s="6" t="s">
        <v>11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127</v>
      </c>
      <c r="B31" s="6" t="s">
        <v>10</v>
      </c>
      <c r="C31" s="6" t="s">
        <v>11</v>
      </c>
      <c r="D31" s="7" t="s">
        <v>128</v>
      </c>
      <c r="E31" s="8" t="s">
        <v>129</v>
      </c>
      <c r="F31" s="6" t="s">
        <v>130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131</v>
      </c>
      <c r="B32" s="6" t="s">
        <v>10</v>
      </c>
      <c r="C32" s="6" t="s">
        <v>11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135</v>
      </c>
      <c r="B33" s="6" t="s">
        <v>10</v>
      </c>
      <c r="C33" s="6" t="s">
        <v>11</v>
      </c>
      <c r="D33" s="7" t="s">
        <v>61</v>
      </c>
      <c r="E33" s="8" t="s">
        <v>136</v>
      </c>
      <c r="F33" s="6" t="s">
        <v>137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138</v>
      </c>
      <c r="B34" s="6" t="s">
        <v>15</v>
      </c>
      <c r="C34" s="6" t="s">
        <v>11</v>
      </c>
      <c r="D34" s="7" t="s">
        <v>139</v>
      </c>
      <c r="E34" s="8" t="s">
        <v>140</v>
      </c>
      <c r="F34" s="6" t="s">
        <v>141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142</v>
      </c>
      <c r="B35" s="6" t="s">
        <v>10</v>
      </c>
      <c r="C35" s="6" t="s">
        <v>11</v>
      </c>
      <c r="D35" s="7" t="s">
        <v>143</v>
      </c>
      <c r="E35" s="8" t="s">
        <v>144</v>
      </c>
      <c r="F35" s="6" t="s">
        <v>145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146</v>
      </c>
      <c r="B36" s="6" t="s">
        <v>10</v>
      </c>
      <c r="C36" s="6" t="s">
        <v>11</v>
      </c>
      <c r="D36" s="7" t="s">
        <v>120</v>
      </c>
      <c r="E36" s="8" t="s">
        <v>147</v>
      </c>
      <c r="F36" s="6" t="s">
        <v>148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149</v>
      </c>
      <c r="B37" s="6" t="s">
        <v>59</v>
      </c>
      <c r="C37" s="6" t="s">
        <v>11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153</v>
      </c>
      <c r="B38" s="6" t="s">
        <v>10</v>
      </c>
      <c r="C38" s="6" t="s">
        <v>11</v>
      </c>
      <c r="D38" s="7" t="s">
        <v>91</v>
      </c>
      <c r="E38" s="8" t="s">
        <v>154</v>
      </c>
      <c r="F38" s="6" t="s">
        <v>155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156</v>
      </c>
      <c r="B39" s="6" t="s">
        <v>10</v>
      </c>
      <c r="C39" s="6" t="s">
        <v>11</v>
      </c>
      <c r="D39" s="7" t="s">
        <v>157</v>
      </c>
      <c r="E39" s="8" t="s">
        <v>158</v>
      </c>
      <c r="F39" s="6" t="s">
        <v>159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95</v>
      </c>
      <c r="B40" s="6" t="s">
        <v>19</v>
      </c>
      <c r="C40" s="6" t="s">
        <v>11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163</v>
      </c>
      <c r="B41" s="6" t="s">
        <v>15</v>
      </c>
      <c r="C41" s="6" t="s">
        <v>11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167</v>
      </c>
      <c r="B42" s="6" t="s">
        <v>10</v>
      </c>
      <c r="C42" s="6" t="s">
        <v>11</v>
      </c>
      <c r="D42" s="7" t="s">
        <v>168</v>
      </c>
      <c r="E42" s="8" t="s">
        <v>169</v>
      </c>
      <c r="F42" s="6" t="s">
        <v>170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171</v>
      </c>
      <c r="B43" s="6" t="s">
        <v>19</v>
      </c>
      <c r="C43" s="6" t="s">
        <v>11</v>
      </c>
      <c r="D43" s="7" t="s">
        <v>172</v>
      </c>
      <c r="E43" s="8" t="s">
        <v>173</v>
      </c>
      <c r="F43" s="6" t="s">
        <v>174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175</v>
      </c>
      <c r="B44" s="6" t="s">
        <v>10</v>
      </c>
      <c r="C44" s="6" t="s">
        <v>11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179</v>
      </c>
      <c r="B45" s="6" t="s">
        <v>10</v>
      </c>
      <c r="C45" s="6" t="s">
        <v>11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183</v>
      </c>
      <c r="B46" s="6" t="s">
        <v>10</v>
      </c>
      <c r="C46" s="6" t="s">
        <v>11</v>
      </c>
      <c r="D46" s="7" t="s">
        <v>69</v>
      </c>
      <c r="E46" s="8" t="s">
        <v>184</v>
      </c>
      <c r="F46" s="6" t="s">
        <v>185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186</v>
      </c>
      <c r="B47" s="6" t="s">
        <v>15</v>
      </c>
      <c r="C47" s="6" t="s">
        <v>11</v>
      </c>
      <c r="D47" s="7" t="s">
        <v>150</v>
      </c>
      <c r="E47" s="8" t="s">
        <v>187</v>
      </c>
      <c r="F47" s="6" t="s">
        <v>188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189</v>
      </c>
      <c r="B48" s="6" t="s">
        <v>20</v>
      </c>
      <c r="C48" s="6" t="s">
        <v>11</v>
      </c>
      <c r="D48" s="7" t="s">
        <v>190</v>
      </c>
      <c r="E48" s="8" t="s">
        <v>191</v>
      </c>
      <c r="F48" s="6" t="s">
        <v>192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193</v>
      </c>
      <c r="B49" s="6" t="s">
        <v>15</v>
      </c>
      <c r="C49" s="6" t="s">
        <v>11</v>
      </c>
      <c r="D49" s="7" t="s">
        <v>194</v>
      </c>
      <c r="E49" s="8" t="s">
        <v>195</v>
      </c>
      <c r="F49" s="6" t="s">
        <v>196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197</v>
      </c>
      <c r="B50" s="6" t="s">
        <v>15</v>
      </c>
      <c r="C50" s="6" t="s">
        <v>11</v>
      </c>
      <c r="D50" s="7" t="s">
        <v>198</v>
      </c>
      <c r="E50" s="8" t="s">
        <v>199</v>
      </c>
      <c r="F50" s="6" t="s">
        <v>200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201</v>
      </c>
      <c r="B51" s="6" t="s">
        <v>24</v>
      </c>
      <c r="C51" s="6" t="s">
        <v>11</v>
      </c>
      <c r="D51" s="7" t="s">
        <v>143</v>
      </c>
      <c r="E51" s="8" t="s">
        <v>202</v>
      </c>
      <c r="F51" s="6" t="s">
        <v>203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204</v>
      </c>
      <c r="B52" s="6" t="s">
        <v>10</v>
      </c>
      <c r="C52" s="6" t="s">
        <v>11</v>
      </c>
      <c r="D52" s="7" t="s">
        <v>37</v>
      </c>
      <c r="E52" s="8" t="s">
        <v>205</v>
      </c>
      <c r="F52" s="6" t="s">
        <v>206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207</v>
      </c>
      <c r="B53" s="6" t="s">
        <v>19</v>
      </c>
      <c r="C53" s="6" t="s">
        <v>11</v>
      </c>
      <c r="D53" s="7" t="s">
        <v>208</v>
      </c>
      <c r="E53" s="8" t="s">
        <v>209</v>
      </c>
      <c r="F53" s="6" t="s">
        <v>210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211</v>
      </c>
      <c r="B54" s="6" t="s">
        <v>10</v>
      </c>
      <c r="C54" s="6" t="s">
        <v>11</v>
      </c>
      <c r="D54" s="7" t="s">
        <v>91</v>
      </c>
      <c r="E54" s="8" t="s">
        <v>212</v>
      </c>
      <c r="F54" s="6" t="s">
        <v>213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214</v>
      </c>
      <c r="B55" s="6" t="s">
        <v>10</v>
      </c>
      <c r="C55" s="6" t="s">
        <v>11</v>
      </c>
      <c r="D55" s="7" t="s">
        <v>215</v>
      </c>
      <c r="E55" s="8" t="s">
        <v>216</v>
      </c>
      <c r="F55" s="6" t="s">
        <v>217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218</v>
      </c>
      <c r="B56" s="6" t="s">
        <v>24</v>
      </c>
      <c r="C56" s="6" t="s">
        <v>11</v>
      </c>
      <c r="D56" s="7" t="s">
        <v>81</v>
      </c>
      <c r="E56" s="8" t="s">
        <v>219</v>
      </c>
      <c r="F56" s="6" t="s">
        <v>220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221</v>
      </c>
      <c r="B57" s="6" t="s">
        <v>10</v>
      </c>
      <c r="C57" s="6" t="s">
        <v>11</v>
      </c>
      <c r="D57" s="7" t="s">
        <v>222</v>
      </c>
      <c r="E57" s="8" t="s">
        <v>223</v>
      </c>
      <c r="F57" s="6" t="s">
        <v>224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225</v>
      </c>
      <c r="B58" s="6" t="s">
        <v>15</v>
      </c>
      <c r="C58" s="6" t="s">
        <v>11</v>
      </c>
      <c r="D58" s="7" t="s">
        <v>226</v>
      </c>
      <c r="E58" s="8" t="s">
        <v>227</v>
      </c>
      <c r="F58" s="6" t="s">
        <v>228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229</v>
      </c>
      <c r="B59" s="6" t="s">
        <v>10</v>
      </c>
      <c r="C59" s="6" t="s">
        <v>11</v>
      </c>
      <c r="D59" s="7" t="s">
        <v>160</v>
      </c>
      <c r="E59" s="8" t="s">
        <v>230</v>
      </c>
      <c r="F59" s="6" t="s">
        <v>231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232</v>
      </c>
      <c r="B60" s="6" t="s">
        <v>10</v>
      </c>
      <c r="C60" s="6" t="s">
        <v>11</v>
      </c>
      <c r="D60" s="7" t="s">
        <v>91</v>
      </c>
      <c r="E60" s="8" t="s">
        <v>233</v>
      </c>
      <c r="F60" s="6" t="s">
        <v>234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235</v>
      </c>
      <c r="B61" s="6" t="s">
        <v>10</v>
      </c>
      <c r="C61" s="6" t="s">
        <v>11</v>
      </c>
      <c r="D61" s="7" t="s">
        <v>69</v>
      </c>
      <c r="E61" s="8" t="s">
        <v>236</v>
      </c>
      <c r="F61" s="6" t="s">
        <v>237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238</v>
      </c>
      <c r="B62" s="6" t="s">
        <v>15</v>
      </c>
      <c r="C62" s="6" t="s">
        <v>11</v>
      </c>
      <c r="D62" s="7" t="s">
        <v>239</v>
      </c>
      <c r="E62" s="8" t="s">
        <v>240</v>
      </c>
      <c r="F62" s="6" t="s">
        <v>241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242</v>
      </c>
      <c r="B63" s="6" t="s">
        <v>10</v>
      </c>
      <c r="C63" s="6" t="s">
        <v>11</v>
      </c>
      <c r="D63" s="7" t="s">
        <v>160</v>
      </c>
      <c r="E63" s="8" t="s">
        <v>243</v>
      </c>
      <c r="F63" s="6" t="s">
        <v>244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245</v>
      </c>
      <c r="B64" s="6" t="s">
        <v>10</v>
      </c>
      <c r="C64" s="6" t="s">
        <v>11</v>
      </c>
      <c r="D64" s="7" t="s">
        <v>246</v>
      </c>
      <c r="E64" s="8" t="s">
        <v>247</v>
      </c>
      <c r="F64" s="6" t="s">
        <v>248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249</v>
      </c>
      <c r="B65" s="6" t="s">
        <v>10</v>
      </c>
      <c r="C65" s="6" t="s">
        <v>11</v>
      </c>
      <c r="D65" s="7" t="s">
        <v>91</v>
      </c>
      <c r="E65" s="8" t="s">
        <v>250</v>
      </c>
      <c r="F65" s="6" t="s">
        <v>251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252</v>
      </c>
      <c r="B66" s="6" t="s">
        <v>28</v>
      </c>
      <c r="C66" s="6" t="s">
        <v>11</v>
      </c>
      <c r="D66" s="7" t="s">
        <v>253</v>
      </c>
      <c r="E66" s="8" t="s">
        <v>254</v>
      </c>
      <c r="F66" s="6" t="s">
        <v>255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256</v>
      </c>
      <c r="B67" s="6" t="s">
        <v>32</v>
      </c>
      <c r="C67" s="6" t="s">
        <v>11</v>
      </c>
      <c r="D67" s="7" t="s">
        <v>257</v>
      </c>
      <c r="E67" s="8" t="s">
        <v>258</v>
      </c>
      <c r="F67" s="6" t="s">
        <v>259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260</v>
      </c>
      <c r="B68" s="6" t="s">
        <v>55</v>
      </c>
      <c r="C68" s="6" t="s">
        <v>11</v>
      </c>
      <c r="D68" s="7" t="s">
        <v>120</v>
      </c>
      <c r="E68" s="8" t="s">
        <v>261</v>
      </c>
      <c r="F68" s="6" t="s">
        <v>262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263</v>
      </c>
      <c r="B69" s="6" t="s">
        <v>15</v>
      </c>
      <c r="C69" s="6" t="s">
        <v>11</v>
      </c>
      <c r="D69" s="7" t="s">
        <v>264</v>
      </c>
      <c r="E69" s="8" t="s">
        <v>265</v>
      </c>
      <c r="F69" s="6" t="s">
        <v>266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267</v>
      </c>
      <c r="B70" s="6" t="s">
        <v>15</v>
      </c>
      <c r="C70" s="6" t="s">
        <v>11</v>
      </c>
      <c r="D70" s="7" t="s">
        <v>268</v>
      </c>
      <c r="E70" s="8" t="s">
        <v>269</v>
      </c>
      <c r="F70" s="6" t="s">
        <v>270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271</v>
      </c>
      <c r="B71" s="6" t="s">
        <v>28</v>
      </c>
      <c r="C71" s="6" t="s">
        <v>11</v>
      </c>
      <c r="D71" s="7" t="s">
        <v>272</v>
      </c>
      <c r="E71" s="8" t="s">
        <v>273</v>
      </c>
      <c r="F71" s="6" t="s">
        <v>274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275</v>
      </c>
      <c r="B72" s="6" t="s">
        <v>24</v>
      </c>
      <c r="C72" s="6" t="s">
        <v>11</v>
      </c>
      <c r="D72" s="7" t="s">
        <v>120</v>
      </c>
      <c r="E72" s="8" t="s">
        <v>276</v>
      </c>
      <c r="F72" s="6" t="s">
        <v>277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278</v>
      </c>
      <c r="B73" s="6" t="s">
        <v>10</v>
      </c>
      <c r="C73" s="6" t="s">
        <v>11</v>
      </c>
      <c r="D73" s="7" t="s">
        <v>279</v>
      </c>
      <c r="E73" s="8" t="s">
        <v>280</v>
      </c>
      <c r="F73" s="6" t="s">
        <v>281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282</v>
      </c>
      <c r="B74" s="6" t="s">
        <v>15</v>
      </c>
      <c r="C74" s="6" t="s">
        <v>11</v>
      </c>
      <c r="D74" s="7" t="s">
        <v>283</v>
      </c>
      <c r="E74" s="8" t="s">
        <v>284</v>
      </c>
      <c r="F74" s="6" t="s">
        <v>285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286</v>
      </c>
      <c r="B75" s="6" t="s">
        <v>72</v>
      </c>
      <c r="C75" s="6" t="s">
        <v>11</v>
      </c>
      <c r="D75" s="7" t="s">
        <v>25</v>
      </c>
      <c r="E75" s="8" t="s">
        <v>287</v>
      </c>
      <c r="F75" s="6" t="s">
        <v>288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289</v>
      </c>
      <c r="B76" s="6" t="s">
        <v>10</v>
      </c>
      <c r="C76" s="6" t="s">
        <v>11</v>
      </c>
      <c r="D76" s="7" t="s">
        <v>25</v>
      </c>
      <c r="E76" s="8" t="s">
        <v>290</v>
      </c>
      <c r="F76" s="6" t="s">
        <v>291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292</v>
      </c>
      <c r="B77" s="6" t="s">
        <v>32</v>
      </c>
      <c r="C77" s="6" t="s">
        <v>11</v>
      </c>
      <c r="D77" s="7" t="s">
        <v>293</v>
      </c>
      <c r="E77" s="8" t="s">
        <v>294</v>
      </c>
      <c r="F77" s="6" t="s">
        <v>295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296</v>
      </c>
      <c r="B78" s="6" t="s">
        <v>10</v>
      </c>
      <c r="C78" s="6" t="s">
        <v>11</v>
      </c>
      <c r="D78" s="7" t="s">
        <v>297</v>
      </c>
      <c r="E78" s="8" t="s">
        <v>298</v>
      </c>
      <c r="F78" s="6" t="s">
        <v>299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300</v>
      </c>
      <c r="B79" s="6" t="s">
        <v>10</v>
      </c>
      <c r="C79" s="6" t="s">
        <v>11</v>
      </c>
      <c r="D79" s="7" t="s">
        <v>264</v>
      </c>
      <c r="E79" s="8" t="s">
        <v>301</v>
      </c>
      <c r="F79" s="6" t="s">
        <v>302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303</v>
      </c>
      <c r="B80" s="6" t="s">
        <v>10</v>
      </c>
      <c r="C80" s="6" t="s">
        <v>11</v>
      </c>
      <c r="D80" s="7" t="s">
        <v>304</v>
      </c>
      <c r="E80" s="8" t="s">
        <v>305</v>
      </c>
      <c r="F80" s="6" t="s">
        <v>306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307</v>
      </c>
      <c r="B81" s="6" t="s">
        <v>43</v>
      </c>
      <c r="C81" s="6" t="s">
        <v>11</v>
      </c>
      <c r="D81" s="7" t="s">
        <v>308</v>
      </c>
      <c r="E81" s="8" t="s">
        <v>309</v>
      </c>
      <c r="F81" s="6" t="s">
        <v>310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311</v>
      </c>
      <c r="B82" s="6" t="s">
        <v>10</v>
      </c>
      <c r="C82" s="6" t="s">
        <v>11</v>
      </c>
      <c r="D82" s="7" t="s">
        <v>312</v>
      </c>
      <c r="E82" s="8" t="s">
        <v>313</v>
      </c>
      <c r="F82" s="6" t="s">
        <v>314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315</v>
      </c>
      <c r="B83" s="6" t="s">
        <v>10</v>
      </c>
      <c r="C83" s="6" t="s">
        <v>11</v>
      </c>
      <c r="D83" s="7" t="s">
        <v>143</v>
      </c>
      <c r="E83" s="8" t="s">
        <v>316</v>
      </c>
      <c r="F83" s="6" t="s">
        <v>317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318</v>
      </c>
      <c r="B84" s="6" t="s">
        <v>10</v>
      </c>
      <c r="C84" s="6" t="s">
        <v>11</v>
      </c>
      <c r="D84" s="7" t="s">
        <v>143</v>
      </c>
      <c r="E84" s="8" t="s">
        <v>319</v>
      </c>
      <c r="F84" s="6" t="s">
        <v>320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321</v>
      </c>
      <c r="B85" s="6" t="s">
        <v>19</v>
      </c>
      <c r="C85" s="6" t="s">
        <v>11</v>
      </c>
      <c r="D85" s="7" t="s">
        <v>322</v>
      </c>
      <c r="E85" s="8" t="s">
        <v>323</v>
      </c>
      <c r="F85" s="6" t="s">
        <v>324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325</v>
      </c>
      <c r="B86" s="6" t="s">
        <v>43</v>
      </c>
      <c r="C86" s="6" t="s">
        <v>11</v>
      </c>
      <c r="D86" s="7" t="s">
        <v>124</v>
      </c>
      <c r="E86" s="8" t="s">
        <v>326</v>
      </c>
      <c r="F86" s="6" t="s">
        <v>327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328</v>
      </c>
      <c r="B87" s="6" t="s">
        <v>10</v>
      </c>
      <c r="C87" s="6" t="s">
        <v>11</v>
      </c>
      <c r="D87" s="7" t="s">
        <v>329</v>
      </c>
      <c r="E87" s="8" t="s">
        <v>330</v>
      </c>
      <c r="F87" s="6" t="s">
        <v>331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332</v>
      </c>
      <c r="B88" s="6" t="s">
        <v>28</v>
      </c>
      <c r="C88" s="6" t="s">
        <v>11</v>
      </c>
      <c r="D88" s="7" t="s">
        <v>333</v>
      </c>
      <c r="E88" s="8" t="s">
        <v>334</v>
      </c>
      <c r="F88" s="6" t="s">
        <v>335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336</v>
      </c>
      <c r="B89" s="6" t="s">
        <v>10</v>
      </c>
      <c r="C89" s="6" t="s">
        <v>11</v>
      </c>
      <c r="D89" s="7" t="s">
        <v>143</v>
      </c>
      <c r="E89" s="8" t="s">
        <v>337</v>
      </c>
      <c r="F89" s="6" t="s">
        <v>338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339</v>
      </c>
      <c r="B90" s="6" t="s">
        <v>19</v>
      </c>
      <c r="C90" s="6" t="s">
        <v>11</v>
      </c>
      <c r="D90" s="7" t="s">
        <v>264</v>
      </c>
      <c r="E90" s="8" t="s">
        <v>340</v>
      </c>
      <c r="F90" s="6" t="s">
        <v>341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342</v>
      </c>
      <c r="B91" s="6" t="s">
        <v>10</v>
      </c>
      <c r="C91" s="6" t="s">
        <v>11</v>
      </c>
      <c r="D91" s="7" t="s">
        <v>143</v>
      </c>
      <c r="E91" s="8" t="s">
        <v>343</v>
      </c>
      <c r="F91" s="6" t="s">
        <v>344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345</v>
      </c>
      <c r="B92" s="6" t="s">
        <v>36</v>
      </c>
      <c r="C92" s="6" t="s">
        <v>11</v>
      </c>
      <c r="D92" s="7" t="s">
        <v>160</v>
      </c>
      <c r="E92" s="8" t="s">
        <v>346</v>
      </c>
      <c r="F92" s="6" t="s">
        <v>347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348</v>
      </c>
      <c r="B93" s="6" t="s">
        <v>19</v>
      </c>
      <c r="C93" s="6" t="s">
        <v>11</v>
      </c>
      <c r="D93" s="7" t="s">
        <v>349</v>
      </c>
      <c r="E93" s="8" t="s">
        <v>350</v>
      </c>
      <c r="F93" s="6" t="s">
        <v>351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352</v>
      </c>
      <c r="B94" s="6" t="s">
        <v>15</v>
      </c>
      <c r="C94" s="6" t="s">
        <v>11</v>
      </c>
      <c r="D94" s="7" t="s">
        <v>353</v>
      </c>
      <c r="E94" s="8" t="s">
        <v>354</v>
      </c>
      <c r="F94" s="6" t="s">
        <v>355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356</v>
      </c>
      <c r="B95" s="6" t="s">
        <v>43</v>
      </c>
      <c r="C95" s="6" t="s">
        <v>11</v>
      </c>
      <c r="D95" s="7" t="s">
        <v>357</v>
      </c>
      <c r="E95" s="8" t="s">
        <v>358</v>
      </c>
      <c r="F95" s="6" t="s">
        <v>359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360</v>
      </c>
      <c r="B96" s="6" t="s">
        <v>10</v>
      </c>
      <c r="C96" s="6" t="s">
        <v>11</v>
      </c>
      <c r="D96" s="7" t="s">
        <v>91</v>
      </c>
      <c r="E96" s="8" t="s">
        <v>361</v>
      </c>
      <c r="F96" s="6" t="s">
        <v>362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363</v>
      </c>
      <c r="B97" s="6" t="s">
        <v>10</v>
      </c>
      <c r="C97" s="6" t="s">
        <v>364</v>
      </c>
      <c r="D97" s="7" t="s">
        <v>69</v>
      </c>
      <c r="E97" s="8" t="s">
        <v>365</v>
      </c>
      <c r="F97" s="6" t="s">
        <v>366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367</v>
      </c>
      <c r="B98" s="6" t="s">
        <v>19</v>
      </c>
      <c r="C98" s="6" t="s">
        <v>368</v>
      </c>
      <c r="D98" s="7" t="s">
        <v>369</v>
      </c>
      <c r="E98" s="8" t="s">
        <v>370</v>
      </c>
      <c r="F98" s="6" t="s">
        <v>371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372</v>
      </c>
      <c r="B99" s="6" t="s">
        <v>10</v>
      </c>
      <c r="C99" s="6" t="s">
        <v>11</v>
      </c>
      <c r="D99" s="7" t="s">
        <v>264</v>
      </c>
      <c r="E99" s="8" t="s">
        <v>373</v>
      </c>
      <c r="F99" s="6" t="s">
        <v>374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375</v>
      </c>
      <c r="B100" s="6" t="s">
        <v>32</v>
      </c>
      <c r="C100" s="6" t="s">
        <v>11</v>
      </c>
      <c r="D100" s="7" t="s">
        <v>124</v>
      </c>
      <c r="E100" s="8" t="s">
        <v>376</v>
      </c>
      <c r="F100" s="6" t="s">
        <v>377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378</v>
      </c>
      <c r="B101" s="6" t="s">
        <v>10</v>
      </c>
      <c r="C101" s="6" t="s">
        <v>11</v>
      </c>
      <c r="D101" s="7" t="s">
        <v>91</v>
      </c>
      <c r="E101" s="8" t="s">
        <v>379</v>
      </c>
      <c r="F101" s="6" t="s">
        <v>380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381</v>
      </c>
      <c r="B102" s="6" t="s">
        <v>15</v>
      </c>
      <c r="C102" s="6" t="s">
        <v>11</v>
      </c>
      <c r="D102" s="7" t="s">
        <v>382</v>
      </c>
      <c r="E102" s="8" t="s">
        <v>383</v>
      </c>
      <c r="F102" s="6" t="s">
        <v>384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385</v>
      </c>
      <c r="B103" s="6" t="s">
        <v>10</v>
      </c>
      <c r="C103" s="6" t="s">
        <v>11</v>
      </c>
      <c r="D103" s="7" t="s">
        <v>386</v>
      </c>
      <c r="E103" s="8" t="s">
        <v>387</v>
      </c>
      <c r="F103" s="6" t="s">
        <v>388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389</v>
      </c>
      <c r="B104" s="6" t="s">
        <v>10</v>
      </c>
      <c r="C104" s="6" t="s">
        <v>11</v>
      </c>
      <c r="D104" s="7" t="s">
        <v>124</v>
      </c>
      <c r="E104" s="8" t="s">
        <v>390</v>
      </c>
      <c r="F104" s="6" t="s">
        <v>391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392</v>
      </c>
      <c r="B105" s="6" t="s">
        <v>55</v>
      </c>
      <c r="C105" s="6" t="s">
        <v>11</v>
      </c>
      <c r="D105" s="7" t="s">
        <v>264</v>
      </c>
      <c r="E105" s="8" t="s">
        <v>393</v>
      </c>
      <c r="F105" s="6" t="s">
        <v>394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395</v>
      </c>
      <c r="B106" s="6" t="s">
        <v>10</v>
      </c>
      <c r="C106" s="6" t="s">
        <v>11</v>
      </c>
      <c r="D106" s="7" t="s">
        <v>143</v>
      </c>
      <c r="E106" s="8" t="s">
        <v>396</v>
      </c>
      <c r="F106" s="6" t="s">
        <v>397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398</v>
      </c>
      <c r="B107" s="6" t="s">
        <v>10</v>
      </c>
      <c r="C107" s="6" t="s">
        <v>11</v>
      </c>
      <c r="D107" s="7" t="s">
        <v>69</v>
      </c>
      <c r="E107" s="8" t="s">
        <v>236</v>
      </c>
      <c r="F107" s="6" t="s">
        <v>399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400</v>
      </c>
      <c r="B108" s="6" t="s">
        <v>10</v>
      </c>
      <c r="C108" s="6" t="s">
        <v>11</v>
      </c>
      <c r="D108" s="7" t="s">
        <v>401</v>
      </c>
      <c r="E108" s="8" t="s">
        <v>402</v>
      </c>
      <c r="F108" s="6" t="s">
        <v>403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404</v>
      </c>
      <c r="B109" s="6" t="s">
        <v>10</v>
      </c>
      <c r="C109" s="6" t="s">
        <v>11</v>
      </c>
      <c r="D109" s="7" t="s">
        <v>91</v>
      </c>
      <c r="E109" s="8" t="s">
        <v>405</v>
      </c>
      <c r="F109" s="6" t="s">
        <v>406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407</v>
      </c>
      <c r="B110" s="6" t="s">
        <v>10</v>
      </c>
      <c r="C110" s="6" t="s">
        <v>11</v>
      </c>
      <c r="D110" s="7" t="s">
        <v>408</v>
      </c>
      <c r="E110" s="8" t="s">
        <v>409</v>
      </c>
      <c r="F110" s="6" t="s">
        <v>410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411</v>
      </c>
      <c r="B111" s="6" t="s">
        <v>10</v>
      </c>
      <c r="C111" s="6" t="s">
        <v>11</v>
      </c>
      <c r="D111" s="7" t="s">
        <v>69</v>
      </c>
      <c r="E111" s="8" t="s">
        <v>412</v>
      </c>
      <c r="F111" s="6" t="s">
        <v>413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414</v>
      </c>
      <c r="B112" s="6" t="s">
        <v>15</v>
      </c>
      <c r="C112" s="6" t="s">
        <v>11</v>
      </c>
      <c r="D112" s="7" t="s">
        <v>415</v>
      </c>
      <c r="E112" s="8" t="s">
        <v>416</v>
      </c>
      <c r="F112" s="6" t="s">
        <v>417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418</v>
      </c>
      <c r="B113" s="6" t="s">
        <v>10</v>
      </c>
      <c r="C113" s="6" t="s">
        <v>11</v>
      </c>
      <c r="D113" s="7" t="s">
        <v>91</v>
      </c>
      <c r="E113" s="8" t="s">
        <v>419</v>
      </c>
      <c r="F113" s="6" t="s">
        <v>420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421</v>
      </c>
      <c r="B114" s="6" t="s">
        <v>15</v>
      </c>
      <c r="C114" s="6" t="s">
        <v>11</v>
      </c>
      <c r="D114" s="7" t="s">
        <v>143</v>
      </c>
      <c r="E114" s="8" t="s">
        <v>422</v>
      </c>
      <c r="F114" s="6" t="s">
        <v>423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424</v>
      </c>
      <c r="B115" s="6" t="s">
        <v>24</v>
      </c>
      <c r="C115" s="6" t="s">
        <v>11</v>
      </c>
      <c r="D115" s="7" t="s">
        <v>425</v>
      </c>
      <c r="E115" s="8" t="s">
        <v>426</v>
      </c>
      <c r="F115" s="6" t="s">
        <v>427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428</v>
      </c>
      <c r="B116" s="6" t="s">
        <v>111</v>
      </c>
      <c r="C116" s="6" t="s">
        <v>11</v>
      </c>
      <c r="D116" s="7" t="s">
        <v>429</v>
      </c>
      <c r="E116" s="8" t="s">
        <v>430</v>
      </c>
      <c r="F116" s="6" t="s">
        <v>431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432</v>
      </c>
      <c r="B117" s="6" t="s">
        <v>15</v>
      </c>
      <c r="C117" s="6" t="s">
        <v>11</v>
      </c>
      <c r="D117" s="7" t="s">
        <v>143</v>
      </c>
      <c r="E117" s="8" t="s">
        <v>433</v>
      </c>
      <c r="F117" s="6" t="s">
        <v>434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435</v>
      </c>
      <c r="B118" s="6" t="s">
        <v>15</v>
      </c>
      <c r="C118" s="6" t="s">
        <v>11</v>
      </c>
      <c r="D118" s="7" t="s">
        <v>436</v>
      </c>
      <c r="E118" s="8" t="s">
        <v>437</v>
      </c>
      <c r="F118" s="6" t="s">
        <v>438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439</v>
      </c>
      <c r="B119" s="6" t="s">
        <v>10</v>
      </c>
      <c r="C119" s="6" t="s">
        <v>11</v>
      </c>
      <c r="D119" s="7" t="s">
        <v>37</v>
      </c>
      <c r="E119" s="8" t="s">
        <v>440</v>
      </c>
      <c r="F119" s="6" t="s">
        <v>441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442</v>
      </c>
      <c r="B120" s="6" t="s">
        <v>10</v>
      </c>
      <c r="C120" s="6" t="s">
        <v>11</v>
      </c>
      <c r="D120" s="7" t="s">
        <v>91</v>
      </c>
      <c r="E120" s="8" t="s">
        <v>443</v>
      </c>
      <c r="F120" s="6" t="s">
        <v>444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445</v>
      </c>
      <c r="B121" s="6" t="s">
        <v>10</v>
      </c>
      <c r="C121" s="6" t="s">
        <v>11</v>
      </c>
      <c r="D121" s="7" t="s">
        <v>37</v>
      </c>
      <c r="E121" s="8" t="s">
        <v>446</v>
      </c>
      <c r="F121" s="6" t="s">
        <v>447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448</v>
      </c>
      <c r="B122" s="6" t="s">
        <v>10</v>
      </c>
      <c r="C122" s="6" t="s">
        <v>11</v>
      </c>
      <c r="D122" s="7" t="s">
        <v>449</v>
      </c>
      <c r="E122" s="8" t="s">
        <v>450</v>
      </c>
      <c r="F122" s="6" t="s">
        <v>451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452</v>
      </c>
      <c r="B123" s="6" t="s">
        <v>10</v>
      </c>
      <c r="C123" s="6" t="s">
        <v>11</v>
      </c>
      <c r="D123" s="7" t="s">
        <v>453</v>
      </c>
      <c r="E123" s="8" t="s">
        <v>454</v>
      </c>
      <c r="F123" s="6" t="s">
        <v>455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456</v>
      </c>
      <c r="B124" s="6" t="s">
        <v>10</v>
      </c>
      <c r="C124" s="6" t="s">
        <v>11</v>
      </c>
      <c r="D124" s="7" t="s">
        <v>91</v>
      </c>
      <c r="E124" s="8" t="s">
        <v>405</v>
      </c>
      <c r="F124" s="6" t="s">
        <v>457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458</v>
      </c>
      <c r="B125" s="6" t="s">
        <v>24</v>
      </c>
      <c r="C125" s="6" t="s">
        <v>11</v>
      </c>
      <c r="D125" s="7" t="s">
        <v>459</v>
      </c>
      <c r="E125" s="8" t="s">
        <v>460</v>
      </c>
      <c r="F125" s="6" t="s">
        <v>461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462</v>
      </c>
      <c r="B126" s="6" t="s">
        <v>15</v>
      </c>
      <c r="C126" s="6" t="s">
        <v>11</v>
      </c>
      <c r="D126" s="7" t="s">
        <v>463</v>
      </c>
      <c r="E126" s="8" t="s">
        <v>464</v>
      </c>
      <c r="F126" s="6" t="s">
        <v>465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466</v>
      </c>
      <c r="B127" s="6" t="s">
        <v>24</v>
      </c>
      <c r="C127" s="6" t="s">
        <v>11</v>
      </c>
      <c r="D127" s="7" t="s">
        <v>453</v>
      </c>
      <c r="E127" s="8" t="s">
        <v>467</v>
      </c>
      <c r="F127" s="6" t="s">
        <v>468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469</v>
      </c>
      <c r="B128" s="6" t="s">
        <v>28</v>
      </c>
      <c r="C128" s="6" t="s">
        <v>11</v>
      </c>
      <c r="D128" s="7" t="s">
        <v>143</v>
      </c>
      <c r="E128" s="8" t="s">
        <v>470</v>
      </c>
      <c r="F128" s="6" t="s">
        <v>471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472</v>
      </c>
      <c r="B129" s="6" t="s">
        <v>55</v>
      </c>
      <c r="C129" s="6" t="s">
        <v>11</v>
      </c>
      <c r="D129" s="7" t="s">
        <v>473</v>
      </c>
      <c r="E129" s="8" t="s">
        <v>474</v>
      </c>
      <c r="F129" s="6" t="s">
        <v>475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476</v>
      </c>
      <c r="B130" s="6" t="s">
        <v>10</v>
      </c>
      <c r="C130" s="6" t="s">
        <v>11</v>
      </c>
      <c r="D130" s="7" t="s">
        <v>143</v>
      </c>
      <c r="E130" s="8" t="s">
        <v>477</v>
      </c>
      <c r="F130" s="6" t="s">
        <v>478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479</v>
      </c>
      <c r="B131" s="6" t="s">
        <v>10</v>
      </c>
      <c r="C131" s="6" t="s">
        <v>11</v>
      </c>
      <c r="D131" s="7" t="s">
        <v>143</v>
      </c>
      <c r="E131" s="8" t="s">
        <v>480</v>
      </c>
      <c r="F131" s="6" t="s">
        <v>481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482</v>
      </c>
      <c r="B132" s="6" t="s">
        <v>19</v>
      </c>
      <c r="C132" s="6" t="s">
        <v>11</v>
      </c>
      <c r="D132" s="7" t="s">
        <v>150</v>
      </c>
      <c r="E132" s="8" t="s">
        <v>483</v>
      </c>
      <c r="F132" s="6" t="s">
        <v>484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485</v>
      </c>
      <c r="B133" s="6" t="s">
        <v>19</v>
      </c>
      <c r="C133" s="6" t="s">
        <v>11</v>
      </c>
      <c r="D133" s="7" t="s">
        <v>73</v>
      </c>
      <c r="E133" s="8" t="s">
        <v>486</v>
      </c>
      <c r="F133" s="6" t="s">
        <v>487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488</v>
      </c>
      <c r="B134" s="6" t="s">
        <v>10</v>
      </c>
      <c r="C134" s="6" t="s">
        <v>11</v>
      </c>
      <c r="D134" s="7" t="s">
        <v>69</v>
      </c>
      <c r="E134" s="8" t="s">
        <v>489</v>
      </c>
      <c r="F134" s="6" t="s">
        <v>490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  <row r="135" spans="1:10" ht="60" customHeight="1">
      <c r="A135" s="6" t="s">
        <v>491</v>
      </c>
      <c r="B135" s="6" t="s">
        <v>10</v>
      </c>
      <c r="C135" s="6" t="s">
        <v>11</v>
      </c>
      <c r="D135" s="7" t="s">
        <v>91</v>
      </c>
      <c r="E135" s="8" t="s">
        <v>492</v>
      </c>
      <c r="F135" s="6" t="s">
        <v>493</v>
      </c>
      <c r="G135" s="9">
        <f>IF(A135=1,"_",IF(C135="_","???",C135))</f>
        <v/>
      </c>
      <c r="H135" s="10" t="s">
        <v>11</v>
      </c>
      <c r="I135" s="11" t="s">
        <v>11</v>
      </c>
      <c r="J135" s="12"/>
    </row>
    <row r="136" spans="1:10" ht="60" customHeight="1">
      <c r="A136" s="6" t="s">
        <v>494</v>
      </c>
      <c r="B136" s="6" t="s">
        <v>10</v>
      </c>
      <c r="C136" s="6" t="s">
        <v>11</v>
      </c>
      <c r="D136" s="7" t="s">
        <v>143</v>
      </c>
      <c r="E136" s="8" t="s">
        <v>495</v>
      </c>
      <c r="F136" s="6" t="s">
        <v>496</v>
      </c>
      <c r="G136" s="9">
        <f>IF(A136=1,"_",IF(C136="_","???",C136))</f>
        <v/>
      </c>
      <c r="H136" s="10" t="s">
        <v>11</v>
      </c>
      <c r="I136" s="11" t="s">
        <v>11</v>
      </c>
      <c r="J136" s="12"/>
    </row>
    <row r="137" spans="1:10" ht="60" customHeight="1">
      <c r="A137" s="6" t="s">
        <v>497</v>
      </c>
      <c r="B137" s="6" t="s">
        <v>19</v>
      </c>
      <c r="C137" s="6" t="s">
        <v>11</v>
      </c>
      <c r="D137" s="7" t="s">
        <v>498</v>
      </c>
      <c r="E137" s="8" t="s">
        <v>499</v>
      </c>
      <c r="F137" s="6" t="s">
        <v>500</v>
      </c>
      <c r="G137" s="9">
        <f>IF(A137=1,"_",IF(C137="_","???",C137))</f>
        <v/>
      </c>
      <c r="H137" s="10" t="s">
        <v>11</v>
      </c>
      <c r="I137" s="11" t="s">
        <v>11</v>
      </c>
      <c r="J137" s="12"/>
    </row>
    <row r="138" spans="1:10" ht="60" customHeight="1">
      <c r="A138" s="6" t="s">
        <v>501</v>
      </c>
      <c r="B138" s="6" t="s">
        <v>28</v>
      </c>
      <c r="C138" s="6" t="s">
        <v>11</v>
      </c>
      <c r="D138" s="7" t="s">
        <v>502</v>
      </c>
      <c r="E138" s="8" t="s">
        <v>503</v>
      </c>
      <c r="F138" s="6" t="s">
        <v>504</v>
      </c>
      <c r="G138" s="9">
        <f>IF(A138=1,"_",IF(C138="_","???",C138))</f>
        <v/>
      </c>
      <c r="H138" s="10" t="s">
        <v>11</v>
      </c>
      <c r="I138" s="11" t="s">
        <v>11</v>
      </c>
      <c r="J138" s="12"/>
    </row>
    <row r="139" spans="1:10" ht="60" customHeight="1">
      <c r="A139" s="6" t="s">
        <v>505</v>
      </c>
      <c r="B139" s="6" t="s">
        <v>15</v>
      </c>
      <c r="C139" s="6" t="s">
        <v>11</v>
      </c>
      <c r="D139" s="7" t="s">
        <v>283</v>
      </c>
      <c r="E139" s="8" t="s">
        <v>506</v>
      </c>
      <c r="F139" s="6" t="s">
        <v>507</v>
      </c>
      <c r="G139" s="9">
        <f>IF(A139=1,"_",IF(C139="_","???",C139))</f>
        <v/>
      </c>
      <c r="H139" s="10" t="s">
        <v>11</v>
      </c>
      <c r="I139" s="11" t="s">
        <v>11</v>
      </c>
      <c r="J139" s="12"/>
    </row>
    <row r="140" spans="1:10" ht="60" customHeight="1">
      <c r="A140" s="6" t="s">
        <v>508</v>
      </c>
      <c r="B140" s="6" t="s">
        <v>10</v>
      </c>
      <c r="C140" s="6" t="s">
        <v>11</v>
      </c>
      <c r="D140" s="7" t="s">
        <v>69</v>
      </c>
      <c r="E140" s="8" t="s">
        <v>509</v>
      </c>
      <c r="F140" s="6" t="s">
        <v>510</v>
      </c>
      <c r="G140" s="9">
        <f>IF(A140=1,"_",IF(C140="_","???",C140))</f>
        <v/>
      </c>
      <c r="H140" s="10" t="s">
        <v>11</v>
      </c>
      <c r="I140" s="11" t="s">
        <v>11</v>
      </c>
      <c r="J140" s="12"/>
    </row>
    <row r="141" spans="1:10" ht="60" customHeight="1">
      <c r="A141" s="6" t="s">
        <v>511</v>
      </c>
      <c r="B141" s="6" t="s">
        <v>19</v>
      </c>
      <c r="C141" s="6" t="s">
        <v>11</v>
      </c>
      <c r="D141" s="7" t="s">
        <v>415</v>
      </c>
      <c r="E141" s="8" t="s">
        <v>512</v>
      </c>
      <c r="F141" s="6" t="s">
        <v>513</v>
      </c>
      <c r="G141" s="9">
        <f>IF(A141=1,"_",IF(C141="_","???",C141))</f>
        <v/>
      </c>
      <c r="H141" s="10" t="s">
        <v>11</v>
      </c>
      <c r="I141" s="11" t="s">
        <v>11</v>
      </c>
      <c r="J141" s="12"/>
    </row>
    <row r="142" spans="1:10" ht="60" customHeight="1">
      <c r="A142" s="6" t="s">
        <v>514</v>
      </c>
      <c r="B142" s="6" t="s">
        <v>10</v>
      </c>
      <c r="C142" s="6" t="s">
        <v>11</v>
      </c>
      <c r="D142" s="7" t="s">
        <v>91</v>
      </c>
      <c r="E142" s="8" t="s">
        <v>233</v>
      </c>
      <c r="F142" s="6" t="s">
        <v>515</v>
      </c>
      <c r="G142" s="9">
        <f>IF(A142=1,"_",IF(C142="_","???",C142))</f>
        <v/>
      </c>
      <c r="H142" s="10" t="s">
        <v>11</v>
      </c>
      <c r="I142" s="11" t="s">
        <v>11</v>
      </c>
      <c r="J142" s="12"/>
    </row>
    <row r="143" spans="1:10" ht="60" customHeight="1">
      <c r="A143" s="6" t="s">
        <v>516</v>
      </c>
      <c r="B143" s="6" t="s">
        <v>36</v>
      </c>
      <c r="C143" s="6" t="s">
        <v>11</v>
      </c>
      <c r="D143" s="7" t="s">
        <v>143</v>
      </c>
      <c r="E143" s="8" t="s">
        <v>517</v>
      </c>
      <c r="F143" s="6" t="s">
        <v>518</v>
      </c>
      <c r="G143" s="9">
        <f>IF(A143=1,"_",IF(C143="_","???",C143))</f>
        <v/>
      </c>
      <c r="H143" s="10" t="s">
        <v>11</v>
      </c>
      <c r="I143" s="11" t="s">
        <v>11</v>
      </c>
      <c r="J143" s="12"/>
    </row>
    <row r="144" spans="1:10" ht="60" customHeight="1">
      <c r="A144" s="6" t="s">
        <v>519</v>
      </c>
      <c r="B144" s="6" t="s">
        <v>10</v>
      </c>
      <c r="C144" s="6" t="s">
        <v>11</v>
      </c>
      <c r="D144" s="7" t="s">
        <v>520</v>
      </c>
      <c r="E144" s="8" t="s">
        <v>521</v>
      </c>
      <c r="F144" s="6" t="s">
        <v>522</v>
      </c>
      <c r="G144" s="9">
        <f>IF(A144=1,"_",IF(C144="_","???",C144))</f>
        <v/>
      </c>
      <c r="H144" s="10" t="s">
        <v>11</v>
      </c>
      <c r="I144" s="11" t="s">
        <v>11</v>
      </c>
      <c r="J144" s="12"/>
    </row>
    <row r="145" spans="1:10" ht="60" customHeight="1">
      <c r="A145" s="6" t="s">
        <v>523</v>
      </c>
      <c r="B145" s="6" t="s">
        <v>15</v>
      </c>
      <c r="C145" s="6" t="s">
        <v>11</v>
      </c>
      <c r="D145" s="7" t="s">
        <v>81</v>
      </c>
      <c r="E145" s="8" t="s">
        <v>524</v>
      </c>
      <c r="F145" s="6" t="s">
        <v>525</v>
      </c>
      <c r="G145" s="9">
        <f>IF(A145=1,"_",IF(C145="_","???",C145))</f>
        <v/>
      </c>
      <c r="H145" s="10" t="s">
        <v>11</v>
      </c>
      <c r="I145" s="11" t="s">
        <v>11</v>
      </c>
      <c r="J145" s="12"/>
    </row>
    <row r="146" spans="1:10" ht="60" customHeight="1">
      <c r="A146" s="6" t="s">
        <v>526</v>
      </c>
      <c r="B146" s="6" t="s">
        <v>10</v>
      </c>
      <c r="C146" s="6" t="s">
        <v>11</v>
      </c>
      <c r="D146" s="7" t="s">
        <v>415</v>
      </c>
      <c r="E146" s="8" t="s">
        <v>527</v>
      </c>
      <c r="F146" s="6" t="s">
        <v>528</v>
      </c>
      <c r="G146" s="9">
        <f>IF(A146=1,"_",IF(C146="_","???",C146))</f>
        <v/>
      </c>
      <c r="H146" s="10" t="s">
        <v>11</v>
      </c>
      <c r="I146" s="11" t="s">
        <v>11</v>
      </c>
      <c r="J146" s="12"/>
    </row>
    <row r="147" spans="1:10" ht="60" customHeight="1">
      <c r="A147" s="6" t="s">
        <v>529</v>
      </c>
      <c r="B147" s="6" t="s">
        <v>28</v>
      </c>
      <c r="C147" s="6" t="s">
        <v>11</v>
      </c>
      <c r="D147" s="7" t="s">
        <v>530</v>
      </c>
      <c r="E147" s="8" t="s">
        <v>531</v>
      </c>
      <c r="F147" s="6" t="s">
        <v>532</v>
      </c>
      <c r="G147" s="9">
        <f>IF(A147=1,"_",IF(C147="_","???",C147))</f>
        <v/>
      </c>
      <c r="H147" s="10" t="s">
        <v>11</v>
      </c>
      <c r="I147" s="11" t="s">
        <v>11</v>
      </c>
      <c r="J147" s="12"/>
    </row>
    <row r="148" spans="1:10" ht="60" customHeight="1">
      <c r="A148" s="6" t="s">
        <v>533</v>
      </c>
      <c r="B148" s="6" t="s">
        <v>10</v>
      </c>
      <c r="C148" s="6" t="s">
        <v>11</v>
      </c>
      <c r="D148" s="7" t="s">
        <v>534</v>
      </c>
      <c r="E148" s="8" t="s">
        <v>535</v>
      </c>
      <c r="F148" s="6" t="s">
        <v>536</v>
      </c>
      <c r="G148" s="9">
        <f>IF(A148=1,"_",IF(C148="_","???",C148))</f>
        <v/>
      </c>
      <c r="H148" s="10" t="s">
        <v>11</v>
      </c>
      <c r="I148" s="11" t="s">
        <v>11</v>
      </c>
      <c r="J148" s="12"/>
    </row>
    <row r="149" spans="1:10" ht="60" customHeight="1">
      <c r="A149" s="6" t="s">
        <v>537</v>
      </c>
      <c r="B149" s="6" t="s">
        <v>10</v>
      </c>
      <c r="C149" s="6" t="s">
        <v>11</v>
      </c>
      <c r="D149" s="7" t="s">
        <v>538</v>
      </c>
      <c r="E149" s="8" t="s">
        <v>539</v>
      </c>
      <c r="F149" s="6" t="s">
        <v>540</v>
      </c>
      <c r="G149" s="9">
        <f>IF(A149=1,"_",IF(C149="_","???",C149))</f>
        <v/>
      </c>
      <c r="H149" s="10" t="s">
        <v>11</v>
      </c>
      <c r="I149" s="11" t="s">
        <v>11</v>
      </c>
      <c r="J149" s="12"/>
    </row>
    <row r="150" spans="1:10" ht="60" customHeight="1">
      <c r="A150" s="6" t="s">
        <v>541</v>
      </c>
      <c r="B150" s="6" t="s">
        <v>15</v>
      </c>
      <c r="C150" s="6" t="s">
        <v>11</v>
      </c>
      <c r="D150" s="7" t="s">
        <v>542</v>
      </c>
      <c r="E150" s="8" t="s">
        <v>543</v>
      </c>
      <c r="F150" s="6" t="s">
        <v>544</v>
      </c>
      <c r="G150" s="9">
        <f>IF(A150=1,"_",IF(C150="_","???",C150))</f>
        <v/>
      </c>
      <c r="H150" s="10" t="s">
        <v>11</v>
      </c>
      <c r="I150" s="11" t="s">
        <v>11</v>
      </c>
      <c r="J150" s="12"/>
    </row>
    <row r="151" spans="1:10" ht="60" customHeight="1">
      <c r="A151" s="6" t="s">
        <v>545</v>
      </c>
      <c r="B151" s="6" t="s">
        <v>10</v>
      </c>
      <c r="C151" s="6" t="s">
        <v>11</v>
      </c>
      <c r="D151" s="7" t="s">
        <v>143</v>
      </c>
      <c r="E151" s="8" t="s">
        <v>546</v>
      </c>
      <c r="F151" s="6" t="s">
        <v>547</v>
      </c>
      <c r="G151" s="9">
        <f>IF(A151=1,"_",IF(C151="_","???",C151))</f>
        <v/>
      </c>
      <c r="H151" s="10" t="s">
        <v>11</v>
      </c>
      <c r="I151" s="11" t="s">
        <v>11</v>
      </c>
      <c r="J151" s="12"/>
    </row>
    <row r="152" spans="1:10" ht="60" customHeight="1">
      <c r="A152" s="6" t="s">
        <v>548</v>
      </c>
      <c r="B152" s="6" t="s">
        <v>28</v>
      </c>
      <c r="C152" s="6" t="s">
        <v>11</v>
      </c>
      <c r="D152" s="7" t="s">
        <v>436</v>
      </c>
      <c r="E152" s="8" t="s">
        <v>549</v>
      </c>
      <c r="F152" s="6" t="s">
        <v>550</v>
      </c>
      <c r="G152" s="9">
        <f>IF(A152=1,"_",IF(C152="_","???",C152))</f>
        <v/>
      </c>
      <c r="H152" s="10" t="s">
        <v>11</v>
      </c>
      <c r="I152" s="11" t="s">
        <v>11</v>
      </c>
      <c r="J152" s="12"/>
    </row>
    <row r="153" spans="1:10" ht="60" customHeight="1">
      <c r="A153" s="6" t="s">
        <v>551</v>
      </c>
      <c r="B153" s="6" t="s">
        <v>15</v>
      </c>
      <c r="C153" s="6" t="s">
        <v>11</v>
      </c>
      <c r="D153" s="7" t="s">
        <v>552</v>
      </c>
      <c r="E153" s="8" t="s">
        <v>553</v>
      </c>
      <c r="F153" s="6" t="s">
        <v>554</v>
      </c>
      <c r="G153" s="9">
        <f>IF(A153=1,"_",IF(C153="_","???",C153))</f>
        <v/>
      </c>
      <c r="H153" s="10" t="s">
        <v>11</v>
      </c>
      <c r="I153" s="11" t="s">
        <v>11</v>
      </c>
      <c r="J153" s="12"/>
    </row>
    <row r="154" spans="1:10" ht="60" customHeight="1">
      <c r="A154" s="6" t="s">
        <v>555</v>
      </c>
      <c r="B154" s="6" t="s">
        <v>10</v>
      </c>
      <c r="C154" s="6" t="s">
        <v>11</v>
      </c>
      <c r="D154" s="7" t="s">
        <v>556</v>
      </c>
      <c r="E154" s="8" t="s">
        <v>557</v>
      </c>
      <c r="F154" s="6" t="s">
        <v>558</v>
      </c>
      <c r="G154" s="9">
        <f>IF(A154=1,"_",IF(C154="_","???",C154))</f>
        <v/>
      </c>
      <c r="H154" s="10" t="s">
        <v>11</v>
      </c>
      <c r="I154" s="11" t="s">
        <v>11</v>
      </c>
      <c r="J154" s="12"/>
    </row>
    <row r="155" spans="1:10" ht="60" customHeight="1">
      <c r="A155" s="6" t="s">
        <v>559</v>
      </c>
      <c r="B155" s="6" t="s">
        <v>10</v>
      </c>
      <c r="C155" s="6" t="s">
        <v>11</v>
      </c>
      <c r="D155" s="7" t="s">
        <v>37</v>
      </c>
      <c r="E155" s="8" t="s">
        <v>560</v>
      </c>
      <c r="F155" s="6" t="s">
        <v>561</v>
      </c>
      <c r="G155" s="9">
        <f>IF(A155=1,"_",IF(C155="_","???",C155))</f>
        <v/>
      </c>
      <c r="H155" s="10" t="s">
        <v>11</v>
      </c>
      <c r="I155" s="11" t="s">
        <v>11</v>
      </c>
      <c r="J155" s="12"/>
    </row>
    <row r="156" spans="1:10" ht="60" customHeight="1">
      <c r="A156" s="6" t="s">
        <v>562</v>
      </c>
      <c r="B156" s="6" t="s">
        <v>10</v>
      </c>
      <c r="C156" s="6" t="s">
        <v>11</v>
      </c>
      <c r="D156" s="7" t="s">
        <v>91</v>
      </c>
      <c r="E156" s="8" t="s">
        <v>563</v>
      </c>
      <c r="F156" s="6" t="s">
        <v>564</v>
      </c>
      <c r="G156" s="9">
        <f>IF(A156=1,"_",IF(C156="_","???",C156))</f>
        <v/>
      </c>
      <c r="H156" s="10" t="s">
        <v>11</v>
      </c>
      <c r="I156" s="11" t="s">
        <v>11</v>
      </c>
      <c r="J156" s="12"/>
    </row>
    <row r="157" spans="1:10" ht="60" customHeight="1">
      <c r="A157" s="6" t="s">
        <v>565</v>
      </c>
      <c r="B157" s="6" t="s">
        <v>32</v>
      </c>
      <c r="C157" s="6" t="s">
        <v>11</v>
      </c>
      <c r="D157" s="7" t="s">
        <v>566</v>
      </c>
      <c r="E157" s="8" t="s">
        <v>567</v>
      </c>
      <c r="F157" s="6" t="s">
        <v>568</v>
      </c>
      <c r="G157" s="9">
        <f>IF(A157=1,"_",IF(C157="_","???",C157))</f>
        <v/>
      </c>
      <c r="H157" s="10" t="s">
        <v>11</v>
      </c>
      <c r="I157" s="11" t="s">
        <v>11</v>
      </c>
      <c r="J157" s="12"/>
    </row>
    <row r="158" spans="1:10" ht="60" customHeight="1">
      <c r="A158" s="6" t="s">
        <v>569</v>
      </c>
      <c r="B158" s="6" t="s">
        <v>15</v>
      </c>
      <c r="C158" s="6" t="s">
        <v>11</v>
      </c>
      <c r="D158" s="7" t="s">
        <v>570</v>
      </c>
      <c r="E158" s="8" t="s">
        <v>571</v>
      </c>
      <c r="F158" s="6" t="s">
        <v>572</v>
      </c>
      <c r="G158" s="9">
        <f>IF(A158=1,"_",IF(C158="_","???",C158))</f>
        <v/>
      </c>
      <c r="H158" s="10" t="s">
        <v>11</v>
      </c>
      <c r="I158" s="11" t="s">
        <v>11</v>
      </c>
      <c r="J158" s="12"/>
    </row>
    <row r="159" spans="1:10" ht="60" customHeight="1">
      <c r="A159" s="6" t="s">
        <v>573</v>
      </c>
      <c r="B159" s="6" t="s">
        <v>99</v>
      </c>
      <c r="C159" s="6" t="s">
        <v>11</v>
      </c>
      <c r="D159" s="7" t="s">
        <v>574</v>
      </c>
      <c r="E159" s="8" t="s">
        <v>575</v>
      </c>
      <c r="F159" s="6" t="s">
        <v>576</v>
      </c>
      <c r="G159" s="9">
        <f>IF(A159=1,"_",IF(C159="_","???",C159))</f>
        <v/>
      </c>
      <c r="H159" s="10" t="s">
        <v>11</v>
      </c>
      <c r="I159" s="11" t="s">
        <v>11</v>
      </c>
      <c r="J159" s="12"/>
    </row>
    <row r="160" spans="1:10" ht="60" customHeight="1">
      <c r="A160" s="6" t="s">
        <v>577</v>
      </c>
      <c r="B160" s="6" t="s">
        <v>24</v>
      </c>
      <c r="C160" s="6" t="s">
        <v>11</v>
      </c>
      <c r="D160" s="7" t="s">
        <v>578</v>
      </c>
      <c r="E160" s="8" t="s">
        <v>579</v>
      </c>
      <c r="F160" s="6" t="s">
        <v>580</v>
      </c>
      <c r="G160" s="9">
        <f>IF(A160=1,"_",IF(C160="_","???",C160))</f>
        <v/>
      </c>
      <c r="H160" s="10" t="s">
        <v>11</v>
      </c>
      <c r="I160" s="11" t="s">
        <v>11</v>
      </c>
      <c r="J160" s="12"/>
    </row>
    <row r="161" spans="1:10" ht="60" customHeight="1">
      <c r="A161" s="6" t="s">
        <v>581</v>
      </c>
      <c r="B161" s="6" t="s">
        <v>10</v>
      </c>
      <c r="C161" s="6" t="s">
        <v>11</v>
      </c>
      <c r="D161" s="7" t="s">
        <v>143</v>
      </c>
      <c r="E161" s="8" t="s">
        <v>582</v>
      </c>
      <c r="F161" s="6" t="s">
        <v>583</v>
      </c>
      <c r="G161" s="9">
        <f>IF(A161=1,"_",IF(C161="_","???",C161))</f>
        <v/>
      </c>
      <c r="H161" s="10" t="s">
        <v>11</v>
      </c>
      <c r="I161" s="11" t="s">
        <v>11</v>
      </c>
      <c r="J161" s="12"/>
    </row>
    <row r="162" spans="1:10" ht="60" customHeight="1">
      <c r="A162" s="6" t="s">
        <v>584</v>
      </c>
      <c r="B162" s="6" t="s">
        <v>10</v>
      </c>
      <c r="C162" s="6" t="s">
        <v>11</v>
      </c>
      <c r="D162" s="7" t="s">
        <v>69</v>
      </c>
      <c r="E162" s="8" t="s">
        <v>585</v>
      </c>
      <c r="F162" s="6" t="s">
        <v>586</v>
      </c>
      <c r="G162" s="9">
        <f>IF(A162=1,"_",IF(C162="_","???",C162))</f>
        <v/>
      </c>
      <c r="H162" s="10" t="s">
        <v>11</v>
      </c>
      <c r="I162" s="11" t="s">
        <v>11</v>
      </c>
      <c r="J162" s="12"/>
    </row>
    <row r="163" spans="1:10" ht="60" customHeight="1">
      <c r="A163" s="6" t="s">
        <v>587</v>
      </c>
      <c r="B163" s="6" t="s">
        <v>72</v>
      </c>
      <c r="C163" s="6" t="s">
        <v>11</v>
      </c>
      <c r="D163" s="7" t="s">
        <v>150</v>
      </c>
      <c r="E163" s="8" t="s">
        <v>588</v>
      </c>
      <c r="F163" s="6" t="s">
        <v>589</v>
      </c>
      <c r="G163" s="9">
        <f>IF(A163=1,"_",IF(C163="_","???",C163))</f>
        <v/>
      </c>
      <c r="H163" s="10" t="s">
        <v>11</v>
      </c>
      <c r="I163" s="11" t="s">
        <v>11</v>
      </c>
      <c r="J163" s="12"/>
    </row>
    <row r="164" spans="1:10" ht="60" customHeight="1">
      <c r="A164" s="6" t="s">
        <v>590</v>
      </c>
      <c r="B164" s="6" t="s">
        <v>10</v>
      </c>
      <c r="C164" s="6" t="s">
        <v>11</v>
      </c>
      <c r="D164" s="7" t="s">
        <v>69</v>
      </c>
      <c r="E164" s="8" t="s">
        <v>591</v>
      </c>
      <c r="F164" s="6" t="s">
        <v>592</v>
      </c>
      <c r="G164" s="9">
        <f>IF(A164=1,"_",IF(C164="_","???",C164))</f>
        <v/>
      </c>
      <c r="H164" s="10" t="s">
        <v>11</v>
      </c>
      <c r="I164" s="11" t="s">
        <v>11</v>
      </c>
      <c r="J164" s="12"/>
    </row>
    <row r="165" spans="1:10" ht="60" customHeight="1">
      <c r="A165" s="6" t="s">
        <v>593</v>
      </c>
      <c r="B165" s="6" t="s">
        <v>10</v>
      </c>
      <c r="C165" s="6" t="s">
        <v>11</v>
      </c>
      <c r="D165" s="7" t="s">
        <v>91</v>
      </c>
      <c r="E165" s="8" t="s">
        <v>594</v>
      </c>
      <c r="F165" s="6" t="s">
        <v>595</v>
      </c>
      <c r="G165" s="9">
        <f>IF(A165=1,"_",IF(C165="_","???",C165))</f>
        <v/>
      </c>
      <c r="H165" s="10" t="s">
        <v>11</v>
      </c>
      <c r="I165" s="11" t="s">
        <v>11</v>
      </c>
      <c r="J165" s="12"/>
    </row>
    <row r="166" spans="1:10" ht="60" customHeight="1">
      <c r="A166" s="6" t="s">
        <v>596</v>
      </c>
      <c r="B166" s="6" t="s">
        <v>10</v>
      </c>
      <c r="C166" s="6" t="s">
        <v>11</v>
      </c>
      <c r="D166" s="7" t="s">
        <v>264</v>
      </c>
      <c r="E166" s="8" t="s">
        <v>597</v>
      </c>
      <c r="F166" s="6" t="s">
        <v>598</v>
      </c>
      <c r="G166" s="9">
        <f>IF(A166=1,"_",IF(C166="_","???",C166))</f>
        <v/>
      </c>
      <c r="H166" s="10" t="s">
        <v>11</v>
      </c>
      <c r="I166" s="11" t="s">
        <v>11</v>
      </c>
      <c r="J166" s="12"/>
    </row>
    <row r="167" spans="1:10" ht="60" customHeight="1">
      <c r="A167" s="6" t="s">
        <v>599</v>
      </c>
      <c r="B167" s="6" t="s">
        <v>19</v>
      </c>
      <c r="C167" s="6" t="s">
        <v>11</v>
      </c>
      <c r="D167" s="7" t="s">
        <v>600</v>
      </c>
      <c r="E167" s="8" t="s">
        <v>601</v>
      </c>
      <c r="F167" s="6" t="s">
        <v>602</v>
      </c>
      <c r="G167" s="9">
        <f>IF(A167=1,"_",IF(C167="_","???",C167))</f>
        <v/>
      </c>
      <c r="H167" s="10" t="s">
        <v>11</v>
      </c>
      <c r="I167" s="11" t="s">
        <v>11</v>
      </c>
      <c r="J167" s="12"/>
    </row>
    <row r="168" spans="1:10" ht="60" customHeight="1">
      <c r="A168" s="6" t="s">
        <v>603</v>
      </c>
      <c r="B168" s="6" t="s">
        <v>10</v>
      </c>
      <c r="C168" s="6" t="s">
        <v>11</v>
      </c>
      <c r="D168" s="7" t="s">
        <v>69</v>
      </c>
      <c r="E168" s="8" t="s">
        <v>604</v>
      </c>
      <c r="F168" s="6" t="s">
        <v>605</v>
      </c>
      <c r="G168" s="9">
        <f>IF(A168=1,"_",IF(C168="_","???",C168))</f>
        <v/>
      </c>
      <c r="H168" s="10" t="s">
        <v>11</v>
      </c>
      <c r="I168" s="11" t="s">
        <v>11</v>
      </c>
      <c r="J168" s="12"/>
    </row>
    <row r="169" spans="1:10" ht="60" customHeight="1">
      <c r="A169" s="6" t="s">
        <v>606</v>
      </c>
      <c r="B169" s="6" t="s">
        <v>20</v>
      </c>
      <c r="C169" s="6" t="s">
        <v>11</v>
      </c>
      <c r="D169" s="7" t="s">
        <v>607</v>
      </c>
      <c r="E169" s="8" t="s">
        <v>608</v>
      </c>
      <c r="F169" s="6" t="s">
        <v>609</v>
      </c>
      <c r="G169" s="9">
        <f>IF(A169=1,"_",IF(C169="_","???",C169))</f>
        <v/>
      </c>
      <c r="H169" s="10" t="s">
        <v>11</v>
      </c>
      <c r="I169" s="11" t="s">
        <v>11</v>
      </c>
      <c r="J169" s="12"/>
    </row>
    <row r="170" spans="1:10" ht="60" customHeight="1">
      <c r="A170" s="6" t="s">
        <v>610</v>
      </c>
      <c r="B170" s="6" t="s">
        <v>10</v>
      </c>
      <c r="C170" s="6" t="s">
        <v>11</v>
      </c>
      <c r="D170" s="7" t="s">
        <v>264</v>
      </c>
      <c r="E170" s="8" t="s">
        <v>611</v>
      </c>
      <c r="F170" s="6" t="s">
        <v>612</v>
      </c>
      <c r="G170" s="9">
        <f>IF(A170=1,"_",IF(C170="_","???",C170))</f>
        <v/>
      </c>
      <c r="H170" s="10" t="s">
        <v>11</v>
      </c>
      <c r="I170" s="11" t="s">
        <v>11</v>
      </c>
      <c r="J170" s="12"/>
    </row>
    <row r="171" spans="1:10" ht="60" customHeight="1">
      <c r="A171" s="6" t="s">
        <v>613</v>
      </c>
      <c r="B171" s="6" t="s">
        <v>24</v>
      </c>
      <c r="C171" s="6" t="s">
        <v>11</v>
      </c>
      <c r="D171" s="7" t="s">
        <v>614</v>
      </c>
      <c r="E171" s="8" t="s">
        <v>615</v>
      </c>
      <c r="F171" s="6" t="s">
        <v>616</v>
      </c>
      <c r="G171" s="9">
        <f>IF(A171=1,"_",IF(C171="_","???",C171))</f>
        <v/>
      </c>
      <c r="H171" s="10" t="s">
        <v>11</v>
      </c>
      <c r="I171" s="11" t="s">
        <v>11</v>
      </c>
      <c r="J171" s="12"/>
    </row>
    <row r="172" spans="1:10" ht="60" customHeight="1">
      <c r="A172" s="6" t="s">
        <v>617</v>
      </c>
      <c r="B172" s="6" t="s">
        <v>10</v>
      </c>
      <c r="C172" s="6" t="s">
        <v>11</v>
      </c>
      <c r="D172" s="7" t="s">
        <v>69</v>
      </c>
      <c r="E172" s="8" t="s">
        <v>618</v>
      </c>
      <c r="F172" s="6" t="s">
        <v>619</v>
      </c>
      <c r="G172" s="9">
        <f>IF(A172=1,"_",IF(C172="_","???",C172))</f>
        <v/>
      </c>
      <c r="H172" s="10" t="s">
        <v>11</v>
      </c>
      <c r="I172" s="11" t="s">
        <v>11</v>
      </c>
      <c r="J172" s="12"/>
    </row>
    <row r="173" spans="1:10" ht="60" customHeight="1">
      <c r="A173" s="6" t="s">
        <v>620</v>
      </c>
      <c r="B173" s="6" t="s">
        <v>10</v>
      </c>
      <c r="C173" s="6" t="s">
        <v>11</v>
      </c>
      <c r="D173" s="7" t="s">
        <v>91</v>
      </c>
      <c r="E173" s="8" t="s">
        <v>621</v>
      </c>
      <c r="F173" s="6" t="s">
        <v>622</v>
      </c>
      <c r="G173" s="9">
        <f>IF(A173=1,"_",IF(C173="_","???",C173))</f>
        <v/>
      </c>
      <c r="H173" s="10" t="s">
        <v>11</v>
      </c>
      <c r="I173" s="11" t="s">
        <v>11</v>
      </c>
      <c r="J173" s="12"/>
    </row>
    <row r="174" spans="1:10" ht="60" customHeight="1">
      <c r="A174" s="6" t="s">
        <v>623</v>
      </c>
      <c r="B174" s="6" t="s">
        <v>10</v>
      </c>
      <c r="C174" s="6" t="s">
        <v>11</v>
      </c>
      <c r="D174" s="7" t="s">
        <v>264</v>
      </c>
      <c r="E174" s="8" t="s">
        <v>624</v>
      </c>
      <c r="F174" s="6" t="s">
        <v>625</v>
      </c>
      <c r="G174" s="9">
        <f>IF(A174=1,"_",IF(C174="_","???",C174))</f>
        <v/>
      </c>
      <c r="H174" s="10" t="s">
        <v>11</v>
      </c>
      <c r="I174" s="11" t="s">
        <v>11</v>
      </c>
      <c r="J174" s="12"/>
    </row>
    <row r="175" spans="1:10" ht="60" customHeight="1">
      <c r="A175" s="6" t="s">
        <v>626</v>
      </c>
      <c r="B175" s="6" t="s">
        <v>15</v>
      </c>
      <c r="C175" s="6" t="s">
        <v>11</v>
      </c>
      <c r="D175" s="7" t="s">
        <v>627</v>
      </c>
      <c r="E175" s="8" t="s">
        <v>628</v>
      </c>
      <c r="F175" s="6" t="s">
        <v>629</v>
      </c>
      <c r="G175" s="9">
        <f>IF(A175=1,"_",IF(C175="_","???",C175))</f>
        <v/>
      </c>
      <c r="H175" s="10" t="s">
        <v>11</v>
      </c>
      <c r="I175" s="11" t="s">
        <v>11</v>
      </c>
      <c r="J175" s="12"/>
    </row>
    <row r="176" spans="1:10" ht="60" customHeight="1">
      <c r="A176" s="6" t="s">
        <v>630</v>
      </c>
      <c r="B176" s="6" t="s">
        <v>10</v>
      </c>
      <c r="C176" s="6" t="s">
        <v>11</v>
      </c>
      <c r="D176" s="7" t="s">
        <v>283</v>
      </c>
      <c r="E176" s="8" t="s">
        <v>631</v>
      </c>
      <c r="F176" s="6" t="s">
        <v>632</v>
      </c>
      <c r="G176" s="9">
        <f>IF(A176=1,"_",IF(C176="_","???",C176))</f>
        <v/>
      </c>
      <c r="H176" s="10" t="s">
        <v>11</v>
      </c>
      <c r="I176" s="11" t="s">
        <v>11</v>
      </c>
      <c r="J176" s="12"/>
    </row>
    <row r="177" spans="1:10" ht="60" customHeight="1">
      <c r="A177" s="6" t="s">
        <v>633</v>
      </c>
      <c r="B177" s="6" t="s">
        <v>10</v>
      </c>
      <c r="C177" s="6" t="s">
        <v>11</v>
      </c>
      <c r="D177" s="7" t="s">
        <v>69</v>
      </c>
      <c r="E177" s="8" t="s">
        <v>634</v>
      </c>
      <c r="F177" s="6" t="s">
        <v>635</v>
      </c>
      <c r="G177" s="9">
        <f>IF(A177=1,"_",IF(C177="_","???",C177))</f>
        <v/>
      </c>
      <c r="H177" s="10" t="s">
        <v>11</v>
      </c>
      <c r="I177" s="11" t="s">
        <v>11</v>
      </c>
      <c r="J177" s="12"/>
    </row>
    <row r="178" spans="1:10" ht="60" customHeight="1">
      <c r="A178" s="6" t="s">
        <v>636</v>
      </c>
      <c r="B178" s="6" t="s">
        <v>52</v>
      </c>
      <c r="C178" s="6" t="s">
        <v>11</v>
      </c>
      <c r="D178" s="7" t="s">
        <v>637</v>
      </c>
      <c r="E178" s="8" t="s">
        <v>638</v>
      </c>
      <c r="F178" s="6" t="s">
        <v>639</v>
      </c>
      <c r="G178" s="9">
        <f>IF(A178=1,"_",IF(C178="_","???",C178))</f>
        <v/>
      </c>
      <c r="H178" s="10" t="s">
        <v>11</v>
      </c>
      <c r="I178" s="11" t="s">
        <v>11</v>
      </c>
      <c r="J178" s="12"/>
    </row>
    <row r="179" spans="1:10" ht="60" customHeight="1">
      <c r="A179" s="6" t="s">
        <v>640</v>
      </c>
      <c r="B179" s="6" t="s">
        <v>10</v>
      </c>
      <c r="C179" s="6" t="s">
        <v>11</v>
      </c>
      <c r="D179" s="7" t="s">
        <v>415</v>
      </c>
      <c r="E179" s="8" t="s">
        <v>641</v>
      </c>
      <c r="F179" s="6" t="s">
        <v>642</v>
      </c>
      <c r="G179" s="9">
        <f>IF(A179=1,"_",IF(C179="_","???",C179))</f>
        <v/>
      </c>
      <c r="H179" s="10" t="s">
        <v>11</v>
      </c>
      <c r="I179" s="11" t="s">
        <v>11</v>
      </c>
      <c r="J179" s="12"/>
    </row>
    <row r="180" spans="1:10" ht="60" customHeight="1">
      <c r="A180" s="6" t="s">
        <v>643</v>
      </c>
      <c r="B180" s="6" t="s">
        <v>10</v>
      </c>
      <c r="C180" s="6" t="s">
        <v>11</v>
      </c>
      <c r="D180" s="7" t="s">
        <v>644</v>
      </c>
      <c r="E180" s="8" t="s">
        <v>645</v>
      </c>
      <c r="F180" s="6" t="s">
        <v>646</v>
      </c>
      <c r="G180" s="9">
        <f>IF(A180=1,"_",IF(C180="_","???",C180))</f>
        <v/>
      </c>
      <c r="H180" s="10" t="s">
        <v>11</v>
      </c>
      <c r="I180" s="11" t="s">
        <v>11</v>
      </c>
      <c r="J180" s="12"/>
    </row>
    <row r="181" spans="1:10" ht="60" customHeight="1">
      <c r="A181" s="6" t="s">
        <v>647</v>
      </c>
      <c r="B181" s="6" t="s">
        <v>10</v>
      </c>
      <c r="C181" s="6" t="s">
        <v>11</v>
      </c>
      <c r="D181" s="7" t="s">
        <v>69</v>
      </c>
      <c r="E181" s="8" t="s">
        <v>648</v>
      </c>
      <c r="F181" s="6" t="s">
        <v>649</v>
      </c>
      <c r="G181" s="9">
        <f>IF(A181=1,"_",IF(C181="_","???",C181))</f>
        <v/>
      </c>
      <c r="H181" s="10" t="s">
        <v>11</v>
      </c>
      <c r="I181" s="11" t="s">
        <v>11</v>
      </c>
      <c r="J181" s="12"/>
    </row>
    <row r="182" spans="1:10" ht="60" customHeight="1">
      <c r="A182" s="6" t="s">
        <v>650</v>
      </c>
      <c r="B182" s="6" t="s">
        <v>10</v>
      </c>
      <c r="C182" s="6" t="s">
        <v>11</v>
      </c>
      <c r="D182" s="7" t="s">
        <v>91</v>
      </c>
      <c r="E182" s="8" t="s">
        <v>651</v>
      </c>
      <c r="F182" s="6" t="s">
        <v>652</v>
      </c>
      <c r="G182" s="9">
        <f>IF(A182=1,"_",IF(C182="_","???",C182))</f>
        <v/>
      </c>
      <c r="H182" s="10" t="s">
        <v>11</v>
      </c>
      <c r="I182" s="11" t="s">
        <v>11</v>
      </c>
      <c r="J182" s="12"/>
    </row>
    <row r="183" spans="1:10" ht="60" customHeight="1">
      <c r="A183" s="6" t="s">
        <v>653</v>
      </c>
      <c r="B183" s="6" t="s">
        <v>32</v>
      </c>
      <c r="C183" s="6" t="s">
        <v>11</v>
      </c>
      <c r="D183" s="7" t="s">
        <v>654</v>
      </c>
      <c r="E183" s="8" t="s">
        <v>655</v>
      </c>
      <c r="F183" s="6" t="s">
        <v>656</v>
      </c>
      <c r="G183" s="9">
        <f>IF(A183=1,"_",IF(C183="_","???",C183))</f>
        <v/>
      </c>
      <c r="H183" s="10" t="s">
        <v>11</v>
      </c>
      <c r="I183" s="11" t="s">
        <v>11</v>
      </c>
      <c r="J183" s="12"/>
    </row>
    <row r="184" spans="1:10" ht="60" customHeight="1">
      <c r="A184" s="6" t="s">
        <v>657</v>
      </c>
      <c r="B184" s="6" t="s">
        <v>10</v>
      </c>
      <c r="C184" s="6" t="s">
        <v>11</v>
      </c>
      <c r="D184" s="7" t="s">
        <v>658</v>
      </c>
      <c r="E184" s="8" t="s">
        <v>659</v>
      </c>
      <c r="F184" s="6" t="s">
        <v>660</v>
      </c>
      <c r="G184" s="9">
        <f>IF(A184=1,"_",IF(C184="_","???",C184))</f>
        <v/>
      </c>
      <c r="H184" s="10" t="s">
        <v>11</v>
      </c>
      <c r="I184" s="11" t="s">
        <v>11</v>
      </c>
      <c r="J184" s="12"/>
    </row>
    <row r="185" spans="1:10" ht="60" customHeight="1">
      <c r="A185" s="6" t="s">
        <v>661</v>
      </c>
      <c r="B185" s="6" t="s">
        <v>10</v>
      </c>
      <c r="C185" s="6" t="s">
        <v>11</v>
      </c>
      <c r="D185" s="7" t="s">
        <v>69</v>
      </c>
      <c r="E185" s="8" t="s">
        <v>662</v>
      </c>
      <c r="F185" s="6" t="s">
        <v>663</v>
      </c>
      <c r="G185" s="9">
        <f>IF(A185=1,"_",IF(C185="_","???",C185))</f>
        <v/>
      </c>
      <c r="H185" s="10" t="s">
        <v>11</v>
      </c>
      <c r="I185" s="11" t="s">
        <v>11</v>
      </c>
      <c r="J185" s="12"/>
    </row>
    <row r="186" spans="1:10" ht="60" customHeight="1">
      <c r="A186" s="6" t="s">
        <v>664</v>
      </c>
      <c r="B186" s="6" t="s">
        <v>10</v>
      </c>
      <c r="C186" s="6" t="s">
        <v>11</v>
      </c>
      <c r="D186" s="7" t="s">
        <v>91</v>
      </c>
      <c r="E186" s="8" t="s">
        <v>665</v>
      </c>
      <c r="F186" s="6" t="s">
        <v>666</v>
      </c>
      <c r="G186" s="9">
        <f>IF(A186=1,"_",IF(C186="_","???",C186))</f>
        <v/>
      </c>
      <c r="H186" s="10" t="s">
        <v>11</v>
      </c>
      <c r="I186" s="11" t="s">
        <v>11</v>
      </c>
      <c r="J186" s="12"/>
    </row>
    <row r="187" spans="1:10" ht="60" customHeight="1">
      <c r="A187" s="6" t="s">
        <v>667</v>
      </c>
      <c r="B187" s="6" t="s">
        <v>10</v>
      </c>
      <c r="C187" s="6" t="s">
        <v>11</v>
      </c>
      <c r="D187" s="7" t="s">
        <v>668</v>
      </c>
      <c r="E187" s="8" t="s">
        <v>669</v>
      </c>
      <c r="F187" s="6" t="s">
        <v>670</v>
      </c>
      <c r="G187" s="9">
        <f>IF(A187=1,"_",IF(C187="_","???",C187))</f>
        <v/>
      </c>
      <c r="H187" s="10" t="s">
        <v>11</v>
      </c>
      <c r="I187" s="11" t="s">
        <v>11</v>
      </c>
      <c r="J187" s="12"/>
    </row>
    <row r="188" spans="1:10" ht="60" customHeight="1">
      <c r="A188" s="6" t="s">
        <v>671</v>
      </c>
      <c r="B188" s="6" t="s">
        <v>10</v>
      </c>
      <c r="C188" s="6" t="s">
        <v>11</v>
      </c>
      <c r="D188" s="7" t="s">
        <v>672</v>
      </c>
      <c r="E188" s="8" t="s">
        <v>673</v>
      </c>
      <c r="F188" s="6" t="s">
        <v>674</v>
      </c>
      <c r="G188" s="9">
        <f>IF(A188=1,"_",IF(C188="_","???",C188))</f>
        <v/>
      </c>
      <c r="H188" s="10" t="s">
        <v>11</v>
      </c>
      <c r="I188" s="11" t="s">
        <v>11</v>
      </c>
      <c r="J188" s="12"/>
    </row>
    <row r="189" spans="1:10" ht="60" customHeight="1">
      <c r="A189" s="6" t="s">
        <v>675</v>
      </c>
      <c r="B189" s="6" t="s">
        <v>10</v>
      </c>
      <c r="C189" s="6" t="s">
        <v>11</v>
      </c>
      <c r="D189" s="7" t="s">
        <v>69</v>
      </c>
      <c r="E189" s="8" t="s">
        <v>676</v>
      </c>
      <c r="F189" s="6" t="s">
        <v>677</v>
      </c>
      <c r="G189" s="9">
        <f>IF(A189=1,"_",IF(C189="_","???",C189))</f>
        <v/>
      </c>
      <c r="H189" s="10" t="s">
        <v>11</v>
      </c>
      <c r="I189" s="11" t="s">
        <v>11</v>
      </c>
      <c r="J189" s="12"/>
    </row>
    <row r="190" spans="1:10" ht="60" customHeight="1">
      <c r="A190" s="6" t="s">
        <v>678</v>
      </c>
      <c r="B190" s="6" t="s">
        <v>15</v>
      </c>
      <c r="C190" s="6" t="s">
        <v>11</v>
      </c>
      <c r="D190" s="7" t="s">
        <v>264</v>
      </c>
      <c r="E190" s="8" t="s">
        <v>679</v>
      </c>
      <c r="F190" s="6" t="s">
        <v>680</v>
      </c>
      <c r="G190" s="9">
        <f>IF(A190=1,"_",IF(C190="_","???",C190))</f>
        <v/>
      </c>
      <c r="H190" s="10" t="s">
        <v>11</v>
      </c>
      <c r="I190" s="11" t="s">
        <v>11</v>
      </c>
      <c r="J190" s="12"/>
    </row>
    <row r="191" spans="1:10" ht="60" customHeight="1">
      <c r="A191" s="6" t="s">
        <v>681</v>
      </c>
      <c r="B191" s="6" t="s">
        <v>10</v>
      </c>
      <c r="C191" s="6" t="s">
        <v>11</v>
      </c>
      <c r="D191" s="7" t="s">
        <v>91</v>
      </c>
      <c r="E191" s="8" t="s">
        <v>682</v>
      </c>
      <c r="F191" s="6" t="s">
        <v>683</v>
      </c>
      <c r="G191" s="9">
        <f>IF(A191=1,"_",IF(C191="_","???",C191))</f>
        <v/>
      </c>
      <c r="H191" s="10" t="s">
        <v>11</v>
      </c>
      <c r="I191" s="11" t="s">
        <v>11</v>
      </c>
      <c r="J191" s="12"/>
    </row>
    <row r="192" spans="1:10" ht="60" customHeight="1">
      <c r="A192" s="6" t="s">
        <v>684</v>
      </c>
      <c r="B192" s="6" t="s">
        <v>10</v>
      </c>
      <c r="C192" s="6" t="s">
        <v>11</v>
      </c>
      <c r="D192" s="7" t="s">
        <v>685</v>
      </c>
      <c r="E192" s="8" t="s">
        <v>686</v>
      </c>
      <c r="F192" s="6" t="s">
        <v>687</v>
      </c>
      <c r="G192" s="9">
        <f>IF(A192=1,"_",IF(C192="_","???",C192))</f>
        <v/>
      </c>
      <c r="H192" s="10" t="s">
        <v>11</v>
      </c>
      <c r="I192" s="11" t="s">
        <v>11</v>
      </c>
      <c r="J192" s="12"/>
    </row>
    <row r="193" spans="1:10" ht="60" customHeight="1">
      <c r="A193" s="6" t="s">
        <v>688</v>
      </c>
      <c r="B193" s="6" t="s">
        <v>15</v>
      </c>
      <c r="C193" s="6" t="s">
        <v>11</v>
      </c>
      <c r="D193" s="7" t="s">
        <v>425</v>
      </c>
      <c r="E193" s="8" t="s">
        <v>689</v>
      </c>
      <c r="F193" s="6" t="s">
        <v>690</v>
      </c>
      <c r="G193" s="9">
        <f>IF(A193=1,"_",IF(C193="_","???",C193))</f>
        <v/>
      </c>
      <c r="H193" s="10" t="s">
        <v>11</v>
      </c>
      <c r="I193" s="11" t="s">
        <v>11</v>
      </c>
      <c r="J193" s="12"/>
    </row>
    <row r="194" spans="1:10" ht="60" customHeight="1">
      <c r="A194" s="6" t="s">
        <v>691</v>
      </c>
      <c r="B194" s="6" t="s">
        <v>10</v>
      </c>
      <c r="C194" s="6" t="s">
        <v>11</v>
      </c>
      <c r="D194" s="7" t="s">
        <v>37</v>
      </c>
      <c r="E194" s="8" t="s">
        <v>692</v>
      </c>
      <c r="F194" s="6" t="s">
        <v>693</v>
      </c>
      <c r="G194" s="9">
        <f>IF(A194=1,"_",IF(C194="_","???",C194))</f>
        <v/>
      </c>
      <c r="H194" s="10" t="s">
        <v>11</v>
      </c>
      <c r="I194" s="11" t="s">
        <v>11</v>
      </c>
      <c r="J194" s="12"/>
    </row>
    <row r="195" spans="1:10" ht="60" customHeight="1">
      <c r="A195" s="6" t="s">
        <v>694</v>
      </c>
      <c r="B195" s="6" t="s">
        <v>10</v>
      </c>
      <c r="C195" s="6" t="s">
        <v>11</v>
      </c>
      <c r="D195" s="7" t="s">
        <v>91</v>
      </c>
      <c r="E195" s="8" t="s">
        <v>695</v>
      </c>
      <c r="F195" s="6" t="s">
        <v>696</v>
      </c>
      <c r="G195" s="9">
        <f>IF(A195=1,"_",IF(C195="_","???",C195))</f>
        <v/>
      </c>
      <c r="H195" s="10" t="s">
        <v>11</v>
      </c>
      <c r="I195" s="11" t="s">
        <v>11</v>
      </c>
      <c r="J195" s="12"/>
    </row>
    <row r="196" spans="1:10" ht="60" customHeight="1">
      <c r="A196" s="6" t="s">
        <v>697</v>
      </c>
      <c r="B196" s="6" t="s">
        <v>10</v>
      </c>
      <c r="C196" s="6" t="s">
        <v>11</v>
      </c>
      <c r="D196" s="7" t="s">
        <v>37</v>
      </c>
      <c r="E196" s="8" t="s">
        <v>698</v>
      </c>
      <c r="F196" s="6" t="s">
        <v>699</v>
      </c>
      <c r="G196" s="9">
        <f>IF(A196=1,"_",IF(C196="_","???",C196))</f>
        <v/>
      </c>
      <c r="H196" s="10" t="s">
        <v>11</v>
      </c>
      <c r="I196" s="11" t="s">
        <v>11</v>
      </c>
      <c r="J196" s="12"/>
    </row>
    <row r="197" spans="1:10" ht="60" customHeight="1">
      <c r="A197" s="6" t="s">
        <v>700</v>
      </c>
      <c r="B197" s="6" t="s">
        <v>10</v>
      </c>
      <c r="C197" s="6" t="s">
        <v>11</v>
      </c>
      <c r="D197" s="7" t="s">
        <v>91</v>
      </c>
      <c r="E197" s="8" t="s">
        <v>701</v>
      </c>
      <c r="F197" s="6" t="s">
        <v>702</v>
      </c>
      <c r="G197" s="9">
        <f>IF(A197=1,"_",IF(C197="_","???",C197))</f>
        <v/>
      </c>
      <c r="H197" s="10" t="s">
        <v>11</v>
      </c>
      <c r="I197" s="11" t="s">
        <v>11</v>
      </c>
      <c r="J197" s="12"/>
    </row>
    <row r="198" spans="1:10" ht="60" customHeight="1">
      <c r="A198" s="6" t="s">
        <v>703</v>
      </c>
      <c r="B198" s="6" t="s">
        <v>10</v>
      </c>
      <c r="C198" s="6" t="s">
        <v>11</v>
      </c>
      <c r="D198" s="7" t="s">
        <v>297</v>
      </c>
      <c r="E198" s="8" t="s">
        <v>704</v>
      </c>
      <c r="F198" s="6" t="s">
        <v>705</v>
      </c>
      <c r="G198" s="9">
        <f>IF(A198=1,"_",IF(C198="_","???",C198))</f>
        <v/>
      </c>
      <c r="H198" s="10" t="s">
        <v>11</v>
      </c>
      <c r="I198" s="11" t="s">
        <v>11</v>
      </c>
      <c r="J198" s="12"/>
    </row>
    <row r="199" spans="1:10" ht="60" customHeight="1">
      <c r="A199" s="6" t="s">
        <v>706</v>
      </c>
      <c r="B199" s="6" t="s">
        <v>15</v>
      </c>
      <c r="C199" s="6" t="s">
        <v>11</v>
      </c>
      <c r="D199" s="7" t="s">
        <v>707</v>
      </c>
      <c r="E199" s="8" t="s">
        <v>708</v>
      </c>
      <c r="F199" s="6" t="s">
        <v>709</v>
      </c>
      <c r="G199" s="9">
        <f>IF(A199=1,"_",IF(C199="_","???",C199))</f>
        <v/>
      </c>
      <c r="H199" s="10" t="s">
        <v>11</v>
      </c>
      <c r="I199" s="11" t="s">
        <v>11</v>
      </c>
      <c r="J199" s="12"/>
    </row>
    <row r="200" spans="1:10" ht="60" customHeight="1">
      <c r="A200" s="6" t="s">
        <v>710</v>
      </c>
      <c r="B200" s="6" t="s">
        <v>15</v>
      </c>
      <c r="C200" s="6" t="s">
        <v>11</v>
      </c>
      <c r="D200" s="7" t="s">
        <v>226</v>
      </c>
      <c r="E200" s="8" t="s">
        <v>711</v>
      </c>
      <c r="F200" s="6" t="s">
        <v>712</v>
      </c>
      <c r="G200" s="9">
        <f>IF(A200=1,"_",IF(C200="_","???",C200))</f>
        <v/>
      </c>
      <c r="H200" s="10" t="s">
        <v>11</v>
      </c>
      <c r="I200" s="11" t="s">
        <v>11</v>
      </c>
      <c r="J200" s="12"/>
    </row>
    <row r="201" spans="1:10" ht="60" customHeight="1">
      <c r="A201" s="6" t="s">
        <v>713</v>
      </c>
      <c r="B201" s="6" t="s">
        <v>28</v>
      </c>
      <c r="C201" s="6" t="s">
        <v>11</v>
      </c>
      <c r="D201" s="7" t="s">
        <v>386</v>
      </c>
      <c r="E201" s="8" t="s">
        <v>714</v>
      </c>
      <c r="F201" s="6" t="s">
        <v>715</v>
      </c>
      <c r="G201" s="9">
        <f>IF(A201=1,"_",IF(C201="_","???",C201))</f>
        <v/>
      </c>
      <c r="H201" s="10" t="s">
        <v>11</v>
      </c>
      <c r="I201" s="11" t="s">
        <v>11</v>
      </c>
      <c r="J201" s="12"/>
    </row>
    <row r="202" spans="1:10" ht="60" customHeight="1">
      <c r="A202" s="6" t="s">
        <v>716</v>
      </c>
      <c r="B202" s="6" t="s">
        <v>15</v>
      </c>
      <c r="C202" s="6" t="s">
        <v>11</v>
      </c>
      <c r="D202" s="7" t="s">
        <v>120</v>
      </c>
      <c r="E202" s="8" t="s">
        <v>717</v>
      </c>
      <c r="F202" s="6" t="s">
        <v>718</v>
      </c>
      <c r="G202" s="9">
        <f>IF(A202=1,"_",IF(C202="_","???",C202))</f>
        <v/>
      </c>
      <c r="H202" s="10" t="s">
        <v>11</v>
      </c>
      <c r="I202" s="11" t="s">
        <v>11</v>
      </c>
      <c r="J202" s="12"/>
    </row>
    <row r="203" spans="1:10" ht="60" customHeight="1">
      <c r="A203" s="6" t="s">
        <v>719</v>
      </c>
      <c r="B203" s="6" t="s">
        <v>19</v>
      </c>
      <c r="C203" s="6" t="s">
        <v>11</v>
      </c>
      <c r="D203" s="7" t="s">
        <v>150</v>
      </c>
      <c r="E203" s="8" t="s">
        <v>720</v>
      </c>
      <c r="F203" s="6" t="s">
        <v>721</v>
      </c>
      <c r="G203" s="9">
        <f>IF(A203=1,"_",IF(C203="_","???",C203))</f>
        <v/>
      </c>
      <c r="H203" s="10" t="s">
        <v>11</v>
      </c>
      <c r="I203" s="11" t="s">
        <v>11</v>
      </c>
      <c r="J203" s="12"/>
    </row>
    <row r="204" spans="1:10" ht="60" customHeight="1">
      <c r="A204" s="6" t="s">
        <v>722</v>
      </c>
      <c r="B204" s="6" t="s">
        <v>10</v>
      </c>
      <c r="C204" s="6" t="s">
        <v>11</v>
      </c>
      <c r="D204" s="7" t="s">
        <v>69</v>
      </c>
      <c r="E204" s="8" t="s">
        <v>236</v>
      </c>
      <c r="F204" s="6" t="s">
        <v>723</v>
      </c>
      <c r="G204" s="9">
        <f>IF(A204=1,"_",IF(C204="_","???",C204))</f>
        <v/>
      </c>
      <c r="H204" s="10" t="s">
        <v>11</v>
      </c>
      <c r="I204" s="11" t="s">
        <v>11</v>
      </c>
      <c r="J204" s="12"/>
    </row>
    <row r="205" spans="1:10" ht="60" customHeight="1">
      <c r="A205" s="6" t="s">
        <v>724</v>
      </c>
      <c r="B205" s="6" t="s">
        <v>10</v>
      </c>
      <c r="C205" s="6" t="s">
        <v>11</v>
      </c>
      <c r="D205" s="7" t="s">
        <v>264</v>
      </c>
      <c r="E205" s="8" t="s">
        <v>725</v>
      </c>
      <c r="F205" s="6" t="s">
        <v>726</v>
      </c>
      <c r="G205" s="9">
        <f>IF(A205=1,"_",IF(C205="_","???",C205))</f>
        <v/>
      </c>
      <c r="H205" s="10" t="s">
        <v>11</v>
      </c>
      <c r="I205" s="11" t="s">
        <v>11</v>
      </c>
      <c r="J205" s="12"/>
    </row>
    <row r="206" spans="1:10" ht="60" customHeight="1">
      <c r="A206" s="6" t="s">
        <v>727</v>
      </c>
      <c r="B206" s="6" t="s">
        <v>15</v>
      </c>
      <c r="C206" s="6" t="s">
        <v>11</v>
      </c>
      <c r="D206" s="7" t="s">
        <v>728</v>
      </c>
      <c r="E206" s="8" t="s">
        <v>729</v>
      </c>
      <c r="F206" s="6" t="s">
        <v>730</v>
      </c>
      <c r="G206" s="9">
        <f>IF(A206=1,"_",IF(C206="_","???",C206))</f>
        <v/>
      </c>
      <c r="H206" s="10" t="s">
        <v>11</v>
      </c>
      <c r="I206" s="11" t="s">
        <v>11</v>
      </c>
      <c r="J206" s="12"/>
    </row>
    <row r="207" spans="1:10" ht="60" customHeight="1">
      <c r="A207" s="6" t="s">
        <v>731</v>
      </c>
      <c r="B207" s="6" t="s">
        <v>10</v>
      </c>
      <c r="C207" s="6" t="s">
        <v>11</v>
      </c>
      <c r="D207" s="7" t="s">
        <v>91</v>
      </c>
      <c r="E207" s="8" t="s">
        <v>732</v>
      </c>
      <c r="F207" s="6" t="s">
        <v>733</v>
      </c>
      <c r="G207" s="9">
        <f>IF(A207=1,"_",IF(C207="_","???",C207))</f>
        <v/>
      </c>
      <c r="H207" s="10" t="s">
        <v>11</v>
      </c>
      <c r="I207" s="11" t="s">
        <v>11</v>
      </c>
      <c r="J207" s="12"/>
    </row>
    <row r="208" spans="1:10" ht="60" customHeight="1">
      <c r="A208" s="6" t="s">
        <v>734</v>
      </c>
      <c r="B208" s="6" t="s">
        <v>15</v>
      </c>
      <c r="C208" s="6" t="s">
        <v>11</v>
      </c>
      <c r="D208" s="7" t="s">
        <v>425</v>
      </c>
      <c r="E208" s="8" t="s">
        <v>735</v>
      </c>
      <c r="F208" s="6" t="s">
        <v>736</v>
      </c>
      <c r="G208" s="9">
        <f>IF(A208=1,"_",IF(C208="_","???",C208))</f>
        <v/>
      </c>
      <c r="H208" s="10" t="s">
        <v>11</v>
      </c>
      <c r="I208" s="11" t="s">
        <v>11</v>
      </c>
      <c r="J208" s="12"/>
    </row>
    <row r="209" spans="1:10" ht="60" customHeight="1">
      <c r="A209" s="6" t="s">
        <v>737</v>
      </c>
      <c r="B209" s="6" t="s">
        <v>28</v>
      </c>
      <c r="C209" s="6" t="s">
        <v>11</v>
      </c>
      <c r="D209" s="7" t="s">
        <v>738</v>
      </c>
      <c r="E209" s="8" t="s">
        <v>739</v>
      </c>
      <c r="F209" s="6" t="s">
        <v>740</v>
      </c>
      <c r="G209" s="9">
        <f>IF(A209=1,"_",IF(C209="_","???",C209))</f>
        <v/>
      </c>
      <c r="H209" s="10" t="s">
        <v>11</v>
      </c>
      <c r="I209" s="11" t="s">
        <v>11</v>
      </c>
      <c r="J209" s="12"/>
    </row>
    <row r="210" spans="1:10" ht="60" customHeight="1">
      <c r="A210" s="6" t="s">
        <v>741</v>
      </c>
      <c r="B210" s="6" t="s">
        <v>59</v>
      </c>
      <c r="C210" s="6" t="s">
        <v>11</v>
      </c>
      <c r="D210" s="7" t="s">
        <v>742</v>
      </c>
      <c r="E210" s="8" t="s">
        <v>743</v>
      </c>
      <c r="F210" s="6" t="s">
        <v>744</v>
      </c>
      <c r="G210" s="9">
        <f>IF(A210=1,"_",IF(C210="_","???",C210))</f>
        <v/>
      </c>
      <c r="H210" s="10" t="s">
        <v>11</v>
      </c>
      <c r="I210" s="11" t="s">
        <v>11</v>
      </c>
      <c r="J210" s="12"/>
    </row>
    <row r="211" spans="1:10" ht="60" customHeight="1">
      <c r="A211" s="6" t="s">
        <v>745</v>
      </c>
      <c r="B211" s="6" t="s">
        <v>10</v>
      </c>
      <c r="C211" s="6" t="s">
        <v>11</v>
      </c>
      <c r="D211" s="7" t="s">
        <v>157</v>
      </c>
      <c r="E211" s="8" t="s">
        <v>746</v>
      </c>
      <c r="F211" s="6" t="s">
        <v>747</v>
      </c>
      <c r="G211" s="9">
        <f>IF(A211=1,"_",IF(C211="_","???",C211))</f>
        <v/>
      </c>
      <c r="H211" s="10" t="s">
        <v>11</v>
      </c>
      <c r="I211" s="11" t="s">
        <v>11</v>
      </c>
      <c r="J211" s="12"/>
    </row>
    <row r="212" spans="1:10" ht="60" customHeight="1">
      <c r="A212" s="6" t="s">
        <v>748</v>
      </c>
      <c r="B212" s="6" t="s">
        <v>10</v>
      </c>
      <c r="C212" s="6" t="s">
        <v>11</v>
      </c>
      <c r="D212" s="7" t="s">
        <v>37</v>
      </c>
      <c r="E212" s="8" t="s">
        <v>749</v>
      </c>
      <c r="F212" s="6" t="s">
        <v>750</v>
      </c>
      <c r="G212" s="9">
        <f>IF(A212=1,"_",IF(C212="_","???",C212))</f>
        <v/>
      </c>
      <c r="H212" s="10" t="s">
        <v>11</v>
      </c>
      <c r="I212" s="11" t="s">
        <v>11</v>
      </c>
      <c r="J212" s="12"/>
    </row>
    <row r="213" spans="1:10" ht="60" customHeight="1">
      <c r="A213" s="6" t="s">
        <v>751</v>
      </c>
      <c r="B213" s="6" t="s">
        <v>10</v>
      </c>
      <c r="C213" s="6" t="s">
        <v>11</v>
      </c>
      <c r="D213" s="7" t="s">
        <v>143</v>
      </c>
      <c r="E213" s="8" t="s">
        <v>752</v>
      </c>
      <c r="F213" s="6" t="s">
        <v>753</v>
      </c>
      <c r="G213" s="9">
        <f>IF(A213=1,"_",IF(C213="_","???",C213))</f>
        <v/>
      </c>
      <c r="H213" s="10" t="s">
        <v>11</v>
      </c>
      <c r="I213" s="11" t="s">
        <v>11</v>
      </c>
      <c r="J213" s="12"/>
    </row>
    <row r="214" spans="1:10" ht="60" customHeight="1">
      <c r="A214" s="6" t="s">
        <v>754</v>
      </c>
      <c r="B214" s="6" t="s">
        <v>28</v>
      </c>
      <c r="C214" s="6" t="s">
        <v>11</v>
      </c>
      <c r="D214" s="7" t="s">
        <v>755</v>
      </c>
      <c r="E214" s="8" t="s">
        <v>756</v>
      </c>
      <c r="F214" s="6" t="s">
        <v>757</v>
      </c>
      <c r="G214" s="9">
        <f>IF(A214=1,"_",IF(C214="_","???",C214))</f>
        <v/>
      </c>
      <c r="H214" s="10" t="s">
        <v>11</v>
      </c>
      <c r="I214" s="11" t="s">
        <v>11</v>
      </c>
      <c r="J214" s="12"/>
    </row>
    <row r="215" spans="1:10" ht="60" customHeight="1">
      <c r="A215" s="6" t="s">
        <v>758</v>
      </c>
      <c r="B215" s="6" t="s">
        <v>28</v>
      </c>
      <c r="C215" s="6" t="s">
        <v>11</v>
      </c>
      <c r="D215" s="7" t="s">
        <v>143</v>
      </c>
      <c r="E215" s="8" t="s">
        <v>759</v>
      </c>
      <c r="F215" s="6" t="s">
        <v>760</v>
      </c>
      <c r="G215" s="9">
        <f>IF(A215=1,"_",IF(C215="_","???",C215))</f>
        <v/>
      </c>
      <c r="H215" s="10" t="s">
        <v>11</v>
      </c>
      <c r="I215" s="11" t="s">
        <v>11</v>
      </c>
      <c r="J215" s="12"/>
    </row>
    <row r="216" spans="1:10" ht="60" customHeight="1">
      <c r="A216" s="6" t="s">
        <v>761</v>
      </c>
      <c r="B216" s="6" t="s">
        <v>32</v>
      </c>
      <c r="C216" s="6" t="s">
        <v>11</v>
      </c>
      <c r="D216" s="7" t="s">
        <v>762</v>
      </c>
      <c r="E216" s="8" t="s">
        <v>763</v>
      </c>
      <c r="F216" s="6" t="s">
        <v>764</v>
      </c>
      <c r="G216" s="9">
        <f>IF(A216=1,"_",IF(C216="_","???",C216))</f>
        <v/>
      </c>
      <c r="H216" s="10" t="s">
        <v>11</v>
      </c>
      <c r="I216" s="11" t="s">
        <v>11</v>
      </c>
      <c r="J216" s="12"/>
    </row>
    <row r="217" spans="1:10" ht="60" customHeight="1">
      <c r="A217" s="6" t="s">
        <v>765</v>
      </c>
      <c r="B217" s="6" t="s">
        <v>15</v>
      </c>
      <c r="C217" s="6" t="s">
        <v>11</v>
      </c>
      <c r="D217" s="7" t="s">
        <v>264</v>
      </c>
      <c r="E217" s="8" t="s">
        <v>766</v>
      </c>
      <c r="F217" s="6" t="s">
        <v>767</v>
      </c>
      <c r="G217" s="9">
        <f>IF(A217=1,"_",IF(C217="_","???",C217))</f>
        <v/>
      </c>
      <c r="H217" s="10" t="s">
        <v>11</v>
      </c>
      <c r="I217" s="11" t="s">
        <v>11</v>
      </c>
      <c r="J217" s="12"/>
    </row>
    <row r="218" spans="1:10" ht="60" customHeight="1">
      <c r="A218" s="6" t="s">
        <v>768</v>
      </c>
      <c r="B218" s="6" t="s">
        <v>10</v>
      </c>
      <c r="C218" s="6" t="s">
        <v>11</v>
      </c>
      <c r="D218" s="7" t="s">
        <v>769</v>
      </c>
      <c r="E218" s="8" t="s">
        <v>770</v>
      </c>
      <c r="F218" s="6" t="s">
        <v>771</v>
      </c>
      <c r="G218" s="9">
        <f>IF(A218=1,"_",IF(C218="_","???",C218))</f>
        <v/>
      </c>
      <c r="H218" s="10" t="s">
        <v>11</v>
      </c>
      <c r="I218" s="11" t="s">
        <v>11</v>
      </c>
      <c r="J218" s="12"/>
    </row>
    <row r="219" spans="1:10" ht="60" customHeight="1">
      <c r="A219" s="6" t="s">
        <v>772</v>
      </c>
      <c r="B219" s="6" t="s">
        <v>15</v>
      </c>
      <c r="C219" s="6" t="s">
        <v>11</v>
      </c>
      <c r="D219" s="7" t="s">
        <v>773</v>
      </c>
      <c r="E219" s="8" t="s">
        <v>774</v>
      </c>
      <c r="F219" s="6" t="s">
        <v>775</v>
      </c>
      <c r="G219" s="9">
        <f>IF(A219=1,"_",IF(C219="_","???",C219))</f>
        <v/>
      </c>
      <c r="H219" s="10" t="s">
        <v>11</v>
      </c>
      <c r="I219" s="11" t="s">
        <v>11</v>
      </c>
      <c r="J219" s="12"/>
    </row>
    <row r="220" spans="1:10" ht="60" customHeight="1">
      <c r="A220" s="6" t="s">
        <v>776</v>
      </c>
      <c r="B220" s="6" t="s">
        <v>10</v>
      </c>
      <c r="C220" s="6" t="s">
        <v>11</v>
      </c>
      <c r="D220" s="7" t="s">
        <v>777</v>
      </c>
      <c r="E220" s="8" t="s">
        <v>778</v>
      </c>
      <c r="F220" s="6" t="s">
        <v>779</v>
      </c>
      <c r="G220" s="9">
        <f>IF(A220=1,"_",IF(C220="_","???",C220))</f>
        <v/>
      </c>
      <c r="H220" s="10" t="s">
        <v>11</v>
      </c>
      <c r="I220" s="11" t="s">
        <v>11</v>
      </c>
      <c r="J220" s="12"/>
    </row>
    <row r="221" spans="1:10" ht="60" customHeight="1">
      <c r="A221" s="6" t="s">
        <v>780</v>
      </c>
      <c r="B221" s="6" t="s">
        <v>10</v>
      </c>
      <c r="C221" s="6" t="s">
        <v>11</v>
      </c>
      <c r="D221" s="7" t="s">
        <v>37</v>
      </c>
      <c r="E221" s="8" t="s">
        <v>781</v>
      </c>
      <c r="F221" s="6" t="s">
        <v>782</v>
      </c>
      <c r="G221" s="9">
        <f>IF(A221=1,"_",IF(C221="_","???",C221))</f>
        <v/>
      </c>
      <c r="H221" s="10" t="s">
        <v>11</v>
      </c>
      <c r="I221" s="11" t="s">
        <v>11</v>
      </c>
      <c r="J221" s="12"/>
    </row>
    <row r="222" spans="1:10" ht="60" customHeight="1">
      <c r="A222" s="6" t="s">
        <v>783</v>
      </c>
      <c r="B222" s="6" t="s">
        <v>15</v>
      </c>
      <c r="C222" s="6" t="s">
        <v>11</v>
      </c>
      <c r="D222" s="7" t="s">
        <v>190</v>
      </c>
      <c r="E222" s="8" t="s">
        <v>784</v>
      </c>
      <c r="F222" s="6" t="s">
        <v>785</v>
      </c>
      <c r="G222" s="9">
        <f>IF(A222=1,"_",IF(C222="_","???",C222))</f>
        <v/>
      </c>
      <c r="H222" s="10" t="s">
        <v>11</v>
      </c>
      <c r="I222" s="11" t="s">
        <v>11</v>
      </c>
      <c r="J222" s="12"/>
    </row>
    <row r="223" spans="1:10" ht="60" customHeight="1">
      <c r="A223" s="6" t="s">
        <v>786</v>
      </c>
      <c r="B223" s="6" t="s">
        <v>10</v>
      </c>
      <c r="C223" s="6" t="s">
        <v>11</v>
      </c>
      <c r="D223" s="7" t="s">
        <v>91</v>
      </c>
      <c r="E223" s="8" t="s">
        <v>233</v>
      </c>
      <c r="F223" s="6" t="s">
        <v>787</v>
      </c>
      <c r="G223" s="9">
        <f>IF(A223=1,"_",IF(C223="_","???",C223))</f>
        <v/>
      </c>
      <c r="H223" s="10" t="s">
        <v>11</v>
      </c>
      <c r="I223" s="11" t="s">
        <v>11</v>
      </c>
      <c r="J223" s="12"/>
    </row>
    <row r="224" spans="1:10" ht="60" customHeight="1">
      <c r="A224" s="6" t="s">
        <v>788</v>
      </c>
      <c r="B224" s="6" t="s">
        <v>10</v>
      </c>
      <c r="C224" s="6" t="s">
        <v>11</v>
      </c>
      <c r="D224" s="7" t="s">
        <v>264</v>
      </c>
      <c r="E224" s="8" t="s">
        <v>789</v>
      </c>
      <c r="F224" s="6" t="s">
        <v>790</v>
      </c>
      <c r="G224" s="9">
        <f>IF(A224=1,"_",IF(C224="_","???",C224))</f>
        <v/>
      </c>
      <c r="H224" s="10" t="s">
        <v>11</v>
      </c>
      <c r="I224" s="11" t="s">
        <v>11</v>
      </c>
      <c r="J224" s="12"/>
    </row>
    <row r="225" spans="1:10" ht="60" customHeight="1">
      <c r="A225" s="6" t="s">
        <v>791</v>
      </c>
      <c r="B225" s="6" t="s">
        <v>10</v>
      </c>
      <c r="C225" s="6" t="s">
        <v>11</v>
      </c>
      <c r="D225" s="7" t="s">
        <v>143</v>
      </c>
      <c r="E225" s="8" t="s">
        <v>792</v>
      </c>
      <c r="F225" s="6" t="s">
        <v>793</v>
      </c>
      <c r="G225" s="9">
        <f>IF(A225=1,"_",IF(C225="_","???",C225))</f>
        <v/>
      </c>
      <c r="H225" s="10" t="s">
        <v>11</v>
      </c>
      <c r="I225" s="11" t="s">
        <v>11</v>
      </c>
      <c r="J225" s="12"/>
    </row>
    <row r="226" spans="1:10" ht="60" customHeight="1">
      <c r="A226" s="6" t="s">
        <v>794</v>
      </c>
      <c r="B226" s="6" t="s">
        <v>19</v>
      </c>
      <c r="C226" s="6" t="s">
        <v>11</v>
      </c>
      <c r="D226" s="7" t="s">
        <v>283</v>
      </c>
      <c r="E226" s="8" t="s">
        <v>795</v>
      </c>
      <c r="F226" s="6" t="s">
        <v>796</v>
      </c>
      <c r="G226" s="9">
        <f>IF(A226=1,"_",IF(C226="_","???",C226))</f>
        <v/>
      </c>
      <c r="H226" s="10" t="s">
        <v>11</v>
      </c>
      <c r="I226" s="11" t="s">
        <v>11</v>
      </c>
      <c r="J226" s="12"/>
    </row>
    <row r="227" spans="1:10" ht="60" customHeight="1">
      <c r="A227" s="6" t="s">
        <v>797</v>
      </c>
      <c r="B227" s="6" t="s">
        <v>15</v>
      </c>
      <c r="C227" s="6" t="s">
        <v>11</v>
      </c>
      <c r="D227" s="7" t="s">
        <v>798</v>
      </c>
      <c r="E227" s="8" t="s">
        <v>799</v>
      </c>
      <c r="F227" s="6" t="s">
        <v>800</v>
      </c>
      <c r="G227" s="9">
        <f>IF(A227=1,"_",IF(C227="_","???",C227))</f>
        <v/>
      </c>
      <c r="H227" s="10" t="s">
        <v>11</v>
      </c>
      <c r="I227" s="11" t="s">
        <v>11</v>
      </c>
      <c r="J227" s="12"/>
    </row>
    <row r="228" spans="1:10" ht="60" customHeight="1">
      <c r="A228" s="6" t="s">
        <v>801</v>
      </c>
      <c r="B228" s="6" t="s">
        <v>10</v>
      </c>
      <c r="C228" s="6" t="s">
        <v>11</v>
      </c>
      <c r="D228" s="7" t="s">
        <v>802</v>
      </c>
      <c r="E228" s="8" t="s">
        <v>803</v>
      </c>
      <c r="F228" s="6" t="s">
        <v>804</v>
      </c>
      <c r="G228" s="9">
        <f>IF(A228=1,"_",IF(C228="_","???",C228))</f>
        <v/>
      </c>
      <c r="H228" s="10" t="s">
        <v>11</v>
      </c>
      <c r="I228" s="11" t="s">
        <v>11</v>
      </c>
      <c r="J228" s="12"/>
    </row>
    <row r="229" spans="1:10" ht="60" customHeight="1">
      <c r="A229" s="6" t="s">
        <v>805</v>
      </c>
      <c r="B229" s="6" t="s">
        <v>10</v>
      </c>
      <c r="C229" s="6" t="s">
        <v>11</v>
      </c>
      <c r="D229" s="7" t="s">
        <v>37</v>
      </c>
      <c r="E229" s="8" t="s">
        <v>806</v>
      </c>
      <c r="F229" s="6" t="s">
        <v>807</v>
      </c>
      <c r="G229" s="9">
        <f>IF(A229=1,"_",IF(C229="_","???",C229))</f>
        <v/>
      </c>
      <c r="H229" s="10" t="s">
        <v>11</v>
      </c>
      <c r="I229" s="11" t="s">
        <v>11</v>
      </c>
      <c r="J229" s="12"/>
    </row>
    <row r="230" spans="1:10" ht="60" customHeight="1">
      <c r="A230" s="6" t="s">
        <v>808</v>
      </c>
      <c r="B230" s="6" t="s">
        <v>60</v>
      </c>
      <c r="C230" s="6" t="s">
        <v>11</v>
      </c>
      <c r="D230" s="7" t="s">
        <v>809</v>
      </c>
      <c r="E230" s="8" t="s">
        <v>810</v>
      </c>
      <c r="F230" s="6" t="s">
        <v>811</v>
      </c>
      <c r="G230" s="9">
        <f>IF(A230=1,"_",IF(C230="_","???",C230))</f>
        <v/>
      </c>
      <c r="H230" s="10" t="s">
        <v>11</v>
      </c>
      <c r="I230" s="11" t="s">
        <v>11</v>
      </c>
      <c r="J230" s="12"/>
    </row>
    <row r="231" spans="1:10" ht="60" customHeight="1">
      <c r="A231" s="6" t="s">
        <v>812</v>
      </c>
      <c r="B231" s="6" t="s">
        <v>10</v>
      </c>
      <c r="C231" s="6" t="s">
        <v>11</v>
      </c>
      <c r="D231" s="7" t="s">
        <v>143</v>
      </c>
      <c r="E231" s="8" t="s">
        <v>813</v>
      </c>
      <c r="F231" s="6" t="s">
        <v>814</v>
      </c>
      <c r="G231" s="9">
        <f>IF(A231=1,"_",IF(C231="_","???",C231))</f>
        <v/>
      </c>
      <c r="H231" s="10" t="s">
        <v>11</v>
      </c>
      <c r="I231" s="11" t="s">
        <v>11</v>
      </c>
      <c r="J231" s="12"/>
    </row>
    <row r="232" spans="1:10" ht="60" customHeight="1">
      <c r="A232" s="6" t="s">
        <v>815</v>
      </c>
      <c r="B232" s="6" t="s">
        <v>20</v>
      </c>
      <c r="C232" s="6" t="s">
        <v>11</v>
      </c>
      <c r="D232" s="7" t="s">
        <v>264</v>
      </c>
      <c r="E232" s="8" t="s">
        <v>816</v>
      </c>
      <c r="F232" s="6" t="s">
        <v>817</v>
      </c>
      <c r="G232" s="9">
        <f>IF(A232=1,"_",IF(C232="_","???",C232))</f>
        <v/>
      </c>
      <c r="H232" s="10" t="s">
        <v>11</v>
      </c>
      <c r="I232" s="11" t="s">
        <v>11</v>
      </c>
      <c r="J232" s="12"/>
    </row>
    <row r="233" spans="1:10" ht="60" customHeight="1">
      <c r="A233" s="6" t="s">
        <v>818</v>
      </c>
      <c r="B233" s="6" t="s">
        <v>19</v>
      </c>
      <c r="C233" s="6" t="s">
        <v>11</v>
      </c>
      <c r="D233" s="7" t="s">
        <v>819</v>
      </c>
      <c r="E233" s="8" t="s">
        <v>820</v>
      </c>
      <c r="F233" s="6" t="s">
        <v>821</v>
      </c>
      <c r="G233" s="9">
        <f>IF(A233=1,"_",IF(C233="_","???",C233))</f>
        <v/>
      </c>
      <c r="H233" s="10" t="s">
        <v>11</v>
      </c>
      <c r="I233" s="11" t="s">
        <v>11</v>
      </c>
      <c r="J233" s="12"/>
    </row>
    <row r="234" spans="1:10" ht="60" customHeight="1">
      <c r="A234" s="6" t="s">
        <v>822</v>
      </c>
      <c r="B234" s="6" t="s">
        <v>10</v>
      </c>
      <c r="C234" s="6" t="s">
        <v>11</v>
      </c>
      <c r="D234" s="7" t="s">
        <v>415</v>
      </c>
      <c r="E234" s="8" t="s">
        <v>823</v>
      </c>
      <c r="F234" s="6" t="s">
        <v>824</v>
      </c>
      <c r="G234" s="9">
        <f>IF(A234=1,"_",IF(C234="_","???",C234))</f>
        <v/>
      </c>
      <c r="H234" s="10" t="s">
        <v>11</v>
      </c>
      <c r="I234" s="11" t="s">
        <v>11</v>
      </c>
      <c r="J234" s="12"/>
    </row>
    <row r="235" spans="1:10" ht="60" customHeight="1">
      <c r="A235" s="6" t="s">
        <v>825</v>
      </c>
      <c r="B235" s="6" t="s">
        <v>10</v>
      </c>
      <c r="C235" s="6" t="s">
        <v>11</v>
      </c>
      <c r="D235" s="7" t="s">
        <v>65</v>
      </c>
      <c r="E235" s="8" t="s">
        <v>826</v>
      </c>
      <c r="F235" s="6" t="s">
        <v>827</v>
      </c>
      <c r="G235" s="9">
        <f>IF(A235=1,"_",IF(C235="_","???",C235))</f>
        <v/>
      </c>
      <c r="H235" s="10" t="s">
        <v>11</v>
      </c>
      <c r="I235" s="11" t="s">
        <v>11</v>
      </c>
      <c r="J235" s="12"/>
    </row>
    <row r="236" spans="1:10" ht="60" customHeight="1">
      <c r="A236" s="6" t="s">
        <v>828</v>
      </c>
      <c r="B236" s="6" t="s">
        <v>10</v>
      </c>
      <c r="C236" s="6" t="s">
        <v>11</v>
      </c>
      <c r="D236" s="7" t="s">
        <v>728</v>
      </c>
      <c r="E236" s="8" t="s">
        <v>829</v>
      </c>
      <c r="F236" s="6" t="s">
        <v>830</v>
      </c>
      <c r="G236" s="9">
        <f>IF(A236=1,"_",IF(C236="_","???",C236))</f>
        <v/>
      </c>
      <c r="H236" s="10" t="s">
        <v>11</v>
      </c>
      <c r="I236" s="11" t="s">
        <v>11</v>
      </c>
      <c r="J236" s="12"/>
    </row>
    <row r="237" spans="1:10" ht="60" customHeight="1">
      <c r="A237" s="6" t="s">
        <v>831</v>
      </c>
      <c r="B237" s="6" t="s">
        <v>47</v>
      </c>
      <c r="C237" s="6" t="s">
        <v>832</v>
      </c>
      <c r="D237" s="7" t="s">
        <v>833</v>
      </c>
      <c r="E237" s="8" t="s">
        <v>834</v>
      </c>
      <c r="F237" s="6" t="s">
        <v>835</v>
      </c>
      <c r="G237" s="9">
        <f>IF(A237=1,"_",IF(C237="_","???",C237))</f>
        <v/>
      </c>
      <c r="H237" s="10" t="s">
        <v>11</v>
      </c>
      <c r="I237" s="11" t="s">
        <v>11</v>
      </c>
      <c r="J237" s="12"/>
    </row>
    <row r="238" spans="1:10" ht="60" customHeight="1">
      <c r="A238" s="6" t="s">
        <v>836</v>
      </c>
      <c r="B238" s="6" t="s">
        <v>19</v>
      </c>
      <c r="C238" s="6" t="s">
        <v>11</v>
      </c>
      <c r="D238" s="7" t="s">
        <v>264</v>
      </c>
      <c r="E238" s="8" t="s">
        <v>837</v>
      </c>
      <c r="F238" s="6" t="s">
        <v>838</v>
      </c>
      <c r="G238" s="9">
        <f>IF(A238=1,"_",IF(C238="_","???",C238))</f>
        <v/>
      </c>
      <c r="H238" s="10" t="s">
        <v>11</v>
      </c>
      <c r="I238" s="11" t="s">
        <v>11</v>
      </c>
      <c r="J238" s="12"/>
    </row>
    <row r="239" spans="1:10" ht="60" customHeight="1">
      <c r="A239" s="6" t="s">
        <v>839</v>
      </c>
      <c r="B239" s="6" t="s">
        <v>15</v>
      </c>
      <c r="C239" s="6" t="s">
        <v>11</v>
      </c>
      <c r="D239" s="7" t="s">
        <v>798</v>
      </c>
      <c r="E239" s="8" t="s">
        <v>840</v>
      </c>
      <c r="F239" s="6" t="s">
        <v>841</v>
      </c>
      <c r="G239" s="9">
        <f>IF(A239=1,"_",IF(C239="_","???",C239))</f>
        <v/>
      </c>
      <c r="H239" s="10" t="s">
        <v>11</v>
      </c>
      <c r="I239" s="11" t="s">
        <v>11</v>
      </c>
      <c r="J239" s="12"/>
    </row>
    <row r="240" spans="1:10" ht="60" customHeight="1">
      <c r="A240" s="6" t="s">
        <v>842</v>
      </c>
      <c r="B240" s="6" t="s">
        <v>10</v>
      </c>
      <c r="C240" s="6" t="s">
        <v>11</v>
      </c>
      <c r="D240" s="7" t="s">
        <v>436</v>
      </c>
      <c r="E240" s="8" t="s">
        <v>843</v>
      </c>
      <c r="F240" s="6" t="s">
        <v>844</v>
      </c>
      <c r="G240" s="9">
        <f>IF(A240=1,"_",IF(C240="_","???",C240))</f>
        <v/>
      </c>
      <c r="H240" s="10" t="s">
        <v>11</v>
      </c>
      <c r="I240" s="11" t="s">
        <v>11</v>
      </c>
      <c r="J240" s="12"/>
    </row>
    <row r="241" spans="1:10" ht="60" customHeight="1">
      <c r="A241" s="6" t="s">
        <v>845</v>
      </c>
      <c r="B241" s="6" t="s">
        <v>10</v>
      </c>
      <c r="C241" s="6" t="s">
        <v>11</v>
      </c>
      <c r="D241" s="7" t="s">
        <v>37</v>
      </c>
      <c r="E241" s="8" t="s">
        <v>846</v>
      </c>
      <c r="F241" s="6" t="s">
        <v>847</v>
      </c>
      <c r="G241" s="9">
        <f>IF(A241=1,"_",IF(C241="_","???",C241))</f>
        <v/>
      </c>
      <c r="H241" s="10" t="s">
        <v>11</v>
      </c>
      <c r="I241" s="11" t="s">
        <v>11</v>
      </c>
      <c r="J241" s="12"/>
    </row>
    <row r="242" spans="1:10" ht="60" customHeight="1">
      <c r="A242" s="6" t="s">
        <v>848</v>
      </c>
      <c r="B242" s="6" t="s">
        <v>15</v>
      </c>
      <c r="C242" s="6" t="s">
        <v>11</v>
      </c>
      <c r="D242" s="7" t="s">
        <v>849</v>
      </c>
      <c r="E242" s="8" t="s">
        <v>850</v>
      </c>
      <c r="F242" s="6" t="s">
        <v>851</v>
      </c>
      <c r="G242" s="9">
        <f>IF(A242=1,"_",IF(C242="_","???",C242))</f>
        <v/>
      </c>
      <c r="H242" s="10" t="s">
        <v>11</v>
      </c>
      <c r="I242" s="11" t="s">
        <v>11</v>
      </c>
      <c r="J242" s="12"/>
    </row>
    <row r="243" spans="1:10" ht="60" customHeight="1">
      <c r="A243" s="6" t="s">
        <v>852</v>
      </c>
      <c r="B243" s="6" t="s">
        <v>10</v>
      </c>
      <c r="C243" s="6" t="s">
        <v>11</v>
      </c>
      <c r="D243" s="7" t="s">
        <v>853</v>
      </c>
      <c r="E243" s="8" t="s">
        <v>854</v>
      </c>
      <c r="F243" s="6" t="s">
        <v>855</v>
      </c>
      <c r="G243" s="9">
        <f>IF(A243=1,"_",IF(C243="_","???",C243))</f>
        <v/>
      </c>
      <c r="H243" s="10" t="s">
        <v>11</v>
      </c>
      <c r="I243" s="11" t="s">
        <v>11</v>
      </c>
      <c r="J243" s="12"/>
    </row>
    <row r="244" spans="1:10" ht="60" customHeight="1">
      <c r="A244" s="6" t="s">
        <v>856</v>
      </c>
      <c r="B244" s="6" t="s">
        <v>15</v>
      </c>
      <c r="C244" s="6" t="s">
        <v>11</v>
      </c>
      <c r="D244" s="7" t="s">
        <v>857</v>
      </c>
      <c r="E244" s="8" t="s">
        <v>858</v>
      </c>
      <c r="F244" s="6" t="s">
        <v>859</v>
      </c>
      <c r="G244" s="9">
        <f>IF(A244=1,"_",IF(C244="_","???",C244))</f>
        <v/>
      </c>
      <c r="H244" s="10" t="s">
        <v>11</v>
      </c>
      <c r="I244" s="11" t="s">
        <v>11</v>
      </c>
      <c r="J244" s="12"/>
    </row>
    <row r="245" spans="1:10" ht="60" customHeight="1">
      <c r="A245" s="6" t="s">
        <v>860</v>
      </c>
      <c r="B245" s="6" t="s">
        <v>32</v>
      </c>
      <c r="C245" s="6" t="s">
        <v>11</v>
      </c>
      <c r="D245" s="7" t="s">
        <v>857</v>
      </c>
      <c r="E245" s="8" t="s">
        <v>861</v>
      </c>
      <c r="F245" s="6" t="s">
        <v>862</v>
      </c>
      <c r="G245" s="9">
        <f>IF(A245=1,"_",IF(C245="_","???",C245))</f>
        <v/>
      </c>
      <c r="H245" s="10" t="s">
        <v>11</v>
      </c>
      <c r="I245" s="11" t="s">
        <v>11</v>
      </c>
      <c r="J245" s="12"/>
    </row>
    <row r="246" spans="1:10" ht="60" customHeight="1">
      <c r="A246" s="6" t="s">
        <v>863</v>
      </c>
      <c r="B246" s="6" t="s">
        <v>64</v>
      </c>
      <c r="C246" s="6" t="s">
        <v>11</v>
      </c>
      <c r="D246" s="7" t="s">
        <v>538</v>
      </c>
      <c r="E246" s="8" t="s">
        <v>864</v>
      </c>
      <c r="F246" s="6" t="s">
        <v>865</v>
      </c>
      <c r="G246" s="9">
        <f>IF(A246=1,"_",IF(C246="_","???",C246))</f>
        <v/>
      </c>
      <c r="H246" s="10" t="s">
        <v>11</v>
      </c>
      <c r="I246" s="11" t="s">
        <v>11</v>
      </c>
      <c r="J246" s="12"/>
    </row>
    <row r="247" spans="1:10" ht="60" customHeight="1">
      <c r="A247" s="6" t="s">
        <v>866</v>
      </c>
      <c r="B247" s="6" t="s">
        <v>10</v>
      </c>
      <c r="C247" s="6" t="s">
        <v>11</v>
      </c>
      <c r="D247" s="7" t="s">
        <v>91</v>
      </c>
      <c r="E247" s="8" t="s">
        <v>867</v>
      </c>
      <c r="F247" s="6" t="s">
        <v>868</v>
      </c>
      <c r="G247" s="9">
        <f>IF(A247=1,"_",IF(C247="_","???",C247))</f>
        <v/>
      </c>
      <c r="H247" s="10" t="s">
        <v>11</v>
      </c>
      <c r="I247" s="11" t="s">
        <v>11</v>
      </c>
      <c r="J247" s="12"/>
    </row>
    <row r="248" spans="1:10" ht="60" customHeight="1">
      <c r="A248" s="6" t="s">
        <v>869</v>
      </c>
      <c r="B248" s="6" t="s">
        <v>10</v>
      </c>
      <c r="C248" s="6" t="s">
        <v>11</v>
      </c>
      <c r="D248" s="7" t="s">
        <v>870</v>
      </c>
      <c r="E248" s="8" t="s">
        <v>871</v>
      </c>
      <c r="F248" s="6" t="s">
        <v>872</v>
      </c>
      <c r="G248" s="9">
        <f>IF(A248=1,"_",IF(C248="_","???",C248))</f>
        <v/>
      </c>
      <c r="H248" s="10" t="s">
        <v>11</v>
      </c>
      <c r="I248" s="11" t="s">
        <v>11</v>
      </c>
      <c r="J248" s="12"/>
    </row>
    <row r="249" spans="1:10" ht="60" customHeight="1">
      <c r="A249" s="6" t="s">
        <v>873</v>
      </c>
      <c r="B249" s="6" t="s">
        <v>10</v>
      </c>
      <c r="C249" s="6" t="s">
        <v>11</v>
      </c>
      <c r="D249" s="7" t="s">
        <v>264</v>
      </c>
      <c r="E249" s="8" t="s">
        <v>874</v>
      </c>
      <c r="F249" s="6" t="s">
        <v>875</v>
      </c>
      <c r="G249" s="9">
        <f>IF(A249=1,"_",IF(C249="_","???",C249))</f>
        <v/>
      </c>
      <c r="H249" s="10" t="s">
        <v>11</v>
      </c>
      <c r="I249" s="11" t="s">
        <v>11</v>
      </c>
      <c r="J249" s="12"/>
    </row>
    <row r="250" spans="1:10" ht="60" customHeight="1">
      <c r="A250" s="6" t="s">
        <v>876</v>
      </c>
      <c r="B250" s="6" t="s">
        <v>15</v>
      </c>
      <c r="C250" s="6" t="s">
        <v>11</v>
      </c>
      <c r="D250" s="7" t="s">
        <v>283</v>
      </c>
      <c r="E250" s="8" t="s">
        <v>877</v>
      </c>
      <c r="F250" s="6" t="s">
        <v>878</v>
      </c>
      <c r="G250" s="9">
        <f>IF(A250=1,"_",IF(C250="_","???",C250))</f>
        <v/>
      </c>
      <c r="H250" s="10" t="s">
        <v>11</v>
      </c>
      <c r="I250" s="11" t="s">
        <v>11</v>
      </c>
      <c r="J250" s="12"/>
    </row>
    <row r="251" spans="1:10" ht="60" customHeight="1">
      <c r="A251" s="6" t="s">
        <v>879</v>
      </c>
      <c r="B251" s="6" t="s">
        <v>15</v>
      </c>
      <c r="C251" s="6" t="s">
        <v>11</v>
      </c>
      <c r="D251" s="7" t="s">
        <v>283</v>
      </c>
      <c r="E251" s="8" t="s">
        <v>880</v>
      </c>
      <c r="F251" s="6" t="s">
        <v>881</v>
      </c>
      <c r="G251" s="9">
        <f>IF(A251=1,"_",IF(C251="_","???",C251))</f>
        <v/>
      </c>
      <c r="H251" s="10" t="s">
        <v>11</v>
      </c>
      <c r="I251" s="11" t="s">
        <v>11</v>
      </c>
      <c r="J251" s="12"/>
    </row>
    <row r="252" spans="1:10" ht="60" customHeight="1">
      <c r="A252" s="6" t="s">
        <v>882</v>
      </c>
      <c r="B252" s="6" t="s">
        <v>32</v>
      </c>
      <c r="C252" s="6" t="s">
        <v>11</v>
      </c>
      <c r="D252" s="7" t="s">
        <v>883</v>
      </c>
      <c r="E252" s="8" t="s">
        <v>884</v>
      </c>
      <c r="F252" s="6" t="s">
        <v>885</v>
      </c>
      <c r="G252" s="9">
        <f>IF(A252=1,"_",IF(C252="_","???",C252))</f>
        <v/>
      </c>
      <c r="H252" s="10" t="s">
        <v>11</v>
      </c>
      <c r="I252" s="11" t="s">
        <v>11</v>
      </c>
      <c r="J252" s="12"/>
    </row>
    <row r="253" spans="1:10" ht="60" customHeight="1">
      <c r="A253" s="6" t="s">
        <v>886</v>
      </c>
      <c r="B253" s="6" t="s">
        <v>32</v>
      </c>
      <c r="C253" s="6" t="s">
        <v>11</v>
      </c>
      <c r="D253" s="7" t="s">
        <v>887</v>
      </c>
      <c r="E253" s="8" t="s">
        <v>888</v>
      </c>
      <c r="F253" s="6" t="s">
        <v>889</v>
      </c>
      <c r="G253" s="9">
        <f>IF(A253=1,"_",IF(C253="_","???",C253))</f>
        <v/>
      </c>
      <c r="H253" s="10" t="s">
        <v>11</v>
      </c>
      <c r="I253" s="11" t="s">
        <v>11</v>
      </c>
      <c r="J253" s="12"/>
    </row>
    <row r="254" spans="1:10" ht="60" customHeight="1">
      <c r="A254" s="6" t="s">
        <v>890</v>
      </c>
      <c r="B254" s="6" t="s">
        <v>43</v>
      </c>
      <c r="C254" s="6" t="s">
        <v>11</v>
      </c>
      <c r="D254" s="7" t="s">
        <v>891</v>
      </c>
      <c r="E254" s="8" t="s">
        <v>892</v>
      </c>
      <c r="F254" s="6" t="s">
        <v>893</v>
      </c>
      <c r="G254" s="9">
        <f>IF(A254=1,"_",IF(C254="_","???",C254))</f>
        <v/>
      </c>
      <c r="H254" s="10" t="s">
        <v>11</v>
      </c>
      <c r="I254" s="11" t="s">
        <v>11</v>
      </c>
      <c r="J254" s="12"/>
    </row>
    <row r="255" spans="1:10" ht="60" customHeight="1">
      <c r="A255" s="6" t="s">
        <v>894</v>
      </c>
      <c r="B255" s="6" t="s">
        <v>10</v>
      </c>
      <c r="C255" s="6" t="s">
        <v>11</v>
      </c>
      <c r="D255" s="7" t="s">
        <v>895</v>
      </c>
      <c r="E255" s="8" t="s">
        <v>896</v>
      </c>
      <c r="F255" s="6" t="s">
        <v>897</v>
      </c>
      <c r="G255" s="9">
        <f>IF(A255=1,"_",IF(C255="_","???",C255))</f>
        <v/>
      </c>
      <c r="H255" s="10" t="s">
        <v>11</v>
      </c>
      <c r="I255" s="11" t="s">
        <v>11</v>
      </c>
      <c r="J255" s="12"/>
    </row>
    <row r="256" spans="1:10" ht="60" customHeight="1">
      <c r="A256" s="6" t="s">
        <v>898</v>
      </c>
      <c r="B256" s="6" t="s">
        <v>32</v>
      </c>
      <c r="C256" s="6" t="s">
        <v>11</v>
      </c>
      <c r="D256" s="7" t="s">
        <v>899</v>
      </c>
      <c r="E256" s="8" t="s">
        <v>900</v>
      </c>
      <c r="F256" s="6" t="s">
        <v>901</v>
      </c>
      <c r="G256" s="9">
        <f>IF(A256=1,"_",IF(C256="_","???",C256))</f>
        <v/>
      </c>
      <c r="H256" s="10" t="s">
        <v>11</v>
      </c>
      <c r="I256" s="11" t="s">
        <v>11</v>
      </c>
      <c r="J256" s="12"/>
    </row>
    <row r="257" spans="1:10" ht="60" customHeight="1">
      <c r="A257" s="6" t="s">
        <v>902</v>
      </c>
      <c r="B257" s="6" t="s">
        <v>15</v>
      </c>
      <c r="C257" s="6" t="s">
        <v>11</v>
      </c>
      <c r="D257" s="7" t="s">
        <v>436</v>
      </c>
      <c r="E257" s="8" t="s">
        <v>903</v>
      </c>
      <c r="F257" s="6" t="s">
        <v>904</v>
      </c>
      <c r="G257" s="9">
        <f>IF(A257=1,"_",IF(C257="_","???",C257))</f>
        <v/>
      </c>
      <c r="H257" s="10" t="s">
        <v>11</v>
      </c>
      <c r="I257" s="11" t="s">
        <v>11</v>
      </c>
      <c r="J257" s="12"/>
    </row>
    <row r="258" spans="1:10" ht="60" customHeight="1">
      <c r="A258" s="6" t="s">
        <v>905</v>
      </c>
      <c r="B258" s="6" t="s">
        <v>15</v>
      </c>
      <c r="C258" s="6" t="s">
        <v>11</v>
      </c>
      <c r="D258" s="7" t="s">
        <v>29</v>
      </c>
      <c r="E258" s="8" t="s">
        <v>906</v>
      </c>
      <c r="F258" s="6" t="s">
        <v>907</v>
      </c>
      <c r="G258" s="9">
        <f>IF(A258=1,"_",IF(C258="_","???",C258))</f>
        <v/>
      </c>
      <c r="H258" s="10" t="s">
        <v>11</v>
      </c>
      <c r="I258" s="11" t="s">
        <v>11</v>
      </c>
      <c r="J258" s="12"/>
    </row>
    <row r="259" spans="1:10" ht="60" customHeight="1">
      <c r="A259" s="6" t="s">
        <v>908</v>
      </c>
      <c r="B259" s="6" t="s">
        <v>10</v>
      </c>
      <c r="C259" s="6" t="s">
        <v>11</v>
      </c>
      <c r="D259" s="7" t="s">
        <v>909</v>
      </c>
      <c r="E259" s="8" t="s">
        <v>910</v>
      </c>
      <c r="F259" s="6" t="s">
        <v>911</v>
      </c>
      <c r="G259" s="9">
        <f>IF(A259=1,"_",IF(C259="_","???",C259))</f>
        <v/>
      </c>
      <c r="H259" s="10" t="s">
        <v>11</v>
      </c>
      <c r="I259" s="11" t="s">
        <v>11</v>
      </c>
      <c r="J259" s="12"/>
    </row>
    <row r="260" spans="1:10" ht="60" customHeight="1">
      <c r="A260" s="6" t="s">
        <v>912</v>
      </c>
      <c r="B260" s="6" t="s">
        <v>32</v>
      </c>
      <c r="C260" s="6" t="s">
        <v>11</v>
      </c>
      <c r="D260" s="7" t="s">
        <v>913</v>
      </c>
      <c r="E260" s="8" t="s">
        <v>914</v>
      </c>
      <c r="F260" s="6" t="s">
        <v>915</v>
      </c>
      <c r="G260" s="9">
        <f>IF(A260=1,"_",IF(C260="_","???",C260))</f>
        <v/>
      </c>
      <c r="H260" s="10" t="s">
        <v>11</v>
      </c>
      <c r="I260" s="11" t="s">
        <v>11</v>
      </c>
      <c r="J260" s="12"/>
    </row>
    <row r="261" spans="1:10" ht="60" customHeight="1">
      <c r="A261" s="6" t="s">
        <v>916</v>
      </c>
      <c r="B261" s="6" t="s">
        <v>10</v>
      </c>
      <c r="C261" s="6" t="s">
        <v>11</v>
      </c>
      <c r="D261" s="7" t="s">
        <v>614</v>
      </c>
      <c r="E261" s="8" t="s">
        <v>917</v>
      </c>
      <c r="F261" s="6" t="s">
        <v>918</v>
      </c>
      <c r="G261" s="9">
        <f>IF(A261=1,"_",IF(C261="_","???",C261))</f>
        <v/>
      </c>
      <c r="H261" s="10" t="s">
        <v>11</v>
      </c>
      <c r="I261" s="11" t="s">
        <v>11</v>
      </c>
      <c r="J261" s="12"/>
    </row>
    <row r="262" spans="1:10" ht="60" customHeight="1">
      <c r="A262" s="6" t="s">
        <v>919</v>
      </c>
      <c r="B262" s="6" t="s">
        <v>19</v>
      </c>
      <c r="C262" s="6" t="s">
        <v>11</v>
      </c>
      <c r="D262" s="7" t="s">
        <v>920</v>
      </c>
      <c r="E262" s="8" t="s">
        <v>921</v>
      </c>
      <c r="F262" s="6" t="s">
        <v>922</v>
      </c>
      <c r="G262" s="9">
        <f>IF(A262=1,"_",IF(C262="_","???",C262))</f>
        <v/>
      </c>
      <c r="H262" s="10" t="s">
        <v>11</v>
      </c>
      <c r="I262" s="11" t="s">
        <v>11</v>
      </c>
      <c r="J262" s="12"/>
    </row>
    <row r="263" spans="1:10" ht="60" customHeight="1">
      <c r="A263" s="6" t="s">
        <v>923</v>
      </c>
      <c r="B263" s="6" t="s">
        <v>10</v>
      </c>
      <c r="C263" s="6" t="s">
        <v>11</v>
      </c>
      <c r="D263" s="7" t="s">
        <v>920</v>
      </c>
      <c r="E263" s="8" t="s">
        <v>924</v>
      </c>
      <c r="F263" s="6" t="s">
        <v>925</v>
      </c>
      <c r="G263" s="9">
        <f>IF(A263=1,"_",IF(C263="_","???",C263))</f>
        <v/>
      </c>
      <c r="H263" s="10" t="s">
        <v>11</v>
      </c>
      <c r="I263" s="11" t="s">
        <v>11</v>
      </c>
      <c r="J263" s="12"/>
    </row>
    <row r="264" spans="1:10" ht="60" customHeight="1">
      <c r="A264" s="6" t="s">
        <v>926</v>
      </c>
      <c r="B264" s="6" t="s">
        <v>10</v>
      </c>
      <c r="C264" s="6" t="s">
        <v>11</v>
      </c>
      <c r="D264" s="7" t="s">
        <v>927</v>
      </c>
      <c r="E264" s="8" t="s">
        <v>928</v>
      </c>
      <c r="F264" s="6" t="s">
        <v>929</v>
      </c>
      <c r="G264" s="9">
        <f>IF(A264=1,"_",IF(C264="_","???",C264))</f>
        <v/>
      </c>
      <c r="H264" s="10" t="s">
        <v>11</v>
      </c>
      <c r="I264" s="11" t="s">
        <v>11</v>
      </c>
      <c r="J264" s="12"/>
    </row>
    <row r="265" spans="1:10" ht="60" customHeight="1">
      <c r="A265" s="6" t="s">
        <v>930</v>
      </c>
      <c r="B265" s="6" t="s">
        <v>10</v>
      </c>
      <c r="C265" s="6" t="s">
        <v>11</v>
      </c>
      <c r="D265" s="7" t="s">
        <v>91</v>
      </c>
      <c r="E265" s="8" t="s">
        <v>931</v>
      </c>
      <c r="F265" s="6" t="s">
        <v>932</v>
      </c>
      <c r="G265" s="9">
        <f>IF(A265=1,"_",IF(C265="_","???",C265))</f>
        <v/>
      </c>
      <c r="H265" s="10" t="s">
        <v>11</v>
      </c>
      <c r="I265" s="11" t="s">
        <v>11</v>
      </c>
      <c r="J265" s="12"/>
    </row>
    <row r="266" spans="1:10" ht="60" customHeight="1">
      <c r="A266" s="6" t="s">
        <v>933</v>
      </c>
      <c r="B266" s="6" t="s">
        <v>10</v>
      </c>
      <c r="C266" s="6" t="s">
        <v>11</v>
      </c>
      <c r="D266" s="7" t="s">
        <v>69</v>
      </c>
      <c r="E266" s="8" t="s">
        <v>934</v>
      </c>
      <c r="F266" s="6" t="s">
        <v>935</v>
      </c>
      <c r="G266" s="9">
        <f>IF(A266=1,"_",IF(C266="_","???",C266))</f>
        <v/>
      </c>
      <c r="H266" s="10" t="s">
        <v>11</v>
      </c>
      <c r="I266" s="11" t="s">
        <v>11</v>
      </c>
      <c r="J26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9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936</v>
      </c>
      <c r="B1" s="13" t="s">
        <v>937</v>
      </c>
      <c r="C1" s="13" t="s">
        <v>938</v>
      </c>
      <c r="D1" s="13" t="s">
        <v>939</v>
      </c>
      <c r="E1" s="14" t="s">
        <v>940</v>
      </c>
      <c r="F1" s="15" t="s">
        <v>941</v>
      </c>
      <c r="G1" s="16" t="s">
        <v>942</v>
      </c>
      <c r="H1" s="17" t="s">
        <v>943</v>
      </c>
      <c r="I1" s="18" t="s">
        <v>944</v>
      </c>
      <c r="J1" s="18" t="s">
        <v>945</v>
      </c>
      <c r="K1" s="18" t="s">
        <v>946</v>
      </c>
      <c r="L1" s="19" t="s">
        <v>9</v>
      </c>
    </row>
    <row r="2" spans="1:12">
      <c r="A2" s="20" t="s">
        <v>947</v>
      </c>
    </row>
    <row r="3" spans="1:12">
      <c r="A3" s="20" t="s">
        <v>12</v>
      </c>
      <c r="B3" s="21" t="s">
        <v>948</v>
      </c>
      <c r="C3" s="21" t="s">
        <v>949</v>
      </c>
      <c r="D3" s="21" t="s">
        <v>950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951</v>
      </c>
      <c r="B4" s="21" t="s">
        <v>948</v>
      </c>
      <c r="C4" s="21" t="s">
        <v>949</v>
      </c>
      <c r="D4" s="21" t="s">
        <v>950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952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/>
    </row>
    <row r="7" spans="1:12">
      <c r="A7" s="20" t="s">
        <v>953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954</v>
      </c>
    </row>
    <row r="9" spans="1:12">
      <c r="A9" s="20" t="s">
        <v>955</v>
      </c>
      <c r="B9" s="21" t="s">
        <v>956</v>
      </c>
      <c r="C9" s="21" t="s">
        <v>949</v>
      </c>
      <c r="D9" s="21" t="s">
        <v>950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957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958</v>
      </c>
      <c r="B11" s="21" t="s">
        <v>959</v>
      </c>
      <c r="C11" s="21" t="s">
        <v>960</v>
      </c>
      <c r="D11" s="21" t="s">
        <v>950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961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962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963</v>
      </c>
      <c r="B14" s="21" t="s">
        <v>959</v>
      </c>
      <c r="C14" s="21" t="s">
        <v>964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962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965</v>
      </c>
      <c r="B16" s="21" t="s">
        <v>966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967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968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952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/>
    </row>
    <row r="21" spans="1:12">
      <c r="A21" s="20" t="s">
        <v>953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969</v>
      </c>
    </row>
    <row r="23" spans="1:12">
      <c r="A23" s="20" t="s">
        <v>962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970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965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971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965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972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973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386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962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961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974</v>
      </c>
      <c r="B33" s="21" t="s">
        <v>975</v>
      </c>
      <c r="C33" s="21" t="s">
        <v>976</v>
      </c>
      <c r="D33" s="21" t="s">
        <v>950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977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978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979</v>
      </c>
      <c r="B36" s="21" t="s">
        <v>980</v>
      </c>
      <c r="C36" s="21" t="s">
        <v>976</v>
      </c>
      <c r="D36" s="21" t="s">
        <v>950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977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981</v>
      </c>
      <c r="B38" s="21" t="s">
        <v>982</v>
      </c>
      <c r="C38" s="21" t="s">
        <v>983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984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962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/>
    </row>
    <row r="42" spans="1:12">
      <c r="A42" s="20" t="s">
        <v>985</v>
      </c>
    </row>
    <row r="43" spans="1:12">
      <c r="A43" s="20" t="s">
        <v>986</v>
      </c>
      <c r="B43" s="21" t="s">
        <v>956</v>
      </c>
      <c r="C43" s="21" t="s">
        <v>960</v>
      </c>
      <c r="D43" s="21" t="s">
        <v>950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987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952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/>
    </row>
    <row r="47" spans="1:12">
      <c r="A47" s="20" t="s">
        <v>953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988</v>
      </c>
    </row>
    <row r="49" spans="1:12">
      <c r="A49" s="20" t="s">
        <v>962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989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958</v>
      </c>
      <c r="B51" s="21" t="s">
        <v>975</v>
      </c>
      <c r="C51" s="21" t="s">
        <v>960</v>
      </c>
      <c r="D51" s="21" t="s">
        <v>950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990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991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992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993</v>
      </c>
      <c r="B55" s="21" t="s">
        <v>959</v>
      </c>
      <c r="C55" s="21" t="s">
        <v>983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994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962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991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995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996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961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997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998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999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1000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962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1001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1002</v>
      </c>
      <c r="B68" s="21" t="s">
        <v>966</v>
      </c>
      <c r="C68" s="21" t="s">
        <v>960</v>
      </c>
      <c r="D68" s="21" t="s">
        <v>950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1003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961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997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998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977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1004</v>
      </c>
      <c r="B74" s="21" t="s">
        <v>1005</v>
      </c>
      <c r="C74" s="21" t="s">
        <v>976</v>
      </c>
      <c r="D74" s="21" t="s">
        <v>950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977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1006</v>
      </c>
      <c r="B76" s="21" t="s">
        <v>1007</v>
      </c>
      <c r="C76" s="21" t="s">
        <v>1008</v>
      </c>
      <c r="D76" s="21" t="s">
        <v>950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965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1009</v>
      </c>
      <c r="B78" s="21" t="s">
        <v>982</v>
      </c>
      <c r="C78" s="21" t="s">
        <v>983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962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955</v>
      </c>
      <c r="B80" s="21" t="s">
        <v>1010</v>
      </c>
      <c r="C80" s="21" t="s">
        <v>949</v>
      </c>
      <c r="D80" s="21" t="s">
        <v>950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1011</v>
      </c>
      <c r="B81" s="21" t="s">
        <v>1007</v>
      </c>
      <c r="C81" s="21" t="s">
        <v>949</v>
      </c>
      <c r="D81" s="21" t="s">
        <v>950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952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1012</v>
      </c>
    </row>
    <row r="85" spans="1:12">
      <c r="A85" s="20" t="s">
        <v>1013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1000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1014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984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/>
    </row>
    <row r="90" spans="1:12">
      <c r="A90" s="20" t="s">
        <v>1015</v>
      </c>
    </row>
    <row r="91" spans="1:12">
      <c r="A91" s="20" t="s">
        <v>1016</v>
      </c>
      <c r="B91" s="21" t="s">
        <v>948</v>
      </c>
      <c r="C91" s="21" t="s">
        <v>983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952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1017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1018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264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1019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1020</v>
      </c>
      <c r="B97" s="21" t="s">
        <v>975</v>
      </c>
      <c r="C97" s="21" t="s">
        <v>976</v>
      </c>
      <c r="D97" s="21" t="s">
        <v>950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1021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1022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1023</v>
      </c>
      <c r="B100" s="21" t="s">
        <v>980</v>
      </c>
      <c r="C100" s="21" t="s">
        <v>949</v>
      </c>
      <c r="D100" s="21" t="s">
        <v>950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1001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1021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1022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1024</v>
      </c>
      <c r="B104" s="21" t="s">
        <v>982</v>
      </c>
      <c r="C104" s="21" t="s">
        <v>949</v>
      </c>
      <c r="D104" s="21" t="s">
        <v>950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1001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1021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1025</v>
      </c>
      <c r="B107" s="21" t="s">
        <v>1010</v>
      </c>
      <c r="C107" s="21" t="s">
        <v>983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1001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1026</v>
      </c>
      <c r="B109" s="21" t="s">
        <v>1007</v>
      </c>
      <c r="C109" s="21" t="s">
        <v>983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1000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1001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1027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1021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1022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1028</v>
      </c>
      <c r="B115" s="21" t="s">
        <v>980</v>
      </c>
      <c r="C115" s="21" t="s">
        <v>1029</v>
      </c>
      <c r="D115" s="21" t="s">
        <v>950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1030</v>
      </c>
      <c r="B116" s="21" t="s">
        <v>1031</v>
      </c>
      <c r="C116" s="21" t="s">
        <v>1032</v>
      </c>
      <c r="D116" s="21" t="s">
        <v>950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1001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1006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1033</v>
      </c>
      <c r="B119" s="21" t="s">
        <v>980</v>
      </c>
      <c r="C119" s="21" t="s">
        <v>1032</v>
      </c>
      <c r="D119" s="21" t="s">
        <v>950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977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1034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1035</v>
      </c>
      <c r="B122" s="21" t="s">
        <v>1036</v>
      </c>
      <c r="C122" s="21" t="s">
        <v>960</v>
      </c>
      <c r="D122" s="21" t="s">
        <v>950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1037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1038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1039</v>
      </c>
      <c r="B125" s="21" t="s">
        <v>1040</v>
      </c>
      <c r="C125" s="21" t="s">
        <v>1032</v>
      </c>
      <c r="D125" s="21" t="s">
        <v>950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1001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1034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1041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1042</v>
      </c>
      <c r="B129" s="21" t="s">
        <v>1043</v>
      </c>
      <c r="C129" s="21" t="s">
        <v>1044</v>
      </c>
      <c r="D129" s="21" t="s">
        <v>950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1000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965</v>
      </c>
      <c r="B131" s="21" t="s">
        <v>1045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1046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1047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1048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1049</v>
      </c>
      <c r="B135" s="21" t="s">
        <v>1050</v>
      </c>
      <c r="C135" s="21" t="s">
        <v>1051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1000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1003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1052</v>
      </c>
      <c r="B138" s="21" t="s">
        <v>1053</v>
      </c>
      <c r="C138" s="21" t="s">
        <v>983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1054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1055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984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/>
    </row>
    <row r="143" spans="1:12">
      <c r="A143" s="20" t="s">
        <v>1056</v>
      </c>
    </row>
    <row r="144" spans="1:12">
      <c r="A144" s="20" t="s">
        <v>1057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1058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1059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977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1006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1060</v>
      </c>
      <c r="B149" s="21" t="s">
        <v>980</v>
      </c>
      <c r="C149" s="21" t="s">
        <v>1032</v>
      </c>
      <c r="D149" s="21" t="s">
        <v>950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984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/>
    </row>
    <row r="152" spans="1:12">
      <c r="A152" s="20" t="s">
        <v>1061</v>
      </c>
    </row>
    <row r="153" spans="1:12">
      <c r="A153" s="20" t="s">
        <v>1017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1022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1062</v>
      </c>
      <c r="B155" s="21" t="s">
        <v>948</v>
      </c>
      <c r="C155" s="21" t="s">
        <v>1029</v>
      </c>
      <c r="D155" s="21" t="s">
        <v>950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1063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44</v>
      </c>
      <c r="B157" s="21" t="s">
        <v>948</v>
      </c>
      <c r="C157" s="21" t="s">
        <v>1032</v>
      </c>
      <c r="D157" s="21" t="s">
        <v>950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952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1064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1065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1022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1024</v>
      </c>
      <c r="B162" s="21" t="s">
        <v>1031</v>
      </c>
      <c r="C162" s="21" t="s">
        <v>949</v>
      </c>
      <c r="D162" s="21" t="s">
        <v>950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1001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1066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1064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1067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1068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1069</v>
      </c>
    </row>
    <row r="170" spans="1:12">
      <c r="A170" s="20" t="s">
        <v>1070</v>
      </c>
      <c r="B170" s="21" t="s">
        <v>956</v>
      </c>
      <c r="C170" s="21" t="s">
        <v>983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952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1071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1000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1072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1073</v>
      </c>
      <c r="B175" s="21" t="s">
        <v>1031</v>
      </c>
      <c r="C175" s="21" t="s">
        <v>1074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1075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965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1076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1077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1000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1001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1022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1078</v>
      </c>
      <c r="B183" s="21" t="s">
        <v>980</v>
      </c>
      <c r="C183" s="21" t="s">
        <v>1029</v>
      </c>
      <c r="D183" s="21" t="s">
        <v>950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1079</v>
      </c>
      <c r="B184" s="21" t="s">
        <v>1031</v>
      </c>
      <c r="C184" s="21" t="s">
        <v>1032</v>
      </c>
      <c r="D184" s="21" t="s">
        <v>950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1000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965</v>
      </c>
      <c r="B186" s="21" t="s">
        <v>1080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1081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1047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1077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1049</v>
      </c>
      <c r="B190" s="21" t="s">
        <v>1082</v>
      </c>
      <c r="C190" s="21" t="s">
        <v>1051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1000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1072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1083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1022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1084</v>
      </c>
      <c r="B195" s="21" t="s">
        <v>959</v>
      </c>
      <c r="C195" s="21" t="s">
        <v>1032</v>
      </c>
      <c r="D195" s="21" t="s">
        <v>950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1085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1001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1086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1087</v>
      </c>
      <c r="B199" s="21" t="s">
        <v>975</v>
      </c>
      <c r="C199" s="21" t="s">
        <v>960</v>
      </c>
      <c r="D199" s="21" t="s">
        <v>950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1088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1089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1001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1090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984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/>
    </row>
    <row r="206" spans="1:12">
      <c r="A206" s="20" t="s">
        <v>1091</v>
      </c>
    </row>
    <row r="207" spans="1:12">
      <c r="A207" s="20" t="s">
        <v>1092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1093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1094</v>
      </c>
      <c r="B209" s="21" t="s">
        <v>956</v>
      </c>
      <c r="C209" s="21" t="s">
        <v>1032</v>
      </c>
      <c r="D209" s="21" t="s">
        <v>950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1095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1096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1000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1072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1097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1098</v>
      </c>
      <c r="B215" s="21" t="s">
        <v>948</v>
      </c>
      <c r="C215" s="21" t="s">
        <v>1008</v>
      </c>
      <c r="D215" s="21" t="s">
        <v>950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965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1099</v>
      </c>
      <c r="B217" s="21" t="s">
        <v>966</v>
      </c>
      <c r="C217" s="21" t="s">
        <v>960</v>
      </c>
      <c r="D217" s="21" t="s">
        <v>950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1100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1101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1022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283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1068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/>
    </row>
    <row r="224" spans="1:12">
      <c r="A224" s="20" t="s">
        <v>1102</v>
      </c>
    </row>
    <row r="225" spans="1:12">
      <c r="A225" s="20" t="s">
        <v>1092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56</v>
      </c>
      <c r="B226" s="21" t="s">
        <v>948</v>
      </c>
      <c r="C226" s="21" t="s">
        <v>960</v>
      </c>
      <c r="D226" s="21" t="s">
        <v>950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1103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1104</v>
      </c>
      <c r="B228" s="21" t="s">
        <v>956</v>
      </c>
      <c r="C228" s="21" t="s">
        <v>976</v>
      </c>
      <c r="D228" s="21" t="s">
        <v>950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1075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1098</v>
      </c>
      <c r="B230" s="21" t="s">
        <v>1031</v>
      </c>
      <c r="C230" s="21" t="s">
        <v>1008</v>
      </c>
      <c r="D230" s="21" t="s">
        <v>950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1001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972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1105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1106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1022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1107</v>
      </c>
      <c r="B236" s="21" t="s">
        <v>975</v>
      </c>
      <c r="C236" s="21" t="s">
        <v>1032</v>
      </c>
      <c r="D236" s="21" t="s">
        <v>950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984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/>
    </row>
    <row r="239" spans="1:12">
      <c r="A239" s="20" t="s">
        <v>1108</v>
      </c>
    </row>
    <row r="240" spans="1:12">
      <c r="A240" s="20" t="s">
        <v>1109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1000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1075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1022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1110</v>
      </c>
      <c r="B244" s="21" t="s">
        <v>948</v>
      </c>
      <c r="C244" s="21" t="s">
        <v>1032</v>
      </c>
      <c r="D244" s="21" t="s">
        <v>950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1000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1111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1104</v>
      </c>
      <c r="B247" s="21" t="s">
        <v>966</v>
      </c>
      <c r="C247" s="21" t="s">
        <v>976</v>
      </c>
      <c r="D247" s="21" t="s">
        <v>950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1021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1025</v>
      </c>
      <c r="B249" s="21" t="s">
        <v>982</v>
      </c>
      <c r="C249" s="21" t="s">
        <v>983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1000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1072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1073</v>
      </c>
      <c r="B252" s="21" t="s">
        <v>1031</v>
      </c>
      <c r="C252" s="21" t="s">
        <v>1074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1054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1112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1066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1113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1114</v>
      </c>
      <c r="B257" s="21" t="s">
        <v>982</v>
      </c>
      <c r="C257" s="21" t="s">
        <v>960</v>
      </c>
      <c r="D257" s="21" t="s">
        <v>950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1000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61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1115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1006</v>
      </c>
      <c r="B261" s="21" t="s">
        <v>959</v>
      </c>
      <c r="C261" s="21" t="s">
        <v>1008</v>
      </c>
      <c r="D261" s="21" t="s">
        <v>950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965</v>
      </c>
      <c r="B262" s="21" t="s">
        <v>1005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1116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1000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61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1022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1084</v>
      </c>
      <c r="B267" s="21" t="s">
        <v>1005</v>
      </c>
      <c r="C267" s="21" t="s">
        <v>1032</v>
      </c>
      <c r="D267" s="21" t="s">
        <v>950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1085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1000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1001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1100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1117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1075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1022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1118</v>
      </c>
      <c r="B275" s="21" t="s">
        <v>948</v>
      </c>
      <c r="C275" s="21" t="s">
        <v>1032</v>
      </c>
      <c r="D275" s="21" t="s">
        <v>950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1119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1000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1006</v>
      </c>
      <c r="B278" s="21" t="s">
        <v>959</v>
      </c>
      <c r="C278" s="21" t="s">
        <v>1008</v>
      </c>
      <c r="D278" s="21" t="s">
        <v>950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965</v>
      </c>
      <c r="B279" s="21" t="s">
        <v>966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1072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1019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1120</v>
      </c>
      <c r="B282" s="21" t="s">
        <v>1031</v>
      </c>
      <c r="C282" s="21" t="s">
        <v>964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984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/>
    </row>
    <row r="285" spans="1:12">
      <c r="A285" s="20" t="s">
        <v>1121</v>
      </c>
    </row>
    <row r="286" spans="1:12">
      <c r="A286" s="20" t="s">
        <v>1122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1075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1098</v>
      </c>
      <c r="B288" s="21" t="s">
        <v>948</v>
      </c>
      <c r="C288" s="21" t="s">
        <v>1008</v>
      </c>
      <c r="D288" s="21" t="s">
        <v>950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1047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1123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68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1124</v>
      </c>
      <c r="B292" s="21" t="s">
        <v>975</v>
      </c>
      <c r="C292" s="21" t="s">
        <v>1125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1000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1126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1100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972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1065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977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1127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1128</v>
      </c>
      <c r="B300" s="21" t="s">
        <v>948</v>
      </c>
      <c r="C300" s="21" t="s">
        <v>1125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984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/>
    </row>
    <row r="303" spans="1:12">
      <c r="A303" s="20" t="s">
        <v>1129</v>
      </c>
    </row>
    <row r="304" spans="1:12">
      <c r="A304" s="20" t="s">
        <v>1016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952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1130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1131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1000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1034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1132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1068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/>
    </row>
    <row r="313" spans="1:12">
      <c r="A313" s="20" t="s">
        <v>1133</v>
      </c>
    </row>
    <row r="314" spans="1:12">
      <c r="A314" s="20" t="s">
        <v>1070</v>
      </c>
      <c r="B314" s="21" t="s">
        <v>948</v>
      </c>
      <c r="C314" s="21" t="s">
        <v>983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952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1071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1000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1134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965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1000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1135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1066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1064</v>
      </c>
      <c r="B323" s="21" t="s">
        <v>1031</v>
      </c>
      <c r="C323" s="21" t="s">
        <v>983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1018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1136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1137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1000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995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1072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965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972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1065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1138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1068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1136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1075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1139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1140</v>
      </c>
      <c r="B338" s="21" t="s">
        <v>980</v>
      </c>
      <c r="C338" s="21" t="s">
        <v>983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1072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1141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1019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1139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1142</v>
      </c>
      <c r="B343" s="21" t="s">
        <v>1143</v>
      </c>
      <c r="C343" s="21" t="s">
        <v>976</v>
      </c>
      <c r="D343" s="21" t="s">
        <v>950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1144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984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/>
    </row>
    <row r="347" spans="1:12">
      <c r="A347" s="20" t="s">
        <v>1145</v>
      </c>
    </row>
    <row r="348" spans="1:12">
      <c r="A348" s="20" t="s">
        <v>777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1000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1006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1146</v>
      </c>
      <c r="B351" s="21" t="s">
        <v>980</v>
      </c>
      <c r="C351" s="21" t="s">
        <v>1029</v>
      </c>
      <c r="D351" s="21" t="s">
        <v>950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1147</v>
      </c>
      <c r="B352" s="21" t="s">
        <v>975</v>
      </c>
      <c r="C352" s="21" t="s">
        <v>1032</v>
      </c>
      <c r="D352" s="21" t="s">
        <v>950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972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1137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1064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1117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1000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972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1137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1006</v>
      </c>
      <c r="B360" s="21" t="s">
        <v>982</v>
      </c>
      <c r="C360" s="21" t="s">
        <v>1008</v>
      </c>
      <c r="D360" s="21" t="s">
        <v>950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965</v>
      </c>
      <c r="B361" s="21" t="s">
        <v>1005</v>
      </c>
      <c r="C361" s="21" t="s">
        <v>1148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1117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1022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283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1000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972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1137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1006</v>
      </c>
      <c r="B368" s="21" t="s">
        <v>1010</v>
      </c>
      <c r="C368" s="21" t="s">
        <v>1008</v>
      </c>
      <c r="D368" s="21" t="s">
        <v>950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965</v>
      </c>
      <c r="B369" s="21" t="s">
        <v>1080</v>
      </c>
      <c r="C369" s="21" t="s">
        <v>1148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1149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1000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1001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1077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977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1006</v>
      </c>
      <c r="B375" s="21" t="s">
        <v>1010</v>
      </c>
      <c r="C375" s="21" t="s">
        <v>1008</v>
      </c>
      <c r="D375" s="21" t="s">
        <v>950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965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1150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1151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283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1152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1072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1141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308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1038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1153</v>
      </c>
      <c r="B385" s="21" t="s">
        <v>1007</v>
      </c>
      <c r="C385" s="21" t="s">
        <v>1029</v>
      </c>
      <c r="D385" s="21" t="s">
        <v>950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1154</v>
      </c>
      <c r="B386" s="21" t="s">
        <v>1040</v>
      </c>
      <c r="C386" s="21" t="s">
        <v>1032</v>
      </c>
      <c r="D386" s="21" t="s">
        <v>950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1022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1155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1000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1156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1157</v>
      </c>
      <c r="B391" s="21" t="s">
        <v>1158</v>
      </c>
      <c r="C391" s="21" t="s">
        <v>960</v>
      </c>
      <c r="D391" s="21" t="s">
        <v>950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61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1006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1146</v>
      </c>
      <c r="B394" s="21" t="s">
        <v>1159</v>
      </c>
      <c r="C394" s="21" t="s">
        <v>1029</v>
      </c>
      <c r="D394" s="21" t="s">
        <v>950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1160</v>
      </c>
      <c r="B395" s="21" t="s">
        <v>1161</v>
      </c>
      <c r="C395" s="21" t="s">
        <v>1032</v>
      </c>
      <c r="D395" s="21" t="s">
        <v>950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984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/>
    </row>
    <row r="398" spans="1:12">
      <c r="A398" s="20" t="s">
        <v>1162</v>
      </c>
    </row>
    <row r="399" spans="1:12">
      <c r="A399" s="20" t="s">
        <v>1163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1024</v>
      </c>
      <c r="B400" s="21" t="s">
        <v>956</v>
      </c>
      <c r="C400" s="21" t="s">
        <v>949</v>
      </c>
      <c r="D400" s="21" t="s">
        <v>950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1164</v>
      </c>
      <c r="B401" s="21" t="s">
        <v>1031</v>
      </c>
      <c r="C401" s="21" t="s">
        <v>949</v>
      </c>
      <c r="D401" s="21" t="s">
        <v>950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1137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1064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1035</v>
      </c>
      <c r="B404" s="21" t="s">
        <v>1143</v>
      </c>
      <c r="C404" s="21" t="s">
        <v>960</v>
      </c>
      <c r="D404" s="21" t="s">
        <v>950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1065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1000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1137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977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1006</v>
      </c>
      <c r="B409" s="21" t="s">
        <v>1010</v>
      </c>
      <c r="C409" s="21" t="s">
        <v>1008</v>
      </c>
      <c r="D409" s="21" t="s">
        <v>950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965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1165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802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984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  <row r="415" spans="1:12">
      <c r="A415" s="20" t="s">
        <v>1166</v>
      </c>
    </row>
    <row r="416" spans="1:12">
      <c r="A416" s="20" t="s">
        <v>1167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1022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1110</v>
      </c>
      <c r="B418" s="21" t="s">
        <v>948</v>
      </c>
      <c r="C418" s="21" t="s">
        <v>1032</v>
      </c>
      <c r="D418" s="21" t="s">
        <v>950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1000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283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1168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965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1038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1169</v>
      </c>
      <c r="B424" s="21" t="s">
        <v>1143</v>
      </c>
      <c r="C424" s="21" t="s">
        <v>1032</v>
      </c>
      <c r="D424" s="21" t="s">
        <v>950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1170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1001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1075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1038</v>
      </c>
      <c r="B428" s="21" t="s">
        <v>980</v>
      </c>
      <c r="C428" s="21" t="s">
        <v>1008</v>
      </c>
      <c r="D428" s="21" t="s">
        <v>950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1171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1001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1171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1172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1084</v>
      </c>
      <c r="B433" s="21" t="s">
        <v>975</v>
      </c>
      <c r="C433" s="21" t="s">
        <v>1044</v>
      </c>
      <c r="D433" s="21" t="s">
        <v>950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1098</v>
      </c>
      <c r="B434" s="21" t="s">
        <v>975</v>
      </c>
      <c r="C434" s="21" t="s">
        <v>1008</v>
      </c>
      <c r="D434" s="21" t="s">
        <v>950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1100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972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1173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984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/>
    </row>
    <row r="440" spans="1:12">
      <c r="A440" s="20" t="s">
        <v>1174</v>
      </c>
    </row>
    <row r="441" spans="1:12">
      <c r="A441" s="20" t="s">
        <v>1175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1065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1077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1000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1077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1176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984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/>
    </row>
    <row r="449" spans="1:12">
      <c r="A449" s="20" t="s">
        <v>1177</v>
      </c>
    </row>
    <row r="450" spans="1:12">
      <c r="A450" s="20" t="s">
        <v>1016</v>
      </c>
      <c r="B450" s="21" t="s">
        <v>956</v>
      </c>
      <c r="C450" s="21" t="s">
        <v>949</v>
      </c>
      <c r="D450" s="21" t="s">
        <v>950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952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1178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958</v>
      </c>
      <c r="B453" s="21" t="s">
        <v>959</v>
      </c>
      <c r="C453" s="21" t="s">
        <v>960</v>
      </c>
      <c r="D453" s="21" t="s">
        <v>950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1000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1111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1179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1066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1006</v>
      </c>
      <c r="B458" s="21" t="s">
        <v>1031</v>
      </c>
      <c r="C458" s="21" t="s">
        <v>1008</v>
      </c>
      <c r="D458" s="21" t="s">
        <v>950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965</v>
      </c>
      <c r="B459" s="21" t="s">
        <v>1040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1022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1024</v>
      </c>
      <c r="B461" s="21" t="s">
        <v>1036</v>
      </c>
      <c r="C461" s="21" t="s">
        <v>949</v>
      </c>
      <c r="D461" s="21" t="s">
        <v>950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1065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1022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283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1000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1064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1180</v>
      </c>
      <c r="B467" s="21" t="s">
        <v>1080</v>
      </c>
      <c r="C467" s="21" t="s">
        <v>960</v>
      </c>
      <c r="D467" s="21" t="s">
        <v>950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1181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1022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1182</v>
      </c>
      <c r="B470" s="21" t="s">
        <v>1082</v>
      </c>
      <c r="C470" s="21" t="s">
        <v>949</v>
      </c>
      <c r="D470" s="21" t="s">
        <v>950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1183</v>
      </c>
      <c r="B471" s="21" t="s">
        <v>1010</v>
      </c>
      <c r="C471" s="21" t="s">
        <v>949</v>
      </c>
      <c r="D471" s="21" t="s">
        <v>950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1068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/>
    </row>
    <row r="474" spans="1:12">
      <c r="A474" s="20" t="s">
        <v>1184</v>
      </c>
    </row>
    <row r="475" spans="1:12">
      <c r="A475" s="20" t="s">
        <v>1070</v>
      </c>
      <c r="B475" s="21" t="s">
        <v>948</v>
      </c>
      <c r="C475" s="21" t="s">
        <v>983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952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1163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1182</v>
      </c>
      <c r="B478" s="21" t="s">
        <v>1143</v>
      </c>
      <c r="C478" s="21" t="s">
        <v>949</v>
      </c>
      <c r="D478" s="21" t="s">
        <v>950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1183</v>
      </c>
      <c r="B479" s="21" t="s">
        <v>980</v>
      </c>
      <c r="C479" s="21" t="s">
        <v>949</v>
      </c>
      <c r="D479" s="21" t="s">
        <v>950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1072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1019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1185</v>
      </c>
      <c r="B482" s="21" t="s">
        <v>948</v>
      </c>
      <c r="C482" s="21" t="s">
        <v>964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965</v>
      </c>
      <c r="B483" s="21" t="s">
        <v>966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1186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1152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984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/>
    </row>
    <row r="488" spans="1:12">
      <c r="A488" s="20" t="s">
        <v>1187</v>
      </c>
    </row>
    <row r="489" spans="1:12">
      <c r="A489" s="20" t="s">
        <v>1188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1180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1075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1006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1189</v>
      </c>
      <c r="B493" s="21" t="s">
        <v>948</v>
      </c>
      <c r="C493" s="21" t="s">
        <v>949</v>
      </c>
      <c r="D493" s="21" t="s">
        <v>950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1190</v>
      </c>
      <c r="B494" s="21" t="s">
        <v>1031</v>
      </c>
      <c r="C494" s="21" t="s">
        <v>949</v>
      </c>
      <c r="D494" s="21" t="s">
        <v>950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984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/>
    </row>
    <row r="497" spans="1:12">
      <c r="A497" s="20" t="s">
        <v>1191</v>
      </c>
    </row>
    <row r="498" spans="1:12">
      <c r="A498" s="20" t="s">
        <v>1192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1000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1193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958</v>
      </c>
      <c r="B501" s="21" t="s">
        <v>1082</v>
      </c>
      <c r="C501" s="21" t="s">
        <v>960</v>
      </c>
      <c r="D501" s="21" t="s">
        <v>950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25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1194</v>
      </c>
      <c r="B503" s="21" t="s">
        <v>1082</v>
      </c>
      <c r="C503" s="21" t="s">
        <v>960</v>
      </c>
      <c r="D503" s="21" t="s">
        <v>950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1034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1195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1196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1000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1197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1198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1066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1022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1025</v>
      </c>
      <c r="B512" s="21" t="s">
        <v>1031</v>
      </c>
      <c r="C512" s="21" t="s">
        <v>1032</v>
      </c>
      <c r="D512" s="21" t="s">
        <v>950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1001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1199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1115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1000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1200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61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1201</v>
      </c>
      <c r="B519" s="21" t="s">
        <v>1040</v>
      </c>
      <c r="C519" s="21" t="s">
        <v>1074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1000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1001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1202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283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1038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1169</v>
      </c>
      <c r="B525" s="21" t="s">
        <v>1040</v>
      </c>
      <c r="C525" s="21" t="s">
        <v>1032</v>
      </c>
      <c r="D525" s="21" t="s">
        <v>950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1203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1204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1001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1205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1206</v>
      </c>
      <c r="B530" s="21" t="s">
        <v>1082</v>
      </c>
      <c r="C530" s="21" t="s">
        <v>960</v>
      </c>
      <c r="D530" s="21" t="s">
        <v>950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1115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1136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1207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1208</v>
      </c>
      <c r="B534" s="21" t="s">
        <v>1010</v>
      </c>
      <c r="C534" s="21" t="s">
        <v>983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1000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1022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1209</v>
      </c>
      <c r="B537" s="21" t="s">
        <v>956</v>
      </c>
      <c r="C537" s="21" t="s">
        <v>1032</v>
      </c>
      <c r="D537" s="21" t="s">
        <v>950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1210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1115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1211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984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/>
    </row>
    <row r="543" spans="1:12">
      <c r="A543" s="20" t="s">
        <v>1212</v>
      </c>
    </row>
    <row r="544" spans="1:12">
      <c r="A544" s="20" t="s">
        <v>1017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1000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1213</v>
      </c>
      <c r="B546" s="21" t="s">
        <v>956</v>
      </c>
      <c r="C546" s="21" t="s">
        <v>1148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1072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1006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849</v>
      </c>
      <c r="B549" s="21" t="s">
        <v>948</v>
      </c>
      <c r="C549" s="21" t="s">
        <v>976</v>
      </c>
      <c r="D549" s="21" t="s">
        <v>950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977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1022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1214</v>
      </c>
      <c r="B552" s="21" t="s">
        <v>948</v>
      </c>
      <c r="C552" s="21" t="s">
        <v>976</v>
      </c>
      <c r="D552" s="21" t="s">
        <v>950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1075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1006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1215</v>
      </c>
      <c r="B555" s="21" t="s">
        <v>1031</v>
      </c>
      <c r="C555" s="21" t="s">
        <v>976</v>
      </c>
      <c r="D555" s="21" t="s">
        <v>950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977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1022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1209</v>
      </c>
      <c r="B558" s="21" t="s">
        <v>980</v>
      </c>
      <c r="C558" s="21" t="s">
        <v>1032</v>
      </c>
      <c r="D558" s="21" t="s">
        <v>950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1068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/>
    </row>
    <row r="561" spans="1:12">
      <c r="A561" s="20" t="s">
        <v>1216</v>
      </c>
    </row>
    <row r="562" spans="1:12">
      <c r="A562" s="20" t="s">
        <v>1217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1072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1077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33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984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/>
    </row>
    <row r="568" spans="1:12">
      <c r="A568" s="20" t="s">
        <v>1218</v>
      </c>
    </row>
    <row r="569" spans="1:12">
      <c r="A569" s="20" t="s">
        <v>1217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1075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1038</v>
      </c>
      <c r="B571" s="21" t="s">
        <v>948</v>
      </c>
      <c r="C571" s="21" t="s">
        <v>1008</v>
      </c>
      <c r="D571" s="21" t="s">
        <v>950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108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1115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984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/>
    </row>
    <row r="576" spans="1:12">
      <c r="A576" s="20" t="s">
        <v>1219</v>
      </c>
    </row>
    <row r="577" spans="1:12">
      <c r="A577" s="20" t="s">
        <v>1220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1221</v>
      </c>
      <c r="B578" s="21" t="s">
        <v>959</v>
      </c>
      <c r="C578" s="21" t="s">
        <v>976</v>
      </c>
      <c r="D578" s="21" t="s">
        <v>950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1021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1022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1222</v>
      </c>
      <c r="B581" s="21" t="s">
        <v>1031</v>
      </c>
      <c r="C581" s="21" t="s">
        <v>1032</v>
      </c>
      <c r="D581" s="21" t="s">
        <v>950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1223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1066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1006</v>
      </c>
      <c r="B584" s="21" t="s">
        <v>975</v>
      </c>
      <c r="C584" s="21" t="s">
        <v>960</v>
      </c>
      <c r="D584" s="21" t="s">
        <v>950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1224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984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/>
    </row>
    <row r="588" spans="1:12">
      <c r="A588" s="20" t="s">
        <v>1225</v>
      </c>
    </row>
    <row r="589" spans="1:12">
      <c r="A589" s="20" t="s">
        <v>1226</v>
      </c>
      <c r="B589" s="21" t="s">
        <v>956</v>
      </c>
      <c r="C589" s="21" t="s">
        <v>1008</v>
      </c>
      <c r="D589" s="21" t="s">
        <v>950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1227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1228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984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/>
    </row>
    <row r="594" spans="1:12">
      <c r="A594" s="20" t="s">
        <v>1229</v>
      </c>
    </row>
    <row r="595" spans="1:12">
      <c r="A595" s="20" t="s">
        <v>1092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1230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1022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1231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1066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1232</v>
      </c>
      <c r="B600" s="21" t="s">
        <v>1031</v>
      </c>
      <c r="C600" s="21" t="s">
        <v>976</v>
      </c>
      <c r="D600" s="21" t="s">
        <v>950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1034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1006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1233</v>
      </c>
      <c r="B603" s="21" t="s">
        <v>980</v>
      </c>
      <c r="C603" s="21" t="s">
        <v>949</v>
      </c>
      <c r="D603" s="21" t="s">
        <v>950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984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/>
    </row>
    <row r="606" spans="1:12">
      <c r="A606" s="20" t="s">
        <v>1234</v>
      </c>
    </row>
    <row r="607" spans="1:12">
      <c r="A607" s="20" t="s">
        <v>1235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61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1006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1233</v>
      </c>
      <c r="B610" s="21" t="s">
        <v>975</v>
      </c>
      <c r="C610" s="21" t="s">
        <v>949</v>
      </c>
      <c r="D610" s="21" t="s">
        <v>950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1068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/>
    </row>
    <row r="613" spans="1:12">
      <c r="A613" s="20" t="s">
        <v>1236</v>
      </c>
    </row>
    <row r="614" spans="1:12">
      <c r="A614" s="20" t="s">
        <v>1237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1022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1222</v>
      </c>
      <c r="B616" s="21" t="s">
        <v>959</v>
      </c>
      <c r="C616" s="21" t="s">
        <v>1032</v>
      </c>
      <c r="D616" s="21" t="s">
        <v>950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1223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1075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1006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1233</v>
      </c>
      <c r="B620" s="21" t="s">
        <v>948</v>
      </c>
      <c r="C620" s="21" t="s">
        <v>949</v>
      </c>
      <c r="D620" s="21" t="s">
        <v>950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1001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1002</v>
      </c>
      <c r="B622" s="21" t="s">
        <v>1143</v>
      </c>
      <c r="C622" s="21" t="s">
        <v>960</v>
      </c>
      <c r="D622" s="21" t="s">
        <v>950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1238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1239</v>
      </c>
      <c r="B624" s="21" t="s">
        <v>975</v>
      </c>
      <c r="C624" s="21" t="s">
        <v>983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1000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1240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984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/>
    </row>
    <row r="629" spans="1:12">
      <c r="A629" s="20" t="s">
        <v>1241</v>
      </c>
    </row>
    <row r="630" spans="1:12">
      <c r="A630" s="20" t="s">
        <v>1242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961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1243</v>
      </c>
      <c r="B632" s="21" t="s">
        <v>948</v>
      </c>
      <c r="C632" s="21" t="s">
        <v>964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1211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984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/>
    </row>
    <row r="636" spans="1:12">
      <c r="A636" s="20" t="s">
        <v>1244</v>
      </c>
    </row>
    <row r="637" spans="1:12">
      <c r="A637" s="20" t="s">
        <v>1245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965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1047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1073</v>
      </c>
      <c r="B640" s="21" t="s">
        <v>975</v>
      </c>
      <c r="C640" s="21" t="s">
        <v>1074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1246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984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/>
    </row>
    <row r="644" spans="1:12">
      <c r="A644" s="20" t="s">
        <v>1247</v>
      </c>
    </row>
    <row r="645" spans="1:12">
      <c r="A645" s="20" t="s">
        <v>1248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1249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1006</v>
      </c>
      <c r="B647" s="21" t="s">
        <v>980</v>
      </c>
      <c r="C647" s="21" t="s">
        <v>1008</v>
      </c>
      <c r="D647" s="21" t="s">
        <v>950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965</v>
      </c>
      <c r="B648" s="21" t="s">
        <v>1143</v>
      </c>
      <c r="C648" s="21" t="s">
        <v>1148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1250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1239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1000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1098</v>
      </c>
      <c r="B652" s="21" t="s">
        <v>1143</v>
      </c>
      <c r="C652" s="21" t="s">
        <v>1008</v>
      </c>
      <c r="D652" s="21" t="s">
        <v>950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1251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436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1077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1211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984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/>
    </row>
    <row r="659" spans="1:12">
      <c r="A659" s="20" t="s">
        <v>1252</v>
      </c>
    </row>
    <row r="660" spans="1:12">
      <c r="A660" s="20" t="s">
        <v>1253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965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1022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1182</v>
      </c>
      <c r="B663" s="21" t="s">
        <v>1143</v>
      </c>
      <c r="C663" s="21" t="s">
        <v>949</v>
      </c>
      <c r="D663" s="21" t="s">
        <v>950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1183</v>
      </c>
      <c r="B664" s="21" t="s">
        <v>980</v>
      </c>
      <c r="C664" s="21" t="s">
        <v>949</v>
      </c>
      <c r="D664" s="21" t="s">
        <v>950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1000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1006</v>
      </c>
      <c r="B666" s="21" t="s">
        <v>1143</v>
      </c>
      <c r="C666" s="21" t="s">
        <v>1008</v>
      </c>
      <c r="D666" s="21" t="s">
        <v>950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965</v>
      </c>
      <c r="B667" s="21" t="s">
        <v>1080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1072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1115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1254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1075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1022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1182</v>
      </c>
      <c r="B673" s="21" t="s">
        <v>982</v>
      </c>
      <c r="C673" s="21" t="s">
        <v>949</v>
      </c>
      <c r="D673" s="21" t="s">
        <v>950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1183</v>
      </c>
      <c r="B674" s="21" t="s">
        <v>1010</v>
      </c>
      <c r="C674" s="21" t="s">
        <v>949</v>
      </c>
      <c r="D674" s="21" t="s">
        <v>950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1072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965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1255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1115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991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991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1101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1022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139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1232</v>
      </c>
      <c r="B684" s="21" t="s">
        <v>1005</v>
      </c>
      <c r="C684" s="21" t="s">
        <v>976</v>
      </c>
      <c r="D684" s="21" t="s">
        <v>950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977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1256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1257</v>
      </c>
      <c r="B687" s="21" t="s">
        <v>982</v>
      </c>
      <c r="C687" s="21" t="s">
        <v>1044</v>
      </c>
      <c r="D687" s="21" t="s">
        <v>950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1258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1259</v>
      </c>
      <c r="B689" s="21" t="s">
        <v>1010</v>
      </c>
      <c r="C689" s="21" t="s">
        <v>983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984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/>
    </row>
    <row r="692" spans="1:12">
      <c r="A692" s="20" t="s">
        <v>1260</v>
      </c>
    </row>
    <row r="693" spans="1:12">
      <c r="A693" s="20" t="s">
        <v>1261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1168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1262</v>
      </c>
      <c r="B695" s="21" t="s">
        <v>966</v>
      </c>
      <c r="C695" s="21" t="s">
        <v>976</v>
      </c>
      <c r="D695" s="21" t="s">
        <v>950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977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1263</v>
      </c>
      <c r="B697" s="21" t="s">
        <v>982</v>
      </c>
      <c r="C697" s="21" t="s">
        <v>983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1000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1136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1264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1265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1266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1006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1263</v>
      </c>
      <c r="B704" s="21" t="s">
        <v>1005</v>
      </c>
      <c r="C704" s="21" t="s">
        <v>1032</v>
      </c>
      <c r="D704" s="21" t="s">
        <v>950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1136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1141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1022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1267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1262</v>
      </c>
      <c r="B709" s="21" t="s">
        <v>1082</v>
      </c>
      <c r="C709" s="21" t="s">
        <v>976</v>
      </c>
      <c r="D709" s="21" t="s">
        <v>950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977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1263</v>
      </c>
      <c r="B711" s="21" t="s">
        <v>1010</v>
      </c>
      <c r="C711" s="21" t="s">
        <v>983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1000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1001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1022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139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1034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1006</v>
      </c>
      <c r="B717" s="21" t="s">
        <v>1053</v>
      </c>
      <c r="C717" s="21" t="s">
        <v>960</v>
      </c>
      <c r="D717" s="21" t="s">
        <v>950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283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1268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984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/>
    </row>
    <row r="722" spans="1:12">
      <c r="A722" s="20" t="s">
        <v>1269</v>
      </c>
    </row>
    <row r="723" spans="1:12">
      <c r="A723" s="20" t="s">
        <v>1016</v>
      </c>
      <c r="B723" s="21" t="s">
        <v>1143</v>
      </c>
      <c r="C723" s="21" t="s">
        <v>949</v>
      </c>
      <c r="D723" s="21" t="s">
        <v>950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952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1270</v>
      </c>
      <c r="B725" s="21" t="s">
        <v>980</v>
      </c>
      <c r="C725" s="21" t="s">
        <v>949</v>
      </c>
      <c r="D725" s="21" t="s">
        <v>950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1075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1038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1262</v>
      </c>
      <c r="B728" s="21" t="s">
        <v>982</v>
      </c>
      <c r="C728" s="21" t="s">
        <v>976</v>
      </c>
      <c r="D728" s="21" t="s">
        <v>950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977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1263</v>
      </c>
      <c r="B730" s="21" t="s">
        <v>1010</v>
      </c>
      <c r="C730" s="21" t="s">
        <v>983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1001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1034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1093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1271</v>
      </c>
      <c r="B734" s="21" t="s">
        <v>1010</v>
      </c>
      <c r="C734" s="21" t="s">
        <v>1032</v>
      </c>
      <c r="D734" s="21" t="s">
        <v>950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1101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1022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160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283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1232</v>
      </c>
      <c r="B739" s="21" t="s">
        <v>1005</v>
      </c>
      <c r="C739" s="21" t="s">
        <v>983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1272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984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/>
    </row>
    <row r="743" spans="1:12">
      <c r="A743" s="20" t="s">
        <v>1273</v>
      </c>
    </row>
    <row r="744" spans="1:12">
      <c r="A744" s="20" t="s">
        <v>1070</v>
      </c>
      <c r="B744" s="21" t="s">
        <v>948</v>
      </c>
      <c r="C744" s="21" t="s">
        <v>983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952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11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1254</v>
      </c>
      <c r="B747" s="21" t="s">
        <v>1143</v>
      </c>
      <c r="C747" s="21" t="s">
        <v>1032</v>
      </c>
      <c r="D747" s="21" t="s">
        <v>950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1274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977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1275</v>
      </c>
      <c r="B750" s="21" t="s">
        <v>1031</v>
      </c>
      <c r="C750" s="21" t="s">
        <v>1008</v>
      </c>
      <c r="D750" s="21" t="s">
        <v>950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1072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965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1000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1276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1000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1277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1180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977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1262</v>
      </c>
      <c r="B759" s="21" t="s">
        <v>1005</v>
      </c>
      <c r="C759" s="21" t="s">
        <v>983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1278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1000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1126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1006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1279</v>
      </c>
      <c r="B764" s="21" t="s">
        <v>1036</v>
      </c>
      <c r="C764" s="21" t="s">
        <v>1032</v>
      </c>
      <c r="D764" s="21" t="s">
        <v>950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1280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1281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1006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1097</v>
      </c>
      <c r="B768" s="21" t="s">
        <v>1040</v>
      </c>
      <c r="C768" s="21" t="s">
        <v>1008</v>
      </c>
      <c r="D768" s="21" t="s">
        <v>950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965</v>
      </c>
      <c r="B769" s="21" t="s">
        <v>1158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1114</v>
      </c>
      <c r="B770" s="21" t="s">
        <v>1161</v>
      </c>
      <c r="C770" s="21" t="s">
        <v>960</v>
      </c>
      <c r="D770" s="21" t="s">
        <v>950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1000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1038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1282</v>
      </c>
      <c r="B773" s="21" t="s">
        <v>1159</v>
      </c>
      <c r="C773" s="21" t="s">
        <v>1032</v>
      </c>
      <c r="D773" s="21" t="s">
        <v>950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1000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1001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1003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1038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1283</v>
      </c>
      <c r="B778" s="21" t="s">
        <v>1050</v>
      </c>
      <c r="C778" s="21" t="s">
        <v>1032</v>
      </c>
      <c r="D778" s="21" t="s">
        <v>950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1001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1022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1284</v>
      </c>
      <c r="B781" s="21" t="s">
        <v>1285</v>
      </c>
      <c r="C781" s="21" t="s">
        <v>1032</v>
      </c>
      <c r="D781" s="21" t="s">
        <v>950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1001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1286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1022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1267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1113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1287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1262</v>
      </c>
      <c r="B788" s="21" t="s">
        <v>1288</v>
      </c>
      <c r="C788" s="21" t="s">
        <v>1044</v>
      </c>
      <c r="D788" s="21" t="s">
        <v>950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1000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1006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1097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1289</v>
      </c>
      <c r="B792" s="21" t="s">
        <v>1290</v>
      </c>
      <c r="C792" s="21" t="s">
        <v>1032</v>
      </c>
      <c r="D792" s="21" t="s">
        <v>950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984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/>
    </row>
    <row r="795" spans="1:12">
      <c r="A795" s="20" t="s">
        <v>1291</v>
      </c>
    </row>
    <row r="796" spans="1:12">
      <c r="A796" s="20" t="s">
        <v>1292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1022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1267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1113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1287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1262</v>
      </c>
      <c r="B801" s="21" t="s">
        <v>975</v>
      </c>
      <c r="C801" s="21" t="s">
        <v>1044</v>
      </c>
      <c r="D801" s="21" t="s">
        <v>950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1000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1168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961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1293</v>
      </c>
      <c r="B805" s="21" t="s">
        <v>980</v>
      </c>
      <c r="C805" s="21" t="s">
        <v>964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1294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984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/>
    </row>
    <row r="809" spans="1:12">
      <c r="A809" s="20" t="s">
        <v>1295</v>
      </c>
    </row>
    <row r="810" spans="1:12">
      <c r="A810" s="20" t="s">
        <v>1296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1297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1298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283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1232</v>
      </c>
      <c r="B814" s="21" t="s">
        <v>975</v>
      </c>
      <c r="C814" s="21" t="s">
        <v>1044</v>
      </c>
      <c r="D814" s="21" t="s">
        <v>950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977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1299</v>
      </c>
      <c r="B816" s="21" t="s">
        <v>980</v>
      </c>
      <c r="C816" s="21" t="s">
        <v>1008</v>
      </c>
      <c r="D816" s="21" t="s">
        <v>950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1168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1169</v>
      </c>
      <c r="B818" s="21" t="s">
        <v>1031</v>
      </c>
      <c r="C818" s="21" t="s">
        <v>983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984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/>
    </row>
    <row r="821" spans="1:12">
      <c r="A821" s="20" t="s">
        <v>1300</v>
      </c>
    </row>
    <row r="822" spans="1:12">
      <c r="A822" s="20" t="s">
        <v>1301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164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1141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1256</v>
      </c>
      <c r="B825" s="21" t="s">
        <v>948</v>
      </c>
      <c r="C825" s="21" t="s">
        <v>1008</v>
      </c>
      <c r="D825" s="21" t="s">
        <v>950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1000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1302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984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/>
    </row>
    <row r="830" spans="1:12">
      <c r="A830" s="20" t="s">
        <v>1303</v>
      </c>
    </row>
    <row r="831" spans="1:12">
      <c r="A831" s="20" t="s">
        <v>1242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1304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1000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1001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1305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965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1255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1306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1006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1307</v>
      </c>
      <c r="B840" s="21" t="s">
        <v>1082</v>
      </c>
      <c r="C840" s="21" t="s">
        <v>1032</v>
      </c>
      <c r="D840" s="21" t="s">
        <v>950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1022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1006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1308</v>
      </c>
      <c r="B843" s="21" t="s">
        <v>1082</v>
      </c>
      <c r="C843" s="21" t="s">
        <v>1032</v>
      </c>
      <c r="D843" s="21" t="s">
        <v>950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984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/>
    </row>
    <row r="846" spans="1:12">
      <c r="A846" s="20" t="s">
        <v>1309</v>
      </c>
    </row>
    <row r="847" spans="1:12">
      <c r="A847" s="20" t="s">
        <v>11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1147</v>
      </c>
      <c r="B848" s="21" t="s">
        <v>956</v>
      </c>
      <c r="C848" s="21" t="s">
        <v>1032</v>
      </c>
      <c r="D848" s="21" t="s">
        <v>950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1065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1022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1022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1310</v>
      </c>
      <c r="B852" s="21" t="s">
        <v>948</v>
      </c>
      <c r="C852" s="21" t="s">
        <v>1032</v>
      </c>
      <c r="D852" s="21" t="s">
        <v>950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1000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1001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1065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1022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1311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1039</v>
      </c>
      <c r="B858" s="21" t="s">
        <v>1005</v>
      </c>
      <c r="C858" s="21" t="s">
        <v>983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984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/>
    </row>
    <row r="861" spans="1:12">
      <c r="A861" s="20" t="s">
        <v>1312</v>
      </c>
    </row>
    <row r="862" spans="1:12">
      <c r="A862" s="20" t="s">
        <v>1313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1180</v>
      </c>
      <c r="B863" s="21" t="s">
        <v>956</v>
      </c>
      <c r="C863" s="21" t="s">
        <v>960</v>
      </c>
      <c r="D863" s="21" t="s">
        <v>950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1041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1314</v>
      </c>
      <c r="B865" s="21" t="s">
        <v>1143</v>
      </c>
      <c r="C865" s="21" t="s">
        <v>1044</v>
      </c>
      <c r="D865" s="21" t="s">
        <v>950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1315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1316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1075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1022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1078</v>
      </c>
      <c r="B870" s="21" t="s">
        <v>980</v>
      </c>
      <c r="C870" s="21" t="s">
        <v>1029</v>
      </c>
      <c r="D870" s="21" t="s">
        <v>950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1317</v>
      </c>
      <c r="B871" s="21" t="s">
        <v>1031</v>
      </c>
      <c r="C871" s="21" t="s">
        <v>1032</v>
      </c>
      <c r="D871" s="21" t="s">
        <v>950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1000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1318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1075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1319</v>
      </c>
      <c r="B875" s="21" t="s">
        <v>980</v>
      </c>
      <c r="C875" s="21" t="s">
        <v>976</v>
      </c>
      <c r="D875" s="21" t="s">
        <v>950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977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1084</v>
      </c>
      <c r="B877" s="21" t="s">
        <v>982</v>
      </c>
      <c r="C877" s="21" t="s">
        <v>983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1000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1318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1232</v>
      </c>
      <c r="B880" s="21" t="s">
        <v>980</v>
      </c>
      <c r="C880" s="21" t="s">
        <v>976</v>
      </c>
      <c r="D880" s="21" t="s">
        <v>950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977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1320</v>
      </c>
      <c r="B882" s="21" t="s">
        <v>982</v>
      </c>
      <c r="C882" s="21" t="s">
        <v>1008</v>
      </c>
      <c r="D882" s="21" t="s">
        <v>950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984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/>
    </row>
    <row r="885" spans="1:12">
      <c r="A885" s="20" t="s">
        <v>1321</v>
      </c>
    </row>
    <row r="886" spans="1:12">
      <c r="A886" s="20" t="s">
        <v>1322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1097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1075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1006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1323</v>
      </c>
      <c r="B890" s="21" t="s">
        <v>948</v>
      </c>
      <c r="C890" s="21" t="s">
        <v>976</v>
      </c>
      <c r="D890" s="21" t="s">
        <v>950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977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1275</v>
      </c>
      <c r="B892" s="21" t="s">
        <v>1031</v>
      </c>
      <c r="C892" s="21" t="s">
        <v>1008</v>
      </c>
      <c r="D892" s="21" t="s">
        <v>950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1001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1072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1098</v>
      </c>
      <c r="B895" s="21" t="s">
        <v>948</v>
      </c>
      <c r="C895" s="21" t="s">
        <v>1008</v>
      </c>
      <c r="D895" s="21" t="s">
        <v>950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965</v>
      </c>
      <c r="B896" s="21" t="s">
        <v>966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958</v>
      </c>
      <c r="B897" s="21" t="s">
        <v>1005</v>
      </c>
      <c r="C897" s="21" t="s">
        <v>960</v>
      </c>
      <c r="D897" s="21" t="s">
        <v>950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1324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984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/>
    </row>
    <row r="901" spans="1:12">
      <c r="A901" s="20" t="s">
        <v>1325</v>
      </c>
    </row>
    <row r="902" spans="1:12">
      <c r="A902" s="20" t="s">
        <v>1016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952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1130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1326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1066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1201</v>
      </c>
      <c r="B907" s="21" t="s">
        <v>1005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1006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965</v>
      </c>
      <c r="B909" s="21" t="s">
        <v>982</v>
      </c>
      <c r="C909" s="21" t="s">
        <v>1008</v>
      </c>
      <c r="D909" s="21" t="s">
        <v>950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1327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1168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1022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1182</v>
      </c>
      <c r="B913" s="21" t="s">
        <v>980</v>
      </c>
      <c r="C913" s="21" t="s">
        <v>949</v>
      </c>
      <c r="D913" s="21" t="s">
        <v>950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1183</v>
      </c>
      <c r="B914" s="21" t="s">
        <v>982</v>
      </c>
      <c r="C914" s="21" t="s">
        <v>949</v>
      </c>
      <c r="D914" s="21" t="s">
        <v>950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1001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1006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1304</v>
      </c>
      <c r="B917" s="21" t="s">
        <v>982</v>
      </c>
      <c r="C917" s="21" t="s">
        <v>1032</v>
      </c>
      <c r="D917" s="21" t="s">
        <v>950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1000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1019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1140</v>
      </c>
      <c r="B920" s="21" t="s">
        <v>1036</v>
      </c>
      <c r="C920" s="21" t="s">
        <v>976</v>
      </c>
      <c r="D920" s="21" t="s">
        <v>950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977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1006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1146</v>
      </c>
      <c r="B923" s="21" t="s">
        <v>1328</v>
      </c>
      <c r="C923" s="21" t="s">
        <v>1029</v>
      </c>
      <c r="D923" s="21" t="s">
        <v>950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1329</v>
      </c>
      <c r="B924" s="21" t="s">
        <v>1007</v>
      </c>
      <c r="C924" s="21" t="s">
        <v>1032</v>
      </c>
      <c r="D924" s="21" t="s">
        <v>950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1072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1027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1022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1314</v>
      </c>
      <c r="B928" s="21" t="s">
        <v>982</v>
      </c>
      <c r="C928" s="21" t="s">
        <v>1032</v>
      </c>
      <c r="D928" s="21" t="s">
        <v>950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1330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984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/>
    </row>
    <row r="932" spans="1:12">
      <c r="A932" s="20" t="s">
        <v>1331</v>
      </c>
    </row>
    <row r="933" spans="1:12">
      <c r="A933" s="20" t="s">
        <v>1332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1117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1000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1075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1333</v>
      </c>
      <c r="B937" s="21" t="s">
        <v>948</v>
      </c>
      <c r="C937" s="21" t="s">
        <v>976</v>
      </c>
      <c r="D937" s="21" t="s">
        <v>950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1022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1098</v>
      </c>
      <c r="B939" s="21" t="s">
        <v>1031</v>
      </c>
      <c r="C939" s="21" t="s">
        <v>1008</v>
      </c>
      <c r="D939" s="21" t="s">
        <v>950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1068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/>
    </row>
    <row r="942" spans="1:12">
      <c r="A942" s="20" t="s">
        <v>1334</v>
      </c>
    </row>
    <row r="943" spans="1:12">
      <c r="A943" s="20" t="s">
        <v>1070</v>
      </c>
      <c r="B943" s="21" t="s">
        <v>956</v>
      </c>
      <c r="C943" s="21" t="s">
        <v>983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952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1013</v>
      </c>
      <c r="B945" s="21" t="s">
        <v>1031</v>
      </c>
      <c r="C945" s="21" t="s">
        <v>949</v>
      </c>
      <c r="D945" s="21" t="s">
        <v>950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1000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1066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1335</v>
      </c>
      <c r="B948" s="21" t="s">
        <v>948</v>
      </c>
      <c r="C948" s="21" t="s">
        <v>960</v>
      </c>
      <c r="D948" s="21" t="s">
        <v>950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1000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1072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1019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977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1093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1232</v>
      </c>
      <c r="B954" s="21" t="s">
        <v>948</v>
      </c>
      <c r="C954" s="21" t="s">
        <v>1032</v>
      </c>
      <c r="D954" s="21" t="s">
        <v>950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998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1336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965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1105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1337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1338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1047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1077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1049</v>
      </c>
      <c r="B963" s="21" t="s">
        <v>1005</v>
      </c>
      <c r="C963" s="21" t="s">
        <v>1051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984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/>
    </row>
    <row r="966" spans="1:12">
      <c r="A966" s="20" t="s">
        <v>1339</v>
      </c>
    </row>
    <row r="967" spans="1:12">
      <c r="A967" s="20" t="s">
        <v>11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194</v>
      </c>
      <c r="B968" s="21" t="s">
        <v>948</v>
      </c>
      <c r="C968" s="21" t="s">
        <v>1032</v>
      </c>
      <c r="D968" s="21" t="s">
        <v>950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965</v>
      </c>
      <c r="B969" s="21" t="s">
        <v>1143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1046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1041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1185</v>
      </c>
      <c r="B972" s="21" t="s">
        <v>966</v>
      </c>
      <c r="C972" s="21" t="s">
        <v>1044</v>
      </c>
      <c r="D972" s="21" t="s">
        <v>950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1000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1340</v>
      </c>
      <c r="B974" s="21" t="s">
        <v>982</v>
      </c>
      <c r="C974" s="21" t="s">
        <v>949</v>
      </c>
      <c r="D974" s="21" t="s">
        <v>950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1000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1003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1341</v>
      </c>
      <c r="B977" s="21" t="s">
        <v>1005</v>
      </c>
      <c r="C977" s="21" t="s">
        <v>976</v>
      </c>
      <c r="D977" s="21" t="s">
        <v>950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1075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1342</v>
      </c>
      <c r="B979" s="21" t="s">
        <v>982</v>
      </c>
      <c r="C979" s="21" t="s">
        <v>983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1001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1169</v>
      </c>
      <c r="B981" s="21" t="s">
        <v>1010</v>
      </c>
      <c r="C981" s="21" t="s">
        <v>983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984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/>
    </row>
    <row r="984" spans="1:12">
      <c r="A984" s="20" t="s">
        <v>1343</v>
      </c>
    </row>
    <row r="985" spans="1:12">
      <c r="A985" s="20" t="s">
        <v>1344</v>
      </c>
      <c r="B985" s="21" t="s">
        <v>956</v>
      </c>
      <c r="C985" s="21" t="s">
        <v>960</v>
      </c>
      <c r="D985" s="21" t="s">
        <v>950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1345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1022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1022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1346</v>
      </c>
      <c r="B989" s="21" t="s">
        <v>948</v>
      </c>
      <c r="C989" s="21" t="s">
        <v>1032</v>
      </c>
      <c r="D989" s="21" t="s">
        <v>950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1066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283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1006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1347</v>
      </c>
      <c r="B993" s="21" t="s">
        <v>975</v>
      </c>
      <c r="C993" s="21" t="s">
        <v>1032</v>
      </c>
      <c r="D993" s="21" t="s">
        <v>950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1000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1066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1348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1006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1349</v>
      </c>
      <c r="B998" s="21" t="s">
        <v>1005</v>
      </c>
      <c r="C998" s="21" t="s">
        <v>1032</v>
      </c>
      <c r="D998" s="21" t="s">
        <v>950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984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/>
    </row>
    <row r="1001" spans="1:12">
      <c r="A1001" s="20" t="s">
        <v>1350</v>
      </c>
    </row>
    <row r="1002" spans="1:12">
      <c r="A1002" s="20" t="s">
        <v>1351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1098</v>
      </c>
      <c r="B1003" s="21" t="s">
        <v>948</v>
      </c>
      <c r="C1003" s="21" t="s">
        <v>1008</v>
      </c>
      <c r="D1003" s="21" t="s">
        <v>950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1000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1104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965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1117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1022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1352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1077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1353</v>
      </c>
      <c r="B1011" s="21" t="s">
        <v>1005</v>
      </c>
      <c r="C1011" s="21" t="s">
        <v>1051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1354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1075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1256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1355</v>
      </c>
      <c r="B1015" s="21" t="s">
        <v>980</v>
      </c>
      <c r="C1015" s="21" t="s">
        <v>1044</v>
      </c>
      <c r="D1015" s="21" t="s">
        <v>950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977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1356</v>
      </c>
      <c r="B1017" s="21" t="s">
        <v>982</v>
      </c>
      <c r="C1017" s="21" t="s">
        <v>976</v>
      </c>
      <c r="D1017" s="21" t="s">
        <v>950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1357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1169</v>
      </c>
      <c r="B1019" s="21" t="s">
        <v>1010</v>
      </c>
      <c r="C1019" s="21" t="s">
        <v>983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1001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1342</v>
      </c>
      <c r="B1021" s="21" t="s">
        <v>1007</v>
      </c>
      <c r="C1021" s="21" t="s">
        <v>983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1075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1006</v>
      </c>
      <c r="B1023" s="21" t="s">
        <v>1010</v>
      </c>
      <c r="C1023" s="21" t="s">
        <v>1008</v>
      </c>
      <c r="D1023" s="21" t="s">
        <v>950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965</v>
      </c>
      <c r="B1024" s="21" t="s">
        <v>1158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1180</v>
      </c>
      <c r="B1025" s="21" t="s">
        <v>1161</v>
      </c>
      <c r="C1025" s="21" t="s">
        <v>960</v>
      </c>
      <c r="D1025" s="21" t="s">
        <v>950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1358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1022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61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1115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1006</v>
      </c>
      <c r="B1030" s="21" t="s">
        <v>1288</v>
      </c>
      <c r="C1030" s="21" t="s">
        <v>1008</v>
      </c>
      <c r="D1030" s="21" t="s">
        <v>950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965</v>
      </c>
      <c r="B1031" s="21" t="s">
        <v>1359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1072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1360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1066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1361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1073</v>
      </c>
      <c r="B1036" s="21" t="s">
        <v>1362</v>
      </c>
      <c r="C1036" s="21" t="s">
        <v>1074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998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1363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1001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283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1232</v>
      </c>
      <c r="B1041" s="21" t="s">
        <v>1364</v>
      </c>
      <c r="C1041" s="21" t="s">
        <v>983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1097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1055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984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/>
    </row>
    <row r="1046" spans="1:12">
      <c r="A1046" s="20" t="s">
        <v>1365</v>
      </c>
    </row>
    <row r="1047" spans="1:12">
      <c r="A1047" s="20" t="s">
        <v>1016</v>
      </c>
      <c r="B1047" s="21" t="s">
        <v>948</v>
      </c>
      <c r="C1047" s="21" t="s">
        <v>949</v>
      </c>
      <c r="D1047" s="21" t="s">
        <v>950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952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1109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1075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965</v>
      </c>
      <c r="B1051" s="21" t="s">
        <v>980</v>
      </c>
      <c r="C1051" s="21" t="s">
        <v>1148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1366</v>
      </c>
      <c r="B1052" s="21" t="s">
        <v>1031</v>
      </c>
      <c r="C1052" s="21" t="s">
        <v>1051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1065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1367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1068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/>
    </row>
    <row r="1057" spans="1:12">
      <c r="A1057" s="20" t="s">
        <v>1368</v>
      </c>
    </row>
    <row r="1058" spans="1:12">
      <c r="A1058" s="20" t="s">
        <v>1369</v>
      </c>
      <c r="B1058" s="21" t="s">
        <v>948</v>
      </c>
      <c r="C1058" s="21" t="s">
        <v>1148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1022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208</v>
      </c>
      <c r="B1060" s="21" t="s">
        <v>948</v>
      </c>
      <c r="C1060" s="21" t="s">
        <v>1032</v>
      </c>
      <c r="D1060" s="21" t="s">
        <v>950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1022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965</v>
      </c>
      <c r="B1062" s="21" t="s">
        <v>975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1018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1068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/>
    </row>
    <row r="1066" spans="1:12">
      <c r="A1066" s="20" t="s">
        <v>1370</v>
      </c>
    </row>
    <row r="1067" spans="1:12">
      <c r="A1067" s="20" t="s">
        <v>1070</v>
      </c>
      <c r="B1067" s="21" t="s">
        <v>948</v>
      </c>
      <c r="C1067" s="21" t="s">
        <v>983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952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1071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1000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1275</v>
      </c>
      <c r="B1071" s="21" t="s">
        <v>1143</v>
      </c>
      <c r="C1071" s="21" t="s">
        <v>1008</v>
      </c>
      <c r="D1071" s="21" t="s">
        <v>950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1072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1006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849</v>
      </c>
      <c r="B1074" s="21" t="s">
        <v>948</v>
      </c>
      <c r="C1074" s="21" t="s">
        <v>976</v>
      </c>
      <c r="D1074" s="21" t="s">
        <v>950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977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1022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1214</v>
      </c>
      <c r="B1077" s="21" t="s">
        <v>1031</v>
      </c>
      <c r="C1077" s="21" t="s">
        <v>1032</v>
      </c>
      <c r="D1077" s="21" t="s">
        <v>950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1075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1256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1371</v>
      </c>
      <c r="B1080" s="21" t="s">
        <v>1031</v>
      </c>
      <c r="C1080" s="21" t="s">
        <v>1044</v>
      </c>
      <c r="D1080" s="21" t="s">
        <v>950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1000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61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1038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1239</v>
      </c>
      <c r="B1084" s="21" t="s">
        <v>1005</v>
      </c>
      <c r="C1084" s="21" t="s">
        <v>1032</v>
      </c>
      <c r="D1084" s="21" t="s">
        <v>950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1075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1006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1233</v>
      </c>
      <c r="B1087" s="21" t="s">
        <v>980</v>
      </c>
      <c r="C1087" s="21" t="s">
        <v>949</v>
      </c>
      <c r="D1087" s="21" t="s">
        <v>950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1001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1232</v>
      </c>
      <c r="B1089" s="21" t="s">
        <v>982</v>
      </c>
      <c r="C1089" s="21" t="s">
        <v>976</v>
      </c>
      <c r="D1089" s="21" t="s">
        <v>950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977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1006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1372</v>
      </c>
      <c r="B1092" s="21" t="s">
        <v>1010</v>
      </c>
      <c r="C1092" s="21" t="s">
        <v>1032</v>
      </c>
      <c r="D1092" s="21" t="s">
        <v>950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1000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1224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1006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1215</v>
      </c>
      <c r="B1096" s="21" t="s">
        <v>1005</v>
      </c>
      <c r="C1096" s="21" t="s">
        <v>976</v>
      </c>
      <c r="D1096" s="21" t="s">
        <v>950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977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1209</v>
      </c>
      <c r="B1098" s="21" t="s">
        <v>982</v>
      </c>
      <c r="C1098" s="21" t="s">
        <v>983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984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/>
    </row>
    <row r="1101" spans="1:12">
      <c r="A1101" s="20" t="s">
        <v>1373</v>
      </c>
    </row>
    <row r="1102" spans="1:12">
      <c r="A1102" s="20" t="s">
        <v>1374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1228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1022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1222</v>
      </c>
      <c r="B1105" s="21" t="s">
        <v>959</v>
      </c>
      <c r="C1105" s="21" t="s">
        <v>1032</v>
      </c>
      <c r="D1105" s="21" t="s">
        <v>950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1223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1066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1224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1093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1232</v>
      </c>
      <c r="B1110" s="21" t="s">
        <v>975</v>
      </c>
      <c r="C1110" s="21" t="s">
        <v>1032</v>
      </c>
      <c r="D1110" s="21" t="s">
        <v>950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1375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1000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1126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1104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965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1256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1208</v>
      </c>
      <c r="B1117" s="21" t="s">
        <v>966</v>
      </c>
      <c r="C1117" s="21" t="s">
        <v>1044</v>
      </c>
      <c r="D1117" s="21" t="s">
        <v>950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1072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1115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1354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1000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995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1072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961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1289</v>
      </c>
      <c r="B1125" s="21" t="s">
        <v>1031</v>
      </c>
      <c r="C1125" s="21" t="s">
        <v>964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965</v>
      </c>
      <c r="B1126" s="21" t="s">
        <v>1080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1255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283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1376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1232</v>
      </c>
      <c r="B1130" s="21" t="s">
        <v>1040</v>
      </c>
      <c r="C1130" s="21" t="s">
        <v>1051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984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/>
    </row>
    <row r="1133" spans="1:12">
      <c r="A1133" s="20" t="s">
        <v>1377</v>
      </c>
    </row>
    <row r="1134" spans="1:12">
      <c r="A1134" s="20" t="s">
        <v>1016</v>
      </c>
      <c r="B1134" s="21" t="s">
        <v>1143</v>
      </c>
      <c r="C1134" s="21" t="s">
        <v>949</v>
      </c>
      <c r="D1134" s="21" t="s">
        <v>950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952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1217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1378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1180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1379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283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1275</v>
      </c>
      <c r="B1141" s="21" t="s">
        <v>1005</v>
      </c>
      <c r="C1141" s="21" t="s">
        <v>1008</v>
      </c>
      <c r="D1141" s="21" t="s">
        <v>950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1000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1126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1150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1022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1380</v>
      </c>
      <c r="B1146" s="21" t="s">
        <v>975</v>
      </c>
      <c r="C1146" s="21" t="s">
        <v>976</v>
      </c>
      <c r="D1146" s="21" t="s">
        <v>950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977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961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1381</v>
      </c>
      <c r="B1149" s="21" t="s">
        <v>980</v>
      </c>
      <c r="C1149" s="21" t="s">
        <v>964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984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/>
    </row>
    <row r="1152" spans="1:12">
      <c r="A1152" s="20" t="s">
        <v>1382</v>
      </c>
    </row>
    <row r="1153" spans="1:12">
      <c r="A1153" s="20" t="s">
        <v>1383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1384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1352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1275</v>
      </c>
      <c r="B1156" s="21" t="s">
        <v>975</v>
      </c>
      <c r="C1156" s="21" t="s">
        <v>1008</v>
      </c>
      <c r="D1156" s="21" t="s">
        <v>950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984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/>
    </row>
    <row r="1159" spans="1:12">
      <c r="A1159" s="20" t="s">
        <v>1385</v>
      </c>
    </row>
    <row r="1160" spans="1:12">
      <c r="A1160" s="20" t="s">
        <v>1386</v>
      </c>
      <c r="B1160" s="21" t="s">
        <v>956</v>
      </c>
      <c r="C1160" s="21" t="s">
        <v>1008</v>
      </c>
      <c r="D1160" s="21" t="s">
        <v>950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1072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1022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1387</v>
      </c>
      <c r="B1163" s="21" t="s">
        <v>948</v>
      </c>
      <c r="C1163" s="21" t="s">
        <v>1032</v>
      </c>
      <c r="D1163" s="21" t="s">
        <v>950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1034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1093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1271</v>
      </c>
      <c r="B1166" s="21" t="s">
        <v>1143</v>
      </c>
      <c r="C1166" s="21" t="s">
        <v>1032</v>
      </c>
      <c r="D1166" s="21" t="s">
        <v>950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1388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1066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1038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1239</v>
      </c>
      <c r="B1170" s="21" t="s">
        <v>1031</v>
      </c>
      <c r="C1170" s="21" t="s">
        <v>1032</v>
      </c>
      <c r="D1170" s="21" t="s">
        <v>950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1001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1389</v>
      </c>
      <c r="B1172" s="21" t="s">
        <v>1031</v>
      </c>
      <c r="C1172" s="21" t="s">
        <v>1008</v>
      </c>
      <c r="D1172" s="21" t="s">
        <v>950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1022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965</v>
      </c>
      <c r="B1174" s="21" t="s">
        <v>1082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1390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984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/>
    </row>
    <row r="1178" spans="1:12">
      <c r="A1178" s="20" t="s">
        <v>1391</v>
      </c>
    </row>
    <row r="1179" spans="1:12">
      <c r="A1179" s="20" t="s">
        <v>1392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1352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1172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1380</v>
      </c>
      <c r="B1182" s="21" t="s">
        <v>975</v>
      </c>
      <c r="C1182" s="21" t="s">
        <v>1044</v>
      </c>
      <c r="D1182" s="21" t="s">
        <v>950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1068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/>
    </row>
    <row r="1185" spans="1:12">
      <c r="A1185" s="20" t="s">
        <v>1393</v>
      </c>
    </row>
    <row r="1186" spans="1:12">
      <c r="A1186" s="20" t="s">
        <v>1070</v>
      </c>
      <c r="B1186" s="21" t="s">
        <v>948</v>
      </c>
      <c r="C1186" s="21" t="s">
        <v>983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952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1394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984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/>
    </row>
    <row r="1191" spans="1:12">
      <c r="A1191" s="20" t="s">
        <v>1395</v>
      </c>
    </row>
    <row r="1192" spans="1:12">
      <c r="A1192" s="20" t="s">
        <v>1016</v>
      </c>
      <c r="B1192" s="21" t="s">
        <v>948</v>
      </c>
      <c r="C1192" s="21" t="s">
        <v>983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952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/>
    </row>
    <row r="1195" spans="1:12">
      <c r="A1195" s="20" t="s">
        <v>1396</v>
      </c>
    </row>
    <row r="1196" spans="1:12">
      <c r="A1196" s="20" t="s">
        <v>1397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1065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984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/>
    </row>
    <row r="1200" spans="1:12">
      <c r="A1200" s="20" t="s">
        <v>1398</v>
      </c>
    </row>
    <row r="1201" spans="1:12">
      <c r="A1201" s="20" t="s">
        <v>1399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1352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1006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1381</v>
      </c>
      <c r="B1204" s="21" t="s">
        <v>975</v>
      </c>
      <c r="C1204" s="21" t="s">
        <v>1032</v>
      </c>
      <c r="D1204" s="21" t="s">
        <v>950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1068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/>
    </row>
    <row r="1207" spans="1:12">
      <c r="A1207" s="20" t="s">
        <v>1400</v>
      </c>
    </row>
    <row r="1208" spans="1:12">
      <c r="A1208" s="20" t="s">
        <v>1401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1207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1271</v>
      </c>
      <c r="B1210" s="21" t="s">
        <v>948</v>
      </c>
      <c r="C1210" s="21" t="s">
        <v>983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1000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1337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1207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1271</v>
      </c>
      <c r="B1214" s="21" t="s">
        <v>1031</v>
      </c>
      <c r="C1214" s="21" t="s">
        <v>983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984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/>
    </row>
    <row r="1217" spans="1:12">
      <c r="A1217" s="20" t="s">
        <v>1402</v>
      </c>
    </row>
    <row r="1218" spans="1:12">
      <c r="A1218" s="20" t="s">
        <v>1070</v>
      </c>
      <c r="B1218" s="21" t="s">
        <v>948</v>
      </c>
      <c r="C1218" s="21" t="s">
        <v>983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952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1226</v>
      </c>
      <c r="B1220" s="21" t="s">
        <v>948</v>
      </c>
      <c r="C1220" s="21" t="s">
        <v>1008</v>
      </c>
      <c r="D1220" s="21" t="s">
        <v>950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1097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984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/>
    </row>
    <row r="1224" spans="1:12">
      <c r="A1224" s="20" t="s">
        <v>1403</v>
      </c>
    </row>
    <row r="1225" spans="1:12">
      <c r="A1225" s="20" t="s">
        <v>1404</v>
      </c>
      <c r="B1225" s="21" t="s">
        <v>956</v>
      </c>
      <c r="C1225" s="21" t="s">
        <v>1008</v>
      </c>
      <c r="D1225" s="21" t="s">
        <v>950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1197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1405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1141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1406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1006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1233</v>
      </c>
      <c r="B1231" s="21" t="s">
        <v>975</v>
      </c>
      <c r="C1231" s="21" t="s">
        <v>949</v>
      </c>
      <c r="D1231" s="21" t="s">
        <v>950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984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/>
    </row>
    <row r="1234" spans="1:12">
      <c r="A1234" s="20" t="s">
        <v>1407</v>
      </c>
    </row>
    <row r="1235" spans="1:12">
      <c r="A1235" s="20" t="s">
        <v>1092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1258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1408</v>
      </c>
      <c r="B1237" s="21" t="s">
        <v>948</v>
      </c>
      <c r="C1237" s="21" t="s">
        <v>983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1000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1258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257</v>
      </c>
      <c r="B1240" s="21" t="s">
        <v>948</v>
      </c>
      <c r="C1240" s="21" t="s">
        <v>976</v>
      </c>
      <c r="D1240" s="21" t="s">
        <v>950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977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1381</v>
      </c>
      <c r="B1242" s="21" t="s">
        <v>948</v>
      </c>
      <c r="C1242" s="21" t="s">
        <v>983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1000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1126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1256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1243</v>
      </c>
      <c r="B1246" s="21" t="s">
        <v>1143</v>
      </c>
      <c r="C1246" s="21" t="s">
        <v>1044</v>
      </c>
      <c r="D1246" s="21" t="s">
        <v>950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977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1381</v>
      </c>
      <c r="B1248" s="21" t="s">
        <v>980</v>
      </c>
      <c r="C1248" s="21" t="s">
        <v>983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1072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1073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1211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965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1409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1410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1000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1001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1367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965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1093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1271</v>
      </c>
      <c r="B1260" s="21" t="s">
        <v>1036</v>
      </c>
      <c r="C1260" s="21" t="s">
        <v>1032</v>
      </c>
      <c r="D1260" s="21" t="s">
        <v>950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1411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1034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965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61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984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/>
    </row>
    <row r="1267" spans="1:12">
      <c r="A1267" s="20" t="s">
        <v>1412</v>
      </c>
    </row>
    <row r="1268" spans="1:12">
      <c r="A1268" s="20" t="s">
        <v>1301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1141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1413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1027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1075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1022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1140</v>
      </c>
      <c r="B1274" s="21" t="s">
        <v>975</v>
      </c>
      <c r="C1274" s="21" t="s">
        <v>976</v>
      </c>
      <c r="D1274" s="21" t="s">
        <v>950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977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1022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1025</v>
      </c>
      <c r="B1277" s="21" t="s">
        <v>980</v>
      </c>
      <c r="C1277" s="21" t="s">
        <v>1032</v>
      </c>
      <c r="D1277" s="21" t="s">
        <v>950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1000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1046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1168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1022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1025</v>
      </c>
      <c r="B1282" s="21" t="s">
        <v>948</v>
      </c>
      <c r="C1282" s="21" t="s">
        <v>1032</v>
      </c>
      <c r="D1282" s="21" t="s">
        <v>950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1000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61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1115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1006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1160</v>
      </c>
      <c r="B1287" s="21" t="s">
        <v>1005</v>
      </c>
      <c r="C1287" s="21" t="s">
        <v>976</v>
      </c>
      <c r="D1287" s="21" t="s">
        <v>950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977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1093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1094</v>
      </c>
      <c r="B1290" s="21" t="s">
        <v>982</v>
      </c>
      <c r="C1290" s="21" t="s">
        <v>1032</v>
      </c>
      <c r="D1290" s="21" t="s">
        <v>950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1001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1022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1028</v>
      </c>
      <c r="B1293" s="21" t="s">
        <v>982</v>
      </c>
      <c r="C1293" s="21" t="s">
        <v>1029</v>
      </c>
      <c r="D1293" s="21" t="s">
        <v>950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1084</v>
      </c>
      <c r="B1294" s="21" t="s">
        <v>980</v>
      </c>
      <c r="C1294" s="21" t="s">
        <v>1032</v>
      </c>
      <c r="D1294" s="21" t="s">
        <v>950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984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/>
    </row>
    <row r="1297" spans="1:12">
      <c r="A1297" s="20" t="s">
        <v>1414</v>
      </c>
    </row>
    <row r="1298" spans="1:12">
      <c r="A1298" s="20" t="s">
        <v>986</v>
      </c>
      <c r="B1298" s="21" t="s">
        <v>956</v>
      </c>
      <c r="C1298" s="21" t="s">
        <v>960</v>
      </c>
      <c r="D1298" s="21" t="s">
        <v>950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1415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961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1263</v>
      </c>
      <c r="B1301" s="21" t="s">
        <v>959</v>
      </c>
      <c r="C1301" s="21" t="s">
        <v>964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965</v>
      </c>
      <c r="B1302" s="21" t="s">
        <v>966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1416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1266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1302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1021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1006</v>
      </c>
      <c r="B1307" s="21" t="s">
        <v>982</v>
      </c>
      <c r="C1307" s="21" t="s">
        <v>1008</v>
      </c>
      <c r="D1307" s="21" t="s">
        <v>950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965</v>
      </c>
      <c r="B1308" s="21" t="s">
        <v>1053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1115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1417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984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/>
    </row>
    <row r="1313" spans="1:12">
      <c r="A1313" s="20" t="s">
        <v>953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1418</v>
      </c>
    </row>
    <row r="1315" spans="1:12">
      <c r="A1315" s="20" t="s">
        <v>992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268</v>
      </c>
      <c r="B1316" s="21" t="s">
        <v>948</v>
      </c>
      <c r="C1316" s="21" t="s">
        <v>949</v>
      </c>
      <c r="D1316" s="21" t="s">
        <v>950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994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1419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1420</v>
      </c>
      <c r="B1319" s="21" t="s">
        <v>948</v>
      </c>
      <c r="C1319" s="21" t="s">
        <v>949</v>
      </c>
      <c r="D1319" s="21" t="s">
        <v>950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952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962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1421</v>
      </c>
      <c r="B1322" s="21" t="s">
        <v>1031</v>
      </c>
      <c r="C1322" s="21" t="s">
        <v>949</v>
      </c>
      <c r="D1322" s="21" t="s">
        <v>950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1000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1422</v>
      </c>
      <c r="B1324" s="21" t="s">
        <v>1031</v>
      </c>
      <c r="C1324" s="21" t="s">
        <v>949</v>
      </c>
      <c r="D1324" s="21" t="s">
        <v>950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962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1423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1424</v>
      </c>
      <c r="B1327" s="21" t="s">
        <v>1031</v>
      </c>
      <c r="C1327" s="21" t="s">
        <v>949</v>
      </c>
      <c r="D1327" s="21" t="s">
        <v>950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1425</v>
      </c>
      <c r="B1328" s="21" t="s">
        <v>980</v>
      </c>
      <c r="C1328" s="21" t="s">
        <v>949</v>
      </c>
      <c r="D1328" s="21" t="s">
        <v>950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952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/>
    </row>
    <row r="1331" spans="1:12">
      <c r="A1331" s="20" t="s">
        <v>1426</v>
      </c>
    </row>
    <row r="1332" spans="1:12">
      <c r="A1332" s="20" t="s">
        <v>1427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997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1049</v>
      </c>
      <c r="B1334" s="21" t="s">
        <v>975</v>
      </c>
      <c r="C1334" s="21" t="s">
        <v>1051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1000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1428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1429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1430</v>
      </c>
      <c r="B1338" s="21" t="s">
        <v>959</v>
      </c>
      <c r="C1338" s="21" t="s">
        <v>976</v>
      </c>
      <c r="D1338" s="21" t="s">
        <v>950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977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1431</v>
      </c>
      <c r="B1340" s="21" t="s">
        <v>1031</v>
      </c>
      <c r="C1340" s="21" t="s">
        <v>983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984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/>
    </row>
    <row r="1343" spans="1:12">
      <c r="A1343" s="20" t="s">
        <v>1432</v>
      </c>
    </row>
    <row r="1344" spans="1:12">
      <c r="A1344" s="20" t="s">
        <v>1433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1434</v>
      </c>
      <c r="B1345" s="21" t="s">
        <v>1143</v>
      </c>
      <c r="C1345" s="21" t="s">
        <v>983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1000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1435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1022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1436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1429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1437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977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1038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1438</v>
      </c>
      <c r="B1354" s="21" t="s">
        <v>980</v>
      </c>
      <c r="C1354" s="21" t="s">
        <v>1074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984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/>
    </row>
    <row r="1357" spans="1:12">
      <c r="A1357" s="20" t="s">
        <v>1439</v>
      </c>
    </row>
    <row r="1358" spans="1:12">
      <c r="A1358" s="20" t="s">
        <v>1440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1075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1038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1441</v>
      </c>
      <c r="B1361" s="21" t="s">
        <v>948</v>
      </c>
      <c r="C1361" s="21" t="s">
        <v>1032</v>
      </c>
      <c r="D1361" s="21" t="s">
        <v>950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1126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972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1442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1077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984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/>
    </row>
    <row r="1368" spans="1:12">
      <c r="A1368" s="20" t="s">
        <v>1443</v>
      </c>
    </row>
    <row r="1369" spans="1:12">
      <c r="A1369" s="20" t="s">
        <v>1017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1444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1019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1025</v>
      </c>
      <c r="B1372" s="21" t="s">
        <v>959</v>
      </c>
      <c r="C1372" s="21" t="s">
        <v>964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984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/>
    </row>
    <row r="1375" spans="1:12">
      <c r="A1375" s="20" t="s">
        <v>953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1445</v>
      </c>
    </row>
    <row r="1377" spans="1:12">
      <c r="A1377" s="20" t="s">
        <v>1424</v>
      </c>
      <c r="B1377" s="21" t="s">
        <v>956</v>
      </c>
      <c r="C1377" s="21" t="s">
        <v>949</v>
      </c>
      <c r="D1377" s="21" t="s">
        <v>950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1425</v>
      </c>
      <c r="B1378" s="21" t="s">
        <v>1031</v>
      </c>
      <c r="C1378" s="21" t="s">
        <v>949</v>
      </c>
      <c r="D1378" s="21" t="s">
        <v>950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1000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1446</v>
      </c>
      <c r="B1380" s="21" t="s">
        <v>1031</v>
      </c>
      <c r="C1380" s="21" t="s">
        <v>983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962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1447</v>
      </c>
      <c r="B1382" s="21" t="s">
        <v>980</v>
      </c>
      <c r="C1382" s="21" t="s">
        <v>976</v>
      </c>
      <c r="D1382" s="21" t="s">
        <v>950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977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1093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1431</v>
      </c>
      <c r="B1385" s="21" t="s">
        <v>982</v>
      </c>
      <c r="C1385" s="21" t="s">
        <v>1448</v>
      </c>
      <c r="D1385" s="21" t="s">
        <v>950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962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1449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977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1038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1450</v>
      </c>
      <c r="B1390" s="21" t="s">
        <v>1007</v>
      </c>
      <c r="C1390" s="21" t="s">
        <v>1032</v>
      </c>
      <c r="D1390" s="21" t="s">
        <v>950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962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987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958</v>
      </c>
      <c r="B1393" s="21" t="s">
        <v>959</v>
      </c>
      <c r="C1393" s="21" t="s">
        <v>960</v>
      </c>
      <c r="D1393" s="21" t="s">
        <v>950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965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1093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1451</v>
      </c>
      <c r="B1396" s="21" t="s">
        <v>1143</v>
      </c>
      <c r="C1396" s="21" t="s">
        <v>1032</v>
      </c>
      <c r="D1396" s="21" t="s">
        <v>950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1452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436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1006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1453</v>
      </c>
      <c r="B1400" s="21" t="s">
        <v>1031</v>
      </c>
      <c r="C1400" s="21" t="s">
        <v>1032</v>
      </c>
      <c r="D1400" s="21" t="s">
        <v>950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984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/>
    </row>
    <row r="1403" spans="1:12">
      <c r="A1403" s="20" t="s">
        <v>953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1454</v>
      </c>
    </row>
    <row r="1405" spans="1:12">
      <c r="A1405" s="20" t="s">
        <v>1455</v>
      </c>
      <c r="B1405" s="21" t="s">
        <v>948</v>
      </c>
      <c r="C1405" s="21" t="s">
        <v>949</v>
      </c>
      <c r="D1405" s="21" t="s">
        <v>950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952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962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1456</v>
      </c>
      <c r="B1408" s="21" t="s">
        <v>1143</v>
      </c>
      <c r="C1408" s="21" t="s">
        <v>960</v>
      </c>
      <c r="D1408" s="21" t="s">
        <v>950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1457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977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1458</v>
      </c>
      <c r="B1411" s="21" t="s">
        <v>975</v>
      </c>
      <c r="C1411" s="21" t="s">
        <v>976</v>
      </c>
      <c r="D1411" s="21" t="s">
        <v>950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1021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1093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1459</v>
      </c>
      <c r="B1414" s="21" t="s">
        <v>980</v>
      </c>
      <c r="C1414" s="21" t="s">
        <v>1032</v>
      </c>
      <c r="D1414" s="21" t="s">
        <v>950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962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984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/>
    </row>
    <row r="1418" spans="1:12">
      <c r="A1418" s="20" t="s">
        <v>1460</v>
      </c>
    </row>
    <row r="1419" spans="1:12">
      <c r="A1419" s="20" t="s">
        <v>1461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1462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1463</v>
      </c>
      <c r="B1421" s="21" t="s">
        <v>948</v>
      </c>
      <c r="C1421" s="21" t="s">
        <v>1051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1093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1451</v>
      </c>
      <c r="B1423" s="21" t="s">
        <v>956</v>
      </c>
      <c r="C1423" s="21" t="s">
        <v>1032</v>
      </c>
      <c r="D1423" s="21" t="s">
        <v>950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1464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984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/>
    </row>
    <row r="1427" spans="1:12">
      <c r="A1427" s="20" t="s">
        <v>1465</v>
      </c>
    </row>
    <row r="1428" spans="1:12">
      <c r="A1428" s="20" t="s">
        <v>297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1466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1168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1022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1023</v>
      </c>
      <c r="B1432" s="21" t="s">
        <v>1031</v>
      </c>
      <c r="C1432" s="21" t="s">
        <v>949</v>
      </c>
      <c r="D1432" s="21" t="s">
        <v>950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984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/>
    </row>
    <row r="1435" spans="1:12">
      <c r="A1435" s="20" t="s">
        <v>1467</v>
      </c>
    </row>
    <row r="1436" spans="1:12">
      <c r="A1436" s="20" t="s">
        <v>1468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961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1469</v>
      </c>
      <c r="B1438" s="21" t="s">
        <v>959</v>
      </c>
      <c r="C1438" s="21" t="s">
        <v>964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965</v>
      </c>
      <c r="B1439" s="21" t="s">
        <v>966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1470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1097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977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1471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1006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1472</v>
      </c>
      <c r="B1445" s="21" t="s">
        <v>1010</v>
      </c>
      <c r="C1445" s="21" t="s">
        <v>1029</v>
      </c>
      <c r="D1445" s="21" t="s">
        <v>950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1473</v>
      </c>
      <c r="B1446" s="21" t="s">
        <v>1082</v>
      </c>
      <c r="C1446" s="21" t="s">
        <v>1032</v>
      </c>
      <c r="D1446" s="21" t="s">
        <v>950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984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/>
    </row>
    <row r="1449" spans="1:12">
      <c r="A1449" s="20" t="s">
        <v>953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1474</v>
      </c>
    </row>
    <row r="1451" spans="1:12">
      <c r="A1451" s="20" t="s">
        <v>1475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1168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1002</v>
      </c>
      <c r="B1453" s="21" t="s">
        <v>948</v>
      </c>
      <c r="C1453" s="21" t="s">
        <v>960</v>
      </c>
      <c r="D1453" s="21" t="s">
        <v>950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1022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961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1476</v>
      </c>
      <c r="B1456" s="21" t="s">
        <v>948</v>
      </c>
      <c r="C1456" s="21" t="s">
        <v>976</v>
      </c>
      <c r="D1456" s="21" t="s">
        <v>950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1477</v>
      </c>
      <c r="B1457" s="21" t="s">
        <v>1031</v>
      </c>
      <c r="C1457" s="21" t="s">
        <v>983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1001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1478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1479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962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1480</v>
      </c>
      <c r="B1462" s="21" t="s">
        <v>975</v>
      </c>
      <c r="C1462" s="21" t="s">
        <v>1051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962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984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/>
    </row>
    <row r="1466" spans="1:12">
      <c r="A1466" s="20" t="s">
        <v>1481</v>
      </c>
    </row>
    <row r="1467" spans="1:12">
      <c r="A1467" s="20" t="s">
        <v>1130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1006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1482</v>
      </c>
      <c r="B1469" s="21" t="s">
        <v>948</v>
      </c>
      <c r="C1469" s="21" t="s">
        <v>976</v>
      </c>
      <c r="D1469" s="21" t="s">
        <v>950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977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1483</v>
      </c>
      <c r="B1471" s="21" t="s">
        <v>1031</v>
      </c>
      <c r="C1471" s="21" t="s">
        <v>983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1000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1002</v>
      </c>
      <c r="B1473" s="21" t="s">
        <v>956</v>
      </c>
      <c r="C1473" s="21" t="s">
        <v>960</v>
      </c>
      <c r="D1473" s="21" t="s">
        <v>950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1484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308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961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1485</v>
      </c>
      <c r="B1477" s="21" t="s">
        <v>959</v>
      </c>
      <c r="C1477" s="21" t="s">
        <v>976</v>
      </c>
      <c r="D1477" s="21" t="s">
        <v>950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977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1486</v>
      </c>
      <c r="B1479" s="21" t="s">
        <v>1031</v>
      </c>
      <c r="C1479" s="21" t="s">
        <v>983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1075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1022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1346</v>
      </c>
      <c r="B1482" s="21" t="s">
        <v>948</v>
      </c>
      <c r="C1482" s="21" t="s">
        <v>1032</v>
      </c>
      <c r="D1482" s="21" t="s">
        <v>950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1487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984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/>
    </row>
    <row r="1486" spans="1:12">
      <c r="A1486" s="20" t="s">
        <v>1488</v>
      </c>
    </row>
    <row r="1487" spans="1:12">
      <c r="A1487" s="20" t="s">
        <v>1489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958</v>
      </c>
      <c r="B1488" s="21" t="s">
        <v>975</v>
      </c>
      <c r="C1488" s="21" t="s">
        <v>960</v>
      </c>
      <c r="D1488" s="21" t="s">
        <v>950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1490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1000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995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1073</v>
      </c>
      <c r="B1492" s="21" t="s">
        <v>948</v>
      </c>
      <c r="C1492" s="21" t="s">
        <v>1074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965</v>
      </c>
      <c r="B1493" s="21" t="s">
        <v>966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972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1491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1492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1493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1491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1492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1000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977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1434</v>
      </c>
      <c r="B1502" s="21" t="s">
        <v>1031</v>
      </c>
      <c r="C1502" s="21" t="s">
        <v>983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984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/>
    </row>
    <row r="1505" spans="1:12">
      <c r="A1505" s="20" t="s">
        <v>1494</v>
      </c>
    </row>
    <row r="1506" spans="1:12">
      <c r="A1506" s="20" t="s">
        <v>1495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965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1496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1497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1022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1498</v>
      </c>
      <c r="B1511" s="21" t="s">
        <v>1143</v>
      </c>
      <c r="C1511" s="21" t="s">
        <v>1074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1003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1499</v>
      </c>
      <c r="B1513" s="21" t="s">
        <v>975</v>
      </c>
      <c r="C1513" s="21" t="s">
        <v>976</v>
      </c>
      <c r="D1513" s="21" t="s">
        <v>950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1022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1006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1097</v>
      </c>
      <c r="B1516" s="21" t="s">
        <v>980</v>
      </c>
      <c r="C1516" s="21" t="s">
        <v>1008</v>
      </c>
      <c r="D1516" s="21" t="s">
        <v>950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965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56</v>
      </c>
      <c r="B1518" s="21" t="s">
        <v>980</v>
      </c>
      <c r="C1518" s="21" t="s">
        <v>960</v>
      </c>
      <c r="D1518" s="21" t="s">
        <v>950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984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/>
    </row>
    <row r="1521" spans="1:12">
      <c r="A1521" s="20" t="s">
        <v>1500</v>
      </c>
    </row>
    <row r="1522" spans="1:12">
      <c r="A1522" s="20" t="s">
        <v>1501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965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1415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965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264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1019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1023</v>
      </c>
      <c r="B1528" s="21" t="s">
        <v>1005</v>
      </c>
      <c r="C1528" s="21" t="s">
        <v>949</v>
      </c>
      <c r="D1528" s="21" t="s">
        <v>950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965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1022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1062</v>
      </c>
      <c r="B1531" s="21" t="s">
        <v>1007</v>
      </c>
      <c r="C1531" s="21" t="s">
        <v>1029</v>
      </c>
      <c r="D1531" s="21" t="s">
        <v>950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1502</v>
      </c>
      <c r="B1532" s="21" t="s">
        <v>1036</v>
      </c>
      <c r="C1532" s="21" t="s">
        <v>1032</v>
      </c>
      <c r="D1532" s="21" t="s">
        <v>950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1265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425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984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/>
    </row>
    <row r="1537" spans="1:12">
      <c r="A1537" s="20" t="s">
        <v>1503</v>
      </c>
    </row>
    <row r="1538" spans="1:12">
      <c r="A1538" s="20" t="s">
        <v>1501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1075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961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322</v>
      </c>
      <c r="B1541" s="21" t="s">
        <v>959</v>
      </c>
      <c r="C1541" s="21" t="s">
        <v>964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1504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984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/>
    </row>
    <row r="1545" spans="1:12">
      <c r="A1545" s="20" t="s">
        <v>1505</v>
      </c>
    </row>
    <row r="1546" spans="1:12">
      <c r="A1546" s="20" t="s">
        <v>1449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1506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322</v>
      </c>
      <c r="B1548" s="21" t="s">
        <v>948</v>
      </c>
      <c r="C1548" s="21" t="s">
        <v>976</v>
      </c>
      <c r="D1548" s="21" t="s">
        <v>950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1504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977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1458</v>
      </c>
      <c r="B1551" s="21" t="s">
        <v>948</v>
      </c>
      <c r="C1551" s="21" t="s">
        <v>983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984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/>
    </row>
    <row r="1554" spans="1:12">
      <c r="A1554" s="20" t="s">
        <v>1507</v>
      </c>
    </row>
    <row r="1555" spans="1:12">
      <c r="A1555" s="20" t="s">
        <v>1130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1105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1084</v>
      </c>
      <c r="B1557" s="21" t="s">
        <v>975</v>
      </c>
      <c r="C1557" s="21" t="s">
        <v>976</v>
      </c>
      <c r="D1557" s="21" t="s">
        <v>950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1075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1006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1508</v>
      </c>
      <c r="B1560" s="21" t="s">
        <v>982</v>
      </c>
      <c r="C1560" s="21" t="s">
        <v>1029</v>
      </c>
      <c r="D1560" s="21" t="s">
        <v>950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1509</v>
      </c>
      <c r="B1561" s="21" t="s">
        <v>980</v>
      </c>
      <c r="C1561" s="21" t="s">
        <v>1032</v>
      </c>
      <c r="D1561" s="21" t="s">
        <v>950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1000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1510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1511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1172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1084</v>
      </c>
      <c r="B1566" s="21" t="s">
        <v>975</v>
      </c>
      <c r="C1566" s="21" t="s">
        <v>1044</v>
      </c>
      <c r="D1566" s="21" t="s">
        <v>950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1075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1006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322</v>
      </c>
      <c r="B1569" s="21" t="s">
        <v>1031</v>
      </c>
      <c r="C1569" s="21" t="s">
        <v>1032</v>
      </c>
      <c r="D1569" s="21" t="s">
        <v>950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1504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984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/>
    </row>
    <row r="1573" spans="1:12">
      <c r="A1573" s="20" t="s">
        <v>1512</v>
      </c>
    </row>
    <row r="1574" spans="1:12">
      <c r="A1574" s="20" t="s">
        <v>1242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967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1034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961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1147</v>
      </c>
      <c r="B1578" s="21" t="s">
        <v>948</v>
      </c>
      <c r="C1578" s="21" t="s">
        <v>964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984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/>
    </row>
    <row r="1581" spans="1:12">
      <c r="A1581" s="20" t="s">
        <v>1513</v>
      </c>
    </row>
    <row r="1582" spans="1:12">
      <c r="A1582" s="20" t="s">
        <v>1514</v>
      </c>
      <c r="B1582" s="21" t="s">
        <v>948</v>
      </c>
      <c r="C1582" s="21" t="s">
        <v>976</v>
      </c>
      <c r="D1582" s="21" t="s">
        <v>950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1022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1023</v>
      </c>
      <c r="B1584" s="21" t="s">
        <v>948</v>
      </c>
      <c r="C1584" s="21" t="s">
        <v>949</v>
      </c>
      <c r="D1584" s="21" t="s">
        <v>950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1066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116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1093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1094</v>
      </c>
      <c r="B1588" s="21" t="s">
        <v>975</v>
      </c>
      <c r="C1588" s="21" t="s">
        <v>1032</v>
      </c>
      <c r="D1588" s="21" t="s">
        <v>950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984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/>
    </row>
    <row r="1591" spans="1:12">
      <c r="A1591" s="20" t="s">
        <v>1515</v>
      </c>
    </row>
    <row r="1592" spans="1:12">
      <c r="A1592" s="20" t="s">
        <v>1253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965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1516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1019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1517</v>
      </c>
      <c r="B1596" s="21" t="s">
        <v>975</v>
      </c>
      <c r="C1596" s="21" t="s">
        <v>964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1518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1000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1066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1335</v>
      </c>
      <c r="B1600" s="21" t="s">
        <v>948</v>
      </c>
      <c r="C1600" s="21" t="s">
        <v>960</v>
      </c>
      <c r="D1600" s="21" t="s">
        <v>950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1001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1066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1038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1519</v>
      </c>
      <c r="B1604" s="21" t="s">
        <v>980</v>
      </c>
      <c r="C1604" s="21" t="s">
        <v>1029</v>
      </c>
      <c r="D1604" s="21" t="s">
        <v>950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1520</v>
      </c>
      <c r="B1605" s="21" t="s">
        <v>1031</v>
      </c>
      <c r="C1605" s="21" t="s">
        <v>1032</v>
      </c>
      <c r="D1605" s="21" t="s">
        <v>950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984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/>
    </row>
    <row r="1608" spans="1:12">
      <c r="A1608" s="20" t="s">
        <v>1521</v>
      </c>
    </row>
    <row r="1609" spans="1:12">
      <c r="A1609" s="20" t="s">
        <v>1522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1498</v>
      </c>
      <c r="B1610" s="21" t="s">
        <v>956</v>
      </c>
      <c r="C1610" s="21" t="s">
        <v>1051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1003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1499</v>
      </c>
      <c r="B1612" s="21" t="s">
        <v>959</v>
      </c>
      <c r="C1612" s="21" t="s">
        <v>976</v>
      </c>
      <c r="D1612" s="21" t="s">
        <v>950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1022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1022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1084</v>
      </c>
      <c r="B1615" s="21" t="s">
        <v>1031</v>
      </c>
      <c r="C1615" s="21" t="s">
        <v>1032</v>
      </c>
      <c r="D1615" s="21" t="s">
        <v>950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1000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1126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1523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972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1047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1524</v>
      </c>
      <c r="B1621" s="21" t="s">
        <v>975</v>
      </c>
      <c r="C1621" s="21" t="s">
        <v>983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984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/>
    </row>
    <row r="1624" spans="1:12">
      <c r="A1624" s="20" t="s">
        <v>1525</v>
      </c>
    </row>
    <row r="1625" spans="1:12">
      <c r="A1625" s="20" t="s">
        <v>1253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965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1006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1524</v>
      </c>
      <c r="B1628" s="21" t="s">
        <v>1143</v>
      </c>
      <c r="C1628" s="21" t="s">
        <v>1032</v>
      </c>
      <c r="D1628" s="21" t="s">
        <v>950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1072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1006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1146</v>
      </c>
      <c r="B1631" s="21" t="s">
        <v>980</v>
      </c>
      <c r="C1631" s="21" t="s">
        <v>1029</v>
      </c>
      <c r="D1631" s="21" t="s">
        <v>950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1526</v>
      </c>
      <c r="B1632" s="21" t="s">
        <v>975</v>
      </c>
      <c r="C1632" s="21" t="s">
        <v>1032</v>
      </c>
      <c r="D1632" s="21" t="s">
        <v>950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984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/>
    </row>
    <row r="1635" spans="1:12">
      <c r="A1635" s="20" t="s">
        <v>1527</v>
      </c>
    </row>
    <row r="1636" spans="1:12">
      <c r="A1636" s="20" t="s">
        <v>1130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1093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1094</v>
      </c>
      <c r="B1638" s="21" t="s">
        <v>1143</v>
      </c>
      <c r="C1638" s="21" t="s">
        <v>1032</v>
      </c>
      <c r="D1638" s="21" t="s">
        <v>950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1528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1526</v>
      </c>
      <c r="B1640" s="21" t="s">
        <v>975</v>
      </c>
      <c r="C1640" s="21" t="s">
        <v>983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1000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1411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1529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1530</v>
      </c>
      <c r="B1644" s="21" t="s">
        <v>975</v>
      </c>
      <c r="C1644" s="21" t="s">
        <v>983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1258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1531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977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436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1532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984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/>
    </row>
    <row r="1652" spans="1:12">
      <c r="A1652" s="20" t="s">
        <v>1533</v>
      </c>
    </row>
    <row r="1653" spans="1:12">
      <c r="A1653" s="20" t="s">
        <v>1163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1084</v>
      </c>
      <c r="B1654" s="21" t="s">
        <v>956</v>
      </c>
      <c r="C1654" s="21" t="s">
        <v>1032</v>
      </c>
      <c r="D1654" s="21" t="s">
        <v>950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1072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1534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1000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1126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1072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1006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1257</v>
      </c>
      <c r="B1661" s="21" t="s">
        <v>948</v>
      </c>
      <c r="C1661" s="21" t="s">
        <v>1032</v>
      </c>
      <c r="D1661" s="21" t="s">
        <v>950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1034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1022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1535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965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1075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1038</v>
      </c>
      <c r="B1667" s="21" t="s">
        <v>982</v>
      </c>
      <c r="C1667" s="21" t="s">
        <v>1008</v>
      </c>
      <c r="D1667" s="21" t="s">
        <v>950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1536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984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/>
    </row>
    <row r="1671" spans="1:12">
      <c r="A1671" s="20" t="s">
        <v>1537</v>
      </c>
    </row>
    <row r="1672" spans="1:12">
      <c r="A1672" s="20" t="s">
        <v>992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1538</v>
      </c>
      <c r="B1673" s="21" t="s">
        <v>948</v>
      </c>
      <c r="C1673" s="21" t="s">
        <v>983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994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1070</v>
      </c>
      <c r="B1675" s="21" t="s">
        <v>948</v>
      </c>
      <c r="C1675" s="21" t="s">
        <v>949</v>
      </c>
      <c r="D1675" s="21" t="s">
        <v>950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952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/>
    </row>
    <row r="1678" spans="1:12">
      <c r="A1678" s="20" t="s">
        <v>1539</v>
      </c>
    </row>
    <row r="1679" spans="1:12">
      <c r="A1679" s="20" t="s">
        <v>11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1254</v>
      </c>
      <c r="B1680" s="21" t="s">
        <v>956</v>
      </c>
      <c r="C1680" s="21" t="s">
        <v>976</v>
      </c>
      <c r="D1680" s="21" t="s">
        <v>950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1075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1256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1263</v>
      </c>
      <c r="B1683" s="21" t="s">
        <v>1031</v>
      </c>
      <c r="C1683" s="21" t="s">
        <v>1044</v>
      </c>
      <c r="D1683" s="21" t="s">
        <v>950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1210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965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1297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1540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977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1541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1075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1093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1542</v>
      </c>
      <c r="B1692" s="21" t="s">
        <v>1031</v>
      </c>
      <c r="C1692" s="21" t="s">
        <v>1032</v>
      </c>
      <c r="D1692" s="21" t="s">
        <v>950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1000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1001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1543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1256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1544</v>
      </c>
      <c r="B1697" s="21" t="s">
        <v>975</v>
      </c>
      <c r="C1697" s="21" t="s">
        <v>1044</v>
      </c>
      <c r="D1697" s="21" t="s">
        <v>950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991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1016</v>
      </c>
      <c r="B1699" s="21" t="s">
        <v>948</v>
      </c>
      <c r="C1699" s="21" t="s">
        <v>949</v>
      </c>
      <c r="D1699" s="21" t="s">
        <v>950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952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1394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984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/>
    </row>
    <row r="1704" spans="1:12">
      <c r="A1704" s="20" t="s">
        <v>1545</v>
      </c>
    </row>
    <row r="1705" spans="1:12">
      <c r="A1705" s="20" t="s">
        <v>1070</v>
      </c>
      <c r="B1705" s="21" t="s">
        <v>948</v>
      </c>
      <c r="C1705" s="21" t="s">
        <v>983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952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991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1092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1546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1256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1547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1548</v>
      </c>
      <c r="B1712" s="21" t="s">
        <v>975</v>
      </c>
      <c r="C1712" s="21" t="s">
        <v>1044</v>
      </c>
      <c r="D1712" s="21" t="s">
        <v>950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984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/>
    </row>
    <row r="1715" spans="1:12">
      <c r="A1715" s="20" t="s">
        <v>1549</v>
      </c>
    </row>
    <row r="1716" spans="1:12">
      <c r="A1716" s="20" t="s">
        <v>1016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952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1130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1550</v>
      </c>
      <c r="B1719" s="21" t="s">
        <v>1143</v>
      </c>
      <c r="C1719" s="21" t="s">
        <v>976</v>
      </c>
      <c r="D1719" s="21" t="s">
        <v>950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977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1551</v>
      </c>
      <c r="B1721" s="21" t="s">
        <v>980</v>
      </c>
      <c r="C1721" s="21" t="s">
        <v>960</v>
      </c>
      <c r="D1721" s="21" t="s">
        <v>950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1022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1093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1094</v>
      </c>
      <c r="B1724" s="21" t="s">
        <v>980</v>
      </c>
      <c r="C1724" s="21" t="s">
        <v>1032</v>
      </c>
      <c r="D1724" s="21" t="s">
        <v>950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1000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1095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958</v>
      </c>
      <c r="B1727" s="21" t="s">
        <v>975</v>
      </c>
      <c r="C1727" s="21" t="s">
        <v>960</v>
      </c>
      <c r="D1727" s="21" t="s">
        <v>950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1000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1552</v>
      </c>
      <c r="B1729" s="21" t="s">
        <v>1143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1006</v>
      </c>
      <c r="B1730" s="21" t="s">
        <v>975</v>
      </c>
      <c r="C1730" s="21" t="s">
        <v>960</v>
      </c>
      <c r="D1730" s="21" t="s">
        <v>950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1553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1106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1000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1095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965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1006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955</v>
      </c>
      <c r="B1737" s="21" t="s">
        <v>966</v>
      </c>
      <c r="C1737" s="21" t="s">
        <v>949</v>
      </c>
      <c r="D1737" s="21" t="s">
        <v>950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1554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1555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1006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1556</v>
      </c>
      <c r="B1741" s="21" t="s">
        <v>1082</v>
      </c>
      <c r="C1741" s="21" t="s">
        <v>1032</v>
      </c>
      <c r="D1741" s="21" t="s">
        <v>950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1000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1001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1557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965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1022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1558</v>
      </c>
      <c r="B1747" s="21" t="s">
        <v>1161</v>
      </c>
      <c r="C1747" s="21" t="s">
        <v>1032</v>
      </c>
      <c r="D1747" s="21" t="s">
        <v>950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1165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1559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1006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1560</v>
      </c>
      <c r="B1751" s="21" t="s">
        <v>1158</v>
      </c>
      <c r="C1751" s="21" t="s">
        <v>1032</v>
      </c>
      <c r="D1751" s="21" t="s">
        <v>950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984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/>
    </row>
    <row r="1754" spans="1:12">
      <c r="A1754" s="20" t="s">
        <v>1561</v>
      </c>
    </row>
    <row r="1755" spans="1:12">
      <c r="A1755" s="20" t="s">
        <v>1092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1098</v>
      </c>
      <c r="B1756" s="21" t="s">
        <v>956</v>
      </c>
      <c r="C1756" s="21" t="s">
        <v>1008</v>
      </c>
      <c r="D1756" s="21" t="s">
        <v>950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1562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1499</v>
      </c>
      <c r="B1758" s="21" t="s">
        <v>959</v>
      </c>
      <c r="C1758" s="21" t="s">
        <v>983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1022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1022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1023</v>
      </c>
      <c r="B1761" s="21" t="s">
        <v>959</v>
      </c>
      <c r="C1761" s="21" t="s">
        <v>949</v>
      </c>
      <c r="D1761" s="21" t="s">
        <v>950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984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/>
    </row>
    <row r="1764" spans="1:12">
      <c r="A1764" s="20" t="s">
        <v>1563</v>
      </c>
    </row>
    <row r="1765" spans="1:12">
      <c r="A1765" s="20" t="s">
        <v>1564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1022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1352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1168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1038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1565</v>
      </c>
      <c r="B1770" s="21" t="s">
        <v>1031</v>
      </c>
      <c r="C1770" s="21" t="s">
        <v>1032</v>
      </c>
      <c r="D1770" s="21" t="s">
        <v>950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984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/>
    </row>
    <row r="1773" spans="1:12">
      <c r="A1773" s="20" t="s">
        <v>1566</v>
      </c>
    </row>
    <row r="1774" spans="1:12">
      <c r="A1774" s="20" t="s">
        <v>1567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1562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1034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1093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1094</v>
      </c>
      <c r="B1778" s="21" t="s">
        <v>980</v>
      </c>
      <c r="C1778" s="21" t="s">
        <v>1032</v>
      </c>
      <c r="D1778" s="21" t="s">
        <v>950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1568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264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1499</v>
      </c>
      <c r="B1781" s="21" t="s">
        <v>975</v>
      </c>
      <c r="C1781" s="21" t="s">
        <v>983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1001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283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1232</v>
      </c>
      <c r="B1784" s="21" t="s">
        <v>980</v>
      </c>
      <c r="C1784" s="21" t="s">
        <v>983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965</v>
      </c>
      <c r="B1785" s="21" t="s">
        <v>1036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1569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1022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1028</v>
      </c>
      <c r="B1788" s="21" t="s">
        <v>1007</v>
      </c>
      <c r="C1788" s="21" t="s">
        <v>1029</v>
      </c>
      <c r="D1788" s="21" t="s">
        <v>950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1570</v>
      </c>
      <c r="B1789" s="21" t="s">
        <v>1040</v>
      </c>
      <c r="C1789" s="21" t="s">
        <v>1032</v>
      </c>
      <c r="D1789" s="21" t="s">
        <v>950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1000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1001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1275</v>
      </c>
      <c r="B1792" s="21" t="s">
        <v>966</v>
      </c>
      <c r="C1792" s="21" t="s">
        <v>1008</v>
      </c>
      <c r="D1792" s="21" t="s">
        <v>950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1072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961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1208</v>
      </c>
      <c r="B1795" s="21" t="s">
        <v>1031</v>
      </c>
      <c r="C1795" s="21" t="s">
        <v>964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984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/>
    </row>
    <row r="1798" spans="1:12">
      <c r="A1798" s="20" t="s">
        <v>1571</v>
      </c>
    </row>
    <row r="1799" spans="1:12">
      <c r="A1799" s="20" t="s">
        <v>1070</v>
      </c>
      <c r="B1799" s="21" t="s">
        <v>948</v>
      </c>
      <c r="C1799" s="21" t="s">
        <v>983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952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1394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1000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1072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1572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1000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1001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56</v>
      </c>
      <c r="B1807" s="21" t="s">
        <v>966</v>
      </c>
      <c r="C1807" s="21" t="s">
        <v>960</v>
      </c>
      <c r="D1807" s="21" t="s">
        <v>950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1104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991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/>
    </row>
    <row r="1811" spans="1:12">
      <c r="A1811" s="20" t="s">
        <v>1573</v>
      </c>
    </row>
    <row r="1812" spans="1:12">
      <c r="A1812" s="20" t="s">
        <v>1468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958</v>
      </c>
      <c r="B1813" s="21" t="s">
        <v>975</v>
      </c>
      <c r="C1813" s="21" t="s">
        <v>960</v>
      </c>
      <c r="D1813" s="21" t="s">
        <v>950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1574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1075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961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1499</v>
      </c>
      <c r="B1817" s="21" t="s">
        <v>1031</v>
      </c>
      <c r="C1817" s="21" t="s">
        <v>964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1575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1000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1180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1117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1022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1058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977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1006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1060</v>
      </c>
      <c r="B1826" s="21" t="s">
        <v>1082</v>
      </c>
      <c r="C1826" s="21" t="s">
        <v>1032</v>
      </c>
      <c r="D1826" s="21" t="s">
        <v>950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984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/>
    </row>
    <row r="1829" spans="1:12">
      <c r="A1829" s="20" t="s">
        <v>1576</v>
      </c>
    </row>
    <row r="1830" spans="1:12">
      <c r="A1830" s="20" t="s">
        <v>1577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1578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1006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1579</v>
      </c>
      <c r="B1833" s="21" t="s">
        <v>956</v>
      </c>
      <c r="C1833" s="21" t="s">
        <v>949</v>
      </c>
      <c r="D1833" s="21" t="s">
        <v>950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1580</v>
      </c>
      <c r="B1834" s="21" t="s">
        <v>1031</v>
      </c>
      <c r="C1834" s="21" t="s">
        <v>949</v>
      </c>
      <c r="D1834" s="21" t="s">
        <v>950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965</v>
      </c>
      <c r="B1835" s="21" t="s">
        <v>966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1581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1582</v>
      </c>
      <c r="B1837" s="21" t="s">
        <v>1005</v>
      </c>
      <c r="C1837" s="21" t="s">
        <v>983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1066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283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1098</v>
      </c>
      <c r="B1840" s="21" t="s">
        <v>1082</v>
      </c>
      <c r="C1840" s="21" t="s">
        <v>1008</v>
      </c>
      <c r="D1840" s="21" t="s">
        <v>950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984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/>
    </row>
    <row r="1843" spans="1:12">
      <c r="A1843" s="20" t="s">
        <v>1583</v>
      </c>
    </row>
    <row r="1844" spans="1:12">
      <c r="A1844" s="20" t="s">
        <v>1584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1019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1120</v>
      </c>
      <c r="B1846" s="21" t="s">
        <v>959</v>
      </c>
      <c r="C1846" s="21" t="s">
        <v>964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1585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984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/>
    </row>
    <row r="1850" spans="1:12">
      <c r="A1850" s="20" t="s">
        <v>1586</v>
      </c>
    </row>
    <row r="1851" spans="1:12">
      <c r="A1851" s="20" t="s">
        <v>1235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1266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1006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1263</v>
      </c>
      <c r="B1854" s="21" t="s">
        <v>975</v>
      </c>
      <c r="C1854" s="21" t="s">
        <v>1032</v>
      </c>
      <c r="D1854" s="21" t="s">
        <v>950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1246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984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/>
    </row>
    <row r="1858" spans="1:12">
      <c r="A1858" s="20" t="s">
        <v>1587</v>
      </c>
    </row>
    <row r="1859" spans="1:12">
      <c r="A1859" s="20" t="s">
        <v>1588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1075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1589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1590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1094</v>
      </c>
      <c r="B1863" s="21" t="s">
        <v>1031</v>
      </c>
      <c r="C1863" s="21" t="s">
        <v>1125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1000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1075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1006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1556</v>
      </c>
      <c r="B1867" s="21" t="s">
        <v>948</v>
      </c>
      <c r="C1867" s="21" t="s">
        <v>1032</v>
      </c>
      <c r="D1867" s="21" t="s">
        <v>950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1000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972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1528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33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1499</v>
      </c>
      <c r="B1872" s="21" t="s">
        <v>959</v>
      </c>
      <c r="C1872" s="21" t="s">
        <v>976</v>
      </c>
      <c r="D1872" s="21" t="s">
        <v>950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1022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1022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1023</v>
      </c>
      <c r="B1875" s="21" t="s">
        <v>1031</v>
      </c>
      <c r="C1875" s="21" t="s">
        <v>949</v>
      </c>
      <c r="D1875" s="21" t="s">
        <v>950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1000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1075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1256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1371</v>
      </c>
      <c r="B1879" s="21" t="s">
        <v>948</v>
      </c>
      <c r="C1879" s="21" t="s">
        <v>1044</v>
      </c>
      <c r="D1879" s="21" t="s">
        <v>950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984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/>
    </row>
    <row r="1882" spans="1:12">
      <c r="A1882" s="20" t="s">
        <v>1591</v>
      </c>
    </row>
    <row r="1883" spans="1:12">
      <c r="A1883" s="20" t="s">
        <v>1592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965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1275</v>
      </c>
      <c r="B1885" s="21" t="s">
        <v>966</v>
      </c>
      <c r="C1885" s="21" t="s">
        <v>1008</v>
      </c>
      <c r="D1885" s="21" t="s">
        <v>950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1165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1097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116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1093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1094</v>
      </c>
      <c r="B1890" s="21" t="s">
        <v>1005</v>
      </c>
      <c r="C1890" s="21" t="s">
        <v>976</v>
      </c>
      <c r="D1890" s="21" t="s">
        <v>950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977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961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1257</v>
      </c>
      <c r="B1893" s="21" t="s">
        <v>982</v>
      </c>
      <c r="C1893" s="21" t="s">
        <v>964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1593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984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/>
    </row>
    <row r="1897" spans="1:12">
      <c r="A1897" s="20" t="s">
        <v>1395</v>
      </c>
    </row>
    <row r="1898" spans="1:12">
      <c r="A1898" s="20" t="s">
        <v>1016</v>
      </c>
      <c r="B1898" s="21" t="s">
        <v>948</v>
      </c>
      <c r="C1898" s="21" t="s">
        <v>983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952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/>
    </row>
    <row r="1901" spans="1:12">
      <c r="A1901" s="20" t="s">
        <v>1594</v>
      </c>
    </row>
    <row r="1902" spans="1:12">
      <c r="A1902" s="20" t="s">
        <v>1242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961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1595</v>
      </c>
      <c r="B1904" s="21" t="s">
        <v>948</v>
      </c>
      <c r="C1904" s="21" t="s">
        <v>964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1596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/>
    </row>
    <row r="1907" spans="1:12">
      <c r="A1907" s="20" t="s">
        <v>1597</v>
      </c>
    </row>
    <row r="1908" spans="1:12">
      <c r="A1908" s="20" t="s">
        <v>1070</v>
      </c>
      <c r="B1908" s="21" t="s">
        <v>948</v>
      </c>
      <c r="C1908" s="21" t="s">
        <v>983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952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/>
    </row>
    <row r="1911" spans="1:12">
      <c r="A1911" s="20" t="s">
        <v>1598</v>
      </c>
    </row>
    <row r="1912" spans="1:12">
      <c r="A1912" s="20" t="s">
        <v>1242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1000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1599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1022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1022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1023</v>
      </c>
      <c r="B1917" s="21" t="s">
        <v>959</v>
      </c>
      <c r="C1917" s="21" t="s">
        <v>949</v>
      </c>
      <c r="D1917" s="21" t="s">
        <v>950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984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/>
    </row>
    <row r="1920" spans="1:12">
      <c r="A1920" s="20" t="s">
        <v>1600</v>
      </c>
    </row>
    <row r="1921" spans="1:12">
      <c r="A1921" s="20" t="s">
        <v>1016</v>
      </c>
      <c r="B1921" s="21" t="s">
        <v>948</v>
      </c>
      <c r="C1921" s="21" t="s">
        <v>983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952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1092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995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1072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965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1256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1595</v>
      </c>
      <c r="B1928" s="21" t="s">
        <v>1031</v>
      </c>
      <c r="C1928" s="21" t="s">
        <v>1044</v>
      </c>
      <c r="D1928" s="21" t="s">
        <v>950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1075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1038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1601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1499</v>
      </c>
      <c r="B1932" s="21" t="s">
        <v>975</v>
      </c>
      <c r="C1932" s="21" t="s">
        <v>976</v>
      </c>
      <c r="D1932" s="21" t="s">
        <v>950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1022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1022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1023</v>
      </c>
      <c r="B1935" s="21" t="s">
        <v>980</v>
      </c>
      <c r="C1935" s="21" t="s">
        <v>949</v>
      </c>
      <c r="D1935" s="21" t="s">
        <v>950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1068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/>
    </row>
    <row r="1938" spans="1:12">
      <c r="A1938" s="20" t="s">
        <v>1602</v>
      </c>
    </row>
    <row r="1939" spans="1:12">
      <c r="A1939" s="20" t="s">
        <v>1603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1604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1605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1232</v>
      </c>
      <c r="B1942" s="21" t="s">
        <v>959</v>
      </c>
      <c r="C1942" s="21" t="s">
        <v>1051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1055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965</v>
      </c>
      <c r="B1944" s="21" t="s">
        <v>966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1415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965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283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1066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1606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1034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1361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1607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1038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1582</v>
      </c>
      <c r="B1954" s="21" t="s">
        <v>1053</v>
      </c>
      <c r="C1954" s="21" t="s">
        <v>1032</v>
      </c>
      <c r="D1954" s="21" t="s">
        <v>950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1000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972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1608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977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150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1609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984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/>
    </row>
    <row r="1963" spans="1:12">
      <c r="A1963" s="20" t="s">
        <v>1610</v>
      </c>
    </row>
    <row r="1964" spans="1:12">
      <c r="A1964" s="20" t="s">
        <v>1070</v>
      </c>
      <c r="B1964" s="21" t="s">
        <v>948</v>
      </c>
      <c r="C1964" s="21" t="s">
        <v>983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952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1394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1000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1001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1275</v>
      </c>
      <c r="B1969" s="21" t="s">
        <v>1143</v>
      </c>
      <c r="C1969" s="21" t="s">
        <v>1008</v>
      </c>
      <c r="D1969" s="21" t="s">
        <v>950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1072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961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33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1208</v>
      </c>
      <c r="B1973" s="21" t="s">
        <v>948</v>
      </c>
      <c r="C1973" s="21" t="s">
        <v>976</v>
      </c>
      <c r="D1973" s="21" t="s">
        <v>950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977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1611</v>
      </c>
      <c r="B1975" s="21" t="s">
        <v>1031</v>
      </c>
      <c r="C1975" s="21" t="s">
        <v>983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984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/>
    </row>
    <row r="1978" spans="1:12">
      <c r="A1978" s="20" t="s">
        <v>1612</v>
      </c>
    </row>
    <row r="1979" spans="1:12">
      <c r="A1979" s="20" t="s">
        <v>1613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1614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1075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1041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1615</v>
      </c>
      <c r="B1983" s="21" t="s">
        <v>948</v>
      </c>
      <c r="C1983" s="21" t="s">
        <v>1044</v>
      </c>
      <c r="D1983" s="21" t="s">
        <v>950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1047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1616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1124</v>
      </c>
      <c r="B1986" s="21" t="s">
        <v>975</v>
      </c>
      <c r="C1986" s="21" t="s">
        <v>1125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1318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998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1493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977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1617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1022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1618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1075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1619</v>
      </c>
      <c r="B1995" s="21" t="s">
        <v>1031</v>
      </c>
      <c r="C1995" s="21" t="s">
        <v>960</v>
      </c>
      <c r="D1995" s="21" t="s">
        <v>950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1000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1126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1000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1075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1022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1110</v>
      </c>
      <c r="B2001" s="21" t="s">
        <v>980</v>
      </c>
      <c r="C2001" s="21" t="s">
        <v>1032</v>
      </c>
      <c r="D2001" s="21" t="s">
        <v>950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1210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1141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1000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1034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1620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1039</v>
      </c>
      <c r="B2007" s="21" t="s">
        <v>1082</v>
      </c>
      <c r="C2007" s="21" t="s">
        <v>976</v>
      </c>
      <c r="D2007" s="21" t="s">
        <v>950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977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1499</v>
      </c>
      <c r="B2009" s="21" t="s">
        <v>1010</v>
      </c>
      <c r="C2009" s="21" t="s">
        <v>983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1621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1000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1196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1075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1622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1068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/>
    </row>
    <row r="2017" spans="1:12">
      <c r="A2017" s="20" t="s">
        <v>1623</v>
      </c>
    </row>
    <row r="2018" spans="1:12">
      <c r="A2018" s="20" t="s">
        <v>1624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1150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965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425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1625</v>
      </c>
      <c r="B2022" s="21" t="s">
        <v>959</v>
      </c>
      <c r="C2022" s="21" t="s">
        <v>983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1001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1626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1077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1049</v>
      </c>
      <c r="B2026" s="21" t="s">
        <v>1143</v>
      </c>
      <c r="C2026" s="21" t="s">
        <v>1051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1627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1157</v>
      </c>
      <c r="B2028" s="21" t="s">
        <v>975</v>
      </c>
      <c r="C2028" s="21" t="s">
        <v>960</v>
      </c>
      <c r="D2028" s="21" t="s">
        <v>950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984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/>
    </row>
    <row r="2031" spans="1:12">
      <c r="A2031" s="20" t="s">
        <v>1628</v>
      </c>
    </row>
    <row r="2032" spans="1:12">
      <c r="A2032" s="20" t="s">
        <v>1109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1629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1034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1072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1630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1631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961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1595</v>
      </c>
      <c r="B2039" s="21" t="s">
        <v>1005</v>
      </c>
      <c r="C2039" s="21" t="s">
        <v>964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1001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1156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1632</v>
      </c>
      <c r="B2042" s="21" t="s">
        <v>1040</v>
      </c>
      <c r="C2042" s="21" t="s">
        <v>960</v>
      </c>
      <c r="D2042" s="21" t="s">
        <v>950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1633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1000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1001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1634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1072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1006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124</v>
      </c>
      <c r="B2049" s="21" t="s">
        <v>980</v>
      </c>
      <c r="C2049" s="21" t="s">
        <v>976</v>
      </c>
      <c r="D2049" s="21" t="s">
        <v>950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977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1022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1023</v>
      </c>
      <c r="B2052" s="21" t="s">
        <v>982</v>
      </c>
      <c r="C2052" s="21" t="s">
        <v>949</v>
      </c>
      <c r="D2052" s="21" t="s">
        <v>950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1000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1444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1019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1025</v>
      </c>
      <c r="B2056" s="21" t="s">
        <v>1040</v>
      </c>
      <c r="C2056" s="21" t="s">
        <v>964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1000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1001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1635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965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1000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1047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119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1318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156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1124</v>
      </c>
      <c r="B2066" s="21" t="s">
        <v>1082</v>
      </c>
      <c r="C2066" s="21" t="s">
        <v>1125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1000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1636</v>
      </c>
      <c r="B2068" s="21" t="s">
        <v>966</v>
      </c>
      <c r="C2068" s="21" t="s">
        <v>1074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1415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1138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1633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961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1595</v>
      </c>
      <c r="B2073" s="21" t="s">
        <v>1082</v>
      </c>
      <c r="C2073" s="21" t="s">
        <v>964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965</v>
      </c>
      <c r="B2074" s="21" t="s">
        <v>1043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1637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1022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1638</v>
      </c>
      <c r="B2077" s="21" t="s">
        <v>1053</v>
      </c>
      <c r="C2077" s="21" t="s">
        <v>1032</v>
      </c>
      <c r="D2077" s="21" t="s">
        <v>950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1022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1022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1639</v>
      </c>
      <c r="B2080" s="21" t="s">
        <v>1053</v>
      </c>
      <c r="C2080" s="21" t="s">
        <v>949</v>
      </c>
      <c r="D2080" s="21" t="s">
        <v>950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1640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1641</v>
      </c>
      <c r="B2082" s="21" t="s">
        <v>1007</v>
      </c>
      <c r="C2082" s="21" t="s">
        <v>1051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984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/>
    </row>
    <row r="2085" spans="1:12">
      <c r="A2085" s="20" t="s">
        <v>1642</v>
      </c>
    </row>
    <row r="2086" spans="1:12">
      <c r="A2086" s="20" t="s">
        <v>1092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1643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1000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995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1072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965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972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1379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283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1098</v>
      </c>
      <c r="B2095" s="21" t="s">
        <v>1005</v>
      </c>
      <c r="C2095" s="21" t="s">
        <v>1008</v>
      </c>
      <c r="D2095" s="21" t="s">
        <v>950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1644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1068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/>
    </row>
    <row r="2099" spans="1:12">
      <c r="A2099" s="20" t="s">
        <v>1645</v>
      </c>
    </row>
    <row r="2100" spans="1:12">
      <c r="A2100" s="20" t="s">
        <v>1092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1197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1646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965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1256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1647</v>
      </c>
      <c r="B2105" s="21" t="s">
        <v>1143</v>
      </c>
      <c r="C2105" s="21" t="s">
        <v>1044</v>
      </c>
      <c r="D2105" s="21" t="s">
        <v>950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1046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984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/>
    </row>
    <row r="2109" spans="1:12">
      <c r="A2109" s="20" t="s">
        <v>1648</v>
      </c>
    </row>
    <row r="2110" spans="1:12">
      <c r="A2110" s="20" t="s">
        <v>1016</v>
      </c>
      <c r="B2110" s="21" t="s">
        <v>948</v>
      </c>
      <c r="C2110" s="21" t="s">
        <v>983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952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1109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972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1649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1022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1022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1650</v>
      </c>
      <c r="B2117" s="21" t="s">
        <v>975</v>
      </c>
      <c r="C2117" s="21" t="s">
        <v>976</v>
      </c>
      <c r="D2117" s="21" t="s">
        <v>950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977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1006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1486</v>
      </c>
      <c r="B2120" s="21" t="s">
        <v>980</v>
      </c>
      <c r="C2120" s="21" t="s">
        <v>1032</v>
      </c>
      <c r="D2120" s="21" t="s">
        <v>950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1068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/>
    </row>
    <row r="2123" spans="1:12">
      <c r="A2123" s="20" t="s">
        <v>1651</v>
      </c>
    </row>
    <row r="2124" spans="1:12">
      <c r="A2124" s="20" t="s">
        <v>1070</v>
      </c>
      <c r="B2124" s="21" t="s">
        <v>948</v>
      </c>
      <c r="C2124" s="21" t="s">
        <v>983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952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1394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1000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1126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1523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1000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1173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1652</v>
      </c>
      <c r="B2132" s="21" t="s">
        <v>975</v>
      </c>
      <c r="C2132" s="21" t="s">
        <v>976</v>
      </c>
      <c r="D2132" s="21" t="s">
        <v>950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977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1049</v>
      </c>
      <c r="B2134" s="21" t="s">
        <v>980</v>
      </c>
      <c r="C2134" s="21" t="s">
        <v>983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1006</v>
      </c>
      <c r="B2135" s="21" t="s">
        <v>982</v>
      </c>
      <c r="C2135" s="21" t="s">
        <v>1008</v>
      </c>
      <c r="D2135" s="21" t="s">
        <v>950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965</v>
      </c>
      <c r="B2136" s="21" t="s">
        <v>1043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1653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1654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1415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1655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1138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1001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1000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1180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1656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1022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1657</v>
      </c>
      <c r="B2147" s="21" t="s">
        <v>1158</v>
      </c>
      <c r="C2147" s="21" t="s">
        <v>976</v>
      </c>
      <c r="D2147" s="21" t="s">
        <v>950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977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1038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1582</v>
      </c>
      <c r="B2150" s="21" t="s">
        <v>1159</v>
      </c>
      <c r="C2150" s="21" t="s">
        <v>1032</v>
      </c>
      <c r="D2150" s="21" t="s">
        <v>950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1000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1006</v>
      </c>
      <c r="B2152" s="21" t="s">
        <v>1161</v>
      </c>
      <c r="C2152" s="21" t="s">
        <v>1008</v>
      </c>
      <c r="D2152" s="21" t="s">
        <v>950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965</v>
      </c>
      <c r="B2153" s="21" t="s">
        <v>1050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1180</v>
      </c>
      <c r="B2154" s="21" t="s">
        <v>1658</v>
      </c>
      <c r="C2154" s="21" t="s">
        <v>960</v>
      </c>
      <c r="D2154" s="21" t="s">
        <v>950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1255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1659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1660</v>
      </c>
      <c r="B2157" s="21" t="s">
        <v>1661</v>
      </c>
      <c r="C2157" s="21" t="s">
        <v>960</v>
      </c>
      <c r="D2157" s="21" t="s">
        <v>950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1662</v>
      </c>
      <c r="B2158" s="21" t="s">
        <v>1661</v>
      </c>
      <c r="C2158" s="21" t="s">
        <v>983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1318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1207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1663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1664</v>
      </c>
      <c r="B2162" s="21" t="s">
        <v>1665</v>
      </c>
      <c r="C2162" s="21" t="s">
        <v>1051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1000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1620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1666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977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1572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1257</v>
      </c>
      <c r="B2168" s="21" t="s">
        <v>1158</v>
      </c>
      <c r="C2168" s="21" t="s">
        <v>1051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1066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1064</v>
      </c>
      <c r="B2170" s="21" t="s">
        <v>1290</v>
      </c>
      <c r="C2170" s="21" t="s">
        <v>983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1667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1000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1001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1646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1104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965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1620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1668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1019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1669</v>
      </c>
      <c r="B2180" s="21" t="s">
        <v>1362</v>
      </c>
      <c r="C2180" s="21" t="s">
        <v>976</v>
      </c>
      <c r="D2180" s="21" t="s">
        <v>950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1085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977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1287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1582</v>
      </c>
      <c r="B2184" s="21" t="s">
        <v>1670</v>
      </c>
      <c r="C2184" s="21" t="s">
        <v>1044</v>
      </c>
      <c r="D2184" s="21" t="s">
        <v>950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965</v>
      </c>
      <c r="B2185" s="21" t="s">
        <v>1671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1568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1672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1127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1006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1673</v>
      </c>
      <c r="B2190" s="21" t="s">
        <v>1674</v>
      </c>
      <c r="C2190" s="21" t="s">
        <v>1032</v>
      </c>
      <c r="D2190" s="21" t="s">
        <v>950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984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/>
    </row>
    <row r="2193" spans="1:12">
      <c r="A2193" s="20" t="s">
        <v>1675</v>
      </c>
    </row>
    <row r="2194" spans="1:12">
      <c r="A2194" s="20" t="s">
        <v>1016</v>
      </c>
      <c r="B2194" s="21" t="s">
        <v>948</v>
      </c>
      <c r="C2194" s="21" t="s">
        <v>949</v>
      </c>
      <c r="D2194" s="21" t="s">
        <v>950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952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1676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977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1058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977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1006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1060</v>
      </c>
      <c r="B2201" s="21" t="s">
        <v>1031</v>
      </c>
      <c r="C2201" s="21" t="s">
        <v>1032</v>
      </c>
      <c r="D2201" s="21" t="s">
        <v>950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1001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977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1038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1677</v>
      </c>
      <c r="B2205" s="21" t="s">
        <v>980</v>
      </c>
      <c r="C2205" s="21" t="s">
        <v>1032</v>
      </c>
      <c r="D2205" s="21" t="s">
        <v>950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1000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1075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965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1197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961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1678</v>
      </c>
      <c r="B2211" s="21" t="s">
        <v>1031</v>
      </c>
      <c r="C2211" s="21" t="s">
        <v>976</v>
      </c>
      <c r="D2211" s="21" t="s">
        <v>950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1679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1048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1049</v>
      </c>
      <c r="B2214" s="21" t="s">
        <v>980</v>
      </c>
      <c r="C2214" s="21" t="s">
        <v>1051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1000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1001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1256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1680</v>
      </c>
      <c r="B2218" s="21" t="s">
        <v>980</v>
      </c>
      <c r="C2218" s="21" t="s">
        <v>1044</v>
      </c>
      <c r="D2218" s="21" t="s">
        <v>950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965</v>
      </c>
      <c r="B2219" s="21" t="s">
        <v>1036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1003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1207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1677</v>
      </c>
      <c r="B2222" s="21" t="s">
        <v>1010</v>
      </c>
      <c r="C2222" s="21" t="s">
        <v>983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1001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1681</v>
      </c>
      <c r="B2224" s="21" t="s">
        <v>1007</v>
      </c>
      <c r="C2224" s="21" t="s">
        <v>983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1682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1001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1683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1000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1193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 t="s">
        <v>958</v>
      </c>
      <c r="B2230" s="21" t="s">
        <v>1040</v>
      </c>
      <c r="C2230" s="21" t="s">
        <v>960</v>
      </c>
      <c r="D2230" s="21" t="s">
        <v>950</v>
      </c>
      <c r="E2230" s="22">
        <f>IF(D2230="?OLD","!!!","")</f>
        <v/>
      </c>
      <c r="F2230" s="23" t="str">
        <f>IF(OR(E2230="",E2230="!!!"),"",IF(NOT(ISNA(VLOOKUP(E2230,E$1:E2229,1,FALSE()))),"OLD",IF(AND(E2230&lt;&gt;"",E2230&lt;&gt;"!!!"),"NEW","")))</f>
        <v> </v>
      </c>
      <c r="G2230" s="24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5" t="str">
        <f>IF(J2230&lt;&gt;1,"",IF(I2230="SBJ","CB","?"))</f>
        <v> </v>
      </c>
      <c r="I2230" s="26" t="str">
        <f>IF(OR(E2230="",E2230="!!!",F2230="NEW"),"",INDEX(B2229:B$2,-1+SUMPRODUCT(MAX(ROW(E2229:E$2)*(E2230=E2229:E$2)))))</f>
        <v> </v>
      </c>
      <c r="J2230" s="26" t="str">
        <f>IF(OR(E2230="",E2230="!!!",F2230="NEW"),"",COUNTBLANK(OFFSET(A$1,,,SUMPRODUCT(MAX(ROW(E$2:E2230)*(E2230=E$2:E2230)))))-COUNTBLANK(OFFSET(A$1,,,SUMPRODUCT(MAX(ROW(E$1:E2229)*(E2=E$1:E2229))))))</f>
        <v> </v>
      </c>
      <c r="K2230" s="26" t="str">
        <f>IF(OR(E2230="",E2230="!!!",F2230="NEW"),"",INDEX(J$1:J2229,SUMPRODUCT(MAX(ROW(E$1:E2229)*(E2230=E$1:E2229)))))</f>
        <v> </v>
      </c>
      <c r="L2230" s="27"/>
    </row>
    <row r="2231" spans="1:12">
      <c r="A2231" s="20" t="s">
        <v>1058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961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997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1021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1006</v>
      </c>
      <c r="B2235" s="21" t="s">
        <v>1328</v>
      </c>
      <c r="C2235" s="21" t="s">
        <v>1008</v>
      </c>
      <c r="D2235" s="21" t="s">
        <v>950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965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1197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1006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1684</v>
      </c>
      <c r="B2239" s="21" t="s">
        <v>1040</v>
      </c>
      <c r="C2239" s="21" t="s">
        <v>976</v>
      </c>
      <c r="D2239" s="21" t="s">
        <v>950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1685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1168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1686</v>
      </c>
      <c r="B2242" s="21" t="s">
        <v>1007</v>
      </c>
      <c r="C2242" s="21" t="s">
        <v>949</v>
      </c>
      <c r="D2242" s="21" t="s">
        <v>950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1687</v>
      </c>
      <c r="B2243" s="21" t="s">
        <v>1328</v>
      </c>
      <c r="C2243" s="21" t="s">
        <v>949</v>
      </c>
      <c r="D2243" s="21" t="s">
        <v>950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984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/>
    </row>
    <row r="2246" spans="1:12">
      <c r="A2246" s="20" t="s">
        <v>1688</v>
      </c>
    </row>
    <row r="2247" spans="1:12">
      <c r="A2247" s="20" t="s">
        <v>1242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1021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1689</v>
      </c>
      <c r="B2249" s="21" t="s">
        <v>948</v>
      </c>
      <c r="C2249" s="21" t="s">
        <v>983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1001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1026</v>
      </c>
      <c r="B2251" s="21" t="s">
        <v>948</v>
      </c>
      <c r="C2251" s="21" t="s">
        <v>983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984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/>
    </row>
    <row r="2254" spans="1:12">
      <c r="A2254" s="20" t="s">
        <v>1690</v>
      </c>
    </row>
    <row r="2255" spans="1:12">
      <c r="A2255" s="20" t="s">
        <v>1691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264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1692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1022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143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1021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1275</v>
      </c>
      <c r="B2261" s="21" t="s">
        <v>1005</v>
      </c>
      <c r="C2261" s="21" t="s">
        <v>1008</v>
      </c>
      <c r="D2261" s="21" t="s">
        <v>950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984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/>
    </row>
    <row r="2264" spans="1:12">
      <c r="A2264" s="20" t="s">
        <v>1597</v>
      </c>
    </row>
    <row r="2265" spans="1:12">
      <c r="A2265" s="20" t="s">
        <v>1070</v>
      </c>
      <c r="B2265" s="21" t="s">
        <v>948</v>
      </c>
      <c r="C2265" s="21" t="s">
        <v>983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952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/>
    </row>
    <row r="2268" spans="1:12">
      <c r="A2268" s="20" t="s">
        <v>1693</v>
      </c>
    </row>
    <row r="2269" spans="1:12">
      <c r="A2269" s="20" t="s">
        <v>1394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1000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1258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459</v>
      </c>
      <c r="B2272" s="21" t="s">
        <v>948</v>
      </c>
      <c r="C2272" s="21" t="s">
        <v>1125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1694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984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/>
    </row>
    <row r="2276" spans="1:12">
      <c r="A2276" s="20" t="s">
        <v>1695</v>
      </c>
    </row>
    <row r="2277" spans="1:12">
      <c r="A2277" s="20" t="s">
        <v>1696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1697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 t="s">
        <v>1022</v>
      </c>
      <c r="E2279" s="22">
        <f>IF(D2279="?OLD","!!!","")</f>
        <v/>
      </c>
      <c r="F2279" s="23" t="str">
        <f>IF(OR(E2279="",E2279="!!!"),"",IF(NOT(ISNA(VLOOKUP(E2279,E$1:E2278,1,FALSE()))),"OLD",IF(AND(E2279&lt;&gt;"",E2279&lt;&gt;"!!!"),"NEW","")))</f>
        <v> </v>
      </c>
      <c r="G2279" s="24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5" t="str">
        <f>IF(J2279&lt;&gt;1,"",IF(I2279="SBJ","CB","?"))</f>
        <v> </v>
      </c>
      <c r="I2279" s="26" t="str">
        <f>IF(OR(E2279="",E2279="!!!",F2279="NEW"),"",INDEX(B2278:B$2,-1+SUMPRODUCT(MAX(ROW(E2278:E$2)*(E2279=E2278:E$2)))))</f>
        <v> </v>
      </c>
      <c r="J2279" s="26" t="str">
        <f>IF(OR(E2279="",E2279="!!!",F2279="NEW"),"",COUNTBLANK(OFFSET(A$1,,,SUMPRODUCT(MAX(ROW(E$2:E2279)*(E2279=E$2:E2279)))))-COUNTBLANK(OFFSET(A$1,,,SUMPRODUCT(MAX(ROW(E$1:E2278)*(E2=E$1:E2278))))))</f>
        <v> </v>
      </c>
      <c r="K2279" s="26" t="str">
        <f>IF(OR(E2279="",E2279="!!!",F2279="NEW"),"",INDEX(J$1:J2278,SUMPRODUCT(MAX(ROW(E$1:E2278)*(E2279=E$1:E2278)))))</f>
        <v> </v>
      </c>
      <c r="L2279" s="27"/>
    </row>
    <row r="2280" spans="1:12">
      <c r="A2280" s="20" t="s">
        <v>1698</v>
      </c>
      <c r="B2280" s="21" t="s">
        <v>959</v>
      </c>
      <c r="C2280" s="21" t="s">
        <v>976</v>
      </c>
      <c r="D2280" s="21" t="s">
        <v>950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977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1006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1699</v>
      </c>
      <c r="B2283" s="21" t="s">
        <v>1031</v>
      </c>
      <c r="C2283" s="21" t="s">
        <v>949</v>
      </c>
      <c r="D2283" s="21" t="s">
        <v>950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1168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1006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1686</v>
      </c>
      <c r="B2286" s="21" t="s">
        <v>1031</v>
      </c>
      <c r="C2286" s="21" t="s">
        <v>949</v>
      </c>
      <c r="D2286" s="21" t="s">
        <v>950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1687</v>
      </c>
      <c r="B2287" s="21" t="s">
        <v>980</v>
      </c>
      <c r="C2287" s="21" t="s">
        <v>949</v>
      </c>
      <c r="D2287" s="21" t="s">
        <v>950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984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/>
    </row>
    <row r="2290" spans="1:12">
      <c r="A2290" s="20" t="s">
        <v>1700</v>
      </c>
    </row>
    <row r="2291" spans="1:12">
      <c r="A2291" s="20" t="s">
        <v>1701</v>
      </c>
      <c r="B2291" s="21" t="s">
        <v>1031</v>
      </c>
      <c r="C2291" s="21" t="s">
        <v>1074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977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1099</v>
      </c>
      <c r="B2293" s="21" t="s">
        <v>1143</v>
      </c>
      <c r="C2293" s="21" t="s">
        <v>960</v>
      </c>
      <c r="D2293" s="21" t="s">
        <v>950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1702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1703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1087</v>
      </c>
      <c r="B2296" s="21" t="s">
        <v>975</v>
      </c>
      <c r="C2296" s="21" t="s">
        <v>960</v>
      </c>
      <c r="D2296" s="21" t="s">
        <v>950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1337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984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/>
    </row>
    <row r="2300" spans="1:12">
      <c r="A2300" s="20" t="s">
        <v>1704</v>
      </c>
    </row>
    <row r="2301" spans="1:12">
      <c r="A2301" s="20" t="s">
        <v>1705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1022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1335</v>
      </c>
      <c r="B2303" s="21" t="s">
        <v>948</v>
      </c>
      <c r="C2303" s="21" t="s">
        <v>960</v>
      </c>
      <c r="D2303" s="21" t="s">
        <v>950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1000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1104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965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1000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1026</v>
      </c>
      <c r="B2308" s="21" t="s">
        <v>1143</v>
      </c>
      <c r="C2308" s="21" t="s">
        <v>983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1001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1689</v>
      </c>
      <c r="B2310" s="21" t="s">
        <v>980</v>
      </c>
      <c r="C2310" s="21" t="s">
        <v>983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1250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1232</v>
      </c>
      <c r="B2312" s="21" t="s">
        <v>948</v>
      </c>
      <c r="C2312" s="21" t="s">
        <v>983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1077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1706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984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/>
    </row>
    <row r="2317" spans="1:12">
      <c r="A2317" s="20" t="s">
        <v>1707</v>
      </c>
    </row>
    <row r="2318" spans="1:12">
      <c r="A2318" s="20" t="s">
        <v>1592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1075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1098</v>
      </c>
      <c r="B2320" s="21" t="s">
        <v>948</v>
      </c>
      <c r="C2320" s="21" t="s">
        <v>1008</v>
      </c>
      <c r="D2320" s="21" t="s">
        <v>950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1075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1708</v>
      </c>
      <c r="B2322" s="21" t="s">
        <v>948</v>
      </c>
      <c r="C2322" s="21" t="s">
        <v>976</v>
      </c>
      <c r="D2322" s="21" t="s">
        <v>950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977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1093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1709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1232</v>
      </c>
      <c r="B2326" s="21" t="s">
        <v>1031</v>
      </c>
      <c r="C2326" s="21" t="s">
        <v>1448</v>
      </c>
      <c r="D2326" s="21" t="s">
        <v>950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1000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1001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1104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 t="s">
        <v>965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972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1379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264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1026</v>
      </c>
      <c r="B2334" s="21" t="s">
        <v>1082</v>
      </c>
      <c r="C2334" s="21" t="s">
        <v>983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1258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1689</v>
      </c>
      <c r="B2336" s="21" t="s">
        <v>982</v>
      </c>
      <c r="C2336" s="21" t="s">
        <v>983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1000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1207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1098</v>
      </c>
      <c r="B2339" s="21" t="s">
        <v>982</v>
      </c>
      <c r="C2339" s="21" t="s">
        <v>1008</v>
      </c>
      <c r="D2339" s="21" t="s">
        <v>950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1000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1193</v>
      </c>
      <c r="B2341" s="21" t="s">
        <v>959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958</v>
      </c>
      <c r="B2342" s="21" t="s">
        <v>975</v>
      </c>
      <c r="C2342" s="21" t="s">
        <v>960</v>
      </c>
      <c r="D2342" s="21" t="s">
        <v>950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1058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1710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1021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1689</v>
      </c>
      <c r="B2346" s="21" t="s">
        <v>1005</v>
      </c>
      <c r="C2346" s="21" t="s">
        <v>983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1000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995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1711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1021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1687</v>
      </c>
      <c r="B2351" s="21" t="s">
        <v>1031</v>
      </c>
      <c r="C2351" s="21" t="s">
        <v>949</v>
      </c>
      <c r="D2351" s="21" t="s">
        <v>950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1001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1201</v>
      </c>
      <c r="B2353" s="21" t="s">
        <v>1080</v>
      </c>
      <c r="C2353" s="21" t="s">
        <v>1074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1098</v>
      </c>
      <c r="B2354" s="21" t="s">
        <v>980</v>
      </c>
      <c r="C2354" s="21" t="s">
        <v>1008</v>
      </c>
      <c r="D2354" s="21" t="s">
        <v>950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1000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1001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1523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1712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1713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738</v>
      </c>
      <c r="B2360" s="21" t="s">
        <v>1005</v>
      </c>
      <c r="C2360" s="21" t="s">
        <v>976</v>
      </c>
      <c r="D2360" s="21" t="s">
        <v>950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 t="s">
        <v>1021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1026</v>
      </c>
      <c r="B2362" s="21" t="s">
        <v>982</v>
      </c>
      <c r="C2362" s="21" t="s">
        <v>983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984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/>
    </row>
    <row r="2365" spans="1:12">
      <c r="A2365" s="20" t="s">
        <v>1714</v>
      </c>
    </row>
    <row r="2366" spans="1:12">
      <c r="A2366" s="20" t="s">
        <v>1253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965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1072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1715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1716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965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1006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1717</v>
      </c>
      <c r="B2373" s="21" t="s">
        <v>1143</v>
      </c>
      <c r="C2373" s="21" t="s">
        <v>1032</v>
      </c>
      <c r="D2373" s="21" t="s">
        <v>950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1718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1138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1201</v>
      </c>
      <c r="B2376" s="21" t="s">
        <v>975</v>
      </c>
      <c r="C2376" s="21" t="s">
        <v>1074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1275</v>
      </c>
      <c r="B2377" s="21" t="s">
        <v>980</v>
      </c>
      <c r="C2377" s="21" t="s">
        <v>1008</v>
      </c>
      <c r="D2377" s="21" t="s">
        <v>950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1719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1001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972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1075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1038</v>
      </c>
      <c r="B2382" s="21" t="s">
        <v>980</v>
      </c>
      <c r="C2382" s="21" t="s">
        <v>1008</v>
      </c>
      <c r="D2382" s="21" t="s">
        <v>950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1718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1720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1721</v>
      </c>
      <c r="B2385" s="21" t="s">
        <v>1005</v>
      </c>
      <c r="C2385" s="21" t="s">
        <v>1074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984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/>
    </row>
    <row r="2388" spans="1:12">
      <c r="A2388" s="20" t="s">
        <v>1722</v>
      </c>
    </row>
    <row r="2389" spans="1:12">
      <c r="A2389" s="20" t="s">
        <v>1253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965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972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1379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264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1019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1723</v>
      </c>
      <c r="B2395" s="21" t="s">
        <v>1005</v>
      </c>
      <c r="C2395" s="21" t="s">
        <v>964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1180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1150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965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1075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1038</v>
      </c>
      <c r="B2400" s="21" t="s">
        <v>1040</v>
      </c>
      <c r="C2400" s="21" t="s">
        <v>1008</v>
      </c>
      <c r="D2400" s="21" t="s">
        <v>950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1724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1001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1022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1038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1153</v>
      </c>
      <c r="B2405" s="21" t="s">
        <v>1007</v>
      </c>
      <c r="C2405" s="21" t="s">
        <v>1029</v>
      </c>
      <c r="D2405" s="21" t="s">
        <v>950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1725</v>
      </c>
      <c r="B2406" s="21" t="s">
        <v>1010</v>
      </c>
      <c r="C2406" s="21" t="s">
        <v>976</v>
      </c>
      <c r="D2406" s="21" t="s">
        <v>950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977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1006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1717</v>
      </c>
      <c r="B2409" s="21" t="s">
        <v>1007</v>
      </c>
      <c r="C2409" s="21" t="s">
        <v>1032</v>
      </c>
      <c r="D2409" s="21" t="s">
        <v>950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1207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1232</v>
      </c>
      <c r="B2411" s="21" t="s">
        <v>1007</v>
      </c>
      <c r="C2411" s="21" t="s">
        <v>983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977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965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1654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1726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984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/>
    </row>
    <row r="2418" spans="1:12">
      <c r="A2418" s="20" t="s">
        <v>1727</v>
      </c>
    </row>
    <row r="2419" spans="1:12">
      <c r="A2419" s="20" t="s">
        <v>1092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972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1728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1022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25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965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1150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965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81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1213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1006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1729</v>
      </c>
      <c r="B2430" s="21" t="s">
        <v>1080</v>
      </c>
      <c r="C2430" s="21" t="s">
        <v>1032</v>
      </c>
      <c r="D2430" s="21" t="s">
        <v>950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1730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1075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1731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977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965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1075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1038</v>
      </c>
      <c r="B2437" s="21" t="s">
        <v>982</v>
      </c>
      <c r="C2437" s="21" t="s">
        <v>960</v>
      </c>
      <c r="D2437" s="21" t="s">
        <v>950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1732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1724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1000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1126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1150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965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81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1733</v>
      </c>
      <c r="B2445" s="21" t="s">
        <v>1053</v>
      </c>
      <c r="C2445" s="21" t="s">
        <v>1148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1250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1038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1734</v>
      </c>
      <c r="B2448" s="21" t="s">
        <v>1328</v>
      </c>
      <c r="C2448" s="21" t="s">
        <v>1029</v>
      </c>
      <c r="D2448" s="21" t="s">
        <v>950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1735</v>
      </c>
      <c r="B2449" s="21" t="s">
        <v>1043</v>
      </c>
      <c r="C2449" s="21" t="s">
        <v>1032</v>
      </c>
      <c r="D2449" s="21" t="s">
        <v>950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1000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965</v>
      </c>
      <c r="B2451" s="21" t="s">
        <v>1045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1355</v>
      </c>
      <c r="B2452" s="21" t="s">
        <v>1045</v>
      </c>
      <c r="C2452" s="21" t="s">
        <v>976</v>
      </c>
      <c r="D2452" s="21" t="s">
        <v>950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977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1736</v>
      </c>
      <c r="B2454" s="21" t="s">
        <v>1290</v>
      </c>
      <c r="C2454" s="21" t="s">
        <v>983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1737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1006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1717</v>
      </c>
      <c r="B2457" s="21" t="s">
        <v>1328</v>
      </c>
      <c r="C2457" s="21" t="s">
        <v>1032</v>
      </c>
      <c r="D2457" s="21" t="s">
        <v>950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283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1000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1034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1001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1738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1000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1001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1134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965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972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1739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1172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1020</v>
      </c>
      <c r="B2470" s="21" t="s">
        <v>1364</v>
      </c>
      <c r="C2470" s="21" t="s">
        <v>1044</v>
      </c>
      <c r="D2470" s="21" t="s">
        <v>950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984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/>
    </row>
    <row r="2473" spans="1:12">
      <c r="A2473" s="20" t="s">
        <v>1740</v>
      </c>
    </row>
    <row r="2474" spans="1:12">
      <c r="A2474" s="20" t="s">
        <v>1351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1098</v>
      </c>
      <c r="B2475" s="21" t="s">
        <v>948</v>
      </c>
      <c r="C2475" s="21" t="s">
        <v>1008</v>
      </c>
      <c r="D2475" s="21" t="s">
        <v>950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1134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965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1006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1717</v>
      </c>
      <c r="B2479" s="21" t="s">
        <v>1143</v>
      </c>
      <c r="C2479" s="21" t="s">
        <v>1032</v>
      </c>
      <c r="D2479" s="21" t="s">
        <v>950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1000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1075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1022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1741</v>
      </c>
      <c r="B2483" s="21" t="s">
        <v>1031</v>
      </c>
      <c r="C2483" s="21" t="s">
        <v>1032</v>
      </c>
      <c r="D2483" s="21" t="s">
        <v>950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1000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1742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1022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1551</v>
      </c>
      <c r="B2487" s="21" t="s">
        <v>1031</v>
      </c>
      <c r="C2487" s="21" t="s">
        <v>960</v>
      </c>
      <c r="D2487" s="21" t="s">
        <v>950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1097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961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1743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1744</v>
      </c>
      <c r="B2491" s="21" t="s">
        <v>966</v>
      </c>
      <c r="C2491" s="21" t="s">
        <v>964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1745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1201</v>
      </c>
      <c r="B2493" s="21" t="s">
        <v>1005</v>
      </c>
      <c r="C2493" s="21" t="s">
        <v>1074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1075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1746</v>
      </c>
      <c r="B2495" s="21" t="s">
        <v>980</v>
      </c>
      <c r="C2495" s="21" t="s">
        <v>983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984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/>
    </row>
    <row r="2498" spans="1:12">
      <c r="A2498" s="20" t="s">
        <v>1747</v>
      </c>
    </row>
    <row r="2499" spans="1:12">
      <c r="A2499" s="20" t="s">
        <v>1016</v>
      </c>
      <c r="B2499" s="21" t="s">
        <v>948</v>
      </c>
      <c r="C2499" s="21" t="s">
        <v>983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952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1296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264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1748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1022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1022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1024</v>
      </c>
      <c r="B2506" s="21" t="s">
        <v>1031</v>
      </c>
      <c r="C2506" s="21" t="s">
        <v>949</v>
      </c>
      <c r="D2506" s="21" t="s">
        <v>950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1749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1750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738</v>
      </c>
      <c r="B2509" s="21" t="s">
        <v>1005</v>
      </c>
      <c r="C2509" s="21" t="s">
        <v>1051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984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/>
    </row>
    <row r="2512" spans="1:12">
      <c r="A2512" s="20" t="s">
        <v>1751</v>
      </c>
    </row>
    <row r="2513" spans="1:12">
      <c r="A2513" s="20" t="s">
        <v>1070</v>
      </c>
      <c r="B2513" s="21" t="s">
        <v>948</v>
      </c>
      <c r="C2513" s="21" t="s">
        <v>983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952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1163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1163</v>
      </c>
      <c r="B2516" s="21" t="s">
        <v>948</v>
      </c>
      <c r="C2516" s="21" t="s">
        <v>949</v>
      </c>
      <c r="D2516" s="21" t="s">
        <v>950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1024</v>
      </c>
      <c r="B2517" s="21" t="s">
        <v>1031</v>
      </c>
      <c r="C2517" s="21" t="s">
        <v>949</v>
      </c>
      <c r="D2517" s="21" t="s">
        <v>950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972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1000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1126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1022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1006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1752</v>
      </c>
      <c r="B2523" s="21" t="s">
        <v>1031</v>
      </c>
      <c r="C2523" s="21" t="s">
        <v>1032</v>
      </c>
      <c r="D2523" s="21" t="s">
        <v>950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984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/>
    </row>
    <row r="2526" spans="1:12">
      <c r="A2526" s="20" t="s">
        <v>1753</v>
      </c>
    </row>
    <row r="2527" spans="1:12">
      <c r="A2527" s="20" t="s">
        <v>1253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965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1150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965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264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961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1754</v>
      </c>
      <c r="B2533" s="21" t="s">
        <v>1005</v>
      </c>
      <c r="C2533" s="21" t="s">
        <v>976</v>
      </c>
      <c r="D2533" s="21" t="s">
        <v>950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1021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1098</v>
      </c>
      <c r="B2535" s="21" t="s">
        <v>982</v>
      </c>
      <c r="C2535" s="21" t="s">
        <v>1008</v>
      </c>
      <c r="D2535" s="21" t="s">
        <v>950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1000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1318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972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1379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264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1019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1723</v>
      </c>
      <c r="B2542" s="21" t="s">
        <v>1040</v>
      </c>
      <c r="C2542" s="21" t="s">
        <v>964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965</v>
      </c>
      <c r="B2543" s="21" t="s">
        <v>1161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1755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984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/>
    </row>
    <row r="2547" spans="1:12">
      <c r="A2547" s="20" t="s">
        <v>1756</v>
      </c>
    </row>
    <row r="2548" spans="1:12">
      <c r="A2548" s="20" t="s">
        <v>1757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972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1072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1758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984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/>
    </row>
    <row r="2554" spans="1:12">
      <c r="A2554" s="20" t="s">
        <v>1759</v>
      </c>
    </row>
    <row r="2555" spans="1:12">
      <c r="A2555" s="20" t="s">
        <v>1351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1098</v>
      </c>
      <c r="B2556" s="21" t="s">
        <v>948</v>
      </c>
      <c r="C2556" s="21" t="s">
        <v>1008</v>
      </c>
      <c r="D2556" s="21" t="s">
        <v>950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1000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1760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502</v>
      </c>
      <c r="B2559" s="21" t="s">
        <v>948</v>
      </c>
      <c r="C2559" s="21" t="s">
        <v>983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965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1022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1024</v>
      </c>
      <c r="B2562" s="21" t="s">
        <v>1143</v>
      </c>
      <c r="C2562" s="21" t="s">
        <v>949</v>
      </c>
      <c r="D2562" s="21" t="s">
        <v>950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1761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1075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1022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1762</v>
      </c>
      <c r="B2566" s="21" t="s">
        <v>948</v>
      </c>
      <c r="C2566" s="21" t="s">
        <v>976</v>
      </c>
      <c r="D2566" s="21" t="s">
        <v>950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977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1075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1038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1724</v>
      </c>
      <c r="B2570" s="21" t="s">
        <v>1031</v>
      </c>
      <c r="C2570" s="21" t="s">
        <v>1032</v>
      </c>
      <c r="D2570" s="21" t="s">
        <v>950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1001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1022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1038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1153</v>
      </c>
      <c r="B2574" s="21" t="s">
        <v>980</v>
      </c>
      <c r="C2574" s="21" t="s">
        <v>1029</v>
      </c>
      <c r="D2574" s="21" t="s">
        <v>950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1725</v>
      </c>
      <c r="B2575" s="21" t="s">
        <v>1031</v>
      </c>
      <c r="C2575" s="21" t="s">
        <v>1032</v>
      </c>
      <c r="D2575" s="21" t="s">
        <v>950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1763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1022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1006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1717</v>
      </c>
      <c r="B2579" s="21" t="s">
        <v>1080</v>
      </c>
      <c r="C2579" s="21" t="s">
        <v>1032</v>
      </c>
      <c r="D2579" s="21" t="s">
        <v>950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283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1075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1746</v>
      </c>
      <c r="B2582" s="21" t="s">
        <v>982</v>
      </c>
      <c r="C2582" s="21" t="s">
        <v>983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1232</v>
      </c>
      <c r="B2583" s="21" t="s">
        <v>1010</v>
      </c>
      <c r="C2583" s="21" t="s">
        <v>983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965</v>
      </c>
      <c r="B2584" s="21" t="s">
        <v>1158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1764</v>
      </c>
      <c r="B2585" s="21" t="s">
        <v>1161</v>
      </c>
      <c r="C2585" s="21" t="s">
        <v>1074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1137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984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/>
    </row>
    <row r="2589" spans="1:12">
      <c r="A2589" s="20" t="s">
        <v>1765</v>
      </c>
    </row>
    <row r="2590" spans="1:12">
      <c r="A2590" s="20" t="s">
        <v>1217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1766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1713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 t="s">
        <v>1033</v>
      </c>
      <c r="B2593" s="21" t="s">
        <v>959</v>
      </c>
      <c r="C2593" s="21" t="s">
        <v>1051</v>
      </c>
      <c r="E2593" s="22">
        <f>IF(D2593="?OLD","!!!","")</f>
        <v/>
      </c>
      <c r="F2593" s="23" t="str">
        <f>IF(OR(E2593="",E2593="!!!"),"",IF(NOT(ISNA(VLOOKUP(E2593,E$1:E2592,1,FALSE()))),"OLD",IF(AND(E2593&lt;&gt;"",E2593&lt;&gt;"!!!"),"NEW","")))</f>
        <v> </v>
      </c>
      <c r="G2593" s="24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5" t="str">
        <f>IF(J2593&lt;&gt;1,"",IF(I2593="SBJ","CB","?"))</f>
        <v> </v>
      </c>
      <c r="I2593" s="26" t="str">
        <f>IF(OR(E2593="",E2593="!!!",F2593="NEW"),"",INDEX(B2592:B$2,-1+SUMPRODUCT(MAX(ROW(E2592:E$2)*(E2593=E2592:E$2)))))</f>
        <v> </v>
      </c>
      <c r="J2593" s="26" t="str">
        <f>IF(OR(E2593="",E2593="!!!",F2593="NEW"),"",COUNTBLANK(OFFSET(A$1,,,SUMPRODUCT(MAX(ROW(E$2:E2593)*(E2593=E$2:E2593)))))-COUNTBLANK(OFFSET(A$1,,,SUMPRODUCT(MAX(ROW(E$1:E2592)*(E2=E$1:E2592))))))</f>
        <v> </v>
      </c>
      <c r="K2593" s="26" t="str">
        <f>IF(OR(E2593="",E2593="!!!",F2593="NEW"),"",INDEX(J$1:J2592,SUMPRODUCT(MAX(ROW(E$1:E2592)*(E2593=E$1:E2592)))))</f>
        <v> </v>
      </c>
      <c r="L2593" s="27"/>
    </row>
    <row r="2594" spans="1:12">
      <c r="A2594" s="20" t="s">
        <v>984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/>
    </row>
    <row r="2596" spans="1:12">
      <c r="A2596" s="20" t="s">
        <v>1767</v>
      </c>
    </row>
    <row r="2597" spans="1:12">
      <c r="A2597" s="20" t="s">
        <v>1016</v>
      </c>
      <c r="B2597" s="21" t="s">
        <v>948</v>
      </c>
      <c r="C2597" s="21" t="s">
        <v>949</v>
      </c>
      <c r="D2597" s="21" t="s">
        <v>950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952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1768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984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/>
    </row>
    <row r="2602" spans="1:12">
      <c r="A2602" s="20" t="s">
        <v>1769</v>
      </c>
    </row>
    <row r="2603" spans="1:12">
      <c r="A2603" s="20" t="s">
        <v>1092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1100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1047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1022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1770</v>
      </c>
      <c r="B2607" s="21" t="s">
        <v>959</v>
      </c>
      <c r="C2607" s="21" t="s">
        <v>976</v>
      </c>
      <c r="D2607" s="21" t="s">
        <v>950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977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1022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1026</v>
      </c>
      <c r="B2610" s="21" t="s">
        <v>1031</v>
      </c>
      <c r="C2610" s="21" t="s">
        <v>1032</v>
      </c>
      <c r="D2610" s="21" t="s">
        <v>950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984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/>
    </row>
    <row r="2613" spans="1:12">
      <c r="A2613" s="20" t="s">
        <v>1393</v>
      </c>
    </row>
    <row r="2614" spans="1:12">
      <c r="A2614" s="20" t="s">
        <v>1070</v>
      </c>
      <c r="B2614" s="21" t="s">
        <v>948</v>
      </c>
      <c r="C2614" s="21" t="s">
        <v>983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952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1394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984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/>
    </row>
    <row r="2619" spans="1:12">
      <c r="A2619" s="20" t="s">
        <v>1771</v>
      </c>
    </row>
    <row r="2620" spans="1:12">
      <c r="A2620" s="20" t="s">
        <v>1163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1770</v>
      </c>
      <c r="B2621" s="21" t="s">
        <v>956</v>
      </c>
      <c r="C2621" s="21" t="s">
        <v>976</v>
      </c>
      <c r="D2621" s="21" t="s">
        <v>950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977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1022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1026</v>
      </c>
      <c r="B2624" s="21" t="s">
        <v>1031</v>
      </c>
      <c r="C2624" s="21" t="s">
        <v>1032</v>
      </c>
      <c r="D2624" s="21" t="s">
        <v>950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1000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1253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965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1072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991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1006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1556</v>
      </c>
      <c r="B2631" s="21" t="s">
        <v>1080</v>
      </c>
      <c r="C2631" s="21" t="s">
        <v>1032</v>
      </c>
      <c r="D2631" s="21" t="s">
        <v>950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1065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1022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1555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984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/>
    </row>
    <row r="2637" spans="1:12">
      <c r="A2637" s="20" t="s">
        <v>1772</v>
      </c>
    </row>
    <row r="2638" spans="1:12">
      <c r="A2638" s="20" t="s">
        <v>1773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1168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961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1509</v>
      </c>
      <c r="B2641" s="21" t="s">
        <v>948</v>
      </c>
      <c r="C2641" s="21" t="s">
        <v>964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984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/>
    </row>
    <row r="2644" spans="1:12">
      <c r="A2644" s="20" t="s">
        <v>1774</v>
      </c>
    </row>
    <row r="2645" spans="1:12">
      <c r="A2645" s="20" t="s">
        <v>1344</v>
      </c>
      <c r="B2645" s="21" t="s">
        <v>956</v>
      </c>
      <c r="C2645" s="21" t="s">
        <v>960</v>
      </c>
      <c r="D2645" s="21" t="s">
        <v>950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1137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1064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1114</v>
      </c>
      <c r="B2648" s="21" t="s">
        <v>1143</v>
      </c>
      <c r="C2648" s="21" t="s">
        <v>960</v>
      </c>
      <c r="D2648" s="21" t="s">
        <v>950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1117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984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/>
    </row>
    <row r="2652" spans="1:12">
      <c r="A2652" s="20" t="s">
        <v>1775</v>
      </c>
    </row>
    <row r="2653" spans="1:12">
      <c r="A2653" s="20" t="s">
        <v>1427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1776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1084</v>
      </c>
      <c r="B2655" s="21" t="s">
        <v>959</v>
      </c>
      <c r="C2655" s="21" t="s">
        <v>976</v>
      </c>
      <c r="D2655" s="21" t="s">
        <v>950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1021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1114</v>
      </c>
      <c r="B2657" s="21" t="s">
        <v>1031</v>
      </c>
      <c r="C2657" s="21" t="s">
        <v>960</v>
      </c>
      <c r="D2657" s="21" t="s">
        <v>950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1000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1001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1098</v>
      </c>
      <c r="B2660" s="21" t="s">
        <v>1143</v>
      </c>
      <c r="C2660" s="21" t="s">
        <v>1008</v>
      </c>
      <c r="D2660" s="21" t="s">
        <v>950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1072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1019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738</v>
      </c>
      <c r="B2663" s="21" t="s">
        <v>948</v>
      </c>
      <c r="C2663" s="21" t="s">
        <v>964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1211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1000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1001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1766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1033</v>
      </c>
      <c r="B2668" s="21" t="s">
        <v>975</v>
      </c>
      <c r="C2668" s="21" t="s">
        <v>983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1093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1094</v>
      </c>
      <c r="B2670" s="21" t="s">
        <v>966</v>
      </c>
      <c r="C2670" s="21" t="s">
        <v>1032</v>
      </c>
      <c r="D2670" s="21" t="s">
        <v>950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 t="s">
        <v>1777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1778</v>
      </c>
      <c r="B2672" s="21" t="s">
        <v>1005</v>
      </c>
      <c r="C2672" s="21" t="s">
        <v>983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1779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984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/>
    </row>
    <row r="2676" spans="1:12">
      <c r="A2676" s="20" t="s">
        <v>1780</v>
      </c>
    </row>
    <row r="2677" spans="1:12">
      <c r="A2677" s="20" t="s">
        <v>1781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1077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1049</v>
      </c>
      <c r="B2679" s="21" t="s">
        <v>959</v>
      </c>
      <c r="C2679" s="21" t="s">
        <v>1051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1022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143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1075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1275</v>
      </c>
      <c r="B2683" s="21" t="s">
        <v>975</v>
      </c>
      <c r="C2683" s="21" t="s">
        <v>1008</v>
      </c>
      <c r="D2683" s="21" t="s">
        <v>950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1001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1075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1733</v>
      </c>
      <c r="B2686" s="21" t="s">
        <v>980</v>
      </c>
      <c r="C2686" s="21" t="s">
        <v>1148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1250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1093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1782</v>
      </c>
      <c r="B2689" s="21" t="s">
        <v>1031</v>
      </c>
      <c r="C2689" s="21" t="s">
        <v>976</v>
      </c>
      <c r="D2689" s="21" t="s">
        <v>950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984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/>
    </row>
    <row r="2692" spans="1:12">
      <c r="A2692" s="20" t="s">
        <v>1783</v>
      </c>
    </row>
    <row r="2693" spans="1:12">
      <c r="A2693" s="20" t="s">
        <v>1784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961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997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991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/>
    </row>
    <row r="2698" spans="1:12">
      <c r="A2698" s="20" t="s">
        <v>1785</v>
      </c>
    </row>
    <row r="2699" spans="1:12">
      <c r="A2699" s="20" t="s">
        <v>1253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965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1006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998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 t="s">
        <v>1211</v>
      </c>
      <c r="E2703" s="22">
        <f>IF(D2703="?OLD","!!!","")</f>
        <v/>
      </c>
      <c r="F2703" s="23" t="str">
        <f>IF(OR(E2703="",E2703="!!!"),"",IF(NOT(ISNA(VLOOKUP(E2703,E$1:E2702,1,FALSE()))),"OLD",IF(AND(E2703&lt;&gt;"",E2703&lt;&gt;"!!!"),"NEW","")))</f>
        <v> </v>
      </c>
      <c r="G2703" s="24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5" t="str">
        <f>IF(J2703&lt;&gt;1,"",IF(I2703="SBJ","CB","?"))</f>
        <v> </v>
      </c>
      <c r="I2703" s="26" t="str">
        <f>IF(OR(E2703="",E2703="!!!",F2703="NEW"),"",INDEX(B2702:B$2,-1+SUMPRODUCT(MAX(ROW(E2702:E$2)*(E2703=E2702:E$2)))))</f>
        <v> </v>
      </c>
      <c r="J2703" s="26" t="str">
        <f>IF(OR(E2703="",E2703="!!!",F2703="NEW"),"",COUNTBLANK(OFFSET(A$1,,,SUMPRODUCT(MAX(ROW(E$2:E2703)*(E2703=E$2:E2703)))))-COUNTBLANK(OFFSET(A$1,,,SUMPRODUCT(MAX(ROW(E$1:E2702)*(E2=E$1:E2702))))))</f>
        <v> </v>
      </c>
      <c r="K2703" s="26" t="str">
        <f>IF(OR(E2703="",E2703="!!!",F2703="NEW"),"",INDEX(J$1:J2702,SUMPRODUCT(MAX(ROW(E$1:E2702)*(E2703=E$1:E2702)))))</f>
        <v> </v>
      </c>
      <c r="L2703" s="27"/>
    </row>
    <row r="2704" spans="1:12">
      <c r="A2704" s="20" t="s">
        <v>965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1150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965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283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1072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 t="s">
        <v>1786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965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1093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1094</v>
      </c>
      <c r="B2712" s="21" t="s">
        <v>1143</v>
      </c>
      <c r="C2712" s="21" t="s">
        <v>1032</v>
      </c>
      <c r="D2712" s="21" t="s">
        <v>950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1787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1000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1266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1660</v>
      </c>
      <c r="B2716" s="21" t="s">
        <v>975</v>
      </c>
      <c r="C2716" s="21" t="s">
        <v>960</v>
      </c>
      <c r="D2716" s="21" t="s">
        <v>950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965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1788</v>
      </c>
      <c r="B2718" s="21" t="s">
        <v>1080</v>
      </c>
      <c r="C2718" s="21" t="s">
        <v>983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1101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1022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436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1789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1136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1006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 t="s">
        <v>1790</v>
      </c>
      <c r="B2725" s="21" t="s">
        <v>982</v>
      </c>
      <c r="C2725" s="21" t="s">
        <v>976</v>
      </c>
      <c r="D2725" s="21" t="s">
        <v>950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977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1221</v>
      </c>
      <c r="B2727" s="21" t="s">
        <v>1010</v>
      </c>
      <c r="C2727" s="21" t="s">
        <v>983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1000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1038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1788</v>
      </c>
      <c r="B2730" s="21" t="s">
        <v>975</v>
      </c>
      <c r="C2730" s="21" t="s">
        <v>976</v>
      </c>
      <c r="D2730" s="21" t="s">
        <v>950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977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1791</v>
      </c>
      <c r="B2732" s="21" t="s">
        <v>980</v>
      </c>
      <c r="C2732" s="21" t="s">
        <v>983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984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/>
    </row>
    <row r="2735" spans="1:12">
      <c r="A2735" s="20" t="s">
        <v>1792</v>
      </c>
    </row>
    <row r="2736" spans="1:12">
      <c r="A2736" s="20" t="s">
        <v>1322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1793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1168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1006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1257</v>
      </c>
      <c r="B2740" s="21" t="s">
        <v>948</v>
      </c>
      <c r="C2740" s="21" t="s">
        <v>1032</v>
      </c>
      <c r="D2740" s="21" t="s">
        <v>950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1794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1075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1006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1795</v>
      </c>
      <c r="B2744" s="21" t="s">
        <v>980</v>
      </c>
      <c r="C2744" s="21" t="s">
        <v>949</v>
      </c>
      <c r="D2744" s="21" t="s">
        <v>950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1000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1001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283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1098</v>
      </c>
      <c r="B2748" s="21" t="s">
        <v>975</v>
      </c>
      <c r="C2748" s="21" t="s">
        <v>1008</v>
      </c>
      <c r="D2748" s="21" t="s">
        <v>950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977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1438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1796</v>
      </c>
      <c r="B2751" s="21" t="s">
        <v>980</v>
      </c>
      <c r="C2751" s="21" t="s">
        <v>1051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1000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1797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1022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1093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1094</v>
      </c>
      <c r="B2756" s="21" t="s">
        <v>1005</v>
      </c>
      <c r="C2756" s="21" t="s">
        <v>1032</v>
      </c>
      <c r="D2756" s="21" t="s">
        <v>950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998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1798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1001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 t="s">
        <v>998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1799</v>
      </c>
      <c r="B2761" s="21" t="s">
        <v>980</v>
      </c>
      <c r="C2761" s="21" t="s">
        <v>1044</v>
      </c>
      <c r="D2761" s="21" t="s">
        <v>950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977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1006</v>
      </c>
      <c r="B2763" s="21" t="s">
        <v>982</v>
      </c>
      <c r="C2763" s="21" t="s">
        <v>1008</v>
      </c>
      <c r="D2763" s="21" t="s">
        <v>950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965</v>
      </c>
      <c r="B2764" s="21" t="s">
        <v>1043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1180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1800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984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/>
    </row>
    <row r="2769" spans="1:12">
      <c r="A2769" s="20" t="s">
        <v>1801</v>
      </c>
    </row>
    <row r="2770" spans="1:12">
      <c r="A2770" s="20" t="s">
        <v>1253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965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1072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1077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1630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984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/>
    </row>
    <row r="2777" spans="1:12">
      <c r="A2777" s="20" t="s">
        <v>1802</v>
      </c>
    </row>
    <row r="2778" spans="1:12">
      <c r="A2778" s="20" t="s">
        <v>11</v>
      </c>
      <c r="B2778" s="21" t="s">
        <v>956</v>
      </c>
      <c r="C2778" s="21" t="s">
        <v>1008</v>
      </c>
      <c r="D2778" s="21" t="s">
        <v>950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965</v>
      </c>
      <c r="B2779" s="21" t="s">
        <v>966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958</v>
      </c>
      <c r="B2780" s="21" t="s">
        <v>1005</v>
      </c>
      <c r="C2780" s="21" t="s">
        <v>960</v>
      </c>
      <c r="D2780" s="21" t="s">
        <v>950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1803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1072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965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1804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1805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1006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1806</v>
      </c>
      <c r="B2787" s="21" t="s">
        <v>975</v>
      </c>
      <c r="C2787" s="21" t="s">
        <v>976</v>
      </c>
      <c r="D2787" s="21" t="s">
        <v>950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1168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1022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1807</v>
      </c>
      <c r="B2790" s="21" t="s">
        <v>980</v>
      </c>
      <c r="C2790" s="21" t="s">
        <v>976</v>
      </c>
      <c r="D2790" s="21" t="s">
        <v>950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977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1006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1808</v>
      </c>
      <c r="B2793" s="21" t="s">
        <v>982</v>
      </c>
      <c r="C2793" s="21" t="s">
        <v>1032</v>
      </c>
      <c r="D2793" s="21" t="s">
        <v>950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984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/>
    </row>
    <row r="2796" spans="1:12">
      <c r="A2796" s="20" t="s">
        <v>1809</v>
      </c>
    </row>
    <row r="2797" spans="1:12">
      <c r="A2797" s="20" t="s">
        <v>1092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1810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1000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1075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1006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1472</v>
      </c>
      <c r="B2802" s="21" t="s">
        <v>1031</v>
      </c>
      <c r="C2802" s="21" t="s">
        <v>1029</v>
      </c>
      <c r="D2802" s="21" t="s">
        <v>950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1289</v>
      </c>
      <c r="B2803" s="21" t="s">
        <v>959</v>
      </c>
      <c r="C2803" s="21" t="s">
        <v>1032</v>
      </c>
      <c r="D2803" s="21" t="s">
        <v>950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1000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1811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965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1812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1022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1209</v>
      </c>
      <c r="B2809" s="21" t="s">
        <v>1005</v>
      </c>
      <c r="C2809" s="21" t="s">
        <v>1032</v>
      </c>
      <c r="D2809" s="21" t="s">
        <v>950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1000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1001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972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1022</v>
      </c>
      <c r="B2813" s="21" t="s">
        <v>1082</v>
      </c>
      <c r="C2813" s="21" t="s">
        <v>960</v>
      </c>
      <c r="D2813" s="21" t="s">
        <v>950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1813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984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/>
    </row>
    <row r="2817" spans="1:12">
      <c r="A2817" s="20" t="s">
        <v>1814</v>
      </c>
    </row>
    <row r="2818" spans="1:12">
      <c r="A2818" s="20" t="s">
        <v>1815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965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1000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1022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1006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1058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1168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1551</v>
      </c>
      <c r="B2825" s="21" t="s">
        <v>975</v>
      </c>
      <c r="C2825" s="21" t="s">
        <v>960</v>
      </c>
      <c r="D2825" s="21" t="s">
        <v>950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1022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1816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1817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984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/>
    </row>
    <row r="2831" spans="1:12">
      <c r="A2831" s="20" t="s">
        <v>1818</v>
      </c>
    </row>
    <row r="2832" spans="1:12">
      <c r="A2832" s="20" t="s">
        <v>1016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952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1248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 t="s">
        <v>56</v>
      </c>
      <c r="B2835" s="21" t="s">
        <v>966</v>
      </c>
      <c r="C2835" s="21" t="s">
        <v>960</v>
      </c>
      <c r="D2835" s="21" t="s">
        <v>950</v>
      </c>
      <c r="E2835" s="22">
        <f>IF(D2835="?OLD","!!!","")</f>
        <v/>
      </c>
      <c r="F2835" s="23" t="str">
        <f>IF(OR(E2835="",E2835="!!!"),"",IF(NOT(ISNA(VLOOKUP(E2835,E$1:E2834,1,FALSE()))),"OLD",IF(AND(E2835&lt;&gt;"",E2835&lt;&gt;"!!!"),"NEW","")))</f>
        <v> </v>
      </c>
      <c r="G2835" s="24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5" t="str">
        <f>IF(J2835&lt;&gt;1,"",IF(I2835="SBJ","CB","?"))</f>
        <v> </v>
      </c>
      <c r="I2835" s="26" t="str">
        <f>IF(OR(E2835="",E2835="!!!",F2835="NEW"),"",INDEX(B2834:B$2,-1+SUMPRODUCT(MAX(ROW(E2834:E$2)*(E2835=E2834:E$2)))))</f>
        <v> </v>
      </c>
      <c r="J2835" s="26" t="str">
        <f>IF(OR(E2835="",E2835="!!!",F2835="NEW"),"",COUNTBLANK(OFFSET(A$1,,,SUMPRODUCT(MAX(ROW(E$2:E2835)*(E2835=E$2:E2835)))))-COUNTBLANK(OFFSET(A$1,,,SUMPRODUCT(MAX(ROW(E$1:E2834)*(E2=E$1:E2834))))))</f>
        <v> </v>
      </c>
      <c r="K2835" s="26" t="str">
        <f>IF(OR(E2835="",E2835="!!!",F2835="NEW"),"",INDEX(J$1:J2834,SUMPRODUCT(MAX(ROW(E$1:E2834)*(E2835=E$1:E2834)))))</f>
        <v> </v>
      </c>
      <c r="L2835" s="27"/>
    </row>
    <row r="2836" spans="1:12">
      <c r="A2836" s="20" t="s">
        <v>1819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283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1750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 t="s">
        <v>738</v>
      </c>
      <c r="B2839" s="21" t="s">
        <v>1082</v>
      </c>
      <c r="C2839" s="21" t="s">
        <v>1051</v>
      </c>
      <c r="E2839" s="22">
        <f>IF(D2839="?OLD","!!!","")</f>
        <v/>
      </c>
      <c r="F2839" s="23" t="str">
        <f>IF(OR(E2839="",E2839="!!!"),"",IF(NOT(ISNA(VLOOKUP(E2839,E$1:E2838,1,FALSE()))),"OLD",IF(AND(E2839&lt;&gt;"",E2839&lt;&gt;"!!!"),"NEW","")))</f>
        <v> </v>
      </c>
      <c r="G2839" s="24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5" t="str">
        <f>IF(J2839&lt;&gt;1,"",IF(I2839="SBJ","CB","?"))</f>
        <v> </v>
      </c>
      <c r="I2839" s="26" t="str">
        <f>IF(OR(E2839="",E2839="!!!",F2839="NEW"),"",INDEX(B2838:B$2,-1+SUMPRODUCT(MAX(ROW(E2838:E$2)*(E2839=E2838:E$2)))))</f>
        <v> </v>
      </c>
      <c r="J2839" s="26" t="str">
        <f>IF(OR(E2839="",E2839="!!!",F2839="NEW"),"",COUNTBLANK(OFFSET(A$1,,,SUMPRODUCT(MAX(ROW(E$2:E2839)*(E2839=E$2:E2839)))))-COUNTBLANK(OFFSET(A$1,,,SUMPRODUCT(MAX(ROW(E$1:E2838)*(E2=E$1:E2838))))))</f>
        <v> </v>
      </c>
      <c r="K2839" s="26" t="str">
        <f>IF(OR(E2839="",E2839="!!!",F2839="NEW"),"",INDEX(J$1:J2838,SUMPRODUCT(MAX(ROW(E$1:E2838)*(E2839=E$1:E2838)))))</f>
        <v> </v>
      </c>
      <c r="L2839" s="27"/>
    </row>
    <row r="2840" spans="1:12">
      <c r="A2840" s="20" t="s">
        <v>1000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1820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1098</v>
      </c>
      <c r="B2842" s="21" t="s">
        <v>959</v>
      </c>
      <c r="C2842" s="21" t="s">
        <v>1008</v>
      </c>
      <c r="D2842" s="21" t="s">
        <v>950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984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/>
    </row>
    <row r="2845" spans="1:12">
      <c r="A2845" s="20" t="s">
        <v>1821</v>
      </c>
    </row>
    <row r="2846" spans="1:12">
      <c r="A2846" s="20" t="s">
        <v>1070</v>
      </c>
      <c r="B2846" s="21" t="s">
        <v>948</v>
      </c>
      <c r="C2846" s="21" t="s">
        <v>983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952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1822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1106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984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/>
    </row>
    <row r="2852" spans="1:12">
      <c r="A2852" s="20" t="s">
        <v>1823</v>
      </c>
    </row>
    <row r="2853" spans="1:12">
      <c r="A2853" s="20" t="s">
        <v>1017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 t="s">
        <v>1824</v>
      </c>
      <c r="B2854" s="21" t="s">
        <v>956</v>
      </c>
      <c r="C2854" s="21" t="s">
        <v>976</v>
      </c>
      <c r="D2854" s="21" t="s">
        <v>950</v>
      </c>
      <c r="E2854" s="22">
        <f>IF(D2854="?OLD","!!!","")</f>
        <v/>
      </c>
      <c r="F2854" s="23" t="str">
        <f>IF(OR(E2854="",E2854="!!!"),"",IF(NOT(ISNA(VLOOKUP(E2854,E$1:E2853,1,FALSE()))),"OLD",IF(AND(E2854&lt;&gt;"",E2854&lt;&gt;"!!!"),"NEW","")))</f>
        <v> </v>
      </c>
      <c r="G2854" s="24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5" t="str">
        <f>IF(J2854&lt;&gt;1,"",IF(I2854="SBJ","CB","?"))</f>
        <v> </v>
      </c>
      <c r="I2854" s="26" t="str">
        <f>IF(OR(E2854="",E2854="!!!",F2854="NEW"),"",INDEX(B2853:B$2,-1+SUMPRODUCT(MAX(ROW(E2853:E$2)*(E2854=E2853:E$2)))))</f>
        <v> </v>
      </c>
      <c r="J2854" s="26" t="str">
        <f>IF(OR(E2854="",E2854="!!!",F2854="NEW"),"",COUNTBLANK(OFFSET(A$1,,,SUMPRODUCT(MAX(ROW(E$2:E2854)*(E2854=E$2:E2854)))))-COUNTBLANK(OFFSET(A$1,,,SUMPRODUCT(MAX(ROW(E$1:E2853)*(E2=E$1:E2853))))))</f>
        <v> </v>
      </c>
      <c r="K2854" s="26" t="str">
        <f>IF(OR(E2854="",E2854="!!!",F2854="NEW"),"",INDEX(J$1:J2853,SUMPRODUCT(MAX(ROW(E$1:E2853)*(E2854=E$1:E2853)))))</f>
        <v> </v>
      </c>
      <c r="L2854" s="27"/>
    </row>
    <row r="2855" spans="1:12">
      <c r="A2855" s="20" t="s">
        <v>977</v>
      </c>
      <c r="E2855" s="22">
        <f>IF(D2855="?OLD","!!!","")</f>
        <v/>
      </c>
      <c r="F2855" s="23" t="str">
        <f>IF(OR(E2855="",E2855="!!!"),"",IF(NOT(ISNA(VLOOKUP(E2855,E$1:E2854,1,FALSE()))),"OLD",IF(AND(E2855&lt;&gt;"",E2855&lt;&gt;"!!!"),"NEW","")))</f>
        <v> </v>
      </c>
      <c r="G2855" s="24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5" t="str">
        <f>IF(J2855&lt;&gt;1,"",IF(I2855="SBJ","CB","?"))</f>
        <v> </v>
      </c>
      <c r="I2855" s="26" t="str">
        <f>IF(OR(E2855="",E2855="!!!",F2855="NEW"),"",INDEX(B2854:B$2,-1+SUMPRODUCT(MAX(ROW(E2854:E$2)*(E2855=E2854:E$2)))))</f>
        <v> </v>
      </c>
      <c r="J2855" s="26" t="str">
        <f>IF(OR(E2855="",E2855="!!!",F2855="NEW"),"",COUNTBLANK(OFFSET(A$1,,,SUMPRODUCT(MAX(ROW(E$2:E2855)*(E2855=E$2:E2855)))))-COUNTBLANK(OFFSET(A$1,,,SUMPRODUCT(MAX(ROW(E$1:E2854)*(E2=E$1:E2854))))))</f>
        <v> </v>
      </c>
      <c r="K2855" s="26" t="str">
        <f>IF(OR(E2855="",E2855="!!!",F2855="NEW"),"",INDEX(J$1:J2854,SUMPRODUCT(MAX(ROW(E$1:E2854)*(E2855=E$1:E2854)))))</f>
        <v> </v>
      </c>
      <c r="L2855" s="27"/>
    </row>
    <row r="2856" spans="1:12">
      <c r="A2856" s="20" t="s">
        <v>1006</v>
      </c>
      <c r="E2856" s="22">
        <f>IF(D2856="?OLD","!!!","")</f>
        <v/>
      </c>
      <c r="F2856" s="23" t="str">
        <f>IF(OR(E2856="",E2856="!!!"),"",IF(NOT(ISNA(VLOOKUP(E2856,E$1:E2855,1,FALSE()))),"OLD",IF(AND(E2856&lt;&gt;"",E2856&lt;&gt;"!!!"),"NEW","")))</f>
        <v> </v>
      </c>
      <c r="G2856" s="24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5" t="str">
        <f>IF(J2856&lt;&gt;1,"",IF(I2856="SBJ","CB","?"))</f>
        <v> </v>
      </c>
      <c r="I2856" s="26" t="str">
        <f>IF(OR(E2856="",E2856="!!!",F2856="NEW"),"",INDEX(B2855:B$2,-1+SUMPRODUCT(MAX(ROW(E2855:E$2)*(E2856=E2855:E$2)))))</f>
        <v> </v>
      </c>
      <c r="J2856" s="26" t="str">
        <f>IF(OR(E2856="",E2856="!!!",F2856="NEW"),"",COUNTBLANK(OFFSET(A$1,,,SUMPRODUCT(MAX(ROW(E$2:E2856)*(E2856=E$2:E2856)))))-COUNTBLANK(OFFSET(A$1,,,SUMPRODUCT(MAX(ROW(E$1:E2855)*(E2=E$1:E2855))))))</f>
        <v> </v>
      </c>
      <c r="K2856" s="26" t="str">
        <f>IF(OR(E2856="",E2856="!!!",F2856="NEW"),"",INDEX(J$1:J2855,SUMPRODUCT(MAX(ROW(E$1:E2855)*(E2856=E$1:E2855)))))</f>
        <v> </v>
      </c>
      <c r="L2856" s="27"/>
    </row>
    <row r="2857" spans="1:12">
      <c r="A2857" s="20" t="s">
        <v>1825</v>
      </c>
      <c r="B2857" s="21" t="s">
        <v>1031</v>
      </c>
      <c r="C2857" s="21" t="s">
        <v>1032</v>
      </c>
      <c r="D2857" s="21" t="s">
        <v>950</v>
      </c>
      <c r="E2857" s="22">
        <f>IF(D2857="?OLD","!!!","")</f>
        <v/>
      </c>
      <c r="F2857" s="23" t="str">
        <f>IF(OR(E2857="",E2857="!!!"),"",IF(NOT(ISNA(VLOOKUP(E2857,E$1:E2856,1,FALSE()))),"OLD",IF(AND(E2857&lt;&gt;"",E2857&lt;&gt;"!!!"),"NEW","")))</f>
        <v> </v>
      </c>
      <c r="G2857" s="24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5" t="str">
        <f>IF(J2857&lt;&gt;1,"",IF(I2857="SBJ","CB","?"))</f>
        <v> </v>
      </c>
      <c r="I2857" s="26" t="str">
        <f>IF(OR(E2857="",E2857="!!!",F2857="NEW"),"",INDEX(B2856:B$2,-1+SUMPRODUCT(MAX(ROW(E2856:E$2)*(E2857=E2856:E$2)))))</f>
        <v> </v>
      </c>
      <c r="J2857" s="26" t="str">
        <f>IF(OR(E2857="",E2857="!!!",F2857="NEW"),"",COUNTBLANK(OFFSET(A$1,,,SUMPRODUCT(MAX(ROW(E$2:E2857)*(E2857=E$2:E2857)))))-COUNTBLANK(OFFSET(A$1,,,SUMPRODUCT(MAX(ROW(E$1:E2856)*(E2=E$1:E2856))))))</f>
        <v> </v>
      </c>
      <c r="K2857" s="26" t="str">
        <f>IF(OR(E2857="",E2857="!!!",F2857="NEW"),"",INDEX(J$1:J2856,SUMPRODUCT(MAX(ROW(E$1:E2856)*(E2857=E$1:E2856)))))</f>
        <v> </v>
      </c>
      <c r="L2857" s="27"/>
    </row>
    <row r="2858" spans="1:12">
      <c r="A2858" s="20" t="s">
        <v>1826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 t="s">
        <v>991</v>
      </c>
      <c r="E2859" s="22">
        <f>IF(D2859="?OLD","!!!","")</f>
        <v/>
      </c>
      <c r="F2859" s="23" t="str">
        <f>IF(OR(E2859="",E2859="!!!"),"",IF(NOT(ISNA(VLOOKUP(E2859,E$1:E2858,1,FALSE()))),"OLD",IF(AND(E2859&lt;&gt;"",E2859&lt;&gt;"!!!"),"NEW","")))</f>
        <v> </v>
      </c>
      <c r="G2859" s="24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5" t="str">
        <f>IF(J2859&lt;&gt;1,"",IF(I2859="SBJ","CB","?"))</f>
        <v> </v>
      </c>
      <c r="I2859" s="26" t="str">
        <f>IF(OR(E2859="",E2859="!!!",F2859="NEW"),"",INDEX(B2858:B$2,-1+SUMPRODUCT(MAX(ROW(E2858:E$2)*(E2859=E2858:E$2)))))</f>
        <v> </v>
      </c>
      <c r="J2859" s="26" t="str">
        <f>IF(OR(E2859="",E2859="!!!",F2859="NEW"),"",COUNTBLANK(OFFSET(A$1,,,SUMPRODUCT(MAX(ROW(E$2:E2859)*(E2859=E$2:E2859)))))-COUNTBLANK(OFFSET(A$1,,,SUMPRODUCT(MAX(ROW(E$1:E2858)*(E2=E$1:E2858))))))</f>
        <v> </v>
      </c>
      <c r="K2859" s="26" t="str">
        <f>IF(OR(E2859="",E2859="!!!",F2859="NEW"),"",INDEX(J$1:J2858,SUMPRODUCT(MAX(ROW(E$1:E2858)*(E2859=E$1:E2858)))))</f>
        <v> </v>
      </c>
      <c r="L2859" s="27"/>
    </row>
    <row r="2860" spans="1:12">
      <c r="A2860" s="20" t="s">
        <v>1827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1006</v>
      </c>
      <c r="B2861" s="21" t="s">
        <v>975</v>
      </c>
      <c r="C2861" s="21" t="s">
        <v>1008</v>
      </c>
      <c r="D2861" s="21" t="s">
        <v>950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965</v>
      </c>
      <c r="B2862" s="21" t="s">
        <v>1080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1828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1829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984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/>
    </row>
    <row r="2867" spans="1:12">
      <c r="A2867" s="20" t="s">
        <v>1830</v>
      </c>
    </row>
    <row r="2868" spans="1:12">
      <c r="A2868" s="20" t="s">
        <v>1109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 t="s">
        <v>1104</v>
      </c>
      <c r="B2869" s="21" t="s">
        <v>948</v>
      </c>
      <c r="C2869" s="21" t="s">
        <v>983</v>
      </c>
      <c r="E2869" s="22">
        <f>IF(D2869="?OLD","!!!","")</f>
        <v/>
      </c>
      <c r="F2869" s="23" t="str">
        <f>IF(OR(E2869="",E2869="!!!"),"",IF(NOT(ISNA(VLOOKUP(E2869,E$1:E2868,1,FALSE()))),"OLD",IF(AND(E2869&lt;&gt;"",E2869&lt;&gt;"!!!"),"NEW","")))</f>
        <v> </v>
      </c>
      <c r="G2869" s="24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5" t="str">
        <f>IF(J2869&lt;&gt;1,"",IF(I2869="SBJ","CB","?"))</f>
        <v> </v>
      </c>
      <c r="I2869" s="26" t="str">
        <f>IF(OR(E2869="",E2869="!!!",F2869="NEW"),"",INDEX(B2868:B$2,-1+SUMPRODUCT(MAX(ROW(E2868:E$2)*(E2869=E2868:E$2)))))</f>
        <v> </v>
      </c>
      <c r="J2869" s="26" t="str">
        <f>IF(OR(E2869="",E2869="!!!",F2869="NEW"),"",COUNTBLANK(OFFSET(A$1,,,SUMPRODUCT(MAX(ROW(E$2:E2869)*(E2869=E$2:E2869)))))-COUNTBLANK(OFFSET(A$1,,,SUMPRODUCT(MAX(ROW(E$1:E2868)*(E2=E$1:E2868))))))</f>
        <v> </v>
      </c>
      <c r="K2869" s="26" t="str">
        <f>IF(OR(E2869="",E2869="!!!",F2869="NEW"),"",INDEX(J$1:J2868,SUMPRODUCT(MAX(ROW(E$1:E2868)*(E2869=E$1:E2868)))))</f>
        <v> </v>
      </c>
      <c r="L2869" s="27"/>
    </row>
    <row r="2870" spans="1:12">
      <c r="A2870" s="20" t="s">
        <v>1000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 t="s">
        <v>1137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 t="s">
        <v>965</v>
      </c>
      <c r="E2872" s="22">
        <f>IF(D2872="?OLD","!!!","")</f>
        <v/>
      </c>
      <c r="F2872" s="23" t="str">
        <f>IF(OR(E2872="",E2872="!!!"),"",IF(NOT(ISNA(VLOOKUP(E2872,E$1:E2871,1,FALSE()))),"OLD",IF(AND(E2872&lt;&gt;"",E2872&lt;&gt;"!!!"),"NEW","")))</f>
        <v> </v>
      </c>
      <c r="G2872" s="24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5" t="str">
        <f>IF(J2872&lt;&gt;1,"",IF(I2872="SBJ","CB","?"))</f>
        <v> </v>
      </c>
      <c r="I2872" s="26" t="str">
        <f>IF(OR(E2872="",E2872="!!!",F2872="NEW"),"",INDEX(B2871:B$2,-1+SUMPRODUCT(MAX(ROW(E2871:E$2)*(E2872=E2871:E$2)))))</f>
        <v> </v>
      </c>
      <c r="J2872" s="26" t="str">
        <f>IF(OR(E2872="",E2872="!!!",F2872="NEW"),"",COUNTBLANK(OFFSET(A$1,,,SUMPRODUCT(MAX(ROW(E$2:E2872)*(E2872=E$2:E2872)))))-COUNTBLANK(OFFSET(A$1,,,SUMPRODUCT(MAX(ROW(E$1:E2871)*(E2=E$1:E2871))))))</f>
        <v> </v>
      </c>
      <c r="K2872" s="26" t="str">
        <f>IF(OR(E2872="",E2872="!!!",F2872="NEW"),"",INDEX(J$1:J2871,SUMPRODUCT(MAX(ROW(E$1:E2871)*(E2872=E$1:E2871)))))</f>
        <v> </v>
      </c>
      <c r="L2872" s="27"/>
    </row>
    <row r="2873" spans="1:12">
      <c r="A2873" s="20" t="s">
        <v>998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1000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1831</v>
      </c>
      <c r="B2875" s="21" t="s">
        <v>948</v>
      </c>
      <c r="C2875" s="21" t="s">
        <v>983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1066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1098</v>
      </c>
      <c r="B2877" s="21" t="s">
        <v>1031</v>
      </c>
      <c r="C2877" s="21" t="s">
        <v>1008</v>
      </c>
      <c r="D2877" s="21" t="s">
        <v>950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1000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1832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1098</v>
      </c>
      <c r="B2880" s="21" t="s">
        <v>975</v>
      </c>
      <c r="C2880" s="21" t="s">
        <v>1008</v>
      </c>
      <c r="D2880" s="21" t="s">
        <v>950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1752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1000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1001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1833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1834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1084</v>
      </c>
      <c r="B2886" s="21" t="s">
        <v>975</v>
      </c>
      <c r="C2886" s="21" t="s">
        <v>1051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984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/>
    </row>
    <row r="2889" spans="1:12">
      <c r="A2889" s="20" t="s">
        <v>1835</v>
      </c>
    </row>
    <row r="2890" spans="1:12">
      <c r="A2890" s="20" t="s">
        <v>1836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283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1019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1837</v>
      </c>
      <c r="B2893" s="21" t="s">
        <v>1005</v>
      </c>
      <c r="C2893" s="21" t="s">
        <v>976</v>
      </c>
      <c r="D2893" s="21" t="s">
        <v>950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1021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1838</v>
      </c>
      <c r="B2895" s="21" t="s">
        <v>982</v>
      </c>
      <c r="C2895" s="21" t="s">
        <v>976</v>
      </c>
      <c r="D2895" s="21" t="s">
        <v>950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 t="s">
        <v>977</v>
      </c>
      <c r="E2896" s="22">
        <f>IF(D2896="?OLD","!!!","")</f>
        <v/>
      </c>
      <c r="F2896" s="23" t="str">
        <f>IF(OR(E2896="",E2896="!!!"),"",IF(NOT(ISNA(VLOOKUP(E2896,E$1:E2895,1,FALSE()))),"OLD",IF(AND(E2896&lt;&gt;"",E2896&lt;&gt;"!!!"),"NEW","")))</f>
        <v> </v>
      </c>
      <c r="G2896" s="24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5" t="str">
        <f>IF(J2896&lt;&gt;1,"",IF(I2896="SBJ","CB","?"))</f>
        <v> </v>
      </c>
      <c r="I2896" s="26" t="str">
        <f>IF(OR(E2896="",E2896="!!!",F2896="NEW"),"",INDEX(B2895:B$2,-1+SUMPRODUCT(MAX(ROW(E2895:E$2)*(E2896=E2895:E$2)))))</f>
        <v> </v>
      </c>
      <c r="J2896" s="26" t="str">
        <f>IF(OR(E2896="",E2896="!!!",F2896="NEW"),"",COUNTBLANK(OFFSET(A$1,,,SUMPRODUCT(MAX(ROW(E$2:E2896)*(E2896=E$2:E2896)))))-COUNTBLANK(OFFSET(A$1,,,SUMPRODUCT(MAX(ROW(E$1:E2895)*(E2=E$1:E2895))))))</f>
        <v> </v>
      </c>
      <c r="K2896" s="26" t="str">
        <f>IF(OR(E2896="",E2896="!!!",F2896="NEW"),"",INDEX(J$1:J2895,SUMPRODUCT(MAX(ROW(E$1:E2895)*(E2896=E$1:E2895)))))</f>
        <v> </v>
      </c>
      <c r="L2896" s="27"/>
    </row>
    <row r="2897" spans="1:12">
      <c r="A2897" s="20" t="s">
        <v>1839</v>
      </c>
      <c r="B2897" s="21" t="s">
        <v>1010</v>
      </c>
      <c r="C2897" s="21" t="s">
        <v>983</v>
      </c>
      <c r="E2897" s="22">
        <f>IF(D2897="?OLD","!!!","")</f>
        <v/>
      </c>
      <c r="F2897" s="23" t="str">
        <f>IF(OR(E2897="",E2897="!!!"),"",IF(NOT(ISNA(VLOOKUP(E2897,E$1:E2896,1,FALSE()))),"OLD",IF(AND(E2897&lt;&gt;"",E2897&lt;&gt;"!!!"),"NEW","")))</f>
        <v> </v>
      </c>
      <c r="G2897" s="24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5" t="str">
        <f>IF(J2897&lt;&gt;1,"",IF(I2897="SBJ","CB","?"))</f>
        <v> </v>
      </c>
      <c r="I2897" s="26" t="str">
        <f>IF(OR(E2897="",E2897="!!!",F2897="NEW"),"",INDEX(B2896:B$2,-1+SUMPRODUCT(MAX(ROW(E2896:E$2)*(E2897=E2896:E$2)))))</f>
        <v> </v>
      </c>
      <c r="J2897" s="26" t="str">
        <f>IF(OR(E2897="",E2897="!!!",F2897="NEW"),"",COUNTBLANK(OFFSET(A$1,,,SUMPRODUCT(MAX(ROW(E$2:E2897)*(E2897=E$2:E2897)))))-COUNTBLANK(OFFSET(A$1,,,SUMPRODUCT(MAX(ROW(E$1:E2896)*(E2=E$1:E2896))))))</f>
        <v> </v>
      </c>
      <c r="K2897" s="26" t="str">
        <f>IF(OR(E2897="",E2897="!!!",F2897="NEW"),"",INDEX(J$1:J2896,SUMPRODUCT(MAX(ROW(E$1:E2896)*(E2897=E$1:E2896)))))</f>
        <v> </v>
      </c>
      <c r="L2897" s="27"/>
    </row>
    <row r="2898" spans="1:12">
      <c r="A2898" s="20" t="s">
        <v>1075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1094</v>
      </c>
      <c r="B2899" s="21" t="s">
        <v>980</v>
      </c>
      <c r="C2899" s="21" t="s">
        <v>976</v>
      </c>
      <c r="D2899" s="21" t="s">
        <v>950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1168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1840</v>
      </c>
      <c r="B2901" s="21" t="s">
        <v>982</v>
      </c>
      <c r="C2901" s="21" t="s">
        <v>983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1841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1000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 t="s">
        <v>1001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1831</v>
      </c>
      <c r="B2905" s="21" t="s">
        <v>980</v>
      </c>
      <c r="C2905" s="21" t="s">
        <v>976</v>
      </c>
      <c r="D2905" s="21" t="s">
        <v>950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1066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1038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1842</v>
      </c>
      <c r="B2908" s="21" t="s">
        <v>982</v>
      </c>
      <c r="C2908" s="21" t="s">
        <v>1032</v>
      </c>
      <c r="D2908" s="21" t="s">
        <v>950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1843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1001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 t="s">
        <v>1844</v>
      </c>
      <c r="E2911" s="22">
        <f>IF(D2911="?OLD","!!!","")</f>
        <v/>
      </c>
      <c r="F2911" s="23" t="str">
        <f>IF(OR(E2911="",E2911="!!!"),"",IF(NOT(ISNA(VLOOKUP(E2911,E$1:E2910,1,FALSE()))),"OLD",IF(AND(E2911&lt;&gt;"",E2911&lt;&gt;"!!!"),"NEW","")))</f>
        <v> </v>
      </c>
      <c r="G2911" s="24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5" t="str">
        <f>IF(J2911&lt;&gt;1,"",IF(I2911="SBJ","CB","?"))</f>
        <v> </v>
      </c>
      <c r="I2911" s="26" t="str">
        <f>IF(OR(E2911="",E2911="!!!",F2911="NEW"),"",INDEX(B2910:B$2,-1+SUMPRODUCT(MAX(ROW(E2910:E$2)*(E2911=E2910:E$2)))))</f>
        <v> </v>
      </c>
      <c r="J2911" s="26" t="str">
        <f>IF(OR(E2911="",E2911="!!!",F2911="NEW"),"",COUNTBLANK(OFFSET(A$1,,,SUMPRODUCT(MAX(ROW(E$2:E2911)*(E2911=E$2:E2911)))))-COUNTBLANK(OFFSET(A$1,,,SUMPRODUCT(MAX(ROW(E$1:E2910)*(E2=E$1:E2910))))))</f>
        <v> </v>
      </c>
      <c r="K2911" s="26" t="str">
        <f>IF(OR(E2911="",E2911="!!!",F2911="NEW"),"",INDEX(J$1:J2910,SUMPRODUCT(MAX(ROW(E$1:E2910)*(E2911=E$1:E2910)))))</f>
        <v> </v>
      </c>
      <c r="L2911" s="27"/>
    </row>
    <row r="2912" spans="1:12">
      <c r="A2912" s="20" t="s">
        <v>1000</v>
      </c>
      <c r="E2912" s="22">
        <f>IF(D2912="?OLD","!!!","")</f>
        <v/>
      </c>
      <c r="F2912" s="23" t="str">
        <f>IF(OR(E2912="",E2912="!!!"),"",IF(NOT(ISNA(VLOOKUP(E2912,E$1:E2911,1,FALSE()))),"OLD",IF(AND(E2912&lt;&gt;"",E2912&lt;&gt;"!!!"),"NEW","")))</f>
        <v> </v>
      </c>
      <c r="G2912" s="24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5" t="str">
        <f>IF(J2912&lt;&gt;1,"",IF(I2912="SBJ","CB","?"))</f>
        <v> </v>
      </c>
      <c r="I2912" s="26" t="str">
        <f>IF(OR(E2912="",E2912="!!!",F2912="NEW"),"",INDEX(B2911:B$2,-1+SUMPRODUCT(MAX(ROW(E2911:E$2)*(E2912=E2911:E$2)))))</f>
        <v> </v>
      </c>
      <c r="J2912" s="26" t="str">
        <f>IF(OR(E2912="",E2912="!!!",F2912="NEW"),"",COUNTBLANK(OFFSET(A$1,,,SUMPRODUCT(MAX(ROW(E$2:E2912)*(E2912=E$2:E2912)))))-COUNTBLANK(OFFSET(A$1,,,SUMPRODUCT(MAX(ROW(E$1:E2911)*(E2=E$1:E2911))))))</f>
        <v> </v>
      </c>
      <c r="K2912" s="26" t="str">
        <f>IF(OR(E2912="",E2912="!!!",F2912="NEW"),"",INDEX(J$1:J2911,SUMPRODUCT(MAX(ROW(E$1:E2911)*(E2912=E$1:E2911)))))</f>
        <v> </v>
      </c>
      <c r="L2912" s="27"/>
    </row>
    <row r="2913" spans="1:12">
      <c r="A2913" s="20" t="s">
        <v>972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1820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1845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1180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1113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1038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1842</v>
      </c>
      <c r="B2919" s="21" t="s">
        <v>1143</v>
      </c>
      <c r="C2919" s="21" t="s">
        <v>1125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 t="s">
        <v>1843</v>
      </c>
      <c r="E2920" s="22">
        <f>IF(D2920="?OLD","!!!","")</f>
        <v/>
      </c>
      <c r="F2920" s="23" t="str">
        <f>IF(OR(E2920="",E2920="!!!"),"",IF(NOT(ISNA(VLOOKUP(E2920,E$1:E2919,1,FALSE()))),"OLD",IF(AND(E2920&lt;&gt;"",E2920&lt;&gt;"!!!"),"NEW","")))</f>
        <v> </v>
      </c>
      <c r="G2920" s="24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5" t="str">
        <f>IF(J2920&lt;&gt;1,"",IF(I2920="SBJ","CB","?"))</f>
        <v> </v>
      </c>
      <c r="I2920" s="26" t="str">
        <f>IF(OR(E2920="",E2920="!!!",F2920="NEW"),"",INDEX(B2919:B$2,-1+SUMPRODUCT(MAX(ROW(E2919:E$2)*(E2920=E2919:E$2)))))</f>
        <v> </v>
      </c>
      <c r="J2920" s="26" t="str">
        <f>IF(OR(E2920="",E2920="!!!",F2920="NEW"),"",COUNTBLANK(OFFSET(A$1,,,SUMPRODUCT(MAX(ROW(E$2:E2920)*(E2920=E$2:E2920)))))-COUNTBLANK(OFFSET(A$1,,,SUMPRODUCT(MAX(ROW(E$1:E2919)*(E2=E$1:E2919))))))</f>
        <v> </v>
      </c>
      <c r="K2920" s="26" t="str">
        <f>IF(OR(E2920="",E2920="!!!",F2920="NEW"),"",INDEX(J$1:J2919,SUMPRODUCT(MAX(ROW(E$1:E2919)*(E2920=E$1:E2919)))))</f>
        <v> </v>
      </c>
      <c r="L2920" s="27"/>
    </row>
    <row r="2921" spans="1:12">
      <c r="A2921" s="20" t="s">
        <v>1846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1847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1848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 t="s">
        <v>1022</v>
      </c>
      <c r="E2924" s="22">
        <f>IF(D2924="?OLD","!!!","")</f>
        <v/>
      </c>
      <c r="F2924" s="23" t="str">
        <f>IF(OR(E2924="",E2924="!!!"),"",IF(NOT(ISNA(VLOOKUP(E2924,E$1:E2923,1,FALSE()))),"OLD",IF(AND(E2924&lt;&gt;"",E2924&lt;&gt;"!!!"),"NEW","")))</f>
        <v> </v>
      </c>
      <c r="G2924" s="24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5" t="str">
        <f>IF(J2924&lt;&gt;1,"",IF(I2924="SBJ","CB","?"))</f>
        <v> </v>
      </c>
      <c r="I2924" s="26" t="str">
        <f>IF(OR(E2924="",E2924="!!!",F2924="NEW"),"",INDEX(B2923:B$2,-1+SUMPRODUCT(MAX(ROW(E2923:E$2)*(E2924=E2923:E$2)))))</f>
        <v> </v>
      </c>
      <c r="J2924" s="26" t="str">
        <f>IF(OR(E2924="",E2924="!!!",F2924="NEW"),"",COUNTBLANK(OFFSET(A$1,,,SUMPRODUCT(MAX(ROW(E$2:E2924)*(E2924=E$2:E2924)))))-COUNTBLANK(OFFSET(A$1,,,SUMPRODUCT(MAX(ROW(E$1:E2923)*(E2=E$1:E2923))))))</f>
        <v> </v>
      </c>
      <c r="K2924" s="26" t="str">
        <f>IF(OR(E2924="",E2924="!!!",F2924="NEW"),"",INDEX(J$1:J2923,SUMPRODUCT(MAX(ROW(E$1:E2923)*(E2924=E$1:E2923)))))</f>
        <v> </v>
      </c>
      <c r="L2924" s="27"/>
    </row>
    <row r="2925" spans="1:12">
      <c r="A2925" s="20" t="s">
        <v>1038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1849</v>
      </c>
      <c r="B2926" s="21" t="s">
        <v>980</v>
      </c>
      <c r="C2926" s="21" t="s">
        <v>1032</v>
      </c>
      <c r="D2926" s="21" t="s">
        <v>950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1850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1068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/>
    </row>
    <row r="2930" spans="1:12">
      <c r="A2930" s="20" t="s">
        <v>1851</v>
      </c>
    </row>
    <row r="2931" spans="1:12">
      <c r="A2931" s="20" t="s">
        <v>1092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1111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1636</v>
      </c>
      <c r="B2933" s="21" t="s">
        <v>956</v>
      </c>
      <c r="C2933" s="21" t="s">
        <v>1074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1599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1022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1006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1146</v>
      </c>
      <c r="B2937" s="21" t="s">
        <v>1031</v>
      </c>
      <c r="C2937" s="21" t="s">
        <v>1029</v>
      </c>
      <c r="D2937" s="21" t="s">
        <v>950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1852</v>
      </c>
      <c r="B2938" s="21" t="s">
        <v>959</v>
      </c>
      <c r="C2938" s="21" t="s">
        <v>1032</v>
      </c>
      <c r="D2938" s="21" t="s">
        <v>950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1853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1000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961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1854</v>
      </c>
      <c r="B2942" s="21" t="s">
        <v>959</v>
      </c>
      <c r="C2942" s="21" t="s">
        <v>964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1855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1000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 t="s">
        <v>1856</v>
      </c>
      <c r="B2945" s="21" t="s">
        <v>966</v>
      </c>
      <c r="C2945" s="21" t="s">
        <v>960</v>
      </c>
      <c r="D2945" s="21" t="s">
        <v>950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1452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1352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1000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 t="s">
        <v>1114</v>
      </c>
      <c r="B2949" s="21" t="s">
        <v>1080</v>
      </c>
      <c r="C2949" s="21" t="s">
        <v>960</v>
      </c>
      <c r="D2949" s="21" t="s">
        <v>950</v>
      </c>
      <c r="E2949" s="22">
        <f>IF(D2949="?OLD","!!!","")</f>
        <v/>
      </c>
      <c r="F2949" s="23" t="str">
        <f>IF(OR(E2949="",E2949="!!!"),"",IF(NOT(ISNA(VLOOKUP(E2949,E$1:E2948,1,FALSE()))),"OLD",IF(AND(E2949&lt;&gt;"",E2949&lt;&gt;"!!!"),"NEW","")))</f>
        <v> </v>
      </c>
      <c r="G2949" s="24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5" t="str">
        <f>IF(J2949&lt;&gt;1,"",IF(I2949="SBJ","CB","?"))</f>
        <v> </v>
      </c>
      <c r="I2949" s="26" t="str">
        <f>IF(OR(E2949="",E2949="!!!",F2949="NEW"),"",INDEX(B2948:B$2,-1+SUMPRODUCT(MAX(ROW(E2948:E$2)*(E2949=E2948:E$2)))))</f>
        <v> </v>
      </c>
      <c r="J2949" s="26" t="str">
        <f>IF(OR(E2949="",E2949="!!!",F2949="NEW"),"",COUNTBLANK(OFFSET(A$1,,,SUMPRODUCT(MAX(ROW(E$2:E2949)*(E2949=E$2:E2949)))))-COUNTBLANK(OFFSET(A$1,,,SUMPRODUCT(MAX(ROW(E$1:E2948)*(E2=E$1:E2948))))))</f>
        <v> </v>
      </c>
      <c r="K2949" s="26" t="str">
        <f>IF(OR(E2949="",E2949="!!!",F2949="NEW"),"",INDEX(J$1:J2948,SUMPRODUCT(MAX(ROW(E$1:E2948)*(E2949=E$1:E2948)))))</f>
        <v> </v>
      </c>
      <c r="L2949" s="27"/>
    </row>
    <row r="2950" spans="1:12">
      <c r="A2950" s="20" t="s">
        <v>1857</v>
      </c>
      <c r="E2950" s="22">
        <f>IF(D2950="?OLD","!!!","")</f>
        <v/>
      </c>
      <c r="F2950" s="23" t="str">
        <f>IF(OR(E2950="",E2950="!!!"),"",IF(NOT(ISNA(VLOOKUP(E2950,E$1:E2949,1,FALSE()))),"OLD",IF(AND(E2950&lt;&gt;"",E2950&lt;&gt;"!!!"),"NEW","")))</f>
        <v> </v>
      </c>
      <c r="G2950" s="24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5" t="str">
        <f>IF(J2950&lt;&gt;1,"",IF(I2950="SBJ","CB","?"))</f>
        <v> </v>
      </c>
      <c r="I2950" s="26" t="str">
        <f>IF(OR(E2950="",E2950="!!!",F2950="NEW"),"",INDEX(B2949:B$2,-1+SUMPRODUCT(MAX(ROW(E2949:E$2)*(E2950=E2949:E$2)))))</f>
        <v> </v>
      </c>
      <c r="J2950" s="26" t="str">
        <f>IF(OR(E2950="",E2950="!!!",F2950="NEW"),"",COUNTBLANK(OFFSET(A$1,,,SUMPRODUCT(MAX(ROW(E$2:E2950)*(E2950=E$2:E2950)))))-COUNTBLANK(OFFSET(A$1,,,SUMPRODUCT(MAX(ROW(E$1:E2949)*(E2=E$1:E2949))))))</f>
        <v> </v>
      </c>
      <c r="K2950" s="26" t="str">
        <f>IF(OR(E2950="",E2950="!!!",F2950="NEW"),"",INDEX(J$1:J2949,SUMPRODUCT(MAX(ROW(E$1:E2949)*(E2950=E$1:E2949)))))</f>
        <v> </v>
      </c>
      <c r="L2950" s="27"/>
    </row>
    <row r="2951" spans="1:12">
      <c r="A2951" s="20" t="s">
        <v>1352</v>
      </c>
      <c r="E2951" s="22">
        <f>IF(D2951="?OLD","!!!","")</f>
        <v/>
      </c>
      <c r="F2951" s="23" t="str">
        <f>IF(OR(E2951="",E2951="!!!"),"",IF(NOT(ISNA(VLOOKUP(E2951,E$1:E2950,1,FALSE()))),"OLD",IF(AND(E2951&lt;&gt;"",E2951&lt;&gt;"!!!"),"NEW","")))</f>
        <v> </v>
      </c>
      <c r="G2951" s="24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5" t="str">
        <f>IF(J2951&lt;&gt;1,"",IF(I2951="SBJ","CB","?"))</f>
        <v> </v>
      </c>
      <c r="I2951" s="26" t="str">
        <f>IF(OR(E2951="",E2951="!!!",F2951="NEW"),"",INDEX(B2950:B$2,-1+SUMPRODUCT(MAX(ROW(E2950:E$2)*(E2951=E2950:E$2)))))</f>
        <v> </v>
      </c>
      <c r="J2951" s="26" t="str">
        <f>IF(OR(E2951="",E2951="!!!",F2951="NEW"),"",COUNTBLANK(OFFSET(A$1,,,SUMPRODUCT(MAX(ROW(E$2:E2951)*(E2951=E$2:E2951)))))-COUNTBLANK(OFFSET(A$1,,,SUMPRODUCT(MAX(ROW(E$1:E2950)*(E2=E$1:E2950))))))</f>
        <v> </v>
      </c>
      <c r="K2951" s="26" t="str">
        <f>IF(OR(E2951="",E2951="!!!",F2951="NEW"),"",INDEX(J$1:J2950,SUMPRODUCT(MAX(ROW(E$1:E2950)*(E2951=E$1:E2950)))))</f>
        <v> </v>
      </c>
      <c r="L2951" s="27"/>
    </row>
    <row r="2952" spans="1:12">
      <c r="A2952" s="20" t="s">
        <v>965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1854</v>
      </c>
      <c r="B2953" s="21" t="s">
        <v>1043</v>
      </c>
      <c r="C2953" s="21" t="s">
        <v>983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1196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1197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 t="s">
        <v>1001</v>
      </c>
      <c r="E2956" s="22">
        <f>IF(D2956="?OLD","!!!","")</f>
        <v/>
      </c>
      <c r="F2956" s="23" t="str">
        <f>IF(OR(E2956="",E2956="!!!"),"",IF(NOT(ISNA(VLOOKUP(E2956,E$1:E2955,1,FALSE()))),"OLD",IF(AND(E2956&lt;&gt;"",E2956&lt;&gt;"!!!"),"NEW","")))</f>
        <v> </v>
      </c>
      <c r="G2956" s="24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5" t="str">
        <f>IF(J2956&lt;&gt;1,"",IF(I2956="SBJ","CB","?"))</f>
        <v> </v>
      </c>
      <c r="I2956" s="26" t="str">
        <f>IF(OR(E2956="",E2956="!!!",F2956="NEW"),"",INDEX(B2955:B$2,-1+SUMPRODUCT(MAX(ROW(E2955:E$2)*(E2956=E2955:E$2)))))</f>
        <v> </v>
      </c>
      <c r="J2956" s="26" t="str">
        <f>IF(OR(E2956="",E2956="!!!",F2956="NEW"),"",COUNTBLANK(OFFSET(A$1,,,SUMPRODUCT(MAX(ROW(E$2:E2956)*(E2956=E$2:E2956)))))-COUNTBLANK(OFFSET(A$1,,,SUMPRODUCT(MAX(ROW(E$1:E2955)*(E2=E$1:E2955))))))</f>
        <v> </v>
      </c>
      <c r="K2956" s="26" t="str">
        <f>IF(OR(E2956="",E2956="!!!",F2956="NEW"),"",INDEX(J$1:J2955,SUMPRODUCT(MAX(ROW(E$1:E2955)*(E2956=E$1:E2955)))))</f>
        <v> </v>
      </c>
      <c r="L2956" s="27"/>
    </row>
    <row r="2957" spans="1:12">
      <c r="A2957" s="20" t="s">
        <v>1738</v>
      </c>
      <c r="E2957" s="22">
        <f>IF(D2957="?OLD","!!!","")</f>
        <v/>
      </c>
      <c r="F2957" s="23" t="str">
        <f>IF(OR(E2957="",E2957="!!!"),"",IF(NOT(ISNA(VLOOKUP(E2957,E$1:E2956,1,FALSE()))),"OLD",IF(AND(E2957&lt;&gt;"",E2957&lt;&gt;"!!!"),"NEW","")))</f>
        <v> </v>
      </c>
      <c r="G2957" s="24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5" t="str">
        <f>IF(J2957&lt;&gt;1,"",IF(I2957="SBJ","CB","?"))</f>
        <v> </v>
      </c>
      <c r="I2957" s="26" t="str">
        <f>IF(OR(E2957="",E2957="!!!",F2957="NEW"),"",INDEX(B2956:B$2,-1+SUMPRODUCT(MAX(ROW(E2956:E$2)*(E2957=E2956:E$2)))))</f>
        <v> </v>
      </c>
      <c r="J2957" s="26" t="str">
        <f>IF(OR(E2957="",E2957="!!!",F2957="NEW"),"",COUNTBLANK(OFFSET(A$1,,,SUMPRODUCT(MAX(ROW(E$2:E2957)*(E2957=E$2:E2957)))))-COUNTBLANK(OFFSET(A$1,,,SUMPRODUCT(MAX(ROW(E$1:E2956)*(E2=E$1:E2956))))))</f>
        <v> </v>
      </c>
      <c r="K2957" s="26" t="str">
        <f>IF(OR(E2957="",E2957="!!!",F2957="NEW"),"",INDEX(J$1:J2956,SUMPRODUCT(MAX(ROW(E$1:E2956)*(E2957=E$1:E2956)))))</f>
        <v> </v>
      </c>
      <c r="L2957" s="27"/>
    </row>
    <row r="2958" spans="1:12">
      <c r="A2958" s="20" t="s">
        <v>1000</v>
      </c>
      <c r="E2958" s="22">
        <f>IF(D2958="?OLD","!!!","")</f>
        <v/>
      </c>
      <c r="F2958" s="23" t="str">
        <f>IF(OR(E2958="",E2958="!!!"),"",IF(NOT(ISNA(VLOOKUP(E2958,E$1:E2957,1,FALSE()))),"OLD",IF(AND(E2958&lt;&gt;"",E2958&lt;&gt;"!!!"),"NEW","")))</f>
        <v> </v>
      </c>
      <c r="G2958" s="24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5" t="str">
        <f>IF(J2958&lt;&gt;1,"",IF(I2958="SBJ","CB","?"))</f>
        <v> </v>
      </c>
      <c r="I2958" s="26" t="str">
        <f>IF(OR(E2958="",E2958="!!!",F2958="NEW"),"",INDEX(B2957:B$2,-1+SUMPRODUCT(MAX(ROW(E2957:E$2)*(E2958=E2957:E$2)))))</f>
        <v> </v>
      </c>
      <c r="J2958" s="26" t="str">
        <f>IF(OR(E2958="",E2958="!!!",F2958="NEW"),"",COUNTBLANK(OFFSET(A$1,,,SUMPRODUCT(MAX(ROW(E$2:E2958)*(E2958=E$2:E2958)))))-COUNTBLANK(OFFSET(A$1,,,SUMPRODUCT(MAX(ROW(E$1:E2957)*(E2=E$1:E2957))))))</f>
        <v> </v>
      </c>
      <c r="K2958" s="26" t="str">
        <f>IF(OR(E2958="",E2958="!!!",F2958="NEW"),"",INDEX(J$1:J2957,SUMPRODUCT(MAX(ROW(E$1:E2957)*(E2958=E$1:E2957)))))</f>
        <v> </v>
      </c>
      <c r="L2958" s="27"/>
    </row>
    <row r="2959" spans="1:12">
      <c r="A2959" s="20" t="s">
        <v>1001</v>
      </c>
      <c r="E2959" s="22">
        <f>IF(D2959="?OLD","!!!","")</f>
        <v/>
      </c>
      <c r="F2959" s="23" t="str">
        <f>IF(OR(E2959="",E2959="!!!"),"",IF(NOT(ISNA(VLOOKUP(E2959,E$1:E2958,1,FALSE()))),"OLD",IF(AND(E2959&lt;&gt;"",E2959&lt;&gt;"!!!"),"NEW","")))</f>
        <v> </v>
      </c>
      <c r="G2959" s="24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5" t="str">
        <f>IF(J2959&lt;&gt;1,"",IF(I2959="SBJ","CB","?"))</f>
        <v> </v>
      </c>
      <c r="I2959" s="26" t="str">
        <f>IF(OR(E2959="",E2959="!!!",F2959="NEW"),"",INDEX(B2958:B$2,-1+SUMPRODUCT(MAX(ROW(E2958:E$2)*(E2959=E2958:E$2)))))</f>
        <v> </v>
      </c>
      <c r="J2959" s="26" t="str">
        <f>IF(OR(E2959="",E2959="!!!",F2959="NEW"),"",COUNTBLANK(OFFSET(A$1,,,SUMPRODUCT(MAX(ROW(E$2:E2959)*(E2959=E$2:E2959)))))-COUNTBLANK(OFFSET(A$1,,,SUMPRODUCT(MAX(ROW(E$1:E2958)*(E2=E$1:E2958))))))</f>
        <v> </v>
      </c>
      <c r="K2959" s="26" t="str">
        <f>IF(OR(E2959="",E2959="!!!",F2959="NEW"),"",INDEX(J$1:J2958,SUMPRODUCT(MAX(ROW(E$1:E2958)*(E2959=E$1:E2958)))))</f>
        <v> </v>
      </c>
      <c r="L2959" s="27"/>
    </row>
    <row r="2960" spans="1:12">
      <c r="A2960" s="20" t="s">
        <v>1264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1858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139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1021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 t="s">
        <v>1038</v>
      </c>
      <c r="E2964" s="22">
        <f>IF(D2964="?OLD","!!!","")</f>
        <v/>
      </c>
      <c r="F2964" s="23" t="str">
        <f>IF(OR(E2964="",E2964="!!!"),"",IF(NOT(ISNA(VLOOKUP(E2964,E$1:E2963,1,FALSE()))),"OLD",IF(AND(E2964&lt;&gt;"",E2964&lt;&gt;"!!!"),"NEW","")))</f>
        <v> </v>
      </c>
      <c r="G2964" s="24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5" t="str">
        <f>IF(J2964&lt;&gt;1,"",IF(I2964="SBJ","CB","?"))</f>
        <v> </v>
      </c>
      <c r="I2964" s="26" t="str">
        <f>IF(OR(E2964="",E2964="!!!",F2964="NEW"),"",INDEX(B2963:B$2,-1+SUMPRODUCT(MAX(ROW(E2963:E$2)*(E2964=E2963:E$2)))))</f>
        <v> </v>
      </c>
      <c r="J2964" s="26" t="str">
        <f>IF(OR(E2964="",E2964="!!!",F2964="NEW"),"",COUNTBLANK(OFFSET(A$1,,,SUMPRODUCT(MAX(ROW(E$2:E2964)*(E2964=E$2:E2964)))))-COUNTBLANK(OFFSET(A$1,,,SUMPRODUCT(MAX(ROW(E$1:E2963)*(E2=E$1:E2963))))))</f>
        <v> </v>
      </c>
      <c r="K2964" s="26" t="str">
        <f>IF(OR(E2964="",E2964="!!!",F2964="NEW"),"",INDEX(J$1:J2963,SUMPRODUCT(MAX(ROW(E$1:E2963)*(E2964=E$1:E2963)))))</f>
        <v> </v>
      </c>
      <c r="L2964" s="27"/>
    </row>
    <row r="2965" spans="1:12">
      <c r="A2965" s="20" t="s">
        <v>1838</v>
      </c>
      <c r="B2965" s="21" t="s">
        <v>1159</v>
      </c>
      <c r="C2965" s="21" t="s">
        <v>1032</v>
      </c>
      <c r="D2965" s="21" t="s">
        <v>950</v>
      </c>
      <c r="E2965" s="22">
        <f>IF(D2965="?OLD","!!!","")</f>
        <v/>
      </c>
      <c r="F2965" s="23" t="str">
        <f>IF(OR(E2965="",E2965="!!!"),"",IF(NOT(ISNA(VLOOKUP(E2965,E$1:E2964,1,FALSE()))),"OLD",IF(AND(E2965&lt;&gt;"",E2965&lt;&gt;"!!!"),"NEW","")))</f>
        <v> </v>
      </c>
      <c r="G2965" s="24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5" t="str">
        <f>IF(J2965&lt;&gt;1,"",IF(I2965="SBJ","CB","?"))</f>
        <v> </v>
      </c>
      <c r="I2965" s="26" t="str">
        <f>IF(OR(E2965="",E2965="!!!",F2965="NEW"),"",INDEX(B2964:B$2,-1+SUMPRODUCT(MAX(ROW(E2964:E$2)*(E2965=E2964:E$2)))))</f>
        <v> </v>
      </c>
      <c r="J2965" s="26" t="str">
        <f>IF(OR(E2965="",E2965="!!!",F2965="NEW"),"",COUNTBLANK(OFFSET(A$1,,,SUMPRODUCT(MAX(ROW(E$2:E2965)*(E2965=E$2:E2965)))))-COUNTBLANK(OFFSET(A$1,,,SUMPRODUCT(MAX(ROW(E$1:E2964)*(E2=E$1:E2964))))))</f>
        <v> </v>
      </c>
      <c r="K2965" s="26" t="str">
        <f>IF(OR(E2965="",E2965="!!!",F2965="NEW"),"",INDEX(J$1:J2964,SUMPRODUCT(MAX(ROW(E$1:E2964)*(E2965=E$1:E2964)))))</f>
        <v> </v>
      </c>
      <c r="L2965" s="27"/>
    </row>
    <row r="2966" spans="1:12">
      <c r="A2966" s="20" t="s">
        <v>965</v>
      </c>
      <c r="B2966" s="21" t="s">
        <v>1661</v>
      </c>
      <c r="E2966" s="22">
        <f>IF(D2966="?OLD","!!!","")</f>
        <v/>
      </c>
      <c r="F2966" s="23" t="str">
        <f>IF(OR(E2966="",E2966="!!!"),"",IF(NOT(ISNA(VLOOKUP(E2966,E$1:E2965,1,FALSE()))),"OLD",IF(AND(E2966&lt;&gt;"",E2966&lt;&gt;"!!!"),"NEW","")))</f>
        <v> </v>
      </c>
      <c r="G2966" s="24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5" t="str">
        <f>IF(J2966&lt;&gt;1,"",IF(I2966="SBJ","CB","?"))</f>
        <v> </v>
      </c>
      <c r="I2966" s="26" t="str">
        <f>IF(OR(E2966="",E2966="!!!",F2966="NEW"),"",INDEX(B2965:B$2,-1+SUMPRODUCT(MAX(ROW(E2965:E$2)*(E2966=E2965:E$2)))))</f>
        <v> </v>
      </c>
      <c r="J2966" s="26" t="str">
        <f>IF(OR(E2966="",E2966="!!!",F2966="NEW"),"",COUNTBLANK(OFFSET(A$1,,,SUMPRODUCT(MAX(ROW(E$2:E2966)*(E2966=E$2:E2966)))))-COUNTBLANK(OFFSET(A$1,,,SUMPRODUCT(MAX(ROW(E$1:E2965)*(E2=E$1:E2965))))))</f>
        <v> </v>
      </c>
      <c r="K2966" s="26" t="str">
        <f>IF(OR(E2966="",E2966="!!!",F2966="NEW"),"",INDEX(J$1:J2965,SUMPRODUCT(MAX(ROW(E$1:E2965)*(E2966=E$1:E2965)))))</f>
        <v> </v>
      </c>
      <c r="L2966" s="27"/>
    </row>
    <row r="2967" spans="1:12">
      <c r="A2967" s="20" t="s">
        <v>1150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984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/>
    </row>
    <row r="2970" spans="1:12">
      <c r="A2970" s="20" t="s">
        <v>1859</v>
      </c>
    </row>
    <row r="2971" spans="1:12">
      <c r="A2971" s="20" t="s">
        <v>1253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965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1000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1180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1860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1141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1098</v>
      </c>
      <c r="B2977" s="21" t="s">
        <v>1005</v>
      </c>
      <c r="C2977" s="21" t="s">
        <v>1008</v>
      </c>
      <c r="D2977" s="21" t="s">
        <v>950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1861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367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1862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1863</v>
      </c>
      <c r="B2981" s="21" t="s">
        <v>975</v>
      </c>
      <c r="C2981" s="21" t="s">
        <v>1125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1256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1864</v>
      </c>
      <c r="B2983" s="21" t="s">
        <v>1031</v>
      </c>
      <c r="C2983" s="21" t="s">
        <v>1044</v>
      </c>
      <c r="D2983" s="21" t="s">
        <v>950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984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/>
    </row>
    <row r="2986" spans="1:12">
      <c r="A2986" s="20" t="s">
        <v>1865</v>
      </c>
    </row>
    <row r="2987" spans="1:12">
      <c r="A2987" s="20" t="s">
        <v>1016</v>
      </c>
      <c r="B2987" s="21" t="s">
        <v>948</v>
      </c>
      <c r="C2987" s="21" t="s">
        <v>983</v>
      </c>
      <c r="E2987" s="22">
        <f>IF(D2987="?OLD","!!!","")</f>
        <v/>
      </c>
      <c r="F2987" s="23" t="str">
        <f>IF(OR(E2987="",E2987="!!!"),"",IF(NOT(ISNA(VLOOKUP(E2987,E$1:E2986,1,FALSE()))),"OLD",IF(AND(E2987&lt;&gt;"",E2987&lt;&gt;"!!!"),"NEW","")))</f>
        <v> </v>
      </c>
      <c r="G2987" s="24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5" t="str">
        <f>IF(J2987&lt;&gt;1,"",IF(I2987="SBJ","CB","?"))</f>
        <v> </v>
      </c>
      <c r="I2987" s="26" t="str">
        <f>IF(OR(E2987="",E2987="!!!",F2987="NEW"),"",INDEX(B2986:B$2,-1+SUMPRODUCT(MAX(ROW(E2986:E$2)*(E2987=E2986:E$2)))))</f>
        <v> </v>
      </c>
      <c r="J2987" s="26" t="str">
        <f>IF(OR(E2987="",E2987="!!!",F2987="NEW"),"",COUNTBLANK(OFFSET(A$1,,,SUMPRODUCT(MAX(ROW(E$2:E2987)*(E2987=E$2:E2987)))))-COUNTBLANK(OFFSET(A$1,,,SUMPRODUCT(MAX(ROW(E$1:E2986)*(E2=E$1:E2986))))))</f>
        <v> </v>
      </c>
      <c r="K2987" s="26" t="str">
        <f>IF(OR(E2987="",E2987="!!!",F2987="NEW"),"",INDEX(J$1:J2986,SUMPRODUCT(MAX(ROW(E$1:E2986)*(E2987=E$1:E2986)))))</f>
        <v> </v>
      </c>
      <c r="L2987" s="27"/>
    </row>
    <row r="2988" spans="1:12">
      <c r="A2988" s="20" t="s">
        <v>952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1866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 t="s">
        <v>984</v>
      </c>
      <c r="E2990" s="22">
        <f>IF(D2990="?OLD","!!!","")</f>
        <v/>
      </c>
      <c r="F2990" s="23" t="str">
        <f>IF(OR(E2990="",E2990="!!!"),"",IF(NOT(ISNA(VLOOKUP(E2990,E$1:E2989,1,FALSE()))),"OLD",IF(AND(E2990&lt;&gt;"",E2990&lt;&gt;"!!!"),"NEW","")))</f>
        <v> </v>
      </c>
      <c r="G2990" s="24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5" t="str">
        <f>IF(J2990&lt;&gt;1,"",IF(I2990="SBJ","CB","?"))</f>
        <v> </v>
      </c>
      <c r="I2990" s="26" t="str">
        <f>IF(OR(E2990="",E2990="!!!",F2990="NEW"),"",INDEX(B2989:B$2,-1+SUMPRODUCT(MAX(ROW(E2989:E$2)*(E2990=E2989:E$2)))))</f>
        <v> </v>
      </c>
      <c r="J2990" s="26" t="str">
        <f>IF(OR(E2990="",E2990="!!!",F2990="NEW"),"",COUNTBLANK(OFFSET(A$1,,,SUMPRODUCT(MAX(ROW(E$2:E2990)*(E2990=E$2:E2990)))))-COUNTBLANK(OFFSET(A$1,,,SUMPRODUCT(MAX(ROW(E$1:E2989)*(E2=E$1:E2989))))))</f>
        <v> </v>
      </c>
      <c r="K2990" s="26" t="str">
        <f>IF(OR(E2990="",E2990="!!!",F2990="NEW"),"",INDEX(J$1:J2989,SUMPRODUCT(MAX(ROW(E$1:E2989)*(E2990=E$1:E2989)))))</f>
        <v> </v>
      </c>
      <c r="L2990" s="27"/>
    </row>
    <row r="2991" spans="1:12">
      <c r="A2991" s="20"/>
    </row>
    <row r="2992" spans="1:12">
      <c r="A2992" s="20" t="s">
        <v>1867</v>
      </c>
    </row>
    <row r="2993" spans="1:12">
      <c r="A2993" s="20" t="s">
        <v>1070</v>
      </c>
      <c r="B2993" s="21" t="s">
        <v>982</v>
      </c>
      <c r="C2993" s="21" t="s">
        <v>983</v>
      </c>
      <c r="E2993" s="22">
        <f>IF(D2993="?OLD","!!!","")</f>
        <v/>
      </c>
      <c r="F2993" s="23" t="str">
        <f>IF(OR(E2993="",E2993="!!!"),"",IF(NOT(ISNA(VLOOKUP(E2993,E$1:E2992,1,FALSE()))),"OLD",IF(AND(E2993&lt;&gt;"",E2993&lt;&gt;"!!!"),"NEW","")))</f>
        <v> </v>
      </c>
      <c r="G2993" s="24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5" t="str">
        <f>IF(J2993&lt;&gt;1,"",IF(I2993="SBJ","CB","?"))</f>
        <v> </v>
      </c>
      <c r="I2993" s="26" t="str">
        <f>IF(OR(E2993="",E2993="!!!",F2993="NEW"),"",INDEX(B2992:B$2,-1+SUMPRODUCT(MAX(ROW(E2992:E$2)*(E2993=E2992:E$2)))))</f>
        <v> </v>
      </c>
      <c r="J2993" s="26" t="str">
        <f>IF(OR(E2993="",E2993="!!!",F2993="NEW"),"",COUNTBLANK(OFFSET(A$1,,,SUMPRODUCT(MAX(ROW(E$2:E2993)*(E2993=E$2:E2993)))))-COUNTBLANK(OFFSET(A$1,,,SUMPRODUCT(MAX(ROW(E$1:E2992)*(E2=E$1:E2992))))))</f>
        <v> </v>
      </c>
      <c r="K2993" s="26" t="str">
        <f>IF(OR(E2993="",E2993="!!!",F2993="NEW"),"",INDEX(J$1:J2992,SUMPRODUCT(MAX(ROW(E$1:E2992)*(E2993=E$1:E2992)))))</f>
        <v> </v>
      </c>
      <c r="L2993" s="27"/>
    </row>
    <row r="2994" spans="1:12">
      <c r="A2994" s="20" t="s">
        <v>952</v>
      </c>
      <c r="E2994" s="22">
        <f>IF(D2994="?OLD","!!!","")</f>
        <v/>
      </c>
      <c r="F2994" s="23" t="str">
        <f>IF(OR(E2994="",E2994="!!!"),"",IF(NOT(ISNA(VLOOKUP(E2994,E$1:E2993,1,FALSE()))),"OLD",IF(AND(E2994&lt;&gt;"",E2994&lt;&gt;"!!!"),"NEW","")))</f>
        <v> </v>
      </c>
      <c r="G2994" s="24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5" t="str">
        <f>IF(J2994&lt;&gt;1,"",IF(I2994="SBJ","CB","?"))</f>
        <v> </v>
      </c>
      <c r="I2994" s="26" t="str">
        <f>IF(OR(E2994="",E2994="!!!",F2994="NEW"),"",INDEX(B2993:B$2,-1+SUMPRODUCT(MAX(ROW(E2993:E$2)*(E2994=E2993:E$2)))))</f>
        <v> </v>
      </c>
      <c r="J2994" s="26" t="str">
        <f>IF(OR(E2994="",E2994="!!!",F2994="NEW"),"",COUNTBLANK(OFFSET(A$1,,,SUMPRODUCT(MAX(ROW(E$2:E2994)*(E2994=E$2:E2994)))))-COUNTBLANK(OFFSET(A$1,,,SUMPRODUCT(MAX(ROW(E$1:E2993)*(E2=E$1:E2993))))))</f>
        <v> </v>
      </c>
      <c r="K2994" s="26" t="str">
        <f>IF(OR(E2994="",E2994="!!!",F2994="NEW"),"",INDEX(J$1:J2993,SUMPRODUCT(MAX(ROW(E$1:E2993)*(E2994=E$1:E2993)))))</f>
        <v> </v>
      </c>
      <c r="L2994" s="27"/>
    </row>
    <row r="2995" spans="1:12">
      <c r="A2995" s="20" t="s">
        <v>1253</v>
      </c>
      <c r="E2995" s="22">
        <f>IF(D2995="?OLD","!!!","")</f>
        <v/>
      </c>
      <c r="F2995" s="23" t="str">
        <f>IF(OR(E2995="",E2995="!!!"),"",IF(NOT(ISNA(VLOOKUP(E2995,E$1:E2994,1,FALSE()))),"OLD",IF(AND(E2995&lt;&gt;"",E2995&lt;&gt;"!!!"),"NEW","")))</f>
        <v> </v>
      </c>
      <c r="G2995" s="24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5" t="str">
        <f>IF(J2995&lt;&gt;1,"",IF(I2995="SBJ","CB","?"))</f>
        <v> </v>
      </c>
      <c r="I2995" s="26" t="str">
        <f>IF(OR(E2995="",E2995="!!!",F2995="NEW"),"",INDEX(B2994:B$2,-1+SUMPRODUCT(MAX(ROW(E2994:E$2)*(E2995=E2994:E$2)))))</f>
        <v> </v>
      </c>
      <c r="J2995" s="26" t="str">
        <f>IF(OR(E2995="",E2995="!!!",F2995="NEW"),"",COUNTBLANK(OFFSET(A$1,,,SUMPRODUCT(MAX(ROW(E$2:E2995)*(E2995=E$2:E2995)))))-COUNTBLANK(OFFSET(A$1,,,SUMPRODUCT(MAX(ROW(E$1:E2994)*(E2=E$1:E2994))))))</f>
        <v> </v>
      </c>
      <c r="K2995" s="26" t="str">
        <f>IF(OR(E2995="",E2995="!!!",F2995="NEW"),"",INDEX(J$1:J2994,SUMPRODUCT(MAX(ROW(E$1:E2994)*(E2995=E$1:E2994)))))</f>
        <v> </v>
      </c>
      <c r="L2995" s="27"/>
    </row>
    <row r="2996" spans="1:12">
      <c r="A2996" s="20" t="s">
        <v>965</v>
      </c>
      <c r="E2996" s="22">
        <f>IF(D2996="?OLD","!!!","")</f>
        <v/>
      </c>
      <c r="F2996" s="23" t="str">
        <f>IF(OR(E2996="",E2996="!!!"),"",IF(NOT(ISNA(VLOOKUP(E2996,E$1:E2995,1,FALSE()))),"OLD",IF(AND(E2996&lt;&gt;"",E2996&lt;&gt;"!!!"),"NEW","")))</f>
        <v> </v>
      </c>
      <c r="G2996" s="24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5" t="str">
        <f>IF(J2996&lt;&gt;1,"",IF(I2996="SBJ","CB","?"))</f>
        <v> </v>
      </c>
      <c r="I2996" s="26" t="str">
        <f>IF(OR(E2996="",E2996="!!!",F2996="NEW"),"",INDEX(B2995:B$2,-1+SUMPRODUCT(MAX(ROW(E2995:E$2)*(E2996=E2995:E$2)))))</f>
        <v> </v>
      </c>
      <c r="J2996" s="26" t="str">
        <f>IF(OR(E2996="",E2996="!!!",F2996="NEW"),"",COUNTBLANK(OFFSET(A$1,,,SUMPRODUCT(MAX(ROW(E$2:E2996)*(E2996=E$2:E2996)))))-COUNTBLANK(OFFSET(A$1,,,SUMPRODUCT(MAX(ROW(E$1:E2995)*(E2=E$1:E2995))))))</f>
        <v> </v>
      </c>
      <c r="K2996" s="26" t="str">
        <f>IF(OR(E2996="",E2996="!!!",F2996="NEW"),"",INDEX(J$1:J2995,SUMPRODUCT(MAX(ROW(E$1:E2995)*(E2996=E$1:E2995)))))</f>
        <v> </v>
      </c>
      <c r="L2996" s="27"/>
    </row>
    <row r="2997" spans="1:12">
      <c r="A2997" s="20" t="s">
        <v>1728</v>
      </c>
      <c r="E2997" s="22">
        <f>IF(D2997="?OLD","!!!","")</f>
        <v/>
      </c>
      <c r="F2997" s="23" t="str">
        <f>IF(OR(E2997="",E2997="!!!"),"",IF(NOT(ISNA(VLOOKUP(E2997,E$1:E2996,1,FALSE()))),"OLD",IF(AND(E2997&lt;&gt;"",E2997&lt;&gt;"!!!"),"NEW","")))</f>
        <v> </v>
      </c>
      <c r="G2997" s="24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5" t="str">
        <f>IF(J2997&lt;&gt;1,"",IF(I2997="SBJ","CB","?"))</f>
        <v> </v>
      </c>
      <c r="I2997" s="26" t="str">
        <f>IF(OR(E2997="",E2997="!!!",F2997="NEW"),"",INDEX(B2996:B$2,-1+SUMPRODUCT(MAX(ROW(E2996:E$2)*(E2997=E2996:E$2)))))</f>
        <v> </v>
      </c>
      <c r="J2997" s="26" t="str">
        <f>IF(OR(E2997="",E2997="!!!",F2997="NEW"),"",COUNTBLANK(OFFSET(A$1,,,SUMPRODUCT(MAX(ROW(E$2:E2997)*(E2997=E$2:E2997)))))-COUNTBLANK(OFFSET(A$1,,,SUMPRODUCT(MAX(ROW(E$1:E2996)*(E2=E$1:E2996))))))</f>
        <v> </v>
      </c>
      <c r="K2997" s="26" t="str">
        <f>IF(OR(E2997="",E2997="!!!",F2997="NEW"),"",INDEX(J$1:J2996,SUMPRODUCT(MAX(ROW(E$1:E2996)*(E2997=E$1:E2996)))))</f>
        <v> </v>
      </c>
      <c r="L2997" s="27"/>
    </row>
    <row r="2998" spans="1:12">
      <c r="A2998" s="20" t="s">
        <v>1141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 t="s">
        <v>1077</v>
      </c>
      <c r="E2999" s="22">
        <f>IF(D2999="?OLD","!!!","")</f>
        <v/>
      </c>
      <c r="F2999" s="23" t="str">
        <f>IF(OR(E2999="",E2999="!!!"),"",IF(NOT(ISNA(VLOOKUP(E2999,E$1:E2998,1,FALSE()))),"OLD",IF(AND(E2999&lt;&gt;"",E2999&lt;&gt;"!!!"),"NEW","")))</f>
        <v> </v>
      </c>
      <c r="G2999" s="24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5" t="str">
        <f>IF(J2999&lt;&gt;1,"",IF(I2999="SBJ","CB","?"))</f>
        <v> </v>
      </c>
      <c r="I2999" s="26" t="str">
        <f>IF(OR(E2999="",E2999="!!!",F2999="NEW"),"",INDEX(B2998:B$2,-1+SUMPRODUCT(MAX(ROW(E2998:E$2)*(E2999=E2998:E$2)))))</f>
        <v> </v>
      </c>
      <c r="J2999" s="26" t="str">
        <f>IF(OR(E2999="",E2999="!!!",F2999="NEW"),"",COUNTBLANK(OFFSET(A$1,,,SUMPRODUCT(MAX(ROW(E$2:E2999)*(E2999=E$2:E2999)))))-COUNTBLANK(OFFSET(A$1,,,SUMPRODUCT(MAX(ROW(E$1:E2998)*(E2=E$1:E2998))))))</f>
        <v> </v>
      </c>
      <c r="K2999" s="26" t="str">
        <f>IF(OR(E2999="",E2999="!!!",F2999="NEW"),"",INDEX(J$1:J2998,SUMPRODUCT(MAX(ROW(E$1:E2998)*(E2999=E$1:E2998)))))</f>
        <v> </v>
      </c>
      <c r="L2999" s="27"/>
    </row>
    <row r="3000" spans="1:12">
      <c r="A3000" s="20" t="s">
        <v>1868</v>
      </c>
      <c r="E3000" s="22">
        <f>IF(D3000="?OLD","!!!","")</f>
        <v/>
      </c>
      <c r="F3000" s="23" t="str">
        <f>IF(OR(E3000="",E3000="!!!"),"",IF(NOT(ISNA(VLOOKUP(E3000,E$1:E2999,1,FALSE()))),"OLD",IF(AND(E3000&lt;&gt;"",E3000&lt;&gt;"!!!"),"NEW","")))</f>
        <v> </v>
      </c>
      <c r="G3000" s="24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5" t="str">
        <f>IF(J3000&lt;&gt;1,"",IF(I3000="SBJ","CB","?"))</f>
        <v> </v>
      </c>
      <c r="I3000" s="26" t="str">
        <f>IF(OR(E3000="",E3000="!!!",F3000="NEW"),"",INDEX(B2999:B$2,-1+SUMPRODUCT(MAX(ROW(E2999:E$2)*(E3000=E2999:E$2)))))</f>
        <v> </v>
      </c>
      <c r="J3000" s="26" t="str">
        <f>IF(OR(E3000="",E3000="!!!",F3000="NEW"),"",COUNTBLANK(OFFSET(A$1,,,SUMPRODUCT(MAX(ROW(E$2:E3000)*(E3000=E$2:E3000)))))-COUNTBLANK(OFFSET(A$1,,,SUMPRODUCT(MAX(ROW(E$1:E2999)*(E2=E$1:E2999))))))</f>
        <v> </v>
      </c>
      <c r="K3000" s="26" t="str">
        <f>IF(OR(E3000="",E3000="!!!",F3000="NEW"),"",INDEX(J$1:J2999,SUMPRODUCT(MAX(ROW(E$1:E2999)*(E3000=E$1:E2999)))))</f>
        <v> </v>
      </c>
      <c r="L3000" s="27"/>
    </row>
    <row r="3001" spans="1:12">
      <c r="A3001" s="20" t="s">
        <v>1168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1022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1026</v>
      </c>
      <c r="B3003" s="21" t="s">
        <v>1007</v>
      </c>
      <c r="C3003" s="21" t="s">
        <v>976</v>
      </c>
      <c r="D3003" s="21" t="s">
        <v>950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1075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 t="s">
        <v>1022</v>
      </c>
      <c r="E3005" s="22">
        <f>IF(D3005="?OLD","!!!","")</f>
        <v/>
      </c>
      <c r="F3005" s="23" t="str">
        <f>IF(OR(E3005="",E3005="!!!"),"",IF(NOT(ISNA(VLOOKUP(E3005,E$1:E3004,1,FALSE()))),"OLD",IF(AND(E3005&lt;&gt;"",E3005&lt;&gt;"!!!"),"NEW","")))</f>
        <v> </v>
      </c>
      <c r="G3005" s="24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5" t="str">
        <f>IF(J3005&lt;&gt;1,"",IF(I3005="SBJ","CB","?"))</f>
        <v> </v>
      </c>
      <c r="I3005" s="26" t="str">
        <f>IF(OR(E3005="",E3005="!!!",F3005="NEW"),"",INDEX(B3004:B$2,-1+SUMPRODUCT(MAX(ROW(E3004:E$2)*(E3005=E3004:E$2)))))</f>
        <v> </v>
      </c>
      <c r="J3005" s="26" t="str">
        <f>IF(OR(E3005="",E3005="!!!",F3005="NEW"),"",COUNTBLANK(OFFSET(A$1,,,SUMPRODUCT(MAX(ROW(E$2:E3005)*(E3005=E$2:E3005)))))-COUNTBLANK(OFFSET(A$1,,,SUMPRODUCT(MAX(ROW(E$1:E3004)*(E2=E$1:E3004))))))</f>
        <v> </v>
      </c>
      <c r="K3005" s="26" t="str">
        <f>IF(OR(E3005="",E3005="!!!",F3005="NEW"),"",INDEX(J$1:J3004,SUMPRODUCT(MAX(ROW(E$1:E3004)*(E3005=E$1:E3004)))))</f>
        <v> </v>
      </c>
      <c r="L3005" s="27"/>
    </row>
    <row r="3006" spans="1:12">
      <c r="A3006" s="20" t="s">
        <v>1023</v>
      </c>
      <c r="B3006" s="21" t="s">
        <v>1328</v>
      </c>
      <c r="C3006" s="21" t="s">
        <v>949</v>
      </c>
      <c r="D3006" s="21" t="s">
        <v>950</v>
      </c>
      <c r="E3006" s="22">
        <f>IF(D3006="?OLD","!!!","")</f>
        <v/>
      </c>
      <c r="F3006" s="23" t="str">
        <f>IF(OR(E3006="",E3006="!!!"),"",IF(NOT(ISNA(VLOOKUP(E3006,E$1:E3005,1,FALSE()))),"OLD",IF(AND(E3006&lt;&gt;"",E3006&lt;&gt;"!!!"),"NEW","")))</f>
        <v> </v>
      </c>
      <c r="G3006" s="24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5" t="str">
        <f>IF(J3006&lt;&gt;1,"",IF(I3006="SBJ","CB","?"))</f>
        <v> </v>
      </c>
      <c r="I3006" s="26" t="str">
        <f>IF(OR(E3006="",E3006="!!!",F3006="NEW"),"",INDEX(B3005:B$2,-1+SUMPRODUCT(MAX(ROW(E3005:E$2)*(E3006=E3005:E$2)))))</f>
        <v> </v>
      </c>
      <c r="J3006" s="26" t="str">
        <f>IF(OR(E3006="",E3006="!!!",F3006="NEW"),"",COUNTBLANK(OFFSET(A$1,,,SUMPRODUCT(MAX(ROW(E$2:E3006)*(E3006=E$2:E3006)))))-COUNTBLANK(OFFSET(A$1,,,SUMPRODUCT(MAX(ROW(E$1:E3005)*(E2=E$1:E3005))))))</f>
        <v> </v>
      </c>
      <c r="K3006" s="26" t="str">
        <f>IF(OR(E3006="",E3006="!!!",F3006="NEW"),"",INDEX(J$1:J3005,SUMPRODUCT(MAX(ROW(E$1:E3005)*(E3006=E$1:E3005)))))</f>
        <v> </v>
      </c>
      <c r="L3006" s="27"/>
    </row>
    <row r="3007" spans="1:12">
      <c r="A3007" s="20" t="s">
        <v>1000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1117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1022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283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 t="s">
        <v>1006</v>
      </c>
      <c r="E3011" s="22">
        <f>IF(D3011="?OLD","!!!","")</f>
        <v/>
      </c>
      <c r="F3011" s="23" t="str">
        <f>IF(OR(E3011="",E3011="!!!"),"",IF(NOT(ISNA(VLOOKUP(E3011,E$1:E3010,1,FALSE()))),"OLD",IF(AND(E3011&lt;&gt;"",E3011&lt;&gt;"!!!"),"NEW","")))</f>
        <v> </v>
      </c>
      <c r="G3011" s="24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5" t="str">
        <f>IF(J3011&lt;&gt;1,"",IF(I3011="SBJ","CB","?"))</f>
        <v> </v>
      </c>
      <c r="I3011" s="26" t="str">
        <f>IF(OR(E3011="",E3011="!!!",F3011="NEW"),"",INDEX(B3010:B$2,-1+SUMPRODUCT(MAX(ROW(E3010:E$2)*(E3011=E3010:E$2)))))</f>
        <v> </v>
      </c>
      <c r="J3011" s="26" t="str">
        <f>IF(OR(E3011="",E3011="!!!",F3011="NEW"),"",COUNTBLANK(OFFSET(A$1,,,SUMPRODUCT(MAX(ROW(E$2:E3011)*(E3011=E$2:E3011)))))-COUNTBLANK(OFFSET(A$1,,,SUMPRODUCT(MAX(ROW(E$1:E3010)*(E2=E$1:E3010))))))</f>
        <v> </v>
      </c>
      <c r="K3011" s="26" t="str">
        <f>IF(OR(E3011="",E3011="!!!",F3011="NEW"),"",INDEX(J$1:J3010,SUMPRODUCT(MAX(ROW(E$1:E3010)*(E3011=E$1:E3010)))))</f>
        <v> </v>
      </c>
      <c r="L3011" s="27"/>
    </row>
    <row r="3012" spans="1:12">
      <c r="A3012" s="20" t="s">
        <v>1097</v>
      </c>
      <c r="B3012" s="21" t="s">
        <v>1082</v>
      </c>
      <c r="C3012" s="21" t="s">
        <v>1008</v>
      </c>
      <c r="D3012" s="21" t="s">
        <v>950</v>
      </c>
      <c r="E3012" s="22">
        <f>IF(D3012="?OLD","!!!","")</f>
        <v/>
      </c>
      <c r="F3012" s="23" t="str">
        <f>IF(OR(E3012="",E3012="!!!"),"",IF(NOT(ISNA(VLOOKUP(E3012,E$1:E3011,1,FALSE()))),"OLD",IF(AND(E3012&lt;&gt;"",E3012&lt;&gt;"!!!"),"NEW","")))</f>
        <v> </v>
      </c>
      <c r="G3012" s="24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5" t="str">
        <f>IF(J3012&lt;&gt;1,"",IF(I3012="SBJ","CB","?"))</f>
        <v> </v>
      </c>
      <c r="I3012" s="26" t="str">
        <f>IF(OR(E3012="",E3012="!!!",F3012="NEW"),"",INDEX(B3011:B$2,-1+SUMPRODUCT(MAX(ROW(E3011:E$2)*(E3012=E3011:E$2)))))</f>
        <v> </v>
      </c>
      <c r="J3012" s="26" t="str">
        <f>IF(OR(E3012="",E3012="!!!",F3012="NEW"),"",COUNTBLANK(OFFSET(A$1,,,SUMPRODUCT(MAX(ROW(E$2:E3012)*(E3012=E$2:E3012)))))-COUNTBLANK(OFFSET(A$1,,,SUMPRODUCT(MAX(ROW(E$1:E3011)*(E2=E$1:E3011))))))</f>
        <v> </v>
      </c>
      <c r="K3012" s="26" t="str">
        <f>IF(OR(E3012="",E3012="!!!",F3012="NEW"),"",INDEX(J$1:J3011,SUMPRODUCT(MAX(ROW(E$1:E3011)*(E3012=E$1:E3011)))))</f>
        <v> </v>
      </c>
      <c r="L3012" s="27"/>
    </row>
    <row r="3013" spans="1:12">
      <c r="A3013" s="20" t="s">
        <v>965</v>
      </c>
      <c r="B3013" s="21" t="s">
        <v>1053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1869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1168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1038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1842</v>
      </c>
      <c r="B3017" s="21" t="s">
        <v>1007</v>
      </c>
      <c r="C3017" s="21" t="s">
        <v>1032</v>
      </c>
      <c r="D3017" s="21" t="s">
        <v>950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1843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1000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1117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1022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1306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1805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 t="s">
        <v>1006</v>
      </c>
      <c r="E3024" s="22">
        <f>IF(D3024="?OLD","!!!","")</f>
        <v/>
      </c>
      <c r="F3024" s="23" t="str">
        <f>IF(OR(E3024="",E3024="!!!"),"",IF(NOT(ISNA(VLOOKUP(E3024,E$1:E3023,1,FALSE()))),"OLD",IF(AND(E3024&lt;&gt;"",E3024&lt;&gt;"!!!"),"NEW","")))</f>
        <v> </v>
      </c>
      <c r="G3024" s="24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5" t="str">
        <f>IF(J3024&lt;&gt;1,"",IF(I3024="SBJ","CB","?"))</f>
        <v> </v>
      </c>
      <c r="I3024" s="26" t="str">
        <f>IF(OR(E3024="",E3024="!!!",F3024="NEW"),"",INDEX(B3023:B$2,-1+SUMPRODUCT(MAX(ROW(E3023:E$2)*(E3024=E3023:E$2)))))</f>
        <v> </v>
      </c>
      <c r="J3024" s="26" t="str">
        <f>IF(OR(E3024="",E3024="!!!",F3024="NEW"),"",COUNTBLANK(OFFSET(A$1,,,SUMPRODUCT(MAX(ROW(E$2:E3024)*(E3024=E$2:E3024)))))-COUNTBLANK(OFFSET(A$1,,,SUMPRODUCT(MAX(ROW(E$1:E3023)*(E2=E$1:E3023))))))</f>
        <v> </v>
      </c>
      <c r="K3024" s="26" t="str">
        <f>IF(OR(E3024="",E3024="!!!",F3024="NEW"),"",INDEX(J$1:J3023,SUMPRODUCT(MAX(ROW(E$1:E3023)*(E3024=E$1:E3023)))))</f>
        <v> </v>
      </c>
      <c r="L3024" s="27"/>
    </row>
    <row r="3025" spans="1:12">
      <c r="A3025" s="20" t="s">
        <v>1806</v>
      </c>
      <c r="B3025" s="21" t="s">
        <v>1082</v>
      </c>
      <c r="C3025" s="21" t="s">
        <v>976</v>
      </c>
      <c r="D3025" s="21" t="s">
        <v>950</v>
      </c>
      <c r="E3025" s="22">
        <f>IF(D3025="?OLD","!!!","")</f>
        <v/>
      </c>
      <c r="F3025" s="23" t="str">
        <f>IF(OR(E3025="",E3025="!!!"),"",IF(NOT(ISNA(VLOOKUP(E3025,E$1:E3024,1,FALSE()))),"OLD",IF(AND(E3025&lt;&gt;"",E3025&lt;&gt;"!!!"),"NEW","")))</f>
        <v> </v>
      </c>
      <c r="G3025" s="24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5" t="str">
        <f>IF(J3025&lt;&gt;1,"",IF(I3025="SBJ","CB","?"))</f>
        <v> </v>
      </c>
      <c r="I3025" s="26" t="str">
        <f>IF(OR(E3025="",E3025="!!!",F3025="NEW"),"",INDEX(B3024:B$2,-1+SUMPRODUCT(MAX(ROW(E3024:E$2)*(E3025=E3024:E$2)))))</f>
        <v> </v>
      </c>
      <c r="J3025" s="26" t="str">
        <f>IF(OR(E3025="",E3025="!!!",F3025="NEW"),"",COUNTBLANK(OFFSET(A$1,,,SUMPRODUCT(MAX(ROW(E$2:E3025)*(E3025=E$2:E3025)))))-COUNTBLANK(OFFSET(A$1,,,SUMPRODUCT(MAX(ROW(E$1:E3024)*(E2=E$1:E3024))))))</f>
        <v> </v>
      </c>
      <c r="K3025" s="26" t="str">
        <f>IF(OR(E3025="",E3025="!!!",F3025="NEW"),"",INDEX(J$1:J3024,SUMPRODUCT(MAX(ROW(E$1:E3024)*(E3025=E$1:E3024)))))</f>
        <v> </v>
      </c>
      <c r="L3025" s="27"/>
    </row>
    <row r="3026" spans="1:12">
      <c r="A3026" s="20" t="s">
        <v>1168</v>
      </c>
      <c r="E3026" s="22">
        <f>IF(D3026="?OLD","!!!","")</f>
        <v/>
      </c>
      <c r="F3026" s="23" t="str">
        <f>IF(OR(E3026="",E3026="!!!"),"",IF(NOT(ISNA(VLOOKUP(E3026,E$1:E3025,1,FALSE()))),"OLD",IF(AND(E3026&lt;&gt;"",E3026&lt;&gt;"!!!"),"NEW","")))</f>
        <v> </v>
      </c>
      <c r="G3026" s="24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5" t="str">
        <f>IF(J3026&lt;&gt;1,"",IF(I3026="SBJ","CB","?"))</f>
        <v> </v>
      </c>
      <c r="I3026" s="26" t="str">
        <f>IF(OR(E3026="",E3026="!!!",F3026="NEW"),"",INDEX(B3025:B$2,-1+SUMPRODUCT(MAX(ROW(E3025:E$2)*(E3026=E3025:E$2)))))</f>
        <v> </v>
      </c>
      <c r="J3026" s="26" t="str">
        <f>IF(OR(E3026="",E3026="!!!",F3026="NEW"),"",COUNTBLANK(OFFSET(A$1,,,SUMPRODUCT(MAX(ROW(E$2:E3026)*(E3026=E$2:E3026)))))-COUNTBLANK(OFFSET(A$1,,,SUMPRODUCT(MAX(ROW(E$1:E3025)*(E2=E$1:E3025))))))</f>
        <v> </v>
      </c>
      <c r="K3026" s="26" t="str">
        <f>IF(OR(E3026="",E3026="!!!",F3026="NEW"),"",INDEX(J$1:J3025,SUMPRODUCT(MAX(ROW(E$1:E3025)*(E3026=E$1:E3025)))))</f>
        <v> </v>
      </c>
      <c r="L3026" s="27"/>
    </row>
    <row r="3027" spans="1:12">
      <c r="A3027" s="20" t="s">
        <v>1022</v>
      </c>
      <c r="E3027" s="22">
        <f>IF(D3027="?OLD","!!!","")</f>
        <v/>
      </c>
      <c r="F3027" s="23" t="str">
        <f>IF(OR(E3027="",E3027="!!!"),"",IF(NOT(ISNA(VLOOKUP(E3027,E$1:E3026,1,FALSE()))),"OLD",IF(AND(E3027&lt;&gt;"",E3027&lt;&gt;"!!!"),"NEW","")))</f>
        <v> </v>
      </c>
      <c r="G3027" s="24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5" t="str">
        <f>IF(J3027&lt;&gt;1,"",IF(I3027="SBJ","CB","?"))</f>
        <v> </v>
      </c>
      <c r="I3027" s="26" t="str">
        <f>IF(OR(E3027="",E3027="!!!",F3027="NEW"),"",INDEX(B3026:B$2,-1+SUMPRODUCT(MAX(ROW(E3026:E$2)*(E3027=E3026:E$2)))))</f>
        <v> </v>
      </c>
      <c r="J3027" s="26" t="str">
        <f>IF(OR(E3027="",E3027="!!!",F3027="NEW"),"",COUNTBLANK(OFFSET(A$1,,,SUMPRODUCT(MAX(ROW(E$2:E3027)*(E3027=E$2:E3027)))))-COUNTBLANK(OFFSET(A$1,,,SUMPRODUCT(MAX(ROW(E$1:E3026)*(E2=E$1:E3026))))))</f>
        <v> </v>
      </c>
      <c r="K3027" s="26" t="str">
        <f>IF(OR(E3027="",E3027="!!!",F3027="NEW"),"",INDEX(J$1:J3026,SUMPRODUCT(MAX(ROW(E$1:E3026)*(E3027=E$1:E3026)))))</f>
        <v> </v>
      </c>
      <c r="L3027" s="27"/>
    </row>
    <row r="3028" spans="1:12">
      <c r="A3028" s="20" t="s">
        <v>1807</v>
      </c>
      <c r="B3028" s="21" t="s">
        <v>1010</v>
      </c>
      <c r="C3028" s="21" t="s">
        <v>976</v>
      </c>
      <c r="D3028" s="21" t="s">
        <v>950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977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1006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1808</v>
      </c>
      <c r="B3031" s="21" t="s">
        <v>1007</v>
      </c>
      <c r="C3031" s="21" t="s">
        <v>1032</v>
      </c>
      <c r="D3031" s="21" t="s">
        <v>950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1000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1001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972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1117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1115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 t="s">
        <v>1022</v>
      </c>
      <c r="E3037" s="22">
        <f>IF(D3037="?OLD","!!!","")</f>
        <v/>
      </c>
      <c r="F3037" s="23" t="str">
        <f>IF(OR(E3037="",E3037="!!!"),"",IF(NOT(ISNA(VLOOKUP(E3037,E$1:E3036,1,FALSE()))),"OLD",IF(AND(E3037&lt;&gt;"",E3037&lt;&gt;"!!!"),"NEW","")))</f>
        <v> </v>
      </c>
      <c r="G3037" s="24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5" t="str">
        <f>IF(J3037&lt;&gt;1,"",IF(I3037="SBJ","CB","?"))</f>
        <v> </v>
      </c>
      <c r="I3037" s="26" t="str">
        <f>IF(OR(E3037="",E3037="!!!",F3037="NEW"),"",INDEX(B3036:B$2,-1+SUMPRODUCT(MAX(ROW(E3036:E$2)*(E3037=E3036:E$2)))))</f>
        <v> </v>
      </c>
      <c r="J3037" s="26" t="str">
        <f>IF(OR(E3037="",E3037="!!!",F3037="NEW"),"",COUNTBLANK(OFFSET(A$1,,,SUMPRODUCT(MAX(ROW(E$2:E3037)*(E3037=E$2:E3037)))))-COUNTBLANK(OFFSET(A$1,,,SUMPRODUCT(MAX(ROW(E$1:E3036)*(E2=E$1:E3036))))))</f>
        <v> </v>
      </c>
      <c r="K3037" s="26" t="str">
        <f>IF(OR(E3037="",E3037="!!!",F3037="NEW"),"",INDEX(J$1:J3036,SUMPRODUCT(MAX(ROW(E$1:E3036)*(E3037=E$1:E3036)))))</f>
        <v> </v>
      </c>
      <c r="L3037" s="27"/>
    </row>
    <row r="3038" spans="1:12">
      <c r="A3038" s="20" t="s">
        <v>143</v>
      </c>
      <c r="E3038" s="22">
        <f>IF(D3038="?OLD","!!!","")</f>
        <v/>
      </c>
      <c r="F3038" s="23" t="str">
        <f>IF(OR(E3038="",E3038="!!!"),"",IF(NOT(ISNA(VLOOKUP(E3038,E$1:E3037,1,FALSE()))),"OLD",IF(AND(E3038&lt;&gt;"",E3038&lt;&gt;"!!!"),"NEW","")))</f>
        <v> </v>
      </c>
      <c r="G3038" s="24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5" t="str">
        <f>IF(J3038&lt;&gt;1,"",IF(I3038="SBJ","CB","?"))</f>
        <v> </v>
      </c>
      <c r="I3038" s="26" t="str">
        <f>IF(OR(E3038="",E3038="!!!",F3038="NEW"),"",INDEX(B3037:B$2,-1+SUMPRODUCT(MAX(ROW(E3037:E$2)*(E3038=E3037:E$2)))))</f>
        <v> </v>
      </c>
      <c r="J3038" s="26" t="str">
        <f>IF(OR(E3038="",E3038="!!!",F3038="NEW"),"",COUNTBLANK(OFFSET(A$1,,,SUMPRODUCT(MAX(ROW(E$2:E3038)*(E3038=E$2:E3038)))))-COUNTBLANK(OFFSET(A$1,,,SUMPRODUCT(MAX(ROW(E$1:E3037)*(E2=E$1:E3037))))))</f>
        <v> </v>
      </c>
      <c r="K3038" s="26" t="str">
        <f>IF(OR(E3038="",E3038="!!!",F3038="NEW"),"",INDEX(J$1:J3037,SUMPRODUCT(MAX(ROW(E$1:E3037)*(E3038=E$1:E3037)))))</f>
        <v> </v>
      </c>
      <c r="L3038" s="27"/>
    </row>
    <row r="3039" spans="1:12">
      <c r="A3039" s="20" t="s">
        <v>1075</v>
      </c>
      <c r="E3039" s="22">
        <f>IF(D3039="?OLD","!!!","")</f>
        <v/>
      </c>
      <c r="F3039" s="23" t="str">
        <f>IF(OR(E3039="",E3039="!!!"),"",IF(NOT(ISNA(VLOOKUP(E3039,E$1:E3038,1,FALSE()))),"OLD",IF(AND(E3039&lt;&gt;"",E3039&lt;&gt;"!!!"),"NEW","")))</f>
        <v> </v>
      </c>
      <c r="G3039" s="24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5" t="str">
        <f>IF(J3039&lt;&gt;1,"",IF(I3039="SBJ","CB","?"))</f>
        <v> </v>
      </c>
      <c r="I3039" s="26" t="str">
        <f>IF(OR(E3039="",E3039="!!!",F3039="NEW"),"",INDEX(B3038:B$2,-1+SUMPRODUCT(MAX(ROW(E3038:E$2)*(E3039=E3038:E$2)))))</f>
        <v> </v>
      </c>
      <c r="J3039" s="26" t="str">
        <f>IF(OR(E3039="",E3039="!!!",F3039="NEW"),"",COUNTBLANK(OFFSET(A$1,,,SUMPRODUCT(MAX(ROW(E$2:E3039)*(E3039=E$2:E3039)))))-COUNTBLANK(OFFSET(A$1,,,SUMPRODUCT(MAX(ROW(E$1:E3038)*(E2=E$1:E3038))))))</f>
        <v> </v>
      </c>
      <c r="K3039" s="26" t="str">
        <f>IF(OR(E3039="",E3039="!!!",F3039="NEW"),"",INDEX(J$1:J3038,SUMPRODUCT(MAX(ROW(E$1:E3038)*(E3039=E$1:E3038)))))</f>
        <v> </v>
      </c>
      <c r="L3039" s="27"/>
    </row>
    <row r="3040" spans="1:12">
      <c r="A3040" s="20" t="s">
        <v>1006</v>
      </c>
      <c r="E3040" s="22">
        <f>IF(D3040="?OLD","!!!","")</f>
        <v/>
      </c>
      <c r="F3040" s="23" t="str">
        <f>IF(OR(E3040="",E3040="!!!"),"",IF(NOT(ISNA(VLOOKUP(E3040,E$1:E3039,1,FALSE()))),"OLD",IF(AND(E3040&lt;&gt;"",E3040&lt;&gt;"!!!"),"NEW","")))</f>
        <v> </v>
      </c>
      <c r="G3040" s="24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5" t="str">
        <f>IF(J3040&lt;&gt;1,"",IF(I3040="SBJ","CB","?"))</f>
        <v> </v>
      </c>
      <c r="I3040" s="26" t="str">
        <f>IF(OR(E3040="",E3040="!!!",F3040="NEW"),"",INDEX(B3039:B$2,-1+SUMPRODUCT(MAX(ROW(E3039:E$2)*(E3040=E3039:E$2)))))</f>
        <v> </v>
      </c>
      <c r="J3040" s="26" t="str">
        <f>IF(OR(E3040="",E3040="!!!",F3040="NEW"),"",COUNTBLANK(OFFSET(A$1,,,SUMPRODUCT(MAX(ROW(E$2:E3040)*(E3040=E$2:E3040)))))-COUNTBLANK(OFFSET(A$1,,,SUMPRODUCT(MAX(ROW(E$1:E3039)*(E2=E$1:E3039))))))</f>
        <v> </v>
      </c>
      <c r="K3040" s="26" t="str">
        <f>IF(OR(E3040="",E3040="!!!",F3040="NEW"),"",INDEX(J$1:J3039,SUMPRODUCT(MAX(ROW(E$1:E3039)*(E3040=E$1:E3039)))))</f>
        <v> </v>
      </c>
      <c r="L3040" s="27"/>
    </row>
    <row r="3041" spans="1:12">
      <c r="A3041" s="20" t="s">
        <v>1106</v>
      </c>
      <c r="B3041" s="21" t="s">
        <v>1040</v>
      </c>
      <c r="C3041" s="21" t="s">
        <v>1032</v>
      </c>
      <c r="D3041" s="21" t="s">
        <v>950</v>
      </c>
      <c r="E3041" s="22">
        <f>IF(D3041="?OLD","!!!","")</f>
        <v/>
      </c>
      <c r="F3041" s="23" t="str">
        <f>IF(OR(E3041="",E3041="!!!"),"",IF(NOT(ISNA(VLOOKUP(E3041,E$1:E3040,1,FALSE()))),"OLD",IF(AND(E3041&lt;&gt;"",E3041&lt;&gt;"!!!"),"NEW","")))</f>
        <v> </v>
      </c>
      <c r="G3041" s="24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5" t="str">
        <f>IF(J3041&lt;&gt;1,"",IF(I3041="SBJ","CB","?"))</f>
        <v> </v>
      </c>
      <c r="I3041" s="26" t="str">
        <f>IF(OR(E3041="",E3041="!!!",F3041="NEW"),"",INDEX(B3040:B$2,-1+SUMPRODUCT(MAX(ROW(E3040:E$2)*(E3041=E3040:E$2)))))</f>
        <v> </v>
      </c>
      <c r="J3041" s="26" t="str">
        <f>IF(OR(E3041="",E3041="!!!",F3041="NEW"),"",COUNTBLANK(OFFSET(A$1,,,SUMPRODUCT(MAX(ROW(E$2:E3041)*(E3041=E$2:E3041)))))-COUNTBLANK(OFFSET(A$1,,,SUMPRODUCT(MAX(ROW(E$1:E3040)*(E2=E$1:E3040))))))</f>
        <v> </v>
      </c>
      <c r="K3041" s="26" t="str">
        <f>IF(OR(E3041="",E3041="!!!",F3041="NEW"),"",INDEX(J$1:J3040,SUMPRODUCT(MAX(ROW(E$1:E3040)*(E3041=E$1:E3040)))))</f>
        <v> </v>
      </c>
      <c r="L3041" s="27"/>
    </row>
    <row r="3042" spans="1:12">
      <c r="A3042" s="20" t="s">
        <v>1870</v>
      </c>
      <c r="E3042" s="22">
        <f>IF(D3042="?OLD","!!!","")</f>
        <v/>
      </c>
      <c r="F3042" s="23" t="str">
        <f>IF(OR(E3042="",E3042="!!!"),"",IF(NOT(ISNA(VLOOKUP(E3042,E$1:E3041,1,FALSE()))),"OLD",IF(AND(E3042&lt;&gt;"",E3042&lt;&gt;"!!!"),"NEW","")))</f>
        <v> </v>
      </c>
      <c r="G3042" s="24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5" t="str">
        <f>IF(J3042&lt;&gt;1,"",IF(I3042="SBJ","CB","?"))</f>
        <v> </v>
      </c>
      <c r="I3042" s="26" t="str">
        <f>IF(OR(E3042="",E3042="!!!",F3042="NEW"),"",INDEX(B3041:B$2,-1+SUMPRODUCT(MAX(ROW(E3041:E$2)*(E3042=E3041:E$2)))))</f>
        <v> </v>
      </c>
      <c r="J3042" s="26" t="str">
        <f>IF(OR(E3042="",E3042="!!!",F3042="NEW"),"",COUNTBLANK(OFFSET(A$1,,,SUMPRODUCT(MAX(ROW(E$2:E3042)*(E3042=E$2:E3042)))))-COUNTBLANK(OFFSET(A$1,,,SUMPRODUCT(MAX(ROW(E$1:E3041)*(E2=E$1:E3041))))))</f>
        <v> </v>
      </c>
      <c r="K3042" s="26" t="str">
        <f>IF(OR(E3042="",E3042="!!!",F3042="NEW"),"",INDEX(J$1:J3041,SUMPRODUCT(MAX(ROW(E$1:E3041)*(E3042=E$1:E3041)))))</f>
        <v> </v>
      </c>
      <c r="L3042" s="27"/>
    </row>
    <row r="3043" spans="1:12">
      <c r="A3043" s="20" t="s">
        <v>965</v>
      </c>
      <c r="E3043" s="22">
        <f>IF(D3043="?OLD","!!!","")</f>
        <v/>
      </c>
      <c r="F3043" s="23" t="str">
        <f>IF(OR(E3043="",E3043="!!!"),"",IF(NOT(ISNA(VLOOKUP(E3043,E$1:E3042,1,FALSE()))),"OLD",IF(AND(E3043&lt;&gt;"",E3043&lt;&gt;"!!!"),"NEW","")))</f>
        <v> </v>
      </c>
      <c r="G3043" s="24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5" t="str">
        <f>IF(J3043&lt;&gt;1,"",IF(I3043="SBJ","CB","?"))</f>
        <v> </v>
      </c>
      <c r="I3043" s="26" t="str">
        <f>IF(OR(E3043="",E3043="!!!",F3043="NEW"),"",INDEX(B3042:B$2,-1+SUMPRODUCT(MAX(ROW(E3042:E$2)*(E3043=E3042:E$2)))))</f>
        <v> </v>
      </c>
      <c r="J3043" s="26" t="str">
        <f>IF(OR(E3043="",E3043="!!!",F3043="NEW"),"",COUNTBLANK(OFFSET(A$1,,,SUMPRODUCT(MAX(ROW(E$2:E3043)*(E3043=E$2:E3043)))))-COUNTBLANK(OFFSET(A$1,,,SUMPRODUCT(MAX(ROW(E$1:E3042)*(E2=E$1:E3042))))))</f>
        <v> </v>
      </c>
      <c r="K3043" s="26" t="str">
        <f>IF(OR(E3043="",E3043="!!!",F3043="NEW"),"",INDEX(J$1:J3042,SUMPRODUCT(MAX(ROW(E$1:E3042)*(E3043=E$1:E3042)))))</f>
        <v> </v>
      </c>
      <c r="L3043" s="27"/>
    </row>
    <row r="3044" spans="1:12">
      <c r="A3044" s="20" t="s">
        <v>1165</v>
      </c>
      <c r="E3044" s="22">
        <f>IF(D3044="?OLD","!!!","")</f>
        <v/>
      </c>
      <c r="F3044" s="23" t="str">
        <f>IF(OR(E3044="",E3044="!!!"),"",IF(NOT(ISNA(VLOOKUP(E3044,E$1:E3043,1,FALSE()))),"OLD",IF(AND(E3044&lt;&gt;"",E3044&lt;&gt;"!!!"),"NEW","")))</f>
        <v> </v>
      </c>
      <c r="G3044" s="24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5" t="str">
        <f>IF(J3044&lt;&gt;1,"",IF(I3044="SBJ","CB","?"))</f>
        <v> </v>
      </c>
      <c r="I3044" s="26" t="str">
        <f>IF(OR(E3044="",E3044="!!!",F3044="NEW"),"",INDEX(B3043:B$2,-1+SUMPRODUCT(MAX(ROW(E3043:E$2)*(E3044=E3043:E$2)))))</f>
        <v> </v>
      </c>
      <c r="J3044" s="26" t="str">
        <f>IF(OR(E3044="",E3044="!!!",F3044="NEW"),"",COUNTBLANK(OFFSET(A$1,,,SUMPRODUCT(MAX(ROW(E$2:E3044)*(E3044=E$2:E3044)))))-COUNTBLANK(OFFSET(A$1,,,SUMPRODUCT(MAX(ROW(E$1:E3043)*(E2=E$1:E3043))))))</f>
        <v> </v>
      </c>
      <c r="K3044" s="26" t="str">
        <f>IF(OR(E3044="",E3044="!!!",F3044="NEW"),"",INDEX(J$1:J3043,SUMPRODUCT(MAX(ROW(E$1:E3043)*(E3044=E$1:E3043)))))</f>
        <v> </v>
      </c>
      <c r="L3044" s="27"/>
    </row>
    <row r="3045" spans="1:12">
      <c r="A3045" s="20" t="s">
        <v>1871</v>
      </c>
      <c r="E3045" s="22">
        <f>IF(D3045="?OLD","!!!","")</f>
        <v/>
      </c>
      <c r="F3045" s="23" t="str">
        <f>IF(OR(E3045="",E3045="!!!"),"",IF(NOT(ISNA(VLOOKUP(E3045,E$1:E3044,1,FALSE()))),"OLD",IF(AND(E3045&lt;&gt;"",E3045&lt;&gt;"!!!"),"NEW","")))</f>
        <v> </v>
      </c>
      <c r="G3045" s="24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5" t="str">
        <f>IF(J3045&lt;&gt;1,"",IF(I3045="SBJ","CB","?"))</f>
        <v> </v>
      </c>
      <c r="I3045" s="26" t="str">
        <f>IF(OR(E3045="",E3045="!!!",F3045="NEW"),"",INDEX(B3044:B$2,-1+SUMPRODUCT(MAX(ROW(E3044:E$2)*(E3045=E3044:E$2)))))</f>
        <v> </v>
      </c>
      <c r="J3045" s="26" t="str">
        <f>IF(OR(E3045="",E3045="!!!",F3045="NEW"),"",COUNTBLANK(OFFSET(A$1,,,SUMPRODUCT(MAX(ROW(E$2:E3045)*(E3045=E$2:E3045)))))-COUNTBLANK(OFFSET(A$1,,,SUMPRODUCT(MAX(ROW(E$1:E3044)*(E2=E$1:E3044))))))</f>
        <v> </v>
      </c>
      <c r="K3045" s="26" t="str">
        <f>IF(OR(E3045="",E3045="!!!",F3045="NEW"),"",INDEX(J$1:J3044,SUMPRODUCT(MAX(ROW(E$1:E3044)*(E3045=E$1:E3044)))))</f>
        <v> </v>
      </c>
      <c r="L3045" s="27"/>
    </row>
    <row r="3046" spans="1:12">
      <c r="A3046" s="20" t="s">
        <v>977</v>
      </c>
      <c r="E3046" s="22">
        <f>IF(D3046="?OLD","!!!","")</f>
        <v/>
      </c>
      <c r="F3046" s="23" t="str">
        <f>IF(OR(E3046="",E3046="!!!"),"",IF(NOT(ISNA(VLOOKUP(E3046,E$1:E3045,1,FALSE()))),"OLD",IF(AND(E3046&lt;&gt;"",E3046&lt;&gt;"!!!"),"NEW","")))</f>
        <v> </v>
      </c>
      <c r="G3046" s="24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5" t="str">
        <f>IF(J3046&lt;&gt;1,"",IF(I3046="SBJ","CB","?"))</f>
        <v> </v>
      </c>
      <c r="I3046" s="26" t="str">
        <f>IF(OR(E3046="",E3046="!!!",F3046="NEW"),"",INDEX(B3045:B$2,-1+SUMPRODUCT(MAX(ROW(E3045:E$2)*(E3046=E3045:E$2)))))</f>
        <v> </v>
      </c>
      <c r="J3046" s="26" t="str">
        <f>IF(OR(E3046="",E3046="!!!",F3046="NEW"),"",COUNTBLANK(OFFSET(A$1,,,SUMPRODUCT(MAX(ROW(E$2:E3046)*(E3046=E$2:E3046)))))-COUNTBLANK(OFFSET(A$1,,,SUMPRODUCT(MAX(ROW(E$1:E3045)*(E2=E$1:E3045))))))</f>
        <v> </v>
      </c>
      <c r="K3046" s="26" t="str">
        <f>IF(OR(E3046="",E3046="!!!",F3046="NEW"),"",INDEX(J$1:J3045,SUMPRODUCT(MAX(ROW(E$1:E3045)*(E3046=E$1:E3045)))))</f>
        <v> </v>
      </c>
      <c r="L3046" s="27"/>
    </row>
    <row r="3047" spans="1:12">
      <c r="A3047" s="20" t="s">
        <v>1093</v>
      </c>
      <c r="E3047" s="22">
        <f>IF(D3047="?OLD","!!!","")</f>
        <v/>
      </c>
      <c r="F3047" s="23" t="str">
        <f>IF(OR(E3047="",E3047="!!!"),"",IF(NOT(ISNA(VLOOKUP(E3047,E$1:E3046,1,FALSE()))),"OLD",IF(AND(E3047&lt;&gt;"",E3047&lt;&gt;"!!!"),"NEW","")))</f>
        <v> </v>
      </c>
      <c r="G3047" s="24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5" t="str">
        <f>IF(J3047&lt;&gt;1,"",IF(I3047="SBJ","CB","?"))</f>
        <v> </v>
      </c>
      <c r="I3047" s="26" t="str">
        <f>IF(OR(E3047="",E3047="!!!",F3047="NEW"),"",INDEX(B3046:B$2,-1+SUMPRODUCT(MAX(ROW(E3046:E$2)*(E3047=E3046:E$2)))))</f>
        <v> </v>
      </c>
      <c r="J3047" s="26" t="str">
        <f>IF(OR(E3047="",E3047="!!!",F3047="NEW"),"",COUNTBLANK(OFFSET(A$1,,,SUMPRODUCT(MAX(ROW(E$2:E3047)*(E3047=E$2:E3047)))))-COUNTBLANK(OFFSET(A$1,,,SUMPRODUCT(MAX(ROW(E$1:E3046)*(E2=E$1:E3046))))))</f>
        <v> </v>
      </c>
      <c r="K3047" s="26" t="str">
        <f>IF(OR(E3047="",E3047="!!!",F3047="NEW"),"",INDEX(J$1:J3046,SUMPRODUCT(MAX(ROW(E$1:E3046)*(E3047=E$1:E3046)))))</f>
        <v> </v>
      </c>
      <c r="L3047" s="27"/>
    </row>
    <row r="3048" spans="1:12">
      <c r="A3048" s="20" t="s">
        <v>1094</v>
      </c>
      <c r="B3048" s="21" t="s">
        <v>1040</v>
      </c>
      <c r="C3048" s="21" t="s">
        <v>1032</v>
      </c>
      <c r="D3048" s="21" t="s">
        <v>950</v>
      </c>
      <c r="E3048" s="22">
        <f>IF(D3048="?OLD","!!!","")</f>
        <v/>
      </c>
      <c r="F3048" s="23" t="str">
        <f>IF(OR(E3048="",E3048="!!!"),"",IF(NOT(ISNA(VLOOKUP(E3048,E$1:E3047,1,FALSE()))),"OLD",IF(AND(E3048&lt;&gt;"",E3048&lt;&gt;"!!!"),"NEW","")))</f>
        <v> </v>
      </c>
      <c r="G3048" s="24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5" t="str">
        <f>IF(J3048&lt;&gt;1,"",IF(I3048="SBJ","CB","?"))</f>
        <v> </v>
      </c>
      <c r="I3048" s="26" t="str">
        <f>IF(OR(E3048="",E3048="!!!",F3048="NEW"),"",INDEX(B3047:B$2,-1+SUMPRODUCT(MAX(ROW(E3047:E$2)*(E3048=E3047:E$2)))))</f>
        <v> </v>
      </c>
      <c r="J3048" s="26" t="str">
        <f>IF(OR(E3048="",E3048="!!!",F3048="NEW"),"",COUNTBLANK(OFFSET(A$1,,,SUMPRODUCT(MAX(ROW(E$2:E3048)*(E3048=E$2:E3048)))))-COUNTBLANK(OFFSET(A$1,,,SUMPRODUCT(MAX(ROW(E$1:E3047)*(E2=E$1:E3047))))))</f>
        <v> </v>
      </c>
      <c r="K3048" s="26" t="str">
        <f>IF(OR(E3048="",E3048="!!!",F3048="NEW"),"",INDEX(J$1:J3047,SUMPRODUCT(MAX(ROW(E$1:E3047)*(E3048=E$1:E3047)))))</f>
        <v> </v>
      </c>
      <c r="L3048" s="27"/>
    </row>
    <row r="3049" spans="1:12">
      <c r="A3049" s="20" t="s">
        <v>1872</v>
      </c>
      <c r="E3049" s="22">
        <f>IF(D3049="?OLD","!!!","")</f>
        <v/>
      </c>
      <c r="F3049" s="23" t="str">
        <f>IF(OR(E3049="",E3049="!!!"),"",IF(NOT(ISNA(VLOOKUP(E3049,E$1:E3048,1,FALSE()))),"OLD",IF(AND(E3049&lt;&gt;"",E3049&lt;&gt;"!!!"),"NEW","")))</f>
        <v> </v>
      </c>
      <c r="G3049" s="24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5" t="str">
        <f>IF(J3049&lt;&gt;1,"",IF(I3049="SBJ","CB","?"))</f>
        <v> </v>
      </c>
      <c r="I3049" s="26" t="str">
        <f>IF(OR(E3049="",E3049="!!!",F3049="NEW"),"",INDEX(B3048:B$2,-1+SUMPRODUCT(MAX(ROW(E3048:E$2)*(E3049=E3048:E$2)))))</f>
        <v> </v>
      </c>
      <c r="J3049" s="26" t="str">
        <f>IF(OR(E3049="",E3049="!!!",F3049="NEW"),"",COUNTBLANK(OFFSET(A$1,,,SUMPRODUCT(MAX(ROW(E$2:E3049)*(E3049=E$2:E3049)))))-COUNTBLANK(OFFSET(A$1,,,SUMPRODUCT(MAX(ROW(E$1:E3048)*(E2=E$1:E3048))))))</f>
        <v> </v>
      </c>
      <c r="K3049" s="26" t="str">
        <f>IF(OR(E3049="",E3049="!!!",F3049="NEW"),"",INDEX(J$1:J3048,SUMPRODUCT(MAX(ROW(E$1:E3048)*(E3049=E$1:E3048)))))</f>
        <v> </v>
      </c>
      <c r="L3049" s="27"/>
    </row>
    <row r="3050" spans="1:12">
      <c r="A3050" s="20" t="s">
        <v>1084</v>
      </c>
      <c r="B3050" s="21" t="s">
        <v>1053</v>
      </c>
      <c r="C3050" s="21" t="s">
        <v>983</v>
      </c>
      <c r="E3050" s="22">
        <f>IF(D3050="?OLD","!!!","")</f>
        <v/>
      </c>
      <c r="F3050" s="23" t="str">
        <f>IF(OR(E3050="",E3050="!!!"),"",IF(NOT(ISNA(VLOOKUP(E3050,E$1:E3049,1,FALSE()))),"OLD",IF(AND(E3050&lt;&gt;"",E3050&lt;&gt;"!!!"),"NEW","")))</f>
        <v> </v>
      </c>
      <c r="G3050" s="24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5" t="str">
        <f>IF(J3050&lt;&gt;1,"",IF(I3050="SBJ","CB","?"))</f>
        <v> </v>
      </c>
      <c r="I3050" s="26" t="str">
        <f>IF(OR(E3050="",E3050="!!!",F3050="NEW"),"",INDEX(B3049:B$2,-1+SUMPRODUCT(MAX(ROW(E3049:E$2)*(E3050=E3049:E$2)))))</f>
        <v> </v>
      </c>
      <c r="J3050" s="26" t="str">
        <f>IF(OR(E3050="",E3050="!!!",F3050="NEW"),"",COUNTBLANK(OFFSET(A$1,,,SUMPRODUCT(MAX(ROW(E$2:E3050)*(E3050=E$2:E3050)))))-COUNTBLANK(OFFSET(A$1,,,SUMPRODUCT(MAX(ROW(E$1:E3049)*(E2=E$1:E3049))))))</f>
        <v> </v>
      </c>
      <c r="K3050" s="26" t="str">
        <f>IF(OR(E3050="",E3050="!!!",F3050="NEW"),"",INDEX(J$1:J3049,SUMPRODUCT(MAX(ROW(E$1:E3049)*(E3050=E$1:E3049)))))</f>
        <v> </v>
      </c>
      <c r="L3050" s="27"/>
    </row>
    <row r="3051" spans="1:12">
      <c r="A3051" s="20" t="s">
        <v>1168</v>
      </c>
      <c r="E3051" s="22">
        <f>IF(D3051="?OLD","!!!","")</f>
        <v/>
      </c>
      <c r="F3051" s="23" t="str">
        <f>IF(OR(E3051="",E3051="!!!"),"",IF(NOT(ISNA(VLOOKUP(E3051,E$1:E3050,1,FALSE()))),"OLD",IF(AND(E3051&lt;&gt;"",E3051&lt;&gt;"!!!"),"NEW","")))</f>
        <v> </v>
      </c>
      <c r="G3051" s="24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5" t="str">
        <f>IF(J3051&lt;&gt;1,"",IF(I3051="SBJ","CB","?"))</f>
        <v> </v>
      </c>
      <c r="I3051" s="26" t="str">
        <f>IF(OR(E3051="",E3051="!!!",F3051="NEW"),"",INDEX(B3050:B$2,-1+SUMPRODUCT(MAX(ROW(E3050:E$2)*(E3051=E3050:E$2)))))</f>
        <v> </v>
      </c>
      <c r="J3051" s="26" t="str">
        <f>IF(OR(E3051="",E3051="!!!",F3051="NEW"),"",COUNTBLANK(OFFSET(A$1,,,SUMPRODUCT(MAX(ROW(E$2:E3051)*(E3051=E$2:E3051)))))-COUNTBLANK(OFFSET(A$1,,,SUMPRODUCT(MAX(ROW(E$1:E3050)*(E2=E$1:E3050))))))</f>
        <v> </v>
      </c>
      <c r="K3051" s="26" t="str">
        <f>IF(OR(E3051="",E3051="!!!",F3051="NEW"),"",INDEX(J$1:J3050,SUMPRODUCT(MAX(ROW(E$1:E3050)*(E3051=E$1:E3050)))))</f>
        <v> </v>
      </c>
      <c r="L3051" s="27"/>
    </row>
    <row r="3052" spans="1:12">
      <c r="A3052" s="20" t="s">
        <v>1093</v>
      </c>
      <c r="E3052" s="22">
        <f>IF(D3052="?OLD","!!!","")</f>
        <v/>
      </c>
      <c r="F3052" s="23" t="str">
        <f>IF(OR(E3052="",E3052="!!!"),"",IF(NOT(ISNA(VLOOKUP(E3052,E$1:E3051,1,FALSE()))),"OLD",IF(AND(E3052&lt;&gt;"",E3052&lt;&gt;"!!!"),"NEW","")))</f>
        <v> </v>
      </c>
      <c r="G3052" s="24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5" t="str">
        <f>IF(J3052&lt;&gt;1,"",IF(I3052="SBJ","CB","?"))</f>
        <v> </v>
      </c>
      <c r="I3052" s="26" t="str">
        <f>IF(OR(E3052="",E3052="!!!",F3052="NEW"),"",INDEX(B3051:B$2,-1+SUMPRODUCT(MAX(ROW(E3051:E$2)*(E3052=E3051:E$2)))))</f>
        <v> </v>
      </c>
      <c r="J3052" s="26" t="str">
        <f>IF(OR(E3052="",E3052="!!!",F3052="NEW"),"",COUNTBLANK(OFFSET(A$1,,,SUMPRODUCT(MAX(ROW(E$2:E3052)*(E3052=E$2:E3052)))))-COUNTBLANK(OFFSET(A$1,,,SUMPRODUCT(MAX(ROW(E$1:E3051)*(E2=E$1:E3051))))))</f>
        <v> </v>
      </c>
      <c r="K3052" s="26" t="str">
        <f>IF(OR(E3052="",E3052="!!!",F3052="NEW"),"",INDEX(J$1:J3051,SUMPRODUCT(MAX(ROW(E$1:E3051)*(E3052=E$1:E3051)))))</f>
        <v> </v>
      </c>
      <c r="L3052" s="27"/>
    </row>
    <row r="3053" spans="1:12">
      <c r="A3053" s="20" t="s">
        <v>1094</v>
      </c>
      <c r="B3053" s="21" t="s">
        <v>1007</v>
      </c>
      <c r="C3053" s="21" t="s">
        <v>1032</v>
      </c>
      <c r="D3053" s="21" t="s">
        <v>950</v>
      </c>
      <c r="E3053" s="22">
        <f>IF(D3053="?OLD","!!!","")</f>
        <v/>
      </c>
      <c r="F3053" s="23" t="str">
        <f>IF(OR(E3053="",E3053="!!!"),"",IF(NOT(ISNA(VLOOKUP(E3053,E$1:E3052,1,FALSE()))),"OLD",IF(AND(E3053&lt;&gt;"",E3053&lt;&gt;"!!!"),"NEW","")))</f>
        <v> </v>
      </c>
      <c r="G3053" s="24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5" t="str">
        <f>IF(J3053&lt;&gt;1,"",IF(I3053="SBJ","CB","?"))</f>
        <v> </v>
      </c>
      <c r="I3053" s="26" t="str">
        <f>IF(OR(E3053="",E3053="!!!",F3053="NEW"),"",INDEX(B3052:B$2,-1+SUMPRODUCT(MAX(ROW(E3052:E$2)*(E3053=E3052:E$2)))))</f>
        <v> </v>
      </c>
      <c r="J3053" s="26" t="str">
        <f>IF(OR(E3053="",E3053="!!!",F3053="NEW"),"",COUNTBLANK(OFFSET(A$1,,,SUMPRODUCT(MAX(ROW(E$2:E3053)*(E3053=E$2:E3053)))))-COUNTBLANK(OFFSET(A$1,,,SUMPRODUCT(MAX(ROW(E$1:E3052)*(E2=E$1:E3052))))))</f>
        <v> </v>
      </c>
      <c r="K3053" s="26" t="str">
        <f>IF(OR(E3053="",E3053="!!!",F3053="NEW"),"",INDEX(J$1:J3052,SUMPRODUCT(MAX(ROW(E$1:E3052)*(E3053=E$1:E3052)))))</f>
        <v> </v>
      </c>
      <c r="L3053" s="27"/>
    </row>
    <row r="3054" spans="1:12">
      <c r="A3054" s="20" t="s">
        <v>1873</v>
      </c>
      <c r="E3054" s="22">
        <f>IF(D3054="?OLD","!!!","")</f>
        <v/>
      </c>
      <c r="F3054" s="23" t="str">
        <f>IF(OR(E3054="",E3054="!!!"),"",IF(NOT(ISNA(VLOOKUP(E3054,E$1:E3053,1,FALSE()))),"OLD",IF(AND(E3054&lt;&gt;"",E3054&lt;&gt;"!!!"),"NEW","")))</f>
        <v> </v>
      </c>
      <c r="G3054" s="24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5" t="str">
        <f>IF(J3054&lt;&gt;1,"",IF(I3054="SBJ","CB","?"))</f>
        <v> </v>
      </c>
      <c r="I3054" s="26" t="str">
        <f>IF(OR(E3054="",E3054="!!!",F3054="NEW"),"",INDEX(B3053:B$2,-1+SUMPRODUCT(MAX(ROW(E3053:E$2)*(E3054=E3053:E$2)))))</f>
        <v> </v>
      </c>
      <c r="J3054" s="26" t="str">
        <f>IF(OR(E3054="",E3054="!!!",F3054="NEW"),"",COUNTBLANK(OFFSET(A$1,,,SUMPRODUCT(MAX(ROW(E$2:E3054)*(E3054=E$2:E3054)))))-COUNTBLANK(OFFSET(A$1,,,SUMPRODUCT(MAX(ROW(E$1:E3053)*(E2=E$1:E3053))))))</f>
        <v> </v>
      </c>
      <c r="K3054" s="26" t="str">
        <f>IF(OR(E3054="",E3054="!!!",F3054="NEW"),"",INDEX(J$1:J3053,SUMPRODUCT(MAX(ROW(E$1:E3053)*(E3054=E$1:E3053)))))</f>
        <v> </v>
      </c>
      <c r="L3054" s="27"/>
    </row>
    <row r="3055" spans="1:12">
      <c r="A3055" s="20" t="s">
        <v>1001</v>
      </c>
      <c r="E3055" s="22">
        <f>IF(D3055="?OLD","!!!","")</f>
        <v/>
      </c>
      <c r="F3055" s="23" t="str">
        <f>IF(OR(E3055="",E3055="!!!"),"",IF(NOT(ISNA(VLOOKUP(E3055,E$1:E3054,1,FALSE()))),"OLD",IF(AND(E3055&lt;&gt;"",E3055&lt;&gt;"!!!"),"NEW","")))</f>
        <v> </v>
      </c>
      <c r="G3055" s="24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5" t="str">
        <f>IF(J3055&lt;&gt;1,"",IF(I3055="SBJ","CB","?"))</f>
        <v> </v>
      </c>
      <c r="I3055" s="26" t="str">
        <f>IF(OR(E3055="",E3055="!!!",F3055="NEW"),"",INDEX(B3054:B$2,-1+SUMPRODUCT(MAX(ROW(E3054:E$2)*(E3055=E3054:E$2)))))</f>
        <v> </v>
      </c>
      <c r="J3055" s="26" t="str">
        <f>IF(OR(E3055="",E3055="!!!",F3055="NEW"),"",COUNTBLANK(OFFSET(A$1,,,SUMPRODUCT(MAX(ROW(E$2:E3055)*(E3055=E$2:E3055)))))-COUNTBLANK(OFFSET(A$1,,,SUMPRODUCT(MAX(ROW(E$1:E3054)*(E2=E$1:E3054))))))</f>
        <v> </v>
      </c>
      <c r="K3055" s="26" t="str">
        <f>IF(OR(E3055="",E3055="!!!",F3055="NEW"),"",INDEX(J$1:J3054,SUMPRODUCT(MAX(ROW(E$1:E3054)*(E3055=E$1:E3054)))))</f>
        <v> </v>
      </c>
      <c r="L3055" s="27"/>
    </row>
    <row r="3056" spans="1:12">
      <c r="A3056" s="20" t="s">
        <v>977</v>
      </c>
      <c r="E3056" s="22">
        <f>IF(D3056="?OLD","!!!","")</f>
        <v/>
      </c>
      <c r="F3056" s="23" t="str">
        <f>IF(OR(E3056="",E3056="!!!"),"",IF(NOT(ISNA(VLOOKUP(E3056,E$1:E3055,1,FALSE()))),"OLD",IF(AND(E3056&lt;&gt;"",E3056&lt;&gt;"!!!"),"NEW","")))</f>
        <v> </v>
      </c>
      <c r="G3056" s="24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5" t="str">
        <f>IF(J3056&lt;&gt;1,"",IF(I3056="SBJ","CB","?"))</f>
        <v> </v>
      </c>
      <c r="I3056" s="26" t="str">
        <f>IF(OR(E3056="",E3056="!!!",F3056="NEW"),"",INDEX(B3055:B$2,-1+SUMPRODUCT(MAX(ROW(E3055:E$2)*(E3056=E3055:E$2)))))</f>
        <v> </v>
      </c>
      <c r="J3056" s="26" t="str">
        <f>IF(OR(E3056="",E3056="!!!",F3056="NEW"),"",COUNTBLANK(OFFSET(A$1,,,SUMPRODUCT(MAX(ROW(E$2:E3056)*(E3056=E$2:E3056)))))-COUNTBLANK(OFFSET(A$1,,,SUMPRODUCT(MAX(ROW(E$1:E3055)*(E2=E$1:E3055))))))</f>
        <v> </v>
      </c>
      <c r="K3056" s="26" t="str">
        <f>IF(OR(E3056="",E3056="!!!",F3056="NEW"),"",INDEX(J$1:J3055,SUMPRODUCT(MAX(ROW(E$1:E3055)*(E3056=E$1:E3055)))))</f>
        <v> </v>
      </c>
      <c r="L3056" s="27"/>
    </row>
    <row r="3057" spans="1:12">
      <c r="A3057" s="20" t="s">
        <v>1022</v>
      </c>
      <c r="E3057" s="22">
        <f>IF(D3057="?OLD","!!!","")</f>
        <v/>
      </c>
      <c r="F3057" s="23" t="str">
        <f>IF(OR(E3057="",E3057="!!!"),"",IF(NOT(ISNA(VLOOKUP(E3057,E$1:E3056,1,FALSE()))),"OLD",IF(AND(E3057&lt;&gt;"",E3057&lt;&gt;"!!!"),"NEW","")))</f>
        <v> </v>
      </c>
      <c r="G3057" s="24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5" t="str">
        <f>IF(J3057&lt;&gt;1,"",IF(I3057="SBJ","CB","?"))</f>
        <v> </v>
      </c>
      <c r="I3057" s="26" t="str">
        <f>IF(OR(E3057="",E3057="!!!",F3057="NEW"),"",INDEX(B3056:B$2,-1+SUMPRODUCT(MAX(ROW(E3056:E$2)*(E3057=E3056:E$2)))))</f>
        <v> </v>
      </c>
      <c r="J3057" s="26" t="str">
        <f>IF(OR(E3057="",E3057="!!!",F3057="NEW"),"",COUNTBLANK(OFFSET(A$1,,,SUMPRODUCT(MAX(ROW(E$2:E3057)*(E3057=E$2:E3057)))))-COUNTBLANK(OFFSET(A$1,,,SUMPRODUCT(MAX(ROW(E$1:E3056)*(E2=E$1:E3056))))))</f>
        <v> </v>
      </c>
      <c r="K3057" s="26" t="str">
        <f>IF(OR(E3057="",E3057="!!!",F3057="NEW"),"",INDEX(J$1:J3056,SUMPRODUCT(MAX(ROW(E$1:E3056)*(E3057=E$1:E3056)))))</f>
        <v> </v>
      </c>
      <c r="L3057" s="27"/>
    </row>
    <row r="3058" spans="1:12">
      <c r="A3058" s="20" t="s">
        <v>1387</v>
      </c>
      <c r="B3058" s="21" t="s">
        <v>1159</v>
      </c>
      <c r="C3058" s="21" t="s">
        <v>1032</v>
      </c>
      <c r="D3058" s="21" t="s">
        <v>950</v>
      </c>
      <c r="E3058" s="22">
        <f>IF(D3058="?OLD","!!!","")</f>
        <v/>
      </c>
      <c r="F3058" s="23" t="str">
        <f>IF(OR(E3058="",E3058="!!!"),"",IF(NOT(ISNA(VLOOKUP(E3058,E$1:E3057,1,FALSE()))),"OLD",IF(AND(E3058&lt;&gt;"",E3058&lt;&gt;"!!!"),"NEW","")))</f>
        <v> </v>
      </c>
      <c r="G3058" s="24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5" t="str">
        <f>IF(J3058&lt;&gt;1,"",IF(I3058="SBJ","CB","?"))</f>
        <v> </v>
      </c>
      <c r="I3058" s="26" t="str">
        <f>IF(OR(E3058="",E3058="!!!",F3058="NEW"),"",INDEX(B3057:B$2,-1+SUMPRODUCT(MAX(ROW(E3057:E$2)*(E3058=E3057:E$2)))))</f>
        <v> </v>
      </c>
      <c r="J3058" s="26" t="str">
        <f>IF(OR(E3058="",E3058="!!!",F3058="NEW"),"",COUNTBLANK(OFFSET(A$1,,,SUMPRODUCT(MAX(ROW(E$2:E3058)*(E3058=E$2:E3058)))))-COUNTBLANK(OFFSET(A$1,,,SUMPRODUCT(MAX(ROW(E$1:E3057)*(E2=E$1:E3057))))))</f>
        <v> </v>
      </c>
      <c r="K3058" s="26" t="str">
        <f>IF(OR(E3058="",E3058="!!!",F3058="NEW"),"",INDEX(J$1:J3057,SUMPRODUCT(MAX(ROW(E$1:E3057)*(E3058=E$1:E3057)))))</f>
        <v> </v>
      </c>
      <c r="L3058" s="27"/>
    </row>
    <row r="3059" spans="1:12">
      <c r="A3059" s="20" t="s">
        <v>1874</v>
      </c>
      <c r="E3059" s="22">
        <f>IF(D3059="?OLD","!!!","")</f>
        <v/>
      </c>
      <c r="F3059" s="23" t="str">
        <f>IF(OR(E3059="",E3059="!!!"),"",IF(NOT(ISNA(VLOOKUP(E3059,E$1:E3058,1,FALSE()))),"OLD",IF(AND(E3059&lt;&gt;"",E3059&lt;&gt;"!!!"),"NEW","")))</f>
        <v> </v>
      </c>
      <c r="G3059" s="24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5" t="str">
        <f>IF(J3059&lt;&gt;1,"",IF(I3059="SBJ","CB","?"))</f>
        <v> </v>
      </c>
      <c r="I3059" s="26" t="str">
        <f>IF(OR(E3059="",E3059="!!!",F3059="NEW"),"",INDEX(B3058:B$2,-1+SUMPRODUCT(MAX(ROW(E3058:E$2)*(E3059=E3058:E$2)))))</f>
        <v> </v>
      </c>
      <c r="J3059" s="26" t="str">
        <f>IF(OR(E3059="",E3059="!!!",F3059="NEW"),"",COUNTBLANK(OFFSET(A$1,,,SUMPRODUCT(MAX(ROW(E$2:E3059)*(E3059=E$2:E3059)))))-COUNTBLANK(OFFSET(A$1,,,SUMPRODUCT(MAX(ROW(E$1:E3058)*(E2=E$1:E3058))))))</f>
        <v> </v>
      </c>
      <c r="K3059" s="26" t="str">
        <f>IF(OR(E3059="",E3059="!!!",F3059="NEW"),"",INDEX(J$1:J3058,SUMPRODUCT(MAX(ROW(E$1:E3058)*(E3059=E$1:E3058)))))</f>
        <v> </v>
      </c>
      <c r="L3059" s="27"/>
    </row>
    <row r="3060" spans="1:12">
      <c r="A3060" s="20" t="s">
        <v>984</v>
      </c>
      <c r="E3060" s="22">
        <f>IF(D3060="?OLD","!!!","")</f>
        <v/>
      </c>
      <c r="F3060" s="23" t="str">
        <f>IF(OR(E3060="",E3060="!!!"),"",IF(NOT(ISNA(VLOOKUP(E3060,E$1:E3059,1,FALSE()))),"OLD",IF(AND(E3060&lt;&gt;"",E3060&lt;&gt;"!!!"),"NEW","")))</f>
        <v> </v>
      </c>
      <c r="G3060" s="24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5" t="str">
        <f>IF(J3060&lt;&gt;1,"",IF(I3060="SBJ","CB","?"))</f>
        <v> </v>
      </c>
      <c r="I3060" s="26" t="str">
        <f>IF(OR(E3060="",E3060="!!!",F3060="NEW"),"",INDEX(B3059:B$2,-1+SUMPRODUCT(MAX(ROW(E3059:E$2)*(E3060=E3059:E$2)))))</f>
        <v> </v>
      </c>
      <c r="J3060" s="26" t="str">
        <f>IF(OR(E3060="",E3060="!!!",F3060="NEW"),"",COUNTBLANK(OFFSET(A$1,,,SUMPRODUCT(MAX(ROW(E$2:E3060)*(E3060=E$2:E3060)))))-COUNTBLANK(OFFSET(A$1,,,SUMPRODUCT(MAX(ROW(E$1:E3059)*(E2=E$1:E3059))))))</f>
        <v> </v>
      </c>
      <c r="K3060" s="26" t="str">
        <f>IF(OR(E3060="",E3060="!!!",F3060="NEW"),"",INDEX(J$1:J3059,SUMPRODUCT(MAX(ROW(E$1:E3059)*(E3060=E$1:E3059)))))</f>
        <v> </v>
      </c>
      <c r="L3060" s="27"/>
    </row>
    <row r="3061" spans="1:12">
      <c r="A3061" s="20"/>
    </row>
    <row r="3062" spans="1:12">
      <c r="A3062" s="20" t="s">
        <v>1875</v>
      </c>
    </row>
    <row r="3063" spans="1:12">
      <c r="A3063" s="20" t="s">
        <v>1016</v>
      </c>
      <c r="B3063" s="21" t="s">
        <v>948</v>
      </c>
      <c r="C3063" s="21" t="s">
        <v>983</v>
      </c>
      <c r="E3063" s="22">
        <f>IF(D3063="?OLD","!!!","")</f>
        <v/>
      </c>
      <c r="F3063" s="23" t="str">
        <f>IF(OR(E3063="",E3063="!!!"),"",IF(NOT(ISNA(VLOOKUP(E3063,E$1:E3062,1,FALSE()))),"OLD",IF(AND(E3063&lt;&gt;"",E3063&lt;&gt;"!!!"),"NEW","")))</f>
        <v> </v>
      </c>
      <c r="G3063" s="24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5" t="str">
        <f>IF(J3063&lt;&gt;1,"",IF(I3063="SBJ","CB","?"))</f>
        <v> </v>
      </c>
      <c r="I3063" s="26" t="str">
        <f>IF(OR(E3063="",E3063="!!!",F3063="NEW"),"",INDEX(B3062:B$2,-1+SUMPRODUCT(MAX(ROW(E3062:E$2)*(E3063=E3062:E$2)))))</f>
        <v> </v>
      </c>
      <c r="J3063" s="26" t="str">
        <f>IF(OR(E3063="",E3063="!!!",F3063="NEW"),"",COUNTBLANK(OFFSET(A$1,,,SUMPRODUCT(MAX(ROW(E$2:E3063)*(E3063=E$2:E3063)))))-COUNTBLANK(OFFSET(A$1,,,SUMPRODUCT(MAX(ROW(E$1:E3062)*(E2=E$1:E3062))))))</f>
        <v> </v>
      </c>
      <c r="K3063" s="26" t="str">
        <f>IF(OR(E3063="",E3063="!!!",F3063="NEW"),"",INDEX(J$1:J3062,SUMPRODUCT(MAX(ROW(E$1:E3062)*(E3063=E$1:E3062)))))</f>
        <v> </v>
      </c>
      <c r="L3063" s="27"/>
    </row>
    <row r="3064" spans="1:12">
      <c r="A3064" s="20" t="s">
        <v>952</v>
      </c>
      <c r="E3064" s="22">
        <f>IF(D3064="?OLD","!!!","")</f>
        <v/>
      </c>
      <c r="F3064" s="23" t="str">
        <f>IF(OR(E3064="",E3064="!!!"),"",IF(NOT(ISNA(VLOOKUP(E3064,E$1:E3063,1,FALSE()))),"OLD",IF(AND(E3064&lt;&gt;"",E3064&lt;&gt;"!!!"),"NEW","")))</f>
        <v> </v>
      </c>
      <c r="G3064" s="24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5" t="str">
        <f>IF(J3064&lt;&gt;1,"",IF(I3064="SBJ","CB","?"))</f>
        <v> </v>
      </c>
      <c r="I3064" s="26" t="str">
        <f>IF(OR(E3064="",E3064="!!!",F3064="NEW"),"",INDEX(B3063:B$2,-1+SUMPRODUCT(MAX(ROW(E3063:E$2)*(E3064=E3063:E$2)))))</f>
        <v> </v>
      </c>
      <c r="J3064" s="26" t="str">
        <f>IF(OR(E3064="",E3064="!!!",F3064="NEW"),"",COUNTBLANK(OFFSET(A$1,,,SUMPRODUCT(MAX(ROW(E$2:E3064)*(E3064=E$2:E3064)))))-COUNTBLANK(OFFSET(A$1,,,SUMPRODUCT(MAX(ROW(E$1:E3063)*(E2=E$1:E3063))))))</f>
        <v> </v>
      </c>
      <c r="K3064" s="26" t="str">
        <f>IF(OR(E3064="",E3064="!!!",F3064="NEW"),"",INDEX(J$1:J3063,SUMPRODUCT(MAX(ROW(E$1:E3063)*(E3064=E$1:E3063)))))</f>
        <v> </v>
      </c>
      <c r="L3064" s="27"/>
    </row>
    <row r="3065" spans="1:12">
      <c r="A3065" s="20" t="s">
        <v>1092</v>
      </c>
      <c r="E3065" s="22">
        <f>IF(D3065="?OLD","!!!","")</f>
        <v/>
      </c>
      <c r="F3065" s="23" t="str">
        <f>IF(OR(E3065="",E3065="!!!"),"",IF(NOT(ISNA(VLOOKUP(E3065,E$1:E3064,1,FALSE()))),"OLD",IF(AND(E3065&lt;&gt;"",E3065&lt;&gt;"!!!"),"NEW","")))</f>
        <v> </v>
      </c>
      <c r="G3065" s="24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5" t="str">
        <f>IF(J3065&lt;&gt;1,"",IF(I3065="SBJ","CB","?"))</f>
        <v> </v>
      </c>
      <c r="I3065" s="26" t="str">
        <f>IF(OR(E3065="",E3065="!!!",F3065="NEW"),"",INDEX(B3064:B$2,-1+SUMPRODUCT(MAX(ROW(E3064:E$2)*(E3065=E3064:E$2)))))</f>
        <v> </v>
      </c>
      <c r="J3065" s="26" t="str">
        <f>IF(OR(E3065="",E3065="!!!",F3065="NEW"),"",COUNTBLANK(OFFSET(A$1,,,SUMPRODUCT(MAX(ROW(E$2:E3065)*(E3065=E$2:E3065)))))-COUNTBLANK(OFFSET(A$1,,,SUMPRODUCT(MAX(ROW(E$1:E3064)*(E2=E$1:E3064))))))</f>
        <v> </v>
      </c>
      <c r="K3065" s="26" t="str">
        <f>IF(OR(E3065="",E3065="!!!",F3065="NEW"),"",INDEX(J$1:J3064,SUMPRODUCT(MAX(ROW(E$1:E3064)*(E3065=E$1:E3064)))))</f>
        <v> </v>
      </c>
      <c r="L3065" s="27"/>
    </row>
    <row r="3066" spans="1:12">
      <c r="A3066" s="20" t="s">
        <v>1022</v>
      </c>
      <c r="E3066" s="22">
        <f>IF(D3066="?OLD","!!!","")</f>
        <v/>
      </c>
      <c r="F3066" s="23" t="str">
        <f>IF(OR(E3066="",E3066="!!!"),"",IF(NOT(ISNA(VLOOKUP(E3066,E$1:E3065,1,FALSE()))),"OLD",IF(AND(E3066&lt;&gt;"",E3066&lt;&gt;"!!!"),"NEW","")))</f>
        <v> </v>
      </c>
      <c r="G3066" s="24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5" t="str">
        <f>IF(J3066&lt;&gt;1,"",IF(I3066="SBJ","CB","?"))</f>
        <v> </v>
      </c>
      <c r="I3066" s="26" t="str">
        <f>IF(OR(E3066="",E3066="!!!",F3066="NEW"),"",INDEX(B3065:B$2,-1+SUMPRODUCT(MAX(ROW(E3065:E$2)*(E3066=E3065:E$2)))))</f>
        <v> </v>
      </c>
      <c r="J3066" s="26" t="str">
        <f>IF(OR(E3066="",E3066="!!!",F3066="NEW"),"",COUNTBLANK(OFFSET(A$1,,,SUMPRODUCT(MAX(ROW(E$2:E3066)*(E3066=E$2:E3066)))))-COUNTBLANK(OFFSET(A$1,,,SUMPRODUCT(MAX(ROW(E$1:E3065)*(E2=E$1:E3065))))))</f>
        <v> </v>
      </c>
      <c r="K3066" s="26" t="str">
        <f>IF(OR(E3066="",E3066="!!!",F3066="NEW"),"",INDEX(J$1:J3065,SUMPRODUCT(MAX(ROW(E$1:E3065)*(E3066=E$1:E3065)))))</f>
        <v> </v>
      </c>
      <c r="L3066" s="27"/>
    </row>
    <row r="3067" spans="1:12">
      <c r="A3067" s="20" t="s">
        <v>1876</v>
      </c>
      <c r="B3067" s="21" t="s">
        <v>948</v>
      </c>
      <c r="C3067" s="21" t="s">
        <v>1032</v>
      </c>
      <c r="D3067" s="21" t="s">
        <v>950</v>
      </c>
      <c r="E3067" s="22">
        <f>IF(D3067="?OLD","!!!","")</f>
        <v/>
      </c>
      <c r="F3067" s="23" t="str">
        <f>IF(OR(E3067="",E3067="!!!"),"",IF(NOT(ISNA(VLOOKUP(E3067,E$1:E3066,1,FALSE()))),"OLD",IF(AND(E3067&lt;&gt;"",E3067&lt;&gt;"!!!"),"NEW","")))</f>
        <v> </v>
      </c>
      <c r="G3067" s="24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5" t="str">
        <f>IF(J3067&lt;&gt;1,"",IF(I3067="SBJ","CB","?"))</f>
        <v> </v>
      </c>
      <c r="I3067" s="26" t="str">
        <f>IF(OR(E3067="",E3067="!!!",F3067="NEW"),"",INDEX(B3066:B$2,-1+SUMPRODUCT(MAX(ROW(E3066:E$2)*(E3067=E3066:E$2)))))</f>
        <v> </v>
      </c>
      <c r="J3067" s="26" t="str">
        <f>IF(OR(E3067="",E3067="!!!",F3067="NEW"),"",COUNTBLANK(OFFSET(A$1,,,SUMPRODUCT(MAX(ROW(E$2:E3067)*(E3067=E$2:E3067)))))-COUNTBLANK(OFFSET(A$1,,,SUMPRODUCT(MAX(ROW(E$1:E3066)*(E2=E$1:E3066))))))</f>
        <v> </v>
      </c>
      <c r="K3067" s="26" t="str">
        <f>IF(OR(E3067="",E3067="!!!",F3067="NEW"),"",INDEX(J$1:J3066,SUMPRODUCT(MAX(ROW(E$1:E3066)*(E3067=E$1:E3066)))))</f>
        <v> </v>
      </c>
      <c r="L3067" s="27"/>
    </row>
    <row r="3068" spans="1:12">
      <c r="A3068" s="20" t="s">
        <v>1877</v>
      </c>
      <c r="E3068" s="22">
        <f>IF(D3068="?OLD","!!!","")</f>
        <v/>
      </c>
      <c r="F3068" s="23" t="str">
        <f>IF(OR(E3068="",E3068="!!!"),"",IF(NOT(ISNA(VLOOKUP(E3068,E$1:E3067,1,FALSE()))),"OLD",IF(AND(E3068&lt;&gt;"",E3068&lt;&gt;"!!!"),"NEW","")))</f>
        <v> </v>
      </c>
      <c r="G3068" s="24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5" t="str">
        <f>IF(J3068&lt;&gt;1,"",IF(I3068="SBJ","CB","?"))</f>
        <v> </v>
      </c>
      <c r="I3068" s="26" t="str">
        <f>IF(OR(E3068="",E3068="!!!",F3068="NEW"),"",INDEX(B3067:B$2,-1+SUMPRODUCT(MAX(ROW(E3067:E$2)*(E3068=E3067:E$2)))))</f>
        <v> </v>
      </c>
      <c r="J3068" s="26" t="str">
        <f>IF(OR(E3068="",E3068="!!!",F3068="NEW"),"",COUNTBLANK(OFFSET(A$1,,,SUMPRODUCT(MAX(ROW(E$2:E3068)*(E3068=E$2:E3068)))))-COUNTBLANK(OFFSET(A$1,,,SUMPRODUCT(MAX(ROW(E$1:E3067)*(E2=E$1:E3067))))))</f>
        <v> </v>
      </c>
      <c r="K3068" s="26" t="str">
        <f>IF(OR(E3068="",E3068="!!!",F3068="NEW"),"",INDEX(J$1:J3067,SUMPRODUCT(MAX(ROW(E$1:E3067)*(E3068=E$1:E3067)))))</f>
        <v> </v>
      </c>
      <c r="L3068" s="27"/>
    </row>
    <row r="3069" spans="1:12">
      <c r="A3069" s="20" t="s">
        <v>977</v>
      </c>
      <c r="E3069" s="22">
        <f>IF(D3069="?OLD","!!!","")</f>
        <v/>
      </c>
      <c r="F3069" s="23" t="str">
        <f>IF(OR(E3069="",E3069="!!!"),"",IF(NOT(ISNA(VLOOKUP(E3069,E$1:E3068,1,FALSE()))),"OLD",IF(AND(E3069&lt;&gt;"",E3069&lt;&gt;"!!!"),"NEW","")))</f>
        <v> </v>
      </c>
      <c r="G3069" s="24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5" t="str">
        <f>IF(J3069&lt;&gt;1,"",IF(I3069="SBJ","CB","?"))</f>
        <v> </v>
      </c>
      <c r="I3069" s="26" t="str">
        <f>IF(OR(E3069="",E3069="!!!",F3069="NEW"),"",INDEX(B3068:B$2,-1+SUMPRODUCT(MAX(ROW(E3068:E$2)*(E3069=E3068:E$2)))))</f>
        <v> </v>
      </c>
      <c r="J3069" s="26" t="str">
        <f>IF(OR(E3069="",E3069="!!!",F3069="NEW"),"",COUNTBLANK(OFFSET(A$1,,,SUMPRODUCT(MAX(ROW(E$2:E3069)*(E3069=E$2:E3069)))))-COUNTBLANK(OFFSET(A$1,,,SUMPRODUCT(MAX(ROW(E$1:E3068)*(E2=E$1:E3068))))))</f>
        <v> </v>
      </c>
      <c r="K3069" s="26" t="str">
        <f>IF(OR(E3069="",E3069="!!!",F3069="NEW"),"",INDEX(J$1:J3068,SUMPRODUCT(MAX(ROW(E$1:E3068)*(E3069=E$1:E3068)))))</f>
        <v> </v>
      </c>
      <c r="L3069" s="27"/>
    </row>
    <row r="3070" spans="1:12">
      <c r="A3070" s="20" t="s">
        <v>965</v>
      </c>
      <c r="E3070" s="22">
        <f>IF(D3070="?OLD","!!!","")</f>
        <v/>
      </c>
      <c r="F3070" s="23" t="str">
        <f>IF(OR(E3070="",E3070="!!!"),"",IF(NOT(ISNA(VLOOKUP(E3070,E$1:E3069,1,FALSE()))),"OLD",IF(AND(E3070&lt;&gt;"",E3070&lt;&gt;"!!!"),"NEW","")))</f>
        <v> </v>
      </c>
      <c r="G3070" s="24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5" t="str">
        <f>IF(J3070&lt;&gt;1,"",IF(I3070="SBJ","CB","?"))</f>
        <v> </v>
      </c>
      <c r="I3070" s="26" t="str">
        <f>IF(OR(E3070="",E3070="!!!",F3070="NEW"),"",INDEX(B3069:B$2,-1+SUMPRODUCT(MAX(ROW(E3069:E$2)*(E3070=E3069:E$2)))))</f>
        <v> </v>
      </c>
      <c r="J3070" s="26" t="str">
        <f>IF(OR(E3070="",E3070="!!!",F3070="NEW"),"",COUNTBLANK(OFFSET(A$1,,,SUMPRODUCT(MAX(ROW(E$2:E3070)*(E3070=E$2:E3070)))))-COUNTBLANK(OFFSET(A$1,,,SUMPRODUCT(MAX(ROW(E$1:E3069)*(E2=E$1:E3069))))))</f>
        <v> </v>
      </c>
      <c r="K3070" s="26" t="str">
        <f>IF(OR(E3070="",E3070="!!!",F3070="NEW"),"",INDEX(J$1:J3069,SUMPRODUCT(MAX(ROW(E$1:E3069)*(E3070=E$1:E3069)))))</f>
        <v> </v>
      </c>
      <c r="L3070" s="27"/>
    </row>
    <row r="3071" spans="1:12">
      <c r="A3071" s="20" t="s">
        <v>1093</v>
      </c>
      <c r="E3071" s="22">
        <f>IF(D3071="?OLD","!!!","")</f>
        <v/>
      </c>
      <c r="F3071" s="23" t="str">
        <f>IF(OR(E3071="",E3071="!!!"),"",IF(NOT(ISNA(VLOOKUP(E3071,E$1:E3070,1,FALSE()))),"OLD",IF(AND(E3071&lt;&gt;"",E3071&lt;&gt;"!!!"),"NEW","")))</f>
        <v> </v>
      </c>
      <c r="G3071" s="24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5" t="str">
        <f>IF(J3071&lt;&gt;1,"",IF(I3071="SBJ","CB","?"))</f>
        <v> </v>
      </c>
      <c r="I3071" s="26" t="str">
        <f>IF(OR(E3071="",E3071="!!!",F3071="NEW"),"",INDEX(B3070:B$2,-1+SUMPRODUCT(MAX(ROW(E3070:E$2)*(E3071=E3070:E$2)))))</f>
        <v> </v>
      </c>
      <c r="J3071" s="26" t="str">
        <f>IF(OR(E3071="",E3071="!!!",F3071="NEW"),"",COUNTBLANK(OFFSET(A$1,,,SUMPRODUCT(MAX(ROW(E$2:E3071)*(E3071=E$2:E3071)))))-COUNTBLANK(OFFSET(A$1,,,SUMPRODUCT(MAX(ROW(E$1:E3070)*(E2=E$1:E3070))))))</f>
        <v> </v>
      </c>
      <c r="K3071" s="26" t="str">
        <f>IF(OR(E3071="",E3071="!!!",F3071="NEW"),"",INDEX(J$1:J3070,SUMPRODUCT(MAX(ROW(E$1:E3070)*(E3071=E$1:E3070)))))</f>
        <v> </v>
      </c>
      <c r="L3071" s="27"/>
    </row>
    <row r="3072" spans="1:12">
      <c r="A3072" s="20" t="s">
        <v>1094</v>
      </c>
      <c r="B3072" s="21" t="s">
        <v>1080</v>
      </c>
      <c r="C3072" s="21" t="s">
        <v>1032</v>
      </c>
      <c r="D3072" s="21" t="s">
        <v>950</v>
      </c>
      <c r="E3072" s="22">
        <f>IF(D3072="?OLD","!!!","")</f>
        <v/>
      </c>
      <c r="F3072" s="23" t="str">
        <f>IF(OR(E3072="",E3072="!!!"),"",IF(NOT(ISNA(VLOOKUP(E3072,E$1:E3071,1,FALSE()))),"OLD",IF(AND(E3072&lt;&gt;"",E3072&lt;&gt;"!!!"),"NEW","")))</f>
        <v> </v>
      </c>
      <c r="G3072" s="24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5" t="str">
        <f>IF(J3072&lt;&gt;1,"",IF(I3072="SBJ","CB","?"))</f>
        <v> </v>
      </c>
      <c r="I3072" s="26" t="str">
        <f>IF(OR(E3072="",E3072="!!!",F3072="NEW"),"",INDEX(B3071:B$2,-1+SUMPRODUCT(MAX(ROW(E3071:E$2)*(E3072=E3071:E$2)))))</f>
        <v> </v>
      </c>
      <c r="J3072" s="26" t="str">
        <f>IF(OR(E3072="",E3072="!!!",F3072="NEW"),"",COUNTBLANK(OFFSET(A$1,,,SUMPRODUCT(MAX(ROW(E$2:E3072)*(E3072=E$2:E3072)))))-COUNTBLANK(OFFSET(A$1,,,SUMPRODUCT(MAX(ROW(E$1:E3071)*(E2=E$1:E3071))))))</f>
        <v> </v>
      </c>
      <c r="K3072" s="26" t="str">
        <f>IF(OR(E3072="",E3072="!!!",F3072="NEW"),"",INDEX(J$1:J3071,SUMPRODUCT(MAX(ROW(E$1:E3071)*(E3072=E$1:E3071)))))</f>
        <v> </v>
      </c>
      <c r="L3072" s="27"/>
    </row>
    <row r="3073" spans="1:12">
      <c r="A3073" s="20" t="s">
        <v>1528</v>
      </c>
      <c r="E3073" s="22">
        <f>IF(D3073="?OLD","!!!","")</f>
        <v/>
      </c>
      <c r="F3073" s="23" t="str">
        <f>IF(OR(E3073="",E3073="!!!"),"",IF(NOT(ISNA(VLOOKUP(E3073,E$1:E3072,1,FALSE()))),"OLD",IF(AND(E3073&lt;&gt;"",E3073&lt;&gt;"!!!"),"NEW","")))</f>
        <v> </v>
      </c>
      <c r="G3073" s="24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5" t="str">
        <f>IF(J3073&lt;&gt;1,"",IF(I3073="SBJ","CB","?"))</f>
        <v> </v>
      </c>
      <c r="I3073" s="26" t="str">
        <f>IF(OR(E3073="",E3073="!!!",F3073="NEW"),"",INDEX(B3072:B$2,-1+SUMPRODUCT(MAX(ROW(E3072:E$2)*(E3073=E3072:E$2)))))</f>
        <v> </v>
      </c>
      <c r="J3073" s="26" t="str">
        <f>IF(OR(E3073="",E3073="!!!",F3073="NEW"),"",COUNTBLANK(OFFSET(A$1,,,SUMPRODUCT(MAX(ROW(E$2:E3073)*(E3073=E$2:E3073)))))-COUNTBLANK(OFFSET(A$1,,,SUMPRODUCT(MAX(ROW(E$1:E3072)*(E2=E$1:E3072))))))</f>
        <v> </v>
      </c>
      <c r="K3073" s="26" t="str">
        <f>IF(OR(E3073="",E3073="!!!",F3073="NEW"),"",INDEX(J$1:J3072,SUMPRODUCT(MAX(ROW(E$1:E3072)*(E3073=E$1:E3072)))))</f>
        <v> </v>
      </c>
      <c r="L3073" s="27"/>
    </row>
    <row r="3074" spans="1:12">
      <c r="A3074" s="20" t="s">
        <v>965</v>
      </c>
      <c r="E3074" s="22">
        <f>IF(D3074="?OLD","!!!","")</f>
        <v/>
      </c>
      <c r="F3074" s="23" t="str">
        <f>IF(OR(E3074="",E3074="!!!"),"",IF(NOT(ISNA(VLOOKUP(E3074,E$1:E3073,1,FALSE()))),"OLD",IF(AND(E3074&lt;&gt;"",E3074&lt;&gt;"!!!"),"NEW","")))</f>
        <v> </v>
      </c>
      <c r="G3074" s="24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5" t="str">
        <f>IF(J3074&lt;&gt;1,"",IF(I3074="SBJ","CB","?"))</f>
        <v> </v>
      </c>
      <c r="I3074" s="26" t="str">
        <f>IF(OR(E3074="",E3074="!!!",F3074="NEW"),"",INDEX(B3073:B$2,-1+SUMPRODUCT(MAX(ROW(E3073:E$2)*(E3074=E3073:E$2)))))</f>
        <v> </v>
      </c>
      <c r="J3074" s="26" t="str">
        <f>IF(OR(E3074="",E3074="!!!",F3074="NEW"),"",COUNTBLANK(OFFSET(A$1,,,SUMPRODUCT(MAX(ROW(E$2:E3074)*(E3074=E$2:E3074)))))-COUNTBLANK(OFFSET(A$1,,,SUMPRODUCT(MAX(ROW(E$1:E3073)*(E2=E$1:E3073))))))</f>
        <v> </v>
      </c>
      <c r="K3074" s="26" t="str">
        <f>IF(OR(E3074="",E3074="!!!",F3074="NEW"),"",INDEX(J$1:J3073,SUMPRODUCT(MAX(ROW(E$1:E3073)*(E3074=E$1:E3073)))))</f>
        <v> </v>
      </c>
      <c r="L3074" s="27"/>
    </row>
    <row r="3075" spans="1:12">
      <c r="A3075" s="20" t="s">
        <v>264</v>
      </c>
      <c r="E3075" s="22">
        <f>IF(D3075="?OLD","!!!","")</f>
        <v/>
      </c>
      <c r="F3075" s="23" t="str">
        <f>IF(OR(E3075="",E3075="!!!"),"",IF(NOT(ISNA(VLOOKUP(E3075,E$1:E3074,1,FALSE()))),"OLD",IF(AND(E3075&lt;&gt;"",E3075&lt;&gt;"!!!"),"NEW","")))</f>
        <v> </v>
      </c>
      <c r="G3075" s="24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5" t="str">
        <f>IF(J3075&lt;&gt;1,"",IF(I3075="SBJ","CB","?"))</f>
        <v> </v>
      </c>
      <c r="I3075" s="26" t="str">
        <f>IF(OR(E3075="",E3075="!!!",F3075="NEW"),"",INDEX(B3074:B$2,-1+SUMPRODUCT(MAX(ROW(E3074:E$2)*(E3075=E3074:E$2)))))</f>
        <v> </v>
      </c>
      <c r="J3075" s="26" t="str">
        <f>IF(OR(E3075="",E3075="!!!",F3075="NEW"),"",COUNTBLANK(OFFSET(A$1,,,SUMPRODUCT(MAX(ROW(E$2:E3075)*(E3075=E$2:E3075)))))-COUNTBLANK(OFFSET(A$1,,,SUMPRODUCT(MAX(ROW(E$1:E3074)*(E2=E$1:E3074))))))</f>
        <v> </v>
      </c>
      <c r="K3075" s="26" t="str">
        <f>IF(OR(E3075="",E3075="!!!",F3075="NEW"),"",INDEX(J$1:J3074,SUMPRODUCT(MAX(ROW(E$1:E3074)*(E3075=E$1:E3074)))))</f>
        <v> </v>
      </c>
      <c r="L3075" s="27"/>
    </row>
    <row r="3076" spans="1:12">
      <c r="A3076" s="20" t="s">
        <v>1878</v>
      </c>
      <c r="B3076" s="21" t="s">
        <v>1082</v>
      </c>
      <c r="C3076" s="21" t="s">
        <v>983</v>
      </c>
      <c r="E3076" s="22">
        <f>IF(D3076="?OLD","!!!","")</f>
        <v/>
      </c>
      <c r="F3076" s="23" t="str">
        <f>IF(OR(E3076="",E3076="!!!"),"",IF(NOT(ISNA(VLOOKUP(E3076,E$1:E3075,1,FALSE()))),"OLD",IF(AND(E3076&lt;&gt;"",E3076&lt;&gt;"!!!"),"NEW","")))</f>
        <v> </v>
      </c>
      <c r="G3076" s="24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5" t="str">
        <f>IF(J3076&lt;&gt;1,"",IF(I3076="SBJ","CB","?"))</f>
        <v> </v>
      </c>
      <c r="I3076" s="26" t="str">
        <f>IF(OR(E3076="",E3076="!!!",F3076="NEW"),"",INDEX(B3075:B$2,-1+SUMPRODUCT(MAX(ROW(E3075:E$2)*(E3076=E3075:E$2)))))</f>
        <v> </v>
      </c>
      <c r="J3076" s="26" t="str">
        <f>IF(OR(E3076="",E3076="!!!",F3076="NEW"),"",COUNTBLANK(OFFSET(A$1,,,SUMPRODUCT(MAX(ROW(E$2:E3076)*(E3076=E$2:E3076)))))-COUNTBLANK(OFFSET(A$1,,,SUMPRODUCT(MAX(ROW(E$1:E3075)*(E2=E$1:E3075))))))</f>
        <v> </v>
      </c>
      <c r="K3076" s="26" t="str">
        <f>IF(OR(E3076="",E3076="!!!",F3076="NEW"),"",INDEX(J$1:J3075,SUMPRODUCT(MAX(ROW(E$1:E3075)*(E3076=E$1:E3075)))))</f>
        <v> </v>
      </c>
      <c r="L3076" s="27"/>
    </row>
    <row r="3077" spans="1:12">
      <c r="A3077" s="20" t="s">
        <v>965</v>
      </c>
      <c r="E3077" s="22">
        <f>IF(D3077="?OLD","!!!","")</f>
        <v/>
      </c>
      <c r="F3077" s="23" t="str">
        <f>IF(OR(E3077="",E3077="!!!"),"",IF(NOT(ISNA(VLOOKUP(E3077,E$1:E3076,1,FALSE()))),"OLD",IF(AND(E3077&lt;&gt;"",E3077&lt;&gt;"!!!"),"NEW","")))</f>
        <v> </v>
      </c>
      <c r="G3077" s="24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5" t="str">
        <f>IF(J3077&lt;&gt;1,"",IF(I3077="SBJ","CB","?"))</f>
        <v> </v>
      </c>
      <c r="I3077" s="26" t="str">
        <f>IF(OR(E3077="",E3077="!!!",F3077="NEW"),"",INDEX(B3076:B$2,-1+SUMPRODUCT(MAX(ROW(E3076:E$2)*(E3077=E3076:E$2)))))</f>
        <v> </v>
      </c>
      <c r="J3077" s="26" t="str">
        <f>IF(OR(E3077="",E3077="!!!",F3077="NEW"),"",COUNTBLANK(OFFSET(A$1,,,SUMPRODUCT(MAX(ROW(E$2:E3077)*(E3077=E$2:E3077)))))-COUNTBLANK(OFFSET(A$1,,,SUMPRODUCT(MAX(ROW(E$1:E3076)*(E2=E$1:E3076))))))</f>
        <v> </v>
      </c>
      <c r="K3077" s="26" t="str">
        <f>IF(OR(E3077="",E3077="!!!",F3077="NEW"),"",INDEX(J$1:J3076,SUMPRODUCT(MAX(ROW(E$1:E3076)*(E3077=E$1:E3076)))))</f>
        <v> </v>
      </c>
      <c r="L3077" s="27"/>
    </row>
    <row r="3078" spans="1:12">
      <c r="A3078" s="20" t="s">
        <v>1093</v>
      </c>
      <c r="E3078" s="22">
        <f>IF(D3078="?OLD","!!!","")</f>
        <v/>
      </c>
      <c r="F3078" s="23" t="str">
        <f>IF(OR(E3078="",E3078="!!!"),"",IF(NOT(ISNA(VLOOKUP(E3078,E$1:E3077,1,FALSE()))),"OLD",IF(AND(E3078&lt;&gt;"",E3078&lt;&gt;"!!!"),"NEW","")))</f>
        <v> </v>
      </c>
      <c r="G3078" s="24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5" t="str">
        <f>IF(J3078&lt;&gt;1,"",IF(I3078="SBJ","CB","?"))</f>
        <v> </v>
      </c>
      <c r="I3078" s="26" t="str">
        <f>IF(OR(E3078="",E3078="!!!",F3078="NEW"),"",INDEX(B3077:B$2,-1+SUMPRODUCT(MAX(ROW(E3077:E$2)*(E3078=E3077:E$2)))))</f>
        <v> </v>
      </c>
      <c r="J3078" s="26" t="str">
        <f>IF(OR(E3078="",E3078="!!!",F3078="NEW"),"",COUNTBLANK(OFFSET(A$1,,,SUMPRODUCT(MAX(ROW(E$2:E3078)*(E3078=E$2:E3078)))))-COUNTBLANK(OFFSET(A$1,,,SUMPRODUCT(MAX(ROW(E$1:E3077)*(E2=E$1:E3077))))))</f>
        <v> </v>
      </c>
      <c r="K3078" s="26" t="str">
        <f>IF(OR(E3078="",E3078="!!!",F3078="NEW"),"",INDEX(J$1:J3077,SUMPRODUCT(MAX(ROW(E$1:E3077)*(E3078=E$1:E3077)))))</f>
        <v> </v>
      </c>
      <c r="L3078" s="27"/>
    </row>
    <row r="3079" spans="1:12">
      <c r="A3079" s="20" t="s">
        <v>1879</v>
      </c>
      <c r="B3079" s="21" t="s">
        <v>1036</v>
      </c>
      <c r="C3079" s="21" t="s">
        <v>976</v>
      </c>
      <c r="D3079" s="21" t="s">
        <v>950</v>
      </c>
      <c r="E3079" s="22">
        <f>IF(D3079="?OLD","!!!","")</f>
        <v/>
      </c>
      <c r="F3079" s="23" t="str">
        <f>IF(OR(E3079="",E3079="!!!"),"",IF(NOT(ISNA(VLOOKUP(E3079,E$1:E3078,1,FALSE()))),"OLD",IF(AND(E3079&lt;&gt;"",E3079&lt;&gt;"!!!"),"NEW","")))</f>
        <v> </v>
      </c>
      <c r="G3079" s="24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5" t="str">
        <f>IF(J3079&lt;&gt;1,"",IF(I3079="SBJ","CB","?"))</f>
        <v> </v>
      </c>
      <c r="I3079" s="26" t="str">
        <f>IF(OR(E3079="",E3079="!!!",F3079="NEW"),"",INDEX(B3078:B$2,-1+SUMPRODUCT(MAX(ROW(E3078:E$2)*(E3079=E3078:E$2)))))</f>
        <v> </v>
      </c>
      <c r="J3079" s="26" t="str">
        <f>IF(OR(E3079="",E3079="!!!",F3079="NEW"),"",COUNTBLANK(OFFSET(A$1,,,SUMPRODUCT(MAX(ROW(E$2:E3079)*(E3079=E$2:E3079)))))-COUNTBLANK(OFFSET(A$1,,,SUMPRODUCT(MAX(ROW(E$1:E3078)*(E2=E$1:E3078))))))</f>
        <v> </v>
      </c>
      <c r="K3079" s="26" t="str">
        <f>IF(OR(E3079="",E3079="!!!",F3079="NEW"),"",INDEX(J$1:J3078,SUMPRODUCT(MAX(ROW(E$1:E3078)*(E3079=E$1:E3078)))))</f>
        <v> </v>
      </c>
      <c r="L3079" s="27"/>
    </row>
    <row r="3080" spans="1:12">
      <c r="A3080" s="20" t="s">
        <v>1021</v>
      </c>
      <c r="E3080" s="22">
        <f>IF(D3080="?OLD","!!!","")</f>
        <v/>
      </c>
      <c r="F3080" s="23" t="str">
        <f>IF(OR(E3080="",E3080="!!!"),"",IF(NOT(ISNA(VLOOKUP(E3080,E$1:E3079,1,FALSE()))),"OLD",IF(AND(E3080&lt;&gt;"",E3080&lt;&gt;"!!!"),"NEW","")))</f>
        <v> </v>
      </c>
      <c r="G3080" s="24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5" t="str">
        <f>IF(J3080&lt;&gt;1,"",IF(I3080="SBJ","CB","?"))</f>
        <v> </v>
      </c>
      <c r="I3080" s="26" t="str">
        <f>IF(OR(E3080="",E3080="!!!",F3080="NEW"),"",INDEX(B3079:B$2,-1+SUMPRODUCT(MAX(ROW(E3079:E$2)*(E3080=E3079:E$2)))))</f>
        <v> </v>
      </c>
      <c r="J3080" s="26" t="str">
        <f>IF(OR(E3080="",E3080="!!!",F3080="NEW"),"",COUNTBLANK(OFFSET(A$1,,,SUMPRODUCT(MAX(ROW(E$2:E3080)*(E3080=E$2:E3080)))))-COUNTBLANK(OFFSET(A$1,,,SUMPRODUCT(MAX(ROW(E$1:E3079)*(E2=E$1:E3079))))))</f>
        <v> </v>
      </c>
      <c r="K3080" s="26" t="str">
        <f>IF(OR(E3080="",E3080="!!!",F3080="NEW"),"",INDEX(J$1:J3079,SUMPRODUCT(MAX(ROW(E$1:E3079)*(E3080=E$1:E3079)))))</f>
        <v> </v>
      </c>
      <c r="L3080" s="27"/>
    </row>
    <row r="3081" spans="1:12">
      <c r="A3081" s="20" t="s">
        <v>1880</v>
      </c>
      <c r="B3081" s="21" t="s">
        <v>1007</v>
      </c>
      <c r="C3081" s="21" t="s">
        <v>960</v>
      </c>
      <c r="D3081" s="21" t="s">
        <v>950</v>
      </c>
      <c r="E3081" s="22">
        <f>IF(D3081="?OLD","!!!","")</f>
        <v/>
      </c>
      <c r="F3081" s="23" t="str">
        <f>IF(OR(E3081="",E3081="!!!"),"",IF(NOT(ISNA(VLOOKUP(E3081,E$1:E3080,1,FALSE()))),"OLD",IF(AND(E3081&lt;&gt;"",E3081&lt;&gt;"!!!"),"NEW","")))</f>
        <v> </v>
      </c>
      <c r="G3081" s="24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5" t="str">
        <f>IF(J3081&lt;&gt;1,"",IF(I3081="SBJ","CB","?"))</f>
        <v> </v>
      </c>
      <c r="I3081" s="26" t="str">
        <f>IF(OR(E3081="",E3081="!!!",F3081="NEW"),"",INDEX(B3080:B$2,-1+SUMPRODUCT(MAX(ROW(E3080:E$2)*(E3081=E3080:E$2)))))</f>
        <v> </v>
      </c>
      <c r="J3081" s="26" t="str">
        <f>IF(OR(E3081="",E3081="!!!",F3081="NEW"),"",COUNTBLANK(OFFSET(A$1,,,SUMPRODUCT(MAX(ROW(E$2:E3081)*(E3081=E$2:E3081)))))-COUNTBLANK(OFFSET(A$1,,,SUMPRODUCT(MAX(ROW(E$1:E3080)*(E2=E$1:E3080))))))</f>
        <v> </v>
      </c>
      <c r="K3081" s="26" t="str">
        <f>IF(OR(E3081="",E3081="!!!",F3081="NEW"),"",INDEX(J$1:J3080,SUMPRODUCT(MAX(ROW(E$1:E3080)*(E3081=E$1:E3080)))))</f>
        <v> </v>
      </c>
      <c r="L3081" s="27"/>
    </row>
    <row r="3082" spans="1:12">
      <c r="A3082" s="20" t="s">
        <v>972</v>
      </c>
      <c r="E3082" s="22">
        <f>IF(D3082="?OLD","!!!","")</f>
        <v/>
      </c>
      <c r="F3082" s="23" t="str">
        <f>IF(OR(E3082="",E3082="!!!"),"",IF(NOT(ISNA(VLOOKUP(E3082,E$1:E3081,1,FALSE()))),"OLD",IF(AND(E3082&lt;&gt;"",E3082&lt;&gt;"!!!"),"NEW","")))</f>
        <v> </v>
      </c>
      <c r="G3082" s="24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5" t="str">
        <f>IF(J3082&lt;&gt;1,"",IF(I3082="SBJ","CB","?"))</f>
        <v> </v>
      </c>
      <c r="I3082" s="26" t="str">
        <f>IF(OR(E3082="",E3082="!!!",F3082="NEW"),"",INDEX(B3081:B$2,-1+SUMPRODUCT(MAX(ROW(E3081:E$2)*(E3082=E3081:E$2)))))</f>
        <v> </v>
      </c>
      <c r="J3082" s="26" t="str">
        <f>IF(OR(E3082="",E3082="!!!",F3082="NEW"),"",COUNTBLANK(OFFSET(A$1,,,SUMPRODUCT(MAX(ROW(E$2:E3082)*(E3082=E$2:E3082)))))-COUNTBLANK(OFFSET(A$1,,,SUMPRODUCT(MAX(ROW(E$1:E3081)*(E2=E$1:E3081))))))</f>
        <v> </v>
      </c>
      <c r="K3082" s="26" t="str">
        <f>IF(OR(E3082="",E3082="!!!",F3082="NEW"),"",INDEX(J$1:J3081,SUMPRODUCT(MAX(ROW(E$1:E3081)*(E3082=E$1:E3081)))))</f>
        <v> </v>
      </c>
      <c r="L3082" s="27"/>
    </row>
    <row r="3083" spans="1:12">
      <c r="A3083" s="20" t="s">
        <v>1881</v>
      </c>
      <c r="E3083" s="22">
        <f>IF(D3083="?OLD","!!!","")</f>
        <v/>
      </c>
      <c r="F3083" s="23" t="str">
        <f>IF(OR(E3083="",E3083="!!!"),"",IF(NOT(ISNA(VLOOKUP(E3083,E$1:E3082,1,FALSE()))),"OLD",IF(AND(E3083&lt;&gt;"",E3083&lt;&gt;"!!!"),"NEW","")))</f>
        <v> </v>
      </c>
      <c r="G3083" s="24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5" t="str">
        <f>IF(J3083&lt;&gt;1,"",IF(I3083="SBJ","CB","?"))</f>
        <v> </v>
      </c>
      <c r="I3083" s="26" t="str">
        <f>IF(OR(E3083="",E3083="!!!",F3083="NEW"),"",INDEX(B3082:B$2,-1+SUMPRODUCT(MAX(ROW(E3082:E$2)*(E3083=E3082:E$2)))))</f>
        <v> </v>
      </c>
      <c r="J3083" s="26" t="str">
        <f>IF(OR(E3083="",E3083="!!!",F3083="NEW"),"",COUNTBLANK(OFFSET(A$1,,,SUMPRODUCT(MAX(ROW(E$2:E3083)*(E3083=E$2:E3083)))))-COUNTBLANK(OFFSET(A$1,,,SUMPRODUCT(MAX(ROW(E$1:E3082)*(E2=E$1:E3082))))))</f>
        <v> </v>
      </c>
      <c r="K3083" s="26" t="str">
        <f>IF(OR(E3083="",E3083="!!!",F3083="NEW"),"",INDEX(J$1:J3082,SUMPRODUCT(MAX(ROW(E$1:E3082)*(E3083=E$1:E3082)))))</f>
        <v> </v>
      </c>
      <c r="L3083" s="27"/>
    </row>
    <row r="3084" spans="1:12">
      <c r="A3084" s="20" t="s">
        <v>1882</v>
      </c>
      <c r="E3084" s="22">
        <f>IF(D3084="?OLD","!!!","")</f>
        <v/>
      </c>
      <c r="F3084" s="23" t="str">
        <f>IF(OR(E3084="",E3084="!!!"),"",IF(NOT(ISNA(VLOOKUP(E3084,E$1:E3083,1,FALSE()))),"OLD",IF(AND(E3084&lt;&gt;"",E3084&lt;&gt;"!!!"),"NEW","")))</f>
        <v> </v>
      </c>
      <c r="G3084" s="24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5" t="str">
        <f>IF(J3084&lt;&gt;1,"",IF(I3084="SBJ","CB","?"))</f>
        <v> </v>
      </c>
      <c r="I3084" s="26" t="str">
        <f>IF(OR(E3084="",E3084="!!!",F3084="NEW"),"",INDEX(B3083:B$2,-1+SUMPRODUCT(MAX(ROW(E3083:E$2)*(E3084=E3083:E$2)))))</f>
        <v> </v>
      </c>
      <c r="J3084" s="26" t="str">
        <f>IF(OR(E3084="",E3084="!!!",F3084="NEW"),"",COUNTBLANK(OFFSET(A$1,,,SUMPRODUCT(MAX(ROW(E$2:E3084)*(E3084=E$2:E3084)))))-COUNTBLANK(OFFSET(A$1,,,SUMPRODUCT(MAX(ROW(E$1:E3083)*(E2=E$1:E3083))))))</f>
        <v> </v>
      </c>
      <c r="K3084" s="26" t="str">
        <f>IF(OR(E3084="",E3084="!!!",F3084="NEW"),"",INDEX(J$1:J3083,SUMPRODUCT(MAX(ROW(E$1:E3083)*(E3084=E$1:E3083)))))</f>
        <v> </v>
      </c>
      <c r="L3084" s="27"/>
    </row>
    <row r="3085" spans="1:12">
      <c r="A3085" s="20" t="s">
        <v>1883</v>
      </c>
      <c r="E3085" s="22">
        <f>IF(D3085="?OLD","!!!","")</f>
        <v/>
      </c>
      <c r="F3085" s="23" t="str">
        <f>IF(OR(E3085="",E3085="!!!"),"",IF(NOT(ISNA(VLOOKUP(E3085,E$1:E3084,1,FALSE()))),"OLD",IF(AND(E3085&lt;&gt;"",E3085&lt;&gt;"!!!"),"NEW","")))</f>
        <v> </v>
      </c>
      <c r="G3085" s="24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5" t="str">
        <f>IF(J3085&lt;&gt;1,"",IF(I3085="SBJ","CB","?"))</f>
        <v> </v>
      </c>
      <c r="I3085" s="26" t="str">
        <f>IF(OR(E3085="",E3085="!!!",F3085="NEW"),"",INDEX(B3084:B$2,-1+SUMPRODUCT(MAX(ROW(E3084:E$2)*(E3085=E3084:E$2)))))</f>
        <v> </v>
      </c>
      <c r="J3085" s="26" t="str">
        <f>IF(OR(E3085="",E3085="!!!",F3085="NEW"),"",COUNTBLANK(OFFSET(A$1,,,SUMPRODUCT(MAX(ROW(E$2:E3085)*(E3085=E$2:E3085)))))-COUNTBLANK(OFFSET(A$1,,,SUMPRODUCT(MAX(ROW(E$1:E3084)*(E2=E$1:E3084))))))</f>
        <v> </v>
      </c>
      <c r="K3085" s="26" t="str">
        <f>IF(OR(E3085="",E3085="!!!",F3085="NEW"),"",INDEX(J$1:J3084,SUMPRODUCT(MAX(ROW(E$1:E3084)*(E3085=E$1:E3084)))))</f>
        <v> </v>
      </c>
      <c r="L3085" s="27"/>
    </row>
    <row r="3086" spans="1:12">
      <c r="A3086" s="20" t="s">
        <v>984</v>
      </c>
      <c r="E3086" s="22">
        <f>IF(D3086="?OLD","!!!","")</f>
        <v/>
      </c>
      <c r="F3086" s="23" t="str">
        <f>IF(OR(E3086="",E3086="!!!"),"",IF(NOT(ISNA(VLOOKUP(E3086,E$1:E3085,1,FALSE()))),"OLD",IF(AND(E3086&lt;&gt;"",E3086&lt;&gt;"!!!"),"NEW","")))</f>
        <v> </v>
      </c>
      <c r="G3086" s="24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5" t="str">
        <f>IF(J3086&lt;&gt;1,"",IF(I3086="SBJ","CB","?"))</f>
        <v> </v>
      </c>
      <c r="I3086" s="26" t="str">
        <f>IF(OR(E3086="",E3086="!!!",F3086="NEW"),"",INDEX(B3085:B$2,-1+SUMPRODUCT(MAX(ROW(E3085:E$2)*(E3086=E3085:E$2)))))</f>
        <v> </v>
      </c>
      <c r="J3086" s="26" t="str">
        <f>IF(OR(E3086="",E3086="!!!",F3086="NEW"),"",COUNTBLANK(OFFSET(A$1,,,SUMPRODUCT(MAX(ROW(E$2:E3086)*(E3086=E$2:E3086)))))-COUNTBLANK(OFFSET(A$1,,,SUMPRODUCT(MAX(ROW(E$1:E3085)*(E2=E$1:E3085))))))</f>
        <v> </v>
      </c>
      <c r="K3086" s="26" t="str">
        <f>IF(OR(E3086="",E3086="!!!",F3086="NEW"),"",INDEX(J$1:J3085,SUMPRODUCT(MAX(ROW(E$1:E3085)*(E3086=E$1:E3085)))))</f>
        <v> </v>
      </c>
      <c r="L3086" s="27"/>
    </row>
    <row r="3087" spans="1:12">
      <c r="A3087" s="20"/>
    </row>
    <row r="3088" spans="1:12">
      <c r="A3088" s="20" t="s">
        <v>1884</v>
      </c>
    </row>
    <row r="3089" spans="1:12">
      <c r="A3089" s="20" t="s">
        <v>1070</v>
      </c>
      <c r="B3089" s="21" t="s">
        <v>948</v>
      </c>
      <c r="C3089" s="21" t="s">
        <v>983</v>
      </c>
      <c r="E3089" s="22">
        <f>IF(D3089="?OLD","!!!","")</f>
        <v/>
      </c>
      <c r="F3089" s="23" t="str">
        <f>IF(OR(E3089="",E3089="!!!"),"",IF(NOT(ISNA(VLOOKUP(E3089,E$1:E3088,1,FALSE()))),"OLD",IF(AND(E3089&lt;&gt;"",E3089&lt;&gt;"!!!"),"NEW","")))</f>
        <v> </v>
      </c>
      <c r="G3089" s="24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5" t="str">
        <f>IF(J3089&lt;&gt;1,"",IF(I3089="SBJ","CB","?"))</f>
        <v> </v>
      </c>
      <c r="I3089" s="26" t="str">
        <f>IF(OR(E3089="",E3089="!!!",F3089="NEW"),"",INDEX(B3088:B$2,-1+SUMPRODUCT(MAX(ROW(E3088:E$2)*(E3089=E3088:E$2)))))</f>
        <v> </v>
      </c>
      <c r="J3089" s="26" t="str">
        <f>IF(OR(E3089="",E3089="!!!",F3089="NEW"),"",COUNTBLANK(OFFSET(A$1,,,SUMPRODUCT(MAX(ROW(E$2:E3089)*(E3089=E$2:E3089)))))-COUNTBLANK(OFFSET(A$1,,,SUMPRODUCT(MAX(ROW(E$1:E3088)*(E2=E$1:E3088))))))</f>
        <v> </v>
      </c>
      <c r="K3089" s="26" t="str">
        <f>IF(OR(E3089="",E3089="!!!",F3089="NEW"),"",INDEX(J$1:J3088,SUMPRODUCT(MAX(ROW(E$1:E3088)*(E3089=E$1:E3088)))))</f>
        <v> </v>
      </c>
      <c r="L3089" s="27"/>
    </row>
    <row r="3090" spans="1:12">
      <c r="A3090" s="20" t="s">
        <v>952</v>
      </c>
      <c r="E3090" s="22">
        <f>IF(D3090="?OLD","!!!","")</f>
        <v/>
      </c>
      <c r="F3090" s="23" t="str">
        <f>IF(OR(E3090="",E3090="!!!"),"",IF(NOT(ISNA(VLOOKUP(E3090,E$1:E3089,1,FALSE()))),"OLD",IF(AND(E3090&lt;&gt;"",E3090&lt;&gt;"!!!"),"NEW","")))</f>
        <v> </v>
      </c>
      <c r="G3090" s="24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5" t="str">
        <f>IF(J3090&lt;&gt;1,"",IF(I3090="SBJ","CB","?"))</f>
        <v> </v>
      </c>
      <c r="I3090" s="26" t="str">
        <f>IF(OR(E3090="",E3090="!!!",F3090="NEW"),"",INDEX(B3089:B$2,-1+SUMPRODUCT(MAX(ROW(E3089:E$2)*(E3090=E3089:E$2)))))</f>
        <v> </v>
      </c>
      <c r="J3090" s="26" t="str">
        <f>IF(OR(E3090="",E3090="!!!",F3090="NEW"),"",COUNTBLANK(OFFSET(A$1,,,SUMPRODUCT(MAX(ROW(E$2:E3090)*(E3090=E$2:E3090)))))-COUNTBLANK(OFFSET(A$1,,,SUMPRODUCT(MAX(ROW(E$1:E3089)*(E2=E$1:E3089))))))</f>
        <v> </v>
      </c>
      <c r="K3090" s="26" t="str">
        <f>IF(OR(E3090="",E3090="!!!",F3090="NEW"),"",INDEX(J$1:J3089,SUMPRODUCT(MAX(ROW(E$1:E3089)*(E3090=E$1:E3089)))))</f>
        <v> </v>
      </c>
      <c r="L3090" s="27"/>
    </row>
    <row r="3091" spans="1:12">
      <c r="A3091" s="20" t="s">
        <v>1394</v>
      </c>
      <c r="B3091" s="21" t="s">
        <v>948</v>
      </c>
      <c r="C3091" s="21" t="s">
        <v>949</v>
      </c>
      <c r="D3091" s="21" t="s">
        <v>950</v>
      </c>
      <c r="E3091" s="22">
        <f>IF(D3091="?OLD","!!!","")</f>
        <v/>
      </c>
      <c r="F3091" s="23" t="str">
        <f>IF(OR(E3091="",E3091="!!!"),"",IF(NOT(ISNA(VLOOKUP(E3091,E$1:E3090,1,FALSE()))),"OLD",IF(AND(E3091&lt;&gt;"",E3091&lt;&gt;"!!!"),"NEW","")))</f>
        <v> </v>
      </c>
      <c r="G3091" s="24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5" t="str">
        <f>IF(J3091&lt;&gt;1,"",IF(I3091="SBJ","CB","?"))</f>
        <v> </v>
      </c>
      <c r="I3091" s="26" t="str">
        <f>IF(OR(E3091="",E3091="!!!",F3091="NEW"),"",INDEX(B3090:B$2,-1+SUMPRODUCT(MAX(ROW(E3090:E$2)*(E3091=E3090:E$2)))))</f>
        <v> </v>
      </c>
      <c r="J3091" s="26" t="str">
        <f>IF(OR(E3091="",E3091="!!!",F3091="NEW"),"",COUNTBLANK(OFFSET(A$1,,,SUMPRODUCT(MAX(ROW(E$2:E3091)*(E3091=E$2:E3091)))))-COUNTBLANK(OFFSET(A$1,,,SUMPRODUCT(MAX(ROW(E$1:E3090)*(E2=E$1:E3090))))))</f>
        <v> </v>
      </c>
      <c r="K3091" s="26" t="str">
        <f>IF(OR(E3091="",E3091="!!!",F3091="NEW"),"",INDEX(J$1:J3090,SUMPRODUCT(MAX(ROW(E$1:E3090)*(E3091=E$1:E3090)))))</f>
        <v> </v>
      </c>
      <c r="L3091" s="27"/>
    </row>
    <row r="3092" spans="1:12">
      <c r="A3092" s="20" t="s">
        <v>1000</v>
      </c>
      <c r="E3092" s="22">
        <f>IF(D3092="?OLD","!!!","")</f>
        <v/>
      </c>
      <c r="F3092" s="23" t="str">
        <f>IF(OR(E3092="",E3092="!!!"),"",IF(NOT(ISNA(VLOOKUP(E3092,E$1:E3091,1,FALSE()))),"OLD",IF(AND(E3092&lt;&gt;"",E3092&lt;&gt;"!!!"),"NEW","")))</f>
        <v> </v>
      </c>
      <c r="G3092" s="24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5" t="str">
        <f>IF(J3092&lt;&gt;1,"",IF(I3092="SBJ","CB","?"))</f>
        <v> </v>
      </c>
      <c r="I3092" s="26" t="str">
        <f>IF(OR(E3092="",E3092="!!!",F3092="NEW"),"",INDEX(B3091:B$2,-1+SUMPRODUCT(MAX(ROW(E3091:E$2)*(E3092=E3091:E$2)))))</f>
        <v> </v>
      </c>
      <c r="J3092" s="26" t="str">
        <f>IF(OR(E3092="",E3092="!!!",F3092="NEW"),"",COUNTBLANK(OFFSET(A$1,,,SUMPRODUCT(MAX(ROW(E$2:E3092)*(E3092=E$2:E3092)))))-COUNTBLANK(OFFSET(A$1,,,SUMPRODUCT(MAX(ROW(E$1:E3091)*(E2=E$1:E3091))))))</f>
        <v> </v>
      </c>
      <c r="K3092" s="26" t="str">
        <f>IF(OR(E3092="",E3092="!!!",F3092="NEW"),"",INDEX(J$1:J3091,SUMPRODUCT(MAX(ROW(E$1:E3091)*(E3092=E$1:E3091)))))</f>
        <v> </v>
      </c>
      <c r="L3092" s="27"/>
    </row>
    <row r="3093" spans="1:12">
      <c r="A3093" s="20" t="s">
        <v>56</v>
      </c>
      <c r="B3093" s="21" t="s">
        <v>966</v>
      </c>
      <c r="C3093" s="21" t="s">
        <v>960</v>
      </c>
      <c r="D3093" s="21" t="s">
        <v>950</v>
      </c>
      <c r="E3093" s="22">
        <f>IF(D3093="?OLD","!!!","")</f>
        <v/>
      </c>
      <c r="F3093" s="23" t="str">
        <f>IF(OR(E3093="",E3093="!!!"),"",IF(NOT(ISNA(VLOOKUP(E3093,E$1:E3092,1,FALSE()))),"OLD",IF(AND(E3093&lt;&gt;"",E3093&lt;&gt;"!!!"),"NEW","")))</f>
        <v> </v>
      </c>
      <c r="G3093" s="24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5" t="str">
        <f>IF(J3093&lt;&gt;1,"",IF(I3093="SBJ","CB","?"))</f>
        <v> </v>
      </c>
      <c r="I3093" s="26" t="str">
        <f>IF(OR(E3093="",E3093="!!!",F3093="NEW"),"",INDEX(B3092:B$2,-1+SUMPRODUCT(MAX(ROW(E3092:E$2)*(E3093=E3092:E$2)))))</f>
        <v> </v>
      </c>
      <c r="J3093" s="26" t="str">
        <f>IF(OR(E3093="",E3093="!!!",F3093="NEW"),"",COUNTBLANK(OFFSET(A$1,,,SUMPRODUCT(MAX(ROW(E$2:E3093)*(E3093=E$2:E3093)))))-COUNTBLANK(OFFSET(A$1,,,SUMPRODUCT(MAX(ROW(E$1:E3092)*(E2=E$1:E3092))))))</f>
        <v> </v>
      </c>
      <c r="K3093" s="26" t="str">
        <f>IF(OR(E3093="",E3093="!!!",F3093="NEW"),"",INDEX(J$1:J3092,SUMPRODUCT(MAX(ROW(E$1:E3092)*(E3093=E$1:E3092)))))</f>
        <v> </v>
      </c>
      <c r="L3093" s="27"/>
    </row>
    <row r="3094" spans="1:12">
      <c r="A3094" s="20" t="s">
        <v>1885</v>
      </c>
      <c r="E3094" s="22">
        <f>IF(D3094="?OLD","!!!","")</f>
        <v/>
      </c>
      <c r="F3094" s="23" t="str">
        <f>IF(OR(E3094="",E3094="!!!"),"",IF(NOT(ISNA(VLOOKUP(E3094,E$1:E3093,1,FALSE()))),"OLD",IF(AND(E3094&lt;&gt;"",E3094&lt;&gt;"!!!"),"NEW","")))</f>
        <v> </v>
      </c>
      <c r="G3094" s="24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5" t="str">
        <f>IF(J3094&lt;&gt;1,"",IF(I3094="SBJ","CB","?"))</f>
        <v> </v>
      </c>
      <c r="I3094" s="26" t="str">
        <f>IF(OR(E3094="",E3094="!!!",F3094="NEW"),"",INDEX(B3093:B$2,-1+SUMPRODUCT(MAX(ROW(E3093:E$2)*(E3094=E3093:E$2)))))</f>
        <v> </v>
      </c>
      <c r="J3094" s="26" t="str">
        <f>IF(OR(E3094="",E3094="!!!",F3094="NEW"),"",COUNTBLANK(OFFSET(A$1,,,SUMPRODUCT(MAX(ROW(E$2:E3094)*(E3094=E$2:E3094)))))-COUNTBLANK(OFFSET(A$1,,,SUMPRODUCT(MAX(ROW(E$1:E3093)*(E2=E$1:E3093))))))</f>
        <v> </v>
      </c>
      <c r="K3094" s="26" t="str">
        <f>IF(OR(E3094="",E3094="!!!",F3094="NEW"),"",INDEX(J$1:J3093,SUMPRODUCT(MAX(ROW(E$1:E3093)*(E3094=E$1:E3093)))))</f>
        <v> </v>
      </c>
      <c r="L3094" s="27"/>
    </row>
    <row r="3095" spans="1:12">
      <c r="A3095" s="20" t="s">
        <v>1886</v>
      </c>
      <c r="E3095" s="22">
        <f>IF(D3095="?OLD","!!!","")</f>
        <v/>
      </c>
      <c r="F3095" s="23" t="str">
        <f>IF(OR(E3095="",E3095="!!!"),"",IF(NOT(ISNA(VLOOKUP(E3095,E$1:E3094,1,FALSE()))),"OLD",IF(AND(E3095&lt;&gt;"",E3095&lt;&gt;"!!!"),"NEW","")))</f>
        <v> </v>
      </c>
      <c r="G3095" s="24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5" t="str">
        <f>IF(J3095&lt;&gt;1,"",IF(I3095="SBJ","CB","?"))</f>
        <v> </v>
      </c>
      <c r="I3095" s="26" t="str">
        <f>IF(OR(E3095="",E3095="!!!",F3095="NEW"),"",INDEX(B3094:B$2,-1+SUMPRODUCT(MAX(ROW(E3094:E$2)*(E3095=E3094:E$2)))))</f>
        <v> </v>
      </c>
      <c r="J3095" s="26" t="str">
        <f>IF(OR(E3095="",E3095="!!!",F3095="NEW"),"",COUNTBLANK(OFFSET(A$1,,,SUMPRODUCT(MAX(ROW(E$2:E3095)*(E3095=E$2:E3095)))))-COUNTBLANK(OFFSET(A$1,,,SUMPRODUCT(MAX(ROW(E$1:E3094)*(E2=E$1:E3094))))))</f>
        <v> </v>
      </c>
      <c r="K3095" s="26" t="str">
        <f>IF(OR(E3095="",E3095="!!!",F3095="NEW"),"",INDEX(J$1:J3094,SUMPRODUCT(MAX(ROW(E$1:E3094)*(E3095=E$1:E3094)))))</f>
        <v> </v>
      </c>
      <c r="L3095" s="27"/>
    </row>
    <row r="3096" spans="1:12">
      <c r="A3096" s="20" t="s">
        <v>1453</v>
      </c>
      <c r="B3096" s="21" t="s">
        <v>1005</v>
      </c>
      <c r="C3096" s="21" t="s">
        <v>1044</v>
      </c>
      <c r="D3096" s="21" t="s">
        <v>950</v>
      </c>
      <c r="E3096" s="22">
        <f>IF(D3096="?OLD","!!!","")</f>
        <v/>
      </c>
      <c r="F3096" s="23" t="str">
        <f>IF(OR(E3096="",E3096="!!!"),"",IF(NOT(ISNA(VLOOKUP(E3096,E$1:E3095,1,FALSE()))),"OLD",IF(AND(E3096&lt;&gt;"",E3096&lt;&gt;"!!!"),"NEW","")))</f>
        <v> </v>
      </c>
      <c r="G3096" s="24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5" t="str">
        <f>IF(J3096&lt;&gt;1,"",IF(I3096="SBJ","CB","?"))</f>
        <v> </v>
      </c>
      <c r="I3096" s="26" t="str">
        <f>IF(OR(E3096="",E3096="!!!",F3096="NEW"),"",INDEX(B3095:B$2,-1+SUMPRODUCT(MAX(ROW(E3095:E$2)*(E3096=E3095:E$2)))))</f>
        <v> </v>
      </c>
      <c r="J3096" s="26" t="str">
        <f>IF(OR(E3096="",E3096="!!!",F3096="NEW"),"",COUNTBLANK(OFFSET(A$1,,,SUMPRODUCT(MAX(ROW(E$2:E3096)*(E3096=E$2:E3096)))))-COUNTBLANK(OFFSET(A$1,,,SUMPRODUCT(MAX(ROW(E$1:E3095)*(E2=E$1:E3095))))))</f>
        <v> </v>
      </c>
      <c r="K3096" s="26" t="str">
        <f>IF(OR(E3096="",E3096="!!!",F3096="NEW"),"",INDEX(J$1:J3095,SUMPRODUCT(MAX(ROW(E$1:E3095)*(E3096=E$1:E3095)))))</f>
        <v> </v>
      </c>
      <c r="L3096" s="27"/>
    </row>
    <row r="3097" spans="1:12">
      <c r="A3097" s="20" t="s">
        <v>1168</v>
      </c>
      <c r="E3097" s="22">
        <f>IF(D3097="?OLD","!!!","")</f>
        <v/>
      </c>
      <c r="F3097" s="23" t="str">
        <f>IF(OR(E3097="",E3097="!!!"),"",IF(NOT(ISNA(VLOOKUP(E3097,E$1:E3096,1,FALSE()))),"OLD",IF(AND(E3097&lt;&gt;"",E3097&lt;&gt;"!!!"),"NEW","")))</f>
        <v> </v>
      </c>
      <c r="G3097" s="24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5" t="str">
        <f>IF(J3097&lt;&gt;1,"",IF(I3097="SBJ","CB","?"))</f>
        <v> </v>
      </c>
      <c r="I3097" s="26" t="str">
        <f>IF(OR(E3097="",E3097="!!!",F3097="NEW"),"",INDEX(B3096:B$2,-1+SUMPRODUCT(MAX(ROW(E3096:E$2)*(E3097=E3096:E$2)))))</f>
        <v> </v>
      </c>
      <c r="J3097" s="26" t="str">
        <f>IF(OR(E3097="",E3097="!!!",F3097="NEW"),"",COUNTBLANK(OFFSET(A$1,,,SUMPRODUCT(MAX(ROW(E$2:E3097)*(E3097=E$2:E3097)))))-COUNTBLANK(OFFSET(A$1,,,SUMPRODUCT(MAX(ROW(E$1:E3096)*(E2=E$1:E3096))))))</f>
        <v> </v>
      </c>
      <c r="K3097" s="26" t="str">
        <f>IF(OR(E3097="",E3097="!!!",F3097="NEW"),"",INDEX(J$1:J3096,SUMPRODUCT(MAX(ROW(E$1:E3096)*(E3097=E$1:E3096)))))</f>
        <v> </v>
      </c>
      <c r="L3097" s="27"/>
    </row>
    <row r="3098" spans="1:12">
      <c r="A3098" s="20" t="s">
        <v>1022</v>
      </c>
      <c r="E3098" s="22">
        <f>IF(D3098="?OLD","!!!","")</f>
        <v/>
      </c>
      <c r="F3098" s="23" t="str">
        <f>IF(OR(E3098="",E3098="!!!"),"",IF(NOT(ISNA(VLOOKUP(E3098,E$1:E3097,1,FALSE()))),"OLD",IF(AND(E3098&lt;&gt;"",E3098&lt;&gt;"!!!"),"NEW","")))</f>
        <v> </v>
      </c>
      <c r="G3098" s="24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5" t="str">
        <f>IF(J3098&lt;&gt;1,"",IF(I3098="SBJ","CB","?"))</f>
        <v> </v>
      </c>
      <c r="I3098" s="26" t="str">
        <f>IF(OR(E3098="",E3098="!!!",F3098="NEW"),"",INDEX(B3097:B$2,-1+SUMPRODUCT(MAX(ROW(E3097:E$2)*(E3098=E3097:E$2)))))</f>
        <v> </v>
      </c>
      <c r="J3098" s="26" t="str">
        <f>IF(OR(E3098="",E3098="!!!",F3098="NEW"),"",COUNTBLANK(OFFSET(A$1,,,SUMPRODUCT(MAX(ROW(E$2:E3098)*(E3098=E$2:E3098)))))-COUNTBLANK(OFFSET(A$1,,,SUMPRODUCT(MAX(ROW(E$1:E3097)*(E2=E$1:E3097))))))</f>
        <v> </v>
      </c>
      <c r="K3098" s="26" t="str">
        <f>IF(OR(E3098="",E3098="!!!",F3098="NEW"),"",INDEX(J$1:J3097,SUMPRODUCT(MAX(ROW(E$1:E3097)*(E3098=E$1:E3097)))))</f>
        <v> </v>
      </c>
      <c r="L3098" s="27"/>
    </row>
    <row r="3099" spans="1:12">
      <c r="A3099" s="20" t="s">
        <v>1062</v>
      </c>
      <c r="B3099" s="21" t="s">
        <v>982</v>
      </c>
      <c r="C3099" s="21" t="s">
        <v>1029</v>
      </c>
      <c r="D3099" s="21" t="s">
        <v>950</v>
      </c>
      <c r="E3099" s="22">
        <f>IF(D3099="?OLD","!!!","")</f>
        <v/>
      </c>
      <c r="F3099" s="23" t="str">
        <f>IF(OR(E3099="",E3099="!!!"),"",IF(NOT(ISNA(VLOOKUP(E3099,E$1:E3098,1,FALSE()))),"OLD",IF(AND(E3099&lt;&gt;"",E3099&lt;&gt;"!!!"),"NEW","")))</f>
        <v> </v>
      </c>
      <c r="G3099" s="24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5" t="str">
        <f>IF(J3099&lt;&gt;1,"",IF(I3099="SBJ","CB","?"))</f>
        <v> </v>
      </c>
      <c r="I3099" s="26" t="str">
        <f>IF(OR(E3099="",E3099="!!!",F3099="NEW"),"",INDEX(B3098:B$2,-1+SUMPRODUCT(MAX(ROW(E3098:E$2)*(E3099=E3098:E$2)))))</f>
        <v> </v>
      </c>
      <c r="J3099" s="26" t="str">
        <f>IF(OR(E3099="",E3099="!!!",F3099="NEW"),"",COUNTBLANK(OFFSET(A$1,,,SUMPRODUCT(MAX(ROW(E$2:E3099)*(E3099=E$2:E3099)))))-COUNTBLANK(OFFSET(A$1,,,SUMPRODUCT(MAX(ROW(E$1:E3098)*(E2=E$1:E3098))))))</f>
        <v> </v>
      </c>
      <c r="K3099" s="26" t="str">
        <f>IF(OR(E3099="",E3099="!!!",F3099="NEW"),"",INDEX(J$1:J3098,SUMPRODUCT(MAX(ROW(E$1:E3098)*(E3099=E$1:E3098)))))</f>
        <v> </v>
      </c>
      <c r="L3099" s="27"/>
    </row>
    <row r="3100" spans="1:12">
      <c r="A3100" s="20" t="s">
        <v>1209</v>
      </c>
      <c r="B3100" s="21" t="s">
        <v>980</v>
      </c>
      <c r="C3100" s="21" t="s">
        <v>1032</v>
      </c>
      <c r="D3100" s="21" t="s">
        <v>950</v>
      </c>
      <c r="E3100" s="22">
        <f>IF(D3100="?OLD","!!!","")</f>
        <v/>
      </c>
      <c r="F3100" s="23" t="str">
        <f>IF(OR(E3100="",E3100="!!!"),"",IF(NOT(ISNA(VLOOKUP(E3100,E$1:E3099,1,FALSE()))),"OLD",IF(AND(E3100&lt;&gt;"",E3100&lt;&gt;"!!!"),"NEW","")))</f>
        <v> </v>
      </c>
      <c r="G3100" s="24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5" t="str">
        <f>IF(J3100&lt;&gt;1,"",IF(I3100="SBJ","CB","?"))</f>
        <v> </v>
      </c>
      <c r="I3100" s="26" t="str">
        <f>IF(OR(E3100="",E3100="!!!",F3100="NEW"),"",INDEX(B3099:B$2,-1+SUMPRODUCT(MAX(ROW(E3099:E$2)*(E3100=E3099:E$2)))))</f>
        <v> </v>
      </c>
      <c r="J3100" s="26" t="str">
        <f>IF(OR(E3100="",E3100="!!!",F3100="NEW"),"",COUNTBLANK(OFFSET(A$1,,,SUMPRODUCT(MAX(ROW(E$2:E3100)*(E3100=E$2:E3100)))))-COUNTBLANK(OFFSET(A$1,,,SUMPRODUCT(MAX(ROW(E$1:E3099)*(E2=E$1:E3099))))))</f>
        <v> </v>
      </c>
      <c r="K3100" s="26" t="str">
        <f>IF(OR(E3100="",E3100="!!!",F3100="NEW"),"",INDEX(J$1:J3099,SUMPRODUCT(MAX(ROW(E$1:E3099)*(E3100=E$1:E3099)))))</f>
        <v> </v>
      </c>
      <c r="L3100" s="27"/>
    </row>
    <row r="3101" spans="1:12">
      <c r="A3101" s="20" t="s">
        <v>984</v>
      </c>
      <c r="E3101" s="22">
        <f>IF(D3101="?OLD","!!!","")</f>
        <v/>
      </c>
      <c r="F3101" s="23" t="str">
        <f>IF(OR(E3101="",E3101="!!!"),"",IF(NOT(ISNA(VLOOKUP(E3101,E$1:E3100,1,FALSE()))),"OLD",IF(AND(E3101&lt;&gt;"",E3101&lt;&gt;"!!!"),"NEW","")))</f>
        <v> </v>
      </c>
      <c r="G3101" s="24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5" t="str">
        <f>IF(J3101&lt;&gt;1,"",IF(I3101="SBJ","CB","?"))</f>
        <v> </v>
      </c>
      <c r="I3101" s="26" t="str">
        <f>IF(OR(E3101="",E3101="!!!",F3101="NEW"),"",INDEX(B3100:B$2,-1+SUMPRODUCT(MAX(ROW(E3100:E$2)*(E3101=E3100:E$2)))))</f>
        <v> </v>
      </c>
      <c r="J3101" s="26" t="str">
        <f>IF(OR(E3101="",E3101="!!!",F3101="NEW"),"",COUNTBLANK(OFFSET(A$1,,,SUMPRODUCT(MAX(ROW(E$2:E3101)*(E3101=E$2:E3101)))))-COUNTBLANK(OFFSET(A$1,,,SUMPRODUCT(MAX(ROW(E$1:E3100)*(E2=E$1:E3100))))))</f>
        <v> </v>
      </c>
      <c r="K3101" s="26" t="str">
        <f>IF(OR(E3101="",E3101="!!!",F3101="NEW"),"",INDEX(J$1:J3100,SUMPRODUCT(MAX(ROW(E$1:E3100)*(E3101=E$1:E3100)))))</f>
        <v> </v>
      </c>
      <c r="L3101" s="27"/>
    </row>
    <row r="3102" spans="1:12">
      <c r="A3102" s="20"/>
    </row>
    <row r="3103" spans="1:12">
      <c r="A3103" s="20" t="s">
        <v>1887</v>
      </c>
    </row>
    <row r="3104" spans="1:12">
      <c r="A3104" s="20" t="s">
        <v>1888</v>
      </c>
      <c r="E3104" s="22">
        <f>IF(D3104="?OLD","!!!","")</f>
        <v/>
      </c>
      <c r="F3104" s="23" t="str">
        <f>IF(OR(E3104="",E3104="!!!"),"",IF(NOT(ISNA(VLOOKUP(E3104,E$1:E3103,1,FALSE()))),"OLD",IF(AND(E3104&lt;&gt;"",E3104&lt;&gt;"!!!"),"NEW","")))</f>
        <v> </v>
      </c>
      <c r="G3104" s="24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5" t="str">
        <f>IF(J3104&lt;&gt;1,"",IF(I3104="SBJ","CB","?"))</f>
        <v> </v>
      </c>
      <c r="I3104" s="26" t="str">
        <f>IF(OR(E3104="",E3104="!!!",F3104="NEW"),"",INDEX(B3103:B$2,-1+SUMPRODUCT(MAX(ROW(E3103:E$2)*(E3104=E3103:E$2)))))</f>
        <v> </v>
      </c>
      <c r="J3104" s="26" t="str">
        <f>IF(OR(E3104="",E3104="!!!",F3104="NEW"),"",COUNTBLANK(OFFSET(A$1,,,SUMPRODUCT(MAX(ROW(E$2:E3104)*(E3104=E$2:E3104)))))-COUNTBLANK(OFFSET(A$1,,,SUMPRODUCT(MAX(ROW(E$1:E3103)*(E2=E$1:E3103))))))</f>
        <v> </v>
      </c>
      <c r="K3104" s="26" t="str">
        <f>IF(OR(E3104="",E3104="!!!",F3104="NEW"),"",INDEX(J$1:J3103,SUMPRODUCT(MAX(ROW(E$1:E3103)*(E3104=E$1:E3103)))))</f>
        <v> </v>
      </c>
      <c r="L3104" s="27"/>
    </row>
    <row r="3105" spans="1:12">
      <c r="A3105" s="20" t="s">
        <v>1889</v>
      </c>
      <c r="B3105" s="21" t="s">
        <v>959</v>
      </c>
      <c r="C3105" s="21" t="s">
        <v>983</v>
      </c>
      <c r="E3105" s="22">
        <f>IF(D3105="?OLD","!!!","")</f>
        <v/>
      </c>
      <c r="F3105" s="23" t="str">
        <f>IF(OR(E3105="",E3105="!!!"),"",IF(NOT(ISNA(VLOOKUP(E3105,E$1:E3104,1,FALSE()))),"OLD",IF(AND(E3105&lt;&gt;"",E3105&lt;&gt;"!!!"),"NEW","")))</f>
        <v> </v>
      </c>
      <c r="G3105" s="24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5" t="str">
        <f>IF(J3105&lt;&gt;1,"",IF(I3105="SBJ","CB","?"))</f>
        <v> </v>
      </c>
      <c r="I3105" s="26" t="str">
        <f>IF(OR(E3105="",E3105="!!!",F3105="NEW"),"",INDEX(B3104:B$2,-1+SUMPRODUCT(MAX(ROW(E3104:E$2)*(E3105=E3104:E$2)))))</f>
        <v> </v>
      </c>
      <c r="J3105" s="26" t="str">
        <f>IF(OR(E3105="",E3105="!!!",F3105="NEW"),"",COUNTBLANK(OFFSET(A$1,,,SUMPRODUCT(MAX(ROW(E$2:E3105)*(E3105=E$2:E3105)))))-COUNTBLANK(OFFSET(A$1,,,SUMPRODUCT(MAX(ROW(E$1:E3104)*(E2=E$1:E3104))))))</f>
        <v> </v>
      </c>
      <c r="K3105" s="26" t="str">
        <f>IF(OR(E3105="",E3105="!!!",F3105="NEW"),"",INDEX(J$1:J3104,SUMPRODUCT(MAX(ROW(E$1:E3104)*(E3105=E$1:E3104)))))</f>
        <v> </v>
      </c>
      <c r="L3105" s="27"/>
    </row>
    <row r="3106" spans="1:12">
      <c r="A3106" s="20" t="s">
        <v>977</v>
      </c>
      <c r="E3106" s="22">
        <f>IF(D3106="?OLD","!!!","")</f>
        <v/>
      </c>
      <c r="F3106" s="23" t="str">
        <f>IF(OR(E3106="",E3106="!!!"),"",IF(NOT(ISNA(VLOOKUP(E3106,E$1:E3105,1,FALSE()))),"OLD",IF(AND(E3106&lt;&gt;"",E3106&lt;&gt;"!!!"),"NEW","")))</f>
        <v> </v>
      </c>
      <c r="G3106" s="24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5" t="str">
        <f>IF(J3106&lt;&gt;1,"",IF(I3106="SBJ","CB","?"))</f>
        <v> </v>
      </c>
      <c r="I3106" s="26" t="str">
        <f>IF(OR(E3106="",E3106="!!!",F3106="NEW"),"",INDEX(B3105:B$2,-1+SUMPRODUCT(MAX(ROW(E3105:E$2)*(E3106=E3105:E$2)))))</f>
        <v> </v>
      </c>
      <c r="J3106" s="26" t="str">
        <f>IF(OR(E3106="",E3106="!!!",F3106="NEW"),"",COUNTBLANK(OFFSET(A$1,,,SUMPRODUCT(MAX(ROW(E$2:E3106)*(E3106=E$2:E3106)))))-COUNTBLANK(OFFSET(A$1,,,SUMPRODUCT(MAX(ROW(E$1:E3105)*(E2=E$1:E3105))))))</f>
        <v> </v>
      </c>
      <c r="K3106" s="26" t="str">
        <f>IF(OR(E3106="",E3106="!!!",F3106="NEW"),"",INDEX(J$1:J3105,SUMPRODUCT(MAX(ROW(E$1:E3105)*(E3106=E$1:E3105)))))</f>
        <v> </v>
      </c>
      <c r="L3106" s="27"/>
    </row>
    <row r="3107" spans="1:12">
      <c r="A3107" s="20" t="s">
        <v>1006</v>
      </c>
      <c r="B3107" s="21" t="s">
        <v>1005</v>
      </c>
      <c r="C3107" s="21" t="s">
        <v>960</v>
      </c>
      <c r="D3107" s="21" t="s">
        <v>950</v>
      </c>
      <c r="E3107" s="22">
        <f>IF(D3107="?OLD","!!!","")</f>
        <v/>
      </c>
      <c r="F3107" s="23" t="str">
        <f>IF(OR(E3107="",E3107="!!!"),"",IF(NOT(ISNA(VLOOKUP(E3107,E$1:E3106,1,FALSE()))),"OLD",IF(AND(E3107&lt;&gt;"",E3107&lt;&gt;"!!!"),"NEW","")))</f>
        <v> </v>
      </c>
      <c r="G3107" s="24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5" t="str">
        <f>IF(J3107&lt;&gt;1,"",IF(I3107="SBJ","CB","?"))</f>
        <v> </v>
      </c>
      <c r="I3107" s="26" t="str">
        <f>IF(OR(E3107="",E3107="!!!",F3107="NEW"),"",INDEX(B3106:B$2,-1+SUMPRODUCT(MAX(ROW(E3106:E$2)*(E3107=E3106:E$2)))))</f>
        <v> </v>
      </c>
      <c r="J3107" s="26" t="str">
        <f>IF(OR(E3107="",E3107="!!!",F3107="NEW"),"",COUNTBLANK(OFFSET(A$1,,,SUMPRODUCT(MAX(ROW(E$2:E3107)*(E3107=E$2:E3107)))))-COUNTBLANK(OFFSET(A$1,,,SUMPRODUCT(MAX(ROW(E$1:E3106)*(E2=E$1:E3106))))))</f>
        <v> </v>
      </c>
      <c r="K3107" s="26" t="str">
        <f>IF(OR(E3107="",E3107="!!!",F3107="NEW"),"",INDEX(J$1:J3106,SUMPRODUCT(MAX(ROW(E$1:E3106)*(E3107=E$1:E3106)))))</f>
        <v> </v>
      </c>
      <c r="L3107" s="27"/>
    </row>
    <row r="3108" spans="1:12">
      <c r="A3108" s="20" t="s">
        <v>1890</v>
      </c>
      <c r="E3108" s="22">
        <f>IF(D3108="?OLD","!!!","")</f>
        <v/>
      </c>
      <c r="F3108" s="23" t="str">
        <f>IF(OR(E3108="",E3108="!!!"),"",IF(NOT(ISNA(VLOOKUP(E3108,E$1:E3107,1,FALSE()))),"OLD",IF(AND(E3108&lt;&gt;"",E3108&lt;&gt;"!!!"),"NEW","")))</f>
        <v> </v>
      </c>
      <c r="G3108" s="24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5" t="str">
        <f>IF(J3108&lt;&gt;1,"",IF(I3108="SBJ","CB","?"))</f>
        <v> </v>
      </c>
      <c r="I3108" s="26" t="str">
        <f>IF(OR(E3108="",E3108="!!!",F3108="NEW"),"",INDEX(B3107:B$2,-1+SUMPRODUCT(MAX(ROW(E3107:E$2)*(E3108=E3107:E$2)))))</f>
        <v> </v>
      </c>
      <c r="J3108" s="26" t="str">
        <f>IF(OR(E3108="",E3108="!!!",F3108="NEW"),"",COUNTBLANK(OFFSET(A$1,,,SUMPRODUCT(MAX(ROW(E$2:E3108)*(E3108=E$2:E3108)))))-COUNTBLANK(OFFSET(A$1,,,SUMPRODUCT(MAX(ROW(E$1:E3107)*(E2=E$1:E3107))))))</f>
        <v> </v>
      </c>
      <c r="K3108" s="26" t="str">
        <f>IF(OR(E3108="",E3108="!!!",F3108="NEW"),"",INDEX(J$1:J3107,SUMPRODUCT(MAX(ROW(E$1:E3107)*(E3108=E$1:E3107)))))</f>
        <v> </v>
      </c>
      <c r="L3108" s="27"/>
    </row>
    <row r="3109" spans="1:12">
      <c r="A3109" s="20" t="s">
        <v>984</v>
      </c>
      <c r="E3109" s="22">
        <f>IF(D3109="?OLD","!!!","")</f>
        <v/>
      </c>
      <c r="F3109" s="23" t="str">
        <f>IF(OR(E3109="",E3109="!!!"),"",IF(NOT(ISNA(VLOOKUP(E3109,E$1:E3108,1,FALSE()))),"OLD",IF(AND(E3109&lt;&gt;"",E3109&lt;&gt;"!!!"),"NEW","")))</f>
        <v> </v>
      </c>
      <c r="G3109" s="24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5" t="str">
        <f>IF(J3109&lt;&gt;1,"",IF(I3109="SBJ","CB","?"))</f>
        <v> </v>
      </c>
      <c r="I3109" s="26" t="str">
        <f>IF(OR(E3109="",E3109="!!!",F3109="NEW"),"",INDEX(B3108:B$2,-1+SUMPRODUCT(MAX(ROW(E3108:E$2)*(E3109=E3108:E$2)))))</f>
        <v> </v>
      </c>
      <c r="J3109" s="26" t="str">
        <f>IF(OR(E3109="",E3109="!!!",F3109="NEW"),"",COUNTBLANK(OFFSET(A$1,,,SUMPRODUCT(MAX(ROW(E$2:E3109)*(E3109=E$2:E3109)))))-COUNTBLANK(OFFSET(A$1,,,SUMPRODUCT(MAX(ROW(E$1:E3108)*(E2=E$1:E3108))))))</f>
        <v> </v>
      </c>
      <c r="K3109" s="26" t="str">
        <f>IF(OR(E3109="",E3109="!!!",F3109="NEW"),"",INDEX(J$1:J3108,SUMPRODUCT(MAX(ROW(E$1:E3108)*(E3109=E$1:E3108)))))</f>
        <v> </v>
      </c>
      <c r="L3109" s="27"/>
    </row>
    <row r="3110" spans="1:12">
      <c r="A3110" s="20"/>
    </row>
    <row r="3111" spans="1:12">
      <c r="A3111" s="20" t="s">
        <v>1891</v>
      </c>
    </row>
    <row r="3112" spans="1:12">
      <c r="A3112" s="20" t="s">
        <v>11</v>
      </c>
      <c r="E3112" s="22">
        <f>IF(D3112="?OLD","!!!","")</f>
        <v/>
      </c>
      <c r="F3112" s="23" t="str">
        <f>IF(OR(E3112="",E3112="!!!"),"",IF(NOT(ISNA(VLOOKUP(E3112,E$1:E3111,1,FALSE()))),"OLD",IF(AND(E3112&lt;&gt;"",E3112&lt;&gt;"!!!"),"NEW","")))</f>
        <v> </v>
      </c>
      <c r="G3112" s="24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5" t="str">
        <f>IF(J3112&lt;&gt;1,"",IF(I3112="SBJ","CB","?"))</f>
        <v> </v>
      </c>
      <c r="I3112" s="26" t="str">
        <f>IF(OR(E3112="",E3112="!!!",F3112="NEW"),"",INDEX(B3111:B$2,-1+SUMPRODUCT(MAX(ROW(E3111:E$2)*(E3112=E3111:E$2)))))</f>
        <v> </v>
      </c>
      <c r="J3112" s="26" t="str">
        <f>IF(OR(E3112="",E3112="!!!",F3112="NEW"),"",COUNTBLANK(OFFSET(A$1,,,SUMPRODUCT(MAX(ROW(E$2:E3112)*(E3112=E$2:E3112)))))-COUNTBLANK(OFFSET(A$1,,,SUMPRODUCT(MAX(ROW(E$1:E3111)*(E2=E$1:E3111))))))</f>
        <v> </v>
      </c>
      <c r="K3112" s="26" t="str">
        <f>IF(OR(E3112="",E3112="!!!",F3112="NEW"),"",INDEX(J$1:J3111,SUMPRODUCT(MAX(ROW(E$1:E3111)*(E3112=E$1:E3111)))))</f>
        <v> </v>
      </c>
      <c r="L3112" s="27"/>
    </row>
    <row r="3113" spans="1:12">
      <c r="A3113" s="20" t="s">
        <v>1699</v>
      </c>
      <c r="B3113" s="21" t="s">
        <v>956</v>
      </c>
      <c r="C3113" s="21" t="s">
        <v>949</v>
      </c>
      <c r="D3113" s="21" t="s">
        <v>950</v>
      </c>
      <c r="E3113" s="22">
        <f>IF(D3113="?OLD","!!!","")</f>
        <v/>
      </c>
      <c r="F3113" s="23" t="str">
        <f>IF(OR(E3113="",E3113="!!!"),"",IF(NOT(ISNA(VLOOKUP(E3113,E$1:E3112,1,FALSE()))),"OLD",IF(AND(E3113&lt;&gt;"",E3113&lt;&gt;"!!!"),"NEW","")))</f>
        <v> </v>
      </c>
      <c r="G3113" s="24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5" t="str">
        <f>IF(J3113&lt;&gt;1,"",IF(I3113="SBJ","CB","?"))</f>
        <v> </v>
      </c>
      <c r="I3113" s="26" t="str">
        <f>IF(OR(E3113="",E3113="!!!",F3113="NEW"),"",INDEX(B3112:B$2,-1+SUMPRODUCT(MAX(ROW(E3112:E$2)*(E3113=E3112:E$2)))))</f>
        <v> </v>
      </c>
      <c r="J3113" s="26" t="str">
        <f>IF(OR(E3113="",E3113="!!!",F3113="NEW"),"",COUNTBLANK(OFFSET(A$1,,,SUMPRODUCT(MAX(ROW(E$2:E3113)*(E3113=E$2:E3113)))))-COUNTBLANK(OFFSET(A$1,,,SUMPRODUCT(MAX(ROW(E$1:E3112)*(E2=E$1:E3112))))))</f>
        <v> </v>
      </c>
      <c r="K3113" s="26" t="str">
        <f>IF(OR(E3113="",E3113="!!!",F3113="NEW"),"",INDEX(J$1:J3112,SUMPRODUCT(MAX(ROW(E$1:E3112)*(E3113=E$1:E3112)))))</f>
        <v> </v>
      </c>
      <c r="L3113" s="27"/>
    </row>
    <row r="3114" spans="1:12">
      <c r="A3114" s="20" t="s">
        <v>1892</v>
      </c>
      <c r="E3114" s="22">
        <f>IF(D3114="?OLD","!!!","")</f>
        <v/>
      </c>
      <c r="F3114" s="23" t="str">
        <f>IF(OR(E3114="",E3114="!!!"),"",IF(NOT(ISNA(VLOOKUP(E3114,E$1:E3113,1,FALSE()))),"OLD",IF(AND(E3114&lt;&gt;"",E3114&lt;&gt;"!!!"),"NEW","")))</f>
        <v> </v>
      </c>
      <c r="G3114" s="24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5" t="str">
        <f>IF(J3114&lt;&gt;1,"",IF(I3114="SBJ","CB","?"))</f>
        <v> </v>
      </c>
      <c r="I3114" s="26" t="str">
        <f>IF(OR(E3114="",E3114="!!!",F3114="NEW"),"",INDEX(B3113:B$2,-1+SUMPRODUCT(MAX(ROW(E3113:E$2)*(E3114=E3113:E$2)))))</f>
        <v> </v>
      </c>
      <c r="J3114" s="26" t="str">
        <f>IF(OR(E3114="",E3114="!!!",F3114="NEW"),"",COUNTBLANK(OFFSET(A$1,,,SUMPRODUCT(MAX(ROW(E$2:E3114)*(E3114=E$2:E3114)))))-COUNTBLANK(OFFSET(A$1,,,SUMPRODUCT(MAX(ROW(E$1:E3113)*(E2=E$1:E3113))))))</f>
        <v> </v>
      </c>
      <c r="K3114" s="26" t="str">
        <f>IF(OR(E3114="",E3114="!!!",F3114="NEW"),"",INDEX(J$1:J3113,SUMPRODUCT(MAX(ROW(E$1:E3113)*(E3114=E$1:E3113)))))</f>
        <v> </v>
      </c>
      <c r="L3114" s="27"/>
    </row>
    <row r="3115" spans="1:12">
      <c r="A3115" s="20" t="s">
        <v>958</v>
      </c>
      <c r="B3115" s="21" t="s">
        <v>959</v>
      </c>
      <c r="C3115" s="21" t="s">
        <v>960</v>
      </c>
      <c r="D3115" s="21" t="s">
        <v>950</v>
      </c>
      <c r="E3115" s="22">
        <f>IF(D3115="?OLD","!!!","")</f>
        <v/>
      </c>
      <c r="F3115" s="23" t="str">
        <f>IF(OR(E3115="",E3115="!!!"),"",IF(NOT(ISNA(VLOOKUP(E3115,E$1:E3114,1,FALSE()))),"OLD",IF(AND(E3115&lt;&gt;"",E3115&lt;&gt;"!!!"),"NEW","")))</f>
        <v> </v>
      </c>
      <c r="G3115" s="24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5" t="str">
        <f>IF(J3115&lt;&gt;1,"",IF(I3115="SBJ","CB","?"))</f>
        <v> </v>
      </c>
      <c r="I3115" s="26" t="str">
        <f>IF(OR(E3115="",E3115="!!!",F3115="NEW"),"",INDEX(B3114:B$2,-1+SUMPRODUCT(MAX(ROW(E3114:E$2)*(E3115=E3114:E$2)))))</f>
        <v> </v>
      </c>
      <c r="J3115" s="26" t="str">
        <f>IF(OR(E3115="",E3115="!!!",F3115="NEW"),"",COUNTBLANK(OFFSET(A$1,,,SUMPRODUCT(MAX(ROW(E$2:E3115)*(E3115=E$2:E3115)))))-COUNTBLANK(OFFSET(A$1,,,SUMPRODUCT(MAX(ROW(E$1:E3114)*(E2=E$1:E3114))))))</f>
        <v> </v>
      </c>
      <c r="K3115" s="26" t="str">
        <f>IF(OR(E3115="",E3115="!!!",F3115="NEW"),"",INDEX(J$1:J3114,SUMPRODUCT(MAX(ROW(E$1:E3114)*(E3115=E$1:E3114)))))</f>
        <v> </v>
      </c>
      <c r="L3115" s="27"/>
    </row>
    <row r="3116" spans="1:12">
      <c r="A3116" s="20" t="s">
        <v>1022</v>
      </c>
      <c r="E3116" s="22">
        <f>IF(D3116="?OLD","!!!","")</f>
        <v/>
      </c>
      <c r="F3116" s="23" t="str">
        <f>IF(OR(E3116="",E3116="!!!"),"",IF(NOT(ISNA(VLOOKUP(E3116,E$1:E3115,1,FALSE()))),"OLD",IF(AND(E3116&lt;&gt;"",E3116&lt;&gt;"!!!"),"NEW","")))</f>
        <v> </v>
      </c>
      <c r="G3116" s="24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5" t="str">
        <f>IF(J3116&lt;&gt;1,"",IF(I3116="SBJ","CB","?"))</f>
        <v> </v>
      </c>
      <c r="I3116" s="26" t="str">
        <f>IF(OR(E3116="",E3116="!!!",F3116="NEW"),"",INDEX(B3115:B$2,-1+SUMPRODUCT(MAX(ROW(E3115:E$2)*(E3116=E3115:E$2)))))</f>
        <v> </v>
      </c>
      <c r="J3116" s="26" t="str">
        <f>IF(OR(E3116="",E3116="!!!",F3116="NEW"),"",COUNTBLANK(OFFSET(A$1,,,SUMPRODUCT(MAX(ROW(E$2:E3116)*(E3116=E$2:E3116)))))-COUNTBLANK(OFFSET(A$1,,,SUMPRODUCT(MAX(ROW(E$1:E3115)*(E2=E$1:E3115))))))</f>
        <v> </v>
      </c>
      <c r="K3116" s="26" t="str">
        <f>IF(OR(E3116="",E3116="!!!",F3116="NEW"),"",INDEX(J$1:J3115,SUMPRODUCT(MAX(ROW(E$1:E3115)*(E3116=E$1:E3115)))))</f>
        <v> </v>
      </c>
      <c r="L3116" s="27"/>
    </row>
    <row r="3117" spans="1:12">
      <c r="A3117" s="20" t="s">
        <v>1156</v>
      </c>
      <c r="E3117" s="22">
        <f>IF(D3117="?OLD","!!!","")</f>
        <v/>
      </c>
      <c r="F3117" s="23" t="str">
        <f>IF(OR(E3117="",E3117="!!!"),"",IF(NOT(ISNA(VLOOKUP(E3117,E$1:E3116,1,FALSE()))),"OLD",IF(AND(E3117&lt;&gt;"",E3117&lt;&gt;"!!!"),"NEW","")))</f>
        <v> </v>
      </c>
      <c r="G3117" s="24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5" t="str">
        <f>IF(J3117&lt;&gt;1,"",IF(I3117="SBJ","CB","?"))</f>
        <v> </v>
      </c>
      <c r="I3117" s="26" t="str">
        <f>IF(OR(E3117="",E3117="!!!",F3117="NEW"),"",INDEX(B3116:B$2,-1+SUMPRODUCT(MAX(ROW(E3116:E$2)*(E3117=E3116:E$2)))))</f>
        <v> </v>
      </c>
      <c r="J3117" s="26" t="str">
        <f>IF(OR(E3117="",E3117="!!!",F3117="NEW"),"",COUNTBLANK(OFFSET(A$1,,,SUMPRODUCT(MAX(ROW(E$2:E3117)*(E3117=E$2:E3117)))))-COUNTBLANK(OFFSET(A$1,,,SUMPRODUCT(MAX(ROW(E$1:E3116)*(E2=E$1:E3116))))))</f>
        <v> </v>
      </c>
      <c r="K3117" s="26" t="str">
        <f>IF(OR(E3117="",E3117="!!!",F3117="NEW"),"",INDEX(J$1:J3116,SUMPRODUCT(MAX(ROW(E$1:E3116)*(E3117=E$1:E3116)))))</f>
        <v> </v>
      </c>
      <c r="L3117" s="27"/>
    </row>
    <row r="3118" spans="1:12">
      <c r="A3118" s="20" t="s">
        <v>1632</v>
      </c>
      <c r="B3118" s="21" t="s">
        <v>975</v>
      </c>
      <c r="C3118" s="21" t="s">
        <v>960</v>
      </c>
      <c r="D3118" s="21" t="s">
        <v>950</v>
      </c>
      <c r="E3118" s="22">
        <f>IF(D3118="?OLD","!!!","")</f>
        <v/>
      </c>
      <c r="F3118" s="23" t="str">
        <f>IF(OR(E3118="",E3118="!!!"),"",IF(NOT(ISNA(VLOOKUP(E3118,E$1:E3117,1,FALSE()))),"OLD",IF(AND(E3118&lt;&gt;"",E3118&lt;&gt;"!!!"),"NEW","")))</f>
        <v> </v>
      </c>
      <c r="G3118" s="24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5" t="str">
        <f>IF(J3118&lt;&gt;1,"",IF(I3118="SBJ","CB","?"))</f>
        <v> </v>
      </c>
      <c r="I3118" s="26" t="str">
        <f>IF(OR(E3118="",E3118="!!!",F3118="NEW"),"",INDEX(B3117:B$2,-1+SUMPRODUCT(MAX(ROW(E3117:E$2)*(E3118=E3117:E$2)))))</f>
        <v> </v>
      </c>
      <c r="J3118" s="26" t="str">
        <f>IF(OR(E3118="",E3118="!!!",F3118="NEW"),"",COUNTBLANK(OFFSET(A$1,,,SUMPRODUCT(MAX(ROW(E$2:E3118)*(E3118=E$2:E3118)))))-COUNTBLANK(OFFSET(A$1,,,SUMPRODUCT(MAX(ROW(E$1:E3117)*(E2=E$1:E3117))))))</f>
        <v> </v>
      </c>
      <c r="K3118" s="26" t="str">
        <f>IF(OR(E3118="",E3118="!!!",F3118="NEW"),"",INDEX(J$1:J3117,SUMPRODUCT(MAX(ROW(E$1:E3117)*(E3118=E$1:E3117)))))</f>
        <v> </v>
      </c>
      <c r="L3118" s="27"/>
    </row>
    <row r="3119" spans="1:12">
      <c r="A3119" s="20" t="s">
        <v>1000</v>
      </c>
      <c r="E3119" s="22">
        <f>IF(D3119="?OLD","!!!","")</f>
        <v/>
      </c>
      <c r="F3119" s="23" t="str">
        <f>IF(OR(E3119="",E3119="!!!"),"",IF(NOT(ISNA(VLOOKUP(E3119,E$1:E3118,1,FALSE()))),"OLD",IF(AND(E3119&lt;&gt;"",E3119&lt;&gt;"!!!"),"NEW","")))</f>
        <v> </v>
      </c>
      <c r="G3119" s="24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5" t="str">
        <f>IF(J3119&lt;&gt;1,"",IF(I3119="SBJ","CB","?"))</f>
        <v> </v>
      </c>
      <c r="I3119" s="26" t="str">
        <f>IF(OR(E3119="",E3119="!!!",F3119="NEW"),"",INDEX(B3118:B$2,-1+SUMPRODUCT(MAX(ROW(E3118:E$2)*(E3119=E3118:E$2)))))</f>
        <v> </v>
      </c>
      <c r="J3119" s="26" t="str">
        <f>IF(OR(E3119="",E3119="!!!",F3119="NEW"),"",COUNTBLANK(OFFSET(A$1,,,SUMPRODUCT(MAX(ROW(E$2:E3119)*(E3119=E$2:E3119)))))-COUNTBLANK(OFFSET(A$1,,,SUMPRODUCT(MAX(ROW(E$1:E3118)*(E2=E$1:E3118))))))</f>
        <v> </v>
      </c>
      <c r="K3119" s="26" t="str">
        <f>IF(OR(E3119="",E3119="!!!",F3119="NEW"),"",INDEX(J$1:J3118,SUMPRODUCT(MAX(ROW(E$1:E3118)*(E3119=E$1:E3118)))))</f>
        <v> </v>
      </c>
      <c r="L3119" s="27"/>
    </row>
    <row r="3120" spans="1:12">
      <c r="A3120" s="20" t="s">
        <v>1001</v>
      </c>
      <c r="E3120" s="22">
        <f>IF(D3120="?OLD","!!!","")</f>
        <v/>
      </c>
      <c r="F3120" s="23" t="str">
        <f>IF(OR(E3120="",E3120="!!!"),"",IF(NOT(ISNA(VLOOKUP(E3120,E$1:E3119,1,FALSE()))),"OLD",IF(AND(E3120&lt;&gt;"",E3120&lt;&gt;"!!!"),"NEW","")))</f>
        <v> </v>
      </c>
      <c r="G3120" s="24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5" t="str">
        <f>IF(J3120&lt;&gt;1,"",IF(I3120="SBJ","CB","?"))</f>
        <v> </v>
      </c>
      <c r="I3120" s="26" t="str">
        <f>IF(OR(E3120="",E3120="!!!",F3120="NEW"),"",INDEX(B3119:B$2,-1+SUMPRODUCT(MAX(ROW(E3119:E$2)*(E3120=E3119:E$2)))))</f>
        <v> </v>
      </c>
      <c r="J3120" s="26" t="str">
        <f>IF(OR(E3120="",E3120="!!!",F3120="NEW"),"",COUNTBLANK(OFFSET(A$1,,,SUMPRODUCT(MAX(ROW(E$2:E3120)*(E3120=E$2:E3120)))))-COUNTBLANK(OFFSET(A$1,,,SUMPRODUCT(MAX(ROW(E$1:E3119)*(E2=E$1:E3119))))))</f>
        <v> </v>
      </c>
      <c r="K3120" s="26" t="str">
        <f>IF(OR(E3120="",E3120="!!!",F3120="NEW"),"",INDEX(J$1:J3119,SUMPRODUCT(MAX(ROW(E$1:E3119)*(E3120=E$1:E3119)))))</f>
        <v> </v>
      </c>
      <c r="L3120" s="27"/>
    </row>
    <row r="3121" spans="1:12">
      <c r="A3121" s="20" t="s">
        <v>1197</v>
      </c>
      <c r="E3121" s="22">
        <f>IF(D3121="?OLD","!!!","")</f>
        <v/>
      </c>
      <c r="F3121" s="23" t="str">
        <f>IF(OR(E3121="",E3121="!!!"),"",IF(NOT(ISNA(VLOOKUP(E3121,E$1:E3120,1,FALSE()))),"OLD",IF(AND(E3121&lt;&gt;"",E3121&lt;&gt;"!!!"),"NEW","")))</f>
        <v> </v>
      </c>
      <c r="G3121" s="24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5" t="str">
        <f>IF(J3121&lt;&gt;1,"",IF(I3121="SBJ","CB","?"))</f>
        <v> </v>
      </c>
      <c r="I3121" s="26" t="str">
        <f>IF(OR(E3121="",E3121="!!!",F3121="NEW"),"",INDEX(B3120:B$2,-1+SUMPRODUCT(MAX(ROW(E3120:E$2)*(E3121=E3120:E$2)))))</f>
        <v> </v>
      </c>
      <c r="J3121" s="26" t="str">
        <f>IF(OR(E3121="",E3121="!!!",F3121="NEW"),"",COUNTBLANK(OFFSET(A$1,,,SUMPRODUCT(MAX(ROW(E$2:E3121)*(E3121=E$2:E3121)))))-COUNTBLANK(OFFSET(A$1,,,SUMPRODUCT(MAX(ROW(E$1:E3120)*(E2=E$1:E3120))))))</f>
        <v> </v>
      </c>
      <c r="K3121" s="26" t="str">
        <f>IF(OR(E3121="",E3121="!!!",F3121="NEW"),"",INDEX(J$1:J3120,SUMPRODUCT(MAX(ROW(E$1:E3120)*(E3121=E$1:E3120)))))</f>
        <v> </v>
      </c>
      <c r="L3121" s="27"/>
    </row>
    <row r="3122" spans="1:12">
      <c r="A3122" s="20" t="s">
        <v>1019</v>
      </c>
      <c r="E3122" s="22">
        <f>IF(D3122="?OLD","!!!","")</f>
        <v/>
      </c>
      <c r="F3122" s="23" t="str">
        <f>IF(OR(E3122="",E3122="!!!"),"",IF(NOT(ISNA(VLOOKUP(E3122,E$1:E3121,1,FALSE()))),"OLD",IF(AND(E3122&lt;&gt;"",E3122&lt;&gt;"!!!"),"NEW","")))</f>
        <v> </v>
      </c>
      <c r="G3122" s="24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5" t="str">
        <f>IF(J3122&lt;&gt;1,"",IF(I3122="SBJ","CB","?"))</f>
        <v> </v>
      </c>
      <c r="I3122" s="26" t="str">
        <f>IF(OR(E3122="",E3122="!!!",F3122="NEW"),"",INDEX(B3121:B$2,-1+SUMPRODUCT(MAX(ROW(E3121:E$2)*(E3122=E3121:E$2)))))</f>
        <v> </v>
      </c>
      <c r="J3122" s="26" t="str">
        <f>IF(OR(E3122="",E3122="!!!",F3122="NEW"),"",COUNTBLANK(OFFSET(A$1,,,SUMPRODUCT(MAX(ROW(E$2:E3122)*(E3122=E$2:E3122)))))-COUNTBLANK(OFFSET(A$1,,,SUMPRODUCT(MAX(ROW(E$1:E3121)*(E2=E$1:E3121))))))</f>
        <v> </v>
      </c>
      <c r="K3122" s="26" t="str">
        <f>IF(OR(E3122="",E3122="!!!",F3122="NEW"),"",INDEX(J$1:J3121,SUMPRODUCT(MAX(ROW(E$1:E3121)*(E3122=E$1:E3121)))))</f>
        <v> </v>
      </c>
      <c r="L3122" s="27"/>
    </row>
    <row r="3123" spans="1:12">
      <c r="A3123" s="20" t="s">
        <v>738</v>
      </c>
      <c r="B3123" s="21" t="s">
        <v>948</v>
      </c>
      <c r="C3123" s="21" t="s">
        <v>964</v>
      </c>
      <c r="E3123" s="22">
        <f>IF(D3123="?OLD","!!!","")</f>
        <v/>
      </c>
      <c r="F3123" s="23" t="str">
        <f>IF(OR(E3123="",E3123="!!!"),"",IF(NOT(ISNA(VLOOKUP(E3123,E$1:E3122,1,FALSE()))),"OLD",IF(AND(E3123&lt;&gt;"",E3123&lt;&gt;"!!!"),"NEW","")))</f>
        <v> </v>
      </c>
      <c r="G3123" s="24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5" t="str">
        <f>IF(J3123&lt;&gt;1,"",IF(I3123="SBJ","CB","?"))</f>
        <v> </v>
      </c>
      <c r="I3123" s="26" t="str">
        <f>IF(OR(E3123="",E3123="!!!",F3123="NEW"),"",INDEX(B3122:B$2,-1+SUMPRODUCT(MAX(ROW(E3122:E$2)*(E3123=E3122:E$2)))))</f>
        <v> </v>
      </c>
      <c r="J3123" s="26" t="str">
        <f>IF(OR(E3123="",E3123="!!!",F3123="NEW"),"",COUNTBLANK(OFFSET(A$1,,,SUMPRODUCT(MAX(ROW(E$2:E3123)*(E3123=E$2:E3123)))))-COUNTBLANK(OFFSET(A$1,,,SUMPRODUCT(MAX(ROW(E$1:E3122)*(E2=E$1:E3122))))))</f>
        <v> </v>
      </c>
      <c r="K3123" s="26" t="str">
        <f>IF(OR(E3123="",E3123="!!!",F3123="NEW"),"",INDEX(J$1:J3122,SUMPRODUCT(MAX(ROW(E$1:E3122)*(E3123=E$1:E3122)))))</f>
        <v> </v>
      </c>
      <c r="L3123" s="27"/>
    </row>
    <row r="3124" spans="1:12">
      <c r="A3124" s="20" t="s">
        <v>1211</v>
      </c>
      <c r="E3124" s="22">
        <f>IF(D3124="?OLD","!!!","")</f>
        <v/>
      </c>
      <c r="F3124" s="23" t="str">
        <f>IF(OR(E3124="",E3124="!!!"),"",IF(NOT(ISNA(VLOOKUP(E3124,E$1:E3123,1,FALSE()))),"OLD",IF(AND(E3124&lt;&gt;"",E3124&lt;&gt;"!!!"),"NEW","")))</f>
        <v> </v>
      </c>
      <c r="G3124" s="24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5" t="str">
        <f>IF(J3124&lt;&gt;1,"",IF(I3124="SBJ","CB","?"))</f>
        <v> </v>
      </c>
      <c r="I3124" s="26" t="str">
        <f>IF(OR(E3124="",E3124="!!!",F3124="NEW"),"",INDEX(B3123:B$2,-1+SUMPRODUCT(MAX(ROW(E3123:E$2)*(E3124=E3123:E$2)))))</f>
        <v> </v>
      </c>
      <c r="J3124" s="26" t="str">
        <f>IF(OR(E3124="",E3124="!!!",F3124="NEW"),"",COUNTBLANK(OFFSET(A$1,,,SUMPRODUCT(MAX(ROW(E$2:E3124)*(E3124=E$2:E3124)))))-COUNTBLANK(OFFSET(A$1,,,SUMPRODUCT(MAX(ROW(E$1:E3123)*(E2=E$1:E3123))))))</f>
        <v> </v>
      </c>
      <c r="K3124" s="26" t="str">
        <f>IF(OR(E3124="",E3124="!!!",F3124="NEW"),"",INDEX(J$1:J3123,SUMPRODUCT(MAX(ROW(E$1:E3123)*(E3124=E$1:E3123)))))</f>
        <v> </v>
      </c>
      <c r="L3124" s="27"/>
    </row>
    <row r="3125" spans="1:12">
      <c r="A3125" s="20" t="s">
        <v>984</v>
      </c>
      <c r="E3125" s="22">
        <f>IF(D3125="?OLD","!!!","")</f>
        <v/>
      </c>
      <c r="F3125" s="23" t="str">
        <f>IF(OR(E3125="",E3125="!!!"),"",IF(NOT(ISNA(VLOOKUP(E3125,E$1:E3124,1,FALSE()))),"OLD",IF(AND(E3125&lt;&gt;"",E3125&lt;&gt;"!!!"),"NEW","")))</f>
        <v> </v>
      </c>
      <c r="G3125" s="24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5" t="str">
        <f>IF(J3125&lt;&gt;1,"",IF(I3125="SBJ","CB","?"))</f>
        <v> </v>
      </c>
      <c r="I3125" s="26" t="str">
        <f>IF(OR(E3125="",E3125="!!!",F3125="NEW"),"",INDEX(B3124:B$2,-1+SUMPRODUCT(MAX(ROW(E3124:E$2)*(E3125=E3124:E$2)))))</f>
        <v> </v>
      </c>
      <c r="J3125" s="26" t="str">
        <f>IF(OR(E3125="",E3125="!!!",F3125="NEW"),"",COUNTBLANK(OFFSET(A$1,,,SUMPRODUCT(MAX(ROW(E$2:E3125)*(E3125=E$2:E3125)))))-COUNTBLANK(OFFSET(A$1,,,SUMPRODUCT(MAX(ROW(E$1:E3124)*(E2=E$1:E3124))))))</f>
        <v> </v>
      </c>
      <c r="K3125" s="26" t="str">
        <f>IF(OR(E3125="",E3125="!!!",F3125="NEW"),"",INDEX(J$1:J3124,SUMPRODUCT(MAX(ROW(E$1:E3124)*(E3125=E$1:E3124)))))</f>
        <v> </v>
      </c>
      <c r="L3125" s="27"/>
    </row>
    <row r="3126" spans="1:12">
      <c r="A3126" s="20"/>
    </row>
    <row r="3127" spans="1:12">
      <c r="A3127" s="20" t="s">
        <v>1893</v>
      </c>
    </row>
    <row r="3128" spans="1:12">
      <c r="A3128" s="20" t="s">
        <v>1016</v>
      </c>
      <c r="B3128" s="21" t="s">
        <v>948</v>
      </c>
      <c r="C3128" s="21" t="s">
        <v>983</v>
      </c>
      <c r="E3128" s="22">
        <f>IF(D3128="?OLD","!!!","")</f>
        <v/>
      </c>
      <c r="F3128" s="23" t="str">
        <f>IF(OR(E3128="",E3128="!!!"),"",IF(NOT(ISNA(VLOOKUP(E3128,E$1:E3127,1,FALSE()))),"OLD",IF(AND(E3128&lt;&gt;"",E3128&lt;&gt;"!!!"),"NEW","")))</f>
        <v> </v>
      </c>
      <c r="G3128" s="24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5" t="str">
        <f>IF(J3128&lt;&gt;1,"",IF(I3128="SBJ","CB","?"))</f>
        <v> </v>
      </c>
      <c r="I3128" s="26" t="str">
        <f>IF(OR(E3128="",E3128="!!!",F3128="NEW"),"",INDEX(B3127:B$2,-1+SUMPRODUCT(MAX(ROW(E3127:E$2)*(E3128=E3127:E$2)))))</f>
        <v> </v>
      </c>
      <c r="J3128" s="26" t="str">
        <f>IF(OR(E3128="",E3128="!!!",F3128="NEW"),"",COUNTBLANK(OFFSET(A$1,,,SUMPRODUCT(MAX(ROW(E$2:E3128)*(E3128=E$2:E3128)))))-COUNTBLANK(OFFSET(A$1,,,SUMPRODUCT(MAX(ROW(E$1:E3127)*(E2=E$1:E3127))))))</f>
        <v> </v>
      </c>
      <c r="K3128" s="26" t="str">
        <f>IF(OR(E3128="",E3128="!!!",F3128="NEW"),"",INDEX(J$1:J3127,SUMPRODUCT(MAX(ROW(E$1:E3127)*(E3128=E$1:E3127)))))</f>
        <v> </v>
      </c>
      <c r="L3128" s="27"/>
    </row>
    <row r="3129" spans="1:12">
      <c r="A3129" s="20" t="s">
        <v>952</v>
      </c>
      <c r="E3129" s="22">
        <f>IF(D3129="?OLD","!!!","")</f>
        <v/>
      </c>
      <c r="F3129" s="23" t="str">
        <f>IF(OR(E3129="",E3129="!!!"),"",IF(NOT(ISNA(VLOOKUP(E3129,E$1:E3128,1,FALSE()))),"OLD",IF(AND(E3129&lt;&gt;"",E3129&lt;&gt;"!!!"),"NEW","")))</f>
        <v> </v>
      </c>
      <c r="G3129" s="24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5" t="str">
        <f>IF(J3129&lt;&gt;1,"",IF(I3129="SBJ","CB","?"))</f>
        <v> </v>
      </c>
      <c r="I3129" s="26" t="str">
        <f>IF(OR(E3129="",E3129="!!!",F3129="NEW"),"",INDEX(B3128:B$2,-1+SUMPRODUCT(MAX(ROW(E3128:E$2)*(E3129=E3128:E$2)))))</f>
        <v> </v>
      </c>
      <c r="J3129" s="26" t="str">
        <f>IF(OR(E3129="",E3129="!!!",F3129="NEW"),"",COUNTBLANK(OFFSET(A$1,,,SUMPRODUCT(MAX(ROW(E$2:E3129)*(E3129=E$2:E3129)))))-COUNTBLANK(OFFSET(A$1,,,SUMPRODUCT(MAX(ROW(E$1:E3128)*(E2=E$1:E3128))))))</f>
        <v> </v>
      </c>
      <c r="K3129" s="26" t="str">
        <f>IF(OR(E3129="",E3129="!!!",F3129="NEW"),"",INDEX(J$1:J3128,SUMPRODUCT(MAX(ROW(E$1:E3128)*(E3129=E$1:E3128)))))</f>
        <v> </v>
      </c>
      <c r="L3129" s="27"/>
    </row>
    <row r="3130" spans="1:12">
      <c r="A3130" s="20" t="s">
        <v>1092</v>
      </c>
      <c r="E3130" s="22">
        <f>IF(D3130="?OLD","!!!","")</f>
        <v/>
      </c>
      <c r="F3130" s="23" t="str">
        <f>IF(OR(E3130="",E3130="!!!"),"",IF(NOT(ISNA(VLOOKUP(E3130,E$1:E3129,1,FALSE()))),"OLD",IF(AND(E3130&lt;&gt;"",E3130&lt;&gt;"!!!"),"NEW","")))</f>
        <v> </v>
      </c>
      <c r="G3130" s="24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5" t="str">
        <f>IF(J3130&lt;&gt;1,"",IF(I3130="SBJ","CB","?"))</f>
        <v> </v>
      </c>
      <c r="I3130" s="26" t="str">
        <f>IF(OR(E3130="",E3130="!!!",F3130="NEW"),"",INDEX(B3129:B$2,-1+SUMPRODUCT(MAX(ROW(E3129:E$2)*(E3130=E3129:E$2)))))</f>
        <v> </v>
      </c>
      <c r="J3130" s="26" t="str">
        <f>IF(OR(E3130="",E3130="!!!",F3130="NEW"),"",COUNTBLANK(OFFSET(A$1,,,SUMPRODUCT(MAX(ROW(E$2:E3130)*(E3130=E$2:E3130)))))-COUNTBLANK(OFFSET(A$1,,,SUMPRODUCT(MAX(ROW(E$1:E3129)*(E2=E$1:E3129))))))</f>
        <v> </v>
      </c>
      <c r="K3130" s="26" t="str">
        <f>IF(OR(E3130="",E3130="!!!",F3130="NEW"),"",INDEX(J$1:J3129,SUMPRODUCT(MAX(ROW(E$1:E3129)*(E3130=E$1:E3129)))))</f>
        <v> </v>
      </c>
      <c r="L3130" s="27"/>
    </row>
    <row r="3131" spans="1:12">
      <c r="A3131" s="20" t="s">
        <v>1022</v>
      </c>
      <c r="E3131" s="22">
        <f>IF(D3131="?OLD","!!!","")</f>
        <v/>
      </c>
      <c r="F3131" s="23" t="str">
        <f>IF(OR(E3131="",E3131="!!!"),"",IF(NOT(ISNA(VLOOKUP(E3131,E$1:E3130,1,FALSE()))),"OLD",IF(AND(E3131&lt;&gt;"",E3131&lt;&gt;"!!!"),"NEW","")))</f>
        <v> </v>
      </c>
      <c r="G3131" s="24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5" t="str">
        <f>IF(J3131&lt;&gt;1,"",IF(I3131="SBJ","CB","?"))</f>
        <v> </v>
      </c>
      <c r="I3131" s="26" t="str">
        <f>IF(OR(E3131="",E3131="!!!",F3131="NEW"),"",INDEX(B3130:B$2,-1+SUMPRODUCT(MAX(ROW(E3130:E$2)*(E3131=E3130:E$2)))))</f>
        <v> </v>
      </c>
      <c r="J3131" s="26" t="str">
        <f>IF(OR(E3131="",E3131="!!!",F3131="NEW"),"",COUNTBLANK(OFFSET(A$1,,,SUMPRODUCT(MAX(ROW(E$2:E3131)*(E3131=E$2:E3131)))))-COUNTBLANK(OFFSET(A$1,,,SUMPRODUCT(MAX(ROW(E$1:E3130)*(E2=E$1:E3130))))))</f>
        <v> </v>
      </c>
      <c r="K3131" s="26" t="str">
        <f>IF(OR(E3131="",E3131="!!!",F3131="NEW"),"",INDEX(J$1:J3130,SUMPRODUCT(MAX(ROW(E$1:E3130)*(E3131=E$1:E3130)))))</f>
        <v> </v>
      </c>
      <c r="L3131" s="27"/>
    </row>
    <row r="3132" spans="1:12">
      <c r="A3132" s="20" t="s">
        <v>1894</v>
      </c>
      <c r="B3132" s="21" t="s">
        <v>1143</v>
      </c>
      <c r="C3132" s="21" t="s">
        <v>1032</v>
      </c>
      <c r="D3132" s="21" t="s">
        <v>950</v>
      </c>
      <c r="E3132" s="22">
        <f>IF(D3132="?OLD","!!!","")</f>
        <v/>
      </c>
      <c r="F3132" s="23" t="str">
        <f>IF(OR(E3132="",E3132="!!!"),"",IF(NOT(ISNA(VLOOKUP(E3132,E$1:E3131,1,FALSE()))),"OLD",IF(AND(E3132&lt;&gt;"",E3132&lt;&gt;"!!!"),"NEW","")))</f>
        <v> </v>
      </c>
      <c r="G3132" s="24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5" t="str">
        <f>IF(J3132&lt;&gt;1,"",IF(I3132="SBJ","CB","?"))</f>
        <v> </v>
      </c>
      <c r="I3132" s="26" t="str">
        <f>IF(OR(E3132="",E3132="!!!",F3132="NEW"),"",INDEX(B3131:B$2,-1+SUMPRODUCT(MAX(ROW(E3131:E$2)*(E3132=E3131:E$2)))))</f>
        <v> </v>
      </c>
      <c r="J3132" s="26" t="str">
        <f>IF(OR(E3132="",E3132="!!!",F3132="NEW"),"",COUNTBLANK(OFFSET(A$1,,,SUMPRODUCT(MAX(ROW(E$2:E3132)*(E3132=E$2:E3132)))))-COUNTBLANK(OFFSET(A$1,,,SUMPRODUCT(MAX(ROW(E$1:E3131)*(E2=E$1:E3131))))))</f>
        <v> </v>
      </c>
      <c r="K3132" s="26" t="str">
        <f>IF(OR(E3132="",E3132="!!!",F3132="NEW"),"",INDEX(J$1:J3131,SUMPRODUCT(MAX(ROW(E$1:E3131)*(E3132=E$1:E3131)))))</f>
        <v> </v>
      </c>
      <c r="L3132" s="27"/>
    </row>
    <row r="3133" spans="1:12">
      <c r="A3133" s="20" t="s">
        <v>1003</v>
      </c>
      <c r="E3133" s="22">
        <f>IF(D3133="?OLD","!!!","")</f>
        <v/>
      </c>
      <c r="F3133" s="23" t="str">
        <f>IF(OR(E3133="",E3133="!!!"),"",IF(NOT(ISNA(VLOOKUP(E3133,E$1:E3132,1,FALSE()))),"OLD",IF(AND(E3133&lt;&gt;"",E3133&lt;&gt;"!!!"),"NEW","")))</f>
        <v> </v>
      </c>
      <c r="G3133" s="24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5" t="str">
        <f>IF(J3133&lt;&gt;1,"",IF(I3133="SBJ","CB","?"))</f>
        <v> </v>
      </c>
      <c r="I3133" s="26" t="str">
        <f>IF(OR(E3133="",E3133="!!!",F3133="NEW"),"",INDEX(B3132:B$2,-1+SUMPRODUCT(MAX(ROW(E3132:E$2)*(E3133=E3132:E$2)))))</f>
        <v> </v>
      </c>
      <c r="J3133" s="26" t="str">
        <f>IF(OR(E3133="",E3133="!!!",F3133="NEW"),"",COUNTBLANK(OFFSET(A$1,,,SUMPRODUCT(MAX(ROW(E$2:E3133)*(E3133=E$2:E3133)))))-COUNTBLANK(OFFSET(A$1,,,SUMPRODUCT(MAX(ROW(E$1:E3132)*(E2=E$1:E3132))))))</f>
        <v> </v>
      </c>
      <c r="K3133" s="26" t="str">
        <f>IF(OR(E3133="",E3133="!!!",F3133="NEW"),"",INDEX(J$1:J3132,SUMPRODUCT(MAX(ROW(E$1:E3132)*(E3133=E$1:E3132)))))</f>
        <v> </v>
      </c>
      <c r="L3133" s="27"/>
    </row>
    <row r="3134" spans="1:12">
      <c r="A3134" s="20" t="s">
        <v>1655</v>
      </c>
      <c r="E3134" s="22">
        <f>IF(D3134="?OLD","!!!","")</f>
        <v/>
      </c>
      <c r="F3134" s="23" t="str">
        <f>IF(OR(E3134="",E3134="!!!"),"",IF(NOT(ISNA(VLOOKUP(E3134,E$1:E3133,1,FALSE()))),"OLD",IF(AND(E3134&lt;&gt;"",E3134&lt;&gt;"!!!"),"NEW","")))</f>
        <v> </v>
      </c>
      <c r="G3134" s="24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5" t="str">
        <f>IF(J3134&lt;&gt;1,"",IF(I3134="SBJ","CB","?"))</f>
        <v> </v>
      </c>
      <c r="I3134" s="26" t="str">
        <f>IF(OR(E3134="",E3134="!!!",F3134="NEW"),"",INDEX(B3133:B$2,-1+SUMPRODUCT(MAX(ROW(E3133:E$2)*(E3134=E3133:E$2)))))</f>
        <v> </v>
      </c>
      <c r="J3134" s="26" t="str">
        <f>IF(OR(E3134="",E3134="!!!",F3134="NEW"),"",COUNTBLANK(OFFSET(A$1,,,SUMPRODUCT(MAX(ROW(E$2:E3134)*(E3134=E$2:E3134)))))-COUNTBLANK(OFFSET(A$1,,,SUMPRODUCT(MAX(ROW(E$1:E3133)*(E2=E$1:E3133))))))</f>
        <v> </v>
      </c>
      <c r="K3134" s="26" t="str">
        <f>IF(OR(E3134="",E3134="!!!",F3134="NEW"),"",INDEX(J$1:J3133,SUMPRODUCT(MAX(ROW(E$1:E3133)*(E3134=E$1:E3133)))))</f>
        <v> </v>
      </c>
      <c r="L3134" s="27"/>
    </row>
    <row r="3135" spans="1:12">
      <c r="A3135" s="20" t="s">
        <v>1895</v>
      </c>
      <c r="E3135" s="22">
        <f>IF(D3135="?OLD","!!!","")</f>
        <v/>
      </c>
      <c r="F3135" s="23" t="str">
        <f>IF(OR(E3135="",E3135="!!!"),"",IF(NOT(ISNA(VLOOKUP(E3135,E$1:E3134,1,FALSE()))),"OLD",IF(AND(E3135&lt;&gt;"",E3135&lt;&gt;"!!!"),"NEW","")))</f>
        <v> </v>
      </c>
      <c r="G3135" s="24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5" t="str">
        <f>IF(J3135&lt;&gt;1,"",IF(I3135="SBJ","CB","?"))</f>
        <v> </v>
      </c>
      <c r="I3135" s="26" t="str">
        <f>IF(OR(E3135="",E3135="!!!",F3135="NEW"),"",INDEX(B3134:B$2,-1+SUMPRODUCT(MAX(ROW(E3134:E$2)*(E3135=E3134:E$2)))))</f>
        <v> </v>
      </c>
      <c r="J3135" s="26" t="str">
        <f>IF(OR(E3135="",E3135="!!!",F3135="NEW"),"",COUNTBLANK(OFFSET(A$1,,,SUMPRODUCT(MAX(ROW(E$2:E3135)*(E3135=E$2:E3135)))))-COUNTBLANK(OFFSET(A$1,,,SUMPRODUCT(MAX(ROW(E$1:E3134)*(E2=E$1:E3134))))))</f>
        <v> </v>
      </c>
      <c r="K3135" s="26" t="str">
        <f>IF(OR(E3135="",E3135="!!!",F3135="NEW"),"",INDEX(J$1:J3134,SUMPRODUCT(MAX(ROW(E$1:E3134)*(E3135=E$1:E3134)))))</f>
        <v> </v>
      </c>
      <c r="L3135" s="27"/>
    </row>
    <row r="3136" spans="1:12">
      <c r="A3136" s="20" t="s">
        <v>984</v>
      </c>
      <c r="E3136" s="22">
        <f>IF(D3136="?OLD","!!!","")</f>
        <v/>
      </c>
      <c r="F3136" s="23" t="str">
        <f>IF(OR(E3136="",E3136="!!!"),"",IF(NOT(ISNA(VLOOKUP(E3136,E$1:E3135,1,FALSE()))),"OLD",IF(AND(E3136&lt;&gt;"",E3136&lt;&gt;"!!!"),"NEW","")))</f>
        <v> </v>
      </c>
      <c r="G3136" s="24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5" t="str">
        <f>IF(J3136&lt;&gt;1,"",IF(I3136="SBJ","CB","?"))</f>
        <v> </v>
      </c>
      <c r="I3136" s="26" t="str">
        <f>IF(OR(E3136="",E3136="!!!",F3136="NEW"),"",INDEX(B3135:B$2,-1+SUMPRODUCT(MAX(ROW(E3135:E$2)*(E3136=E3135:E$2)))))</f>
        <v> </v>
      </c>
      <c r="J3136" s="26" t="str">
        <f>IF(OR(E3136="",E3136="!!!",F3136="NEW"),"",COUNTBLANK(OFFSET(A$1,,,SUMPRODUCT(MAX(ROW(E$2:E3136)*(E3136=E$2:E3136)))))-COUNTBLANK(OFFSET(A$1,,,SUMPRODUCT(MAX(ROW(E$1:E3135)*(E2=E$1:E3135))))))</f>
        <v> </v>
      </c>
      <c r="K3136" s="26" t="str">
        <f>IF(OR(E3136="",E3136="!!!",F3136="NEW"),"",INDEX(J$1:J3135,SUMPRODUCT(MAX(ROW(E$1:E3135)*(E3136=E$1:E3135)))))</f>
        <v> </v>
      </c>
      <c r="L3136" s="27"/>
    </row>
    <row r="3137" spans="1:12">
      <c r="A3137" s="20"/>
    </row>
    <row r="3138" spans="1:12">
      <c r="A3138" s="20" t="s">
        <v>1896</v>
      </c>
    </row>
    <row r="3139" spans="1:12">
      <c r="A3139" s="20" t="s">
        <v>1070</v>
      </c>
      <c r="B3139" s="21" t="s">
        <v>948</v>
      </c>
      <c r="C3139" s="21" t="s">
        <v>983</v>
      </c>
      <c r="E3139" s="22">
        <f>IF(D3139="?OLD","!!!","")</f>
        <v/>
      </c>
      <c r="F3139" s="23" t="str">
        <f>IF(OR(E3139="",E3139="!!!"),"",IF(NOT(ISNA(VLOOKUP(E3139,E$1:E3138,1,FALSE()))),"OLD",IF(AND(E3139&lt;&gt;"",E3139&lt;&gt;"!!!"),"NEW","")))</f>
        <v> </v>
      </c>
      <c r="G3139" s="24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5" t="str">
        <f>IF(J3139&lt;&gt;1,"",IF(I3139="SBJ","CB","?"))</f>
        <v> </v>
      </c>
      <c r="I3139" s="26" t="str">
        <f>IF(OR(E3139="",E3139="!!!",F3139="NEW"),"",INDEX(B3138:B$2,-1+SUMPRODUCT(MAX(ROW(E3138:E$2)*(E3139=E3138:E$2)))))</f>
        <v> </v>
      </c>
      <c r="J3139" s="26" t="str">
        <f>IF(OR(E3139="",E3139="!!!",F3139="NEW"),"",COUNTBLANK(OFFSET(A$1,,,SUMPRODUCT(MAX(ROW(E$2:E3139)*(E3139=E$2:E3139)))))-COUNTBLANK(OFFSET(A$1,,,SUMPRODUCT(MAX(ROW(E$1:E3138)*(E2=E$1:E3138))))))</f>
        <v> </v>
      </c>
      <c r="K3139" s="26" t="str">
        <f>IF(OR(E3139="",E3139="!!!",F3139="NEW"),"",INDEX(J$1:J3138,SUMPRODUCT(MAX(ROW(E$1:E3138)*(E3139=E$1:E3138)))))</f>
        <v> </v>
      </c>
      <c r="L3139" s="27"/>
    </row>
    <row r="3140" spans="1:12">
      <c r="A3140" s="20" t="s">
        <v>952</v>
      </c>
      <c r="E3140" s="22">
        <f>IF(D3140="?OLD","!!!","")</f>
        <v/>
      </c>
      <c r="F3140" s="23" t="str">
        <f>IF(OR(E3140="",E3140="!!!"),"",IF(NOT(ISNA(VLOOKUP(E3140,E$1:E3139,1,FALSE()))),"OLD",IF(AND(E3140&lt;&gt;"",E3140&lt;&gt;"!!!"),"NEW","")))</f>
        <v> </v>
      </c>
      <c r="G3140" s="24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5" t="str">
        <f>IF(J3140&lt;&gt;1,"",IF(I3140="SBJ","CB","?"))</f>
        <v> </v>
      </c>
      <c r="I3140" s="26" t="str">
        <f>IF(OR(E3140="",E3140="!!!",F3140="NEW"),"",INDEX(B3139:B$2,-1+SUMPRODUCT(MAX(ROW(E3139:E$2)*(E3140=E3139:E$2)))))</f>
        <v> </v>
      </c>
      <c r="J3140" s="26" t="str">
        <f>IF(OR(E3140="",E3140="!!!",F3140="NEW"),"",COUNTBLANK(OFFSET(A$1,,,SUMPRODUCT(MAX(ROW(E$2:E3140)*(E3140=E$2:E3140)))))-COUNTBLANK(OFFSET(A$1,,,SUMPRODUCT(MAX(ROW(E$1:E3139)*(E2=E$1:E3139))))))</f>
        <v> </v>
      </c>
      <c r="K3140" s="26" t="str">
        <f>IF(OR(E3140="",E3140="!!!",F3140="NEW"),"",INDEX(J$1:J3139,SUMPRODUCT(MAX(ROW(E$1:E3139)*(E3140=E$1:E3139)))))</f>
        <v> </v>
      </c>
      <c r="L3140" s="27"/>
    </row>
    <row r="3141" spans="1:12">
      <c r="A3141" s="20" t="s">
        <v>1394</v>
      </c>
      <c r="E3141" s="22">
        <f>IF(D3141="?OLD","!!!","")</f>
        <v/>
      </c>
      <c r="F3141" s="23" t="str">
        <f>IF(OR(E3141="",E3141="!!!"),"",IF(NOT(ISNA(VLOOKUP(E3141,E$1:E3140,1,FALSE()))),"OLD",IF(AND(E3141&lt;&gt;"",E3141&lt;&gt;"!!!"),"NEW","")))</f>
        <v> </v>
      </c>
      <c r="G3141" s="24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5" t="str">
        <f>IF(J3141&lt;&gt;1,"",IF(I3141="SBJ","CB","?"))</f>
        <v> </v>
      </c>
      <c r="I3141" s="26" t="str">
        <f>IF(OR(E3141="",E3141="!!!",F3141="NEW"),"",INDEX(B3140:B$2,-1+SUMPRODUCT(MAX(ROW(E3140:E$2)*(E3141=E3140:E$2)))))</f>
        <v> </v>
      </c>
      <c r="J3141" s="26" t="str">
        <f>IF(OR(E3141="",E3141="!!!",F3141="NEW"),"",COUNTBLANK(OFFSET(A$1,,,SUMPRODUCT(MAX(ROW(E$2:E3141)*(E3141=E$2:E3141)))))-COUNTBLANK(OFFSET(A$1,,,SUMPRODUCT(MAX(ROW(E$1:E3140)*(E2=E$1:E3140))))))</f>
        <v> </v>
      </c>
      <c r="K3141" s="26" t="str">
        <f>IF(OR(E3141="",E3141="!!!",F3141="NEW"),"",INDEX(J$1:J3140,SUMPRODUCT(MAX(ROW(E$1:E3140)*(E3141=E$1:E3140)))))</f>
        <v> </v>
      </c>
      <c r="L3141" s="27"/>
    </row>
    <row r="3142" spans="1:12">
      <c r="A3142" s="20" t="s">
        <v>1000</v>
      </c>
      <c r="E3142" s="22">
        <f>IF(D3142="?OLD","!!!","")</f>
        <v/>
      </c>
      <c r="F3142" s="23" t="str">
        <f>IF(OR(E3142="",E3142="!!!"),"",IF(NOT(ISNA(VLOOKUP(E3142,E$1:E3141,1,FALSE()))),"OLD",IF(AND(E3142&lt;&gt;"",E3142&lt;&gt;"!!!"),"NEW","")))</f>
        <v> </v>
      </c>
      <c r="G3142" s="24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5" t="str">
        <f>IF(J3142&lt;&gt;1,"",IF(I3142="SBJ","CB","?"))</f>
        <v> </v>
      </c>
      <c r="I3142" s="26" t="str">
        <f>IF(OR(E3142="",E3142="!!!",F3142="NEW"),"",INDEX(B3141:B$2,-1+SUMPRODUCT(MAX(ROW(E3141:E$2)*(E3142=E3141:E$2)))))</f>
        <v> </v>
      </c>
      <c r="J3142" s="26" t="str">
        <f>IF(OR(E3142="",E3142="!!!",F3142="NEW"),"",COUNTBLANK(OFFSET(A$1,,,SUMPRODUCT(MAX(ROW(E$2:E3142)*(E3142=E$2:E3142)))))-COUNTBLANK(OFFSET(A$1,,,SUMPRODUCT(MAX(ROW(E$1:E3141)*(E2=E$1:E3141))))))</f>
        <v> </v>
      </c>
      <c r="K3142" s="26" t="str">
        <f>IF(OR(E3142="",E3142="!!!",F3142="NEW"),"",INDEX(J$1:J3141,SUMPRODUCT(MAX(ROW(E$1:E3141)*(E3142=E$1:E3141)))))</f>
        <v> </v>
      </c>
      <c r="L3142" s="27"/>
    </row>
    <row r="3143" spans="1:12">
      <c r="A3143" s="20" t="s">
        <v>1093</v>
      </c>
      <c r="E3143" s="22">
        <f>IF(D3143="?OLD","!!!","")</f>
        <v/>
      </c>
      <c r="F3143" s="23" t="str">
        <f>IF(OR(E3143="",E3143="!!!"),"",IF(NOT(ISNA(VLOOKUP(E3143,E$1:E3142,1,FALSE()))),"OLD",IF(AND(E3143&lt;&gt;"",E3143&lt;&gt;"!!!"),"NEW","")))</f>
        <v> </v>
      </c>
      <c r="G3143" s="24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5" t="str">
        <f>IF(J3143&lt;&gt;1,"",IF(I3143="SBJ","CB","?"))</f>
        <v> </v>
      </c>
      <c r="I3143" s="26" t="str">
        <f>IF(OR(E3143="",E3143="!!!",F3143="NEW"),"",INDEX(B3142:B$2,-1+SUMPRODUCT(MAX(ROW(E3142:E$2)*(E3143=E3142:E$2)))))</f>
        <v> </v>
      </c>
      <c r="J3143" s="26" t="str">
        <f>IF(OR(E3143="",E3143="!!!",F3143="NEW"),"",COUNTBLANK(OFFSET(A$1,,,SUMPRODUCT(MAX(ROW(E$2:E3143)*(E3143=E$2:E3143)))))-COUNTBLANK(OFFSET(A$1,,,SUMPRODUCT(MAX(ROW(E$1:E3142)*(E2=E$1:E3142))))))</f>
        <v> </v>
      </c>
      <c r="K3143" s="26" t="str">
        <f>IF(OR(E3143="",E3143="!!!",F3143="NEW"),"",INDEX(J$1:J3142,SUMPRODUCT(MAX(ROW(E$1:E3142)*(E3143=E$1:E3142)))))</f>
        <v> </v>
      </c>
      <c r="L3143" s="27"/>
    </row>
    <row r="3144" spans="1:12">
      <c r="A3144" s="20" t="s">
        <v>1094</v>
      </c>
      <c r="B3144" s="21" t="s">
        <v>956</v>
      </c>
      <c r="C3144" s="21" t="s">
        <v>1032</v>
      </c>
      <c r="D3144" s="21" t="s">
        <v>950</v>
      </c>
      <c r="E3144" s="22">
        <f>IF(D3144="?OLD","!!!","")</f>
        <v/>
      </c>
      <c r="F3144" s="23" t="str">
        <f>IF(OR(E3144="",E3144="!!!"),"",IF(NOT(ISNA(VLOOKUP(E3144,E$1:E3143,1,FALSE()))),"OLD",IF(AND(E3144&lt;&gt;"",E3144&lt;&gt;"!!!"),"NEW","")))</f>
        <v> </v>
      </c>
      <c r="G3144" s="24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5" t="str">
        <f>IF(J3144&lt;&gt;1,"",IF(I3144="SBJ","CB","?"))</f>
        <v> </v>
      </c>
      <c r="I3144" s="26" t="str">
        <f>IF(OR(E3144="",E3144="!!!",F3144="NEW"),"",INDEX(B3143:B$2,-1+SUMPRODUCT(MAX(ROW(E3143:E$2)*(E3144=E3143:E$2)))))</f>
        <v> </v>
      </c>
      <c r="J3144" s="26" t="str">
        <f>IF(OR(E3144="",E3144="!!!",F3144="NEW"),"",COUNTBLANK(OFFSET(A$1,,,SUMPRODUCT(MAX(ROW(E$2:E3144)*(E3144=E$2:E3144)))))-COUNTBLANK(OFFSET(A$1,,,SUMPRODUCT(MAX(ROW(E$1:E3143)*(E2=E$1:E3143))))))</f>
        <v> </v>
      </c>
      <c r="K3144" s="26" t="str">
        <f>IF(OR(E3144="",E3144="!!!",F3144="NEW"),"",INDEX(J$1:J3143,SUMPRODUCT(MAX(ROW(E$1:E3143)*(E3144=E$1:E3143)))))</f>
        <v> </v>
      </c>
      <c r="L3144" s="27"/>
    </row>
    <row r="3145" spans="1:12">
      <c r="A3145" s="20" t="s">
        <v>1250</v>
      </c>
      <c r="E3145" s="22">
        <f>IF(D3145="?OLD","!!!","")</f>
        <v/>
      </c>
      <c r="F3145" s="23" t="str">
        <f>IF(OR(E3145="",E3145="!!!"),"",IF(NOT(ISNA(VLOOKUP(E3145,E$1:E3144,1,FALSE()))),"OLD",IF(AND(E3145&lt;&gt;"",E3145&lt;&gt;"!!!"),"NEW","")))</f>
        <v> </v>
      </c>
      <c r="G3145" s="24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5" t="str">
        <f>IF(J3145&lt;&gt;1,"",IF(I3145="SBJ","CB","?"))</f>
        <v> </v>
      </c>
      <c r="I3145" s="26" t="str">
        <f>IF(OR(E3145="",E3145="!!!",F3145="NEW"),"",INDEX(B3144:B$2,-1+SUMPRODUCT(MAX(ROW(E3144:E$2)*(E3145=E3144:E$2)))))</f>
        <v> </v>
      </c>
      <c r="J3145" s="26" t="str">
        <f>IF(OR(E3145="",E3145="!!!",F3145="NEW"),"",COUNTBLANK(OFFSET(A$1,,,SUMPRODUCT(MAX(ROW(E$2:E3145)*(E3145=E$2:E3145)))))-COUNTBLANK(OFFSET(A$1,,,SUMPRODUCT(MAX(ROW(E$1:E3144)*(E2=E$1:E3144))))))</f>
        <v> </v>
      </c>
      <c r="K3145" s="26" t="str">
        <f>IF(OR(E3145="",E3145="!!!",F3145="NEW"),"",INDEX(J$1:J3144,SUMPRODUCT(MAX(ROW(E$1:E3144)*(E3145=E$1:E3144)))))</f>
        <v> </v>
      </c>
      <c r="L3145" s="27"/>
    </row>
    <row r="3146" spans="1:12">
      <c r="A3146" s="20" t="s">
        <v>607</v>
      </c>
      <c r="E3146" s="22">
        <f>IF(D3146="?OLD","!!!","")</f>
        <v/>
      </c>
      <c r="F3146" s="23" t="str">
        <f>IF(OR(E3146="",E3146="!!!"),"",IF(NOT(ISNA(VLOOKUP(E3146,E$1:E3145,1,FALSE()))),"OLD",IF(AND(E3146&lt;&gt;"",E3146&lt;&gt;"!!!"),"NEW","")))</f>
        <v> </v>
      </c>
      <c r="G3146" s="24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5" t="str">
        <f>IF(J3146&lt;&gt;1,"",IF(I3146="SBJ","CB","?"))</f>
        <v> </v>
      </c>
      <c r="I3146" s="26" t="str">
        <f>IF(OR(E3146="",E3146="!!!",F3146="NEW"),"",INDEX(B3145:B$2,-1+SUMPRODUCT(MAX(ROW(E3145:E$2)*(E3146=E3145:E$2)))))</f>
        <v> </v>
      </c>
      <c r="J3146" s="26" t="str">
        <f>IF(OR(E3146="",E3146="!!!",F3146="NEW"),"",COUNTBLANK(OFFSET(A$1,,,SUMPRODUCT(MAX(ROW(E$2:E3146)*(E3146=E$2:E3146)))))-COUNTBLANK(OFFSET(A$1,,,SUMPRODUCT(MAX(ROW(E$1:E3145)*(E2=E$1:E3145))))))</f>
        <v> </v>
      </c>
      <c r="K3146" s="26" t="str">
        <f>IF(OR(E3146="",E3146="!!!",F3146="NEW"),"",INDEX(J$1:J3145,SUMPRODUCT(MAX(ROW(E$1:E3145)*(E3146=E$1:E3145)))))</f>
        <v> </v>
      </c>
      <c r="L3146" s="27"/>
    </row>
    <row r="3147" spans="1:12">
      <c r="A3147" s="20" t="s">
        <v>1897</v>
      </c>
      <c r="B3147" s="21" t="s">
        <v>959</v>
      </c>
      <c r="C3147" s="21" t="s">
        <v>983</v>
      </c>
      <c r="E3147" s="22">
        <f>IF(D3147="?OLD","!!!","")</f>
        <v/>
      </c>
      <c r="F3147" s="23" t="str">
        <f>IF(OR(E3147="",E3147="!!!"),"",IF(NOT(ISNA(VLOOKUP(E3147,E$1:E3146,1,FALSE()))),"OLD",IF(AND(E3147&lt;&gt;"",E3147&lt;&gt;"!!!"),"NEW","")))</f>
        <v> </v>
      </c>
      <c r="G3147" s="24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5" t="str">
        <f>IF(J3147&lt;&gt;1,"",IF(I3147="SBJ","CB","?"))</f>
        <v> </v>
      </c>
      <c r="I3147" s="26" t="str">
        <f>IF(OR(E3147="",E3147="!!!",F3147="NEW"),"",INDEX(B3146:B$2,-1+SUMPRODUCT(MAX(ROW(E3146:E$2)*(E3147=E3146:E$2)))))</f>
        <v> </v>
      </c>
      <c r="J3147" s="26" t="str">
        <f>IF(OR(E3147="",E3147="!!!",F3147="NEW"),"",COUNTBLANK(OFFSET(A$1,,,SUMPRODUCT(MAX(ROW(E$2:E3147)*(E3147=E$2:E3147)))))-COUNTBLANK(OFFSET(A$1,,,SUMPRODUCT(MAX(ROW(E$1:E3146)*(E2=E$1:E3146))))))</f>
        <v> </v>
      </c>
      <c r="K3147" s="26" t="str">
        <f>IF(OR(E3147="",E3147="!!!",F3147="NEW"),"",INDEX(J$1:J3146,SUMPRODUCT(MAX(ROW(E$1:E3146)*(E3147=E$1:E3146)))))</f>
        <v> </v>
      </c>
      <c r="L3147" s="27"/>
    </row>
    <row r="3148" spans="1:12">
      <c r="A3148" s="20" t="s">
        <v>984</v>
      </c>
      <c r="E3148" s="22">
        <f>IF(D3148="?OLD","!!!","")</f>
        <v/>
      </c>
      <c r="F3148" s="23" t="str">
        <f>IF(OR(E3148="",E3148="!!!"),"",IF(NOT(ISNA(VLOOKUP(E3148,E$1:E3147,1,FALSE()))),"OLD",IF(AND(E3148&lt;&gt;"",E3148&lt;&gt;"!!!"),"NEW","")))</f>
        <v> </v>
      </c>
      <c r="G3148" s="24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5" t="str">
        <f>IF(J3148&lt;&gt;1,"",IF(I3148="SBJ","CB","?"))</f>
        <v> </v>
      </c>
      <c r="I3148" s="26" t="str">
        <f>IF(OR(E3148="",E3148="!!!",F3148="NEW"),"",INDEX(B3147:B$2,-1+SUMPRODUCT(MAX(ROW(E3147:E$2)*(E3148=E3147:E$2)))))</f>
        <v> </v>
      </c>
      <c r="J3148" s="26" t="str">
        <f>IF(OR(E3148="",E3148="!!!",F3148="NEW"),"",COUNTBLANK(OFFSET(A$1,,,SUMPRODUCT(MAX(ROW(E$2:E3148)*(E3148=E$2:E3148)))))-COUNTBLANK(OFFSET(A$1,,,SUMPRODUCT(MAX(ROW(E$1:E3147)*(E2=E$1:E3147))))))</f>
        <v> </v>
      </c>
      <c r="K3148" s="26" t="str">
        <f>IF(OR(E3148="",E3148="!!!",F3148="NEW"),"",INDEX(J$1:J3147,SUMPRODUCT(MAX(ROW(E$1:E3147)*(E3148=E$1:E3147)))))</f>
        <v> </v>
      </c>
      <c r="L3148" s="27"/>
    </row>
    <row r="3149" spans="1:12">
      <c r="A3149" s="20"/>
    </row>
    <row r="3150" spans="1:12">
      <c r="A3150" s="20" t="s">
        <v>1898</v>
      </c>
    </row>
    <row r="3151" spans="1:12">
      <c r="A3151" s="20" t="s">
        <v>970</v>
      </c>
      <c r="E3151" s="22">
        <f>IF(D3151="?OLD","!!!","")</f>
        <v/>
      </c>
      <c r="F3151" s="23" t="str">
        <f>IF(OR(E3151="",E3151="!!!"),"",IF(NOT(ISNA(VLOOKUP(E3151,E$1:E3150,1,FALSE()))),"OLD",IF(AND(E3151&lt;&gt;"",E3151&lt;&gt;"!!!"),"NEW","")))</f>
        <v> </v>
      </c>
      <c r="G3151" s="24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5" t="str">
        <f>IF(J3151&lt;&gt;1,"",IF(I3151="SBJ","CB","?"))</f>
        <v> </v>
      </c>
      <c r="I3151" s="26" t="str">
        <f>IF(OR(E3151="",E3151="!!!",F3151="NEW"),"",INDEX(B3150:B$2,-1+SUMPRODUCT(MAX(ROW(E3150:E$2)*(E3151=E3150:E$2)))))</f>
        <v> </v>
      </c>
      <c r="J3151" s="26" t="str">
        <f>IF(OR(E3151="",E3151="!!!",F3151="NEW"),"",COUNTBLANK(OFFSET(A$1,,,SUMPRODUCT(MAX(ROW(E$2:E3151)*(E3151=E$2:E3151)))))-COUNTBLANK(OFFSET(A$1,,,SUMPRODUCT(MAX(ROW(E$1:E3150)*(E2=E$1:E3150))))))</f>
        <v> </v>
      </c>
      <c r="K3151" s="26" t="str">
        <f>IF(OR(E3151="",E3151="!!!",F3151="NEW"),"",INDEX(J$1:J3150,SUMPRODUCT(MAX(ROW(E$1:E3150)*(E3151=E$1:E3150)))))</f>
        <v> </v>
      </c>
      <c r="L3151" s="27"/>
    </row>
    <row r="3152" spans="1:12">
      <c r="A3152" s="20" t="s">
        <v>1899</v>
      </c>
      <c r="B3152" s="21" t="s">
        <v>959</v>
      </c>
      <c r="C3152" s="21" t="s">
        <v>976</v>
      </c>
      <c r="D3152" s="21" t="s">
        <v>950</v>
      </c>
      <c r="E3152" s="22">
        <f>IF(D3152="?OLD","!!!","")</f>
        <v/>
      </c>
      <c r="F3152" s="23" t="str">
        <f>IF(OR(E3152="",E3152="!!!"),"",IF(NOT(ISNA(VLOOKUP(E3152,E$1:E3151,1,FALSE()))),"OLD",IF(AND(E3152&lt;&gt;"",E3152&lt;&gt;"!!!"),"NEW","")))</f>
        <v> </v>
      </c>
      <c r="G3152" s="24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5" t="str">
        <f>IF(J3152&lt;&gt;1,"",IF(I3152="SBJ","CB","?"))</f>
        <v> </v>
      </c>
      <c r="I3152" s="26" t="str">
        <f>IF(OR(E3152="",E3152="!!!",F3152="NEW"),"",INDEX(B3151:B$2,-1+SUMPRODUCT(MAX(ROW(E3151:E$2)*(E3152=E3151:E$2)))))</f>
        <v> </v>
      </c>
      <c r="J3152" s="26" t="str">
        <f>IF(OR(E3152="",E3152="!!!",F3152="NEW"),"",COUNTBLANK(OFFSET(A$1,,,SUMPRODUCT(MAX(ROW(E$2:E3152)*(E3152=E$2:E3152)))))-COUNTBLANK(OFFSET(A$1,,,SUMPRODUCT(MAX(ROW(E$1:E3151)*(E2=E$1:E3151))))))</f>
        <v> </v>
      </c>
      <c r="K3152" s="26" t="str">
        <f>IF(OR(E3152="",E3152="!!!",F3152="NEW"),"",INDEX(J$1:J3151,SUMPRODUCT(MAX(ROW(E$1:E3151)*(E3152=E$1:E3151)))))</f>
        <v> </v>
      </c>
      <c r="L3152" s="27"/>
    </row>
    <row r="3153" spans="1:12">
      <c r="A3153" s="20" t="s">
        <v>1001</v>
      </c>
      <c r="E3153" s="22">
        <f>IF(D3153="?OLD","!!!","")</f>
        <v/>
      </c>
      <c r="F3153" s="23" t="str">
        <f>IF(OR(E3153="",E3153="!!!"),"",IF(NOT(ISNA(VLOOKUP(E3153,E$1:E3152,1,FALSE()))),"OLD",IF(AND(E3153&lt;&gt;"",E3153&lt;&gt;"!!!"),"NEW","")))</f>
        <v> </v>
      </c>
      <c r="G3153" s="24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5" t="str">
        <f>IF(J3153&lt;&gt;1,"",IF(I3153="SBJ","CB","?"))</f>
        <v> </v>
      </c>
      <c r="I3153" s="26" t="str">
        <f>IF(OR(E3153="",E3153="!!!",F3153="NEW"),"",INDEX(B3152:B$2,-1+SUMPRODUCT(MAX(ROW(E3152:E$2)*(E3153=E3152:E$2)))))</f>
        <v> </v>
      </c>
      <c r="J3153" s="26" t="str">
        <f>IF(OR(E3153="",E3153="!!!",F3153="NEW"),"",COUNTBLANK(OFFSET(A$1,,,SUMPRODUCT(MAX(ROW(E$2:E3153)*(E3153=E$2:E3153)))))-COUNTBLANK(OFFSET(A$1,,,SUMPRODUCT(MAX(ROW(E$1:E3152)*(E2=E$1:E3152))))))</f>
        <v> </v>
      </c>
      <c r="K3153" s="26" t="str">
        <f>IF(OR(E3153="",E3153="!!!",F3153="NEW"),"",INDEX(J$1:J3152,SUMPRODUCT(MAX(ROW(E$1:E3152)*(E3153=E$1:E3152)))))</f>
        <v> </v>
      </c>
      <c r="L3153" s="27"/>
    </row>
    <row r="3154" spans="1:12">
      <c r="A3154" s="20" t="s">
        <v>1899</v>
      </c>
      <c r="B3154" s="21" t="s">
        <v>1031</v>
      </c>
      <c r="C3154" s="21" t="s">
        <v>983</v>
      </c>
      <c r="E3154" s="22">
        <f>IF(D3154="?OLD","!!!","")</f>
        <v/>
      </c>
      <c r="F3154" s="23" t="str">
        <f>IF(OR(E3154="",E3154="!!!"),"",IF(NOT(ISNA(VLOOKUP(E3154,E$1:E3153,1,FALSE()))),"OLD",IF(AND(E3154&lt;&gt;"",E3154&lt;&gt;"!!!"),"NEW","")))</f>
        <v> </v>
      </c>
      <c r="G3154" s="24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5" t="str">
        <f>IF(J3154&lt;&gt;1,"",IF(I3154="SBJ","CB","?"))</f>
        <v> </v>
      </c>
      <c r="I3154" s="26" t="str">
        <f>IF(OR(E3154="",E3154="!!!",F3154="NEW"),"",INDEX(B3153:B$2,-1+SUMPRODUCT(MAX(ROW(E3153:E$2)*(E3154=E3153:E$2)))))</f>
        <v> </v>
      </c>
      <c r="J3154" s="26" t="str">
        <f>IF(OR(E3154="",E3154="!!!",F3154="NEW"),"",COUNTBLANK(OFFSET(A$1,,,SUMPRODUCT(MAX(ROW(E$2:E3154)*(E3154=E$2:E3154)))))-COUNTBLANK(OFFSET(A$1,,,SUMPRODUCT(MAX(ROW(E$1:E3153)*(E2=E$1:E3153))))))</f>
        <v> </v>
      </c>
      <c r="K3154" s="26" t="str">
        <f>IF(OR(E3154="",E3154="!!!",F3154="NEW"),"",INDEX(J$1:J3153,SUMPRODUCT(MAX(ROW(E$1:E3153)*(E3154=E$1:E3153)))))</f>
        <v> </v>
      </c>
      <c r="L3154" s="27"/>
    </row>
    <row r="3155" spans="1:12">
      <c r="A3155" s="20" t="s">
        <v>977</v>
      </c>
      <c r="E3155" s="22">
        <f>IF(D3155="?OLD","!!!","")</f>
        <v/>
      </c>
      <c r="F3155" s="23" t="str">
        <f>IF(OR(E3155="",E3155="!!!"),"",IF(NOT(ISNA(VLOOKUP(E3155,E$1:E3154,1,FALSE()))),"OLD",IF(AND(E3155&lt;&gt;"",E3155&lt;&gt;"!!!"),"NEW","")))</f>
        <v> </v>
      </c>
      <c r="G3155" s="24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5" t="str">
        <f>IF(J3155&lt;&gt;1,"",IF(I3155="SBJ","CB","?"))</f>
        <v> </v>
      </c>
      <c r="I3155" s="26" t="str">
        <f>IF(OR(E3155="",E3155="!!!",F3155="NEW"),"",INDEX(B3154:B$2,-1+SUMPRODUCT(MAX(ROW(E3154:E$2)*(E3155=E3154:E$2)))))</f>
        <v> </v>
      </c>
      <c r="J3155" s="26" t="str">
        <f>IF(OR(E3155="",E3155="!!!",F3155="NEW"),"",COUNTBLANK(OFFSET(A$1,,,SUMPRODUCT(MAX(ROW(E$2:E3155)*(E3155=E$2:E3155)))))-COUNTBLANK(OFFSET(A$1,,,SUMPRODUCT(MAX(ROW(E$1:E3154)*(E2=E$1:E3154))))))</f>
        <v> </v>
      </c>
      <c r="K3155" s="26" t="str">
        <f>IF(OR(E3155="",E3155="!!!",F3155="NEW"),"",INDEX(J$1:J3154,SUMPRODUCT(MAX(ROW(E$1:E3154)*(E3155=E$1:E3154)))))</f>
        <v> </v>
      </c>
      <c r="L3155" s="27"/>
    </row>
    <row r="3156" spans="1:12">
      <c r="A3156" s="20" t="s">
        <v>1094</v>
      </c>
      <c r="B3156" s="21" t="s">
        <v>1031</v>
      </c>
      <c r="C3156" s="21" t="s">
        <v>976</v>
      </c>
      <c r="D3156" s="21" t="s">
        <v>950</v>
      </c>
      <c r="E3156" s="22">
        <f>IF(D3156="?OLD","!!!","")</f>
        <v/>
      </c>
      <c r="F3156" s="23" t="str">
        <f>IF(OR(E3156="",E3156="!!!"),"",IF(NOT(ISNA(VLOOKUP(E3156,E$1:E3155,1,FALSE()))),"OLD",IF(AND(E3156&lt;&gt;"",E3156&lt;&gt;"!!!"),"NEW","")))</f>
        <v> </v>
      </c>
      <c r="G3156" s="24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5" t="str">
        <f>IF(J3156&lt;&gt;1,"",IF(I3156="SBJ","CB","?"))</f>
        <v> </v>
      </c>
      <c r="I3156" s="26" t="str">
        <f>IF(OR(E3156="",E3156="!!!",F3156="NEW"),"",INDEX(B3155:B$2,-1+SUMPRODUCT(MAX(ROW(E3155:E$2)*(E3156=E3155:E$2)))))</f>
        <v> </v>
      </c>
      <c r="J3156" s="26" t="str">
        <f>IF(OR(E3156="",E3156="!!!",F3156="NEW"),"",COUNTBLANK(OFFSET(A$1,,,SUMPRODUCT(MAX(ROW(E$2:E3156)*(E3156=E$2:E3156)))))-COUNTBLANK(OFFSET(A$1,,,SUMPRODUCT(MAX(ROW(E$1:E3155)*(E2=E$1:E3155))))))</f>
        <v> </v>
      </c>
      <c r="K3156" s="26" t="str">
        <f>IF(OR(E3156="",E3156="!!!",F3156="NEW"),"",INDEX(J$1:J3155,SUMPRODUCT(MAX(ROW(E$1:E3155)*(E3156=E$1:E3155)))))</f>
        <v> </v>
      </c>
      <c r="L3156" s="27"/>
    </row>
    <row r="3157" spans="1:12">
      <c r="A3157" s="20" t="s">
        <v>1168</v>
      </c>
      <c r="E3157" s="22">
        <f>IF(D3157="?OLD","!!!","")</f>
        <v/>
      </c>
      <c r="F3157" s="23" t="str">
        <f>IF(OR(E3157="",E3157="!!!"),"",IF(NOT(ISNA(VLOOKUP(E3157,E$1:E3156,1,FALSE()))),"OLD",IF(AND(E3157&lt;&gt;"",E3157&lt;&gt;"!!!"),"NEW","")))</f>
        <v> </v>
      </c>
      <c r="G3157" s="24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5" t="str">
        <f>IF(J3157&lt;&gt;1,"",IF(I3157="SBJ","CB","?"))</f>
        <v> </v>
      </c>
      <c r="I3157" s="26" t="str">
        <f>IF(OR(E3157="",E3157="!!!",F3157="NEW"),"",INDEX(B3156:B$2,-1+SUMPRODUCT(MAX(ROW(E3156:E$2)*(E3157=E3156:E$2)))))</f>
        <v> </v>
      </c>
      <c r="J3157" s="26" t="str">
        <f>IF(OR(E3157="",E3157="!!!",F3157="NEW"),"",COUNTBLANK(OFFSET(A$1,,,SUMPRODUCT(MAX(ROW(E$2:E3157)*(E3157=E$2:E3157)))))-COUNTBLANK(OFFSET(A$1,,,SUMPRODUCT(MAX(ROW(E$1:E3156)*(E2=E$1:E3156))))))</f>
        <v> </v>
      </c>
      <c r="K3157" s="26" t="str">
        <f>IF(OR(E3157="",E3157="!!!",F3157="NEW"),"",INDEX(J$1:J3156,SUMPRODUCT(MAX(ROW(E$1:E3156)*(E3157=E$1:E3156)))))</f>
        <v> </v>
      </c>
      <c r="L3157" s="27"/>
    </row>
    <row r="3158" spans="1:12">
      <c r="A3158" s="20" t="s">
        <v>1838</v>
      </c>
      <c r="B3158" s="21" t="s">
        <v>980</v>
      </c>
      <c r="C3158" s="21" t="s">
        <v>983</v>
      </c>
      <c r="E3158" s="22">
        <f>IF(D3158="?OLD","!!!","")</f>
        <v/>
      </c>
      <c r="F3158" s="23" t="str">
        <f>IF(OR(E3158="",E3158="!!!"),"",IF(NOT(ISNA(VLOOKUP(E3158,E$1:E3157,1,FALSE()))),"OLD",IF(AND(E3158&lt;&gt;"",E3158&lt;&gt;"!!!"),"NEW","")))</f>
        <v> </v>
      </c>
      <c r="G3158" s="24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5" t="str">
        <f>IF(J3158&lt;&gt;1,"",IF(I3158="SBJ","CB","?"))</f>
        <v> </v>
      </c>
      <c r="I3158" s="26" t="str">
        <f>IF(OR(E3158="",E3158="!!!",F3158="NEW"),"",INDEX(B3157:B$2,-1+SUMPRODUCT(MAX(ROW(E3157:E$2)*(E3158=E3157:E$2)))))</f>
        <v> </v>
      </c>
      <c r="J3158" s="26" t="str">
        <f>IF(OR(E3158="",E3158="!!!",F3158="NEW"),"",COUNTBLANK(OFFSET(A$1,,,SUMPRODUCT(MAX(ROW(E$2:E3158)*(E3158=E$2:E3158)))))-COUNTBLANK(OFFSET(A$1,,,SUMPRODUCT(MAX(ROW(E$1:E3157)*(E2=E$1:E3157))))))</f>
        <v> </v>
      </c>
      <c r="K3158" s="26" t="str">
        <f>IF(OR(E3158="",E3158="!!!",F3158="NEW"),"",INDEX(J$1:J3157,SUMPRODUCT(MAX(ROW(E$1:E3157)*(E3158=E$1:E3157)))))</f>
        <v> </v>
      </c>
      <c r="L3158" s="27"/>
    </row>
    <row r="3159" spans="1:12">
      <c r="A3159" s="20" t="s">
        <v>1841</v>
      </c>
      <c r="E3159" s="22">
        <f>IF(D3159="?OLD","!!!","")</f>
        <v/>
      </c>
      <c r="F3159" s="23" t="str">
        <f>IF(OR(E3159="",E3159="!!!"),"",IF(NOT(ISNA(VLOOKUP(E3159,E$1:E3158,1,FALSE()))),"OLD",IF(AND(E3159&lt;&gt;"",E3159&lt;&gt;"!!!"),"NEW","")))</f>
        <v> </v>
      </c>
      <c r="G3159" s="24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5" t="str">
        <f>IF(J3159&lt;&gt;1,"",IF(I3159="SBJ","CB","?"))</f>
        <v> </v>
      </c>
      <c r="I3159" s="26" t="str">
        <f>IF(OR(E3159="",E3159="!!!",F3159="NEW"),"",INDEX(B3158:B$2,-1+SUMPRODUCT(MAX(ROW(E3158:E$2)*(E3159=E3158:E$2)))))</f>
        <v> </v>
      </c>
      <c r="J3159" s="26" t="str">
        <f>IF(OR(E3159="",E3159="!!!",F3159="NEW"),"",COUNTBLANK(OFFSET(A$1,,,SUMPRODUCT(MAX(ROW(E$2:E3159)*(E3159=E$2:E3159)))))-COUNTBLANK(OFFSET(A$1,,,SUMPRODUCT(MAX(ROW(E$1:E3158)*(E2=E$1:E3158))))))</f>
        <v> </v>
      </c>
      <c r="K3159" s="26" t="str">
        <f>IF(OR(E3159="",E3159="!!!",F3159="NEW"),"",INDEX(J$1:J3158,SUMPRODUCT(MAX(ROW(E$1:E3158)*(E3159=E$1:E3158)))))</f>
        <v> </v>
      </c>
      <c r="L3159" s="27"/>
    </row>
    <row r="3160" spans="1:12">
      <c r="A3160" s="20" t="s">
        <v>1000</v>
      </c>
      <c r="E3160" s="22">
        <f>IF(D3160="?OLD","!!!","")</f>
        <v/>
      </c>
      <c r="F3160" s="23" t="str">
        <f>IF(OR(E3160="",E3160="!!!"),"",IF(NOT(ISNA(VLOOKUP(E3160,E$1:E3159,1,FALSE()))),"OLD",IF(AND(E3160&lt;&gt;"",E3160&lt;&gt;"!!!"),"NEW","")))</f>
        <v> </v>
      </c>
      <c r="G3160" s="24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5" t="str">
        <f>IF(J3160&lt;&gt;1,"",IF(I3160="SBJ","CB","?"))</f>
        <v> </v>
      </c>
      <c r="I3160" s="26" t="str">
        <f>IF(OR(E3160="",E3160="!!!",F3160="NEW"),"",INDEX(B3159:B$2,-1+SUMPRODUCT(MAX(ROW(E3159:E$2)*(E3160=E3159:E$2)))))</f>
        <v> </v>
      </c>
      <c r="J3160" s="26" t="str">
        <f>IF(OR(E3160="",E3160="!!!",F3160="NEW"),"",COUNTBLANK(OFFSET(A$1,,,SUMPRODUCT(MAX(ROW(E$2:E3160)*(E3160=E$2:E3160)))))-COUNTBLANK(OFFSET(A$1,,,SUMPRODUCT(MAX(ROW(E$1:E3159)*(E2=E$1:E3159))))))</f>
        <v> </v>
      </c>
      <c r="K3160" s="26" t="str">
        <f>IF(OR(E3160="",E3160="!!!",F3160="NEW"),"",INDEX(J$1:J3159,SUMPRODUCT(MAX(ROW(E$1:E3159)*(E3160=E$1:E3159)))))</f>
        <v> </v>
      </c>
      <c r="L3160" s="27"/>
    </row>
    <row r="3161" spans="1:12">
      <c r="A3161" s="20" t="s">
        <v>977</v>
      </c>
      <c r="E3161" s="22">
        <f>IF(D3161="?OLD","!!!","")</f>
        <v/>
      </c>
      <c r="F3161" s="23" t="str">
        <f>IF(OR(E3161="",E3161="!!!"),"",IF(NOT(ISNA(VLOOKUP(E3161,E$1:E3160,1,FALSE()))),"OLD",IF(AND(E3161&lt;&gt;"",E3161&lt;&gt;"!!!"),"NEW","")))</f>
        <v> </v>
      </c>
      <c r="G3161" s="24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5" t="str">
        <f>IF(J3161&lt;&gt;1,"",IF(I3161="SBJ","CB","?"))</f>
        <v> </v>
      </c>
      <c r="I3161" s="26" t="str">
        <f>IF(OR(E3161="",E3161="!!!",F3161="NEW"),"",INDEX(B3160:B$2,-1+SUMPRODUCT(MAX(ROW(E3160:E$2)*(E3161=E3160:E$2)))))</f>
        <v> </v>
      </c>
      <c r="J3161" s="26" t="str">
        <f>IF(OR(E3161="",E3161="!!!",F3161="NEW"),"",COUNTBLANK(OFFSET(A$1,,,SUMPRODUCT(MAX(ROW(E$2:E3161)*(E3161=E$2:E3161)))))-COUNTBLANK(OFFSET(A$1,,,SUMPRODUCT(MAX(ROW(E$1:E3160)*(E2=E$1:E3160))))))</f>
        <v> </v>
      </c>
      <c r="K3161" s="26" t="str">
        <f>IF(OR(E3161="",E3161="!!!",F3161="NEW"),"",INDEX(J$1:J3160,SUMPRODUCT(MAX(ROW(E$1:E3160)*(E3161=E$1:E3160)))))</f>
        <v> </v>
      </c>
      <c r="L3161" s="27"/>
    </row>
    <row r="3162" spans="1:12">
      <c r="A3162" s="20" t="s">
        <v>965</v>
      </c>
      <c r="E3162" s="22">
        <f>IF(D3162="?OLD","!!!","")</f>
        <v/>
      </c>
      <c r="F3162" s="23" t="str">
        <f>IF(OR(E3162="",E3162="!!!"),"",IF(NOT(ISNA(VLOOKUP(E3162,E$1:E3161,1,FALSE()))),"OLD",IF(AND(E3162&lt;&gt;"",E3162&lt;&gt;"!!!"),"NEW","")))</f>
        <v> </v>
      </c>
      <c r="G3162" s="24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5" t="str">
        <f>IF(J3162&lt;&gt;1,"",IF(I3162="SBJ","CB","?"))</f>
        <v> </v>
      </c>
      <c r="I3162" s="26" t="str">
        <f>IF(OR(E3162="",E3162="!!!",F3162="NEW"),"",INDEX(B3161:B$2,-1+SUMPRODUCT(MAX(ROW(E3161:E$2)*(E3162=E3161:E$2)))))</f>
        <v> </v>
      </c>
      <c r="J3162" s="26" t="str">
        <f>IF(OR(E3162="",E3162="!!!",F3162="NEW"),"",COUNTBLANK(OFFSET(A$1,,,SUMPRODUCT(MAX(ROW(E$2:E3162)*(E3162=E$2:E3162)))))-COUNTBLANK(OFFSET(A$1,,,SUMPRODUCT(MAX(ROW(E$1:E3161)*(E2=E$1:E3161))))))</f>
        <v> </v>
      </c>
      <c r="K3162" s="26" t="str">
        <f>IF(OR(E3162="",E3162="!!!",F3162="NEW"),"",INDEX(J$1:J3161,SUMPRODUCT(MAX(ROW(E$1:E3161)*(E3162=E$1:E3161)))))</f>
        <v> </v>
      </c>
      <c r="L3162" s="27"/>
    </row>
    <row r="3163" spans="1:12">
      <c r="A3163" s="20" t="s">
        <v>972</v>
      </c>
      <c r="E3163" s="22">
        <f>IF(D3163="?OLD","!!!","")</f>
        <v/>
      </c>
      <c r="F3163" s="23" t="str">
        <f>IF(OR(E3163="",E3163="!!!"),"",IF(NOT(ISNA(VLOOKUP(E3163,E$1:E3162,1,FALSE()))),"OLD",IF(AND(E3163&lt;&gt;"",E3163&lt;&gt;"!!!"),"NEW","")))</f>
        <v> </v>
      </c>
      <c r="G3163" s="24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5" t="str">
        <f>IF(J3163&lt;&gt;1,"",IF(I3163="SBJ","CB","?"))</f>
        <v> </v>
      </c>
      <c r="I3163" s="26" t="str">
        <f>IF(OR(E3163="",E3163="!!!",F3163="NEW"),"",INDEX(B3162:B$2,-1+SUMPRODUCT(MAX(ROW(E3162:E$2)*(E3163=E3162:E$2)))))</f>
        <v> </v>
      </c>
      <c r="J3163" s="26" t="str">
        <f>IF(OR(E3163="",E3163="!!!",F3163="NEW"),"",COUNTBLANK(OFFSET(A$1,,,SUMPRODUCT(MAX(ROW(E$2:E3163)*(E3163=E$2:E3163)))))-COUNTBLANK(OFFSET(A$1,,,SUMPRODUCT(MAX(ROW(E$1:E3162)*(E2=E$1:E3162))))))</f>
        <v> </v>
      </c>
      <c r="K3163" s="26" t="str">
        <f>IF(OR(E3163="",E3163="!!!",F3163="NEW"),"",INDEX(J$1:J3162,SUMPRODUCT(MAX(ROW(E$1:E3162)*(E3163=E$1:E3162)))))</f>
        <v> </v>
      </c>
      <c r="L3163" s="27"/>
    </row>
    <row r="3164" spans="1:12">
      <c r="A3164" s="20" t="s">
        <v>1047</v>
      </c>
      <c r="E3164" s="22">
        <f>IF(D3164="?OLD","!!!","")</f>
        <v/>
      </c>
      <c r="F3164" s="23" t="str">
        <f>IF(OR(E3164="",E3164="!!!"),"",IF(NOT(ISNA(VLOOKUP(E3164,E$1:E3163,1,FALSE()))),"OLD",IF(AND(E3164&lt;&gt;"",E3164&lt;&gt;"!!!"),"NEW","")))</f>
        <v> </v>
      </c>
      <c r="G3164" s="24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5" t="str">
        <f>IF(J3164&lt;&gt;1,"",IF(I3164="SBJ","CB","?"))</f>
        <v> </v>
      </c>
      <c r="I3164" s="26" t="str">
        <f>IF(OR(E3164="",E3164="!!!",F3164="NEW"),"",INDEX(B3163:B$2,-1+SUMPRODUCT(MAX(ROW(E3163:E$2)*(E3164=E3163:E$2)))))</f>
        <v> </v>
      </c>
      <c r="J3164" s="26" t="str">
        <f>IF(OR(E3164="",E3164="!!!",F3164="NEW"),"",COUNTBLANK(OFFSET(A$1,,,SUMPRODUCT(MAX(ROW(E$2:E3164)*(E3164=E$2:E3164)))))-COUNTBLANK(OFFSET(A$1,,,SUMPRODUCT(MAX(ROW(E$1:E3163)*(E2=E$1:E3163))))))</f>
        <v> </v>
      </c>
      <c r="K3164" s="26" t="str">
        <f>IF(OR(E3164="",E3164="!!!",F3164="NEW"),"",INDEX(J$1:J3163,SUMPRODUCT(MAX(ROW(E$1:E3163)*(E3164=E$1:E3163)))))</f>
        <v> </v>
      </c>
      <c r="L3164" s="27"/>
    </row>
    <row r="3165" spans="1:12">
      <c r="A3165" s="20" t="s">
        <v>1788</v>
      </c>
      <c r="B3165" s="21" t="s">
        <v>1082</v>
      </c>
      <c r="C3165" s="21" t="s">
        <v>983</v>
      </c>
      <c r="E3165" s="22">
        <f>IF(D3165="?OLD","!!!","")</f>
        <v/>
      </c>
      <c r="F3165" s="23" t="str">
        <f>IF(OR(E3165="",E3165="!!!"),"",IF(NOT(ISNA(VLOOKUP(E3165,E$1:E3164,1,FALSE()))),"OLD",IF(AND(E3165&lt;&gt;"",E3165&lt;&gt;"!!!"),"NEW","")))</f>
        <v> </v>
      </c>
      <c r="G3165" s="24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5" t="str">
        <f>IF(J3165&lt;&gt;1,"",IF(I3165="SBJ","CB","?"))</f>
        <v> </v>
      </c>
      <c r="I3165" s="26" t="str">
        <f>IF(OR(E3165="",E3165="!!!",F3165="NEW"),"",INDEX(B3164:B$2,-1+SUMPRODUCT(MAX(ROW(E3164:E$2)*(E3165=E3164:E$2)))))</f>
        <v> </v>
      </c>
      <c r="J3165" s="26" t="str">
        <f>IF(OR(E3165="",E3165="!!!",F3165="NEW"),"",COUNTBLANK(OFFSET(A$1,,,SUMPRODUCT(MAX(ROW(E$2:E3165)*(E3165=E$2:E3165)))))-COUNTBLANK(OFFSET(A$1,,,SUMPRODUCT(MAX(ROW(E$1:E3164)*(E2=E$1:E3164))))))</f>
        <v> </v>
      </c>
      <c r="K3165" s="26" t="str">
        <f>IF(OR(E3165="",E3165="!!!",F3165="NEW"),"",INDEX(J$1:J3164,SUMPRODUCT(MAX(ROW(E$1:E3164)*(E3165=E$1:E3164)))))</f>
        <v> </v>
      </c>
      <c r="L3165" s="27"/>
    </row>
    <row r="3166" spans="1:12">
      <c r="A3166" s="20" t="s">
        <v>1644</v>
      </c>
      <c r="E3166" s="22">
        <f>IF(D3166="?OLD","!!!","")</f>
        <v/>
      </c>
      <c r="F3166" s="23" t="str">
        <f>IF(OR(E3166="",E3166="!!!"),"",IF(NOT(ISNA(VLOOKUP(E3166,E$1:E3165,1,FALSE()))),"OLD",IF(AND(E3166&lt;&gt;"",E3166&lt;&gt;"!!!"),"NEW","")))</f>
        <v> </v>
      </c>
      <c r="G3166" s="24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5" t="str">
        <f>IF(J3166&lt;&gt;1,"",IF(I3166="SBJ","CB","?"))</f>
        <v> </v>
      </c>
      <c r="I3166" s="26" t="str">
        <f>IF(OR(E3166="",E3166="!!!",F3166="NEW"),"",INDEX(B3165:B$2,-1+SUMPRODUCT(MAX(ROW(E3165:E$2)*(E3166=E3165:E$2)))))</f>
        <v> </v>
      </c>
      <c r="J3166" s="26" t="str">
        <f>IF(OR(E3166="",E3166="!!!",F3166="NEW"),"",COUNTBLANK(OFFSET(A$1,,,SUMPRODUCT(MAX(ROW(E$2:E3166)*(E3166=E$2:E3166)))))-COUNTBLANK(OFFSET(A$1,,,SUMPRODUCT(MAX(ROW(E$1:E3165)*(E2=E$1:E3165))))))</f>
        <v> </v>
      </c>
      <c r="K3166" s="26" t="str">
        <f>IF(OR(E3166="",E3166="!!!",F3166="NEW"),"",INDEX(J$1:J3165,SUMPRODUCT(MAX(ROW(E$1:E3165)*(E3166=E$1:E3165)))))</f>
        <v> </v>
      </c>
      <c r="L3166" s="27"/>
    </row>
    <row r="3167" spans="1:12">
      <c r="A3167" s="20" t="s">
        <v>1075</v>
      </c>
      <c r="E3167" s="22">
        <f>IF(D3167="?OLD","!!!","")</f>
        <v/>
      </c>
      <c r="F3167" s="23" t="str">
        <f>IF(OR(E3167="",E3167="!!!"),"",IF(NOT(ISNA(VLOOKUP(E3167,E$1:E3166,1,FALSE()))),"OLD",IF(AND(E3167&lt;&gt;"",E3167&lt;&gt;"!!!"),"NEW","")))</f>
        <v> </v>
      </c>
      <c r="G3167" s="24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5" t="str">
        <f>IF(J3167&lt;&gt;1,"",IF(I3167="SBJ","CB","?"))</f>
        <v> </v>
      </c>
      <c r="I3167" s="26" t="str">
        <f>IF(OR(E3167="",E3167="!!!",F3167="NEW"),"",INDEX(B3166:B$2,-1+SUMPRODUCT(MAX(ROW(E3166:E$2)*(E3167=E3166:E$2)))))</f>
        <v> </v>
      </c>
      <c r="J3167" s="26" t="str">
        <f>IF(OR(E3167="",E3167="!!!",F3167="NEW"),"",COUNTBLANK(OFFSET(A$1,,,SUMPRODUCT(MAX(ROW(E$2:E3167)*(E3167=E$2:E3167)))))-COUNTBLANK(OFFSET(A$1,,,SUMPRODUCT(MAX(ROW(E$1:E3166)*(E2=E$1:E3166))))))</f>
        <v> </v>
      </c>
      <c r="K3167" s="26" t="str">
        <f>IF(OR(E3167="",E3167="!!!",F3167="NEW"),"",INDEX(J$1:J3166,SUMPRODUCT(MAX(ROW(E$1:E3166)*(E3167=E$1:E3166)))))</f>
        <v> </v>
      </c>
      <c r="L3167" s="27"/>
    </row>
    <row r="3168" spans="1:12">
      <c r="A3168" s="20" t="s">
        <v>1900</v>
      </c>
      <c r="B3168" s="21" t="s">
        <v>982</v>
      </c>
      <c r="C3168" s="21" t="s">
        <v>983</v>
      </c>
      <c r="E3168" s="22">
        <f>IF(D3168="?OLD","!!!","")</f>
        <v/>
      </c>
      <c r="F3168" s="23" t="str">
        <f>IF(OR(E3168="",E3168="!!!"),"",IF(NOT(ISNA(VLOOKUP(E3168,E$1:E3167,1,FALSE()))),"OLD",IF(AND(E3168&lt;&gt;"",E3168&lt;&gt;"!!!"),"NEW","")))</f>
        <v> </v>
      </c>
      <c r="G3168" s="24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5" t="str">
        <f>IF(J3168&lt;&gt;1,"",IF(I3168="SBJ","CB","?"))</f>
        <v> </v>
      </c>
      <c r="I3168" s="26" t="str">
        <f>IF(OR(E3168="",E3168="!!!",F3168="NEW"),"",INDEX(B3167:B$2,-1+SUMPRODUCT(MAX(ROW(E3167:E$2)*(E3168=E3167:E$2)))))</f>
        <v> </v>
      </c>
      <c r="J3168" s="26" t="str">
        <f>IF(OR(E3168="",E3168="!!!",F3168="NEW"),"",COUNTBLANK(OFFSET(A$1,,,SUMPRODUCT(MAX(ROW(E$2:E3168)*(E3168=E$2:E3168)))))-COUNTBLANK(OFFSET(A$1,,,SUMPRODUCT(MAX(ROW(E$1:E3167)*(E2=E$1:E3167))))))</f>
        <v> </v>
      </c>
      <c r="K3168" s="26" t="str">
        <f>IF(OR(E3168="",E3168="!!!",F3168="NEW"),"",INDEX(J$1:J3167,SUMPRODUCT(MAX(ROW(E$1:E3167)*(E3168=E$1:E3167)))))</f>
        <v> </v>
      </c>
      <c r="L3168" s="27"/>
    </row>
    <row r="3169" spans="1:12">
      <c r="A3169" s="20" t="s">
        <v>984</v>
      </c>
      <c r="E3169" s="22">
        <f>IF(D3169="?OLD","!!!","")</f>
        <v/>
      </c>
      <c r="F3169" s="23" t="str">
        <f>IF(OR(E3169="",E3169="!!!"),"",IF(NOT(ISNA(VLOOKUP(E3169,E$1:E3168,1,FALSE()))),"OLD",IF(AND(E3169&lt;&gt;"",E3169&lt;&gt;"!!!"),"NEW","")))</f>
        <v> </v>
      </c>
      <c r="G3169" s="24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5" t="str">
        <f>IF(J3169&lt;&gt;1,"",IF(I3169="SBJ","CB","?"))</f>
        <v> </v>
      </c>
      <c r="I3169" s="26" t="str">
        <f>IF(OR(E3169="",E3169="!!!",F3169="NEW"),"",INDEX(B3168:B$2,-1+SUMPRODUCT(MAX(ROW(E3168:E$2)*(E3169=E3168:E$2)))))</f>
        <v> </v>
      </c>
      <c r="J3169" s="26" t="str">
        <f>IF(OR(E3169="",E3169="!!!",F3169="NEW"),"",COUNTBLANK(OFFSET(A$1,,,SUMPRODUCT(MAX(ROW(E$2:E3169)*(E3169=E$2:E3169)))))-COUNTBLANK(OFFSET(A$1,,,SUMPRODUCT(MAX(ROW(E$1:E3168)*(E2=E$1:E3168))))))</f>
        <v> </v>
      </c>
      <c r="K3169" s="26" t="str">
        <f>IF(OR(E3169="",E3169="!!!",F3169="NEW"),"",INDEX(J$1:J3168,SUMPRODUCT(MAX(ROW(E$1:E3168)*(E3169=E$1:E3168)))))</f>
        <v> </v>
      </c>
      <c r="L3169" s="27"/>
    </row>
    <row r="3170" spans="1:12">
      <c r="A3170" s="20"/>
    </row>
    <row r="3171" spans="1:12">
      <c r="A3171" s="20" t="s">
        <v>1901</v>
      </c>
    </row>
    <row r="3172" spans="1:12">
      <c r="A3172" s="20" t="s">
        <v>1351</v>
      </c>
      <c r="E3172" s="22">
        <f>IF(D3172="?OLD","!!!","")</f>
        <v/>
      </c>
      <c r="F3172" s="23" t="str">
        <f>IF(OR(E3172="",E3172="!!!"),"",IF(NOT(ISNA(VLOOKUP(E3172,E$1:E3171,1,FALSE()))),"OLD",IF(AND(E3172&lt;&gt;"",E3172&lt;&gt;"!!!"),"NEW","")))</f>
        <v> </v>
      </c>
      <c r="G3172" s="24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5" t="str">
        <f>IF(J3172&lt;&gt;1,"",IF(I3172="SBJ","CB","?"))</f>
        <v> </v>
      </c>
      <c r="I3172" s="26" t="str">
        <f>IF(OR(E3172="",E3172="!!!",F3172="NEW"),"",INDEX(B3171:B$2,-1+SUMPRODUCT(MAX(ROW(E3171:E$2)*(E3172=E3171:E$2)))))</f>
        <v> </v>
      </c>
      <c r="J3172" s="26" t="str">
        <f>IF(OR(E3172="",E3172="!!!",F3172="NEW"),"",COUNTBLANK(OFFSET(A$1,,,SUMPRODUCT(MAX(ROW(E$2:E3172)*(E3172=E$2:E3172)))))-COUNTBLANK(OFFSET(A$1,,,SUMPRODUCT(MAX(ROW(E$1:E3171)*(E2=E$1:E3171))))))</f>
        <v> </v>
      </c>
      <c r="K3172" s="26" t="str">
        <f>IF(OR(E3172="",E3172="!!!",F3172="NEW"),"",INDEX(J$1:J3171,SUMPRODUCT(MAX(ROW(E$1:E3171)*(E3172=E$1:E3171)))))</f>
        <v> </v>
      </c>
      <c r="L3172" s="27"/>
    </row>
    <row r="3173" spans="1:12">
      <c r="A3173" s="20" t="s">
        <v>1098</v>
      </c>
      <c r="B3173" s="21" t="s">
        <v>948</v>
      </c>
      <c r="C3173" s="21" t="s">
        <v>1008</v>
      </c>
      <c r="D3173" s="21" t="s">
        <v>950</v>
      </c>
      <c r="E3173" s="22">
        <f>IF(D3173="?OLD","!!!","")</f>
        <v/>
      </c>
      <c r="F3173" s="23" t="str">
        <f>IF(OR(E3173="",E3173="!!!"),"",IF(NOT(ISNA(VLOOKUP(E3173,E$1:E3172,1,FALSE()))),"OLD",IF(AND(E3173&lt;&gt;"",E3173&lt;&gt;"!!!"),"NEW","")))</f>
        <v> </v>
      </c>
      <c r="G3173" s="24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5" t="str">
        <f>IF(J3173&lt;&gt;1,"",IF(I3173="SBJ","CB","?"))</f>
        <v> </v>
      </c>
      <c r="I3173" s="26" t="str">
        <f>IF(OR(E3173="",E3173="!!!",F3173="NEW"),"",INDEX(B3172:B$2,-1+SUMPRODUCT(MAX(ROW(E3172:E$2)*(E3173=E3172:E$2)))))</f>
        <v> </v>
      </c>
      <c r="J3173" s="26" t="str">
        <f>IF(OR(E3173="",E3173="!!!",F3173="NEW"),"",COUNTBLANK(OFFSET(A$1,,,SUMPRODUCT(MAX(ROW(E$2:E3173)*(E3173=E$2:E3173)))))-COUNTBLANK(OFFSET(A$1,,,SUMPRODUCT(MAX(ROW(E$1:E3172)*(E2=E$1:E3172))))))</f>
        <v> </v>
      </c>
      <c r="K3173" s="26" t="str">
        <f>IF(OR(E3173="",E3173="!!!",F3173="NEW"),"",INDEX(J$1:J3172,SUMPRODUCT(MAX(ROW(E$1:E3172)*(E3173=E$1:E3172)))))</f>
        <v> </v>
      </c>
      <c r="L3173" s="27"/>
    </row>
    <row r="3174" spans="1:12">
      <c r="A3174" s="20" t="s">
        <v>1000</v>
      </c>
      <c r="E3174" s="22">
        <f>IF(D3174="?OLD","!!!","")</f>
        <v/>
      </c>
      <c r="F3174" s="23" t="str">
        <f>IF(OR(E3174="",E3174="!!!"),"",IF(NOT(ISNA(VLOOKUP(E3174,E$1:E3173,1,FALSE()))),"OLD",IF(AND(E3174&lt;&gt;"",E3174&lt;&gt;"!!!"),"NEW","")))</f>
        <v> </v>
      </c>
      <c r="G3174" s="24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5" t="str">
        <f>IF(J3174&lt;&gt;1,"",IF(I3174="SBJ","CB","?"))</f>
        <v> </v>
      </c>
      <c r="I3174" s="26" t="str">
        <f>IF(OR(E3174="",E3174="!!!",F3174="NEW"),"",INDEX(B3173:B$2,-1+SUMPRODUCT(MAX(ROW(E3173:E$2)*(E3174=E3173:E$2)))))</f>
        <v> </v>
      </c>
      <c r="J3174" s="26" t="str">
        <f>IF(OR(E3174="",E3174="!!!",F3174="NEW"),"",COUNTBLANK(OFFSET(A$1,,,SUMPRODUCT(MAX(ROW(E$2:E3174)*(E3174=E$2:E3174)))))-COUNTBLANK(OFFSET(A$1,,,SUMPRODUCT(MAX(ROW(E$1:E3173)*(E2=E$1:E3173))))))</f>
        <v> </v>
      </c>
      <c r="K3174" s="26" t="str">
        <f>IF(OR(E3174="",E3174="!!!",F3174="NEW"),"",INDEX(J$1:J3173,SUMPRODUCT(MAX(ROW(E$1:E3173)*(E3174=E$1:E3173)))))</f>
        <v> </v>
      </c>
      <c r="L3174" s="27"/>
    </row>
    <row r="3175" spans="1:12">
      <c r="A3175" s="20" t="s">
        <v>1197</v>
      </c>
      <c r="E3175" s="22">
        <f>IF(D3175="?OLD","!!!","")</f>
        <v/>
      </c>
      <c r="F3175" s="23" t="str">
        <f>IF(OR(E3175="",E3175="!!!"),"",IF(NOT(ISNA(VLOOKUP(E3175,E$1:E3174,1,FALSE()))),"OLD",IF(AND(E3175&lt;&gt;"",E3175&lt;&gt;"!!!"),"NEW","")))</f>
        <v> </v>
      </c>
      <c r="G3175" s="24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5" t="str">
        <f>IF(J3175&lt;&gt;1,"",IF(I3175="SBJ","CB","?"))</f>
        <v> </v>
      </c>
      <c r="I3175" s="26" t="str">
        <f>IF(OR(E3175="",E3175="!!!",F3175="NEW"),"",INDEX(B3174:B$2,-1+SUMPRODUCT(MAX(ROW(E3174:E$2)*(E3175=E3174:E$2)))))</f>
        <v> </v>
      </c>
      <c r="J3175" s="26" t="str">
        <f>IF(OR(E3175="",E3175="!!!",F3175="NEW"),"",COUNTBLANK(OFFSET(A$1,,,SUMPRODUCT(MAX(ROW(E$2:E3175)*(E3175=E$2:E3175)))))-COUNTBLANK(OFFSET(A$1,,,SUMPRODUCT(MAX(ROW(E$1:E3174)*(E2=E$1:E3174))))))</f>
        <v> </v>
      </c>
      <c r="K3175" s="26" t="str">
        <f>IF(OR(E3175="",E3175="!!!",F3175="NEW"),"",INDEX(J$1:J3174,SUMPRODUCT(MAX(ROW(E$1:E3174)*(E3175=E$1:E3174)))))</f>
        <v> </v>
      </c>
      <c r="L3175" s="27"/>
    </row>
    <row r="3176" spans="1:12">
      <c r="A3176" s="20" t="s">
        <v>1019</v>
      </c>
      <c r="E3176" s="22">
        <f>IF(D3176="?OLD","!!!","")</f>
        <v/>
      </c>
      <c r="F3176" s="23" t="str">
        <f>IF(OR(E3176="",E3176="!!!"),"",IF(NOT(ISNA(VLOOKUP(E3176,E$1:E3175,1,FALSE()))),"OLD",IF(AND(E3176&lt;&gt;"",E3176&lt;&gt;"!!!"),"NEW","")))</f>
        <v> </v>
      </c>
      <c r="G3176" s="24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5" t="str">
        <f>IF(J3176&lt;&gt;1,"",IF(I3176="SBJ","CB","?"))</f>
        <v> </v>
      </c>
      <c r="I3176" s="26" t="str">
        <f>IF(OR(E3176="",E3176="!!!",F3176="NEW"),"",INDEX(B3175:B$2,-1+SUMPRODUCT(MAX(ROW(E3175:E$2)*(E3176=E3175:E$2)))))</f>
        <v> </v>
      </c>
      <c r="J3176" s="26" t="str">
        <f>IF(OR(E3176="",E3176="!!!",F3176="NEW"),"",COUNTBLANK(OFFSET(A$1,,,SUMPRODUCT(MAX(ROW(E$2:E3176)*(E3176=E$2:E3176)))))-COUNTBLANK(OFFSET(A$1,,,SUMPRODUCT(MAX(ROW(E$1:E3175)*(E2=E$1:E3175))))))</f>
        <v> </v>
      </c>
      <c r="K3176" s="26" t="str">
        <f>IF(OR(E3176="",E3176="!!!",F3176="NEW"),"",INDEX(J$1:J3175,SUMPRODUCT(MAX(ROW(E$1:E3175)*(E3176=E$1:E3175)))))</f>
        <v> </v>
      </c>
      <c r="L3176" s="27"/>
    </row>
    <row r="3177" spans="1:12">
      <c r="A3177" s="20" t="s">
        <v>738</v>
      </c>
      <c r="B3177" s="21" t="s">
        <v>948</v>
      </c>
      <c r="C3177" s="21" t="s">
        <v>976</v>
      </c>
      <c r="D3177" s="21" t="s">
        <v>950</v>
      </c>
      <c r="E3177" s="22">
        <f>IF(D3177="?OLD","!!!","")</f>
        <v/>
      </c>
      <c r="F3177" s="23" t="str">
        <f>IF(OR(E3177="",E3177="!!!"),"",IF(NOT(ISNA(VLOOKUP(E3177,E$1:E3176,1,FALSE()))),"OLD",IF(AND(E3177&lt;&gt;"",E3177&lt;&gt;"!!!"),"NEW","")))</f>
        <v> </v>
      </c>
      <c r="G3177" s="24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5" t="str">
        <f>IF(J3177&lt;&gt;1,"",IF(I3177="SBJ","CB","?"))</f>
        <v> </v>
      </c>
      <c r="I3177" s="26" t="str">
        <f>IF(OR(E3177="",E3177="!!!",F3177="NEW"),"",INDEX(B3176:B$2,-1+SUMPRODUCT(MAX(ROW(E3176:E$2)*(E3177=E3176:E$2)))))</f>
        <v> </v>
      </c>
      <c r="J3177" s="26" t="str">
        <f>IF(OR(E3177="",E3177="!!!",F3177="NEW"),"",COUNTBLANK(OFFSET(A$1,,,SUMPRODUCT(MAX(ROW(E$2:E3177)*(E3177=E$2:E3177)))))-COUNTBLANK(OFFSET(A$1,,,SUMPRODUCT(MAX(ROW(E$1:E3176)*(E2=E$1:E3176))))))</f>
        <v> </v>
      </c>
      <c r="K3177" s="26" t="str">
        <f>IF(OR(E3177="",E3177="!!!",F3177="NEW"),"",INDEX(J$1:J3176,SUMPRODUCT(MAX(ROW(E$1:E3176)*(E3177=E$1:E3176)))))</f>
        <v> </v>
      </c>
      <c r="L3177" s="27"/>
    </row>
    <row r="3178" spans="1:12">
      <c r="A3178" s="20" t="s">
        <v>1077</v>
      </c>
      <c r="E3178" s="22">
        <f>IF(D3178="?OLD","!!!","")</f>
        <v/>
      </c>
      <c r="F3178" s="23" t="str">
        <f>IF(OR(E3178="",E3178="!!!"),"",IF(NOT(ISNA(VLOOKUP(E3178,E$1:E3177,1,FALSE()))),"OLD",IF(AND(E3178&lt;&gt;"",E3178&lt;&gt;"!!!"),"NEW","")))</f>
        <v> </v>
      </c>
      <c r="G3178" s="24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5" t="str">
        <f>IF(J3178&lt;&gt;1,"",IF(I3178="SBJ","CB","?"))</f>
        <v> </v>
      </c>
      <c r="I3178" s="26" t="str">
        <f>IF(OR(E3178="",E3178="!!!",F3178="NEW"),"",INDEX(B3177:B$2,-1+SUMPRODUCT(MAX(ROW(E3177:E$2)*(E3178=E3177:E$2)))))</f>
        <v> </v>
      </c>
      <c r="J3178" s="26" t="str">
        <f>IF(OR(E3178="",E3178="!!!",F3178="NEW"),"",COUNTBLANK(OFFSET(A$1,,,SUMPRODUCT(MAX(ROW(E$2:E3178)*(E3178=E$2:E3178)))))-COUNTBLANK(OFFSET(A$1,,,SUMPRODUCT(MAX(ROW(E$1:E3177)*(E2=E$1:E3177))))))</f>
        <v> </v>
      </c>
      <c r="K3178" s="26" t="str">
        <f>IF(OR(E3178="",E3178="!!!",F3178="NEW"),"",INDEX(J$1:J3177,SUMPRODUCT(MAX(ROW(E$1:E3177)*(E3178=E$1:E3177)))))</f>
        <v> </v>
      </c>
      <c r="L3178" s="27"/>
    </row>
    <row r="3179" spans="1:12">
      <c r="A3179" s="20" t="s">
        <v>1902</v>
      </c>
      <c r="E3179" s="22">
        <f>IF(D3179="?OLD","!!!","")</f>
        <v/>
      </c>
      <c r="F3179" s="23" t="str">
        <f>IF(OR(E3179="",E3179="!!!"),"",IF(NOT(ISNA(VLOOKUP(E3179,E$1:E3178,1,FALSE()))),"OLD",IF(AND(E3179&lt;&gt;"",E3179&lt;&gt;"!!!"),"NEW","")))</f>
        <v> </v>
      </c>
      <c r="G3179" s="24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5" t="str">
        <f>IF(J3179&lt;&gt;1,"",IF(I3179="SBJ","CB","?"))</f>
        <v> </v>
      </c>
      <c r="I3179" s="26" t="str">
        <f>IF(OR(E3179="",E3179="!!!",F3179="NEW"),"",INDEX(B3178:B$2,-1+SUMPRODUCT(MAX(ROW(E3178:E$2)*(E3179=E3178:E$2)))))</f>
        <v> </v>
      </c>
      <c r="J3179" s="26" t="str">
        <f>IF(OR(E3179="",E3179="!!!",F3179="NEW"),"",COUNTBLANK(OFFSET(A$1,,,SUMPRODUCT(MAX(ROW(E$2:E3179)*(E3179=E$2:E3179)))))-COUNTBLANK(OFFSET(A$1,,,SUMPRODUCT(MAX(ROW(E$1:E3178)*(E2=E$1:E3178))))))</f>
        <v> </v>
      </c>
      <c r="K3179" s="26" t="str">
        <f>IF(OR(E3179="",E3179="!!!",F3179="NEW"),"",INDEX(J$1:J3178,SUMPRODUCT(MAX(ROW(E$1:E3178)*(E3179=E$1:E3178)))))</f>
        <v> </v>
      </c>
      <c r="L3179" s="27"/>
    </row>
    <row r="3180" spans="1:12">
      <c r="A3180" s="20" t="s">
        <v>984</v>
      </c>
      <c r="E3180" s="22">
        <f>IF(D3180="?OLD","!!!","")</f>
        <v/>
      </c>
      <c r="F3180" s="23" t="str">
        <f>IF(OR(E3180="",E3180="!!!"),"",IF(NOT(ISNA(VLOOKUP(E3180,E$1:E3179,1,FALSE()))),"OLD",IF(AND(E3180&lt;&gt;"",E3180&lt;&gt;"!!!"),"NEW","")))</f>
        <v> </v>
      </c>
      <c r="G3180" s="24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5" t="str">
        <f>IF(J3180&lt;&gt;1,"",IF(I3180="SBJ","CB","?"))</f>
        <v> </v>
      </c>
      <c r="I3180" s="26" t="str">
        <f>IF(OR(E3180="",E3180="!!!",F3180="NEW"),"",INDEX(B3179:B$2,-1+SUMPRODUCT(MAX(ROW(E3179:E$2)*(E3180=E3179:E$2)))))</f>
        <v> </v>
      </c>
      <c r="J3180" s="26" t="str">
        <f>IF(OR(E3180="",E3180="!!!",F3180="NEW"),"",COUNTBLANK(OFFSET(A$1,,,SUMPRODUCT(MAX(ROW(E$2:E3180)*(E3180=E$2:E3180)))))-COUNTBLANK(OFFSET(A$1,,,SUMPRODUCT(MAX(ROW(E$1:E3179)*(E2=E$1:E3179))))))</f>
        <v> </v>
      </c>
      <c r="K3180" s="26" t="str">
        <f>IF(OR(E3180="",E3180="!!!",F3180="NEW"),"",INDEX(J$1:J3179,SUMPRODUCT(MAX(ROW(E$1:E3179)*(E3180=E$1:E3179)))))</f>
        <v> </v>
      </c>
      <c r="L3180" s="27"/>
    </row>
    <row r="3181" spans="1:12">
      <c r="A3181" s="20"/>
    </row>
    <row r="3182" spans="1:12">
      <c r="A3182" s="20" t="s">
        <v>1903</v>
      </c>
    </row>
    <row r="3183" spans="1:12">
      <c r="A3183" s="20" t="s">
        <v>1016</v>
      </c>
      <c r="B3183" s="21" t="s">
        <v>948</v>
      </c>
      <c r="C3183" s="21" t="s">
        <v>949</v>
      </c>
      <c r="D3183" s="21" t="s">
        <v>950</v>
      </c>
      <c r="E3183" s="22">
        <f>IF(D3183="?OLD","!!!","")</f>
        <v/>
      </c>
      <c r="F3183" s="23" t="str">
        <f>IF(OR(E3183="",E3183="!!!"),"",IF(NOT(ISNA(VLOOKUP(E3183,E$1:E3182,1,FALSE()))),"OLD",IF(AND(E3183&lt;&gt;"",E3183&lt;&gt;"!!!"),"NEW","")))</f>
        <v> </v>
      </c>
      <c r="G3183" s="24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5" t="str">
        <f>IF(J3183&lt;&gt;1,"",IF(I3183="SBJ","CB","?"))</f>
        <v> </v>
      </c>
      <c r="I3183" s="26" t="str">
        <f>IF(OR(E3183="",E3183="!!!",F3183="NEW"),"",INDEX(B3182:B$2,-1+SUMPRODUCT(MAX(ROW(E3182:E$2)*(E3183=E3182:E$2)))))</f>
        <v> </v>
      </c>
      <c r="J3183" s="26" t="str">
        <f>IF(OR(E3183="",E3183="!!!",F3183="NEW"),"",COUNTBLANK(OFFSET(A$1,,,SUMPRODUCT(MAX(ROW(E$2:E3183)*(E3183=E$2:E3183)))))-COUNTBLANK(OFFSET(A$1,,,SUMPRODUCT(MAX(ROW(E$1:E3182)*(E2=E$1:E3182))))))</f>
        <v> </v>
      </c>
      <c r="K3183" s="26" t="str">
        <f>IF(OR(E3183="",E3183="!!!",F3183="NEW"),"",INDEX(J$1:J3182,SUMPRODUCT(MAX(ROW(E$1:E3182)*(E3183=E$1:E3182)))))</f>
        <v> </v>
      </c>
      <c r="L3183" s="27"/>
    </row>
    <row r="3184" spans="1:12">
      <c r="A3184" s="20" t="s">
        <v>952</v>
      </c>
      <c r="E3184" s="22">
        <f>IF(D3184="?OLD","!!!","")</f>
        <v/>
      </c>
      <c r="F3184" s="23" t="str">
        <f>IF(OR(E3184="",E3184="!!!"),"",IF(NOT(ISNA(VLOOKUP(E3184,E$1:E3183,1,FALSE()))),"OLD",IF(AND(E3184&lt;&gt;"",E3184&lt;&gt;"!!!"),"NEW","")))</f>
        <v> </v>
      </c>
      <c r="G3184" s="24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5" t="str">
        <f>IF(J3184&lt;&gt;1,"",IF(I3184="SBJ","CB","?"))</f>
        <v> </v>
      </c>
      <c r="I3184" s="26" t="str">
        <f>IF(OR(E3184="",E3184="!!!",F3184="NEW"),"",INDEX(B3183:B$2,-1+SUMPRODUCT(MAX(ROW(E3183:E$2)*(E3184=E3183:E$2)))))</f>
        <v> </v>
      </c>
      <c r="J3184" s="26" t="str">
        <f>IF(OR(E3184="",E3184="!!!",F3184="NEW"),"",COUNTBLANK(OFFSET(A$1,,,SUMPRODUCT(MAX(ROW(E$2:E3184)*(E3184=E$2:E3184)))))-COUNTBLANK(OFFSET(A$1,,,SUMPRODUCT(MAX(ROW(E$1:E3183)*(E2=E$1:E3183))))))</f>
        <v> </v>
      </c>
      <c r="K3184" s="26" t="str">
        <f>IF(OR(E3184="",E3184="!!!",F3184="NEW"),"",INDEX(J$1:J3183,SUMPRODUCT(MAX(ROW(E$1:E3183)*(E3184=E$1:E3183)))))</f>
        <v> </v>
      </c>
      <c r="L3184" s="27"/>
    </row>
    <row r="3185" spans="1:12">
      <c r="A3185" s="20" t="s">
        <v>1904</v>
      </c>
      <c r="E3185" s="22">
        <f>IF(D3185="?OLD","!!!","")</f>
        <v/>
      </c>
      <c r="F3185" s="23" t="str">
        <f>IF(OR(E3185="",E3185="!!!"),"",IF(NOT(ISNA(VLOOKUP(E3185,E$1:E3184,1,FALSE()))),"OLD",IF(AND(E3185&lt;&gt;"",E3185&lt;&gt;"!!!"),"NEW","")))</f>
        <v> </v>
      </c>
      <c r="G3185" s="24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5" t="str">
        <f>IF(J3185&lt;&gt;1,"",IF(I3185="SBJ","CB","?"))</f>
        <v> </v>
      </c>
      <c r="I3185" s="26" t="str">
        <f>IF(OR(E3185="",E3185="!!!",F3185="NEW"),"",INDEX(B3184:B$2,-1+SUMPRODUCT(MAX(ROW(E3184:E$2)*(E3185=E3184:E$2)))))</f>
        <v> </v>
      </c>
      <c r="J3185" s="26" t="str">
        <f>IF(OR(E3185="",E3185="!!!",F3185="NEW"),"",COUNTBLANK(OFFSET(A$1,,,SUMPRODUCT(MAX(ROW(E$2:E3185)*(E3185=E$2:E3185)))))-COUNTBLANK(OFFSET(A$1,,,SUMPRODUCT(MAX(ROW(E$1:E3184)*(E2=E$1:E3184))))))</f>
        <v> </v>
      </c>
      <c r="K3185" s="26" t="str">
        <f>IF(OR(E3185="",E3185="!!!",F3185="NEW"),"",INDEX(J$1:J3184,SUMPRODUCT(MAX(ROW(E$1:E3184)*(E3185=E$1:E3184)))))</f>
        <v> </v>
      </c>
      <c r="L3185" s="27"/>
    </row>
    <row r="3186" spans="1:12">
      <c r="A3186" s="20" t="s">
        <v>977</v>
      </c>
      <c r="E3186" s="22">
        <f>IF(D3186="?OLD","!!!","")</f>
        <v/>
      </c>
      <c r="F3186" s="23" t="str">
        <f>IF(OR(E3186="",E3186="!!!"),"",IF(NOT(ISNA(VLOOKUP(E3186,E$1:E3185,1,FALSE()))),"OLD",IF(AND(E3186&lt;&gt;"",E3186&lt;&gt;"!!!"),"NEW","")))</f>
        <v> </v>
      </c>
      <c r="G3186" s="24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5" t="str">
        <f>IF(J3186&lt;&gt;1,"",IF(I3186="SBJ","CB","?"))</f>
        <v> </v>
      </c>
      <c r="I3186" s="26" t="str">
        <f>IF(OR(E3186="",E3186="!!!",F3186="NEW"),"",INDEX(B3185:B$2,-1+SUMPRODUCT(MAX(ROW(E3185:E$2)*(E3186=E3185:E$2)))))</f>
        <v> </v>
      </c>
      <c r="J3186" s="26" t="str">
        <f>IF(OR(E3186="",E3186="!!!",F3186="NEW"),"",COUNTBLANK(OFFSET(A$1,,,SUMPRODUCT(MAX(ROW(E$2:E3186)*(E3186=E$2:E3186)))))-COUNTBLANK(OFFSET(A$1,,,SUMPRODUCT(MAX(ROW(E$1:E3185)*(E2=E$1:E3185))))))</f>
        <v> </v>
      </c>
      <c r="K3186" s="26" t="str">
        <f>IF(OR(E3186="",E3186="!!!",F3186="NEW"),"",INDEX(J$1:J3185,SUMPRODUCT(MAX(ROW(E$1:E3185)*(E3186=E$1:E3185)))))</f>
        <v> </v>
      </c>
      <c r="L3186" s="27"/>
    </row>
    <row r="3187" spans="1:12">
      <c r="A3187" s="20" t="s">
        <v>1006</v>
      </c>
      <c r="E3187" s="22">
        <f>IF(D3187="?OLD","!!!","")</f>
        <v/>
      </c>
      <c r="F3187" s="23" t="str">
        <f>IF(OR(E3187="",E3187="!!!"),"",IF(NOT(ISNA(VLOOKUP(E3187,E$1:E3186,1,FALSE()))),"OLD",IF(AND(E3187&lt;&gt;"",E3187&lt;&gt;"!!!"),"NEW","")))</f>
        <v> </v>
      </c>
      <c r="G3187" s="24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5" t="str">
        <f>IF(J3187&lt;&gt;1,"",IF(I3187="SBJ","CB","?"))</f>
        <v> </v>
      </c>
      <c r="I3187" s="26" t="str">
        <f>IF(OR(E3187="",E3187="!!!",F3187="NEW"),"",INDEX(B3186:B$2,-1+SUMPRODUCT(MAX(ROW(E3186:E$2)*(E3187=E3186:E$2)))))</f>
        <v> </v>
      </c>
      <c r="J3187" s="26" t="str">
        <f>IF(OR(E3187="",E3187="!!!",F3187="NEW"),"",COUNTBLANK(OFFSET(A$1,,,SUMPRODUCT(MAX(ROW(E$2:E3187)*(E3187=E$2:E3187)))))-COUNTBLANK(OFFSET(A$1,,,SUMPRODUCT(MAX(ROW(E$1:E3186)*(E2=E$1:E3186))))))</f>
        <v> </v>
      </c>
      <c r="K3187" s="26" t="str">
        <f>IF(OR(E3187="",E3187="!!!",F3187="NEW"),"",INDEX(J$1:J3186,SUMPRODUCT(MAX(ROW(E$1:E3186)*(E3187=E$1:E3186)))))</f>
        <v> </v>
      </c>
      <c r="L3187" s="27"/>
    </row>
    <row r="3188" spans="1:12">
      <c r="A3188" s="20" t="s">
        <v>1060</v>
      </c>
      <c r="B3188" s="21" t="s">
        <v>975</v>
      </c>
      <c r="C3188" s="21" t="s">
        <v>1032</v>
      </c>
      <c r="D3188" s="21" t="s">
        <v>950</v>
      </c>
      <c r="E3188" s="22">
        <f>IF(D3188="?OLD","!!!","")</f>
        <v/>
      </c>
      <c r="F3188" s="23" t="str">
        <f>IF(OR(E3188="",E3188="!!!"),"",IF(NOT(ISNA(VLOOKUP(E3188,E$1:E3187,1,FALSE()))),"OLD",IF(AND(E3188&lt;&gt;"",E3188&lt;&gt;"!!!"),"NEW","")))</f>
        <v> </v>
      </c>
      <c r="G3188" s="24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5" t="str">
        <f>IF(J3188&lt;&gt;1,"",IF(I3188="SBJ","CB","?"))</f>
        <v> </v>
      </c>
      <c r="I3188" s="26" t="str">
        <f>IF(OR(E3188="",E3188="!!!",F3188="NEW"),"",INDEX(B3187:B$2,-1+SUMPRODUCT(MAX(ROW(E3187:E$2)*(E3188=E3187:E$2)))))</f>
        <v> </v>
      </c>
      <c r="J3188" s="26" t="str">
        <f>IF(OR(E3188="",E3188="!!!",F3188="NEW"),"",COUNTBLANK(OFFSET(A$1,,,SUMPRODUCT(MAX(ROW(E$2:E3188)*(E3188=E$2:E3188)))))-COUNTBLANK(OFFSET(A$1,,,SUMPRODUCT(MAX(ROW(E$1:E3187)*(E2=E$1:E3187))))))</f>
        <v> </v>
      </c>
      <c r="K3188" s="26" t="str">
        <f>IF(OR(E3188="",E3188="!!!",F3188="NEW"),"",INDEX(J$1:J3187,SUMPRODUCT(MAX(ROW(E$1:E3187)*(E3188=E$1:E3187)))))</f>
        <v> </v>
      </c>
      <c r="L3188" s="27"/>
    </row>
    <row r="3189" spans="1:12">
      <c r="A3189" s="20" t="s">
        <v>1000</v>
      </c>
      <c r="E3189" s="22">
        <f>IF(D3189="?OLD","!!!","")</f>
        <v/>
      </c>
      <c r="F3189" s="23" t="str">
        <f>IF(OR(E3189="",E3189="!!!"),"",IF(NOT(ISNA(VLOOKUP(E3189,E$1:E3188,1,FALSE()))),"OLD",IF(AND(E3189&lt;&gt;"",E3189&lt;&gt;"!!!"),"NEW","")))</f>
        <v> </v>
      </c>
      <c r="G3189" s="24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5" t="str">
        <f>IF(J3189&lt;&gt;1,"",IF(I3189="SBJ","CB","?"))</f>
        <v> </v>
      </c>
      <c r="I3189" s="26" t="str">
        <f>IF(OR(E3189="",E3189="!!!",F3189="NEW"),"",INDEX(B3188:B$2,-1+SUMPRODUCT(MAX(ROW(E3188:E$2)*(E3189=E3188:E$2)))))</f>
        <v> </v>
      </c>
      <c r="J3189" s="26" t="str">
        <f>IF(OR(E3189="",E3189="!!!",F3189="NEW"),"",COUNTBLANK(OFFSET(A$1,,,SUMPRODUCT(MAX(ROW(E$2:E3189)*(E3189=E$2:E3189)))))-COUNTBLANK(OFFSET(A$1,,,SUMPRODUCT(MAX(ROW(E$1:E3188)*(E2=E$1:E3188))))))</f>
        <v> </v>
      </c>
      <c r="K3189" s="26" t="str">
        <f>IF(OR(E3189="",E3189="!!!",F3189="NEW"),"",INDEX(J$1:J3188,SUMPRODUCT(MAX(ROW(E$1:E3188)*(E3189=E$1:E3188)))))</f>
        <v> </v>
      </c>
      <c r="L3189" s="27"/>
    </row>
    <row r="3190" spans="1:12">
      <c r="A3190" s="20" t="s">
        <v>1006</v>
      </c>
      <c r="B3190" s="21" t="s">
        <v>1031</v>
      </c>
      <c r="C3190" s="21" t="s">
        <v>1008</v>
      </c>
      <c r="D3190" s="21" t="s">
        <v>950</v>
      </c>
      <c r="E3190" s="22">
        <f>IF(D3190="?OLD","!!!","")</f>
        <v/>
      </c>
      <c r="F3190" s="23" t="str">
        <f>IF(OR(E3190="",E3190="!!!"),"",IF(NOT(ISNA(VLOOKUP(E3190,E$1:E3189,1,FALSE()))),"OLD",IF(AND(E3190&lt;&gt;"",E3190&lt;&gt;"!!!"),"NEW","")))</f>
        <v> </v>
      </c>
      <c r="G3190" s="24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5" t="str">
        <f>IF(J3190&lt;&gt;1,"",IF(I3190="SBJ","CB","?"))</f>
        <v> </v>
      </c>
      <c r="I3190" s="26" t="str">
        <f>IF(OR(E3190="",E3190="!!!",F3190="NEW"),"",INDEX(B3189:B$2,-1+SUMPRODUCT(MAX(ROW(E3189:E$2)*(E3190=E3189:E$2)))))</f>
        <v> </v>
      </c>
      <c r="J3190" s="26" t="str">
        <f>IF(OR(E3190="",E3190="!!!",F3190="NEW"),"",COUNTBLANK(OFFSET(A$1,,,SUMPRODUCT(MAX(ROW(E$2:E3190)*(E3190=E$2:E3190)))))-COUNTBLANK(OFFSET(A$1,,,SUMPRODUCT(MAX(ROW(E$1:E3189)*(E2=E$1:E3189))))))</f>
        <v> </v>
      </c>
      <c r="K3190" s="26" t="str">
        <f>IF(OR(E3190="",E3190="!!!",F3190="NEW"),"",INDEX(J$1:J3189,SUMPRODUCT(MAX(ROW(E$1:E3189)*(E3190=E$1:E3189)))))</f>
        <v> </v>
      </c>
      <c r="L3190" s="27"/>
    </row>
    <row r="3191" spans="1:12">
      <c r="A3191" s="20" t="s">
        <v>965</v>
      </c>
      <c r="B3191" s="21" t="s">
        <v>1080</v>
      </c>
      <c r="E3191" s="22">
        <f>IF(D3191="?OLD","!!!","")</f>
        <v/>
      </c>
      <c r="F3191" s="23" t="str">
        <f>IF(OR(E3191="",E3191="!!!"),"",IF(NOT(ISNA(VLOOKUP(E3191,E$1:E3190,1,FALSE()))),"OLD",IF(AND(E3191&lt;&gt;"",E3191&lt;&gt;"!!!"),"NEW","")))</f>
        <v> </v>
      </c>
      <c r="G3191" s="24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5" t="str">
        <f>IF(J3191&lt;&gt;1,"",IF(I3191="SBJ","CB","?"))</f>
        <v> </v>
      </c>
      <c r="I3191" s="26" t="str">
        <f>IF(OR(E3191="",E3191="!!!",F3191="NEW"),"",INDEX(B3190:B$2,-1+SUMPRODUCT(MAX(ROW(E3190:E$2)*(E3191=E3190:E$2)))))</f>
        <v> </v>
      </c>
      <c r="J3191" s="26" t="str">
        <f>IF(OR(E3191="",E3191="!!!",F3191="NEW"),"",COUNTBLANK(OFFSET(A$1,,,SUMPRODUCT(MAX(ROW(E$2:E3191)*(E3191=E$2:E3191)))))-COUNTBLANK(OFFSET(A$1,,,SUMPRODUCT(MAX(ROW(E$1:E3190)*(E2=E$1:E3190))))))</f>
        <v> </v>
      </c>
      <c r="K3191" s="26" t="str">
        <f>IF(OR(E3191="",E3191="!!!",F3191="NEW"),"",INDEX(J$1:J3190,SUMPRODUCT(MAX(ROW(E$1:E3190)*(E3191=E$1:E3190)))))</f>
        <v> </v>
      </c>
      <c r="L3191" s="27"/>
    </row>
    <row r="3192" spans="1:12">
      <c r="A3192" s="20" t="s">
        <v>1180</v>
      </c>
      <c r="E3192" s="22">
        <f>IF(D3192="?OLD","!!!","")</f>
        <v/>
      </c>
      <c r="F3192" s="23" t="str">
        <f>IF(OR(E3192="",E3192="!!!"),"",IF(NOT(ISNA(VLOOKUP(E3192,E$1:E3191,1,FALSE()))),"OLD",IF(AND(E3192&lt;&gt;"",E3192&lt;&gt;"!!!"),"NEW","")))</f>
        <v> </v>
      </c>
      <c r="G3192" s="24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5" t="str">
        <f>IF(J3192&lt;&gt;1,"",IF(I3192="SBJ","CB","?"))</f>
        <v> </v>
      </c>
      <c r="I3192" s="26" t="str">
        <f>IF(OR(E3192="",E3192="!!!",F3192="NEW"),"",INDEX(B3191:B$2,-1+SUMPRODUCT(MAX(ROW(E3191:E$2)*(E3192=E3191:E$2)))))</f>
        <v> </v>
      </c>
      <c r="J3192" s="26" t="str">
        <f>IF(OR(E3192="",E3192="!!!",F3192="NEW"),"",COUNTBLANK(OFFSET(A$1,,,SUMPRODUCT(MAX(ROW(E$2:E3192)*(E3192=E$2:E3192)))))-COUNTBLANK(OFFSET(A$1,,,SUMPRODUCT(MAX(ROW(E$1:E3191)*(E2=E$1:E3191))))))</f>
        <v> </v>
      </c>
      <c r="K3192" s="26" t="str">
        <f>IF(OR(E3192="",E3192="!!!",F3192="NEW"),"",INDEX(J$1:J3191,SUMPRODUCT(MAX(ROW(E$1:E3191)*(E3192=E$1:E3191)))))</f>
        <v> </v>
      </c>
      <c r="L3192" s="27"/>
    </row>
    <row r="3193" spans="1:12">
      <c r="A3193" s="20" t="s">
        <v>1800</v>
      </c>
      <c r="E3193" s="22">
        <f>IF(D3193="?OLD","!!!","")</f>
        <v/>
      </c>
      <c r="F3193" s="23" t="str">
        <f>IF(OR(E3193="",E3193="!!!"),"",IF(NOT(ISNA(VLOOKUP(E3193,E$1:E3192,1,FALSE()))),"OLD",IF(AND(E3193&lt;&gt;"",E3193&lt;&gt;"!!!"),"NEW","")))</f>
        <v> </v>
      </c>
      <c r="G3193" s="24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5" t="str">
        <f>IF(J3193&lt;&gt;1,"",IF(I3193="SBJ","CB","?"))</f>
        <v> </v>
      </c>
      <c r="I3193" s="26" t="str">
        <f>IF(OR(E3193="",E3193="!!!",F3193="NEW"),"",INDEX(B3192:B$2,-1+SUMPRODUCT(MAX(ROW(E3192:E$2)*(E3193=E3192:E$2)))))</f>
        <v> </v>
      </c>
      <c r="J3193" s="26" t="str">
        <f>IF(OR(E3193="",E3193="!!!",F3193="NEW"),"",COUNTBLANK(OFFSET(A$1,,,SUMPRODUCT(MAX(ROW(E$2:E3193)*(E3193=E$2:E3193)))))-COUNTBLANK(OFFSET(A$1,,,SUMPRODUCT(MAX(ROW(E$1:E3192)*(E2=E$1:E3192))))))</f>
        <v> </v>
      </c>
      <c r="K3193" s="26" t="str">
        <f>IF(OR(E3193="",E3193="!!!",F3193="NEW"),"",INDEX(J$1:J3192,SUMPRODUCT(MAX(ROW(E$1:E3192)*(E3193=E$1:E3192)))))</f>
        <v> </v>
      </c>
      <c r="L3193" s="27"/>
    </row>
    <row r="3194" spans="1:12">
      <c r="A3194" s="20" t="s">
        <v>1168</v>
      </c>
      <c r="E3194" s="22">
        <f>IF(D3194="?OLD","!!!","")</f>
        <v/>
      </c>
      <c r="F3194" s="23" t="str">
        <f>IF(OR(E3194="",E3194="!!!"),"",IF(NOT(ISNA(VLOOKUP(E3194,E$1:E3193,1,FALSE()))),"OLD",IF(AND(E3194&lt;&gt;"",E3194&lt;&gt;"!!!"),"NEW","")))</f>
        <v> </v>
      </c>
      <c r="G3194" s="24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5" t="str">
        <f>IF(J3194&lt;&gt;1,"",IF(I3194="SBJ","CB","?"))</f>
        <v> </v>
      </c>
      <c r="I3194" s="26" t="str">
        <f>IF(OR(E3194="",E3194="!!!",F3194="NEW"),"",INDEX(B3193:B$2,-1+SUMPRODUCT(MAX(ROW(E3193:E$2)*(E3194=E3193:E$2)))))</f>
        <v> </v>
      </c>
      <c r="J3194" s="26" t="str">
        <f>IF(OR(E3194="",E3194="!!!",F3194="NEW"),"",COUNTBLANK(OFFSET(A$1,,,SUMPRODUCT(MAX(ROW(E$2:E3194)*(E3194=E$2:E3194)))))-COUNTBLANK(OFFSET(A$1,,,SUMPRODUCT(MAX(ROW(E$1:E3193)*(E2=E$1:E3193))))))</f>
        <v> </v>
      </c>
      <c r="K3194" s="26" t="str">
        <f>IF(OR(E3194="",E3194="!!!",F3194="NEW"),"",INDEX(J$1:J3193,SUMPRODUCT(MAX(ROW(E$1:E3193)*(E3194=E$1:E3193)))))</f>
        <v> </v>
      </c>
      <c r="L3194" s="27"/>
    </row>
    <row r="3195" spans="1:12">
      <c r="A3195" s="20" t="s">
        <v>1551</v>
      </c>
      <c r="B3195" s="21" t="s">
        <v>982</v>
      </c>
      <c r="C3195" s="21" t="s">
        <v>960</v>
      </c>
      <c r="D3195" s="21" t="s">
        <v>950</v>
      </c>
      <c r="E3195" s="22">
        <f>IF(D3195="?OLD","!!!","")</f>
        <v/>
      </c>
      <c r="F3195" s="23" t="str">
        <f>IF(OR(E3195="",E3195="!!!"),"",IF(NOT(ISNA(VLOOKUP(E3195,E$1:E3194,1,FALSE()))),"OLD",IF(AND(E3195&lt;&gt;"",E3195&lt;&gt;"!!!"),"NEW","")))</f>
        <v> </v>
      </c>
      <c r="G3195" s="24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5" t="str">
        <f>IF(J3195&lt;&gt;1,"",IF(I3195="SBJ","CB","?"))</f>
        <v> </v>
      </c>
      <c r="I3195" s="26" t="str">
        <f>IF(OR(E3195="",E3195="!!!",F3195="NEW"),"",INDEX(B3194:B$2,-1+SUMPRODUCT(MAX(ROW(E3194:E$2)*(E3195=E3194:E$2)))))</f>
        <v> </v>
      </c>
      <c r="J3195" s="26" t="str">
        <f>IF(OR(E3195="",E3195="!!!",F3195="NEW"),"",COUNTBLANK(OFFSET(A$1,,,SUMPRODUCT(MAX(ROW(E$2:E3195)*(E3195=E$2:E3195)))))-COUNTBLANK(OFFSET(A$1,,,SUMPRODUCT(MAX(ROW(E$1:E3194)*(E2=E$1:E3194))))))</f>
        <v> </v>
      </c>
      <c r="K3195" s="26" t="str">
        <f>IF(OR(E3195="",E3195="!!!",F3195="NEW"),"",INDEX(J$1:J3194,SUMPRODUCT(MAX(ROW(E$1:E3194)*(E3195=E$1:E3194)))))</f>
        <v> </v>
      </c>
      <c r="L3195" s="27"/>
    </row>
    <row r="3196" spans="1:12">
      <c r="A3196" s="20" t="s">
        <v>1001</v>
      </c>
      <c r="E3196" s="22">
        <f>IF(D3196="?OLD","!!!","")</f>
        <v/>
      </c>
      <c r="F3196" s="23" t="str">
        <f>IF(OR(E3196="",E3196="!!!"),"",IF(NOT(ISNA(VLOOKUP(E3196,E$1:E3195,1,FALSE()))),"OLD",IF(AND(E3196&lt;&gt;"",E3196&lt;&gt;"!!!"),"NEW","")))</f>
        <v> </v>
      </c>
      <c r="G3196" s="24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5" t="str">
        <f>IF(J3196&lt;&gt;1,"",IF(I3196="SBJ","CB","?"))</f>
        <v> </v>
      </c>
      <c r="I3196" s="26" t="str">
        <f>IF(OR(E3196="",E3196="!!!",F3196="NEW"),"",INDEX(B3195:B$2,-1+SUMPRODUCT(MAX(ROW(E3195:E$2)*(E3196=E3195:E$2)))))</f>
        <v> </v>
      </c>
      <c r="J3196" s="26" t="str">
        <f>IF(OR(E3196="",E3196="!!!",F3196="NEW"),"",COUNTBLANK(OFFSET(A$1,,,SUMPRODUCT(MAX(ROW(E$2:E3196)*(E3196=E$2:E3196)))))-COUNTBLANK(OFFSET(A$1,,,SUMPRODUCT(MAX(ROW(E$1:E3195)*(E2=E$1:E3195))))))</f>
        <v> </v>
      </c>
      <c r="K3196" s="26" t="str">
        <f>IF(OR(E3196="",E3196="!!!",F3196="NEW"),"",INDEX(J$1:J3195,SUMPRODUCT(MAX(ROW(E$1:E3195)*(E3196=E$1:E3195)))))</f>
        <v> </v>
      </c>
      <c r="L3196" s="27"/>
    </row>
    <row r="3197" spans="1:12">
      <c r="A3197" s="20" t="s">
        <v>1038</v>
      </c>
      <c r="E3197" s="22">
        <f>IF(D3197="?OLD","!!!","")</f>
        <v/>
      </c>
      <c r="F3197" s="23" t="str">
        <f>IF(OR(E3197="",E3197="!!!"),"",IF(NOT(ISNA(VLOOKUP(E3197,E$1:E3196,1,FALSE()))),"OLD",IF(AND(E3197&lt;&gt;"",E3197&lt;&gt;"!!!"),"NEW","")))</f>
        <v> </v>
      </c>
      <c r="G3197" s="24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5" t="str">
        <f>IF(J3197&lt;&gt;1,"",IF(I3197="SBJ","CB","?"))</f>
        <v> </v>
      </c>
      <c r="I3197" s="26" t="str">
        <f>IF(OR(E3197="",E3197="!!!",F3197="NEW"),"",INDEX(B3196:B$2,-1+SUMPRODUCT(MAX(ROW(E3196:E$2)*(E3197=E3196:E$2)))))</f>
        <v> </v>
      </c>
      <c r="J3197" s="26" t="str">
        <f>IF(OR(E3197="",E3197="!!!",F3197="NEW"),"",COUNTBLANK(OFFSET(A$1,,,SUMPRODUCT(MAX(ROW(E$2:E3197)*(E3197=E$2:E3197)))))-COUNTBLANK(OFFSET(A$1,,,SUMPRODUCT(MAX(ROW(E$1:E3196)*(E2=E$1:E3196))))))</f>
        <v> </v>
      </c>
      <c r="K3197" s="26" t="str">
        <f>IF(OR(E3197="",E3197="!!!",F3197="NEW"),"",INDEX(J$1:J3196,SUMPRODUCT(MAX(ROW(E$1:E3196)*(E3197=E$1:E3196)))))</f>
        <v> </v>
      </c>
      <c r="L3197" s="27"/>
    </row>
    <row r="3198" spans="1:12">
      <c r="A3198" s="20" t="s">
        <v>1905</v>
      </c>
      <c r="B3198" s="21" t="s">
        <v>1010</v>
      </c>
      <c r="C3198" s="21" t="s">
        <v>976</v>
      </c>
      <c r="D3198" s="21" t="s">
        <v>950</v>
      </c>
      <c r="E3198" s="22">
        <f>IF(D3198="?OLD","!!!","")</f>
        <v/>
      </c>
      <c r="F3198" s="23" t="str">
        <f>IF(OR(E3198="",E3198="!!!"),"",IF(NOT(ISNA(VLOOKUP(E3198,E$1:E3197,1,FALSE()))),"OLD",IF(AND(E3198&lt;&gt;"",E3198&lt;&gt;"!!!"),"NEW","")))</f>
        <v> </v>
      </c>
      <c r="G3198" s="24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5" t="str">
        <f>IF(J3198&lt;&gt;1,"",IF(I3198="SBJ","CB","?"))</f>
        <v> </v>
      </c>
      <c r="I3198" s="26" t="str">
        <f>IF(OR(E3198="",E3198="!!!",F3198="NEW"),"",INDEX(B3197:B$2,-1+SUMPRODUCT(MAX(ROW(E3197:E$2)*(E3198=E3197:E$2)))))</f>
        <v> </v>
      </c>
      <c r="J3198" s="26" t="str">
        <f>IF(OR(E3198="",E3198="!!!",F3198="NEW"),"",COUNTBLANK(OFFSET(A$1,,,SUMPRODUCT(MAX(ROW(E$2:E3198)*(E3198=E$2:E3198)))))-COUNTBLANK(OFFSET(A$1,,,SUMPRODUCT(MAX(ROW(E$1:E3197)*(E2=E$1:E3197))))))</f>
        <v> </v>
      </c>
      <c r="K3198" s="26" t="str">
        <f>IF(OR(E3198="",E3198="!!!",F3198="NEW"),"",INDEX(J$1:J3197,SUMPRODUCT(MAX(ROW(E$1:E3197)*(E3198=E$1:E3197)))))</f>
        <v> </v>
      </c>
      <c r="L3198" s="27"/>
    </row>
    <row r="3199" spans="1:12">
      <c r="A3199" s="20" t="s">
        <v>977</v>
      </c>
      <c r="E3199" s="22">
        <f>IF(D3199="?OLD","!!!","")</f>
        <v/>
      </c>
      <c r="F3199" s="23" t="str">
        <f>IF(OR(E3199="",E3199="!!!"),"",IF(NOT(ISNA(VLOOKUP(E3199,E$1:E3198,1,FALSE()))),"OLD",IF(AND(E3199&lt;&gt;"",E3199&lt;&gt;"!!!"),"NEW","")))</f>
        <v> </v>
      </c>
      <c r="G3199" s="24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5" t="str">
        <f>IF(J3199&lt;&gt;1,"",IF(I3199="SBJ","CB","?"))</f>
        <v> </v>
      </c>
      <c r="I3199" s="26" t="str">
        <f>IF(OR(E3199="",E3199="!!!",F3199="NEW"),"",INDEX(B3198:B$2,-1+SUMPRODUCT(MAX(ROW(E3198:E$2)*(E3199=E3198:E$2)))))</f>
        <v> </v>
      </c>
      <c r="J3199" s="26" t="str">
        <f>IF(OR(E3199="",E3199="!!!",F3199="NEW"),"",COUNTBLANK(OFFSET(A$1,,,SUMPRODUCT(MAX(ROW(E$2:E3199)*(E3199=E$2:E3199)))))-COUNTBLANK(OFFSET(A$1,,,SUMPRODUCT(MAX(ROW(E$1:E3198)*(E2=E$1:E3198))))))</f>
        <v> </v>
      </c>
      <c r="K3199" s="26" t="str">
        <f>IF(OR(E3199="",E3199="!!!",F3199="NEW"),"",INDEX(J$1:J3198,SUMPRODUCT(MAX(ROW(E$1:E3198)*(E3199=E$1:E3198)))))</f>
        <v> </v>
      </c>
      <c r="L3199" s="27"/>
    </row>
    <row r="3200" spans="1:12">
      <c r="A3200" s="20" t="s">
        <v>1906</v>
      </c>
      <c r="B3200" s="21" t="s">
        <v>1007</v>
      </c>
      <c r="C3200" s="21" t="s">
        <v>983</v>
      </c>
      <c r="E3200" s="22">
        <f>IF(D3200="?OLD","!!!","")</f>
        <v/>
      </c>
      <c r="F3200" s="23" t="str">
        <f>IF(OR(E3200="",E3200="!!!"),"",IF(NOT(ISNA(VLOOKUP(E3200,E$1:E3199,1,FALSE()))),"OLD",IF(AND(E3200&lt;&gt;"",E3200&lt;&gt;"!!!"),"NEW","")))</f>
        <v> </v>
      </c>
      <c r="G3200" s="24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5" t="str">
        <f>IF(J3200&lt;&gt;1,"",IF(I3200="SBJ","CB","?"))</f>
        <v> </v>
      </c>
      <c r="I3200" s="26" t="str">
        <f>IF(OR(E3200="",E3200="!!!",F3200="NEW"),"",INDEX(B3199:B$2,-1+SUMPRODUCT(MAX(ROW(E3199:E$2)*(E3200=E3199:E$2)))))</f>
        <v> </v>
      </c>
      <c r="J3200" s="26" t="str">
        <f>IF(OR(E3200="",E3200="!!!",F3200="NEW"),"",COUNTBLANK(OFFSET(A$1,,,SUMPRODUCT(MAX(ROW(E$2:E3200)*(E3200=E$2:E3200)))))-COUNTBLANK(OFFSET(A$1,,,SUMPRODUCT(MAX(ROW(E$1:E3199)*(E2=E$1:E3199))))))</f>
        <v> </v>
      </c>
      <c r="K3200" s="26" t="str">
        <f>IF(OR(E3200="",E3200="!!!",F3200="NEW"),"",INDEX(J$1:J3199,SUMPRODUCT(MAX(ROW(E$1:E3199)*(E3200=E$1:E3199)))))</f>
        <v> </v>
      </c>
      <c r="L3200" s="27"/>
    </row>
    <row r="3201" spans="1:12">
      <c r="A3201" s="20" t="s">
        <v>1068</v>
      </c>
      <c r="E3201" s="22">
        <f>IF(D3201="?OLD","!!!","")</f>
        <v/>
      </c>
      <c r="F3201" s="23" t="str">
        <f>IF(OR(E3201="",E3201="!!!"),"",IF(NOT(ISNA(VLOOKUP(E3201,E$1:E3200,1,FALSE()))),"OLD",IF(AND(E3201&lt;&gt;"",E3201&lt;&gt;"!!!"),"NEW","")))</f>
        <v> </v>
      </c>
      <c r="G3201" s="24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5" t="str">
        <f>IF(J3201&lt;&gt;1,"",IF(I3201="SBJ","CB","?"))</f>
        <v> </v>
      </c>
      <c r="I3201" s="26" t="str">
        <f>IF(OR(E3201="",E3201="!!!",F3201="NEW"),"",INDEX(B3200:B$2,-1+SUMPRODUCT(MAX(ROW(E3200:E$2)*(E3201=E3200:E$2)))))</f>
        <v> </v>
      </c>
      <c r="J3201" s="26" t="str">
        <f>IF(OR(E3201="",E3201="!!!",F3201="NEW"),"",COUNTBLANK(OFFSET(A$1,,,SUMPRODUCT(MAX(ROW(E$2:E3201)*(E3201=E$2:E3201)))))-COUNTBLANK(OFFSET(A$1,,,SUMPRODUCT(MAX(ROW(E$1:E3200)*(E2=E$1:E3200))))))</f>
        <v> </v>
      </c>
      <c r="K3201" s="26" t="str">
        <f>IF(OR(E3201="",E3201="!!!",F3201="NEW"),"",INDEX(J$1:J3200,SUMPRODUCT(MAX(ROW(E$1:E3200)*(E3201=E$1:E3200)))))</f>
        <v> </v>
      </c>
      <c r="L3201" s="27"/>
    </row>
    <row r="3202" spans="1:12">
      <c r="A3202" s="20"/>
    </row>
    <row r="3203" spans="1:12">
      <c r="A3203" s="20" t="s">
        <v>1907</v>
      </c>
    </row>
    <row r="3204" spans="1:12">
      <c r="A3204" s="20" t="s">
        <v>1070</v>
      </c>
      <c r="B3204" s="21" t="s">
        <v>948</v>
      </c>
      <c r="C3204" s="21" t="s">
        <v>983</v>
      </c>
      <c r="E3204" s="22">
        <f>IF(D3204="?OLD","!!!","")</f>
        <v/>
      </c>
      <c r="F3204" s="23" t="str">
        <f>IF(OR(E3204="",E3204="!!!"),"",IF(NOT(ISNA(VLOOKUP(E3204,E$1:E3203,1,FALSE()))),"OLD",IF(AND(E3204&lt;&gt;"",E3204&lt;&gt;"!!!"),"NEW","")))</f>
        <v> </v>
      </c>
      <c r="G3204" s="24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5" t="str">
        <f>IF(J3204&lt;&gt;1,"",IF(I3204="SBJ","CB","?"))</f>
        <v> </v>
      </c>
      <c r="I3204" s="26" t="str">
        <f>IF(OR(E3204="",E3204="!!!",F3204="NEW"),"",INDEX(B3203:B$2,-1+SUMPRODUCT(MAX(ROW(E3203:E$2)*(E3204=E3203:E$2)))))</f>
        <v> </v>
      </c>
      <c r="J3204" s="26" t="str">
        <f>IF(OR(E3204="",E3204="!!!",F3204="NEW"),"",COUNTBLANK(OFFSET(A$1,,,SUMPRODUCT(MAX(ROW(E$2:E3204)*(E3204=E$2:E3204)))))-COUNTBLANK(OFFSET(A$1,,,SUMPRODUCT(MAX(ROW(E$1:E3203)*(E2=E$1:E3203))))))</f>
        <v> </v>
      </c>
      <c r="K3204" s="26" t="str">
        <f>IF(OR(E3204="",E3204="!!!",F3204="NEW"),"",INDEX(J$1:J3203,SUMPRODUCT(MAX(ROW(E$1:E3203)*(E3204=E$1:E3203)))))</f>
        <v> </v>
      </c>
      <c r="L3204" s="27"/>
    </row>
    <row r="3205" spans="1:12">
      <c r="A3205" s="20" t="s">
        <v>952</v>
      </c>
      <c r="E3205" s="22">
        <f>IF(D3205="?OLD","!!!","")</f>
        <v/>
      </c>
      <c r="F3205" s="23" t="str">
        <f>IF(OR(E3205="",E3205="!!!"),"",IF(NOT(ISNA(VLOOKUP(E3205,E$1:E3204,1,FALSE()))),"OLD",IF(AND(E3205&lt;&gt;"",E3205&lt;&gt;"!!!"),"NEW","")))</f>
        <v> </v>
      </c>
      <c r="G3205" s="24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5" t="str">
        <f>IF(J3205&lt;&gt;1,"",IF(I3205="SBJ","CB","?"))</f>
        <v> </v>
      </c>
      <c r="I3205" s="26" t="str">
        <f>IF(OR(E3205="",E3205="!!!",F3205="NEW"),"",INDEX(B3204:B$2,-1+SUMPRODUCT(MAX(ROW(E3204:E$2)*(E3205=E3204:E$2)))))</f>
        <v> </v>
      </c>
      <c r="J3205" s="26" t="str">
        <f>IF(OR(E3205="",E3205="!!!",F3205="NEW"),"",COUNTBLANK(OFFSET(A$1,,,SUMPRODUCT(MAX(ROW(E$2:E3205)*(E3205=E$2:E3205)))))-COUNTBLANK(OFFSET(A$1,,,SUMPRODUCT(MAX(ROW(E$1:E3204)*(E2=E$1:E3204))))))</f>
        <v> </v>
      </c>
      <c r="K3205" s="26" t="str">
        <f>IF(OR(E3205="",E3205="!!!",F3205="NEW"),"",INDEX(J$1:J3204,SUMPRODUCT(MAX(ROW(E$1:E3204)*(E3205=E$1:E3204)))))</f>
        <v> </v>
      </c>
      <c r="L3205" s="27"/>
    </row>
    <row r="3206" spans="1:12">
      <c r="A3206" s="20" t="s">
        <v>1253</v>
      </c>
      <c r="E3206" s="22">
        <f>IF(D3206="?OLD","!!!","")</f>
        <v/>
      </c>
      <c r="F3206" s="23" t="str">
        <f>IF(OR(E3206="",E3206="!!!"),"",IF(NOT(ISNA(VLOOKUP(E3206,E$1:E3205,1,FALSE()))),"OLD",IF(AND(E3206&lt;&gt;"",E3206&lt;&gt;"!!!"),"NEW","")))</f>
        <v> </v>
      </c>
      <c r="G3206" s="24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5" t="str">
        <f>IF(J3206&lt;&gt;1,"",IF(I3206="SBJ","CB","?"))</f>
        <v> </v>
      </c>
      <c r="I3206" s="26" t="str">
        <f>IF(OR(E3206="",E3206="!!!",F3206="NEW"),"",INDEX(B3205:B$2,-1+SUMPRODUCT(MAX(ROW(E3205:E$2)*(E3206=E3205:E$2)))))</f>
        <v> </v>
      </c>
      <c r="J3206" s="26" t="str">
        <f>IF(OR(E3206="",E3206="!!!",F3206="NEW"),"",COUNTBLANK(OFFSET(A$1,,,SUMPRODUCT(MAX(ROW(E$2:E3206)*(E3206=E$2:E3206)))))-COUNTBLANK(OFFSET(A$1,,,SUMPRODUCT(MAX(ROW(E$1:E3205)*(E2=E$1:E3205))))))</f>
        <v> </v>
      </c>
      <c r="K3206" s="26" t="str">
        <f>IF(OR(E3206="",E3206="!!!",F3206="NEW"),"",INDEX(J$1:J3205,SUMPRODUCT(MAX(ROW(E$1:E3205)*(E3206=E$1:E3205)))))</f>
        <v> </v>
      </c>
      <c r="L3206" s="27"/>
    </row>
    <row r="3207" spans="1:12">
      <c r="A3207" s="20" t="s">
        <v>965</v>
      </c>
      <c r="E3207" s="22">
        <f>IF(D3207="?OLD","!!!","")</f>
        <v/>
      </c>
      <c r="F3207" s="23" t="str">
        <f>IF(OR(E3207="",E3207="!!!"),"",IF(NOT(ISNA(VLOOKUP(E3207,E$1:E3206,1,FALSE()))),"OLD",IF(AND(E3207&lt;&gt;"",E3207&lt;&gt;"!!!"),"NEW","")))</f>
        <v> </v>
      </c>
      <c r="G3207" s="24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5" t="str">
        <f>IF(J3207&lt;&gt;1,"",IF(I3207="SBJ","CB","?"))</f>
        <v> </v>
      </c>
      <c r="I3207" s="26" t="str">
        <f>IF(OR(E3207="",E3207="!!!",F3207="NEW"),"",INDEX(B3206:B$2,-1+SUMPRODUCT(MAX(ROW(E3206:E$2)*(E3207=E3206:E$2)))))</f>
        <v> </v>
      </c>
      <c r="J3207" s="26" t="str">
        <f>IF(OR(E3207="",E3207="!!!",F3207="NEW"),"",COUNTBLANK(OFFSET(A$1,,,SUMPRODUCT(MAX(ROW(E$2:E3207)*(E3207=E$2:E3207)))))-COUNTBLANK(OFFSET(A$1,,,SUMPRODUCT(MAX(ROW(E$1:E3206)*(E2=E$1:E3206))))))</f>
        <v> </v>
      </c>
      <c r="K3207" s="26" t="str">
        <f>IF(OR(E3207="",E3207="!!!",F3207="NEW"),"",INDEX(J$1:J3206,SUMPRODUCT(MAX(ROW(E$1:E3206)*(E3207=E$1:E3206)))))</f>
        <v> </v>
      </c>
      <c r="L3207" s="27"/>
    </row>
    <row r="3208" spans="1:12">
      <c r="A3208" s="20" t="s">
        <v>1491</v>
      </c>
      <c r="E3208" s="22">
        <f>IF(D3208="?OLD","!!!","")</f>
        <v/>
      </c>
      <c r="F3208" s="23" t="str">
        <f>IF(OR(E3208="",E3208="!!!"),"",IF(NOT(ISNA(VLOOKUP(E3208,E$1:E3207,1,FALSE()))),"OLD",IF(AND(E3208&lt;&gt;"",E3208&lt;&gt;"!!!"),"NEW","")))</f>
        <v> </v>
      </c>
      <c r="G3208" s="24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5" t="str">
        <f>IF(J3208&lt;&gt;1,"",IF(I3208="SBJ","CB","?"))</f>
        <v> </v>
      </c>
      <c r="I3208" s="26" t="str">
        <f>IF(OR(E3208="",E3208="!!!",F3208="NEW"),"",INDEX(B3207:B$2,-1+SUMPRODUCT(MAX(ROW(E3207:E$2)*(E3208=E3207:E$2)))))</f>
        <v> </v>
      </c>
      <c r="J3208" s="26" t="str">
        <f>IF(OR(E3208="",E3208="!!!",F3208="NEW"),"",COUNTBLANK(OFFSET(A$1,,,SUMPRODUCT(MAX(ROW(E$2:E3208)*(E3208=E$2:E3208)))))-COUNTBLANK(OFFSET(A$1,,,SUMPRODUCT(MAX(ROW(E$1:E3207)*(E2=E$1:E3207))))))</f>
        <v> </v>
      </c>
      <c r="K3208" s="26" t="str">
        <f>IF(OR(E3208="",E3208="!!!",F3208="NEW"),"",INDEX(J$1:J3207,SUMPRODUCT(MAX(ROW(E$1:E3207)*(E3208=E$1:E3207)))))</f>
        <v> </v>
      </c>
      <c r="L3208" s="27"/>
    </row>
    <row r="3209" spans="1:12">
      <c r="A3209" s="20" t="s">
        <v>1141</v>
      </c>
      <c r="E3209" s="22">
        <f>IF(D3209="?OLD","!!!","")</f>
        <v/>
      </c>
      <c r="F3209" s="23" t="str">
        <f>IF(OR(E3209="",E3209="!!!"),"",IF(NOT(ISNA(VLOOKUP(E3209,E$1:E3208,1,FALSE()))),"OLD",IF(AND(E3209&lt;&gt;"",E3209&lt;&gt;"!!!"),"NEW","")))</f>
        <v> </v>
      </c>
      <c r="G3209" s="24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5" t="str">
        <f>IF(J3209&lt;&gt;1,"",IF(I3209="SBJ","CB","?"))</f>
        <v> </v>
      </c>
      <c r="I3209" s="26" t="str">
        <f>IF(OR(E3209="",E3209="!!!",F3209="NEW"),"",INDEX(B3208:B$2,-1+SUMPRODUCT(MAX(ROW(E3208:E$2)*(E3209=E3208:E$2)))))</f>
        <v> </v>
      </c>
      <c r="J3209" s="26" t="str">
        <f>IF(OR(E3209="",E3209="!!!",F3209="NEW"),"",COUNTBLANK(OFFSET(A$1,,,SUMPRODUCT(MAX(ROW(E$2:E3209)*(E3209=E$2:E3209)))))-COUNTBLANK(OFFSET(A$1,,,SUMPRODUCT(MAX(ROW(E$1:E3208)*(E2=E$1:E3208))))))</f>
        <v> </v>
      </c>
      <c r="K3209" s="26" t="str">
        <f>IF(OR(E3209="",E3209="!!!",F3209="NEW"),"",INDEX(J$1:J3208,SUMPRODUCT(MAX(ROW(E$1:E3208)*(E3209=E$1:E3208)))))</f>
        <v> </v>
      </c>
      <c r="L3209" s="27"/>
    </row>
    <row r="3210" spans="1:12">
      <c r="A3210" s="20" t="s">
        <v>1908</v>
      </c>
      <c r="E3210" s="22">
        <f>IF(D3210="?OLD","!!!","")</f>
        <v/>
      </c>
      <c r="F3210" s="23" t="str">
        <f>IF(OR(E3210="",E3210="!!!"),"",IF(NOT(ISNA(VLOOKUP(E3210,E$1:E3209,1,FALSE()))),"OLD",IF(AND(E3210&lt;&gt;"",E3210&lt;&gt;"!!!"),"NEW","")))</f>
        <v> </v>
      </c>
      <c r="G3210" s="24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5" t="str">
        <f>IF(J3210&lt;&gt;1,"",IF(I3210="SBJ","CB","?"))</f>
        <v> </v>
      </c>
      <c r="I3210" s="26" t="str">
        <f>IF(OR(E3210="",E3210="!!!",F3210="NEW"),"",INDEX(B3209:B$2,-1+SUMPRODUCT(MAX(ROW(E3209:E$2)*(E3210=E3209:E$2)))))</f>
        <v> </v>
      </c>
      <c r="J3210" s="26" t="str">
        <f>IF(OR(E3210="",E3210="!!!",F3210="NEW"),"",COUNTBLANK(OFFSET(A$1,,,SUMPRODUCT(MAX(ROW(E$2:E3210)*(E3210=E$2:E3210)))))-COUNTBLANK(OFFSET(A$1,,,SUMPRODUCT(MAX(ROW(E$1:E3209)*(E2=E$1:E3209))))))</f>
        <v> </v>
      </c>
      <c r="K3210" s="26" t="str">
        <f>IF(OR(E3210="",E3210="!!!",F3210="NEW"),"",INDEX(J$1:J3209,SUMPRODUCT(MAX(ROW(E$1:E3209)*(E3210=E$1:E3209)))))</f>
        <v> </v>
      </c>
      <c r="L3210" s="27"/>
    </row>
    <row r="3211" spans="1:12">
      <c r="A3211" s="20" t="s">
        <v>1168</v>
      </c>
      <c r="E3211" s="22">
        <f>IF(D3211="?OLD","!!!","")</f>
        <v/>
      </c>
      <c r="F3211" s="23" t="str">
        <f>IF(OR(E3211="",E3211="!!!"),"",IF(NOT(ISNA(VLOOKUP(E3211,E$1:E3210,1,FALSE()))),"OLD",IF(AND(E3211&lt;&gt;"",E3211&lt;&gt;"!!!"),"NEW","")))</f>
        <v> </v>
      </c>
      <c r="G3211" s="24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5" t="str">
        <f>IF(J3211&lt;&gt;1,"",IF(I3211="SBJ","CB","?"))</f>
        <v> </v>
      </c>
      <c r="I3211" s="26" t="str">
        <f>IF(OR(E3211="",E3211="!!!",F3211="NEW"),"",INDEX(B3210:B$2,-1+SUMPRODUCT(MAX(ROW(E3210:E$2)*(E3211=E3210:E$2)))))</f>
        <v> </v>
      </c>
      <c r="J3211" s="26" t="str">
        <f>IF(OR(E3211="",E3211="!!!",F3211="NEW"),"",COUNTBLANK(OFFSET(A$1,,,SUMPRODUCT(MAX(ROW(E$2:E3211)*(E3211=E$2:E3211)))))-COUNTBLANK(OFFSET(A$1,,,SUMPRODUCT(MAX(ROW(E$1:E3210)*(E2=E$1:E3210))))))</f>
        <v> </v>
      </c>
      <c r="K3211" s="26" t="str">
        <f>IF(OR(E3211="",E3211="!!!",F3211="NEW"),"",INDEX(J$1:J3210,SUMPRODUCT(MAX(ROW(E$1:E3210)*(E3211=E$1:E3210)))))</f>
        <v> </v>
      </c>
      <c r="L3211" s="27"/>
    </row>
    <row r="3212" spans="1:12">
      <c r="A3212" s="20" t="s">
        <v>1098</v>
      </c>
      <c r="B3212" s="21" t="s">
        <v>1031</v>
      </c>
      <c r="C3212" s="21" t="s">
        <v>1008</v>
      </c>
      <c r="D3212" s="21" t="s">
        <v>950</v>
      </c>
      <c r="E3212" s="22">
        <f>IF(D3212="?OLD","!!!","")</f>
        <v/>
      </c>
      <c r="F3212" s="23" t="str">
        <f>IF(OR(E3212="",E3212="!!!"),"",IF(NOT(ISNA(VLOOKUP(E3212,E$1:E3211,1,FALSE()))),"OLD",IF(AND(E3212&lt;&gt;"",E3212&lt;&gt;"!!!"),"NEW","")))</f>
        <v> </v>
      </c>
      <c r="G3212" s="24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5" t="str">
        <f>IF(J3212&lt;&gt;1,"",IF(I3212="SBJ","CB","?"))</f>
        <v> </v>
      </c>
      <c r="I3212" s="26" t="str">
        <f>IF(OR(E3212="",E3212="!!!",F3212="NEW"),"",INDEX(B3211:B$2,-1+SUMPRODUCT(MAX(ROW(E3211:E$2)*(E3212=E3211:E$2)))))</f>
        <v> </v>
      </c>
      <c r="J3212" s="26" t="str">
        <f>IF(OR(E3212="",E3212="!!!",F3212="NEW"),"",COUNTBLANK(OFFSET(A$1,,,SUMPRODUCT(MAX(ROW(E$2:E3212)*(E3212=E$2:E3212)))))-COUNTBLANK(OFFSET(A$1,,,SUMPRODUCT(MAX(ROW(E$1:E3211)*(E2=E$1:E3211))))))</f>
        <v> </v>
      </c>
      <c r="K3212" s="26" t="str">
        <f>IF(OR(E3212="",E3212="!!!",F3212="NEW"),"",INDEX(J$1:J3211,SUMPRODUCT(MAX(ROW(E$1:E3211)*(E3212=E$1:E3211)))))</f>
        <v> </v>
      </c>
      <c r="L3212" s="27"/>
    </row>
    <row r="3213" spans="1:12">
      <c r="A3213" s="20" t="s">
        <v>1111</v>
      </c>
      <c r="E3213" s="22">
        <f>IF(D3213="?OLD","!!!","")</f>
        <v/>
      </c>
      <c r="F3213" s="23" t="str">
        <f>IF(OR(E3213="",E3213="!!!"),"",IF(NOT(ISNA(VLOOKUP(E3213,E$1:E3212,1,FALSE()))),"OLD",IF(AND(E3213&lt;&gt;"",E3213&lt;&gt;"!!!"),"NEW","")))</f>
        <v> </v>
      </c>
      <c r="G3213" s="24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5" t="str">
        <f>IF(J3213&lt;&gt;1,"",IF(I3213="SBJ","CB","?"))</f>
        <v> </v>
      </c>
      <c r="I3213" s="26" t="str">
        <f>IF(OR(E3213="",E3213="!!!",F3213="NEW"),"",INDEX(B3212:B$2,-1+SUMPRODUCT(MAX(ROW(E3212:E$2)*(E3213=E3212:E$2)))))</f>
        <v> </v>
      </c>
      <c r="J3213" s="26" t="str">
        <f>IF(OR(E3213="",E3213="!!!",F3213="NEW"),"",COUNTBLANK(OFFSET(A$1,,,SUMPRODUCT(MAX(ROW(E$2:E3213)*(E3213=E$2:E3213)))))-COUNTBLANK(OFFSET(A$1,,,SUMPRODUCT(MAX(ROW(E$1:E3212)*(E2=E$1:E3212))))))</f>
        <v> </v>
      </c>
      <c r="K3213" s="26" t="str">
        <f>IF(OR(E3213="",E3213="!!!",F3213="NEW"),"",INDEX(J$1:J3212,SUMPRODUCT(MAX(ROW(E$1:E3212)*(E3213=E$1:E3212)))))</f>
        <v> </v>
      </c>
      <c r="L3213" s="27"/>
    </row>
    <row r="3214" spans="1:12">
      <c r="A3214" s="20" t="s">
        <v>1491</v>
      </c>
      <c r="E3214" s="22">
        <f>IF(D3214="?OLD","!!!","")</f>
        <v/>
      </c>
      <c r="F3214" s="23" t="str">
        <f>IF(OR(E3214="",E3214="!!!"),"",IF(NOT(ISNA(VLOOKUP(E3214,E$1:E3213,1,FALSE()))),"OLD",IF(AND(E3214&lt;&gt;"",E3214&lt;&gt;"!!!"),"NEW","")))</f>
        <v> </v>
      </c>
      <c r="G3214" s="24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5" t="str">
        <f>IF(J3214&lt;&gt;1,"",IF(I3214="SBJ","CB","?"))</f>
        <v> </v>
      </c>
      <c r="I3214" s="26" t="str">
        <f>IF(OR(E3214="",E3214="!!!",F3214="NEW"),"",INDEX(B3213:B$2,-1+SUMPRODUCT(MAX(ROW(E3213:E$2)*(E3214=E3213:E$2)))))</f>
        <v> </v>
      </c>
      <c r="J3214" s="26" t="str">
        <f>IF(OR(E3214="",E3214="!!!",F3214="NEW"),"",COUNTBLANK(OFFSET(A$1,,,SUMPRODUCT(MAX(ROW(E$2:E3214)*(E3214=E$2:E3214)))))-COUNTBLANK(OFFSET(A$1,,,SUMPRODUCT(MAX(ROW(E$1:E3213)*(E2=E$1:E3213))))))</f>
        <v> </v>
      </c>
      <c r="K3214" s="26" t="str">
        <f>IF(OR(E3214="",E3214="!!!",F3214="NEW"),"",INDEX(J$1:J3213,SUMPRODUCT(MAX(ROW(E$1:E3213)*(E3214=E$1:E3213)))))</f>
        <v> </v>
      </c>
      <c r="L3214" s="27"/>
    </row>
    <row r="3215" spans="1:12">
      <c r="A3215" s="20" t="s">
        <v>1075</v>
      </c>
      <c r="E3215" s="22">
        <f>IF(D3215="?OLD","!!!","")</f>
        <v/>
      </c>
      <c r="F3215" s="23" t="str">
        <f>IF(OR(E3215="",E3215="!!!"),"",IF(NOT(ISNA(VLOOKUP(E3215,E$1:E3214,1,FALSE()))),"OLD",IF(AND(E3215&lt;&gt;"",E3215&lt;&gt;"!!!"),"NEW","")))</f>
        <v> </v>
      </c>
      <c r="G3215" s="24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5" t="str">
        <f>IF(J3215&lt;&gt;1,"",IF(I3215="SBJ","CB","?"))</f>
        <v> </v>
      </c>
      <c r="I3215" s="26" t="str">
        <f>IF(OR(E3215="",E3215="!!!",F3215="NEW"),"",INDEX(B3214:B$2,-1+SUMPRODUCT(MAX(ROW(E3214:E$2)*(E3215=E3214:E$2)))))</f>
        <v> </v>
      </c>
      <c r="J3215" s="26" t="str">
        <f>IF(OR(E3215="",E3215="!!!",F3215="NEW"),"",COUNTBLANK(OFFSET(A$1,,,SUMPRODUCT(MAX(ROW(E$2:E3215)*(E3215=E$2:E3215)))))-COUNTBLANK(OFFSET(A$1,,,SUMPRODUCT(MAX(ROW(E$1:E3214)*(E2=E$1:E3214))))))</f>
        <v> </v>
      </c>
      <c r="K3215" s="26" t="str">
        <f>IF(OR(E3215="",E3215="!!!",F3215="NEW"),"",INDEX(J$1:J3214,SUMPRODUCT(MAX(ROW(E$1:E3214)*(E3215=E$1:E3214)))))</f>
        <v> </v>
      </c>
      <c r="L3215" s="27"/>
    </row>
    <row r="3216" spans="1:12">
      <c r="A3216" s="20" t="s">
        <v>1022</v>
      </c>
      <c r="E3216" s="22">
        <f>IF(D3216="?OLD","!!!","")</f>
        <v/>
      </c>
      <c r="F3216" s="23" t="str">
        <f>IF(OR(E3216="",E3216="!!!"),"",IF(NOT(ISNA(VLOOKUP(E3216,E$1:E3215,1,FALSE()))),"OLD",IF(AND(E3216&lt;&gt;"",E3216&lt;&gt;"!!!"),"NEW","")))</f>
        <v> </v>
      </c>
      <c r="G3216" s="24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5" t="str">
        <f>IF(J3216&lt;&gt;1,"",IF(I3216="SBJ","CB","?"))</f>
        <v> </v>
      </c>
      <c r="I3216" s="26" t="str">
        <f>IF(OR(E3216="",E3216="!!!",F3216="NEW"),"",INDEX(B3215:B$2,-1+SUMPRODUCT(MAX(ROW(E3215:E$2)*(E3216=E3215:E$2)))))</f>
        <v> </v>
      </c>
      <c r="J3216" s="26" t="str">
        <f>IF(OR(E3216="",E3216="!!!",F3216="NEW"),"",COUNTBLANK(OFFSET(A$1,,,SUMPRODUCT(MAX(ROW(E$2:E3216)*(E3216=E$2:E3216)))))-COUNTBLANK(OFFSET(A$1,,,SUMPRODUCT(MAX(ROW(E$1:E3215)*(E2=E$1:E3215))))))</f>
        <v> </v>
      </c>
      <c r="K3216" s="26" t="str">
        <f>IF(OR(E3216="",E3216="!!!",F3216="NEW"),"",INDEX(J$1:J3215,SUMPRODUCT(MAX(ROW(E$1:E3215)*(E3216=E$1:E3215)))))</f>
        <v> </v>
      </c>
      <c r="L3216" s="27"/>
    </row>
    <row r="3217" spans="1:12">
      <c r="A3217" s="20" t="s">
        <v>1909</v>
      </c>
      <c r="B3217" s="21" t="s">
        <v>1031</v>
      </c>
      <c r="C3217" s="21" t="s">
        <v>976</v>
      </c>
      <c r="D3217" s="21" t="s">
        <v>950</v>
      </c>
      <c r="E3217" s="22">
        <f>IF(D3217="?OLD","!!!","")</f>
        <v/>
      </c>
      <c r="F3217" s="23" t="str">
        <f>IF(OR(E3217="",E3217="!!!"),"",IF(NOT(ISNA(VLOOKUP(E3217,E$1:E3216,1,FALSE()))),"OLD",IF(AND(E3217&lt;&gt;"",E3217&lt;&gt;"!!!"),"NEW","")))</f>
        <v> </v>
      </c>
      <c r="G3217" s="24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5" t="str">
        <f>IF(J3217&lt;&gt;1,"",IF(I3217="SBJ","CB","?"))</f>
        <v> </v>
      </c>
      <c r="I3217" s="26" t="str">
        <f>IF(OR(E3217="",E3217="!!!",F3217="NEW"),"",INDEX(B3216:B$2,-1+SUMPRODUCT(MAX(ROW(E3216:E$2)*(E3217=E3216:E$2)))))</f>
        <v> </v>
      </c>
      <c r="J3217" s="26" t="str">
        <f>IF(OR(E3217="",E3217="!!!",F3217="NEW"),"",COUNTBLANK(OFFSET(A$1,,,SUMPRODUCT(MAX(ROW(E$2:E3217)*(E3217=E$2:E3217)))))-COUNTBLANK(OFFSET(A$1,,,SUMPRODUCT(MAX(ROW(E$1:E3216)*(E2=E$1:E3216))))))</f>
        <v> </v>
      </c>
      <c r="K3217" s="26" t="str">
        <f>IF(OR(E3217="",E3217="!!!",F3217="NEW"),"",INDEX(J$1:J3216,SUMPRODUCT(MAX(ROW(E$1:E3216)*(E3217=E$1:E3216)))))</f>
        <v> </v>
      </c>
      <c r="L3217" s="27"/>
    </row>
    <row r="3218" spans="1:12">
      <c r="A3218" s="20" t="s">
        <v>1075</v>
      </c>
      <c r="E3218" s="22">
        <f>IF(D3218="?OLD","!!!","")</f>
        <v/>
      </c>
      <c r="F3218" s="23" t="str">
        <f>IF(OR(E3218="",E3218="!!!"),"",IF(NOT(ISNA(VLOOKUP(E3218,E$1:E3217,1,FALSE()))),"OLD",IF(AND(E3218&lt;&gt;"",E3218&lt;&gt;"!!!"),"NEW","")))</f>
        <v> </v>
      </c>
      <c r="G3218" s="24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5" t="str">
        <f>IF(J3218&lt;&gt;1,"",IF(I3218="SBJ","CB","?"))</f>
        <v> </v>
      </c>
      <c r="I3218" s="26" t="str">
        <f>IF(OR(E3218="",E3218="!!!",F3218="NEW"),"",INDEX(B3217:B$2,-1+SUMPRODUCT(MAX(ROW(E3217:E$2)*(E3218=E3217:E$2)))))</f>
        <v> </v>
      </c>
      <c r="J3218" s="26" t="str">
        <f>IF(OR(E3218="",E3218="!!!",F3218="NEW"),"",COUNTBLANK(OFFSET(A$1,,,SUMPRODUCT(MAX(ROW(E$2:E3218)*(E3218=E$2:E3218)))))-COUNTBLANK(OFFSET(A$1,,,SUMPRODUCT(MAX(ROW(E$1:E3217)*(E2=E$1:E3217))))))</f>
        <v> </v>
      </c>
      <c r="K3218" s="26" t="str">
        <f>IF(OR(E3218="",E3218="!!!",F3218="NEW"),"",INDEX(J$1:J3217,SUMPRODUCT(MAX(ROW(E$1:E3217)*(E3218=E$1:E3217)))))</f>
        <v> </v>
      </c>
      <c r="L3218" s="27"/>
    </row>
    <row r="3219" spans="1:12">
      <c r="A3219" s="20" t="s">
        <v>1006</v>
      </c>
      <c r="E3219" s="22">
        <f>IF(D3219="?OLD","!!!","")</f>
        <v/>
      </c>
      <c r="F3219" s="23" t="str">
        <f>IF(OR(E3219="",E3219="!!!"),"",IF(NOT(ISNA(VLOOKUP(E3219,E$1:E3218,1,FALSE()))),"OLD",IF(AND(E3219&lt;&gt;"",E3219&lt;&gt;"!!!"),"NEW","")))</f>
        <v> </v>
      </c>
      <c r="G3219" s="24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5" t="str">
        <f>IF(J3219&lt;&gt;1,"",IF(I3219="SBJ","CB","?"))</f>
        <v> </v>
      </c>
      <c r="I3219" s="26" t="str">
        <f>IF(OR(E3219="",E3219="!!!",F3219="NEW"),"",INDEX(B3218:B$2,-1+SUMPRODUCT(MAX(ROW(E3218:E$2)*(E3219=E3218:E$2)))))</f>
        <v> </v>
      </c>
      <c r="J3219" s="26" t="str">
        <f>IF(OR(E3219="",E3219="!!!",F3219="NEW"),"",COUNTBLANK(OFFSET(A$1,,,SUMPRODUCT(MAX(ROW(E$2:E3219)*(E3219=E$2:E3219)))))-COUNTBLANK(OFFSET(A$1,,,SUMPRODUCT(MAX(ROW(E$1:E3218)*(E2=E$1:E3218))))))</f>
        <v> </v>
      </c>
      <c r="K3219" s="26" t="str">
        <f>IF(OR(E3219="",E3219="!!!",F3219="NEW"),"",INDEX(J$1:J3218,SUMPRODUCT(MAX(ROW(E$1:E3218)*(E3219=E$1:E3218)))))</f>
        <v> </v>
      </c>
      <c r="L3219" s="27"/>
    </row>
    <row r="3220" spans="1:12">
      <c r="A3220" s="20" t="s">
        <v>1910</v>
      </c>
      <c r="B3220" s="21" t="s">
        <v>980</v>
      </c>
      <c r="C3220" s="21" t="s">
        <v>949</v>
      </c>
      <c r="D3220" s="21" t="s">
        <v>950</v>
      </c>
      <c r="E3220" s="22">
        <f>IF(D3220="?OLD","!!!","")</f>
        <v/>
      </c>
      <c r="F3220" s="23" t="str">
        <f>IF(OR(E3220="",E3220="!!!"),"",IF(NOT(ISNA(VLOOKUP(E3220,E$1:E3219,1,FALSE()))),"OLD",IF(AND(E3220&lt;&gt;"",E3220&lt;&gt;"!!!"),"NEW","")))</f>
        <v> </v>
      </c>
      <c r="G3220" s="24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5" t="str">
        <f>IF(J3220&lt;&gt;1,"",IF(I3220="SBJ","CB","?"))</f>
        <v> </v>
      </c>
      <c r="I3220" s="26" t="str">
        <f>IF(OR(E3220="",E3220="!!!",F3220="NEW"),"",INDEX(B3219:B$2,-1+SUMPRODUCT(MAX(ROW(E3219:E$2)*(E3220=E3219:E$2)))))</f>
        <v> </v>
      </c>
      <c r="J3220" s="26" t="str">
        <f>IF(OR(E3220="",E3220="!!!",F3220="NEW"),"",COUNTBLANK(OFFSET(A$1,,,SUMPRODUCT(MAX(ROW(E$2:E3220)*(E3220=E$2:E3220)))))-COUNTBLANK(OFFSET(A$1,,,SUMPRODUCT(MAX(ROW(E$1:E3219)*(E2=E$1:E3219))))))</f>
        <v> </v>
      </c>
      <c r="K3220" s="26" t="str">
        <f>IF(OR(E3220="",E3220="!!!",F3220="NEW"),"",INDEX(J$1:J3219,SUMPRODUCT(MAX(ROW(E$1:E3219)*(E3220=E$1:E3219)))))</f>
        <v> </v>
      </c>
      <c r="L3220" s="27"/>
    </row>
    <row r="3221" spans="1:12">
      <c r="A3221" s="20" t="s">
        <v>984</v>
      </c>
      <c r="E3221" s="22">
        <f>IF(D3221="?OLD","!!!","")</f>
        <v/>
      </c>
      <c r="F3221" s="23" t="str">
        <f>IF(OR(E3221="",E3221="!!!"),"",IF(NOT(ISNA(VLOOKUP(E3221,E$1:E3220,1,FALSE()))),"OLD",IF(AND(E3221&lt;&gt;"",E3221&lt;&gt;"!!!"),"NEW","")))</f>
        <v> </v>
      </c>
      <c r="G3221" s="24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5" t="str">
        <f>IF(J3221&lt;&gt;1,"",IF(I3221="SBJ","CB","?"))</f>
        <v> </v>
      </c>
      <c r="I3221" s="26" t="str">
        <f>IF(OR(E3221="",E3221="!!!",F3221="NEW"),"",INDEX(B3220:B$2,-1+SUMPRODUCT(MAX(ROW(E3220:E$2)*(E3221=E3220:E$2)))))</f>
        <v> </v>
      </c>
      <c r="J3221" s="26" t="str">
        <f>IF(OR(E3221="",E3221="!!!",F3221="NEW"),"",COUNTBLANK(OFFSET(A$1,,,SUMPRODUCT(MAX(ROW(E$2:E3221)*(E3221=E$2:E3221)))))-COUNTBLANK(OFFSET(A$1,,,SUMPRODUCT(MAX(ROW(E$1:E3220)*(E2=E$1:E3220))))))</f>
        <v> </v>
      </c>
      <c r="K3221" s="26" t="str">
        <f>IF(OR(E3221="",E3221="!!!",F3221="NEW"),"",INDEX(J$1:J3220,SUMPRODUCT(MAX(ROW(E$1:E3220)*(E3221=E$1:E3220)))))</f>
        <v> </v>
      </c>
      <c r="L3221" s="27"/>
    </row>
    <row r="3222" spans="1:12">
      <c r="A3222" s="20"/>
    </row>
    <row r="3223" spans="1:12">
      <c r="A3223" s="20" t="s">
        <v>1911</v>
      </c>
    </row>
    <row r="3224" spans="1:12">
      <c r="A3224" s="20" t="s">
        <v>1912</v>
      </c>
      <c r="E3224" s="22">
        <f>IF(D3224="?OLD","!!!","")</f>
        <v/>
      </c>
      <c r="F3224" s="23" t="str">
        <f>IF(OR(E3224="",E3224="!!!"),"",IF(NOT(ISNA(VLOOKUP(E3224,E$1:E3223,1,FALSE()))),"OLD",IF(AND(E3224&lt;&gt;"",E3224&lt;&gt;"!!!"),"NEW","")))</f>
        <v> </v>
      </c>
      <c r="G3224" s="24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5" t="str">
        <f>IF(J3224&lt;&gt;1,"",IF(I3224="SBJ","CB","?"))</f>
        <v> </v>
      </c>
      <c r="I3224" s="26" t="str">
        <f>IF(OR(E3224="",E3224="!!!",F3224="NEW"),"",INDEX(B3223:B$2,-1+SUMPRODUCT(MAX(ROW(E3223:E$2)*(E3224=E3223:E$2)))))</f>
        <v> </v>
      </c>
      <c r="J3224" s="26" t="str">
        <f>IF(OR(E3224="",E3224="!!!",F3224="NEW"),"",COUNTBLANK(OFFSET(A$1,,,SUMPRODUCT(MAX(ROW(E$2:E3224)*(E3224=E$2:E3224)))))-COUNTBLANK(OFFSET(A$1,,,SUMPRODUCT(MAX(ROW(E$1:E3223)*(E2=E$1:E3223))))))</f>
        <v> </v>
      </c>
      <c r="K3224" s="26" t="str">
        <f>IF(OR(E3224="",E3224="!!!",F3224="NEW"),"",INDEX(J$1:J3223,SUMPRODUCT(MAX(ROW(E$1:E3223)*(E3224=E$1:E3223)))))</f>
        <v> </v>
      </c>
      <c r="L3224" s="27"/>
    </row>
    <row r="3225" spans="1:12">
      <c r="A3225" s="20" t="s">
        <v>965</v>
      </c>
      <c r="E3225" s="22">
        <f>IF(D3225="?OLD","!!!","")</f>
        <v/>
      </c>
      <c r="F3225" s="23" t="str">
        <f>IF(OR(E3225="",E3225="!!!"),"",IF(NOT(ISNA(VLOOKUP(E3225,E$1:E3224,1,FALSE()))),"OLD",IF(AND(E3225&lt;&gt;"",E3225&lt;&gt;"!!!"),"NEW","")))</f>
        <v> </v>
      </c>
      <c r="G3225" s="24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5" t="str">
        <f>IF(J3225&lt;&gt;1,"",IF(I3225="SBJ","CB","?"))</f>
        <v> </v>
      </c>
      <c r="I3225" s="26" t="str">
        <f>IF(OR(E3225="",E3225="!!!",F3225="NEW"),"",INDEX(B3224:B$2,-1+SUMPRODUCT(MAX(ROW(E3224:E$2)*(E3225=E3224:E$2)))))</f>
        <v> </v>
      </c>
      <c r="J3225" s="26" t="str">
        <f>IF(OR(E3225="",E3225="!!!",F3225="NEW"),"",COUNTBLANK(OFFSET(A$1,,,SUMPRODUCT(MAX(ROW(E$2:E3225)*(E3225=E$2:E3225)))))-COUNTBLANK(OFFSET(A$1,,,SUMPRODUCT(MAX(ROW(E$1:E3224)*(E2=E$1:E3224))))))</f>
        <v> </v>
      </c>
      <c r="K3225" s="26" t="str">
        <f>IF(OR(E3225="",E3225="!!!",F3225="NEW"),"",INDEX(J$1:J3224,SUMPRODUCT(MAX(ROW(E$1:E3224)*(E3225=E$1:E3224)))))</f>
        <v> </v>
      </c>
      <c r="L3225" s="27"/>
    </row>
    <row r="3226" spans="1:12">
      <c r="A3226" s="20" t="s">
        <v>1913</v>
      </c>
      <c r="E3226" s="22">
        <f>IF(D3226="?OLD","!!!","")</f>
        <v/>
      </c>
      <c r="F3226" s="23" t="str">
        <f>IF(OR(E3226="",E3226="!!!"),"",IF(NOT(ISNA(VLOOKUP(E3226,E$1:E3225,1,FALSE()))),"OLD",IF(AND(E3226&lt;&gt;"",E3226&lt;&gt;"!!!"),"NEW","")))</f>
        <v> </v>
      </c>
      <c r="G3226" s="24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5" t="str">
        <f>IF(J3226&lt;&gt;1,"",IF(I3226="SBJ","CB","?"))</f>
        <v> </v>
      </c>
      <c r="I3226" s="26" t="str">
        <f>IF(OR(E3226="",E3226="!!!",F3226="NEW"),"",INDEX(B3225:B$2,-1+SUMPRODUCT(MAX(ROW(E3225:E$2)*(E3226=E3225:E$2)))))</f>
        <v> </v>
      </c>
      <c r="J3226" s="26" t="str">
        <f>IF(OR(E3226="",E3226="!!!",F3226="NEW"),"",COUNTBLANK(OFFSET(A$1,,,SUMPRODUCT(MAX(ROW(E$2:E3226)*(E3226=E$2:E3226)))))-COUNTBLANK(OFFSET(A$1,,,SUMPRODUCT(MAX(ROW(E$1:E3225)*(E2=E$1:E3225))))))</f>
        <v> </v>
      </c>
      <c r="K3226" s="26" t="str">
        <f>IF(OR(E3226="",E3226="!!!",F3226="NEW"),"",INDEX(J$1:J3225,SUMPRODUCT(MAX(ROW(E$1:E3225)*(E3226=E$1:E3225)))))</f>
        <v> </v>
      </c>
      <c r="L3226" s="27"/>
    </row>
    <row r="3227" spans="1:12">
      <c r="A3227" s="20" t="s">
        <v>1006</v>
      </c>
      <c r="E3227" s="22">
        <f>IF(D3227="?OLD","!!!","")</f>
        <v/>
      </c>
      <c r="F3227" s="23" t="str">
        <f>IF(OR(E3227="",E3227="!!!"),"",IF(NOT(ISNA(VLOOKUP(E3227,E$1:E3226,1,FALSE()))),"OLD",IF(AND(E3227&lt;&gt;"",E3227&lt;&gt;"!!!"),"NEW","")))</f>
        <v> </v>
      </c>
      <c r="G3227" s="24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5" t="str">
        <f>IF(J3227&lt;&gt;1,"",IF(I3227="SBJ","CB","?"))</f>
        <v> </v>
      </c>
      <c r="I3227" s="26" t="str">
        <f>IF(OR(E3227="",E3227="!!!",F3227="NEW"),"",INDEX(B3226:B$2,-1+SUMPRODUCT(MAX(ROW(E3226:E$2)*(E3227=E3226:E$2)))))</f>
        <v> </v>
      </c>
      <c r="J3227" s="26" t="str">
        <f>IF(OR(E3227="",E3227="!!!",F3227="NEW"),"",COUNTBLANK(OFFSET(A$1,,,SUMPRODUCT(MAX(ROW(E$2:E3227)*(E3227=E$2:E3227)))))-COUNTBLANK(OFFSET(A$1,,,SUMPRODUCT(MAX(ROW(E$1:E3226)*(E2=E$1:E3226))))))</f>
        <v> </v>
      </c>
      <c r="K3227" s="26" t="str">
        <f>IF(OR(E3227="",E3227="!!!",F3227="NEW"),"",INDEX(J$1:J3226,SUMPRODUCT(MAX(ROW(E$1:E3226)*(E3227=E$1:E3226)))))</f>
        <v> </v>
      </c>
      <c r="L3227" s="27"/>
    </row>
    <row r="3228" spans="1:12">
      <c r="A3228" s="20" t="s">
        <v>1914</v>
      </c>
      <c r="B3228" s="21" t="s">
        <v>975</v>
      </c>
      <c r="C3228" s="21" t="s">
        <v>1032</v>
      </c>
      <c r="D3228" s="21" t="s">
        <v>950</v>
      </c>
      <c r="E3228" s="22">
        <f>IF(D3228="?OLD","!!!","")</f>
        <v/>
      </c>
      <c r="F3228" s="23" t="str">
        <f>IF(OR(E3228="",E3228="!!!"),"",IF(NOT(ISNA(VLOOKUP(E3228,E$1:E3227,1,FALSE()))),"OLD",IF(AND(E3228&lt;&gt;"",E3228&lt;&gt;"!!!"),"NEW","")))</f>
        <v> </v>
      </c>
      <c r="G3228" s="24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5" t="str">
        <f>IF(J3228&lt;&gt;1,"",IF(I3228="SBJ","CB","?"))</f>
        <v> </v>
      </c>
      <c r="I3228" s="26" t="str">
        <f>IF(OR(E3228="",E3228="!!!",F3228="NEW"),"",INDEX(B3227:B$2,-1+SUMPRODUCT(MAX(ROW(E3227:E$2)*(E3228=E3227:E$2)))))</f>
        <v> </v>
      </c>
      <c r="J3228" s="26" t="str">
        <f>IF(OR(E3228="",E3228="!!!",F3228="NEW"),"",COUNTBLANK(OFFSET(A$1,,,SUMPRODUCT(MAX(ROW(E$2:E3228)*(E3228=E$2:E3228)))))-COUNTBLANK(OFFSET(A$1,,,SUMPRODUCT(MAX(ROW(E$1:E3227)*(E2=E$1:E3227))))))</f>
        <v> </v>
      </c>
      <c r="K3228" s="26" t="str">
        <f>IF(OR(E3228="",E3228="!!!",F3228="NEW"),"",INDEX(J$1:J3227,SUMPRODUCT(MAX(ROW(E$1:E3227)*(E3228=E$1:E3227)))))</f>
        <v> </v>
      </c>
      <c r="L3228" s="27"/>
    </row>
    <row r="3229" spans="1:12">
      <c r="A3229" s="20" t="s">
        <v>1001</v>
      </c>
      <c r="E3229" s="22">
        <f>IF(D3229="?OLD","!!!","")</f>
        <v/>
      </c>
      <c r="F3229" s="23" t="str">
        <f>IF(OR(E3229="",E3229="!!!"),"",IF(NOT(ISNA(VLOOKUP(E3229,E$1:E3228,1,FALSE()))),"OLD",IF(AND(E3229&lt;&gt;"",E3229&lt;&gt;"!!!"),"NEW","")))</f>
        <v> </v>
      </c>
      <c r="G3229" s="24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5" t="str">
        <f>IF(J3229&lt;&gt;1,"",IF(I3229="SBJ","CB","?"))</f>
        <v> </v>
      </c>
      <c r="I3229" s="26" t="str">
        <f>IF(OR(E3229="",E3229="!!!",F3229="NEW"),"",INDEX(B3228:B$2,-1+SUMPRODUCT(MAX(ROW(E3228:E$2)*(E3229=E3228:E$2)))))</f>
        <v> </v>
      </c>
      <c r="J3229" s="26" t="str">
        <f>IF(OR(E3229="",E3229="!!!",F3229="NEW"),"",COUNTBLANK(OFFSET(A$1,,,SUMPRODUCT(MAX(ROW(E$2:E3229)*(E3229=E$2:E3229)))))-COUNTBLANK(OFFSET(A$1,,,SUMPRODUCT(MAX(ROW(E$1:E3228)*(E2=E$1:E3228))))))</f>
        <v> </v>
      </c>
      <c r="K3229" s="26" t="str">
        <f>IF(OR(E3229="",E3229="!!!",F3229="NEW"),"",INDEX(J$1:J3228,SUMPRODUCT(MAX(ROW(E$1:E3228)*(E3229=E$1:E3228)))))</f>
        <v> </v>
      </c>
      <c r="L3229" s="27"/>
    </row>
    <row r="3230" spans="1:12">
      <c r="A3230" s="20" t="s">
        <v>556</v>
      </c>
      <c r="E3230" s="22">
        <f>IF(D3230="?OLD","!!!","")</f>
        <v/>
      </c>
      <c r="F3230" s="23" t="str">
        <f>IF(OR(E3230="",E3230="!!!"),"",IF(NOT(ISNA(VLOOKUP(E3230,E$1:E3229,1,FALSE()))),"OLD",IF(AND(E3230&lt;&gt;"",E3230&lt;&gt;"!!!"),"NEW","")))</f>
        <v> </v>
      </c>
      <c r="G3230" s="24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5" t="str">
        <f>IF(J3230&lt;&gt;1,"",IF(I3230="SBJ","CB","?"))</f>
        <v> </v>
      </c>
      <c r="I3230" s="26" t="str">
        <f>IF(OR(E3230="",E3230="!!!",F3230="NEW"),"",INDEX(B3229:B$2,-1+SUMPRODUCT(MAX(ROW(E3229:E$2)*(E3230=E3229:E$2)))))</f>
        <v> </v>
      </c>
      <c r="J3230" s="26" t="str">
        <f>IF(OR(E3230="",E3230="!!!",F3230="NEW"),"",COUNTBLANK(OFFSET(A$1,,,SUMPRODUCT(MAX(ROW(E$2:E3230)*(E3230=E$2:E3230)))))-COUNTBLANK(OFFSET(A$1,,,SUMPRODUCT(MAX(ROW(E$1:E3229)*(E2=E$1:E3229))))))</f>
        <v> </v>
      </c>
      <c r="K3230" s="26" t="str">
        <f>IF(OR(E3230="",E3230="!!!",F3230="NEW"),"",INDEX(J$1:J3229,SUMPRODUCT(MAX(ROW(E$1:E3229)*(E3230=E$1:E3229)))))</f>
        <v> </v>
      </c>
      <c r="L3230" s="27"/>
    </row>
    <row r="3231" spans="1:12">
      <c r="A3231" s="20" t="s">
        <v>1207</v>
      </c>
      <c r="E3231" s="22">
        <f>IF(D3231="?OLD","!!!","")</f>
        <v/>
      </c>
      <c r="F3231" s="23" t="str">
        <f>IF(OR(E3231="",E3231="!!!"),"",IF(NOT(ISNA(VLOOKUP(E3231,E$1:E3230,1,FALSE()))),"OLD",IF(AND(E3231&lt;&gt;"",E3231&lt;&gt;"!!!"),"NEW","")))</f>
        <v> </v>
      </c>
      <c r="G3231" s="24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5" t="str">
        <f>IF(J3231&lt;&gt;1,"",IF(I3231="SBJ","CB","?"))</f>
        <v> </v>
      </c>
      <c r="I3231" s="26" t="str">
        <f>IF(OR(E3231="",E3231="!!!",F3231="NEW"),"",INDEX(B3230:B$2,-1+SUMPRODUCT(MAX(ROW(E3230:E$2)*(E3231=E3230:E$2)))))</f>
        <v> </v>
      </c>
      <c r="J3231" s="26" t="str">
        <f>IF(OR(E3231="",E3231="!!!",F3231="NEW"),"",COUNTBLANK(OFFSET(A$1,,,SUMPRODUCT(MAX(ROW(E$2:E3231)*(E3231=E$2:E3231)))))-COUNTBLANK(OFFSET(A$1,,,SUMPRODUCT(MAX(ROW(E$1:E3230)*(E2=E$1:E3230))))))</f>
        <v> </v>
      </c>
      <c r="K3231" s="26" t="str">
        <f>IF(OR(E3231="",E3231="!!!",F3231="NEW"),"",INDEX(J$1:J3230,SUMPRODUCT(MAX(ROW(E$1:E3230)*(E3231=E$1:E3230)))))</f>
        <v> </v>
      </c>
      <c r="L3231" s="27"/>
    </row>
    <row r="3232" spans="1:12">
      <c r="A3232" s="20" t="s">
        <v>1002</v>
      </c>
      <c r="B3232" s="21" t="s">
        <v>980</v>
      </c>
      <c r="C3232" s="21" t="s">
        <v>960</v>
      </c>
      <c r="D3232" s="21" t="s">
        <v>950</v>
      </c>
      <c r="E3232" s="22">
        <f>IF(D3232="?OLD","!!!","")</f>
        <v/>
      </c>
      <c r="F3232" s="23" t="str">
        <f>IF(OR(E3232="",E3232="!!!"),"",IF(NOT(ISNA(VLOOKUP(E3232,E$1:E3231,1,FALSE()))),"OLD",IF(AND(E3232&lt;&gt;"",E3232&lt;&gt;"!!!"),"NEW","")))</f>
        <v> </v>
      </c>
      <c r="G3232" s="24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5" t="str">
        <f>IF(J3232&lt;&gt;1,"",IF(I3232="SBJ","CB","?"))</f>
        <v> </v>
      </c>
      <c r="I3232" s="26" t="str">
        <f>IF(OR(E3232="",E3232="!!!",F3232="NEW"),"",INDEX(B3231:B$2,-1+SUMPRODUCT(MAX(ROW(E3231:E$2)*(E3232=E3231:E$2)))))</f>
        <v> </v>
      </c>
      <c r="J3232" s="26" t="str">
        <f>IF(OR(E3232="",E3232="!!!",F3232="NEW"),"",COUNTBLANK(OFFSET(A$1,,,SUMPRODUCT(MAX(ROW(E$2:E3232)*(E3232=E$2:E3232)))))-COUNTBLANK(OFFSET(A$1,,,SUMPRODUCT(MAX(ROW(E$1:E3231)*(E2=E$1:E3231))))))</f>
        <v> </v>
      </c>
      <c r="K3232" s="26" t="str">
        <f>IF(OR(E3232="",E3232="!!!",F3232="NEW"),"",INDEX(J$1:J3231,SUMPRODUCT(MAX(ROW(E$1:E3231)*(E3232=E$1:E3231)))))</f>
        <v> </v>
      </c>
      <c r="L3232" s="27"/>
    </row>
    <row r="3233" spans="1:12">
      <c r="A3233" s="20" t="s">
        <v>984</v>
      </c>
      <c r="E3233" s="22">
        <f>IF(D3233="?OLD","!!!","")</f>
        <v/>
      </c>
      <c r="F3233" s="23" t="str">
        <f>IF(OR(E3233="",E3233="!!!"),"",IF(NOT(ISNA(VLOOKUP(E3233,E$1:E3232,1,FALSE()))),"OLD",IF(AND(E3233&lt;&gt;"",E3233&lt;&gt;"!!!"),"NEW","")))</f>
        <v> </v>
      </c>
      <c r="G3233" s="24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5" t="str">
        <f>IF(J3233&lt;&gt;1,"",IF(I3233="SBJ","CB","?"))</f>
        <v> </v>
      </c>
      <c r="I3233" s="26" t="str">
        <f>IF(OR(E3233="",E3233="!!!",F3233="NEW"),"",INDEX(B3232:B$2,-1+SUMPRODUCT(MAX(ROW(E3232:E$2)*(E3233=E3232:E$2)))))</f>
        <v> </v>
      </c>
      <c r="J3233" s="26" t="str">
        <f>IF(OR(E3233="",E3233="!!!",F3233="NEW"),"",COUNTBLANK(OFFSET(A$1,,,SUMPRODUCT(MAX(ROW(E$2:E3233)*(E3233=E$2:E3233)))))-COUNTBLANK(OFFSET(A$1,,,SUMPRODUCT(MAX(ROW(E$1:E3232)*(E2=E$1:E3232))))))</f>
        <v> </v>
      </c>
      <c r="K3233" s="26" t="str">
        <f>IF(OR(E3233="",E3233="!!!",F3233="NEW"),"",INDEX(J$1:J3232,SUMPRODUCT(MAX(ROW(E$1:E3232)*(E3233=E$1:E3232)))))</f>
        <v> </v>
      </c>
      <c r="L3233" s="27"/>
    </row>
    <row r="3234" spans="1:12">
      <c r="A3234" s="20"/>
    </row>
    <row r="3235" spans="1:12">
      <c r="A3235" s="20" t="s">
        <v>1915</v>
      </c>
    </row>
    <row r="3236" spans="1:12">
      <c r="A3236" s="20" t="s">
        <v>1092</v>
      </c>
      <c r="E3236" s="22">
        <f>IF(D3236="?OLD","!!!","")</f>
        <v/>
      </c>
      <c r="F3236" s="23" t="str">
        <f>IF(OR(E3236="",E3236="!!!"),"",IF(NOT(ISNA(VLOOKUP(E3236,E$1:E3235,1,FALSE()))),"OLD",IF(AND(E3236&lt;&gt;"",E3236&lt;&gt;"!!!"),"NEW","")))</f>
        <v> </v>
      </c>
      <c r="G3236" s="24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5" t="str">
        <f>IF(J3236&lt;&gt;1,"",IF(I3236="SBJ","CB","?"))</f>
        <v> </v>
      </c>
      <c r="I3236" s="26" t="str">
        <f>IF(OR(E3236="",E3236="!!!",F3236="NEW"),"",INDEX(B3235:B$2,-1+SUMPRODUCT(MAX(ROW(E3235:E$2)*(E3236=E3235:E$2)))))</f>
        <v> </v>
      </c>
      <c r="J3236" s="26" t="str">
        <f>IF(OR(E3236="",E3236="!!!",F3236="NEW"),"",COUNTBLANK(OFFSET(A$1,,,SUMPRODUCT(MAX(ROW(E$2:E3236)*(E3236=E$2:E3236)))))-COUNTBLANK(OFFSET(A$1,,,SUMPRODUCT(MAX(ROW(E$1:E3235)*(E2=E$1:E3235))))))</f>
        <v> </v>
      </c>
      <c r="K3236" s="26" t="str">
        <f>IF(OR(E3236="",E3236="!!!",F3236="NEW"),"",INDEX(J$1:J3235,SUMPRODUCT(MAX(ROW(E$1:E3235)*(E3236=E$1:E3235)))))</f>
        <v> </v>
      </c>
      <c r="L3236" s="27"/>
    </row>
    <row r="3237" spans="1:12">
      <c r="A3237" s="20" t="s">
        <v>1491</v>
      </c>
      <c r="E3237" s="22">
        <f>IF(D3237="?OLD","!!!","")</f>
        <v/>
      </c>
      <c r="F3237" s="23" t="str">
        <f>IF(OR(E3237="",E3237="!!!"),"",IF(NOT(ISNA(VLOOKUP(E3237,E$1:E3236,1,FALSE()))),"OLD",IF(AND(E3237&lt;&gt;"",E3237&lt;&gt;"!!!"),"NEW","")))</f>
        <v> </v>
      </c>
      <c r="G3237" s="24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5" t="str">
        <f>IF(J3237&lt;&gt;1,"",IF(I3237="SBJ","CB","?"))</f>
        <v> </v>
      </c>
      <c r="I3237" s="26" t="str">
        <f>IF(OR(E3237="",E3237="!!!",F3237="NEW"),"",INDEX(B3236:B$2,-1+SUMPRODUCT(MAX(ROW(E3236:E$2)*(E3237=E3236:E$2)))))</f>
        <v> </v>
      </c>
      <c r="J3237" s="26" t="str">
        <f>IF(OR(E3237="",E3237="!!!",F3237="NEW"),"",COUNTBLANK(OFFSET(A$1,,,SUMPRODUCT(MAX(ROW(E$2:E3237)*(E3237=E$2:E3237)))))-COUNTBLANK(OFFSET(A$1,,,SUMPRODUCT(MAX(ROW(E$1:E3236)*(E2=E$1:E3236))))))</f>
        <v> </v>
      </c>
      <c r="K3237" s="26" t="str">
        <f>IF(OR(E3237="",E3237="!!!",F3237="NEW"),"",INDEX(J$1:J3236,SUMPRODUCT(MAX(ROW(E$1:E3236)*(E3237=E$1:E3236)))))</f>
        <v> </v>
      </c>
      <c r="L3237" s="27"/>
    </row>
    <row r="3238" spans="1:12">
      <c r="A3238" s="20" t="s">
        <v>1916</v>
      </c>
      <c r="E3238" s="22">
        <f>IF(D3238="?OLD","!!!","")</f>
        <v/>
      </c>
      <c r="F3238" s="23" t="str">
        <f>IF(OR(E3238="",E3238="!!!"),"",IF(NOT(ISNA(VLOOKUP(E3238,E$1:E3237,1,FALSE()))),"OLD",IF(AND(E3238&lt;&gt;"",E3238&lt;&gt;"!!!"),"NEW","")))</f>
        <v> </v>
      </c>
      <c r="G3238" s="24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5" t="str">
        <f>IF(J3238&lt;&gt;1,"",IF(I3238="SBJ","CB","?"))</f>
        <v> </v>
      </c>
      <c r="I3238" s="26" t="str">
        <f>IF(OR(E3238="",E3238="!!!",F3238="NEW"),"",INDEX(B3237:B$2,-1+SUMPRODUCT(MAX(ROW(E3237:E$2)*(E3238=E3237:E$2)))))</f>
        <v> </v>
      </c>
      <c r="J3238" s="26" t="str">
        <f>IF(OR(E3238="",E3238="!!!",F3238="NEW"),"",COUNTBLANK(OFFSET(A$1,,,SUMPRODUCT(MAX(ROW(E$2:E3238)*(E3238=E$2:E3238)))))-COUNTBLANK(OFFSET(A$1,,,SUMPRODUCT(MAX(ROW(E$1:E3237)*(E2=E$1:E3237))))))</f>
        <v> </v>
      </c>
      <c r="K3238" s="26" t="str">
        <f>IF(OR(E3238="",E3238="!!!",F3238="NEW"),"",INDEX(J$1:J3237,SUMPRODUCT(MAX(ROW(E$1:E3237)*(E3238=E$1:E3237)))))</f>
        <v> </v>
      </c>
      <c r="L3238" s="27"/>
    </row>
    <row r="3239" spans="1:12">
      <c r="A3239" s="20" t="s">
        <v>1001</v>
      </c>
      <c r="E3239" s="22">
        <f>IF(D3239="?OLD","!!!","")</f>
        <v/>
      </c>
      <c r="F3239" s="23" t="str">
        <f>IF(OR(E3239="",E3239="!!!"),"",IF(NOT(ISNA(VLOOKUP(E3239,E$1:E3238,1,FALSE()))),"OLD",IF(AND(E3239&lt;&gt;"",E3239&lt;&gt;"!!!"),"NEW","")))</f>
        <v> </v>
      </c>
      <c r="G3239" s="24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5" t="str">
        <f>IF(J3239&lt;&gt;1,"",IF(I3239="SBJ","CB","?"))</f>
        <v> </v>
      </c>
      <c r="I3239" s="26" t="str">
        <f>IF(OR(E3239="",E3239="!!!",F3239="NEW"),"",INDEX(B3238:B$2,-1+SUMPRODUCT(MAX(ROW(E3238:E$2)*(E3239=E3238:E$2)))))</f>
        <v> </v>
      </c>
      <c r="J3239" s="26" t="str">
        <f>IF(OR(E3239="",E3239="!!!",F3239="NEW"),"",COUNTBLANK(OFFSET(A$1,,,SUMPRODUCT(MAX(ROW(E$2:E3239)*(E3239=E$2:E3239)))))-COUNTBLANK(OFFSET(A$1,,,SUMPRODUCT(MAX(ROW(E$1:E3238)*(E2=E$1:E3238))))))</f>
        <v> </v>
      </c>
      <c r="K3239" s="26" t="str">
        <f>IF(OR(E3239="",E3239="!!!",F3239="NEW"),"",INDEX(J$1:J3238,SUMPRODUCT(MAX(ROW(E$1:E3238)*(E3239=E$1:E3238)))))</f>
        <v> </v>
      </c>
      <c r="L3239" s="27"/>
    </row>
    <row r="3240" spans="1:12">
      <c r="A3240" s="20" t="s">
        <v>1022</v>
      </c>
      <c r="E3240" s="22">
        <f>IF(D3240="?OLD","!!!","")</f>
        <v/>
      </c>
      <c r="F3240" s="23" t="str">
        <f>IF(OR(E3240="",E3240="!!!"),"",IF(NOT(ISNA(VLOOKUP(E3240,E$1:E3239,1,FALSE()))),"OLD",IF(AND(E3240&lt;&gt;"",E3240&lt;&gt;"!!!"),"NEW","")))</f>
        <v> </v>
      </c>
      <c r="G3240" s="24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5" t="str">
        <f>IF(J3240&lt;&gt;1,"",IF(I3240="SBJ","CB","?"))</f>
        <v> </v>
      </c>
      <c r="I3240" s="26" t="str">
        <f>IF(OR(E3240="",E3240="!!!",F3240="NEW"),"",INDEX(B3239:B$2,-1+SUMPRODUCT(MAX(ROW(E3239:E$2)*(E3240=E3239:E$2)))))</f>
        <v> </v>
      </c>
      <c r="J3240" s="26" t="str">
        <f>IF(OR(E3240="",E3240="!!!",F3240="NEW"),"",COUNTBLANK(OFFSET(A$1,,,SUMPRODUCT(MAX(ROW(E$2:E3240)*(E3240=E$2:E3240)))))-COUNTBLANK(OFFSET(A$1,,,SUMPRODUCT(MAX(ROW(E$1:E3239)*(E2=E$1:E3239))))))</f>
        <v> </v>
      </c>
      <c r="K3240" s="26" t="str">
        <f>IF(OR(E3240="",E3240="!!!",F3240="NEW"),"",INDEX(J$1:J3239,SUMPRODUCT(MAX(ROW(E$1:E3239)*(E3240=E$1:E3239)))))</f>
        <v> </v>
      </c>
      <c r="L3240" s="27"/>
    </row>
    <row r="3241" spans="1:12">
      <c r="A3241" s="20" t="s">
        <v>1917</v>
      </c>
      <c r="E3241" s="22">
        <f>IF(D3241="?OLD","!!!","")</f>
        <v/>
      </c>
      <c r="F3241" s="23" t="str">
        <f>IF(OR(E3241="",E3241="!!!"),"",IF(NOT(ISNA(VLOOKUP(E3241,E$1:E3240,1,FALSE()))),"OLD",IF(AND(E3241&lt;&gt;"",E3241&lt;&gt;"!!!"),"NEW","")))</f>
        <v> </v>
      </c>
      <c r="G3241" s="24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5" t="str">
        <f>IF(J3241&lt;&gt;1,"",IF(I3241="SBJ","CB","?"))</f>
        <v> </v>
      </c>
      <c r="I3241" s="26" t="str">
        <f>IF(OR(E3241="",E3241="!!!",F3241="NEW"),"",INDEX(B3240:B$2,-1+SUMPRODUCT(MAX(ROW(E3240:E$2)*(E3241=E3240:E$2)))))</f>
        <v> </v>
      </c>
      <c r="J3241" s="26" t="str">
        <f>IF(OR(E3241="",E3241="!!!",F3241="NEW"),"",COUNTBLANK(OFFSET(A$1,,,SUMPRODUCT(MAX(ROW(E$2:E3241)*(E3241=E$2:E3241)))))-COUNTBLANK(OFFSET(A$1,,,SUMPRODUCT(MAX(ROW(E$1:E3240)*(E2=E$1:E3240))))))</f>
        <v> </v>
      </c>
      <c r="K3241" s="26" t="str">
        <f>IF(OR(E3241="",E3241="!!!",F3241="NEW"),"",INDEX(J$1:J3240,SUMPRODUCT(MAX(ROW(E$1:E3240)*(E3241=E$1:E3240)))))</f>
        <v> </v>
      </c>
      <c r="L3241" s="27"/>
    </row>
    <row r="3242" spans="1:12">
      <c r="A3242" s="20" t="s">
        <v>984</v>
      </c>
      <c r="E3242" s="22">
        <f>IF(D3242="?OLD","!!!","")</f>
        <v/>
      </c>
      <c r="F3242" s="23" t="str">
        <f>IF(OR(E3242="",E3242="!!!"),"",IF(NOT(ISNA(VLOOKUP(E3242,E$1:E3241,1,FALSE()))),"OLD",IF(AND(E3242&lt;&gt;"",E3242&lt;&gt;"!!!"),"NEW","")))</f>
        <v> </v>
      </c>
      <c r="G3242" s="24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5" t="str">
        <f>IF(J3242&lt;&gt;1,"",IF(I3242="SBJ","CB","?"))</f>
        <v> </v>
      </c>
      <c r="I3242" s="26" t="str">
        <f>IF(OR(E3242="",E3242="!!!",F3242="NEW"),"",INDEX(B3241:B$2,-1+SUMPRODUCT(MAX(ROW(E3241:E$2)*(E3242=E3241:E$2)))))</f>
        <v> </v>
      </c>
      <c r="J3242" s="26" t="str">
        <f>IF(OR(E3242="",E3242="!!!",F3242="NEW"),"",COUNTBLANK(OFFSET(A$1,,,SUMPRODUCT(MAX(ROW(E$2:E3242)*(E3242=E$2:E3242)))))-COUNTBLANK(OFFSET(A$1,,,SUMPRODUCT(MAX(ROW(E$1:E3241)*(E2=E$1:E3241))))))</f>
        <v> </v>
      </c>
      <c r="K3242" s="26" t="str">
        <f>IF(OR(E3242="",E3242="!!!",F3242="NEW"),"",INDEX(J$1:J3241,SUMPRODUCT(MAX(ROW(E$1:E3241)*(E3242=E$1:E3241)))))</f>
        <v> </v>
      </c>
      <c r="L3242" s="27"/>
    </row>
    <row r="3243" spans="1:12">
      <c r="A3243" s="20"/>
    </row>
    <row r="3244" spans="1:12">
      <c r="A3244" s="20" t="s">
        <v>1918</v>
      </c>
    </row>
    <row r="3245" spans="1:12">
      <c r="A3245" s="20" t="s">
        <v>1919</v>
      </c>
      <c r="E3245" s="22">
        <f>IF(D3245="?OLD","!!!","")</f>
        <v/>
      </c>
      <c r="F3245" s="23" t="str">
        <f>IF(OR(E3245="",E3245="!!!"),"",IF(NOT(ISNA(VLOOKUP(E3245,E$1:E3244,1,FALSE()))),"OLD",IF(AND(E3245&lt;&gt;"",E3245&lt;&gt;"!!!"),"NEW","")))</f>
        <v> </v>
      </c>
      <c r="G3245" s="24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5" t="str">
        <f>IF(J3245&lt;&gt;1,"",IF(I3245="SBJ","CB","?"))</f>
        <v> </v>
      </c>
      <c r="I3245" s="26" t="str">
        <f>IF(OR(E3245="",E3245="!!!",F3245="NEW"),"",INDEX(B3244:B$2,-1+SUMPRODUCT(MAX(ROW(E3244:E$2)*(E3245=E3244:E$2)))))</f>
        <v> </v>
      </c>
      <c r="J3245" s="26" t="str">
        <f>IF(OR(E3245="",E3245="!!!",F3245="NEW"),"",COUNTBLANK(OFFSET(A$1,,,SUMPRODUCT(MAX(ROW(E$2:E3245)*(E3245=E$2:E3245)))))-COUNTBLANK(OFFSET(A$1,,,SUMPRODUCT(MAX(ROW(E$1:E3244)*(E2=E$1:E3244))))))</f>
        <v> </v>
      </c>
      <c r="K3245" s="26" t="str">
        <f>IF(OR(E3245="",E3245="!!!",F3245="NEW"),"",INDEX(J$1:J3244,SUMPRODUCT(MAX(ROW(E$1:E3244)*(E3245=E$1:E3244)))))</f>
        <v> </v>
      </c>
      <c r="L3245" s="27"/>
    </row>
    <row r="3246" spans="1:12">
      <c r="A3246" s="20" t="s">
        <v>1750</v>
      </c>
      <c r="E3246" s="22">
        <f>IF(D3246="?OLD","!!!","")</f>
        <v/>
      </c>
      <c r="F3246" s="23" t="str">
        <f>IF(OR(E3246="",E3246="!!!"),"",IF(NOT(ISNA(VLOOKUP(E3246,E$1:E3245,1,FALSE()))),"OLD",IF(AND(E3246&lt;&gt;"",E3246&lt;&gt;"!!!"),"NEW","")))</f>
        <v> </v>
      </c>
      <c r="G3246" s="24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5" t="str">
        <f>IF(J3246&lt;&gt;1,"",IF(I3246="SBJ","CB","?"))</f>
        <v> </v>
      </c>
      <c r="I3246" s="26" t="str">
        <f>IF(OR(E3246="",E3246="!!!",F3246="NEW"),"",INDEX(B3245:B$2,-1+SUMPRODUCT(MAX(ROW(E3245:E$2)*(E3246=E3245:E$2)))))</f>
        <v> </v>
      </c>
      <c r="J3246" s="26" t="str">
        <f>IF(OR(E3246="",E3246="!!!",F3246="NEW"),"",COUNTBLANK(OFFSET(A$1,,,SUMPRODUCT(MAX(ROW(E$2:E3246)*(E3246=E$2:E3246)))))-COUNTBLANK(OFFSET(A$1,,,SUMPRODUCT(MAX(ROW(E$1:E3245)*(E2=E$1:E3245))))))</f>
        <v> </v>
      </c>
      <c r="K3246" s="26" t="str">
        <f>IF(OR(E3246="",E3246="!!!",F3246="NEW"),"",INDEX(J$1:J3245,SUMPRODUCT(MAX(ROW(E$1:E3245)*(E3246=E$1:E3245)))))</f>
        <v> </v>
      </c>
      <c r="L3246" s="27"/>
    </row>
    <row r="3247" spans="1:12">
      <c r="A3247" s="20" t="s">
        <v>1025</v>
      </c>
      <c r="B3247" s="21" t="s">
        <v>959</v>
      </c>
      <c r="C3247" s="21" t="s">
        <v>976</v>
      </c>
      <c r="D3247" s="21" t="s">
        <v>950</v>
      </c>
      <c r="E3247" s="22">
        <f>IF(D3247="?OLD","!!!","")</f>
        <v/>
      </c>
      <c r="F3247" s="23" t="str">
        <f>IF(OR(E3247="",E3247="!!!"),"",IF(NOT(ISNA(VLOOKUP(E3247,E$1:E3246,1,FALSE()))),"OLD",IF(AND(E3247&lt;&gt;"",E3247&lt;&gt;"!!!"),"NEW","")))</f>
        <v> </v>
      </c>
      <c r="G3247" s="24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5" t="str">
        <f>IF(J3247&lt;&gt;1,"",IF(I3247="SBJ","CB","?"))</f>
        <v> </v>
      </c>
      <c r="I3247" s="26" t="str">
        <f>IF(OR(E3247="",E3247="!!!",F3247="NEW"),"",INDEX(B3246:B$2,-1+SUMPRODUCT(MAX(ROW(E3246:E$2)*(E3247=E3246:E$2)))))</f>
        <v> </v>
      </c>
      <c r="J3247" s="26" t="str">
        <f>IF(OR(E3247="",E3247="!!!",F3247="NEW"),"",COUNTBLANK(OFFSET(A$1,,,SUMPRODUCT(MAX(ROW(E$2:E3247)*(E3247=E$2:E3247)))))-COUNTBLANK(OFFSET(A$1,,,SUMPRODUCT(MAX(ROW(E$1:E3246)*(E2=E$1:E3246))))))</f>
        <v> </v>
      </c>
      <c r="K3247" s="26" t="str">
        <f>IF(OR(E3247="",E3247="!!!",F3247="NEW"),"",INDEX(J$1:J3246,SUMPRODUCT(MAX(ROW(E$1:E3246)*(E3247=E$1:E3246)))))</f>
        <v> </v>
      </c>
      <c r="L3247" s="27"/>
    </row>
    <row r="3248" spans="1:12">
      <c r="A3248" s="20" t="s">
        <v>1021</v>
      </c>
      <c r="E3248" s="22">
        <f>IF(D3248="?OLD","!!!","")</f>
        <v/>
      </c>
      <c r="F3248" s="23" t="str">
        <f>IF(OR(E3248="",E3248="!!!"),"",IF(NOT(ISNA(VLOOKUP(E3248,E$1:E3247,1,FALSE()))),"OLD",IF(AND(E3248&lt;&gt;"",E3248&lt;&gt;"!!!"),"NEW","")))</f>
        <v> </v>
      </c>
      <c r="G3248" s="24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5" t="str">
        <f>IF(J3248&lt;&gt;1,"",IF(I3248="SBJ","CB","?"))</f>
        <v> </v>
      </c>
      <c r="I3248" s="26" t="str">
        <f>IF(OR(E3248="",E3248="!!!",F3248="NEW"),"",INDEX(B3247:B$2,-1+SUMPRODUCT(MAX(ROW(E3247:E$2)*(E3248=E3247:E$2)))))</f>
        <v> </v>
      </c>
      <c r="J3248" s="26" t="str">
        <f>IF(OR(E3248="",E3248="!!!",F3248="NEW"),"",COUNTBLANK(OFFSET(A$1,,,SUMPRODUCT(MAX(ROW(E$2:E3248)*(E3248=E$2:E3248)))))-COUNTBLANK(OFFSET(A$1,,,SUMPRODUCT(MAX(ROW(E$1:E3247)*(E2=E$1:E3247))))))</f>
        <v> </v>
      </c>
      <c r="K3248" s="26" t="str">
        <f>IF(OR(E3248="",E3248="!!!",F3248="NEW"),"",INDEX(J$1:J3247,SUMPRODUCT(MAX(ROW(E$1:E3247)*(E3248=E$1:E3247)))))</f>
        <v> </v>
      </c>
      <c r="L3248" s="27"/>
    </row>
    <row r="3249" spans="1:12">
      <c r="A3249" s="20" t="s">
        <v>1763</v>
      </c>
      <c r="E3249" s="22">
        <f>IF(D3249="?OLD","!!!","")</f>
        <v/>
      </c>
      <c r="F3249" s="23" t="str">
        <f>IF(OR(E3249="",E3249="!!!"),"",IF(NOT(ISNA(VLOOKUP(E3249,E$1:E3248,1,FALSE()))),"OLD",IF(AND(E3249&lt;&gt;"",E3249&lt;&gt;"!!!"),"NEW","")))</f>
        <v> </v>
      </c>
      <c r="G3249" s="24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5" t="str">
        <f>IF(J3249&lt;&gt;1,"",IF(I3249="SBJ","CB","?"))</f>
        <v> </v>
      </c>
      <c r="I3249" s="26" t="str">
        <f>IF(OR(E3249="",E3249="!!!",F3249="NEW"),"",INDEX(B3248:B$2,-1+SUMPRODUCT(MAX(ROW(E3248:E$2)*(E3249=E3248:E$2)))))</f>
        <v> </v>
      </c>
      <c r="J3249" s="26" t="str">
        <f>IF(OR(E3249="",E3249="!!!",F3249="NEW"),"",COUNTBLANK(OFFSET(A$1,,,SUMPRODUCT(MAX(ROW(E$2:E3249)*(E3249=E$2:E3249)))))-COUNTBLANK(OFFSET(A$1,,,SUMPRODUCT(MAX(ROW(E$1:E3248)*(E2=E$1:E3248))))))</f>
        <v> </v>
      </c>
      <c r="K3249" s="26" t="str">
        <f>IF(OR(E3249="",E3249="!!!",F3249="NEW"),"",INDEX(J$1:J3248,SUMPRODUCT(MAX(ROW(E$1:E3248)*(E3249=E$1:E3248)))))</f>
        <v> </v>
      </c>
      <c r="L3249" s="27"/>
    </row>
    <row r="3250" spans="1:12">
      <c r="A3250" s="20" t="s">
        <v>1920</v>
      </c>
      <c r="B3250" s="21" t="s">
        <v>1031</v>
      </c>
      <c r="C3250" s="21" t="s">
        <v>1051</v>
      </c>
      <c r="E3250" s="22">
        <f>IF(D3250="?OLD","!!!","")</f>
        <v/>
      </c>
      <c r="F3250" s="23" t="str">
        <f>IF(OR(E3250="",E3250="!!!"),"",IF(NOT(ISNA(VLOOKUP(E3250,E$1:E3249,1,FALSE()))),"OLD",IF(AND(E3250&lt;&gt;"",E3250&lt;&gt;"!!!"),"NEW","")))</f>
        <v> </v>
      </c>
      <c r="G3250" s="24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5" t="str">
        <f>IF(J3250&lt;&gt;1,"",IF(I3250="SBJ","CB","?"))</f>
        <v> </v>
      </c>
      <c r="I3250" s="26" t="str">
        <f>IF(OR(E3250="",E3250="!!!",F3250="NEW"),"",INDEX(B3249:B$2,-1+SUMPRODUCT(MAX(ROW(E3249:E$2)*(E3250=E3249:E$2)))))</f>
        <v> </v>
      </c>
      <c r="J3250" s="26" t="str">
        <f>IF(OR(E3250="",E3250="!!!",F3250="NEW"),"",COUNTBLANK(OFFSET(A$1,,,SUMPRODUCT(MAX(ROW(E$2:E3250)*(E3250=E$2:E3250)))))-COUNTBLANK(OFFSET(A$1,,,SUMPRODUCT(MAX(ROW(E$1:E3249)*(E2=E$1:E3249))))))</f>
        <v> </v>
      </c>
      <c r="K3250" s="26" t="str">
        <f>IF(OR(E3250="",E3250="!!!",F3250="NEW"),"",INDEX(J$1:J3249,SUMPRODUCT(MAX(ROW(E$1:E3249)*(E3250=E$1:E3249)))))</f>
        <v> </v>
      </c>
      <c r="L3250" s="27"/>
    </row>
    <row r="3251" spans="1:12">
      <c r="A3251" s="20" t="s">
        <v>1000</v>
      </c>
      <c r="E3251" s="22">
        <f>IF(D3251="?OLD","!!!","")</f>
        <v/>
      </c>
      <c r="F3251" s="23" t="str">
        <f>IF(OR(E3251="",E3251="!!!"),"",IF(NOT(ISNA(VLOOKUP(E3251,E$1:E3250,1,FALSE()))),"OLD",IF(AND(E3251&lt;&gt;"",E3251&lt;&gt;"!!!"),"NEW","")))</f>
        <v> </v>
      </c>
      <c r="G3251" s="24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5" t="str">
        <f>IF(J3251&lt;&gt;1,"",IF(I3251="SBJ","CB","?"))</f>
        <v> </v>
      </c>
      <c r="I3251" s="26" t="str">
        <f>IF(OR(E3251="",E3251="!!!",F3251="NEW"),"",INDEX(B3250:B$2,-1+SUMPRODUCT(MAX(ROW(E3250:E$2)*(E3251=E3250:E$2)))))</f>
        <v> </v>
      </c>
      <c r="J3251" s="26" t="str">
        <f>IF(OR(E3251="",E3251="!!!",F3251="NEW"),"",COUNTBLANK(OFFSET(A$1,,,SUMPRODUCT(MAX(ROW(E$2:E3251)*(E3251=E$2:E3251)))))-COUNTBLANK(OFFSET(A$1,,,SUMPRODUCT(MAX(ROW(E$1:E3250)*(E2=E$1:E3250))))))</f>
        <v> </v>
      </c>
      <c r="K3251" s="26" t="str">
        <f>IF(OR(E3251="",E3251="!!!",F3251="NEW"),"",INDEX(J$1:J3250,SUMPRODUCT(MAX(ROW(E$1:E3250)*(E3251=E$1:E3250)))))</f>
        <v> </v>
      </c>
      <c r="L3251" s="27"/>
    </row>
    <row r="3252" spans="1:12">
      <c r="A3252" s="20" t="s">
        <v>1001</v>
      </c>
      <c r="E3252" s="22">
        <f>IF(D3252="?OLD","!!!","")</f>
        <v/>
      </c>
      <c r="F3252" s="23" t="str">
        <f>IF(OR(E3252="",E3252="!!!"),"",IF(NOT(ISNA(VLOOKUP(E3252,E$1:E3251,1,FALSE()))),"OLD",IF(AND(E3252&lt;&gt;"",E3252&lt;&gt;"!!!"),"NEW","")))</f>
        <v> </v>
      </c>
      <c r="G3252" s="24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5" t="str">
        <f>IF(J3252&lt;&gt;1,"",IF(I3252="SBJ","CB","?"))</f>
        <v> </v>
      </c>
      <c r="I3252" s="26" t="str">
        <f>IF(OR(E3252="",E3252="!!!",F3252="NEW"),"",INDEX(B3251:B$2,-1+SUMPRODUCT(MAX(ROW(E3251:E$2)*(E3252=E3251:E$2)))))</f>
        <v> </v>
      </c>
      <c r="J3252" s="26" t="str">
        <f>IF(OR(E3252="",E3252="!!!",F3252="NEW"),"",COUNTBLANK(OFFSET(A$1,,,SUMPRODUCT(MAX(ROW(E$2:E3252)*(E3252=E$2:E3252)))))-COUNTBLANK(OFFSET(A$1,,,SUMPRODUCT(MAX(ROW(E$1:E3251)*(E2=E$1:E3251))))))</f>
        <v> </v>
      </c>
      <c r="K3252" s="26" t="str">
        <f>IF(OR(E3252="",E3252="!!!",F3252="NEW"),"",INDEX(J$1:J3251,SUMPRODUCT(MAX(ROW(E$1:E3251)*(E3252=E$1:E3251)))))</f>
        <v> </v>
      </c>
      <c r="L3252" s="27"/>
    </row>
    <row r="3253" spans="1:12">
      <c r="A3253" s="20" t="s">
        <v>1921</v>
      </c>
      <c r="E3253" s="22">
        <f>IF(D3253="?OLD","!!!","")</f>
        <v/>
      </c>
      <c r="F3253" s="23" t="str">
        <f>IF(OR(E3253="",E3253="!!!"),"",IF(NOT(ISNA(VLOOKUP(E3253,E$1:E3252,1,FALSE()))),"OLD",IF(AND(E3253&lt;&gt;"",E3253&lt;&gt;"!!!"),"NEW","")))</f>
        <v> </v>
      </c>
      <c r="G3253" s="24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5" t="str">
        <f>IF(J3253&lt;&gt;1,"",IF(I3253="SBJ","CB","?"))</f>
        <v> </v>
      </c>
      <c r="I3253" s="26" t="str">
        <f>IF(OR(E3253="",E3253="!!!",F3253="NEW"),"",INDEX(B3252:B$2,-1+SUMPRODUCT(MAX(ROW(E3252:E$2)*(E3253=E3252:E$2)))))</f>
        <v> </v>
      </c>
      <c r="J3253" s="26" t="str">
        <f>IF(OR(E3253="",E3253="!!!",F3253="NEW"),"",COUNTBLANK(OFFSET(A$1,,,SUMPRODUCT(MAX(ROW(E$2:E3253)*(E3253=E$2:E3253)))))-COUNTBLANK(OFFSET(A$1,,,SUMPRODUCT(MAX(ROW(E$1:E3252)*(E2=E$1:E3252))))))</f>
        <v> </v>
      </c>
      <c r="K3253" s="26" t="str">
        <f>IF(OR(E3253="",E3253="!!!",F3253="NEW"),"",INDEX(J$1:J3252,SUMPRODUCT(MAX(ROW(E$1:E3252)*(E3253=E$1:E3252)))))</f>
        <v> </v>
      </c>
      <c r="L3253" s="27"/>
    </row>
    <row r="3254" spans="1:12">
      <c r="A3254" s="20" t="s">
        <v>961</v>
      </c>
      <c r="E3254" s="22">
        <f>IF(D3254="?OLD","!!!","")</f>
        <v/>
      </c>
      <c r="F3254" s="23" t="str">
        <f>IF(OR(E3254="",E3254="!!!"),"",IF(NOT(ISNA(VLOOKUP(E3254,E$1:E3253,1,FALSE()))),"OLD",IF(AND(E3254&lt;&gt;"",E3254&lt;&gt;"!!!"),"NEW","")))</f>
        <v> </v>
      </c>
      <c r="G3254" s="24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5" t="str">
        <f>IF(J3254&lt;&gt;1,"",IF(I3254="SBJ","CB","?"))</f>
        <v> </v>
      </c>
      <c r="I3254" s="26" t="str">
        <f>IF(OR(E3254="",E3254="!!!",F3254="NEW"),"",INDEX(B3253:B$2,-1+SUMPRODUCT(MAX(ROW(E3253:E$2)*(E3254=E3253:E$2)))))</f>
        <v> </v>
      </c>
      <c r="J3254" s="26" t="str">
        <f>IF(OR(E3254="",E3254="!!!",F3254="NEW"),"",COUNTBLANK(OFFSET(A$1,,,SUMPRODUCT(MAX(ROW(E$2:E3254)*(E3254=E$2:E3254)))))-COUNTBLANK(OFFSET(A$1,,,SUMPRODUCT(MAX(ROW(E$1:E3253)*(E2=E$1:E3253))))))</f>
        <v> </v>
      </c>
      <c r="K3254" s="26" t="str">
        <f>IF(OR(E3254="",E3254="!!!",F3254="NEW"),"",INDEX(J$1:J3253,SUMPRODUCT(MAX(ROW(E$1:E3253)*(E3254=E$1:E3253)))))</f>
        <v> </v>
      </c>
      <c r="L3254" s="27"/>
    </row>
    <row r="3255" spans="1:12">
      <c r="A3255" s="20" t="s">
        <v>997</v>
      </c>
      <c r="B3255" s="21" t="s">
        <v>975</v>
      </c>
      <c r="C3255" s="21" t="s">
        <v>964</v>
      </c>
      <c r="E3255" s="22">
        <f>IF(D3255="?OLD","!!!","")</f>
        <v/>
      </c>
      <c r="F3255" s="23" t="str">
        <f>IF(OR(E3255="",E3255="!!!"),"",IF(NOT(ISNA(VLOOKUP(E3255,E$1:E3254,1,FALSE()))),"OLD",IF(AND(E3255&lt;&gt;"",E3255&lt;&gt;"!!!"),"NEW","")))</f>
        <v> </v>
      </c>
      <c r="G3255" s="24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5" t="str">
        <f>IF(J3255&lt;&gt;1,"",IF(I3255="SBJ","CB","?"))</f>
        <v> </v>
      </c>
      <c r="I3255" s="26" t="str">
        <f>IF(OR(E3255="",E3255="!!!",F3255="NEW"),"",INDEX(B3254:B$2,-1+SUMPRODUCT(MAX(ROW(E3254:E$2)*(E3255=E3254:E$2)))))</f>
        <v> </v>
      </c>
      <c r="J3255" s="26" t="str">
        <f>IF(OR(E3255="",E3255="!!!",F3255="NEW"),"",COUNTBLANK(OFFSET(A$1,,,SUMPRODUCT(MAX(ROW(E$2:E3255)*(E3255=E$2:E3255)))))-COUNTBLANK(OFFSET(A$1,,,SUMPRODUCT(MAX(ROW(E$1:E3254)*(E2=E$1:E3254))))))</f>
        <v> </v>
      </c>
      <c r="K3255" s="26" t="str">
        <f>IF(OR(E3255="",E3255="!!!",F3255="NEW"),"",INDEX(J$1:J3254,SUMPRODUCT(MAX(ROW(E$1:E3254)*(E3255=E$1:E3254)))))</f>
        <v> </v>
      </c>
      <c r="L3255" s="27"/>
    </row>
    <row r="3256" spans="1:12">
      <c r="A3256" s="20" t="s">
        <v>1922</v>
      </c>
      <c r="E3256" s="22">
        <f>IF(D3256="?OLD","!!!","")</f>
        <v/>
      </c>
      <c r="F3256" s="23" t="str">
        <f>IF(OR(E3256="",E3256="!!!"),"",IF(NOT(ISNA(VLOOKUP(E3256,E$1:E3255,1,FALSE()))),"OLD",IF(AND(E3256&lt;&gt;"",E3256&lt;&gt;"!!!"),"NEW","")))</f>
        <v> </v>
      </c>
      <c r="G3256" s="24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5" t="str">
        <f>IF(J3256&lt;&gt;1,"",IF(I3256="SBJ","CB","?"))</f>
        <v> </v>
      </c>
      <c r="I3256" s="26" t="str">
        <f>IF(OR(E3256="",E3256="!!!",F3256="NEW"),"",INDEX(B3255:B$2,-1+SUMPRODUCT(MAX(ROW(E3255:E$2)*(E3256=E3255:E$2)))))</f>
        <v> </v>
      </c>
      <c r="J3256" s="26" t="str">
        <f>IF(OR(E3256="",E3256="!!!",F3256="NEW"),"",COUNTBLANK(OFFSET(A$1,,,SUMPRODUCT(MAX(ROW(E$2:E3256)*(E3256=E$2:E3256)))))-COUNTBLANK(OFFSET(A$1,,,SUMPRODUCT(MAX(ROW(E$1:E3255)*(E2=E$1:E3255))))))</f>
        <v> </v>
      </c>
      <c r="K3256" s="26" t="str">
        <f>IF(OR(E3256="",E3256="!!!",F3256="NEW"),"",INDEX(J$1:J3255,SUMPRODUCT(MAX(ROW(E$1:E3255)*(E3256=E$1:E3255)))))</f>
        <v> </v>
      </c>
      <c r="L3256" s="27"/>
    </row>
    <row r="3257" spans="1:12">
      <c r="A3257" s="20" t="s">
        <v>1168</v>
      </c>
      <c r="E3257" s="22">
        <f>IF(D3257="?OLD","!!!","")</f>
        <v/>
      </c>
      <c r="F3257" s="23" t="str">
        <f>IF(OR(E3257="",E3257="!!!"),"",IF(NOT(ISNA(VLOOKUP(E3257,E$1:E3256,1,FALSE()))),"OLD",IF(AND(E3257&lt;&gt;"",E3257&lt;&gt;"!!!"),"NEW","")))</f>
        <v> </v>
      </c>
      <c r="G3257" s="24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5" t="str">
        <f>IF(J3257&lt;&gt;1,"",IF(I3257="SBJ","CB","?"))</f>
        <v> </v>
      </c>
      <c r="I3257" s="26" t="str">
        <f>IF(OR(E3257="",E3257="!!!",F3257="NEW"),"",INDEX(B3256:B$2,-1+SUMPRODUCT(MAX(ROW(E3256:E$2)*(E3257=E3256:E$2)))))</f>
        <v> </v>
      </c>
      <c r="J3257" s="26" t="str">
        <f>IF(OR(E3257="",E3257="!!!",F3257="NEW"),"",COUNTBLANK(OFFSET(A$1,,,SUMPRODUCT(MAX(ROW(E$2:E3257)*(E3257=E$2:E3257)))))-COUNTBLANK(OFFSET(A$1,,,SUMPRODUCT(MAX(ROW(E$1:E3256)*(E2=E$1:E3256))))))</f>
        <v> </v>
      </c>
      <c r="K3257" s="26" t="str">
        <f>IF(OR(E3257="",E3257="!!!",F3257="NEW"),"",INDEX(J$1:J3256,SUMPRODUCT(MAX(ROW(E$1:E3256)*(E3257=E$1:E3256)))))</f>
        <v> </v>
      </c>
      <c r="L3257" s="27"/>
    </row>
    <row r="3258" spans="1:12">
      <c r="A3258" s="20" t="s">
        <v>1038</v>
      </c>
      <c r="E3258" s="22">
        <f>IF(D3258="?OLD","!!!","")</f>
        <v/>
      </c>
      <c r="F3258" s="23" t="str">
        <f>IF(OR(E3258="",E3258="!!!"),"",IF(NOT(ISNA(VLOOKUP(E3258,E$1:E3257,1,FALSE()))),"OLD",IF(AND(E3258&lt;&gt;"",E3258&lt;&gt;"!!!"),"NEW","")))</f>
        <v> </v>
      </c>
      <c r="G3258" s="24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5" t="str">
        <f>IF(J3258&lt;&gt;1,"",IF(I3258="SBJ","CB","?"))</f>
        <v> </v>
      </c>
      <c r="I3258" s="26" t="str">
        <f>IF(OR(E3258="",E3258="!!!",F3258="NEW"),"",INDEX(B3257:B$2,-1+SUMPRODUCT(MAX(ROW(E3257:E$2)*(E3258=E3257:E$2)))))</f>
        <v> </v>
      </c>
      <c r="J3258" s="26" t="str">
        <f>IF(OR(E3258="",E3258="!!!",F3258="NEW"),"",COUNTBLANK(OFFSET(A$1,,,SUMPRODUCT(MAX(ROW(E$2:E3258)*(E3258=E$2:E3258)))))-COUNTBLANK(OFFSET(A$1,,,SUMPRODUCT(MAX(ROW(E$1:E3257)*(E2=E$1:E3257))))))</f>
        <v> </v>
      </c>
      <c r="K3258" s="26" t="str">
        <f>IF(OR(E3258="",E3258="!!!",F3258="NEW"),"",INDEX(J$1:J3257,SUMPRODUCT(MAX(ROW(E$1:E3257)*(E3258=E$1:E3257)))))</f>
        <v> </v>
      </c>
      <c r="L3258" s="27"/>
    </row>
    <row r="3259" spans="1:12">
      <c r="A3259" s="20" t="s">
        <v>1905</v>
      </c>
      <c r="B3259" s="21" t="s">
        <v>982</v>
      </c>
      <c r="C3259" s="21" t="s">
        <v>976</v>
      </c>
      <c r="D3259" s="21" t="s">
        <v>950</v>
      </c>
      <c r="E3259" s="22">
        <f>IF(D3259="?OLD","!!!","")</f>
        <v/>
      </c>
      <c r="F3259" s="23" t="str">
        <f>IF(OR(E3259="",E3259="!!!"),"",IF(NOT(ISNA(VLOOKUP(E3259,E$1:E3258,1,FALSE()))),"OLD",IF(AND(E3259&lt;&gt;"",E3259&lt;&gt;"!!!"),"NEW","")))</f>
        <v> </v>
      </c>
      <c r="G3259" s="24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5" t="str">
        <f>IF(J3259&lt;&gt;1,"",IF(I3259="SBJ","CB","?"))</f>
        <v> </v>
      </c>
      <c r="I3259" s="26" t="str">
        <f>IF(OR(E3259="",E3259="!!!",F3259="NEW"),"",INDEX(B3258:B$2,-1+SUMPRODUCT(MAX(ROW(E3258:E$2)*(E3259=E3258:E$2)))))</f>
        <v> </v>
      </c>
      <c r="J3259" s="26" t="str">
        <f>IF(OR(E3259="",E3259="!!!",F3259="NEW"),"",COUNTBLANK(OFFSET(A$1,,,SUMPRODUCT(MAX(ROW(E$2:E3259)*(E3259=E$2:E3259)))))-COUNTBLANK(OFFSET(A$1,,,SUMPRODUCT(MAX(ROW(E$1:E3258)*(E2=E$1:E3258))))))</f>
        <v> </v>
      </c>
      <c r="K3259" s="26" t="str">
        <f>IF(OR(E3259="",E3259="!!!",F3259="NEW"),"",INDEX(J$1:J3258,SUMPRODUCT(MAX(ROW(E$1:E3258)*(E3259=E$1:E3258)))))</f>
        <v> </v>
      </c>
      <c r="L3259" s="27"/>
    </row>
    <row r="3260" spans="1:12">
      <c r="A3260" s="20" t="s">
        <v>977</v>
      </c>
      <c r="E3260" s="22">
        <f>IF(D3260="?OLD","!!!","")</f>
        <v/>
      </c>
      <c r="F3260" s="23" t="str">
        <f>IF(OR(E3260="",E3260="!!!"),"",IF(NOT(ISNA(VLOOKUP(E3260,E$1:E3259,1,FALSE()))),"OLD",IF(AND(E3260&lt;&gt;"",E3260&lt;&gt;"!!!"),"NEW","")))</f>
        <v> </v>
      </c>
      <c r="G3260" s="24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5" t="str">
        <f>IF(J3260&lt;&gt;1,"",IF(I3260="SBJ","CB","?"))</f>
        <v> </v>
      </c>
      <c r="I3260" s="26" t="str">
        <f>IF(OR(E3260="",E3260="!!!",F3260="NEW"),"",INDEX(B3259:B$2,-1+SUMPRODUCT(MAX(ROW(E3259:E$2)*(E3260=E3259:E$2)))))</f>
        <v> </v>
      </c>
      <c r="J3260" s="26" t="str">
        <f>IF(OR(E3260="",E3260="!!!",F3260="NEW"),"",COUNTBLANK(OFFSET(A$1,,,SUMPRODUCT(MAX(ROW(E$2:E3260)*(E3260=E$2:E3260)))))-COUNTBLANK(OFFSET(A$1,,,SUMPRODUCT(MAX(ROW(E$1:E3259)*(E2=E$1:E3259))))))</f>
        <v> </v>
      </c>
      <c r="K3260" s="26" t="str">
        <f>IF(OR(E3260="",E3260="!!!",F3260="NEW"),"",INDEX(J$1:J3259,SUMPRODUCT(MAX(ROW(E$1:E3259)*(E3260=E$1:E3259)))))</f>
        <v> </v>
      </c>
      <c r="L3260" s="27"/>
    </row>
    <row r="3261" spans="1:12">
      <c r="A3261" s="20" t="s">
        <v>1906</v>
      </c>
      <c r="B3261" s="21" t="s">
        <v>1010</v>
      </c>
      <c r="C3261" s="21" t="s">
        <v>983</v>
      </c>
      <c r="E3261" s="22">
        <f>IF(D3261="?OLD","!!!","")</f>
        <v/>
      </c>
      <c r="F3261" s="23" t="str">
        <f>IF(OR(E3261="",E3261="!!!"),"",IF(NOT(ISNA(VLOOKUP(E3261,E$1:E3260,1,FALSE()))),"OLD",IF(AND(E3261&lt;&gt;"",E3261&lt;&gt;"!!!"),"NEW","")))</f>
        <v> </v>
      </c>
      <c r="G3261" s="24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5" t="str">
        <f>IF(J3261&lt;&gt;1,"",IF(I3261="SBJ","CB","?"))</f>
        <v> </v>
      </c>
      <c r="I3261" s="26" t="str">
        <f>IF(OR(E3261="",E3261="!!!",F3261="NEW"),"",INDEX(B3260:B$2,-1+SUMPRODUCT(MAX(ROW(E3260:E$2)*(E3261=E3260:E$2)))))</f>
        <v> </v>
      </c>
      <c r="J3261" s="26" t="str">
        <f>IF(OR(E3261="",E3261="!!!",F3261="NEW"),"",COUNTBLANK(OFFSET(A$1,,,SUMPRODUCT(MAX(ROW(E$2:E3261)*(E3261=E$2:E3261)))))-COUNTBLANK(OFFSET(A$1,,,SUMPRODUCT(MAX(ROW(E$1:E3260)*(E2=E$1:E3260))))))</f>
        <v> </v>
      </c>
      <c r="K3261" s="26" t="str">
        <f>IF(OR(E3261="",E3261="!!!",F3261="NEW"),"",INDEX(J$1:J3260,SUMPRODUCT(MAX(ROW(E$1:E3260)*(E3261=E$1:E3260)))))</f>
        <v> </v>
      </c>
      <c r="L3261" s="27"/>
    </row>
    <row r="3262" spans="1:12">
      <c r="A3262" s="20" t="s">
        <v>991</v>
      </c>
      <c r="E3262" s="22">
        <f>IF(D3262="?OLD","!!!","")</f>
        <v/>
      </c>
      <c r="F3262" s="23" t="str">
        <f>IF(OR(E3262="",E3262="!!!"),"",IF(NOT(ISNA(VLOOKUP(E3262,E$1:E3261,1,FALSE()))),"OLD",IF(AND(E3262&lt;&gt;"",E3262&lt;&gt;"!!!"),"NEW","")))</f>
        <v> </v>
      </c>
      <c r="G3262" s="24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5" t="str">
        <f>IF(J3262&lt;&gt;1,"",IF(I3262="SBJ","CB","?"))</f>
        <v> </v>
      </c>
      <c r="I3262" s="26" t="str">
        <f>IF(OR(E3262="",E3262="!!!",F3262="NEW"),"",INDEX(B3261:B$2,-1+SUMPRODUCT(MAX(ROW(E3261:E$2)*(E3262=E3261:E$2)))))</f>
        <v> </v>
      </c>
      <c r="J3262" s="26" t="str">
        <f>IF(OR(E3262="",E3262="!!!",F3262="NEW"),"",COUNTBLANK(OFFSET(A$1,,,SUMPRODUCT(MAX(ROW(E$2:E3262)*(E3262=E$2:E3262)))))-COUNTBLANK(OFFSET(A$1,,,SUMPRODUCT(MAX(ROW(E$1:E3261)*(E2=E$1:E3261))))))</f>
        <v> </v>
      </c>
      <c r="K3262" s="26" t="str">
        <f>IF(OR(E3262="",E3262="!!!",F3262="NEW"),"",INDEX(J$1:J3261,SUMPRODUCT(MAX(ROW(E$1:E3261)*(E3262=E$1:E3261)))))</f>
        <v> </v>
      </c>
      <c r="L3262" s="27"/>
    </row>
    <row r="3263" spans="1:12">
      <c r="A3263" s="20"/>
    </row>
    <row r="3264" spans="1:12">
      <c r="A3264" s="20" t="s">
        <v>1923</v>
      </c>
    </row>
    <row r="3265" spans="1:12">
      <c r="A3265" s="20" t="s">
        <v>1016</v>
      </c>
      <c r="B3265" s="21" t="s">
        <v>948</v>
      </c>
      <c r="C3265" s="21" t="s">
        <v>983</v>
      </c>
      <c r="E3265" s="22">
        <f>IF(D3265="?OLD","!!!","")</f>
        <v/>
      </c>
      <c r="F3265" s="23" t="str">
        <f>IF(OR(E3265="",E3265="!!!"),"",IF(NOT(ISNA(VLOOKUP(E3265,E$1:E3264,1,FALSE()))),"OLD",IF(AND(E3265&lt;&gt;"",E3265&lt;&gt;"!!!"),"NEW","")))</f>
        <v> </v>
      </c>
      <c r="G3265" s="24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5" t="str">
        <f>IF(J3265&lt;&gt;1,"",IF(I3265="SBJ","CB","?"))</f>
        <v> </v>
      </c>
      <c r="I3265" s="26" t="str">
        <f>IF(OR(E3265="",E3265="!!!",F3265="NEW"),"",INDEX(B3264:B$2,-1+SUMPRODUCT(MAX(ROW(E3264:E$2)*(E3265=E3264:E$2)))))</f>
        <v> </v>
      </c>
      <c r="J3265" s="26" t="str">
        <f>IF(OR(E3265="",E3265="!!!",F3265="NEW"),"",COUNTBLANK(OFFSET(A$1,,,SUMPRODUCT(MAX(ROW(E$2:E3265)*(E3265=E$2:E3265)))))-COUNTBLANK(OFFSET(A$1,,,SUMPRODUCT(MAX(ROW(E$1:E3264)*(E2=E$1:E3264))))))</f>
        <v> </v>
      </c>
      <c r="K3265" s="26" t="str">
        <f>IF(OR(E3265="",E3265="!!!",F3265="NEW"),"",INDEX(J$1:J3264,SUMPRODUCT(MAX(ROW(E$1:E3264)*(E3265=E$1:E3264)))))</f>
        <v> </v>
      </c>
      <c r="L3265" s="27"/>
    </row>
    <row r="3266" spans="1:12">
      <c r="A3266" s="20" t="s">
        <v>952</v>
      </c>
      <c r="E3266" s="22">
        <f>IF(D3266="?OLD","!!!","")</f>
        <v/>
      </c>
      <c r="F3266" s="23" t="str">
        <f>IF(OR(E3266="",E3266="!!!"),"",IF(NOT(ISNA(VLOOKUP(E3266,E$1:E3265,1,FALSE()))),"OLD",IF(AND(E3266&lt;&gt;"",E3266&lt;&gt;"!!!"),"NEW","")))</f>
        <v> </v>
      </c>
      <c r="G3266" s="24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5" t="str">
        <f>IF(J3266&lt;&gt;1,"",IF(I3266="SBJ","CB","?"))</f>
        <v> </v>
      </c>
      <c r="I3266" s="26" t="str">
        <f>IF(OR(E3266="",E3266="!!!",F3266="NEW"),"",INDEX(B3265:B$2,-1+SUMPRODUCT(MAX(ROW(E3265:E$2)*(E3266=E3265:E$2)))))</f>
        <v> </v>
      </c>
      <c r="J3266" s="26" t="str">
        <f>IF(OR(E3266="",E3266="!!!",F3266="NEW"),"",COUNTBLANK(OFFSET(A$1,,,SUMPRODUCT(MAX(ROW(E$2:E3266)*(E3266=E$2:E3266)))))-COUNTBLANK(OFFSET(A$1,,,SUMPRODUCT(MAX(ROW(E$1:E3265)*(E2=E$1:E3265))))))</f>
        <v> </v>
      </c>
      <c r="K3266" s="26" t="str">
        <f>IF(OR(E3266="",E3266="!!!",F3266="NEW"),"",INDEX(J$1:J3265,SUMPRODUCT(MAX(ROW(E$1:E3265)*(E3266=E$1:E3265)))))</f>
        <v> </v>
      </c>
      <c r="L3266" s="27"/>
    </row>
    <row r="3267" spans="1:12">
      <c r="A3267" s="20" t="s">
        <v>1092</v>
      </c>
      <c r="E3267" s="22">
        <f>IF(D3267="?OLD","!!!","")</f>
        <v/>
      </c>
      <c r="F3267" s="23" t="str">
        <f>IF(OR(E3267="",E3267="!!!"),"",IF(NOT(ISNA(VLOOKUP(E3267,E$1:E3266,1,FALSE()))),"OLD",IF(AND(E3267&lt;&gt;"",E3267&lt;&gt;"!!!"),"NEW","")))</f>
        <v> </v>
      </c>
      <c r="G3267" s="24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5" t="str">
        <f>IF(J3267&lt;&gt;1,"",IF(I3267="SBJ","CB","?"))</f>
        <v> </v>
      </c>
      <c r="I3267" s="26" t="str">
        <f>IF(OR(E3267="",E3267="!!!",F3267="NEW"),"",INDEX(B3266:B$2,-1+SUMPRODUCT(MAX(ROW(E3266:E$2)*(E3267=E3266:E$2)))))</f>
        <v> </v>
      </c>
      <c r="J3267" s="26" t="str">
        <f>IF(OR(E3267="",E3267="!!!",F3267="NEW"),"",COUNTBLANK(OFFSET(A$1,,,SUMPRODUCT(MAX(ROW(E$2:E3267)*(E3267=E$2:E3267)))))-COUNTBLANK(OFFSET(A$1,,,SUMPRODUCT(MAX(ROW(E$1:E3266)*(E2=E$1:E3266))))))</f>
        <v> </v>
      </c>
      <c r="K3267" s="26" t="str">
        <f>IF(OR(E3267="",E3267="!!!",F3267="NEW"),"",INDEX(J$1:J3266,SUMPRODUCT(MAX(ROW(E$1:E3266)*(E3267=E$1:E3266)))))</f>
        <v> </v>
      </c>
      <c r="L3267" s="27"/>
    </row>
    <row r="3268" spans="1:12">
      <c r="A3268" s="20" t="s">
        <v>1646</v>
      </c>
      <c r="E3268" s="22">
        <f>IF(D3268="?OLD","!!!","")</f>
        <v/>
      </c>
      <c r="F3268" s="23" t="str">
        <f>IF(OR(E3268="",E3268="!!!"),"",IF(NOT(ISNA(VLOOKUP(E3268,E$1:E3267,1,FALSE()))),"OLD",IF(AND(E3268&lt;&gt;"",E3268&lt;&gt;"!!!"),"NEW","")))</f>
        <v> </v>
      </c>
      <c r="G3268" s="24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5" t="str">
        <f>IF(J3268&lt;&gt;1,"",IF(I3268="SBJ","CB","?"))</f>
        <v> </v>
      </c>
      <c r="I3268" s="26" t="str">
        <f>IF(OR(E3268="",E3268="!!!",F3268="NEW"),"",INDEX(B3267:B$2,-1+SUMPRODUCT(MAX(ROW(E3267:E$2)*(E3268=E3267:E$2)))))</f>
        <v> </v>
      </c>
      <c r="J3268" s="26" t="str">
        <f>IF(OR(E3268="",E3268="!!!",F3268="NEW"),"",COUNTBLANK(OFFSET(A$1,,,SUMPRODUCT(MAX(ROW(E$2:E3268)*(E3268=E$2:E3268)))))-COUNTBLANK(OFFSET(A$1,,,SUMPRODUCT(MAX(ROW(E$1:E3267)*(E2=E$1:E3267))))))</f>
        <v> </v>
      </c>
      <c r="K3268" s="26" t="str">
        <f>IF(OR(E3268="",E3268="!!!",F3268="NEW"),"",INDEX(J$1:J3267,SUMPRODUCT(MAX(ROW(E$1:E3267)*(E3268=E$1:E3267)))))</f>
        <v> </v>
      </c>
      <c r="L3268" s="27"/>
    </row>
    <row r="3269" spans="1:12">
      <c r="A3269" s="20" t="s">
        <v>1046</v>
      </c>
      <c r="E3269" s="22">
        <f>IF(D3269="?OLD","!!!","")</f>
        <v/>
      </c>
      <c r="F3269" s="23" t="str">
        <f>IF(OR(E3269="",E3269="!!!"),"",IF(NOT(ISNA(VLOOKUP(E3269,E$1:E3268,1,FALSE()))),"OLD",IF(AND(E3269&lt;&gt;"",E3269&lt;&gt;"!!!"),"NEW","")))</f>
        <v> </v>
      </c>
      <c r="G3269" s="24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5" t="str">
        <f>IF(J3269&lt;&gt;1,"",IF(I3269="SBJ","CB","?"))</f>
        <v> </v>
      </c>
      <c r="I3269" s="26" t="str">
        <f>IF(OR(E3269="",E3269="!!!",F3269="NEW"),"",INDEX(B3268:B$2,-1+SUMPRODUCT(MAX(ROW(E3268:E$2)*(E3269=E3268:E$2)))))</f>
        <v> </v>
      </c>
      <c r="J3269" s="26" t="str">
        <f>IF(OR(E3269="",E3269="!!!",F3269="NEW"),"",COUNTBLANK(OFFSET(A$1,,,SUMPRODUCT(MAX(ROW(E$2:E3269)*(E3269=E$2:E3269)))))-COUNTBLANK(OFFSET(A$1,,,SUMPRODUCT(MAX(ROW(E$1:E3268)*(E2=E$1:E3268))))))</f>
        <v> </v>
      </c>
      <c r="K3269" s="26" t="str">
        <f>IF(OR(E3269="",E3269="!!!",F3269="NEW"),"",INDEX(J$1:J3268,SUMPRODUCT(MAX(ROW(E$1:E3268)*(E3269=E$1:E3268)))))</f>
        <v> </v>
      </c>
      <c r="L3269" s="27"/>
    </row>
    <row r="3270" spans="1:12">
      <c r="A3270" s="20" t="s">
        <v>1022</v>
      </c>
      <c r="E3270" s="22">
        <f>IF(D3270="?OLD","!!!","")</f>
        <v/>
      </c>
      <c r="F3270" s="23" t="str">
        <f>IF(OR(E3270="",E3270="!!!"),"",IF(NOT(ISNA(VLOOKUP(E3270,E$1:E3269,1,FALSE()))),"OLD",IF(AND(E3270&lt;&gt;"",E3270&lt;&gt;"!!!"),"NEW","")))</f>
        <v> </v>
      </c>
      <c r="G3270" s="24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5" t="str">
        <f>IF(J3270&lt;&gt;1,"",IF(I3270="SBJ","CB","?"))</f>
        <v> </v>
      </c>
      <c r="I3270" s="26" t="str">
        <f>IF(OR(E3270="",E3270="!!!",F3270="NEW"),"",INDEX(B3269:B$2,-1+SUMPRODUCT(MAX(ROW(E3269:E$2)*(E3270=E3269:E$2)))))</f>
        <v> </v>
      </c>
      <c r="J3270" s="26" t="str">
        <f>IF(OR(E3270="",E3270="!!!",F3270="NEW"),"",COUNTBLANK(OFFSET(A$1,,,SUMPRODUCT(MAX(ROW(E$2:E3270)*(E3270=E$2:E3270)))))-COUNTBLANK(OFFSET(A$1,,,SUMPRODUCT(MAX(ROW(E$1:E3269)*(E2=E$1:E3269))))))</f>
        <v> </v>
      </c>
      <c r="K3270" s="26" t="str">
        <f>IF(OR(E3270="",E3270="!!!",F3270="NEW"),"",INDEX(J$1:J3269,SUMPRODUCT(MAX(ROW(E$1:E3269)*(E3270=E$1:E3269)))))</f>
        <v> </v>
      </c>
      <c r="L3270" s="27"/>
    </row>
    <row r="3271" spans="1:12">
      <c r="A3271" s="20" t="s">
        <v>1615</v>
      </c>
      <c r="B3271" s="21" t="s">
        <v>975</v>
      </c>
      <c r="C3271" s="21" t="s">
        <v>976</v>
      </c>
      <c r="D3271" s="21" t="s">
        <v>950</v>
      </c>
      <c r="E3271" s="22">
        <f>IF(D3271="?OLD","!!!","")</f>
        <v/>
      </c>
      <c r="F3271" s="23" t="str">
        <f>IF(OR(E3271="",E3271="!!!"),"",IF(NOT(ISNA(VLOOKUP(E3271,E$1:E3270,1,FALSE()))),"OLD",IF(AND(E3271&lt;&gt;"",E3271&lt;&gt;"!!!"),"NEW","")))</f>
        <v> </v>
      </c>
      <c r="G3271" s="24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5" t="str">
        <f>IF(J3271&lt;&gt;1,"",IF(I3271="SBJ","CB","?"))</f>
        <v> </v>
      </c>
      <c r="I3271" s="26" t="str">
        <f>IF(OR(E3271="",E3271="!!!",F3271="NEW"),"",INDEX(B3270:B$2,-1+SUMPRODUCT(MAX(ROW(E3270:E$2)*(E3271=E3270:E$2)))))</f>
        <v> </v>
      </c>
      <c r="J3271" s="26" t="str">
        <f>IF(OR(E3271="",E3271="!!!",F3271="NEW"),"",COUNTBLANK(OFFSET(A$1,,,SUMPRODUCT(MAX(ROW(E$2:E3271)*(E3271=E$2:E3271)))))-COUNTBLANK(OFFSET(A$1,,,SUMPRODUCT(MAX(ROW(E$1:E3270)*(E2=E$1:E3270))))))</f>
        <v> </v>
      </c>
      <c r="K3271" s="26" t="str">
        <f>IF(OR(E3271="",E3271="!!!",F3271="NEW"),"",INDEX(J$1:J3270,SUMPRODUCT(MAX(ROW(E$1:E3270)*(E3271=E$1:E3270)))))</f>
        <v> </v>
      </c>
      <c r="L3271" s="27"/>
    </row>
    <row r="3272" spans="1:12">
      <c r="A3272" s="20" t="s">
        <v>977</v>
      </c>
      <c r="E3272" s="22">
        <f>IF(D3272="?OLD","!!!","")</f>
        <v/>
      </c>
      <c r="F3272" s="23" t="str">
        <f>IF(OR(E3272="",E3272="!!!"),"",IF(NOT(ISNA(VLOOKUP(E3272,E$1:E3271,1,FALSE()))),"OLD",IF(AND(E3272&lt;&gt;"",E3272&lt;&gt;"!!!"),"NEW","")))</f>
        <v> </v>
      </c>
      <c r="G3272" s="24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5" t="str">
        <f>IF(J3272&lt;&gt;1,"",IF(I3272="SBJ","CB","?"))</f>
        <v> </v>
      </c>
      <c r="I3272" s="26" t="str">
        <f>IF(OR(E3272="",E3272="!!!",F3272="NEW"),"",INDEX(B3271:B$2,-1+SUMPRODUCT(MAX(ROW(E3271:E$2)*(E3272=E3271:E$2)))))</f>
        <v> </v>
      </c>
      <c r="J3272" s="26" t="str">
        <f>IF(OR(E3272="",E3272="!!!",F3272="NEW"),"",COUNTBLANK(OFFSET(A$1,,,SUMPRODUCT(MAX(ROW(E$2:E3272)*(E3272=E$2:E3272)))))-COUNTBLANK(OFFSET(A$1,,,SUMPRODUCT(MAX(ROW(E$1:E3271)*(E2=E$1:E3271))))))</f>
        <v> </v>
      </c>
      <c r="K3272" s="26" t="str">
        <f>IF(OR(E3272="",E3272="!!!",F3272="NEW"),"",INDEX(J$1:J3271,SUMPRODUCT(MAX(ROW(E$1:E3271)*(E3272=E$1:E3271)))))</f>
        <v> </v>
      </c>
      <c r="L3272" s="27"/>
    </row>
    <row r="3273" spans="1:12">
      <c r="A3273" s="20" t="s">
        <v>961</v>
      </c>
      <c r="E3273" s="22">
        <f>IF(D3273="?OLD","!!!","")</f>
        <v/>
      </c>
      <c r="F3273" s="23" t="str">
        <f>IF(OR(E3273="",E3273="!!!"),"",IF(NOT(ISNA(VLOOKUP(E3273,E$1:E3272,1,FALSE()))),"OLD",IF(AND(E3273&lt;&gt;"",E3273&lt;&gt;"!!!"),"NEW","")))</f>
        <v> </v>
      </c>
      <c r="G3273" s="24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5" t="str">
        <f>IF(J3273&lt;&gt;1,"",IF(I3273="SBJ","CB","?"))</f>
        <v> </v>
      </c>
      <c r="I3273" s="26" t="str">
        <f>IF(OR(E3273="",E3273="!!!",F3273="NEW"),"",INDEX(B3272:B$2,-1+SUMPRODUCT(MAX(ROW(E3272:E$2)*(E3273=E3272:E$2)))))</f>
        <v> </v>
      </c>
      <c r="J3273" s="26" t="str">
        <f>IF(OR(E3273="",E3273="!!!",F3273="NEW"),"",COUNTBLANK(OFFSET(A$1,,,SUMPRODUCT(MAX(ROW(E$2:E3273)*(E3273=E$2:E3273)))))-COUNTBLANK(OFFSET(A$1,,,SUMPRODUCT(MAX(ROW(E$1:E3272)*(E2=E$1:E3272))))))</f>
        <v> </v>
      </c>
      <c r="K3273" s="26" t="str">
        <f>IF(OR(E3273="",E3273="!!!",F3273="NEW"),"",INDEX(J$1:J3272,SUMPRODUCT(MAX(ROW(E$1:E3272)*(E3273=E$1:E3272)))))</f>
        <v> </v>
      </c>
      <c r="L3273" s="27"/>
    </row>
    <row r="3274" spans="1:12">
      <c r="A3274" s="20" t="s">
        <v>1924</v>
      </c>
      <c r="B3274" s="21" t="s">
        <v>980</v>
      </c>
      <c r="C3274" s="21" t="s">
        <v>964</v>
      </c>
      <c r="E3274" s="22">
        <f>IF(D3274="?OLD","!!!","")</f>
        <v/>
      </c>
      <c r="F3274" s="23" t="str">
        <f>IF(OR(E3274="",E3274="!!!"),"",IF(NOT(ISNA(VLOOKUP(E3274,E$1:E3273,1,FALSE()))),"OLD",IF(AND(E3274&lt;&gt;"",E3274&lt;&gt;"!!!"),"NEW","")))</f>
        <v> </v>
      </c>
      <c r="G3274" s="24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5" t="str">
        <f>IF(J3274&lt;&gt;1,"",IF(I3274="SBJ","CB","?"))</f>
        <v> </v>
      </c>
      <c r="I3274" s="26" t="str">
        <f>IF(OR(E3274="",E3274="!!!",F3274="NEW"),"",INDEX(B3273:B$2,-1+SUMPRODUCT(MAX(ROW(E3273:E$2)*(E3274=E3273:E$2)))))</f>
        <v> </v>
      </c>
      <c r="J3274" s="26" t="str">
        <f>IF(OR(E3274="",E3274="!!!",F3274="NEW"),"",COUNTBLANK(OFFSET(A$1,,,SUMPRODUCT(MAX(ROW(E$2:E3274)*(E3274=E$2:E3274)))))-COUNTBLANK(OFFSET(A$1,,,SUMPRODUCT(MAX(ROW(E$1:E3273)*(E2=E$1:E3273))))))</f>
        <v> </v>
      </c>
      <c r="K3274" s="26" t="str">
        <f>IF(OR(E3274="",E3274="!!!",F3274="NEW"),"",INDEX(J$1:J3273,SUMPRODUCT(MAX(ROW(E$1:E3273)*(E3274=E$1:E3273)))))</f>
        <v> </v>
      </c>
      <c r="L3274" s="27"/>
    </row>
    <row r="3275" spans="1:12">
      <c r="A3275" s="20" t="s">
        <v>1925</v>
      </c>
      <c r="E3275" s="22">
        <f>IF(D3275="?OLD","!!!","")</f>
        <v/>
      </c>
      <c r="F3275" s="23" t="str">
        <f>IF(OR(E3275="",E3275="!!!"),"",IF(NOT(ISNA(VLOOKUP(E3275,E$1:E3274,1,FALSE()))),"OLD",IF(AND(E3275&lt;&gt;"",E3275&lt;&gt;"!!!"),"NEW","")))</f>
        <v> </v>
      </c>
      <c r="G3275" s="24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5" t="str">
        <f>IF(J3275&lt;&gt;1,"",IF(I3275="SBJ","CB","?"))</f>
        <v> </v>
      </c>
      <c r="I3275" s="26" t="str">
        <f>IF(OR(E3275="",E3275="!!!",F3275="NEW"),"",INDEX(B3274:B$2,-1+SUMPRODUCT(MAX(ROW(E3274:E$2)*(E3275=E3274:E$2)))))</f>
        <v> </v>
      </c>
      <c r="J3275" s="26" t="str">
        <f>IF(OR(E3275="",E3275="!!!",F3275="NEW"),"",COUNTBLANK(OFFSET(A$1,,,SUMPRODUCT(MAX(ROW(E$2:E3275)*(E3275=E$2:E3275)))))-COUNTBLANK(OFFSET(A$1,,,SUMPRODUCT(MAX(ROW(E$1:E3274)*(E2=E$1:E3274))))))</f>
        <v> </v>
      </c>
      <c r="K3275" s="26" t="str">
        <f>IF(OR(E3275="",E3275="!!!",F3275="NEW"),"",INDEX(J$1:J3274,SUMPRODUCT(MAX(ROW(E$1:E3274)*(E3275=E$1:E3274)))))</f>
        <v> </v>
      </c>
      <c r="L3275" s="27"/>
    </row>
    <row r="3276" spans="1:12">
      <c r="A3276" s="20" t="s">
        <v>1419</v>
      </c>
      <c r="E3276" s="22">
        <f>IF(D3276="?OLD","!!!","")</f>
        <v/>
      </c>
      <c r="F3276" s="23" t="str">
        <f>IF(OR(E3276="",E3276="!!!"),"",IF(NOT(ISNA(VLOOKUP(E3276,E$1:E3275,1,FALSE()))),"OLD",IF(AND(E3276&lt;&gt;"",E3276&lt;&gt;"!!!"),"NEW","")))</f>
        <v> </v>
      </c>
      <c r="G3276" s="24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5" t="str">
        <f>IF(J3276&lt;&gt;1,"",IF(I3276="SBJ","CB","?"))</f>
        <v> </v>
      </c>
      <c r="I3276" s="26" t="str">
        <f>IF(OR(E3276="",E3276="!!!",F3276="NEW"),"",INDEX(B3275:B$2,-1+SUMPRODUCT(MAX(ROW(E3275:E$2)*(E3276=E3275:E$2)))))</f>
        <v> </v>
      </c>
      <c r="J3276" s="26" t="str">
        <f>IF(OR(E3276="",E3276="!!!",F3276="NEW"),"",COUNTBLANK(OFFSET(A$1,,,SUMPRODUCT(MAX(ROW(E$2:E3276)*(E3276=E$2:E3276)))))-COUNTBLANK(OFFSET(A$1,,,SUMPRODUCT(MAX(ROW(E$1:E3275)*(E2=E$1:E3275))))))</f>
        <v> </v>
      </c>
      <c r="K3276" s="26" t="str">
        <f>IF(OR(E3276="",E3276="!!!",F3276="NEW"),"",INDEX(J$1:J3275,SUMPRODUCT(MAX(ROW(E$1:E3275)*(E3276=E$1:E3275)))))</f>
        <v> </v>
      </c>
      <c r="L3276" s="27"/>
    </row>
    <row r="3277" spans="1:12">
      <c r="A3277" s="20" t="s">
        <v>1006</v>
      </c>
      <c r="E3277" s="22">
        <f>IF(D3277="?OLD","!!!","")</f>
        <v/>
      </c>
      <c r="F3277" s="23" t="str">
        <f>IF(OR(E3277="",E3277="!!!"),"",IF(NOT(ISNA(VLOOKUP(E3277,E$1:E3276,1,FALSE()))),"OLD",IF(AND(E3277&lt;&gt;"",E3277&lt;&gt;"!!!"),"NEW","")))</f>
        <v> </v>
      </c>
      <c r="G3277" s="24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5" t="str">
        <f>IF(J3277&lt;&gt;1,"",IF(I3277="SBJ","CB","?"))</f>
        <v> </v>
      </c>
      <c r="I3277" s="26" t="str">
        <f>IF(OR(E3277="",E3277="!!!",F3277="NEW"),"",INDEX(B3276:B$2,-1+SUMPRODUCT(MAX(ROW(E3276:E$2)*(E3277=E3276:E$2)))))</f>
        <v> </v>
      </c>
      <c r="J3277" s="26" t="str">
        <f>IF(OR(E3277="",E3277="!!!",F3277="NEW"),"",COUNTBLANK(OFFSET(A$1,,,SUMPRODUCT(MAX(ROW(E$2:E3277)*(E3277=E$2:E3277)))))-COUNTBLANK(OFFSET(A$1,,,SUMPRODUCT(MAX(ROW(E$1:E3276)*(E2=E$1:E3276))))))</f>
        <v> </v>
      </c>
      <c r="K3277" s="26" t="str">
        <f>IF(OR(E3277="",E3277="!!!",F3277="NEW"),"",INDEX(J$1:J3276,SUMPRODUCT(MAX(ROW(E$1:E3276)*(E3277=E$1:E3276)))))</f>
        <v> </v>
      </c>
      <c r="L3277" s="27"/>
    </row>
    <row r="3278" spans="1:12">
      <c r="A3278" s="20" t="s">
        <v>1926</v>
      </c>
      <c r="B3278" s="21" t="s">
        <v>982</v>
      </c>
      <c r="C3278" s="21" t="s">
        <v>949</v>
      </c>
      <c r="D3278" s="21" t="s">
        <v>950</v>
      </c>
      <c r="E3278" s="22">
        <f>IF(D3278="?OLD","!!!","")</f>
        <v/>
      </c>
      <c r="F3278" s="23" t="str">
        <f>IF(OR(E3278="",E3278="!!!"),"",IF(NOT(ISNA(VLOOKUP(E3278,E$1:E3277,1,FALSE()))),"OLD",IF(AND(E3278&lt;&gt;"",E3278&lt;&gt;"!!!"),"NEW","")))</f>
        <v> </v>
      </c>
      <c r="G3278" s="24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5" t="str">
        <f>IF(J3278&lt;&gt;1,"",IF(I3278="SBJ","CB","?"))</f>
        <v> </v>
      </c>
      <c r="I3278" s="26" t="str">
        <f>IF(OR(E3278="",E3278="!!!",F3278="NEW"),"",INDEX(B3277:B$2,-1+SUMPRODUCT(MAX(ROW(E3277:E$2)*(E3278=E3277:E$2)))))</f>
        <v> </v>
      </c>
      <c r="J3278" s="26" t="str">
        <f>IF(OR(E3278="",E3278="!!!",F3278="NEW"),"",COUNTBLANK(OFFSET(A$1,,,SUMPRODUCT(MAX(ROW(E$2:E3278)*(E3278=E$2:E3278)))))-COUNTBLANK(OFFSET(A$1,,,SUMPRODUCT(MAX(ROW(E$1:E3277)*(E2=E$1:E3277))))))</f>
        <v> </v>
      </c>
      <c r="K3278" s="26" t="str">
        <f>IF(OR(E3278="",E3278="!!!",F3278="NEW"),"",INDEX(J$1:J3277,SUMPRODUCT(MAX(ROW(E$1:E3277)*(E3278=E$1:E3277)))))</f>
        <v> </v>
      </c>
      <c r="L3278" s="27"/>
    </row>
    <row r="3279" spans="1:12">
      <c r="A3279" s="20" t="s">
        <v>984</v>
      </c>
      <c r="E3279" s="22">
        <f>IF(D3279="?OLD","!!!","")</f>
        <v/>
      </c>
      <c r="F3279" s="23" t="str">
        <f>IF(OR(E3279="",E3279="!!!"),"",IF(NOT(ISNA(VLOOKUP(E3279,E$1:E3278,1,FALSE()))),"OLD",IF(AND(E3279&lt;&gt;"",E3279&lt;&gt;"!!!"),"NEW","")))</f>
        <v> </v>
      </c>
      <c r="G3279" s="24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5" t="str">
        <f>IF(J3279&lt;&gt;1,"",IF(I3279="SBJ","CB","?"))</f>
        <v> </v>
      </c>
      <c r="I3279" s="26" t="str">
        <f>IF(OR(E3279="",E3279="!!!",F3279="NEW"),"",INDEX(B3278:B$2,-1+SUMPRODUCT(MAX(ROW(E3278:E$2)*(E3279=E3278:E$2)))))</f>
        <v> </v>
      </c>
      <c r="J3279" s="26" t="str">
        <f>IF(OR(E3279="",E3279="!!!",F3279="NEW"),"",COUNTBLANK(OFFSET(A$1,,,SUMPRODUCT(MAX(ROW(E$2:E3279)*(E3279=E$2:E3279)))))-COUNTBLANK(OFFSET(A$1,,,SUMPRODUCT(MAX(ROW(E$1:E3278)*(E2=E$1:E3278))))))</f>
        <v> </v>
      </c>
      <c r="K3279" s="26" t="str">
        <f>IF(OR(E3279="",E3279="!!!",F3279="NEW"),"",INDEX(J$1:J3278,SUMPRODUCT(MAX(ROW(E$1:E3278)*(E3279=E$1:E3278)))))</f>
        <v> </v>
      </c>
      <c r="L3279" s="27"/>
    </row>
    <row r="3280" spans="1:12">
      <c r="A3280" s="20"/>
    </row>
    <row r="3281" spans="1:12">
      <c r="A3281" s="20" t="s">
        <v>1927</v>
      </c>
    </row>
    <row r="3282" spans="1:12">
      <c r="A3282" s="20" t="s">
        <v>1070</v>
      </c>
      <c r="B3282" s="21" t="s">
        <v>1143</v>
      </c>
      <c r="C3282" s="21" t="s">
        <v>983</v>
      </c>
      <c r="E3282" s="22">
        <f>IF(D3282="?OLD","!!!","")</f>
        <v/>
      </c>
      <c r="F3282" s="23" t="str">
        <f>IF(OR(E3282="",E3282="!!!"),"",IF(NOT(ISNA(VLOOKUP(E3282,E$1:E3281,1,FALSE()))),"OLD",IF(AND(E3282&lt;&gt;"",E3282&lt;&gt;"!!!"),"NEW","")))</f>
        <v> </v>
      </c>
      <c r="G3282" s="24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5" t="str">
        <f>IF(J3282&lt;&gt;1,"",IF(I3282="SBJ","CB","?"))</f>
        <v> </v>
      </c>
      <c r="I3282" s="26" t="str">
        <f>IF(OR(E3282="",E3282="!!!",F3282="NEW"),"",INDEX(B3281:B$2,-1+SUMPRODUCT(MAX(ROW(E3281:E$2)*(E3282=E3281:E$2)))))</f>
        <v> </v>
      </c>
      <c r="J3282" s="26" t="str">
        <f>IF(OR(E3282="",E3282="!!!",F3282="NEW"),"",COUNTBLANK(OFFSET(A$1,,,SUMPRODUCT(MAX(ROW(E$2:E3282)*(E3282=E$2:E3282)))))-COUNTBLANK(OFFSET(A$1,,,SUMPRODUCT(MAX(ROW(E$1:E3281)*(E2=E$1:E3281))))))</f>
        <v> </v>
      </c>
      <c r="K3282" s="26" t="str">
        <f>IF(OR(E3282="",E3282="!!!",F3282="NEW"),"",INDEX(J$1:J3281,SUMPRODUCT(MAX(ROW(E$1:E3281)*(E3282=E$1:E3281)))))</f>
        <v> </v>
      </c>
      <c r="L3282" s="27"/>
    </row>
    <row r="3283" spans="1:12">
      <c r="A3283" s="20" t="s">
        <v>952</v>
      </c>
      <c r="E3283" s="22">
        <f>IF(D3283="?OLD","!!!","")</f>
        <v/>
      </c>
      <c r="F3283" s="23" t="str">
        <f>IF(OR(E3283="",E3283="!!!"),"",IF(NOT(ISNA(VLOOKUP(E3283,E$1:E3282,1,FALSE()))),"OLD",IF(AND(E3283&lt;&gt;"",E3283&lt;&gt;"!!!"),"NEW","")))</f>
        <v> </v>
      </c>
      <c r="G3283" s="24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5" t="str">
        <f>IF(J3283&lt;&gt;1,"",IF(I3283="SBJ","CB","?"))</f>
        <v> </v>
      </c>
      <c r="I3283" s="26" t="str">
        <f>IF(OR(E3283="",E3283="!!!",F3283="NEW"),"",INDEX(B3282:B$2,-1+SUMPRODUCT(MAX(ROW(E3282:E$2)*(E3283=E3282:E$2)))))</f>
        <v> </v>
      </c>
      <c r="J3283" s="26" t="str">
        <f>IF(OR(E3283="",E3283="!!!",F3283="NEW"),"",COUNTBLANK(OFFSET(A$1,,,SUMPRODUCT(MAX(ROW(E$2:E3283)*(E3283=E$2:E3283)))))-COUNTBLANK(OFFSET(A$1,,,SUMPRODUCT(MAX(ROW(E$1:E3282)*(E2=E$1:E3282))))))</f>
        <v> </v>
      </c>
      <c r="K3283" s="26" t="str">
        <f>IF(OR(E3283="",E3283="!!!",F3283="NEW"),"",INDEX(J$1:J3282,SUMPRODUCT(MAX(ROW(E$1:E3282)*(E3283=E$1:E3282)))))</f>
        <v> </v>
      </c>
      <c r="L3283" s="27"/>
    </row>
    <row r="3284" spans="1:12">
      <c r="A3284" s="20" t="s">
        <v>1394</v>
      </c>
      <c r="E3284" s="22">
        <f>IF(D3284="?OLD","!!!","")</f>
        <v/>
      </c>
      <c r="F3284" s="23" t="str">
        <f>IF(OR(E3284="",E3284="!!!"),"",IF(NOT(ISNA(VLOOKUP(E3284,E$1:E3283,1,FALSE()))),"OLD",IF(AND(E3284&lt;&gt;"",E3284&lt;&gt;"!!!"),"NEW","")))</f>
        <v> </v>
      </c>
      <c r="G3284" s="24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5" t="str">
        <f>IF(J3284&lt;&gt;1,"",IF(I3284="SBJ","CB","?"))</f>
        <v> </v>
      </c>
      <c r="I3284" s="26" t="str">
        <f>IF(OR(E3284="",E3284="!!!",F3284="NEW"),"",INDEX(B3283:B$2,-1+SUMPRODUCT(MAX(ROW(E3283:E$2)*(E3284=E3283:E$2)))))</f>
        <v> </v>
      </c>
      <c r="J3284" s="26" t="str">
        <f>IF(OR(E3284="",E3284="!!!",F3284="NEW"),"",COUNTBLANK(OFFSET(A$1,,,SUMPRODUCT(MAX(ROW(E$2:E3284)*(E3284=E$2:E3284)))))-COUNTBLANK(OFFSET(A$1,,,SUMPRODUCT(MAX(ROW(E$1:E3283)*(E2=E$1:E3283))))))</f>
        <v> </v>
      </c>
      <c r="K3284" s="26" t="str">
        <f>IF(OR(E3284="",E3284="!!!",F3284="NEW"),"",INDEX(J$1:J3283,SUMPRODUCT(MAX(ROW(E$1:E3283)*(E3284=E$1:E3283)))))</f>
        <v> </v>
      </c>
      <c r="L3284" s="27"/>
    </row>
    <row r="3285" spans="1:12">
      <c r="A3285" s="20" t="s">
        <v>1000</v>
      </c>
      <c r="E3285" s="22">
        <f>IF(D3285="?OLD","!!!","")</f>
        <v/>
      </c>
      <c r="F3285" s="23" t="str">
        <f>IF(OR(E3285="",E3285="!!!"),"",IF(NOT(ISNA(VLOOKUP(E3285,E$1:E3284,1,FALSE()))),"OLD",IF(AND(E3285&lt;&gt;"",E3285&lt;&gt;"!!!"),"NEW","")))</f>
        <v> </v>
      </c>
      <c r="G3285" s="24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5" t="str">
        <f>IF(J3285&lt;&gt;1,"",IF(I3285="SBJ","CB","?"))</f>
        <v> </v>
      </c>
      <c r="I3285" s="26" t="str">
        <f>IF(OR(E3285="",E3285="!!!",F3285="NEW"),"",INDEX(B3284:B$2,-1+SUMPRODUCT(MAX(ROW(E3284:E$2)*(E3285=E3284:E$2)))))</f>
        <v> </v>
      </c>
      <c r="J3285" s="26" t="str">
        <f>IF(OR(E3285="",E3285="!!!",F3285="NEW"),"",COUNTBLANK(OFFSET(A$1,,,SUMPRODUCT(MAX(ROW(E$2:E3285)*(E3285=E$2:E3285)))))-COUNTBLANK(OFFSET(A$1,,,SUMPRODUCT(MAX(ROW(E$1:E3284)*(E2=E$1:E3284))))))</f>
        <v> </v>
      </c>
      <c r="K3285" s="26" t="str">
        <f>IF(OR(E3285="",E3285="!!!",F3285="NEW"),"",INDEX(J$1:J3284,SUMPRODUCT(MAX(ROW(E$1:E3284)*(E3285=E$1:E3284)))))</f>
        <v> </v>
      </c>
      <c r="L3285" s="27"/>
    </row>
    <row r="3286" spans="1:12">
      <c r="A3286" s="20" t="s">
        <v>1047</v>
      </c>
      <c r="E3286" s="22">
        <f>IF(D3286="?OLD","!!!","")</f>
        <v/>
      </c>
      <c r="F3286" s="23" t="str">
        <f>IF(OR(E3286="",E3286="!!!"),"",IF(NOT(ISNA(VLOOKUP(E3286,E$1:E3285,1,FALSE()))),"OLD",IF(AND(E3286&lt;&gt;"",E3286&lt;&gt;"!!!"),"NEW","")))</f>
        <v> </v>
      </c>
      <c r="G3286" s="24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5" t="str">
        <f>IF(J3286&lt;&gt;1,"",IF(I3286="SBJ","CB","?"))</f>
        <v> </v>
      </c>
      <c r="I3286" s="26" t="str">
        <f>IF(OR(E3286="",E3286="!!!",F3286="NEW"),"",INDEX(B3285:B$2,-1+SUMPRODUCT(MAX(ROW(E3285:E$2)*(E3286=E3285:E$2)))))</f>
        <v> </v>
      </c>
      <c r="J3286" s="26" t="str">
        <f>IF(OR(E3286="",E3286="!!!",F3286="NEW"),"",COUNTBLANK(OFFSET(A$1,,,SUMPRODUCT(MAX(ROW(E$2:E3286)*(E3286=E$2:E3286)))))-COUNTBLANK(OFFSET(A$1,,,SUMPRODUCT(MAX(ROW(E$1:E3285)*(E2=E$1:E3285))))))</f>
        <v> </v>
      </c>
      <c r="K3286" s="26" t="str">
        <f>IF(OR(E3286="",E3286="!!!",F3286="NEW"),"",INDEX(J$1:J3285,SUMPRODUCT(MAX(ROW(E$1:E3285)*(E3286=E$1:E3285)))))</f>
        <v> </v>
      </c>
      <c r="L3286" s="27"/>
    </row>
    <row r="3287" spans="1:12">
      <c r="A3287" s="20" t="s">
        <v>1928</v>
      </c>
      <c r="E3287" s="22">
        <f>IF(D3287="?OLD","!!!","")</f>
        <v/>
      </c>
      <c r="F3287" s="23" t="str">
        <f>IF(OR(E3287="",E3287="!!!"),"",IF(NOT(ISNA(VLOOKUP(E3287,E$1:E3286,1,FALSE()))),"OLD",IF(AND(E3287&lt;&gt;"",E3287&lt;&gt;"!!!"),"NEW","")))</f>
        <v> </v>
      </c>
      <c r="G3287" s="24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5" t="str">
        <f>IF(J3287&lt;&gt;1,"",IF(I3287="SBJ","CB","?"))</f>
        <v> </v>
      </c>
      <c r="I3287" s="26" t="str">
        <f>IF(OR(E3287="",E3287="!!!",F3287="NEW"),"",INDEX(B3286:B$2,-1+SUMPRODUCT(MAX(ROW(E3286:E$2)*(E3287=E3286:E$2)))))</f>
        <v> </v>
      </c>
      <c r="J3287" s="26" t="str">
        <f>IF(OR(E3287="",E3287="!!!",F3287="NEW"),"",COUNTBLANK(OFFSET(A$1,,,SUMPRODUCT(MAX(ROW(E$2:E3287)*(E3287=E$2:E3287)))))-COUNTBLANK(OFFSET(A$1,,,SUMPRODUCT(MAX(ROW(E$1:E3286)*(E2=E$1:E3286))))))</f>
        <v> </v>
      </c>
      <c r="K3287" s="26" t="str">
        <f>IF(OR(E3287="",E3287="!!!",F3287="NEW"),"",INDEX(J$1:J3286,SUMPRODUCT(MAX(ROW(E$1:E3286)*(E3287=E$1:E3286)))))</f>
        <v> </v>
      </c>
      <c r="L3287" s="27"/>
    </row>
    <row r="3288" spans="1:12">
      <c r="A3288" s="20" t="s">
        <v>977</v>
      </c>
      <c r="E3288" s="22">
        <f>IF(D3288="?OLD","!!!","")</f>
        <v/>
      </c>
      <c r="F3288" s="23" t="str">
        <f>IF(OR(E3288="",E3288="!!!"),"",IF(NOT(ISNA(VLOOKUP(E3288,E$1:E3287,1,FALSE()))),"OLD",IF(AND(E3288&lt;&gt;"",E3288&lt;&gt;"!!!"),"NEW","")))</f>
        <v> </v>
      </c>
      <c r="G3288" s="24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5" t="str">
        <f>IF(J3288&lt;&gt;1,"",IF(I3288="SBJ","CB","?"))</f>
        <v> </v>
      </c>
      <c r="I3288" s="26" t="str">
        <f>IF(OR(E3288="",E3288="!!!",F3288="NEW"),"",INDEX(B3287:B$2,-1+SUMPRODUCT(MAX(ROW(E3287:E$2)*(E3288=E3287:E$2)))))</f>
        <v> </v>
      </c>
      <c r="J3288" s="26" t="str">
        <f>IF(OR(E3288="",E3288="!!!",F3288="NEW"),"",COUNTBLANK(OFFSET(A$1,,,SUMPRODUCT(MAX(ROW(E$2:E3288)*(E3288=E$2:E3288)))))-COUNTBLANK(OFFSET(A$1,,,SUMPRODUCT(MAX(ROW(E$1:E3287)*(E2=E$1:E3287))))))</f>
        <v> </v>
      </c>
      <c r="K3288" s="26" t="str">
        <f>IF(OR(E3288="",E3288="!!!",F3288="NEW"),"",INDEX(J$1:J3287,SUMPRODUCT(MAX(ROW(E$1:E3287)*(E3288=E$1:E3287)))))</f>
        <v> </v>
      </c>
      <c r="L3288" s="27"/>
    </row>
    <row r="3289" spans="1:12">
      <c r="A3289" s="20" t="s">
        <v>80</v>
      </c>
      <c r="E3289" s="22">
        <f>IF(D3289="?OLD","!!!","")</f>
        <v/>
      </c>
      <c r="F3289" s="23" t="str">
        <f>IF(OR(E3289="",E3289="!!!"),"",IF(NOT(ISNA(VLOOKUP(E3289,E$1:E3288,1,FALSE()))),"OLD",IF(AND(E3289&lt;&gt;"",E3289&lt;&gt;"!!!"),"NEW","")))</f>
        <v> </v>
      </c>
      <c r="G3289" s="24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5" t="str">
        <f>IF(J3289&lt;&gt;1,"",IF(I3289="SBJ","CB","?"))</f>
        <v> </v>
      </c>
      <c r="I3289" s="26" t="str">
        <f>IF(OR(E3289="",E3289="!!!",F3289="NEW"),"",INDEX(B3288:B$2,-1+SUMPRODUCT(MAX(ROW(E3288:E$2)*(E3289=E3288:E$2)))))</f>
        <v> </v>
      </c>
      <c r="J3289" s="26" t="str">
        <f>IF(OR(E3289="",E3289="!!!",F3289="NEW"),"",COUNTBLANK(OFFSET(A$1,,,SUMPRODUCT(MAX(ROW(E$2:E3289)*(E3289=E$2:E3289)))))-COUNTBLANK(OFFSET(A$1,,,SUMPRODUCT(MAX(ROW(E$1:E3288)*(E2=E$1:E3288))))))</f>
        <v> </v>
      </c>
      <c r="K3289" s="26" t="str">
        <f>IF(OR(E3289="",E3289="!!!",F3289="NEW"),"",INDEX(J$1:J3288,SUMPRODUCT(MAX(ROW(E$1:E3288)*(E3289=E$1:E3288)))))</f>
        <v> </v>
      </c>
      <c r="L3289" s="27"/>
    </row>
    <row r="3290" spans="1:12">
      <c r="A3290" s="20" t="s">
        <v>1124</v>
      </c>
      <c r="B3290" s="21" t="s">
        <v>1005</v>
      </c>
      <c r="C3290" s="21" t="s">
        <v>1125</v>
      </c>
      <c r="E3290" s="22">
        <f>IF(D3290="?OLD","!!!","")</f>
        <v/>
      </c>
      <c r="F3290" s="23" t="str">
        <f>IF(OR(E3290="",E3290="!!!"),"",IF(NOT(ISNA(VLOOKUP(E3290,E$1:E3289,1,FALSE()))),"OLD",IF(AND(E3290&lt;&gt;"",E3290&lt;&gt;"!!!"),"NEW","")))</f>
        <v> </v>
      </c>
      <c r="G3290" s="24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5" t="str">
        <f>IF(J3290&lt;&gt;1,"",IF(I3290="SBJ","CB","?"))</f>
        <v> </v>
      </c>
      <c r="I3290" s="26" t="str">
        <f>IF(OR(E3290="",E3290="!!!",F3290="NEW"),"",INDEX(B3289:B$2,-1+SUMPRODUCT(MAX(ROW(E3289:E$2)*(E3290=E3289:E$2)))))</f>
        <v> </v>
      </c>
      <c r="J3290" s="26" t="str">
        <f>IF(OR(E3290="",E3290="!!!",F3290="NEW"),"",COUNTBLANK(OFFSET(A$1,,,SUMPRODUCT(MAX(ROW(E$2:E3290)*(E3290=E$2:E3290)))))-COUNTBLANK(OFFSET(A$1,,,SUMPRODUCT(MAX(ROW(E$1:E3289)*(E2=E$1:E3289))))))</f>
        <v> </v>
      </c>
      <c r="K3290" s="26" t="str">
        <f>IF(OR(E3290="",E3290="!!!",F3290="NEW"),"",INDEX(J$1:J3289,SUMPRODUCT(MAX(ROW(E$1:E3289)*(E3290=E$1:E3289)))))</f>
        <v> </v>
      </c>
      <c r="L3290" s="27"/>
    </row>
    <row r="3291" spans="1:12">
      <c r="A3291" s="20" t="s">
        <v>1929</v>
      </c>
      <c r="E3291" s="22">
        <f>IF(D3291="?OLD","!!!","")</f>
        <v/>
      </c>
      <c r="F3291" s="23" t="str">
        <f>IF(OR(E3291="",E3291="!!!"),"",IF(NOT(ISNA(VLOOKUP(E3291,E$1:E3290,1,FALSE()))),"OLD",IF(AND(E3291&lt;&gt;"",E3291&lt;&gt;"!!!"),"NEW","")))</f>
        <v> </v>
      </c>
      <c r="G3291" s="24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5" t="str">
        <f>IF(J3291&lt;&gt;1,"",IF(I3291="SBJ","CB","?"))</f>
        <v> </v>
      </c>
      <c r="I3291" s="26" t="str">
        <f>IF(OR(E3291="",E3291="!!!",F3291="NEW"),"",INDEX(B3290:B$2,-1+SUMPRODUCT(MAX(ROW(E3290:E$2)*(E3291=E3290:E$2)))))</f>
        <v> </v>
      </c>
      <c r="J3291" s="26" t="str">
        <f>IF(OR(E3291="",E3291="!!!",F3291="NEW"),"",COUNTBLANK(OFFSET(A$1,,,SUMPRODUCT(MAX(ROW(E$2:E3291)*(E3291=E$2:E3291)))))-COUNTBLANK(OFFSET(A$1,,,SUMPRODUCT(MAX(ROW(E$1:E3290)*(E2=E$1:E3290))))))</f>
        <v> </v>
      </c>
      <c r="K3291" s="26" t="str">
        <f>IF(OR(E3291="",E3291="!!!",F3291="NEW"),"",INDEX(J$1:J3290,SUMPRODUCT(MAX(ROW(E$1:E3290)*(E3291=E$1:E3290)))))</f>
        <v> </v>
      </c>
      <c r="L3291" s="27"/>
    </row>
    <row r="3292" spans="1:12">
      <c r="A3292" s="20" t="s">
        <v>1058</v>
      </c>
      <c r="E3292" s="22">
        <f>IF(D3292="?OLD","!!!","")</f>
        <v/>
      </c>
      <c r="F3292" s="23" t="str">
        <f>IF(OR(E3292="",E3292="!!!"),"",IF(NOT(ISNA(VLOOKUP(E3292,E$1:E3291,1,FALSE()))),"OLD",IF(AND(E3292&lt;&gt;"",E3292&lt;&gt;"!!!"),"NEW","")))</f>
        <v> </v>
      </c>
      <c r="G3292" s="24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5" t="str">
        <f>IF(J3292&lt;&gt;1,"",IF(I3292="SBJ","CB","?"))</f>
        <v> </v>
      </c>
      <c r="I3292" s="26" t="str">
        <f>IF(OR(E3292="",E3292="!!!",F3292="NEW"),"",INDEX(B3291:B$2,-1+SUMPRODUCT(MAX(ROW(E3291:E$2)*(E3292=E3291:E$2)))))</f>
        <v> </v>
      </c>
      <c r="J3292" s="26" t="str">
        <f>IF(OR(E3292="",E3292="!!!",F3292="NEW"),"",COUNTBLANK(OFFSET(A$1,,,SUMPRODUCT(MAX(ROW(E$2:E3292)*(E3292=E$2:E3292)))))-COUNTBLANK(OFFSET(A$1,,,SUMPRODUCT(MAX(ROW(E$1:E3291)*(E2=E$1:E3291))))))</f>
        <v> </v>
      </c>
      <c r="K3292" s="26" t="str">
        <f>IF(OR(E3292="",E3292="!!!",F3292="NEW"),"",INDEX(J$1:J3291,SUMPRODUCT(MAX(ROW(E$1:E3291)*(E3292=E$1:E3291)))))</f>
        <v> </v>
      </c>
      <c r="L3292" s="27"/>
    </row>
    <row r="3293" spans="1:12">
      <c r="A3293" s="20" t="s">
        <v>977</v>
      </c>
      <c r="E3293" s="22">
        <f>IF(D3293="?OLD","!!!","")</f>
        <v/>
      </c>
      <c r="F3293" s="23" t="str">
        <f>IF(OR(E3293="",E3293="!!!"),"",IF(NOT(ISNA(VLOOKUP(E3293,E$1:E3292,1,FALSE()))),"OLD",IF(AND(E3293&lt;&gt;"",E3293&lt;&gt;"!!!"),"NEW","")))</f>
        <v> </v>
      </c>
      <c r="G3293" s="24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5" t="str">
        <f>IF(J3293&lt;&gt;1,"",IF(I3293="SBJ","CB","?"))</f>
        <v> </v>
      </c>
      <c r="I3293" s="26" t="str">
        <f>IF(OR(E3293="",E3293="!!!",F3293="NEW"),"",INDEX(B3292:B$2,-1+SUMPRODUCT(MAX(ROW(E3292:E$2)*(E3293=E3292:E$2)))))</f>
        <v> </v>
      </c>
      <c r="J3293" s="26" t="str">
        <f>IF(OR(E3293="",E3293="!!!",F3293="NEW"),"",COUNTBLANK(OFFSET(A$1,,,SUMPRODUCT(MAX(ROW(E$2:E3293)*(E3293=E$2:E3293)))))-COUNTBLANK(OFFSET(A$1,,,SUMPRODUCT(MAX(ROW(E$1:E3292)*(E2=E$1:E3292))))))</f>
        <v> </v>
      </c>
      <c r="K3293" s="26" t="str">
        <f>IF(OR(E3293="",E3293="!!!",F3293="NEW"),"",INDEX(J$1:J3292,SUMPRODUCT(MAX(ROW(E$1:E3292)*(E3293=E$1:E3292)))))</f>
        <v> </v>
      </c>
      <c r="L3293" s="27"/>
    </row>
    <row r="3294" spans="1:12">
      <c r="A3294" s="20" t="s">
        <v>1094</v>
      </c>
      <c r="B3294" s="21" t="s">
        <v>975</v>
      </c>
      <c r="C3294" s="21" t="s">
        <v>983</v>
      </c>
      <c r="E3294" s="22">
        <f>IF(D3294="?OLD","!!!","")</f>
        <v/>
      </c>
      <c r="F3294" s="23" t="str">
        <f>IF(OR(E3294="",E3294="!!!"),"",IF(NOT(ISNA(VLOOKUP(E3294,E$1:E3293,1,FALSE()))),"OLD",IF(AND(E3294&lt;&gt;"",E3294&lt;&gt;"!!!"),"NEW","")))</f>
        <v> </v>
      </c>
      <c r="G3294" s="24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5" t="str">
        <f>IF(J3294&lt;&gt;1,"",IF(I3294="SBJ","CB","?"))</f>
        <v> </v>
      </c>
      <c r="I3294" s="26" t="str">
        <f>IF(OR(E3294="",E3294="!!!",F3294="NEW"),"",INDEX(B3293:B$2,-1+SUMPRODUCT(MAX(ROW(E3293:E$2)*(E3294=E3293:E$2)))))</f>
        <v> </v>
      </c>
      <c r="J3294" s="26" t="str">
        <f>IF(OR(E3294="",E3294="!!!",F3294="NEW"),"",COUNTBLANK(OFFSET(A$1,,,SUMPRODUCT(MAX(ROW(E$2:E3294)*(E3294=E$2:E3294)))))-COUNTBLANK(OFFSET(A$1,,,SUMPRODUCT(MAX(ROW(E$1:E3293)*(E2=E$1:E3293))))))</f>
        <v> </v>
      </c>
      <c r="K3294" s="26" t="str">
        <f>IF(OR(E3294="",E3294="!!!",F3294="NEW"),"",INDEX(J$1:J3293,SUMPRODUCT(MAX(ROW(E$1:E3293)*(E3294=E$1:E3293)))))</f>
        <v> </v>
      </c>
      <c r="L3294" s="27"/>
    </row>
    <row r="3295" spans="1:12">
      <c r="A3295" s="20" t="s">
        <v>965</v>
      </c>
      <c r="B3295" s="21" t="s">
        <v>1080</v>
      </c>
      <c r="E3295" s="22">
        <f>IF(D3295="?OLD","!!!","")</f>
        <v/>
      </c>
      <c r="F3295" s="23" t="str">
        <f>IF(OR(E3295="",E3295="!!!"),"",IF(NOT(ISNA(VLOOKUP(E3295,E$1:E3294,1,FALSE()))),"OLD",IF(AND(E3295&lt;&gt;"",E3295&lt;&gt;"!!!"),"NEW","")))</f>
        <v> </v>
      </c>
      <c r="G3295" s="24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5" t="str">
        <f>IF(J3295&lt;&gt;1,"",IF(I3295="SBJ","CB","?"))</f>
        <v> </v>
      </c>
      <c r="I3295" s="26" t="str">
        <f>IF(OR(E3295="",E3295="!!!",F3295="NEW"),"",INDEX(B3294:B$2,-1+SUMPRODUCT(MAX(ROW(E3294:E$2)*(E3295=E3294:E$2)))))</f>
        <v> </v>
      </c>
      <c r="J3295" s="26" t="str">
        <f>IF(OR(E3295="",E3295="!!!",F3295="NEW"),"",COUNTBLANK(OFFSET(A$1,,,SUMPRODUCT(MAX(ROW(E$2:E3295)*(E3295=E$2:E3295)))))-COUNTBLANK(OFFSET(A$1,,,SUMPRODUCT(MAX(ROW(E$1:E3294)*(E2=E$1:E3294))))))</f>
        <v> </v>
      </c>
      <c r="K3295" s="26" t="str">
        <f>IF(OR(E3295="",E3295="!!!",F3295="NEW"),"",INDEX(J$1:J3294,SUMPRODUCT(MAX(ROW(E$1:E3294)*(E3295=E$1:E3294)))))</f>
        <v> </v>
      </c>
      <c r="L3295" s="27"/>
    </row>
    <row r="3296" spans="1:12">
      <c r="A3296" s="20" t="s">
        <v>1930</v>
      </c>
      <c r="E3296" s="22">
        <f>IF(D3296="?OLD","!!!","")</f>
        <v/>
      </c>
      <c r="F3296" s="23" t="str">
        <f>IF(OR(E3296="",E3296="!!!"),"",IF(NOT(ISNA(VLOOKUP(E3296,E$1:E3295,1,FALSE()))),"OLD",IF(AND(E3296&lt;&gt;"",E3296&lt;&gt;"!!!"),"NEW","")))</f>
        <v> </v>
      </c>
      <c r="G3296" s="24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5" t="str">
        <f>IF(J3296&lt;&gt;1,"",IF(I3296="SBJ","CB","?"))</f>
        <v> </v>
      </c>
      <c r="I3296" s="26" t="str">
        <f>IF(OR(E3296="",E3296="!!!",F3296="NEW"),"",INDEX(B3295:B$2,-1+SUMPRODUCT(MAX(ROW(E3295:E$2)*(E3296=E3295:E$2)))))</f>
        <v> </v>
      </c>
      <c r="J3296" s="26" t="str">
        <f>IF(OR(E3296="",E3296="!!!",F3296="NEW"),"",COUNTBLANK(OFFSET(A$1,,,SUMPRODUCT(MAX(ROW(E$2:E3296)*(E3296=E$2:E3296)))))-COUNTBLANK(OFFSET(A$1,,,SUMPRODUCT(MAX(ROW(E$1:E3295)*(E2=E$1:E3295))))))</f>
        <v> </v>
      </c>
      <c r="K3296" s="26" t="str">
        <f>IF(OR(E3296="",E3296="!!!",F3296="NEW"),"",INDEX(J$1:J3295,SUMPRODUCT(MAX(ROW(E$1:E3295)*(E3296=E$1:E3295)))))</f>
        <v> </v>
      </c>
      <c r="L3296" s="27"/>
    </row>
    <row r="3297" spans="1:12">
      <c r="A3297" s="20" t="s">
        <v>1168</v>
      </c>
      <c r="E3297" s="22">
        <f>IF(D3297="?OLD","!!!","")</f>
        <v/>
      </c>
      <c r="F3297" s="23" t="str">
        <f>IF(OR(E3297="",E3297="!!!"),"",IF(NOT(ISNA(VLOOKUP(E3297,E$1:E3296,1,FALSE()))),"OLD",IF(AND(E3297&lt;&gt;"",E3297&lt;&gt;"!!!"),"NEW","")))</f>
        <v> </v>
      </c>
      <c r="G3297" s="24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5" t="str">
        <f>IF(J3297&lt;&gt;1,"",IF(I3297="SBJ","CB","?"))</f>
        <v> </v>
      </c>
      <c r="I3297" s="26" t="str">
        <f>IF(OR(E3297="",E3297="!!!",F3297="NEW"),"",INDEX(B3296:B$2,-1+SUMPRODUCT(MAX(ROW(E3296:E$2)*(E3297=E3296:E$2)))))</f>
        <v> </v>
      </c>
      <c r="J3297" s="26" t="str">
        <f>IF(OR(E3297="",E3297="!!!",F3297="NEW"),"",COUNTBLANK(OFFSET(A$1,,,SUMPRODUCT(MAX(ROW(E$2:E3297)*(E3297=E$2:E3297)))))-COUNTBLANK(OFFSET(A$1,,,SUMPRODUCT(MAX(ROW(E$1:E3296)*(E2=E$1:E3296))))))</f>
        <v> </v>
      </c>
      <c r="K3297" s="26" t="str">
        <f>IF(OR(E3297="",E3297="!!!",F3297="NEW"),"",INDEX(J$1:J3296,SUMPRODUCT(MAX(ROW(E$1:E3296)*(E3297=E$1:E3296)))))</f>
        <v> </v>
      </c>
      <c r="L3297" s="27"/>
    </row>
    <row r="3298" spans="1:12">
      <c r="A3298" s="20" t="s">
        <v>1681</v>
      </c>
      <c r="B3298" s="21" t="s">
        <v>982</v>
      </c>
      <c r="C3298" s="21" t="s">
        <v>983</v>
      </c>
      <c r="E3298" s="22">
        <f>IF(D3298="?OLD","!!!","")</f>
        <v/>
      </c>
      <c r="F3298" s="23" t="str">
        <f>IF(OR(E3298="",E3298="!!!"),"",IF(NOT(ISNA(VLOOKUP(E3298,E$1:E3297,1,FALSE()))),"OLD",IF(AND(E3298&lt;&gt;"",E3298&lt;&gt;"!!!"),"NEW","")))</f>
        <v> </v>
      </c>
      <c r="G3298" s="24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5" t="str">
        <f>IF(J3298&lt;&gt;1,"",IF(I3298="SBJ","CB","?"))</f>
        <v> </v>
      </c>
      <c r="I3298" s="26" t="str">
        <f>IF(OR(E3298="",E3298="!!!",F3298="NEW"),"",INDEX(B3297:B$2,-1+SUMPRODUCT(MAX(ROW(E3297:E$2)*(E3298=E3297:E$2)))))</f>
        <v> </v>
      </c>
      <c r="J3298" s="26" t="str">
        <f>IF(OR(E3298="",E3298="!!!",F3298="NEW"),"",COUNTBLANK(OFFSET(A$1,,,SUMPRODUCT(MAX(ROW(E$2:E3298)*(E3298=E$2:E3298)))))-COUNTBLANK(OFFSET(A$1,,,SUMPRODUCT(MAX(ROW(E$1:E3297)*(E2=E$1:E3297))))))</f>
        <v> </v>
      </c>
      <c r="K3298" s="26" t="str">
        <f>IF(OR(E3298="",E3298="!!!",F3298="NEW"),"",INDEX(J$1:J3297,SUMPRODUCT(MAX(ROW(E$1:E3297)*(E3298=E$1:E3297)))))</f>
        <v> </v>
      </c>
      <c r="L3298" s="27"/>
    </row>
    <row r="3299" spans="1:12">
      <c r="A3299" s="20" t="s">
        <v>1682</v>
      </c>
      <c r="E3299" s="22">
        <f>IF(D3299="?OLD","!!!","")</f>
        <v/>
      </c>
      <c r="F3299" s="23" t="str">
        <f>IF(OR(E3299="",E3299="!!!"),"",IF(NOT(ISNA(VLOOKUP(E3299,E$1:E3298,1,FALSE()))),"OLD",IF(AND(E3299&lt;&gt;"",E3299&lt;&gt;"!!!"),"NEW","")))</f>
        <v> </v>
      </c>
      <c r="G3299" s="24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5" t="str">
        <f>IF(J3299&lt;&gt;1,"",IF(I3299="SBJ","CB","?"))</f>
        <v> </v>
      </c>
      <c r="I3299" s="26" t="str">
        <f>IF(OR(E3299="",E3299="!!!",F3299="NEW"),"",INDEX(B3298:B$2,-1+SUMPRODUCT(MAX(ROW(E3298:E$2)*(E3299=E3298:E$2)))))</f>
        <v> </v>
      </c>
      <c r="J3299" s="26" t="str">
        <f>IF(OR(E3299="",E3299="!!!",F3299="NEW"),"",COUNTBLANK(OFFSET(A$1,,,SUMPRODUCT(MAX(ROW(E$2:E3299)*(E3299=E$2:E3299)))))-COUNTBLANK(OFFSET(A$1,,,SUMPRODUCT(MAX(ROW(E$1:E3298)*(E2=E$1:E3298))))))</f>
        <v> </v>
      </c>
      <c r="K3299" s="26" t="str">
        <f>IF(OR(E3299="",E3299="!!!",F3299="NEW"),"",INDEX(J$1:J3298,SUMPRODUCT(MAX(ROW(E$1:E3298)*(E3299=E$1:E3298)))))</f>
        <v> </v>
      </c>
      <c r="L3299" s="27"/>
    </row>
    <row r="3300" spans="1:12">
      <c r="A3300" s="20" t="s">
        <v>1000</v>
      </c>
      <c r="E3300" s="22">
        <f>IF(D3300="?OLD","!!!","")</f>
        <v/>
      </c>
      <c r="F3300" s="23" t="str">
        <f>IF(OR(E3300="",E3300="!!!"),"",IF(NOT(ISNA(VLOOKUP(E3300,E$1:E3299,1,FALSE()))),"OLD",IF(AND(E3300&lt;&gt;"",E3300&lt;&gt;"!!!"),"NEW","")))</f>
        <v> </v>
      </c>
      <c r="G3300" s="24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5" t="str">
        <f>IF(J3300&lt;&gt;1,"",IF(I3300="SBJ","CB","?"))</f>
        <v> </v>
      </c>
      <c r="I3300" s="26" t="str">
        <f>IF(OR(E3300="",E3300="!!!",F3300="NEW"),"",INDEX(B3299:B$2,-1+SUMPRODUCT(MAX(ROW(E3299:E$2)*(E3300=E3299:E$2)))))</f>
        <v> </v>
      </c>
      <c r="J3300" s="26" t="str">
        <f>IF(OR(E3300="",E3300="!!!",F3300="NEW"),"",COUNTBLANK(OFFSET(A$1,,,SUMPRODUCT(MAX(ROW(E$2:E3300)*(E3300=E$2:E3300)))))-COUNTBLANK(OFFSET(A$1,,,SUMPRODUCT(MAX(ROW(E$1:E3299)*(E2=E$1:E3299))))))</f>
        <v> </v>
      </c>
      <c r="K3300" s="26" t="str">
        <f>IF(OR(E3300="",E3300="!!!",F3300="NEW"),"",INDEX(J$1:J3299,SUMPRODUCT(MAX(ROW(E$1:E3299)*(E3300=E$1:E3299)))))</f>
        <v> </v>
      </c>
      <c r="L3300" s="27"/>
    </row>
    <row r="3301" spans="1:12">
      <c r="A3301" s="20" t="s">
        <v>1001</v>
      </c>
      <c r="E3301" s="22">
        <f>IF(D3301="?OLD","!!!","")</f>
        <v/>
      </c>
      <c r="F3301" s="23" t="str">
        <f>IF(OR(E3301="",E3301="!!!"),"",IF(NOT(ISNA(VLOOKUP(E3301,E$1:E3300,1,FALSE()))),"OLD",IF(AND(E3301&lt;&gt;"",E3301&lt;&gt;"!!!"),"NEW","")))</f>
        <v> </v>
      </c>
      <c r="G3301" s="24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5" t="str">
        <f>IF(J3301&lt;&gt;1,"",IF(I3301="SBJ","CB","?"))</f>
        <v> </v>
      </c>
      <c r="I3301" s="26" t="str">
        <f>IF(OR(E3301="",E3301="!!!",F3301="NEW"),"",INDEX(B3300:B$2,-1+SUMPRODUCT(MAX(ROW(E3300:E$2)*(E3301=E3300:E$2)))))</f>
        <v> </v>
      </c>
      <c r="J3301" s="26" t="str">
        <f>IF(OR(E3301="",E3301="!!!",F3301="NEW"),"",COUNTBLANK(OFFSET(A$1,,,SUMPRODUCT(MAX(ROW(E$2:E3301)*(E3301=E$2:E3301)))))-COUNTBLANK(OFFSET(A$1,,,SUMPRODUCT(MAX(ROW(E$1:E3300)*(E2=E$1:E3300))))))</f>
        <v> </v>
      </c>
      <c r="K3301" s="26" t="str">
        <f>IF(OR(E3301="",E3301="!!!",F3301="NEW"),"",INDEX(J$1:J3300,SUMPRODUCT(MAX(ROW(E$1:E3300)*(E3301=E$1:E3300)))))</f>
        <v> </v>
      </c>
      <c r="L3301" s="27"/>
    </row>
    <row r="3302" spans="1:12">
      <c r="A3302" s="20" t="s">
        <v>1921</v>
      </c>
      <c r="E3302" s="22">
        <f>IF(D3302="?OLD","!!!","")</f>
        <v/>
      </c>
      <c r="F3302" s="23" t="str">
        <f>IF(OR(E3302="",E3302="!!!"),"",IF(NOT(ISNA(VLOOKUP(E3302,E$1:E3301,1,FALSE()))),"OLD",IF(AND(E3302&lt;&gt;"",E3302&lt;&gt;"!!!"),"NEW","")))</f>
        <v> </v>
      </c>
      <c r="G3302" s="24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5" t="str">
        <f>IF(J3302&lt;&gt;1,"",IF(I3302="SBJ","CB","?"))</f>
        <v> </v>
      </c>
      <c r="I3302" s="26" t="str">
        <f>IF(OR(E3302="",E3302="!!!",F3302="NEW"),"",INDEX(B3301:B$2,-1+SUMPRODUCT(MAX(ROW(E3301:E$2)*(E3302=E3301:E$2)))))</f>
        <v> </v>
      </c>
      <c r="J3302" s="26" t="str">
        <f>IF(OR(E3302="",E3302="!!!",F3302="NEW"),"",COUNTBLANK(OFFSET(A$1,,,SUMPRODUCT(MAX(ROW(E$2:E3302)*(E3302=E$2:E3302)))))-COUNTBLANK(OFFSET(A$1,,,SUMPRODUCT(MAX(ROW(E$1:E3301)*(E2=E$1:E3301))))))</f>
        <v> </v>
      </c>
      <c r="K3302" s="26" t="str">
        <f>IF(OR(E3302="",E3302="!!!",F3302="NEW"),"",INDEX(J$1:J3301,SUMPRODUCT(MAX(ROW(E$1:E3301)*(E3302=E$1:E3301)))))</f>
        <v> </v>
      </c>
      <c r="L3302" s="27"/>
    </row>
    <row r="3303" spans="1:12">
      <c r="A3303" s="20" t="s">
        <v>1931</v>
      </c>
      <c r="E3303" s="22">
        <f>IF(D3303="?OLD","!!!","")</f>
        <v/>
      </c>
      <c r="F3303" s="23" t="str">
        <f>IF(OR(E3303="",E3303="!!!"),"",IF(NOT(ISNA(VLOOKUP(E3303,E$1:E3302,1,FALSE()))),"OLD",IF(AND(E3303&lt;&gt;"",E3303&lt;&gt;"!!!"),"NEW","")))</f>
        <v> </v>
      </c>
      <c r="G3303" s="24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5" t="str">
        <f>IF(J3303&lt;&gt;1,"",IF(I3303="SBJ","CB","?"))</f>
        <v> </v>
      </c>
      <c r="I3303" s="26" t="str">
        <f>IF(OR(E3303="",E3303="!!!",F3303="NEW"),"",INDEX(B3302:B$2,-1+SUMPRODUCT(MAX(ROW(E3302:E$2)*(E3303=E3302:E$2)))))</f>
        <v> </v>
      </c>
      <c r="J3303" s="26" t="str">
        <f>IF(OR(E3303="",E3303="!!!",F3303="NEW"),"",COUNTBLANK(OFFSET(A$1,,,SUMPRODUCT(MAX(ROW(E$2:E3303)*(E3303=E$2:E3303)))))-COUNTBLANK(OFFSET(A$1,,,SUMPRODUCT(MAX(ROW(E$1:E3302)*(E2=E$1:E3302))))))</f>
        <v> </v>
      </c>
      <c r="K3303" s="26" t="str">
        <f>IF(OR(E3303="",E3303="!!!",F3303="NEW"),"",INDEX(J$1:J3302,SUMPRODUCT(MAX(ROW(E$1:E3302)*(E3303=E$1:E3302)))))</f>
        <v> </v>
      </c>
      <c r="L3303" s="27"/>
    </row>
    <row r="3304" spans="1:12">
      <c r="A3304" s="20" t="s">
        <v>1168</v>
      </c>
      <c r="E3304" s="22">
        <f>IF(D3304="?OLD","!!!","")</f>
        <v/>
      </c>
      <c r="F3304" s="23" t="str">
        <f>IF(OR(E3304="",E3304="!!!"),"",IF(NOT(ISNA(VLOOKUP(E3304,E$1:E3303,1,FALSE()))),"OLD",IF(AND(E3304&lt;&gt;"",E3304&lt;&gt;"!!!"),"NEW","")))</f>
        <v> </v>
      </c>
      <c r="G3304" s="24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5" t="str">
        <f>IF(J3304&lt;&gt;1,"",IF(I3304="SBJ","CB","?"))</f>
        <v> </v>
      </c>
      <c r="I3304" s="26" t="str">
        <f>IF(OR(E3304="",E3304="!!!",F3304="NEW"),"",INDEX(B3303:B$2,-1+SUMPRODUCT(MAX(ROW(E3303:E$2)*(E3304=E3303:E$2)))))</f>
        <v> </v>
      </c>
      <c r="J3304" s="26" t="str">
        <f>IF(OR(E3304="",E3304="!!!",F3304="NEW"),"",COUNTBLANK(OFFSET(A$1,,,SUMPRODUCT(MAX(ROW(E$2:E3304)*(E3304=E$2:E3304)))))-COUNTBLANK(OFFSET(A$1,,,SUMPRODUCT(MAX(ROW(E$1:E3303)*(E2=E$1:E3303))))))</f>
        <v> </v>
      </c>
      <c r="K3304" s="26" t="str">
        <f>IF(OR(E3304="",E3304="!!!",F3304="NEW"),"",INDEX(J$1:J3303,SUMPRODUCT(MAX(ROW(E$1:E3303)*(E3304=E$1:E3303)))))</f>
        <v> </v>
      </c>
      <c r="L3304" s="27"/>
    </row>
    <row r="3305" spans="1:12">
      <c r="A3305" s="20" t="s">
        <v>1098</v>
      </c>
      <c r="B3305" s="21" t="s">
        <v>1082</v>
      </c>
      <c r="C3305" s="21" t="s">
        <v>1008</v>
      </c>
      <c r="D3305" s="21" t="s">
        <v>950</v>
      </c>
      <c r="E3305" s="22">
        <f>IF(D3305="?OLD","!!!","")</f>
        <v/>
      </c>
      <c r="F3305" s="23" t="str">
        <f>IF(OR(E3305="",E3305="!!!"),"",IF(NOT(ISNA(VLOOKUP(E3305,E$1:E3304,1,FALSE()))),"OLD",IF(AND(E3305&lt;&gt;"",E3305&lt;&gt;"!!!"),"NEW","")))</f>
        <v> </v>
      </c>
      <c r="G3305" s="24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5" t="str">
        <f>IF(J3305&lt;&gt;1,"",IF(I3305="SBJ","CB","?"))</f>
        <v> </v>
      </c>
      <c r="I3305" s="26" t="str">
        <f>IF(OR(E3305="",E3305="!!!",F3305="NEW"),"",INDEX(B3304:B$2,-1+SUMPRODUCT(MAX(ROW(E3304:E$2)*(E3305=E3304:E$2)))))</f>
        <v> </v>
      </c>
      <c r="J3305" s="26" t="str">
        <f>IF(OR(E3305="",E3305="!!!",F3305="NEW"),"",COUNTBLANK(OFFSET(A$1,,,SUMPRODUCT(MAX(ROW(E$2:E3305)*(E3305=E$2:E3305)))))-COUNTBLANK(OFFSET(A$1,,,SUMPRODUCT(MAX(ROW(E$1:E3304)*(E2=E$1:E3304))))))</f>
        <v> </v>
      </c>
      <c r="K3305" s="26" t="str">
        <f>IF(OR(E3305="",E3305="!!!",F3305="NEW"),"",INDEX(J$1:J3304,SUMPRODUCT(MAX(ROW(E$1:E3304)*(E3305=E$1:E3304)))))</f>
        <v> </v>
      </c>
      <c r="L3305" s="27"/>
    </row>
    <row r="3306" spans="1:12">
      <c r="A3306" s="20" t="s">
        <v>1000</v>
      </c>
      <c r="E3306" s="22">
        <f>IF(D3306="?OLD","!!!","")</f>
        <v/>
      </c>
      <c r="F3306" s="23" t="str">
        <f>IF(OR(E3306="",E3306="!!!"),"",IF(NOT(ISNA(VLOOKUP(E3306,E$1:E3305,1,FALSE()))),"OLD",IF(AND(E3306&lt;&gt;"",E3306&lt;&gt;"!!!"),"NEW","")))</f>
        <v> </v>
      </c>
      <c r="G3306" s="24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5" t="str">
        <f>IF(J3306&lt;&gt;1,"",IF(I3306="SBJ","CB","?"))</f>
        <v> </v>
      </c>
      <c r="I3306" s="26" t="str">
        <f>IF(OR(E3306="",E3306="!!!",F3306="NEW"),"",INDEX(B3305:B$2,-1+SUMPRODUCT(MAX(ROW(E3305:E$2)*(E3306=E3305:E$2)))))</f>
        <v> </v>
      </c>
      <c r="J3306" s="26" t="str">
        <f>IF(OR(E3306="",E3306="!!!",F3306="NEW"),"",COUNTBLANK(OFFSET(A$1,,,SUMPRODUCT(MAX(ROW(E$2:E3306)*(E3306=E$2:E3306)))))-COUNTBLANK(OFFSET(A$1,,,SUMPRODUCT(MAX(ROW(E$1:E3305)*(E2=E$1:E3305))))))</f>
        <v> </v>
      </c>
      <c r="K3306" s="26" t="str">
        <f>IF(OR(E3306="",E3306="!!!",F3306="NEW"),"",INDEX(J$1:J3305,SUMPRODUCT(MAX(ROW(E$1:E3305)*(E3306=E$1:E3305)))))</f>
        <v> </v>
      </c>
      <c r="L3306" s="27"/>
    </row>
    <row r="3307" spans="1:12">
      <c r="A3307" s="20" t="s">
        <v>1001</v>
      </c>
      <c r="E3307" s="22">
        <f>IF(D3307="?OLD","!!!","")</f>
        <v/>
      </c>
      <c r="F3307" s="23" t="str">
        <f>IF(OR(E3307="",E3307="!!!"),"",IF(NOT(ISNA(VLOOKUP(E3307,E$1:E3306,1,FALSE()))),"OLD",IF(AND(E3307&lt;&gt;"",E3307&lt;&gt;"!!!"),"NEW","")))</f>
        <v> </v>
      </c>
      <c r="G3307" s="24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5" t="str">
        <f>IF(J3307&lt;&gt;1,"",IF(I3307="SBJ","CB","?"))</f>
        <v> </v>
      </c>
      <c r="I3307" s="26" t="str">
        <f>IF(OR(E3307="",E3307="!!!",F3307="NEW"),"",INDEX(B3306:B$2,-1+SUMPRODUCT(MAX(ROW(E3306:E$2)*(E3307=E3306:E$2)))))</f>
        <v> </v>
      </c>
      <c r="J3307" s="26" t="str">
        <f>IF(OR(E3307="",E3307="!!!",F3307="NEW"),"",COUNTBLANK(OFFSET(A$1,,,SUMPRODUCT(MAX(ROW(E$2:E3307)*(E3307=E$2:E3307)))))-COUNTBLANK(OFFSET(A$1,,,SUMPRODUCT(MAX(ROW(E$1:E3306)*(E2=E$1:E3306))))))</f>
        <v> </v>
      </c>
      <c r="K3307" s="26" t="str">
        <f>IF(OR(E3307="",E3307="!!!",F3307="NEW"),"",INDEX(J$1:J3306,SUMPRODUCT(MAX(ROW(E$1:E3306)*(E3307=E$1:E3306)))))</f>
        <v> </v>
      </c>
      <c r="L3307" s="27"/>
    </row>
    <row r="3308" spans="1:12">
      <c r="A3308" s="20" t="s">
        <v>1626</v>
      </c>
      <c r="E3308" s="22">
        <f>IF(D3308="?OLD","!!!","")</f>
        <v/>
      </c>
      <c r="F3308" s="23" t="str">
        <f>IF(OR(E3308="",E3308="!!!"),"",IF(NOT(ISNA(VLOOKUP(E3308,E$1:E3307,1,FALSE()))),"OLD",IF(AND(E3308&lt;&gt;"",E3308&lt;&gt;"!!!"),"NEW","")))</f>
        <v> </v>
      </c>
      <c r="G3308" s="24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5" t="str">
        <f>IF(J3308&lt;&gt;1,"",IF(I3308="SBJ","CB","?"))</f>
        <v> </v>
      </c>
      <c r="I3308" s="26" t="str">
        <f>IF(OR(E3308="",E3308="!!!",F3308="NEW"),"",INDEX(B3307:B$2,-1+SUMPRODUCT(MAX(ROW(E3307:E$2)*(E3308=E3307:E$2)))))</f>
        <v> </v>
      </c>
      <c r="J3308" s="26" t="str">
        <f>IF(OR(E3308="",E3308="!!!",F3308="NEW"),"",COUNTBLANK(OFFSET(A$1,,,SUMPRODUCT(MAX(ROW(E$2:E3308)*(E3308=E$2:E3308)))))-COUNTBLANK(OFFSET(A$1,,,SUMPRODUCT(MAX(ROW(E$1:E3307)*(E2=E$1:E3307))))))</f>
        <v> </v>
      </c>
      <c r="K3308" s="26" t="str">
        <f>IF(OR(E3308="",E3308="!!!",F3308="NEW"),"",INDEX(J$1:J3307,SUMPRODUCT(MAX(ROW(E$1:E3307)*(E3308=E$1:E3307)))))</f>
        <v> </v>
      </c>
      <c r="L3308" s="27"/>
    </row>
    <row r="3309" spans="1:12">
      <c r="A3309" s="20" t="s">
        <v>1048</v>
      </c>
      <c r="E3309" s="22">
        <f>IF(D3309="?OLD","!!!","")</f>
        <v/>
      </c>
      <c r="F3309" s="23" t="str">
        <f>IF(OR(E3309="",E3309="!!!"),"",IF(NOT(ISNA(VLOOKUP(E3309,E$1:E3308,1,FALSE()))),"OLD",IF(AND(E3309&lt;&gt;"",E3309&lt;&gt;"!!!"),"NEW","")))</f>
        <v> </v>
      </c>
      <c r="G3309" s="24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5" t="str">
        <f>IF(J3309&lt;&gt;1,"",IF(I3309="SBJ","CB","?"))</f>
        <v> </v>
      </c>
      <c r="I3309" s="26" t="str">
        <f>IF(OR(E3309="",E3309="!!!",F3309="NEW"),"",INDEX(B3308:B$2,-1+SUMPRODUCT(MAX(ROW(E3308:E$2)*(E3309=E3308:E$2)))))</f>
        <v> </v>
      </c>
      <c r="J3309" s="26" t="str">
        <f>IF(OR(E3309="",E3309="!!!",F3309="NEW"),"",COUNTBLANK(OFFSET(A$1,,,SUMPRODUCT(MAX(ROW(E$2:E3309)*(E3309=E$2:E3309)))))-COUNTBLANK(OFFSET(A$1,,,SUMPRODUCT(MAX(ROW(E$1:E3308)*(E2=E$1:E3308))))))</f>
        <v> </v>
      </c>
      <c r="K3309" s="26" t="str">
        <f>IF(OR(E3309="",E3309="!!!",F3309="NEW"),"",INDEX(J$1:J3308,SUMPRODUCT(MAX(ROW(E$1:E3308)*(E3309=E$1:E3308)))))</f>
        <v> </v>
      </c>
      <c r="L3309" s="27"/>
    </row>
    <row r="3310" spans="1:12">
      <c r="A3310" s="20" t="s">
        <v>1049</v>
      </c>
      <c r="B3310" s="21" t="s">
        <v>1082</v>
      </c>
      <c r="C3310" s="21" t="s">
        <v>1051</v>
      </c>
      <c r="E3310" s="22">
        <f>IF(D3310="?OLD","!!!","")</f>
        <v/>
      </c>
      <c r="F3310" s="23" t="str">
        <f>IF(OR(E3310="",E3310="!!!"),"",IF(NOT(ISNA(VLOOKUP(E3310,E$1:E3309,1,FALSE()))),"OLD",IF(AND(E3310&lt;&gt;"",E3310&lt;&gt;"!!!"),"NEW","")))</f>
        <v> </v>
      </c>
      <c r="G3310" s="24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5" t="str">
        <f>IF(J3310&lt;&gt;1,"",IF(I3310="SBJ","CB","?"))</f>
        <v> </v>
      </c>
      <c r="I3310" s="26" t="str">
        <f>IF(OR(E3310="",E3310="!!!",F3310="NEW"),"",INDEX(B3309:B$2,-1+SUMPRODUCT(MAX(ROW(E3309:E$2)*(E3310=E3309:E$2)))))</f>
        <v> </v>
      </c>
      <c r="J3310" s="26" t="str">
        <f>IF(OR(E3310="",E3310="!!!",F3310="NEW"),"",COUNTBLANK(OFFSET(A$1,,,SUMPRODUCT(MAX(ROW(E$2:E3310)*(E3310=E$2:E3310)))))-COUNTBLANK(OFFSET(A$1,,,SUMPRODUCT(MAX(ROW(E$1:E3309)*(E2=E$1:E3309))))))</f>
        <v> </v>
      </c>
      <c r="K3310" s="26" t="str">
        <f>IF(OR(E3310="",E3310="!!!",F3310="NEW"),"",INDEX(J$1:J3309,SUMPRODUCT(MAX(ROW(E$1:E3309)*(E3310=E$1:E3309)))))</f>
        <v> </v>
      </c>
      <c r="L3310" s="27"/>
    </row>
    <row r="3311" spans="1:12">
      <c r="A3311" s="20" t="s">
        <v>308</v>
      </c>
      <c r="E3311" s="22">
        <f>IF(D3311="?OLD","!!!","")</f>
        <v/>
      </c>
      <c r="F3311" s="23" t="str">
        <f>IF(OR(E3311="",E3311="!!!"),"",IF(NOT(ISNA(VLOOKUP(E3311,E$1:E3310,1,FALSE()))),"OLD",IF(AND(E3311&lt;&gt;"",E3311&lt;&gt;"!!!"),"NEW","")))</f>
        <v> </v>
      </c>
      <c r="G3311" s="24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5" t="str">
        <f>IF(J3311&lt;&gt;1,"",IF(I3311="SBJ","CB","?"))</f>
        <v> </v>
      </c>
      <c r="I3311" s="26" t="str">
        <f>IF(OR(E3311="",E3311="!!!",F3311="NEW"),"",INDEX(B3310:B$2,-1+SUMPRODUCT(MAX(ROW(E3310:E$2)*(E3311=E3310:E$2)))))</f>
        <v> </v>
      </c>
      <c r="J3311" s="26" t="str">
        <f>IF(OR(E3311="",E3311="!!!",F3311="NEW"),"",COUNTBLANK(OFFSET(A$1,,,SUMPRODUCT(MAX(ROW(E$2:E3311)*(E3311=E$2:E3311)))))-COUNTBLANK(OFFSET(A$1,,,SUMPRODUCT(MAX(ROW(E$1:E3310)*(E2=E$1:E3310))))))</f>
        <v> </v>
      </c>
      <c r="K3311" s="26" t="str">
        <f>IF(OR(E3311="",E3311="!!!",F3311="NEW"),"",INDEX(J$1:J3310,SUMPRODUCT(MAX(ROW(E$1:E3310)*(E3311=E$1:E3310)))))</f>
        <v> </v>
      </c>
      <c r="L3311" s="27"/>
    </row>
    <row r="3312" spans="1:12">
      <c r="A3312" s="20" t="s">
        <v>1287</v>
      </c>
      <c r="E3312" s="22">
        <f>IF(D3312="?OLD","!!!","")</f>
        <v/>
      </c>
      <c r="F3312" s="23" t="str">
        <f>IF(OR(E3312="",E3312="!!!"),"",IF(NOT(ISNA(VLOOKUP(E3312,E$1:E3311,1,FALSE()))),"OLD",IF(AND(E3312&lt;&gt;"",E3312&lt;&gt;"!!!"),"NEW","")))</f>
        <v> </v>
      </c>
      <c r="G3312" s="24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5" t="str">
        <f>IF(J3312&lt;&gt;1,"",IF(I3312="SBJ","CB","?"))</f>
        <v> </v>
      </c>
      <c r="I3312" s="26" t="str">
        <f>IF(OR(E3312="",E3312="!!!",F3312="NEW"),"",INDEX(B3311:B$2,-1+SUMPRODUCT(MAX(ROW(E3311:E$2)*(E3312=E3311:E$2)))))</f>
        <v> </v>
      </c>
      <c r="J3312" s="26" t="str">
        <f>IF(OR(E3312="",E3312="!!!",F3312="NEW"),"",COUNTBLANK(OFFSET(A$1,,,SUMPRODUCT(MAX(ROW(E$2:E3312)*(E3312=E$2:E3312)))))-COUNTBLANK(OFFSET(A$1,,,SUMPRODUCT(MAX(ROW(E$1:E3311)*(E2=E$1:E3311))))))</f>
        <v> </v>
      </c>
      <c r="K3312" s="26" t="str">
        <f>IF(OR(E3312="",E3312="!!!",F3312="NEW"),"",INDEX(J$1:J3311,SUMPRODUCT(MAX(ROW(E$1:E3311)*(E3312=E$1:E3311)))))</f>
        <v> </v>
      </c>
      <c r="L3312" s="27"/>
    </row>
    <row r="3313" spans="1:12">
      <c r="A3313" s="20" t="s">
        <v>1932</v>
      </c>
      <c r="B3313" s="21" t="s">
        <v>1053</v>
      </c>
      <c r="C3313" s="21" t="s">
        <v>1044</v>
      </c>
      <c r="D3313" s="21" t="s">
        <v>950</v>
      </c>
      <c r="E3313" s="22">
        <f>IF(D3313="?OLD","!!!","")</f>
        <v/>
      </c>
      <c r="F3313" s="23" t="str">
        <f>IF(OR(E3313="",E3313="!!!"),"",IF(NOT(ISNA(VLOOKUP(E3313,E$1:E3312,1,FALSE()))),"OLD",IF(AND(E3313&lt;&gt;"",E3313&lt;&gt;"!!!"),"NEW","")))</f>
        <v> </v>
      </c>
      <c r="G3313" s="24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5" t="str">
        <f>IF(J3313&lt;&gt;1,"",IF(I3313="SBJ","CB","?"))</f>
        <v> </v>
      </c>
      <c r="I3313" s="26" t="str">
        <f>IF(OR(E3313="",E3313="!!!",F3313="NEW"),"",INDEX(B3312:B$2,-1+SUMPRODUCT(MAX(ROW(E3312:E$2)*(E3313=E3312:E$2)))))</f>
        <v> </v>
      </c>
      <c r="J3313" s="26" t="str">
        <f>IF(OR(E3313="",E3313="!!!",F3313="NEW"),"",COUNTBLANK(OFFSET(A$1,,,SUMPRODUCT(MAX(ROW(E$2:E3313)*(E3313=E$2:E3313)))))-COUNTBLANK(OFFSET(A$1,,,SUMPRODUCT(MAX(ROW(E$1:E3312)*(E2=E$1:E3312))))))</f>
        <v> </v>
      </c>
      <c r="K3313" s="26" t="str">
        <f>IF(OR(E3313="",E3313="!!!",F3313="NEW"),"",INDEX(J$1:J3312,SUMPRODUCT(MAX(ROW(E$1:E3312)*(E3313=E$1:E3312)))))</f>
        <v> </v>
      </c>
      <c r="L3313" s="27"/>
    </row>
    <row r="3314" spans="1:12">
      <c r="A3314" s="20" t="s">
        <v>1075</v>
      </c>
      <c r="E3314" s="22">
        <f>IF(D3314="?OLD","!!!","")</f>
        <v/>
      </c>
      <c r="F3314" s="23" t="str">
        <f>IF(OR(E3314="",E3314="!!!"),"",IF(NOT(ISNA(VLOOKUP(E3314,E$1:E3313,1,FALSE()))),"OLD",IF(AND(E3314&lt;&gt;"",E3314&lt;&gt;"!!!"),"NEW","")))</f>
        <v> </v>
      </c>
      <c r="G3314" s="24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5" t="str">
        <f>IF(J3314&lt;&gt;1,"",IF(I3314="SBJ","CB","?"))</f>
        <v> </v>
      </c>
      <c r="I3314" s="26" t="str">
        <f>IF(OR(E3314="",E3314="!!!",F3314="NEW"),"",INDEX(B3313:B$2,-1+SUMPRODUCT(MAX(ROW(E3313:E$2)*(E3314=E3313:E$2)))))</f>
        <v> </v>
      </c>
      <c r="J3314" s="26" t="str">
        <f>IF(OR(E3314="",E3314="!!!",F3314="NEW"),"",COUNTBLANK(OFFSET(A$1,,,SUMPRODUCT(MAX(ROW(E$2:E3314)*(E3314=E$2:E3314)))))-COUNTBLANK(OFFSET(A$1,,,SUMPRODUCT(MAX(ROW(E$1:E3313)*(E2=E$1:E3313))))))</f>
        <v> </v>
      </c>
      <c r="K3314" s="26" t="str">
        <f>IF(OR(E3314="",E3314="!!!",F3314="NEW"),"",INDEX(J$1:J3313,SUMPRODUCT(MAX(ROW(E$1:E3313)*(E3314=E$1:E3313)))))</f>
        <v> </v>
      </c>
      <c r="L3314" s="27"/>
    </row>
    <row r="3315" spans="1:12">
      <c r="A3315" s="20" t="s">
        <v>1933</v>
      </c>
      <c r="B3315" s="21" t="s">
        <v>1007</v>
      </c>
      <c r="C3315" s="21" t="s">
        <v>983</v>
      </c>
      <c r="E3315" s="22">
        <f>IF(D3315="?OLD","!!!","")</f>
        <v/>
      </c>
      <c r="F3315" s="23" t="str">
        <f>IF(OR(E3315="",E3315="!!!"),"",IF(NOT(ISNA(VLOOKUP(E3315,E$1:E3314,1,FALSE()))),"OLD",IF(AND(E3315&lt;&gt;"",E3315&lt;&gt;"!!!"),"NEW","")))</f>
        <v> </v>
      </c>
      <c r="G3315" s="24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5" t="str">
        <f>IF(J3315&lt;&gt;1,"",IF(I3315="SBJ","CB","?"))</f>
        <v> </v>
      </c>
      <c r="I3315" s="26" t="str">
        <f>IF(OR(E3315="",E3315="!!!",F3315="NEW"),"",INDEX(B3314:B$2,-1+SUMPRODUCT(MAX(ROW(E3314:E$2)*(E3315=E3314:E$2)))))</f>
        <v> </v>
      </c>
      <c r="J3315" s="26" t="str">
        <f>IF(OR(E3315="",E3315="!!!",F3315="NEW"),"",COUNTBLANK(OFFSET(A$1,,,SUMPRODUCT(MAX(ROW(E$2:E3315)*(E3315=E$2:E3315)))))-COUNTBLANK(OFFSET(A$1,,,SUMPRODUCT(MAX(ROW(E$1:E3314)*(E2=E$1:E3314))))))</f>
        <v> </v>
      </c>
      <c r="K3315" s="26" t="str">
        <f>IF(OR(E3315="",E3315="!!!",F3315="NEW"),"",INDEX(J$1:J3314,SUMPRODUCT(MAX(ROW(E$1:E3314)*(E3315=E$1:E3314)))))</f>
        <v> </v>
      </c>
      <c r="L3315" s="27"/>
    </row>
    <row r="3316" spans="1:12">
      <c r="A3316" s="20" t="s">
        <v>1000</v>
      </c>
      <c r="E3316" s="22">
        <f>IF(D3316="?OLD","!!!","")</f>
        <v/>
      </c>
      <c r="F3316" s="23" t="str">
        <f>IF(OR(E3316="",E3316="!!!"),"",IF(NOT(ISNA(VLOOKUP(E3316,E$1:E3315,1,FALSE()))),"OLD",IF(AND(E3316&lt;&gt;"",E3316&lt;&gt;"!!!"),"NEW","")))</f>
        <v> </v>
      </c>
      <c r="G3316" s="24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5" t="str">
        <f>IF(J3316&lt;&gt;1,"",IF(I3316="SBJ","CB","?"))</f>
        <v> </v>
      </c>
      <c r="I3316" s="26" t="str">
        <f>IF(OR(E3316="",E3316="!!!",F3316="NEW"),"",INDEX(B3315:B$2,-1+SUMPRODUCT(MAX(ROW(E3315:E$2)*(E3316=E3315:E$2)))))</f>
        <v> </v>
      </c>
      <c r="J3316" s="26" t="str">
        <f>IF(OR(E3316="",E3316="!!!",F3316="NEW"),"",COUNTBLANK(OFFSET(A$1,,,SUMPRODUCT(MAX(ROW(E$2:E3316)*(E3316=E$2:E3316)))))-COUNTBLANK(OFFSET(A$1,,,SUMPRODUCT(MAX(ROW(E$1:E3315)*(E2=E$1:E3315))))))</f>
        <v> </v>
      </c>
      <c r="K3316" s="26" t="str">
        <f>IF(OR(E3316="",E3316="!!!",F3316="NEW"),"",INDEX(J$1:J3315,SUMPRODUCT(MAX(ROW(E$1:E3315)*(E3316=E$1:E3315)))))</f>
        <v> </v>
      </c>
      <c r="L3316" s="27"/>
    </row>
    <row r="3317" spans="1:12">
      <c r="A3317" s="20" t="s">
        <v>1126</v>
      </c>
      <c r="E3317" s="22">
        <f>IF(D3317="?OLD","!!!","")</f>
        <v/>
      </c>
      <c r="F3317" s="23" t="str">
        <f>IF(OR(E3317="",E3317="!!!"),"",IF(NOT(ISNA(VLOOKUP(E3317,E$1:E3316,1,FALSE()))),"OLD",IF(AND(E3317&lt;&gt;"",E3317&lt;&gt;"!!!"),"NEW","")))</f>
        <v> </v>
      </c>
      <c r="G3317" s="24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5" t="str">
        <f>IF(J3317&lt;&gt;1,"",IF(I3317="SBJ","CB","?"))</f>
        <v> </v>
      </c>
      <c r="I3317" s="26" t="str">
        <f>IF(OR(E3317="",E3317="!!!",F3317="NEW"),"",INDEX(B3316:B$2,-1+SUMPRODUCT(MAX(ROW(E3316:E$2)*(E3317=E3316:E$2)))))</f>
        <v> </v>
      </c>
      <c r="J3317" s="26" t="str">
        <f>IF(OR(E3317="",E3317="!!!",F3317="NEW"),"",COUNTBLANK(OFFSET(A$1,,,SUMPRODUCT(MAX(ROW(E$2:E3317)*(E3317=E$2:E3317)))))-COUNTBLANK(OFFSET(A$1,,,SUMPRODUCT(MAX(ROW(E$1:E3316)*(E2=E$1:E3316))))))</f>
        <v> </v>
      </c>
      <c r="K3317" s="26" t="str">
        <f>IF(OR(E3317="",E3317="!!!",F3317="NEW"),"",INDEX(J$1:J3316,SUMPRODUCT(MAX(ROW(E$1:E3316)*(E3317=E$1:E3316)))))</f>
        <v> </v>
      </c>
      <c r="L3317" s="27"/>
    </row>
    <row r="3318" spans="1:12">
      <c r="A3318" s="20" t="s">
        <v>1728</v>
      </c>
      <c r="E3318" s="22">
        <f>IF(D3318="?OLD","!!!","")</f>
        <v/>
      </c>
      <c r="F3318" s="23" t="str">
        <f>IF(OR(E3318="",E3318="!!!"),"",IF(NOT(ISNA(VLOOKUP(E3318,E$1:E3317,1,FALSE()))),"OLD",IF(AND(E3318&lt;&gt;"",E3318&lt;&gt;"!!!"),"NEW","")))</f>
        <v> </v>
      </c>
      <c r="G3318" s="24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5" t="str">
        <f>IF(J3318&lt;&gt;1,"",IF(I3318="SBJ","CB","?"))</f>
        <v> </v>
      </c>
      <c r="I3318" s="26" t="str">
        <f>IF(OR(E3318="",E3318="!!!",F3318="NEW"),"",INDEX(B3317:B$2,-1+SUMPRODUCT(MAX(ROW(E3317:E$2)*(E3318=E3317:E$2)))))</f>
        <v> </v>
      </c>
      <c r="J3318" s="26" t="str">
        <f>IF(OR(E3318="",E3318="!!!",F3318="NEW"),"",COUNTBLANK(OFFSET(A$1,,,SUMPRODUCT(MAX(ROW(E$2:E3318)*(E3318=E$2:E3318)))))-COUNTBLANK(OFFSET(A$1,,,SUMPRODUCT(MAX(ROW(E$1:E3317)*(E2=E$1:E3317))))))</f>
        <v> </v>
      </c>
      <c r="K3318" s="26" t="str">
        <f>IF(OR(E3318="",E3318="!!!",F3318="NEW"),"",INDEX(J$1:J3317,SUMPRODUCT(MAX(ROW(E$1:E3317)*(E3318=E$1:E3317)))))</f>
        <v> </v>
      </c>
      <c r="L3318" s="27"/>
    </row>
    <row r="3319" spans="1:12">
      <c r="A3319" s="20" t="s">
        <v>607</v>
      </c>
      <c r="E3319" s="22">
        <f>IF(D3319="?OLD","!!!","")</f>
        <v/>
      </c>
      <c r="F3319" s="23" t="str">
        <f>IF(OR(E3319="",E3319="!!!"),"",IF(NOT(ISNA(VLOOKUP(E3319,E$1:E3318,1,FALSE()))),"OLD",IF(AND(E3319&lt;&gt;"",E3319&lt;&gt;"!!!"),"NEW","")))</f>
        <v> </v>
      </c>
      <c r="G3319" s="24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5" t="str">
        <f>IF(J3319&lt;&gt;1,"",IF(I3319="SBJ","CB","?"))</f>
        <v> </v>
      </c>
      <c r="I3319" s="26" t="str">
        <f>IF(OR(E3319="",E3319="!!!",F3319="NEW"),"",INDEX(B3318:B$2,-1+SUMPRODUCT(MAX(ROW(E3318:E$2)*(E3319=E3318:E$2)))))</f>
        <v> </v>
      </c>
      <c r="J3319" s="26" t="str">
        <f>IF(OR(E3319="",E3319="!!!",F3319="NEW"),"",COUNTBLANK(OFFSET(A$1,,,SUMPRODUCT(MAX(ROW(E$2:E3319)*(E3319=E$2:E3319)))))-COUNTBLANK(OFFSET(A$1,,,SUMPRODUCT(MAX(ROW(E$1:E3318)*(E2=E$1:E3318))))))</f>
        <v> </v>
      </c>
      <c r="K3319" s="26" t="str">
        <f>IF(OR(E3319="",E3319="!!!",F3319="NEW"),"",INDEX(J$1:J3318,SUMPRODUCT(MAX(ROW(E$1:E3318)*(E3319=E$1:E3318)))))</f>
        <v> </v>
      </c>
      <c r="L3319" s="27"/>
    </row>
    <row r="3320" spans="1:12">
      <c r="A3320" s="20" t="s">
        <v>1466</v>
      </c>
      <c r="E3320" s="22">
        <f>IF(D3320="?OLD","!!!","")</f>
        <v/>
      </c>
      <c r="F3320" s="23" t="str">
        <f>IF(OR(E3320="",E3320="!!!"),"",IF(NOT(ISNA(VLOOKUP(E3320,E$1:E3319,1,FALSE()))),"OLD",IF(AND(E3320&lt;&gt;"",E3320&lt;&gt;"!!!"),"NEW","")))</f>
        <v> </v>
      </c>
      <c r="G3320" s="24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5" t="str">
        <f>IF(J3320&lt;&gt;1,"",IF(I3320="SBJ","CB","?"))</f>
        <v> </v>
      </c>
      <c r="I3320" s="26" t="str">
        <f>IF(OR(E3320="",E3320="!!!",F3320="NEW"),"",INDEX(B3319:B$2,-1+SUMPRODUCT(MAX(ROW(E3319:E$2)*(E3320=E3319:E$2)))))</f>
        <v> </v>
      </c>
      <c r="J3320" s="26" t="str">
        <f>IF(OR(E3320="",E3320="!!!",F3320="NEW"),"",COUNTBLANK(OFFSET(A$1,,,SUMPRODUCT(MAX(ROW(E$2:E3320)*(E3320=E$2:E3320)))))-COUNTBLANK(OFFSET(A$1,,,SUMPRODUCT(MAX(ROW(E$1:E3319)*(E2=E$1:E3319))))))</f>
        <v> </v>
      </c>
      <c r="K3320" s="26" t="str">
        <f>IF(OR(E3320="",E3320="!!!",F3320="NEW"),"",INDEX(J$1:J3319,SUMPRODUCT(MAX(ROW(E$1:E3319)*(E3320=E$1:E3319)))))</f>
        <v> </v>
      </c>
      <c r="L3320" s="27"/>
    </row>
    <row r="3321" spans="1:12">
      <c r="A3321" s="20" t="s">
        <v>1021</v>
      </c>
      <c r="E3321" s="22">
        <f>IF(D3321="?OLD","!!!","")</f>
        <v/>
      </c>
      <c r="F3321" s="23" t="str">
        <f>IF(OR(E3321="",E3321="!!!"),"",IF(NOT(ISNA(VLOOKUP(E3321,E$1:E3320,1,FALSE()))),"OLD",IF(AND(E3321&lt;&gt;"",E3321&lt;&gt;"!!!"),"NEW","")))</f>
        <v> </v>
      </c>
      <c r="G3321" s="24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5" t="str">
        <f>IF(J3321&lt;&gt;1,"",IF(I3321="SBJ","CB","?"))</f>
        <v> </v>
      </c>
      <c r="I3321" s="26" t="str">
        <f>IF(OR(E3321="",E3321="!!!",F3321="NEW"),"",INDEX(B3320:B$2,-1+SUMPRODUCT(MAX(ROW(E3320:E$2)*(E3321=E3320:E$2)))))</f>
        <v> </v>
      </c>
      <c r="J3321" s="26" t="str">
        <f>IF(OR(E3321="",E3321="!!!",F3321="NEW"),"",COUNTBLANK(OFFSET(A$1,,,SUMPRODUCT(MAX(ROW(E$2:E3321)*(E3321=E$2:E3321)))))-COUNTBLANK(OFFSET(A$1,,,SUMPRODUCT(MAX(ROW(E$1:E3320)*(E2=E$1:E3320))))))</f>
        <v> </v>
      </c>
      <c r="K3321" s="26" t="str">
        <f>IF(OR(E3321="",E3321="!!!",F3321="NEW"),"",INDEX(J$1:J3320,SUMPRODUCT(MAX(ROW(E$1:E3320)*(E3321=E$1:E3320)))))</f>
        <v> </v>
      </c>
      <c r="L3321" s="27"/>
    </row>
    <row r="3322" spans="1:12">
      <c r="A3322" s="20" t="s">
        <v>1093</v>
      </c>
      <c r="E3322" s="22">
        <f>IF(D3322="?OLD","!!!","")</f>
        <v/>
      </c>
      <c r="F3322" s="23" t="str">
        <f>IF(OR(E3322="",E3322="!!!"),"",IF(NOT(ISNA(VLOOKUP(E3322,E$1:E3321,1,FALSE()))),"OLD",IF(AND(E3322&lt;&gt;"",E3322&lt;&gt;"!!!"),"NEW","")))</f>
        <v> </v>
      </c>
      <c r="G3322" s="24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5" t="str">
        <f>IF(J3322&lt;&gt;1,"",IF(I3322="SBJ","CB","?"))</f>
        <v> </v>
      </c>
      <c r="I3322" s="26" t="str">
        <f>IF(OR(E3322="",E3322="!!!",F3322="NEW"),"",INDEX(B3321:B$2,-1+SUMPRODUCT(MAX(ROW(E3321:E$2)*(E3322=E3321:E$2)))))</f>
        <v> </v>
      </c>
      <c r="J3322" s="26" t="str">
        <f>IF(OR(E3322="",E3322="!!!",F3322="NEW"),"",COUNTBLANK(OFFSET(A$1,,,SUMPRODUCT(MAX(ROW(E$2:E3322)*(E3322=E$2:E3322)))))-COUNTBLANK(OFFSET(A$1,,,SUMPRODUCT(MAX(ROW(E$1:E3321)*(E2=E$1:E3321))))))</f>
        <v> </v>
      </c>
      <c r="K3322" s="26" t="str">
        <f>IF(OR(E3322="",E3322="!!!",F3322="NEW"),"",INDEX(J$1:J3321,SUMPRODUCT(MAX(ROW(E$1:E3321)*(E3322=E$1:E3321)))))</f>
        <v> </v>
      </c>
      <c r="L3322" s="27"/>
    </row>
    <row r="3323" spans="1:12">
      <c r="A3323" s="20" t="s">
        <v>1934</v>
      </c>
      <c r="B3323" s="21" t="s">
        <v>1288</v>
      </c>
      <c r="C3323" s="21" t="s">
        <v>1032</v>
      </c>
      <c r="D3323" s="21" t="s">
        <v>950</v>
      </c>
      <c r="E3323" s="22">
        <f>IF(D3323="?OLD","!!!","")</f>
        <v/>
      </c>
      <c r="F3323" s="23" t="str">
        <f>IF(OR(E3323="",E3323="!!!"),"",IF(NOT(ISNA(VLOOKUP(E3323,E$1:E3322,1,FALSE()))),"OLD",IF(AND(E3323&lt;&gt;"",E3323&lt;&gt;"!!!"),"NEW","")))</f>
        <v> </v>
      </c>
      <c r="G3323" s="24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5" t="str">
        <f>IF(J3323&lt;&gt;1,"",IF(I3323="SBJ","CB","?"))</f>
        <v> </v>
      </c>
      <c r="I3323" s="26" t="str">
        <f>IF(OR(E3323="",E3323="!!!",F3323="NEW"),"",INDEX(B3322:B$2,-1+SUMPRODUCT(MAX(ROW(E3322:E$2)*(E3323=E3322:E$2)))))</f>
        <v> </v>
      </c>
      <c r="J3323" s="26" t="str">
        <f>IF(OR(E3323="",E3323="!!!",F3323="NEW"),"",COUNTBLANK(OFFSET(A$1,,,SUMPRODUCT(MAX(ROW(E$2:E3323)*(E3323=E$2:E3323)))))-COUNTBLANK(OFFSET(A$1,,,SUMPRODUCT(MAX(ROW(E$1:E3322)*(E2=E$1:E3322))))))</f>
        <v> </v>
      </c>
      <c r="K3323" s="26" t="str">
        <f>IF(OR(E3323="",E3323="!!!",F3323="NEW"),"",INDEX(J$1:J3322,SUMPRODUCT(MAX(ROW(E$1:E3322)*(E3323=E$1:E3322)))))</f>
        <v> </v>
      </c>
      <c r="L3323" s="27"/>
    </row>
    <row r="3324" spans="1:12">
      <c r="A3324" s="20" t="s">
        <v>977</v>
      </c>
      <c r="E3324" s="22">
        <f>IF(D3324="?OLD","!!!","")</f>
        <v/>
      </c>
      <c r="F3324" s="23" t="str">
        <f>IF(OR(E3324="",E3324="!!!"),"",IF(NOT(ISNA(VLOOKUP(E3324,E$1:E3323,1,FALSE()))),"OLD",IF(AND(E3324&lt;&gt;"",E3324&lt;&gt;"!!!"),"NEW","")))</f>
        <v> </v>
      </c>
      <c r="G3324" s="24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5" t="str">
        <f>IF(J3324&lt;&gt;1,"",IF(I3324="SBJ","CB","?"))</f>
        <v> </v>
      </c>
      <c r="I3324" s="26" t="str">
        <f>IF(OR(E3324="",E3324="!!!",F3324="NEW"),"",INDEX(B3323:B$2,-1+SUMPRODUCT(MAX(ROW(E3323:E$2)*(E3324=E3323:E$2)))))</f>
        <v> </v>
      </c>
      <c r="J3324" s="26" t="str">
        <f>IF(OR(E3324="",E3324="!!!",F3324="NEW"),"",COUNTBLANK(OFFSET(A$1,,,SUMPRODUCT(MAX(ROW(E$2:E3324)*(E3324=E$2:E3324)))))-COUNTBLANK(OFFSET(A$1,,,SUMPRODUCT(MAX(ROW(E$1:E3323)*(E2=E$1:E3323))))))</f>
        <v> </v>
      </c>
      <c r="K3324" s="26" t="str">
        <f>IF(OR(E3324="",E3324="!!!",F3324="NEW"),"",INDEX(J$1:J3323,SUMPRODUCT(MAX(ROW(E$1:E3323)*(E3324=E$1:E3323)))))</f>
        <v> </v>
      </c>
      <c r="L3324" s="27"/>
    </row>
    <row r="3325" spans="1:12">
      <c r="A3325" s="20" t="s">
        <v>1098</v>
      </c>
      <c r="B3325" s="21" t="s">
        <v>1285</v>
      </c>
      <c r="C3325" s="21" t="s">
        <v>1008</v>
      </c>
      <c r="D3325" s="21" t="s">
        <v>950</v>
      </c>
      <c r="E3325" s="22">
        <f>IF(D3325="?OLD","!!!","")</f>
        <v/>
      </c>
      <c r="F3325" s="23" t="str">
        <f>IF(OR(E3325="",E3325="!!!"),"",IF(NOT(ISNA(VLOOKUP(E3325,E$1:E3324,1,FALSE()))),"OLD",IF(AND(E3325&lt;&gt;"",E3325&lt;&gt;"!!!"),"NEW","")))</f>
        <v> </v>
      </c>
      <c r="G3325" s="24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5" t="str">
        <f>IF(J3325&lt;&gt;1,"",IF(I3325="SBJ","CB","?"))</f>
        <v> </v>
      </c>
      <c r="I3325" s="26" t="str">
        <f>IF(OR(E3325="",E3325="!!!",F3325="NEW"),"",INDEX(B3324:B$2,-1+SUMPRODUCT(MAX(ROW(E3324:E$2)*(E3325=E3324:E$2)))))</f>
        <v> </v>
      </c>
      <c r="J3325" s="26" t="str">
        <f>IF(OR(E3325="",E3325="!!!",F3325="NEW"),"",COUNTBLANK(OFFSET(A$1,,,SUMPRODUCT(MAX(ROW(E$2:E3325)*(E3325=E$2:E3325)))))-COUNTBLANK(OFFSET(A$1,,,SUMPRODUCT(MAX(ROW(E$1:E3324)*(E2=E$1:E3324))))))</f>
        <v> </v>
      </c>
      <c r="K3325" s="26" t="str">
        <f>IF(OR(E3325="",E3325="!!!",F3325="NEW"),"",INDEX(J$1:J3324,SUMPRODUCT(MAX(ROW(E$1:E3324)*(E3325=E$1:E3324)))))</f>
        <v> </v>
      </c>
      <c r="L3325" s="27"/>
    </row>
    <row r="3326" spans="1:12">
      <c r="A3326" s="20" t="s">
        <v>1224</v>
      </c>
      <c r="E3326" s="22">
        <f>IF(D3326="?OLD","!!!","")</f>
        <v/>
      </c>
      <c r="F3326" s="23" t="str">
        <f>IF(OR(E3326="",E3326="!!!"),"",IF(NOT(ISNA(VLOOKUP(E3326,E$1:E3325,1,FALSE()))),"OLD",IF(AND(E3326&lt;&gt;"",E3326&lt;&gt;"!!!"),"NEW","")))</f>
        <v> </v>
      </c>
      <c r="G3326" s="24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5" t="str">
        <f>IF(J3326&lt;&gt;1,"",IF(I3326="SBJ","CB","?"))</f>
        <v> </v>
      </c>
      <c r="I3326" s="26" t="str">
        <f>IF(OR(E3326="",E3326="!!!",F3326="NEW"),"",INDEX(B3325:B$2,-1+SUMPRODUCT(MAX(ROW(E3325:E$2)*(E3326=E3325:E$2)))))</f>
        <v> </v>
      </c>
      <c r="J3326" s="26" t="str">
        <f>IF(OR(E3326="",E3326="!!!",F3326="NEW"),"",COUNTBLANK(OFFSET(A$1,,,SUMPRODUCT(MAX(ROW(E$2:E3326)*(E3326=E$2:E3326)))))-COUNTBLANK(OFFSET(A$1,,,SUMPRODUCT(MAX(ROW(E$1:E3325)*(E2=E$1:E3325))))))</f>
        <v> </v>
      </c>
      <c r="K3326" s="26" t="str">
        <f>IF(OR(E3326="",E3326="!!!",F3326="NEW"),"",INDEX(J$1:J3325,SUMPRODUCT(MAX(ROW(E$1:E3325)*(E3326=E$1:E3325)))))</f>
        <v> </v>
      </c>
      <c r="L3326" s="27"/>
    </row>
    <row r="3327" spans="1:12">
      <c r="A3327" s="20" t="s">
        <v>1006</v>
      </c>
      <c r="E3327" s="22">
        <f>IF(D3327="?OLD","!!!","")</f>
        <v/>
      </c>
      <c r="F3327" s="23" t="str">
        <f>IF(OR(E3327="",E3327="!!!"),"",IF(NOT(ISNA(VLOOKUP(E3327,E$1:E3326,1,FALSE()))),"OLD",IF(AND(E3327&lt;&gt;"",E3327&lt;&gt;"!!!"),"NEW","")))</f>
        <v> </v>
      </c>
      <c r="G3327" s="24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5" t="str">
        <f>IF(J3327&lt;&gt;1,"",IF(I3327="SBJ","CB","?"))</f>
        <v> </v>
      </c>
      <c r="I3327" s="26" t="str">
        <f>IF(OR(E3327="",E3327="!!!",F3327="NEW"),"",INDEX(B3326:B$2,-1+SUMPRODUCT(MAX(ROW(E3326:E$2)*(E3327=E3326:E$2)))))</f>
        <v> </v>
      </c>
      <c r="J3327" s="26" t="str">
        <f>IF(OR(E3327="",E3327="!!!",F3327="NEW"),"",COUNTBLANK(OFFSET(A$1,,,SUMPRODUCT(MAX(ROW(E$2:E3327)*(E3327=E$2:E3327)))))-COUNTBLANK(OFFSET(A$1,,,SUMPRODUCT(MAX(ROW(E$1:E3326)*(E2=E$1:E3326))))))</f>
        <v> </v>
      </c>
      <c r="K3327" s="26" t="str">
        <f>IF(OR(E3327="",E3327="!!!",F3327="NEW"),"",INDEX(J$1:J3326,SUMPRODUCT(MAX(ROW(E$1:E3326)*(E3327=E$1:E3326)))))</f>
        <v> </v>
      </c>
      <c r="L3327" s="27"/>
    </row>
    <row r="3328" spans="1:12">
      <c r="A3328" s="20" t="s">
        <v>1556</v>
      </c>
      <c r="B3328" s="21" t="s">
        <v>1661</v>
      </c>
      <c r="C3328" s="21" t="s">
        <v>1032</v>
      </c>
      <c r="D3328" s="21" t="s">
        <v>950</v>
      </c>
      <c r="E3328" s="22">
        <f>IF(D3328="?OLD","!!!","")</f>
        <v/>
      </c>
      <c r="F3328" s="23" t="str">
        <f>IF(OR(E3328="",E3328="!!!"),"",IF(NOT(ISNA(VLOOKUP(E3328,E$1:E3327,1,FALSE()))),"OLD",IF(AND(E3328&lt;&gt;"",E3328&lt;&gt;"!!!"),"NEW","")))</f>
        <v> </v>
      </c>
      <c r="G3328" s="24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5" t="str">
        <f>IF(J3328&lt;&gt;1,"",IF(I3328="SBJ","CB","?"))</f>
        <v> </v>
      </c>
      <c r="I3328" s="26" t="str">
        <f>IF(OR(E3328="",E3328="!!!",F3328="NEW"),"",INDEX(B3327:B$2,-1+SUMPRODUCT(MAX(ROW(E3327:E$2)*(E3328=E3327:E$2)))))</f>
        <v> </v>
      </c>
      <c r="J3328" s="26" t="str">
        <f>IF(OR(E3328="",E3328="!!!",F3328="NEW"),"",COUNTBLANK(OFFSET(A$1,,,SUMPRODUCT(MAX(ROW(E$2:E3328)*(E3328=E$2:E3328)))))-COUNTBLANK(OFFSET(A$1,,,SUMPRODUCT(MAX(ROW(E$1:E3327)*(E2=E$1:E3327))))))</f>
        <v> </v>
      </c>
      <c r="K3328" s="26" t="str">
        <f>IF(OR(E3328="",E3328="!!!",F3328="NEW"),"",INDEX(J$1:J3327,SUMPRODUCT(MAX(ROW(E$1:E3327)*(E3328=E$1:E3327)))))</f>
        <v> </v>
      </c>
      <c r="L3328" s="27"/>
    </row>
    <row r="3329" spans="1:12">
      <c r="A3329" s="20" t="s">
        <v>984</v>
      </c>
      <c r="E3329" s="22">
        <f>IF(D3329="?OLD","!!!","")</f>
        <v/>
      </c>
      <c r="F3329" s="23" t="str">
        <f>IF(OR(E3329="",E3329="!!!"),"",IF(NOT(ISNA(VLOOKUP(E3329,E$1:E3328,1,FALSE()))),"OLD",IF(AND(E3329&lt;&gt;"",E3329&lt;&gt;"!!!"),"NEW","")))</f>
        <v> </v>
      </c>
      <c r="G3329" s="24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5" t="str">
        <f>IF(J3329&lt;&gt;1,"",IF(I3329="SBJ","CB","?"))</f>
        <v> </v>
      </c>
      <c r="I3329" s="26" t="str">
        <f>IF(OR(E3329="",E3329="!!!",F3329="NEW"),"",INDEX(B3328:B$2,-1+SUMPRODUCT(MAX(ROW(E3328:E$2)*(E3329=E3328:E$2)))))</f>
        <v> </v>
      </c>
      <c r="J3329" s="26" t="str">
        <f>IF(OR(E3329="",E3329="!!!",F3329="NEW"),"",COUNTBLANK(OFFSET(A$1,,,SUMPRODUCT(MAX(ROW(E$2:E3329)*(E3329=E$2:E3329)))))-COUNTBLANK(OFFSET(A$1,,,SUMPRODUCT(MAX(ROW(E$1:E3328)*(E2=E$1:E3328))))))</f>
        <v> </v>
      </c>
      <c r="K3329" s="26" t="str">
        <f>IF(OR(E3329="",E3329="!!!",F3329="NEW"),"",INDEX(J$1:J3328,SUMPRODUCT(MAX(ROW(E$1:E3328)*(E3329=E$1:E3328)))))</f>
        <v> </v>
      </c>
      <c r="L3329" s="27"/>
    </row>
    <row r="3330" spans="1:12">
      <c r="A3330" s="20"/>
    </row>
    <row r="3331" spans="1:12">
      <c r="A3331" s="20" t="s">
        <v>1935</v>
      </c>
    </row>
    <row r="3332" spans="1:12">
      <c r="A3332" s="20" t="s">
        <v>1427</v>
      </c>
      <c r="E3332" s="22">
        <f>IF(D3332="?OLD","!!!","")</f>
        <v/>
      </c>
      <c r="F3332" s="23" t="str">
        <f>IF(OR(E3332="",E3332="!!!"),"",IF(NOT(ISNA(VLOOKUP(E3332,E$1:E3331,1,FALSE()))),"OLD",IF(AND(E3332&lt;&gt;"",E3332&lt;&gt;"!!!"),"NEW","")))</f>
        <v> </v>
      </c>
      <c r="G3332" s="24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5" t="str">
        <f>IF(J3332&lt;&gt;1,"",IF(I3332="SBJ","CB","?"))</f>
        <v> </v>
      </c>
      <c r="I3332" s="26" t="str">
        <f>IF(OR(E3332="",E3332="!!!",F3332="NEW"),"",INDEX(B3331:B$2,-1+SUMPRODUCT(MAX(ROW(E3331:E$2)*(E3332=E3331:E$2)))))</f>
        <v> </v>
      </c>
      <c r="J3332" s="26" t="str">
        <f>IF(OR(E3332="",E3332="!!!",F3332="NEW"),"",COUNTBLANK(OFFSET(A$1,,,SUMPRODUCT(MAX(ROW(E$2:E3332)*(E3332=E$2:E3332)))))-COUNTBLANK(OFFSET(A$1,,,SUMPRODUCT(MAX(ROW(E$1:E3331)*(E2=E$1:E3331))))))</f>
        <v> </v>
      </c>
      <c r="K3332" s="26" t="str">
        <f>IF(OR(E3332="",E3332="!!!",F3332="NEW"),"",INDEX(J$1:J3331,SUMPRODUCT(MAX(ROW(E$1:E3331)*(E3332=E$1:E3331)))))</f>
        <v> </v>
      </c>
      <c r="L3332" s="27"/>
    </row>
    <row r="3333" spans="1:12">
      <c r="A3333" s="20" t="s">
        <v>60</v>
      </c>
      <c r="B3333" s="21" t="s">
        <v>959</v>
      </c>
      <c r="E3333" s="22">
        <f>IF(D3333="?OLD","!!!","")</f>
        <v/>
      </c>
      <c r="F3333" s="23" t="str">
        <f>IF(OR(E3333="",E3333="!!!"),"",IF(NOT(ISNA(VLOOKUP(E3333,E$1:E3332,1,FALSE()))),"OLD",IF(AND(E3333&lt;&gt;"",E3333&lt;&gt;"!!!"),"NEW","")))</f>
        <v> </v>
      </c>
      <c r="G3333" s="24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5" t="str">
        <f>IF(J3333&lt;&gt;1,"",IF(I3333="SBJ","CB","?"))</f>
        <v> </v>
      </c>
      <c r="I3333" s="26" t="str">
        <f>IF(OR(E3333="",E3333="!!!",F3333="NEW"),"",INDEX(B3332:B$2,-1+SUMPRODUCT(MAX(ROW(E3332:E$2)*(E3333=E3332:E$2)))))</f>
        <v> </v>
      </c>
      <c r="J3333" s="26" t="str">
        <f>IF(OR(E3333="",E3333="!!!",F3333="NEW"),"",COUNTBLANK(OFFSET(A$1,,,SUMPRODUCT(MAX(ROW(E$2:E3333)*(E3333=E$2:E3333)))))-COUNTBLANK(OFFSET(A$1,,,SUMPRODUCT(MAX(ROW(E$1:E3332)*(E2=E$1:E3332))))))</f>
        <v> </v>
      </c>
      <c r="K3333" s="26" t="str">
        <f>IF(OR(E3333="",E3333="!!!",F3333="NEW"),"",INDEX(J$1:J3332,SUMPRODUCT(MAX(ROW(E$1:E3332)*(E3333=E$1:E3332)))))</f>
        <v> </v>
      </c>
      <c r="L3333" s="27"/>
    </row>
    <row r="3334" spans="1:12">
      <c r="A3334" s="20" t="s">
        <v>1936</v>
      </c>
      <c r="E3334" s="22">
        <f>IF(D3334="?OLD","!!!","")</f>
        <v/>
      </c>
      <c r="F3334" s="23" t="str">
        <f>IF(OR(E3334="",E3334="!!!"),"",IF(NOT(ISNA(VLOOKUP(E3334,E$1:E3333,1,FALSE()))),"OLD",IF(AND(E3334&lt;&gt;"",E3334&lt;&gt;"!!!"),"NEW","")))</f>
        <v> </v>
      </c>
      <c r="G3334" s="24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5" t="str">
        <f>IF(J3334&lt;&gt;1,"",IF(I3334="SBJ","CB","?"))</f>
        <v> </v>
      </c>
      <c r="I3334" s="26" t="str">
        <f>IF(OR(E3334="",E3334="!!!",F3334="NEW"),"",INDEX(B3333:B$2,-1+SUMPRODUCT(MAX(ROW(E3333:E$2)*(E3334=E3333:E$2)))))</f>
        <v> </v>
      </c>
      <c r="J3334" s="26" t="str">
        <f>IF(OR(E3334="",E3334="!!!",F3334="NEW"),"",COUNTBLANK(OFFSET(A$1,,,SUMPRODUCT(MAX(ROW(E$2:E3334)*(E3334=E$2:E3334)))))-COUNTBLANK(OFFSET(A$1,,,SUMPRODUCT(MAX(ROW(E$1:E3333)*(E2=E$1:E3333))))))</f>
        <v> </v>
      </c>
      <c r="K3334" s="26" t="str">
        <f>IF(OR(E3334="",E3334="!!!",F3334="NEW"),"",INDEX(J$1:J3333,SUMPRODUCT(MAX(ROW(E$1:E3333)*(E3334=E$1:E3333)))))</f>
        <v> </v>
      </c>
      <c r="L3334" s="27"/>
    </row>
    <row r="3335" spans="1:12">
      <c r="A3335" s="20" t="s">
        <v>977</v>
      </c>
      <c r="E3335" s="22">
        <f>IF(D3335="?OLD","!!!","")</f>
        <v/>
      </c>
      <c r="F3335" s="23" t="str">
        <f>IF(OR(E3335="",E3335="!!!"),"",IF(NOT(ISNA(VLOOKUP(E3335,E$1:E3334,1,FALSE()))),"OLD",IF(AND(E3335&lt;&gt;"",E3335&lt;&gt;"!!!"),"NEW","")))</f>
        <v> </v>
      </c>
      <c r="G3335" s="24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5" t="str">
        <f>IF(J3335&lt;&gt;1,"",IF(I3335="SBJ","CB","?"))</f>
        <v> </v>
      </c>
      <c r="I3335" s="26" t="str">
        <f>IF(OR(E3335="",E3335="!!!",F3335="NEW"),"",INDEX(B3334:B$2,-1+SUMPRODUCT(MAX(ROW(E3334:E$2)*(E3335=E3334:E$2)))))</f>
        <v> </v>
      </c>
      <c r="J3335" s="26" t="str">
        <f>IF(OR(E3335="",E3335="!!!",F3335="NEW"),"",COUNTBLANK(OFFSET(A$1,,,SUMPRODUCT(MAX(ROW(E$2:E3335)*(E3335=E$2:E3335)))))-COUNTBLANK(OFFSET(A$1,,,SUMPRODUCT(MAX(ROW(E$1:E3334)*(E2=E$1:E3334))))))</f>
        <v> </v>
      </c>
      <c r="K3335" s="26" t="str">
        <f>IF(OR(E3335="",E3335="!!!",F3335="NEW"),"",INDEX(J$1:J3334,SUMPRODUCT(MAX(ROW(E$1:E3334)*(E3335=E$1:E3334)))))</f>
        <v> </v>
      </c>
      <c r="L3335" s="27"/>
    </row>
    <row r="3336" spans="1:12">
      <c r="A3336" s="20" t="s">
        <v>1094</v>
      </c>
      <c r="B3336" s="21" t="s">
        <v>1031</v>
      </c>
      <c r="C3336" s="21" t="s">
        <v>983</v>
      </c>
      <c r="E3336" s="22">
        <f>IF(D3336="?OLD","!!!","")</f>
        <v/>
      </c>
      <c r="F3336" s="23" t="str">
        <f>IF(OR(E3336="",E3336="!!!"),"",IF(NOT(ISNA(VLOOKUP(E3336,E$1:E3335,1,FALSE()))),"OLD",IF(AND(E3336&lt;&gt;"",E3336&lt;&gt;"!!!"),"NEW","")))</f>
        <v> </v>
      </c>
      <c r="G3336" s="24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5" t="str">
        <f>IF(J3336&lt;&gt;1,"",IF(I3336="SBJ","CB","?"))</f>
        <v> </v>
      </c>
      <c r="I3336" s="26" t="str">
        <f>IF(OR(E3336="",E3336="!!!",F3336="NEW"),"",INDEX(B3335:B$2,-1+SUMPRODUCT(MAX(ROW(E3335:E$2)*(E3336=E3335:E$2)))))</f>
        <v> </v>
      </c>
      <c r="J3336" s="26" t="str">
        <f>IF(OR(E3336="",E3336="!!!",F3336="NEW"),"",COUNTBLANK(OFFSET(A$1,,,SUMPRODUCT(MAX(ROW(E$2:E3336)*(E3336=E$2:E3336)))))-COUNTBLANK(OFFSET(A$1,,,SUMPRODUCT(MAX(ROW(E$1:E3335)*(E2=E$1:E3335))))))</f>
        <v> </v>
      </c>
      <c r="K3336" s="26" t="str">
        <f>IF(OR(E3336="",E3336="!!!",F3336="NEW"),"",INDEX(J$1:J3335,SUMPRODUCT(MAX(ROW(E$1:E3335)*(E3336=E$1:E3335)))))</f>
        <v> </v>
      </c>
      <c r="L3336" s="27"/>
    </row>
    <row r="3337" spans="1:12">
      <c r="A3337" s="20" t="s">
        <v>1318</v>
      </c>
      <c r="E3337" s="22">
        <f>IF(D3337="?OLD","!!!","")</f>
        <v/>
      </c>
      <c r="F3337" s="23" t="str">
        <f>IF(OR(E3337="",E3337="!!!"),"",IF(NOT(ISNA(VLOOKUP(E3337,E$1:E3336,1,FALSE()))),"OLD",IF(AND(E3337&lt;&gt;"",E3337&lt;&gt;"!!!"),"NEW","")))</f>
        <v> </v>
      </c>
      <c r="G3337" s="24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5" t="str">
        <f>IF(J3337&lt;&gt;1,"",IF(I3337="SBJ","CB","?"))</f>
        <v> </v>
      </c>
      <c r="I3337" s="26" t="str">
        <f>IF(OR(E3337="",E3337="!!!",F3337="NEW"),"",INDEX(B3336:B$2,-1+SUMPRODUCT(MAX(ROW(E3336:E$2)*(E3337=E3336:E$2)))))</f>
        <v> </v>
      </c>
      <c r="J3337" s="26" t="str">
        <f>IF(OR(E3337="",E3337="!!!",F3337="NEW"),"",COUNTBLANK(OFFSET(A$1,,,SUMPRODUCT(MAX(ROW(E$2:E3337)*(E3337=E$2:E3337)))))-COUNTBLANK(OFFSET(A$1,,,SUMPRODUCT(MAX(ROW(E$1:E3336)*(E2=E$1:E3336))))))</f>
        <v> </v>
      </c>
      <c r="K3337" s="26" t="str">
        <f>IF(OR(E3337="",E3337="!!!",F3337="NEW"),"",INDEX(J$1:J3336,SUMPRODUCT(MAX(ROW(E$1:E3336)*(E3337=E$1:E3336)))))</f>
        <v> </v>
      </c>
      <c r="L3337" s="27"/>
    </row>
    <row r="3338" spans="1:12">
      <c r="A3338" s="20" t="s">
        <v>998</v>
      </c>
      <c r="E3338" s="22">
        <f>IF(D3338="?OLD","!!!","")</f>
        <v/>
      </c>
      <c r="F3338" s="23" t="str">
        <f>IF(OR(E3338="",E3338="!!!"),"",IF(NOT(ISNA(VLOOKUP(E3338,E$1:E3337,1,FALSE()))),"OLD",IF(AND(E3338&lt;&gt;"",E3338&lt;&gt;"!!!"),"NEW","")))</f>
        <v> </v>
      </c>
      <c r="G3338" s="24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5" t="str">
        <f>IF(J3338&lt;&gt;1,"",IF(I3338="SBJ","CB","?"))</f>
        <v> </v>
      </c>
      <c r="I3338" s="26" t="str">
        <f>IF(OR(E3338="",E3338="!!!",F3338="NEW"),"",INDEX(B3337:B$2,-1+SUMPRODUCT(MAX(ROW(E3337:E$2)*(E3338=E3337:E$2)))))</f>
        <v> </v>
      </c>
      <c r="J3338" s="26" t="str">
        <f>IF(OR(E3338="",E3338="!!!",F3338="NEW"),"",COUNTBLANK(OFFSET(A$1,,,SUMPRODUCT(MAX(ROW(E$2:E3338)*(E3338=E$2:E3338)))))-COUNTBLANK(OFFSET(A$1,,,SUMPRODUCT(MAX(ROW(E$1:E3337)*(E2=E$1:E3337))))))</f>
        <v> </v>
      </c>
      <c r="K3338" s="26" t="str">
        <f>IF(OR(E3338="",E3338="!!!",F3338="NEW"),"",INDEX(J$1:J3337,SUMPRODUCT(MAX(ROW(E$1:E3337)*(E3338=E$1:E3337)))))</f>
        <v> </v>
      </c>
      <c r="L3338" s="27"/>
    </row>
    <row r="3339" spans="1:12">
      <c r="A3339" s="20" t="s">
        <v>1937</v>
      </c>
      <c r="E3339" s="22">
        <f>IF(D3339="?OLD","!!!","")</f>
        <v/>
      </c>
      <c r="F3339" s="23" t="str">
        <f>IF(OR(E3339="",E3339="!!!"),"",IF(NOT(ISNA(VLOOKUP(E3339,E$1:E3338,1,FALSE()))),"OLD",IF(AND(E3339&lt;&gt;"",E3339&lt;&gt;"!!!"),"NEW","")))</f>
        <v> </v>
      </c>
      <c r="G3339" s="24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5" t="str">
        <f>IF(J3339&lt;&gt;1,"",IF(I3339="SBJ","CB","?"))</f>
        <v> </v>
      </c>
      <c r="I3339" s="26" t="str">
        <f>IF(OR(E3339="",E3339="!!!",F3339="NEW"),"",INDEX(B3338:B$2,-1+SUMPRODUCT(MAX(ROW(E3338:E$2)*(E3339=E3338:E$2)))))</f>
        <v> </v>
      </c>
      <c r="J3339" s="26" t="str">
        <f>IF(OR(E3339="",E3339="!!!",F3339="NEW"),"",COUNTBLANK(OFFSET(A$1,,,SUMPRODUCT(MAX(ROW(E$2:E3339)*(E3339=E$2:E3339)))))-COUNTBLANK(OFFSET(A$1,,,SUMPRODUCT(MAX(ROW(E$1:E3338)*(E2=E$1:E3338))))))</f>
        <v> </v>
      </c>
      <c r="K3339" s="26" t="str">
        <f>IF(OR(E3339="",E3339="!!!",F3339="NEW"),"",INDEX(J$1:J3338,SUMPRODUCT(MAX(ROW(E$1:E3338)*(E3339=E$1:E3338)))))</f>
        <v> </v>
      </c>
      <c r="L3339" s="27"/>
    </row>
    <row r="3340" spans="1:12">
      <c r="A3340" s="20" t="s">
        <v>1075</v>
      </c>
      <c r="E3340" s="22">
        <f>IF(D3340="?OLD","!!!","")</f>
        <v/>
      </c>
      <c r="F3340" s="23" t="str">
        <f>IF(OR(E3340="",E3340="!!!"),"",IF(NOT(ISNA(VLOOKUP(E3340,E$1:E3339,1,FALSE()))),"OLD",IF(AND(E3340&lt;&gt;"",E3340&lt;&gt;"!!!"),"NEW","")))</f>
        <v> </v>
      </c>
      <c r="G3340" s="24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5" t="str">
        <f>IF(J3340&lt;&gt;1,"",IF(I3340="SBJ","CB","?"))</f>
        <v> </v>
      </c>
      <c r="I3340" s="26" t="str">
        <f>IF(OR(E3340="",E3340="!!!",F3340="NEW"),"",INDEX(B3339:B$2,-1+SUMPRODUCT(MAX(ROW(E3339:E$2)*(E3340=E3339:E$2)))))</f>
        <v> </v>
      </c>
      <c r="J3340" s="26" t="str">
        <f>IF(OR(E3340="",E3340="!!!",F3340="NEW"),"",COUNTBLANK(OFFSET(A$1,,,SUMPRODUCT(MAX(ROW(E$2:E3340)*(E3340=E$2:E3340)))))-COUNTBLANK(OFFSET(A$1,,,SUMPRODUCT(MAX(ROW(E$1:E3339)*(E2=E$1:E3339))))))</f>
        <v> </v>
      </c>
      <c r="K3340" s="26" t="str">
        <f>IF(OR(E3340="",E3340="!!!",F3340="NEW"),"",INDEX(J$1:J3339,SUMPRODUCT(MAX(ROW(E$1:E3339)*(E3340=E$1:E3339)))))</f>
        <v> </v>
      </c>
      <c r="L3340" s="27"/>
    </row>
    <row r="3341" spans="1:12">
      <c r="A3341" s="20" t="s">
        <v>1938</v>
      </c>
      <c r="B3341" s="21" t="s">
        <v>980</v>
      </c>
      <c r="C3341" s="21" t="s">
        <v>983</v>
      </c>
      <c r="E3341" s="22">
        <f>IF(D3341="?OLD","!!!","")</f>
        <v/>
      </c>
      <c r="F3341" s="23" t="str">
        <f>IF(OR(E3341="",E3341="!!!"),"",IF(NOT(ISNA(VLOOKUP(E3341,E$1:E3340,1,FALSE()))),"OLD",IF(AND(E3341&lt;&gt;"",E3341&lt;&gt;"!!!"),"NEW","")))</f>
        <v> </v>
      </c>
      <c r="G3341" s="24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5" t="str">
        <f>IF(J3341&lt;&gt;1,"",IF(I3341="SBJ","CB","?"))</f>
        <v> </v>
      </c>
      <c r="I3341" s="26" t="str">
        <f>IF(OR(E3341="",E3341="!!!",F3341="NEW"),"",INDEX(B3340:B$2,-1+SUMPRODUCT(MAX(ROW(E3340:E$2)*(E3341=E3340:E$2)))))</f>
        <v> </v>
      </c>
      <c r="J3341" s="26" t="str">
        <f>IF(OR(E3341="",E3341="!!!",F3341="NEW"),"",COUNTBLANK(OFFSET(A$1,,,SUMPRODUCT(MAX(ROW(E$2:E3341)*(E3341=E$2:E3341)))))-COUNTBLANK(OFFSET(A$1,,,SUMPRODUCT(MAX(ROW(E$1:E3340)*(E2=E$1:E3340))))))</f>
        <v> </v>
      </c>
      <c r="K3341" s="26" t="str">
        <f>IF(OR(E3341="",E3341="!!!",F3341="NEW"),"",INDEX(J$1:J3340,SUMPRODUCT(MAX(ROW(E$1:E3340)*(E3341=E$1:E3340)))))</f>
        <v> </v>
      </c>
      <c r="L3341" s="27"/>
    </row>
    <row r="3342" spans="1:12">
      <c r="A3342" s="20" t="s">
        <v>1000</v>
      </c>
      <c r="E3342" s="22">
        <f>IF(D3342="?OLD","!!!","")</f>
        <v/>
      </c>
      <c r="F3342" s="23" t="str">
        <f>IF(OR(E3342="",E3342="!!!"),"",IF(NOT(ISNA(VLOOKUP(E3342,E$1:E3341,1,FALSE()))),"OLD",IF(AND(E3342&lt;&gt;"",E3342&lt;&gt;"!!!"),"NEW","")))</f>
        <v> </v>
      </c>
      <c r="G3342" s="24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5" t="str">
        <f>IF(J3342&lt;&gt;1,"",IF(I3342="SBJ","CB","?"))</f>
        <v> </v>
      </c>
      <c r="I3342" s="26" t="str">
        <f>IF(OR(E3342="",E3342="!!!",F3342="NEW"),"",INDEX(B3341:B$2,-1+SUMPRODUCT(MAX(ROW(E3341:E$2)*(E3342=E3341:E$2)))))</f>
        <v> </v>
      </c>
      <c r="J3342" s="26" t="str">
        <f>IF(OR(E3342="",E3342="!!!",F3342="NEW"),"",COUNTBLANK(OFFSET(A$1,,,SUMPRODUCT(MAX(ROW(E$2:E3342)*(E3342=E$2:E3342)))))-COUNTBLANK(OFFSET(A$1,,,SUMPRODUCT(MAX(ROW(E$1:E3341)*(E2=E$1:E3341))))))</f>
        <v> </v>
      </c>
      <c r="K3342" s="26" t="str">
        <f>IF(OR(E3342="",E3342="!!!",F3342="NEW"),"",INDEX(J$1:J3341,SUMPRODUCT(MAX(ROW(E$1:E3341)*(E3342=E$1:E3341)))))</f>
        <v> </v>
      </c>
      <c r="L3342" s="27"/>
    </row>
    <row r="3343" spans="1:12">
      <c r="A3343" s="20" t="s">
        <v>1113</v>
      </c>
      <c r="E3343" s="22">
        <f>IF(D3343="?OLD","!!!","")</f>
        <v/>
      </c>
      <c r="F3343" s="23" t="str">
        <f>IF(OR(E3343="",E3343="!!!"),"",IF(NOT(ISNA(VLOOKUP(E3343,E$1:E3342,1,FALSE()))),"OLD",IF(AND(E3343&lt;&gt;"",E3343&lt;&gt;"!!!"),"NEW","")))</f>
        <v> </v>
      </c>
      <c r="G3343" s="24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5" t="str">
        <f>IF(J3343&lt;&gt;1,"",IF(I3343="SBJ","CB","?"))</f>
        <v> </v>
      </c>
      <c r="I3343" s="26" t="str">
        <f>IF(OR(E3343="",E3343="!!!",F3343="NEW"),"",INDEX(B3342:B$2,-1+SUMPRODUCT(MAX(ROW(E3342:E$2)*(E3343=E3342:E$2)))))</f>
        <v> </v>
      </c>
      <c r="J3343" s="26" t="str">
        <f>IF(OR(E3343="",E3343="!!!",F3343="NEW"),"",COUNTBLANK(OFFSET(A$1,,,SUMPRODUCT(MAX(ROW(E$2:E3343)*(E3343=E$2:E3343)))))-COUNTBLANK(OFFSET(A$1,,,SUMPRODUCT(MAX(ROW(E$1:E3342)*(E2=E$1:E3342))))))</f>
        <v> </v>
      </c>
      <c r="K3343" s="26" t="str">
        <f>IF(OR(E3343="",E3343="!!!",F3343="NEW"),"",INDEX(J$1:J3342,SUMPRODUCT(MAX(ROW(E$1:E3342)*(E3343=E$1:E3342)))))</f>
        <v> </v>
      </c>
      <c r="L3343" s="27"/>
    </row>
    <row r="3344" spans="1:12">
      <c r="A3344" s="20" t="s">
        <v>1038</v>
      </c>
      <c r="E3344" s="22">
        <f>IF(D3344="?OLD","!!!","")</f>
        <v/>
      </c>
      <c r="F3344" s="23" t="str">
        <f>IF(OR(E3344="",E3344="!!!"),"",IF(NOT(ISNA(VLOOKUP(E3344,E$1:E3343,1,FALSE()))),"OLD",IF(AND(E3344&lt;&gt;"",E3344&lt;&gt;"!!!"),"NEW","")))</f>
        <v> </v>
      </c>
      <c r="G3344" s="24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5" t="str">
        <f>IF(J3344&lt;&gt;1,"",IF(I3344="SBJ","CB","?"))</f>
        <v> </v>
      </c>
      <c r="I3344" s="26" t="str">
        <f>IF(OR(E3344="",E3344="!!!",F3344="NEW"),"",INDEX(B3343:B$2,-1+SUMPRODUCT(MAX(ROW(E3343:E$2)*(E3344=E3343:E$2)))))</f>
        <v> </v>
      </c>
      <c r="J3344" s="26" t="str">
        <f>IF(OR(E3344="",E3344="!!!",F3344="NEW"),"",COUNTBLANK(OFFSET(A$1,,,SUMPRODUCT(MAX(ROW(E$2:E3344)*(E3344=E$2:E3344)))))-COUNTBLANK(OFFSET(A$1,,,SUMPRODUCT(MAX(ROW(E$1:E3343)*(E2=E$1:E3343))))))</f>
        <v> </v>
      </c>
      <c r="K3344" s="26" t="str">
        <f>IF(OR(E3344="",E3344="!!!",F3344="NEW"),"",INDEX(J$1:J3343,SUMPRODUCT(MAX(ROW(E$1:E3343)*(E3344=E$1:E3343)))))</f>
        <v> </v>
      </c>
      <c r="L3344" s="27"/>
    </row>
    <row r="3345" spans="1:12">
      <c r="A3345" s="20" t="s">
        <v>1124</v>
      </c>
      <c r="B3345" s="21" t="s">
        <v>1031</v>
      </c>
      <c r="C3345" s="21" t="s">
        <v>1032</v>
      </c>
      <c r="D3345" s="21" t="s">
        <v>950</v>
      </c>
      <c r="E3345" s="22">
        <f>IF(D3345="?OLD","!!!","")</f>
        <v/>
      </c>
      <c r="F3345" s="23" t="str">
        <f>IF(OR(E3345="",E3345="!!!"),"",IF(NOT(ISNA(VLOOKUP(E3345,E$1:E3344,1,FALSE()))),"OLD",IF(AND(E3345&lt;&gt;"",E3345&lt;&gt;"!!!"),"NEW","")))</f>
        <v> </v>
      </c>
      <c r="G3345" s="24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5" t="str">
        <f>IF(J3345&lt;&gt;1,"",IF(I3345="SBJ","CB","?"))</f>
        <v> </v>
      </c>
      <c r="I3345" s="26" t="str">
        <f>IF(OR(E3345="",E3345="!!!",F3345="NEW"),"",INDEX(B3344:B$2,-1+SUMPRODUCT(MAX(ROW(E3344:E$2)*(E3345=E3344:E$2)))))</f>
        <v> </v>
      </c>
      <c r="J3345" s="26" t="str">
        <f>IF(OR(E3345="",E3345="!!!",F3345="NEW"),"",COUNTBLANK(OFFSET(A$1,,,SUMPRODUCT(MAX(ROW(E$2:E3345)*(E3345=E$2:E3345)))))-COUNTBLANK(OFFSET(A$1,,,SUMPRODUCT(MAX(ROW(E$1:E3344)*(E2=E$1:E3344))))))</f>
        <v> </v>
      </c>
      <c r="K3345" s="26" t="str">
        <f>IF(OR(E3345="",E3345="!!!",F3345="NEW"),"",INDEX(J$1:J3344,SUMPRODUCT(MAX(ROW(E$1:E3344)*(E3345=E$1:E3344)))))</f>
        <v> </v>
      </c>
      <c r="L3345" s="27"/>
    </row>
    <row r="3346" spans="1:12">
      <c r="A3346" s="20" t="s">
        <v>984</v>
      </c>
      <c r="E3346" s="22">
        <f>IF(D3346="?OLD","!!!","")</f>
        <v/>
      </c>
      <c r="F3346" s="23" t="str">
        <f>IF(OR(E3346="",E3346="!!!"),"",IF(NOT(ISNA(VLOOKUP(E3346,E$1:E3345,1,FALSE()))),"OLD",IF(AND(E3346&lt;&gt;"",E3346&lt;&gt;"!!!"),"NEW","")))</f>
        <v> </v>
      </c>
      <c r="G3346" s="24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5" t="str">
        <f>IF(J3346&lt;&gt;1,"",IF(I3346="SBJ","CB","?"))</f>
        <v> </v>
      </c>
      <c r="I3346" s="26" t="str">
        <f>IF(OR(E3346="",E3346="!!!",F3346="NEW"),"",INDEX(B3345:B$2,-1+SUMPRODUCT(MAX(ROW(E3345:E$2)*(E3346=E3345:E$2)))))</f>
        <v> </v>
      </c>
      <c r="J3346" s="26" t="str">
        <f>IF(OR(E3346="",E3346="!!!",F3346="NEW"),"",COUNTBLANK(OFFSET(A$1,,,SUMPRODUCT(MAX(ROW(E$2:E3346)*(E3346=E$2:E3346)))))-COUNTBLANK(OFFSET(A$1,,,SUMPRODUCT(MAX(ROW(E$1:E3345)*(E2=E$1:E3345))))))</f>
        <v> </v>
      </c>
      <c r="K3346" s="26" t="str">
        <f>IF(OR(E3346="",E3346="!!!",F3346="NEW"),"",INDEX(J$1:J3345,SUMPRODUCT(MAX(ROW(E$1:E3345)*(E3346=E$1:E3345)))))</f>
        <v> </v>
      </c>
      <c r="L3346" s="27"/>
    </row>
    <row r="3347" spans="1:12">
      <c r="A3347" s="20"/>
    </row>
    <row r="3348" spans="1:12">
      <c r="A3348" s="20" t="s">
        <v>1939</v>
      </c>
    </row>
    <row r="3349" spans="1:12">
      <c r="A3349" s="20" t="s">
        <v>1242</v>
      </c>
      <c r="E3349" s="22">
        <f>IF(D3349="?OLD","!!!","")</f>
        <v/>
      </c>
      <c r="F3349" s="23" t="str">
        <f>IF(OR(E3349="",E3349="!!!"),"",IF(NOT(ISNA(VLOOKUP(E3349,E$1:E3348,1,FALSE()))),"OLD",IF(AND(E3349&lt;&gt;"",E3349&lt;&gt;"!!!"),"NEW","")))</f>
        <v> </v>
      </c>
      <c r="G3349" s="24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5" t="str">
        <f>IF(J3349&lt;&gt;1,"",IF(I3349="SBJ","CB","?"))</f>
        <v> </v>
      </c>
      <c r="I3349" s="26" t="str">
        <f>IF(OR(E3349="",E3349="!!!",F3349="NEW"),"",INDEX(B3348:B$2,-1+SUMPRODUCT(MAX(ROW(E3348:E$2)*(E3349=E3348:E$2)))))</f>
        <v> </v>
      </c>
      <c r="J3349" s="26" t="str">
        <f>IF(OR(E3349="",E3349="!!!",F3349="NEW"),"",COUNTBLANK(OFFSET(A$1,,,SUMPRODUCT(MAX(ROW(E$2:E3349)*(E3349=E$2:E3349)))))-COUNTBLANK(OFFSET(A$1,,,SUMPRODUCT(MAX(ROW(E$1:E3348)*(E2=E$1:E3348))))))</f>
        <v> </v>
      </c>
      <c r="K3349" s="26" t="str">
        <f>IF(OR(E3349="",E3349="!!!",F3349="NEW"),"",INDEX(J$1:J3348,SUMPRODUCT(MAX(ROW(E$1:E3348)*(E3349=E$1:E3348)))))</f>
        <v> </v>
      </c>
      <c r="L3349" s="27"/>
    </row>
    <row r="3350" spans="1:12">
      <c r="A3350" s="20" t="s">
        <v>1022</v>
      </c>
      <c r="E3350" s="22">
        <f>IF(D3350="?OLD","!!!","")</f>
        <v/>
      </c>
      <c r="F3350" s="23" t="str">
        <f>IF(OR(E3350="",E3350="!!!"),"",IF(NOT(ISNA(VLOOKUP(E3350,E$1:E3349,1,FALSE()))),"OLD",IF(AND(E3350&lt;&gt;"",E3350&lt;&gt;"!!!"),"NEW","")))</f>
        <v> </v>
      </c>
      <c r="G3350" s="24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5" t="str">
        <f>IF(J3350&lt;&gt;1,"",IF(I3350="SBJ","CB","?"))</f>
        <v> </v>
      </c>
      <c r="I3350" s="26" t="str">
        <f>IF(OR(E3350="",E3350="!!!",F3350="NEW"),"",INDEX(B3349:B$2,-1+SUMPRODUCT(MAX(ROW(E3349:E$2)*(E3350=E3349:E$2)))))</f>
        <v> </v>
      </c>
      <c r="J3350" s="26" t="str">
        <f>IF(OR(E3350="",E3350="!!!",F3350="NEW"),"",COUNTBLANK(OFFSET(A$1,,,SUMPRODUCT(MAX(ROW(E$2:E3350)*(E3350=E$2:E3350)))))-COUNTBLANK(OFFSET(A$1,,,SUMPRODUCT(MAX(ROW(E$1:E3349)*(E2=E$1:E3349))))))</f>
        <v> </v>
      </c>
      <c r="K3350" s="26" t="str">
        <f>IF(OR(E3350="",E3350="!!!",F3350="NEW"),"",INDEX(J$1:J3349,SUMPRODUCT(MAX(ROW(E$1:E3349)*(E3350=E$1:E3349)))))</f>
        <v> </v>
      </c>
      <c r="L3350" s="27"/>
    </row>
    <row r="3351" spans="1:12">
      <c r="A3351" s="20" t="s">
        <v>1575</v>
      </c>
      <c r="E3351" s="22">
        <f>IF(D3351="?OLD","!!!","")</f>
        <v/>
      </c>
      <c r="F3351" s="23" t="str">
        <f>IF(OR(E3351="",E3351="!!!"),"",IF(NOT(ISNA(VLOOKUP(E3351,E$1:E3350,1,FALSE()))),"OLD",IF(AND(E3351&lt;&gt;"",E3351&lt;&gt;"!!!"),"NEW","")))</f>
        <v> </v>
      </c>
      <c r="G3351" s="24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5" t="str">
        <f>IF(J3351&lt;&gt;1,"",IF(I3351="SBJ","CB","?"))</f>
        <v> </v>
      </c>
      <c r="I3351" s="26" t="str">
        <f>IF(OR(E3351="",E3351="!!!",F3351="NEW"),"",INDEX(B3350:B$2,-1+SUMPRODUCT(MAX(ROW(E3350:E$2)*(E3351=E3350:E$2)))))</f>
        <v> </v>
      </c>
      <c r="J3351" s="26" t="str">
        <f>IF(OR(E3351="",E3351="!!!",F3351="NEW"),"",COUNTBLANK(OFFSET(A$1,,,SUMPRODUCT(MAX(ROW(E$2:E3351)*(E3351=E$2:E3351)))))-COUNTBLANK(OFFSET(A$1,,,SUMPRODUCT(MAX(ROW(E$1:E3350)*(E2=E$1:E3350))))))</f>
        <v> </v>
      </c>
      <c r="K3351" s="26" t="str">
        <f>IF(OR(E3351="",E3351="!!!",F3351="NEW"),"",INDEX(J$1:J3350,SUMPRODUCT(MAX(ROW(E$1:E3350)*(E3351=E$1:E3350)))))</f>
        <v> </v>
      </c>
      <c r="L3351" s="27"/>
    </row>
    <row r="3352" spans="1:12">
      <c r="A3352" s="20" t="s">
        <v>1940</v>
      </c>
      <c r="B3352" s="21" t="s">
        <v>948</v>
      </c>
      <c r="C3352" s="21" t="s">
        <v>976</v>
      </c>
      <c r="D3352" s="21" t="s">
        <v>950</v>
      </c>
      <c r="E3352" s="22">
        <f>IF(D3352="?OLD","!!!","")</f>
        <v/>
      </c>
      <c r="F3352" s="23" t="str">
        <f>IF(OR(E3352="",E3352="!!!"),"",IF(NOT(ISNA(VLOOKUP(E3352,E$1:E3351,1,FALSE()))),"OLD",IF(AND(E3352&lt;&gt;"",E3352&lt;&gt;"!!!"),"NEW","")))</f>
        <v> </v>
      </c>
      <c r="G3352" s="24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5" t="str">
        <f>IF(J3352&lt;&gt;1,"",IF(I3352="SBJ","CB","?"))</f>
        <v> </v>
      </c>
      <c r="I3352" s="26" t="str">
        <f>IF(OR(E3352="",E3352="!!!",F3352="NEW"),"",INDEX(B3351:B$2,-1+SUMPRODUCT(MAX(ROW(E3351:E$2)*(E3352=E3351:E$2)))))</f>
        <v> </v>
      </c>
      <c r="J3352" s="26" t="str">
        <f>IF(OR(E3352="",E3352="!!!",F3352="NEW"),"",COUNTBLANK(OFFSET(A$1,,,SUMPRODUCT(MAX(ROW(E$2:E3352)*(E3352=E$2:E3352)))))-COUNTBLANK(OFFSET(A$1,,,SUMPRODUCT(MAX(ROW(E$1:E3351)*(E2=E$1:E3351))))))</f>
        <v> </v>
      </c>
      <c r="K3352" s="26" t="str">
        <f>IF(OR(E3352="",E3352="!!!",F3352="NEW"),"",INDEX(J$1:J3351,SUMPRODUCT(MAX(ROW(E$1:E3351)*(E3352=E$1:E3351)))))</f>
        <v> </v>
      </c>
      <c r="L3352" s="27"/>
    </row>
    <row r="3353" spans="1:12">
      <c r="A3353" s="20" t="s">
        <v>977</v>
      </c>
      <c r="E3353" s="22">
        <f>IF(D3353="?OLD","!!!","")</f>
        <v/>
      </c>
      <c r="F3353" s="23" t="str">
        <f>IF(OR(E3353="",E3353="!!!"),"",IF(NOT(ISNA(VLOOKUP(E3353,E$1:E3352,1,FALSE()))),"OLD",IF(AND(E3353&lt;&gt;"",E3353&lt;&gt;"!!!"),"NEW","")))</f>
        <v> </v>
      </c>
      <c r="G3353" s="24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5" t="str">
        <f>IF(J3353&lt;&gt;1,"",IF(I3353="SBJ","CB","?"))</f>
        <v> </v>
      </c>
      <c r="I3353" s="26" t="str">
        <f>IF(OR(E3353="",E3353="!!!",F3353="NEW"),"",INDEX(B3352:B$2,-1+SUMPRODUCT(MAX(ROW(E3352:E$2)*(E3353=E3352:E$2)))))</f>
        <v> </v>
      </c>
      <c r="J3353" s="26" t="str">
        <f>IF(OR(E3353="",E3353="!!!",F3353="NEW"),"",COUNTBLANK(OFFSET(A$1,,,SUMPRODUCT(MAX(ROW(E$2:E3353)*(E3353=E$2:E3353)))))-COUNTBLANK(OFFSET(A$1,,,SUMPRODUCT(MAX(ROW(E$1:E3352)*(E2=E$1:E3352))))))</f>
        <v> </v>
      </c>
      <c r="K3353" s="26" t="str">
        <f>IF(OR(E3353="",E3353="!!!",F3353="NEW"),"",INDEX(J$1:J3352,SUMPRODUCT(MAX(ROW(E$1:E3352)*(E3353=E$1:E3352)))))</f>
        <v> </v>
      </c>
      <c r="L3353" s="27"/>
    </row>
    <row r="3354" spans="1:12">
      <c r="A3354" s="20" t="s">
        <v>1941</v>
      </c>
      <c r="B3354" s="21" t="s">
        <v>948</v>
      </c>
      <c r="C3354" s="21" t="s">
        <v>976</v>
      </c>
      <c r="D3354" s="21" t="s">
        <v>950</v>
      </c>
      <c r="E3354" s="22">
        <f>IF(D3354="?OLD","!!!","")</f>
        <v/>
      </c>
      <c r="F3354" s="23" t="str">
        <f>IF(OR(E3354="",E3354="!!!"),"",IF(NOT(ISNA(VLOOKUP(E3354,E$1:E3353,1,FALSE()))),"OLD",IF(AND(E3354&lt;&gt;"",E3354&lt;&gt;"!!!"),"NEW","")))</f>
        <v> </v>
      </c>
      <c r="G3354" s="24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5" t="str">
        <f>IF(J3354&lt;&gt;1,"",IF(I3354="SBJ","CB","?"))</f>
        <v> </v>
      </c>
      <c r="I3354" s="26" t="str">
        <f>IF(OR(E3354="",E3354="!!!",F3354="NEW"),"",INDEX(B3353:B$2,-1+SUMPRODUCT(MAX(ROW(E3353:E$2)*(E3354=E3353:E$2)))))</f>
        <v> </v>
      </c>
      <c r="J3354" s="26" t="str">
        <f>IF(OR(E3354="",E3354="!!!",F3354="NEW"),"",COUNTBLANK(OFFSET(A$1,,,SUMPRODUCT(MAX(ROW(E$2:E3354)*(E3354=E$2:E3354)))))-COUNTBLANK(OFFSET(A$1,,,SUMPRODUCT(MAX(ROW(E$1:E3353)*(E2=E$1:E3353))))))</f>
        <v> </v>
      </c>
      <c r="K3354" s="26" t="str">
        <f>IF(OR(E3354="",E3354="!!!",F3354="NEW"),"",INDEX(J$1:J3353,SUMPRODUCT(MAX(ROW(E$1:E3353)*(E3354=E$1:E3353)))))</f>
        <v> </v>
      </c>
      <c r="L3354" s="27"/>
    </row>
    <row r="3355" spans="1:12">
      <c r="A3355" s="20" t="s">
        <v>1075</v>
      </c>
      <c r="E3355" s="22">
        <f>IF(D3355="?OLD","!!!","")</f>
        <v/>
      </c>
      <c r="F3355" s="23" t="str">
        <f>IF(OR(E3355="",E3355="!!!"),"",IF(NOT(ISNA(VLOOKUP(E3355,E$1:E3354,1,FALSE()))),"OLD",IF(AND(E3355&lt;&gt;"",E3355&lt;&gt;"!!!"),"NEW","")))</f>
        <v> </v>
      </c>
      <c r="G3355" s="24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5" t="str">
        <f>IF(J3355&lt;&gt;1,"",IF(I3355="SBJ","CB","?"))</f>
        <v> </v>
      </c>
      <c r="I3355" s="26" t="str">
        <f>IF(OR(E3355="",E3355="!!!",F3355="NEW"),"",INDEX(B3354:B$2,-1+SUMPRODUCT(MAX(ROW(E3354:E$2)*(E3355=E3354:E$2)))))</f>
        <v> </v>
      </c>
      <c r="J3355" s="26" t="str">
        <f>IF(OR(E3355="",E3355="!!!",F3355="NEW"),"",COUNTBLANK(OFFSET(A$1,,,SUMPRODUCT(MAX(ROW(E$2:E3355)*(E3355=E$2:E3355)))))-COUNTBLANK(OFFSET(A$1,,,SUMPRODUCT(MAX(ROW(E$1:E3354)*(E2=E$1:E3354))))))</f>
        <v> </v>
      </c>
      <c r="K3355" s="26" t="str">
        <f>IF(OR(E3355="",E3355="!!!",F3355="NEW"),"",INDEX(J$1:J3354,SUMPRODUCT(MAX(ROW(E$1:E3354)*(E3355=E$1:E3354)))))</f>
        <v> </v>
      </c>
      <c r="L3355" s="27"/>
    </row>
    <row r="3356" spans="1:12">
      <c r="A3356" s="20" t="s">
        <v>1094</v>
      </c>
      <c r="B3356" s="21" t="s">
        <v>1031</v>
      </c>
      <c r="C3356" s="21" t="s">
        <v>976</v>
      </c>
      <c r="D3356" s="21" t="s">
        <v>950</v>
      </c>
      <c r="E3356" s="22">
        <f>IF(D3356="?OLD","!!!","")</f>
        <v/>
      </c>
      <c r="F3356" s="23" t="str">
        <f>IF(OR(E3356="",E3356="!!!"),"",IF(NOT(ISNA(VLOOKUP(E3356,E$1:E3355,1,FALSE()))),"OLD",IF(AND(E3356&lt;&gt;"",E3356&lt;&gt;"!!!"),"NEW","")))</f>
        <v> </v>
      </c>
      <c r="G3356" s="24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5" t="str">
        <f>IF(J3356&lt;&gt;1,"",IF(I3356="SBJ","CB","?"))</f>
        <v> </v>
      </c>
      <c r="I3356" s="26" t="str">
        <f>IF(OR(E3356="",E3356="!!!",F3356="NEW"),"",INDEX(B3355:B$2,-1+SUMPRODUCT(MAX(ROW(E3355:E$2)*(E3356=E3355:E$2)))))</f>
        <v> </v>
      </c>
      <c r="J3356" s="26" t="str">
        <f>IF(OR(E3356="",E3356="!!!",F3356="NEW"),"",COUNTBLANK(OFFSET(A$1,,,SUMPRODUCT(MAX(ROW(E$2:E3356)*(E3356=E$2:E3356)))))-COUNTBLANK(OFFSET(A$1,,,SUMPRODUCT(MAX(ROW(E$1:E3355)*(E2=E$1:E3355))))))</f>
        <v> </v>
      </c>
      <c r="K3356" s="26" t="str">
        <f>IF(OR(E3356="",E3356="!!!",F3356="NEW"),"",INDEX(J$1:J3355,SUMPRODUCT(MAX(ROW(E$1:E3355)*(E3356=E$1:E3355)))))</f>
        <v> </v>
      </c>
      <c r="L3356" s="27"/>
    </row>
    <row r="3357" spans="1:12">
      <c r="A3357" s="20" t="s">
        <v>1168</v>
      </c>
      <c r="E3357" s="22">
        <f>IF(D3357="?OLD","!!!","")</f>
        <v/>
      </c>
      <c r="F3357" s="23" t="str">
        <f>IF(OR(E3357="",E3357="!!!"),"",IF(NOT(ISNA(VLOOKUP(E3357,E$1:E3356,1,FALSE()))),"OLD",IF(AND(E3357&lt;&gt;"",E3357&lt;&gt;"!!!"),"NEW","")))</f>
        <v> </v>
      </c>
      <c r="G3357" s="24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5" t="str">
        <f>IF(J3357&lt;&gt;1,"",IF(I3357="SBJ","CB","?"))</f>
        <v> </v>
      </c>
      <c r="I3357" s="26" t="str">
        <f>IF(OR(E3357="",E3357="!!!",F3357="NEW"),"",INDEX(B3356:B$2,-1+SUMPRODUCT(MAX(ROW(E3356:E$2)*(E3357=E3356:E$2)))))</f>
        <v> </v>
      </c>
      <c r="J3357" s="26" t="str">
        <f>IF(OR(E3357="",E3357="!!!",F3357="NEW"),"",COUNTBLANK(OFFSET(A$1,,,SUMPRODUCT(MAX(ROW(E$2:E3357)*(E3357=E$2:E3357)))))-COUNTBLANK(OFFSET(A$1,,,SUMPRODUCT(MAX(ROW(E$1:E3356)*(E2=E$1:E3356))))))</f>
        <v> </v>
      </c>
      <c r="K3357" s="26" t="str">
        <f>IF(OR(E3357="",E3357="!!!",F3357="NEW"),"",INDEX(J$1:J3356,SUMPRODUCT(MAX(ROW(E$1:E3356)*(E3357=E$1:E3356)))))</f>
        <v> </v>
      </c>
      <c r="L3357" s="27"/>
    </row>
    <row r="3358" spans="1:12">
      <c r="A3358" s="20" t="s">
        <v>1203</v>
      </c>
      <c r="E3358" s="22">
        <f>IF(D3358="?OLD","!!!","")</f>
        <v/>
      </c>
      <c r="F3358" s="23" t="str">
        <f>IF(OR(E3358="",E3358="!!!"),"",IF(NOT(ISNA(VLOOKUP(E3358,E$1:E3357,1,FALSE()))),"OLD",IF(AND(E3358&lt;&gt;"",E3358&lt;&gt;"!!!"),"NEW","")))</f>
        <v> </v>
      </c>
      <c r="G3358" s="24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5" t="str">
        <f>IF(J3358&lt;&gt;1,"",IF(I3358="SBJ","CB","?"))</f>
        <v> </v>
      </c>
      <c r="I3358" s="26" t="str">
        <f>IF(OR(E3358="",E3358="!!!",F3358="NEW"),"",INDEX(B3357:B$2,-1+SUMPRODUCT(MAX(ROW(E3357:E$2)*(E3358=E3357:E$2)))))</f>
        <v> </v>
      </c>
      <c r="J3358" s="26" t="str">
        <f>IF(OR(E3358="",E3358="!!!",F3358="NEW"),"",COUNTBLANK(OFFSET(A$1,,,SUMPRODUCT(MAX(ROW(E$2:E3358)*(E3358=E$2:E3358)))))-COUNTBLANK(OFFSET(A$1,,,SUMPRODUCT(MAX(ROW(E$1:E3357)*(E2=E$1:E3357))))))</f>
        <v> </v>
      </c>
      <c r="K3358" s="26" t="str">
        <f>IF(OR(E3358="",E3358="!!!",F3358="NEW"),"",INDEX(J$1:J3357,SUMPRODUCT(MAX(ROW(E$1:E3357)*(E3358=E$1:E3357)))))</f>
        <v> </v>
      </c>
      <c r="L3358" s="27"/>
    </row>
    <row r="3359" spans="1:12">
      <c r="A3359" s="20" t="s">
        <v>977</v>
      </c>
      <c r="E3359" s="22">
        <f>IF(D3359="?OLD","!!!","")</f>
        <v/>
      </c>
      <c r="F3359" s="23" t="str">
        <f>IF(OR(E3359="",E3359="!!!"),"",IF(NOT(ISNA(VLOOKUP(E3359,E$1:E3358,1,FALSE()))),"OLD",IF(AND(E3359&lt;&gt;"",E3359&lt;&gt;"!!!"),"NEW","")))</f>
        <v> </v>
      </c>
      <c r="G3359" s="24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5" t="str">
        <f>IF(J3359&lt;&gt;1,"",IF(I3359="SBJ","CB","?"))</f>
        <v> </v>
      </c>
      <c r="I3359" s="26" t="str">
        <f>IF(OR(E3359="",E3359="!!!",F3359="NEW"),"",INDEX(B3358:B$2,-1+SUMPRODUCT(MAX(ROW(E3358:E$2)*(E3359=E3358:E$2)))))</f>
        <v> </v>
      </c>
      <c r="J3359" s="26" t="str">
        <f>IF(OR(E3359="",E3359="!!!",F3359="NEW"),"",COUNTBLANK(OFFSET(A$1,,,SUMPRODUCT(MAX(ROW(E$2:E3359)*(E3359=E$2:E3359)))))-COUNTBLANK(OFFSET(A$1,,,SUMPRODUCT(MAX(ROW(E$1:E3358)*(E2=E$1:E3358))))))</f>
        <v> </v>
      </c>
      <c r="K3359" s="26" t="str">
        <f>IF(OR(E3359="",E3359="!!!",F3359="NEW"),"",INDEX(J$1:J3358,SUMPRODUCT(MAX(ROW(E$1:E3358)*(E3359=E$1:E3358)))))</f>
        <v> </v>
      </c>
      <c r="L3359" s="27"/>
    </row>
    <row r="3360" spans="1:12">
      <c r="A3360" s="20" t="s">
        <v>135</v>
      </c>
      <c r="E3360" s="22">
        <f>IF(D3360="?OLD","!!!","")</f>
        <v/>
      </c>
      <c r="F3360" s="23" t="str">
        <f>IF(OR(E3360="",E3360="!!!"),"",IF(NOT(ISNA(VLOOKUP(E3360,E$1:E3359,1,FALSE()))),"OLD",IF(AND(E3360&lt;&gt;"",E3360&lt;&gt;"!!!"),"NEW","")))</f>
        <v> </v>
      </c>
      <c r="G3360" s="24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5" t="str">
        <f>IF(J3360&lt;&gt;1,"",IF(I3360="SBJ","CB","?"))</f>
        <v> </v>
      </c>
      <c r="I3360" s="26" t="str">
        <f>IF(OR(E3360="",E3360="!!!",F3360="NEW"),"",INDEX(B3359:B$2,-1+SUMPRODUCT(MAX(ROW(E3359:E$2)*(E3360=E3359:E$2)))))</f>
        <v> </v>
      </c>
      <c r="J3360" s="26" t="str">
        <f>IF(OR(E3360="",E3360="!!!",F3360="NEW"),"",COUNTBLANK(OFFSET(A$1,,,SUMPRODUCT(MAX(ROW(E$2:E3360)*(E3360=E$2:E3360)))))-COUNTBLANK(OFFSET(A$1,,,SUMPRODUCT(MAX(ROW(E$1:E3359)*(E2=E$1:E3359))))))</f>
        <v> </v>
      </c>
      <c r="K3360" s="26" t="str">
        <f>IF(OR(E3360="",E3360="!!!",F3360="NEW"),"",INDEX(J$1:J3359,SUMPRODUCT(MAX(ROW(E$1:E3359)*(E3360=E$1:E3359)))))</f>
        <v> </v>
      </c>
      <c r="L3360" s="27"/>
    </row>
    <row r="3361" spans="1:12">
      <c r="A3361" s="20" t="s">
        <v>1124</v>
      </c>
      <c r="B3361" s="21" t="s">
        <v>982</v>
      </c>
      <c r="C3361" s="21" t="s">
        <v>1125</v>
      </c>
      <c r="E3361" s="22">
        <f>IF(D3361="?OLD","!!!","")</f>
        <v/>
      </c>
      <c r="F3361" s="23" t="str">
        <f>IF(OR(E3361="",E3361="!!!"),"",IF(NOT(ISNA(VLOOKUP(E3361,E$1:E3360,1,FALSE()))),"OLD",IF(AND(E3361&lt;&gt;"",E3361&lt;&gt;"!!!"),"NEW","")))</f>
        <v> </v>
      </c>
      <c r="G3361" s="24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5" t="str">
        <f>IF(J3361&lt;&gt;1,"",IF(I3361="SBJ","CB","?"))</f>
        <v> </v>
      </c>
      <c r="I3361" s="26" t="str">
        <f>IF(OR(E3361="",E3361="!!!",F3361="NEW"),"",INDEX(B3360:B$2,-1+SUMPRODUCT(MAX(ROW(E3360:E$2)*(E3361=E3360:E$2)))))</f>
        <v> </v>
      </c>
      <c r="J3361" s="26" t="str">
        <f>IF(OR(E3361="",E3361="!!!",F3361="NEW"),"",COUNTBLANK(OFFSET(A$1,,,SUMPRODUCT(MAX(ROW(E$2:E3361)*(E3361=E$2:E3361)))))-COUNTBLANK(OFFSET(A$1,,,SUMPRODUCT(MAX(ROW(E$1:E3360)*(E2=E$1:E3360))))))</f>
        <v> </v>
      </c>
      <c r="K3361" s="26" t="str">
        <f>IF(OR(E3361="",E3361="!!!",F3361="NEW"),"",INDEX(J$1:J3360,SUMPRODUCT(MAX(ROW(E$1:E3360)*(E3361=E$1:E3360)))))</f>
        <v> </v>
      </c>
      <c r="L3361" s="27"/>
    </row>
    <row r="3362" spans="1:12">
      <c r="A3362" s="20" t="s">
        <v>1000</v>
      </c>
      <c r="E3362" s="22">
        <f>IF(D3362="?OLD","!!!","")</f>
        <v/>
      </c>
      <c r="F3362" s="23" t="str">
        <f>IF(OR(E3362="",E3362="!!!"),"",IF(NOT(ISNA(VLOOKUP(E3362,E$1:E3361,1,FALSE()))),"OLD",IF(AND(E3362&lt;&gt;"",E3362&lt;&gt;"!!!"),"NEW","")))</f>
        <v> </v>
      </c>
      <c r="G3362" s="24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5" t="str">
        <f>IF(J3362&lt;&gt;1,"",IF(I3362="SBJ","CB","?"))</f>
        <v> </v>
      </c>
      <c r="I3362" s="26" t="str">
        <f>IF(OR(E3362="",E3362="!!!",F3362="NEW"),"",INDEX(B3361:B$2,-1+SUMPRODUCT(MAX(ROW(E3361:E$2)*(E3362=E3361:E$2)))))</f>
        <v> </v>
      </c>
      <c r="J3362" s="26" t="str">
        <f>IF(OR(E3362="",E3362="!!!",F3362="NEW"),"",COUNTBLANK(OFFSET(A$1,,,SUMPRODUCT(MAX(ROW(E$2:E3362)*(E3362=E$2:E3362)))))-COUNTBLANK(OFFSET(A$1,,,SUMPRODUCT(MAX(ROW(E$1:E3361)*(E2=E$1:E3361))))))</f>
        <v> </v>
      </c>
      <c r="K3362" s="26" t="str">
        <f>IF(OR(E3362="",E3362="!!!",F3362="NEW"),"",INDEX(J$1:J3361,SUMPRODUCT(MAX(ROW(E$1:E3361)*(E3362=E$1:E3361)))))</f>
        <v> </v>
      </c>
      <c r="L3362" s="27"/>
    </row>
    <row r="3363" spans="1:12">
      <c r="A3363" s="20" t="s">
        <v>1075</v>
      </c>
      <c r="E3363" s="22">
        <f>IF(D3363="?OLD","!!!","")</f>
        <v/>
      </c>
      <c r="F3363" s="23" t="str">
        <f>IF(OR(E3363="",E3363="!!!"),"",IF(NOT(ISNA(VLOOKUP(E3363,E$1:E3362,1,FALSE()))),"OLD",IF(AND(E3363&lt;&gt;"",E3363&lt;&gt;"!!!"),"NEW","")))</f>
        <v> </v>
      </c>
      <c r="G3363" s="24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5" t="str">
        <f>IF(J3363&lt;&gt;1,"",IF(I3363="SBJ","CB","?"))</f>
        <v> </v>
      </c>
      <c r="I3363" s="26" t="str">
        <f>IF(OR(E3363="",E3363="!!!",F3363="NEW"),"",INDEX(B3362:B$2,-1+SUMPRODUCT(MAX(ROW(E3362:E$2)*(E3363=E3362:E$2)))))</f>
        <v> </v>
      </c>
      <c r="J3363" s="26" t="str">
        <f>IF(OR(E3363="",E3363="!!!",F3363="NEW"),"",COUNTBLANK(OFFSET(A$1,,,SUMPRODUCT(MAX(ROW(E$2:E3363)*(E3363=E$2:E3363)))))-COUNTBLANK(OFFSET(A$1,,,SUMPRODUCT(MAX(ROW(E$1:E3362)*(E2=E$1:E3362))))))</f>
        <v> </v>
      </c>
      <c r="K3363" s="26" t="str">
        <f>IF(OR(E3363="",E3363="!!!",F3363="NEW"),"",INDEX(J$1:J3362,SUMPRODUCT(MAX(ROW(E$1:E3362)*(E3363=E$1:E3362)))))</f>
        <v> </v>
      </c>
      <c r="L3363" s="27"/>
    </row>
    <row r="3364" spans="1:12">
      <c r="A3364" s="20" t="s">
        <v>1038</v>
      </c>
      <c r="E3364" s="22">
        <f>IF(D3364="?OLD","!!!","")</f>
        <v/>
      </c>
      <c r="F3364" s="23" t="str">
        <f>IF(OR(E3364="",E3364="!!!"),"",IF(NOT(ISNA(VLOOKUP(E3364,E$1:E3363,1,FALSE()))),"OLD",IF(AND(E3364&lt;&gt;"",E3364&lt;&gt;"!!!"),"NEW","")))</f>
        <v> </v>
      </c>
      <c r="G3364" s="24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5" t="str">
        <f>IF(J3364&lt;&gt;1,"",IF(I3364="SBJ","CB","?"))</f>
        <v> </v>
      </c>
      <c r="I3364" s="26" t="str">
        <f>IF(OR(E3364="",E3364="!!!",F3364="NEW"),"",INDEX(B3363:B$2,-1+SUMPRODUCT(MAX(ROW(E3363:E$2)*(E3364=E3363:E$2)))))</f>
        <v> </v>
      </c>
      <c r="J3364" s="26" t="str">
        <f>IF(OR(E3364="",E3364="!!!",F3364="NEW"),"",COUNTBLANK(OFFSET(A$1,,,SUMPRODUCT(MAX(ROW(E$2:E3364)*(E3364=E$2:E3364)))))-COUNTBLANK(OFFSET(A$1,,,SUMPRODUCT(MAX(ROW(E$1:E3363)*(E2=E$1:E3363))))))</f>
        <v> </v>
      </c>
      <c r="K3364" s="26" t="str">
        <f>IF(OR(E3364="",E3364="!!!",F3364="NEW"),"",INDEX(J$1:J3363,SUMPRODUCT(MAX(ROW(E$1:E3363)*(E3364=E$1:E3363)))))</f>
        <v> </v>
      </c>
      <c r="L3364" s="27"/>
    </row>
    <row r="3365" spans="1:12">
      <c r="A3365" s="20" t="s">
        <v>1942</v>
      </c>
      <c r="B3365" s="21" t="s">
        <v>982</v>
      </c>
      <c r="C3365" s="21" t="s">
        <v>949</v>
      </c>
      <c r="D3365" s="21" t="s">
        <v>950</v>
      </c>
      <c r="E3365" s="22">
        <f>IF(D3365="?OLD","!!!","")</f>
        <v/>
      </c>
      <c r="F3365" s="23" t="str">
        <f>IF(OR(E3365="",E3365="!!!"),"",IF(NOT(ISNA(VLOOKUP(E3365,E$1:E3364,1,FALSE()))),"OLD",IF(AND(E3365&lt;&gt;"",E3365&lt;&gt;"!!!"),"NEW","")))</f>
        <v> </v>
      </c>
      <c r="G3365" s="24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5" t="str">
        <f>IF(J3365&lt;&gt;1,"",IF(I3365="SBJ","CB","?"))</f>
        <v> </v>
      </c>
      <c r="I3365" s="26" t="str">
        <f>IF(OR(E3365="",E3365="!!!",F3365="NEW"),"",INDEX(B3364:B$2,-1+SUMPRODUCT(MAX(ROW(E3364:E$2)*(E3365=E3364:E$2)))))</f>
        <v> </v>
      </c>
      <c r="J3365" s="26" t="str">
        <f>IF(OR(E3365="",E3365="!!!",F3365="NEW"),"",COUNTBLANK(OFFSET(A$1,,,SUMPRODUCT(MAX(ROW(E$2:E3365)*(E3365=E$2:E3365)))))-COUNTBLANK(OFFSET(A$1,,,SUMPRODUCT(MAX(ROW(E$1:E3364)*(E2=E$1:E3364))))))</f>
        <v> </v>
      </c>
      <c r="K3365" s="26" t="str">
        <f>IF(OR(E3365="",E3365="!!!",F3365="NEW"),"",INDEX(J$1:J3364,SUMPRODUCT(MAX(ROW(E$1:E3364)*(E3365=E$1:E3364)))))</f>
        <v> </v>
      </c>
      <c r="L3365" s="27"/>
    </row>
    <row r="3366" spans="1:12">
      <c r="A3366" s="20" t="s">
        <v>984</v>
      </c>
      <c r="E3366" s="22">
        <f>IF(D3366="?OLD","!!!","")</f>
        <v/>
      </c>
      <c r="F3366" s="23" t="str">
        <f>IF(OR(E3366="",E3366="!!!"),"",IF(NOT(ISNA(VLOOKUP(E3366,E$1:E3365,1,FALSE()))),"OLD",IF(AND(E3366&lt;&gt;"",E3366&lt;&gt;"!!!"),"NEW","")))</f>
        <v> </v>
      </c>
      <c r="G3366" s="24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5" t="str">
        <f>IF(J3366&lt;&gt;1,"",IF(I3366="SBJ","CB","?"))</f>
        <v> </v>
      </c>
      <c r="I3366" s="26" t="str">
        <f>IF(OR(E3366="",E3366="!!!",F3366="NEW"),"",INDEX(B3365:B$2,-1+SUMPRODUCT(MAX(ROW(E3365:E$2)*(E3366=E3365:E$2)))))</f>
        <v> </v>
      </c>
      <c r="J3366" s="26" t="str">
        <f>IF(OR(E3366="",E3366="!!!",F3366="NEW"),"",COUNTBLANK(OFFSET(A$1,,,SUMPRODUCT(MAX(ROW(E$2:E3366)*(E3366=E$2:E3366)))))-COUNTBLANK(OFFSET(A$1,,,SUMPRODUCT(MAX(ROW(E$1:E3365)*(E2=E$1:E3365))))))</f>
        <v> </v>
      </c>
      <c r="K3366" s="26" t="str">
        <f>IF(OR(E3366="",E3366="!!!",F3366="NEW"),"",INDEX(J$1:J3365,SUMPRODUCT(MAX(ROW(E$1:E3365)*(E3366=E$1:E3365)))))</f>
        <v> </v>
      </c>
      <c r="L3366" s="27"/>
    </row>
    <row r="3367" spans="1:12">
      <c r="A3367" s="20"/>
    </row>
    <row r="3368" spans="1:12">
      <c r="A3368" s="20" t="s">
        <v>1943</v>
      </c>
    </row>
    <row r="3369" spans="1:12">
      <c r="A3369" s="20" t="s">
        <v>1016</v>
      </c>
      <c r="E3369" s="22">
        <f>IF(D3369="?OLD","!!!","")</f>
        <v/>
      </c>
      <c r="F3369" s="23" t="str">
        <f>IF(OR(E3369="",E3369="!!!"),"",IF(NOT(ISNA(VLOOKUP(E3369,E$1:E3368,1,FALSE()))),"OLD",IF(AND(E3369&lt;&gt;"",E3369&lt;&gt;"!!!"),"NEW","")))</f>
        <v> </v>
      </c>
      <c r="G3369" s="24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5" t="str">
        <f>IF(J3369&lt;&gt;1,"",IF(I3369="SBJ","CB","?"))</f>
        <v> </v>
      </c>
      <c r="I3369" s="26" t="str">
        <f>IF(OR(E3369="",E3369="!!!",F3369="NEW"),"",INDEX(B3368:B$2,-1+SUMPRODUCT(MAX(ROW(E3368:E$2)*(E3369=E3368:E$2)))))</f>
        <v> </v>
      </c>
      <c r="J3369" s="26" t="str">
        <f>IF(OR(E3369="",E3369="!!!",F3369="NEW"),"",COUNTBLANK(OFFSET(A$1,,,SUMPRODUCT(MAX(ROW(E$2:E3369)*(E3369=E$2:E3369)))))-COUNTBLANK(OFFSET(A$1,,,SUMPRODUCT(MAX(ROW(E$1:E3368)*(E2=E$1:E3368))))))</f>
        <v> </v>
      </c>
      <c r="K3369" s="26" t="str">
        <f>IF(OR(E3369="",E3369="!!!",F3369="NEW"),"",INDEX(J$1:J3368,SUMPRODUCT(MAX(ROW(E$1:E3368)*(E3369=E$1:E3368)))))</f>
        <v> </v>
      </c>
      <c r="L3369" s="27"/>
    </row>
    <row r="3370" spans="1:12">
      <c r="A3370" s="20" t="s">
        <v>952</v>
      </c>
      <c r="E3370" s="22">
        <f>IF(D3370="?OLD","!!!","")</f>
        <v/>
      </c>
      <c r="F3370" s="23" t="str">
        <f>IF(OR(E3370="",E3370="!!!"),"",IF(NOT(ISNA(VLOOKUP(E3370,E$1:E3369,1,FALSE()))),"OLD",IF(AND(E3370&lt;&gt;"",E3370&lt;&gt;"!!!"),"NEW","")))</f>
        <v> </v>
      </c>
      <c r="G3370" s="24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5" t="str">
        <f>IF(J3370&lt;&gt;1,"",IF(I3370="SBJ","CB","?"))</f>
        <v> </v>
      </c>
      <c r="I3370" s="26" t="str">
        <f>IF(OR(E3370="",E3370="!!!",F3370="NEW"),"",INDEX(B3369:B$2,-1+SUMPRODUCT(MAX(ROW(E3369:E$2)*(E3370=E3369:E$2)))))</f>
        <v> </v>
      </c>
      <c r="J3370" s="26" t="str">
        <f>IF(OR(E3370="",E3370="!!!",F3370="NEW"),"",COUNTBLANK(OFFSET(A$1,,,SUMPRODUCT(MAX(ROW(E$2:E3370)*(E3370=E$2:E3370)))))-COUNTBLANK(OFFSET(A$1,,,SUMPRODUCT(MAX(ROW(E$1:E3369)*(E2=E$1:E3369))))))</f>
        <v> </v>
      </c>
      <c r="K3370" s="26" t="str">
        <f>IF(OR(E3370="",E3370="!!!",F3370="NEW"),"",INDEX(J$1:J3369,SUMPRODUCT(MAX(ROW(E$1:E3369)*(E3370=E$1:E3369)))))</f>
        <v> </v>
      </c>
      <c r="L3370" s="27"/>
    </row>
    <row r="3371" spans="1:12">
      <c r="A3371" s="20" t="s">
        <v>1944</v>
      </c>
      <c r="E3371" s="22">
        <f>IF(D3371="?OLD","!!!","")</f>
        <v/>
      </c>
      <c r="F3371" s="23" t="str">
        <f>IF(OR(E3371="",E3371="!!!"),"",IF(NOT(ISNA(VLOOKUP(E3371,E$1:E3370,1,FALSE()))),"OLD",IF(AND(E3371&lt;&gt;"",E3371&lt;&gt;"!!!"),"NEW","")))</f>
        <v> </v>
      </c>
      <c r="G3371" s="24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5" t="str">
        <f>IF(J3371&lt;&gt;1,"",IF(I3371="SBJ","CB","?"))</f>
        <v> </v>
      </c>
      <c r="I3371" s="26" t="str">
        <f>IF(OR(E3371="",E3371="!!!",F3371="NEW"),"",INDEX(B3370:B$2,-1+SUMPRODUCT(MAX(ROW(E3370:E$2)*(E3371=E3370:E$2)))))</f>
        <v> </v>
      </c>
      <c r="J3371" s="26" t="str">
        <f>IF(OR(E3371="",E3371="!!!",F3371="NEW"),"",COUNTBLANK(OFFSET(A$1,,,SUMPRODUCT(MAX(ROW(E$2:E3371)*(E3371=E$2:E3371)))))-COUNTBLANK(OFFSET(A$1,,,SUMPRODUCT(MAX(ROW(E$1:E3370)*(E2=E$1:E3370))))))</f>
        <v> </v>
      </c>
      <c r="K3371" s="26" t="str">
        <f>IF(OR(E3371="",E3371="!!!",F3371="NEW"),"",INDEX(J$1:J3370,SUMPRODUCT(MAX(ROW(E$1:E3370)*(E3371=E$1:E3370)))))</f>
        <v> </v>
      </c>
      <c r="L3371" s="27"/>
    </row>
    <row r="3372" spans="1:12">
      <c r="A3372" s="20" t="s">
        <v>1022</v>
      </c>
      <c r="E3372" s="22">
        <f>IF(D3372="?OLD","!!!","")</f>
        <v/>
      </c>
      <c r="F3372" s="23" t="str">
        <f>IF(OR(E3372="",E3372="!!!"),"",IF(NOT(ISNA(VLOOKUP(E3372,E$1:E3371,1,FALSE()))),"OLD",IF(AND(E3372&lt;&gt;"",E3372&lt;&gt;"!!!"),"NEW","")))</f>
        <v> </v>
      </c>
      <c r="G3372" s="24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5" t="str">
        <f>IF(J3372&lt;&gt;1,"",IF(I3372="SBJ","CB","?"))</f>
        <v> </v>
      </c>
      <c r="I3372" s="26" t="str">
        <f>IF(OR(E3372="",E3372="!!!",F3372="NEW"),"",INDEX(B3371:B$2,-1+SUMPRODUCT(MAX(ROW(E3371:E$2)*(E3372=E3371:E$2)))))</f>
        <v> </v>
      </c>
      <c r="J3372" s="26" t="str">
        <f>IF(OR(E3372="",E3372="!!!",F3372="NEW"),"",COUNTBLANK(OFFSET(A$1,,,SUMPRODUCT(MAX(ROW(E$2:E3372)*(E3372=E$2:E3372)))))-COUNTBLANK(OFFSET(A$1,,,SUMPRODUCT(MAX(ROW(E$1:E3371)*(E2=E$1:E3371))))))</f>
        <v> </v>
      </c>
      <c r="K3372" s="26" t="str">
        <f>IF(OR(E3372="",E3372="!!!",F3372="NEW"),"",INDEX(J$1:J3371,SUMPRODUCT(MAX(ROW(E$1:E3371)*(E3372=E$1:E3371)))))</f>
        <v> </v>
      </c>
      <c r="L3372" s="27"/>
    </row>
    <row r="3373" spans="1:12">
      <c r="A3373" s="20" t="s">
        <v>1058</v>
      </c>
      <c r="E3373" s="22">
        <f>IF(D3373="?OLD","!!!","")</f>
        <v/>
      </c>
      <c r="F3373" s="23" t="str">
        <f>IF(OR(E3373="",E3373="!!!"),"",IF(NOT(ISNA(VLOOKUP(E3373,E$1:E3372,1,FALSE()))),"OLD",IF(AND(E3373&lt;&gt;"",E3373&lt;&gt;"!!!"),"NEW","")))</f>
        <v> </v>
      </c>
      <c r="G3373" s="24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5" t="str">
        <f>IF(J3373&lt;&gt;1,"",IF(I3373="SBJ","CB","?"))</f>
        <v> </v>
      </c>
      <c r="I3373" s="26" t="str">
        <f>IF(OR(E3373="",E3373="!!!",F3373="NEW"),"",INDEX(B3372:B$2,-1+SUMPRODUCT(MAX(ROW(E3372:E$2)*(E3373=E3372:E$2)))))</f>
        <v> </v>
      </c>
      <c r="J3373" s="26" t="str">
        <f>IF(OR(E3373="",E3373="!!!",F3373="NEW"),"",COUNTBLANK(OFFSET(A$1,,,SUMPRODUCT(MAX(ROW(E$2:E3373)*(E3373=E$2:E3373)))))-COUNTBLANK(OFFSET(A$1,,,SUMPRODUCT(MAX(ROW(E$1:E3372)*(E2=E$1:E3372))))))</f>
        <v> </v>
      </c>
      <c r="K3373" s="26" t="str">
        <f>IF(OR(E3373="",E3373="!!!",F3373="NEW"),"",INDEX(J$1:J3372,SUMPRODUCT(MAX(ROW(E$1:E3372)*(E3373=E$1:E3372)))))</f>
        <v> </v>
      </c>
      <c r="L3373" s="27"/>
    </row>
    <row r="3374" spans="1:12">
      <c r="A3374" s="20" t="s">
        <v>977</v>
      </c>
      <c r="E3374" s="22">
        <f>IF(D3374="?OLD","!!!","")</f>
        <v/>
      </c>
      <c r="F3374" s="23" t="str">
        <f>IF(OR(E3374="",E3374="!!!"),"",IF(NOT(ISNA(VLOOKUP(E3374,E$1:E3373,1,FALSE()))),"OLD",IF(AND(E3374&lt;&gt;"",E3374&lt;&gt;"!!!"),"NEW","")))</f>
        <v> </v>
      </c>
      <c r="G3374" s="24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5" t="str">
        <f>IF(J3374&lt;&gt;1,"",IF(I3374="SBJ","CB","?"))</f>
        <v> </v>
      </c>
      <c r="I3374" s="26" t="str">
        <f>IF(OR(E3374="",E3374="!!!",F3374="NEW"),"",INDEX(B3373:B$2,-1+SUMPRODUCT(MAX(ROW(E3373:E$2)*(E3374=E3373:E$2)))))</f>
        <v> </v>
      </c>
      <c r="J3374" s="26" t="str">
        <f>IF(OR(E3374="",E3374="!!!",F3374="NEW"),"",COUNTBLANK(OFFSET(A$1,,,SUMPRODUCT(MAX(ROW(E$2:E3374)*(E3374=E$2:E3374)))))-COUNTBLANK(OFFSET(A$1,,,SUMPRODUCT(MAX(ROW(E$1:E3373)*(E2=E$1:E3373))))))</f>
        <v> </v>
      </c>
      <c r="K3374" s="26" t="str">
        <f>IF(OR(E3374="",E3374="!!!",F3374="NEW"),"",INDEX(J$1:J3373,SUMPRODUCT(MAX(ROW(E$1:E3373)*(E3374=E$1:E3373)))))</f>
        <v> </v>
      </c>
      <c r="L3374" s="27"/>
    </row>
    <row r="3375" spans="1:12">
      <c r="A3375" s="20" t="s">
        <v>1945</v>
      </c>
      <c r="E3375" s="22">
        <f>IF(D3375="?OLD","!!!","")</f>
        <v/>
      </c>
      <c r="F3375" s="23" t="str">
        <f>IF(OR(E3375="",E3375="!!!"),"",IF(NOT(ISNA(VLOOKUP(E3375,E$1:E3374,1,FALSE()))),"OLD",IF(AND(E3375&lt;&gt;"",E3375&lt;&gt;"!!!"),"NEW","")))</f>
        <v> </v>
      </c>
      <c r="G3375" s="24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5" t="str">
        <f>IF(J3375&lt;&gt;1,"",IF(I3375="SBJ","CB","?"))</f>
        <v> </v>
      </c>
      <c r="I3375" s="26" t="str">
        <f>IF(OR(E3375="",E3375="!!!",F3375="NEW"),"",INDEX(B3374:B$2,-1+SUMPRODUCT(MAX(ROW(E3374:E$2)*(E3375=E3374:E$2)))))</f>
        <v> </v>
      </c>
      <c r="J3375" s="26" t="str">
        <f>IF(OR(E3375="",E3375="!!!",F3375="NEW"),"",COUNTBLANK(OFFSET(A$1,,,SUMPRODUCT(MAX(ROW(E$2:E3375)*(E3375=E$2:E3375)))))-COUNTBLANK(OFFSET(A$1,,,SUMPRODUCT(MAX(ROW(E$1:E3374)*(E2=E$1:E3374))))))</f>
        <v> </v>
      </c>
      <c r="K3375" s="26" t="str">
        <f>IF(OR(E3375="",E3375="!!!",F3375="NEW"),"",INDEX(J$1:J3374,SUMPRODUCT(MAX(ROW(E$1:E3374)*(E3375=E$1:E3374)))))</f>
        <v> </v>
      </c>
      <c r="L3375" s="27"/>
    </row>
    <row r="3376" spans="1:12">
      <c r="A3376" s="20" t="s">
        <v>1863</v>
      </c>
      <c r="B3376" s="21" t="s">
        <v>1082</v>
      </c>
      <c r="C3376" s="21" t="s">
        <v>983</v>
      </c>
      <c r="E3376" s="22">
        <f>IF(D3376="?OLD","!!!","")</f>
        <v/>
      </c>
      <c r="F3376" s="23" t="str">
        <f>IF(OR(E3376="",E3376="!!!"),"",IF(NOT(ISNA(VLOOKUP(E3376,E$1:E3375,1,FALSE()))),"OLD",IF(AND(E3376&lt;&gt;"",E3376&lt;&gt;"!!!"),"NEW","")))</f>
        <v> </v>
      </c>
      <c r="G3376" s="24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5" t="str">
        <f>IF(J3376&lt;&gt;1,"",IF(I3376="SBJ","CB","?"))</f>
        <v> </v>
      </c>
      <c r="I3376" s="26" t="str">
        <f>IF(OR(E3376="",E3376="!!!",F3376="NEW"),"",INDEX(B3375:B$2,-1+SUMPRODUCT(MAX(ROW(E3375:E$2)*(E3376=E3375:E$2)))))</f>
        <v> </v>
      </c>
      <c r="J3376" s="26" t="str">
        <f>IF(OR(E3376="",E3376="!!!",F3376="NEW"),"",COUNTBLANK(OFFSET(A$1,,,SUMPRODUCT(MAX(ROW(E$2:E3376)*(E3376=E$2:E3376)))))-COUNTBLANK(OFFSET(A$1,,,SUMPRODUCT(MAX(ROW(E$1:E3375)*(E2=E$1:E3375))))))</f>
        <v> </v>
      </c>
      <c r="K3376" s="26" t="str">
        <f>IF(OR(E3376="",E3376="!!!",F3376="NEW"),"",INDEX(J$1:J3375,SUMPRODUCT(MAX(ROW(E$1:E3375)*(E3376=E$1:E3375)))))</f>
        <v> </v>
      </c>
      <c r="L3376" s="27"/>
    </row>
    <row r="3377" spans="1:12">
      <c r="A3377" s="20" t="s">
        <v>984</v>
      </c>
      <c r="E3377" s="22">
        <f>IF(D3377="?OLD","!!!","")</f>
        <v/>
      </c>
      <c r="F3377" s="23" t="str">
        <f>IF(OR(E3377="",E3377="!!!"),"",IF(NOT(ISNA(VLOOKUP(E3377,E$1:E3376,1,FALSE()))),"OLD",IF(AND(E3377&lt;&gt;"",E3377&lt;&gt;"!!!"),"NEW","")))</f>
        <v> </v>
      </c>
      <c r="G3377" s="24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5" t="str">
        <f>IF(J3377&lt;&gt;1,"",IF(I3377="SBJ","CB","?"))</f>
        <v> </v>
      </c>
      <c r="I3377" s="26" t="str">
        <f>IF(OR(E3377="",E3377="!!!",F3377="NEW"),"",INDEX(B3376:B$2,-1+SUMPRODUCT(MAX(ROW(E3376:E$2)*(E3377=E3376:E$2)))))</f>
        <v> </v>
      </c>
      <c r="J3377" s="26" t="str">
        <f>IF(OR(E3377="",E3377="!!!",F3377="NEW"),"",COUNTBLANK(OFFSET(A$1,,,SUMPRODUCT(MAX(ROW(E$2:E3377)*(E3377=E$2:E3377)))))-COUNTBLANK(OFFSET(A$1,,,SUMPRODUCT(MAX(ROW(E$1:E3376)*(E2=E$1:E3376))))))</f>
        <v> </v>
      </c>
      <c r="K3377" s="26" t="str">
        <f>IF(OR(E3377="",E3377="!!!",F3377="NEW"),"",INDEX(J$1:J3376,SUMPRODUCT(MAX(ROW(E$1:E3376)*(E3377=E$1:E3376)))))</f>
        <v> </v>
      </c>
      <c r="L3377" s="27"/>
    </row>
    <row r="3378" spans="1:12">
      <c r="A3378" s="20"/>
    </row>
    <row r="3379" spans="1:12">
      <c r="A3379" s="20" t="s">
        <v>1946</v>
      </c>
    </row>
    <row r="3380" spans="1:12">
      <c r="A3380" s="20" t="s">
        <v>1070</v>
      </c>
      <c r="B3380" s="21" t="s">
        <v>948</v>
      </c>
      <c r="C3380" s="21" t="s">
        <v>983</v>
      </c>
      <c r="E3380" s="22">
        <f>IF(D3380="?OLD","!!!","")</f>
        <v/>
      </c>
      <c r="F3380" s="23" t="str">
        <f>IF(OR(E3380="",E3380="!!!"),"",IF(NOT(ISNA(VLOOKUP(E3380,E$1:E3379,1,FALSE()))),"OLD",IF(AND(E3380&lt;&gt;"",E3380&lt;&gt;"!!!"),"NEW","")))</f>
        <v> </v>
      </c>
      <c r="G3380" s="24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5" t="str">
        <f>IF(J3380&lt;&gt;1,"",IF(I3380="SBJ","CB","?"))</f>
        <v> </v>
      </c>
      <c r="I3380" s="26" t="str">
        <f>IF(OR(E3380="",E3380="!!!",F3380="NEW"),"",INDEX(B3379:B$2,-1+SUMPRODUCT(MAX(ROW(E3379:E$2)*(E3380=E3379:E$2)))))</f>
        <v> </v>
      </c>
      <c r="J3380" s="26" t="str">
        <f>IF(OR(E3380="",E3380="!!!",F3380="NEW"),"",COUNTBLANK(OFFSET(A$1,,,SUMPRODUCT(MAX(ROW(E$2:E3380)*(E3380=E$2:E3380)))))-COUNTBLANK(OFFSET(A$1,,,SUMPRODUCT(MAX(ROW(E$1:E3379)*(E2=E$1:E3379))))))</f>
        <v> </v>
      </c>
      <c r="K3380" s="26" t="str">
        <f>IF(OR(E3380="",E3380="!!!",F3380="NEW"),"",INDEX(J$1:J3379,SUMPRODUCT(MAX(ROW(E$1:E3379)*(E3380=E$1:E3379)))))</f>
        <v> </v>
      </c>
      <c r="L3380" s="27"/>
    </row>
    <row r="3381" spans="1:12">
      <c r="A3381" s="20" t="s">
        <v>952</v>
      </c>
      <c r="E3381" s="22">
        <f>IF(D3381="?OLD","!!!","")</f>
        <v/>
      </c>
      <c r="F3381" s="23" t="str">
        <f>IF(OR(E3381="",E3381="!!!"),"",IF(NOT(ISNA(VLOOKUP(E3381,E$1:E3380,1,FALSE()))),"OLD",IF(AND(E3381&lt;&gt;"",E3381&lt;&gt;"!!!"),"NEW","")))</f>
        <v> </v>
      </c>
      <c r="G3381" s="24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5" t="str">
        <f>IF(J3381&lt;&gt;1,"",IF(I3381="SBJ","CB","?"))</f>
        <v> </v>
      </c>
      <c r="I3381" s="26" t="str">
        <f>IF(OR(E3381="",E3381="!!!",F3381="NEW"),"",INDEX(B3380:B$2,-1+SUMPRODUCT(MAX(ROW(E3380:E$2)*(E3381=E3380:E$2)))))</f>
        <v> </v>
      </c>
      <c r="J3381" s="26" t="str">
        <f>IF(OR(E3381="",E3381="!!!",F3381="NEW"),"",COUNTBLANK(OFFSET(A$1,,,SUMPRODUCT(MAX(ROW(E$2:E3381)*(E3381=E$2:E3381)))))-COUNTBLANK(OFFSET(A$1,,,SUMPRODUCT(MAX(ROW(E$1:E3380)*(E2=E$1:E3380))))))</f>
        <v> </v>
      </c>
      <c r="K3381" s="26" t="str">
        <f>IF(OR(E3381="",E3381="!!!",F3381="NEW"),"",INDEX(J$1:J3380,SUMPRODUCT(MAX(ROW(E$1:E3380)*(E3381=E$1:E3380)))))</f>
        <v> </v>
      </c>
      <c r="L3381" s="27"/>
    </row>
    <row r="3382" spans="1:12">
      <c r="A3382" s="20" t="s">
        <v>1394</v>
      </c>
      <c r="E3382" s="22">
        <f>IF(D3382="?OLD","!!!","")</f>
        <v/>
      </c>
      <c r="F3382" s="23" t="str">
        <f>IF(OR(E3382="",E3382="!!!"),"",IF(NOT(ISNA(VLOOKUP(E3382,E$1:E3381,1,FALSE()))),"OLD",IF(AND(E3382&lt;&gt;"",E3382&lt;&gt;"!!!"),"NEW","")))</f>
        <v> </v>
      </c>
      <c r="G3382" s="24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5" t="str">
        <f>IF(J3382&lt;&gt;1,"",IF(I3382="SBJ","CB","?"))</f>
        <v> </v>
      </c>
      <c r="I3382" s="26" t="str">
        <f>IF(OR(E3382="",E3382="!!!",F3382="NEW"),"",INDEX(B3381:B$2,-1+SUMPRODUCT(MAX(ROW(E3381:E$2)*(E3382=E3381:E$2)))))</f>
        <v> </v>
      </c>
      <c r="J3382" s="26" t="str">
        <f>IF(OR(E3382="",E3382="!!!",F3382="NEW"),"",COUNTBLANK(OFFSET(A$1,,,SUMPRODUCT(MAX(ROW(E$2:E3382)*(E3382=E$2:E3382)))))-COUNTBLANK(OFFSET(A$1,,,SUMPRODUCT(MAX(ROW(E$1:E3381)*(E2=E$1:E3381))))))</f>
        <v> </v>
      </c>
      <c r="K3382" s="26" t="str">
        <f>IF(OR(E3382="",E3382="!!!",F3382="NEW"),"",INDEX(J$1:J3381,SUMPRODUCT(MAX(ROW(E$1:E3381)*(E3382=E$1:E3381)))))</f>
        <v> </v>
      </c>
      <c r="L3382" s="27"/>
    </row>
    <row r="3383" spans="1:12">
      <c r="A3383" s="20" t="s">
        <v>1000</v>
      </c>
      <c r="E3383" s="22">
        <f>IF(D3383="?OLD","!!!","")</f>
        <v/>
      </c>
      <c r="F3383" s="23" t="str">
        <f>IF(OR(E3383="",E3383="!!!"),"",IF(NOT(ISNA(VLOOKUP(E3383,E$1:E3382,1,FALSE()))),"OLD",IF(AND(E3383&lt;&gt;"",E3383&lt;&gt;"!!!"),"NEW","")))</f>
        <v> </v>
      </c>
      <c r="G3383" s="24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5" t="str">
        <f>IF(J3383&lt;&gt;1,"",IF(I3383="SBJ","CB","?"))</f>
        <v> </v>
      </c>
      <c r="I3383" s="26" t="str">
        <f>IF(OR(E3383="",E3383="!!!",F3383="NEW"),"",INDEX(B3382:B$2,-1+SUMPRODUCT(MAX(ROW(E3382:E$2)*(E3383=E3382:E$2)))))</f>
        <v> </v>
      </c>
      <c r="J3383" s="26" t="str">
        <f>IF(OR(E3383="",E3383="!!!",F3383="NEW"),"",COUNTBLANK(OFFSET(A$1,,,SUMPRODUCT(MAX(ROW(E$2:E3383)*(E3383=E$2:E3383)))))-COUNTBLANK(OFFSET(A$1,,,SUMPRODUCT(MAX(ROW(E$1:E3382)*(E2=E$1:E3382))))))</f>
        <v> </v>
      </c>
      <c r="K3383" s="26" t="str">
        <f>IF(OR(E3383="",E3383="!!!",F3383="NEW"),"",INDEX(J$1:J3382,SUMPRODUCT(MAX(ROW(E$1:E3382)*(E3383=E$1:E3382)))))</f>
        <v> </v>
      </c>
      <c r="L3383" s="27"/>
    </row>
    <row r="3384" spans="1:12">
      <c r="A3384" s="20" t="s">
        <v>1001</v>
      </c>
      <c r="E3384" s="22">
        <f>IF(D3384="?OLD","!!!","")</f>
        <v/>
      </c>
      <c r="F3384" s="23" t="str">
        <f>IF(OR(E3384="",E3384="!!!"),"",IF(NOT(ISNA(VLOOKUP(E3384,E$1:E3383,1,FALSE()))),"OLD",IF(AND(E3384&lt;&gt;"",E3384&lt;&gt;"!!!"),"NEW","")))</f>
        <v> </v>
      </c>
      <c r="G3384" s="24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5" t="str">
        <f>IF(J3384&lt;&gt;1,"",IF(I3384="SBJ","CB","?"))</f>
        <v> </v>
      </c>
      <c r="I3384" s="26" t="str">
        <f>IF(OR(E3384="",E3384="!!!",F3384="NEW"),"",INDEX(B3383:B$2,-1+SUMPRODUCT(MAX(ROW(E3383:E$2)*(E3384=E3383:E$2)))))</f>
        <v> </v>
      </c>
      <c r="J3384" s="26" t="str">
        <f>IF(OR(E3384="",E3384="!!!",F3384="NEW"),"",COUNTBLANK(OFFSET(A$1,,,SUMPRODUCT(MAX(ROW(E$2:E3384)*(E3384=E$2:E3384)))))-COUNTBLANK(OFFSET(A$1,,,SUMPRODUCT(MAX(ROW(E$1:E3383)*(E2=E$1:E3383))))))</f>
        <v> </v>
      </c>
      <c r="K3384" s="26" t="str">
        <f>IF(OR(E3384="",E3384="!!!",F3384="NEW"),"",INDEX(J$1:J3383,SUMPRODUCT(MAX(ROW(E$1:E3383)*(E3384=E$1:E3383)))))</f>
        <v> </v>
      </c>
      <c r="L3384" s="27"/>
    </row>
    <row r="3385" spans="1:12">
      <c r="A3385" s="20" t="s">
        <v>1027</v>
      </c>
      <c r="E3385" s="22">
        <f>IF(D3385="?OLD","!!!","")</f>
        <v/>
      </c>
      <c r="F3385" s="23" t="str">
        <f>IF(OR(E3385="",E3385="!!!"),"",IF(NOT(ISNA(VLOOKUP(E3385,E$1:E3384,1,FALSE()))),"OLD",IF(AND(E3385&lt;&gt;"",E3385&lt;&gt;"!!!"),"NEW","")))</f>
        <v> </v>
      </c>
      <c r="G3385" s="24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5" t="str">
        <f>IF(J3385&lt;&gt;1,"",IF(I3385="SBJ","CB","?"))</f>
        <v> </v>
      </c>
      <c r="I3385" s="26" t="str">
        <f>IF(OR(E3385="",E3385="!!!",F3385="NEW"),"",INDEX(B3384:B$2,-1+SUMPRODUCT(MAX(ROW(E3384:E$2)*(E3385=E3384:E$2)))))</f>
        <v> </v>
      </c>
      <c r="J3385" s="26" t="str">
        <f>IF(OR(E3385="",E3385="!!!",F3385="NEW"),"",COUNTBLANK(OFFSET(A$1,,,SUMPRODUCT(MAX(ROW(E$2:E3385)*(E3385=E$2:E3385)))))-COUNTBLANK(OFFSET(A$1,,,SUMPRODUCT(MAX(ROW(E$1:E3384)*(E2=E$1:E3384))))))</f>
        <v> </v>
      </c>
      <c r="K3385" s="26" t="str">
        <f>IF(OR(E3385="",E3385="!!!",F3385="NEW"),"",INDEX(J$1:J3384,SUMPRODUCT(MAX(ROW(E$1:E3384)*(E3385=E$1:E3384)))))</f>
        <v> </v>
      </c>
      <c r="L3385" s="27"/>
    </row>
    <row r="3386" spans="1:12">
      <c r="A3386" s="20" t="s">
        <v>977</v>
      </c>
      <c r="E3386" s="22">
        <f>IF(D3386="?OLD","!!!","")</f>
        <v/>
      </c>
      <c r="F3386" s="23" t="str">
        <f>IF(OR(E3386="",E3386="!!!"),"",IF(NOT(ISNA(VLOOKUP(E3386,E$1:E3385,1,FALSE()))),"OLD",IF(AND(E3386&lt;&gt;"",E3386&lt;&gt;"!!!"),"NEW","")))</f>
        <v> </v>
      </c>
      <c r="G3386" s="24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5" t="str">
        <f>IF(J3386&lt;&gt;1,"",IF(I3386="SBJ","CB","?"))</f>
        <v> </v>
      </c>
      <c r="I3386" s="26" t="str">
        <f>IF(OR(E3386="",E3386="!!!",F3386="NEW"),"",INDEX(B3385:B$2,-1+SUMPRODUCT(MAX(ROW(E3385:E$2)*(E3386=E3385:E$2)))))</f>
        <v> </v>
      </c>
      <c r="J3386" s="26" t="str">
        <f>IF(OR(E3386="",E3386="!!!",F3386="NEW"),"",COUNTBLANK(OFFSET(A$1,,,SUMPRODUCT(MAX(ROW(E$2:E3386)*(E3386=E$2:E3386)))))-COUNTBLANK(OFFSET(A$1,,,SUMPRODUCT(MAX(ROW(E$1:E3385)*(E2=E$1:E3385))))))</f>
        <v> </v>
      </c>
      <c r="K3386" s="26" t="str">
        <f>IF(OR(E3386="",E3386="!!!",F3386="NEW"),"",INDEX(J$1:J3385,SUMPRODUCT(MAX(ROW(E$1:E3385)*(E3386=E$1:E3385)))))</f>
        <v> </v>
      </c>
      <c r="L3386" s="27"/>
    </row>
    <row r="3387" spans="1:12">
      <c r="A3387" s="20" t="s">
        <v>1947</v>
      </c>
      <c r="E3387" s="22">
        <f>IF(D3387="?OLD","!!!","")</f>
        <v/>
      </c>
      <c r="F3387" s="23" t="str">
        <f>IF(OR(E3387="",E3387="!!!"),"",IF(NOT(ISNA(VLOOKUP(E3387,E$1:E3386,1,FALSE()))),"OLD",IF(AND(E3387&lt;&gt;"",E3387&lt;&gt;"!!!"),"NEW","")))</f>
        <v> </v>
      </c>
      <c r="G3387" s="24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5" t="str">
        <f>IF(J3387&lt;&gt;1,"",IF(I3387="SBJ","CB","?"))</f>
        <v> </v>
      </c>
      <c r="I3387" s="26" t="str">
        <f>IF(OR(E3387="",E3387="!!!",F3387="NEW"),"",INDEX(B3386:B$2,-1+SUMPRODUCT(MAX(ROW(E3386:E$2)*(E3387=E3386:E$2)))))</f>
        <v> </v>
      </c>
      <c r="J3387" s="26" t="str">
        <f>IF(OR(E3387="",E3387="!!!",F3387="NEW"),"",COUNTBLANK(OFFSET(A$1,,,SUMPRODUCT(MAX(ROW(E$2:E3387)*(E3387=E$2:E3387)))))-COUNTBLANK(OFFSET(A$1,,,SUMPRODUCT(MAX(ROW(E$1:E3386)*(E2=E$1:E3386))))))</f>
        <v> </v>
      </c>
      <c r="K3387" s="26" t="str">
        <f>IF(OR(E3387="",E3387="!!!",F3387="NEW"),"",INDEX(J$1:J3386,SUMPRODUCT(MAX(ROW(E$1:E3386)*(E3387=E$1:E3386)))))</f>
        <v> </v>
      </c>
      <c r="L3387" s="27"/>
    </row>
    <row r="3388" spans="1:12">
      <c r="A3388" s="20" t="s">
        <v>1948</v>
      </c>
      <c r="B3388" s="21" t="s">
        <v>975</v>
      </c>
      <c r="C3388" s="21" t="s">
        <v>983</v>
      </c>
      <c r="E3388" s="22">
        <f>IF(D3388="?OLD","!!!","")</f>
        <v/>
      </c>
      <c r="F3388" s="23" t="str">
        <f>IF(OR(E3388="",E3388="!!!"),"",IF(NOT(ISNA(VLOOKUP(E3388,E$1:E3387,1,FALSE()))),"OLD",IF(AND(E3388&lt;&gt;"",E3388&lt;&gt;"!!!"),"NEW","")))</f>
        <v> </v>
      </c>
      <c r="G3388" s="24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5" t="str">
        <f>IF(J3388&lt;&gt;1,"",IF(I3388="SBJ","CB","?"))</f>
        <v> </v>
      </c>
      <c r="I3388" s="26" t="str">
        <f>IF(OR(E3388="",E3388="!!!",F3388="NEW"),"",INDEX(B3387:B$2,-1+SUMPRODUCT(MAX(ROW(E3387:E$2)*(E3388=E3387:E$2)))))</f>
        <v> </v>
      </c>
      <c r="J3388" s="26" t="str">
        <f>IF(OR(E3388="",E3388="!!!",F3388="NEW"),"",COUNTBLANK(OFFSET(A$1,,,SUMPRODUCT(MAX(ROW(E$2:E3388)*(E3388=E$2:E3388)))))-COUNTBLANK(OFFSET(A$1,,,SUMPRODUCT(MAX(ROW(E$1:E3387)*(E2=E$1:E3387))))))</f>
        <v> </v>
      </c>
      <c r="K3388" s="26" t="str">
        <f>IF(OR(E3388="",E3388="!!!",F3388="NEW"),"",INDEX(J$1:J3387,SUMPRODUCT(MAX(ROW(E$1:E3387)*(E3388=E$1:E3387)))))</f>
        <v> </v>
      </c>
      <c r="L3388" s="27"/>
    </row>
    <row r="3389" spans="1:12">
      <c r="A3389" s="20" t="s">
        <v>1001</v>
      </c>
      <c r="E3389" s="22">
        <f>IF(D3389="?OLD","!!!","")</f>
        <v/>
      </c>
      <c r="F3389" s="23" t="str">
        <f>IF(OR(E3389="",E3389="!!!"),"",IF(NOT(ISNA(VLOOKUP(E3389,E$1:E3388,1,FALSE()))),"OLD",IF(AND(E3389&lt;&gt;"",E3389&lt;&gt;"!!!"),"NEW","")))</f>
        <v> </v>
      </c>
      <c r="G3389" s="24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5" t="str">
        <f>IF(J3389&lt;&gt;1,"",IF(I3389="SBJ","CB","?"))</f>
        <v> </v>
      </c>
      <c r="I3389" s="26" t="str">
        <f>IF(OR(E3389="",E3389="!!!",F3389="NEW"),"",INDEX(B3388:B$2,-1+SUMPRODUCT(MAX(ROW(E3388:E$2)*(E3389=E3388:E$2)))))</f>
        <v> </v>
      </c>
      <c r="J3389" s="26" t="str">
        <f>IF(OR(E3389="",E3389="!!!",F3389="NEW"),"",COUNTBLANK(OFFSET(A$1,,,SUMPRODUCT(MAX(ROW(E$2:E3389)*(E3389=E$2:E3389)))))-COUNTBLANK(OFFSET(A$1,,,SUMPRODUCT(MAX(ROW(E$1:E3388)*(E2=E$1:E3388))))))</f>
        <v> </v>
      </c>
      <c r="K3389" s="26" t="str">
        <f>IF(OR(E3389="",E3389="!!!",F3389="NEW"),"",INDEX(J$1:J3388,SUMPRODUCT(MAX(ROW(E$1:E3388)*(E3389=E$1:E3388)))))</f>
        <v> </v>
      </c>
      <c r="L3389" s="27"/>
    </row>
    <row r="3390" spans="1:12">
      <c r="A3390" s="20" t="s">
        <v>1224</v>
      </c>
      <c r="E3390" s="22">
        <f>IF(D3390="?OLD","!!!","")</f>
        <v/>
      </c>
      <c r="F3390" s="23" t="str">
        <f>IF(OR(E3390="",E3390="!!!"),"",IF(NOT(ISNA(VLOOKUP(E3390,E$1:E3389,1,FALSE()))),"OLD",IF(AND(E3390&lt;&gt;"",E3390&lt;&gt;"!!!"),"NEW","")))</f>
        <v> </v>
      </c>
      <c r="G3390" s="24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5" t="str">
        <f>IF(J3390&lt;&gt;1,"",IF(I3390="SBJ","CB","?"))</f>
        <v> </v>
      </c>
      <c r="I3390" s="26" t="str">
        <f>IF(OR(E3390="",E3390="!!!",F3390="NEW"),"",INDEX(B3389:B$2,-1+SUMPRODUCT(MAX(ROW(E3389:E$2)*(E3390=E3389:E$2)))))</f>
        <v> </v>
      </c>
      <c r="J3390" s="26" t="str">
        <f>IF(OR(E3390="",E3390="!!!",F3390="NEW"),"",COUNTBLANK(OFFSET(A$1,,,SUMPRODUCT(MAX(ROW(E$2:E3390)*(E3390=E$2:E3390)))))-COUNTBLANK(OFFSET(A$1,,,SUMPRODUCT(MAX(ROW(E$1:E3389)*(E2=E$1:E3389))))))</f>
        <v> </v>
      </c>
      <c r="K3390" s="26" t="str">
        <f>IF(OR(E3390="",E3390="!!!",F3390="NEW"),"",INDEX(J$1:J3389,SUMPRODUCT(MAX(ROW(E$1:E3389)*(E3390=E$1:E3389)))))</f>
        <v> </v>
      </c>
      <c r="L3390" s="27"/>
    </row>
    <row r="3391" spans="1:12">
      <c r="A3391" s="20" t="s">
        <v>1022</v>
      </c>
      <c r="E3391" s="22">
        <f>IF(D3391="?OLD","!!!","")</f>
        <v/>
      </c>
      <c r="F3391" s="23" t="str">
        <f>IF(OR(E3391="",E3391="!!!"),"",IF(NOT(ISNA(VLOOKUP(E3391,E$1:E3390,1,FALSE()))),"OLD",IF(AND(E3391&lt;&gt;"",E3391&lt;&gt;"!!!"),"NEW","")))</f>
        <v> </v>
      </c>
      <c r="G3391" s="24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5" t="str">
        <f>IF(J3391&lt;&gt;1,"",IF(I3391="SBJ","CB","?"))</f>
        <v> </v>
      </c>
      <c r="I3391" s="26" t="str">
        <f>IF(OR(E3391="",E3391="!!!",F3391="NEW"),"",INDEX(B3390:B$2,-1+SUMPRODUCT(MAX(ROW(E3390:E$2)*(E3391=E3390:E$2)))))</f>
        <v> </v>
      </c>
      <c r="J3391" s="26" t="str">
        <f>IF(OR(E3391="",E3391="!!!",F3391="NEW"),"",COUNTBLANK(OFFSET(A$1,,,SUMPRODUCT(MAX(ROW(E$2:E3391)*(E3391=E$2:E3391)))))-COUNTBLANK(OFFSET(A$1,,,SUMPRODUCT(MAX(ROW(E$1:E3390)*(E2=E$1:E3390))))))</f>
        <v> </v>
      </c>
      <c r="K3391" s="26" t="str">
        <f>IF(OR(E3391="",E3391="!!!",F3391="NEW"),"",INDEX(J$1:J3390,SUMPRODUCT(MAX(ROW(E$1:E3390)*(E3391=E$1:E3390)))))</f>
        <v> </v>
      </c>
      <c r="L3391" s="27"/>
    </row>
    <row r="3392" spans="1:12">
      <c r="A3392" s="20" t="s">
        <v>1517</v>
      </c>
      <c r="B3392" s="21" t="s">
        <v>1005</v>
      </c>
      <c r="C3392" s="21" t="s">
        <v>1032</v>
      </c>
      <c r="D3392" s="21" t="s">
        <v>950</v>
      </c>
      <c r="E3392" s="22">
        <f>IF(D3392="?OLD","!!!","")</f>
        <v/>
      </c>
      <c r="F3392" s="23" t="str">
        <f>IF(OR(E3392="",E3392="!!!"),"",IF(NOT(ISNA(VLOOKUP(E3392,E$1:E3391,1,FALSE()))),"OLD",IF(AND(E3392&lt;&gt;"",E3392&lt;&gt;"!!!"),"NEW","")))</f>
        <v> </v>
      </c>
      <c r="G3392" s="24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5" t="str">
        <f>IF(J3392&lt;&gt;1,"",IF(I3392="SBJ","CB","?"))</f>
        <v> </v>
      </c>
      <c r="I3392" s="26" t="str">
        <f>IF(OR(E3392="",E3392="!!!",F3392="NEW"),"",INDEX(B3391:B$2,-1+SUMPRODUCT(MAX(ROW(E3391:E$2)*(E3392=E3391:E$2)))))</f>
        <v> </v>
      </c>
      <c r="J3392" s="26" t="str">
        <f>IF(OR(E3392="",E3392="!!!",F3392="NEW"),"",COUNTBLANK(OFFSET(A$1,,,SUMPRODUCT(MAX(ROW(E$2:E3392)*(E3392=E$2:E3392)))))-COUNTBLANK(OFFSET(A$1,,,SUMPRODUCT(MAX(ROW(E$1:E3391)*(E2=E$1:E3391))))))</f>
        <v> </v>
      </c>
      <c r="K3392" s="26" t="str">
        <f>IF(OR(E3392="",E3392="!!!",F3392="NEW"),"",INDEX(J$1:J3391,SUMPRODUCT(MAX(ROW(E$1:E3391)*(E3392=E$1:E3391)))))</f>
        <v> </v>
      </c>
      <c r="L3392" s="27"/>
    </row>
    <row r="3393" spans="1:12">
      <c r="A3393" s="20" t="s">
        <v>984</v>
      </c>
      <c r="E3393" s="22">
        <f>IF(D3393="?OLD","!!!","")</f>
        <v/>
      </c>
      <c r="F3393" s="23" t="str">
        <f>IF(OR(E3393="",E3393="!!!"),"",IF(NOT(ISNA(VLOOKUP(E3393,E$1:E3392,1,FALSE()))),"OLD",IF(AND(E3393&lt;&gt;"",E3393&lt;&gt;"!!!"),"NEW","")))</f>
        <v> </v>
      </c>
      <c r="G3393" s="24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5" t="str">
        <f>IF(J3393&lt;&gt;1,"",IF(I3393="SBJ","CB","?"))</f>
        <v> </v>
      </c>
      <c r="I3393" s="26" t="str">
        <f>IF(OR(E3393="",E3393="!!!",F3393="NEW"),"",INDEX(B3392:B$2,-1+SUMPRODUCT(MAX(ROW(E3392:E$2)*(E3393=E3392:E$2)))))</f>
        <v> </v>
      </c>
      <c r="J3393" s="26" t="str">
        <f>IF(OR(E3393="",E3393="!!!",F3393="NEW"),"",COUNTBLANK(OFFSET(A$1,,,SUMPRODUCT(MAX(ROW(E$2:E3393)*(E3393=E$2:E3393)))))-COUNTBLANK(OFFSET(A$1,,,SUMPRODUCT(MAX(ROW(E$1:E3392)*(E2=E$1:E3392))))))</f>
        <v> </v>
      </c>
      <c r="K3393" s="26" t="str">
        <f>IF(OR(E3393="",E3393="!!!",F3393="NEW"),"",INDEX(J$1:J3392,SUMPRODUCT(MAX(ROW(E$1:E3392)*(E3393=E$1:E3392)))))</f>
        <v> </v>
      </c>
      <c r="L3393" s="27"/>
    </row>
    <row r="3394" spans="1:12">
      <c r="A3394" s="20"/>
    </row>
    <row r="3395" spans="1:12">
      <c r="A3395" s="20" t="s">
        <v>1949</v>
      </c>
    </row>
    <row r="3396" spans="1:12">
      <c r="A3396" s="20" t="s">
        <v>1950</v>
      </c>
      <c r="B3396" s="21" t="s">
        <v>956</v>
      </c>
      <c r="C3396" s="21" t="s">
        <v>976</v>
      </c>
      <c r="D3396" s="21" t="s">
        <v>950</v>
      </c>
      <c r="E3396" s="22">
        <f>IF(D3396="?OLD","!!!","")</f>
        <v/>
      </c>
      <c r="F3396" s="23" t="str">
        <f>IF(OR(E3396="",E3396="!!!"),"",IF(NOT(ISNA(VLOOKUP(E3396,E$1:E3395,1,FALSE()))),"OLD",IF(AND(E3396&lt;&gt;"",E3396&lt;&gt;"!!!"),"NEW","")))</f>
        <v> </v>
      </c>
      <c r="G3396" s="24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5" t="str">
        <f>IF(J3396&lt;&gt;1,"",IF(I3396="SBJ","CB","?"))</f>
        <v> </v>
      </c>
      <c r="I3396" s="26" t="str">
        <f>IF(OR(E3396="",E3396="!!!",F3396="NEW"),"",INDEX(B3395:B$2,-1+SUMPRODUCT(MAX(ROW(E3395:E$2)*(E3396=E3395:E$2)))))</f>
        <v> </v>
      </c>
      <c r="J3396" s="26" t="str">
        <f>IF(OR(E3396="",E3396="!!!",F3396="NEW"),"",COUNTBLANK(OFFSET(A$1,,,SUMPRODUCT(MAX(ROW(E$2:E3396)*(E3396=E$2:E3396)))))-COUNTBLANK(OFFSET(A$1,,,SUMPRODUCT(MAX(ROW(E$1:E3395)*(E2=E$1:E3395))))))</f>
        <v> </v>
      </c>
      <c r="K3396" s="26" t="str">
        <f>IF(OR(E3396="",E3396="!!!",F3396="NEW"),"",INDEX(J$1:J3395,SUMPRODUCT(MAX(ROW(E$1:E3395)*(E3396=E$1:E3395)))))</f>
        <v> </v>
      </c>
      <c r="L3396" s="27"/>
    </row>
    <row r="3397" spans="1:12">
      <c r="A3397" s="20" t="s">
        <v>977</v>
      </c>
      <c r="E3397" s="22">
        <f>IF(D3397="?OLD","!!!","")</f>
        <v/>
      </c>
      <c r="F3397" s="23" t="str">
        <f>IF(OR(E3397="",E3397="!!!"),"",IF(NOT(ISNA(VLOOKUP(E3397,E$1:E3396,1,FALSE()))),"OLD",IF(AND(E3397&lt;&gt;"",E3397&lt;&gt;"!!!"),"NEW","")))</f>
        <v> </v>
      </c>
      <c r="G3397" s="24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5" t="str">
        <f>IF(J3397&lt;&gt;1,"",IF(I3397="SBJ","CB","?"))</f>
        <v> </v>
      </c>
      <c r="I3397" s="26" t="str">
        <f>IF(OR(E3397="",E3397="!!!",F3397="NEW"),"",INDEX(B3396:B$2,-1+SUMPRODUCT(MAX(ROW(E3396:E$2)*(E3397=E3396:E$2)))))</f>
        <v> </v>
      </c>
      <c r="J3397" s="26" t="str">
        <f>IF(OR(E3397="",E3397="!!!",F3397="NEW"),"",COUNTBLANK(OFFSET(A$1,,,SUMPRODUCT(MAX(ROW(E$2:E3397)*(E3397=E$2:E3397)))))-COUNTBLANK(OFFSET(A$1,,,SUMPRODUCT(MAX(ROW(E$1:E3396)*(E2=E$1:E3396))))))</f>
        <v> </v>
      </c>
      <c r="K3397" s="26" t="str">
        <f>IF(OR(E3397="",E3397="!!!",F3397="NEW"),"",INDEX(J$1:J3396,SUMPRODUCT(MAX(ROW(E$1:E3396)*(E3397=E$1:E3396)))))</f>
        <v> </v>
      </c>
      <c r="L3397" s="27"/>
    </row>
    <row r="3398" spans="1:12">
      <c r="A3398" s="20" t="s">
        <v>1951</v>
      </c>
      <c r="B3398" s="21" t="s">
        <v>1031</v>
      </c>
      <c r="C3398" s="21" t="s">
        <v>949</v>
      </c>
      <c r="D3398" s="21" t="s">
        <v>950</v>
      </c>
      <c r="E3398" s="22">
        <f>IF(D3398="?OLD","!!!","")</f>
        <v/>
      </c>
      <c r="F3398" s="23" t="str">
        <f>IF(OR(E3398="",E3398="!!!"),"",IF(NOT(ISNA(VLOOKUP(E3398,E$1:E3397,1,FALSE()))),"OLD",IF(AND(E3398&lt;&gt;"",E3398&lt;&gt;"!!!"),"NEW","")))</f>
        <v> </v>
      </c>
      <c r="G3398" s="24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5" t="str">
        <f>IF(J3398&lt;&gt;1,"",IF(I3398="SBJ","CB","?"))</f>
        <v> </v>
      </c>
      <c r="I3398" s="26" t="str">
        <f>IF(OR(E3398="",E3398="!!!",F3398="NEW"),"",INDEX(B3397:B$2,-1+SUMPRODUCT(MAX(ROW(E3397:E$2)*(E3398=E3397:E$2)))))</f>
        <v> </v>
      </c>
      <c r="J3398" s="26" t="str">
        <f>IF(OR(E3398="",E3398="!!!",F3398="NEW"),"",COUNTBLANK(OFFSET(A$1,,,SUMPRODUCT(MAX(ROW(E$2:E3398)*(E3398=E$2:E3398)))))-COUNTBLANK(OFFSET(A$1,,,SUMPRODUCT(MAX(ROW(E$1:E3397)*(E2=E$1:E3397))))))</f>
        <v> </v>
      </c>
      <c r="K3398" s="26" t="str">
        <f>IF(OR(E3398="",E3398="!!!",F3398="NEW"),"",INDEX(J$1:J3397,SUMPRODUCT(MAX(ROW(E$1:E3397)*(E3398=E$1:E3397)))))</f>
        <v> </v>
      </c>
      <c r="L3398" s="27"/>
    </row>
    <row r="3399" spans="1:12">
      <c r="A3399" s="20" t="s">
        <v>1952</v>
      </c>
      <c r="B3399" s="21" t="s">
        <v>980</v>
      </c>
      <c r="C3399" s="21" t="s">
        <v>949</v>
      </c>
      <c r="D3399" s="21" t="s">
        <v>950</v>
      </c>
      <c r="E3399" s="22">
        <f>IF(D3399="?OLD","!!!","")</f>
        <v/>
      </c>
      <c r="F3399" s="23" t="str">
        <f>IF(OR(E3399="",E3399="!!!"),"",IF(NOT(ISNA(VLOOKUP(E3399,E$1:E3398,1,FALSE()))),"OLD",IF(AND(E3399&lt;&gt;"",E3399&lt;&gt;"!!!"),"NEW","")))</f>
        <v> </v>
      </c>
      <c r="G3399" s="24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5" t="str">
        <f>IF(J3399&lt;&gt;1,"",IF(I3399="SBJ","CB","?"))</f>
        <v> </v>
      </c>
      <c r="I3399" s="26" t="str">
        <f>IF(OR(E3399="",E3399="!!!",F3399="NEW"),"",INDEX(B3398:B$2,-1+SUMPRODUCT(MAX(ROW(E3398:E$2)*(E3399=E3398:E$2)))))</f>
        <v> </v>
      </c>
      <c r="J3399" s="26" t="str">
        <f>IF(OR(E3399="",E3399="!!!",F3399="NEW"),"",COUNTBLANK(OFFSET(A$1,,,SUMPRODUCT(MAX(ROW(E$2:E3399)*(E3399=E$2:E3399)))))-COUNTBLANK(OFFSET(A$1,,,SUMPRODUCT(MAX(ROW(E$1:E3398)*(E2=E$1:E3398))))))</f>
        <v> </v>
      </c>
      <c r="K3399" s="26" t="str">
        <f>IF(OR(E3399="",E3399="!!!",F3399="NEW"),"",INDEX(J$1:J3398,SUMPRODUCT(MAX(ROW(E$1:E3398)*(E3399=E$1:E3398)))))</f>
        <v> </v>
      </c>
      <c r="L3399" s="27"/>
    </row>
    <row r="3400" spans="1:12">
      <c r="A3400" s="20" t="s">
        <v>1250</v>
      </c>
      <c r="E3400" s="22">
        <f>IF(D3400="?OLD","!!!","")</f>
        <v/>
      </c>
      <c r="F3400" s="23" t="str">
        <f>IF(OR(E3400="",E3400="!!!"),"",IF(NOT(ISNA(VLOOKUP(E3400,E$1:E3399,1,FALSE()))),"OLD",IF(AND(E3400&lt;&gt;"",E3400&lt;&gt;"!!!"),"NEW","")))</f>
        <v> </v>
      </c>
      <c r="G3400" s="24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5" t="str">
        <f>IF(J3400&lt;&gt;1,"",IF(I3400="SBJ","CB","?"))</f>
        <v> </v>
      </c>
      <c r="I3400" s="26" t="str">
        <f>IF(OR(E3400="",E3400="!!!",F3400="NEW"),"",INDEX(B3399:B$2,-1+SUMPRODUCT(MAX(ROW(E3399:E$2)*(E3400=E3399:E$2)))))</f>
        <v> </v>
      </c>
      <c r="J3400" s="26" t="str">
        <f>IF(OR(E3400="",E3400="!!!",F3400="NEW"),"",COUNTBLANK(OFFSET(A$1,,,SUMPRODUCT(MAX(ROW(E$2:E3400)*(E3400=E$2:E3400)))))-COUNTBLANK(OFFSET(A$1,,,SUMPRODUCT(MAX(ROW(E$1:E3399)*(E2=E$1:E3399))))))</f>
        <v> </v>
      </c>
      <c r="K3400" s="26" t="str">
        <f>IF(OR(E3400="",E3400="!!!",F3400="NEW"),"",INDEX(J$1:J3399,SUMPRODUCT(MAX(ROW(E$1:E3399)*(E3400=E$1:E3399)))))</f>
        <v> </v>
      </c>
      <c r="L3400" s="27"/>
    </row>
    <row r="3401" spans="1:12">
      <c r="A3401" s="20" t="s">
        <v>1953</v>
      </c>
      <c r="E3401" s="22">
        <f>IF(D3401="?OLD","!!!","")</f>
        <v/>
      </c>
      <c r="F3401" s="23" t="str">
        <f>IF(OR(E3401="",E3401="!!!"),"",IF(NOT(ISNA(VLOOKUP(E3401,E$1:E3400,1,FALSE()))),"OLD",IF(AND(E3401&lt;&gt;"",E3401&lt;&gt;"!!!"),"NEW","")))</f>
        <v> </v>
      </c>
      <c r="G3401" s="24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5" t="str">
        <f>IF(J3401&lt;&gt;1,"",IF(I3401="SBJ","CB","?"))</f>
        <v> </v>
      </c>
      <c r="I3401" s="26" t="str">
        <f>IF(OR(E3401="",E3401="!!!",F3401="NEW"),"",INDEX(B3400:B$2,-1+SUMPRODUCT(MAX(ROW(E3400:E$2)*(E3401=E3400:E$2)))))</f>
        <v> </v>
      </c>
      <c r="J3401" s="26" t="str">
        <f>IF(OR(E3401="",E3401="!!!",F3401="NEW"),"",COUNTBLANK(OFFSET(A$1,,,SUMPRODUCT(MAX(ROW(E$2:E3401)*(E3401=E$2:E3401)))))-COUNTBLANK(OFFSET(A$1,,,SUMPRODUCT(MAX(ROW(E$1:E3400)*(E2=E$1:E3400))))))</f>
        <v> </v>
      </c>
      <c r="K3401" s="26" t="str">
        <f>IF(OR(E3401="",E3401="!!!",F3401="NEW"),"",INDEX(J$1:J3400,SUMPRODUCT(MAX(ROW(E$1:E3400)*(E3401=E$1:E3400)))))</f>
        <v> </v>
      </c>
      <c r="L3401" s="27"/>
    </row>
    <row r="3402" spans="1:12">
      <c r="A3402" s="20" t="s">
        <v>977</v>
      </c>
      <c r="E3402" s="22">
        <f>IF(D3402="?OLD","!!!","")</f>
        <v/>
      </c>
      <c r="F3402" s="23" t="str">
        <f>IF(OR(E3402="",E3402="!!!"),"",IF(NOT(ISNA(VLOOKUP(E3402,E$1:E3401,1,FALSE()))),"OLD",IF(AND(E3402&lt;&gt;"",E3402&lt;&gt;"!!!"),"NEW","")))</f>
        <v> </v>
      </c>
      <c r="G3402" s="24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5" t="str">
        <f>IF(J3402&lt;&gt;1,"",IF(I3402="SBJ","CB","?"))</f>
        <v> </v>
      </c>
      <c r="I3402" s="26" t="str">
        <f>IF(OR(E3402="",E3402="!!!",F3402="NEW"),"",INDEX(B3401:B$2,-1+SUMPRODUCT(MAX(ROW(E3401:E$2)*(E3402=E3401:E$2)))))</f>
        <v> </v>
      </c>
      <c r="J3402" s="26" t="str">
        <f>IF(OR(E3402="",E3402="!!!",F3402="NEW"),"",COUNTBLANK(OFFSET(A$1,,,SUMPRODUCT(MAX(ROW(E$2:E3402)*(E3402=E$2:E3402)))))-COUNTBLANK(OFFSET(A$1,,,SUMPRODUCT(MAX(ROW(E$1:E3401)*(E2=E$1:E3401))))))</f>
        <v> </v>
      </c>
      <c r="K3402" s="26" t="str">
        <f>IF(OR(E3402="",E3402="!!!",F3402="NEW"),"",INDEX(J$1:J3401,SUMPRODUCT(MAX(ROW(E$1:E3401)*(E3402=E$1:E3401)))))</f>
        <v> </v>
      </c>
      <c r="L3402" s="27"/>
    </row>
    <row r="3403" spans="1:12">
      <c r="A3403" s="20" t="s">
        <v>1954</v>
      </c>
      <c r="B3403" s="21" t="s">
        <v>948</v>
      </c>
      <c r="C3403" s="21" t="s">
        <v>983</v>
      </c>
      <c r="E3403" s="22">
        <f>IF(D3403="?OLD","!!!","")</f>
        <v/>
      </c>
      <c r="F3403" s="23" t="str">
        <f>IF(OR(E3403="",E3403="!!!"),"",IF(NOT(ISNA(VLOOKUP(E3403,E$1:E3402,1,FALSE()))),"OLD",IF(AND(E3403&lt;&gt;"",E3403&lt;&gt;"!!!"),"NEW","")))</f>
        <v> </v>
      </c>
      <c r="G3403" s="24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5" t="str">
        <f>IF(J3403&lt;&gt;1,"",IF(I3403="SBJ","CB","?"))</f>
        <v> </v>
      </c>
      <c r="I3403" s="26" t="str">
        <f>IF(OR(E3403="",E3403="!!!",F3403="NEW"),"",INDEX(B3402:B$2,-1+SUMPRODUCT(MAX(ROW(E3402:E$2)*(E3403=E3402:E$2)))))</f>
        <v> </v>
      </c>
      <c r="J3403" s="26" t="str">
        <f>IF(OR(E3403="",E3403="!!!",F3403="NEW"),"",COUNTBLANK(OFFSET(A$1,,,SUMPRODUCT(MAX(ROW(E$2:E3403)*(E3403=E$2:E3403)))))-COUNTBLANK(OFFSET(A$1,,,SUMPRODUCT(MAX(ROW(E$1:E3402)*(E2=E$1:E3402))))))</f>
        <v> </v>
      </c>
      <c r="K3403" s="26" t="str">
        <f>IF(OR(E3403="",E3403="!!!",F3403="NEW"),"",INDEX(J$1:J3402,SUMPRODUCT(MAX(ROW(E$1:E3402)*(E3403=E$1:E3402)))))</f>
        <v> </v>
      </c>
      <c r="L3403" s="27"/>
    </row>
    <row r="3404" spans="1:12">
      <c r="A3404" s="20" t="s">
        <v>1001</v>
      </c>
      <c r="E3404" s="22">
        <f>IF(D3404="?OLD","!!!","")</f>
        <v/>
      </c>
      <c r="F3404" s="23" t="str">
        <f>IF(OR(E3404="",E3404="!!!"),"",IF(NOT(ISNA(VLOOKUP(E3404,E$1:E3403,1,FALSE()))),"OLD",IF(AND(E3404&lt;&gt;"",E3404&lt;&gt;"!!!"),"NEW","")))</f>
        <v> </v>
      </c>
      <c r="G3404" s="24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5" t="str">
        <f>IF(J3404&lt;&gt;1,"",IF(I3404="SBJ","CB","?"))</f>
        <v> </v>
      </c>
      <c r="I3404" s="26" t="str">
        <f>IF(OR(E3404="",E3404="!!!",F3404="NEW"),"",INDEX(B3403:B$2,-1+SUMPRODUCT(MAX(ROW(E3403:E$2)*(E3404=E3403:E$2)))))</f>
        <v> </v>
      </c>
      <c r="J3404" s="26" t="str">
        <f>IF(OR(E3404="",E3404="!!!",F3404="NEW"),"",COUNTBLANK(OFFSET(A$1,,,SUMPRODUCT(MAX(ROW(E$2:E3404)*(E3404=E$2:E3404)))))-COUNTBLANK(OFFSET(A$1,,,SUMPRODUCT(MAX(ROW(E$1:E3403)*(E2=E$1:E3403))))))</f>
        <v> </v>
      </c>
      <c r="K3404" s="26" t="str">
        <f>IF(OR(E3404="",E3404="!!!",F3404="NEW"),"",INDEX(J$1:J3403,SUMPRODUCT(MAX(ROW(E$1:E3403)*(E3404=E$1:E3403)))))</f>
        <v> </v>
      </c>
      <c r="L3404" s="27"/>
    </row>
    <row r="3405" spans="1:12">
      <c r="A3405" s="20" t="s">
        <v>1955</v>
      </c>
      <c r="B3405" s="21" t="s">
        <v>1031</v>
      </c>
      <c r="C3405" s="21" t="s">
        <v>983</v>
      </c>
      <c r="E3405" s="22">
        <f>IF(D3405="?OLD","!!!","")</f>
        <v/>
      </c>
      <c r="F3405" s="23" t="str">
        <f>IF(OR(E3405="",E3405="!!!"),"",IF(NOT(ISNA(VLOOKUP(E3405,E$1:E3404,1,FALSE()))),"OLD",IF(AND(E3405&lt;&gt;"",E3405&lt;&gt;"!!!"),"NEW","")))</f>
        <v> </v>
      </c>
      <c r="G3405" s="24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5" t="str">
        <f>IF(J3405&lt;&gt;1,"",IF(I3405="SBJ","CB","?"))</f>
        <v> </v>
      </c>
      <c r="I3405" s="26" t="str">
        <f>IF(OR(E3405="",E3405="!!!",F3405="NEW"),"",INDEX(B3404:B$2,-1+SUMPRODUCT(MAX(ROW(E3404:E$2)*(E3405=E3404:E$2)))))</f>
        <v> </v>
      </c>
      <c r="J3405" s="26" t="str">
        <f>IF(OR(E3405="",E3405="!!!",F3405="NEW"),"",COUNTBLANK(OFFSET(A$1,,,SUMPRODUCT(MAX(ROW(E$2:E3405)*(E3405=E$2:E3405)))))-COUNTBLANK(OFFSET(A$1,,,SUMPRODUCT(MAX(ROW(E$1:E3404)*(E2=E$1:E3404))))))</f>
        <v> </v>
      </c>
      <c r="K3405" s="26" t="str">
        <f>IF(OR(E3405="",E3405="!!!",F3405="NEW"),"",INDEX(J$1:J3404,SUMPRODUCT(MAX(ROW(E$1:E3404)*(E3405=E$1:E3404)))))</f>
        <v> </v>
      </c>
      <c r="L3405" s="27"/>
    </row>
    <row r="3406" spans="1:12">
      <c r="A3406" s="20" t="s">
        <v>1000</v>
      </c>
      <c r="E3406" s="22">
        <f>IF(D3406="?OLD","!!!","")</f>
        <v/>
      </c>
      <c r="F3406" s="23" t="str">
        <f>IF(OR(E3406="",E3406="!!!"),"",IF(NOT(ISNA(VLOOKUP(E3406,E$1:E3405,1,FALSE()))),"OLD",IF(AND(E3406&lt;&gt;"",E3406&lt;&gt;"!!!"),"NEW","")))</f>
        <v> </v>
      </c>
      <c r="G3406" s="24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5" t="str">
        <f>IF(J3406&lt;&gt;1,"",IF(I3406="SBJ","CB","?"))</f>
        <v> </v>
      </c>
      <c r="I3406" s="26" t="str">
        <f>IF(OR(E3406="",E3406="!!!",F3406="NEW"),"",INDEX(B3405:B$2,-1+SUMPRODUCT(MAX(ROW(E3405:E$2)*(E3406=E3405:E$2)))))</f>
        <v> </v>
      </c>
      <c r="J3406" s="26" t="str">
        <f>IF(OR(E3406="",E3406="!!!",F3406="NEW"),"",COUNTBLANK(OFFSET(A$1,,,SUMPRODUCT(MAX(ROW(E$2:E3406)*(E3406=E$2:E3406)))))-COUNTBLANK(OFFSET(A$1,,,SUMPRODUCT(MAX(ROW(E$1:E3405)*(E2=E$1:E3405))))))</f>
        <v> </v>
      </c>
      <c r="K3406" s="26" t="str">
        <f>IF(OR(E3406="",E3406="!!!",F3406="NEW"),"",INDEX(J$1:J3405,SUMPRODUCT(MAX(ROW(E$1:E3405)*(E3406=E$1:E3405)))))</f>
        <v> </v>
      </c>
      <c r="L3406" s="27"/>
    </row>
    <row r="3407" spans="1:12">
      <c r="A3407" s="20" t="s">
        <v>1956</v>
      </c>
      <c r="B3407" s="21" t="s">
        <v>1031</v>
      </c>
      <c r="C3407" s="21" t="s">
        <v>976</v>
      </c>
      <c r="D3407" s="21" t="s">
        <v>950</v>
      </c>
      <c r="E3407" s="22">
        <f>IF(D3407="?OLD","!!!","")</f>
        <v/>
      </c>
      <c r="F3407" s="23" t="str">
        <f>IF(OR(E3407="",E3407="!!!"),"",IF(NOT(ISNA(VLOOKUP(E3407,E$1:E3406,1,FALSE()))),"OLD",IF(AND(E3407&lt;&gt;"",E3407&lt;&gt;"!!!"),"NEW","")))</f>
        <v> </v>
      </c>
      <c r="G3407" s="24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5" t="str">
        <f>IF(J3407&lt;&gt;1,"",IF(I3407="SBJ","CB","?"))</f>
        <v> </v>
      </c>
      <c r="I3407" s="26" t="str">
        <f>IF(OR(E3407="",E3407="!!!",F3407="NEW"),"",INDEX(B3406:B$2,-1+SUMPRODUCT(MAX(ROW(E3406:E$2)*(E3407=E3406:E$2)))))</f>
        <v> </v>
      </c>
      <c r="J3407" s="26" t="str">
        <f>IF(OR(E3407="",E3407="!!!",F3407="NEW"),"",COUNTBLANK(OFFSET(A$1,,,SUMPRODUCT(MAX(ROW(E$2:E3407)*(E3407=E$2:E3407)))))-COUNTBLANK(OFFSET(A$1,,,SUMPRODUCT(MAX(ROW(E$1:E3406)*(E2=E$1:E3406))))))</f>
        <v> </v>
      </c>
      <c r="K3407" s="26" t="str">
        <f>IF(OR(E3407="",E3407="!!!",F3407="NEW"),"",INDEX(J$1:J3406,SUMPRODUCT(MAX(ROW(E$1:E3406)*(E3407=E$1:E3406)))))</f>
        <v> </v>
      </c>
      <c r="L3407" s="27"/>
    </row>
    <row r="3408" spans="1:12">
      <c r="A3408" s="20" t="s">
        <v>977</v>
      </c>
      <c r="E3408" s="22">
        <f>IF(D3408="?OLD","!!!","")</f>
        <v/>
      </c>
      <c r="F3408" s="23" t="str">
        <f>IF(OR(E3408="",E3408="!!!"),"",IF(NOT(ISNA(VLOOKUP(E3408,E$1:E3407,1,FALSE()))),"OLD",IF(AND(E3408&lt;&gt;"",E3408&lt;&gt;"!!!"),"NEW","")))</f>
        <v> </v>
      </c>
      <c r="G3408" s="24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5" t="str">
        <f>IF(J3408&lt;&gt;1,"",IF(I3408="SBJ","CB","?"))</f>
        <v> </v>
      </c>
      <c r="I3408" s="26" t="str">
        <f>IF(OR(E3408="",E3408="!!!",F3408="NEW"),"",INDEX(B3407:B$2,-1+SUMPRODUCT(MAX(ROW(E3407:E$2)*(E3408=E3407:E$2)))))</f>
        <v> </v>
      </c>
      <c r="J3408" s="26" t="str">
        <f>IF(OR(E3408="",E3408="!!!",F3408="NEW"),"",COUNTBLANK(OFFSET(A$1,,,SUMPRODUCT(MAX(ROW(E$2:E3408)*(E3408=E$2:E3408)))))-COUNTBLANK(OFFSET(A$1,,,SUMPRODUCT(MAX(ROW(E$1:E3407)*(E2=E$1:E3407))))))</f>
        <v> </v>
      </c>
      <c r="K3408" s="26" t="str">
        <f>IF(OR(E3408="",E3408="!!!",F3408="NEW"),"",INDEX(J$1:J3407,SUMPRODUCT(MAX(ROW(E$1:E3407)*(E3408=E$1:E3407)))))</f>
        <v> </v>
      </c>
      <c r="L3408" s="27"/>
    </row>
    <row r="3409" spans="1:12">
      <c r="A3409" s="20" t="s">
        <v>1022</v>
      </c>
      <c r="E3409" s="22">
        <f>IF(D3409="?OLD","!!!","")</f>
        <v/>
      </c>
      <c r="F3409" s="23" t="str">
        <f>IF(OR(E3409="",E3409="!!!"),"",IF(NOT(ISNA(VLOOKUP(E3409,E$1:E3408,1,FALSE()))),"OLD",IF(AND(E3409&lt;&gt;"",E3409&lt;&gt;"!!!"),"NEW","")))</f>
        <v> </v>
      </c>
      <c r="G3409" s="24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5" t="str">
        <f>IF(J3409&lt;&gt;1,"",IF(I3409="SBJ","CB","?"))</f>
        <v> </v>
      </c>
      <c r="I3409" s="26" t="str">
        <f>IF(OR(E3409="",E3409="!!!",F3409="NEW"),"",INDEX(B3408:B$2,-1+SUMPRODUCT(MAX(ROW(E3408:E$2)*(E3409=E3408:E$2)))))</f>
        <v> </v>
      </c>
      <c r="J3409" s="26" t="str">
        <f>IF(OR(E3409="",E3409="!!!",F3409="NEW"),"",COUNTBLANK(OFFSET(A$1,,,SUMPRODUCT(MAX(ROW(E$2:E3409)*(E3409=E$2:E3409)))))-COUNTBLANK(OFFSET(A$1,,,SUMPRODUCT(MAX(ROW(E$1:E3408)*(E2=E$1:E3408))))))</f>
        <v> </v>
      </c>
      <c r="K3409" s="26" t="str">
        <f>IF(OR(E3409="",E3409="!!!",F3409="NEW"),"",INDEX(J$1:J3408,SUMPRODUCT(MAX(ROW(E$1:E3408)*(E3409=E$1:E3408)))))</f>
        <v> </v>
      </c>
      <c r="L3409" s="27"/>
    </row>
    <row r="3410" spans="1:12">
      <c r="A3410" s="20" t="s">
        <v>1957</v>
      </c>
      <c r="B3410" s="21" t="s">
        <v>980</v>
      </c>
      <c r="C3410" s="21" t="s">
        <v>1032</v>
      </c>
      <c r="D3410" s="21" t="s">
        <v>950</v>
      </c>
      <c r="E3410" s="22">
        <f>IF(D3410="?OLD","!!!","")</f>
        <v/>
      </c>
      <c r="F3410" s="23" t="str">
        <f>IF(OR(E3410="",E3410="!!!"),"",IF(NOT(ISNA(VLOOKUP(E3410,E$1:E3409,1,FALSE()))),"OLD",IF(AND(E3410&lt;&gt;"",E3410&lt;&gt;"!!!"),"NEW","")))</f>
        <v> </v>
      </c>
      <c r="G3410" s="24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5" t="str">
        <f>IF(J3410&lt;&gt;1,"",IF(I3410="SBJ","CB","?"))</f>
        <v> </v>
      </c>
      <c r="I3410" s="26" t="str">
        <f>IF(OR(E3410="",E3410="!!!",F3410="NEW"),"",INDEX(B3409:B$2,-1+SUMPRODUCT(MAX(ROW(E3409:E$2)*(E3410=E3409:E$2)))))</f>
        <v> </v>
      </c>
      <c r="J3410" s="26" t="str">
        <f>IF(OR(E3410="",E3410="!!!",F3410="NEW"),"",COUNTBLANK(OFFSET(A$1,,,SUMPRODUCT(MAX(ROW(E$2:E3410)*(E3410=E$2:E3410)))))-COUNTBLANK(OFFSET(A$1,,,SUMPRODUCT(MAX(ROW(E$1:E3409)*(E2=E$1:E3409))))))</f>
        <v> </v>
      </c>
      <c r="K3410" s="26" t="str">
        <f>IF(OR(E3410="",E3410="!!!",F3410="NEW"),"",INDEX(J$1:J3409,SUMPRODUCT(MAX(ROW(E$1:E3409)*(E3410=E$1:E3409)))))</f>
        <v> </v>
      </c>
      <c r="L3410" s="27"/>
    </row>
    <row r="3411" spans="1:12">
      <c r="A3411" s="20" t="s">
        <v>1000</v>
      </c>
      <c r="E3411" s="22">
        <f>IF(D3411="?OLD","!!!","")</f>
        <v/>
      </c>
      <c r="F3411" s="23" t="str">
        <f>IF(OR(E3411="",E3411="!!!"),"",IF(NOT(ISNA(VLOOKUP(E3411,E$1:E3410,1,FALSE()))),"OLD",IF(AND(E3411&lt;&gt;"",E3411&lt;&gt;"!!!"),"NEW","")))</f>
        <v> </v>
      </c>
      <c r="G3411" s="24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5" t="str">
        <f>IF(J3411&lt;&gt;1,"",IF(I3411="SBJ","CB","?"))</f>
        <v> </v>
      </c>
      <c r="I3411" s="26" t="str">
        <f>IF(OR(E3411="",E3411="!!!",F3411="NEW"),"",INDEX(B3410:B$2,-1+SUMPRODUCT(MAX(ROW(E3410:E$2)*(E3411=E3410:E$2)))))</f>
        <v> </v>
      </c>
      <c r="J3411" s="26" t="str">
        <f>IF(OR(E3411="",E3411="!!!",F3411="NEW"),"",COUNTBLANK(OFFSET(A$1,,,SUMPRODUCT(MAX(ROW(E$2:E3411)*(E3411=E$2:E3411)))))-COUNTBLANK(OFFSET(A$1,,,SUMPRODUCT(MAX(ROW(E$1:E3410)*(E2=E$1:E3410))))))</f>
        <v> </v>
      </c>
      <c r="K3411" s="26" t="str">
        <f>IF(OR(E3411="",E3411="!!!",F3411="NEW"),"",INDEX(J$1:J3410,SUMPRODUCT(MAX(ROW(E$1:E3410)*(E3411=E$1:E3410)))))</f>
        <v> </v>
      </c>
      <c r="L3411" s="27"/>
    </row>
    <row r="3412" spans="1:12">
      <c r="A3412" s="20" t="s">
        <v>1001</v>
      </c>
      <c r="E3412" s="22">
        <f>IF(D3412="?OLD","!!!","")</f>
        <v/>
      </c>
      <c r="F3412" s="23" t="str">
        <f>IF(OR(E3412="",E3412="!!!"),"",IF(NOT(ISNA(VLOOKUP(E3412,E$1:E3411,1,FALSE()))),"OLD",IF(AND(E3412&lt;&gt;"",E3412&lt;&gt;"!!!"),"NEW","")))</f>
        <v> </v>
      </c>
      <c r="G3412" s="24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5" t="str">
        <f>IF(J3412&lt;&gt;1,"",IF(I3412="SBJ","CB","?"))</f>
        <v> </v>
      </c>
      <c r="I3412" s="26" t="str">
        <f>IF(OR(E3412="",E3412="!!!",F3412="NEW"),"",INDEX(B3411:B$2,-1+SUMPRODUCT(MAX(ROW(E3411:E$2)*(E3412=E3411:E$2)))))</f>
        <v> </v>
      </c>
      <c r="J3412" s="26" t="str">
        <f>IF(OR(E3412="",E3412="!!!",F3412="NEW"),"",COUNTBLANK(OFFSET(A$1,,,SUMPRODUCT(MAX(ROW(E$2:E3412)*(E3412=E$2:E3412)))))-COUNTBLANK(OFFSET(A$1,,,SUMPRODUCT(MAX(ROW(E$1:E3411)*(E2=E$1:E3411))))))</f>
        <v> </v>
      </c>
      <c r="K3412" s="26" t="str">
        <f>IF(OR(E3412="",E3412="!!!",F3412="NEW"),"",INDEX(J$1:J3411,SUMPRODUCT(MAX(ROW(E$1:E3411)*(E3412=E$1:E3411)))))</f>
        <v> </v>
      </c>
      <c r="L3412" s="27"/>
    </row>
    <row r="3413" spans="1:12">
      <c r="A3413" s="20" t="s">
        <v>1022</v>
      </c>
      <c r="E3413" s="22">
        <f>IF(D3413="?OLD","!!!","")</f>
        <v/>
      </c>
      <c r="F3413" s="23" t="str">
        <f>IF(OR(E3413="",E3413="!!!"),"",IF(NOT(ISNA(VLOOKUP(E3413,E$1:E3412,1,FALSE()))),"OLD",IF(AND(E3413&lt;&gt;"",E3413&lt;&gt;"!!!"),"NEW","")))</f>
        <v> </v>
      </c>
      <c r="G3413" s="24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5" t="str">
        <f>IF(J3413&lt;&gt;1,"",IF(I3413="SBJ","CB","?"))</f>
        <v> </v>
      </c>
      <c r="I3413" s="26" t="str">
        <f>IF(OR(E3413="",E3413="!!!",F3413="NEW"),"",INDEX(B3412:B$2,-1+SUMPRODUCT(MAX(ROW(E3412:E$2)*(E3413=E3412:E$2)))))</f>
        <v> </v>
      </c>
      <c r="J3413" s="26" t="str">
        <f>IF(OR(E3413="",E3413="!!!",F3413="NEW"),"",COUNTBLANK(OFFSET(A$1,,,SUMPRODUCT(MAX(ROW(E$2:E3413)*(E3413=E$2:E3413)))))-COUNTBLANK(OFFSET(A$1,,,SUMPRODUCT(MAX(ROW(E$1:E3412)*(E2=E$1:E3412))))))</f>
        <v> </v>
      </c>
      <c r="K3413" s="26" t="str">
        <f>IF(OR(E3413="",E3413="!!!",F3413="NEW"),"",INDEX(J$1:J3412,SUMPRODUCT(MAX(ROW(E$1:E3412)*(E3413=E$1:E3412)))))</f>
        <v> </v>
      </c>
      <c r="L3413" s="27"/>
    </row>
    <row r="3414" spans="1:12">
      <c r="A3414" s="20" t="s">
        <v>1958</v>
      </c>
      <c r="B3414" s="21" t="s">
        <v>966</v>
      </c>
      <c r="C3414" s="21" t="s">
        <v>976</v>
      </c>
      <c r="D3414" s="21" t="s">
        <v>950</v>
      </c>
      <c r="E3414" s="22">
        <f>IF(D3414="?OLD","!!!","")</f>
        <v/>
      </c>
      <c r="F3414" s="23" t="str">
        <f>IF(OR(E3414="",E3414="!!!"),"",IF(NOT(ISNA(VLOOKUP(E3414,E$1:E3413,1,FALSE()))),"OLD",IF(AND(E3414&lt;&gt;"",E3414&lt;&gt;"!!!"),"NEW","")))</f>
        <v> </v>
      </c>
      <c r="G3414" s="24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5" t="str">
        <f>IF(J3414&lt;&gt;1,"",IF(I3414="SBJ","CB","?"))</f>
        <v> </v>
      </c>
      <c r="I3414" s="26" t="str">
        <f>IF(OR(E3414="",E3414="!!!",F3414="NEW"),"",INDEX(B3413:B$2,-1+SUMPRODUCT(MAX(ROW(E3413:E$2)*(E3414=E3413:E$2)))))</f>
        <v> </v>
      </c>
      <c r="J3414" s="26" t="str">
        <f>IF(OR(E3414="",E3414="!!!",F3414="NEW"),"",COUNTBLANK(OFFSET(A$1,,,SUMPRODUCT(MAX(ROW(E$2:E3414)*(E3414=E$2:E3414)))))-COUNTBLANK(OFFSET(A$1,,,SUMPRODUCT(MAX(ROW(E$1:E3413)*(E2=E$1:E3413))))))</f>
        <v> </v>
      </c>
      <c r="K3414" s="26" t="str">
        <f>IF(OR(E3414="",E3414="!!!",F3414="NEW"),"",INDEX(J$1:J3413,SUMPRODUCT(MAX(ROW(E$1:E3413)*(E3414=E$1:E3413)))))</f>
        <v> </v>
      </c>
      <c r="L3414" s="27"/>
    </row>
    <row r="3415" spans="1:12">
      <c r="A3415" s="20" t="s">
        <v>977</v>
      </c>
      <c r="E3415" s="22">
        <f>IF(D3415="?OLD","!!!","")</f>
        <v/>
      </c>
      <c r="F3415" s="23" t="str">
        <f>IF(OR(E3415="",E3415="!!!"),"",IF(NOT(ISNA(VLOOKUP(E3415,E$1:E3414,1,FALSE()))),"OLD",IF(AND(E3415&lt;&gt;"",E3415&lt;&gt;"!!!"),"NEW","")))</f>
        <v> </v>
      </c>
      <c r="G3415" s="24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5" t="str">
        <f>IF(J3415&lt;&gt;1,"",IF(I3415="SBJ","CB","?"))</f>
        <v> </v>
      </c>
      <c r="I3415" s="26" t="str">
        <f>IF(OR(E3415="",E3415="!!!",F3415="NEW"),"",INDEX(B3414:B$2,-1+SUMPRODUCT(MAX(ROW(E3414:E$2)*(E3415=E3414:E$2)))))</f>
        <v> </v>
      </c>
      <c r="J3415" s="26" t="str">
        <f>IF(OR(E3415="",E3415="!!!",F3415="NEW"),"",COUNTBLANK(OFFSET(A$1,,,SUMPRODUCT(MAX(ROW(E$2:E3415)*(E3415=E$2:E3415)))))-COUNTBLANK(OFFSET(A$1,,,SUMPRODUCT(MAX(ROW(E$1:E3414)*(E2=E$1:E3414))))))</f>
        <v> </v>
      </c>
      <c r="K3415" s="26" t="str">
        <f>IF(OR(E3415="",E3415="!!!",F3415="NEW"),"",INDEX(J$1:J3414,SUMPRODUCT(MAX(ROW(E$1:E3414)*(E3415=E$1:E3414)))))</f>
        <v> </v>
      </c>
      <c r="L3415" s="27"/>
    </row>
    <row r="3416" spans="1:12">
      <c r="A3416" s="20" t="s">
        <v>1093</v>
      </c>
      <c r="E3416" s="22">
        <f>IF(D3416="?OLD","!!!","")</f>
        <v/>
      </c>
      <c r="F3416" s="23" t="str">
        <f>IF(OR(E3416="",E3416="!!!"),"",IF(NOT(ISNA(VLOOKUP(E3416,E$1:E3415,1,FALSE()))),"OLD",IF(AND(E3416&lt;&gt;"",E3416&lt;&gt;"!!!"),"NEW","")))</f>
        <v> </v>
      </c>
      <c r="G3416" s="24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5" t="str">
        <f>IF(J3416&lt;&gt;1,"",IF(I3416="SBJ","CB","?"))</f>
        <v> </v>
      </c>
      <c r="I3416" s="26" t="str">
        <f>IF(OR(E3416="",E3416="!!!",F3416="NEW"),"",INDEX(B3415:B$2,-1+SUMPRODUCT(MAX(ROW(E3415:E$2)*(E3416=E3415:E$2)))))</f>
        <v> </v>
      </c>
      <c r="J3416" s="26" t="str">
        <f>IF(OR(E3416="",E3416="!!!",F3416="NEW"),"",COUNTBLANK(OFFSET(A$1,,,SUMPRODUCT(MAX(ROW(E$2:E3416)*(E3416=E$2:E3416)))))-COUNTBLANK(OFFSET(A$1,,,SUMPRODUCT(MAX(ROW(E$1:E3415)*(E2=E$1:E3415))))))</f>
        <v> </v>
      </c>
      <c r="K3416" s="26" t="str">
        <f>IF(OR(E3416="",E3416="!!!",F3416="NEW"),"",INDEX(J$1:J3415,SUMPRODUCT(MAX(ROW(E$1:E3415)*(E3416=E$1:E3415)))))</f>
        <v> </v>
      </c>
      <c r="L3416" s="27"/>
    </row>
    <row r="3417" spans="1:12">
      <c r="A3417" s="20" t="s">
        <v>1959</v>
      </c>
      <c r="B3417" s="21" t="s">
        <v>982</v>
      </c>
      <c r="C3417" s="21" t="s">
        <v>1032</v>
      </c>
      <c r="D3417" s="21" t="s">
        <v>950</v>
      </c>
      <c r="E3417" s="22">
        <f>IF(D3417="?OLD","!!!","")</f>
        <v/>
      </c>
      <c r="F3417" s="23" t="str">
        <f>IF(OR(E3417="",E3417="!!!"),"",IF(NOT(ISNA(VLOOKUP(E3417,E$1:E3416,1,FALSE()))),"OLD",IF(AND(E3417&lt;&gt;"",E3417&lt;&gt;"!!!"),"NEW","")))</f>
        <v> </v>
      </c>
      <c r="G3417" s="24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5" t="str">
        <f>IF(J3417&lt;&gt;1,"",IF(I3417="SBJ","CB","?"))</f>
        <v> </v>
      </c>
      <c r="I3417" s="26" t="str">
        <f>IF(OR(E3417="",E3417="!!!",F3417="NEW"),"",INDEX(B3416:B$2,-1+SUMPRODUCT(MAX(ROW(E3416:E$2)*(E3417=E3416:E$2)))))</f>
        <v> </v>
      </c>
      <c r="J3417" s="26" t="str">
        <f>IF(OR(E3417="",E3417="!!!",F3417="NEW"),"",COUNTBLANK(OFFSET(A$1,,,SUMPRODUCT(MAX(ROW(E$2:E3417)*(E3417=E$2:E3417)))))-COUNTBLANK(OFFSET(A$1,,,SUMPRODUCT(MAX(ROW(E$1:E3416)*(E2=E$1:E3416))))))</f>
        <v> </v>
      </c>
      <c r="K3417" s="26" t="str">
        <f>IF(OR(E3417="",E3417="!!!",F3417="NEW"),"",INDEX(J$1:J3416,SUMPRODUCT(MAX(ROW(E$1:E3416)*(E3417=E$1:E3416)))))</f>
        <v> </v>
      </c>
      <c r="L3417" s="27"/>
    </row>
    <row r="3418" spans="1:12">
      <c r="A3418" s="20" t="s">
        <v>972</v>
      </c>
      <c r="E3418" s="22">
        <f>IF(D3418="?OLD","!!!","")</f>
        <v/>
      </c>
      <c r="F3418" s="23" t="str">
        <f>IF(OR(E3418="",E3418="!!!"),"",IF(NOT(ISNA(VLOOKUP(E3418,E$1:E3417,1,FALSE()))),"OLD",IF(AND(E3418&lt;&gt;"",E3418&lt;&gt;"!!!"),"NEW","")))</f>
        <v> </v>
      </c>
      <c r="G3418" s="24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5" t="str">
        <f>IF(J3418&lt;&gt;1,"",IF(I3418="SBJ","CB","?"))</f>
        <v> </v>
      </c>
      <c r="I3418" s="26" t="str">
        <f>IF(OR(E3418="",E3418="!!!",F3418="NEW"),"",INDEX(B3417:B$2,-1+SUMPRODUCT(MAX(ROW(E3417:E$2)*(E3418=E3417:E$2)))))</f>
        <v> </v>
      </c>
      <c r="J3418" s="26" t="str">
        <f>IF(OR(E3418="",E3418="!!!",F3418="NEW"),"",COUNTBLANK(OFFSET(A$1,,,SUMPRODUCT(MAX(ROW(E$2:E3418)*(E3418=E$2:E3418)))))-COUNTBLANK(OFFSET(A$1,,,SUMPRODUCT(MAX(ROW(E$1:E3417)*(E2=E$1:E3417))))))</f>
        <v> </v>
      </c>
      <c r="K3418" s="26" t="str">
        <f>IF(OR(E3418="",E3418="!!!",F3418="NEW"),"",INDEX(J$1:J3417,SUMPRODUCT(MAX(ROW(E$1:E3417)*(E3418=E$1:E3417)))))</f>
        <v> </v>
      </c>
      <c r="L3418" s="27"/>
    </row>
    <row r="3419" spans="1:12">
      <c r="A3419" s="20" t="s">
        <v>1649</v>
      </c>
      <c r="E3419" s="22">
        <f>IF(D3419="?OLD","!!!","")</f>
        <v/>
      </c>
      <c r="F3419" s="23" t="str">
        <f>IF(OR(E3419="",E3419="!!!"),"",IF(NOT(ISNA(VLOOKUP(E3419,E$1:E3418,1,FALSE()))),"OLD",IF(AND(E3419&lt;&gt;"",E3419&lt;&gt;"!!!"),"NEW","")))</f>
        <v> </v>
      </c>
      <c r="G3419" s="24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5" t="str">
        <f>IF(J3419&lt;&gt;1,"",IF(I3419="SBJ","CB","?"))</f>
        <v> </v>
      </c>
      <c r="I3419" s="26" t="str">
        <f>IF(OR(E3419="",E3419="!!!",F3419="NEW"),"",INDEX(B3418:B$2,-1+SUMPRODUCT(MAX(ROW(E3418:E$2)*(E3419=E3418:E$2)))))</f>
        <v> </v>
      </c>
      <c r="J3419" s="26" t="str">
        <f>IF(OR(E3419="",E3419="!!!",F3419="NEW"),"",COUNTBLANK(OFFSET(A$1,,,SUMPRODUCT(MAX(ROW(E$2:E3419)*(E3419=E$2:E3419)))))-COUNTBLANK(OFFSET(A$1,,,SUMPRODUCT(MAX(ROW(E$1:E3418)*(E2=E$1:E3418))))))</f>
        <v> </v>
      </c>
      <c r="K3419" s="26" t="str">
        <f>IF(OR(E3419="",E3419="!!!",F3419="NEW"),"",INDEX(J$1:J3418,SUMPRODUCT(MAX(ROW(E$1:E3418)*(E3419=E$1:E3418)))))</f>
        <v> </v>
      </c>
      <c r="L3419" s="27"/>
    </row>
    <row r="3420" spans="1:12">
      <c r="A3420" s="20" t="s">
        <v>1077</v>
      </c>
      <c r="E3420" s="22">
        <f>IF(D3420="?OLD","!!!","")</f>
        <v/>
      </c>
      <c r="F3420" s="23" t="str">
        <f>IF(OR(E3420="",E3420="!!!"),"",IF(NOT(ISNA(VLOOKUP(E3420,E$1:E3419,1,FALSE()))),"OLD",IF(AND(E3420&lt;&gt;"",E3420&lt;&gt;"!!!"),"NEW","")))</f>
        <v> </v>
      </c>
      <c r="G3420" s="24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5" t="str">
        <f>IF(J3420&lt;&gt;1,"",IF(I3420="SBJ","CB","?"))</f>
        <v> </v>
      </c>
      <c r="I3420" s="26" t="str">
        <f>IF(OR(E3420="",E3420="!!!",F3420="NEW"),"",INDEX(B3419:B$2,-1+SUMPRODUCT(MAX(ROW(E3419:E$2)*(E3420=E3419:E$2)))))</f>
        <v> </v>
      </c>
      <c r="J3420" s="26" t="str">
        <f>IF(OR(E3420="",E3420="!!!",F3420="NEW"),"",COUNTBLANK(OFFSET(A$1,,,SUMPRODUCT(MAX(ROW(E$2:E3420)*(E3420=E$2:E3420)))))-COUNTBLANK(OFFSET(A$1,,,SUMPRODUCT(MAX(ROW(E$1:E3419)*(E2=E$1:E3419))))))</f>
        <v> </v>
      </c>
      <c r="K3420" s="26" t="str">
        <f>IF(OR(E3420="",E3420="!!!",F3420="NEW"),"",INDEX(J$1:J3419,SUMPRODUCT(MAX(ROW(E$1:E3419)*(E3420=E$1:E3419)))))</f>
        <v> </v>
      </c>
      <c r="L3420" s="27"/>
    </row>
    <row r="3421" spans="1:12">
      <c r="A3421" s="20" t="s">
        <v>1437</v>
      </c>
      <c r="E3421" s="22">
        <f>IF(D3421="?OLD","!!!","")</f>
        <v/>
      </c>
      <c r="F3421" s="23" t="str">
        <f>IF(OR(E3421="",E3421="!!!"),"",IF(NOT(ISNA(VLOOKUP(E3421,E$1:E3420,1,FALSE()))),"OLD",IF(AND(E3421&lt;&gt;"",E3421&lt;&gt;"!!!"),"NEW","")))</f>
        <v> </v>
      </c>
      <c r="G3421" s="24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5" t="str">
        <f>IF(J3421&lt;&gt;1,"",IF(I3421="SBJ","CB","?"))</f>
        <v> </v>
      </c>
      <c r="I3421" s="26" t="str">
        <f>IF(OR(E3421="",E3421="!!!",F3421="NEW"),"",INDEX(B3420:B$2,-1+SUMPRODUCT(MAX(ROW(E3420:E$2)*(E3421=E3420:E$2)))))</f>
        <v> </v>
      </c>
      <c r="J3421" s="26" t="str">
        <f>IF(OR(E3421="",E3421="!!!",F3421="NEW"),"",COUNTBLANK(OFFSET(A$1,,,SUMPRODUCT(MAX(ROW(E$2:E3421)*(E3421=E$2:E3421)))))-COUNTBLANK(OFFSET(A$1,,,SUMPRODUCT(MAX(ROW(E$1:E3420)*(E2=E$1:E3420))))))</f>
        <v> </v>
      </c>
      <c r="K3421" s="26" t="str">
        <f>IF(OR(E3421="",E3421="!!!",F3421="NEW"),"",INDEX(J$1:J3420,SUMPRODUCT(MAX(ROW(E$1:E3420)*(E3421=E$1:E3420)))))</f>
        <v> </v>
      </c>
      <c r="L3421" s="27"/>
    </row>
    <row r="3422" spans="1:12">
      <c r="A3422" s="20" t="s">
        <v>984</v>
      </c>
      <c r="E3422" s="22">
        <f>IF(D3422="?OLD","!!!","")</f>
        <v/>
      </c>
      <c r="F3422" s="23" t="str">
        <f>IF(OR(E3422="",E3422="!!!"),"",IF(NOT(ISNA(VLOOKUP(E3422,E$1:E3421,1,FALSE()))),"OLD",IF(AND(E3422&lt;&gt;"",E3422&lt;&gt;"!!!"),"NEW","")))</f>
        <v> </v>
      </c>
      <c r="G3422" s="24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5" t="str">
        <f>IF(J3422&lt;&gt;1,"",IF(I3422="SBJ","CB","?"))</f>
        <v> </v>
      </c>
      <c r="I3422" s="26" t="str">
        <f>IF(OR(E3422="",E3422="!!!",F3422="NEW"),"",INDEX(B3421:B$2,-1+SUMPRODUCT(MAX(ROW(E3421:E$2)*(E3422=E3421:E$2)))))</f>
        <v> </v>
      </c>
      <c r="J3422" s="26" t="str">
        <f>IF(OR(E3422="",E3422="!!!",F3422="NEW"),"",COUNTBLANK(OFFSET(A$1,,,SUMPRODUCT(MAX(ROW(E$2:E3422)*(E3422=E$2:E3422)))))-COUNTBLANK(OFFSET(A$1,,,SUMPRODUCT(MAX(ROW(E$1:E3421)*(E2=E$1:E3421))))))</f>
        <v> </v>
      </c>
      <c r="K3422" s="26" t="str">
        <f>IF(OR(E3422="",E3422="!!!",F3422="NEW"),"",INDEX(J$1:J3421,SUMPRODUCT(MAX(ROW(E$1:E3421)*(E3422=E$1:E3421)))))</f>
        <v> </v>
      </c>
      <c r="L3422" s="27"/>
    </row>
    <row r="3423" spans="1:12">
      <c r="A3423" s="20"/>
    </row>
    <row r="3424" spans="1:12">
      <c r="A3424" s="20" t="s">
        <v>1960</v>
      </c>
    </row>
    <row r="3425" spans="1:12">
      <c r="A3425" s="20" t="s">
        <v>1242</v>
      </c>
      <c r="E3425" s="22">
        <f>IF(D3425="?OLD","!!!","")</f>
        <v/>
      </c>
      <c r="F3425" s="23" t="str">
        <f>IF(OR(E3425="",E3425="!!!"),"",IF(NOT(ISNA(VLOOKUP(E3425,E$1:E3424,1,FALSE()))),"OLD",IF(AND(E3425&lt;&gt;"",E3425&lt;&gt;"!!!"),"NEW","")))</f>
        <v> </v>
      </c>
      <c r="G3425" s="24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5" t="str">
        <f>IF(J3425&lt;&gt;1,"",IF(I3425="SBJ","CB","?"))</f>
        <v> </v>
      </c>
      <c r="I3425" s="26" t="str">
        <f>IF(OR(E3425="",E3425="!!!",F3425="NEW"),"",INDEX(B3424:B$2,-1+SUMPRODUCT(MAX(ROW(E3424:E$2)*(E3425=E3424:E$2)))))</f>
        <v> </v>
      </c>
      <c r="J3425" s="26" t="str">
        <f>IF(OR(E3425="",E3425="!!!",F3425="NEW"),"",COUNTBLANK(OFFSET(A$1,,,SUMPRODUCT(MAX(ROW(E$2:E3425)*(E3425=E$2:E3425)))))-COUNTBLANK(OFFSET(A$1,,,SUMPRODUCT(MAX(ROW(E$1:E3424)*(E2=E$1:E3424))))))</f>
        <v> </v>
      </c>
      <c r="K3425" s="26" t="str">
        <f>IF(OR(E3425="",E3425="!!!",F3425="NEW"),"",INDEX(J$1:J3424,SUMPRODUCT(MAX(ROW(E$1:E3424)*(E3425=E$1:E3424)))))</f>
        <v> </v>
      </c>
      <c r="L3425" s="27"/>
    </row>
    <row r="3426" spans="1:12">
      <c r="A3426" s="20" t="s">
        <v>1019</v>
      </c>
      <c r="E3426" s="22">
        <f>IF(D3426="?OLD","!!!","")</f>
        <v/>
      </c>
      <c r="F3426" s="23" t="str">
        <f>IF(OR(E3426="",E3426="!!!"),"",IF(NOT(ISNA(VLOOKUP(E3426,E$1:E3425,1,FALSE()))),"OLD",IF(AND(E3426&lt;&gt;"",E3426&lt;&gt;"!!!"),"NEW","")))</f>
        <v> </v>
      </c>
      <c r="G3426" s="24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5" t="str">
        <f>IF(J3426&lt;&gt;1,"",IF(I3426="SBJ","CB","?"))</f>
        <v> </v>
      </c>
      <c r="I3426" s="26" t="str">
        <f>IF(OR(E3426="",E3426="!!!",F3426="NEW"),"",INDEX(B3425:B$2,-1+SUMPRODUCT(MAX(ROW(E3425:E$2)*(E3426=E3425:E$2)))))</f>
        <v> </v>
      </c>
      <c r="J3426" s="26" t="str">
        <f>IF(OR(E3426="",E3426="!!!",F3426="NEW"),"",COUNTBLANK(OFFSET(A$1,,,SUMPRODUCT(MAX(ROW(E$2:E3426)*(E3426=E$2:E3426)))))-COUNTBLANK(OFFSET(A$1,,,SUMPRODUCT(MAX(ROW(E$1:E3425)*(E2=E$1:E3425))))))</f>
        <v> </v>
      </c>
      <c r="K3426" s="26" t="str">
        <f>IF(OR(E3426="",E3426="!!!",F3426="NEW"),"",INDEX(J$1:J3425,SUMPRODUCT(MAX(ROW(E$1:E3425)*(E3426=E$1:E3425)))))</f>
        <v> </v>
      </c>
      <c r="L3426" s="27"/>
    </row>
    <row r="3427" spans="1:12">
      <c r="A3427" s="20" t="s">
        <v>1120</v>
      </c>
      <c r="B3427" s="21" t="s">
        <v>948</v>
      </c>
      <c r="C3427" s="21" t="s">
        <v>964</v>
      </c>
      <c r="E3427" s="22">
        <f>IF(D3427="?OLD","!!!","")</f>
        <v/>
      </c>
      <c r="F3427" s="23" t="str">
        <f>IF(OR(E3427="",E3427="!!!"),"",IF(NOT(ISNA(VLOOKUP(E3427,E$1:E3426,1,FALSE()))),"OLD",IF(AND(E3427&lt;&gt;"",E3427&lt;&gt;"!!!"),"NEW","")))</f>
        <v> </v>
      </c>
      <c r="G3427" s="24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5" t="str">
        <f>IF(J3427&lt;&gt;1,"",IF(I3427="SBJ","CB","?"))</f>
        <v> </v>
      </c>
      <c r="I3427" s="26" t="str">
        <f>IF(OR(E3427="",E3427="!!!",F3427="NEW"),"",INDEX(B3426:B$2,-1+SUMPRODUCT(MAX(ROW(E3426:E$2)*(E3427=E3426:E$2)))))</f>
        <v> </v>
      </c>
      <c r="J3427" s="26" t="str">
        <f>IF(OR(E3427="",E3427="!!!",F3427="NEW"),"",COUNTBLANK(OFFSET(A$1,,,SUMPRODUCT(MAX(ROW(E$2:E3427)*(E3427=E$2:E3427)))))-COUNTBLANK(OFFSET(A$1,,,SUMPRODUCT(MAX(ROW(E$1:E3426)*(E2=E$1:E3426))))))</f>
        <v> </v>
      </c>
      <c r="K3427" s="26" t="str">
        <f>IF(OR(E3427="",E3427="!!!",F3427="NEW"),"",INDEX(J$1:J3426,SUMPRODUCT(MAX(ROW(E$1:E3426)*(E3427=E$1:E3426)))))</f>
        <v> </v>
      </c>
      <c r="L3427" s="27"/>
    </row>
    <row r="3428" spans="1:12">
      <c r="A3428" s="20" t="s">
        <v>1022</v>
      </c>
      <c r="E3428" s="22">
        <f>IF(D3428="?OLD","!!!","")</f>
        <v/>
      </c>
      <c r="F3428" s="23" t="str">
        <f>IF(OR(E3428="",E3428="!!!"),"",IF(NOT(ISNA(VLOOKUP(E3428,E$1:E3427,1,FALSE()))),"OLD",IF(AND(E3428&lt;&gt;"",E3428&lt;&gt;"!!!"),"NEW","")))</f>
        <v> </v>
      </c>
      <c r="G3428" s="24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5" t="str">
        <f>IF(J3428&lt;&gt;1,"",IF(I3428="SBJ","CB","?"))</f>
        <v> </v>
      </c>
      <c r="I3428" s="26" t="str">
        <f>IF(OR(E3428="",E3428="!!!",F3428="NEW"),"",INDEX(B3427:B$2,-1+SUMPRODUCT(MAX(ROW(E3427:E$2)*(E3428=E3427:E$2)))))</f>
        <v> </v>
      </c>
      <c r="J3428" s="26" t="str">
        <f>IF(OR(E3428="",E3428="!!!",F3428="NEW"),"",COUNTBLANK(OFFSET(A$1,,,SUMPRODUCT(MAX(ROW(E$2:E3428)*(E3428=E$2:E3428)))))-COUNTBLANK(OFFSET(A$1,,,SUMPRODUCT(MAX(ROW(E$1:E3427)*(E2=E$1:E3427))))))</f>
        <v> </v>
      </c>
      <c r="K3428" s="26" t="str">
        <f>IF(OR(E3428="",E3428="!!!",F3428="NEW"),"",INDEX(J$1:J3427,SUMPRODUCT(MAX(ROW(E$1:E3427)*(E3428=E$1:E3427)))))</f>
        <v> </v>
      </c>
      <c r="L3428" s="27"/>
    </row>
    <row r="3429" spans="1:12">
      <c r="A3429" s="20" t="s">
        <v>1387</v>
      </c>
      <c r="B3429" s="21" t="s">
        <v>956</v>
      </c>
      <c r="C3429" s="21" t="s">
        <v>1032</v>
      </c>
      <c r="D3429" s="21" t="s">
        <v>950</v>
      </c>
      <c r="E3429" s="22">
        <f>IF(D3429="?OLD","!!!","")</f>
        <v/>
      </c>
      <c r="F3429" s="23" t="str">
        <f>IF(OR(E3429="",E3429="!!!"),"",IF(NOT(ISNA(VLOOKUP(E3429,E$1:E3428,1,FALSE()))),"OLD",IF(AND(E3429&lt;&gt;"",E3429&lt;&gt;"!!!"),"NEW","")))</f>
        <v> </v>
      </c>
      <c r="G3429" s="24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5" t="str">
        <f>IF(J3429&lt;&gt;1,"",IF(I3429="SBJ","CB","?"))</f>
        <v> </v>
      </c>
      <c r="I3429" s="26" t="str">
        <f>IF(OR(E3429="",E3429="!!!",F3429="NEW"),"",INDEX(B3428:B$2,-1+SUMPRODUCT(MAX(ROW(E3428:E$2)*(E3429=E3428:E$2)))))</f>
        <v> </v>
      </c>
      <c r="J3429" s="26" t="str">
        <f>IF(OR(E3429="",E3429="!!!",F3429="NEW"),"",COUNTBLANK(OFFSET(A$1,,,SUMPRODUCT(MAX(ROW(E$2:E3429)*(E3429=E$2:E3429)))))-COUNTBLANK(OFFSET(A$1,,,SUMPRODUCT(MAX(ROW(E$1:E3428)*(E2=E$1:E3428))))))</f>
        <v> </v>
      </c>
      <c r="K3429" s="26" t="str">
        <f>IF(OR(E3429="",E3429="!!!",F3429="NEW"),"",INDEX(J$1:J3428,SUMPRODUCT(MAX(ROW(E$1:E3428)*(E3429=E$1:E3428)))))</f>
        <v> </v>
      </c>
      <c r="L3429" s="27"/>
    </row>
    <row r="3430" spans="1:12">
      <c r="A3430" s="20" t="s">
        <v>1034</v>
      </c>
      <c r="E3430" s="22">
        <f>IF(D3430="?OLD","!!!","")</f>
        <v/>
      </c>
      <c r="F3430" s="23" t="str">
        <f>IF(OR(E3430="",E3430="!!!"),"",IF(NOT(ISNA(VLOOKUP(E3430,E$1:E3429,1,FALSE()))),"OLD",IF(AND(E3430&lt;&gt;"",E3430&lt;&gt;"!!!"),"NEW","")))</f>
        <v> </v>
      </c>
      <c r="G3430" s="24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5" t="str">
        <f>IF(J3430&lt;&gt;1,"",IF(I3430="SBJ","CB","?"))</f>
        <v> </v>
      </c>
      <c r="I3430" s="26" t="str">
        <f>IF(OR(E3430="",E3430="!!!",F3430="NEW"),"",INDEX(B3429:B$2,-1+SUMPRODUCT(MAX(ROW(E3429:E$2)*(E3430=E3429:E$2)))))</f>
        <v> </v>
      </c>
      <c r="J3430" s="26" t="str">
        <f>IF(OR(E3430="",E3430="!!!",F3430="NEW"),"",COUNTBLANK(OFFSET(A$1,,,SUMPRODUCT(MAX(ROW(E$2:E3430)*(E3430=E$2:E3430)))))-COUNTBLANK(OFFSET(A$1,,,SUMPRODUCT(MAX(ROW(E$1:E3429)*(E2=E$1:E3429))))))</f>
        <v> </v>
      </c>
      <c r="K3430" s="26" t="str">
        <f>IF(OR(E3430="",E3430="!!!",F3430="NEW"),"",INDEX(J$1:J3429,SUMPRODUCT(MAX(ROW(E$1:E3429)*(E3430=E$1:E3429)))))</f>
        <v> </v>
      </c>
      <c r="L3430" s="27"/>
    </row>
    <row r="3431" spans="1:12">
      <c r="A3431" s="20" t="s">
        <v>1535</v>
      </c>
      <c r="E3431" s="22">
        <f>IF(D3431="?OLD","!!!","")</f>
        <v/>
      </c>
      <c r="F3431" s="23" t="str">
        <f>IF(OR(E3431="",E3431="!!!"),"",IF(NOT(ISNA(VLOOKUP(E3431,E$1:E3430,1,FALSE()))),"OLD",IF(AND(E3431&lt;&gt;"",E3431&lt;&gt;"!!!"),"NEW","")))</f>
        <v> </v>
      </c>
      <c r="G3431" s="24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5" t="str">
        <f>IF(J3431&lt;&gt;1,"",IF(I3431="SBJ","CB","?"))</f>
        <v> </v>
      </c>
      <c r="I3431" s="26" t="str">
        <f>IF(OR(E3431="",E3431="!!!",F3431="NEW"),"",INDEX(B3430:B$2,-1+SUMPRODUCT(MAX(ROW(E3430:E$2)*(E3431=E3430:E$2)))))</f>
        <v> </v>
      </c>
      <c r="J3431" s="26" t="str">
        <f>IF(OR(E3431="",E3431="!!!",F3431="NEW"),"",COUNTBLANK(OFFSET(A$1,,,SUMPRODUCT(MAX(ROW(E$2:E3431)*(E3431=E$2:E3431)))))-COUNTBLANK(OFFSET(A$1,,,SUMPRODUCT(MAX(ROW(E$1:E3430)*(E2=E$1:E3430))))))</f>
        <v> </v>
      </c>
      <c r="K3431" s="26" t="str">
        <f>IF(OR(E3431="",E3431="!!!",F3431="NEW"),"",INDEX(J$1:J3430,SUMPRODUCT(MAX(ROW(E$1:E3430)*(E3431=E$1:E3430)))))</f>
        <v> </v>
      </c>
      <c r="L3431" s="27"/>
    </row>
    <row r="3432" spans="1:12">
      <c r="A3432" s="20" t="s">
        <v>1006</v>
      </c>
      <c r="E3432" s="22">
        <f>IF(D3432="?OLD","!!!","")</f>
        <v/>
      </c>
      <c r="F3432" s="23" t="str">
        <f>IF(OR(E3432="",E3432="!!!"),"",IF(NOT(ISNA(VLOOKUP(E3432,E$1:E3431,1,FALSE()))),"OLD",IF(AND(E3432&lt;&gt;"",E3432&lt;&gt;"!!!"),"NEW","")))</f>
        <v> </v>
      </c>
      <c r="G3432" s="24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5" t="str">
        <f>IF(J3432&lt;&gt;1,"",IF(I3432="SBJ","CB","?"))</f>
        <v> </v>
      </c>
      <c r="I3432" s="26" t="str">
        <f>IF(OR(E3432="",E3432="!!!",F3432="NEW"),"",INDEX(B3431:B$2,-1+SUMPRODUCT(MAX(ROW(E3431:E$2)*(E3432=E3431:E$2)))))</f>
        <v> </v>
      </c>
      <c r="J3432" s="26" t="str">
        <f>IF(OR(E3432="",E3432="!!!",F3432="NEW"),"",COUNTBLANK(OFFSET(A$1,,,SUMPRODUCT(MAX(ROW(E$2:E3432)*(E3432=E$2:E3432)))))-COUNTBLANK(OFFSET(A$1,,,SUMPRODUCT(MAX(ROW(E$1:E3431)*(E2=E$1:E3431))))))</f>
        <v> </v>
      </c>
      <c r="K3432" s="26" t="str">
        <f>IF(OR(E3432="",E3432="!!!",F3432="NEW"),"",INDEX(J$1:J3431,SUMPRODUCT(MAX(ROW(E$1:E3431)*(E3432=E$1:E3431)))))</f>
        <v> </v>
      </c>
      <c r="L3432" s="27"/>
    </row>
    <row r="3433" spans="1:12">
      <c r="A3433" s="20" t="s">
        <v>1146</v>
      </c>
      <c r="B3433" s="21" t="s">
        <v>982</v>
      </c>
      <c r="C3433" s="21" t="s">
        <v>1029</v>
      </c>
      <c r="D3433" s="21" t="s">
        <v>950</v>
      </c>
      <c r="E3433" s="22">
        <f>IF(D3433="?OLD","!!!","")</f>
        <v/>
      </c>
      <c r="F3433" s="23" t="str">
        <f>IF(OR(E3433="",E3433="!!!"),"",IF(NOT(ISNA(VLOOKUP(E3433,E$1:E3432,1,FALSE()))),"OLD",IF(AND(E3433&lt;&gt;"",E3433&lt;&gt;"!!!"),"NEW","")))</f>
        <v> </v>
      </c>
      <c r="G3433" s="24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5" t="str">
        <f>IF(J3433&lt;&gt;1,"",IF(I3433="SBJ","CB","?"))</f>
        <v> </v>
      </c>
      <c r="I3433" s="26" t="str">
        <f>IF(OR(E3433="",E3433="!!!",F3433="NEW"),"",INDEX(B3432:B$2,-1+SUMPRODUCT(MAX(ROW(E3432:E$2)*(E3433=E3432:E$2)))))</f>
        <v> </v>
      </c>
      <c r="J3433" s="26" t="str">
        <f>IF(OR(E3433="",E3433="!!!",F3433="NEW"),"",COUNTBLANK(OFFSET(A$1,,,SUMPRODUCT(MAX(ROW(E$2:E3433)*(E3433=E$2:E3433)))))-COUNTBLANK(OFFSET(A$1,,,SUMPRODUCT(MAX(ROW(E$1:E3432)*(E2=E$1:E3432))))))</f>
        <v> </v>
      </c>
      <c r="K3433" s="26" t="str">
        <f>IF(OR(E3433="",E3433="!!!",F3433="NEW"),"",INDEX(J$1:J3432,SUMPRODUCT(MAX(ROW(E$1:E3432)*(E3433=E$1:E3432)))))</f>
        <v> </v>
      </c>
      <c r="L3433" s="27"/>
    </row>
    <row r="3434" spans="1:12">
      <c r="A3434" s="20" t="s">
        <v>1948</v>
      </c>
      <c r="B3434" s="21" t="s">
        <v>966</v>
      </c>
      <c r="C3434" s="21" t="s">
        <v>1032</v>
      </c>
      <c r="D3434" s="21" t="s">
        <v>950</v>
      </c>
      <c r="E3434" s="22">
        <f>IF(D3434="?OLD","!!!","")</f>
        <v/>
      </c>
      <c r="F3434" s="23" t="str">
        <f>IF(OR(E3434="",E3434="!!!"),"",IF(NOT(ISNA(VLOOKUP(E3434,E$1:E3433,1,FALSE()))),"OLD",IF(AND(E3434&lt;&gt;"",E3434&lt;&gt;"!!!"),"NEW","")))</f>
        <v> </v>
      </c>
      <c r="G3434" s="24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5" t="str">
        <f>IF(J3434&lt;&gt;1,"",IF(I3434="SBJ","CB","?"))</f>
        <v> </v>
      </c>
      <c r="I3434" s="26" t="str">
        <f>IF(OR(E3434="",E3434="!!!",F3434="NEW"),"",INDEX(B3433:B$2,-1+SUMPRODUCT(MAX(ROW(E3433:E$2)*(E3434=E3433:E$2)))))</f>
        <v> </v>
      </c>
      <c r="J3434" s="26" t="str">
        <f>IF(OR(E3434="",E3434="!!!",F3434="NEW"),"",COUNTBLANK(OFFSET(A$1,,,SUMPRODUCT(MAX(ROW(E$2:E3434)*(E3434=E$2:E3434)))))-COUNTBLANK(OFFSET(A$1,,,SUMPRODUCT(MAX(ROW(E$1:E3433)*(E2=E$1:E3433))))))</f>
        <v> </v>
      </c>
      <c r="K3434" s="26" t="str">
        <f>IF(OR(E3434="",E3434="!!!",F3434="NEW"),"",INDEX(J$1:J3433,SUMPRODUCT(MAX(ROW(E$1:E3433)*(E3434=E$1:E3433)))))</f>
        <v> </v>
      </c>
      <c r="L3434" s="27"/>
    </row>
    <row r="3435" spans="1:12">
      <c r="A3435" s="20" t="s">
        <v>984</v>
      </c>
      <c r="E3435" s="22">
        <f>IF(D3435="?OLD","!!!","")</f>
        <v/>
      </c>
      <c r="F3435" s="23" t="str">
        <f>IF(OR(E3435="",E3435="!!!"),"",IF(NOT(ISNA(VLOOKUP(E3435,E$1:E3434,1,FALSE()))),"OLD",IF(AND(E3435&lt;&gt;"",E3435&lt;&gt;"!!!"),"NEW","")))</f>
        <v> </v>
      </c>
      <c r="G3435" s="24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5" t="str">
        <f>IF(J3435&lt;&gt;1,"",IF(I3435="SBJ","CB","?"))</f>
        <v> </v>
      </c>
      <c r="I3435" s="26" t="str">
        <f>IF(OR(E3435="",E3435="!!!",F3435="NEW"),"",INDEX(B3434:B$2,-1+SUMPRODUCT(MAX(ROW(E3434:E$2)*(E3435=E3434:E$2)))))</f>
        <v> </v>
      </c>
      <c r="J3435" s="26" t="str">
        <f>IF(OR(E3435="",E3435="!!!",F3435="NEW"),"",COUNTBLANK(OFFSET(A$1,,,SUMPRODUCT(MAX(ROW(E$2:E3435)*(E3435=E$2:E3435)))))-COUNTBLANK(OFFSET(A$1,,,SUMPRODUCT(MAX(ROW(E$1:E3434)*(E2=E$1:E3434))))))</f>
        <v> </v>
      </c>
      <c r="K3435" s="26" t="str">
        <f>IF(OR(E3435="",E3435="!!!",F3435="NEW"),"",INDEX(J$1:J3434,SUMPRODUCT(MAX(ROW(E$1:E3434)*(E3435=E$1:E3434)))))</f>
        <v> </v>
      </c>
      <c r="L3435" s="27"/>
    </row>
    <row r="3436" spans="1:12">
      <c r="A3436" s="20"/>
    </row>
    <row r="3437" spans="1:12">
      <c r="A3437" s="20" t="s">
        <v>1961</v>
      </c>
    </row>
    <row r="3438" spans="1:12">
      <c r="A3438" s="20" t="s">
        <v>1016</v>
      </c>
      <c r="B3438" s="21" t="s">
        <v>948</v>
      </c>
      <c r="C3438" s="21" t="s">
        <v>983</v>
      </c>
      <c r="E3438" s="22">
        <f>IF(D3438="?OLD","!!!","")</f>
        <v/>
      </c>
      <c r="F3438" s="23" t="str">
        <f>IF(OR(E3438="",E3438="!!!"),"",IF(NOT(ISNA(VLOOKUP(E3438,E$1:E3437,1,FALSE()))),"OLD",IF(AND(E3438&lt;&gt;"",E3438&lt;&gt;"!!!"),"NEW","")))</f>
        <v> </v>
      </c>
      <c r="G3438" s="24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5" t="str">
        <f>IF(J3438&lt;&gt;1,"",IF(I3438="SBJ","CB","?"))</f>
        <v> </v>
      </c>
      <c r="I3438" s="26" t="str">
        <f>IF(OR(E3438="",E3438="!!!",F3438="NEW"),"",INDEX(B3437:B$2,-1+SUMPRODUCT(MAX(ROW(E3437:E$2)*(E3438=E3437:E$2)))))</f>
        <v> </v>
      </c>
      <c r="J3438" s="26" t="str">
        <f>IF(OR(E3438="",E3438="!!!",F3438="NEW"),"",COUNTBLANK(OFFSET(A$1,,,SUMPRODUCT(MAX(ROW(E$2:E3438)*(E3438=E$2:E3438)))))-COUNTBLANK(OFFSET(A$1,,,SUMPRODUCT(MAX(ROW(E$1:E3437)*(E2=E$1:E3437))))))</f>
        <v> </v>
      </c>
      <c r="K3438" s="26" t="str">
        <f>IF(OR(E3438="",E3438="!!!",F3438="NEW"),"",INDEX(J$1:J3437,SUMPRODUCT(MAX(ROW(E$1:E3437)*(E3438=E$1:E3437)))))</f>
        <v> </v>
      </c>
      <c r="L3438" s="27"/>
    </row>
    <row r="3439" spans="1:12">
      <c r="A3439" s="20" t="s">
        <v>952</v>
      </c>
      <c r="E3439" s="22">
        <f>IF(D3439="?OLD","!!!","")</f>
        <v/>
      </c>
      <c r="F3439" s="23" t="str">
        <f>IF(OR(E3439="",E3439="!!!"),"",IF(NOT(ISNA(VLOOKUP(E3439,E$1:E3438,1,FALSE()))),"OLD",IF(AND(E3439&lt;&gt;"",E3439&lt;&gt;"!!!"),"NEW","")))</f>
        <v> </v>
      </c>
      <c r="G3439" s="24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5" t="str">
        <f>IF(J3439&lt;&gt;1,"",IF(I3439="SBJ","CB","?"))</f>
        <v> </v>
      </c>
      <c r="I3439" s="26" t="str">
        <f>IF(OR(E3439="",E3439="!!!",F3439="NEW"),"",INDEX(B3438:B$2,-1+SUMPRODUCT(MAX(ROW(E3438:E$2)*(E3439=E3438:E$2)))))</f>
        <v> </v>
      </c>
      <c r="J3439" s="26" t="str">
        <f>IF(OR(E3439="",E3439="!!!",F3439="NEW"),"",COUNTBLANK(OFFSET(A$1,,,SUMPRODUCT(MAX(ROW(E$2:E3439)*(E3439=E$2:E3439)))))-COUNTBLANK(OFFSET(A$1,,,SUMPRODUCT(MAX(ROW(E$1:E3438)*(E2=E$1:E3438))))))</f>
        <v> </v>
      </c>
      <c r="K3439" s="26" t="str">
        <f>IF(OR(E3439="",E3439="!!!",F3439="NEW"),"",INDEX(J$1:J3438,SUMPRODUCT(MAX(ROW(E$1:E3438)*(E3439=E$1:E3438)))))</f>
        <v> </v>
      </c>
      <c r="L3439" s="27"/>
    </row>
    <row r="3440" spans="1:12">
      <c r="A3440" s="20" t="s">
        <v>1092</v>
      </c>
      <c r="E3440" s="22">
        <f>IF(D3440="?OLD","!!!","")</f>
        <v/>
      </c>
      <c r="F3440" s="23" t="str">
        <f>IF(OR(E3440="",E3440="!!!"),"",IF(NOT(ISNA(VLOOKUP(E3440,E$1:E3439,1,FALSE()))),"OLD",IF(AND(E3440&lt;&gt;"",E3440&lt;&gt;"!!!"),"NEW","")))</f>
        <v> </v>
      </c>
      <c r="G3440" s="24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5" t="str">
        <f>IF(J3440&lt;&gt;1,"",IF(I3440="SBJ","CB","?"))</f>
        <v> </v>
      </c>
      <c r="I3440" s="26" t="str">
        <f>IF(OR(E3440="",E3440="!!!",F3440="NEW"),"",INDEX(B3439:B$2,-1+SUMPRODUCT(MAX(ROW(E3439:E$2)*(E3440=E3439:E$2)))))</f>
        <v> </v>
      </c>
      <c r="J3440" s="26" t="str">
        <f>IF(OR(E3440="",E3440="!!!",F3440="NEW"),"",COUNTBLANK(OFFSET(A$1,,,SUMPRODUCT(MAX(ROW(E$2:E3440)*(E3440=E$2:E3440)))))-COUNTBLANK(OFFSET(A$1,,,SUMPRODUCT(MAX(ROW(E$1:E3439)*(E2=E$1:E3439))))))</f>
        <v> </v>
      </c>
      <c r="K3440" s="26" t="str">
        <f>IF(OR(E3440="",E3440="!!!",F3440="NEW"),"",INDEX(J$1:J3439,SUMPRODUCT(MAX(ROW(E$1:E3439)*(E3440=E$1:E3439)))))</f>
        <v> </v>
      </c>
      <c r="L3440" s="27"/>
    </row>
    <row r="3441" spans="1:12">
      <c r="A3441" s="20" t="s">
        <v>1111</v>
      </c>
      <c r="E3441" s="22">
        <f>IF(D3441="?OLD","!!!","")</f>
        <v/>
      </c>
      <c r="F3441" s="23" t="str">
        <f>IF(OR(E3441="",E3441="!!!"),"",IF(NOT(ISNA(VLOOKUP(E3441,E$1:E3440,1,FALSE()))),"OLD",IF(AND(E3441&lt;&gt;"",E3441&lt;&gt;"!!!"),"NEW","")))</f>
        <v> </v>
      </c>
      <c r="G3441" s="24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5" t="str">
        <f>IF(J3441&lt;&gt;1,"",IF(I3441="SBJ","CB","?"))</f>
        <v> </v>
      </c>
      <c r="I3441" s="26" t="str">
        <f>IF(OR(E3441="",E3441="!!!",F3441="NEW"),"",INDEX(B3440:B$2,-1+SUMPRODUCT(MAX(ROW(E3440:E$2)*(E3441=E3440:E$2)))))</f>
        <v> </v>
      </c>
      <c r="J3441" s="26" t="str">
        <f>IF(OR(E3441="",E3441="!!!",F3441="NEW"),"",COUNTBLANK(OFFSET(A$1,,,SUMPRODUCT(MAX(ROW(E$2:E3441)*(E3441=E$2:E3441)))))-COUNTBLANK(OFFSET(A$1,,,SUMPRODUCT(MAX(ROW(E$1:E3440)*(E2=E$1:E3440))))))</f>
        <v> </v>
      </c>
      <c r="K3441" s="26" t="str">
        <f>IF(OR(E3441="",E3441="!!!",F3441="NEW"),"",INDEX(J$1:J3440,SUMPRODUCT(MAX(ROW(E$1:E3440)*(E3441=E$1:E3440)))))</f>
        <v> </v>
      </c>
      <c r="L3441" s="27"/>
    </row>
    <row r="3442" spans="1:12">
      <c r="A3442" s="20" t="s">
        <v>1196</v>
      </c>
      <c r="E3442" s="22">
        <f>IF(D3442="?OLD","!!!","")</f>
        <v/>
      </c>
      <c r="F3442" s="23" t="str">
        <f>IF(OR(E3442="",E3442="!!!"),"",IF(NOT(ISNA(VLOOKUP(E3442,E$1:E3441,1,FALSE()))),"OLD",IF(AND(E3442&lt;&gt;"",E3442&lt;&gt;"!!!"),"NEW","")))</f>
        <v> </v>
      </c>
      <c r="G3442" s="24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5" t="str">
        <f>IF(J3442&lt;&gt;1,"",IF(I3442="SBJ","CB","?"))</f>
        <v> </v>
      </c>
      <c r="I3442" s="26" t="str">
        <f>IF(OR(E3442="",E3442="!!!",F3442="NEW"),"",INDEX(B3441:B$2,-1+SUMPRODUCT(MAX(ROW(E3441:E$2)*(E3442=E3441:E$2)))))</f>
        <v> </v>
      </c>
      <c r="J3442" s="26" t="str">
        <f>IF(OR(E3442="",E3442="!!!",F3442="NEW"),"",COUNTBLANK(OFFSET(A$1,,,SUMPRODUCT(MAX(ROW(E$2:E3442)*(E3442=E$2:E3442)))))-COUNTBLANK(OFFSET(A$1,,,SUMPRODUCT(MAX(ROW(E$1:E3441)*(E2=E$1:E3441))))))</f>
        <v> </v>
      </c>
      <c r="K3442" s="26" t="str">
        <f>IF(OR(E3442="",E3442="!!!",F3442="NEW"),"",INDEX(J$1:J3441,SUMPRODUCT(MAX(ROW(E$1:E3441)*(E3442=E$1:E3441)))))</f>
        <v> </v>
      </c>
      <c r="L3442" s="27"/>
    </row>
    <row r="3443" spans="1:12">
      <c r="A3443" s="20" t="s">
        <v>1962</v>
      </c>
      <c r="E3443" s="22">
        <f>IF(D3443="?OLD","!!!","")</f>
        <v/>
      </c>
      <c r="F3443" s="23" t="str">
        <f>IF(OR(E3443="",E3443="!!!"),"",IF(NOT(ISNA(VLOOKUP(E3443,E$1:E3442,1,FALSE()))),"OLD",IF(AND(E3443&lt;&gt;"",E3443&lt;&gt;"!!!"),"NEW","")))</f>
        <v> </v>
      </c>
      <c r="G3443" s="24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5" t="str">
        <f>IF(J3443&lt;&gt;1,"",IF(I3443="SBJ","CB","?"))</f>
        <v> </v>
      </c>
      <c r="I3443" s="26" t="str">
        <f>IF(OR(E3443="",E3443="!!!",F3443="NEW"),"",INDEX(B3442:B$2,-1+SUMPRODUCT(MAX(ROW(E3442:E$2)*(E3443=E3442:E$2)))))</f>
        <v> </v>
      </c>
      <c r="J3443" s="26" t="str">
        <f>IF(OR(E3443="",E3443="!!!",F3443="NEW"),"",COUNTBLANK(OFFSET(A$1,,,SUMPRODUCT(MAX(ROW(E$2:E3443)*(E3443=E$2:E3443)))))-COUNTBLANK(OFFSET(A$1,,,SUMPRODUCT(MAX(ROW(E$1:E3442)*(E2=E$1:E3442))))))</f>
        <v> </v>
      </c>
      <c r="K3443" s="26" t="str">
        <f>IF(OR(E3443="",E3443="!!!",F3443="NEW"),"",INDEX(J$1:J3442,SUMPRODUCT(MAX(ROW(E$1:E3442)*(E3443=E$1:E3442)))))</f>
        <v> </v>
      </c>
      <c r="L3443" s="27"/>
    </row>
    <row r="3444" spans="1:12">
      <c r="A3444" s="20" t="s">
        <v>1068</v>
      </c>
      <c r="E3444" s="22">
        <f>IF(D3444="?OLD","!!!","")</f>
        <v/>
      </c>
      <c r="F3444" s="23" t="str">
        <f>IF(OR(E3444="",E3444="!!!"),"",IF(NOT(ISNA(VLOOKUP(E3444,E$1:E3443,1,FALSE()))),"OLD",IF(AND(E3444&lt;&gt;"",E3444&lt;&gt;"!!!"),"NEW","")))</f>
        <v> </v>
      </c>
      <c r="G3444" s="24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5" t="str">
        <f>IF(J3444&lt;&gt;1,"",IF(I3444="SBJ","CB","?"))</f>
        <v> </v>
      </c>
      <c r="I3444" s="26" t="str">
        <f>IF(OR(E3444="",E3444="!!!",F3444="NEW"),"",INDEX(B3443:B$2,-1+SUMPRODUCT(MAX(ROW(E3443:E$2)*(E3444=E3443:E$2)))))</f>
        <v> </v>
      </c>
      <c r="J3444" s="26" t="str">
        <f>IF(OR(E3444="",E3444="!!!",F3444="NEW"),"",COUNTBLANK(OFFSET(A$1,,,SUMPRODUCT(MAX(ROW(E$2:E3444)*(E3444=E$2:E3444)))))-COUNTBLANK(OFFSET(A$1,,,SUMPRODUCT(MAX(ROW(E$1:E3443)*(E2=E$1:E3443))))))</f>
        <v> </v>
      </c>
      <c r="K3444" s="26" t="str">
        <f>IF(OR(E3444="",E3444="!!!",F3444="NEW"),"",INDEX(J$1:J3443,SUMPRODUCT(MAX(ROW(E$1:E3443)*(E3444=E$1:E3443)))))</f>
        <v> </v>
      </c>
      <c r="L3444" s="27"/>
    </row>
    <row r="3445" spans="1:12">
      <c r="A3445" s="20"/>
    </row>
    <row r="3446" spans="1:12">
      <c r="A3446" s="20" t="s">
        <v>1963</v>
      </c>
    </row>
    <row r="3447" spans="1:12">
      <c r="A3447" s="20" t="s">
        <v>1070</v>
      </c>
      <c r="B3447" s="21" t="s">
        <v>948</v>
      </c>
      <c r="C3447" s="21" t="s">
        <v>983</v>
      </c>
      <c r="E3447" s="22">
        <f>IF(D3447="?OLD","!!!","")</f>
        <v/>
      </c>
      <c r="F3447" s="23" t="str">
        <f>IF(OR(E3447="",E3447="!!!"),"",IF(NOT(ISNA(VLOOKUP(E3447,E$1:E3446,1,FALSE()))),"OLD",IF(AND(E3447&lt;&gt;"",E3447&lt;&gt;"!!!"),"NEW","")))</f>
        <v> </v>
      </c>
      <c r="G3447" s="24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5" t="str">
        <f>IF(J3447&lt;&gt;1,"",IF(I3447="SBJ","CB","?"))</f>
        <v> </v>
      </c>
      <c r="I3447" s="26" t="str">
        <f>IF(OR(E3447="",E3447="!!!",F3447="NEW"),"",INDEX(B3446:B$2,-1+SUMPRODUCT(MAX(ROW(E3446:E$2)*(E3447=E3446:E$2)))))</f>
        <v> </v>
      </c>
      <c r="J3447" s="26" t="str">
        <f>IF(OR(E3447="",E3447="!!!",F3447="NEW"),"",COUNTBLANK(OFFSET(A$1,,,SUMPRODUCT(MAX(ROW(E$2:E3447)*(E3447=E$2:E3447)))))-COUNTBLANK(OFFSET(A$1,,,SUMPRODUCT(MAX(ROW(E$1:E3446)*(E2=E$1:E3446))))))</f>
        <v> </v>
      </c>
      <c r="K3447" s="26" t="str">
        <f>IF(OR(E3447="",E3447="!!!",F3447="NEW"),"",INDEX(J$1:J3446,SUMPRODUCT(MAX(ROW(E$1:E3446)*(E3447=E$1:E3446)))))</f>
        <v> </v>
      </c>
      <c r="L3447" s="27"/>
    </row>
    <row r="3448" spans="1:12">
      <c r="A3448" s="20" t="s">
        <v>952</v>
      </c>
      <c r="E3448" s="22">
        <f>IF(D3448="?OLD","!!!","")</f>
        <v/>
      </c>
      <c r="F3448" s="23" t="str">
        <f>IF(OR(E3448="",E3448="!!!"),"",IF(NOT(ISNA(VLOOKUP(E3448,E$1:E3447,1,FALSE()))),"OLD",IF(AND(E3448&lt;&gt;"",E3448&lt;&gt;"!!!"),"NEW","")))</f>
        <v> </v>
      </c>
      <c r="G3448" s="24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5" t="str">
        <f>IF(J3448&lt;&gt;1,"",IF(I3448="SBJ","CB","?"))</f>
        <v> </v>
      </c>
      <c r="I3448" s="26" t="str">
        <f>IF(OR(E3448="",E3448="!!!",F3448="NEW"),"",INDEX(B3447:B$2,-1+SUMPRODUCT(MAX(ROW(E3447:E$2)*(E3448=E3447:E$2)))))</f>
        <v> </v>
      </c>
      <c r="J3448" s="26" t="str">
        <f>IF(OR(E3448="",E3448="!!!",F3448="NEW"),"",COUNTBLANK(OFFSET(A$1,,,SUMPRODUCT(MAX(ROW(E$2:E3448)*(E3448=E$2:E3448)))))-COUNTBLANK(OFFSET(A$1,,,SUMPRODUCT(MAX(ROW(E$1:E3447)*(E2=E$1:E3447))))))</f>
        <v> </v>
      </c>
      <c r="K3448" s="26" t="str">
        <f>IF(OR(E3448="",E3448="!!!",F3448="NEW"),"",INDEX(J$1:J3447,SUMPRODUCT(MAX(ROW(E$1:E3447)*(E3448=E$1:E3447)))))</f>
        <v> </v>
      </c>
      <c r="L3448" s="27"/>
    </row>
    <row r="3449" spans="1:12">
      <c r="A3449" s="20" t="s">
        <v>1253</v>
      </c>
      <c r="E3449" s="22">
        <f>IF(D3449="?OLD","!!!","")</f>
        <v/>
      </c>
      <c r="F3449" s="23" t="str">
        <f>IF(OR(E3449="",E3449="!!!"),"",IF(NOT(ISNA(VLOOKUP(E3449,E$1:E3448,1,FALSE()))),"OLD",IF(AND(E3449&lt;&gt;"",E3449&lt;&gt;"!!!"),"NEW","")))</f>
        <v> </v>
      </c>
      <c r="G3449" s="24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5" t="str">
        <f>IF(J3449&lt;&gt;1,"",IF(I3449="SBJ","CB","?"))</f>
        <v> </v>
      </c>
      <c r="I3449" s="26" t="str">
        <f>IF(OR(E3449="",E3449="!!!",F3449="NEW"),"",INDEX(B3448:B$2,-1+SUMPRODUCT(MAX(ROW(E3448:E$2)*(E3449=E3448:E$2)))))</f>
        <v> </v>
      </c>
      <c r="J3449" s="26" t="str">
        <f>IF(OR(E3449="",E3449="!!!",F3449="NEW"),"",COUNTBLANK(OFFSET(A$1,,,SUMPRODUCT(MAX(ROW(E$2:E3449)*(E3449=E$2:E3449)))))-COUNTBLANK(OFFSET(A$1,,,SUMPRODUCT(MAX(ROW(E$1:E3448)*(E2=E$1:E3448))))))</f>
        <v> </v>
      </c>
      <c r="K3449" s="26" t="str">
        <f>IF(OR(E3449="",E3449="!!!",F3449="NEW"),"",INDEX(J$1:J3448,SUMPRODUCT(MAX(ROW(E$1:E3448)*(E3449=E$1:E3448)))))</f>
        <v> </v>
      </c>
      <c r="L3449" s="27"/>
    </row>
    <row r="3450" spans="1:12">
      <c r="A3450" s="20" t="s">
        <v>965</v>
      </c>
      <c r="B3450" s="21" t="s">
        <v>975</v>
      </c>
      <c r="E3450" s="22">
        <f>IF(D3450="?OLD","!!!","")</f>
        <v/>
      </c>
      <c r="F3450" s="23" t="str">
        <f>IF(OR(E3450="",E3450="!!!"),"",IF(NOT(ISNA(VLOOKUP(E3450,E$1:E3449,1,FALSE()))),"OLD",IF(AND(E3450&lt;&gt;"",E3450&lt;&gt;"!!!"),"NEW","")))</f>
        <v> </v>
      </c>
      <c r="G3450" s="24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5" t="str">
        <f>IF(J3450&lt;&gt;1,"",IF(I3450="SBJ","CB","?"))</f>
        <v> </v>
      </c>
      <c r="I3450" s="26" t="str">
        <f>IF(OR(E3450="",E3450="!!!",F3450="NEW"),"",INDEX(B3449:B$2,-1+SUMPRODUCT(MAX(ROW(E3449:E$2)*(E3450=E3449:E$2)))))</f>
        <v> </v>
      </c>
      <c r="J3450" s="26" t="str">
        <f>IF(OR(E3450="",E3450="!!!",F3450="NEW"),"",COUNTBLANK(OFFSET(A$1,,,SUMPRODUCT(MAX(ROW(E$2:E3450)*(E3450=E$2:E3450)))))-COUNTBLANK(OFFSET(A$1,,,SUMPRODUCT(MAX(ROW(E$1:E3449)*(E2=E$1:E3449))))))</f>
        <v> </v>
      </c>
      <c r="K3450" s="26" t="str">
        <f>IF(OR(E3450="",E3450="!!!",F3450="NEW"),"",INDEX(J$1:J3449,SUMPRODUCT(MAX(ROW(E$1:E3449)*(E3450=E$1:E3449)))))</f>
        <v> </v>
      </c>
      <c r="L3450" s="27"/>
    </row>
    <row r="3451" spans="1:12">
      <c r="A3451" s="20" t="s">
        <v>1077</v>
      </c>
      <c r="E3451" s="22">
        <f>IF(D3451="?OLD","!!!","")</f>
        <v/>
      </c>
      <c r="F3451" s="23" t="str">
        <f>IF(OR(E3451="",E3451="!!!"),"",IF(NOT(ISNA(VLOOKUP(E3451,E$1:E3450,1,FALSE()))),"OLD",IF(AND(E3451&lt;&gt;"",E3451&lt;&gt;"!!!"),"NEW","")))</f>
        <v> </v>
      </c>
      <c r="G3451" s="24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5" t="str">
        <f>IF(J3451&lt;&gt;1,"",IF(I3451="SBJ","CB","?"))</f>
        <v> </v>
      </c>
      <c r="I3451" s="26" t="str">
        <f>IF(OR(E3451="",E3451="!!!",F3451="NEW"),"",INDEX(B3450:B$2,-1+SUMPRODUCT(MAX(ROW(E3450:E$2)*(E3451=E3450:E$2)))))</f>
        <v> </v>
      </c>
      <c r="J3451" s="26" t="str">
        <f>IF(OR(E3451="",E3451="!!!",F3451="NEW"),"",COUNTBLANK(OFFSET(A$1,,,SUMPRODUCT(MAX(ROW(E$2:E3451)*(E3451=E$2:E3451)))))-COUNTBLANK(OFFSET(A$1,,,SUMPRODUCT(MAX(ROW(E$1:E3450)*(E2=E$1:E3450))))))</f>
        <v> </v>
      </c>
      <c r="K3451" s="26" t="str">
        <f>IF(OR(E3451="",E3451="!!!",F3451="NEW"),"",INDEX(J$1:J3450,SUMPRODUCT(MAX(ROW(E$1:E3450)*(E3451=E$1:E3450)))))</f>
        <v> </v>
      </c>
      <c r="L3451" s="27"/>
    </row>
    <row r="3452" spans="1:12">
      <c r="A3452" s="20" t="s">
        <v>1000</v>
      </c>
      <c r="E3452" s="22">
        <f>IF(D3452="?OLD","!!!","")</f>
        <v/>
      </c>
      <c r="F3452" s="23" t="str">
        <f>IF(OR(E3452="",E3452="!!!"),"",IF(NOT(ISNA(VLOOKUP(E3452,E$1:E3451,1,FALSE()))),"OLD",IF(AND(E3452&lt;&gt;"",E3452&lt;&gt;"!!!"),"NEW","")))</f>
        <v> </v>
      </c>
      <c r="G3452" s="24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5" t="str">
        <f>IF(J3452&lt;&gt;1,"",IF(I3452="SBJ","CB","?"))</f>
        <v> </v>
      </c>
      <c r="I3452" s="26" t="str">
        <f>IF(OR(E3452="",E3452="!!!",F3452="NEW"),"",INDEX(B3451:B$2,-1+SUMPRODUCT(MAX(ROW(E3451:E$2)*(E3452=E3451:E$2)))))</f>
        <v> </v>
      </c>
      <c r="J3452" s="26" t="str">
        <f>IF(OR(E3452="",E3452="!!!",F3452="NEW"),"",COUNTBLANK(OFFSET(A$1,,,SUMPRODUCT(MAX(ROW(E$2:E3452)*(E3452=E$2:E3452)))))-COUNTBLANK(OFFSET(A$1,,,SUMPRODUCT(MAX(ROW(E$1:E3451)*(E2=E$1:E3451))))))</f>
        <v> </v>
      </c>
      <c r="K3452" s="26" t="str">
        <f>IF(OR(E3452="",E3452="!!!",F3452="NEW"),"",INDEX(J$1:J3451,SUMPRODUCT(MAX(ROW(E$1:E3451)*(E3452=E$1:E3451)))))</f>
        <v> </v>
      </c>
      <c r="L3452" s="27"/>
    </row>
    <row r="3453" spans="1:12">
      <c r="A3453" s="20" t="s">
        <v>1077</v>
      </c>
      <c r="E3453" s="22">
        <f>IF(D3453="?OLD","!!!","")</f>
        <v/>
      </c>
      <c r="F3453" s="23" t="str">
        <f>IF(OR(E3453="",E3453="!!!"),"",IF(NOT(ISNA(VLOOKUP(E3453,E$1:E3452,1,FALSE()))),"OLD",IF(AND(E3453&lt;&gt;"",E3453&lt;&gt;"!!!"),"NEW","")))</f>
        <v> </v>
      </c>
      <c r="G3453" s="24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5" t="str">
        <f>IF(J3453&lt;&gt;1,"",IF(I3453="SBJ","CB","?"))</f>
        <v> </v>
      </c>
      <c r="I3453" s="26" t="str">
        <f>IF(OR(E3453="",E3453="!!!",F3453="NEW"),"",INDEX(B3452:B$2,-1+SUMPRODUCT(MAX(ROW(E3452:E$2)*(E3453=E3452:E$2)))))</f>
        <v> </v>
      </c>
      <c r="J3453" s="26" t="str">
        <f>IF(OR(E3453="",E3453="!!!",F3453="NEW"),"",COUNTBLANK(OFFSET(A$1,,,SUMPRODUCT(MAX(ROW(E$2:E3453)*(E3453=E$2:E3453)))))-COUNTBLANK(OFFSET(A$1,,,SUMPRODUCT(MAX(ROW(E$1:E3452)*(E2=E$1:E3452))))))</f>
        <v> </v>
      </c>
      <c r="K3453" s="26" t="str">
        <f>IF(OR(E3453="",E3453="!!!",F3453="NEW"),"",INDEX(J$1:J3452,SUMPRODUCT(MAX(ROW(E$1:E3452)*(E3453=E$1:E3452)))))</f>
        <v> </v>
      </c>
      <c r="L3453" s="27"/>
    </row>
    <row r="3454" spans="1:12">
      <c r="A3454" s="20" t="s">
        <v>1964</v>
      </c>
      <c r="E3454" s="22">
        <f>IF(D3454="?OLD","!!!","")</f>
        <v/>
      </c>
      <c r="F3454" s="23" t="str">
        <f>IF(OR(E3454="",E3454="!!!"),"",IF(NOT(ISNA(VLOOKUP(E3454,E$1:E3453,1,FALSE()))),"OLD",IF(AND(E3454&lt;&gt;"",E3454&lt;&gt;"!!!"),"NEW","")))</f>
        <v> </v>
      </c>
      <c r="G3454" s="24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5" t="str">
        <f>IF(J3454&lt;&gt;1,"",IF(I3454="SBJ","CB","?"))</f>
        <v> </v>
      </c>
      <c r="I3454" s="26" t="str">
        <f>IF(OR(E3454="",E3454="!!!",F3454="NEW"),"",INDEX(B3453:B$2,-1+SUMPRODUCT(MAX(ROW(E3453:E$2)*(E3454=E3453:E$2)))))</f>
        <v> </v>
      </c>
      <c r="J3454" s="26" t="str">
        <f>IF(OR(E3454="",E3454="!!!",F3454="NEW"),"",COUNTBLANK(OFFSET(A$1,,,SUMPRODUCT(MAX(ROW(E$2:E3454)*(E3454=E$2:E3454)))))-COUNTBLANK(OFFSET(A$1,,,SUMPRODUCT(MAX(ROW(E$1:E3453)*(E2=E$1:E3453))))))</f>
        <v> </v>
      </c>
      <c r="K3454" s="26" t="str">
        <f>IF(OR(E3454="",E3454="!!!",F3454="NEW"),"",INDEX(J$1:J3453,SUMPRODUCT(MAX(ROW(E$1:E3453)*(E3454=E$1:E3453)))))</f>
        <v> </v>
      </c>
      <c r="L3454" s="27"/>
    </row>
    <row r="3455" spans="1:12">
      <c r="A3455" s="20" t="s">
        <v>984</v>
      </c>
      <c r="E3455" s="22">
        <f>IF(D3455="?OLD","!!!","")</f>
        <v/>
      </c>
      <c r="F3455" s="23" t="str">
        <f>IF(OR(E3455="",E3455="!!!"),"",IF(NOT(ISNA(VLOOKUP(E3455,E$1:E3454,1,FALSE()))),"OLD",IF(AND(E3455&lt;&gt;"",E3455&lt;&gt;"!!!"),"NEW","")))</f>
        <v> </v>
      </c>
      <c r="G3455" s="24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5" t="str">
        <f>IF(J3455&lt;&gt;1,"",IF(I3455="SBJ","CB","?"))</f>
        <v> </v>
      </c>
      <c r="I3455" s="26" t="str">
        <f>IF(OR(E3455="",E3455="!!!",F3455="NEW"),"",INDEX(B3454:B$2,-1+SUMPRODUCT(MAX(ROW(E3454:E$2)*(E3455=E3454:E$2)))))</f>
        <v> </v>
      </c>
      <c r="J3455" s="26" t="str">
        <f>IF(OR(E3455="",E3455="!!!",F3455="NEW"),"",COUNTBLANK(OFFSET(A$1,,,SUMPRODUCT(MAX(ROW(E$2:E3455)*(E3455=E$2:E3455)))))-COUNTBLANK(OFFSET(A$1,,,SUMPRODUCT(MAX(ROW(E$1:E3454)*(E2=E$1:E3454))))))</f>
        <v> </v>
      </c>
      <c r="K3455" s="26" t="str">
        <f>IF(OR(E3455="",E3455="!!!",F3455="NEW"),"",INDEX(J$1:J3454,SUMPRODUCT(MAX(ROW(E$1:E3454)*(E3455=E$1:E3454)))))</f>
        <v> </v>
      </c>
      <c r="L3455" s="27"/>
    </row>
    <row r="3456" spans="1:12">
      <c r="A3456" s="20"/>
    </row>
    <row r="3457" spans="1:12">
      <c r="A3457" s="20" t="s">
        <v>1965</v>
      </c>
    </row>
    <row r="3458" spans="1:12">
      <c r="A3458" s="20" t="s">
        <v>1966</v>
      </c>
      <c r="E3458" s="22">
        <f>IF(D3458="?OLD","!!!","")</f>
        <v/>
      </c>
      <c r="F3458" s="23" t="str">
        <f>IF(OR(E3458="",E3458="!!!"),"",IF(NOT(ISNA(VLOOKUP(E3458,E$1:E3457,1,FALSE()))),"OLD",IF(AND(E3458&lt;&gt;"",E3458&lt;&gt;"!!!"),"NEW","")))</f>
        <v> </v>
      </c>
      <c r="G3458" s="24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5" t="str">
        <f>IF(J3458&lt;&gt;1,"",IF(I3458="SBJ","CB","?"))</f>
        <v> </v>
      </c>
      <c r="I3458" s="26" t="str">
        <f>IF(OR(E3458="",E3458="!!!",F3458="NEW"),"",INDEX(B3457:B$2,-1+SUMPRODUCT(MAX(ROW(E3457:E$2)*(E3458=E3457:E$2)))))</f>
        <v> </v>
      </c>
      <c r="J3458" s="26" t="str">
        <f>IF(OR(E3458="",E3458="!!!",F3458="NEW"),"",COUNTBLANK(OFFSET(A$1,,,SUMPRODUCT(MAX(ROW(E$2:E3458)*(E3458=E$2:E3458)))))-COUNTBLANK(OFFSET(A$1,,,SUMPRODUCT(MAX(ROW(E$1:E3457)*(E2=E$1:E3457))))))</f>
        <v> </v>
      </c>
      <c r="K3458" s="26" t="str">
        <f>IF(OR(E3458="",E3458="!!!",F3458="NEW"),"",INDEX(J$1:J3457,SUMPRODUCT(MAX(ROW(E$1:E3457)*(E3458=E$1:E3457)))))</f>
        <v> </v>
      </c>
      <c r="L3458" s="27"/>
    </row>
    <row r="3459" spans="1:12">
      <c r="A3459" s="20" t="s">
        <v>1106</v>
      </c>
      <c r="E3459" s="22">
        <f>IF(D3459="?OLD","!!!","")</f>
        <v/>
      </c>
      <c r="F3459" s="23" t="str">
        <f>IF(OR(E3459="",E3459="!!!"),"",IF(NOT(ISNA(VLOOKUP(E3459,E$1:E3458,1,FALSE()))),"OLD",IF(AND(E3459&lt;&gt;"",E3459&lt;&gt;"!!!"),"NEW","")))</f>
        <v> </v>
      </c>
      <c r="G3459" s="24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5" t="str">
        <f>IF(J3459&lt;&gt;1,"",IF(I3459="SBJ","CB","?"))</f>
        <v> </v>
      </c>
      <c r="I3459" s="26" t="str">
        <f>IF(OR(E3459="",E3459="!!!",F3459="NEW"),"",INDEX(B3458:B$2,-1+SUMPRODUCT(MAX(ROW(E3458:E$2)*(E3459=E3458:E$2)))))</f>
        <v> </v>
      </c>
      <c r="J3459" s="26" t="str">
        <f>IF(OR(E3459="",E3459="!!!",F3459="NEW"),"",COUNTBLANK(OFFSET(A$1,,,SUMPRODUCT(MAX(ROW(E$2:E3459)*(E3459=E$2:E3459)))))-COUNTBLANK(OFFSET(A$1,,,SUMPRODUCT(MAX(ROW(E$1:E3458)*(E2=E$1:E3458))))))</f>
        <v> </v>
      </c>
      <c r="K3459" s="26" t="str">
        <f>IF(OR(E3459="",E3459="!!!",F3459="NEW"),"",INDEX(J$1:J3458,SUMPRODUCT(MAX(ROW(E$1:E3458)*(E3459=E$1:E3458)))))</f>
        <v> </v>
      </c>
      <c r="L3459" s="27"/>
    </row>
    <row r="3460" spans="1:12">
      <c r="A3460" s="20" t="s">
        <v>1679</v>
      </c>
      <c r="E3460" s="22">
        <f>IF(D3460="?OLD","!!!","")</f>
        <v/>
      </c>
      <c r="F3460" s="23" t="str">
        <f>IF(OR(E3460="",E3460="!!!"),"",IF(NOT(ISNA(VLOOKUP(E3460,E$1:E3459,1,FALSE()))),"OLD",IF(AND(E3460&lt;&gt;"",E3460&lt;&gt;"!!!"),"NEW","")))</f>
        <v> </v>
      </c>
      <c r="G3460" s="24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5" t="str">
        <f>IF(J3460&lt;&gt;1,"",IF(I3460="SBJ","CB","?"))</f>
        <v> </v>
      </c>
      <c r="I3460" s="26" t="str">
        <f>IF(OR(E3460="",E3460="!!!",F3460="NEW"),"",INDEX(B3459:B$2,-1+SUMPRODUCT(MAX(ROW(E3459:E$2)*(E3460=E3459:E$2)))))</f>
        <v> </v>
      </c>
      <c r="J3460" s="26" t="str">
        <f>IF(OR(E3460="",E3460="!!!",F3460="NEW"),"",COUNTBLANK(OFFSET(A$1,,,SUMPRODUCT(MAX(ROW(E$2:E3460)*(E3460=E$2:E3460)))))-COUNTBLANK(OFFSET(A$1,,,SUMPRODUCT(MAX(ROW(E$1:E3459)*(E2=E$1:E3459))))))</f>
        <v> </v>
      </c>
      <c r="K3460" s="26" t="str">
        <f>IF(OR(E3460="",E3460="!!!",F3460="NEW"),"",INDEX(J$1:J3459,SUMPRODUCT(MAX(ROW(E$1:E3459)*(E3460=E$1:E3459)))))</f>
        <v> </v>
      </c>
      <c r="L3460" s="27"/>
    </row>
    <row r="3461" spans="1:12">
      <c r="A3461" s="20" t="s">
        <v>998</v>
      </c>
      <c r="E3461" s="22">
        <f>IF(D3461="?OLD","!!!","")</f>
        <v/>
      </c>
      <c r="F3461" s="23" t="str">
        <f>IF(OR(E3461="",E3461="!!!"),"",IF(NOT(ISNA(VLOOKUP(E3461,E$1:E3460,1,FALSE()))),"OLD",IF(AND(E3461&lt;&gt;"",E3461&lt;&gt;"!!!"),"NEW","")))</f>
        <v> </v>
      </c>
      <c r="G3461" s="24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5" t="str">
        <f>IF(J3461&lt;&gt;1,"",IF(I3461="SBJ","CB","?"))</f>
        <v> </v>
      </c>
      <c r="I3461" s="26" t="str">
        <f>IF(OR(E3461="",E3461="!!!",F3461="NEW"),"",INDEX(B3460:B$2,-1+SUMPRODUCT(MAX(ROW(E3460:E$2)*(E3461=E3460:E$2)))))</f>
        <v> </v>
      </c>
      <c r="J3461" s="26" t="str">
        <f>IF(OR(E3461="",E3461="!!!",F3461="NEW"),"",COUNTBLANK(OFFSET(A$1,,,SUMPRODUCT(MAX(ROW(E$2:E3461)*(E3461=E$2:E3461)))))-COUNTBLANK(OFFSET(A$1,,,SUMPRODUCT(MAX(ROW(E$1:E3460)*(E2=E$1:E3460))))))</f>
        <v> </v>
      </c>
      <c r="K3461" s="26" t="str">
        <f>IF(OR(E3461="",E3461="!!!",F3461="NEW"),"",INDEX(J$1:J3460,SUMPRODUCT(MAX(ROW(E$1:E3460)*(E3461=E$1:E3460)))))</f>
        <v> </v>
      </c>
      <c r="L3461" s="27"/>
    </row>
    <row r="3462" spans="1:12">
      <c r="A3462" s="20" t="s">
        <v>977</v>
      </c>
      <c r="E3462" s="22">
        <f>IF(D3462="?OLD","!!!","")</f>
        <v/>
      </c>
      <c r="F3462" s="23" t="str">
        <f>IF(OR(E3462="",E3462="!!!"),"",IF(NOT(ISNA(VLOOKUP(E3462,E$1:E3461,1,FALSE()))),"OLD",IF(AND(E3462&lt;&gt;"",E3462&lt;&gt;"!!!"),"NEW","")))</f>
        <v> </v>
      </c>
      <c r="G3462" s="24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5" t="str">
        <f>IF(J3462&lt;&gt;1,"",IF(I3462="SBJ","CB","?"))</f>
        <v> </v>
      </c>
      <c r="I3462" s="26" t="str">
        <f>IF(OR(E3462="",E3462="!!!",F3462="NEW"),"",INDEX(B3461:B$2,-1+SUMPRODUCT(MAX(ROW(E3461:E$2)*(E3462=E3461:E$2)))))</f>
        <v> </v>
      </c>
      <c r="J3462" s="26" t="str">
        <f>IF(OR(E3462="",E3462="!!!",F3462="NEW"),"",COUNTBLANK(OFFSET(A$1,,,SUMPRODUCT(MAX(ROW(E$2:E3462)*(E3462=E$2:E3462)))))-COUNTBLANK(OFFSET(A$1,,,SUMPRODUCT(MAX(ROW(E$1:E3461)*(E2=E$1:E3461))))))</f>
        <v> </v>
      </c>
      <c r="K3462" s="26" t="str">
        <f>IF(OR(E3462="",E3462="!!!",F3462="NEW"),"",INDEX(J$1:J3461,SUMPRODUCT(MAX(ROW(E$1:E3461)*(E3462=E$1:E3461)))))</f>
        <v> </v>
      </c>
      <c r="L3462" s="27"/>
    </row>
    <row r="3463" spans="1:12">
      <c r="A3463" s="20" t="s">
        <v>565</v>
      </c>
      <c r="E3463" s="22">
        <f>IF(D3463="?OLD","!!!","")</f>
        <v/>
      </c>
      <c r="F3463" s="23" t="str">
        <f>IF(OR(E3463="",E3463="!!!"),"",IF(NOT(ISNA(VLOOKUP(E3463,E$1:E3462,1,FALSE()))),"OLD",IF(AND(E3463&lt;&gt;"",E3463&lt;&gt;"!!!"),"NEW","")))</f>
        <v> </v>
      </c>
      <c r="G3463" s="24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5" t="str">
        <f>IF(J3463&lt;&gt;1,"",IF(I3463="SBJ","CB","?"))</f>
        <v> </v>
      </c>
      <c r="I3463" s="26" t="str">
        <f>IF(OR(E3463="",E3463="!!!",F3463="NEW"),"",INDEX(B3462:B$2,-1+SUMPRODUCT(MAX(ROW(E3462:E$2)*(E3463=E3462:E$2)))))</f>
        <v> </v>
      </c>
      <c r="J3463" s="26" t="str">
        <f>IF(OR(E3463="",E3463="!!!",F3463="NEW"),"",COUNTBLANK(OFFSET(A$1,,,SUMPRODUCT(MAX(ROW(E$2:E3463)*(E3463=E$2:E3463)))))-COUNTBLANK(OFFSET(A$1,,,SUMPRODUCT(MAX(ROW(E$1:E3462)*(E2=E$1:E3462))))))</f>
        <v> </v>
      </c>
      <c r="K3463" s="26" t="str">
        <f>IF(OR(E3463="",E3463="!!!",F3463="NEW"),"",INDEX(J$1:J3462,SUMPRODUCT(MAX(ROW(E$1:E3462)*(E3463=E$1:E3462)))))</f>
        <v> </v>
      </c>
      <c r="L3463" s="27"/>
    </row>
    <row r="3464" spans="1:12">
      <c r="A3464" s="20" t="s">
        <v>1862</v>
      </c>
      <c r="E3464" s="22">
        <f>IF(D3464="?OLD","!!!","")</f>
        <v/>
      </c>
      <c r="F3464" s="23" t="str">
        <f>IF(OR(E3464="",E3464="!!!"),"",IF(NOT(ISNA(VLOOKUP(E3464,E$1:E3463,1,FALSE()))),"OLD",IF(AND(E3464&lt;&gt;"",E3464&lt;&gt;"!!!"),"NEW","")))</f>
        <v> </v>
      </c>
      <c r="G3464" s="24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5" t="str">
        <f>IF(J3464&lt;&gt;1,"",IF(I3464="SBJ","CB","?"))</f>
        <v> </v>
      </c>
      <c r="I3464" s="26" t="str">
        <f>IF(OR(E3464="",E3464="!!!",F3464="NEW"),"",INDEX(B3463:B$2,-1+SUMPRODUCT(MAX(ROW(E3463:E$2)*(E3464=E3463:E$2)))))</f>
        <v> </v>
      </c>
      <c r="J3464" s="26" t="str">
        <f>IF(OR(E3464="",E3464="!!!",F3464="NEW"),"",COUNTBLANK(OFFSET(A$1,,,SUMPRODUCT(MAX(ROW(E$2:E3464)*(E3464=E$2:E3464)))))-COUNTBLANK(OFFSET(A$1,,,SUMPRODUCT(MAX(ROW(E$1:E3463)*(E2=E$1:E3463))))))</f>
        <v> </v>
      </c>
      <c r="K3464" s="26" t="str">
        <f>IF(OR(E3464="",E3464="!!!",F3464="NEW"),"",INDEX(J$1:J3463,SUMPRODUCT(MAX(ROW(E$1:E3463)*(E3464=E$1:E3463)))))</f>
        <v> </v>
      </c>
      <c r="L3464" s="27"/>
    </row>
    <row r="3465" spans="1:12">
      <c r="A3465" s="20" t="s">
        <v>1967</v>
      </c>
      <c r="B3465" s="21" t="s">
        <v>948</v>
      </c>
      <c r="C3465" s="21" t="s">
        <v>976</v>
      </c>
      <c r="D3465" s="21" t="s">
        <v>950</v>
      </c>
      <c r="E3465" s="22">
        <f>IF(D3465="?OLD","!!!","")</f>
        <v/>
      </c>
      <c r="F3465" s="23" t="str">
        <f>IF(OR(E3465="",E3465="!!!"),"",IF(NOT(ISNA(VLOOKUP(E3465,E$1:E3464,1,FALSE()))),"OLD",IF(AND(E3465&lt;&gt;"",E3465&lt;&gt;"!!!"),"NEW","")))</f>
        <v> </v>
      </c>
      <c r="G3465" s="24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5" t="str">
        <f>IF(J3465&lt;&gt;1,"",IF(I3465="SBJ","CB","?"))</f>
        <v> </v>
      </c>
      <c r="I3465" s="26" t="str">
        <f>IF(OR(E3465="",E3465="!!!",F3465="NEW"),"",INDEX(B3464:B$2,-1+SUMPRODUCT(MAX(ROW(E3464:E$2)*(E3465=E3464:E$2)))))</f>
        <v> </v>
      </c>
      <c r="J3465" s="26" t="str">
        <f>IF(OR(E3465="",E3465="!!!",F3465="NEW"),"",COUNTBLANK(OFFSET(A$1,,,SUMPRODUCT(MAX(ROW(E$2:E3465)*(E3465=E$2:E3465)))))-COUNTBLANK(OFFSET(A$1,,,SUMPRODUCT(MAX(ROW(E$1:E3464)*(E2=E$1:E3464))))))</f>
        <v> </v>
      </c>
      <c r="K3465" s="26" t="str">
        <f>IF(OR(E3465="",E3465="!!!",F3465="NEW"),"",INDEX(J$1:J3464,SUMPRODUCT(MAX(ROW(E$1:E3464)*(E3465=E$1:E3464)))))</f>
        <v> </v>
      </c>
      <c r="L3465" s="27"/>
    </row>
    <row r="3466" spans="1:12">
      <c r="A3466" s="20" t="s">
        <v>977</v>
      </c>
      <c r="E3466" s="22">
        <f>IF(D3466="?OLD","!!!","")</f>
        <v/>
      </c>
      <c r="F3466" s="23" t="str">
        <f>IF(OR(E3466="",E3466="!!!"),"",IF(NOT(ISNA(VLOOKUP(E3466,E$1:E3465,1,FALSE()))),"OLD",IF(AND(E3466&lt;&gt;"",E3466&lt;&gt;"!!!"),"NEW","")))</f>
        <v> </v>
      </c>
      <c r="G3466" s="24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5" t="str">
        <f>IF(J3466&lt;&gt;1,"",IF(I3466="SBJ","CB","?"))</f>
        <v> </v>
      </c>
      <c r="I3466" s="26" t="str">
        <f>IF(OR(E3466="",E3466="!!!",F3466="NEW"),"",INDEX(B3465:B$2,-1+SUMPRODUCT(MAX(ROW(E3465:E$2)*(E3466=E3465:E$2)))))</f>
        <v> </v>
      </c>
      <c r="J3466" s="26" t="str">
        <f>IF(OR(E3466="",E3466="!!!",F3466="NEW"),"",COUNTBLANK(OFFSET(A$1,,,SUMPRODUCT(MAX(ROW(E$2:E3466)*(E3466=E$2:E3466)))))-COUNTBLANK(OFFSET(A$1,,,SUMPRODUCT(MAX(ROW(E$1:E3465)*(E2=E$1:E3465))))))</f>
        <v> </v>
      </c>
      <c r="K3466" s="26" t="str">
        <f>IF(OR(E3466="",E3466="!!!",F3466="NEW"),"",INDEX(J$1:J3465,SUMPRODUCT(MAX(ROW(E$1:E3465)*(E3466=E$1:E3465)))))</f>
        <v> </v>
      </c>
      <c r="L3466" s="27"/>
    </row>
    <row r="3467" spans="1:12">
      <c r="A3467" s="20" t="s">
        <v>1257</v>
      </c>
      <c r="B3467" s="21" t="s">
        <v>1031</v>
      </c>
      <c r="C3467" s="21" t="s">
        <v>983</v>
      </c>
      <c r="E3467" s="22">
        <f>IF(D3467="?OLD","!!!","")</f>
        <v/>
      </c>
      <c r="F3467" s="23" t="str">
        <f>IF(OR(E3467="",E3467="!!!"),"",IF(NOT(ISNA(VLOOKUP(E3467,E$1:E3466,1,FALSE()))),"OLD",IF(AND(E3467&lt;&gt;"",E3467&lt;&gt;"!!!"),"NEW","")))</f>
        <v> </v>
      </c>
      <c r="G3467" s="24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5" t="str">
        <f>IF(J3467&lt;&gt;1,"",IF(I3467="SBJ","CB","?"))</f>
        <v> </v>
      </c>
      <c r="I3467" s="26" t="str">
        <f>IF(OR(E3467="",E3467="!!!",F3467="NEW"),"",INDEX(B3466:B$2,-1+SUMPRODUCT(MAX(ROW(E3466:E$2)*(E3467=E3466:E$2)))))</f>
        <v> </v>
      </c>
      <c r="J3467" s="26" t="str">
        <f>IF(OR(E3467="",E3467="!!!",F3467="NEW"),"",COUNTBLANK(OFFSET(A$1,,,SUMPRODUCT(MAX(ROW(E$2:E3467)*(E3467=E$2:E3467)))))-COUNTBLANK(OFFSET(A$1,,,SUMPRODUCT(MAX(ROW(E$1:E3466)*(E2=E$1:E3466))))))</f>
        <v> </v>
      </c>
      <c r="K3467" s="26" t="str">
        <f>IF(OR(E3467="",E3467="!!!",F3467="NEW"),"",INDEX(J$1:J3466,SUMPRODUCT(MAX(ROW(E$1:E3466)*(E3467=E$1:E3466)))))</f>
        <v> </v>
      </c>
      <c r="L3467" s="27"/>
    </row>
    <row r="3468" spans="1:12">
      <c r="A3468" s="20" t="s">
        <v>1968</v>
      </c>
      <c r="E3468" s="22">
        <f>IF(D3468="?OLD","!!!","")</f>
        <v/>
      </c>
      <c r="F3468" s="23" t="str">
        <f>IF(OR(E3468="",E3468="!!!"),"",IF(NOT(ISNA(VLOOKUP(E3468,E$1:E3467,1,FALSE()))),"OLD",IF(AND(E3468&lt;&gt;"",E3468&lt;&gt;"!!!"),"NEW","")))</f>
        <v> </v>
      </c>
      <c r="G3468" s="24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5" t="str">
        <f>IF(J3468&lt;&gt;1,"",IF(I3468="SBJ","CB","?"))</f>
        <v> </v>
      </c>
      <c r="I3468" s="26" t="str">
        <f>IF(OR(E3468="",E3468="!!!",F3468="NEW"),"",INDEX(B3467:B$2,-1+SUMPRODUCT(MAX(ROW(E3467:E$2)*(E3468=E3467:E$2)))))</f>
        <v> </v>
      </c>
      <c r="J3468" s="26" t="str">
        <f>IF(OR(E3468="",E3468="!!!",F3468="NEW"),"",COUNTBLANK(OFFSET(A$1,,,SUMPRODUCT(MAX(ROW(E$2:E3468)*(E3468=E$2:E3468)))))-COUNTBLANK(OFFSET(A$1,,,SUMPRODUCT(MAX(ROW(E$1:E3467)*(E2=E$1:E3467))))))</f>
        <v> </v>
      </c>
      <c r="K3468" s="26" t="str">
        <f>IF(OR(E3468="",E3468="!!!",F3468="NEW"),"",INDEX(J$1:J3467,SUMPRODUCT(MAX(ROW(E$1:E3467)*(E3468=E$1:E3467)))))</f>
        <v> </v>
      </c>
      <c r="L3468" s="27"/>
    </row>
    <row r="3469" spans="1:12">
      <c r="A3469" s="20" t="s">
        <v>1925</v>
      </c>
      <c r="E3469" s="22">
        <f>IF(D3469="?OLD","!!!","")</f>
        <v/>
      </c>
      <c r="F3469" s="23" t="str">
        <f>IF(OR(E3469="",E3469="!!!"),"",IF(NOT(ISNA(VLOOKUP(E3469,E$1:E3468,1,FALSE()))),"OLD",IF(AND(E3469&lt;&gt;"",E3469&lt;&gt;"!!!"),"NEW","")))</f>
        <v> </v>
      </c>
      <c r="G3469" s="24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5" t="str">
        <f>IF(J3469&lt;&gt;1,"",IF(I3469="SBJ","CB","?"))</f>
        <v> </v>
      </c>
      <c r="I3469" s="26" t="str">
        <f>IF(OR(E3469="",E3469="!!!",F3469="NEW"),"",INDEX(B3468:B$2,-1+SUMPRODUCT(MAX(ROW(E3468:E$2)*(E3469=E3468:E$2)))))</f>
        <v> </v>
      </c>
      <c r="J3469" s="26" t="str">
        <f>IF(OR(E3469="",E3469="!!!",F3469="NEW"),"",COUNTBLANK(OFFSET(A$1,,,SUMPRODUCT(MAX(ROW(E$2:E3469)*(E3469=E$2:E3469)))))-COUNTBLANK(OFFSET(A$1,,,SUMPRODUCT(MAX(ROW(E$1:E3468)*(E2=E$1:E3468))))))</f>
        <v> </v>
      </c>
      <c r="K3469" s="26" t="str">
        <f>IF(OR(E3469="",E3469="!!!",F3469="NEW"),"",INDEX(J$1:J3468,SUMPRODUCT(MAX(ROW(E$1:E3468)*(E3469=E$1:E3468)))))</f>
        <v> </v>
      </c>
      <c r="L3469" s="27"/>
    </row>
    <row r="3470" spans="1:12">
      <c r="A3470" s="20" t="s">
        <v>984</v>
      </c>
      <c r="E3470" s="22">
        <f>IF(D3470="?OLD","!!!","")</f>
        <v/>
      </c>
      <c r="F3470" s="23" t="str">
        <f>IF(OR(E3470="",E3470="!!!"),"",IF(NOT(ISNA(VLOOKUP(E3470,E$1:E3469,1,FALSE()))),"OLD",IF(AND(E3470&lt;&gt;"",E3470&lt;&gt;"!!!"),"NEW","")))</f>
        <v> </v>
      </c>
      <c r="G3470" s="24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5" t="str">
        <f>IF(J3470&lt;&gt;1,"",IF(I3470="SBJ","CB","?"))</f>
        <v> </v>
      </c>
      <c r="I3470" s="26" t="str">
        <f>IF(OR(E3470="",E3470="!!!",F3470="NEW"),"",INDEX(B3469:B$2,-1+SUMPRODUCT(MAX(ROW(E3469:E$2)*(E3470=E3469:E$2)))))</f>
        <v> </v>
      </c>
      <c r="J3470" s="26" t="str">
        <f>IF(OR(E3470="",E3470="!!!",F3470="NEW"),"",COUNTBLANK(OFFSET(A$1,,,SUMPRODUCT(MAX(ROW(E$2:E3470)*(E3470=E$2:E3470)))))-COUNTBLANK(OFFSET(A$1,,,SUMPRODUCT(MAX(ROW(E$1:E3469)*(E2=E$1:E3469))))))</f>
        <v> </v>
      </c>
      <c r="K3470" s="26" t="str">
        <f>IF(OR(E3470="",E3470="!!!",F3470="NEW"),"",INDEX(J$1:J3469,SUMPRODUCT(MAX(ROW(E$1:E3469)*(E3470=E$1:E3469)))))</f>
        <v> </v>
      </c>
      <c r="L3470" s="27"/>
    </row>
    <row r="3471" spans="1:12">
      <c r="A3471" s="20"/>
    </row>
    <row r="3472" spans="1:12">
      <c r="A3472" s="20" t="s">
        <v>1969</v>
      </c>
    </row>
    <row r="3473" spans="1:12">
      <c r="A3473" s="20" t="s">
        <v>1784</v>
      </c>
      <c r="E3473" s="22">
        <f>IF(D3473="?OLD","!!!","")</f>
        <v/>
      </c>
      <c r="F3473" s="23" t="str">
        <f>IF(OR(E3473="",E3473="!!!"),"",IF(NOT(ISNA(VLOOKUP(E3473,E$1:E3472,1,FALSE()))),"OLD",IF(AND(E3473&lt;&gt;"",E3473&lt;&gt;"!!!"),"NEW","")))</f>
        <v> </v>
      </c>
      <c r="G3473" s="24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5" t="str">
        <f>IF(J3473&lt;&gt;1,"",IF(I3473="SBJ","CB","?"))</f>
        <v> </v>
      </c>
      <c r="I3473" s="26" t="str">
        <f>IF(OR(E3473="",E3473="!!!",F3473="NEW"),"",INDEX(B3472:B$2,-1+SUMPRODUCT(MAX(ROW(E3472:E$2)*(E3473=E3472:E$2)))))</f>
        <v> </v>
      </c>
      <c r="J3473" s="26" t="str">
        <f>IF(OR(E3473="",E3473="!!!",F3473="NEW"),"",COUNTBLANK(OFFSET(A$1,,,SUMPRODUCT(MAX(ROW(E$2:E3473)*(E3473=E$2:E3473)))))-COUNTBLANK(OFFSET(A$1,,,SUMPRODUCT(MAX(ROW(E$1:E3472)*(E2=E$1:E3472))))))</f>
        <v> </v>
      </c>
      <c r="K3473" s="26" t="str">
        <f>IF(OR(E3473="",E3473="!!!",F3473="NEW"),"",INDEX(J$1:J3472,SUMPRODUCT(MAX(ROW(E$1:E3472)*(E3473=E$1:E3472)))))</f>
        <v> </v>
      </c>
      <c r="L3473" s="27"/>
    </row>
    <row r="3474" spans="1:12">
      <c r="A3474" s="20" t="s">
        <v>607</v>
      </c>
      <c r="E3474" s="22">
        <f>IF(D3474="?OLD","!!!","")</f>
        <v/>
      </c>
      <c r="F3474" s="23" t="str">
        <f>IF(OR(E3474="",E3474="!!!"),"",IF(NOT(ISNA(VLOOKUP(E3474,E$1:E3473,1,FALSE()))),"OLD",IF(AND(E3474&lt;&gt;"",E3474&lt;&gt;"!!!"),"NEW","")))</f>
        <v> </v>
      </c>
      <c r="G3474" s="24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5" t="str">
        <f>IF(J3474&lt;&gt;1,"",IF(I3474="SBJ","CB","?"))</f>
        <v> </v>
      </c>
      <c r="I3474" s="26" t="str">
        <f>IF(OR(E3474="",E3474="!!!",F3474="NEW"),"",INDEX(B3473:B$2,-1+SUMPRODUCT(MAX(ROW(E3473:E$2)*(E3474=E3473:E$2)))))</f>
        <v> </v>
      </c>
      <c r="J3474" s="26" t="str">
        <f>IF(OR(E3474="",E3474="!!!",F3474="NEW"),"",COUNTBLANK(OFFSET(A$1,,,SUMPRODUCT(MAX(ROW(E$2:E3474)*(E3474=E$2:E3474)))))-COUNTBLANK(OFFSET(A$1,,,SUMPRODUCT(MAX(ROW(E$1:E3473)*(E2=E$1:E3473))))))</f>
        <v> </v>
      </c>
      <c r="K3474" s="26" t="str">
        <f>IF(OR(E3474="",E3474="!!!",F3474="NEW"),"",INDEX(J$1:J3473,SUMPRODUCT(MAX(ROW(E$1:E3473)*(E3474=E$1:E3473)))))</f>
        <v> </v>
      </c>
      <c r="L3474" s="27"/>
    </row>
    <row r="3475" spans="1:12">
      <c r="A3475" s="20" t="s">
        <v>1466</v>
      </c>
      <c r="E3475" s="22">
        <f>IF(D3475="?OLD","!!!","")</f>
        <v/>
      </c>
      <c r="F3475" s="23" t="str">
        <f>IF(OR(E3475="",E3475="!!!"),"",IF(NOT(ISNA(VLOOKUP(E3475,E$1:E3474,1,FALSE()))),"OLD",IF(AND(E3475&lt;&gt;"",E3475&lt;&gt;"!!!"),"NEW","")))</f>
        <v> </v>
      </c>
      <c r="G3475" s="24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5" t="str">
        <f>IF(J3475&lt;&gt;1,"",IF(I3475="SBJ","CB","?"))</f>
        <v> </v>
      </c>
      <c r="I3475" s="26" t="str">
        <f>IF(OR(E3475="",E3475="!!!",F3475="NEW"),"",INDEX(B3474:B$2,-1+SUMPRODUCT(MAX(ROW(E3474:E$2)*(E3475=E3474:E$2)))))</f>
        <v> </v>
      </c>
      <c r="J3475" s="26" t="str">
        <f>IF(OR(E3475="",E3475="!!!",F3475="NEW"),"",COUNTBLANK(OFFSET(A$1,,,SUMPRODUCT(MAX(ROW(E$2:E3475)*(E3475=E$2:E3475)))))-COUNTBLANK(OFFSET(A$1,,,SUMPRODUCT(MAX(ROW(E$1:E3474)*(E2=E$1:E3474))))))</f>
        <v> </v>
      </c>
      <c r="K3475" s="26" t="str">
        <f>IF(OR(E3475="",E3475="!!!",F3475="NEW"),"",INDEX(J$1:J3474,SUMPRODUCT(MAX(ROW(E$1:E3474)*(E3475=E$1:E3474)))))</f>
        <v> </v>
      </c>
      <c r="L3475" s="27"/>
    </row>
    <row r="3476" spans="1:12">
      <c r="A3476" s="20" t="s">
        <v>1075</v>
      </c>
      <c r="E3476" s="22">
        <f>IF(D3476="?OLD","!!!","")</f>
        <v/>
      </c>
      <c r="F3476" s="23" t="str">
        <f>IF(OR(E3476="",E3476="!!!"),"",IF(NOT(ISNA(VLOOKUP(E3476,E$1:E3475,1,FALSE()))),"OLD",IF(AND(E3476&lt;&gt;"",E3476&lt;&gt;"!!!"),"NEW","")))</f>
        <v> </v>
      </c>
      <c r="G3476" s="24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5" t="str">
        <f>IF(J3476&lt;&gt;1,"",IF(I3476="SBJ","CB","?"))</f>
        <v> </v>
      </c>
      <c r="I3476" s="26" t="str">
        <f>IF(OR(E3476="",E3476="!!!",F3476="NEW"),"",INDEX(B3475:B$2,-1+SUMPRODUCT(MAX(ROW(E3475:E$2)*(E3476=E3475:E$2)))))</f>
        <v> </v>
      </c>
      <c r="J3476" s="26" t="str">
        <f>IF(OR(E3476="",E3476="!!!",F3476="NEW"),"",COUNTBLANK(OFFSET(A$1,,,SUMPRODUCT(MAX(ROW(E$2:E3476)*(E3476=E$2:E3476)))))-COUNTBLANK(OFFSET(A$1,,,SUMPRODUCT(MAX(ROW(E$1:E3475)*(E2=E$1:E3475))))))</f>
        <v> </v>
      </c>
      <c r="K3476" s="26" t="str">
        <f>IF(OR(E3476="",E3476="!!!",F3476="NEW"),"",INDEX(J$1:J3475,SUMPRODUCT(MAX(ROW(E$1:E3475)*(E3476=E$1:E3475)))))</f>
        <v> </v>
      </c>
      <c r="L3476" s="27"/>
    </row>
    <row r="3477" spans="1:12">
      <c r="A3477" s="20" t="s">
        <v>160</v>
      </c>
      <c r="E3477" s="22">
        <f>IF(D3477="?OLD","!!!","")</f>
        <v/>
      </c>
      <c r="F3477" s="23" t="str">
        <f>IF(OR(E3477="",E3477="!!!"),"",IF(NOT(ISNA(VLOOKUP(E3477,E$1:E3476,1,FALSE()))),"OLD",IF(AND(E3477&lt;&gt;"",E3477&lt;&gt;"!!!"),"NEW","")))</f>
        <v> </v>
      </c>
      <c r="G3477" s="24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5" t="str">
        <f>IF(J3477&lt;&gt;1,"",IF(I3477="SBJ","CB","?"))</f>
        <v> </v>
      </c>
      <c r="I3477" s="26" t="str">
        <f>IF(OR(E3477="",E3477="!!!",F3477="NEW"),"",INDEX(B3476:B$2,-1+SUMPRODUCT(MAX(ROW(E3476:E$2)*(E3477=E3476:E$2)))))</f>
        <v> </v>
      </c>
      <c r="J3477" s="26" t="str">
        <f>IF(OR(E3477="",E3477="!!!",F3477="NEW"),"",COUNTBLANK(OFFSET(A$1,,,SUMPRODUCT(MAX(ROW(E$2:E3477)*(E3477=E$2:E3477)))))-COUNTBLANK(OFFSET(A$1,,,SUMPRODUCT(MAX(ROW(E$1:E3476)*(E2=E$1:E3476))))))</f>
        <v> </v>
      </c>
      <c r="K3477" s="26" t="str">
        <f>IF(OR(E3477="",E3477="!!!",F3477="NEW"),"",INDEX(J$1:J3476,SUMPRODUCT(MAX(ROW(E$1:E3476)*(E3477=E$1:E3476)))))</f>
        <v> </v>
      </c>
      <c r="L3477" s="27"/>
    </row>
    <row r="3478" spans="1:12">
      <c r="A3478" s="20" t="s">
        <v>1275</v>
      </c>
      <c r="B3478" s="21" t="s">
        <v>1005</v>
      </c>
      <c r="C3478" s="21" t="s">
        <v>1008</v>
      </c>
      <c r="D3478" s="21" t="s">
        <v>950</v>
      </c>
      <c r="E3478" s="22">
        <f>IF(D3478="?OLD","!!!","")</f>
        <v/>
      </c>
      <c r="F3478" s="23" t="str">
        <f>IF(OR(E3478="",E3478="!!!"),"",IF(NOT(ISNA(VLOOKUP(E3478,E$1:E3477,1,FALSE()))),"OLD",IF(AND(E3478&lt;&gt;"",E3478&lt;&gt;"!!!"),"NEW","")))</f>
        <v> </v>
      </c>
      <c r="G3478" s="24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5" t="str">
        <f>IF(J3478&lt;&gt;1,"",IF(I3478="SBJ","CB","?"))</f>
        <v> </v>
      </c>
      <c r="I3478" s="26" t="str">
        <f>IF(OR(E3478="",E3478="!!!",F3478="NEW"),"",INDEX(B3477:B$2,-1+SUMPRODUCT(MAX(ROW(E3477:E$2)*(E3478=E3477:E$2)))))</f>
        <v> </v>
      </c>
      <c r="J3478" s="26" t="str">
        <f>IF(OR(E3478="",E3478="!!!",F3478="NEW"),"",COUNTBLANK(OFFSET(A$1,,,SUMPRODUCT(MAX(ROW(E$2:E3478)*(E3478=E$2:E3478)))))-COUNTBLANK(OFFSET(A$1,,,SUMPRODUCT(MAX(ROW(E$1:E3477)*(E2=E$1:E3477))))))</f>
        <v> </v>
      </c>
      <c r="K3478" s="26" t="str">
        <f>IF(OR(E3478="",E3478="!!!",F3478="NEW"),"",INDEX(J$1:J3477,SUMPRODUCT(MAX(ROW(E$1:E3477)*(E3478=E$1:E3477)))))</f>
        <v> </v>
      </c>
      <c r="L3478" s="27"/>
    </row>
    <row r="3479" spans="1:12">
      <c r="A3479" s="20" t="s">
        <v>1302</v>
      </c>
      <c r="E3479" s="22">
        <f>IF(D3479="?OLD","!!!","")</f>
        <v/>
      </c>
      <c r="F3479" s="23" t="str">
        <f>IF(OR(E3479="",E3479="!!!"),"",IF(NOT(ISNA(VLOOKUP(E3479,E$1:E3478,1,FALSE()))),"OLD",IF(AND(E3479&lt;&gt;"",E3479&lt;&gt;"!!!"),"NEW","")))</f>
        <v> </v>
      </c>
      <c r="G3479" s="24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5" t="str">
        <f>IF(J3479&lt;&gt;1,"",IF(I3479="SBJ","CB","?"))</f>
        <v> </v>
      </c>
      <c r="I3479" s="26" t="str">
        <f>IF(OR(E3479="",E3479="!!!",F3479="NEW"),"",INDEX(B3478:B$2,-1+SUMPRODUCT(MAX(ROW(E3478:E$2)*(E3479=E3478:E$2)))))</f>
        <v> </v>
      </c>
      <c r="J3479" s="26" t="str">
        <f>IF(OR(E3479="",E3479="!!!",F3479="NEW"),"",COUNTBLANK(OFFSET(A$1,,,SUMPRODUCT(MAX(ROW(E$2:E3479)*(E3479=E$2:E3479)))))-COUNTBLANK(OFFSET(A$1,,,SUMPRODUCT(MAX(ROW(E$1:E3478)*(E2=E$1:E3478))))))</f>
        <v> </v>
      </c>
      <c r="K3479" s="26" t="str">
        <f>IF(OR(E3479="",E3479="!!!",F3479="NEW"),"",INDEX(J$1:J3478,SUMPRODUCT(MAX(ROW(E$1:E3478)*(E3479=E$1:E3478)))))</f>
        <v> </v>
      </c>
      <c r="L3479" s="27"/>
    </row>
    <row r="3480" spans="1:12">
      <c r="A3480" s="20" t="s">
        <v>984</v>
      </c>
      <c r="E3480" s="22">
        <f>IF(D3480="?OLD","!!!","")</f>
        <v/>
      </c>
      <c r="F3480" s="23" t="str">
        <f>IF(OR(E3480="",E3480="!!!"),"",IF(NOT(ISNA(VLOOKUP(E3480,E$1:E3479,1,FALSE()))),"OLD",IF(AND(E3480&lt;&gt;"",E3480&lt;&gt;"!!!"),"NEW","")))</f>
        <v> </v>
      </c>
      <c r="G3480" s="24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5" t="str">
        <f>IF(J3480&lt;&gt;1,"",IF(I3480="SBJ","CB","?"))</f>
        <v> </v>
      </c>
      <c r="I3480" s="26" t="str">
        <f>IF(OR(E3480="",E3480="!!!",F3480="NEW"),"",INDEX(B3479:B$2,-1+SUMPRODUCT(MAX(ROW(E3479:E$2)*(E3480=E3479:E$2)))))</f>
        <v> </v>
      </c>
      <c r="J3480" s="26" t="str">
        <f>IF(OR(E3480="",E3480="!!!",F3480="NEW"),"",COUNTBLANK(OFFSET(A$1,,,SUMPRODUCT(MAX(ROW(E$2:E3480)*(E3480=E$2:E3480)))))-COUNTBLANK(OFFSET(A$1,,,SUMPRODUCT(MAX(ROW(E$1:E3479)*(E2=E$1:E3479))))))</f>
        <v> </v>
      </c>
      <c r="K3480" s="26" t="str">
        <f>IF(OR(E3480="",E3480="!!!",F3480="NEW"),"",INDEX(J$1:J3479,SUMPRODUCT(MAX(ROW(E$1:E3479)*(E3480=E$1:E3479)))))</f>
        <v> </v>
      </c>
      <c r="L3480" s="27"/>
    </row>
    <row r="3481" spans="1:12">
      <c r="A3481" s="20"/>
    </row>
    <row r="3482" spans="1:12">
      <c r="A3482" s="20" t="s">
        <v>1970</v>
      </c>
    </row>
    <row r="3483" spans="1:12">
      <c r="A3483" s="20" t="s">
        <v>1016</v>
      </c>
      <c r="B3483" s="21" t="s">
        <v>948</v>
      </c>
      <c r="C3483" s="21" t="s">
        <v>949</v>
      </c>
      <c r="D3483" s="21" t="s">
        <v>950</v>
      </c>
      <c r="E3483" s="22">
        <f>IF(D3483="?OLD","!!!","")</f>
        <v/>
      </c>
      <c r="F3483" s="23" t="str">
        <f>IF(OR(E3483="",E3483="!!!"),"",IF(NOT(ISNA(VLOOKUP(E3483,E$1:E3482,1,FALSE()))),"OLD",IF(AND(E3483&lt;&gt;"",E3483&lt;&gt;"!!!"),"NEW","")))</f>
        <v> </v>
      </c>
      <c r="G3483" s="24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5" t="str">
        <f>IF(J3483&lt;&gt;1,"",IF(I3483="SBJ","CB","?"))</f>
        <v> </v>
      </c>
      <c r="I3483" s="26" t="str">
        <f>IF(OR(E3483="",E3483="!!!",F3483="NEW"),"",INDEX(B3482:B$2,-1+SUMPRODUCT(MAX(ROW(E3482:E$2)*(E3483=E3482:E$2)))))</f>
        <v> </v>
      </c>
      <c r="J3483" s="26" t="str">
        <f>IF(OR(E3483="",E3483="!!!",F3483="NEW"),"",COUNTBLANK(OFFSET(A$1,,,SUMPRODUCT(MAX(ROW(E$2:E3483)*(E3483=E$2:E3483)))))-COUNTBLANK(OFFSET(A$1,,,SUMPRODUCT(MAX(ROW(E$1:E3482)*(E2=E$1:E3482))))))</f>
        <v> </v>
      </c>
      <c r="K3483" s="26" t="str">
        <f>IF(OR(E3483="",E3483="!!!",F3483="NEW"),"",INDEX(J$1:J3482,SUMPRODUCT(MAX(ROW(E$1:E3482)*(E3483=E$1:E3482)))))</f>
        <v> </v>
      </c>
      <c r="L3483" s="27"/>
    </row>
    <row r="3484" spans="1:12">
      <c r="A3484" s="20" t="s">
        <v>952</v>
      </c>
      <c r="E3484" s="22">
        <f>IF(D3484="?OLD","!!!","")</f>
        <v/>
      </c>
      <c r="F3484" s="23" t="str">
        <f>IF(OR(E3484="",E3484="!!!"),"",IF(NOT(ISNA(VLOOKUP(E3484,E$1:E3483,1,FALSE()))),"OLD",IF(AND(E3484&lt;&gt;"",E3484&lt;&gt;"!!!"),"NEW","")))</f>
        <v> </v>
      </c>
      <c r="G3484" s="24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5" t="str">
        <f>IF(J3484&lt;&gt;1,"",IF(I3484="SBJ","CB","?"))</f>
        <v> </v>
      </c>
      <c r="I3484" s="26" t="str">
        <f>IF(OR(E3484="",E3484="!!!",F3484="NEW"),"",INDEX(B3483:B$2,-1+SUMPRODUCT(MAX(ROW(E3483:E$2)*(E3484=E3483:E$2)))))</f>
        <v> </v>
      </c>
      <c r="J3484" s="26" t="str">
        <f>IF(OR(E3484="",E3484="!!!",F3484="NEW"),"",COUNTBLANK(OFFSET(A$1,,,SUMPRODUCT(MAX(ROW(E$2:E3484)*(E3484=E$2:E3484)))))-COUNTBLANK(OFFSET(A$1,,,SUMPRODUCT(MAX(ROW(E$1:E3483)*(E2=E$1:E3483))))))</f>
        <v> </v>
      </c>
      <c r="K3484" s="26" t="str">
        <f>IF(OR(E3484="",E3484="!!!",F3484="NEW"),"",INDEX(J$1:J3483,SUMPRODUCT(MAX(ROW(E$1:E3483)*(E3484=E$1:E3483)))))</f>
        <v> </v>
      </c>
      <c r="L3484" s="27"/>
    </row>
    <row r="3485" spans="1:12">
      <c r="A3485" s="20" t="s">
        <v>1109</v>
      </c>
      <c r="E3485" s="22">
        <f>IF(D3485="?OLD","!!!","")</f>
        <v/>
      </c>
      <c r="F3485" s="23" t="str">
        <f>IF(OR(E3485="",E3485="!!!"),"",IF(NOT(ISNA(VLOOKUP(E3485,E$1:E3484,1,FALSE()))),"OLD",IF(AND(E3485&lt;&gt;"",E3485&lt;&gt;"!!!"),"NEW","")))</f>
        <v> </v>
      </c>
      <c r="G3485" s="24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5" t="str">
        <f>IF(J3485&lt;&gt;1,"",IF(I3485="SBJ","CB","?"))</f>
        <v> </v>
      </c>
      <c r="I3485" s="26" t="str">
        <f>IF(OR(E3485="",E3485="!!!",F3485="NEW"),"",INDEX(B3484:B$2,-1+SUMPRODUCT(MAX(ROW(E3484:E$2)*(E3485=E3484:E$2)))))</f>
        <v> </v>
      </c>
      <c r="J3485" s="26" t="str">
        <f>IF(OR(E3485="",E3485="!!!",F3485="NEW"),"",COUNTBLANK(OFFSET(A$1,,,SUMPRODUCT(MAX(ROW(E$2:E3485)*(E3485=E$2:E3485)))))-COUNTBLANK(OFFSET(A$1,,,SUMPRODUCT(MAX(ROW(E$1:E3484)*(E2=E$1:E3484))))))</f>
        <v> </v>
      </c>
      <c r="K3485" s="26" t="str">
        <f>IF(OR(E3485="",E3485="!!!",F3485="NEW"),"",INDEX(J$1:J3484,SUMPRODUCT(MAX(ROW(E$1:E3484)*(E3485=E$1:E3484)))))</f>
        <v> </v>
      </c>
      <c r="L3485" s="27"/>
    </row>
    <row r="3486" spans="1:12">
      <c r="A3486" s="20" t="s">
        <v>972</v>
      </c>
      <c r="E3486" s="22">
        <f>IF(D3486="?OLD","!!!","")</f>
        <v/>
      </c>
      <c r="F3486" s="23" t="str">
        <f>IF(OR(E3486="",E3486="!!!"),"",IF(NOT(ISNA(VLOOKUP(E3486,E$1:E3485,1,FALSE()))),"OLD",IF(AND(E3486&lt;&gt;"",E3486&lt;&gt;"!!!"),"NEW","")))</f>
        <v> </v>
      </c>
      <c r="G3486" s="24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5" t="str">
        <f>IF(J3486&lt;&gt;1,"",IF(I3486="SBJ","CB","?"))</f>
        <v> </v>
      </c>
      <c r="I3486" s="26" t="str">
        <f>IF(OR(E3486="",E3486="!!!",F3486="NEW"),"",INDEX(B3485:B$2,-1+SUMPRODUCT(MAX(ROW(E3485:E$2)*(E3486=E3485:E$2)))))</f>
        <v> </v>
      </c>
      <c r="J3486" s="26" t="str">
        <f>IF(OR(E3486="",E3486="!!!",F3486="NEW"),"",COUNTBLANK(OFFSET(A$1,,,SUMPRODUCT(MAX(ROW(E$2:E3486)*(E3486=E$2:E3486)))))-COUNTBLANK(OFFSET(A$1,,,SUMPRODUCT(MAX(ROW(E$1:E3485)*(E2=E$1:E3485))))))</f>
        <v> </v>
      </c>
      <c r="K3486" s="26" t="str">
        <f>IF(OR(E3486="",E3486="!!!",F3486="NEW"),"",INDEX(J$1:J3485,SUMPRODUCT(MAX(ROW(E$1:E3485)*(E3486=E$1:E3485)))))</f>
        <v> </v>
      </c>
      <c r="L3486" s="27"/>
    </row>
    <row r="3487" spans="1:12">
      <c r="A3487" s="20" t="s">
        <v>1065</v>
      </c>
      <c r="E3487" s="22">
        <f>IF(D3487="?OLD","!!!","")</f>
        <v/>
      </c>
      <c r="F3487" s="23" t="str">
        <f>IF(OR(E3487="",E3487="!!!"),"",IF(NOT(ISNA(VLOOKUP(E3487,E$1:E3486,1,FALSE()))),"OLD",IF(AND(E3487&lt;&gt;"",E3487&lt;&gt;"!!!"),"NEW","")))</f>
        <v> </v>
      </c>
      <c r="G3487" s="24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5" t="str">
        <f>IF(J3487&lt;&gt;1,"",IF(I3487="SBJ","CB","?"))</f>
        <v> </v>
      </c>
      <c r="I3487" s="26" t="str">
        <f>IF(OR(E3487="",E3487="!!!",F3487="NEW"),"",INDEX(B3486:B$2,-1+SUMPRODUCT(MAX(ROW(E3486:E$2)*(E3487=E3486:E$2)))))</f>
        <v> </v>
      </c>
      <c r="J3487" s="26" t="str">
        <f>IF(OR(E3487="",E3487="!!!",F3487="NEW"),"",COUNTBLANK(OFFSET(A$1,,,SUMPRODUCT(MAX(ROW(E$2:E3487)*(E3487=E$2:E3487)))))-COUNTBLANK(OFFSET(A$1,,,SUMPRODUCT(MAX(ROW(E$1:E3486)*(E2=E$1:E3486))))))</f>
        <v> </v>
      </c>
      <c r="K3487" s="26" t="str">
        <f>IF(OR(E3487="",E3487="!!!",F3487="NEW"),"",INDEX(J$1:J3486,SUMPRODUCT(MAX(ROW(E$1:E3486)*(E3487=E$1:E3486)))))</f>
        <v> </v>
      </c>
      <c r="L3487" s="27"/>
    </row>
    <row r="3488" spans="1:12">
      <c r="A3488" s="20" t="s">
        <v>1022</v>
      </c>
      <c r="E3488" s="22">
        <f>IF(D3488="?OLD","!!!","")</f>
        <v/>
      </c>
      <c r="F3488" s="23" t="str">
        <f>IF(OR(E3488="",E3488="!!!"),"",IF(NOT(ISNA(VLOOKUP(E3488,E$1:E3487,1,FALSE()))),"OLD",IF(AND(E3488&lt;&gt;"",E3488&lt;&gt;"!!!"),"NEW","")))</f>
        <v> </v>
      </c>
      <c r="G3488" s="24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5" t="str">
        <f>IF(J3488&lt;&gt;1,"",IF(I3488="SBJ","CB","?"))</f>
        <v> </v>
      </c>
      <c r="I3488" s="26" t="str">
        <f>IF(OR(E3488="",E3488="!!!",F3488="NEW"),"",INDEX(B3487:B$2,-1+SUMPRODUCT(MAX(ROW(E3487:E$2)*(E3488=E3487:E$2)))))</f>
        <v> </v>
      </c>
      <c r="J3488" s="26" t="str">
        <f>IF(OR(E3488="",E3488="!!!",F3488="NEW"),"",COUNTBLANK(OFFSET(A$1,,,SUMPRODUCT(MAX(ROW(E$2:E3488)*(E3488=E$2:E3488)))))-COUNTBLANK(OFFSET(A$1,,,SUMPRODUCT(MAX(ROW(E$1:E3487)*(E2=E$1:E3487))))))</f>
        <v> </v>
      </c>
      <c r="K3488" s="26" t="str">
        <f>IF(OR(E3488="",E3488="!!!",F3488="NEW"),"",INDEX(J$1:J3487,SUMPRODUCT(MAX(ROW(E$1:E3487)*(E3488=E$1:E3487)))))</f>
        <v> </v>
      </c>
      <c r="L3488" s="27"/>
    </row>
    <row r="3489" spans="1:12">
      <c r="A3489" s="20" t="s">
        <v>1058</v>
      </c>
      <c r="E3489" s="22">
        <f>IF(D3489="?OLD","!!!","")</f>
        <v/>
      </c>
      <c r="F3489" s="23" t="str">
        <f>IF(OR(E3489="",E3489="!!!"),"",IF(NOT(ISNA(VLOOKUP(E3489,E$1:E3488,1,FALSE()))),"OLD",IF(AND(E3489&lt;&gt;"",E3489&lt;&gt;"!!!"),"NEW","")))</f>
        <v> </v>
      </c>
      <c r="G3489" s="24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5" t="str">
        <f>IF(J3489&lt;&gt;1,"",IF(I3489="SBJ","CB","?"))</f>
        <v> </v>
      </c>
      <c r="I3489" s="26" t="str">
        <f>IF(OR(E3489="",E3489="!!!",F3489="NEW"),"",INDEX(B3488:B$2,-1+SUMPRODUCT(MAX(ROW(E3488:E$2)*(E3489=E3488:E$2)))))</f>
        <v> </v>
      </c>
      <c r="J3489" s="26" t="str">
        <f>IF(OR(E3489="",E3489="!!!",F3489="NEW"),"",COUNTBLANK(OFFSET(A$1,,,SUMPRODUCT(MAX(ROW(E$2:E3489)*(E3489=E$2:E3489)))))-COUNTBLANK(OFFSET(A$1,,,SUMPRODUCT(MAX(ROW(E$1:E3488)*(E2=E$1:E3488))))))</f>
        <v> </v>
      </c>
      <c r="K3489" s="26" t="str">
        <f>IF(OR(E3489="",E3489="!!!",F3489="NEW"),"",INDEX(J$1:J3488,SUMPRODUCT(MAX(ROW(E$1:E3488)*(E3489=E$1:E3488)))))</f>
        <v> </v>
      </c>
      <c r="L3489" s="27"/>
    </row>
    <row r="3490" spans="1:12">
      <c r="A3490" s="20" t="s">
        <v>1141</v>
      </c>
      <c r="E3490" s="22">
        <f>IF(D3490="?OLD","!!!","")</f>
        <v/>
      </c>
      <c r="F3490" s="23" t="str">
        <f>IF(OR(E3490="",E3490="!!!"),"",IF(NOT(ISNA(VLOOKUP(E3490,E$1:E3489,1,FALSE()))),"OLD",IF(AND(E3490&lt;&gt;"",E3490&lt;&gt;"!!!"),"NEW","")))</f>
        <v> </v>
      </c>
      <c r="G3490" s="24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5" t="str">
        <f>IF(J3490&lt;&gt;1,"",IF(I3490="SBJ","CB","?"))</f>
        <v> </v>
      </c>
      <c r="I3490" s="26" t="str">
        <f>IF(OR(E3490="",E3490="!!!",F3490="NEW"),"",INDEX(B3489:B$2,-1+SUMPRODUCT(MAX(ROW(E3489:E$2)*(E3490=E3489:E$2)))))</f>
        <v> </v>
      </c>
      <c r="J3490" s="26" t="str">
        <f>IF(OR(E3490="",E3490="!!!",F3490="NEW"),"",COUNTBLANK(OFFSET(A$1,,,SUMPRODUCT(MAX(ROW(E$2:E3490)*(E3490=E$2:E3490)))))-COUNTBLANK(OFFSET(A$1,,,SUMPRODUCT(MAX(ROW(E$1:E3489)*(E2=E$1:E3489))))))</f>
        <v> </v>
      </c>
      <c r="K3490" s="26" t="str">
        <f>IF(OR(E3490="",E3490="!!!",F3490="NEW"),"",INDEX(J$1:J3489,SUMPRODUCT(MAX(ROW(E$1:E3489)*(E3490=E$1:E3489)))))</f>
        <v> </v>
      </c>
      <c r="L3490" s="27"/>
    </row>
    <row r="3491" spans="1:12">
      <c r="A3491" s="20" t="s">
        <v>977</v>
      </c>
      <c r="E3491" s="22">
        <f>IF(D3491="?OLD","!!!","")</f>
        <v/>
      </c>
      <c r="F3491" s="23" t="str">
        <f>IF(OR(E3491="",E3491="!!!"),"",IF(NOT(ISNA(VLOOKUP(E3491,E$1:E3490,1,FALSE()))),"OLD",IF(AND(E3491&lt;&gt;"",E3491&lt;&gt;"!!!"),"NEW","")))</f>
        <v> </v>
      </c>
      <c r="G3491" s="24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5" t="str">
        <f>IF(J3491&lt;&gt;1,"",IF(I3491="SBJ","CB","?"))</f>
        <v> </v>
      </c>
      <c r="I3491" s="26" t="str">
        <f>IF(OR(E3491="",E3491="!!!",F3491="NEW"),"",INDEX(B3490:B$2,-1+SUMPRODUCT(MAX(ROW(E3490:E$2)*(E3491=E3490:E$2)))))</f>
        <v> </v>
      </c>
      <c r="J3491" s="26" t="str">
        <f>IF(OR(E3491="",E3491="!!!",F3491="NEW"),"",COUNTBLANK(OFFSET(A$1,,,SUMPRODUCT(MAX(ROW(E$2:E3491)*(E3491=E$2:E3491)))))-COUNTBLANK(OFFSET(A$1,,,SUMPRODUCT(MAX(ROW(E$1:E3490)*(E2=E$1:E3490))))))</f>
        <v> </v>
      </c>
      <c r="K3491" s="26" t="str">
        <f>IF(OR(E3491="",E3491="!!!",F3491="NEW"),"",INDEX(J$1:J3490,SUMPRODUCT(MAX(ROW(E$1:E3490)*(E3491=E$1:E3490)))))</f>
        <v> </v>
      </c>
      <c r="L3491" s="27"/>
    </row>
    <row r="3492" spans="1:12">
      <c r="A3492" s="20" t="s">
        <v>1681</v>
      </c>
      <c r="B3492" s="21" t="s">
        <v>1005</v>
      </c>
      <c r="C3492" s="21" t="s">
        <v>983</v>
      </c>
      <c r="E3492" s="22">
        <f>IF(D3492="?OLD","!!!","")</f>
        <v/>
      </c>
      <c r="F3492" s="23" t="str">
        <f>IF(OR(E3492="",E3492="!!!"),"",IF(NOT(ISNA(VLOOKUP(E3492,E$1:E3491,1,FALSE()))),"OLD",IF(AND(E3492&lt;&gt;"",E3492&lt;&gt;"!!!"),"NEW","")))</f>
        <v> </v>
      </c>
      <c r="G3492" s="24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5" t="str">
        <f>IF(J3492&lt;&gt;1,"",IF(I3492="SBJ","CB","?"))</f>
        <v> </v>
      </c>
      <c r="I3492" s="26" t="str">
        <f>IF(OR(E3492="",E3492="!!!",F3492="NEW"),"",INDEX(B3491:B$2,-1+SUMPRODUCT(MAX(ROW(E3491:E$2)*(E3492=E3491:E$2)))))</f>
        <v> </v>
      </c>
      <c r="J3492" s="26" t="str">
        <f>IF(OR(E3492="",E3492="!!!",F3492="NEW"),"",COUNTBLANK(OFFSET(A$1,,,SUMPRODUCT(MAX(ROW(E$2:E3492)*(E3492=E$2:E3492)))))-COUNTBLANK(OFFSET(A$1,,,SUMPRODUCT(MAX(ROW(E$1:E3491)*(E2=E$1:E3491))))))</f>
        <v> </v>
      </c>
      <c r="K3492" s="26" t="str">
        <f>IF(OR(E3492="",E3492="!!!",F3492="NEW"),"",INDEX(J$1:J3491,SUMPRODUCT(MAX(ROW(E$1:E3491)*(E3492=E$1:E3491)))))</f>
        <v> </v>
      </c>
      <c r="L3492" s="27"/>
    </row>
    <row r="3493" spans="1:12">
      <c r="A3493" s="20" t="s">
        <v>1682</v>
      </c>
      <c r="E3493" s="22">
        <f>IF(D3493="?OLD","!!!","")</f>
        <v/>
      </c>
      <c r="F3493" s="23" t="str">
        <f>IF(OR(E3493="",E3493="!!!"),"",IF(NOT(ISNA(VLOOKUP(E3493,E$1:E3492,1,FALSE()))),"OLD",IF(AND(E3493&lt;&gt;"",E3493&lt;&gt;"!!!"),"NEW","")))</f>
        <v> </v>
      </c>
      <c r="G3493" s="24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5" t="str">
        <f>IF(J3493&lt;&gt;1,"",IF(I3493="SBJ","CB","?"))</f>
        <v> </v>
      </c>
      <c r="I3493" s="26" t="str">
        <f>IF(OR(E3493="",E3493="!!!",F3493="NEW"),"",INDEX(B3492:B$2,-1+SUMPRODUCT(MAX(ROW(E3492:E$2)*(E3493=E3492:E$2)))))</f>
        <v> </v>
      </c>
      <c r="J3493" s="26" t="str">
        <f>IF(OR(E3493="",E3493="!!!",F3493="NEW"),"",COUNTBLANK(OFFSET(A$1,,,SUMPRODUCT(MAX(ROW(E$2:E3493)*(E3493=E$2:E3493)))))-COUNTBLANK(OFFSET(A$1,,,SUMPRODUCT(MAX(ROW(E$1:E3492)*(E2=E$1:E3492))))))</f>
        <v> </v>
      </c>
      <c r="K3493" s="26" t="str">
        <f>IF(OR(E3493="",E3493="!!!",F3493="NEW"),"",INDEX(J$1:J3492,SUMPRODUCT(MAX(ROW(E$1:E3492)*(E3493=E$1:E3492)))))</f>
        <v> </v>
      </c>
      <c r="L3493" s="27"/>
    </row>
    <row r="3494" spans="1:12">
      <c r="A3494" s="20" t="s">
        <v>984</v>
      </c>
      <c r="E3494" s="22">
        <f>IF(D3494="?OLD","!!!","")</f>
        <v/>
      </c>
      <c r="F3494" s="23" t="str">
        <f>IF(OR(E3494="",E3494="!!!"),"",IF(NOT(ISNA(VLOOKUP(E3494,E$1:E3493,1,FALSE()))),"OLD",IF(AND(E3494&lt;&gt;"",E3494&lt;&gt;"!!!"),"NEW","")))</f>
        <v> </v>
      </c>
      <c r="G3494" s="24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5" t="str">
        <f>IF(J3494&lt;&gt;1,"",IF(I3494="SBJ","CB","?"))</f>
        <v> </v>
      </c>
      <c r="I3494" s="26" t="str">
        <f>IF(OR(E3494="",E3494="!!!",F3494="NEW"),"",INDEX(B3493:B$2,-1+SUMPRODUCT(MAX(ROW(E3493:E$2)*(E3494=E3493:E$2)))))</f>
        <v> </v>
      </c>
      <c r="J3494" s="26" t="str">
        <f>IF(OR(E3494="",E3494="!!!",F3494="NEW"),"",COUNTBLANK(OFFSET(A$1,,,SUMPRODUCT(MAX(ROW(E$2:E3494)*(E3494=E$2:E3494)))))-COUNTBLANK(OFFSET(A$1,,,SUMPRODUCT(MAX(ROW(E$1:E3493)*(E2=E$1:E3493))))))</f>
        <v> </v>
      </c>
      <c r="K3494" s="26" t="str">
        <f>IF(OR(E3494="",E3494="!!!",F3494="NEW"),"",INDEX(J$1:J3493,SUMPRODUCT(MAX(ROW(E$1:E3493)*(E3494=E$1:E3493)))))</f>
        <v> </v>
      </c>
      <c r="L3494" s="27"/>
    </row>
    <row r="3495" spans="1:12">
      <c r="A3495" s="20"/>
    </row>
    <row r="3496" spans="1:12">
      <c r="A3496" s="20" t="s">
        <v>1971</v>
      </c>
    </row>
    <row r="3497" spans="1:12">
      <c r="A3497" s="20" t="s">
        <v>1567</v>
      </c>
      <c r="E3497" s="22">
        <f>IF(D3497="?OLD","!!!","")</f>
        <v/>
      </c>
      <c r="F3497" s="23" t="str">
        <f>IF(OR(E3497="",E3497="!!!"),"",IF(NOT(ISNA(VLOOKUP(E3497,E$1:E3496,1,FALSE()))),"OLD",IF(AND(E3497&lt;&gt;"",E3497&lt;&gt;"!!!"),"NEW","")))</f>
        <v> </v>
      </c>
      <c r="G3497" s="24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5" t="str">
        <f>IF(J3497&lt;&gt;1,"",IF(I3497="SBJ","CB","?"))</f>
        <v> </v>
      </c>
      <c r="I3497" s="26" t="str">
        <f>IF(OR(E3497="",E3497="!!!",F3497="NEW"),"",INDEX(B3496:B$2,-1+SUMPRODUCT(MAX(ROW(E3496:E$2)*(E3497=E3496:E$2)))))</f>
        <v> </v>
      </c>
      <c r="J3497" s="26" t="str">
        <f>IF(OR(E3497="",E3497="!!!",F3497="NEW"),"",COUNTBLANK(OFFSET(A$1,,,SUMPRODUCT(MAX(ROW(E$2:E3497)*(E3497=E$2:E3497)))))-COUNTBLANK(OFFSET(A$1,,,SUMPRODUCT(MAX(ROW(E$1:E3496)*(E2=E$1:E3496))))))</f>
        <v> </v>
      </c>
      <c r="K3497" s="26" t="str">
        <f>IF(OR(E3497="",E3497="!!!",F3497="NEW"),"",INDEX(J$1:J3496,SUMPRODUCT(MAX(ROW(E$1:E3496)*(E3497=E$1:E3496)))))</f>
        <v> </v>
      </c>
      <c r="L3497" s="27"/>
    </row>
    <row r="3498" spans="1:12">
      <c r="A3498" s="20" t="s">
        <v>1003</v>
      </c>
      <c r="E3498" s="22">
        <f>IF(D3498="?OLD","!!!","")</f>
        <v/>
      </c>
      <c r="F3498" s="23" t="str">
        <f>IF(OR(E3498="",E3498="!!!"),"",IF(NOT(ISNA(VLOOKUP(E3498,E$1:E3497,1,FALSE()))),"OLD",IF(AND(E3498&lt;&gt;"",E3498&lt;&gt;"!!!"),"NEW","")))</f>
        <v> </v>
      </c>
      <c r="G3498" s="24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5" t="str">
        <f>IF(J3498&lt;&gt;1,"",IF(I3498="SBJ","CB","?"))</f>
        <v> </v>
      </c>
      <c r="I3498" s="26" t="str">
        <f>IF(OR(E3498="",E3498="!!!",F3498="NEW"),"",INDEX(B3497:B$2,-1+SUMPRODUCT(MAX(ROW(E3497:E$2)*(E3498=E3497:E$2)))))</f>
        <v> </v>
      </c>
      <c r="J3498" s="26" t="str">
        <f>IF(OR(E3498="",E3498="!!!",F3498="NEW"),"",COUNTBLANK(OFFSET(A$1,,,SUMPRODUCT(MAX(ROW(E$2:E3498)*(E3498=E$2:E3498)))))-COUNTBLANK(OFFSET(A$1,,,SUMPRODUCT(MAX(ROW(E$1:E3497)*(E2=E$1:E3497))))))</f>
        <v> </v>
      </c>
      <c r="K3498" s="26" t="str">
        <f>IF(OR(E3498="",E3498="!!!",F3498="NEW"),"",INDEX(J$1:J3497,SUMPRODUCT(MAX(ROW(E$1:E3497)*(E3498=E$1:E3497)))))</f>
        <v> </v>
      </c>
      <c r="L3498" s="27"/>
    </row>
    <row r="3499" spans="1:12">
      <c r="A3499" s="20" t="s">
        <v>1041</v>
      </c>
      <c r="E3499" s="22">
        <f>IF(D3499="?OLD","!!!","")</f>
        <v/>
      </c>
      <c r="F3499" s="23" t="str">
        <f>IF(OR(E3499="",E3499="!!!"),"",IF(NOT(ISNA(VLOOKUP(E3499,E$1:E3498,1,FALSE()))),"OLD",IF(AND(E3499&lt;&gt;"",E3499&lt;&gt;"!!!"),"NEW","")))</f>
        <v> </v>
      </c>
      <c r="G3499" s="24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5" t="str">
        <f>IF(J3499&lt;&gt;1,"",IF(I3499="SBJ","CB","?"))</f>
        <v> </v>
      </c>
      <c r="I3499" s="26" t="str">
        <f>IF(OR(E3499="",E3499="!!!",F3499="NEW"),"",INDEX(B3498:B$2,-1+SUMPRODUCT(MAX(ROW(E3498:E$2)*(E3499=E3498:E$2)))))</f>
        <v> </v>
      </c>
      <c r="J3499" s="26" t="str">
        <f>IF(OR(E3499="",E3499="!!!",F3499="NEW"),"",COUNTBLANK(OFFSET(A$1,,,SUMPRODUCT(MAX(ROW(E$2:E3499)*(E3499=E$2:E3499)))))-COUNTBLANK(OFFSET(A$1,,,SUMPRODUCT(MAX(ROW(E$1:E3498)*(E2=E$1:E3498))))))</f>
        <v> </v>
      </c>
      <c r="K3499" s="26" t="str">
        <f>IF(OR(E3499="",E3499="!!!",F3499="NEW"),"",INDEX(J$1:J3498,SUMPRODUCT(MAX(ROW(E$1:E3498)*(E3499=E$1:E3498)))))</f>
        <v> </v>
      </c>
      <c r="L3499" s="27"/>
    </row>
    <row r="3500" spans="1:12">
      <c r="A3500" s="20" t="s">
        <v>1615</v>
      </c>
      <c r="B3500" s="21" t="s">
        <v>959</v>
      </c>
      <c r="C3500" s="21" t="s">
        <v>1044</v>
      </c>
      <c r="D3500" s="21" t="s">
        <v>950</v>
      </c>
      <c r="E3500" s="22">
        <f>IF(D3500="?OLD","!!!","")</f>
        <v/>
      </c>
      <c r="F3500" s="23" t="str">
        <f>IF(OR(E3500="",E3500="!!!"),"",IF(NOT(ISNA(VLOOKUP(E3500,E$1:E3499,1,FALSE()))),"OLD",IF(AND(E3500&lt;&gt;"",E3500&lt;&gt;"!!!"),"NEW","")))</f>
        <v> </v>
      </c>
      <c r="G3500" s="24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5" t="str">
        <f>IF(J3500&lt;&gt;1,"",IF(I3500="SBJ","CB","?"))</f>
        <v> </v>
      </c>
      <c r="I3500" s="26" t="str">
        <f>IF(OR(E3500="",E3500="!!!",F3500="NEW"),"",INDEX(B3499:B$2,-1+SUMPRODUCT(MAX(ROW(E3499:E$2)*(E3500=E3499:E$2)))))</f>
        <v> </v>
      </c>
      <c r="J3500" s="26" t="str">
        <f>IF(OR(E3500="",E3500="!!!",F3500="NEW"),"",COUNTBLANK(OFFSET(A$1,,,SUMPRODUCT(MAX(ROW(E$2:E3500)*(E3500=E$2:E3500)))))-COUNTBLANK(OFFSET(A$1,,,SUMPRODUCT(MAX(ROW(E$1:E3499)*(E2=E$1:E3499))))))</f>
        <v> </v>
      </c>
      <c r="K3500" s="26" t="str">
        <f>IF(OR(E3500="",E3500="!!!",F3500="NEW"),"",INDEX(J$1:J3499,SUMPRODUCT(MAX(ROW(E$1:E3499)*(E3500=E$1:E3499)))))</f>
        <v> </v>
      </c>
      <c r="L3500" s="27"/>
    </row>
    <row r="3501" spans="1:12">
      <c r="A3501" s="20" t="s">
        <v>1066</v>
      </c>
      <c r="E3501" s="22">
        <f>IF(D3501="?OLD","!!!","")</f>
        <v/>
      </c>
      <c r="F3501" s="23" t="str">
        <f>IF(OR(E3501="",E3501="!!!"),"",IF(NOT(ISNA(VLOOKUP(E3501,E$1:E3500,1,FALSE()))),"OLD",IF(AND(E3501&lt;&gt;"",E3501&lt;&gt;"!!!"),"NEW","")))</f>
        <v> </v>
      </c>
      <c r="G3501" s="24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5" t="str">
        <f>IF(J3501&lt;&gt;1,"",IF(I3501="SBJ","CB","?"))</f>
        <v> </v>
      </c>
      <c r="I3501" s="26" t="str">
        <f>IF(OR(E3501="",E3501="!!!",F3501="NEW"),"",INDEX(B3500:B$2,-1+SUMPRODUCT(MAX(ROW(E3500:E$2)*(E3501=E3500:E$2)))))</f>
        <v> </v>
      </c>
      <c r="J3501" s="26" t="str">
        <f>IF(OR(E3501="",E3501="!!!",F3501="NEW"),"",COUNTBLANK(OFFSET(A$1,,,SUMPRODUCT(MAX(ROW(E$2:E3501)*(E3501=E$2:E3501)))))-COUNTBLANK(OFFSET(A$1,,,SUMPRODUCT(MAX(ROW(E$1:E3500)*(E2=E$1:E3500))))))</f>
        <v> </v>
      </c>
      <c r="K3501" s="26" t="str">
        <f>IF(OR(E3501="",E3501="!!!",F3501="NEW"),"",INDEX(J$1:J3500,SUMPRODUCT(MAX(ROW(E$1:E3500)*(E3501=E$1:E3500)))))</f>
        <v> </v>
      </c>
      <c r="L3501" s="27"/>
    </row>
    <row r="3502" spans="1:12">
      <c r="A3502" s="20" t="s">
        <v>1683</v>
      </c>
      <c r="B3502" s="21" t="s">
        <v>1031</v>
      </c>
      <c r="C3502" s="21" t="s">
        <v>983</v>
      </c>
      <c r="E3502" s="22">
        <f>IF(D3502="?OLD","!!!","")</f>
        <v/>
      </c>
      <c r="F3502" s="23" t="str">
        <f>IF(OR(E3502="",E3502="!!!"),"",IF(NOT(ISNA(VLOOKUP(E3502,E$1:E3501,1,FALSE()))),"OLD",IF(AND(E3502&lt;&gt;"",E3502&lt;&gt;"!!!"),"NEW","")))</f>
        <v> </v>
      </c>
      <c r="G3502" s="24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5" t="str">
        <f>IF(J3502&lt;&gt;1,"",IF(I3502="SBJ","CB","?"))</f>
        <v> </v>
      </c>
      <c r="I3502" s="26" t="str">
        <f>IF(OR(E3502="",E3502="!!!",F3502="NEW"),"",INDEX(B3501:B$2,-1+SUMPRODUCT(MAX(ROW(E3501:E$2)*(E3502=E3501:E$2)))))</f>
        <v> </v>
      </c>
      <c r="J3502" s="26" t="str">
        <f>IF(OR(E3502="",E3502="!!!",F3502="NEW"),"",COUNTBLANK(OFFSET(A$1,,,SUMPRODUCT(MAX(ROW(E$2:E3502)*(E3502=E$2:E3502)))))-COUNTBLANK(OFFSET(A$1,,,SUMPRODUCT(MAX(ROW(E$1:E3501)*(E2=E$1:E3501))))))</f>
        <v> </v>
      </c>
      <c r="K3502" s="26" t="str">
        <f>IF(OR(E3502="",E3502="!!!",F3502="NEW"),"",INDEX(J$1:J3501,SUMPRODUCT(MAX(ROW(E$1:E3501)*(E3502=E$1:E3501)))))</f>
        <v> </v>
      </c>
      <c r="L3502" s="27"/>
    </row>
    <row r="3503" spans="1:12">
      <c r="A3503" s="20" t="s">
        <v>984</v>
      </c>
      <c r="E3503" s="22">
        <f>IF(D3503="?OLD","!!!","")</f>
        <v/>
      </c>
      <c r="F3503" s="23" t="str">
        <f>IF(OR(E3503="",E3503="!!!"),"",IF(NOT(ISNA(VLOOKUP(E3503,E$1:E3502,1,FALSE()))),"OLD",IF(AND(E3503&lt;&gt;"",E3503&lt;&gt;"!!!"),"NEW","")))</f>
        <v> </v>
      </c>
      <c r="G3503" s="24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5" t="str">
        <f>IF(J3503&lt;&gt;1,"",IF(I3503="SBJ","CB","?"))</f>
        <v> </v>
      </c>
      <c r="I3503" s="26" t="str">
        <f>IF(OR(E3503="",E3503="!!!",F3503="NEW"),"",INDEX(B3502:B$2,-1+SUMPRODUCT(MAX(ROW(E3502:E$2)*(E3503=E3502:E$2)))))</f>
        <v> </v>
      </c>
      <c r="J3503" s="26" t="str">
        <f>IF(OR(E3503="",E3503="!!!",F3503="NEW"),"",COUNTBLANK(OFFSET(A$1,,,SUMPRODUCT(MAX(ROW(E$2:E3503)*(E3503=E$2:E3503)))))-COUNTBLANK(OFFSET(A$1,,,SUMPRODUCT(MAX(ROW(E$1:E3502)*(E2=E$1:E3502))))))</f>
        <v> </v>
      </c>
      <c r="K3503" s="26" t="str">
        <f>IF(OR(E3503="",E3503="!!!",F3503="NEW"),"",INDEX(J$1:J3502,SUMPRODUCT(MAX(ROW(E$1:E3502)*(E3503=E$1:E3502)))))</f>
        <v> </v>
      </c>
      <c r="L3503" s="27"/>
    </row>
    <row r="3504" spans="1:12">
      <c r="A3504" s="20"/>
    </row>
    <row r="3505" spans="1:12">
      <c r="A3505" s="20" t="s">
        <v>1972</v>
      </c>
    </row>
    <row r="3506" spans="1:12">
      <c r="A3506" s="20" t="s">
        <v>1070</v>
      </c>
      <c r="B3506" s="21" t="s">
        <v>948</v>
      </c>
      <c r="C3506" s="21" t="s">
        <v>983</v>
      </c>
      <c r="E3506" s="22">
        <f>IF(D3506="?OLD","!!!","")</f>
        <v/>
      </c>
      <c r="F3506" s="23" t="str">
        <f>IF(OR(E3506="",E3506="!!!"),"",IF(NOT(ISNA(VLOOKUP(E3506,E$1:E3505,1,FALSE()))),"OLD",IF(AND(E3506&lt;&gt;"",E3506&lt;&gt;"!!!"),"NEW","")))</f>
        <v> </v>
      </c>
      <c r="G3506" s="24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5" t="str">
        <f>IF(J3506&lt;&gt;1,"",IF(I3506="SBJ","CB","?"))</f>
        <v> </v>
      </c>
      <c r="I3506" s="26" t="str">
        <f>IF(OR(E3506="",E3506="!!!",F3506="NEW"),"",INDEX(B3505:B$2,-1+SUMPRODUCT(MAX(ROW(E3505:E$2)*(E3506=E3505:E$2)))))</f>
        <v> </v>
      </c>
      <c r="J3506" s="26" t="str">
        <f>IF(OR(E3506="",E3506="!!!",F3506="NEW"),"",COUNTBLANK(OFFSET(A$1,,,SUMPRODUCT(MAX(ROW(E$2:E3506)*(E3506=E$2:E3506)))))-COUNTBLANK(OFFSET(A$1,,,SUMPRODUCT(MAX(ROW(E$1:E3505)*(E2=E$1:E3505))))))</f>
        <v> </v>
      </c>
      <c r="K3506" s="26" t="str">
        <f>IF(OR(E3506="",E3506="!!!",F3506="NEW"),"",INDEX(J$1:J3505,SUMPRODUCT(MAX(ROW(E$1:E3505)*(E3506=E$1:E3505)))))</f>
        <v> </v>
      </c>
      <c r="L3506" s="27"/>
    </row>
    <row r="3507" spans="1:12">
      <c r="A3507" s="20" t="s">
        <v>952</v>
      </c>
      <c r="E3507" s="22">
        <f>IF(D3507="?OLD","!!!","")</f>
        <v/>
      </c>
      <c r="F3507" s="23" t="str">
        <f>IF(OR(E3507="",E3507="!!!"),"",IF(NOT(ISNA(VLOOKUP(E3507,E$1:E3506,1,FALSE()))),"OLD",IF(AND(E3507&lt;&gt;"",E3507&lt;&gt;"!!!"),"NEW","")))</f>
        <v> </v>
      </c>
      <c r="G3507" s="24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5" t="str">
        <f>IF(J3507&lt;&gt;1,"",IF(I3507="SBJ","CB","?"))</f>
        <v> </v>
      </c>
      <c r="I3507" s="26" t="str">
        <f>IF(OR(E3507="",E3507="!!!",F3507="NEW"),"",INDEX(B3506:B$2,-1+SUMPRODUCT(MAX(ROW(E3506:E$2)*(E3507=E3506:E$2)))))</f>
        <v> </v>
      </c>
      <c r="J3507" s="26" t="str">
        <f>IF(OR(E3507="",E3507="!!!",F3507="NEW"),"",COUNTBLANK(OFFSET(A$1,,,SUMPRODUCT(MAX(ROW(E$2:E3507)*(E3507=E$2:E3507)))))-COUNTBLANK(OFFSET(A$1,,,SUMPRODUCT(MAX(ROW(E$1:E3506)*(E2=E$1:E3506))))))</f>
        <v> </v>
      </c>
      <c r="K3507" s="26" t="str">
        <f>IF(OR(E3507="",E3507="!!!",F3507="NEW"),"",INDEX(J$1:J3506,SUMPRODUCT(MAX(ROW(E$1:E3506)*(E3507=E$1:E3506)))))</f>
        <v> </v>
      </c>
      <c r="L3507" s="27"/>
    </row>
    <row r="3508" spans="1:12">
      <c r="A3508" s="20" t="s">
        <v>1071</v>
      </c>
      <c r="E3508" s="22">
        <f>IF(D3508="?OLD","!!!","")</f>
        <v/>
      </c>
      <c r="F3508" s="23" t="str">
        <f>IF(OR(E3508="",E3508="!!!"),"",IF(NOT(ISNA(VLOOKUP(E3508,E$1:E3507,1,FALSE()))),"OLD",IF(AND(E3508&lt;&gt;"",E3508&lt;&gt;"!!!"),"NEW","")))</f>
        <v> </v>
      </c>
      <c r="G3508" s="24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5" t="str">
        <f>IF(J3508&lt;&gt;1,"",IF(I3508="SBJ","CB","?"))</f>
        <v> </v>
      </c>
      <c r="I3508" s="26" t="str">
        <f>IF(OR(E3508="",E3508="!!!",F3508="NEW"),"",INDEX(B3507:B$2,-1+SUMPRODUCT(MAX(ROW(E3507:E$2)*(E3508=E3507:E$2)))))</f>
        <v> </v>
      </c>
      <c r="J3508" s="26" t="str">
        <f>IF(OR(E3508="",E3508="!!!",F3508="NEW"),"",COUNTBLANK(OFFSET(A$1,,,SUMPRODUCT(MAX(ROW(E$2:E3508)*(E3508=E$2:E3508)))))-COUNTBLANK(OFFSET(A$1,,,SUMPRODUCT(MAX(ROW(E$1:E3507)*(E2=E$1:E3507))))))</f>
        <v> </v>
      </c>
      <c r="K3508" s="26" t="str">
        <f>IF(OR(E3508="",E3508="!!!",F3508="NEW"),"",INDEX(J$1:J3507,SUMPRODUCT(MAX(ROW(E$1:E3507)*(E3508=E$1:E3507)))))</f>
        <v> </v>
      </c>
      <c r="L3508" s="27"/>
    </row>
    <row r="3509" spans="1:12">
      <c r="A3509" s="20" t="s">
        <v>1000</v>
      </c>
      <c r="E3509" s="22">
        <f>IF(D3509="?OLD","!!!","")</f>
        <v/>
      </c>
      <c r="F3509" s="23" t="str">
        <f>IF(OR(E3509="",E3509="!!!"),"",IF(NOT(ISNA(VLOOKUP(E3509,E$1:E3508,1,FALSE()))),"OLD",IF(AND(E3509&lt;&gt;"",E3509&lt;&gt;"!!!"),"NEW","")))</f>
        <v> </v>
      </c>
      <c r="G3509" s="24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5" t="str">
        <f>IF(J3509&lt;&gt;1,"",IF(I3509="SBJ","CB","?"))</f>
        <v> </v>
      </c>
      <c r="I3509" s="26" t="str">
        <f>IF(OR(E3509="",E3509="!!!",F3509="NEW"),"",INDEX(B3508:B$2,-1+SUMPRODUCT(MAX(ROW(E3508:E$2)*(E3509=E3508:E$2)))))</f>
        <v> </v>
      </c>
      <c r="J3509" s="26" t="str">
        <f>IF(OR(E3509="",E3509="!!!",F3509="NEW"),"",COUNTBLANK(OFFSET(A$1,,,SUMPRODUCT(MAX(ROW(E$2:E3509)*(E3509=E$2:E3509)))))-COUNTBLANK(OFFSET(A$1,,,SUMPRODUCT(MAX(ROW(E$1:E3508)*(E2=E$1:E3508))))))</f>
        <v> </v>
      </c>
      <c r="K3509" s="26" t="str">
        <f>IF(OR(E3509="",E3509="!!!",F3509="NEW"),"",INDEX(J$1:J3508,SUMPRODUCT(MAX(ROW(E$1:E3508)*(E3509=E$1:E3508)))))</f>
        <v> </v>
      </c>
      <c r="L3509" s="27"/>
    </row>
    <row r="3510" spans="1:12">
      <c r="A3510" s="20" t="s">
        <v>1075</v>
      </c>
      <c r="E3510" s="22">
        <f>IF(D3510="?OLD","!!!","")</f>
        <v/>
      </c>
      <c r="F3510" s="23" t="str">
        <f>IF(OR(E3510="",E3510="!!!"),"",IF(NOT(ISNA(VLOOKUP(E3510,E$1:E3509,1,FALSE()))),"OLD",IF(AND(E3510&lt;&gt;"",E3510&lt;&gt;"!!!"),"NEW","")))</f>
        <v> </v>
      </c>
      <c r="G3510" s="24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5" t="str">
        <f>IF(J3510&lt;&gt;1,"",IF(I3510="SBJ","CB","?"))</f>
        <v> </v>
      </c>
      <c r="I3510" s="26" t="str">
        <f>IF(OR(E3510="",E3510="!!!",F3510="NEW"),"",INDEX(B3509:B$2,-1+SUMPRODUCT(MAX(ROW(E3509:E$2)*(E3510=E3509:E$2)))))</f>
        <v> </v>
      </c>
      <c r="J3510" s="26" t="str">
        <f>IF(OR(E3510="",E3510="!!!",F3510="NEW"),"",COUNTBLANK(OFFSET(A$1,,,SUMPRODUCT(MAX(ROW(E$2:E3510)*(E3510=E$2:E3510)))))-COUNTBLANK(OFFSET(A$1,,,SUMPRODUCT(MAX(ROW(E$1:E3509)*(E2=E$1:E3509))))))</f>
        <v> </v>
      </c>
      <c r="K3510" s="26" t="str">
        <f>IF(OR(E3510="",E3510="!!!",F3510="NEW"),"",INDEX(J$1:J3509,SUMPRODUCT(MAX(ROW(E$1:E3509)*(E3510=E$1:E3509)))))</f>
        <v> </v>
      </c>
      <c r="L3510" s="27"/>
    </row>
    <row r="3511" spans="1:12">
      <c r="A3511" s="20" t="s">
        <v>1022</v>
      </c>
      <c r="E3511" s="22">
        <f>IF(D3511="?OLD","!!!","")</f>
        <v/>
      </c>
      <c r="F3511" s="23" t="str">
        <f>IF(OR(E3511="",E3511="!!!"),"",IF(NOT(ISNA(VLOOKUP(E3511,E$1:E3510,1,FALSE()))),"OLD",IF(AND(E3511&lt;&gt;"",E3511&lt;&gt;"!!!"),"NEW","")))</f>
        <v> </v>
      </c>
      <c r="G3511" s="24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5" t="str">
        <f>IF(J3511&lt;&gt;1,"",IF(I3511="SBJ","CB","?"))</f>
        <v> </v>
      </c>
      <c r="I3511" s="26" t="str">
        <f>IF(OR(E3511="",E3511="!!!",F3511="NEW"),"",INDEX(B3510:B$2,-1+SUMPRODUCT(MAX(ROW(E3510:E$2)*(E3511=E3510:E$2)))))</f>
        <v> </v>
      </c>
      <c r="J3511" s="26" t="str">
        <f>IF(OR(E3511="",E3511="!!!",F3511="NEW"),"",COUNTBLANK(OFFSET(A$1,,,SUMPRODUCT(MAX(ROW(E$2:E3511)*(E3511=E$2:E3511)))))-COUNTBLANK(OFFSET(A$1,,,SUMPRODUCT(MAX(ROW(E$1:E3510)*(E2=E$1:E3510))))))</f>
        <v> </v>
      </c>
      <c r="K3511" s="26" t="str">
        <f>IF(OR(E3511="",E3511="!!!",F3511="NEW"),"",INDEX(J$1:J3510,SUMPRODUCT(MAX(ROW(E$1:E3510)*(E3511=E$1:E3510)))))</f>
        <v> </v>
      </c>
      <c r="L3511" s="27"/>
    </row>
    <row r="3512" spans="1:12">
      <c r="A3512" s="20" t="s">
        <v>1024</v>
      </c>
      <c r="B3512" s="21" t="s">
        <v>1031</v>
      </c>
      <c r="C3512" s="21" t="s">
        <v>949</v>
      </c>
      <c r="D3512" s="21" t="s">
        <v>950</v>
      </c>
      <c r="E3512" s="22">
        <f>IF(D3512="?OLD","!!!","")</f>
        <v/>
      </c>
      <c r="F3512" s="23" t="str">
        <f>IF(OR(E3512="",E3512="!!!"),"",IF(NOT(ISNA(VLOOKUP(E3512,E$1:E3511,1,FALSE()))),"OLD",IF(AND(E3512&lt;&gt;"",E3512&lt;&gt;"!!!"),"NEW","")))</f>
        <v> </v>
      </c>
      <c r="G3512" s="24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5" t="str">
        <f>IF(J3512&lt;&gt;1,"",IF(I3512="SBJ","CB","?"))</f>
        <v> </v>
      </c>
      <c r="I3512" s="26" t="str">
        <f>IF(OR(E3512="",E3512="!!!",F3512="NEW"),"",INDEX(B3511:B$2,-1+SUMPRODUCT(MAX(ROW(E3511:E$2)*(E3512=E3511:E$2)))))</f>
        <v> </v>
      </c>
      <c r="J3512" s="26" t="str">
        <f>IF(OR(E3512="",E3512="!!!",F3512="NEW"),"",COUNTBLANK(OFFSET(A$1,,,SUMPRODUCT(MAX(ROW(E$2:E3512)*(E3512=E$2:E3512)))))-COUNTBLANK(OFFSET(A$1,,,SUMPRODUCT(MAX(ROW(E$1:E3511)*(E2=E$1:E3511))))))</f>
        <v> </v>
      </c>
      <c r="K3512" s="26" t="str">
        <f>IF(OR(E3512="",E3512="!!!",F3512="NEW"),"",INDEX(J$1:J3511,SUMPRODUCT(MAX(ROW(E$1:E3511)*(E3512=E$1:E3511)))))</f>
        <v> </v>
      </c>
      <c r="L3512" s="27"/>
    </row>
    <row r="3513" spans="1:12">
      <c r="A3513" s="20" t="s">
        <v>1150</v>
      </c>
      <c r="E3513" s="22">
        <f>IF(D3513="?OLD","!!!","")</f>
        <v/>
      </c>
      <c r="F3513" s="23" t="str">
        <f>IF(OR(E3513="",E3513="!!!"),"",IF(NOT(ISNA(VLOOKUP(E3513,E$1:E3512,1,FALSE()))),"OLD",IF(AND(E3513&lt;&gt;"",E3513&lt;&gt;"!!!"),"NEW","")))</f>
        <v> </v>
      </c>
      <c r="G3513" s="24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5" t="str">
        <f>IF(J3513&lt;&gt;1,"",IF(I3513="SBJ","CB","?"))</f>
        <v> </v>
      </c>
      <c r="I3513" s="26" t="str">
        <f>IF(OR(E3513="",E3513="!!!",F3513="NEW"),"",INDEX(B3512:B$2,-1+SUMPRODUCT(MAX(ROW(E3512:E$2)*(E3513=E3512:E$2)))))</f>
        <v> </v>
      </c>
      <c r="J3513" s="26" t="str">
        <f>IF(OR(E3513="",E3513="!!!",F3513="NEW"),"",COUNTBLANK(OFFSET(A$1,,,SUMPRODUCT(MAX(ROW(E$2:E3513)*(E3513=E$2:E3513)))))-COUNTBLANK(OFFSET(A$1,,,SUMPRODUCT(MAX(ROW(E$1:E3512)*(E2=E$1:E3512))))))</f>
        <v> </v>
      </c>
      <c r="K3513" s="26" t="str">
        <f>IF(OR(E3513="",E3513="!!!",F3513="NEW"),"",INDEX(J$1:J3512,SUMPRODUCT(MAX(ROW(E$1:E3512)*(E3513=E$1:E3512)))))</f>
        <v> </v>
      </c>
      <c r="L3513" s="27"/>
    </row>
    <row r="3514" spans="1:12">
      <c r="A3514" s="20" t="s">
        <v>1022</v>
      </c>
      <c r="E3514" s="22">
        <f>IF(D3514="?OLD","!!!","")</f>
        <v/>
      </c>
      <c r="F3514" s="23" t="str">
        <f>IF(OR(E3514="",E3514="!!!"),"",IF(NOT(ISNA(VLOOKUP(E3514,E$1:E3513,1,FALSE()))),"OLD",IF(AND(E3514&lt;&gt;"",E3514&lt;&gt;"!!!"),"NEW","")))</f>
        <v> </v>
      </c>
      <c r="G3514" s="24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5" t="str">
        <f>IF(J3514&lt;&gt;1,"",IF(I3514="SBJ","CB","?"))</f>
        <v> </v>
      </c>
      <c r="I3514" s="26" t="str">
        <f>IF(OR(E3514="",E3514="!!!",F3514="NEW"),"",INDEX(B3513:B$2,-1+SUMPRODUCT(MAX(ROW(E3513:E$2)*(E3514=E3513:E$2)))))</f>
        <v> </v>
      </c>
      <c r="J3514" s="26" t="str">
        <f>IF(OR(E3514="",E3514="!!!",F3514="NEW"),"",COUNTBLANK(OFFSET(A$1,,,SUMPRODUCT(MAX(ROW(E$2:E3514)*(E3514=E$2:E3514)))))-COUNTBLANK(OFFSET(A$1,,,SUMPRODUCT(MAX(ROW(E$1:E3513)*(E2=E$1:E3513))))))</f>
        <v> </v>
      </c>
      <c r="K3514" s="26" t="str">
        <f>IF(OR(E3514="",E3514="!!!",F3514="NEW"),"",INDEX(J$1:J3513,SUMPRODUCT(MAX(ROW(E$1:E3513)*(E3514=E$1:E3513)))))</f>
        <v> </v>
      </c>
      <c r="L3514" s="27"/>
    </row>
    <row r="3515" spans="1:12">
      <c r="A3515" s="20" t="s">
        <v>1615</v>
      </c>
      <c r="B3515" s="21" t="s">
        <v>975</v>
      </c>
      <c r="C3515" s="21" t="s">
        <v>1032</v>
      </c>
      <c r="D3515" s="21" t="s">
        <v>950</v>
      </c>
      <c r="E3515" s="22">
        <f>IF(D3515="?OLD","!!!","")</f>
        <v/>
      </c>
      <c r="F3515" s="23" t="str">
        <f>IF(OR(E3515="",E3515="!!!"),"",IF(NOT(ISNA(VLOOKUP(E3515,E$1:E3514,1,FALSE()))),"OLD",IF(AND(E3515&lt;&gt;"",E3515&lt;&gt;"!!!"),"NEW","")))</f>
        <v> </v>
      </c>
      <c r="G3515" s="24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5" t="str">
        <f>IF(J3515&lt;&gt;1,"",IF(I3515="SBJ","CB","?"))</f>
        <v> </v>
      </c>
      <c r="I3515" s="26" t="str">
        <f>IF(OR(E3515="",E3515="!!!",F3515="NEW"),"",INDEX(B3514:B$2,-1+SUMPRODUCT(MAX(ROW(E3514:E$2)*(E3515=E3514:E$2)))))</f>
        <v> </v>
      </c>
      <c r="J3515" s="26" t="str">
        <f>IF(OR(E3515="",E3515="!!!",F3515="NEW"),"",COUNTBLANK(OFFSET(A$1,,,SUMPRODUCT(MAX(ROW(E$2:E3515)*(E3515=E$2:E3515)))))-COUNTBLANK(OFFSET(A$1,,,SUMPRODUCT(MAX(ROW(E$1:E3514)*(E2=E$1:E3514))))))</f>
        <v> </v>
      </c>
      <c r="K3515" s="26" t="str">
        <f>IF(OR(E3515="",E3515="!!!",F3515="NEW"),"",INDEX(J$1:J3514,SUMPRODUCT(MAX(ROW(E$1:E3514)*(E3515=E$1:E3514)))))</f>
        <v> </v>
      </c>
      <c r="L3515" s="27"/>
    </row>
    <row r="3516" spans="1:12">
      <c r="A3516" s="20" t="s">
        <v>965</v>
      </c>
      <c r="E3516" s="22">
        <f>IF(D3516="?OLD","!!!","")</f>
        <v/>
      </c>
      <c r="F3516" s="23" t="str">
        <f>IF(OR(E3516="",E3516="!!!"),"",IF(NOT(ISNA(VLOOKUP(E3516,E$1:E3515,1,FALSE()))),"OLD",IF(AND(E3516&lt;&gt;"",E3516&lt;&gt;"!!!"),"NEW","")))</f>
        <v> </v>
      </c>
      <c r="G3516" s="24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5" t="str">
        <f>IF(J3516&lt;&gt;1,"",IF(I3516="SBJ","CB","?"))</f>
        <v> </v>
      </c>
      <c r="I3516" s="26" t="str">
        <f>IF(OR(E3516="",E3516="!!!",F3516="NEW"),"",INDEX(B3515:B$2,-1+SUMPRODUCT(MAX(ROW(E3515:E$2)*(E3516=E3515:E$2)))))</f>
        <v> </v>
      </c>
      <c r="J3516" s="26" t="str">
        <f>IF(OR(E3516="",E3516="!!!",F3516="NEW"),"",COUNTBLANK(OFFSET(A$1,,,SUMPRODUCT(MAX(ROW(E$2:E3516)*(E3516=E$2:E3516)))))-COUNTBLANK(OFFSET(A$1,,,SUMPRODUCT(MAX(ROW(E$1:E3515)*(E2=E$1:E3515))))))</f>
        <v> </v>
      </c>
      <c r="K3516" s="26" t="str">
        <f>IF(OR(E3516="",E3516="!!!",F3516="NEW"),"",INDEX(J$1:J3515,SUMPRODUCT(MAX(ROW(E$1:E3515)*(E3516=E$1:E3515)))))</f>
        <v> </v>
      </c>
      <c r="L3516" s="27"/>
    </row>
    <row r="3517" spans="1:12">
      <c r="A3517" s="20" t="s">
        <v>1409</v>
      </c>
      <c r="E3517" s="22">
        <f>IF(D3517="?OLD","!!!","")</f>
        <v/>
      </c>
      <c r="F3517" s="23" t="str">
        <f>IF(OR(E3517="",E3517="!!!"),"",IF(NOT(ISNA(VLOOKUP(E3517,E$1:E3516,1,FALSE()))),"OLD",IF(AND(E3517&lt;&gt;"",E3517&lt;&gt;"!!!"),"NEW","")))</f>
        <v> </v>
      </c>
      <c r="G3517" s="24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5" t="str">
        <f>IF(J3517&lt;&gt;1,"",IF(I3517="SBJ","CB","?"))</f>
        <v> </v>
      </c>
      <c r="I3517" s="26" t="str">
        <f>IF(OR(E3517="",E3517="!!!",F3517="NEW"),"",INDEX(B3516:B$2,-1+SUMPRODUCT(MAX(ROW(E3516:E$2)*(E3517=E3516:E$2)))))</f>
        <v> </v>
      </c>
      <c r="J3517" s="26" t="str">
        <f>IF(OR(E3517="",E3517="!!!",F3517="NEW"),"",COUNTBLANK(OFFSET(A$1,,,SUMPRODUCT(MAX(ROW(E$2:E3517)*(E3517=E$2:E3517)))))-COUNTBLANK(OFFSET(A$1,,,SUMPRODUCT(MAX(ROW(E$1:E3516)*(E2=E$1:E3516))))))</f>
        <v> </v>
      </c>
      <c r="K3517" s="26" t="str">
        <f>IF(OR(E3517="",E3517="!!!",F3517="NEW"),"",INDEX(J$1:J3516,SUMPRODUCT(MAX(ROW(E$1:E3516)*(E3517=E$1:E3516)))))</f>
        <v> </v>
      </c>
      <c r="L3517" s="27"/>
    </row>
    <row r="3518" spans="1:12">
      <c r="A3518" s="20" t="s">
        <v>1973</v>
      </c>
      <c r="E3518" s="22">
        <f>IF(D3518="?OLD","!!!","")</f>
        <v/>
      </c>
      <c r="F3518" s="23" t="str">
        <f>IF(OR(E3518="",E3518="!!!"),"",IF(NOT(ISNA(VLOOKUP(E3518,E$1:E3517,1,FALSE()))),"OLD",IF(AND(E3518&lt;&gt;"",E3518&lt;&gt;"!!!"),"NEW","")))</f>
        <v> </v>
      </c>
      <c r="G3518" s="24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5" t="str">
        <f>IF(J3518&lt;&gt;1,"",IF(I3518="SBJ","CB","?"))</f>
        <v> </v>
      </c>
      <c r="I3518" s="26" t="str">
        <f>IF(OR(E3518="",E3518="!!!",F3518="NEW"),"",INDEX(B3517:B$2,-1+SUMPRODUCT(MAX(ROW(E3517:E$2)*(E3518=E3517:E$2)))))</f>
        <v> </v>
      </c>
      <c r="J3518" s="26" t="str">
        <f>IF(OR(E3518="",E3518="!!!",F3518="NEW"),"",COUNTBLANK(OFFSET(A$1,,,SUMPRODUCT(MAX(ROW(E$2:E3518)*(E3518=E$2:E3518)))))-COUNTBLANK(OFFSET(A$1,,,SUMPRODUCT(MAX(ROW(E$1:E3517)*(E2=E$1:E3517))))))</f>
        <v> </v>
      </c>
      <c r="K3518" s="26" t="str">
        <f>IF(OR(E3518="",E3518="!!!",F3518="NEW"),"",INDEX(J$1:J3517,SUMPRODUCT(MAX(ROW(E$1:E3517)*(E3518=E$1:E3517)))))</f>
        <v> </v>
      </c>
      <c r="L3518" s="27"/>
    </row>
    <row r="3519" spans="1:12">
      <c r="A3519" s="20" t="s">
        <v>1683</v>
      </c>
      <c r="B3519" s="21" t="s">
        <v>1082</v>
      </c>
      <c r="C3519" s="21" t="s">
        <v>983</v>
      </c>
      <c r="E3519" s="22">
        <f>IF(D3519="?OLD","!!!","")</f>
        <v/>
      </c>
      <c r="F3519" s="23" t="str">
        <f>IF(OR(E3519="",E3519="!!!"),"",IF(NOT(ISNA(VLOOKUP(E3519,E$1:E3518,1,FALSE()))),"OLD",IF(AND(E3519&lt;&gt;"",E3519&lt;&gt;"!!!"),"NEW","")))</f>
        <v> </v>
      </c>
      <c r="G3519" s="24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5" t="str">
        <f>IF(J3519&lt;&gt;1,"",IF(I3519="SBJ","CB","?"))</f>
        <v> </v>
      </c>
      <c r="I3519" s="26" t="str">
        <f>IF(OR(E3519="",E3519="!!!",F3519="NEW"),"",INDEX(B3518:B$2,-1+SUMPRODUCT(MAX(ROW(E3518:E$2)*(E3519=E3518:E$2)))))</f>
        <v> </v>
      </c>
      <c r="J3519" s="26" t="str">
        <f>IF(OR(E3519="",E3519="!!!",F3519="NEW"),"",COUNTBLANK(OFFSET(A$1,,,SUMPRODUCT(MAX(ROW(E$2:E3519)*(E3519=E$2:E3519)))))-COUNTBLANK(OFFSET(A$1,,,SUMPRODUCT(MAX(ROW(E$1:E3518)*(E2=E$1:E3518))))))</f>
        <v> </v>
      </c>
      <c r="K3519" s="26" t="str">
        <f>IF(OR(E3519="",E3519="!!!",F3519="NEW"),"",INDEX(J$1:J3518,SUMPRODUCT(MAX(ROW(E$1:E3518)*(E3519=E$1:E3518)))))</f>
        <v> </v>
      </c>
      <c r="L3519" s="27"/>
    </row>
    <row r="3520" spans="1:12">
      <c r="A3520" s="20" t="s">
        <v>1974</v>
      </c>
      <c r="E3520" s="22">
        <f>IF(D3520="?OLD","!!!","")</f>
        <v/>
      </c>
      <c r="F3520" s="23" t="str">
        <f>IF(OR(E3520="",E3520="!!!"),"",IF(NOT(ISNA(VLOOKUP(E3520,E$1:E3519,1,FALSE()))),"OLD",IF(AND(E3520&lt;&gt;"",E3520&lt;&gt;"!!!"),"NEW","")))</f>
        <v> </v>
      </c>
      <c r="G3520" s="24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5" t="str">
        <f>IF(J3520&lt;&gt;1,"",IF(I3520="SBJ","CB","?"))</f>
        <v> </v>
      </c>
      <c r="I3520" s="26" t="str">
        <f>IF(OR(E3520="",E3520="!!!",F3520="NEW"),"",INDEX(B3519:B$2,-1+SUMPRODUCT(MAX(ROW(E3519:E$2)*(E3520=E3519:E$2)))))</f>
        <v> </v>
      </c>
      <c r="J3520" s="26" t="str">
        <f>IF(OR(E3520="",E3520="!!!",F3520="NEW"),"",COUNTBLANK(OFFSET(A$1,,,SUMPRODUCT(MAX(ROW(E$2:E3520)*(E3520=E$2:E3520)))))-COUNTBLANK(OFFSET(A$1,,,SUMPRODUCT(MAX(ROW(E$1:E3519)*(E2=E$1:E3519))))))</f>
        <v> </v>
      </c>
      <c r="K3520" s="26" t="str">
        <f>IF(OR(E3520="",E3520="!!!",F3520="NEW"),"",INDEX(J$1:J3519,SUMPRODUCT(MAX(ROW(E$1:E3519)*(E3520=E$1:E3519)))))</f>
        <v> </v>
      </c>
      <c r="L3520" s="27"/>
    </row>
    <row r="3521" spans="1:12">
      <c r="A3521" s="20" t="s">
        <v>1066</v>
      </c>
      <c r="E3521" s="22">
        <f>IF(D3521="?OLD","!!!","")</f>
        <v/>
      </c>
      <c r="F3521" s="23" t="str">
        <f>IF(OR(E3521="",E3521="!!!"),"",IF(NOT(ISNA(VLOOKUP(E3521,E$1:E3520,1,FALSE()))),"OLD",IF(AND(E3521&lt;&gt;"",E3521&lt;&gt;"!!!"),"NEW","")))</f>
        <v> </v>
      </c>
      <c r="G3521" s="24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5" t="str">
        <f>IF(J3521&lt;&gt;1,"",IF(I3521="SBJ","CB","?"))</f>
        <v> </v>
      </c>
      <c r="I3521" s="26" t="str">
        <f>IF(OR(E3521="",E3521="!!!",F3521="NEW"),"",INDEX(B3520:B$2,-1+SUMPRODUCT(MAX(ROW(E3520:E$2)*(E3521=E3520:E$2)))))</f>
        <v> </v>
      </c>
      <c r="J3521" s="26" t="str">
        <f>IF(OR(E3521="",E3521="!!!",F3521="NEW"),"",COUNTBLANK(OFFSET(A$1,,,SUMPRODUCT(MAX(ROW(E$2:E3521)*(E3521=E$2:E3521)))))-COUNTBLANK(OFFSET(A$1,,,SUMPRODUCT(MAX(ROW(E$1:E3520)*(E2=E$1:E3520))))))</f>
        <v> </v>
      </c>
      <c r="K3521" s="26" t="str">
        <f>IF(OR(E3521="",E3521="!!!",F3521="NEW"),"",INDEX(J$1:J3520,SUMPRODUCT(MAX(ROW(E$1:E3520)*(E3521=E$1:E3520)))))</f>
        <v> </v>
      </c>
      <c r="L3521" s="27"/>
    </row>
    <row r="3522" spans="1:12">
      <c r="A3522" s="20" t="s">
        <v>1113</v>
      </c>
      <c r="B3522" s="21" t="s">
        <v>1010</v>
      </c>
      <c r="C3522" s="21" t="s">
        <v>1975</v>
      </c>
      <c r="D3522" s="21" t="s">
        <v>950</v>
      </c>
      <c r="E3522" s="22">
        <f>IF(D3522="?OLD","!!!","")</f>
        <v/>
      </c>
      <c r="F3522" s="23" t="str">
        <f>IF(OR(E3522="",E3522="!!!"),"",IF(NOT(ISNA(VLOOKUP(E3522,E$1:E3521,1,FALSE()))),"OLD",IF(AND(E3522&lt;&gt;"",E3522&lt;&gt;"!!!"),"NEW","")))</f>
        <v> </v>
      </c>
      <c r="G3522" s="24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5" t="str">
        <f>IF(J3522&lt;&gt;1,"",IF(I3522="SBJ","CB","?"))</f>
        <v> </v>
      </c>
      <c r="I3522" s="26" t="str">
        <f>IF(OR(E3522="",E3522="!!!",F3522="NEW"),"",INDEX(B3521:B$2,-1+SUMPRODUCT(MAX(ROW(E3521:E$2)*(E3522=E3521:E$2)))))</f>
        <v> </v>
      </c>
      <c r="J3522" s="26" t="str">
        <f>IF(OR(E3522="",E3522="!!!",F3522="NEW"),"",COUNTBLANK(OFFSET(A$1,,,SUMPRODUCT(MAX(ROW(E$2:E3522)*(E3522=E$2:E3522)))))-COUNTBLANK(OFFSET(A$1,,,SUMPRODUCT(MAX(ROW(E$1:E3521)*(E2=E$1:E3521))))))</f>
        <v> </v>
      </c>
      <c r="K3522" s="26" t="str">
        <f>IF(OR(E3522="",E3522="!!!",F3522="NEW"),"",INDEX(J$1:J3521,SUMPRODUCT(MAX(ROW(E$1:E3521)*(E3522=E$1:E3521)))))</f>
        <v> </v>
      </c>
      <c r="L3522" s="27"/>
    </row>
    <row r="3523" spans="1:12">
      <c r="A3523" s="20" t="s">
        <v>1000</v>
      </c>
      <c r="E3523" s="22">
        <f>IF(D3523="?OLD","!!!","")</f>
        <v/>
      </c>
      <c r="F3523" s="23" t="str">
        <f>IF(OR(E3523="",E3523="!!!"),"",IF(NOT(ISNA(VLOOKUP(E3523,E$1:E3522,1,FALSE()))),"OLD",IF(AND(E3523&lt;&gt;"",E3523&lt;&gt;"!!!"),"NEW","")))</f>
        <v> </v>
      </c>
      <c r="G3523" s="24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5" t="str">
        <f>IF(J3523&lt;&gt;1,"",IF(I3523="SBJ","CB","?"))</f>
        <v> </v>
      </c>
      <c r="I3523" s="26" t="str">
        <f>IF(OR(E3523="",E3523="!!!",F3523="NEW"),"",INDEX(B3522:B$2,-1+SUMPRODUCT(MAX(ROW(E3522:E$2)*(E3523=E3522:E$2)))))</f>
        <v> </v>
      </c>
      <c r="J3523" s="26" t="str">
        <f>IF(OR(E3523="",E3523="!!!",F3523="NEW"),"",COUNTBLANK(OFFSET(A$1,,,SUMPRODUCT(MAX(ROW(E$2:E3523)*(E3523=E$2:E3523)))))-COUNTBLANK(OFFSET(A$1,,,SUMPRODUCT(MAX(ROW(E$1:E3522)*(E2=E$1:E3522))))))</f>
        <v> </v>
      </c>
      <c r="K3523" s="26" t="str">
        <f>IF(OR(E3523="",E3523="!!!",F3523="NEW"),"",INDEX(J$1:J3522,SUMPRODUCT(MAX(ROW(E$1:E3522)*(E3523=E$1:E3522)))))</f>
        <v> </v>
      </c>
      <c r="L3523" s="27"/>
    </row>
    <row r="3524" spans="1:12">
      <c r="A3524" s="20" t="s">
        <v>1001</v>
      </c>
      <c r="E3524" s="22">
        <f>IF(D3524="?OLD","!!!","")</f>
        <v/>
      </c>
      <c r="F3524" s="23" t="str">
        <f>IF(OR(E3524="",E3524="!!!"),"",IF(NOT(ISNA(VLOOKUP(E3524,E$1:E3523,1,FALSE()))),"OLD",IF(AND(E3524&lt;&gt;"",E3524&lt;&gt;"!!!"),"NEW","")))</f>
        <v> </v>
      </c>
      <c r="G3524" s="24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5" t="str">
        <f>IF(J3524&lt;&gt;1,"",IF(I3524="SBJ","CB","?"))</f>
        <v> </v>
      </c>
      <c r="I3524" s="26" t="str">
        <f>IF(OR(E3524="",E3524="!!!",F3524="NEW"),"",INDEX(B3523:B$2,-1+SUMPRODUCT(MAX(ROW(E3523:E$2)*(E3524=E3523:E$2)))))</f>
        <v> </v>
      </c>
      <c r="J3524" s="26" t="str">
        <f>IF(OR(E3524="",E3524="!!!",F3524="NEW"),"",COUNTBLANK(OFFSET(A$1,,,SUMPRODUCT(MAX(ROW(E$2:E3524)*(E3524=E$2:E3524)))))-COUNTBLANK(OFFSET(A$1,,,SUMPRODUCT(MAX(ROW(E$1:E3523)*(E2=E$1:E3523))))))</f>
        <v> </v>
      </c>
      <c r="K3524" s="26" t="str">
        <f>IF(OR(E3524="",E3524="!!!",F3524="NEW"),"",INDEX(J$1:J3523,SUMPRODUCT(MAX(ROW(E$1:E3523)*(E3524=E$1:E3523)))))</f>
        <v> </v>
      </c>
      <c r="L3524" s="27"/>
    </row>
    <row r="3525" spans="1:12">
      <c r="A3525" s="20" t="s">
        <v>1003</v>
      </c>
      <c r="E3525" s="22">
        <f>IF(D3525="?OLD","!!!","")</f>
        <v/>
      </c>
      <c r="F3525" s="23" t="str">
        <f>IF(OR(E3525="",E3525="!!!"),"",IF(NOT(ISNA(VLOOKUP(E3525,E$1:E3524,1,FALSE()))),"OLD",IF(AND(E3525&lt;&gt;"",E3525&lt;&gt;"!!!"),"NEW","")))</f>
        <v> </v>
      </c>
      <c r="G3525" s="24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5" t="str">
        <f>IF(J3525&lt;&gt;1,"",IF(I3525="SBJ","CB","?"))</f>
        <v> </v>
      </c>
      <c r="I3525" s="26" t="str">
        <f>IF(OR(E3525="",E3525="!!!",F3525="NEW"),"",INDEX(B3524:B$2,-1+SUMPRODUCT(MAX(ROW(E3524:E$2)*(E3525=E3524:E$2)))))</f>
        <v> </v>
      </c>
      <c r="J3525" s="26" t="str">
        <f>IF(OR(E3525="",E3525="!!!",F3525="NEW"),"",COUNTBLANK(OFFSET(A$1,,,SUMPRODUCT(MAX(ROW(E$2:E3525)*(E3525=E$2:E3525)))))-COUNTBLANK(OFFSET(A$1,,,SUMPRODUCT(MAX(ROW(E$1:E3524)*(E2=E$1:E3524))))))</f>
        <v> </v>
      </c>
      <c r="K3525" s="26" t="str">
        <f>IF(OR(E3525="",E3525="!!!",F3525="NEW"),"",INDEX(J$1:J3524,SUMPRODUCT(MAX(ROW(E$1:E3524)*(E3525=E$1:E3524)))))</f>
        <v> </v>
      </c>
      <c r="L3525" s="27"/>
    </row>
    <row r="3526" spans="1:12">
      <c r="A3526" s="20" t="s">
        <v>1655</v>
      </c>
      <c r="E3526" s="22">
        <f>IF(D3526="?OLD","!!!","")</f>
        <v/>
      </c>
      <c r="F3526" s="23" t="str">
        <f>IF(OR(E3526="",E3526="!!!"),"",IF(NOT(ISNA(VLOOKUP(E3526,E$1:E3525,1,FALSE()))),"OLD",IF(AND(E3526&lt;&gt;"",E3526&lt;&gt;"!!!"),"NEW","")))</f>
        <v> </v>
      </c>
      <c r="G3526" s="24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5" t="str">
        <f>IF(J3526&lt;&gt;1,"",IF(I3526="SBJ","CB","?"))</f>
        <v> </v>
      </c>
      <c r="I3526" s="26" t="str">
        <f>IF(OR(E3526="",E3526="!!!",F3526="NEW"),"",INDEX(B3525:B$2,-1+SUMPRODUCT(MAX(ROW(E3525:E$2)*(E3526=E3525:E$2)))))</f>
        <v> </v>
      </c>
      <c r="J3526" s="26" t="str">
        <f>IF(OR(E3526="",E3526="!!!",F3526="NEW"),"",COUNTBLANK(OFFSET(A$1,,,SUMPRODUCT(MAX(ROW(E$2:E3526)*(E3526=E$2:E3526)))))-COUNTBLANK(OFFSET(A$1,,,SUMPRODUCT(MAX(ROW(E$1:E3525)*(E2=E$1:E3525))))))</f>
        <v> </v>
      </c>
      <c r="K3526" s="26" t="str">
        <f>IF(OR(E3526="",E3526="!!!",F3526="NEW"),"",INDEX(J$1:J3525,SUMPRODUCT(MAX(ROW(E$1:E3525)*(E3526=E$1:E3525)))))</f>
        <v> </v>
      </c>
      <c r="L3526" s="27"/>
    </row>
    <row r="3527" spans="1:12">
      <c r="A3527" s="20" t="s">
        <v>1976</v>
      </c>
      <c r="E3527" s="22">
        <f>IF(D3527="?OLD","!!!","")</f>
        <v/>
      </c>
      <c r="F3527" s="23" t="str">
        <f>IF(OR(E3527="",E3527="!!!"),"",IF(NOT(ISNA(VLOOKUP(E3527,E$1:E3526,1,FALSE()))),"OLD",IF(AND(E3527&lt;&gt;"",E3527&lt;&gt;"!!!"),"NEW","")))</f>
        <v> </v>
      </c>
      <c r="G3527" s="24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5" t="str">
        <f>IF(J3527&lt;&gt;1,"",IF(I3527="SBJ","CB","?"))</f>
        <v> </v>
      </c>
      <c r="I3527" s="26" t="str">
        <f>IF(OR(E3527="",E3527="!!!",F3527="NEW"),"",INDEX(B3526:B$2,-1+SUMPRODUCT(MAX(ROW(E3526:E$2)*(E3527=E3526:E$2)))))</f>
        <v> </v>
      </c>
      <c r="J3527" s="26" t="str">
        <f>IF(OR(E3527="",E3527="!!!",F3527="NEW"),"",COUNTBLANK(OFFSET(A$1,,,SUMPRODUCT(MAX(ROW(E$2:E3527)*(E3527=E$2:E3527)))))-COUNTBLANK(OFFSET(A$1,,,SUMPRODUCT(MAX(ROW(E$1:E3526)*(E2=E$1:E3526))))))</f>
        <v> </v>
      </c>
      <c r="K3527" s="26" t="str">
        <f>IF(OR(E3527="",E3527="!!!",F3527="NEW"),"",INDEX(J$1:J3526,SUMPRODUCT(MAX(ROW(E$1:E3526)*(E3527=E$1:E3526)))))</f>
        <v> </v>
      </c>
      <c r="L3527" s="27"/>
    </row>
    <row r="3528" spans="1:12">
      <c r="A3528" s="20" t="s">
        <v>1000</v>
      </c>
      <c r="E3528" s="22">
        <f>IF(D3528="?OLD","!!!","")</f>
        <v/>
      </c>
      <c r="F3528" s="23" t="str">
        <f>IF(OR(E3528="",E3528="!!!"),"",IF(NOT(ISNA(VLOOKUP(E3528,E$1:E3527,1,FALSE()))),"OLD",IF(AND(E3528&lt;&gt;"",E3528&lt;&gt;"!!!"),"NEW","")))</f>
        <v> </v>
      </c>
      <c r="G3528" s="24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5" t="str">
        <f>IF(J3528&lt;&gt;1,"",IF(I3528="SBJ","CB","?"))</f>
        <v> </v>
      </c>
      <c r="I3528" s="26" t="str">
        <f>IF(OR(E3528="",E3528="!!!",F3528="NEW"),"",INDEX(B3527:B$2,-1+SUMPRODUCT(MAX(ROW(E3527:E$2)*(E3528=E3527:E$2)))))</f>
        <v> </v>
      </c>
      <c r="J3528" s="26" t="str">
        <f>IF(OR(E3528="",E3528="!!!",F3528="NEW"),"",COUNTBLANK(OFFSET(A$1,,,SUMPRODUCT(MAX(ROW(E$2:E3528)*(E3528=E$2:E3528)))))-COUNTBLANK(OFFSET(A$1,,,SUMPRODUCT(MAX(ROW(E$1:E3527)*(E2=E$1:E3527))))))</f>
        <v> </v>
      </c>
      <c r="K3528" s="26" t="str">
        <f>IF(OR(E3528="",E3528="!!!",F3528="NEW"),"",INDEX(J$1:J3527,SUMPRODUCT(MAX(ROW(E$1:E3527)*(E3528=E$1:E3527)))))</f>
        <v> </v>
      </c>
      <c r="L3528" s="27"/>
    </row>
    <row r="3529" spans="1:12">
      <c r="A3529" s="20" t="s">
        <v>1022</v>
      </c>
      <c r="E3529" s="22">
        <f>IF(D3529="?OLD","!!!","")</f>
        <v/>
      </c>
      <c r="F3529" s="23" t="str">
        <f>IF(OR(E3529="",E3529="!!!"),"",IF(NOT(ISNA(VLOOKUP(E3529,E$1:E3528,1,FALSE()))),"OLD",IF(AND(E3529&lt;&gt;"",E3529&lt;&gt;"!!!"),"NEW","")))</f>
        <v> </v>
      </c>
      <c r="G3529" s="24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5" t="str">
        <f>IF(J3529&lt;&gt;1,"",IF(I3529="SBJ","CB","?"))</f>
        <v> </v>
      </c>
      <c r="I3529" s="26" t="str">
        <f>IF(OR(E3529="",E3529="!!!",F3529="NEW"),"",INDEX(B3528:B$2,-1+SUMPRODUCT(MAX(ROW(E3528:E$2)*(E3529=E3528:E$2)))))</f>
        <v> </v>
      </c>
      <c r="J3529" s="26" t="str">
        <f>IF(OR(E3529="",E3529="!!!",F3529="NEW"),"",COUNTBLANK(OFFSET(A$1,,,SUMPRODUCT(MAX(ROW(E$2:E3529)*(E3529=E$2:E3529)))))-COUNTBLANK(OFFSET(A$1,,,SUMPRODUCT(MAX(ROW(E$1:E3528)*(E2=E$1:E3528))))))</f>
        <v> </v>
      </c>
      <c r="K3529" s="26" t="str">
        <f>IF(OR(E3529="",E3529="!!!",F3529="NEW"),"",INDEX(J$1:J3528,SUMPRODUCT(MAX(ROW(E$1:E3528)*(E3529=E$1:E3528)))))</f>
        <v> </v>
      </c>
      <c r="L3529" s="27"/>
    </row>
    <row r="3530" spans="1:12">
      <c r="A3530" s="20" t="s">
        <v>1958</v>
      </c>
      <c r="B3530" s="21" t="s">
        <v>1010</v>
      </c>
      <c r="C3530" s="21" t="s">
        <v>976</v>
      </c>
      <c r="D3530" s="21" t="s">
        <v>950</v>
      </c>
      <c r="E3530" s="22">
        <f>IF(D3530="?OLD","!!!","")</f>
        <v/>
      </c>
      <c r="F3530" s="23" t="str">
        <f>IF(OR(E3530="",E3530="!!!"),"",IF(NOT(ISNA(VLOOKUP(E3530,E$1:E3529,1,FALSE()))),"OLD",IF(AND(E3530&lt;&gt;"",E3530&lt;&gt;"!!!"),"NEW","")))</f>
        <v> </v>
      </c>
      <c r="G3530" s="24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5" t="str">
        <f>IF(J3530&lt;&gt;1,"",IF(I3530="SBJ","CB","?"))</f>
        <v> </v>
      </c>
      <c r="I3530" s="26" t="str">
        <f>IF(OR(E3530="",E3530="!!!",F3530="NEW"),"",INDEX(B3529:B$2,-1+SUMPRODUCT(MAX(ROW(E3529:E$2)*(E3530=E3529:E$2)))))</f>
        <v> </v>
      </c>
      <c r="J3530" s="26" t="str">
        <f>IF(OR(E3530="",E3530="!!!",F3530="NEW"),"",COUNTBLANK(OFFSET(A$1,,,SUMPRODUCT(MAX(ROW(E$2:E3530)*(E3530=E$2:E3530)))))-COUNTBLANK(OFFSET(A$1,,,SUMPRODUCT(MAX(ROW(E$1:E3529)*(E2=E$1:E3529))))))</f>
        <v> </v>
      </c>
      <c r="K3530" s="26" t="str">
        <f>IF(OR(E3530="",E3530="!!!",F3530="NEW"),"",INDEX(J$1:J3529,SUMPRODUCT(MAX(ROW(E$1:E3529)*(E3530=E$1:E3529)))))</f>
        <v> </v>
      </c>
      <c r="L3530" s="27"/>
    </row>
    <row r="3531" spans="1:12">
      <c r="A3531" s="20" t="s">
        <v>977</v>
      </c>
      <c r="E3531" s="22">
        <f>IF(D3531="?OLD","!!!","")</f>
        <v/>
      </c>
      <c r="F3531" s="23" t="str">
        <f>IF(OR(E3531="",E3531="!!!"),"",IF(NOT(ISNA(VLOOKUP(E3531,E$1:E3530,1,FALSE()))),"OLD",IF(AND(E3531&lt;&gt;"",E3531&lt;&gt;"!!!"),"NEW","")))</f>
        <v> </v>
      </c>
      <c r="G3531" s="24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5" t="str">
        <f>IF(J3531&lt;&gt;1,"",IF(I3531="SBJ","CB","?"))</f>
        <v> </v>
      </c>
      <c r="I3531" s="26" t="str">
        <f>IF(OR(E3531="",E3531="!!!",F3531="NEW"),"",INDEX(B3530:B$2,-1+SUMPRODUCT(MAX(ROW(E3530:E$2)*(E3531=E3530:E$2)))))</f>
        <v> </v>
      </c>
      <c r="J3531" s="26" t="str">
        <f>IF(OR(E3531="",E3531="!!!",F3531="NEW"),"",COUNTBLANK(OFFSET(A$1,,,SUMPRODUCT(MAX(ROW(E$2:E3531)*(E3531=E$2:E3531)))))-COUNTBLANK(OFFSET(A$1,,,SUMPRODUCT(MAX(ROW(E$1:E3530)*(E2=E$1:E3530))))))</f>
        <v> </v>
      </c>
      <c r="K3531" s="26" t="str">
        <f>IF(OR(E3531="",E3531="!!!",F3531="NEW"),"",INDEX(J$1:J3530,SUMPRODUCT(MAX(ROW(E$1:E3530)*(E3531=E$1:E3530)))))</f>
        <v> </v>
      </c>
      <c r="L3531" s="27"/>
    </row>
    <row r="3532" spans="1:12">
      <c r="A3532" s="20" t="s">
        <v>1093</v>
      </c>
      <c r="E3532" s="22">
        <f>IF(D3532="?OLD","!!!","")</f>
        <v/>
      </c>
      <c r="F3532" s="23" t="str">
        <f>IF(OR(E3532="",E3532="!!!"),"",IF(NOT(ISNA(VLOOKUP(E3532,E$1:E3531,1,FALSE()))),"OLD",IF(AND(E3532&lt;&gt;"",E3532&lt;&gt;"!!!"),"NEW","")))</f>
        <v> </v>
      </c>
      <c r="G3532" s="24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5" t="str">
        <f>IF(J3532&lt;&gt;1,"",IF(I3532="SBJ","CB","?"))</f>
        <v> </v>
      </c>
      <c r="I3532" s="26" t="str">
        <f>IF(OR(E3532="",E3532="!!!",F3532="NEW"),"",INDEX(B3531:B$2,-1+SUMPRODUCT(MAX(ROW(E3531:E$2)*(E3532=E3531:E$2)))))</f>
        <v> </v>
      </c>
      <c r="J3532" s="26" t="str">
        <f>IF(OR(E3532="",E3532="!!!",F3532="NEW"),"",COUNTBLANK(OFFSET(A$1,,,SUMPRODUCT(MAX(ROW(E$2:E3532)*(E3532=E$2:E3532)))))-COUNTBLANK(OFFSET(A$1,,,SUMPRODUCT(MAX(ROW(E$1:E3531)*(E2=E$1:E3531))))))</f>
        <v> </v>
      </c>
      <c r="K3532" s="26" t="str">
        <f>IF(OR(E3532="",E3532="!!!",F3532="NEW"),"",INDEX(J$1:J3531,SUMPRODUCT(MAX(ROW(E$1:E3531)*(E3532=E$1:E3531)))))</f>
        <v> </v>
      </c>
      <c r="L3532" s="27"/>
    </row>
    <row r="3533" spans="1:12">
      <c r="A3533" s="20" t="s">
        <v>1977</v>
      </c>
      <c r="B3533" s="21" t="s">
        <v>1007</v>
      </c>
      <c r="C3533" s="21" t="s">
        <v>1032</v>
      </c>
      <c r="D3533" s="21" t="s">
        <v>950</v>
      </c>
      <c r="E3533" s="22">
        <f>IF(D3533="?OLD","!!!","")</f>
        <v/>
      </c>
      <c r="F3533" s="23" t="str">
        <f>IF(OR(E3533="",E3533="!!!"),"",IF(NOT(ISNA(VLOOKUP(E3533,E$1:E3532,1,FALSE()))),"OLD",IF(AND(E3533&lt;&gt;"",E3533&lt;&gt;"!!!"),"NEW","")))</f>
        <v> </v>
      </c>
      <c r="G3533" s="24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5" t="str">
        <f>IF(J3533&lt;&gt;1,"",IF(I3533="SBJ","CB","?"))</f>
        <v> </v>
      </c>
      <c r="I3533" s="26" t="str">
        <f>IF(OR(E3533="",E3533="!!!",F3533="NEW"),"",INDEX(B3532:B$2,-1+SUMPRODUCT(MAX(ROW(E3532:E$2)*(E3533=E3532:E$2)))))</f>
        <v> </v>
      </c>
      <c r="J3533" s="26" t="str">
        <f>IF(OR(E3533="",E3533="!!!",F3533="NEW"),"",COUNTBLANK(OFFSET(A$1,,,SUMPRODUCT(MAX(ROW(E$2:E3533)*(E3533=E$2:E3533)))))-COUNTBLANK(OFFSET(A$1,,,SUMPRODUCT(MAX(ROW(E$1:E3532)*(E2=E$1:E3532))))))</f>
        <v> </v>
      </c>
      <c r="K3533" s="26" t="str">
        <f>IF(OR(E3533="",E3533="!!!",F3533="NEW"),"",INDEX(J$1:J3532,SUMPRODUCT(MAX(ROW(E$1:E3532)*(E3533=E$1:E3532)))))</f>
        <v> </v>
      </c>
      <c r="L3533" s="27"/>
    </row>
    <row r="3534" spans="1:12">
      <c r="A3534" s="20" t="s">
        <v>984</v>
      </c>
      <c r="E3534" s="22">
        <f>IF(D3534="?OLD","!!!","")</f>
        <v/>
      </c>
      <c r="F3534" s="23" t="str">
        <f>IF(OR(E3534="",E3534="!!!"),"",IF(NOT(ISNA(VLOOKUP(E3534,E$1:E3533,1,FALSE()))),"OLD",IF(AND(E3534&lt;&gt;"",E3534&lt;&gt;"!!!"),"NEW","")))</f>
        <v> </v>
      </c>
      <c r="G3534" s="24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5" t="str">
        <f>IF(J3534&lt;&gt;1,"",IF(I3534="SBJ","CB","?"))</f>
        <v> </v>
      </c>
      <c r="I3534" s="26" t="str">
        <f>IF(OR(E3534="",E3534="!!!",F3534="NEW"),"",INDEX(B3533:B$2,-1+SUMPRODUCT(MAX(ROW(E3533:E$2)*(E3534=E3533:E$2)))))</f>
        <v> </v>
      </c>
      <c r="J3534" s="26" t="str">
        <f>IF(OR(E3534="",E3534="!!!",F3534="NEW"),"",COUNTBLANK(OFFSET(A$1,,,SUMPRODUCT(MAX(ROW(E$2:E3534)*(E3534=E$2:E3534)))))-COUNTBLANK(OFFSET(A$1,,,SUMPRODUCT(MAX(ROW(E$1:E3533)*(E2=E$1:E3533))))))</f>
        <v> </v>
      </c>
      <c r="K3534" s="26" t="str">
        <f>IF(OR(E3534="",E3534="!!!",F3534="NEW"),"",INDEX(J$1:J3533,SUMPRODUCT(MAX(ROW(E$1:E3533)*(E3534=E$1:E3533)))))</f>
        <v> </v>
      </c>
      <c r="L3534" s="27"/>
    </row>
    <row r="3535" spans="1:12">
      <c r="A3535" s="20"/>
    </row>
    <row r="3536" spans="1:12">
      <c r="A3536" s="20" t="s">
        <v>1978</v>
      </c>
    </row>
    <row r="3537" spans="1:12">
      <c r="A3537" s="20" t="s">
        <v>1979</v>
      </c>
      <c r="E3537" s="22">
        <f>IF(D3537="?OLD","!!!","")</f>
        <v/>
      </c>
      <c r="F3537" s="23" t="str">
        <f>IF(OR(E3537="",E3537="!!!"),"",IF(NOT(ISNA(VLOOKUP(E3537,E$1:E3536,1,FALSE()))),"OLD",IF(AND(E3537&lt;&gt;"",E3537&lt;&gt;"!!!"),"NEW","")))</f>
        <v> </v>
      </c>
      <c r="G3537" s="24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5" t="str">
        <f>IF(J3537&lt;&gt;1,"",IF(I3537="SBJ","CB","?"))</f>
        <v> </v>
      </c>
      <c r="I3537" s="26" t="str">
        <f>IF(OR(E3537="",E3537="!!!",F3537="NEW"),"",INDEX(B3536:B$2,-1+SUMPRODUCT(MAX(ROW(E3536:E$2)*(E3537=E3536:E$2)))))</f>
        <v> </v>
      </c>
      <c r="J3537" s="26" t="str">
        <f>IF(OR(E3537="",E3537="!!!",F3537="NEW"),"",COUNTBLANK(OFFSET(A$1,,,SUMPRODUCT(MAX(ROW(E$2:E3537)*(E3537=E$2:E3537)))))-COUNTBLANK(OFFSET(A$1,,,SUMPRODUCT(MAX(ROW(E$1:E3536)*(E2=E$1:E3536))))))</f>
        <v> </v>
      </c>
      <c r="K3537" s="26" t="str">
        <f>IF(OR(E3537="",E3537="!!!",F3537="NEW"),"",INDEX(J$1:J3536,SUMPRODUCT(MAX(ROW(E$1:E3536)*(E3537=E$1:E3536)))))</f>
        <v> </v>
      </c>
      <c r="L3537" s="27"/>
    </row>
    <row r="3538" spans="1:12">
      <c r="A3538" s="20" t="s">
        <v>1683</v>
      </c>
      <c r="E3538" s="22">
        <f>IF(D3538="?OLD","!!!","")</f>
        <v/>
      </c>
      <c r="F3538" s="23" t="str">
        <f>IF(OR(E3538="",E3538="!!!"),"",IF(NOT(ISNA(VLOOKUP(E3538,E$1:E3537,1,FALSE()))),"OLD",IF(AND(E3538&lt;&gt;"",E3538&lt;&gt;"!!!"),"NEW","")))</f>
        <v> </v>
      </c>
      <c r="G3538" s="24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5" t="str">
        <f>IF(J3538&lt;&gt;1,"",IF(I3538="SBJ","CB","?"))</f>
        <v> </v>
      </c>
      <c r="I3538" s="26" t="str">
        <f>IF(OR(E3538="",E3538="!!!",F3538="NEW"),"",INDEX(B3537:B$2,-1+SUMPRODUCT(MAX(ROW(E3537:E$2)*(E3538=E3537:E$2)))))</f>
        <v> </v>
      </c>
      <c r="J3538" s="26" t="str">
        <f>IF(OR(E3538="",E3538="!!!",F3538="NEW"),"",COUNTBLANK(OFFSET(A$1,,,SUMPRODUCT(MAX(ROW(E$2:E3538)*(E3538=E$2:E3538)))))-COUNTBLANK(OFFSET(A$1,,,SUMPRODUCT(MAX(ROW(E$1:E3537)*(E2=E$1:E3537))))))</f>
        <v> </v>
      </c>
      <c r="K3538" s="26" t="str">
        <f>IF(OR(E3538="",E3538="!!!",F3538="NEW"),"",INDEX(J$1:J3537,SUMPRODUCT(MAX(ROW(E$1:E3537)*(E3538=E$1:E3537)))))</f>
        <v> </v>
      </c>
      <c r="L3538" s="27"/>
    </row>
    <row r="3539" spans="1:12">
      <c r="A3539" s="20" t="s">
        <v>1207</v>
      </c>
      <c r="E3539" s="22">
        <f>IF(D3539="?OLD","!!!","")</f>
        <v/>
      </c>
      <c r="F3539" s="23" t="str">
        <f>IF(OR(E3539="",E3539="!!!"),"",IF(NOT(ISNA(VLOOKUP(E3539,E$1:E3538,1,FALSE()))),"OLD",IF(AND(E3539&lt;&gt;"",E3539&lt;&gt;"!!!"),"NEW","")))</f>
        <v> </v>
      </c>
      <c r="G3539" s="24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5" t="str">
        <f>IF(J3539&lt;&gt;1,"",IF(I3539="SBJ","CB","?"))</f>
        <v> </v>
      </c>
      <c r="I3539" s="26" t="str">
        <f>IF(OR(E3539="",E3539="!!!",F3539="NEW"),"",INDEX(B3538:B$2,-1+SUMPRODUCT(MAX(ROW(E3538:E$2)*(E3539=E3538:E$2)))))</f>
        <v> </v>
      </c>
      <c r="J3539" s="26" t="str">
        <f>IF(OR(E3539="",E3539="!!!",F3539="NEW"),"",COUNTBLANK(OFFSET(A$1,,,SUMPRODUCT(MAX(ROW(E$2:E3539)*(E3539=E$2:E3539)))))-COUNTBLANK(OFFSET(A$1,,,SUMPRODUCT(MAX(ROW(E$1:E3538)*(E2=E$1:E3538))))))</f>
        <v> </v>
      </c>
      <c r="K3539" s="26" t="str">
        <f>IF(OR(E3539="",E3539="!!!",F3539="NEW"),"",INDEX(J$1:J3538,SUMPRODUCT(MAX(ROW(E$1:E3538)*(E3539=E$1:E3538)))))</f>
        <v> </v>
      </c>
      <c r="L3539" s="27"/>
    </row>
    <row r="3540" spans="1:12">
      <c r="A3540" s="20" t="s">
        <v>1127</v>
      </c>
      <c r="E3540" s="22">
        <f>IF(D3540="?OLD","!!!","")</f>
        <v/>
      </c>
      <c r="F3540" s="23" t="str">
        <f>IF(OR(E3540="",E3540="!!!"),"",IF(NOT(ISNA(VLOOKUP(E3540,E$1:E3539,1,FALSE()))),"OLD",IF(AND(E3540&lt;&gt;"",E3540&lt;&gt;"!!!"),"NEW","")))</f>
        <v> </v>
      </c>
      <c r="G3540" s="24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5" t="str">
        <f>IF(J3540&lt;&gt;1,"",IF(I3540="SBJ","CB","?"))</f>
        <v> </v>
      </c>
      <c r="I3540" s="26" t="str">
        <f>IF(OR(E3540="",E3540="!!!",F3540="NEW"),"",INDEX(B3539:B$2,-1+SUMPRODUCT(MAX(ROW(E3539:E$2)*(E3540=E3539:E$2)))))</f>
        <v> </v>
      </c>
      <c r="J3540" s="26" t="str">
        <f>IF(OR(E3540="",E3540="!!!",F3540="NEW"),"",COUNTBLANK(OFFSET(A$1,,,SUMPRODUCT(MAX(ROW(E$2:E3540)*(E3540=E$2:E3540)))))-COUNTBLANK(OFFSET(A$1,,,SUMPRODUCT(MAX(ROW(E$1:E3539)*(E2=E$1:E3539))))))</f>
        <v> </v>
      </c>
      <c r="K3540" s="26" t="str">
        <f>IF(OR(E3540="",E3540="!!!",F3540="NEW"),"",INDEX(J$1:J3539,SUMPRODUCT(MAX(ROW(E$1:E3539)*(E3540=E$1:E3539)))))</f>
        <v> </v>
      </c>
      <c r="L3540" s="27"/>
    </row>
    <row r="3541" spans="1:12">
      <c r="A3541" s="20" t="s">
        <v>1006</v>
      </c>
      <c r="E3541" s="22">
        <f>IF(D3541="?OLD","!!!","")</f>
        <v/>
      </c>
      <c r="F3541" s="23" t="str">
        <f>IF(OR(E3541="",E3541="!!!"),"",IF(NOT(ISNA(VLOOKUP(E3541,E$1:E3540,1,FALSE()))),"OLD",IF(AND(E3541&lt;&gt;"",E3541&lt;&gt;"!!!"),"NEW","")))</f>
        <v> </v>
      </c>
      <c r="G3541" s="24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5" t="str">
        <f>IF(J3541&lt;&gt;1,"",IF(I3541="SBJ","CB","?"))</f>
        <v> </v>
      </c>
      <c r="I3541" s="26" t="str">
        <f>IF(OR(E3541="",E3541="!!!",F3541="NEW"),"",INDEX(B3540:B$2,-1+SUMPRODUCT(MAX(ROW(E3540:E$2)*(E3541=E3540:E$2)))))</f>
        <v> </v>
      </c>
      <c r="J3541" s="26" t="str">
        <f>IF(OR(E3541="",E3541="!!!",F3541="NEW"),"",COUNTBLANK(OFFSET(A$1,,,SUMPRODUCT(MAX(ROW(E$2:E3541)*(E3541=E$2:E3541)))))-COUNTBLANK(OFFSET(A$1,,,SUMPRODUCT(MAX(ROW(E$1:E3540)*(E2=E$1:E3540))))))</f>
        <v> </v>
      </c>
      <c r="K3541" s="26" t="str">
        <f>IF(OR(E3541="",E3541="!!!",F3541="NEW"),"",INDEX(J$1:J3540,SUMPRODUCT(MAX(ROW(E$1:E3540)*(E3541=E$1:E3540)))))</f>
        <v> </v>
      </c>
      <c r="L3541" s="27"/>
    </row>
    <row r="3542" spans="1:12">
      <c r="A3542" s="20" t="s">
        <v>1980</v>
      </c>
      <c r="B3542" s="21" t="s">
        <v>948</v>
      </c>
      <c r="C3542" s="21" t="s">
        <v>1125</v>
      </c>
      <c r="E3542" s="22">
        <f>IF(D3542="?OLD","!!!","")</f>
        <v/>
      </c>
      <c r="F3542" s="23" t="str">
        <f>IF(OR(E3542="",E3542="!!!"),"",IF(NOT(ISNA(VLOOKUP(E3542,E$1:E3541,1,FALSE()))),"OLD",IF(AND(E3542&lt;&gt;"",E3542&lt;&gt;"!!!"),"NEW","")))</f>
        <v> </v>
      </c>
      <c r="G3542" s="24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5" t="str">
        <f>IF(J3542&lt;&gt;1,"",IF(I3542="SBJ","CB","?"))</f>
        <v> </v>
      </c>
      <c r="I3542" s="26" t="str">
        <f>IF(OR(E3542="",E3542="!!!",F3542="NEW"),"",INDEX(B3541:B$2,-1+SUMPRODUCT(MAX(ROW(E3541:E$2)*(E3542=E3541:E$2)))))</f>
        <v> </v>
      </c>
      <c r="J3542" s="26" t="str">
        <f>IF(OR(E3542="",E3542="!!!",F3542="NEW"),"",COUNTBLANK(OFFSET(A$1,,,SUMPRODUCT(MAX(ROW(E$2:E3542)*(E3542=E$2:E3542)))))-COUNTBLANK(OFFSET(A$1,,,SUMPRODUCT(MAX(ROW(E$1:E3541)*(E2=E$1:E3541))))))</f>
        <v> </v>
      </c>
      <c r="K3542" s="26" t="str">
        <f>IF(OR(E3542="",E3542="!!!",F3542="NEW"),"",INDEX(J$1:J3541,SUMPRODUCT(MAX(ROW(E$1:E3541)*(E3542=E$1:E3541)))))</f>
        <v> </v>
      </c>
      <c r="L3542" s="27"/>
    </row>
    <row r="3543" spans="1:12">
      <c r="A3543" s="20" t="s">
        <v>1000</v>
      </c>
      <c r="E3543" s="22">
        <f>IF(D3543="?OLD","!!!","")</f>
        <v/>
      </c>
      <c r="F3543" s="23" t="str">
        <f>IF(OR(E3543="",E3543="!!!"),"",IF(NOT(ISNA(VLOOKUP(E3543,E$1:E3542,1,FALSE()))),"OLD",IF(AND(E3543&lt;&gt;"",E3543&lt;&gt;"!!!"),"NEW","")))</f>
        <v> </v>
      </c>
      <c r="G3543" s="24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5" t="str">
        <f>IF(J3543&lt;&gt;1,"",IF(I3543="SBJ","CB","?"))</f>
        <v> </v>
      </c>
      <c r="I3543" s="26" t="str">
        <f>IF(OR(E3543="",E3543="!!!",F3543="NEW"),"",INDEX(B3542:B$2,-1+SUMPRODUCT(MAX(ROW(E3542:E$2)*(E3543=E3542:E$2)))))</f>
        <v> </v>
      </c>
      <c r="J3543" s="26" t="str">
        <f>IF(OR(E3543="",E3543="!!!",F3543="NEW"),"",COUNTBLANK(OFFSET(A$1,,,SUMPRODUCT(MAX(ROW(E$2:E3543)*(E3543=E$2:E3543)))))-COUNTBLANK(OFFSET(A$1,,,SUMPRODUCT(MAX(ROW(E$1:E3542)*(E2=E$1:E3542))))))</f>
        <v> </v>
      </c>
      <c r="K3543" s="26" t="str">
        <f>IF(OR(E3543="",E3543="!!!",F3543="NEW"),"",INDEX(J$1:J3542,SUMPRODUCT(MAX(ROW(E$1:E3542)*(E3543=E$1:E3542)))))</f>
        <v> </v>
      </c>
      <c r="L3543" s="27"/>
    </row>
    <row r="3544" spans="1:12">
      <c r="A3544" s="20" t="s">
        <v>1001</v>
      </c>
      <c r="E3544" s="22">
        <f>IF(D3544="?OLD","!!!","")</f>
        <v/>
      </c>
      <c r="F3544" s="23" t="str">
        <f>IF(OR(E3544="",E3544="!!!"),"",IF(NOT(ISNA(VLOOKUP(E3544,E$1:E3543,1,FALSE()))),"OLD",IF(AND(E3544&lt;&gt;"",E3544&lt;&gt;"!!!"),"NEW","")))</f>
        <v> </v>
      </c>
      <c r="G3544" s="24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5" t="str">
        <f>IF(J3544&lt;&gt;1,"",IF(I3544="SBJ","CB","?"))</f>
        <v> </v>
      </c>
      <c r="I3544" s="26" t="str">
        <f>IF(OR(E3544="",E3544="!!!",F3544="NEW"),"",INDEX(B3543:B$2,-1+SUMPRODUCT(MAX(ROW(E3543:E$2)*(E3544=E3543:E$2)))))</f>
        <v> </v>
      </c>
      <c r="J3544" s="26" t="str">
        <f>IF(OR(E3544="",E3544="!!!",F3544="NEW"),"",COUNTBLANK(OFFSET(A$1,,,SUMPRODUCT(MAX(ROW(E$2:E3544)*(E3544=E$2:E3544)))))-COUNTBLANK(OFFSET(A$1,,,SUMPRODUCT(MAX(ROW(E$1:E3543)*(E2=E$1:E3543))))))</f>
        <v> </v>
      </c>
      <c r="K3544" s="26" t="str">
        <f>IF(OR(E3544="",E3544="!!!",F3544="NEW"),"",INDEX(J$1:J3543,SUMPRODUCT(MAX(ROW(E$1:E3543)*(E3544=E$1:E3543)))))</f>
        <v> </v>
      </c>
      <c r="L3544" s="27"/>
    </row>
    <row r="3545" spans="1:12">
      <c r="A3545" s="20" t="s">
        <v>1093</v>
      </c>
      <c r="E3545" s="22">
        <f>IF(D3545="?OLD","!!!","")</f>
        <v/>
      </c>
      <c r="F3545" s="23" t="str">
        <f>IF(OR(E3545="",E3545="!!!"),"",IF(NOT(ISNA(VLOOKUP(E3545,E$1:E3544,1,FALSE()))),"OLD",IF(AND(E3545&lt;&gt;"",E3545&lt;&gt;"!!!"),"NEW","")))</f>
        <v> </v>
      </c>
      <c r="G3545" s="24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5" t="str">
        <f>IF(J3545&lt;&gt;1,"",IF(I3545="SBJ","CB","?"))</f>
        <v> </v>
      </c>
      <c r="I3545" s="26" t="str">
        <f>IF(OR(E3545="",E3545="!!!",F3545="NEW"),"",INDEX(B3544:B$2,-1+SUMPRODUCT(MAX(ROW(E3544:E$2)*(E3545=E3544:E$2)))))</f>
        <v> </v>
      </c>
      <c r="J3545" s="26" t="str">
        <f>IF(OR(E3545="",E3545="!!!",F3545="NEW"),"",COUNTBLANK(OFFSET(A$1,,,SUMPRODUCT(MAX(ROW(E$2:E3545)*(E3545=E$2:E3545)))))-COUNTBLANK(OFFSET(A$1,,,SUMPRODUCT(MAX(ROW(E$1:E3544)*(E2=E$1:E3544))))))</f>
        <v> </v>
      </c>
      <c r="K3545" s="26" t="str">
        <f>IF(OR(E3545="",E3545="!!!",F3545="NEW"),"",INDEX(J$1:J3544,SUMPRODUCT(MAX(ROW(E$1:E3544)*(E3545=E$1:E3544)))))</f>
        <v> </v>
      </c>
      <c r="L3545" s="27"/>
    </row>
    <row r="3546" spans="1:12">
      <c r="A3546" s="20" t="s">
        <v>1683</v>
      </c>
      <c r="B3546" s="21" t="s">
        <v>1143</v>
      </c>
      <c r="C3546" s="21" t="s">
        <v>1032</v>
      </c>
      <c r="D3546" s="21" t="s">
        <v>950</v>
      </c>
      <c r="E3546" s="22">
        <f>IF(D3546="?OLD","!!!","")</f>
        <v/>
      </c>
      <c r="F3546" s="23" t="str">
        <f>IF(OR(E3546="",E3546="!!!"),"",IF(NOT(ISNA(VLOOKUP(E3546,E$1:E3545,1,FALSE()))),"OLD",IF(AND(E3546&lt;&gt;"",E3546&lt;&gt;"!!!"),"NEW","")))</f>
        <v> </v>
      </c>
      <c r="G3546" s="24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5" t="str">
        <f>IF(J3546&lt;&gt;1,"",IF(I3546="SBJ","CB","?"))</f>
        <v> </v>
      </c>
      <c r="I3546" s="26" t="str">
        <f>IF(OR(E3546="",E3546="!!!",F3546="NEW"),"",INDEX(B3545:B$2,-1+SUMPRODUCT(MAX(ROW(E3545:E$2)*(E3546=E3545:E$2)))))</f>
        <v> </v>
      </c>
      <c r="J3546" s="26" t="str">
        <f>IF(OR(E3546="",E3546="!!!",F3546="NEW"),"",COUNTBLANK(OFFSET(A$1,,,SUMPRODUCT(MAX(ROW(E$2:E3546)*(E3546=E$2:E3546)))))-COUNTBLANK(OFFSET(A$1,,,SUMPRODUCT(MAX(ROW(E$1:E3545)*(E2=E$1:E3545))))))</f>
        <v> </v>
      </c>
      <c r="K3546" s="26" t="str">
        <f>IF(OR(E3546="",E3546="!!!",F3546="NEW"),"",INDEX(J$1:J3545,SUMPRODUCT(MAX(ROW(E$1:E3545)*(E3546=E$1:E3545)))))</f>
        <v> </v>
      </c>
      <c r="L3546" s="27"/>
    </row>
    <row r="3547" spans="1:12">
      <c r="A3547" s="20" t="s">
        <v>1981</v>
      </c>
      <c r="E3547" s="22">
        <f>IF(D3547="?OLD","!!!","")</f>
        <v/>
      </c>
      <c r="F3547" s="23" t="str">
        <f>IF(OR(E3547="",E3547="!!!"),"",IF(NOT(ISNA(VLOOKUP(E3547,E$1:E3546,1,FALSE()))),"OLD",IF(AND(E3547&lt;&gt;"",E3547&lt;&gt;"!!!"),"NEW","")))</f>
        <v> </v>
      </c>
      <c r="G3547" s="24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5" t="str">
        <f>IF(J3547&lt;&gt;1,"",IF(I3547="SBJ","CB","?"))</f>
        <v> </v>
      </c>
      <c r="I3547" s="26" t="str">
        <f>IF(OR(E3547="",E3547="!!!",F3547="NEW"),"",INDEX(B3546:B$2,-1+SUMPRODUCT(MAX(ROW(E3546:E$2)*(E3547=E3546:E$2)))))</f>
        <v> </v>
      </c>
      <c r="J3547" s="26" t="str">
        <f>IF(OR(E3547="",E3547="!!!",F3547="NEW"),"",COUNTBLANK(OFFSET(A$1,,,SUMPRODUCT(MAX(ROW(E$2:E3547)*(E3547=E$2:E3547)))))-COUNTBLANK(OFFSET(A$1,,,SUMPRODUCT(MAX(ROW(E$1:E3546)*(E2=E$1:E3546))))))</f>
        <v> </v>
      </c>
      <c r="K3547" s="26" t="str">
        <f>IF(OR(E3547="",E3547="!!!",F3547="NEW"),"",INDEX(J$1:J3546,SUMPRODUCT(MAX(ROW(E$1:E3546)*(E3547=E$1:E3546)))))</f>
        <v> </v>
      </c>
      <c r="L3547" s="27"/>
    </row>
    <row r="3548" spans="1:12">
      <c r="A3548" s="20" t="s">
        <v>1180</v>
      </c>
      <c r="B3548" s="21" t="s">
        <v>975</v>
      </c>
      <c r="C3548" s="21" t="s">
        <v>960</v>
      </c>
      <c r="D3548" s="21" t="s">
        <v>950</v>
      </c>
      <c r="E3548" s="22">
        <f>IF(D3548="?OLD","!!!","")</f>
        <v/>
      </c>
      <c r="F3548" s="23" t="str">
        <f>IF(OR(E3548="",E3548="!!!"),"",IF(NOT(ISNA(VLOOKUP(E3548,E$1:E3547,1,FALSE()))),"OLD",IF(AND(E3548&lt;&gt;"",E3548&lt;&gt;"!!!"),"NEW","")))</f>
        <v> </v>
      </c>
      <c r="G3548" s="24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5" t="str">
        <f>IF(J3548&lt;&gt;1,"",IF(I3548="SBJ","CB","?"))</f>
        <v> </v>
      </c>
      <c r="I3548" s="26" t="str">
        <f>IF(OR(E3548="",E3548="!!!",F3548="NEW"),"",INDEX(B3547:B$2,-1+SUMPRODUCT(MAX(ROW(E3547:E$2)*(E3548=E3547:E$2)))))</f>
        <v> </v>
      </c>
      <c r="J3548" s="26" t="str">
        <f>IF(OR(E3548="",E3548="!!!",F3548="NEW"),"",COUNTBLANK(OFFSET(A$1,,,SUMPRODUCT(MAX(ROW(E$2:E3548)*(E3548=E$2:E3548)))))-COUNTBLANK(OFFSET(A$1,,,SUMPRODUCT(MAX(ROW(E$1:E3547)*(E2=E$1:E3547))))))</f>
        <v> </v>
      </c>
      <c r="K3548" s="26" t="str">
        <f>IF(OR(E3548="",E3548="!!!",F3548="NEW"),"",INDEX(J$1:J3547,SUMPRODUCT(MAX(ROW(E$1:E3547)*(E3548=E$1:E3547)))))</f>
        <v> </v>
      </c>
      <c r="L3548" s="27"/>
    </row>
    <row r="3549" spans="1:12">
      <c r="A3549" s="20" t="s">
        <v>984</v>
      </c>
      <c r="E3549" s="22">
        <f>IF(D3549="?OLD","!!!","")</f>
        <v/>
      </c>
      <c r="F3549" s="23" t="str">
        <f>IF(OR(E3549="",E3549="!!!"),"",IF(NOT(ISNA(VLOOKUP(E3549,E$1:E3548,1,FALSE()))),"OLD",IF(AND(E3549&lt;&gt;"",E3549&lt;&gt;"!!!"),"NEW","")))</f>
        <v> </v>
      </c>
      <c r="G3549" s="24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5" t="str">
        <f>IF(J3549&lt;&gt;1,"",IF(I3549="SBJ","CB","?"))</f>
        <v> </v>
      </c>
      <c r="I3549" s="26" t="str">
        <f>IF(OR(E3549="",E3549="!!!",F3549="NEW"),"",INDEX(B3548:B$2,-1+SUMPRODUCT(MAX(ROW(E3548:E$2)*(E3549=E3548:E$2)))))</f>
        <v> </v>
      </c>
      <c r="J3549" s="26" t="str">
        <f>IF(OR(E3549="",E3549="!!!",F3549="NEW"),"",COUNTBLANK(OFFSET(A$1,,,SUMPRODUCT(MAX(ROW(E$2:E3549)*(E3549=E$2:E3549)))))-COUNTBLANK(OFFSET(A$1,,,SUMPRODUCT(MAX(ROW(E$1:E3548)*(E2=E$1:E3548))))))</f>
        <v> </v>
      </c>
      <c r="K3549" s="26" t="str">
        <f>IF(OR(E3549="",E3549="!!!",F3549="NEW"),"",INDEX(J$1:J3548,SUMPRODUCT(MAX(ROW(E$1:E3548)*(E3549=E$1:E3548)))))</f>
        <v> </v>
      </c>
      <c r="L3549" s="27"/>
    </row>
    <row r="3550" spans="1:12">
      <c r="A3550" s="20"/>
    </row>
    <row r="3551" spans="1:12">
      <c r="A3551" s="20" t="s">
        <v>1982</v>
      </c>
    </row>
    <row r="3552" spans="1:12">
      <c r="A3552" s="20" t="s">
        <v>1983</v>
      </c>
      <c r="E3552" s="22">
        <f>IF(D3552="?OLD","!!!","")</f>
        <v/>
      </c>
      <c r="F3552" s="23" t="str">
        <f>IF(OR(E3552="",E3552="!!!"),"",IF(NOT(ISNA(VLOOKUP(E3552,E$1:E3551,1,FALSE()))),"OLD",IF(AND(E3552&lt;&gt;"",E3552&lt;&gt;"!!!"),"NEW","")))</f>
        <v> </v>
      </c>
      <c r="G3552" s="24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5" t="str">
        <f>IF(J3552&lt;&gt;1,"",IF(I3552="SBJ","CB","?"))</f>
        <v> </v>
      </c>
      <c r="I3552" s="26" t="str">
        <f>IF(OR(E3552="",E3552="!!!",F3552="NEW"),"",INDEX(B3551:B$2,-1+SUMPRODUCT(MAX(ROW(E3551:E$2)*(E3552=E3551:E$2)))))</f>
        <v> </v>
      </c>
      <c r="J3552" s="26" t="str">
        <f>IF(OR(E3552="",E3552="!!!",F3552="NEW"),"",COUNTBLANK(OFFSET(A$1,,,SUMPRODUCT(MAX(ROW(E$2:E3552)*(E3552=E$2:E3552)))))-COUNTBLANK(OFFSET(A$1,,,SUMPRODUCT(MAX(ROW(E$1:E3551)*(E2=E$1:E3551))))))</f>
        <v> </v>
      </c>
      <c r="K3552" s="26" t="str">
        <f>IF(OR(E3552="",E3552="!!!",F3552="NEW"),"",INDEX(J$1:J3551,SUMPRODUCT(MAX(ROW(E$1:E3551)*(E3552=E$1:E3551)))))</f>
        <v> </v>
      </c>
      <c r="L3552" s="27"/>
    </row>
    <row r="3553" spans="1:12">
      <c r="A3553" s="20" t="s">
        <v>1882</v>
      </c>
      <c r="E3553" s="22">
        <f>IF(D3553="?OLD","!!!","")</f>
        <v/>
      </c>
      <c r="F3553" s="23" t="str">
        <f>IF(OR(E3553="",E3553="!!!"),"",IF(NOT(ISNA(VLOOKUP(E3553,E$1:E3552,1,FALSE()))),"OLD",IF(AND(E3553&lt;&gt;"",E3553&lt;&gt;"!!!"),"NEW","")))</f>
        <v> </v>
      </c>
      <c r="G3553" s="24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5" t="str">
        <f>IF(J3553&lt;&gt;1,"",IF(I3553="SBJ","CB","?"))</f>
        <v> </v>
      </c>
      <c r="I3553" s="26" t="str">
        <f>IF(OR(E3553="",E3553="!!!",F3553="NEW"),"",INDEX(B3552:B$2,-1+SUMPRODUCT(MAX(ROW(E3552:E$2)*(E3553=E3552:E$2)))))</f>
        <v> </v>
      </c>
      <c r="J3553" s="26" t="str">
        <f>IF(OR(E3553="",E3553="!!!",F3553="NEW"),"",COUNTBLANK(OFFSET(A$1,,,SUMPRODUCT(MAX(ROW(E$2:E3553)*(E3553=E$2:E3553)))))-COUNTBLANK(OFFSET(A$1,,,SUMPRODUCT(MAX(ROW(E$1:E3552)*(E2=E$1:E3552))))))</f>
        <v> </v>
      </c>
      <c r="K3553" s="26" t="str">
        <f>IF(OR(E3553="",E3553="!!!",F3553="NEW"),"",INDEX(J$1:J3552,SUMPRODUCT(MAX(ROW(E$1:E3552)*(E3553=E$1:E3552)))))</f>
        <v> </v>
      </c>
      <c r="L3553" s="27"/>
    </row>
    <row r="3554" spans="1:12">
      <c r="A3554" s="20" t="s">
        <v>94</v>
      </c>
      <c r="E3554" s="22">
        <f>IF(D3554="?OLD","!!!","")</f>
        <v/>
      </c>
      <c r="F3554" s="23" t="str">
        <f>IF(OR(E3554="",E3554="!!!"),"",IF(NOT(ISNA(VLOOKUP(E3554,E$1:E3553,1,FALSE()))),"OLD",IF(AND(E3554&lt;&gt;"",E3554&lt;&gt;"!!!"),"NEW","")))</f>
        <v> </v>
      </c>
      <c r="G3554" s="24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5" t="str">
        <f>IF(J3554&lt;&gt;1,"",IF(I3554="SBJ","CB","?"))</f>
        <v> </v>
      </c>
      <c r="I3554" s="26" t="str">
        <f>IF(OR(E3554="",E3554="!!!",F3554="NEW"),"",INDEX(B3553:B$2,-1+SUMPRODUCT(MAX(ROW(E3553:E$2)*(E3554=E3553:E$2)))))</f>
        <v> </v>
      </c>
      <c r="J3554" s="26" t="str">
        <f>IF(OR(E3554="",E3554="!!!",F3554="NEW"),"",COUNTBLANK(OFFSET(A$1,,,SUMPRODUCT(MAX(ROW(E$2:E3554)*(E3554=E$2:E3554)))))-COUNTBLANK(OFFSET(A$1,,,SUMPRODUCT(MAX(ROW(E$1:E3553)*(E2=E$1:E3553))))))</f>
        <v> </v>
      </c>
      <c r="K3554" s="26" t="str">
        <f>IF(OR(E3554="",E3554="!!!",F3554="NEW"),"",INDEX(J$1:J3553,SUMPRODUCT(MAX(ROW(E$1:E3553)*(E3554=E$1:E3553)))))</f>
        <v> </v>
      </c>
      <c r="L3554" s="27"/>
    </row>
    <row r="3555" spans="1:12">
      <c r="A3555" s="20" t="s">
        <v>1984</v>
      </c>
      <c r="B3555" s="21" t="s">
        <v>948</v>
      </c>
      <c r="C3555" s="21" t="s">
        <v>976</v>
      </c>
      <c r="D3555" s="21" t="s">
        <v>950</v>
      </c>
      <c r="E3555" s="22">
        <f>IF(D3555="?OLD","!!!","")</f>
        <v/>
      </c>
      <c r="F3555" s="23" t="str">
        <f>IF(OR(E3555="",E3555="!!!"),"",IF(NOT(ISNA(VLOOKUP(E3555,E$1:E3554,1,FALSE()))),"OLD",IF(AND(E3555&lt;&gt;"",E3555&lt;&gt;"!!!"),"NEW","")))</f>
        <v> </v>
      </c>
      <c r="G3555" s="24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5" t="str">
        <f>IF(J3555&lt;&gt;1,"",IF(I3555="SBJ","CB","?"))</f>
        <v> </v>
      </c>
      <c r="I3555" s="26" t="str">
        <f>IF(OR(E3555="",E3555="!!!",F3555="NEW"),"",INDEX(B3554:B$2,-1+SUMPRODUCT(MAX(ROW(E3554:E$2)*(E3555=E3554:E$2)))))</f>
        <v> </v>
      </c>
      <c r="J3555" s="26" t="str">
        <f>IF(OR(E3555="",E3555="!!!",F3555="NEW"),"",COUNTBLANK(OFFSET(A$1,,,SUMPRODUCT(MAX(ROW(E$2:E3555)*(E3555=E$2:E3555)))))-COUNTBLANK(OFFSET(A$1,,,SUMPRODUCT(MAX(ROW(E$1:E3554)*(E2=E$1:E3554))))))</f>
        <v> </v>
      </c>
      <c r="K3555" s="26" t="str">
        <f>IF(OR(E3555="",E3555="!!!",F3555="NEW"),"",INDEX(J$1:J3554,SUMPRODUCT(MAX(ROW(E$1:E3554)*(E3555=E$1:E3554)))))</f>
        <v> </v>
      </c>
      <c r="L3555" s="27"/>
    </row>
    <row r="3556" spans="1:12">
      <c r="A3556" s="20" t="s">
        <v>1207</v>
      </c>
      <c r="E3556" s="22">
        <f>IF(D3556="?OLD","!!!","")</f>
        <v/>
      </c>
      <c r="F3556" s="23" t="str">
        <f>IF(OR(E3556="",E3556="!!!"),"",IF(NOT(ISNA(VLOOKUP(E3556,E$1:E3555,1,FALSE()))),"OLD",IF(AND(E3556&lt;&gt;"",E3556&lt;&gt;"!!!"),"NEW","")))</f>
        <v> </v>
      </c>
      <c r="G3556" s="24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5" t="str">
        <f>IF(J3556&lt;&gt;1,"",IF(I3556="SBJ","CB","?"))</f>
        <v> </v>
      </c>
      <c r="I3556" s="26" t="str">
        <f>IF(OR(E3556="",E3556="!!!",F3556="NEW"),"",INDEX(B3555:B$2,-1+SUMPRODUCT(MAX(ROW(E3555:E$2)*(E3556=E3555:E$2)))))</f>
        <v> </v>
      </c>
      <c r="J3556" s="26" t="str">
        <f>IF(OR(E3556="",E3556="!!!",F3556="NEW"),"",COUNTBLANK(OFFSET(A$1,,,SUMPRODUCT(MAX(ROW(E$2:E3556)*(E3556=E$2:E3556)))))-COUNTBLANK(OFFSET(A$1,,,SUMPRODUCT(MAX(ROW(E$1:E3555)*(E2=E$1:E3555))))))</f>
        <v> </v>
      </c>
      <c r="K3556" s="26" t="str">
        <f>IF(OR(E3556="",E3556="!!!",F3556="NEW"),"",INDEX(J$1:J3555,SUMPRODUCT(MAX(ROW(E$1:E3555)*(E3556=E$1:E3555)))))</f>
        <v> </v>
      </c>
      <c r="L3556" s="27"/>
    </row>
    <row r="3557" spans="1:12">
      <c r="A3557" s="20" t="s">
        <v>1900</v>
      </c>
      <c r="B3557" s="21" t="s">
        <v>1031</v>
      </c>
      <c r="C3557" s="21" t="s">
        <v>983</v>
      </c>
      <c r="E3557" s="22">
        <f>IF(D3557="?OLD","!!!","")</f>
        <v/>
      </c>
      <c r="F3557" s="23" t="str">
        <f>IF(OR(E3557="",E3557="!!!"),"",IF(NOT(ISNA(VLOOKUP(E3557,E$1:E3556,1,FALSE()))),"OLD",IF(AND(E3557&lt;&gt;"",E3557&lt;&gt;"!!!"),"NEW","")))</f>
        <v> </v>
      </c>
      <c r="G3557" s="24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5" t="str">
        <f>IF(J3557&lt;&gt;1,"",IF(I3557="SBJ","CB","?"))</f>
        <v> </v>
      </c>
      <c r="I3557" s="26" t="str">
        <f>IF(OR(E3557="",E3557="!!!",F3557="NEW"),"",INDEX(B3556:B$2,-1+SUMPRODUCT(MAX(ROW(E3556:E$2)*(E3557=E3556:E$2)))))</f>
        <v> </v>
      </c>
      <c r="J3557" s="26" t="str">
        <f>IF(OR(E3557="",E3557="!!!",F3557="NEW"),"",COUNTBLANK(OFFSET(A$1,,,SUMPRODUCT(MAX(ROW(E$2:E3557)*(E3557=E$2:E3557)))))-COUNTBLANK(OFFSET(A$1,,,SUMPRODUCT(MAX(ROW(E$1:E3556)*(E2=E$1:E3556))))))</f>
        <v> </v>
      </c>
      <c r="K3557" s="26" t="str">
        <f>IF(OR(E3557="",E3557="!!!",F3557="NEW"),"",INDEX(J$1:J3556,SUMPRODUCT(MAX(ROW(E$1:E3556)*(E3557=E$1:E3556)))))</f>
        <v> </v>
      </c>
      <c r="L3557" s="27"/>
    </row>
    <row r="3558" spans="1:12">
      <c r="A3558" s="20" t="s">
        <v>984</v>
      </c>
      <c r="E3558" s="22">
        <f>IF(D3558="?OLD","!!!","")</f>
        <v/>
      </c>
      <c r="F3558" s="23" t="str">
        <f>IF(OR(E3558="",E3558="!!!"),"",IF(NOT(ISNA(VLOOKUP(E3558,E$1:E3557,1,FALSE()))),"OLD",IF(AND(E3558&lt;&gt;"",E3558&lt;&gt;"!!!"),"NEW","")))</f>
        <v> </v>
      </c>
      <c r="G3558" s="24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5" t="str">
        <f>IF(J3558&lt;&gt;1,"",IF(I3558="SBJ","CB","?"))</f>
        <v> </v>
      </c>
      <c r="I3558" s="26" t="str">
        <f>IF(OR(E3558="",E3558="!!!",F3558="NEW"),"",INDEX(B3557:B$2,-1+SUMPRODUCT(MAX(ROW(E3557:E$2)*(E3558=E3557:E$2)))))</f>
        <v> </v>
      </c>
      <c r="J3558" s="26" t="str">
        <f>IF(OR(E3558="",E3558="!!!",F3558="NEW"),"",COUNTBLANK(OFFSET(A$1,,,SUMPRODUCT(MAX(ROW(E$2:E3558)*(E3558=E$2:E3558)))))-COUNTBLANK(OFFSET(A$1,,,SUMPRODUCT(MAX(ROW(E$1:E3557)*(E2=E$1:E3557))))))</f>
        <v> </v>
      </c>
      <c r="K3558" s="26" t="str">
        <f>IF(OR(E3558="",E3558="!!!",F3558="NEW"),"",INDEX(J$1:J3557,SUMPRODUCT(MAX(ROW(E$1:E3557)*(E3558=E$1:E3557)))))</f>
        <v> </v>
      </c>
      <c r="L3558" s="27"/>
    </row>
    <row r="3559" spans="1:12">
      <c r="A3559" s="20"/>
    </row>
    <row r="3560" spans="1:12">
      <c r="A3560" s="20" t="s">
        <v>1985</v>
      </c>
    </row>
    <row r="3561" spans="1:12">
      <c r="A3561" s="20" t="s">
        <v>1016</v>
      </c>
      <c r="B3561" s="21" t="s">
        <v>948</v>
      </c>
      <c r="C3561" s="21" t="s">
        <v>949</v>
      </c>
      <c r="D3561" s="21" t="s">
        <v>950</v>
      </c>
      <c r="E3561" s="22">
        <f>IF(D3561="?OLD","!!!","")</f>
        <v/>
      </c>
      <c r="F3561" s="23" t="str">
        <f>IF(OR(E3561="",E3561="!!!"),"",IF(NOT(ISNA(VLOOKUP(E3561,E$1:E3560,1,FALSE()))),"OLD",IF(AND(E3561&lt;&gt;"",E3561&lt;&gt;"!!!"),"NEW","")))</f>
        <v> </v>
      </c>
      <c r="G3561" s="24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5" t="str">
        <f>IF(J3561&lt;&gt;1,"",IF(I3561="SBJ","CB","?"))</f>
        <v> </v>
      </c>
      <c r="I3561" s="26" t="str">
        <f>IF(OR(E3561="",E3561="!!!",F3561="NEW"),"",INDEX(B3560:B$2,-1+SUMPRODUCT(MAX(ROW(E3560:E$2)*(E3561=E3560:E$2)))))</f>
        <v> </v>
      </c>
      <c r="J3561" s="26" t="str">
        <f>IF(OR(E3561="",E3561="!!!",F3561="NEW"),"",COUNTBLANK(OFFSET(A$1,,,SUMPRODUCT(MAX(ROW(E$2:E3561)*(E3561=E$2:E3561)))))-COUNTBLANK(OFFSET(A$1,,,SUMPRODUCT(MAX(ROW(E$1:E3560)*(E2=E$1:E3560))))))</f>
        <v> </v>
      </c>
      <c r="K3561" s="26" t="str">
        <f>IF(OR(E3561="",E3561="!!!",F3561="NEW"),"",INDEX(J$1:J3560,SUMPRODUCT(MAX(ROW(E$1:E3560)*(E3561=E$1:E3560)))))</f>
        <v> </v>
      </c>
      <c r="L3561" s="27"/>
    </row>
    <row r="3562" spans="1:12">
      <c r="A3562" s="20" t="s">
        <v>952</v>
      </c>
      <c r="E3562" s="22">
        <f>IF(D3562="?OLD","!!!","")</f>
        <v/>
      </c>
      <c r="F3562" s="23" t="str">
        <f>IF(OR(E3562="",E3562="!!!"),"",IF(NOT(ISNA(VLOOKUP(E3562,E$1:E3561,1,FALSE()))),"OLD",IF(AND(E3562&lt;&gt;"",E3562&lt;&gt;"!!!"),"NEW","")))</f>
        <v> </v>
      </c>
      <c r="G3562" s="24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5" t="str">
        <f>IF(J3562&lt;&gt;1,"",IF(I3562="SBJ","CB","?"))</f>
        <v> </v>
      </c>
      <c r="I3562" s="26" t="str">
        <f>IF(OR(E3562="",E3562="!!!",F3562="NEW"),"",INDEX(B3561:B$2,-1+SUMPRODUCT(MAX(ROW(E3561:E$2)*(E3562=E3561:E$2)))))</f>
        <v> </v>
      </c>
      <c r="J3562" s="26" t="str">
        <f>IF(OR(E3562="",E3562="!!!",F3562="NEW"),"",COUNTBLANK(OFFSET(A$1,,,SUMPRODUCT(MAX(ROW(E$2:E3562)*(E3562=E$2:E3562)))))-COUNTBLANK(OFFSET(A$1,,,SUMPRODUCT(MAX(ROW(E$1:E3561)*(E2=E$1:E3561))))))</f>
        <v> </v>
      </c>
      <c r="K3562" s="26" t="str">
        <f>IF(OR(E3562="",E3562="!!!",F3562="NEW"),"",INDEX(J$1:J3561,SUMPRODUCT(MAX(ROW(E$1:E3561)*(E3562=E$1:E3561)))))</f>
        <v> </v>
      </c>
      <c r="L3562" s="27"/>
    </row>
    <row r="3563" spans="1:12">
      <c r="A3563" s="20" t="s">
        <v>1109</v>
      </c>
      <c r="E3563" s="22">
        <f>IF(D3563="?OLD","!!!","")</f>
        <v/>
      </c>
      <c r="F3563" s="23" t="str">
        <f>IF(OR(E3563="",E3563="!!!"),"",IF(NOT(ISNA(VLOOKUP(E3563,E$1:E3562,1,FALSE()))),"OLD",IF(AND(E3563&lt;&gt;"",E3563&lt;&gt;"!!!"),"NEW","")))</f>
        <v> </v>
      </c>
      <c r="G3563" s="24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5" t="str">
        <f>IF(J3563&lt;&gt;1,"",IF(I3563="SBJ","CB","?"))</f>
        <v> </v>
      </c>
      <c r="I3563" s="26" t="str">
        <f>IF(OR(E3563="",E3563="!!!",F3563="NEW"),"",INDEX(B3562:B$2,-1+SUMPRODUCT(MAX(ROW(E3562:E$2)*(E3563=E3562:E$2)))))</f>
        <v> </v>
      </c>
      <c r="J3563" s="26" t="str">
        <f>IF(OR(E3563="",E3563="!!!",F3563="NEW"),"",COUNTBLANK(OFFSET(A$1,,,SUMPRODUCT(MAX(ROW(E$2:E3563)*(E3563=E$2:E3563)))))-COUNTBLANK(OFFSET(A$1,,,SUMPRODUCT(MAX(ROW(E$1:E3562)*(E2=E$1:E3562))))))</f>
        <v> </v>
      </c>
      <c r="K3563" s="26" t="str">
        <f>IF(OR(E3563="",E3563="!!!",F3563="NEW"),"",INDEX(J$1:J3562,SUMPRODUCT(MAX(ROW(E$1:E3562)*(E3563=E$1:E3562)))))</f>
        <v> </v>
      </c>
      <c r="L3563" s="27"/>
    </row>
    <row r="3564" spans="1:12">
      <c r="A3564" s="20" t="s">
        <v>1027</v>
      </c>
      <c r="E3564" s="22">
        <f>IF(D3564="?OLD","!!!","")</f>
        <v/>
      </c>
      <c r="F3564" s="23" t="str">
        <f>IF(OR(E3564="",E3564="!!!"),"",IF(NOT(ISNA(VLOOKUP(E3564,E$1:E3563,1,FALSE()))),"OLD",IF(AND(E3564&lt;&gt;"",E3564&lt;&gt;"!!!"),"NEW","")))</f>
        <v> </v>
      </c>
      <c r="G3564" s="24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5" t="str">
        <f>IF(J3564&lt;&gt;1,"",IF(I3564="SBJ","CB","?"))</f>
        <v> </v>
      </c>
      <c r="I3564" s="26" t="str">
        <f>IF(OR(E3564="",E3564="!!!",F3564="NEW"),"",INDEX(B3563:B$2,-1+SUMPRODUCT(MAX(ROW(E3563:E$2)*(E3564=E3563:E$2)))))</f>
        <v> </v>
      </c>
      <c r="J3564" s="26" t="str">
        <f>IF(OR(E3564="",E3564="!!!",F3564="NEW"),"",COUNTBLANK(OFFSET(A$1,,,SUMPRODUCT(MAX(ROW(E$2:E3564)*(E3564=E$2:E3564)))))-COUNTBLANK(OFFSET(A$1,,,SUMPRODUCT(MAX(ROW(E$1:E3563)*(E2=E$1:E3563))))))</f>
        <v> </v>
      </c>
      <c r="K3564" s="26" t="str">
        <f>IF(OR(E3564="",E3564="!!!",F3564="NEW"),"",INDEX(J$1:J3563,SUMPRODUCT(MAX(ROW(E$1:E3563)*(E3564=E$1:E3563)))))</f>
        <v> </v>
      </c>
      <c r="L3564" s="27"/>
    </row>
    <row r="3565" spans="1:12">
      <c r="A3565" s="20" t="s">
        <v>1093</v>
      </c>
      <c r="B3565" s="21" t="s">
        <v>1143</v>
      </c>
      <c r="C3565" s="21" t="s">
        <v>1008</v>
      </c>
      <c r="D3565" s="21" t="s">
        <v>950</v>
      </c>
      <c r="E3565" s="22">
        <f>IF(D3565="?OLD","!!!","")</f>
        <v/>
      </c>
      <c r="F3565" s="23" t="str">
        <f>IF(OR(E3565="",E3565="!!!"),"",IF(NOT(ISNA(VLOOKUP(E3565,E$1:E3564,1,FALSE()))),"OLD",IF(AND(E3565&lt;&gt;"",E3565&lt;&gt;"!!!"),"NEW","")))</f>
        <v> </v>
      </c>
      <c r="G3565" s="24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5" t="str">
        <f>IF(J3565&lt;&gt;1,"",IF(I3565="SBJ","CB","?"))</f>
        <v> </v>
      </c>
      <c r="I3565" s="26" t="str">
        <f>IF(OR(E3565="",E3565="!!!",F3565="NEW"),"",INDEX(B3564:B$2,-1+SUMPRODUCT(MAX(ROW(E3564:E$2)*(E3565=E3564:E$2)))))</f>
        <v> </v>
      </c>
      <c r="J3565" s="26" t="str">
        <f>IF(OR(E3565="",E3565="!!!",F3565="NEW"),"",COUNTBLANK(OFFSET(A$1,,,SUMPRODUCT(MAX(ROW(E$2:E3565)*(E3565=E$2:E3565)))))-COUNTBLANK(OFFSET(A$1,,,SUMPRODUCT(MAX(ROW(E$1:E3564)*(E2=E$1:E3564))))))</f>
        <v> </v>
      </c>
      <c r="K3565" s="26" t="str">
        <f>IF(OR(E3565="",E3565="!!!",F3565="NEW"),"",INDEX(J$1:J3564,SUMPRODUCT(MAX(ROW(E$1:E3564)*(E3565=E$1:E3564)))))</f>
        <v> </v>
      </c>
      <c r="L3565" s="27"/>
    </row>
    <row r="3566" spans="1:12">
      <c r="A3566" s="20" t="s">
        <v>1554</v>
      </c>
      <c r="E3566" s="22">
        <f>IF(D3566="?OLD","!!!","")</f>
        <v/>
      </c>
      <c r="F3566" s="23" t="str">
        <f>IF(OR(E3566="",E3566="!!!"),"",IF(NOT(ISNA(VLOOKUP(E3566,E$1:E3565,1,FALSE()))),"OLD",IF(AND(E3566&lt;&gt;"",E3566&lt;&gt;"!!!"),"NEW","")))</f>
        <v> </v>
      </c>
      <c r="G3566" s="24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5" t="str">
        <f>IF(J3566&lt;&gt;1,"",IF(I3566="SBJ","CB","?"))</f>
        <v> </v>
      </c>
      <c r="I3566" s="26" t="str">
        <f>IF(OR(E3566="",E3566="!!!",F3566="NEW"),"",INDEX(B3565:B$2,-1+SUMPRODUCT(MAX(ROW(E3565:E$2)*(E3566=E3565:E$2)))))</f>
        <v> </v>
      </c>
      <c r="J3566" s="26" t="str">
        <f>IF(OR(E3566="",E3566="!!!",F3566="NEW"),"",COUNTBLANK(OFFSET(A$1,,,SUMPRODUCT(MAX(ROW(E$2:E3566)*(E3566=E$2:E3566)))))-COUNTBLANK(OFFSET(A$1,,,SUMPRODUCT(MAX(ROW(E$1:E3565)*(E2=E$1:E3565))))))</f>
        <v> </v>
      </c>
      <c r="K3566" s="26" t="str">
        <f>IF(OR(E3566="",E3566="!!!",F3566="NEW"),"",INDEX(J$1:J3565,SUMPRODUCT(MAX(ROW(E$1:E3565)*(E3566=E$1:E3565)))))</f>
        <v> </v>
      </c>
      <c r="L3566" s="27"/>
    </row>
    <row r="3567" spans="1:12">
      <c r="A3567" s="20" t="s">
        <v>308</v>
      </c>
      <c r="E3567" s="22">
        <f>IF(D3567="?OLD","!!!","")</f>
        <v/>
      </c>
      <c r="F3567" s="23" t="str">
        <f>IF(OR(E3567="",E3567="!!!"),"",IF(NOT(ISNA(VLOOKUP(E3567,E$1:E3566,1,FALSE()))),"OLD",IF(AND(E3567&lt;&gt;"",E3567&lt;&gt;"!!!"),"NEW","")))</f>
        <v> </v>
      </c>
      <c r="G3567" s="24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5" t="str">
        <f>IF(J3567&lt;&gt;1,"",IF(I3567="SBJ","CB","?"))</f>
        <v> </v>
      </c>
      <c r="I3567" s="26" t="str">
        <f>IF(OR(E3567="",E3567="!!!",F3567="NEW"),"",INDEX(B3566:B$2,-1+SUMPRODUCT(MAX(ROW(E3566:E$2)*(E3567=E3566:E$2)))))</f>
        <v> </v>
      </c>
      <c r="J3567" s="26" t="str">
        <f>IF(OR(E3567="",E3567="!!!",F3567="NEW"),"",COUNTBLANK(OFFSET(A$1,,,SUMPRODUCT(MAX(ROW(E$2:E3567)*(E3567=E$2:E3567)))))-COUNTBLANK(OFFSET(A$1,,,SUMPRODUCT(MAX(ROW(E$1:E3566)*(E2=E$1:E3566))))))</f>
        <v> </v>
      </c>
      <c r="K3567" s="26" t="str">
        <f>IF(OR(E3567="",E3567="!!!",F3567="NEW"),"",INDEX(J$1:J3566,SUMPRODUCT(MAX(ROW(E$1:E3566)*(E3567=E$1:E3566)))))</f>
        <v> </v>
      </c>
      <c r="L3567" s="27"/>
    </row>
    <row r="3568" spans="1:12">
      <c r="A3568" s="20" t="s">
        <v>1075</v>
      </c>
      <c r="E3568" s="22">
        <f>IF(D3568="?OLD","!!!","")</f>
        <v/>
      </c>
      <c r="F3568" s="23" t="str">
        <f>IF(OR(E3568="",E3568="!!!"),"",IF(NOT(ISNA(VLOOKUP(E3568,E$1:E3567,1,FALSE()))),"OLD",IF(AND(E3568&lt;&gt;"",E3568&lt;&gt;"!!!"),"NEW","")))</f>
        <v> </v>
      </c>
      <c r="G3568" s="24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5" t="str">
        <f>IF(J3568&lt;&gt;1,"",IF(I3568="SBJ","CB","?"))</f>
        <v> </v>
      </c>
      <c r="I3568" s="26" t="str">
        <f>IF(OR(E3568="",E3568="!!!",F3568="NEW"),"",INDEX(B3567:B$2,-1+SUMPRODUCT(MAX(ROW(E3567:E$2)*(E3568=E3567:E$2)))))</f>
        <v> </v>
      </c>
      <c r="J3568" s="26" t="str">
        <f>IF(OR(E3568="",E3568="!!!",F3568="NEW"),"",COUNTBLANK(OFFSET(A$1,,,SUMPRODUCT(MAX(ROW(E$2:E3568)*(E3568=E$2:E3568)))))-COUNTBLANK(OFFSET(A$1,,,SUMPRODUCT(MAX(ROW(E$1:E3567)*(E2=E$1:E3567))))))</f>
        <v> </v>
      </c>
      <c r="K3568" s="26" t="str">
        <f>IF(OR(E3568="",E3568="!!!",F3568="NEW"),"",INDEX(J$1:J3567,SUMPRODUCT(MAX(ROW(E$1:E3567)*(E3568=E$1:E3567)))))</f>
        <v> </v>
      </c>
      <c r="L3568" s="27"/>
    </row>
    <row r="3569" spans="1:12">
      <c r="A3569" s="20" t="s">
        <v>1022</v>
      </c>
      <c r="E3569" s="22">
        <f>IF(D3569="?OLD","!!!","")</f>
        <v/>
      </c>
      <c r="F3569" s="23" t="str">
        <f>IF(OR(E3569="",E3569="!!!"),"",IF(NOT(ISNA(VLOOKUP(E3569,E$1:E3568,1,FALSE()))),"OLD",IF(AND(E3569&lt;&gt;"",E3569&lt;&gt;"!!!"),"NEW","")))</f>
        <v> </v>
      </c>
      <c r="G3569" s="24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5" t="str">
        <f>IF(J3569&lt;&gt;1,"",IF(I3569="SBJ","CB","?"))</f>
        <v> </v>
      </c>
      <c r="I3569" s="26" t="str">
        <f>IF(OR(E3569="",E3569="!!!",F3569="NEW"),"",INDEX(B3568:B$2,-1+SUMPRODUCT(MAX(ROW(E3568:E$2)*(E3569=E3568:E$2)))))</f>
        <v> </v>
      </c>
      <c r="J3569" s="26" t="str">
        <f>IF(OR(E3569="",E3569="!!!",F3569="NEW"),"",COUNTBLANK(OFFSET(A$1,,,SUMPRODUCT(MAX(ROW(E$2:E3569)*(E3569=E$2:E3569)))))-COUNTBLANK(OFFSET(A$1,,,SUMPRODUCT(MAX(ROW(E$1:E3568)*(E2=E$1:E3568))))))</f>
        <v> </v>
      </c>
      <c r="K3569" s="26" t="str">
        <f>IF(OR(E3569="",E3569="!!!",F3569="NEW"),"",INDEX(J$1:J3568,SUMPRODUCT(MAX(ROW(E$1:E3568)*(E3569=E$1:E3568)))))</f>
        <v> </v>
      </c>
      <c r="L3569" s="27"/>
    </row>
    <row r="3570" spans="1:12">
      <c r="A3570" s="20" t="s">
        <v>1986</v>
      </c>
      <c r="B3570" s="21" t="s">
        <v>980</v>
      </c>
      <c r="C3570" s="21" t="s">
        <v>1032</v>
      </c>
      <c r="D3570" s="21" t="s">
        <v>950</v>
      </c>
      <c r="E3570" s="22">
        <f>IF(D3570="?OLD","!!!","")</f>
        <v/>
      </c>
      <c r="F3570" s="23" t="str">
        <f>IF(OR(E3570="",E3570="!!!"),"",IF(NOT(ISNA(VLOOKUP(E3570,E$1:E3569,1,FALSE()))),"OLD",IF(AND(E3570&lt;&gt;"",E3570&lt;&gt;"!!!"),"NEW","")))</f>
        <v> </v>
      </c>
      <c r="G3570" s="24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5" t="str">
        <f>IF(J3570&lt;&gt;1,"",IF(I3570="SBJ","CB","?"))</f>
        <v> </v>
      </c>
      <c r="I3570" s="26" t="str">
        <f>IF(OR(E3570="",E3570="!!!",F3570="NEW"),"",INDEX(B3569:B$2,-1+SUMPRODUCT(MAX(ROW(E3569:E$2)*(E3570=E3569:E$2)))))</f>
        <v> </v>
      </c>
      <c r="J3570" s="26" t="str">
        <f>IF(OR(E3570="",E3570="!!!",F3570="NEW"),"",COUNTBLANK(OFFSET(A$1,,,SUMPRODUCT(MAX(ROW(E$2:E3570)*(E3570=E$2:E3570)))))-COUNTBLANK(OFFSET(A$1,,,SUMPRODUCT(MAX(ROW(E$1:E3569)*(E2=E$1:E3569))))))</f>
        <v> </v>
      </c>
      <c r="K3570" s="26" t="str">
        <f>IF(OR(E3570="",E3570="!!!",F3570="NEW"),"",INDEX(J$1:J3569,SUMPRODUCT(MAX(ROW(E$1:E3569)*(E3570=E$1:E3569)))))</f>
        <v> </v>
      </c>
      <c r="L3570" s="27"/>
    </row>
    <row r="3571" spans="1:12">
      <c r="A3571" s="20" t="s">
        <v>984</v>
      </c>
      <c r="E3571" s="22">
        <f>IF(D3571="?OLD","!!!","")</f>
        <v/>
      </c>
      <c r="F3571" s="23" t="str">
        <f>IF(OR(E3571="",E3571="!!!"),"",IF(NOT(ISNA(VLOOKUP(E3571,E$1:E3570,1,FALSE()))),"OLD",IF(AND(E3571&lt;&gt;"",E3571&lt;&gt;"!!!"),"NEW","")))</f>
        <v> </v>
      </c>
      <c r="G3571" s="24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5" t="str">
        <f>IF(J3571&lt;&gt;1,"",IF(I3571="SBJ","CB","?"))</f>
        <v> </v>
      </c>
      <c r="I3571" s="26" t="str">
        <f>IF(OR(E3571="",E3571="!!!",F3571="NEW"),"",INDEX(B3570:B$2,-1+SUMPRODUCT(MAX(ROW(E3570:E$2)*(E3571=E3570:E$2)))))</f>
        <v> </v>
      </c>
      <c r="J3571" s="26" t="str">
        <f>IF(OR(E3571="",E3571="!!!",F3571="NEW"),"",COUNTBLANK(OFFSET(A$1,,,SUMPRODUCT(MAX(ROW(E$2:E3571)*(E3571=E$2:E3571)))))-COUNTBLANK(OFFSET(A$1,,,SUMPRODUCT(MAX(ROW(E$1:E3570)*(E2=E$1:E3570))))))</f>
        <v> </v>
      </c>
      <c r="K3571" s="26" t="str">
        <f>IF(OR(E3571="",E3571="!!!",F3571="NEW"),"",INDEX(J$1:J3570,SUMPRODUCT(MAX(ROW(E$1:E3570)*(E3571=E$1:E3570)))))</f>
        <v> </v>
      </c>
      <c r="L3571" s="27"/>
    </row>
    <row r="3572" spans="1:12">
      <c r="A3572" s="20"/>
    </row>
    <row r="3573" spans="1:12">
      <c r="A3573" s="20" t="s">
        <v>1987</v>
      </c>
    </row>
    <row r="3574" spans="1:12">
      <c r="A3574" s="20" t="s">
        <v>1070</v>
      </c>
      <c r="B3574" s="21" t="s">
        <v>948</v>
      </c>
      <c r="C3574" s="21" t="s">
        <v>983</v>
      </c>
      <c r="E3574" s="22">
        <f>IF(D3574="?OLD","!!!","")</f>
        <v/>
      </c>
      <c r="F3574" s="23" t="str">
        <f>IF(OR(E3574="",E3574="!!!"),"",IF(NOT(ISNA(VLOOKUP(E3574,E$1:E3573,1,FALSE()))),"OLD",IF(AND(E3574&lt;&gt;"",E3574&lt;&gt;"!!!"),"NEW","")))</f>
        <v> </v>
      </c>
      <c r="G3574" s="24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5" t="str">
        <f>IF(J3574&lt;&gt;1,"",IF(I3574="SBJ","CB","?"))</f>
        <v> </v>
      </c>
      <c r="I3574" s="26" t="str">
        <f>IF(OR(E3574="",E3574="!!!",F3574="NEW"),"",INDEX(B3573:B$2,-1+SUMPRODUCT(MAX(ROW(E3573:E$2)*(E3574=E3573:E$2)))))</f>
        <v> </v>
      </c>
      <c r="J3574" s="26" t="str">
        <f>IF(OR(E3574="",E3574="!!!",F3574="NEW"),"",COUNTBLANK(OFFSET(A$1,,,SUMPRODUCT(MAX(ROW(E$2:E3574)*(E3574=E$2:E3574)))))-COUNTBLANK(OFFSET(A$1,,,SUMPRODUCT(MAX(ROW(E$1:E3573)*(E2=E$1:E3573))))))</f>
        <v> </v>
      </c>
      <c r="K3574" s="26" t="str">
        <f>IF(OR(E3574="",E3574="!!!",F3574="NEW"),"",INDEX(J$1:J3573,SUMPRODUCT(MAX(ROW(E$1:E3573)*(E3574=E$1:E3573)))))</f>
        <v> </v>
      </c>
      <c r="L3574" s="27"/>
    </row>
    <row r="3575" spans="1:12">
      <c r="A3575" s="20" t="s">
        <v>952</v>
      </c>
      <c r="E3575" s="22">
        <f>IF(D3575="?OLD","!!!","")</f>
        <v/>
      </c>
      <c r="F3575" s="23" t="str">
        <f>IF(OR(E3575="",E3575="!!!"),"",IF(NOT(ISNA(VLOOKUP(E3575,E$1:E3574,1,FALSE()))),"OLD",IF(AND(E3575&lt;&gt;"",E3575&lt;&gt;"!!!"),"NEW","")))</f>
        <v> </v>
      </c>
      <c r="G3575" s="24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5" t="str">
        <f>IF(J3575&lt;&gt;1,"",IF(I3575="SBJ","CB","?"))</f>
        <v> </v>
      </c>
      <c r="I3575" s="26" t="str">
        <f>IF(OR(E3575="",E3575="!!!",F3575="NEW"),"",INDEX(B3574:B$2,-1+SUMPRODUCT(MAX(ROW(E3574:E$2)*(E3575=E3574:E$2)))))</f>
        <v> </v>
      </c>
      <c r="J3575" s="26" t="str">
        <f>IF(OR(E3575="",E3575="!!!",F3575="NEW"),"",COUNTBLANK(OFFSET(A$1,,,SUMPRODUCT(MAX(ROW(E$2:E3575)*(E3575=E$2:E3575)))))-COUNTBLANK(OFFSET(A$1,,,SUMPRODUCT(MAX(ROW(E$1:E3574)*(E2=E$1:E3574))))))</f>
        <v> </v>
      </c>
      <c r="K3575" s="26" t="str">
        <f>IF(OR(E3575="",E3575="!!!",F3575="NEW"),"",INDEX(J$1:J3574,SUMPRODUCT(MAX(ROW(E$1:E3574)*(E3575=E$1:E3574)))))</f>
        <v> </v>
      </c>
      <c r="L3575" s="27"/>
    </row>
    <row r="3576" spans="1:12">
      <c r="A3576" s="20" t="s">
        <v>1501</v>
      </c>
      <c r="B3576" s="21" t="s">
        <v>948</v>
      </c>
      <c r="C3576" s="21" t="s">
        <v>949</v>
      </c>
      <c r="D3576" s="21" t="s">
        <v>950</v>
      </c>
      <c r="E3576" s="22">
        <f>IF(D3576="?OLD","!!!","")</f>
        <v/>
      </c>
      <c r="F3576" s="23" t="str">
        <f>IF(OR(E3576="",E3576="!!!"),"",IF(NOT(ISNA(VLOOKUP(E3576,E$1:E3575,1,FALSE()))),"OLD",IF(AND(E3576&lt;&gt;"",E3576&lt;&gt;"!!!"),"NEW","")))</f>
        <v> </v>
      </c>
      <c r="G3576" s="24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5" t="str">
        <f>IF(J3576&lt;&gt;1,"",IF(I3576="SBJ","CB","?"))</f>
        <v> </v>
      </c>
      <c r="I3576" s="26" t="str">
        <f>IF(OR(E3576="",E3576="!!!",F3576="NEW"),"",INDEX(B3575:B$2,-1+SUMPRODUCT(MAX(ROW(E3575:E$2)*(E3576=E3575:E$2)))))</f>
        <v> </v>
      </c>
      <c r="J3576" s="26" t="str">
        <f>IF(OR(E3576="",E3576="!!!",F3576="NEW"),"",COUNTBLANK(OFFSET(A$1,,,SUMPRODUCT(MAX(ROW(E$2:E3576)*(E3576=E$2:E3576)))))-COUNTBLANK(OFFSET(A$1,,,SUMPRODUCT(MAX(ROW(E$1:E3575)*(E2=E$1:E3575))))))</f>
        <v> </v>
      </c>
      <c r="K3576" s="26" t="str">
        <f>IF(OR(E3576="",E3576="!!!",F3576="NEW"),"",INDEX(J$1:J3575,SUMPRODUCT(MAX(ROW(E$1:E3575)*(E3576=E$1:E3575)))))</f>
        <v> </v>
      </c>
      <c r="L3576" s="27"/>
    </row>
    <row r="3577" spans="1:12">
      <c r="A3577" s="20" t="s">
        <v>1000</v>
      </c>
      <c r="E3577" s="22">
        <f>IF(D3577="?OLD","!!!","")</f>
        <v/>
      </c>
      <c r="F3577" s="23" t="str">
        <f>IF(OR(E3577="",E3577="!!!"),"",IF(NOT(ISNA(VLOOKUP(E3577,E$1:E3576,1,FALSE()))),"OLD",IF(AND(E3577&lt;&gt;"",E3577&lt;&gt;"!!!"),"NEW","")))</f>
        <v> </v>
      </c>
      <c r="G3577" s="24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5" t="str">
        <f>IF(J3577&lt;&gt;1,"",IF(I3577="SBJ","CB","?"))</f>
        <v> </v>
      </c>
      <c r="I3577" s="26" t="str">
        <f>IF(OR(E3577="",E3577="!!!",F3577="NEW"),"",INDEX(B3576:B$2,-1+SUMPRODUCT(MAX(ROW(E3576:E$2)*(E3577=E3576:E$2)))))</f>
        <v> </v>
      </c>
      <c r="J3577" s="26" t="str">
        <f>IF(OR(E3577="",E3577="!!!",F3577="NEW"),"",COUNTBLANK(OFFSET(A$1,,,SUMPRODUCT(MAX(ROW(E$2:E3577)*(E3577=E$2:E3577)))))-COUNTBLANK(OFFSET(A$1,,,SUMPRODUCT(MAX(ROW(E$1:E3576)*(E2=E$1:E3576))))))</f>
        <v> </v>
      </c>
      <c r="K3577" s="26" t="str">
        <f>IF(OR(E3577="",E3577="!!!",F3577="NEW"),"",INDEX(J$1:J3576,SUMPRODUCT(MAX(ROW(E$1:E3576)*(E3577=E$1:E3576)))))</f>
        <v> </v>
      </c>
      <c r="L3577" s="27"/>
    </row>
    <row r="3578" spans="1:12">
      <c r="A3578" s="20" t="s">
        <v>1034</v>
      </c>
      <c r="E3578" s="22">
        <f>IF(D3578="?OLD","!!!","")</f>
        <v/>
      </c>
      <c r="F3578" s="23" t="str">
        <f>IF(OR(E3578="",E3578="!!!"),"",IF(NOT(ISNA(VLOOKUP(E3578,E$1:E3577,1,FALSE()))),"OLD",IF(AND(E3578&lt;&gt;"",E3578&lt;&gt;"!!!"),"NEW","")))</f>
        <v> </v>
      </c>
      <c r="G3578" s="24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5" t="str">
        <f>IF(J3578&lt;&gt;1,"",IF(I3578="SBJ","CB","?"))</f>
        <v> </v>
      </c>
      <c r="I3578" s="26" t="str">
        <f>IF(OR(E3578="",E3578="!!!",F3578="NEW"),"",INDEX(B3577:B$2,-1+SUMPRODUCT(MAX(ROW(E3577:E$2)*(E3578=E3577:E$2)))))</f>
        <v> </v>
      </c>
      <c r="J3578" s="26" t="str">
        <f>IF(OR(E3578="",E3578="!!!",F3578="NEW"),"",COUNTBLANK(OFFSET(A$1,,,SUMPRODUCT(MAX(ROW(E$2:E3578)*(E3578=E$2:E3578)))))-COUNTBLANK(OFFSET(A$1,,,SUMPRODUCT(MAX(ROW(E$1:E3577)*(E2=E$1:E3577))))))</f>
        <v> </v>
      </c>
      <c r="K3578" s="26" t="str">
        <f>IF(OR(E3578="",E3578="!!!",F3578="NEW"),"",INDEX(J$1:J3577,SUMPRODUCT(MAX(ROW(E$1:E3577)*(E3578=E$1:E3577)))))</f>
        <v> </v>
      </c>
      <c r="L3578" s="27"/>
    </row>
    <row r="3579" spans="1:12">
      <c r="A3579" s="20" t="s">
        <v>283</v>
      </c>
      <c r="E3579" s="22">
        <f>IF(D3579="?OLD","!!!","")</f>
        <v/>
      </c>
      <c r="F3579" s="23" t="str">
        <f>IF(OR(E3579="",E3579="!!!"),"",IF(NOT(ISNA(VLOOKUP(E3579,E$1:E3578,1,FALSE()))),"OLD",IF(AND(E3579&lt;&gt;"",E3579&lt;&gt;"!!!"),"NEW","")))</f>
        <v> </v>
      </c>
      <c r="G3579" s="24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5" t="str">
        <f>IF(J3579&lt;&gt;1,"",IF(I3579="SBJ","CB","?"))</f>
        <v> </v>
      </c>
      <c r="I3579" s="26" t="str">
        <f>IF(OR(E3579="",E3579="!!!",F3579="NEW"),"",INDEX(B3578:B$2,-1+SUMPRODUCT(MAX(ROW(E3578:E$2)*(E3579=E3578:E$2)))))</f>
        <v> </v>
      </c>
      <c r="J3579" s="26" t="str">
        <f>IF(OR(E3579="",E3579="!!!",F3579="NEW"),"",COUNTBLANK(OFFSET(A$1,,,SUMPRODUCT(MAX(ROW(E$2:E3579)*(E3579=E$2:E3579)))))-COUNTBLANK(OFFSET(A$1,,,SUMPRODUCT(MAX(ROW(E$1:E3578)*(E2=E$1:E3578))))))</f>
        <v> </v>
      </c>
      <c r="K3579" s="26" t="str">
        <f>IF(OR(E3579="",E3579="!!!",F3579="NEW"),"",INDEX(J$1:J3578,SUMPRODUCT(MAX(ROW(E$1:E3578)*(E3579=E$1:E3578)))))</f>
        <v> </v>
      </c>
      <c r="L3579" s="27"/>
    </row>
    <row r="3580" spans="1:12">
      <c r="A3580" s="20" t="s">
        <v>1066</v>
      </c>
      <c r="E3580" s="22">
        <f>IF(D3580="?OLD","!!!","")</f>
        <v/>
      </c>
      <c r="F3580" s="23" t="str">
        <f>IF(OR(E3580="",E3580="!!!"),"",IF(NOT(ISNA(VLOOKUP(E3580,E$1:E3579,1,FALSE()))),"OLD",IF(AND(E3580&lt;&gt;"",E3580&lt;&gt;"!!!"),"NEW","")))</f>
        <v> </v>
      </c>
      <c r="G3580" s="24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5" t="str">
        <f>IF(J3580&lt;&gt;1,"",IF(I3580="SBJ","CB","?"))</f>
        <v> </v>
      </c>
      <c r="I3580" s="26" t="str">
        <f>IF(OR(E3580="",E3580="!!!",F3580="NEW"),"",INDEX(B3579:B$2,-1+SUMPRODUCT(MAX(ROW(E3579:E$2)*(E3580=E3579:E$2)))))</f>
        <v> </v>
      </c>
      <c r="J3580" s="26" t="str">
        <f>IF(OR(E3580="",E3580="!!!",F3580="NEW"),"",COUNTBLANK(OFFSET(A$1,,,SUMPRODUCT(MAX(ROW(E$2:E3580)*(E3580=E$2:E3580)))))-COUNTBLANK(OFFSET(A$1,,,SUMPRODUCT(MAX(ROW(E$1:E3579)*(E2=E$1:E3579))))))</f>
        <v> </v>
      </c>
      <c r="K3580" s="26" t="str">
        <f>IF(OR(E3580="",E3580="!!!",F3580="NEW"),"",INDEX(J$1:J3579,SUMPRODUCT(MAX(ROW(E$1:E3579)*(E3580=E$1:E3579)))))</f>
        <v> </v>
      </c>
      <c r="L3580" s="27"/>
    </row>
    <row r="3581" spans="1:12">
      <c r="A3581" s="20" t="s">
        <v>965</v>
      </c>
      <c r="E3581" s="22">
        <f>IF(D3581="?OLD","!!!","")</f>
        <v/>
      </c>
      <c r="F3581" s="23" t="str">
        <f>IF(OR(E3581="",E3581="!!!"),"",IF(NOT(ISNA(VLOOKUP(E3581,E$1:E3580,1,FALSE()))),"OLD",IF(AND(E3581&lt;&gt;"",E3581&lt;&gt;"!!!"),"NEW","")))</f>
        <v> </v>
      </c>
      <c r="G3581" s="24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5" t="str">
        <f>IF(J3581&lt;&gt;1,"",IF(I3581="SBJ","CB","?"))</f>
        <v> </v>
      </c>
      <c r="I3581" s="26" t="str">
        <f>IF(OR(E3581="",E3581="!!!",F3581="NEW"),"",INDEX(B3580:B$2,-1+SUMPRODUCT(MAX(ROW(E3580:E$2)*(E3581=E3580:E$2)))))</f>
        <v> </v>
      </c>
      <c r="J3581" s="26" t="str">
        <f>IF(OR(E3581="",E3581="!!!",F3581="NEW"),"",COUNTBLANK(OFFSET(A$1,,,SUMPRODUCT(MAX(ROW(E$2:E3581)*(E3581=E$2:E3581)))))-COUNTBLANK(OFFSET(A$1,,,SUMPRODUCT(MAX(ROW(E$1:E3580)*(E2=E$1:E3580))))))</f>
        <v> </v>
      </c>
      <c r="K3581" s="26" t="str">
        <f>IF(OR(E3581="",E3581="!!!",F3581="NEW"),"",INDEX(J$1:J3580,SUMPRODUCT(MAX(ROW(E$1:E3580)*(E3581=E$1:E3580)))))</f>
        <v> </v>
      </c>
      <c r="L3581" s="27"/>
    </row>
    <row r="3582" spans="1:12">
      <c r="A3582" s="20" t="s">
        <v>1093</v>
      </c>
      <c r="E3582" s="22">
        <f>IF(D3582="?OLD","!!!","")</f>
        <v/>
      </c>
      <c r="F3582" s="23" t="str">
        <f>IF(OR(E3582="",E3582="!!!"),"",IF(NOT(ISNA(VLOOKUP(E3582,E$1:E3581,1,FALSE()))),"OLD",IF(AND(E3582&lt;&gt;"",E3582&lt;&gt;"!!!"),"NEW","")))</f>
        <v> </v>
      </c>
      <c r="G3582" s="24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5" t="str">
        <f>IF(J3582&lt;&gt;1,"",IF(I3582="SBJ","CB","?"))</f>
        <v> </v>
      </c>
      <c r="I3582" s="26" t="str">
        <f>IF(OR(E3582="",E3582="!!!",F3582="NEW"),"",INDEX(B3581:B$2,-1+SUMPRODUCT(MAX(ROW(E3581:E$2)*(E3582=E3581:E$2)))))</f>
        <v> </v>
      </c>
      <c r="J3582" s="26" t="str">
        <f>IF(OR(E3582="",E3582="!!!",F3582="NEW"),"",COUNTBLANK(OFFSET(A$1,,,SUMPRODUCT(MAX(ROW(E$2:E3582)*(E3582=E$2:E3582)))))-COUNTBLANK(OFFSET(A$1,,,SUMPRODUCT(MAX(ROW(E$1:E3581)*(E2=E$1:E3581))))))</f>
        <v> </v>
      </c>
      <c r="K3582" s="26" t="str">
        <f>IF(OR(E3582="",E3582="!!!",F3582="NEW"),"",INDEX(J$1:J3581,SUMPRODUCT(MAX(ROW(E$1:E3581)*(E3582=E$1:E3581)))))</f>
        <v> </v>
      </c>
      <c r="L3582" s="27"/>
    </row>
    <row r="3583" spans="1:12">
      <c r="A3583" s="20" t="s">
        <v>1094</v>
      </c>
      <c r="B3583" s="21" t="s">
        <v>966</v>
      </c>
      <c r="C3583" s="21" t="s">
        <v>1032</v>
      </c>
      <c r="D3583" s="21" t="s">
        <v>950</v>
      </c>
      <c r="E3583" s="22">
        <f>IF(D3583="?OLD","!!!","")</f>
        <v/>
      </c>
      <c r="F3583" s="23" t="str">
        <f>IF(OR(E3583="",E3583="!!!"),"",IF(NOT(ISNA(VLOOKUP(E3583,E$1:E3582,1,FALSE()))),"OLD",IF(AND(E3583&lt;&gt;"",E3583&lt;&gt;"!!!"),"NEW","")))</f>
        <v> </v>
      </c>
      <c r="G3583" s="24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5" t="str">
        <f>IF(J3583&lt;&gt;1,"",IF(I3583="SBJ","CB","?"))</f>
        <v> </v>
      </c>
      <c r="I3583" s="26" t="str">
        <f>IF(OR(E3583="",E3583="!!!",F3583="NEW"),"",INDEX(B3582:B$2,-1+SUMPRODUCT(MAX(ROW(E3582:E$2)*(E3583=E3582:E$2)))))</f>
        <v> </v>
      </c>
      <c r="J3583" s="26" t="str">
        <f>IF(OR(E3583="",E3583="!!!",F3583="NEW"),"",COUNTBLANK(OFFSET(A$1,,,SUMPRODUCT(MAX(ROW(E$2:E3583)*(E3583=E$2:E3583)))))-COUNTBLANK(OFFSET(A$1,,,SUMPRODUCT(MAX(ROW(E$1:E3582)*(E2=E$1:E3582))))))</f>
        <v> </v>
      </c>
      <c r="K3583" s="26" t="str">
        <f>IF(OR(E3583="",E3583="!!!",F3583="NEW"),"",INDEX(J$1:J3582,SUMPRODUCT(MAX(ROW(E$1:E3582)*(E3583=E$1:E3582)))))</f>
        <v> </v>
      </c>
      <c r="L3583" s="27"/>
    </row>
    <row r="3584" spans="1:12">
      <c r="A3584" s="20" t="s">
        <v>1988</v>
      </c>
      <c r="E3584" s="22">
        <f>IF(D3584="?OLD","!!!","")</f>
        <v/>
      </c>
      <c r="F3584" s="23" t="str">
        <f>IF(OR(E3584="",E3584="!!!"),"",IF(NOT(ISNA(VLOOKUP(E3584,E$1:E3583,1,FALSE()))),"OLD",IF(AND(E3584&lt;&gt;"",E3584&lt;&gt;"!!!"),"NEW","")))</f>
        <v> </v>
      </c>
      <c r="G3584" s="24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5" t="str">
        <f>IF(J3584&lt;&gt;1,"",IF(I3584="SBJ","CB","?"))</f>
        <v> </v>
      </c>
      <c r="I3584" s="26" t="str">
        <f>IF(OR(E3584="",E3584="!!!",F3584="NEW"),"",INDEX(B3583:B$2,-1+SUMPRODUCT(MAX(ROW(E3583:E$2)*(E3584=E3583:E$2)))))</f>
        <v> </v>
      </c>
      <c r="J3584" s="26" t="str">
        <f>IF(OR(E3584="",E3584="!!!",F3584="NEW"),"",COUNTBLANK(OFFSET(A$1,,,SUMPRODUCT(MAX(ROW(E$2:E3584)*(E3584=E$2:E3584)))))-COUNTBLANK(OFFSET(A$1,,,SUMPRODUCT(MAX(ROW(E$1:E3583)*(E2=E$1:E3583))))))</f>
        <v> </v>
      </c>
      <c r="K3584" s="26" t="str">
        <f>IF(OR(E3584="",E3584="!!!",F3584="NEW"),"",INDEX(J$1:J3583,SUMPRODUCT(MAX(ROW(E$1:E3583)*(E3584=E$1:E3583)))))</f>
        <v> </v>
      </c>
      <c r="L3584" s="27"/>
    </row>
    <row r="3585" spans="1:12">
      <c r="A3585" s="20" t="s">
        <v>998</v>
      </c>
      <c r="E3585" s="22">
        <f>IF(D3585="?OLD","!!!","")</f>
        <v/>
      </c>
      <c r="F3585" s="23" t="str">
        <f>IF(OR(E3585="",E3585="!!!"),"",IF(NOT(ISNA(VLOOKUP(E3585,E$1:E3584,1,FALSE()))),"OLD",IF(AND(E3585&lt;&gt;"",E3585&lt;&gt;"!!!"),"NEW","")))</f>
        <v> </v>
      </c>
      <c r="G3585" s="24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5" t="str">
        <f>IF(J3585&lt;&gt;1,"",IF(I3585="SBJ","CB","?"))</f>
        <v> </v>
      </c>
      <c r="I3585" s="26" t="str">
        <f>IF(OR(E3585="",E3585="!!!",F3585="NEW"),"",INDEX(B3584:B$2,-1+SUMPRODUCT(MAX(ROW(E3584:E$2)*(E3585=E3584:E$2)))))</f>
        <v> </v>
      </c>
      <c r="J3585" s="26" t="str">
        <f>IF(OR(E3585="",E3585="!!!",F3585="NEW"),"",COUNTBLANK(OFFSET(A$1,,,SUMPRODUCT(MAX(ROW(E$2:E3585)*(E3585=E$2:E3585)))))-COUNTBLANK(OFFSET(A$1,,,SUMPRODUCT(MAX(ROW(E$1:E3584)*(E2=E$1:E3584))))))</f>
        <v> </v>
      </c>
      <c r="K3585" s="26" t="str">
        <f>IF(OR(E3585="",E3585="!!!",F3585="NEW"),"",INDEX(J$1:J3584,SUMPRODUCT(MAX(ROW(E$1:E3584)*(E3585=E$1:E3584)))))</f>
        <v> </v>
      </c>
      <c r="L3585" s="27"/>
    </row>
    <row r="3586" spans="1:12">
      <c r="A3586" s="20" t="s">
        <v>1093</v>
      </c>
      <c r="E3586" s="22">
        <f>IF(D3586="?OLD","!!!","")</f>
        <v/>
      </c>
      <c r="F3586" s="23" t="str">
        <f>IF(OR(E3586="",E3586="!!!"),"",IF(NOT(ISNA(VLOOKUP(E3586,E$1:E3585,1,FALSE()))),"OLD",IF(AND(E3586&lt;&gt;"",E3586&lt;&gt;"!!!"),"NEW","")))</f>
        <v> </v>
      </c>
      <c r="G3586" s="24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5" t="str">
        <f>IF(J3586&lt;&gt;1,"",IF(I3586="SBJ","CB","?"))</f>
        <v> </v>
      </c>
      <c r="I3586" s="26" t="str">
        <f>IF(OR(E3586="",E3586="!!!",F3586="NEW"),"",INDEX(B3585:B$2,-1+SUMPRODUCT(MAX(ROW(E3585:E$2)*(E3586=E3585:E$2)))))</f>
        <v> </v>
      </c>
      <c r="J3586" s="26" t="str">
        <f>IF(OR(E3586="",E3586="!!!",F3586="NEW"),"",COUNTBLANK(OFFSET(A$1,,,SUMPRODUCT(MAX(ROW(E$2:E3586)*(E3586=E$2:E3586)))))-COUNTBLANK(OFFSET(A$1,,,SUMPRODUCT(MAX(ROW(E$1:E3585)*(E2=E$1:E3585))))))</f>
        <v> </v>
      </c>
      <c r="K3586" s="26" t="str">
        <f>IF(OR(E3586="",E3586="!!!",F3586="NEW"),"",INDEX(J$1:J3585,SUMPRODUCT(MAX(ROW(E$1:E3585)*(E3586=E$1:E3585)))))</f>
        <v> </v>
      </c>
      <c r="L3586" s="27"/>
    </row>
    <row r="3587" spans="1:12">
      <c r="A3587" s="20" t="s">
        <v>1683</v>
      </c>
      <c r="B3587" s="21" t="s">
        <v>1005</v>
      </c>
      <c r="C3587" s="21" t="s">
        <v>1032</v>
      </c>
      <c r="D3587" s="21" t="s">
        <v>950</v>
      </c>
      <c r="E3587" s="22">
        <f>IF(D3587="?OLD","!!!","")</f>
        <v/>
      </c>
      <c r="F3587" s="23" t="str">
        <f>IF(OR(E3587="",E3587="!!!"),"",IF(NOT(ISNA(VLOOKUP(E3587,E$1:E3586,1,FALSE()))),"OLD",IF(AND(E3587&lt;&gt;"",E3587&lt;&gt;"!!!"),"NEW","")))</f>
        <v> </v>
      </c>
      <c r="G3587" s="24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5" t="str">
        <f>IF(J3587&lt;&gt;1,"",IF(I3587="SBJ","CB","?"))</f>
        <v> </v>
      </c>
      <c r="I3587" s="26" t="str">
        <f>IF(OR(E3587="",E3587="!!!",F3587="NEW"),"",INDEX(B3586:B$2,-1+SUMPRODUCT(MAX(ROW(E3586:E$2)*(E3587=E3586:E$2)))))</f>
        <v> </v>
      </c>
      <c r="J3587" s="26" t="str">
        <f>IF(OR(E3587="",E3587="!!!",F3587="NEW"),"",COUNTBLANK(OFFSET(A$1,,,SUMPRODUCT(MAX(ROW(E$2:E3587)*(E3587=E$2:E3587)))))-COUNTBLANK(OFFSET(A$1,,,SUMPRODUCT(MAX(ROW(E$1:E3586)*(E2=E$1:E3586))))))</f>
        <v> </v>
      </c>
      <c r="K3587" s="26" t="str">
        <f>IF(OR(E3587="",E3587="!!!",F3587="NEW"),"",INDEX(J$1:J3586,SUMPRODUCT(MAX(ROW(E$1:E3586)*(E3587=E$1:E3586)))))</f>
        <v> </v>
      </c>
      <c r="L3587" s="27"/>
    </row>
    <row r="3588" spans="1:12">
      <c r="A3588" s="20" t="s">
        <v>1068</v>
      </c>
      <c r="E3588" s="22">
        <f>IF(D3588="?OLD","!!!","")</f>
        <v/>
      </c>
      <c r="F3588" s="23" t="str">
        <f>IF(OR(E3588="",E3588="!!!"),"",IF(NOT(ISNA(VLOOKUP(E3588,E$1:E3587,1,FALSE()))),"OLD",IF(AND(E3588&lt;&gt;"",E3588&lt;&gt;"!!!"),"NEW","")))</f>
        <v> </v>
      </c>
      <c r="G3588" s="24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5" t="str">
        <f>IF(J3588&lt;&gt;1,"",IF(I3588="SBJ","CB","?"))</f>
        <v> </v>
      </c>
      <c r="I3588" s="26" t="str">
        <f>IF(OR(E3588="",E3588="!!!",F3588="NEW"),"",INDEX(B3587:B$2,-1+SUMPRODUCT(MAX(ROW(E3587:E$2)*(E3588=E3587:E$2)))))</f>
        <v> </v>
      </c>
      <c r="J3588" s="26" t="str">
        <f>IF(OR(E3588="",E3588="!!!",F3588="NEW"),"",COUNTBLANK(OFFSET(A$1,,,SUMPRODUCT(MAX(ROW(E$2:E3588)*(E3588=E$2:E3588)))))-COUNTBLANK(OFFSET(A$1,,,SUMPRODUCT(MAX(ROW(E$1:E3587)*(E2=E$1:E3587))))))</f>
        <v> </v>
      </c>
      <c r="K3588" s="26" t="str">
        <f>IF(OR(E3588="",E3588="!!!",F3588="NEW"),"",INDEX(J$1:J3587,SUMPRODUCT(MAX(ROW(E$1:E3587)*(E3588=E$1:E3587)))))</f>
        <v> </v>
      </c>
      <c r="L3588" s="27"/>
    </row>
    <row r="3589" spans="1:12">
      <c r="A3589" s="20"/>
    </row>
    <row r="3590" spans="1:12">
      <c r="A3590" s="20" t="s">
        <v>1989</v>
      </c>
    </row>
    <row r="3591" spans="1:12">
      <c r="A3591" s="20" t="s">
        <v>1016</v>
      </c>
      <c r="B3591" s="21" t="s">
        <v>948</v>
      </c>
      <c r="C3591" s="21" t="s">
        <v>949</v>
      </c>
      <c r="D3591" s="21" t="s">
        <v>950</v>
      </c>
      <c r="E3591" s="22">
        <f>IF(D3591="?OLD","!!!","")</f>
        <v/>
      </c>
      <c r="F3591" s="23" t="str">
        <f>IF(OR(E3591="",E3591="!!!"),"",IF(NOT(ISNA(VLOOKUP(E3591,E$1:E3590,1,FALSE()))),"OLD",IF(AND(E3591&lt;&gt;"",E3591&lt;&gt;"!!!"),"NEW","")))</f>
        <v> </v>
      </c>
      <c r="G3591" s="24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5" t="str">
        <f>IF(J3591&lt;&gt;1,"",IF(I3591="SBJ","CB","?"))</f>
        <v> </v>
      </c>
      <c r="I3591" s="26" t="str">
        <f>IF(OR(E3591="",E3591="!!!",F3591="NEW"),"",INDEX(B3590:B$2,-1+SUMPRODUCT(MAX(ROW(E3590:E$2)*(E3591=E3590:E$2)))))</f>
        <v> </v>
      </c>
      <c r="J3591" s="26" t="str">
        <f>IF(OR(E3591="",E3591="!!!",F3591="NEW"),"",COUNTBLANK(OFFSET(A$1,,,SUMPRODUCT(MAX(ROW(E$2:E3591)*(E3591=E$2:E3591)))))-COUNTBLANK(OFFSET(A$1,,,SUMPRODUCT(MAX(ROW(E$1:E3590)*(E2=E$1:E3590))))))</f>
        <v> </v>
      </c>
      <c r="K3591" s="26" t="str">
        <f>IF(OR(E3591="",E3591="!!!",F3591="NEW"),"",INDEX(J$1:J3590,SUMPRODUCT(MAX(ROW(E$1:E3590)*(E3591=E$1:E3590)))))</f>
        <v> </v>
      </c>
      <c r="L3591" s="27"/>
    </row>
    <row r="3592" spans="1:12">
      <c r="A3592" s="20" t="s">
        <v>952</v>
      </c>
      <c r="E3592" s="22">
        <f>IF(D3592="?OLD","!!!","")</f>
        <v/>
      </c>
      <c r="F3592" s="23" t="str">
        <f>IF(OR(E3592="",E3592="!!!"),"",IF(NOT(ISNA(VLOOKUP(E3592,E$1:E3591,1,FALSE()))),"OLD",IF(AND(E3592&lt;&gt;"",E3592&lt;&gt;"!!!"),"NEW","")))</f>
        <v> </v>
      </c>
      <c r="G3592" s="24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5" t="str">
        <f>IF(J3592&lt;&gt;1,"",IF(I3592="SBJ","CB","?"))</f>
        <v> </v>
      </c>
      <c r="I3592" s="26" t="str">
        <f>IF(OR(E3592="",E3592="!!!",F3592="NEW"),"",INDEX(B3591:B$2,-1+SUMPRODUCT(MAX(ROW(E3591:E$2)*(E3592=E3591:E$2)))))</f>
        <v> </v>
      </c>
      <c r="J3592" s="26" t="str">
        <f>IF(OR(E3592="",E3592="!!!",F3592="NEW"),"",COUNTBLANK(OFFSET(A$1,,,SUMPRODUCT(MAX(ROW(E$2:E3592)*(E3592=E$2:E3592)))))-COUNTBLANK(OFFSET(A$1,,,SUMPRODUCT(MAX(ROW(E$1:E3591)*(E2=E$1:E3591))))))</f>
        <v> </v>
      </c>
      <c r="K3592" s="26" t="str">
        <f>IF(OR(E3592="",E3592="!!!",F3592="NEW"),"",INDEX(J$1:J3591,SUMPRODUCT(MAX(ROW(E$1:E3591)*(E3592=E$1:E3591)))))</f>
        <v> </v>
      </c>
      <c r="L3592" s="27"/>
    </row>
    <row r="3593" spans="1:12">
      <c r="A3593" s="20" t="s">
        <v>1301</v>
      </c>
      <c r="E3593" s="22">
        <f>IF(D3593="?OLD","!!!","")</f>
        <v/>
      </c>
      <c r="F3593" s="23" t="str">
        <f>IF(OR(E3593="",E3593="!!!"),"",IF(NOT(ISNA(VLOOKUP(E3593,E$1:E3592,1,FALSE()))),"OLD",IF(AND(E3593&lt;&gt;"",E3593&lt;&gt;"!!!"),"NEW","")))</f>
        <v> </v>
      </c>
      <c r="G3593" s="24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5" t="str">
        <f>IF(J3593&lt;&gt;1,"",IF(I3593="SBJ","CB","?"))</f>
        <v> </v>
      </c>
      <c r="I3593" s="26" t="str">
        <f>IF(OR(E3593="",E3593="!!!",F3593="NEW"),"",INDEX(B3592:B$2,-1+SUMPRODUCT(MAX(ROW(E3592:E$2)*(E3593=E3592:E$2)))))</f>
        <v> </v>
      </c>
      <c r="J3593" s="26" t="str">
        <f>IF(OR(E3593="",E3593="!!!",F3593="NEW"),"",COUNTBLANK(OFFSET(A$1,,,SUMPRODUCT(MAX(ROW(E$2:E3593)*(E3593=E$2:E3593)))))-COUNTBLANK(OFFSET(A$1,,,SUMPRODUCT(MAX(ROW(E$1:E3592)*(E2=E$1:E3592))))))</f>
        <v> </v>
      </c>
      <c r="K3593" s="26" t="str">
        <f>IF(OR(E3593="",E3593="!!!",F3593="NEW"),"",INDEX(J$1:J3592,SUMPRODUCT(MAX(ROW(E$1:E3592)*(E3593=E$1:E3592)))))</f>
        <v> </v>
      </c>
      <c r="L3593" s="27"/>
    </row>
    <row r="3594" spans="1:12">
      <c r="A3594" s="20" t="s">
        <v>1990</v>
      </c>
      <c r="E3594" s="22">
        <f>IF(D3594="?OLD","!!!","")</f>
        <v/>
      </c>
      <c r="F3594" s="23" t="str">
        <f>IF(OR(E3594="",E3594="!!!"),"",IF(NOT(ISNA(VLOOKUP(E3594,E$1:E3593,1,FALSE()))),"OLD",IF(AND(E3594&lt;&gt;"",E3594&lt;&gt;"!!!"),"NEW","")))</f>
        <v> </v>
      </c>
      <c r="G3594" s="24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5" t="str">
        <f>IF(J3594&lt;&gt;1,"",IF(I3594="SBJ","CB","?"))</f>
        <v> </v>
      </c>
      <c r="I3594" s="26" t="str">
        <f>IF(OR(E3594="",E3594="!!!",F3594="NEW"),"",INDEX(B3593:B$2,-1+SUMPRODUCT(MAX(ROW(E3593:E$2)*(E3594=E3593:E$2)))))</f>
        <v> </v>
      </c>
      <c r="J3594" s="26" t="str">
        <f>IF(OR(E3594="",E3594="!!!",F3594="NEW"),"",COUNTBLANK(OFFSET(A$1,,,SUMPRODUCT(MAX(ROW(E$2:E3594)*(E3594=E$2:E3594)))))-COUNTBLANK(OFFSET(A$1,,,SUMPRODUCT(MAX(ROW(E$1:E3593)*(E2=E$1:E3593))))))</f>
        <v> </v>
      </c>
      <c r="K3594" s="26" t="str">
        <f>IF(OR(E3594="",E3594="!!!",F3594="NEW"),"",INDEX(J$1:J3593,SUMPRODUCT(MAX(ROW(E$1:E3593)*(E3594=E$1:E3593)))))</f>
        <v> </v>
      </c>
      <c r="L3594" s="27"/>
    </row>
    <row r="3595" spans="1:12">
      <c r="A3595" s="20" t="s">
        <v>1246</v>
      </c>
      <c r="E3595" s="22">
        <f>IF(D3595="?OLD","!!!","")</f>
        <v/>
      </c>
      <c r="F3595" s="23" t="str">
        <f>IF(OR(E3595="",E3595="!!!"),"",IF(NOT(ISNA(VLOOKUP(E3595,E$1:E3594,1,FALSE()))),"OLD",IF(AND(E3595&lt;&gt;"",E3595&lt;&gt;"!!!"),"NEW","")))</f>
        <v> </v>
      </c>
      <c r="G3595" s="24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5" t="str">
        <f>IF(J3595&lt;&gt;1,"",IF(I3595="SBJ","CB","?"))</f>
        <v> </v>
      </c>
      <c r="I3595" s="26" t="str">
        <f>IF(OR(E3595="",E3595="!!!",F3595="NEW"),"",INDEX(B3594:B$2,-1+SUMPRODUCT(MAX(ROW(E3594:E$2)*(E3595=E3594:E$2)))))</f>
        <v> </v>
      </c>
      <c r="J3595" s="26" t="str">
        <f>IF(OR(E3595="",E3595="!!!",F3595="NEW"),"",COUNTBLANK(OFFSET(A$1,,,SUMPRODUCT(MAX(ROW(E$2:E3595)*(E3595=E$2:E3595)))))-COUNTBLANK(OFFSET(A$1,,,SUMPRODUCT(MAX(ROW(E$1:E3594)*(E2=E$1:E3594))))))</f>
        <v> </v>
      </c>
      <c r="K3595" s="26" t="str">
        <f>IF(OR(E3595="",E3595="!!!",F3595="NEW"),"",INDEX(J$1:J3594,SUMPRODUCT(MAX(ROW(E$1:E3594)*(E3595=E$1:E3594)))))</f>
        <v> </v>
      </c>
      <c r="L3595" s="27"/>
    </row>
    <row r="3596" spans="1:12">
      <c r="A3596" s="20" t="s">
        <v>961</v>
      </c>
      <c r="E3596" s="22">
        <f>IF(D3596="?OLD","!!!","")</f>
        <v/>
      </c>
      <c r="F3596" s="23" t="str">
        <f>IF(OR(E3596="",E3596="!!!"),"",IF(NOT(ISNA(VLOOKUP(E3596,E$1:E3595,1,FALSE()))),"OLD",IF(AND(E3596&lt;&gt;"",E3596&lt;&gt;"!!!"),"NEW","")))</f>
        <v> </v>
      </c>
      <c r="G3596" s="24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5" t="str">
        <f>IF(J3596&lt;&gt;1,"",IF(I3596="SBJ","CB","?"))</f>
        <v> </v>
      </c>
      <c r="I3596" s="26" t="str">
        <f>IF(OR(E3596="",E3596="!!!",F3596="NEW"),"",INDEX(B3595:B$2,-1+SUMPRODUCT(MAX(ROW(E3595:E$2)*(E3596=E3595:E$2)))))</f>
        <v> </v>
      </c>
      <c r="J3596" s="26" t="str">
        <f>IF(OR(E3596="",E3596="!!!",F3596="NEW"),"",COUNTBLANK(OFFSET(A$1,,,SUMPRODUCT(MAX(ROW(E$2:E3596)*(E3596=E$2:E3596)))))-COUNTBLANK(OFFSET(A$1,,,SUMPRODUCT(MAX(ROW(E$1:E3595)*(E2=E$1:E3595))))))</f>
        <v> </v>
      </c>
      <c r="K3596" s="26" t="str">
        <f>IF(OR(E3596="",E3596="!!!",F3596="NEW"),"",INDEX(J$1:J3595,SUMPRODUCT(MAX(ROW(E$1:E3595)*(E3596=E$1:E3595)))))</f>
        <v> </v>
      </c>
      <c r="L3596" s="27"/>
    </row>
    <row r="3597" spans="1:12">
      <c r="A3597" s="20" t="s">
        <v>1263</v>
      </c>
      <c r="B3597" s="21" t="s">
        <v>975</v>
      </c>
      <c r="C3597" s="21" t="s">
        <v>964</v>
      </c>
      <c r="E3597" s="22">
        <f>IF(D3597="?OLD","!!!","")</f>
        <v/>
      </c>
      <c r="F3597" s="23" t="str">
        <f>IF(OR(E3597="",E3597="!!!"),"",IF(NOT(ISNA(VLOOKUP(E3597,E$1:E3596,1,FALSE()))),"OLD",IF(AND(E3597&lt;&gt;"",E3597&lt;&gt;"!!!"),"NEW","")))</f>
        <v> </v>
      </c>
      <c r="G3597" s="24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5" t="str">
        <f>IF(J3597&lt;&gt;1,"",IF(I3597="SBJ","CB","?"))</f>
        <v> </v>
      </c>
      <c r="I3597" s="26" t="str">
        <f>IF(OR(E3597="",E3597="!!!",F3597="NEW"),"",INDEX(B3596:B$2,-1+SUMPRODUCT(MAX(ROW(E3596:E$2)*(E3597=E3596:E$2)))))</f>
        <v> </v>
      </c>
      <c r="J3597" s="26" t="str">
        <f>IF(OR(E3597="",E3597="!!!",F3597="NEW"),"",COUNTBLANK(OFFSET(A$1,,,SUMPRODUCT(MAX(ROW(E$2:E3597)*(E3597=E$2:E3597)))))-COUNTBLANK(OFFSET(A$1,,,SUMPRODUCT(MAX(ROW(E$1:E3596)*(E2=E$1:E3596))))))</f>
        <v> </v>
      </c>
      <c r="K3597" s="26" t="str">
        <f>IF(OR(E3597="",E3597="!!!",F3597="NEW"),"",INDEX(J$1:J3596,SUMPRODUCT(MAX(ROW(E$1:E3596)*(E3597=E$1:E3596)))))</f>
        <v> </v>
      </c>
      <c r="L3597" s="27"/>
    </row>
    <row r="3598" spans="1:12">
      <c r="A3598" s="20" t="s">
        <v>984</v>
      </c>
      <c r="E3598" s="22">
        <f>IF(D3598="?OLD","!!!","")</f>
        <v/>
      </c>
      <c r="F3598" s="23" t="str">
        <f>IF(OR(E3598="",E3598="!!!"),"",IF(NOT(ISNA(VLOOKUP(E3598,E$1:E3597,1,FALSE()))),"OLD",IF(AND(E3598&lt;&gt;"",E3598&lt;&gt;"!!!"),"NEW","")))</f>
        <v> </v>
      </c>
      <c r="G3598" s="24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5" t="str">
        <f>IF(J3598&lt;&gt;1,"",IF(I3598="SBJ","CB","?"))</f>
        <v> </v>
      </c>
      <c r="I3598" s="26" t="str">
        <f>IF(OR(E3598="",E3598="!!!",F3598="NEW"),"",INDEX(B3597:B$2,-1+SUMPRODUCT(MAX(ROW(E3597:E$2)*(E3598=E3597:E$2)))))</f>
        <v> </v>
      </c>
      <c r="J3598" s="26" t="str">
        <f>IF(OR(E3598="",E3598="!!!",F3598="NEW"),"",COUNTBLANK(OFFSET(A$1,,,SUMPRODUCT(MAX(ROW(E$2:E3598)*(E3598=E$2:E3598)))))-COUNTBLANK(OFFSET(A$1,,,SUMPRODUCT(MAX(ROW(E$1:E3597)*(E2=E$1:E3597))))))</f>
        <v> </v>
      </c>
      <c r="K3598" s="26" t="str">
        <f>IF(OR(E3598="",E3598="!!!",F3598="NEW"),"",INDEX(J$1:J3597,SUMPRODUCT(MAX(ROW(E$1:E3597)*(E3598=E$1:E3597)))))</f>
        <v> </v>
      </c>
      <c r="L3598" s="27"/>
    </row>
    <row r="3599" spans="1:12">
      <c r="A3599" s="20"/>
    </row>
    <row r="3600" spans="1:12">
      <c r="A3600" s="20" t="s">
        <v>1991</v>
      </c>
    </row>
    <row r="3601" spans="1:12">
      <c r="A3601" s="20" t="s">
        <v>1070</v>
      </c>
      <c r="B3601" s="21" t="s">
        <v>948</v>
      </c>
      <c r="C3601" s="21" t="s">
        <v>983</v>
      </c>
      <c r="E3601" s="22">
        <f>IF(D3601="?OLD","!!!","")</f>
        <v/>
      </c>
      <c r="F3601" s="23" t="str">
        <f>IF(OR(E3601="",E3601="!!!"),"",IF(NOT(ISNA(VLOOKUP(E3601,E$1:E3600,1,FALSE()))),"OLD",IF(AND(E3601&lt;&gt;"",E3601&lt;&gt;"!!!"),"NEW","")))</f>
        <v> </v>
      </c>
      <c r="G3601" s="24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5" t="str">
        <f>IF(J3601&lt;&gt;1,"",IF(I3601="SBJ","CB","?"))</f>
        <v> </v>
      </c>
      <c r="I3601" s="26" t="str">
        <f>IF(OR(E3601="",E3601="!!!",F3601="NEW"),"",INDEX(B3600:B$2,-1+SUMPRODUCT(MAX(ROW(E3600:E$2)*(E3601=E3600:E$2)))))</f>
        <v> </v>
      </c>
      <c r="J3601" s="26" t="str">
        <f>IF(OR(E3601="",E3601="!!!",F3601="NEW"),"",COUNTBLANK(OFFSET(A$1,,,SUMPRODUCT(MAX(ROW(E$2:E3601)*(E3601=E$2:E3601)))))-COUNTBLANK(OFFSET(A$1,,,SUMPRODUCT(MAX(ROW(E$1:E3600)*(E2=E$1:E3600))))))</f>
        <v> </v>
      </c>
      <c r="K3601" s="26" t="str">
        <f>IF(OR(E3601="",E3601="!!!",F3601="NEW"),"",INDEX(J$1:J3600,SUMPRODUCT(MAX(ROW(E$1:E3600)*(E3601=E$1:E3600)))))</f>
        <v> </v>
      </c>
      <c r="L3601" s="27"/>
    </row>
    <row r="3602" spans="1:12">
      <c r="A3602" s="20" t="s">
        <v>952</v>
      </c>
      <c r="E3602" s="22">
        <f>IF(D3602="?OLD","!!!","")</f>
        <v/>
      </c>
      <c r="F3602" s="23" t="str">
        <f>IF(OR(E3602="",E3602="!!!"),"",IF(NOT(ISNA(VLOOKUP(E3602,E$1:E3601,1,FALSE()))),"OLD",IF(AND(E3602&lt;&gt;"",E3602&lt;&gt;"!!!"),"NEW","")))</f>
        <v> </v>
      </c>
      <c r="G3602" s="24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5" t="str">
        <f>IF(J3602&lt;&gt;1,"",IF(I3602="SBJ","CB","?"))</f>
        <v> </v>
      </c>
      <c r="I3602" s="26" t="str">
        <f>IF(OR(E3602="",E3602="!!!",F3602="NEW"),"",INDEX(B3601:B$2,-1+SUMPRODUCT(MAX(ROW(E3601:E$2)*(E3602=E3601:E$2)))))</f>
        <v> </v>
      </c>
      <c r="J3602" s="26" t="str">
        <f>IF(OR(E3602="",E3602="!!!",F3602="NEW"),"",COUNTBLANK(OFFSET(A$1,,,SUMPRODUCT(MAX(ROW(E$2:E3602)*(E3602=E$2:E3602)))))-COUNTBLANK(OFFSET(A$1,,,SUMPRODUCT(MAX(ROW(E$1:E3601)*(E2=E$1:E3601))))))</f>
        <v> </v>
      </c>
      <c r="K3602" s="26" t="str">
        <f>IF(OR(E3602="",E3602="!!!",F3602="NEW"),"",INDEX(J$1:J3601,SUMPRODUCT(MAX(ROW(E$1:E3601)*(E3602=E$1:E3601)))))</f>
        <v> </v>
      </c>
      <c r="L3602" s="27"/>
    </row>
    <row r="3603" spans="1:12">
      <c r="A3603" s="20" t="s">
        <v>1394</v>
      </c>
      <c r="E3603" s="22">
        <f>IF(D3603="?OLD","!!!","")</f>
        <v/>
      </c>
      <c r="F3603" s="23" t="str">
        <f>IF(OR(E3603="",E3603="!!!"),"",IF(NOT(ISNA(VLOOKUP(E3603,E$1:E3602,1,FALSE()))),"OLD",IF(AND(E3603&lt;&gt;"",E3603&lt;&gt;"!!!"),"NEW","")))</f>
        <v> </v>
      </c>
      <c r="G3603" s="24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5" t="str">
        <f>IF(J3603&lt;&gt;1,"",IF(I3603="SBJ","CB","?"))</f>
        <v> </v>
      </c>
      <c r="I3603" s="26" t="str">
        <f>IF(OR(E3603="",E3603="!!!",F3603="NEW"),"",INDEX(B3602:B$2,-1+SUMPRODUCT(MAX(ROW(E3602:E$2)*(E3603=E3602:E$2)))))</f>
        <v> </v>
      </c>
      <c r="J3603" s="26" t="str">
        <f>IF(OR(E3603="",E3603="!!!",F3603="NEW"),"",COUNTBLANK(OFFSET(A$1,,,SUMPRODUCT(MAX(ROW(E$2:E3603)*(E3603=E$2:E3603)))))-COUNTBLANK(OFFSET(A$1,,,SUMPRODUCT(MAX(ROW(E$1:E3602)*(E2=E$1:E3602))))))</f>
        <v> </v>
      </c>
      <c r="K3603" s="26" t="str">
        <f>IF(OR(E3603="",E3603="!!!",F3603="NEW"),"",INDEX(J$1:J3602,SUMPRODUCT(MAX(ROW(E$1:E3602)*(E3603=E$1:E3602)))))</f>
        <v> </v>
      </c>
      <c r="L3603" s="27"/>
    </row>
    <row r="3604" spans="1:12">
      <c r="A3604" s="20" t="s">
        <v>1000</v>
      </c>
      <c r="E3604" s="22">
        <f>IF(D3604="?OLD","!!!","")</f>
        <v/>
      </c>
      <c r="F3604" s="23" t="str">
        <f>IF(OR(E3604="",E3604="!!!"),"",IF(NOT(ISNA(VLOOKUP(E3604,E$1:E3603,1,FALSE()))),"OLD",IF(AND(E3604&lt;&gt;"",E3604&lt;&gt;"!!!"),"NEW","")))</f>
        <v> </v>
      </c>
      <c r="G3604" s="24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5" t="str">
        <f>IF(J3604&lt;&gt;1,"",IF(I3604="SBJ","CB","?"))</f>
        <v> </v>
      </c>
      <c r="I3604" s="26" t="str">
        <f>IF(OR(E3604="",E3604="!!!",F3604="NEW"),"",INDEX(B3603:B$2,-1+SUMPRODUCT(MAX(ROW(E3603:E$2)*(E3604=E3603:E$2)))))</f>
        <v> </v>
      </c>
      <c r="J3604" s="26" t="str">
        <f>IF(OR(E3604="",E3604="!!!",F3604="NEW"),"",COUNTBLANK(OFFSET(A$1,,,SUMPRODUCT(MAX(ROW(E$2:E3604)*(E3604=E$2:E3604)))))-COUNTBLANK(OFFSET(A$1,,,SUMPRODUCT(MAX(ROW(E$1:E3603)*(E2=E$1:E3603))))))</f>
        <v> </v>
      </c>
      <c r="K3604" s="26" t="str">
        <f>IF(OR(E3604="",E3604="!!!",F3604="NEW"),"",INDEX(J$1:J3603,SUMPRODUCT(MAX(ROW(E$1:E3603)*(E3604=E$1:E3603)))))</f>
        <v> </v>
      </c>
      <c r="L3604" s="27"/>
    </row>
    <row r="3605" spans="1:12">
      <c r="A3605" s="20" t="s">
        <v>1018</v>
      </c>
      <c r="E3605" s="22">
        <f>IF(D3605="?OLD","!!!","")</f>
        <v/>
      </c>
      <c r="F3605" s="23" t="str">
        <f>IF(OR(E3605="",E3605="!!!"),"",IF(NOT(ISNA(VLOOKUP(E3605,E$1:E3604,1,FALSE()))),"OLD",IF(AND(E3605&lt;&gt;"",E3605&lt;&gt;"!!!"),"NEW","")))</f>
        <v> </v>
      </c>
      <c r="G3605" s="24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5" t="str">
        <f>IF(J3605&lt;&gt;1,"",IF(I3605="SBJ","CB","?"))</f>
        <v> </v>
      </c>
      <c r="I3605" s="26" t="str">
        <f>IF(OR(E3605="",E3605="!!!",F3605="NEW"),"",INDEX(B3604:B$2,-1+SUMPRODUCT(MAX(ROW(E3604:E$2)*(E3605=E3604:E$2)))))</f>
        <v> </v>
      </c>
      <c r="J3605" s="26" t="str">
        <f>IF(OR(E3605="",E3605="!!!",F3605="NEW"),"",COUNTBLANK(OFFSET(A$1,,,SUMPRODUCT(MAX(ROW(E$2:E3605)*(E3605=E$2:E3605)))))-COUNTBLANK(OFFSET(A$1,,,SUMPRODUCT(MAX(ROW(E$1:E3604)*(E2=E$1:E3604))))))</f>
        <v> </v>
      </c>
      <c r="K3605" s="26" t="str">
        <f>IF(OR(E3605="",E3605="!!!",F3605="NEW"),"",INDEX(J$1:J3604,SUMPRODUCT(MAX(ROW(E$1:E3604)*(E3605=E$1:E3604)))))</f>
        <v> </v>
      </c>
      <c r="L3605" s="27"/>
    </row>
    <row r="3606" spans="1:12">
      <c r="A3606" s="20" t="s">
        <v>1266</v>
      </c>
      <c r="E3606" s="22">
        <f>IF(D3606="?OLD","!!!","")</f>
        <v/>
      </c>
      <c r="F3606" s="23" t="str">
        <f>IF(OR(E3606="",E3606="!!!"),"",IF(NOT(ISNA(VLOOKUP(E3606,E$1:E3605,1,FALSE()))),"OLD",IF(AND(E3606&lt;&gt;"",E3606&lt;&gt;"!!!"),"NEW","")))</f>
        <v> </v>
      </c>
      <c r="G3606" s="24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5" t="str">
        <f>IF(J3606&lt;&gt;1,"",IF(I3606="SBJ","CB","?"))</f>
        <v> </v>
      </c>
      <c r="I3606" s="26" t="str">
        <f>IF(OR(E3606="",E3606="!!!",F3606="NEW"),"",INDEX(B3605:B$2,-1+SUMPRODUCT(MAX(ROW(E3605:E$2)*(E3606=E3605:E$2)))))</f>
        <v> </v>
      </c>
      <c r="J3606" s="26" t="str">
        <f>IF(OR(E3606="",E3606="!!!",F3606="NEW"),"",COUNTBLANK(OFFSET(A$1,,,SUMPRODUCT(MAX(ROW(E$2:E3606)*(E3606=E$2:E3606)))))-COUNTBLANK(OFFSET(A$1,,,SUMPRODUCT(MAX(ROW(E$1:E3605)*(E2=E$1:E3605))))))</f>
        <v> </v>
      </c>
      <c r="K3606" s="26" t="str">
        <f>IF(OR(E3606="",E3606="!!!",F3606="NEW"),"",INDEX(J$1:J3605,SUMPRODUCT(MAX(ROW(E$1:E3605)*(E3606=E$1:E3605)))))</f>
        <v> </v>
      </c>
      <c r="L3606" s="27"/>
    </row>
    <row r="3607" spans="1:12">
      <c r="A3607" s="20" t="s">
        <v>1006</v>
      </c>
      <c r="E3607" s="22">
        <f>IF(D3607="?OLD","!!!","")</f>
        <v/>
      </c>
      <c r="F3607" s="23" t="str">
        <f>IF(OR(E3607="",E3607="!!!"),"",IF(NOT(ISNA(VLOOKUP(E3607,E$1:E3606,1,FALSE()))),"OLD",IF(AND(E3607&lt;&gt;"",E3607&lt;&gt;"!!!"),"NEW","")))</f>
        <v> </v>
      </c>
      <c r="G3607" s="24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5" t="str">
        <f>IF(J3607&lt;&gt;1,"",IF(I3607="SBJ","CB","?"))</f>
        <v> </v>
      </c>
      <c r="I3607" s="26" t="str">
        <f>IF(OR(E3607="",E3607="!!!",F3607="NEW"),"",INDEX(B3606:B$2,-1+SUMPRODUCT(MAX(ROW(E3606:E$2)*(E3607=E3606:E$2)))))</f>
        <v> </v>
      </c>
      <c r="J3607" s="26" t="str">
        <f>IF(OR(E3607="",E3607="!!!",F3607="NEW"),"",COUNTBLANK(OFFSET(A$1,,,SUMPRODUCT(MAX(ROW(E$2:E3607)*(E3607=E$2:E3607)))))-COUNTBLANK(OFFSET(A$1,,,SUMPRODUCT(MAX(ROW(E$1:E3606)*(E2=E$1:E3606))))))</f>
        <v> </v>
      </c>
      <c r="K3607" s="26" t="str">
        <f>IF(OR(E3607="",E3607="!!!",F3607="NEW"),"",INDEX(J$1:J3606,SUMPRODUCT(MAX(ROW(E$1:E3606)*(E3607=E$1:E3606)))))</f>
        <v> </v>
      </c>
      <c r="L3607" s="27"/>
    </row>
    <row r="3608" spans="1:12">
      <c r="A3608" s="20" t="s">
        <v>1263</v>
      </c>
      <c r="B3608" s="21" t="s">
        <v>975</v>
      </c>
      <c r="C3608" s="21" t="s">
        <v>1032</v>
      </c>
      <c r="D3608" s="21" t="s">
        <v>950</v>
      </c>
      <c r="E3608" s="22">
        <f>IF(D3608="?OLD","!!!","")</f>
        <v/>
      </c>
      <c r="F3608" s="23" t="str">
        <f>IF(OR(E3608="",E3608="!!!"),"",IF(NOT(ISNA(VLOOKUP(E3608,E$1:E3607,1,FALSE()))),"OLD",IF(AND(E3608&lt;&gt;"",E3608&lt;&gt;"!!!"),"NEW","")))</f>
        <v> </v>
      </c>
      <c r="G3608" s="24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5" t="str">
        <f>IF(J3608&lt;&gt;1,"",IF(I3608="SBJ","CB","?"))</f>
        <v> </v>
      </c>
      <c r="I3608" s="26" t="str">
        <f>IF(OR(E3608="",E3608="!!!",F3608="NEW"),"",INDEX(B3607:B$2,-1+SUMPRODUCT(MAX(ROW(E3607:E$2)*(E3608=E3607:E$2)))))</f>
        <v> </v>
      </c>
      <c r="J3608" s="26" t="str">
        <f>IF(OR(E3608="",E3608="!!!",F3608="NEW"),"",COUNTBLANK(OFFSET(A$1,,,SUMPRODUCT(MAX(ROW(E$2:E3608)*(E3608=E$2:E3608)))))-COUNTBLANK(OFFSET(A$1,,,SUMPRODUCT(MAX(ROW(E$1:E3607)*(E2=E$1:E3607))))))</f>
        <v> </v>
      </c>
      <c r="K3608" s="26" t="str">
        <f>IF(OR(E3608="",E3608="!!!",F3608="NEW"),"",INDEX(J$1:J3607,SUMPRODUCT(MAX(ROW(E$1:E3607)*(E3608=E$1:E3607)))))</f>
        <v> </v>
      </c>
      <c r="L3608" s="27"/>
    </row>
    <row r="3609" spans="1:12">
      <c r="A3609" s="20" t="s">
        <v>984</v>
      </c>
      <c r="E3609" s="22">
        <f>IF(D3609="?OLD","!!!","")</f>
        <v/>
      </c>
      <c r="F3609" s="23" t="str">
        <f>IF(OR(E3609="",E3609="!!!"),"",IF(NOT(ISNA(VLOOKUP(E3609,E$1:E3608,1,FALSE()))),"OLD",IF(AND(E3609&lt;&gt;"",E3609&lt;&gt;"!!!"),"NEW","")))</f>
        <v> </v>
      </c>
      <c r="G3609" s="24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5" t="str">
        <f>IF(J3609&lt;&gt;1,"",IF(I3609="SBJ","CB","?"))</f>
        <v> </v>
      </c>
      <c r="I3609" s="26" t="str">
        <f>IF(OR(E3609="",E3609="!!!",F3609="NEW"),"",INDEX(B3608:B$2,-1+SUMPRODUCT(MAX(ROW(E3608:E$2)*(E3609=E3608:E$2)))))</f>
        <v> </v>
      </c>
      <c r="J3609" s="26" t="str">
        <f>IF(OR(E3609="",E3609="!!!",F3609="NEW"),"",COUNTBLANK(OFFSET(A$1,,,SUMPRODUCT(MAX(ROW(E$2:E3609)*(E3609=E$2:E3609)))))-COUNTBLANK(OFFSET(A$1,,,SUMPRODUCT(MAX(ROW(E$1:E3608)*(E2=E$1:E3608))))))</f>
        <v> </v>
      </c>
      <c r="K3609" s="26" t="str">
        <f>IF(OR(E3609="",E3609="!!!",F3609="NEW"),"",INDEX(J$1:J3608,SUMPRODUCT(MAX(ROW(E$1:E3608)*(E3609=E$1:E3608)))))</f>
        <v> </v>
      </c>
      <c r="L3609" s="27"/>
    </row>
    <row r="3610" spans="1:12">
      <c r="A3610" s="20"/>
    </row>
    <row r="3611" spans="1:12">
      <c r="A3611" s="20" t="s">
        <v>1992</v>
      </c>
    </row>
    <row r="3612" spans="1:12">
      <c r="A3612" s="20" t="s">
        <v>297</v>
      </c>
      <c r="E3612" s="22">
        <f>IF(D3612="?OLD","!!!","")</f>
        <v/>
      </c>
      <c r="F3612" s="23" t="str">
        <f>IF(OR(E3612="",E3612="!!!"),"",IF(NOT(ISNA(VLOOKUP(E3612,E$1:E3611,1,FALSE()))),"OLD",IF(AND(E3612&lt;&gt;"",E3612&lt;&gt;"!!!"),"NEW","")))</f>
        <v> </v>
      </c>
      <c r="G3612" s="24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5" t="str">
        <f>IF(J3612&lt;&gt;1,"",IF(I3612="SBJ","CB","?"))</f>
        <v> </v>
      </c>
      <c r="I3612" s="26" t="str">
        <f>IF(OR(E3612="",E3612="!!!",F3612="NEW"),"",INDEX(B3611:B$2,-1+SUMPRODUCT(MAX(ROW(E3611:E$2)*(E3612=E3611:E$2)))))</f>
        <v> </v>
      </c>
      <c r="J3612" s="26" t="str">
        <f>IF(OR(E3612="",E3612="!!!",F3612="NEW"),"",COUNTBLANK(OFFSET(A$1,,,SUMPRODUCT(MAX(ROW(E$2:E3612)*(E3612=E$2:E3612)))))-COUNTBLANK(OFFSET(A$1,,,SUMPRODUCT(MAX(ROW(E$1:E3611)*(E2=E$1:E3611))))))</f>
        <v> </v>
      </c>
      <c r="K3612" s="26" t="str">
        <f>IF(OR(E3612="",E3612="!!!",F3612="NEW"),"",INDEX(J$1:J3611,SUMPRODUCT(MAX(ROW(E$1:E3611)*(E3612=E$1:E3611)))))</f>
        <v> </v>
      </c>
      <c r="L3612" s="27"/>
    </row>
    <row r="3613" spans="1:12">
      <c r="A3613" s="20" t="s">
        <v>1466</v>
      </c>
      <c r="E3613" s="22">
        <f>IF(D3613="?OLD","!!!","")</f>
        <v/>
      </c>
      <c r="F3613" s="23" t="str">
        <f>IF(OR(E3613="",E3613="!!!"),"",IF(NOT(ISNA(VLOOKUP(E3613,E$1:E3612,1,FALSE()))),"OLD",IF(AND(E3613&lt;&gt;"",E3613&lt;&gt;"!!!"),"NEW","")))</f>
        <v> </v>
      </c>
      <c r="G3613" s="24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5" t="str">
        <f>IF(J3613&lt;&gt;1,"",IF(I3613="SBJ","CB","?"))</f>
        <v> </v>
      </c>
      <c r="I3613" s="26" t="str">
        <f>IF(OR(E3613="",E3613="!!!",F3613="NEW"),"",INDEX(B3612:B$2,-1+SUMPRODUCT(MAX(ROW(E3612:E$2)*(E3613=E3612:E$2)))))</f>
        <v> </v>
      </c>
      <c r="J3613" s="26" t="str">
        <f>IF(OR(E3613="",E3613="!!!",F3613="NEW"),"",COUNTBLANK(OFFSET(A$1,,,SUMPRODUCT(MAX(ROW(E$2:E3613)*(E3613=E$2:E3613)))))-COUNTBLANK(OFFSET(A$1,,,SUMPRODUCT(MAX(ROW(E$1:E3612)*(E2=E$1:E3612))))))</f>
        <v> </v>
      </c>
      <c r="K3613" s="26" t="str">
        <f>IF(OR(E3613="",E3613="!!!",F3613="NEW"),"",INDEX(J$1:J3612,SUMPRODUCT(MAX(ROW(E$1:E3612)*(E3613=E$1:E3612)))))</f>
        <v> </v>
      </c>
      <c r="L3613" s="27"/>
    </row>
    <row r="3614" spans="1:12">
      <c r="A3614" s="20" t="s">
        <v>1168</v>
      </c>
      <c r="E3614" s="22">
        <f>IF(D3614="?OLD","!!!","")</f>
        <v/>
      </c>
      <c r="F3614" s="23" t="str">
        <f>IF(OR(E3614="",E3614="!!!"),"",IF(NOT(ISNA(VLOOKUP(E3614,E$1:E3613,1,FALSE()))),"OLD",IF(AND(E3614&lt;&gt;"",E3614&lt;&gt;"!!!"),"NEW","")))</f>
        <v> </v>
      </c>
      <c r="G3614" s="24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5" t="str">
        <f>IF(J3614&lt;&gt;1,"",IF(I3614="SBJ","CB","?"))</f>
        <v> </v>
      </c>
      <c r="I3614" s="26" t="str">
        <f>IF(OR(E3614="",E3614="!!!",F3614="NEW"),"",INDEX(B3613:B$2,-1+SUMPRODUCT(MAX(ROW(E3613:E$2)*(E3614=E3613:E$2)))))</f>
        <v> </v>
      </c>
      <c r="J3614" s="26" t="str">
        <f>IF(OR(E3614="",E3614="!!!",F3614="NEW"),"",COUNTBLANK(OFFSET(A$1,,,SUMPRODUCT(MAX(ROW(E$2:E3614)*(E3614=E$2:E3614)))))-COUNTBLANK(OFFSET(A$1,,,SUMPRODUCT(MAX(ROW(E$1:E3613)*(E2=E$1:E3613))))))</f>
        <v> </v>
      </c>
      <c r="K3614" s="26" t="str">
        <f>IF(OR(E3614="",E3614="!!!",F3614="NEW"),"",INDEX(J$1:J3613,SUMPRODUCT(MAX(ROW(E$1:E3613)*(E3614=E$1:E3613)))))</f>
        <v> </v>
      </c>
      <c r="L3614" s="27"/>
    </row>
    <row r="3615" spans="1:12">
      <c r="A3615" s="20" t="s">
        <v>1275</v>
      </c>
      <c r="B3615" s="21" t="s">
        <v>975</v>
      </c>
      <c r="C3615" s="21" t="s">
        <v>1008</v>
      </c>
      <c r="D3615" s="21" t="s">
        <v>950</v>
      </c>
      <c r="E3615" s="22">
        <f>IF(D3615="?OLD","!!!","")</f>
        <v/>
      </c>
      <c r="F3615" s="23" t="str">
        <f>IF(OR(E3615="",E3615="!!!"),"",IF(NOT(ISNA(VLOOKUP(E3615,E$1:E3614,1,FALSE()))),"OLD",IF(AND(E3615&lt;&gt;"",E3615&lt;&gt;"!!!"),"NEW","")))</f>
        <v> </v>
      </c>
      <c r="G3615" s="24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5" t="str">
        <f>IF(J3615&lt;&gt;1,"",IF(I3615="SBJ","CB","?"))</f>
        <v> </v>
      </c>
      <c r="I3615" s="26" t="str">
        <f>IF(OR(E3615="",E3615="!!!",F3615="NEW"),"",INDEX(B3614:B$2,-1+SUMPRODUCT(MAX(ROW(E3614:E$2)*(E3615=E3614:E$2)))))</f>
        <v> </v>
      </c>
      <c r="J3615" s="26" t="str">
        <f>IF(OR(E3615="",E3615="!!!",F3615="NEW"),"",COUNTBLANK(OFFSET(A$1,,,SUMPRODUCT(MAX(ROW(E$2:E3615)*(E3615=E$2:E3615)))))-COUNTBLANK(OFFSET(A$1,,,SUMPRODUCT(MAX(ROW(E$1:E3614)*(E2=E$1:E3614))))))</f>
        <v> </v>
      </c>
      <c r="K3615" s="26" t="str">
        <f>IF(OR(E3615="",E3615="!!!",F3615="NEW"),"",INDEX(J$1:J3614,SUMPRODUCT(MAX(ROW(E$1:E3614)*(E3615=E$1:E3614)))))</f>
        <v> </v>
      </c>
      <c r="L3615" s="27"/>
    </row>
    <row r="3616" spans="1:12">
      <c r="A3616" s="20" t="s">
        <v>984</v>
      </c>
      <c r="E3616" s="22">
        <f>IF(D3616="?OLD","!!!","")</f>
        <v/>
      </c>
      <c r="F3616" s="23" t="str">
        <f>IF(OR(E3616="",E3616="!!!"),"",IF(NOT(ISNA(VLOOKUP(E3616,E$1:E3615,1,FALSE()))),"OLD",IF(AND(E3616&lt;&gt;"",E3616&lt;&gt;"!!!"),"NEW","")))</f>
        <v> </v>
      </c>
      <c r="G3616" s="24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5" t="str">
        <f>IF(J3616&lt;&gt;1,"",IF(I3616="SBJ","CB","?"))</f>
        <v> </v>
      </c>
      <c r="I3616" s="26" t="str">
        <f>IF(OR(E3616="",E3616="!!!",F3616="NEW"),"",INDEX(B3615:B$2,-1+SUMPRODUCT(MAX(ROW(E3615:E$2)*(E3616=E3615:E$2)))))</f>
        <v> </v>
      </c>
      <c r="J3616" s="26" t="str">
        <f>IF(OR(E3616="",E3616="!!!",F3616="NEW"),"",COUNTBLANK(OFFSET(A$1,,,SUMPRODUCT(MAX(ROW(E$2:E3616)*(E3616=E$2:E3616)))))-COUNTBLANK(OFFSET(A$1,,,SUMPRODUCT(MAX(ROW(E$1:E3615)*(E2=E$1:E3615))))))</f>
        <v> </v>
      </c>
      <c r="K3616" s="26" t="str">
        <f>IF(OR(E3616="",E3616="!!!",F3616="NEW"),"",INDEX(J$1:J3615,SUMPRODUCT(MAX(ROW(E$1:E3615)*(E3616=E$1:E3615)))))</f>
        <v> </v>
      </c>
      <c r="L3616" s="27"/>
    </row>
    <row r="3617" spans="1:12">
      <c r="A3617" s="20"/>
    </row>
    <row r="3618" spans="1:12">
      <c r="A3618" s="20" t="s">
        <v>1993</v>
      </c>
    </row>
    <row r="3619" spans="1:12">
      <c r="A3619" s="20" t="s">
        <v>992</v>
      </c>
      <c r="E3619" s="22">
        <f>IF(D3619="?OLD","!!!","")</f>
        <v/>
      </c>
      <c r="F3619" s="23" t="str">
        <f>IF(OR(E3619="",E3619="!!!"),"",IF(NOT(ISNA(VLOOKUP(E3619,E$1:E3618,1,FALSE()))),"OLD",IF(AND(E3619&lt;&gt;"",E3619&lt;&gt;"!!!"),"NEW","")))</f>
        <v> </v>
      </c>
      <c r="G3619" s="24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5" t="str">
        <f>IF(J3619&lt;&gt;1,"",IF(I3619="SBJ","CB","?"))</f>
        <v> </v>
      </c>
      <c r="I3619" s="26" t="str">
        <f>IF(OR(E3619="",E3619="!!!",F3619="NEW"),"",INDEX(B3618:B$2,-1+SUMPRODUCT(MAX(ROW(E3618:E$2)*(E3619=E3618:E$2)))))</f>
        <v> </v>
      </c>
      <c r="J3619" s="26" t="str">
        <f>IF(OR(E3619="",E3619="!!!",F3619="NEW"),"",COUNTBLANK(OFFSET(A$1,,,SUMPRODUCT(MAX(ROW(E$2:E3619)*(E3619=E$2:E3619)))))-COUNTBLANK(OFFSET(A$1,,,SUMPRODUCT(MAX(ROW(E$1:E3618)*(E2=E$1:E3618))))))</f>
        <v> </v>
      </c>
      <c r="K3619" s="26" t="str">
        <f>IF(OR(E3619="",E3619="!!!",F3619="NEW"),"",INDEX(J$1:J3618,SUMPRODUCT(MAX(ROW(E$1:E3618)*(E3619=E$1:E3618)))))</f>
        <v> </v>
      </c>
      <c r="L3619" s="27"/>
    </row>
    <row r="3620" spans="1:12">
      <c r="A3620" s="20" t="s">
        <v>1994</v>
      </c>
      <c r="B3620" s="21" t="s">
        <v>948</v>
      </c>
      <c r="C3620" s="21" t="s">
        <v>949</v>
      </c>
      <c r="D3620" s="21" t="s">
        <v>950</v>
      </c>
      <c r="E3620" s="22">
        <f>IF(D3620="?OLD","!!!","")</f>
        <v/>
      </c>
      <c r="F3620" s="23" t="str">
        <f>IF(OR(E3620="",E3620="!!!"),"",IF(NOT(ISNA(VLOOKUP(E3620,E$1:E3619,1,FALSE()))),"OLD",IF(AND(E3620&lt;&gt;"",E3620&lt;&gt;"!!!"),"NEW","")))</f>
        <v> </v>
      </c>
      <c r="G3620" s="24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5" t="str">
        <f>IF(J3620&lt;&gt;1,"",IF(I3620="SBJ","CB","?"))</f>
        <v> </v>
      </c>
      <c r="I3620" s="26" t="str">
        <f>IF(OR(E3620="",E3620="!!!",F3620="NEW"),"",INDEX(B3619:B$2,-1+SUMPRODUCT(MAX(ROW(E3619:E$2)*(E3620=E3619:E$2)))))</f>
        <v> </v>
      </c>
      <c r="J3620" s="26" t="str">
        <f>IF(OR(E3620="",E3620="!!!",F3620="NEW"),"",COUNTBLANK(OFFSET(A$1,,,SUMPRODUCT(MAX(ROW(E$2:E3620)*(E3620=E$2:E3620)))))-COUNTBLANK(OFFSET(A$1,,,SUMPRODUCT(MAX(ROW(E$1:E3619)*(E2=E$1:E3619))))))</f>
        <v> </v>
      </c>
      <c r="K3620" s="26" t="str">
        <f>IF(OR(E3620="",E3620="!!!",F3620="NEW"),"",INDEX(J$1:J3619,SUMPRODUCT(MAX(ROW(E$1:E3619)*(E3620=E$1:E3619)))))</f>
        <v> </v>
      </c>
      <c r="L3620" s="27"/>
    </row>
    <row r="3621" spans="1:12">
      <c r="A3621" s="20" t="s">
        <v>994</v>
      </c>
      <c r="E3621" s="22">
        <f>IF(D3621="?OLD","!!!","")</f>
        <v/>
      </c>
      <c r="F3621" s="23" t="str">
        <f>IF(OR(E3621="",E3621="!!!"),"",IF(NOT(ISNA(VLOOKUP(E3621,E$1:E3620,1,FALSE()))),"OLD",IF(AND(E3621&lt;&gt;"",E3621&lt;&gt;"!!!"),"NEW","")))</f>
        <v> </v>
      </c>
      <c r="G3621" s="24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5" t="str">
        <f>IF(J3621&lt;&gt;1,"",IF(I3621="SBJ","CB","?"))</f>
        <v> </v>
      </c>
      <c r="I3621" s="26" t="str">
        <f>IF(OR(E3621="",E3621="!!!",F3621="NEW"),"",INDEX(B3620:B$2,-1+SUMPRODUCT(MAX(ROW(E3620:E$2)*(E3621=E3620:E$2)))))</f>
        <v> </v>
      </c>
      <c r="J3621" s="26" t="str">
        <f>IF(OR(E3621="",E3621="!!!",F3621="NEW"),"",COUNTBLANK(OFFSET(A$1,,,SUMPRODUCT(MAX(ROW(E$2:E3621)*(E3621=E$2:E3621)))))-COUNTBLANK(OFFSET(A$1,,,SUMPRODUCT(MAX(ROW(E$1:E3620)*(E2=E$1:E3620))))))</f>
        <v> </v>
      </c>
      <c r="K3621" s="26" t="str">
        <f>IF(OR(E3621="",E3621="!!!",F3621="NEW"),"",INDEX(J$1:J3620,SUMPRODUCT(MAX(ROW(E$1:E3620)*(E3621=E$1:E3620)))))</f>
        <v> </v>
      </c>
      <c r="L3621" s="27"/>
    </row>
    <row r="3622" spans="1:12">
      <c r="A3622" s="20"/>
    </row>
    <row r="3623" spans="1:12">
      <c r="A3623" s="20" t="s">
        <v>1995</v>
      </c>
    </row>
    <row r="3624" spans="1:12">
      <c r="A3624" s="20" t="s">
        <v>1386</v>
      </c>
      <c r="B3624" s="21" t="s">
        <v>956</v>
      </c>
      <c r="C3624" s="21" t="s">
        <v>1008</v>
      </c>
      <c r="D3624" s="21" t="s">
        <v>950</v>
      </c>
      <c r="E3624" s="22">
        <f>IF(D3624="?OLD","!!!","")</f>
        <v/>
      </c>
      <c r="F3624" s="23" t="str">
        <f>IF(OR(E3624="",E3624="!!!"),"",IF(NOT(ISNA(VLOOKUP(E3624,E$1:E3623,1,FALSE()))),"OLD",IF(AND(E3624&lt;&gt;"",E3624&lt;&gt;"!!!"),"NEW","")))</f>
        <v> </v>
      </c>
      <c r="G3624" s="24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5" t="str">
        <f>IF(J3624&lt;&gt;1,"",IF(I3624="SBJ","CB","?"))</f>
        <v> </v>
      </c>
      <c r="I3624" s="26" t="str">
        <f>IF(OR(E3624="",E3624="!!!",F3624="NEW"),"",INDEX(B3623:B$2,-1+SUMPRODUCT(MAX(ROW(E3623:E$2)*(E3624=E3623:E$2)))))</f>
        <v> </v>
      </c>
      <c r="J3624" s="26" t="str">
        <f>IF(OR(E3624="",E3624="!!!",F3624="NEW"),"",COUNTBLANK(OFFSET(A$1,,,SUMPRODUCT(MAX(ROW(E$2:E3624)*(E3624=E$2:E3624)))))-COUNTBLANK(OFFSET(A$1,,,SUMPRODUCT(MAX(ROW(E$1:E3623)*(E2=E$1:E3623))))))</f>
        <v> </v>
      </c>
      <c r="K3624" s="26" t="str">
        <f>IF(OR(E3624="",E3624="!!!",F3624="NEW"),"",INDEX(J$1:J3623,SUMPRODUCT(MAX(ROW(E$1:E3623)*(E3624=E$1:E3623)))))</f>
        <v> </v>
      </c>
      <c r="L3624" s="27"/>
    </row>
    <row r="3625" spans="1:12">
      <c r="A3625" s="20" t="s">
        <v>1072</v>
      </c>
      <c r="E3625" s="22">
        <f>IF(D3625="?OLD","!!!","")</f>
        <v/>
      </c>
      <c r="F3625" s="23" t="str">
        <f>IF(OR(E3625="",E3625="!!!"),"",IF(NOT(ISNA(VLOOKUP(E3625,E$1:E3624,1,FALSE()))),"OLD",IF(AND(E3625&lt;&gt;"",E3625&lt;&gt;"!!!"),"NEW","")))</f>
        <v> </v>
      </c>
      <c r="G3625" s="24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5" t="str">
        <f>IF(J3625&lt;&gt;1,"",IF(I3625="SBJ","CB","?"))</f>
        <v> </v>
      </c>
      <c r="I3625" s="26" t="str">
        <f>IF(OR(E3625="",E3625="!!!",F3625="NEW"),"",INDEX(B3624:B$2,-1+SUMPRODUCT(MAX(ROW(E3624:E$2)*(E3625=E3624:E$2)))))</f>
        <v> </v>
      </c>
      <c r="J3625" s="26" t="str">
        <f>IF(OR(E3625="",E3625="!!!",F3625="NEW"),"",COUNTBLANK(OFFSET(A$1,,,SUMPRODUCT(MAX(ROW(E$2:E3625)*(E3625=E$2:E3625)))))-COUNTBLANK(OFFSET(A$1,,,SUMPRODUCT(MAX(ROW(E$1:E3624)*(E2=E$1:E3624))))))</f>
        <v> </v>
      </c>
      <c r="K3625" s="26" t="str">
        <f>IF(OR(E3625="",E3625="!!!",F3625="NEW"),"",INDEX(J$1:J3624,SUMPRODUCT(MAX(ROW(E$1:E3624)*(E3625=E$1:E3624)))))</f>
        <v> </v>
      </c>
      <c r="L3625" s="27"/>
    </row>
    <row r="3626" spans="1:12">
      <c r="A3626" s="20" t="s">
        <v>1022</v>
      </c>
      <c r="E3626" s="22">
        <f>IF(D3626="?OLD","!!!","")</f>
        <v/>
      </c>
      <c r="F3626" s="23" t="str">
        <f>IF(OR(E3626="",E3626="!!!"),"",IF(NOT(ISNA(VLOOKUP(E3626,E$1:E3625,1,FALSE()))),"OLD",IF(AND(E3626&lt;&gt;"",E3626&lt;&gt;"!!!"),"NEW","")))</f>
        <v> </v>
      </c>
      <c r="G3626" s="24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5" t="str">
        <f>IF(J3626&lt;&gt;1,"",IF(I3626="SBJ","CB","?"))</f>
        <v> </v>
      </c>
      <c r="I3626" s="26" t="str">
        <f>IF(OR(E3626="",E3626="!!!",F3626="NEW"),"",INDEX(B3625:B$2,-1+SUMPRODUCT(MAX(ROW(E3625:E$2)*(E3626=E3625:E$2)))))</f>
        <v> </v>
      </c>
      <c r="J3626" s="26" t="str">
        <f>IF(OR(E3626="",E3626="!!!",F3626="NEW"),"",COUNTBLANK(OFFSET(A$1,,,SUMPRODUCT(MAX(ROW(E$2:E3626)*(E3626=E$2:E3626)))))-COUNTBLANK(OFFSET(A$1,,,SUMPRODUCT(MAX(ROW(E$1:E3625)*(E2=E$1:E3625))))))</f>
        <v> </v>
      </c>
      <c r="K3626" s="26" t="str">
        <f>IF(OR(E3626="",E3626="!!!",F3626="NEW"),"",INDEX(J$1:J3625,SUMPRODUCT(MAX(ROW(E$1:E3625)*(E3626=E$1:E3625)))))</f>
        <v> </v>
      </c>
      <c r="L3626" s="27"/>
    </row>
    <row r="3627" spans="1:12">
      <c r="A3627" s="20" t="s">
        <v>1387</v>
      </c>
      <c r="B3627" s="21" t="s">
        <v>948</v>
      </c>
      <c r="C3627" s="21" t="s">
        <v>1032</v>
      </c>
      <c r="D3627" s="21" t="s">
        <v>950</v>
      </c>
      <c r="E3627" s="22">
        <f>IF(D3627="?OLD","!!!","")</f>
        <v/>
      </c>
      <c r="F3627" s="23" t="str">
        <f>IF(OR(E3627="",E3627="!!!"),"",IF(NOT(ISNA(VLOOKUP(E3627,E$1:E3626,1,FALSE()))),"OLD",IF(AND(E3627&lt;&gt;"",E3627&lt;&gt;"!!!"),"NEW","")))</f>
        <v> </v>
      </c>
      <c r="G3627" s="24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5" t="str">
        <f>IF(J3627&lt;&gt;1,"",IF(I3627="SBJ","CB","?"))</f>
        <v> </v>
      </c>
      <c r="I3627" s="26" t="str">
        <f>IF(OR(E3627="",E3627="!!!",F3627="NEW"),"",INDEX(B3626:B$2,-1+SUMPRODUCT(MAX(ROW(E3626:E$2)*(E3627=E3626:E$2)))))</f>
        <v> </v>
      </c>
      <c r="J3627" s="26" t="str">
        <f>IF(OR(E3627="",E3627="!!!",F3627="NEW"),"",COUNTBLANK(OFFSET(A$1,,,SUMPRODUCT(MAX(ROW(E$2:E3627)*(E3627=E$2:E3627)))))-COUNTBLANK(OFFSET(A$1,,,SUMPRODUCT(MAX(ROW(E$1:E3626)*(E2=E$1:E3626))))))</f>
        <v> </v>
      </c>
      <c r="K3627" s="26" t="str">
        <f>IF(OR(E3627="",E3627="!!!",F3627="NEW"),"",INDEX(J$1:J3626,SUMPRODUCT(MAX(ROW(E$1:E3626)*(E3627=E$1:E3626)))))</f>
        <v> </v>
      </c>
      <c r="L3627" s="27"/>
    </row>
    <row r="3628" spans="1:12">
      <c r="A3628" s="20" t="s">
        <v>977</v>
      </c>
      <c r="E3628" s="22">
        <f>IF(D3628="?OLD","!!!","")</f>
        <v/>
      </c>
      <c r="F3628" s="23" t="str">
        <f>IF(OR(E3628="",E3628="!!!"),"",IF(NOT(ISNA(VLOOKUP(E3628,E$1:E3627,1,FALSE()))),"OLD",IF(AND(E3628&lt;&gt;"",E3628&lt;&gt;"!!!"),"NEW","")))</f>
        <v> </v>
      </c>
      <c r="G3628" s="24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5" t="str">
        <f>IF(J3628&lt;&gt;1,"",IF(I3628="SBJ","CB","?"))</f>
        <v> </v>
      </c>
      <c r="I3628" s="26" t="str">
        <f>IF(OR(E3628="",E3628="!!!",F3628="NEW"),"",INDEX(B3627:B$2,-1+SUMPRODUCT(MAX(ROW(E3627:E$2)*(E3628=E3627:E$2)))))</f>
        <v> </v>
      </c>
      <c r="J3628" s="26" t="str">
        <f>IF(OR(E3628="",E3628="!!!",F3628="NEW"),"",COUNTBLANK(OFFSET(A$1,,,SUMPRODUCT(MAX(ROW(E$2:E3628)*(E3628=E$2:E3628)))))-COUNTBLANK(OFFSET(A$1,,,SUMPRODUCT(MAX(ROW(E$1:E3627)*(E2=E$1:E3627))))))</f>
        <v> </v>
      </c>
      <c r="K3628" s="26" t="str">
        <f>IF(OR(E3628="",E3628="!!!",F3628="NEW"),"",INDEX(J$1:J3627,SUMPRODUCT(MAX(ROW(E$1:E3627)*(E3628=E$1:E3627)))))</f>
        <v> </v>
      </c>
      <c r="L3628" s="27"/>
    </row>
    <row r="3629" spans="1:12">
      <c r="A3629" s="20" t="s">
        <v>1996</v>
      </c>
      <c r="E3629" s="22">
        <f>IF(D3629="?OLD","!!!","")</f>
        <v/>
      </c>
      <c r="F3629" s="23" t="str">
        <f>IF(OR(E3629="",E3629="!!!"),"",IF(NOT(ISNA(VLOOKUP(E3629,E$1:E3628,1,FALSE()))),"OLD",IF(AND(E3629&lt;&gt;"",E3629&lt;&gt;"!!!"),"NEW","")))</f>
        <v> </v>
      </c>
      <c r="G3629" s="24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5" t="str">
        <f>IF(J3629&lt;&gt;1,"",IF(I3629="SBJ","CB","?"))</f>
        <v> </v>
      </c>
      <c r="I3629" s="26" t="str">
        <f>IF(OR(E3629="",E3629="!!!",F3629="NEW"),"",INDEX(B3628:B$2,-1+SUMPRODUCT(MAX(ROW(E3628:E$2)*(E3629=E3628:E$2)))))</f>
        <v> </v>
      </c>
      <c r="J3629" s="26" t="str">
        <f>IF(OR(E3629="",E3629="!!!",F3629="NEW"),"",COUNTBLANK(OFFSET(A$1,,,SUMPRODUCT(MAX(ROW(E$2:E3629)*(E3629=E$2:E3629)))))-COUNTBLANK(OFFSET(A$1,,,SUMPRODUCT(MAX(ROW(E$1:E3628)*(E2=E$1:E3628))))))</f>
        <v> </v>
      </c>
      <c r="K3629" s="26" t="str">
        <f>IF(OR(E3629="",E3629="!!!",F3629="NEW"),"",INDEX(J$1:J3628,SUMPRODUCT(MAX(ROW(E$1:E3628)*(E3629=E$1:E3628)))))</f>
        <v> </v>
      </c>
      <c r="L3629" s="27"/>
    </row>
    <row r="3630" spans="1:12">
      <c r="A3630" s="20" t="s">
        <v>1683</v>
      </c>
      <c r="B3630" s="21" t="s">
        <v>975</v>
      </c>
      <c r="C3630" s="21" t="s">
        <v>976</v>
      </c>
      <c r="D3630" s="21" t="s">
        <v>950</v>
      </c>
      <c r="E3630" s="22">
        <f>IF(D3630="?OLD","!!!","")</f>
        <v/>
      </c>
      <c r="F3630" s="23" t="str">
        <f>IF(OR(E3630="",E3630="!!!"),"",IF(NOT(ISNA(VLOOKUP(E3630,E$1:E3629,1,FALSE()))),"OLD",IF(AND(E3630&lt;&gt;"",E3630&lt;&gt;"!!!"),"NEW","")))</f>
        <v> </v>
      </c>
      <c r="G3630" s="24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5" t="str">
        <f>IF(J3630&lt;&gt;1,"",IF(I3630="SBJ","CB","?"))</f>
        <v> </v>
      </c>
      <c r="I3630" s="26" t="str">
        <f>IF(OR(E3630="",E3630="!!!",F3630="NEW"),"",INDEX(B3629:B$2,-1+SUMPRODUCT(MAX(ROW(E3629:E$2)*(E3630=E3629:E$2)))))</f>
        <v> </v>
      </c>
      <c r="J3630" s="26" t="str">
        <f>IF(OR(E3630="",E3630="!!!",F3630="NEW"),"",COUNTBLANK(OFFSET(A$1,,,SUMPRODUCT(MAX(ROW(E$2:E3630)*(E3630=E$2:E3630)))))-COUNTBLANK(OFFSET(A$1,,,SUMPRODUCT(MAX(ROW(E$1:E3629)*(E2=E$1:E3629))))))</f>
        <v> </v>
      </c>
      <c r="K3630" s="26" t="str">
        <f>IF(OR(E3630="",E3630="!!!",F3630="NEW"),"",INDEX(J$1:J3629,SUMPRODUCT(MAX(ROW(E$1:E3629)*(E3630=E$1:E3629)))))</f>
        <v> </v>
      </c>
      <c r="L3630" s="27"/>
    </row>
    <row r="3631" spans="1:12">
      <c r="A3631" s="20" t="s">
        <v>1001</v>
      </c>
      <c r="E3631" s="22">
        <f>IF(D3631="?OLD","!!!","")</f>
        <v/>
      </c>
      <c r="F3631" s="23" t="str">
        <f>IF(OR(E3631="",E3631="!!!"),"",IF(NOT(ISNA(VLOOKUP(E3631,E$1:E3630,1,FALSE()))),"OLD",IF(AND(E3631&lt;&gt;"",E3631&lt;&gt;"!!!"),"NEW","")))</f>
        <v> </v>
      </c>
      <c r="G3631" s="24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5" t="str">
        <f>IF(J3631&lt;&gt;1,"",IF(I3631="SBJ","CB","?"))</f>
        <v> </v>
      </c>
      <c r="I3631" s="26" t="str">
        <f>IF(OR(E3631="",E3631="!!!",F3631="NEW"),"",INDEX(B3630:B$2,-1+SUMPRODUCT(MAX(ROW(E3630:E$2)*(E3631=E3630:E$2)))))</f>
        <v> </v>
      </c>
      <c r="J3631" s="26" t="str">
        <f>IF(OR(E3631="",E3631="!!!",F3631="NEW"),"",COUNTBLANK(OFFSET(A$1,,,SUMPRODUCT(MAX(ROW(E$2:E3631)*(E3631=E$2:E3631)))))-COUNTBLANK(OFFSET(A$1,,,SUMPRODUCT(MAX(ROW(E$1:E3630)*(E2=E$1:E3630))))))</f>
        <v> </v>
      </c>
      <c r="K3631" s="26" t="str">
        <f>IF(OR(E3631="",E3631="!!!",F3631="NEW"),"",INDEX(J$1:J3630,SUMPRODUCT(MAX(ROW(E$1:E3630)*(E3631=E$1:E3630)))))</f>
        <v> </v>
      </c>
      <c r="L3631" s="27"/>
    </row>
    <row r="3632" spans="1:12">
      <c r="A3632" s="20" t="s">
        <v>1681</v>
      </c>
      <c r="B3632" s="21" t="s">
        <v>980</v>
      </c>
      <c r="C3632" s="21" t="s">
        <v>983</v>
      </c>
      <c r="E3632" s="22">
        <f>IF(D3632="?OLD","!!!","")</f>
        <v/>
      </c>
      <c r="F3632" s="23" t="str">
        <f>IF(OR(E3632="",E3632="!!!"),"",IF(NOT(ISNA(VLOOKUP(E3632,E$1:E3631,1,FALSE()))),"OLD",IF(AND(E3632&lt;&gt;"",E3632&lt;&gt;"!!!"),"NEW","")))</f>
        <v> </v>
      </c>
      <c r="G3632" s="24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5" t="str">
        <f>IF(J3632&lt;&gt;1,"",IF(I3632="SBJ","CB","?"))</f>
        <v> </v>
      </c>
      <c r="I3632" s="26" t="str">
        <f>IF(OR(E3632="",E3632="!!!",F3632="NEW"),"",INDEX(B3631:B$2,-1+SUMPRODUCT(MAX(ROW(E3631:E$2)*(E3632=E3631:E$2)))))</f>
        <v> </v>
      </c>
      <c r="J3632" s="26" t="str">
        <f>IF(OR(E3632="",E3632="!!!",F3632="NEW"),"",COUNTBLANK(OFFSET(A$1,,,SUMPRODUCT(MAX(ROW(E$2:E3632)*(E3632=E$2:E3632)))))-COUNTBLANK(OFFSET(A$1,,,SUMPRODUCT(MAX(ROW(E$1:E3631)*(E2=E$1:E3631))))))</f>
        <v> </v>
      </c>
      <c r="K3632" s="26" t="str">
        <f>IF(OR(E3632="",E3632="!!!",F3632="NEW"),"",INDEX(J$1:J3631,SUMPRODUCT(MAX(ROW(E$1:E3631)*(E3632=E$1:E3631)))))</f>
        <v> </v>
      </c>
      <c r="L3632" s="27"/>
    </row>
    <row r="3633" spans="1:12">
      <c r="A3633" s="20" t="s">
        <v>1168</v>
      </c>
      <c r="E3633" s="22">
        <f>IF(D3633="?OLD","!!!","")</f>
        <v/>
      </c>
      <c r="F3633" s="23" t="str">
        <f>IF(OR(E3633="",E3633="!!!"),"",IF(NOT(ISNA(VLOOKUP(E3633,E$1:E3632,1,FALSE()))),"OLD",IF(AND(E3633&lt;&gt;"",E3633&lt;&gt;"!!!"),"NEW","")))</f>
        <v> </v>
      </c>
      <c r="G3633" s="24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5" t="str">
        <f>IF(J3633&lt;&gt;1,"",IF(I3633="SBJ","CB","?"))</f>
        <v> </v>
      </c>
      <c r="I3633" s="26" t="str">
        <f>IF(OR(E3633="",E3633="!!!",F3633="NEW"),"",INDEX(B3632:B$2,-1+SUMPRODUCT(MAX(ROW(E3632:E$2)*(E3633=E3632:E$2)))))</f>
        <v> </v>
      </c>
      <c r="J3633" s="26" t="str">
        <f>IF(OR(E3633="",E3633="!!!",F3633="NEW"),"",COUNTBLANK(OFFSET(A$1,,,SUMPRODUCT(MAX(ROW(E$2:E3633)*(E3633=E$2:E3633)))))-COUNTBLANK(OFFSET(A$1,,,SUMPRODUCT(MAX(ROW(E$1:E3632)*(E2=E$1:E3632))))))</f>
        <v> </v>
      </c>
      <c r="K3633" s="26" t="str">
        <f>IF(OR(E3633="",E3633="!!!",F3633="NEW"),"",INDEX(J$1:J3632,SUMPRODUCT(MAX(ROW(E$1:E3632)*(E3633=E$1:E3632)))))</f>
        <v> </v>
      </c>
      <c r="L3633" s="27"/>
    </row>
    <row r="3634" spans="1:12">
      <c r="A3634" s="20" t="s">
        <v>1997</v>
      </c>
      <c r="B3634" s="21" t="s">
        <v>980</v>
      </c>
      <c r="C3634" s="21" t="s">
        <v>983</v>
      </c>
      <c r="E3634" s="22">
        <f>IF(D3634="?OLD","!!!","")</f>
        <v/>
      </c>
      <c r="F3634" s="23" t="str">
        <f>IF(OR(E3634="",E3634="!!!"),"",IF(NOT(ISNA(VLOOKUP(E3634,E$1:E3633,1,FALSE()))),"OLD",IF(AND(E3634&lt;&gt;"",E3634&lt;&gt;"!!!"),"NEW","")))</f>
        <v> </v>
      </c>
      <c r="G3634" s="24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5" t="str">
        <f>IF(J3634&lt;&gt;1,"",IF(I3634="SBJ","CB","?"))</f>
        <v> </v>
      </c>
      <c r="I3634" s="26" t="str">
        <f>IF(OR(E3634="",E3634="!!!",F3634="NEW"),"",INDEX(B3633:B$2,-1+SUMPRODUCT(MAX(ROW(E3633:E$2)*(E3634=E3633:E$2)))))</f>
        <v> </v>
      </c>
      <c r="J3634" s="26" t="str">
        <f>IF(OR(E3634="",E3634="!!!",F3634="NEW"),"",COUNTBLANK(OFFSET(A$1,,,SUMPRODUCT(MAX(ROW(E$2:E3634)*(E3634=E$2:E3634)))))-COUNTBLANK(OFFSET(A$1,,,SUMPRODUCT(MAX(ROW(E$1:E3633)*(E2=E$1:E3633))))))</f>
        <v> </v>
      </c>
      <c r="K3634" s="26" t="str">
        <f>IF(OR(E3634="",E3634="!!!",F3634="NEW"),"",INDEX(J$1:J3633,SUMPRODUCT(MAX(ROW(E$1:E3633)*(E3634=E$1:E3633)))))</f>
        <v> </v>
      </c>
      <c r="L3634" s="27"/>
    </row>
    <row r="3635" spans="1:12">
      <c r="A3635" s="20" t="s">
        <v>1998</v>
      </c>
      <c r="E3635" s="22">
        <f>IF(D3635="?OLD","!!!","")</f>
        <v/>
      </c>
      <c r="F3635" s="23" t="str">
        <f>IF(OR(E3635="",E3635="!!!"),"",IF(NOT(ISNA(VLOOKUP(E3635,E$1:E3634,1,FALSE()))),"OLD",IF(AND(E3635&lt;&gt;"",E3635&lt;&gt;"!!!"),"NEW","")))</f>
        <v> </v>
      </c>
      <c r="G3635" s="24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5" t="str">
        <f>IF(J3635&lt;&gt;1,"",IF(I3635="SBJ","CB","?"))</f>
        <v> </v>
      </c>
      <c r="I3635" s="26" t="str">
        <f>IF(OR(E3635="",E3635="!!!",F3635="NEW"),"",INDEX(B3634:B$2,-1+SUMPRODUCT(MAX(ROW(E3634:E$2)*(E3635=E3634:E$2)))))</f>
        <v> </v>
      </c>
      <c r="J3635" s="26" t="str">
        <f>IF(OR(E3635="",E3635="!!!",F3635="NEW"),"",COUNTBLANK(OFFSET(A$1,,,SUMPRODUCT(MAX(ROW(E$2:E3635)*(E3635=E$2:E3635)))))-COUNTBLANK(OFFSET(A$1,,,SUMPRODUCT(MAX(ROW(E$1:E3634)*(E2=E$1:E3634))))))</f>
        <v> </v>
      </c>
      <c r="K3635" s="26" t="str">
        <f>IF(OR(E3635="",E3635="!!!",F3635="NEW"),"",INDEX(J$1:J3634,SUMPRODUCT(MAX(ROW(E$1:E3634)*(E3635=E$1:E3634)))))</f>
        <v> </v>
      </c>
      <c r="L3635" s="27"/>
    </row>
    <row r="3636" spans="1:12">
      <c r="A3636" s="20" t="s">
        <v>984</v>
      </c>
      <c r="E3636" s="22">
        <f>IF(D3636="?OLD","!!!","")</f>
        <v/>
      </c>
      <c r="F3636" s="23" t="str">
        <f>IF(OR(E3636="",E3636="!!!"),"",IF(NOT(ISNA(VLOOKUP(E3636,E$1:E3635,1,FALSE()))),"OLD",IF(AND(E3636&lt;&gt;"",E3636&lt;&gt;"!!!"),"NEW","")))</f>
        <v> </v>
      </c>
      <c r="G3636" s="24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5" t="str">
        <f>IF(J3636&lt;&gt;1,"",IF(I3636="SBJ","CB","?"))</f>
        <v> </v>
      </c>
      <c r="I3636" s="26" t="str">
        <f>IF(OR(E3636="",E3636="!!!",F3636="NEW"),"",INDEX(B3635:B$2,-1+SUMPRODUCT(MAX(ROW(E3635:E$2)*(E3636=E3635:E$2)))))</f>
        <v> </v>
      </c>
      <c r="J3636" s="26" t="str">
        <f>IF(OR(E3636="",E3636="!!!",F3636="NEW"),"",COUNTBLANK(OFFSET(A$1,,,SUMPRODUCT(MAX(ROW(E$2:E3636)*(E3636=E$2:E3636)))))-COUNTBLANK(OFFSET(A$1,,,SUMPRODUCT(MAX(ROW(E$1:E3635)*(E2=E$1:E3635))))))</f>
        <v> </v>
      </c>
      <c r="K3636" s="26" t="str">
        <f>IF(OR(E3636="",E3636="!!!",F3636="NEW"),"",INDEX(J$1:J3635,SUMPRODUCT(MAX(ROW(E$1:E3635)*(E3636=E$1:E3635)))))</f>
        <v> </v>
      </c>
      <c r="L3636" s="27"/>
    </row>
    <row r="3637" spans="1:12">
      <c r="A3637" s="20"/>
    </row>
    <row r="3638" spans="1:12">
      <c r="A3638" s="20" t="s">
        <v>953</v>
      </c>
      <c r="E3638" s="22">
        <f>IF(D3638="?OLD","!!!","")</f>
        <v/>
      </c>
      <c r="F3638" s="23" t="str">
        <f>IF(OR(E3638="",E3638="!!!"),"",IF(NOT(ISNA(VLOOKUP(E3638,E$1:E3637,1,FALSE()))),"OLD",IF(AND(E3638&lt;&gt;"",E3638&lt;&gt;"!!!"),"NEW","")))</f>
        <v> </v>
      </c>
      <c r="G3638" s="24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5" t="str">
        <f>IF(J3638&lt;&gt;1,"",IF(I3638="SBJ","CB","?"))</f>
        <v> </v>
      </c>
      <c r="I3638" s="26" t="str">
        <f>IF(OR(E3638="",E3638="!!!",F3638="NEW"),"",INDEX(B3637:B$2,-1+SUMPRODUCT(MAX(ROW(E3637:E$2)*(E3638=E3637:E$2)))))</f>
        <v> </v>
      </c>
      <c r="J3638" s="26" t="str">
        <f>IF(OR(E3638="",E3638="!!!",F3638="NEW"),"",COUNTBLANK(OFFSET(A$1,,,SUMPRODUCT(MAX(ROW(E$2:E3638)*(E3638=E$2:E3638)))))-COUNTBLANK(OFFSET(A$1,,,SUMPRODUCT(MAX(ROW(E$1:E3637)*(E2=E$1:E3637))))))</f>
        <v> </v>
      </c>
      <c r="K3638" s="26" t="str">
        <f>IF(OR(E3638="",E3638="!!!",F3638="NEW"),"",INDEX(J$1:J3637,SUMPRODUCT(MAX(ROW(E$1:E3637)*(E3638=E$1:E3637)))))</f>
        <v> </v>
      </c>
      <c r="L3638" s="27"/>
    </row>
    <row r="3639" spans="1:12">
      <c r="A3639" s="20" t="s">
        <v>1999</v>
      </c>
    </row>
    <row r="3640" spans="1:12">
      <c r="A3640" s="20" t="s">
        <v>1433</v>
      </c>
      <c r="E3640" s="22">
        <f>IF(D3640="?OLD","!!!","")</f>
        <v/>
      </c>
      <c r="F3640" s="23" t="str">
        <f>IF(OR(E3640="",E3640="!!!"),"",IF(NOT(ISNA(VLOOKUP(E3640,E$1:E3639,1,FALSE()))),"OLD",IF(AND(E3640&lt;&gt;"",E3640&lt;&gt;"!!!"),"NEW","")))</f>
        <v> </v>
      </c>
      <c r="G3640" s="24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5" t="str">
        <f>IF(J3640&lt;&gt;1,"",IF(I3640="SBJ","CB","?"))</f>
        <v> </v>
      </c>
      <c r="I3640" s="26" t="str">
        <f>IF(OR(E3640="",E3640="!!!",F3640="NEW"),"",INDEX(B3639:B$2,-1+SUMPRODUCT(MAX(ROW(E3639:E$2)*(E3640=E3639:E$2)))))</f>
        <v> </v>
      </c>
      <c r="J3640" s="26" t="str">
        <f>IF(OR(E3640="",E3640="!!!",F3640="NEW"),"",COUNTBLANK(OFFSET(A$1,,,SUMPRODUCT(MAX(ROW(E$2:E3640)*(E3640=E$2:E3640)))))-COUNTBLANK(OFFSET(A$1,,,SUMPRODUCT(MAX(ROW(E$1:E3639)*(E2=E$1:E3639))))))</f>
        <v> </v>
      </c>
      <c r="K3640" s="26" t="str">
        <f>IF(OR(E3640="",E3640="!!!",F3640="NEW"),"",INDEX(J$1:J3639,SUMPRODUCT(MAX(ROW(E$1:E3639)*(E3640=E$1:E3639)))))</f>
        <v> </v>
      </c>
      <c r="L3640" s="27"/>
    </row>
    <row r="3641" spans="1:12">
      <c r="A3641" s="20" t="s">
        <v>1713</v>
      </c>
      <c r="E3641" s="22">
        <f>IF(D3641="?OLD","!!!","")</f>
        <v/>
      </c>
      <c r="F3641" s="23" t="str">
        <f>IF(OR(E3641="",E3641="!!!"),"",IF(NOT(ISNA(VLOOKUP(E3641,E$1:E3640,1,FALSE()))),"OLD",IF(AND(E3641&lt;&gt;"",E3641&lt;&gt;"!!!"),"NEW","")))</f>
        <v> </v>
      </c>
      <c r="G3641" s="24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5" t="str">
        <f>IF(J3641&lt;&gt;1,"",IF(I3641="SBJ","CB","?"))</f>
        <v> </v>
      </c>
      <c r="I3641" s="26" t="str">
        <f>IF(OR(E3641="",E3641="!!!",F3641="NEW"),"",INDEX(B3640:B$2,-1+SUMPRODUCT(MAX(ROW(E3640:E$2)*(E3641=E3640:E$2)))))</f>
        <v> </v>
      </c>
      <c r="J3641" s="26" t="str">
        <f>IF(OR(E3641="",E3641="!!!",F3641="NEW"),"",COUNTBLANK(OFFSET(A$1,,,SUMPRODUCT(MAX(ROW(E$2:E3641)*(E3641=E$2:E3641)))))-COUNTBLANK(OFFSET(A$1,,,SUMPRODUCT(MAX(ROW(E$1:E3640)*(E2=E$1:E3640))))))</f>
        <v> </v>
      </c>
      <c r="K3641" s="26" t="str">
        <f>IF(OR(E3641="",E3641="!!!",F3641="NEW"),"",INDEX(J$1:J3640,SUMPRODUCT(MAX(ROW(E$1:E3640)*(E3641=E$1:E3640)))))</f>
        <v> </v>
      </c>
      <c r="L3641" s="27"/>
    </row>
    <row r="3642" spans="1:12">
      <c r="A3642" s="20" t="s">
        <v>1257</v>
      </c>
      <c r="B3642" s="21" t="s">
        <v>948</v>
      </c>
      <c r="C3642" s="21" t="s">
        <v>1051</v>
      </c>
      <c r="E3642" s="22">
        <f>IF(D3642="?OLD","!!!","")</f>
        <v/>
      </c>
      <c r="F3642" s="23" t="str">
        <f>IF(OR(E3642="",E3642="!!!"),"",IF(NOT(ISNA(VLOOKUP(E3642,E$1:E3641,1,FALSE()))),"OLD",IF(AND(E3642&lt;&gt;"",E3642&lt;&gt;"!!!"),"NEW","")))</f>
        <v> </v>
      </c>
      <c r="G3642" s="24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5" t="str">
        <f>IF(J3642&lt;&gt;1,"",IF(I3642="SBJ","CB","?"))</f>
        <v> </v>
      </c>
      <c r="I3642" s="26" t="str">
        <f>IF(OR(E3642="",E3642="!!!",F3642="NEW"),"",INDEX(B3641:B$2,-1+SUMPRODUCT(MAX(ROW(E3641:E$2)*(E3642=E3641:E$2)))))</f>
        <v> </v>
      </c>
      <c r="J3642" s="26" t="str">
        <f>IF(OR(E3642="",E3642="!!!",F3642="NEW"),"",COUNTBLANK(OFFSET(A$1,,,SUMPRODUCT(MAX(ROW(E$2:E3642)*(E3642=E$2:E3642)))))-COUNTBLANK(OFFSET(A$1,,,SUMPRODUCT(MAX(ROW(E$1:E3641)*(E2=E$1:E3641))))))</f>
        <v> </v>
      </c>
      <c r="K3642" s="26" t="str">
        <f>IF(OR(E3642="",E3642="!!!",F3642="NEW"),"",INDEX(J$1:J3641,SUMPRODUCT(MAX(ROW(E$1:E3641)*(E3642=E$1:E3641)))))</f>
        <v> </v>
      </c>
      <c r="L3642" s="27"/>
    </row>
    <row r="3643" spans="1:12">
      <c r="A3643" s="20" t="s">
        <v>1000</v>
      </c>
      <c r="E3643" s="22">
        <f>IF(D3643="?OLD","!!!","")</f>
        <v/>
      </c>
      <c r="F3643" s="23" t="str">
        <f>IF(OR(E3643="",E3643="!!!"),"",IF(NOT(ISNA(VLOOKUP(E3643,E$1:E3642,1,FALSE()))),"OLD",IF(AND(E3643&lt;&gt;"",E3643&lt;&gt;"!!!"),"NEW","")))</f>
        <v> </v>
      </c>
      <c r="G3643" s="24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5" t="str">
        <f>IF(J3643&lt;&gt;1,"",IF(I3643="SBJ","CB","?"))</f>
        <v> </v>
      </c>
      <c r="I3643" s="26" t="str">
        <f>IF(OR(E3643="",E3643="!!!",F3643="NEW"),"",INDEX(B3642:B$2,-1+SUMPRODUCT(MAX(ROW(E3642:E$2)*(E3643=E3642:E$2)))))</f>
        <v> </v>
      </c>
      <c r="J3643" s="26" t="str">
        <f>IF(OR(E3643="",E3643="!!!",F3643="NEW"),"",COUNTBLANK(OFFSET(A$1,,,SUMPRODUCT(MAX(ROW(E$2:E3643)*(E3643=E$2:E3643)))))-COUNTBLANK(OFFSET(A$1,,,SUMPRODUCT(MAX(ROW(E$1:E3642)*(E2=E$1:E3642))))))</f>
        <v> </v>
      </c>
      <c r="K3643" s="26" t="str">
        <f>IF(OR(E3643="",E3643="!!!",F3643="NEW"),"",INDEX(J$1:J3642,SUMPRODUCT(MAX(ROW(E$1:E3642)*(E3643=E$1:E3642)))))</f>
        <v> </v>
      </c>
      <c r="L3643" s="27"/>
    </row>
    <row r="3644" spans="1:12">
      <c r="A3644" s="20" t="s">
        <v>1811</v>
      </c>
      <c r="E3644" s="22">
        <f>IF(D3644="?OLD","!!!","")</f>
        <v/>
      </c>
      <c r="F3644" s="23" t="str">
        <f>IF(OR(E3644="",E3644="!!!"),"",IF(NOT(ISNA(VLOOKUP(E3644,E$1:E3643,1,FALSE()))),"OLD",IF(AND(E3644&lt;&gt;"",E3644&lt;&gt;"!!!"),"NEW","")))</f>
        <v> </v>
      </c>
      <c r="G3644" s="24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5" t="str">
        <f>IF(J3644&lt;&gt;1,"",IF(I3644="SBJ","CB","?"))</f>
        <v> </v>
      </c>
      <c r="I3644" s="26" t="str">
        <f>IF(OR(E3644="",E3644="!!!",F3644="NEW"),"",INDEX(B3643:B$2,-1+SUMPRODUCT(MAX(ROW(E3643:E$2)*(E3644=E3643:E$2)))))</f>
        <v> </v>
      </c>
      <c r="J3644" s="26" t="str">
        <f>IF(OR(E3644="",E3644="!!!",F3644="NEW"),"",COUNTBLANK(OFFSET(A$1,,,SUMPRODUCT(MAX(ROW(E$2:E3644)*(E3644=E$2:E3644)))))-COUNTBLANK(OFFSET(A$1,,,SUMPRODUCT(MAX(ROW(E$1:E3643)*(E2=E$1:E3643))))))</f>
        <v> </v>
      </c>
      <c r="K3644" s="26" t="str">
        <f>IF(OR(E3644="",E3644="!!!",F3644="NEW"),"",INDEX(J$1:J3643,SUMPRODUCT(MAX(ROW(E$1:E3643)*(E3644=E$1:E3643)))))</f>
        <v> </v>
      </c>
      <c r="L3644" s="27"/>
    </row>
    <row r="3645" spans="1:12">
      <c r="A3645" s="20" t="s">
        <v>1019</v>
      </c>
      <c r="E3645" s="22">
        <f>IF(D3645="?OLD","!!!","")</f>
        <v/>
      </c>
      <c r="F3645" s="23" t="str">
        <f>IF(OR(E3645="",E3645="!!!"),"",IF(NOT(ISNA(VLOOKUP(E3645,E$1:E3644,1,FALSE()))),"OLD",IF(AND(E3645&lt;&gt;"",E3645&lt;&gt;"!!!"),"NEW","")))</f>
        <v> </v>
      </c>
      <c r="G3645" s="24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5" t="str">
        <f>IF(J3645&lt;&gt;1,"",IF(I3645="SBJ","CB","?"))</f>
        <v> </v>
      </c>
      <c r="I3645" s="26" t="str">
        <f>IF(OR(E3645="",E3645="!!!",F3645="NEW"),"",INDEX(B3644:B$2,-1+SUMPRODUCT(MAX(ROW(E3644:E$2)*(E3645=E3644:E$2)))))</f>
        <v> </v>
      </c>
      <c r="J3645" s="26" t="str">
        <f>IF(OR(E3645="",E3645="!!!",F3645="NEW"),"",COUNTBLANK(OFFSET(A$1,,,SUMPRODUCT(MAX(ROW(E$2:E3645)*(E3645=E$2:E3645)))))-COUNTBLANK(OFFSET(A$1,,,SUMPRODUCT(MAX(ROW(E$1:E3644)*(E2=E$1:E3644))))))</f>
        <v> </v>
      </c>
      <c r="K3645" s="26" t="str">
        <f>IF(OR(E3645="",E3645="!!!",F3645="NEW"),"",INDEX(J$1:J3644,SUMPRODUCT(MAX(ROW(E$1:E3644)*(E3645=E$1:E3644)))))</f>
        <v> </v>
      </c>
      <c r="L3645" s="27"/>
    </row>
    <row r="3646" spans="1:12">
      <c r="A3646" s="20" t="s">
        <v>1120</v>
      </c>
      <c r="B3646" s="21" t="s">
        <v>956</v>
      </c>
      <c r="C3646" s="21" t="s">
        <v>964</v>
      </c>
      <c r="E3646" s="22">
        <f>IF(D3646="?OLD","!!!","")</f>
        <v/>
      </c>
      <c r="F3646" s="23" t="str">
        <f>IF(OR(E3646="",E3646="!!!"),"",IF(NOT(ISNA(VLOOKUP(E3646,E$1:E3645,1,FALSE()))),"OLD",IF(AND(E3646&lt;&gt;"",E3646&lt;&gt;"!!!"),"NEW","")))</f>
        <v> </v>
      </c>
      <c r="G3646" s="24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5" t="str">
        <f>IF(J3646&lt;&gt;1,"",IF(I3646="SBJ","CB","?"))</f>
        <v> </v>
      </c>
      <c r="I3646" s="26" t="str">
        <f>IF(OR(E3646="",E3646="!!!",F3646="NEW"),"",INDEX(B3645:B$2,-1+SUMPRODUCT(MAX(ROW(E3645:E$2)*(E3646=E3645:E$2)))))</f>
        <v> </v>
      </c>
      <c r="J3646" s="26" t="str">
        <f>IF(OR(E3646="",E3646="!!!",F3646="NEW"),"",COUNTBLANK(OFFSET(A$1,,,SUMPRODUCT(MAX(ROW(E$2:E3646)*(E3646=E$2:E3646)))))-COUNTBLANK(OFFSET(A$1,,,SUMPRODUCT(MAX(ROW(E$1:E3645)*(E2=E$1:E3645))))))</f>
        <v> </v>
      </c>
      <c r="K3646" s="26" t="str">
        <f>IF(OR(E3646="",E3646="!!!",F3646="NEW"),"",INDEX(J$1:J3645,SUMPRODUCT(MAX(ROW(E$1:E3645)*(E3646=E$1:E3645)))))</f>
        <v> </v>
      </c>
      <c r="L3646" s="27"/>
    </row>
    <row r="3647" spans="1:12">
      <c r="A3647" s="20" t="s">
        <v>1000</v>
      </c>
      <c r="E3647" s="22">
        <f>IF(D3647="?OLD","!!!","")</f>
        <v/>
      </c>
      <c r="F3647" s="23" t="str">
        <f>IF(OR(E3647="",E3647="!!!"),"",IF(NOT(ISNA(VLOOKUP(E3647,E$1:E3646,1,FALSE()))),"OLD",IF(AND(E3647&lt;&gt;"",E3647&lt;&gt;"!!!"),"NEW","")))</f>
        <v> </v>
      </c>
      <c r="G3647" s="24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5" t="str">
        <f>IF(J3647&lt;&gt;1,"",IF(I3647="SBJ","CB","?"))</f>
        <v> </v>
      </c>
      <c r="I3647" s="26" t="str">
        <f>IF(OR(E3647="",E3647="!!!",F3647="NEW"),"",INDEX(B3646:B$2,-1+SUMPRODUCT(MAX(ROW(E3646:E$2)*(E3647=E3646:E$2)))))</f>
        <v> </v>
      </c>
      <c r="J3647" s="26" t="str">
        <f>IF(OR(E3647="",E3647="!!!",F3647="NEW"),"",COUNTBLANK(OFFSET(A$1,,,SUMPRODUCT(MAX(ROW(E$2:E3647)*(E3647=E$2:E3647)))))-COUNTBLANK(OFFSET(A$1,,,SUMPRODUCT(MAX(ROW(E$1:E3646)*(E2=E$1:E3646))))))</f>
        <v> </v>
      </c>
      <c r="K3647" s="26" t="str">
        <f>IF(OR(E3647="",E3647="!!!",F3647="NEW"),"",INDEX(J$1:J3646,SUMPRODUCT(MAX(ROW(E$1:E3646)*(E3647=E$1:E3646)))))</f>
        <v> </v>
      </c>
      <c r="L3647" s="27"/>
    </row>
    <row r="3648" spans="1:12">
      <c r="A3648" s="20" t="s">
        <v>1126</v>
      </c>
      <c r="E3648" s="22">
        <f>IF(D3648="?OLD","!!!","")</f>
        <v/>
      </c>
      <c r="F3648" s="23" t="str">
        <f>IF(OR(E3648="",E3648="!!!"),"",IF(NOT(ISNA(VLOOKUP(E3648,E$1:E3647,1,FALSE()))),"OLD",IF(AND(E3648&lt;&gt;"",E3648&lt;&gt;"!!!"),"NEW","")))</f>
        <v> </v>
      </c>
      <c r="G3648" s="24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5" t="str">
        <f>IF(J3648&lt;&gt;1,"",IF(I3648="SBJ","CB","?"))</f>
        <v> </v>
      </c>
      <c r="I3648" s="26" t="str">
        <f>IF(OR(E3648="",E3648="!!!",F3648="NEW"),"",INDEX(B3647:B$2,-1+SUMPRODUCT(MAX(ROW(E3647:E$2)*(E3648=E3647:E$2)))))</f>
        <v> </v>
      </c>
      <c r="J3648" s="26" t="str">
        <f>IF(OR(E3648="",E3648="!!!",F3648="NEW"),"",COUNTBLANK(OFFSET(A$1,,,SUMPRODUCT(MAX(ROW(E$2:E3648)*(E3648=E$2:E3648)))))-COUNTBLANK(OFFSET(A$1,,,SUMPRODUCT(MAX(ROW(E$1:E3647)*(E2=E$1:E3647))))))</f>
        <v> </v>
      </c>
      <c r="K3648" s="26" t="str">
        <f>IF(OR(E3648="",E3648="!!!",F3648="NEW"),"",INDEX(J$1:J3647,SUMPRODUCT(MAX(ROW(E$1:E3647)*(E3648=E$1:E3647)))))</f>
        <v> </v>
      </c>
      <c r="L3648" s="27"/>
    </row>
    <row r="3649" spans="1:12">
      <c r="A3649" s="20" t="s">
        <v>1491</v>
      </c>
      <c r="E3649" s="22">
        <f>IF(D3649="?OLD","!!!","")</f>
        <v/>
      </c>
      <c r="F3649" s="23" t="str">
        <f>IF(OR(E3649="",E3649="!!!"),"",IF(NOT(ISNA(VLOOKUP(E3649,E$1:E3648,1,FALSE()))),"OLD",IF(AND(E3649&lt;&gt;"",E3649&lt;&gt;"!!!"),"NEW","")))</f>
        <v> </v>
      </c>
      <c r="G3649" s="24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5" t="str">
        <f>IF(J3649&lt;&gt;1,"",IF(I3649="SBJ","CB","?"))</f>
        <v> </v>
      </c>
      <c r="I3649" s="26" t="str">
        <f>IF(OR(E3649="",E3649="!!!",F3649="NEW"),"",INDEX(B3648:B$2,-1+SUMPRODUCT(MAX(ROW(E3648:E$2)*(E3649=E3648:E$2)))))</f>
        <v> </v>
      </c>
      <c r="J3649" s="26" t="str">
        <f>IF(OR(E3649="",E3649="!!!",F3649="NEW"),"",COUNTBLANK(OFFSET(A$1,,,SUMPRODUCT(MAX(ROW(E$2:E3649)*(E3649=E$2:E3649)))))-COUNTBLANK(OFFSET(A$1,,,SUMPRODUCT(MAX(ROW(E$1:E3648)*(E2=E$1:E3648))))))</f>
        <v> </v>
      </c>
      <c r="K3649" s="26" t="str">
        <f>IF(OR(E3649="",E3649="!!!",F3649="NEW"),"",INDEX(J$1:J3648,SUMPRODUCT(MAX(ROW(E$1:E3648)*(E3649=E$1:E3648)))))</f>
        <v> </v>
      </c>
      <c r="L3649" s="27"/>
    </row>
    <row r="3650" spans="1:12">
      <c r="A3650" s="20" t="s">
        <v>1022</v>
      </c>
      <c r="E3650" s="22">
        <f>IF(D3650="?OLD","!!!","")</f>
        <v/>
      </c>
      <c r="F3650" s="23" t="str">
        <f>IF(OR(E3650="",E3650="!!!"),"",IF(NOT(ISNA(VLOOKUP(E3650,E$1:E3649,1,FALSE()))),"OLD",IF(AND(E3650&lt;&gt;"",E3650&lt;&gt;"!!!"),"NEW","")))</f>
        <v> </v>
      </c>
      <c r="G3650" s="24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5" t="str">
        <f>IF(J3650&lt;&gt;1,"",IF(I3650="SBJ","CB","?"))</f>
        <v> </v>
      </c>
      <c r="I3650" s="26" t="str">
        <f>IF(OR(E3650="",E3650="!!!",F3650="NEW"),"",INDEX(B3649:B$2,-1+SUMPRODUCT(MAX(ROW(E3649:E$2)*(E3650=E3649:E$2)))))</f>
        <v> </v>
      </c>
      <c r="J3650" s="26" t="str">
        <f>IF(OR(E3650="",E3650="!!!",F3650="NEW"),"",COUNTBLANK(OFFSET(A$1,,,SUMPRODUCT(MAX(ROW(E$2:E3650)*(E3650=E$2:E3650)))))-COUNTBLANK(OFFSET(A$1,,,SUMPRODUCT(MAX(ROW(E$1:E3649)*(E2=E$1:E3649))))))</f>
        <v> </v>
      </c>
      <c r="K3650" s="26" t="str">
        <f>IF(OR(E3650="",E3650="!!!",F3650="NEW"),"",INDEX(J$1:J3649,SUMPRODUCT(MAX(ROW(E$1:E3649)*(E3650=E$1:E3649)))))</f>
        <v> </v>
      </c>
      <c r="L3650" s="27"/>
    </row>
    <row r="3651" spans="1:12">
      <c r="A3651" s="20" t="s">
        <v>143</v>
      </c>
      <c r="E3651" s="22">
        <f>IF(D3651="?OLD","!!!","")</f>
        <v/>
      </c>
      <c r="F3651" s="23" t="str">
        <f>IF(OR(E3651="",E3651="!!!"),"",IF(NOT(ISNA(VLOOKUP(E3651,E$1:E3650,1,FALSE()))),"OLD",IF(AND(E3651&lt;&gt;"",E3651&lt;&gt;"!!!"),"NEW","")))</f>
        <v> </v>
      </c>
      <c r="G3651" s="24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5" t="str">
        <f>IF(J3651&lt;&gt;1,"",IF(I3651="SBJ","CB","?"))</f>
        <v> </v>
      </c>
      <c r="I3651" s="26" t="str">
        <f>IF(OR(E3651="",E3651="!!!",F3651="NEW"),"",INDEX(B3650:B$2,-1+SUMPRODUCT(MAX(ROW(E3650:E$2)*(E3651=E3650:E$2)))))</f>
        <v> </v>
      </c>
      <c r="J3651" s="26" t="str">
        <f>IF(OR(E3651="",E3651="!!!",F3651="NEW"),"",COUNTBLANK(OFFSET(A$1,,,SUMPRODUCT(MAX(ROW(E$2:E3651)*(E3651=E$2:E3651)))))-COUNTBLANK(OFFSET(A$1,,,SUMPRODUCT(MAX(ROW(E$1:E3650)*(E2=E$1:E3650))))))</f>
        <v> </v>
      </c>
      <c r="K3651" s="26" t="str">
        <f>IF(OR(E3651="",E3651="!!!",F3651="NEW"),"",INDEX(J$1:J3650,SUMPRODUCT(MAX(ROW(E$1:E3650)*(E3651=E$1:E3650)))))</f>
        <v> </v>
      </c>
      <c r="L3651" s="27"/>
    </row>
    <row r="3652" spans="1:12">
      <c r="A3652" s="20" t="s">
        <v>1075</v>
      </c>
      <c r="E3652" s="22">
        <f>IF(D3652="?OLD","!!!","")</f>
        <v/>
      </c>
      <c r="F3652" s="23" t="str">
        <f>IF(OR(E3652="",E3652="!!!"),"",IF(NOT(ISNA(VLOOKUP(E3652,E$1:E3651,1,FALSE()))),"OLD",IF(AND(E3652&lt;&gt;"",E3652&lt;&gt;"!!!"),"NEW","")))</f>
        <v> </v>
      </c>
      <c r="G3652" s="24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5" t="str">
        <f>IF(J3652&lt;&gt;1,"",IF(I3652="SBJ","CB","?"))</f>
        <v> </v>
      </c>
      <c r="I3652" s="26" t="str">
        <f>IF(OR(E3652="",E3652="!!!",F3652="NEW"),"",INDEX(B3651:B$2,-1+SUMPRODUCT(MAX(ROW(E3651:E$2)*(E3652=E3651:E$2)))))</f>
        <v> </v>
      </c>
      <c r="J3652" s="26" t="str">
        <f>IF(OR(E3652="",E3652="!!!",F3652="NEW"),"",COUNTBLANK(OFFSET(A$1,,,SUMPRODUCT(MAX(ROW(E$2:E3652)*(E3652=E$2:E3652)))))-COUNTBLANK(OFFSET(A$1,,,SUMPRODUCT(MAX(ROW(E$1:E3651)*(E2=E$1:E3651))))))</f>
        <v> </v>
      </c>
      <c r="K3652" s="26" t="str">
        <f>IF(OR(E3652="",E3652="!!!",F3652="NEW"),"",INDEX(J$1:J3651,SUMPRODUCT(MAX(ROW(E$1:E3651)*(E3652=E$1:E3651)))))</f>
        <v> </v>
      </c>
      <c r="L3652" s="27"/>
    </row>
    <row r="3653" spans="1:12">
      <c r="A3653" s="20" t="s">
        <v>1006</v>
      </c>
      <c r="E3653" s="22">
        <f>IF(D3653="?OLD","!!!","")</f>
        <v/>
      </c>
      <c r="F3653" s="23" t="str">
        <f>IF(OR(E3653="",E3653="!!!"),"",IF(NOT(ISNA(VLOOKUP(E3653,E$1:E3652,1,FALSE()))),"OLD",IF(AND(E3653&lt;&gt;"",E3653&lt;&gt;"!!!"),"NEW","")))</f>
        <v> </v>
      </c>
      <c r="G3653" s="24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5" t="str">
        <f>IF(J3653&lt;&gt;1,"",IF(I3653="SBJ","CB","?"))</f>
        <v> </v>
      </c>
      <c r="I3653" s="26" t="str">
        <f>IF(OR(E3653="",E3653="!!!",F3653="NEW"),"",INDEX(B3652:B$2,-1+SUMPRODUCT(MAX(ROW(E3652:E$2)*(E3653=E3652:E$2)))))</f>
        <v> </v>
      </c>
      <c r="J3653" s="26" t="str">
        <f>IF(OR(E3653="",E3653="!!!",F3653="NEW"),"",COUNTBLANK(OFFSET(A$1,,,SUMPRODUCT(MAX(ROW(E$2:E3653)*(E3653=E$2:E3653)))))-COUNTBLANK(OFFSET(A$1,,,SUMPRODUCT(MAX(ROW(E$1:E3652)*(E2=E$1:E3652))))))</f>
        <v> </v>
      </c>
      <c r="K3653" s="26" t="str">
        <f>IF(OR(E3653="",E3653="!!!",F3653="NEW"),"",INDEX(J$1:J3652,SUMPRODUCT(MAX(ROW(E$1:E3652)*(E3653=E$1:E3652)))))</f>
        <v> </v>
      </c>
      <c r="L3653" s="27"/>
    </row>
    <row r="3654" spans="1:12">
      <c r="A3654" s="20" t="s">
        <v>1146</v>
      </c>
      <c r="B3654" s="21" t="s">
        <v>1010</v>
      </c>
      <c r="C3654" s="21" t="s">
        <v>1029</v>
      </c>
      <c r="D3654" s="21" t="s">
        <v>950</v>
      </c>
      <c r="E3654" s="22">
        <f>IF(D3654="?OLD","!!!","")</f>
        <v/>
      </c>
      <c r="F3654" s="23" t="str">
        <f>IF(OR(E3654="",E3654="!!!"),"",IF(NOT(ISNA(VLOOKUP(E3654,E$1:E3653,1,FALSE()))),"OLD",IF(AND(E3654&lt;&gt;"",E3654&lt;&gt;"!!!"),"NEW","")))</f>
        <v> </v>
      </c>
      <c r="G3654" s="24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5" t="str">
        <f>IF(J3654&lt;&gt;1,"",IF(I3654="SBJ","CB","?"))</f>
        <v> </v>
      </c>
      <c r="I3654" s="26" t="str">
        <f>IF(OR(E3654="",E3654="!!!",F3654="NEW"),"",INDEX(B3653:B$2,-1+SUMPRODUCT(MAX(ROW(E3653:E$2)*(E3654=E3653:E$2)))))</f>
        <v> </v>
      </c>
      <c r="J3654" s="26" t="str">
        <f>IF(OR(E3654="",E3654="!!!",F3654="NEW"),"",COUNTBLANK(OFFSET(A$1,,,SUMPRODUCT(MAX(ROW(E$2:E3654)*(E3654=E$2:E3654)))))-COUNTBLANK(OFFSET(A$1,,,SUMPRODUCT(MAX(ROW(E$1:E3653)*(E2=E$1:E3653))))))</f>
        <v> </v>
      </c>
      <c r="K3654" s="26" t="str">
        <f>IF(OR(E3654="",E3654="!!!",F3654="NEW"),"",INDEX(J$1:J3653,SUMPRODUCT(MAX(ROW(E$1:E3653)*(E3654=E$1:E3653)))))</f>
        <v> </v>
      </c>
      <c r="L3654" s="27"/>
    </row>
    <row r="3655" spans="1:12">
      <c r="A3655" s="20" t="s">
        <v>962</v>
      </c>
      <c r="E3655" s="22">
        <f>IF(D3655="?OLD","!!!","")</f>
        <v/>
      </c>
      <c r="F3655" s="23" t="str">
        <f>IF(OR(E3655="",E3655="!!!"),"",IF(NOT(ISNA(VLOOKUP(E3655,E$1:E3654,1,FALSE()))),"OLD",IF(AND(E3655&lt;&gt;"",E3655&lt;&gt;"!!!"),"NEW","")))</f>
        <v> </v>
      </c>
      <c r="G3655" s="24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5" t="str">
        <f>IF(J3655&lt;&gt;1,"",IF(I3655="SBJ","CB","?"))</f>
        <v> </v>
      </c>
      <c r="I3655" s="26" t="str">
        <f>IF(OR(E3655="",E3655="!!!",F3655="NEW"),"",INDEX(B3654:B$2,-1+SUMPRODUCT(MAX(ROW(E3654:E$2)*(E3655=E3654:E$2)))))</f>
        <v> </v>
      </c>
      <c r="J3655" s="26" t="str">
        <f>IF(OR(E3655="",E3655="!!!",F3655="NEW"),"",COUNTBLANK(OFFSET(A$1,,,SUMPRODUCT(MAX(ROW(E$2:E3655)*(E3655=E$2:E3655)))))-COUNTBLANK(OFFSET(A$1,,,SUMPRODUCT(MAX(ROW(E$1:E3654)*(E2=E$1:E3654))))))</f>
        <v> </v>
      </c>
      <c r="K3655" s="26" t="str">
        <f>IF(OR(E3655="",E3655="!!!",F3655="NEW"),"",INDEX(J$1:J3654,SUMPRODUCT(MAX(ROW(E$1:E3654)*(E3655=E$1:E3654)))))</f>
        <v> </v>
      </c>
      <c r="L3655" s="27"/>
    </row>
    <row r="3656" spans="1:12">
      <c r="A3656" s="20" t="s">
        <v>2000</v>
      </c>
      <c r="B3656" s="21" t="s">
        <v>1082</v>
      </c>
      <c r="C3656" s="21" t="s">
        <v>1032</v>
      </c>
      <c r="D3656" s="21" t="s">
        <v>950</v>
      </c>
      <c r="E3656" s="22">
        <f>IF(D3656="?OLD","!!!","")</f>
        <v/>
      </c>
      <c r="F3656" s="23" t="str">
        <f>IF(OR(E3656="",E3656="!!!"),"",IF(NOT(ISNA(VLOOKUP(E3656,E$1:E3655,1,FALSE()))),"OLD",IF(AND(E3656&lt;&gt;"",E3656&lt;&gt;"!!!"),"NEW","")))</f>
        <v> </v>
      </c>
      <c r="G3656" s="24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5" t="str">
        <f>IF(J3656&lt;&gt;1,"",IF(I3656="SBJ","CB","?"))</f>
        <v> </v>
      </c>
      <c r="I3656" s="26" t="str">
        <f>IF(OR(E3656="",E3656="!!!",F3656="NEW"),"",INDEX(B3655:B$2,-1+SUMPRODUCT(MAX(ROW(E3655:E$2)*(E3656=E3655:E$2)))))</f>
        <v> </v>
      </c>
      <c r="J3656" s="26" t="str">
        <f>IF(OR(E3656="",E3656="!!!",F3656="NEW"),"",COUNTBLANK(OFFSET(A$1,,,SUMPRODUCT(MAX(ROW(E$2:E3656)*(E3656=E$2:E3656)))))-COUNTBLANK(OFFSET(A$1,,,SUMPRODUCT(MAX(ROW(E$1:E3655)*(E2=E$1:E3655))))))</f>
        <v> </v>
      </c>
      <c r="K3656" s="26" t="str">
        <f>IF(OR(E3656="",E3656="!!!",F3656="NEW"),"",INDEX(J$1:J3655,SUMPRODUCT(MAX(ROW(E$1:E3655)*(E3656=E$1:E3655)))))</f>
        <v> </v>
      </c>
      <c r="L3656" s="27"/>
    </row>
    <row r="3657" spans="1:12">
      <c r="A3657" s="20" t="s">
        <v>962</v>
      </c>
      <c r="E3657" s="22">
        <f>IF(D3657="?OLD","!!!","")</f>
        <v/>
      </c>
      <c r="F3657" s="23" t="str">
        <f>IF(OR(E3657="",E3657="!!!"),"",IF(NOT(ISNA(VLOOKUP(E3657,E$1:E3656,1,FALSE()))),"OLD",IF(AND(E3657&lt;&gt;"",E3657&lt;&gt;"!!!"),"NEW","")))</f>
        <v> </v>
      </c>
      <c r="G3657" s="24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5" t="str">
        <f>IF(J3657&lt;&gt;1,"",IF(I3657="SBJ","CB","?"))</f>
        <v> </v>
      </c>
      <c r="I3657" s="26" t="str">
        <f>IF(OR(E3657="",E3657="!!!",F3657="NEW"),"",INDEX(B3656:B$2,-1+SUMPRODUCT(MAX(ROW(E3656:E$2)*(E3657=E3656:E$2)))))</f>
        <v> </v>
      </c>
      <c r="J3657" s="26" t="str">
        <f>IF(OR(E3657="",E3657="!!!",F3657="NEW"),"",COUNTBLANK(OFFSET(A$1,,,SUMPRODUCT(MAX(ROW(E$2:E3657)*(E3657=E$2:E3657)))))-COUNTBLANK(OFFSET(A$1,,,SUMPRODUCT(MAX(ROW(E$1:E3656)*(E2=E$1:E3656))))))</f>
        <v> </v>
      </c>
      <c r="K3657" s="26" t="str">
        <f>IF(OR(E3657="",E3657="!!!",F3657="NEW"),"",INDEX(J$1:J3656,SUMPRODUCT(MAX(ROW(E$1:E3656)*(E3657=E$1:E3656)))))</f>
        <v> </v>
      </c>
      <c r="L3657" s="27"/>
    </row>
    <row r="3658" spans="1:12">
      <c r="A3658" s="20" t="s">
        <v>1000</v>
      </c>
      <c r="E3658" s="22">
        <f>IF(D3658="?OLD","!!!","")</f>
        <v/>
      </c>
      <c r="F3658" s="23" t="str">
        <f>IF(OR(E3658="",E3658="!!!"),"",IF(NOT(ISNA(VLOOKUP(E3658,E$1:E3657,1,FALSE()))),"OLD",IF(AND(E3658&lt;&gt;"",E3658&lt;&gt;"!!!"),"NEW","")))</f>
        <v> </v>
      </c>
      <c r="G3658" s="24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5" t="str">
        <f>IF(J3658&lt;&gt;1,"",IF(I3658="SBJ","CB","?"))</f>
        <v> </v>
      </c>
      <c r="I3658" s="26" t="str">
        <f>IF(OR(E3658="",E3658="!!!",F3658="NEW"),"",INDEX(B3657:B$2,-1+SUMPRODUCT(MAX(ROW(E3657:E$2)*(E3658=E3657:E$2)))))</f>
        <v> </v>
      </c>
      <c r="J3658" s="26" t="str">
        <f>IF(OR(E3658="",E3658="!!!",F3658="NEW"),"",COUNTBLANK(OFFSET(A$1,,,SUMPRODUCT(MAX(ROW(E$2:E3658)*(E3658=E$2:E3658)))))-COUNTBLANK(OFFSET(A$1,,,SUMPRODUCT(MAX(ROW(E$1:E3657)*(E2=E$1:E3657))))))</f>
        <v> </v>
      </c>
      <c r="K3658" s="26" t="str">
        <f>IF(OR(E3658="",E3658="!!!",F3658="NEW"),"",INDEX(J$1:J3657,SUMPRODUCT(MAX(ROW(E$1:E3657)*(E3658=E$1:E3657)))))</f>
        <v> </v>
      </c>
      <c r="L3658" s="27"/>
    </row>
    <row r="3659" spans="1:12">
      <c r="A3659" s="20" t="s">
        <v>1618</v>
      </c>
      <c r="E3659" s="22">
        <f>IF(D3659="?OLD","!!!","")</f>
        <v/>
      </c>
      <c r="F3659" s="23" t="str">
        <f>IF(OR(E3659="",E3659="!!!"),"",IF(NOT(ISNA(VLOOKUP(E3659,E$1:E3658,1,FALSE()))),"OLD",IF(AND(E3659&lt;&gt;"",E3659&lt;&gt;"!!!"),"NEW","")))</f>
        <v> </v>
      </c>
      <c r="G3659" s="24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5" t="str">
        <f>IF(J3659&lt;&gt;1,"",IF(I3659="SBJ","CB","?"))</f>
        <v> </v>
      </c>
      <c r="I3659" s="26" t="str">
        <f>IF(OR(E3659="",E3659="!!!",F3659="NEW"),"",INDEX(B3658:B$2,-1+SUMPRODUCT(MAX(ROW(E3658:E$2)*(E3659=E3658:E$2)))))</f>
        <v> </v>
      </c>
      <c r="J3659" s="26" t="str">
        <f>IF(OR(E3659="",E3659="!!!",F3659="NEW"),"",COUNTBLANK(OFFSET(A$1,,,SUMPRODUCT(MAX(ROW(E$2:E3659)*(E3659=E$2:E3659)))))-COUNTBLANK(OFFSET(A$1,,,SUMPRODUCT(MAX(ROW(E$1:E3658)*(E2=E$1:E3658))))))</f>
        <v> </v>
      </c>
      <c r="K3659" s="26" t="str">
        <f>IF(OR(E3659="",E3659="!!!",F3659="NEW"),"",INDEX(J$1:J3658,SUMPRODUCT(MAX(ROW(E$1:E3658)*(E3659=E$1:E3658)))))</f>
        <v> </v>
      </c>
      <c r="L3659" s="27"/>
    </row>
    <row r="3660" spans="1:12">
      <c r="A3660" s="20" t="s">
        <v>1168</v>
      </c>
      <c r="E3660" s="22">
        <f>IF(D3660="?OLD","!!!","")</f>
        <v/>
      </c>
      <c r="F3660" s="23" t="str">
        <f>IF(OR(E3660="",E3660="!!!"),"",IF(NOT(ISNA(VLOOKUP(E3660,E$1:E3659,1,FALSE()))),"OLD",IF(AND(E3660&lt;&gt;"",E3660&lt;&gt;"!!!"),"NEW","")))</f>
        <v> </v>
      </c>
      <c r="G3660" s="24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5" t="str">
        <f>IF(J3660&lt;&gt;1,"",IF(I3660="SBJ","CB","?"))</f>
        <v> </v>
      </c>
      <c r="I3660" s="26" t="str">
        <f>IF(OR(E3660="",E3660="!!!",F3660="NEW"),"",INDEX(B3659:B$2,-1+SUMPRODUCT(MAX(ROW(E3659:E$2)*(E3660=E3659:E$2)))))</f>
        <v> </v>
      </c>
      <c r="J3660" s="26" t="str">
        <f>IF(OR(E3660="",E3660="!!!",F3660="NEW"),"",COUNTBLANK(OFFSET(A$1,,,SUMPRODUCT(MAX(ROW(E$2:E3660)*(E3660=E$2:E3660)))))-COUNTBLANK(OFFSET(A$1,,,SUMPRODUCT(MAX(ROW(E$1:E3659)*(E2=E$1:E3659))))))</f>
        <v> </v>
      </c>
      <c r="K3660" s="26" t="str">
        <f>IF(OR(E3660="",E3660="!!!",F3660="NEW"),"",INDEX(J$1:J3659,SUMPRODUCT(MAX(ROW(E$1:E3659)*(E3660=E$1:E3659)))))</f>
        <v> </v>
      </c>
      <c r="L3660" s="27"/>
    </row>
    <row r="3661" spans="1:12">
      <c r="A3661" s="20" t="s">
        <v>1038</v>
      </c>
      <c r="E3661" s="22">
        <f>IF(D3661="?OLD","!!!","")</f>
        <v/>
      </c>
      <c r="F3661" s="23" t="str">
        <f>IF(OR(E3661="",E3661="!!!"),"",IF(NOT(ISNA(VLOOKUP(E3661,E$1:E3660,1,FALSE()))),"OLD",IF(AND(E3661&lt;&gt;"",E3661&lt;&gt;"!!!"),"NEW","")))</f>
        <v> </v>
      </c>
      <c r="G3661" s="24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5" t="str">
        <f>IF(J3661&lt;&gt;1,"",IF(I3661="SBJ","CB","?"))</f>
        <v> </v>
      </c>
      <c r="I3661" s="26" t="str">
        <f>IF(OR(E3661="",E3661="!!!",F3661="NEW"),"",INDEX(B3660:B$2,-1+SUMPRODUCT(MAX(ROW(E3660:E$2)*(E3661=E3660:E$2)))))</f>
        <v> </v>
      </c>
      <c r="J3661" s="26" t="str">
        <f>IF(OR(E3661="",E3661="!!!",F3661="NEW"),"",COUNTBLANK(OFFSET(A$1,,,SUMPRODUCT(MAX(ROW(E$2:E3661)*(E3661=E$2:E3661)))))-COUNTBLANK(OFFSET(A$1,,,SUMPRODUCT(MAX(ROW(E$1:E3660)*(E2=E$1:E3660))))))</f>
        <v> </v>
      </c>
      <c r="K3661" s="26" t="str">
        <f>IF(OR(E3661="",E3661="!!!",F3661="NEW"),"",INDEX(J$1:J3660,SUMPRODUCT(MAX(ROW(E$1:E3660)*(E3661=E$1:E3660)))))</f>
        <v> </v>
      </c>
      <c r="L3661" s="27"/>
    </row>
    <row r="3662" spans="1:12">
      <c r="A3662" s="20" t="s">
        <v>2001</v>
      </c>
      <c r="B3662" s="21" t="s">
        <v>1007</v>
      </c>
      <c r="C3662" s="21" t="s">
        <v>949</v>
      </c>
      <c r="D3662" s="21" t="s">
        <v>950</v>
      </c>
      <c r="E3662" s="22">
        <f>IF(D3662="?OLD","!!!","")</f>
        <v/>
      </c>
      <c r="F3662" s="23" t="str">
        <f>IF(OR(E3662="",E3662="!!!"),"",IF(NOT(ISNA(VLOOKUP(E3662,E$1:E3661,1,FALSE()))),"OLD",IF(AND(E3662&lt;&gt;"",E3662&lt;&gt;"!!!"),"NEW","")))</f>
        <v> </v>
      </c>
      <c r="G3662" s="24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5" t="str">
        <f>IF(J3662&lt;&gt;1,"",IF(I3662="SBJ","CB","?"))</f>
        <v> </v>
      </c>
      <c r="I3662" s="26" t="str">
        <f>IF(OR(E3662="",E3662="!!!",F3662="NEW"),"",INDEX(B3661:B$2,-1+SUMPRODUCT(MAX(ROW(E3661:E$2)*(E3662=E3661:E$2)))))</f>
        <v> </v>
      </c>
      <c r="J3662" s="26" t="str">
        <f>IF(OR(E3662="",E3662="!!!",F3662="NEW"),"",COUNTBLANK(OFFSET(A$1,,,SUMPRODUCT(MAX(ROW(E$2:E3662)*(E3662=E$2:E3662)))))-COUNTBLANK(OFFSET(A$1,,,SUMPRODUCT(MAX(ROW(E$1:E3661)*(E2=E$1:E3661))))))</f>
        <v> </v>
      </c>
      <c r="K3662" s="26" t="str">
        <f>IF(OR(E3662="",E3662="!!!",F3662="NEW"),"",INDEX(J$1:J3661,SUMPRODUCT(MAX(ROW(E$1:E3661)*(E3662=E$1:E3661)))))</f>
        <v> </v>
      </c>
      <c r="L3662" s="27"/>
    </row>
    <row r="3663" spans="1:12">
      <c r="A3663" s="20" t="s">
        <v>1001</v>
      </c>
      <c r="E3663" s="22">
        <f>IF(D3663="?OLD","!!!","")</f>
        <v/>
      </c>
      <c r="F3663" s="23" t="str">
        <f>IF(OR(E3663="",E3663="!!!"),"",IF(NOT(ISNA(VLOOKUP(E3663,E$1:E3662,1,FALSE()))),"OLD",IF(AND(E3663&lt;&gt;"",E3663&lt;&gt;"!!!"),"NEW","")))</f>
        <v> </v>
      </c>
      <c r="G3663" s="24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5" t="str">
        <f>IF(J3663&lt;&gt;1,"",IF(I3663="SBJ","CB","?"))</f>
        <v> </v>
      </c>
      <c r="I3663" s="26" t="str">
        <f>IF(OR(E3663="",E3663="!!!",F3663="NEW"),"",INDEX(B3662:B$2,-1+SUMPRODUCT(MAX(ROW(E3662:E$2)*(E3663=E3662:E$2)))))</f>
        <v> </v>
      </c>
      <c r="J3663" s="26" t="str">
        <f>IF(OR(E3663="",E3663="!!!",F3663="NEW"),"",COUNTBLANK(OFFSET(A$1,,,SUMPRODUCT(MAX(ROW(E$2:E3663)*(E3663=E$2:E3663)))))-COUNTBLANK(OFFSET(A$1,,,SUMPRODUCT(MAX(ROW(E$1:E3662)*(E2=E$1:E3662))))))</f>
        <v> </v>
      </c>
      <c r="K3663" s="26" t="str">
        <f>IF(OR(E3663="",E3663="!!!",F3663="NEW"),"",INDEX(J$1:J3662,SUMPRODUCT(MAX(ROW(E$1:E3662)*(E3663=E$1:E3662)))))</f>
        <v> </v>
      </c>
      <c r="L3663" s="27"/>
    </row>
    <row r="3664" spans="1:12">
      <c r="A3664" s="20" t="s">
        <v>1663</v>
      </c>
      <c r="E3664" s="22">
        <f>IF(D3664="?OLD","!!!","")</f>
        <v/>
      </c>
      <c r="F3664" s="23" t="str">
        <f>IF(OR(E3664="",E3664="!!!"),"",IF(NOT(ISNA(VLOOKUP(E3664,E$1:E3663,1,FALSE()))),"OLD",IF(AND(E3664&lt;&gt;"",E3664&lt;&gt;"!!!"),"NEW","")))</f>
        <v> </v>
      </c>
      <c r="G3664" s="24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5" t="str">
        <f>IF(J3664&lt;&gt;1,"",IF(I3664="SBJ","CB","?"))</f>
        <v> </v>
      </c>
      <c r="I3664" s="26" t="str">
        <f>IF(OR(E3664="",E3664="!!!",F3664="NEW"),"",INDEX(B3663:B$2,-1+SUMPRODUCT(MAX(ROW(E3663:E$2)*(E3664=E3663:E$2)))))</f>
        <v> </v>
      </c>
      <c r="J3664" s="26" t="str">
        <f>IF(OR(E3664="",E3664="!!!",F3664="NEW"),"",COUNTBLANK(OFFSET(A$1,,,SUMPRODUCT(MAX(ROW(E$2:E3664)*(E3664=E$2:E3664)))))-COUNTBLANK(OFFSET(A$1,,,SUMPRODUCT(MAX(ROW(E$1:E3663)*(E2=E$1:E3663))))))</f>
        <v> </v>
      </c>
      <c r="K3664" s="26" t="str">
        <f>IF(OR(E3664="",E3664="!!!",F3664="NEW"),"",INDEX(J$1:J3663,SUMPRODUCT(MAX(ROW(E$1:E3663)*(E3664=E$1:E3663)))))</f>
        <v> </v>
      </c>
      <c r="L3664" s="27"/>
    </row>
    <row r="3665" spans="1:12">
      <c r="A3665" s="20" t="s">
        <v>1232</v>
      </c>
      <c r="B3665" s="21" t="s">
        <v>1328</v>
      </c>
      <c r="C3665" s="21" t="s">
        <v>1051</v>
      </c>
      <c r="E3665" s="22">
        <f>IF(D3665="?OLD","!!!","")</f>
        <v/>
      </c>
      <c r="F3665" s="23" t="str">
        <f>IF(OR(E3665="",E3665="!!!"),"",IF(NOT(ISNA(VLOOKUP(E3665,E$1:E3664,1,FALSE()))),"OLD",IF(AND(E3665&lt;&gt;"",E3665&lt;&gt;"!!!"),"NEW","")))</f>
        <v> </v>
      </c>
      <c r="G3665" s="24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5" t="str">
        <f>IF(J3665&lt;&gt;1,"",IF(I3665="SBJ","CB","?"))</f>
        <v> </v>
      </c>
      <c r="I3665" s="26" t="str">
        <f>IF(OR(E3665="",E3665="!!!",F3665="NEW"),"",INDEX(B3664:B$2,-1+SUMPRODUCT(MAX(ROW(E3664:E$2)*(E3665=E3664:E$2)))))</f>
        <v> </v>
      </c>
      <c r="J3665" s="26" t="str">
        <f>IF(OR(E3665="",E3665="!!!",F3665="NEW"),"",COUNTBLANK(OFFSET(A$1,,,SUMPRODUCT(MAX(ROW(E$2:E3665)*(E3665=E$2:E3665)))))-COUNTBLANK(OFFSET(A$1,,,SUMPRODUCT(MAX(ROW(E$1:E3664)*(E2=E$1:E3664))))))</f>
        <v> </v>
      </c>
      <c r="K3665" s="26" t="str">
        <f>IF(OR(E3665="",E3665="!!!",F3665="NEW"),"",INDEX(J$1:J3664,SUMPRODUCT(MAX(ROW(E$1:E3664)*(E3665=E$1:E3664)))))</f>
        <v> </v>
      </c>
      <c r="L3665" s="27"/>
    </row>
    <row r="3666" spans="1:12">
      <c r="A3666" s="20" t="s">
        <v>1000</v>
      </c>
      <c r="E3666" s="22">
        <f>IF(D3666="?OLD","!!!","")</f>
        <v/>
      </c>
      <c r="F3666" s="23" t="str">
        <f>IF(OR(E3666="",E3666="!!!"),"",IF(NOT(ISNA(VLOOKUP(E3666,E$1:E3665,1,FALSE()))),"OLD",IF(AND(E3666&lt;&gt;"",E3666&lt;&gt;"!!!"),"NEW","")))</f>
        <v> </v>
      </c>
      <c r="G3666" s="24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5" t="str">
        <f>IF(J3666&lt;&gt;1,"",IF(I3666="SBJ","CB","?"))</f>
        <v> </v>
      </c>
      <c r="I3666" s="26" t="str">
        <f>IF(OR(E3666="",E3666="!!!",F3666="NEW"),"",INDEX(B3665:B$2,-1+SUMPRODUCT(MAX(ROW(E3665:E$2)*(E3666=E3665:E$2)))))</f>
        <v> </v>
      </c>
      <c r="J3666" s="26" t="str">
        <f>IF(OR(E3666="",E3666="!!!",F3666="NEW"),"",COUNTBLANK(OFFSET(A$1,,,SUMPRODUCT(MAX(ROW(E$2:E3666)*(E3666=E$2:E3666)))))-COUNTBLANK(OFFSET(A$1,,,SUMPRODUCT(MAX(ROW(E$1:E3665)*(E2=E$1:E3665))))))</f>
        <v> </v>
      </c>
      <c r="K3666" s="26" t="str">
        <f>IF(OR(E3666="",E3666="!!!",F3666="NEW"),"",INDEX(J$1:J3665,SUMPRODUCT(MAX(ROW(E$1:E3665)*(E3666=E$1:E3665)))))</f>
        <v> </v>
      </c>
      <c r="L3666" s="27"/>
    </row>
    <row r="3667" spans="1:12">
      <c r="A3667" s="20" t="s">
        <v>1001</v>
      </c>
      <c r="E3667" s="22">
        <f>IF(D3667="?OLD","!!!","")</f>
        <v/>
      </c>
      <c r="F3667" s="23" t="str">
        <f>IF(OR(E3667="",E3667="!!!"),"",IF(NOT(ISNA(VLOOKUP(E3667,E$1:E3666,1,FALSE()))),"OLD",IF(AND(E3667&lt;&gt;"",E3667&lt;&gt;"!!!"),"NEW","")))</f>
        <v> </v>
      </c>
      <c r="G3667" s="24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5" t="str">
        <f>IF(J3667&lt;&gt;1,"",IF(I3667="SBJ","CB","?"))</f>
        <v> </v>
      </c>
      <c r="I3667" s="26" t="str">
        <f>IF(OR(E3667="",E3667="!!!",F3667="NEW"),"",INDEX(B3666:B$2,-1+SUMPRODUCT(MAX(ROW(E3666:E$2)*(E3667=E3666:E$2)))))</f>
        <v> </v>
      </c>
      <c r="J3667" s="26" t="str">
        <f>IF(OR(E3667="",E3667="!!!",F3667="NEW"),"",COUNTBLANK(OFFSET(A$1,,,SUMPRODUCT(MAX(ROW(E$2:E3667)*(E3667=E$2:E3667)))))-COUNTBLANK(OFFSET(A$1,,,SUMPRODUCT(MAX(ROW(E$1:E3666)*(E2=E$1:E3666))))))</f>
        <v> </v>
      </c>
      <c r="K3667" s="26" t="str">
        <f>IF(OR(E3667="",E3667="!!!",F3667="NEW"),"",INDEX(J$1:J3666,SUMPRODUCT(MAX(ROW(E$1:E3666)*(E3667=E$1:E3666)))))</f>
        <v> </v>
      </c>
      <c r="L3667" s="27"/>
    </row>
    <row r="3668" spans="1:12">
      <c r="A3668" s="20" t="s">
        <v>1202</v>
      </c>
      <c r="E3668" s="22">
        <f>IF(D3668="?OLD","!!!","")</f>
        <v/>
      </c>
      <c r="F3668" s="23" t="str">
        <f>IF(OR(E3668="",E3668="!!!"),"",IF(NOT(ISNA(VLOOKUP(E3668,E$1:E3667,1,FALSE()))),"OLD",IF(AND(E3668&lt;&gt;"",E3668&lt;&gt;"!!!"),"NEW","")))</f>
        <v> </v>
      </c>
      <c r="G3668" s="24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5" t="str">
        <f>IF(J3668&lt;&gt;1,"",IF(I3668="SBJ","CB","?"))</f>
        <v> </v>
      </c>
      <c r="I3668" s="26" t="str">
        <f>IF(OR(E3668="",E3668="!!!",F3668="NEW"),"",INDEX(B3667:B$2,-1+SUMPRODUCT(MAX(ROW(E3667:E$2)*(E3668=E3667:E$2)))))</f>
        <v> </v>
      </c>
      <c r="J3668" s="26" t="str">
        <f>IF(OR(E3668="",E3668="!!!",F3668="NEW"),"",COUNTBLANK(OFFSET(A$1,,,SUMPRODUCT(MAX(ROW(E$2:E3668)*(E3668=E$2:E3668)))))-COUNTBLANK(OFFSET(A$1,,,SUMPRODUCT(MAX(ROW(E$1:E3667)*(E2=E$1:E3667))))))</f>
        <v> </v>
      </c>
      <c r="K3668" s="26" t="str">
        <f>IF(OR(E3668="",E3668="!!!",F3668="NEW"),"",INDEX(J$1:J3667,SUMPRODUCT(MAX(ROW(E$1:E3667)*(E3668=E$1:E3667)))))</f>
        <v> </v>
      </c>
      <c r="L3668" s="27"/>
    </row>
    <row r="3669" spans="1:12">
      <c r="A3669" s="20" t="s">
        <v>160</v>
      </c>
      <c r="E3669" s="22">
        <f>IF(D3669="?OLD","!!!","")</f>
        <v/>
      </c>
      <c r="F3669" s="23" t="str">
        <f>IF(OR(E3669="",E3669="!!!"),"",IF(NOT(ISNA(VLOOKUP(E3669,E$1:E3668,1,FALSE()))),"OLD",IF(AND(E3669&lt;&gt;"",E3669&lt;&gt;"!!!"),"NEW","")))</f>
        <v> </v>
      </c>
      <c r="G3669" s="24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5" t="str">
        <f>IF(J3669&lt;&gt;1,"",IF(I3669="SBJ","CB","?"))</f>
        <v> </v>
      </c>
      <c r="I3669" s="26" t="str">
        <f>IF(OR(E3669="",E3669="!!!",F3669="NEW"),"",INDEX(B3668:B$2,-1+SUMPRODUCT(MAX(ROW(E3668:E$2)*(E3669=E3668:E$2)))))</f>
        <v> </v>
      </c>
      <c r="J3669" s="26" t="str">
        <f>IF(OR(E3669="",E3669="!!!",F3669="NEW"),"",COUNTBLANK(OFFSET(A$1,,,SUMPRODUCT(MAX(ROW(E$2:E3669)*(E3669=E$2:E3669)))))-COUNTBLANK(OFFSET(A$1,,,SUMPRODUCT(MAX(ROW(E$1:E3668)*(E2=E$1:E3668))))))</f>
        <v> </v>
      </c>
      <c r="K3669" s="26" t="str">
        <f>IF(OR(E3669="",E3669="!!!",F3669="NEW"),"",INDEX(J$1:J3668,SUMPRODUCT(MAX(ROW(E$1:E3668)*(E3669=E$1:E3668)))))</f>
        <v> </v>
      </c>
      <c r="L3669" s="27"/>
    </row>
    <row r="3670" spans="1:12">
      <c r="A3670" s="20" t="s">
        <v>1575</v>
      </c>
      <c r="E3670" s="22">
        <f>IF(D3670="?OLD","!!!","")</f>
        <v/>
      </c>
      <c r="F3670" s="23" t="str">
        <f>IF(OR(E3670="",E3670="!!!"),"",IF(NOT(ISNA(VLOOKUP(E3670,E$1:E3669,1,FALSE()))),"OLD",IF(AND(E3670&lt;&gt;"",E3670&lt;&gt;"!!!"),"NEW","")))</f>
        <v> </v>
      </c>
      <c r="G3670" s="24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5" t="str">
        <f>IF(J3670&lt;&gt;1,"",IF(I3670="SBJ","CB","?"))</f>
        <v> </v>
      </c>
      <c r="I3670" s="26" t="str">
        <f>IF(OR(E3670="",E3670="!!!",F3670="NEW"),"",INDEX(B3669:B$2,-1+SUMPRODUCT(MAX(ROW(E3669:E$2)*(E3670=E3669:E$2)))))</f>
        <v> </v>
      </c>
      <c r="J3670" s="26" t="str">
        <f>IF(OR(E3670="",E3670="!!!",F3670="NEW"),"",COUNTBLANK(OFFSET(A$1,,,SUMPRODUCT(MAX(ROW(E$2:E3670)*(E3670=E$2:E3670)))))-COUNTBLANK(OFFSET(A$1,,,SUMPRODUCT(MAX(ROW(E$1:E3669)*(E2=E$1:E3669))))))</f>
        <v> </v>
      </c>
      <c r="K3670" s="26" t="str">
        <f>IF(OR(E3670="",E3670="!!!",F3670="NEW"),"",INDEX(J$1:J3669,SUMPRODUCT(MAX(ROW(E$1:E3669)*(E3670=E$1:E3669)))))</f>
        <v> </v>
      </c>
      <c r="L3670" s="27"/>
    </row>
    <row r="3671" spans="1:12">
      <c r="A3671" s="20" t="s">
        <v>2002</v>
      </c>
      <c r="B3671" s="21" t="s">
        <v>1158</v>
      </c>
      <c r="C3671" s="21" t="s">
        <v>976</v>
      </c>
      <c r="D3671" s="21" t="s">
        <v>950</v>
      </c>
      <c r="E3671" s="22">
        <f>IF(D3671="?OLD","!!!","")</f>
        <v/>
      </c>
      <c r="F3671" s="23" t="str">
        <f>IF(OR(E3671="",E3671="!!!"),"",IF(NOT(ISNA(VLOOKUP(E3671,E$1:E3670,1,FALSE()))),"OLD",IF(AND(E3671&lt;&gt;"",E3671&lt;&gt;"!!!"),"NEW","")))</f>
        <v> </v>
      </c>
      <c r="G3671" s="24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5" t="str">
        <f>IF(J3671&lt;&gt;1,"",IF(I3671="SBJ","CB","?"))</f>
        <v> </v>
      </c>
      <c r="I3671" s="26" t="str">
        <f>IF(OR(E3671="",E3671="!!!",F3671="NEW"),"",INDEX(B3670:B$2,-1+SUMPRODUCT(MAX(ROW(E3670:E$2)*(E3671=E3670:E$2)))))</f>
        <v> </v>
      </c>
      <c r="J3671" s="26" t="str">
        <f>IF(OR(E3671="",E3671="!!!",F3671="NEW"),"",COUNTBLANK(OFFSET(A$1,,,SUMPRODUCT(MAX(ROW(E$2:E3671)*(E3671=E$2:E3671)))))-COUNTBLANK(OFFSET(A$1,,,SUMPRODUCT(MAX(ROW(E$1:E3670)*(E2=E$1:E3670))))))</f>
        <v> </v>
      </c>
      <c r="K3671" s="26" t="str">
        <f>IF(OR(E3671="",E3671="!!!",F3671="NEW"),"",INDEX(J$1:J3670,SUMPRODUCT(MAX(ROW(E$1:E3670)*(E3671=E$1:E3670)))))</f>
        <v> </v>
      </c>
      <c r="L3671" s="27"/>
    </row>
    <row r="3672" spans="1:12">
      <c r="A3672" s="20" t="s">
        <v>977</v>
      </c>
      <c r="E3672" s="22">
        <f>IF(D3672="?OLD","!!!","")</f>
        <v/>
      </c>
      <c r="F3672" s="23" t="str">
        <f>IF(OR(E3672="",E3672="!!!"),"",IF(NOT(ISNA(VLOOKUP(E3672,E$1:E3671,1,FALSE()))),"OLD",IF(AND(E3672&lt;&gt;"",E3672&lt;&gt;"!!!"),"NEW","")))</f>
        <v> </v>
      </c>
      <c r="G3672" s="24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5" t="str">
        <f>IF(J3672&lt;&gt;1,"",IF(I3672="SBJ","CB","?"))</f>
        <v> </v>
      </c>
      <c r="I3672" s="26" t="str">
        <f>IF(OR(E3672="",E3672="!!!",F3672="NEW"),"",INDEX(B3671:B$2,-1+SUMPRODUCT(MAX(ROW(E3671:E$2)*(E3672=E3671:E$2)))))</f>
        <v> </v>
      </c>
      <c r="J3672" s="26" t="str">
        <f>IF(OR(E3672="",E3672="!!!",F3672="NEW"),"",COUNTBLANK(OFFSET(A$1,,,SUMPRODUCT(MAX(ROW(E$2:E3672)*(E3672=E$2:E3672)))))-COUNTBLANK(OFFSET(A$1,,,SUMPRODUCT(MAX(ROW(E$1:E3671)*(E2=E$1:E3671))))))</f>
        <v> </v>
      </c>
      <c r="K3672" s="26" t="str">
        <f>IF(OR(E3672="",E3672="!!!",F3672="NEW"),"",INDEX(J$1:J3671,SUMPRODUCT(MAX(ROW(E$1:E3671)*(E3672=E$1:E3671)))))</f>
        <v> </v>
      </c>
      <c r="L3672" s="27"/>
    </row>
    <row r="3673" spans="1:12">
      <c r="A3673" s="20" t="s">
        <v>1683</v>
      </c>
      <c r="B3673" s="21" t="s">
        <v>1159</v>
      </c>
      <c r="C3673" s="21" t="s">
        <v>983</v>
      </c>
      <c r="E3673" s="22">
        <f>IF(D3673="?OLD","!!!","")</f>
        <v/>
      </c>
      <c r="F3673" s="23" t="str">
        <f>IF(OR(E3673="",E3673="!!!"),"",IF(NOT(ISNA(VLOOKUP(E3673,E$1:E3672,1,FALSE()))),"OLD",IF(AND(E3673&lt;&gt;"",E3673&lt;&gt;"!!!"),"NEW","")))</f>
        <v> </v>
      </c>
      <c r="G3673" s="24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5" t="str">
        <f>IF(J3673&lt;&gt;1,"",IF(I3673="SBJ","CB","?"))</f>
        <v> </v>
      </c>
      <c r="I3673" s="26" t="str">
        <f>IF(OR(E3673="",E3673="!!!",F3673="NEW"),"",INDEX(B3672:B$2,-1+SUMPRODUCT(MAX(ROW(E3672:E$2)*(E3673=E3672:E$2)))))</f>
        <v> </v>
      </c>
      <c r="J3673" s="26" t="str">
        <f>IF(OR(E3673="",E3673="!!!",F3673="NEW"),"",COUNTBLANK(OFFSET(A$1,,,SUMPRODUCT(MAX(ROW(E$2:E3673)*(E3673=E$2:E3673)))))-COUNTBLANK(OFFSET(A$1,,,SUMPRODUCT(MAX(ROW(E$1:E3672)*(E2=E$1:E3672))))))</f>
        <v> </v>
      </c>
      <c r="K3673" s="26" t="str">
        <f>IF(OR(E3673="",E3673="!!!",F3673="NEW"),"",INDEX(J$1:J3672,SUMPRODUCT(MAX(ROW(E$1:E3672)*(E3673=E$1:E3672)))))</f>
        <v> </v>
      </c>
      <c r="L3673" s="27"/>
    </row>
    <row r="3674" spans="1:12">
      <c r="A3674" s="20" t="s">
        <v>1000</v>
      </c>
      <c r="E3674" s="22">
        <f>IF(D3674="?OLD","!!!","")</f>
        <v/>
      </c>
      <c r="F3674" s="23" t="str">
        <f>IF(OR(E3674="",E3674="!!!"),"",IF(NOT(ISNA(VLOOKUP(E3674,E$1:E3673,1,FALSE()))),"OLD",IF(AND(E3674&lt;&gt;"",E3674&lt;&gt;"!!!"),"NEW","")))</f>
        <v> </v>
      </c>
      <c r="G3674" s="24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5" t="str">
        <f>IF(J3674&lt;&gt;1,"",IF(I3674="SBJ","CB","?"))</f>
        <v> </v>
      </c>
      <c r="I3674" s="26" t="str">
        <f>IF(OR(E3674="",E3674="!!!",F3674="NEW"),"",INDEX(B3673:B$2,-1+SUMPRODUCT(MAX(ROW(E3673:E$2)*(E3674=E3673:E$2)))))</f>
        <v> </v>
      </c>
      <c r="J3674" s="26" t="str">
        <f>IF(OR(E3674="",E3674="!!!",F3674="NEW"),"",COUNTBLANK(OFFSET(A$1,,,SUMPRODUCT(MAX(ROW(E$2:E3674)*(E3674=E$2:E3674)))))-COUNTBLANK(OFFSET(A$1,,,SUMPRODUCT(MAX(ROW(E$1:E3673)*(E2=E$1:E3673))))))</f>
        <v> </v>
      </c>
      <c r="K3674" s="26" t="str">
        <f>IF(OR(E3674="",E3674="!!!",F3674="NEW"),"",INDEX(J$1:J3673,SUMPRODUCT(MAX(ROW(E$1:E3673)*(E3674=E$1:E3673)))))</f>
        <v> </v>
      </c>
      <c r="L3674" s="27"/>
    </row>
    <row r="3675" spans="1:12">
      <c r="A3675" s="20" t="s">
        <v>1001</v>
      </c>
      <c r="E3675" s="22">
        <f>IF(D3675="?OLD","!!!","")</f>
        <v/>
      </c>
      <c r="F3675" s="23" t="str">
        <f>IF(OR(E3675="",E3675="!!!"),"",IF(NOT(ISNA(VLOOKUP(E3675,E$1:E3674,1,FALSE()))),"OLD",IF(AND(E3675&lt;&gt;"",E3675&lt;&gt;"!!!"),"NEW","")))</f>
        <v> </v>
      </c>
      <c r="G3675" s="24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5" t="str">
        <f>IF(J3675&lt;&gt;1,"",IF(I3675="SBJ","CB","?"))</f>
        <v> </v>
      </c>
      <c r="I3675" s="26" t="str">
        <f>IF(OR(E3675="",E3675="!!!",F3675="NEW"),"",INDEX(B3674:B$2,-1+SUMPRODUCT(MAX(ROW(E3674:E$2)*(E3675=E3674:E$2)))))</f>
        <v> </v>
      </c>
      <c r="J3675" s="26" t="str">
        <f>IF(OR(E3675="",E3675="!!!",F3675="NEW"),"",COUNTBLANK(OFFSET(A$1,,,SUMPRODUCT(MAX(ROW(E$2:E3675)*(E3675=E$2:E3675)))))-COUNTBLANK(OFFSET(A$1,,,SUMPRODUCT(MAX(ROW(E$1:E3674)*(E2=E$1:E3674))))))</f>
        <v> </v>
      </c>
      <c r="K3675" s="26" t="str">
        <f>IF(OR(E3675="",E3675="!!!",F3675="NEW"),"",INDEX(J$1:J3674,SUMPRODUCT(MAX(ROW(E$1:E3674)*(E3675=E$1:E3674)))))</f>
        <v> </v>
      </c>
      <c r="L3675" s="27"/>
    </row>
    <row r="3676" spans="1:12">
      <c r="A3676" s="20" t="s">
        <v>1491</v>
      </c>
      <c r="E3676" s="22">
        <f>IF(D3676="?OLD","!!!","")</f>
        <v/>
      </c>
      <c r="F3676" s="23" t="str">
        <f>IF(OR(E3676="",E3676="!!!"),"",IF(NOT(ISNA(VLOOKUP(E3676,E$1:E3675,1,FALSE()))),"OLD",IF(AND(E3676&lt;&gt;"",E3676&lt;&gt;"!!!"),"NEW","")))</f>
        <v> </v>
      </c>
      <c r="G3676" s="24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5" t="str">
        <f>IF(J3676&lt;&gt;1,"",IF(I3676="SBJ","CB","?"))</f>
        <v> </v>
      </c>
      <c r="I3676" s="26" t="str">
        <f>IF(OR(E3676="",E3676="!!!",F3676="NEW"),"",INDEX(B3675:B$2,-1+SUMPRODUCT(MAX(ROW(E3675:E$2)*(E3676=E3675:E$2)))))</f>
        <v> </v>
      </c>
      <c r="J3676" s="26" t="str">
        <f>IF(OR(E3676="",E3676="!!!",F3676="NEW"),"",COUNTBLANK(OFFSET(A$1,,,SUMPRODUCT(MAX(ROW(E$2:E3676)*(E3676=E$2:E3676)))))-COUNTBLANK(OFFSET(A$1,,,SUMPRODUCT(MAX(ROW(E$1:E3675)*(E2=E$1:E3675))))))</f>
        <v> </v>
      </c>
      <c r="K3676" s="26" t="str">
        <f>IF(OR(E3676="",E3676="!!!",F3676="NEW"),"",INDEX(J$1:J3675,SUMPRODUCT(MAX(ROW(E$1:E3675)*(E3676=E$1:E3675)))))</f>
        <v> </v>
      </c>
      <c r="L3676" s="27"/>
    </row>
    <row r="3677" spans="1:12">
      <c r="A3677" s="20" t="s">
        <v>1022</v>
      </c>
      <c r="E3677" s="22">
        <f>IF(D3677="?OLD","!!!","")</f>
        <v/>
      </c>
      <c r="F3677" s="23" t="str">
        <f>IF(OR(E3677="",E3677="!!!"),"",IF(NOT(ISNA(VLOOKUP(E3677,E$1:E3676,1,FALSE()))),"OLD",IF(AND(E3677&lt;&gt;"",E3677&lt;&gt;"!!!"),"NEW","")))</f>
        <v> </v>
      </c>
      <c r="G3677" s="24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5" t="str">
        <f>IF(J3677&lt;&gt;1,"",IF(I3677="SBJ","CB","?"))</f>
        <v> </v>
      </c>
      <c r="I3677" s="26" t="str">
        <f>IF(OR(E3677="",E3677="!!!",F3677="NEW"),"",INDEX(B3676:B$2,-1+SUMPRODUCT(MAX(ROW(E3676:E$2)*(E3677=E3676:E$2)))))</f>
        <v> </v>
      </c>
      <c r="J3677" s="26" t="str">
        <f>IF(OR(E3677="",E3677="!!!",F3677="NEW"),"",COUNTBLANK(OFFSET(A$1,,,SUMPRODUCT(MAX(ROW(E$2:E3677)*(E3677=E$2:E3677)))))-COUNTBLANK(OFFSET(A$1,,,SUMPRODUCT(MAX(ROW(E$1:E3676)*(E2=E$1:E3676))))))</f>
        <v> </v>
      </c>
      <c r="K3677" s="26" t="str">
        <f>IF(OR(E3677="",E3677="!!!",F3677="NEW"),"",INDEX(J$1:J3676,SUMPRODUCT(MAX(ROW(E$1:E3676)*(E3677=E$1:E3676)))))</f>
        <v> </v>
      </c>
      <c r="L3677" s="27"/>
    </row>
    <row r="3678" spans="1:12">
      <c r="A3678" s="20" t="s">
        <v>143</v>
      </c>
      <c r="E3678" s="22">
        <f>IF(D3678="?OLD","!!!","")</f>
        <v/>
      </c>
      <c r="F3678" s="23" t="str">
        <f>IF(OR(E3678="",E3678="!!!"),"",IF(NOT(ISNA(VLOOKUP(E3678,E$1:E3677,1,FALSE()))),"OLD",IF(AND(E3678&lt;&gt;"",E3678&lt;&gt;"!!!"),"NEW","")))</f>
        <v> </v>
      </c>
      <c r="G3678" s="24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5" t="str">
        <f>IF(J3678&lt;&gt;1,"",IF(I3678="SBJ","CB","?"))</f>
        <v> </v>
      </c>
      <c r="I3678" s="26" t="str">
        <f>IF(OR(E3678="",E3678="!!!",F3678="NEW"),"",INDEX(B3677:B$2,-1+SUMPRODUCT(MAX(ROW(E3677:E$2)*(E3678=E3677:E$2)))))</f>
        <v> </v>
      </c>
      <c r="J3678" s="26" t="str">
        <f>IF(OR(E3678="",E3678="!!!",F3678="NEW"),"",COUNTBLANK(OFFSET(A$1,,,SUMPRODUCT(MAX(ROW(E$2:E3678)*(E3678=E$2:E3678)))))-COUNTBLANK(OFFSET(A$1,,,SUMPRODUCT(MAX(ROW(E$1:E3677)*(E2=E$1:E3677))))))</f>
        <v> </v>
      </c>
      <c r="K3678" s="26" t="str">
        <f>IF(OR(E3678="",E3678="!!!",F3678="NEW"),"",INDEX(J$1:J3677,SUMPRODUCT(MAX(ROW(E$1:E3677)*(E3678=E$1:E3677)))))</f>
        <v> </v>
      </c>
      <c r="L3678" s="27"/>
    </row>
    <row r="3679" spans="1:12">
      <c r="A3679" s="20" t="s">
        <v>1034</v>
      </c>
      <c r="E3679" s="22">
        <f>IF(D3679="?OLD","!!!","")</f>
        <v/>
      </c>
      <c r="F3679" s="23" t="str">
        <f>IF(OR(E3679="",E3679="!!!"),"",IF(NOT(ISNA(VLOOKUP(E3679,E$1:E3678,1,FALSE()))),"OLD",IF(AND(E3679&lt;&gt;"",E3679&lt;&gt;"!!!"),"NEW","")))</f>
        <v> </v>
      </c>
      <c r="G3679" s="24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5" t="str">
        <f>IF(J3679&lt;&gt;1,"",IF(I3679="SBJ","CB","?"))</f>
        <v> </v>
      </c>
      <c r="I3679" s="26" t="str">
        <f>IF(OR(E3679="",E3679="!!!",F3679="NEW"),"",INDEX(B3678:B$2,-1+SUMPRODUCT(MAX(ROW(E3678:E$2)*(E3679=E3678:E$2)))))</f>
        <v> </v>
      </c>
      <c r="J3679" s="26" t="str">
        <f>IF(OR(E3679="",E3679="!!!",F3679="NEW"),"",COUNTBLANK(OFFSET(A$1,,,SUMPRODUCT(MAX(ROW(E$2:E3679)*(E3679=E$2:E3679)))))-COUNTBLANK(OFFSET(A$1,,,SUMPRODUCT(MAX(ROW(E$1:E3678)*(E2=E$1:E3678))))))</f>
        <v> </v>
      </c>
      <c r="K3679" s="26" t="str">
        <f>IF(OR(E3679="",E3679="!!!",F3679="NEW"),"",INDEX(J$1:J3678,SUMPRODUCT(MAX(ROW(E$1:E3678)*(E3679=E$1:E3678)))))</f>
        <v> </v>
      </c>
      <c r="L3679" s="27"/>
    </row>
    <row r="3680" spans="1:12">
      <c r="A3680" s="20" t="s">
        <v>1996</v>
      </c>
      <c r="E3680" s="22">
        <f>IF(D3680="?OLD","!!!","")</f>
        <v/>
      </c>
      <c r="F3680" s="23" t="str">
        <f>IF(OR(E3680="",E3680="!!!"),"",IF(NOT(ISNA(VLOOKUP(E3680,E$1:E3679,1,FALSE()))),"OLD",IF(AND(E3680&lt;&gt;"",E3680&lt;&gt;"!!!"),"NEW","")))</f>
        <v> </v>
      </c>
      <c r="G3680" s="24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5" t="str">
        <f>IF(J3680&lt;&gt;1,"",IF(I3680="SBJ","CB","?"))</f>
        <v> </v>
      </c>
      <c r="I3680" s="26" t="str">
        <f>IF(OR(E3680="",E3680="!!!",F3680="NEW"),"",INDEX(B3679:B$2,-1+SUMPRODUCT(MAX(ROW(E3679:E$2)*(E3680=E3679:E$2)))))</f>
        <v> </v>
      </c>
      <c r="J3680" s="26" t="str">
        <f>IF(OR(E3680="",E3680="!!!",F3680="NEW"),"",COUNTBLANK(OFFSET(A$1,,,SUMPRODUCT(MAX(ROW(E$2:E3680)*(E3680=E$2:E3680)))))-COUNTBLANK(OFFSET(A$1,,,SUMPRODUCT(MAX(ROW(E$1:E3679)*(E2=E$1:E3679))))))</f>
        <v> </v>
      </c>
      <c r="K3680" s="26" t="str">
        <f>IF(OR(E3680="",E3680="!!!",F3680="NEW"),"",INDEX(J$1:J3679,SUMPRODUCT(MAX(ROW(E$1:E3679)*(E3680=E$1:E3679)))))</f>
        <v> </v>
      </c>
      <c r="L3680" s="27"/>
    </row>
    <row r="3681" spans="1:12">
      <c r="A3681" s="20" t="s">
        <v>998</v>
      </c>
      <c r="E3681" s="22">
        <f>IF(D3681="?OLD","!!!","")</f>
        <v/>
      </c>
      <c r="F3681" s="23" t="str">
        <f>IF(OR(E3681="",E3681="!!!"),"",IF(NOT(ISNA(VLOOKUP(E3681,E$1:E3680,1,FALSE()))),"OLD",IF(AND(E3681&lt;&gt;"",E3681&lt;&gt;"!!!"),"NEW","")))</f>
        <v> </v>
      </c>
      <c r="G3681" s="24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5" t="str">
        <f>IF(J3681&lt;&gt;1,"",IF(I3681="SBJ","CB","?"))</f>
        <v> </v>
      </c>
      <c r="I3681" s="26" t="str">
        <f>IF(OR(E3681="",E3681="!!!",F3681="NEW"),"",INDEX(B3680:B$2,-1+SUMPRODUCT(MAX(ROW(E3680:E$2)*(E3681=E3680:E$2)))))</f>
        <v> </v>
      </c>
      <c r="J3681" s="26" t="str">
        <f>IF(OR(E3681="",E3681="!!!",F3681="NEW"),"",COUNTBLANK(OFFSET(A$1,,,SUMPRODUCT(MAX(ROW(E$2:E3681)*(E3681=E$2:E3681)))))-COUNTBLANK(OFFSET(A$1,,,SUMPRODUCT(MAX(ROW(E$1:E3680)*(E2=E$1:E3680))))))</f>
        <v> </v>
      </c>
      <c r="K3681" s="26" t="str">
        <f>IF(OR(E3681="",E3681="!!!",F3681="NEW"),"",INDEX(J$1:J3680,SUMPRODUCT(MAX(ROW(E$1:E3680)*(E3681=E$1:E3680)))))</f>
        <v> </v>
      </c>
      <c r="L3681" s="27"/>
    </row>
    <row r="3682" spans="1:12">
      <c r="A3682" s="20" t="s">
        <v>2003</v>
      </c>
      <c r="E3682" s="22">
        <f>IF(D3682="?OLD","!!!","")</f>
        <v/>
      </c>
      <c r="F3682" s="23" t="str">
        <f>IF(OR(E3682="",E3682="!!!"),"",IF(NOT(ISNA(VLOOKUP(E3682,E$1:E3681,1,FALSE()))),"OLD",IF(AND(E3682&lt;&gt;"",E3682&lt;&gt;"!!!"),"NEW","")))</f>
        <v> </v>
      </c>
      <c r="G3682" s="24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5" t="str">
        <f>IF(J3682&lt;&gt;1,"",IF(I3682="SBJ","CB","?"))</f>
        <v> </v>
      </c>
      <c r="I3682" s="26" t="str">
        <f>IF(OR(E3682="",E3682="!!!",F3682="NEW"),"",INDEX(B3681:B$2,-1+SUMPRODUCT(MAX(ROW(E3681:E$2)*(E3682=E3681:E$2)))))</f>
        <v> </v>
      </c>
      <c r="J3682" s="26" t="str">
        <f>IF(OR(E3682="",E3682="!!!",F3682="NEW"),"",COUNTBLANK(OFFSET(A$1,,,SUMPRODUCT(MAX(ROW(E$2:E3682)*(E3682=E$2:E3682)))))-COUNTBLANK(OFFSET(A$1,,,SUMPRODUCT(MAX(ROW(E$1:E3681)*(E2=E$1:E3681))))))</f>
        <v> </v>
      </c>
      <c r="K3682" s="26" t="str">
        <f>IF(OR(E3682="",E3682="!!!",F3682="NEW"),"",INDEX(J$1:J3681,SUMPRODUCT(MAX(ROW(E$1:E3681)*(E3682=E$1:E3681)))))</f>
        <v> </v>
      </c>
      <c r="L3682" s="27"/>
    </row>
    <row r="3683" spans="1:12">
      <c r="A3683" s="20" t="s">
        <v>1093</v>
      </c>
      <c r="E3683" s="22">
        <f>IF(D3683="?OLD","!!!","")</f>
        <v/>
      </c>
      <c r="F3683" s="23" t="str">
        <f>IF(OR(E3683="",E3683="!!!"),"",IF(NOT(ISNA(VLOOKUP(E3683,E$1:E3682,1,FALSE()))),"OLD",IF(AND(E3683&lt;&gt;"",E3683&lt;&gt;"!!!"),"NEW","")))</f>
        <v> </v>
      </c>
      <c r="G3683" s="24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5" t="str">
        <f>IF(J3683&lt;&gt;1,"",IF(I3683="SBJ","CB","?"))</f>
        <v> </v>
      </c>
      <c r="I3683" s="26" t="str">
        <f>IF(OR(E3683="",E3683="!!!",F3683="NEW"),"",INDEX(B3682:B$2,-1+SUMPRODUCT(MAX(ROW(E3682:E$2)*(E3683=E3682:E$2)))))</f>
        <v> </v>
      </c>
      <c r="J3683" s="26" t="str">
        <f>IF(OR(E3683="",E3683="!!!",F3683="NEW"),"",COUNTBLANK(OFFSET(A$1,,,SUMPRODUCT(MAX(ROW(E$2:E3683)*(E3683=E$2:E3683)))))-COUNTBLANK(OFFSET(A$1,,,SUMPRODUCT(MAX(ROW(E$1:E3682)*(E2=E$1:E3682))))))</f>
        <v> </v>
      </c>
      <c r="K3683" s="26" t="str">
        <f>IF(OR(E3683="",E3683="!!!",F3683="NEW"),"",INDEX(J$1:J3682,SUMPRODUCT(MAX(ROW(E$1:E3682)*(E3683=E$1:E3682)))))</f>
        <v> </v>
      </c>
      <c r="L3683" s="27"/>
    </row>
    <row r="3684" spans="1:12">
      <c r="A3684" s="20" t="s">
        <v>1683</v>
      </c>
      <c r="B3684" s="21" t="s">
        <v>1288</v>
      </c>
      <c r="C3684" s="21" t="s">
        <v>976</v>
      </c>
      <c r="D3684" s="21" t="s">
        <v>950</v>
      </c>
      <c r="E3684" s="22">
        <f>IF(D3684="?OLD","!!!","")</f>
        <v/>
      </c>
      <c r="F3684" s="23" t="str">
        <f>IF(OR(E3684="",E3684="!!!"),"",IF(NOT(ISNA(VLOOKUP(E3684,E$1:E3683,1,FALSE()))),"OLD",IF(AND(E3684&lt;&gt;"",E3684&lt;&gt;"!!!"),"NEW","")))</f>
        <v> </v>
      </c>
      <c r="G3684" s="24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5" t="str">
        <f>IF(J3684&lt;&gt;1,"",IF(I3684="SBJ","CB","?"))</f>
        <v> </v>
      </c>
      <c r="I3684" s="26" t="str">
        <f>IF(OR(E3684="",E3684="!!!",F3684="NEW"),"",INDEX(B3683:B$2,-1+SUMPRODUCT(MAX(ROW(E3683:E$2)*(E3684=E3683:E$2)))))</f>
        <v> </v>
      </c>
      <c r="J3684" s="26" t="str">
        <f>IF(OR(E3684="",E3684="!!!",F3684="NEW"),"",COUNTBLANK(OFFSET(A$1,,,SUMPRODUCT(MAX(ROW(E$2:E3684)*(E3684=E$2:E3684)))))-COUNTBLANK(OFFSET(A$1,,,SUMPRODUCT(MAX(ROW(E$1:E3683)*(E2=E$1:E3683))))))</f>
        <v> </v>
      </c>
      <c r="K3684" s="26" t="str">
        <f>IF(OR(E3684="",E3684="!!!",F3684="NEW"),"",INDEX(J$1:J3683,SUMPRODUCT(MAX(ROW(E$1:E3683)*(E3684=E$1:E3683)))))</f>
        <v> </v>
      </c>
      <c r="L3684" s="27"/>
    </row>
    <row r="3685" spans="1:12">
      <c r="A3685" s="20" t="s">
        <v>977</v>
      </c>
      <c r="E3685" s="22">
        <f>IF(D3685="?OLD","!!!","")</f>
        <v/>
      </c>
      <c r="F3685" s="23" t="str">
        <f>IF(OR(E3685="",E3685="!!!"),"",IF(NOT(ISNA(VLOOKUP(E3685,E$1:E3684,1,FALSE()))),"OLD",IF(AND(E3685&lt;&gt;"",E3685&lt;&gt;"!!!"),"NEW","")))</f>
        <v> </v>
      </c>
      <c r="G3685" s="24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5" t="str">
        <f>IF(J3685&lt;&gt;1,"",IF(I3685="SBJ","CB","?"))</f>
        <v> </v>
      </c>
      <c r="I3685" s="26" t="str">
        <f>IF(OR(E3685="",E3685="!!!",F3685="NEW"),"",INDEX(B3684:B$2,-1+SUMPRODUCT(MAX(ROW(E3684:E$2)*(E3685=E3684:E$2)))))</f>
        <v> </v>
      </c>
      <c r="J3685" s="26" t="str">
        <f>IF(OR(E3685="",E3685="!!!",F3685="NEW"),"",COUNTBLANK(OFFSET(A$1,,,SUMPRODUCT(MAX(ROW(E$2:E3685)*(E3685=E$2:E3685)))))-COUNTBLANK(OFFSET(A$1,,,SUMPRODUCT(MAX(ROW(E$1:E3684)*(E2=E$1:E3684))))))</f>
        <v> </v>
      </c>
      <c r="K3685" s="26" t="str">
        <f>IF(OR(E3685="",E3685="!!!",F3685="NEW"),"",INDEX(J$1:J3684,SUMPRODUCT(MAX(ROW(E$1:E3684)*(E3685=E$1:E3684)))))</f>
        <v> </v>
      </c>
      <c r="L3685" s="27"/>
    </row>
    <row r="3686" spans="1:12">
      <c r="A3686" s="20" t="s">
        <v>1006</v>
      </c>
      <c r="E3686" s="22">
        <f>IF(D3686="?OLD","!!!","")</f>
        <v/>
      </c>
      <c r="F3686" s="23" t="str">
        <f>IF(OR(E3686="",E3686="!!!"),"",IF(NOT(ISNA(VLOOKUP(E3686,E$1:E3685,1,FALSE()))),"OLD",IF(AND(E3686&lt;&gt;"",E3686&lt;&gt;"!!!"),"NEW","")))</f>
        <v> </v>
      </c>
      <c r="G3686" s="24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5" t="str">
        <f>IF(J3686&lt;&gt;1,"",IF(I3686="SBJ","CB","?"))</f>
        <v> </v>
      </c>
      <c r="I3686" s="26" t="str">
        <f>IF(OR(E3686="",E3686="!!!",F3686="NEW"),"",INDEX(B3685:B$2,-1+SUMPRODUCT(MAX(ROW(E3685:E$2)*(E3686=E3685:E$2)))))</f>
        <v> </v>
      </c>
      <c r="J3686" s="26" t="str">
        <f>IF(OR(E3686="",E3686="!!!",F3686="NEW"),"",COUNTBLANK(OFFSET(A$1,,,SUMPRODUCT(MAX(ROW(E$2:E3686)*(E3686=E$2:E3686)))))-COUNTBLANK(OFFSET(A$1,,,SUMPRODUCT(MAX(ROW(E$1:E3685)*(E2=E$1:E3685))))))</f>
        <v> </v>
      </c>
      <c r="K3686" s="26" t="str">
        <f>IF(OR(E3686="",E3686="!!!",F3686="NEW"),"",INDEX(J$1:J3685,SUMPRODUCT(MAX(ROW(E$1:E3685)*(E3686=E$1:E3685)))))</f>
        <v> </v>
      </c>
      <c r="L3686" s="27"/>
    </row>
    <row r="3687" spans="1:12">
      <c r="A3687" s="20" t="s">
        <v>2004</v>
      </c>
      <c r="B3687" s="21" t="s">
        <v>1290</v>
      </c>
      <c r="C3687" s="21" t="s">
        <v>1032</v>
      </c>
      <c r="D3687" s="21" t="s">
        <v>950</v>
      </c>
      <c r="E3687" s="22">
        <f>IF(D3687="?OLD","!!!","")</f>
        <v/>
      </c>
      <c r="F3687" s="23" t="str">
        <f>IF(OR(E3687="",E3687="!!!"),"",IF(NOT(ISNA(VLOOKUP(E3687,E$1:E3686,1,FALSE()))),"OLD",IF(AND(E3687&lt;&gt;"",E3687&lt;&gt;"!!!"),"NEW","")))</f>
        <v> </v>
      </c>
      <c r="G3687" s="24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5" t="str">
        <f>IF(J3687&lt;&gt;1,"",IF(I3687="SBJ","CB","?"))</f>
        <v> </v>
      </c>
      <c r="I3687" s="26" t="str">
        <f>IF(OR(E3687="",E3687="!!!",F3687="NEW"),"",INDEX(B3686:B$2,-1+SUMPRODUCT(MAX(ROW(E3686:E$2)*(E3687=E3686:E$2)))))</f>
        <v> </v>
      </c>
      <c r="J3687" s="26" t="str">
        <f>IF(OR(E3687="",E3687="!!!",F3687="NEW"),"",COUNTBLANK(OFFSET(A$1,,,SUMPRODUCT(MAX(ROW(E$2:E3687)*(E3687=E$2:E3687)))))-COUNTBLANK(OFFSET(A$1,,,SUMPRODUCT(MAX(ROW(E$1:E3686)*(E2=E$1:E3686))))))</f>
        <v> </v>
      </c>
      <c r="K3687" s="26" t="str">
        <f>IF(OR(E3687="",E3687="!!!",F3687="NEW"),"",INDEX(J$1:J3686,SUMPRODUCT(MAX(ROW(E$1:E3686)*(E3687=E$1:E3686)))))</f>
        <v> </v>
      </c>
      <c r="L3687" s="27"/>
    </row>
    <row r="3688" spans="1:12">
      <c r="A3688" s="20" t="s">
        <v>1068</v>
      </c>
      <c r="E3688" s="22">
        <f>IF(D3688="?OLD","!!!","")</f>
        <v/>
      </c>
      <c r="F3688" s="23" t="str">
        <f>IF(OR(E3688="",E3688="!!!"),"",IF(NOT(ISNA(VLOOKUP(E3688,E$1:E3687,1,FALSE()))),"OLD",IF(AND(E3688&lt;&gt;"",E3688&lt;&gt;"!!!"),"NEW","")))</f>
        <v> </v>
      </c>
      <c r="G3688" s="24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5" t="str">
        <f>IF(J3688&lt;&gt;1,"",IF(I3688="SBJ","CB","?"))</f>
        <v> </v>
      </c>
      <c r="I3688" s="26" t="str">
        <f>IF(OR(E3688="",E3688="!!!",F3688="NEW"),"",INDEX(B3687:B$2,-1+SUMPRODUCT(MAX(ROW(E3687:E$2)*(E3688=E3687:E$2)))))</f>
        <v> </v>
      </c>
      <c r="J3688" s="26" t="str">
        <f>IF(OR(E3688="",E3688="!!!",F3688="NEW"),"",COUNTBLANK(OFFSET(A$1,,,SUMPRODUCT(MAX(ROW(E$2:E3688)*(E3688=E$2:E3688)))))-COUNTBLANK(OFFSET(A$1,,,SUMPRODUCT(MAX(ROW(E$1:E3687)*(E2=E$1:E3687))))))</f>
        <v> </v>
      </c>
      <c r="K3688" s="26" t="str">
        <f>IF(OR(E3688="",E3688="!!!",F3688="NEW"),"",INDEX(J$1:J3687,SUMPRODUCT(MAX(ROW(E$1:E3687)*(E3688=E$1:E3687)))))</f>
        <v> </v>
      </c>
      <c r="L3688" s="27"/>
    </row>
    <row r="3689" spans="1:12">
      <c r="A3689" s="20"/>
    </row>
    <row r="3690" spans="1:12">
      <c r="A3690" s="20" t="s">
        <v>2005</v>
      </c>
    </row>
    <row r="3691" spans="1:12">
      <c r="A3691" s="20" t="s">
        <v>1092</v>
      </c>
      <c r="E3691" s="22">
        <f>IF(D3691="?OLD","!!!","")</f>
        <v/>
      </c>
      <c r="F3691" s="23" t="str">
        <f>IF(OR(E3691="",E3691="!!!"),"",IF(NOT(ISNA(VLOOKUP(E3691,E$1:E3690,1,FALSE()))),"OLD",IF(AND(E3691&lt;&gt;"",E3691&lt;&gt;"!!!"),"NEW","")))</f>
        <v> </v>
      </c>
      <c r="G3691" s="24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5" t="str">
        <f>IF(J3691&lt;&gt;1,"",IF(I3691="SBJ","CB","?"))</f>
        <v> </v>
      </c>
      <c r="I3691" s="26" t="str">
        <f>IF(OR(E3691="",E3691="!!!",F3691="NEW"),"",INDEX(B3690:B$2,-1+SUMPRODUCT(MAX(ROW(E3690:E$2)*(E3691=E3690:E$2)))))</f>
        <v> </v>
      </c>
      <c r="J3691" s="26" t="str">
        <f>IF(OR(E3691="",E3691="!!!",F3691="NEW"),"",COUNTBLANK(OFFSET(A$1,,,SUMPRODUCT(MAX(ROW(E$2:E3691)*(E3691=E$2:E3691)))))-COUNTBLANK(OFFSET(A$1,,,SUMPRODUCT(MAX(ROW(E$1:E3690)*(E2=E$1:E3690))))))</f>
        <v> </v>
      </c>
      <c r="K3691" s="26" t="str">
        <f>IF(OR(E3691="",E3691="!!!",F3691="NEW"),"",INDEX(J$1:J3690,SUMPRODUCT(MAX(ROW(E$1:E3690)*(E3691=E$1:E3690)))))</f>
        <v> </v>
      </c>
      <c r="L3691" s="27"/>
    </row>
    <row r="3692" spans="1:12">
      <c r="A3692" s="20" t="s">
        <v>2006</v>
      </c>
      <c r="E3692" s="22">
        <f>IF(D3692="?OLD","!!!","")</f>
        <v/>
      </c>
      <c r="F3692" s="23" t="str">
        <f>IF(OR(E3692="",E3692="!!!"),"",IF(NOT(ISNA(VLOOKUP(E3692,E$1:E3691,1,FALSE()))),"OLD",IF(AND(E3692&lt;&gt;"",E3692&lt;&gt;"!!!"),"NEW","")))</f>
        <v> </v>
      </c>
      <c r="G3692" s="24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5" t="str">
        <f>IF(J3692&lt;&gt;1,"",IF(I3692="SBJ","CB","?"))</f>
        <v> </v>
      </c>
      <c r="I3692" s="26" t="str">
        <f>IF(OR(E3692="",E3692="!!!",F3692="NEW"),"",INDEX(B3691:B$2,-1+SUMPRODUCT(MAX(ROW(E3691:E$2)*(E3692=E3691:E$2)))))</f>
        <v> </v>
      </c>
      <c r="J3692" s="26" t="str">
        <f>IF(OR(E3692="",E3692="!!!",F3692="NEW"),"",COUNTBLANK(OFFSET(A$1,,,SUMPRODUCT(MAX(ROW(E$2:E3692)*(E3692=E$2:E3692)))))-COUNTBLANK(OFFSET(A$1,,,SUMPRODUCT(MAX(ROW(E$1:E3691)*(E2=E$1:E3691))))))</f>
        <v> </v>
      </c>
      <c r="K3692" s="26" t="str">
        <f>IF(OR(E3692="",E3692="!!!",F3692="NEW"),"",INDEX(J$1:J3691,SUMPRODUCT(MAX(ROW(E$1:E3691)*(E3692=E$1:E3691)))))</f>
        <v> </v>
      </c>
      <c r="L3692" s="27"/>
    </row>
    <row r="3693" spans="1:12">
      <c r="A3693" s="20" t="s">
        <v>1022</v>
      </c>
      <c r="E3693" s="22">
        <f>IF(D3693="?OLD","!!!","")</f>
        <v/>
      </c>
      <c r="F3693" s="23" t="str">
        <f>IF(OR(E3693="",E3693="!!!"),"",IF(NOT(ISNA(VLOOKUP(E3693,E$1:E3692,1,FALSE()))),"OLD",IF(AND(E3693&lt;&gt;"",E3693&lt;&gt;"!!!"),"NEW","")))</f>
        <v> </v>
      </c>
      <c r="G3693" s="24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5" t="str">
        <f>IF(J3693&lt;&gt;1,"",IF(I3693="SBJ","CB","?"))</f>
        <v> </v>
      </c>
      <c r="I3693" s="26" t="str">
        <f>IF(OR(E3693="",E3693="!!!",F3693="NEW"),"",INDEX(B3692:B$2,-1+SUMPRODUCT(MAX(ROW(E3692:E$2)*(E3693=E3692:E$2)))))</f>
        <v> </v>
      </c>
      <c r="J3693" s="26" t="str">
        <f>IF(OR(E3693="",E3693="!!!",F3693="NEW"),"",COUNTBLANK(OFFSET(A$1,,,SUMPRODUCT(MAX(ROW(E$2:E3693)*(E3693=E$2:E3693)))))-COUNTBLANK(OFFSET(A$1,,,SUMPRODUCT(MAX(ROW(E$1:E3692)*(E2=E$1:E3692))))))</f>
        <v> </v>
      </c>
      <c r="K3693" s="26" t="str">
        <f>IF(OR(E3693="",E3693="!!!",F3693="NEW"),"",INDEX(J$1:J3692,SUMPRODUCT(MAX(ROW(E$1:E3692)*(E3693=E$1:E3692)))))</f>
        <v> </v>
      </c>
      <c r="L3693" s="27"/>
    </row>
    <row r="3694" spans="1:12">
      <c r="A3694" s="20" t="s">
        <v>2007</v>
      </c>
      <c r="E3694" s="22">
        <f>IF(D3694="?OLD","!!!","")</f>
        <v/>
      </c>
      <c r="F3694" s="23" t="str">
        <f>IF(OR(E3694="",E3694="!!!"),"",IF(NOT(ISNA(VLOOKUP(E3694,E$1:E3693,1,FALSE()))),"OLD",IF(AND(E3694&lt;&gt;"",E3694&lt;&gt;"!!!"),"NEW","")))</f>
        <v> </v>
      </c>
      <c r="G3694" s="24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5" t="str">
        <f>IF(J3694&lt;&gt;1,"",IF(I3694="SBJ","CB","?"))</f>
        <v> </v>
      </c>
      <c r="I3694" s="26" t="str">
        <f>IF(OR(E3694="",E3694="!!!",F3694="NEW"),"",INDEX(B3693:B$2,-1+SUMPRODUCT(MAX(ROW(E3693:E$2)*(E3694=E3693:E$2)))))</f>
        <v> </v>
      </c>
      <c r="J3694" s="26" t="str">
        <f>IF(OR(E3694="",E3694="!!!",F3694="NEW"),"",COUNTBLANK(OFFSET(A$1,,,SUMPRODUCT(MAX(ROW(E$2:E3694)*(E3694=E$2:E3694)))))-COUNTBLANK(OFFSET(A$1,,,SUMPRODUCT(MAX(ROW(E$1:E3693)*(E2=E$1:E3693))))))</f>
        <v> </v>
      </c>
      <c r="K3694" s="26" t="str">
        <f>IF(OR(E3694="",E3694="!!!",F3694="NEW"),"",INDEX(J$1:J3693,SUMPRODUCT(MAX(ROW(E$1:E3693)*(E3694=E$1:E3693)))))</f>
        <v> </v>
      </c>
      <c r="L3694" s="27"/>
    </row>
    <row r="3695" spans="1:12">
      <c r="A3695" s="20" t="s">
        <v>1000</v>
      </c>
      <c r="E3695" s="22">
        <f>IF(D3695="?OLD","!!!","")</f>
        <v/>
      </c>
      <c r="F3695" s="23" t="str">
        <f>IF(OR(E3695="",E3695="!!!"),"",IF(NOT(ISNA(VLOOKUP(E3695,E$1:E3694,1,FALSE()))),"OLD",IF(AND(E3695&lt;&gt;"",E3695&lt;&gt;"!!!"),"NEW","")))</f>
        <v> </v>
      </c>
      <c r="G3695" s="24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5" t="str">
        <f>IF(J3695&lt;&gt;1,"",IF(I3695="SBJ","CB","?"))</f>
        <v> </v>
      </c>
      <c r="I3695" s="26" t="str">
        <f>IF(OR(E3695="",E3695="!!!",F3695="NEW"),"",INDEX(B3694:B$2,-1+SUMPRODUCT(MAX(ROW(E3694:E$2)*(E3695=E3694:E$2)))))</f>
        <v> </v>
      </c>
      <c r="J3695" s="26" t="str">
        <f>IF(OR(E3695="",E3695="!!!",F3695="NEW"),"",COUNTBLANK(OFFSET(A$1,,,SUMPRODUCT(MAX(ROW(E$2:E3695)*(E3695=E$2:E3695)))))-COUNTBLANK(OFFSET(A$1,,,SUMPRODUCT(MAX(ROW(E$1:E3694)*(E2=E$1:E3694))))))</f>
        <v> </v>
      </c>
      <c r="K3695" s="26" t="str">
        <f>IF(OR(E3695="",E3695="!!!",F3695="NEW"),"",INDEX(J$1:J3694,SUMPRODUCT(MAX(ROW(E$1:E3694)*(E3695=E$1:E3694)))))</f>
        <v> </v>
      </c>
      <c r="L3695" s="27"/>
    </row>
    <row r="3696" spans="1:12">
      <c r="A3696" s="20" t="s">
        <v>1001</v>
      </c>
      <c r="E3696" s="22">
        <f>IF(D3696="?OLD","!!!","")</f>
        <v/>
      </c>
      <c r="F3696" s="23" t="str">
        <f>IF(OR(E3696="",E3696="!!!"),"",IF(NOT(ISNA(VLOOKUP(E3696,E$1:E3695,1,FALSE()))),"OLD",IF(AND(E3696&lt;&gt;"",E3696&lt;&gt;"!!!"),"NEW","")))</f>
        <v> </v>
      </c>
      <c r="G3696" s="24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5" t="str">
        <f>IF(J3696&lt;&gt;1,"",IF(I3696="SBJ","CB","?"))</f>
        <v> </v>
      </c>
      <c r="I3696" s="26" t="str">
        <f>IF(OR(E3696="",E3696="!!!",F3696="NEW"),"",INDEX(B3695:B$2,-1+SUMPRODUCT(MAX(ROW(E3695:E$2)*(E3696=E3695:E$2)))))</f>
        <v> </v>
      </c>
      <c r="J3696" s="26" t="str">
        <f>IF(OR(E3696="",E3696="!!!",F3696="NEW"),"",COUNTBLANK(OFFSET(A$1,,,SUMPRODUCT(MAX(ROW(E$2:E3696)*(E3696=E$2:E3696)))))-COUNTBLANK(OFFSET(A$1,,,SUMPRODUCT(MAX(ROW(E$1:E3695)*(E2=E$1:E3695))))))</f>
        <v> </v>
      </c>
      <c r="K3696" s="26" t="str">
        <f>IF(OR(E3696="",E3696="!!!",F3696="NEW"),"",INDEX(J$1:J3695,SUMPRODUCT(MAX(ROW(E$1:E3695)*(E3696=E$1:E3695)))))</f>
        <v> </v>
      </c>
      <c r="L3696" s="27"/>
    </row>
    <row r="3697" spans="1:12">
      <c r="A3697" s="20" t="s">
        <v>1482</v>
      </c>
      <c r="E3697" s="22">
        <f>IF(D3697="?OLD","!!!","")</f>
        <v/>
      </c>
      <c r="F3697" s="23" t="str">
        <f>IF(OR(E3697="",E3697="!!!"),"",IF(NOT(ISNA(VLOOKUP(E3697,E$1:E3696,1,FALSE()))),"OLD",IF(AND(E3697&lt;&gt;"",E3697&lt;&gt;"!!!"),"NEW","")))</f>
        <v> </v>
      </c>
      <c r="G3697" s="24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5" t="str">
        <f>IF(J3697&lt;&gt;1,"",IF(I3697="SBJ","CB","?"))</f>
        <v> </v>
      </c>
      <c r="I3697" s="26" t="str">
        <f>IF(OR(E3697="",E3697="!!!",F3697="NEW"),"",INDEX(B3696:B$2,-1+SUMPRODUCT(MAX(ROW(E3696:E$2)*(E3697=E3696:E$2)))))</f>
        <v> </v>
      </c>
      <c r="J3697" s="26" t="str">
        <f>IF(OR(E3697="",E3697="!!!",F3697="NEW"),"",COUNTBLANK(OFFSET(A$1,,,SUMPRODUCT(MAX(ROW(E$2:E3697)*(E3697=E$2:E3697)))))-COUNTBLANK(OFFSET(A$1,,,SUMPRODUCT(MAX(ROW(E$1:E3696)*(E2=E$1:E3696))))))</f>
        <v> </v>
      </c>
      <c r="K3697" s="26" t="str">
        <f>IF(OR(E3697="",E3697="!!!",F3697="NEW"),"",INDEX(J$1:J3696,SUMPRODUCT(MAX(ROW(E$1:E3696)*(E3697=E$1:E3696)))))</f>
        <v> </v>
      </c>
      <c r="L3697" s="27"/>
    </row>
    <row r="3698" spans="1:12">
      <c r="A3698" s="20" t="s">
        <v>1275</v>
      </c>
      <c r="B3698" s="21" t="s">
        <v>975</v>
      </c>
      <c r="C3698" s="21" t="s">
        <v>1008</v>
      </c>
      <c r="D3698" s="21" t="s">
        <v>950</v>
      </c>
      <c r="E3698" s="22">
        <f>IF(D3698="?OLD","!!!","")</f>
        <v/>
      </c>
      <c r="F3698" s="23" t="str">
        <f>IF(OR(E3698="",E3698="!!!"),"",IF(NOT(ISNA(VLOOKUP(E3698,E$1:E3697,1,FALSE()))),"OLD",IF(AND(E3698&lt;&gt;"",E3698&lt;&gt;"!!!"),"NEW","")))</f>
        <v> </v>
      </c>
      <c r="G3698" s="24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5" t="str">
        <f>IF(J3698&lt;&gt;1,"",IF(I3698="SBJ","CB","?"))</f>
        <v> </v>
      </c>
      <c r="I3698" s="26" t="str">
        <f>IF(OR(E3698="",E3698="!!!",F3698="NEW"),"",INDEX(B3697:B$2,-1+SUMPRODUCT(MAX(ROW(E3697:E$2)*(E3698=E3697:E$2)))))</f>
        <v> </v>
      </c>
      <c r="J3698" s="26" t="str">
        <f>IF(OR(E3698="",E3698="!!!",F3698="NEW"),"",COUNTBLANK(OFFSET(A$1,,,SUMPRODUCT(MAX(ROW(E$2:E3698)*(E3698=E$2:E3698)))))-COUNTBLANK(OFFSET(A$1,,,SUMPRODUCT(MAX(ROW(E$1:E3697)*(E2=E$1:E3697))))))</f>
        <v> </v>
      </c>
      <c r="K3698" s="26" t="str">
        <f>IF(OR(E3698="",E3698="!!!",F3698="NEW"),"",INDEX(J$1:J3697,SUMPRODUCT(MAX(ROW(E$1:E3697)*(E3698=E$1:E3697)))))</f>
        <v> </v>
      </c>
      <c r="L3698" s="27"/>
    </row>
    <row r="3699" spans="1:12">
      <c r="A3699" s="20" t="s">
        <v>984</v>
      </c>
      <c r="E3699" s="22">
        <f>IF(D3699="?OLD","!!!","")</f>
        <v/>
      </c>
      <c r="F3699" s="23" t="str">
        <f>IF(OR(E3699="",E3699="!!!"),"",IF(NOT(ISNA(VLOOKUP(E3699,E$1:E3698,1,FALSE()))),"OLD",IF(AND(E3699&lt;&gt;"",E3699&lt;&gt;"!!!"),"NEW","")))</f>
        <v> </v>
      </c>
      <c r="G3699" s="24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5" t="str">
        <f>IF(J3699&lt;&gt;1,"",IF(I3699="SBJ","CB","?"))</f>
        <v> </v>
      </c>
      <c r="I3699" s="26" t="str">
        <f>IF(OR(E3699="",E3699="!!!",F3699="NEW"),"",INDEX(B3698:B$2,-1+SUMPRODUCT(MAX(ROW(E3698:E$2)*(E3699=E3698:E$2)))))</f>
        <v> </v>
      </c>
      <c r="J3699" s="26" t="str">
        <f>IF(OR(E3699="",E3699="!!!",F3699="NEW"),"",COUNTBLANK(OFFSET(A$1,,,SUMPRODUCT(MAX(ROW(E$2:E3699)*(E3699=E$2:E3699)))))-COUNTBLANK(OFFSET(A$1,,,SUMPRODUCT(MAX(ROW(E$1:E3698)*(E2=E$1:E3698))))))</f>
        <v> </v>
      </c>
      <c r="K3699" s="26" t="str">
        <f>IF(OR(E3699="",E3699="!!!",F3699="NEW"),"",INDEX(J$1:J3698,SUMPRODUCT(MAX(ROW(E$1:E3698)*(E3699=E$1:E3698)))))</f>
        <v> </v>
      </c>
      <c r="L3699" s="27"/>
    </row>
    <row r="3700" spans="1:12">
      <c r="A3700" s="20"/>
    </row>
    <row r="3701" spans="1:12">
      <c r="A3701" s="20" t="s">
        <v>2008</v>
      </c>
    </row>
    <row r="3702" spans="1:12">
      <c r="A3702" s="20" t="s">
        <v>1092</v>
      </c>
      <c r="E3702" s="22">
        <f>IF(D3702="?OLD","!!!","")</f>
        <v/>
      </c>
      <c r="F3702" s="23" t="str">
        <f>IF(OR(E3702="",E3702="!!!"),"",IF(NOT(ISNA(VLOOKUP(E3702,E$1:E3701,1,FALSE()))),"OLD",IF(AND(E3702&lt;&gt;"",E3702&lt;&gt;"!!!"),"NEW","")))</f>
        <v> </v>
      </c>
      <c r="G3702" s="24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5" t="str">
        <f>IF(J3702&lt;&gt;1,"",IF(I3702="SBJ","CB","?"))</f>
        <v> </v>
      </c>
      <c r="I3702" s="26" t="str">
        <f>IF(OR(E3702="",E3702="!!!",F3702="NEW"),"",INDEX(B3701:B$2,-1+SUMPRODUCT(MAX(ROW(E3701:E$2)*(E3702=E3701:E$2)))))</f>
        <v> </v>
      </c>
      <c r="J3702" s="26" t="str">
        <f>IF(OR(E3702="",E3702="!!!",F3702="NEW"),"",COUNTBLANK(OFFSET(A$1,,,SUMPRODUCT(MAX(ROW(E$2:E3702)*(E3702=E$2:E3702)))))-COUNTBLANK(OFFSET(A$1,,,SUMPRODUCT(MAX(ROW(E$1:E3701)*(E2=E$1:E3701))))))</f>
        <v> </v>
      </c>
      <c r="K3702" s="26" t="str">
        <f>IF(OR(E3702="",E3702="!!!",F3702="NEW"),"",INDEX(J$1:J3701,SUMPRODUCT(MAX(ROW(E$1:E3701)*(E3702=E$1:E3701)))))</f>
        <v> </v>
      </c>
      <c r="L3702" s="27"/>
    </row>
    <row r="3703" spans="1:12">
      <c r="A3703" s="20" t="s">
        <v>972</v>
      </c>
      <c r="E3703" s="22">
        <f>IF(D3703="?OLD","!!!","")</f>
        <v/>
      </c>
      <c r="F3703" s="23" t="str">
        <f>IF(OR(E3703="",E3703="!!!"),"",IF(NOT(ISNA(VLOOKUP(E3703,E$1:E3702,1,FALSE()))),"OLD",IF(AND(E3703&lt;&gt;"",E3703&lt;&gt;"!!!"),"NEW","")))</f>
        <v> </v>
      </c>
      <c r="G3703" s="24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5" t="str">
        <f>IF(J3703&lt;&gt;1,"",IF(I3703="SBJ","CB","?"))</f>
        <v> </v>
      </c>
      <c r="I3703" s="26" t="str">
        <f>IF(OR(E3703="",E3703="!!!",F3703="NEW"),"",INDEX(B3702:B$2,-1+SUMPRODUCT(MAX(ROW(E3702:E$2)*(E3703=E3702:E$2)))))</f>
        <v> </v>
      </c>
      <c r="J3703" s="26" t="str">
        <f>IF(OR(E3703="",E3703="!!!",F3703="NEW"),"",COUNTBLANK(OFFSET(A$1,,,SUMPRODUCT(MAX(ROW(E$2:E3703)*(E3703=E$2:E3703)))))-COUNTBLANK(OFFSET(A$1,,,SUMPRODUCT(MAX(ROW(E$1:E3702)*(E2=E$1:E3702))))))</f>
        <v> </v>
      </c>
      <c r="K3703" s="26" t="str">
        <f>IF(OR(E3703="",E3703="!!!",F3703="NEW"),"",INDEX(J$1:J3702,SUMPRODUCT(MAX(ROW(E$1:E3702)*(E3703=E$1:E3702)))))</f>
        <v> </v>
      </c>
      <c r="L3703" s="27"/>
    </row>
    <row r="3704" spans="1:12">
      <c r="A3704" s="20" t="s">
        <v>1117</v>
      </c>
      <c r="E3704" s="22">
        <f>IF(D3704="?OLD","!!!","")</f>
        <v/>
      </c>
      <c r="F3704" s="23" t="str">
        <f>IF(OR(E3704="",E3704="!!!"),"",IF(NOT(ISNA(VLOOKUP(E3704,E$1:E3703,1,FALSE()))),"OLD",IF(AND(E3704&lt;&gt;"",E3704&lt;&gt;"!!!"),"NEW","")))</f>
        <v> </v>
      </c>
      <c r="G3704" s="24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5" t="str">
        <f>IF(J3704&lt;&gt;1,"",IF(I3704="SBJ","CB","?"))</f>
        <v> </v>
      </c>
      <c r="I3704" s="26" t="str">
        <f>IF(OR(E3704="",E3704="!!!",F3704="NEW"),"",INDEX(B3703:B$2,-1+SUMPRODUCT(MAX(ROW(E3703:E$2)*(E3704=E3703:E$2)))))</f>
        <v> </v>
      </c>
      <c r="J3704" s="26" t="str">
        <f>IF(OR(E3704="",E3704="!!!",F3704="NEW"),"",COUNTBLANK(OFFSET(A$1,,,SUMPRODUCT(MAX(ROW(E$2:E3704)*(E3704=E$2:E3704)))))-COUNTBLANK(OFFSET(A$1,,,SUMPRODUCT(MAX(ROW(E$1:E3703)*(E2=E$1:E3703))))))</f>
        <v> </v>
      </c>
      <c r="K3704" s="26" t="str">
        <f>IF(OR(E3704="",E3704="!!!",F3704="NEW"),"",INDEX(J$1:J3703,SUMPRODUCT(MAX(ROW(E$1:E3703)*(E3704=E$1:E3703)))))</f>
        <v> </v>
      </c>
      <c r="L3704" s="27"/>
    </row>
    <row r="3705" spans="1:12">
      <c r="A3705" s="20" t="s">
        <v>1022</v>
      </c>
      <c r="E3705" s="22">
        <f>IF(D3705="?OLD","!!!","")</f>
        <v/>
      </c>
      <c r="F3705" s="23" t="str">
        <f>IF(OR(E3705="",E3705="!!!"),"",IF(NOT(ISNA(VLOOKUP(E3705,E$1:E3704,1,FALSE()))),"OLD",IF(AND(E3705&lt;&gt;"",E3705&lt;&gt;"!!!"),"NEW","")))</f>
        <v> </v>
      </c>
      <c r="G3705" s="24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5" t="str">
        <f>IF(J3705&lt;&gt;1,"",IF(I3705="SBJ","CB","?"))</f>
        <v> </v>
      </c>
      <c r="I3705" s="26" t="str">
        <f>IF(OR(E3705="",E3705="!!!",F3705="NEW"),"",INDEX(B3704:B$2,-1+SUMPRODUCT(MAX(ROW(E3704:E$2)*(E3705=E3704:E$2)))))</f>
        <v> </v>
      </c>
      <c r="J3705" s="26" t="str">
        <f>IF(OR(E3705="",E3705="!!!",F3705="NEW"),"",COUNTBLANK(OFFSET(A$1,,,SUMPRODUCT(MAX(ROW(E$2:E3705)*(E3705=E$2:E3705)))))-COUNTBLANK(OFFSET(A$1,,,SUMPRODUCT(MAX(ROW(E$1:E3704)*(E2=E$1:E3704))))))</f>
        <v> </v>
      </c>
      <c r="K3705" s="26" t="str">
        <f>IF(OR(E3705="",E3705="!!!",F3705="NEW"),"",INDEX(J$1:J3704,SUMPRODUCT(MAX(ROW(E$1:E3704)*(E3705=E$1:E3704)))))</f>
        <v> </v>
      </c>
      <c r="L3705" s="27"/>
    </row>
    <row r="3706" spans="1:12">
      <c r="A3706" s="20" t="s">
        <v>1618</v>
      </c>
      <c r="E3706" s="22">
        <f>IF(D3706="?OLD","!!!","")</f>
        <v/>
      </c>
      <c r="F3706" s="23" t="str">
        <f>IF(OR(E3706="",E3706="!!!"),"",IF(NOT(ISNA(VLOOKUP(E3706,E$1:E3705,1,FALSE()))),"OLD",IF(AND(E3706&lt;&gt;"",E3706&lt;&gt;"!!!"),"NEW","")))</f>
        <v> </v>
      </c>
      <c r="G3706" s="24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5" t="str">
        <f>IF(J3706&lt;&gt;1,"",IF(I3706="SBJ","CB","?"))</f>
        <v> </v>
      </c>
      <c r="I3706" s="26" t="str">
        <f>IF(OR(E3706="",E3706="!!!",F3706="NEW"),"",INDEX(B3705:B$2,-1+SUMPRODUCT(MAX(ROW(E3705:E$2)*(E3706=E3705:E$2)))))</f>
        <v> </v>
      </c>
      <c r="J3706" s="26" t="str">
        <f>IF(OR(E3706="",E3706="!!!",F3706="NEW"),"",COUNTBLANK(OFFSET(A$1,,,SUMPRODUCT(MAX(ROW(E$2:E3706)*(E3706=E$2:E3706)))))-COUNTBLANK(OFFSET(A$1,,,SUMPRODUCT(MAX(ROW(E$1:E3705)*(E2=E$1:E3705))))))</f>
        <v> </v>
      </c>
      <c r="K3706" s="26" t="str">
        <f>IF(OR(E3706="",E3706="!!!",F3706="NEW"),"",INDEX(J$1:J3705,SUMPRODUCT(MAX(ROW(E$1:E3705)*(E3706=E$1:E3705)))))</f>
        <v> </v>
      </c>
      <c r="L3706" s="27"/>
    </row>
    <row r="3707" spans="1:12">
      <c r="A3707" s="20" t="s">
        <v>1075</v>
      </c>
      <c r="E3707" s="22">
        <f>IF(D3707="?OLD","!!!","")</f>
        <v/>
      </c>
      <c r="F3707" s="23" t="str">
        <f>IF(OR(E3707="",E3707="!!!"),"",IF(NOT(ISNA(VLOOKUP(E3707,E$1:E3706,1,FALSE()))),"OLD",IF(AND(E3707&lt;&gt;"",E3707&lt;&gt;"!!!"),"NEW","")))</f>
        <v> </v>
      </c>
      <c r="G3707" s="24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5" t="str">
        <f>IF(J3707&lt;&gt;1,"",IF(I3707="SBJ","CB","?"))</f>
        <v> </v>
      </c>
      <c r="I3707" s="26" t="str">
        <f>IF(OR(E3707="",E3707="!!!",F3707="NEW"),"",INDEX(B3706:B$2,-1+SUMPRODUCT(MAX(ROW(E3706:E$2)*(E3707=E3706:E$2)))))</f>
        <v> </v>
      </c>
      <c r="J3707" s="26" t="str">
        <f>IF(OR(E3707="",E3707="!!!",F3707="NEW"),"",COUNTBLANK(OFFSET(A$1,,,SUMPRODUCT(MAX(ROW(E$2:E3707)*(E3707=E$2:E3707)))))-COUNTBLANK(OFFSET(A$1,,,SUMPRODUCT(MAX(ROW(E$1:E3706)*(E2=E$1:E3706))))))</f>
        <v> </v>
      </c>
      <c r="K3707" s="26" t="str">
        <f>IF(OR(E3707="",E3707="!!!",F3707="NEW"),"",INDEX(J$1:J3706,SUMPRODUCT(MAX(ROW(E$1:E3706)*(E3707=E$1:E3706)))))</f>
        <v> </v>
      </c>
      <c r="L3707" s="27"/>
    </row>
    <row r="3708" spans="1:12">
      <c r="A3708" s="20" t="s">
        <v>1275</v>
      </c>
      <c r="B3708" s="21" t="s">
        <v>1031</v>
      </c>
      <c r="C3708" s="21" t="s">
        <v>1008</v>
      </c>
      <c r="D3708" s="21" t="s">
        <v>950</v>
      </c>
      <c r="E3708" s="22">
        <f>IF(D3708="?OLD","!!!","")</f>
        <v/>
      </c>
      <c r="F3708" s="23" t="str">
        <f>IF(OR(E3708="",E3708="!!!"),"",IF(NOT(ISNA(VLOOKUP(E3708,E$1:E3707,1,FALSE()))),"OLD",IF(AND(E3708&lt;&gt;"",E3708&lt;&gt;"!!!"),"NEW","")))</f>
        <v> </v>
      </c>
      <c r="G3708" s="24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5" t="str">
        <f>IF(J3708&lt;&gt;1,"",IF(I3708="SBJ","CB","?"))</f>
        <v> </v>
      </c>
      <c r="I3708" s="26" t="str">
        <f>IF(OR(E3708="",E3708="!!!",F3708="NEW"),"",INDEX(B3707:B$2,-1+SUMPRODUCT(MAX(ROW(E3707:E$2)*(E3708=E3707:E$2)))))</f>
        <v> </v>
      </c>
      <c r="J3708" s="26" t="str">
        <f>IF(OR(E3708="",E3708="!!!",F3708="NEW"),"",COUNTBLANK(OFFSET(A$1,,,SUMPRODUCT(MAX(ROW(E$2:E3708)*(E3708=E$2:E3708)))))-COUNTBLANK(OFFSET(A$1,,,SUMPRODUCT(MAX(ROW(E$1:E3707)*(E2=E$1:E3707))))))</f>
        <v> </v>
      </c>
      <c r="K3708" s="26" t="str">
        <f>IF(OR(E3708="",E3708="!!!",F3708="NEW"),"",INDEX(J$1:J3707,SUMPRODUCT(MAX(ROW(E$1:E3707)*(E3708=E$1:E3707)))))</f>
        <v> </v>
      </c>
      <c r="L3708" s="27"/>
    </row>
    <row r="3709" spans="1:12">
      <c r="A3709" s="20" t="s">
        <v>1000</v>
      </c>
      <c r="E3709" s="22">
        <f>IF(D3709="?OLD","!!!","")</f>
        <v/>
      </c>
      <c r="F3709" s="23" t="str">
        <f>IF(OR(E3709="",E3709="!!!"),"",IF(NOT(ISNA(VLOOKUP(E3709,E$1:E3708,1,FALSE()))),"OLD",IF(AND(E3709&lt;&gt;"",E3709&lt;&gt;"!!!"),"NEW","")))</f>
        <v> </v>
      </c>
      <c r="G3709" s="24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5" t="str">
        <f>IF(J3709&lt;&gt;1,"",IF(I3709="SBJ","CB","?"))</f>
        <v> </v>
      </c>
      <c r="I3709" s="26" t="str">
        <f>IF(OR(E3709="",E3709="!!!",F3709="NEW"),"",INDEX(B3708:B$2,-1+SUMPRODUCT(MAX(ROW(E3708:E$2)*(E3709=E3708:E$2)))))</f>
        <v> </v>
      </c>
      <c r="J3709" s="26" t="str">
        <f>IF(OR(E3709="",E3709="!!!",F3709="NEW"),"",COUNTBLANK(OFFSET(A$1,,,SUMPRODUCT(MAX(ROW(E$2:E3709)*(E3709=E$2:E3709)))))-COUNTBLANK(OFFSET(A$1,,,SUMPRODUCT(MAX(ROW(E$1:E3708)*(E2=E$1:E3708))))))</f>
        <v> </v>
      </c>
      <c r="K3709" s="26" t="str">
        <f>IF(OR(E3709="",E3709="!!!",F3709="NEW"),"",INDEX(J$1:J3708,SUMPRODUCT(MAX(ROW(E$1:E3708)*(E3709=E$1:E3708)))))</f>
        <v> </v>
      </c>
      <c r="L3709" s="27"/>
    </row>
    <row r="3710" spans="1:12">
      <c r="A3710" s="20" t="s">
        <v>1075</v>
      </c>
      <c r="E3710" s="22">
        <f>IF(D3710="?OLD","!!!","")</f>
        <v/>
      </c>
      <c r="F3710" s="23" t="str">
        <f>IF(OR(E3710="",E3710="!!!"),"",IF(NOT(ISNA(VLOOKUP(E3710,E$1:E3709,1,FALSE()))),"OLD",IF(AND(E3710&lt;&gt;"",E3710&lt;&gt;"!!!"),"NEW","")))</f>
        <v> </v>
      </c>
      <c r="G3710" s="24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5" t="str">
        <f>IF(J3710&lt;&gt;1,"",IF(I3710="SBJ","CB","?"))</f>
        <v> </v>
      </c>
      <c r="I3710" s="26" t="str">
        <f>IF(OR(E3710="",E3710="!!!",F3710="NEW"),"",INDEX(B3709:B$2,-1+SUMPRODUCT(MAX(ROW(E3709:E$2)*(E3710=E3709:E$2)))))</f>
        <v> </v>
      </c>
      <c r="J3710" s="26" t="str">
        <f>IF(OR(E3710="",E3710="!!!",F3710="NEW"),"",COUNTBLANK(OFFSET(A$1,,,SUMPRODUCT(MAX(ROW(E$2:E3710)*(E3710=E$2:E3710)))))-COUNTBLANK(OFFSET(A$1,,,SUMPRODUCT(MAX(ROW(E$1:E3709)*(E2=E$1:E3709))))))</f>
        <v> </v>
      </c>
      <c r="K3710" s="26" t="str">
        <f>IF(OR(E3710="",E3710="!!!",F3710="NEW"),"",INDEX(J$1:J3709,SUMPRODUCT(MAX(ROW(E$1:E3709)*(E3710=E$1:E3709)))))</f>
        <v> </v>
      </c>
      <c r="L3710" s="27"/>
    </row>
    <row r="3711" spans="1:12">
      <c r="A3711" s="20" t="s">
        <v>1275</v>
      </c>
      <c r="B3711" s="21" t="s">
        <v>1031</v>
      </c>
      <c r="C3711" s="21" t="s">
        <v>1008</v>
      </c>
      <c r="D3711" s="21" t="s">
        <v>950</v>
      </c>
      <c r="E3711" s="22">
        <f>IF(D3711="?OLD","!!!","")</f>
        <v/>
      </c>
      <c r="F3711" s="23" t="str">
        <f>IF(OR(E3711="",E3711="!!!"),"",IF(NOT(ISNA(VLOOKUP(E3711,E$1:E3710,1,FALSE()))),"OLD",IF(AND(E3711&lt;&gt;"",E3711&lt;&gt;"!!!"),"NEW","")))</f>
        <v> </v>
      </c>
      <c r="G3711" s="24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5" t="str">
        <f>IF(J3711&lt;&gt;1,"",IF(I3711="SBJ","CB","?"))</f>
        <v> </v>
      </c>
      <c r="I3711" s="26" t="str">
        <f>IF(OR(E3711="",E3711="!!!",F3711="NEW"),"",INDEX(B3710:B$2,-1+SUMPRODUCT(MAX(ROW(E3710:E$2)*(E3711=E3710:E$2)))))</f>
        <v> </v>
      </c>
      <c r="J3711" s="26" t="str">
        <f>IF(OR(E3711="",E3711="!!!",F3711="NEW"),"",COUNTBLANK(OFFSET(A$1,,,SUMPRODUCT(MAX(ROW(E$2:E3711)*(E3711=E$2:E3711)))))-COUNTBLANK(OFFSET(A$1,,,SUMPRODUCT(MAX(ROW(E$1:E3710)*(E2=E$1:E3710))))))</f>
        <v> </v>
      </c>
      <c r="K3711" s="26" t="str">
        <f>IF(OR(E3711="",E3711="!!!",F3711="NEW"),"",INDEX(J$1:J3710,SUMPRODUCT(MAX(ROW(E$1:E3710)*(E3711=E$1:E3710)))))</f>
        <v> </v>
      </c>
      <c r="L3711" s="27"/>
    </row>
    <row r="3712" spans="1:12">
      <c r="A3712" s="20" t="s">
        <v>1075</v>
      </c>
      <c r="E3712" s="22">
        <f>IF(D3712="?OLD","!!!","")</f>
        <v/>
      </c>
      <c r="F3712" s="23" t="str">
        <f>IF(OR(E3712="",E3712="!!!"),"",IF(NOT(ISNA(VLOOKUP(E3712,E$1:E3711,1,FALSE()))),"OLD",IF(AND(E3712&lt;&gt;"",E3712&lt;&gt;"!!!"),"NEW","")))</f>
        <v> </v>
      </c>
      <c r="G3712" s="24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5" t="str">
        <f>IF(J3712&lt;&gt;1,"",IF(I3712="SBJ","CB","?"))</f>
        <v> </v>
      </c>
      <c r="I3712" s="26" t="str">
        <f>IF(OR(E3712="",E3712="!!!",F3712="NEW"),"",INDEX(B3711:B$2,-1+SUMPRODUCT(MAX(ROW(E3711:E$2)*(E3712=E3711:E$2)))))</f>
        <v> </v>
      </c>
      <c r="J3712" s="26" t="str">
        <f>IF(OR(E3712="",E3712="!!!",F3712="NEW"),"",COUNTBLANK(OFFSET(A$1,,,SUMPRODUCT(MAX(ROW(E$2:E3712)*(E3712=E$2:E3712)))))-COUNTBLANK(OFFSET(A$1,,,SUMPRODUCT(MAX(ROW(E$1:E3711)*(E2=E$1:E3711))))))</f>
        <v> </v>
      </c>
      <c r="K3712" s="26" t="str">
        <f>IF(OR(E3712="",E3712="!!!",F3712="NEW"),"",INDEX(J$1:J3711,SUMPRODUCT(MAX(ROW(E$1:E3711)*(E3712=E$1:E3711)))))</f>
        <v> </v>
      </c>
      <c r="L3712" s="27"/>
    </row>
    <row r="3713" spans="1:12">
      <c r="A3713" s="20" t="s">
        <v>1731</v>
      </c>
      <c r="E3713" s="22">
        <f>IF(D3713="?OLD","!!!","")</f>
        <v/>
      </c>
      <c r="F3713" s="23" t="str">
        <f>IF(OR(E3713="",E3713="!!!"),"",IF(NOT(ISNA(VLOOKUP(E3713,E$1:E3712,1,FALSE()))),"OLD",IF(AND(E3713&lt;&gt;"",E3713&lt;&gt;"!!!"),"NEW","")))</f>
        <v> </v>
      </c>
      <c r="G3713" s="24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5" t="str">
        <f>IF(J3713&lt;&gt;1,"",IF(I3713="SBJ","CB","?"))</f>
        <v> </v>
      </c>
      <c r="I3713" s="26" t="str">
        <f>IF(OR(E3713="",E3713="!!!",F3713="NEW"),"",INDEX(B3712:B$2,-1+SUMPRODUCT(MAX(ROW(E3712:E$2)*(E3713=E3712:E$2)))))</f>
        <v> </v>
      </c>
      <c r="J3713" s="26" t="str">
        <f>IF(OR(E3713="",E3713="!!!",F3713="NEW"),"",COUNTBLANK(OFFSET(A$1,,,SUMPRODUCT(MAX(ROW(E$2:E3713)*(E3713=E$2:E3713)))))-COUNTBLANK(OFFSET(A$1,,,SUMPRODUCT(MAX(ROW(E$1:E3712)*(E2=E$1:E3712))))))</f>
        <v> </v>
      </c>
      <c r="K3713" s="26" t="str">
        <f>IF(OR(E3713="",E3713="!!!",F3713="NEW"),"",INDEX(J$1:J3712,SUMPRODUCT(MAX(ROW(E$1:E3712)*(E3713=E$1:E3712)))))</f>
        <v> </v>
      </c>
      <c r="L3713" s="27"/>
    </row>
    <row r="3714" spans="1:12">
      <c r="A3714" s="20" t="s">
        <v>1000</v>
      </c>
      <c r="E3714" s="22">
        <f>IF(D3714="?OLD","!!!","")</f>
        <v/>
      </c>
      <c r="F3714" s="23" t="str">
        <f>IF(OR(E3714="",E3714="!!!"),"",IF(NOT(ISNA(VLOOKUP(E3714,E$1:E3713,1,FALSE()))),"OLD",IF(AND(E3714&lt;&gt;"",E3714&lt;&gt;"!!!"),"NEW","")))</f>
        <v> </v>
      </c>
      <c r="G3714" s="24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5" t="str">
        <f>IF(J3714&lt;&gt;1,"",IF(I3714="SBJ","CB","?"))</f>
        <v> </v>
      </c>
      <c r="I3714" s="26" t="str">
        <f>IF(OR(E3714="",E3714="!!!",F3714="NEW"),"",INDEX(B3713:B$2,-1+SUMPRODUCT(MAX(ROW(E3713:E$2)*(E3714=E3713:E$2)))))</f>
        <v> </v>
      </c>
      <c r="J3714" s="26" t="str">
        <f>IF(OR(E3714="",E3714="!!!",F3714="NEW"),"",COUNTBLANK(OFFSET(A$1,,,SUMPRODUCT(MAX(ROW(E$2:E3714)*(E3714=E$2:E3714)))))-COUNTBLANK(OFFSET(A$1,,,SUMPRODUCT(MAX(ROW(E$1:E3713)*(E2=E$1:E3713))))))</f>
        <v> </v>
      </c>
      <c r="K3714" s="26" t="str">
        <f>IF(OR(E3714="",E3714="!!!",F3714="NEW"),"",INDEX(J$1:J3713,SUMPRODUCT(MAX(ROW(E$1:E3713)*(E3714=E$1:E3713)))))</f>
        <v> </v>
      </c>
      <c r="L3714" s="27"/>
    </row>
    <row r="3715" spans="1:12">
      <c r="A3715" s="20" t="s">
        <v>1126</v>
      </c>
      <c r="E3715" s="22">
        <f>IF(D3715="?OLD","!!!","")</f>
        <v/>
      </c>
      <c r="F3715" s="23" t="str">
        <f>IF(OR(E3715="",E3715="!!!"),"",IF(NOT(ISNA(VLOOKUP(E3715,E$1:E3714,1,FALSE()))),"OLD",IF(AND(E3715&lt;&gt;"",E3715&lt;&gt;"!!!"),"NEW","")))</f>
        <v> </v>
      </c>
      <c r="G3715" s="24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5" t="str">
        <f>IF(J3715&lt;&gt;1,"",IF(I3715="SBJ","CB","?"))</f>
        <v> </v>
      </c>
      <c r="I3715" s="26" t="str">
        <f>IF(OR(E3715="",E3715="!!!",F3715="NEW"),"",INDEX(B3714:B$2,-1+SUMPRODUCT(MAX(ROW(E3714:E$2)*(E3715=E3714:E$2)))))</f>
        <v> </v>
      </c>
      <c r="J3715" s="26" t="str">
        <f>IF(OR(E3715="",E3715="!!!",F3715="NEW"),"",COUNTBLANK(OFFSET(A$1,,,SUMPRODUCT(MAX(ROW(E$2:E3715)*(E3715=E$2:E3715)))))-COUNTBLANK(OFFSET(A$1,,,SUMPRODUCT(MAX(ROW(E$1:E3714)*(E2=E$1:E3714))))))</f>
        <v> </v>
      </c>
      <c r="K3715" s="26" t="str">
        <f>IF(OR(E3715="",E3715="!!!",F3715="NEW"),"",INDEX(J$1:J3714,SUMPRODUCT(MAX(ROW(E$1:E3714)*(E3715=E$1:E3714)))))</f>
        <v> </v>
      </c>
      <c r="L3715" s="27"/>
    </row>
    <row r="3716" spans="1:12">
      <c r="A3716" s="20" t="s">
        <v>2009</v>
      </c>
      <c r="E3716" s="22">
        <f>IF(D3716="?OLD","!!!","")</f>
        <v/>
      </c>
      <c r="F3716" s="23" t="str">
        <f>IF(OR(E3716="",E3716="!!!"),"",IF(NOT(ISNA(VLOOKUP(E3716,E$1:E3715,1,FALSE()))),"OLD",IF(AND(E3716&lt;&gt;"",E3716&lt;&gt;"!!!"),"NEW","")))</f>
        <v> </v>
      </c>
      <c r="G3716" s="24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5" t="str">
        <f>IF(J3716&lt;&gt;1,"",IF(I3716="SBJ","CB","?"))</f>
        <v> </v>
      </c>
      <c r="I3716" s="26" t="str">
        <f>IF(OR(E3716="",E3716="!!!",F3716="NEW"),"",INDEX(B3715:B$2,-1+SUMPRODUCT(MAX(ROW(E3715:E$2)*(E3716=E3715:E$2)))))</f>
        <v> </v>
      </c>
      <c r="J3716" s="26" t="str">
        <f>IF(OR(E3716="",E3716="!!!",F3716="NEW"),"",COUNTBLANK(OFFSET(A$1,,,SUMPRODUCT(MAX(ROW(E$2:E3716)*(E3716=E$2:E3716)))))-COUNTBLANK(OFFSET(A$1,,,SUMPRODUCT(MAX(ROW(E$1:E3715)*(E2=E$1:E3715))))))</f>
        <v> </v>
      </c>
      <c r="K3716" s="26" t="str">
        <f>IF(OR(E3716="",E3716="!!!",F3716="NEW"),"",INDEX(J$1:J3715,SUMPRODUCT(MAX(ROW(E$1:E3715)*(E3716=E$1:E3715)))))</f>
        <v> </v>
      </c>
      <c r="L3716" s="27"/>
    </row>
    <row r="3717" spans="1:12">
      <c r="A3717" s="20" t="s">
        <v>1022</v>
      </c>
      <c r="E3717" s="22">
        <f>IF(D3717="?OLD","!!!","")</f>
        <v/>
      </c>
      <c r="F3717" s="23" t="str">
        <f>IF(OR(E3717="",E3717="!!!"),"",IF(NOT(ISNA(VLOOKUP(E3717,E$1:E3716,1,FALSE()))),"OLD",IF(AND(E3717&lt;&gt;"",E3717&lt;&gt;"!!!"),"NEW","")))</f>
        <v> </v>
      </c>
      <c r="G3717" s="24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5" t="str">
        <f>IF(J3717&lt;&gt;1,"",IF(I3717="SBJ","CB","?"))</f>
        <v> </v>
      </c>
      <c r="I3717" s="26" t="str">
        <f>IF(OR(E3717="",E3717="!!!",F3717="NEW"),"",INDEX(B3716:B$2,-1+SUMPRODUCT(MAX(ROW(E3716:E$2)*(E3717=E3716:E$2)))))</f>
        <v> </v>
      </c>
      <c r="J3717" s="26" t="str">
        <f>IF(OR(E3717="",E3717="!!!",F3717="NEW"),"",COUNTBLANK(OFFSET(A$1,,,SUMPRODUCT(MAX(ROW(E$2:E3717)*(E3717=E$2:E3717)))))-COUNTBLANK(OFFSET(A$1,,,SUMPRODUCT(MAX(ROW(E$1:E3716)*(E2=E$1:E3716))))))</f>
        <v> </v>
      </c>
      <c r="K3717" s="26" t="str">
        <f>IF(OR(E3717="",E3717="!!!",F3717="NEW"),"",INDEX(J$1:J3716,SUMPRODUCT(MAX(ROW(E$1:E3716)*(E3717=E$1:E3716)))))</f>
        <v> </v>
      </c>
      <c r="L3717" s="27"/>
    </row>
    <row r="3718" spans="1:12">
      <c r="A3718" s="20" t="s">
        <v>1078</v>
      </c>
      <c r="B3718" s="21" t="s">
        <v>982</v>
      </c>
      <c r="C3718" s="21" t="s">
        <v>1029</v>
      </c>
      <c r="D3718" s="21" t="s">
        <v>950</v>
      </c>
      <c r="E3718" s="22">
        <f>IF(D3718="?OLD","!!!","")</f>
        <v/>
      </c>
      <c r="F3718" s="23" t="str">
        <f>IF(OR(E3718="",E3718="!!!"),"",IF(NOT(ISNA(VLOOKUP(E3718,E$1:E3717,1,FALSE()))),"OLD",IF(AND(E3718&lt;&gt;"",E3718&lt;&gt;"!!!"),"NEW","")))</f>
        <v> </v>
      </c>
      <c r="G3718" s="24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5" t="str">
        <f>IF(J3718&lt;&gt;1,"",IF(I3718="SBJ","CB","?"))</f>
        <v> </v>
      </c>
      <c r="I3718" s="26" t="str">
        <f>IF(OR(E3718="",E3718="!!!",F3718="NEW"),"",INDEX(B3717:B$2,-1+SUMPRODUCT(MAX(ROW(E3717:E$2)*(E3718=E3717:E$2)))))</f>
        <v> </v>
      </c>
      <c r="J3718" s="26" t="str">
        <f>IF(OR(E3718="",E3718="!!!",F3718="NEW"),"",COUNTBLANK(OFFSET(A$1,,,SUMPRODUCT(MAX(ROW(E$2:E3718)*(E3718=E$2:E3718)))))-COUNTBLANK(OFFSET(A$1,,,SUMPRODUCT(MAX(ROW(E$1:E3717)*(E2=E$1:E3717))))))</f>
        <v> </v>
      </c>
      <c r="K3718" s="26" t="str">
        <f>IF(OR(E3718="",E3718="!!!",F3718="NEW"),"",INDEX(J$1:J3717,SUMPRODUCT(MAX(ROW(E$1:E3717)*(E3718=E$1:E3717)))))</f>
        <v> </v>
      </c>
      <c r="L3718" s="27"/>
    </row>
    <row r="3719" spans="1:12">
      <c r="A3719" s="20" t="s">
        <v>2010</v>
      </c>
      <c r="B3719" s="21" t="s">
        <v>1005</v>
      </c>
      <c r="C3719" s="21" t="s">
        <v>1032</v>
      </c>
      <c r="D3719" s="21" t="s">
        <v>950</v>
      </c>
      <c r="E3719" s="22">
        <f>IF(D3719="?OLD","!!!","")</f>
        <v/>
      </c>
      <c r="F3719" s="23" t="str">
        <f>IF(OR(E3719="",E3719="!!!"),"",IF(NOT(ISNA(VLOOKUP(E3719,E$1:E3718,1,FALSE()))),"OLD",IF(AND(E3719&lt;&gt;"",E3719&lt;&gt;"!!!"),"NEW","")))</f>
        <v> </v>
      </c>
      <c r="G3719" s="24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5" t="str">
        <f>IF(J3719&lt;&gt;1,"",IF(I3719="SBJ","CB","?"))</f>
        <v> </v>
      </c>
      <c r="I3719" s="26" t="str">
        <f>IF(OR(E3719="",E3719="!!!",F3719="NEW"),"",INDEX(B3718:B$2,-1+SUMPRODUCT(MAX(ROW(E3718:E$2)*(E3719=E3718:E$2)))))</f>
        <v> </v>
      </c>
      <c r="J3719" s="26" t="str">
        <f>IF(OR(E3719="",E3719="!!!",F3719="NEW"),"",COUNTBLANK(OFFSET(A$1,,,SUMPRODUCT(MAX(ROW(E$2:E3719)*(E3719=E$2:E3719)))))-COUNTBLANK(OFFSET(A$1,,,SUMPRODUCT(MAX(ROW(E$1:E3718)*(E2=E$1:E3718))))))</f>
        <v> </v>
      </c>
      <c r="K3719" s="26" t="str">
        <f>IF(OR(E3719="",E3719="!!!",F3719="NEW"),"",INDEX(J$1:J3718,SUMPRODUCT(MAX(ROW(E$1:E3718)*(E3719=E$1:E3718)))))</f>
        <v> </v>
      </c>
      <c r="L3719" s="27"/>
    </row>
    <row r="3720" spans="1:12">
      <c r="A3720" s="20" t="s">
        <v>1022</v>
      </c>
      <c r="E3720" s="22">
        <f>IF(D3720="?OLD","!!!","")</f>
        <v/>
      </c>
      <c r="F3720" s="23" t="str">
        <f>IF(OR(E3720="",E3720="!!!"),"",IF(NOT(ISNA(VLOOKUP(E3720,E$1:E3719,1,FALSE()))),"OLD",IF(AND(E3720&lt;&gt;"",E3720&lt;&gt;"!!!"),"NEW","")))</f>
        <v> </v>
      </c>
      <c r="G3720" s="24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5" t="str">
        <f>IF(J3720&lt;&gt;1,"",IF(I3720="SBJ","CB","?"))</f>
        <v> </v>
      </c>
      <c r="I3720" s="26" t="str">
        <f>IF(OR(E3720="",E3720="!!!",F3720="NEW"),"",INDEX(B3719:B$2,-1+SUMPRODUCT(MAX(ROW(E3719:E$2)*(E3720=E3719:E$2)))))</f>
        <v> </v>
      </c>
      <c r="J3720" s="26" t="str">
        <f>IF(OR(E3720="",E3720="!!!",F3720="NEW"),"",COUNTBLANK(OFFSET(A$1,,,SUMPRODUCT(MAX(ROW(E$2:E3720)*(E3720=E$2:E3720)))))-COUNTBLANK(OFFSET(A$1,,,SUMPRODUCT(MAX(ROW(E$1:E3719)*(E2=E$1:E3719))))))</f>
        <v> </v>
      </c>
      <c r="K3720" s="26" t="str">
        <f>IF(OR(E3720="",E3720="!!!",F3720="NEW"),"",INDEX(J$1:J3719,SUMPRODUCT(MAX(ROW(E$1:E3719)*(E3720=E$1:E3719)))))</f>
        <v> </v>
      </c>
      <c r="L3720" s="27"/>
    </row>
    <row r="3721" spans="1:12">
      <c r="A3721" s="20" t="s">
        <v>1618</v>
      </c>
      <c r="E3721" s="22">
        <f>IF(D3721="?OLD","!!!","")</f>
        <v/>
      </c>
      <c r="F3721" s="23" t="str">
        <f>IF(OR(E3721="",E3721="!!!"),"",IF(NOT(ISNA(VLOOKUP(E3721,E$1:E3720,1,FALSE()))),"OLD",IF(AND(E3721&lt;&gt;"",E3721&lt;&gt;"!!!"),"NEW","")))</f>
        <v> </v>
      </c>
      <c r="G3721" s="24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5" t="str">
        <f>IF(J3721&lt;&gt;1,"",IF(I3721="SBJ","CB","?"))</f>
        <v> </v>
      </c>
      <c r="I3721" s="26" t="str">
        <f>IF(OR(E3721="",E3721="!!!",F3721="NEW"),"",INDEX(B3720:B$2,-1+SUMPRODUCT(MAX(ROW(E3720:E$2)*(E3721=E3720:E$2)))))</f>
        <v> </v>
      </c>
      <c r="J3721" s="26" t="str">
        <f>IF(OR(E3721="",E3721="!!!",F3721="NEW"),"",COUNTBLANK(OFFSET(A$1,,,SUMPRODUCT(MAX(ROW(E$2:E3721)*(E3721=E$2:E3721)))))-COUNTBLANK(OFFSET(A$1,,,SUMPRODUCT(MAX(ROW(E$1:E3720)*(E2=E$1:E3720))))))</f>
        <v> </v>
      </c>
      <c r="K3721" s="26" t="str">
        <f>IF(OR(E3721="",E3721="!!!",F3721="NEW"),"",INDEX(J$1:J3720,SUMPRODUCT(MAX(ROW(E$1:E3720)*(E3721=E$1:E3720)))))</f>
        <v> </v>
      </c>
      <c r="L3721" s="27"/>
    </row>
    <row r="3722" spans="1:12">
      <c r="A3722" s="20" t="s">
        <v>984</v>
      </c>
      <c r="E3722" s="22">
        <f>IF(D3722="?OLD","!!!","")</f>
        <v/>
      </c>
      <c r="F3722" s="23" t="str">
        <f>IF(OR(E3722="",E3722="!!!"),"",IF(NOT(ISNA(VLOOKUP(E3722,E$1:E3721,1,FALSE()))),"OLD",IF(AND(E3722&lt;&gt;"",E3722&lt;&gt;"!!!"),"NEW","")))</f>
        <v> </v>
      </c>
      <c r="G3722" s="24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5" t="str">
        <f>IF(J3722&lt;&gt;1,"",IF(I3722="SBJ","CB","?"))</f>
        <v> </v>
      </c>
      <c r="I3722" s="26" t="str">
        <f>IF(OR(E3722="",E3722="!!!",F3722="NEW"),"",INDEX(B3721:B$2,-1+SUMPRODUCT(MAX(ROW(E3721:E$2)*(E3722=E3721:E$2)))))</f>
        <v> </v>
      </c>
      <c r="J3722" s="26" t="str">
        <f>IF(OR(E3722="",E3722="!!!",F3722="NEW"),"",COUNTBLANK(OFFSET(A$1,,,SUMPRODUCT(MAX(ROW(E$2:E3722)*(E3722=E$2:E3722)))))-COUNTBLANK(OFFSET(A$1,,,SUMPRODUCT(MAX(ROW(E$1:E3721)*(E2=E$1:E3721))))))</f>
        <v> </v>
      </c>
      <c r="K3722" s="26" t="str">
        <f>IF(OR(E3722="",E3722="!!!",F3722="NEW"),"",INDEX(J$1:J3721,SUMPRODUCT(MAX(ROW(E$1:E3721)*(E3722=E$1:E3721)))))</f>
        <v> </v>
      </c>
      <c r="L3722" s="27"/>
    </row>
    <row r="3723" spans="1:12">
      <c r="A3723" s="20"/>
    </row>
    <row r="3724" spans="1:12">
      <c r="A3724" s="20" t="s">
        <v>1395</v>
      </c>
    </row>
    <row r="3725" spans="1:12">
      <c r="A3725" s="20" t="s">
        <v>1016</v>
      </c>
      <c r="B3725" s="21" t="s">
        <v>948</v>
      </c>
      <c r="C3725" s="21" t="s">
        <v>983</v>
      </c>
      <c r="E3725" s="22">
        <f>IF(D3725="?OLD","!!!","")</f>
        <v/>
      </c>
      <c r="F3725" s="23" t="str">
        <f>IF(OR(E3725="",E3725="!!!"),"",IF(NOT(ISNA(VLOOKUP(E3725,E$1:E3724,1,FALSE()))),"OLD",IF(AND(E3725&lt;&gt;"",E3725&lt;&gt;"!!!"),"NEW","")))</f>
        <v> </v>
      </c>
      <c r="G3725" s="24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5" t="str">
        <f>IF(J3725&lt;&gt;1,"",IF(I3725="SBJ","CB","?"))</f>
        <v> </v>
      </c>
      <c r="I3725" s="26" t="str">
        <f>IF(OR(E3725="",E3725="!!!",F3725="NEW"),"",INDEX(B3724:B$2,-1+SUMPRODUCT(MAX(ROW(E3724:E$2)*(E3725=E3724:E$2)))))</f>
        <v> </v>
      </c>
      <c r="J3725" s="26" t="str">
        <f>IF(OR(E3725="",E3725="!!!",F3725="NEW"),"",COUNTBLANK(OFFSET(A$1,,,SUMPRODUCT(MAX(ROW(E$2:E3725)*(E3725=E$2:E3725)))))-COUNTBLANK(OFFSET(A$1,,,SUMPRODUCT(MAX(ROW(E$1:E3724)*(E2=E$1:E3724))))))</f>
        <v> </v>
      </c>
      <c r="K3725" s="26" t="str">
        <f>IF(OR(E3725="",E3725="!!!",F3725="NEW"),"",INDEX(J$1:J3724,SUMPRODUCT(MAX(ROW(E$1:E3724)*(E3725=E$1:E3724)))))</f>
        <v> </v>
      </c>
      <c r="L3725" s="27"/>
    </row>
    <row r="3726" spans="1:12">
      <c r="A3726" s="20" t="s">
        <v>952</v>
      </c>
      <c r="E3726" s="22">
        <f>IF(D3726="?OLD","!!!","")</f>
        <v/>
      </c>
      <c r="F3726" s="23" t="str">
        <f>IF(OR(E3726="",E3726="!!!"),"",IF(NOT(ISNA(VLOOKUP(E3726,E$1:E3725,1,FALSE()))),"OLD",IF(AND(E3726&lt;&gt;"",E3726&lt;&gt;"!!!"),"NEW","")))</f>
        <v> </v>
      </c>
      <c r="G3726" s="24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5" t="str">
        <f>IF(J3726&lt;&gt;1,"",IF(I3726="SBJ","CB","?"))</f>
        <v> </v>
      </c>
      <c r="I3726" s="26" t="str">
        <f>IF(OR(E3726="",E3726="!!!",F3726="NEW"),"",INDEX(B3725:B$2,-1+SUMPRODUCT(MAX(ROW(E3725:E$2)*(E3726=E3725:E$2)))))</f>
        <v> </v>
      </c>
      <c r="J3726" s="26" t="str">
        <f>IF(OR(E3726="",E3726="!!!",F3726="NEW"),"",COUNTBLANK(OFFSET(A$1,,,SUMPRODUCT(MAX(ROW(E$2:E3726)*(E3726=E$2:E3726)))))-COUNTBLANK(OFFSET(A$1,,,SUMPRODUCT(MAX(ROW(E$1:E3725)*(E2=E$1:E3725))))))</f>
        <v> </v>
      </c>
      <c r="K3726" s="26" t="str">
        <f>IF(OR(E3726="",E3726="!!!",F3726="NEW"),"",INDEX(J$1:J3725,SUMPRODUCT(MAX(ROW(E$1:E3725)*(E3726=E$1:E3725)))))</f>
        <v> </v>
      </c>
      <c r="L3726" s="27"/>
    </row>
    <row r="3727" spans="1:12">
      <c r="A3727" s="20"/>
    </row>
    <row r="3728" spans="1:12">
      <c r="A3728" s="20" t="s">
        <v>2011</v>
      </c>
    </row>
    <row r="3729" spans="1:12">
      <c r="A3729" s="20" t="s">
        <v>2012</v>
      </c>
      <c r="E3729" s="22">
        <f>IF(D3729="?OLD","!!!","")</f>
        <v/>
      </c>
      <c r="F3729" s="23" t="str">
        <f>IF(OR(E3729="",E3729="!!!"),"",IF(NOT(ISNA(VLOOKUP(E3729,E$1:E3728,1,FALSE()))),"OLD",IF(AND(E3729&lt;&gt;"",E3729&lt;&gt;"!!!"),"NEW","")))</f>
        <v> </v>
      </c>
      <c r="G3729" s="24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5" t="str">
        <f>IF(J3729&lt;&gt;1,"",IF(I3729="SBJ","CB","?"))</f>
        <v> </v>
      </c>
      <c r="I3729" s="26" t="str">
        <f>IF(OR(E3729="",E3729="!!!",F3729="NEW"),"",INDEX(B3728:B$2,-1+SUMPRODUCT(MAX(ROW(E3728:E$2)*(E3729=E3728:E$2)))))</f>
        <v> </v>
      </c>
      <c r="J3729" s="26" t="str">
        <f>IF(OR(E3729="",E3729="!!!",F3729="NEW"),"",COUNTBLANK(OFFSET(A$1,,,SUMPRODUCT(MAX(ROW(E$2:E3729)*(E3729=E$2:E3729)))))-COUNTBLANK(OFFSET(A$1,,,SUMPRODUCT(MAX(ROW(E$1:E3728)*(E2=E$1:E3728))))))</f>
        <v> </v>
      </c>
      <c r="K3729" s="26" t="str">
        <f>IF(OR(E3729="",E3729="!!!",F3729="NEW"),"",INDEX(J$1:J3728,SUMPRODUCT(MAX(ROW(E$1:E3728)*(E3729=E$1:E3728)))))</f>
        <v> </v>
      </c>
      <c r="L3729" s="27"/>
    </row>
    <row r="3730" spans="1:12">
      <c r="A3730" s="20" t="s">
        <v>958</v>
      </c>
      <c r="B3730" s="21" t="s">
        <v>975</v>
      </c>
      <c r="C3730" s="21" t="s">
        <v>960</v>
      </c>
      <c r="D3730" s="21" t="s">
        <v>950</v>
      </c>
      <c r="E3730" s="22">
        <f>IF(D3730="?OLD","!!!","")</f>
        <v/>
      </c>
      <c r="F3730" s="23" t="str">
        <f>IF(OR(E3730="",E3730="!!!"),"",IF(NOT(ISNA(VLOOKUP(E3730,E$1:E3729,1,FALSE()))),"OLD",IF(AND(E3730&lt;&gt;"",E3730&lt;&gt;"!!!"),"NEW","")))</f>
        <v> </v>
      </c>
      <c r="G3730" s="24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5" t="str">
        <f>IF(J3730&lt;&gt;1,"",IF(I3730="SBJ","CB","?"))</f>
        <v> </v>
      </c>
      <c r="I3730" s="26" t="str">
        <f>IF(OR(E3730="",E3730="!!!",F3730="NEW"),"",INDEX(B3729:B$2,-1+SUMPRODUCT(MAX(ROW(E3729:E$2)*(E3730=E3729:E$2)))))</f>
        <v> </v>
      </c>
      <c r="J3730" s="26" t="str">
        <f>IF(OR(E3730="",E3730="!!!",F3730="NEW"),"",COUNTBLANK(OFFSET(A$1,,,SUMPRODUCT(MAX(ROW(E$2:E3730)*(E3730=E$2:E3730)))))-COUNTBLANK(OFFSET(A$1,,,SUMPRODUCT(MAX(ROW(E$1:E3729)*(E2=E$1:E3729))))))</f>
        <v> </v>
      </c>
      <c r="K3730" s="26" t="str">
        <f>IF(OR(E3730="",E3730="!!!",F3730="NEW"),"",INDEX(J$1:J3729,SUMPRODUCT(MAX(ROW(E$1:E3729)*(E3730=E$1:E3729)))))</f>
        <v> </v>
      </c>
      <c r="L3730" s="27"/>
    </row>
    <row r="3731" spans="1:12">
      <c r="A3731" s="20" t="s">
        <v>1413</v>
      </c>
      <c r="E3731" s="22">
        <f>IF(D3731="?OLD","!!!","")</f>
        <v/>
      </c>
      <c r="F3731" s="23" t="str">
        <f>IF(OR(E3731="",E3731="!!!"),"",IF(NOT(ISNA(VLOOKUP(E3731,E$1:E3730,1,FALSE()))),"OLD",IF(AND(E3731&lt;&gt;"",E3731&lt;&gt;"!!!"),"NEW","")))</f>
        <v> </v>
      </c>
      <c r="G3731" s="24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5" t="str">
        <f>IF(J3731&lt;&gt;1,"",IF(I3731="SBJ","CB","?"))</f>
        <v> </v>
      </c>
      <c r="I3731" s="26" t="str">
        <f>IF(OR(E3731="",E3731="!!!",F3731="NEW"),"",INDEX(B3730:B$2,-1+SUMPRODUCT(MAX(ROW(E3730:E$2)*(E3731=E3730:E$2)))))</f>
        <v> </v>
      </c>
      <c r="J3731" s="26" t="str">
        <f>IF(OR(E3731="",E3731="!!!",F3731="NEW"),"",COUNTBLANK(OFFSET(A$1,,,SUMPRODUCT(MAX(ROW(E$2:E3731)*(E3731=E$2:E3731)))))-COUNTBLANK(OFFSET(A$1,,,SUMPRODUCT(MAX(ROW(E$1:E3730)*(E2=E$1:E3730))))))</f>
        <v> </v>
      </c>
      <c r="K3731" s="26" t="str">
        <f>IF(OR(E3731="",E3731="!!!",F3731="NEW"),"",INDEX(J$1:J3730,SUMPRODUCT(MAX(ROW(E$1:E3730)*(E3731=E$1:E3730)))))</f>
        <v> </v>
      </c>
      <c r="L3731" s="27"/>
    </row>
    <row r="3732" spans="1:12">
      <c r="A3732" s="20" t="s">
        <v>1168</v>
      </c>
      <c r="E3732" s="22">
        <f>IF(D3732="?OLD","!!!","")</f>
        <v/>
      </c>
      <c r="F3732" s="23" t="str">
        <f>IF(OR(E3732="",E3732="!!!"),"",IF(NOT(ISNA(VLOOKUP(E3732,E$1:E3731,1,FALSE()))),"OLD",IF(AND(E3732&lt;&gt;"",E3732&lt;&gt;"!!!"),"NEW","")))</f>
        <v> </v>
      </c>
      <c r="G3732" s="24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5" t="str">
        <f>IF(J3732&lt;&gt;1,"",IF(I3732="SBJ","CB","?"))</f>
        <v> </v>
      </c>
      <c r="I3732" s="26" t="str">
        <f>IF(OR(E3732="",E3732="!!!",F3732="NEW"),"",INDEX(B3731:B$2,-1+SUMPRODUCT(MAX(ROW(E3731:E$2)*(E3732=E3731:E$2)))))</f>
        <v> </v>
      </c>
      <c r="J3732" s="26" t="str">
        <f>IF(OR(E3732="",E3732="!!!",F3732="NEW"),"",COUNTBLANK(OFFSET(A$1,,,SUMPRODUCT(MAX(ROW(E$2:E3732)*(E3732=E$2:E3732)))))-COUNTBLANK(OFFSET(A$1,,,SUMPRODUCT(MAX(ROW(E$1:E3731)*(E2=E$1:E3731))))))</f>
        <v> </v>
      </c>
      <c r="K3732" s="26" t="str">
        <f>IF(OR(E3732="",E3732="!!!",F3732="NEW"),"",INDEX(J$1:J3731,SUMPRODUCT(MAX(ROW(E$1:E3731)*(E3732=E$1:E3731)))))</f>
        <v> </v>
      </c>
      <c r="L3732" s="27"/>
    </row>
    <row r="3733" spans="1:12">
      <c r="A3733" s="20" t="s">
        <v>1275</v>
      </c>
      <c r="B3733" s="21" t="s">
        <v>1031</v>
      </c>
      <c r="C3733" s="21" t="s">
        <v>1008</v>
      </c>
      <c r="D3733" s="21" t="s">
        <v>950</v>
      </c>
      <c r="E3733" s="22">
        <f>IF(D3733="?OLD","!!!","")</f>
        <v/>
      </c>
      <c r="F3733" s="23" t="str">
        <f>IF(OR(E3733="",E3733="!!!"),"",IF(NOT(ISNA(VLOOKUP(E3733,E$1:E3732,1,FALSE()))),"OLD",IF(AND(E3733&lt;&gt;"",E3733&lt;&gt;"!!!"),"NEW","")))</f>
        <v> </v>
      </c>
      <c r="G3733" s="24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5" t="str">
        <f>IF(J3733&lt;&gt;1,"",IF(I3733="SBJ","CB","?"))</f>
        <v> </v>
      </c>
      <c r="I3733" s="26" t="str">
        <f>IF(OR(E3733="",E3733="!!!",F3733="NEW"),"",INDEX(B3732:B$2,-1+SUMPRODUCT(MAX(ROW(E3732:E$2)*(E3733=E3732:E$2)))))</f>
        <v> </v>
      </c>
      <c r="J3733" s="26" t="str">
        <f>IF(OR(E3733="",E3733="!!!",F3733="NEW"),"",COUNTBLANK(OFFSET(A$1,,,SUMPRODUCT(MAX(ROW(E$2:E3733)*(E3733=E$2:E3733)))))-COUNTBLANK(OFFSET(A$1,,,SUMPRODUCT(MAX(ROW(E$1:E3732)*(E2=E$1:E3732))))))</f>
        <v> </v>
      </c>
      <c r="K3733" s="26" t="str">
        <f>IF(OR(E3733="",E3733="!!!",F3733="NEW"),"",INDEX(J$1:J3732,SUMPRODUCT(MAX(ROW(E$1:E3732)*(E3733=E$1:E3732)))))</f>
        <v> </v>
      </c>
      <c r="L3733" s="27"/>
    </row>
    <row r="3734" spans="1:12">
      <c r="A3734" s="20" t="s">
        <v>984</v>
      </c>
      <c r="E3734" s="22">
        <f>IF(D3734="?OLD","!!!","")</f>
        <v/>
      </c>
      <c r="F3734" s="23" t="str">
        <f>IF(OR(E3734="",E3734="!!!"),"",IF(NOT(ISNA(VLOOKUP(E3734,E$1:E3733,1,FALSE()))),"OLD",IF(AND(E3734&lt;&gt;"",E3734&lt;&gt;"!!!"),"NEW","")))</f>
        <v> </v>
      </c>
      <c r="G3734" s="24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5" t="str">
        <f>IF(J3734&lt;&gt;1,"",IF(I3734="SBJ","CB","?"))</f>
        <v> </v>
      </c>
      <c r="I3734" s="26" t="str">
        <f>IF(OR(E3734="",E3734="!!!",F3734="NEW"),"",INDEX(B3733:B$2,-1+SUMPRODUCT(MAX(ROW(E3733:E$2)*(E3734=E3733:E$2)))))</f>
        <v> </v>
      </c>
      <c r="J3734" s="26" t="str">
        <f>IF(OR(E3734="",E3734="!!!",F3734="NEW"),"",COUNTBLANK(OFFSET(A$1,,,SUMPRODUCT(MAX(ROW(E$2:E3734)*(E3734=E$2:E3734)))))-COUNTBLANK(OFFSET(A$1,,,SUMPRODUCT(MAX(ROW(E$1:E3733)*(E2=E$1:E3733))))))</f>
        <v> </v>
      </c>
      <c r="K3734" s="26" t="str">
        <f>IF(OR(E3734="",E3734="!!!",F3734="NEW"),"",INDEX(J$1:J3733,SUMPRODUCT(MAX(ROW(E$1:E3733)*(E3734=E$1:E3733)))))</f>
        <v> </v>
      </c>
      <c r="L3734" s="27"/>
    </row>
    <row r="3735" spans="1:12">
      <c r="A3735" s="20"/>
    </row>
    <row r="3736" spans="1:12">
      <c r="A3736" s="20" t="s">
        <v>2013</v>
      </c>
    </row>
    <row r="3737" spans="1:12">
      <c r="A3737" s="20" t="s">
        <v>2014</v>
      </c>
      <c r="E3737" s="22">
        <f>IF(D3737="?OLD","!!!","")</f>
        <v/>
      </c>
      <c r="F3737" s="23" t="str">
        <f>IF(OR(E3737="",E3737="!!!"),"",IF(NOT(ISNA(VLOOKUP(E3737,E$1:E3736,1,FALSE()))),"OLD",IF(AND(E3737&lt;&gt;"",E3737&lt;&gt;"!!!"),"NEW","")))</f>
        <v> </v>
      </c>
      <c r="G3737" s="24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5" t="str">
        <f>IF(J3737&lt;&gt;1,"",IF(I3737="SBJ","CB","?"))</f>
        <v> </v>
      </c>
      <c r="I3737" s="26" t="str">
        <f>IF(OR(E3737="",E3737="!!!",F3737="NEW"),"",INDEX(B3736:B$2,-1+SUMPRODUCT(MAX(ROW(E3736:E$2)*(E3737=E3736:E$2)))))</f>
        <v> </v>
      </c>
      <c r="J3737" s="26" t="str">
        <f>IF(OR(E3737="",E3737="!!!",F3737="NEW"),"",COUNTBLANK(OFFSET(A$1,,,SUMPRODUCT(MAX(ROW(E$2:E3737)*(E3737=E$2:E3737)))))-COUNTBLANK(OFFSET(A$1,,,SUMPRODUCT(MAX(ROW(E$1:E3736)*(E2=E$1:E3736))))))</f>
        <v> </v>
      </c>
      <c r="K3737" s="26" t="str">
        <f>IF(OR(E3737="",E3737="!!!",F3737="NEW"),"",INDEX(J$1:J3736,SUMPRODUCT(MAX(ROW(E$1:E3736)*(E3737=E$1:E3736)))))</f>
        <v> </v>
      </c>
      <c r="L3737" s="27"/>
    </row>
    <row r="3738" spans="1:12">
      <c r="A3738" s="20" t="s">
        <v>958</v>
      </c>
      <c r="B3738" s="21" t="s">
        <v>959</v>
      </c>
      <c r="C3738" s="21" t="s">
        <v>960</v>
      </c>
      <c r="D3738" s="21" t="s">
        <v>950</v>
      </c>
      <c r="E3738" s="22">
        <f>IF(D3738="?OLD","!!!","")</f>
        <v/>
      </c>
      <c r="F3738" s="23" t="str">
        <f>IF(OR(E3738="",E3738="!!!"),"",IF(NOT(ISNA(VLOOKUP(E3738,E$1:E3737,1,FALSE()))),"OLD",IF(AND(E3738&lt;&gt;"",E3738&lt;&gt;"!!!"),"NEW","")))</f>
        <v> </v>
      </c>
      <c r="G3738" s="24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5" t="str">
        <f>IF(J3738&lt;&gt;1,"",IF(I3738="SBJ","CB","?"))</f>
        <v> </v>
      </c>
      <c r="I3738" s="26" t="str">
        <f>IF(OR(E3738="",E3738="!!!",F3738="NEW"),"",INDEX(B3737:B$2,-1+SUMPRODUCT(MAX(ROW(E3737:E$2)*(E3738=E3737:E$2)))))</f>
        <v> </v>
      </c>
      <c r="J3738" s="26" t="str">
        <f>IF(OR(E3738="",E3738="!!!",F3738="NEW"),"",COUNTBLANK(OFFSET(A$1,,,SUMPRODUCT(MAX(ROW(E$2:E3738)*(E3738=E$2:E3738)))))-COUNTBLANK(OFFSET(A$1,,,SUMPRODUCT(MAX(ROW(E$1:E3737)*(E2=E$1:E3737))))))</f>
        <v> </v>
      </c>
      <c r="K3738" s="26" t="str">
        <f>IF(OR(E3738="",E3738="!!!",F3738="NEW"),"",INDEX(J$1:J3737,SUMPRODUCT(MAX(ROW(E$1:E3737)*(E3738=E$1:E3737)))))</f>
        <v> </v>
      </c>
      <c r="L3738" s="27"/>
    </row>
    <row r="3739" spans="1:12">
      <c r="A3739" s="20" t="s">
        <v>1019</v>
      </c>
      <c r="E3739" s="22">
        <f>IF(D3739="?OLD","!!!","")</f>
        <v/>
      </c>
      <c r="F3739" s="23" t="str">
        <f>IF(OR(E3739="",E3739="!!!"),"",IF(NOT(ISNA(VLOOKUP(E3739,E$1:E3738,1,FALSE()))),"OLD",IF(AND(E3739&lt;&gt;"",E3739&lt;&gt;"!!!"),"NEW","")))</f>
        <v> </v>
      </c>
      <c r="G3739" s="24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5" t="str">
        <f>IF(J3739&lt;&gt;1,"",IF(I3739="SBJ","CB","?"))</f>
        <v> </v>
      </c>
      <c r="I3739" s="26" t="str">
        <f>IF(OR(E3739="",E3739="!!!",F3739="NEW"),"",INDEX(B3738:B$2,-1+SUMPRODUCT(MAX(ROW(E3738:E$2)*(E3739=E3738:E$2)))))</f>
        <v> </v>
      </c>
      <c r="J3739" s="26" t="str">
        <f>IF(OR(E3739="",E3739="!!!",F3739="NEW"),"",COUNTBLANK(OFFSET(A$1,,,SUMPRODUCT(MAX(ROW(E$2:E3739)*(E3739=E$2:E3739)))))-COUNTBLANK(OFFSET(A$1,,,SUMPRODUCT(MAX(ROW(E$1:E3738)*(E2=E$1:E3738))))))</f>
        <v> </v>
      </c>
      <c r="K3739" s="26" t="str">
        <f>IF(OR(E3739="",E3739="!!!",F3739="NEW"),"",INDEX(J$1:J3738,SUMPRODUCT(MAX(ROW(E$1:E3738)*(E3739=E$1:E3738)))))</f>
        <v> </v>
      </c>
      <c r="L3739" s="27"/>
    </row>
    <row r="3740" spans="1:12">
      <c r="A3740" s="20" t="s">
        <v>1615</v>
      </c>
      <c r="B3740" s="21" t="s">
        <v>959</v>
      </c>
      <c r="C3740" s="21" t="s">
        <v>976</v>
      </c>
      <c r="D3740" s="21" t="s">
        <v>950</v>
      </c>
      <c r="E3740" s="22">
        <f>IF(D3740="?OLD","!!!","")</f>
        <v/>
      </c>
      <c r="F3740" s="23" t="str">
        <f>IF(OR(E3740="",E3740="!!!"),"",IF(NOT(ISNA(VLOOKUP(E3740,E$1:E3739,1,FALSE()))),"OLD",IF(AND(E3740&lt;&gt;"",E3740&lt;&gt;"!!!"),"NEW","")))</f>
        <v> </v>
      </c>
      <c r="G3740" s="24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5" t="str">
        <f>IF(J3740&lt;&gt;1,"",IF(I3740="SBJ","CB","?"))</f>
        <v> </v>
      </c>
      <c r="I3740" s="26" t="str">
        <f>IF(OR(E3740="",E3740="!!!",F3740="NEW"),"",INDEX(B3739:B$2,-1+SUMPRODUCT(MAX(ROW(E3739:E$2)*(E3740=E3739:E$2)))))</f>
        <v> </v>
      </c>
      <c r="J3740" s="26" t="str">
        <f>IF(OR(E3740="",E3740="!!!",F3740="NEW"),"",COUNTBLANK(OFFSET(A$1,,,SUMPRODUCT(MAX(ROW(E$2:E3740)*(E3740=E$2:E3740)))))-COUNTBLANK(OFFSET(A$1,,,SUMPRODUCT(MAX(ROW(E$1:E3739)*(E2=E$1:E3739))))))</f>
        <v> </v>
      </c>
      <c r="K3740" s="26" t="str">
        <f>IF(OR(E3740="",E3740="!!!",F3740="NEW"),"",INDEX(J$1:J3739,SUMPRODUCT(MAX(ROW(E$1:E3739)*(E3740=E$1:E3739)))))</f>
        <v> </v>
      </c>
      <c r="L3740" s="27"/>
    </row>
    <row r="3741" spans="1:12">
      <c r="A3741" s="20" t="s">
        <v>977</v>
      </c>
      <c r="E3741" s="22">
        <f>IF(D3741="?OLD","!!!","")</f>
        <v/>
      </c>
      <c r="F3741" s="23" t="str">
        <f>IF(OR(E3741="",E3741="!!!"),"",IF(NOT(ISNA(VLOOKUP(E3741,E$1:E3740,1,FALSE()))),"OLD",IF(AND(E3741&lt;&gt;"",E3741&lt;&gt;"!!!"),"NEW","")))</f>
        <v> </v>
      </c>
      <c r="G3741" s="24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5" t="str">
        <f>IF(J3741&lt;&gt;1,"",IF(I3741="SBJ","CB","?"))</f>
        <v> </v>
      </c>
      <c r="I3741" s="26" t="str">
        <f>IF(OR(E3741="",E3741="!!!",F3741="NEW"),"",INDEX(B3740:B$2,-1+SUMPRODUCT(MAX(ROW(E3740:E$2)*(E3741=E3740:E$2)))))</f>
        <v> </v>
      </c>
      <c r="J3741" s="26" t="str">
        <f>IF(OR(E3741="",E3741="!!!",F3741="NEW"),"",COUNTBLANK(OFFSET(A$1,,,SUMPRODUCT(MAX(ROW(E$2:E3741)*(E3741=E$2:E3741)))))-COUNTBLANK(OFFSET(A$1,,,SUMPRODUCT(MAX(ROW(E$1:E3740)*(E2=E$1:E3740))))))</f>
        <v> </v>
      </c>
      <c r="K3741" s="26" t="str">
        <f>IF(OR(E3741="",E3741="!!!",F3741="NEW"),"",INDEX(J$1:J3740,SUMPRODUCT(MAX(ROW(E$1:E3740)*(E3741=E$1:E3740)))))</f>
        <v> </v>
      </c>
      <c r="L3741" s="27"/>
    </row>
    <row r="3742" spans="1:12">
      <c r="A3742" s="20" t="s">
        <v>1022</v>
      </c>
      <c r="E3742" s="22">
        <f>IF(D3742="?OLD","!!!","")</f>
        <v/>
      </c>
      <c r="F3742" s="23" t="str">
        <f>IF(OR(E3742="",E3742="!!!"),"",IF(NOT(ISNA(VLOOKUP(E3742,E$1:E3741,1,FALSE()))),"OLD",IF(AND(E3742&lt;&gt;"",E3742&lt;&gt;"!!!"),"NEW","")))</f>
        <v> </v>
      </c>
      <c r="G3742" s="24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5" t="str">
        <f>IF(J3742&lt;&gt;1,"",IF(I3742="SBJ","CB","?"))</f>
        <v> </v>
      </c>
      <c r="I3742" s="26" t="str">
        <f>IF(OR(E3742="",E3742="!!!",F3742="NEW"),"",INDEX(B3741:B$2,-1+SUMPRODUCT(MAX(ROW(E3741:E$2)*(E3742=E3741:E$2)))))</f>
        <v> </v>
      </c>
      <c r="J3742" s="26" t="str">
        <f>IF(OR(E3742="",E3742="!!!",F3742="NEW"),"",COUNTBLANK(OFFSET(A$1,,,SUMPRODUCT(MAX(ROW(E$2:E3742)*(E3742=E$2:E3742)))))-COUNTBLANK(OFFSET(A$1,,,SUMPRODUCT(MAX(ROW(E$1:E3741)*(E2=E$1:E3741))))))</f>
        <v> </v>
      </c>
      <c r="K3742" s="26" t="str">
        <f>IF(OR(E3742="",E3742="!!!",F3742="NEW"),"",INDEX(J$1:J3741,SUMPRODUCT(MAX(ROW(E$1:E3741)*(E3742=E$1:E3741)))))</f>
        <v> </v>
      </c>
      <c r="L3742" s="27"/>
    </row>
    <row r="3743" spans="1:12">
      <c r="A3743" s="20" t="s">
        <v>1028</v>
      </c>
      <c r="B3743" s="21" t="s">
        <v>980</v>
      </c>
      <c r="C3743" s="21" t="s">
        <v>1029</v>
      </c>
      <c r="D3743" s="21" t="s">
        <v>950</v>
      </c>
      <c r="E3743" s="22">
        <f>IF(D3743="?OLD","!!!","")</f>
        <v/>
      </c>
      <c r="F3743" s="23" t="str">
        <f>IF(OR(E3743="",E3743="!!!"),"",IF(NOT(ISNA(VLOOKUP(E3743,E$1:E3742,1,FALSE()))),"OLD",IF(AND(E3743&lt;&gt;"",E3743&lt;&gt;"!!!"),"NEW","")))</f>
        <v> </v>
      </c>
      <c r="G3743" s="24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5" t="str">
        <f>IF(J3743&lt;&gt;1,"",IF(I3743="SBJ","CB","?"))</f>
        <v> </v>
      </c>
      <c r="I3743" s="26" t="str">
        <f>IF(OR(E3743="",E3743="!!!",F3743="NEW"),"",INDEX(B3742:B$2,-1+SUMPRODUCT(MAX(ROW(E3742:E$2)*(E3743=E3742:E$2)))))</f>
        <v> </v>
      </c>
      <c r="J3743" s="26" t="str">
        <f>IF(OR(E3743="",E3743="!!!",F3743="NEW"),"",COUNTBLANK(OFFSET(A$1,,,SUMPRODUCT(MAX(ROW(E$2:E3743)*(E3743=E$2:E3743)))))-COUNTBLANK(OFFSET(A$1,,,SUMPRODUCT(MAX(ROW(E$1:E3742)*(E2=E$1:E3742))))))</f>
        <v> </v>
      </c>
      <c r="K3743" s="26" t="str">
        <f>IF(OR(E3743="",E3743="!!!",F3743="NEW"),"",INDEX(J$1:J3742,SUMPRODUCT(MAX(ROW(E$1:E3742)*(E3743=E$1:E3742)))))</f>
        <v> </v>
      </c>
      <c r="L3743" s="27"/>
    </row>
    <row r="3744" spans="1:12">
      <c r="A3744" s="20" t="s">
        <v>2015</v>
      </c>
      <c r="E3744" s="22">
        <f>IF(D3744="?OLD","!!!","")</f>
        <v/>
      </c>
      <c r="F3744" s="23" t="str">
        <f>IF(OR(E3744="",E3744="!!!"),"",IF(NOT(ISNA(VLOOKUP(E3744,E$1:E3743,1,FALSE()))),"OLD",IF(AND(E3744&lt;&gt;"",E3744&lt;&gt;"!!!"),"NEW","")))</f>
        <v> </v>
      </c>
      <c r="G3744" s="24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5" t="str">
        <f>IF(J3744&lt;&gt;1,"",IF(I3744="SBJ","CB","?"))</f>
        <v> </v>
      </c>
      <c r="I3744" s="26" t="str">
        <f>IF(OR(E3744="",E3744="!!!",F3744="NEW"),"",INDEX(B3743:B$2,-1+SUMPRODUCT(MAX(ROW(E3743:E$2)*(E3744=E3743:E$2)))))</f>
        <v> </v>
      </c>
      <c r="J3744" s="26" t="str">
        <f>IF(OR(E3744="",E3744="!!!",F3744="NEW"),"",COUNTBLANK(OFFSET(A$1,,,SUMPRODUCT(MAX(ROW(E$2:E3744)*(E3744=E$2:E3744)))))-COUNTBLANK(OFFSET(A$1,,,SUMPRODUCT(MAX(ROW(E$1:E3743)*(E2=E$1:E3743))))))</f>
        <v> </v>
      </c>
      <c r="K3744" s="26" t="str">
        <f>IF(OR(E3744="",E3744="!!!",F3744="NEW"),"",INDEX(J$1:J3743,SUMPRODUCT(MAX(ROW(E$1:E3743)*(E3744=E$1:E3743)))))</f>
        <v> </v>
      </c>
      <c r="L3744" s="27"/>
    </row>
    <row r="3745" spans="1:12">
      <c r="A3745" s="20" t="s">
        <v>1030</v>
      </c>
      <c r="B3745" s="21" t="s">
        <v>1031</v>
      </c>
      <c r="C3745" s="21" t="s">
        <v>1032</v>
      </c>
      <c r="D3745" s="21" t="s">
        <v>950</v>
      </c>
      <c r="E3745" s="22">
        <f>IF(D3745="?OLD","!!!","")</f>
        <v/>
      </c>
      <c r="F3745" s="23" t="str">
        <f>IF(OR(E3745="",E3745="!!!"),"",IF(NOT(ISNA(VLOOKUP(E3745,E$1:E3744,1,FALSE()))),"OLD",IF(AND(E3745&lt;&gt;"",E3745&lt;&gt;"!!!"),"NEW","")))</f>
        <v> </v>
      </c>
      <c r="G3745" s="24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5" t="str">
        <f>IF(J3745&lt;&gt;1,"",IF(I3745="SBJ","CB","?"))</f>
        <v> </v>
      </c>
      <c r="I3745" s="26" t="str">
        <f>IF(OR(E3745="",E3745="!!!",F3745="NEW"),"",INDEX(B3744:B$2,-1+SUMPRODUCT(MAX(ROW(E3744:E$2)*(E3745=E3744:E$2)))))</f>
        <v> </v>
      </c>
      <c r="J3745" s="26" t="str">
        <f>IF(OR(E3745="",E3745="!!!",F3745="NEW"),"",COUNTBLANK(OFFSET(A$1,,,SUMPRODUCT(MAX(ROW(E$2:E3745)*(E3745=E$2:E3745)))))-COUNTBLANK(OFFSET(A$1,,,SUMPRODUCT(MAX(ROW(E$1:E3744)*(E2=E$1:E3744))))))</f>
        <v> </v>
      </c>
      <c r="K3745" s="26" t="str">
        <f>IF(OR(E3745="",E3745="!!!",F3745="NEW"),"",INDEX(J$1:J3744,SUMPRODUCT(MAX(ROW(E$1:E3744)*(E3745=E$1:E3744)))))</f>
        <v> </v>
      </c>
      <c r="L3745" s="27"/>
    </row>
    <row r="3746" spans="1:12">
      <c r="A3746" s="20" t="s">
        <v>984</v>
      </c>
      <c r="E3746" s="22">
        <f>IF(D3746="?OLD","!!!","")</f>
        <v/>
      </c>
      <c r="F3746" s="23" t="str">
        <f>IF(OR(E3746="",E3746="!!!"),"",IF(NOT(ISNA(VLOOKUP(E3746,E$1:E3745,1,FALSE()))),"OLD",IF(AND(E3746&lt;&gt;"",E3746&lt;&gt;"!!!"),"NEW","")))</f>
        <v> </v>
      </c>
      <c r="G3746" s="24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5" t="str">
        <f>IF(J3746&lt;&gt;1,"",IF(I3746="SBJ","CB","?"))</f>
        <v> </v>
      </c>
      <c r="I3746" s="26" t="str">
        <f>IF(OR(E3746="",E3746="!!!",F3746="NEW"),"",INDEX(B3745:B$2,-1+SUMPRODUCT(MAX(ROW(E3745:E$2)*(E3746=E3745:E$2)))))</f>
        <v> </v>
      </c>
      <c r="J3746" s="26" t="str">
        <f>IF(OR(E3746="",E3746="!!!",F3746="NEW"),"",COUNTBLANK(OFFSET(A$1,,,SUMPRODUCT(MAX(ROW(E$2:E3746)*(E3746=E$2:E3746)))))-COUNTBLANK(OFFSET(A$1,,,SUMPRODUCT(MAX(ROW(E$1:E3745)*(E2=E$1:E3745))))))</f>
        <v> </v>
      </c>
      <c r="K3746" s="26" t="str">
        <f>IF(OR(E3746="",E3746="!!!",F3746="NEW"),"",INDEX(J$1:J3745,SUMPRODUCT(MAX(ROW(E$1:E3745)*(E3746=E$1:E3745)))))</f>
        <v> </v>
      </c>
      <c r="L3746" s="27"/>
    </row>
    <row r="3747" spans="1:12">
      <c r="A3747" s="20"/>
    </row>
    <row r="3748" spans="1:12">
      <c r="A3748" s="20" t="s">
        <v>2016</v>
      </c>
    </row>
    <row r="3749" spans="1:12">
      <c r="A3749" s="20" t="s">
        <v>1564</v>
      </c>
      <c r="E3749" s="22">
        <f>IF(D3749="?OLD","!!!","")</f>
        <v/>
      </c>
      <c r="F3749" s="23" t="str">
        <f>IF(OR(E3749="",E3749="!!!"),"",IF(NOT(ISNA(VLOOKUP(E3749,E$1:E3748,1,FALSE()))),"OLD",IF(AND(E3749&lt;&gt;"",E3749&lt;&gt;"!!!"),"NEW","")))</f>
        <v> </v>
      </c>
      <c r="G3749" s="24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5" t="str">
        <f>IF(J3749&lt;&gt;1,"",IF(I3749="SBJ","CB","?"))</f>
        <v> </v>
      </c>
      <c r="I3749" s="26" t="str">
        <f>IF(OR(E3749="",E3749="!!!",F3749="NEW"),"",INDEX(B3748:B$2,-1+SUMPRODUCT(MAX(ROW(E3748:E$2)*(E3749=E3748:E$2)))))</f>
        <v> </v>
      </c>
      <c r="J3749" s="26" t="str">
        <f>IF(OR(E3749="",E3749="!!!",F3749="NEW"),"",COUNTBLANK(OFFSET(A$1,,,SUMPRODUCT(MAX(ROW(E$2:E3749)*(E3749=E$2:E3749)))))-COUNTBLANK(OFFSET(A$1,,,SUMPRODUCT(MAX(ROW(E$1:E3748)*(E2=E$1:E3748))))))</f>
        <v> </v>
      </c>
      <c r="K3749" s="26" t="str">
        <f>IF(OR(E3749="",E3749="!!!",F3749="NEW"),"",INDEX(J$1:J3748,SUMPRODUCT(MAX(ROW(E$1:E3748)*(E3749=E$1:E3748)))))</f>
        <v> </v>
      </c>
      <c r="L3749" s="27"/>
    </row>
    <row r="3750" spans="1:12">
      <c r="A3750" s="20" t="s">
        <v>1041</v>
      </c>
      <c r="E3750" s="22">
        <f>IF(D3750="?OLD","!!!","")</f>
        <v/>
      </c>
      <c r="F3750" s="23" t="str">
        <f>IF(OR(E3750="",E3750="!!!"),"",IF(NOT(ISNA(VLOOKUP(E3750,E$1:E3749,1,FALSE()))),"OLD",IF(AND(E3750&lt;&gt;"",E3750&lt;&gt;"!!!"),"NEW","")))</f>
        <v> </v>
      </c>
      <c r="G3750" s="24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5" t="str">
        <f>IF(J3750&lt;&gt;1,"",IF(I3750="SBJ","CB","?"))</f>
        <v> </v>
      </c>
      <c r="I3750" s="26" t="str">
        <f>IF(OR(E3750="",E3750="!!!",F3750="NEW"),"",INDEX(B3749:B$2,-1+SUMPRODUCT(MAX(ROW(E3749:E$2)*(E3750=E3749:E$2)))))</f>
        <v> </v>
      </c>
      <c r="J3750" s="26" t="str">
        <f>IF(OR(E3750="",E3750="!!!",F3750="NEW"),"",COUNTBLANK(OFFSET(A$1,,,SUMPRODUCT(MAX(ROW(E$2:E3750)*(E3750=E$2:E3750)))))-COUNTBLANK(OFFSET(A$1,,,SUMPRODUCT(MAX(ROW(E$1:E3749)*(E2=E$1:E3749))))))</f>
        <v> </v>
      </c>
      <c r="K3750" s="26" t="str">
        <f>IF(OR(E3750="",E3750="!!!",F3750="NEW"),"",INDEX(J$1:J3749,SUMPRODUCT(MAX(ROW(E$1:E3749)*(E3750=E$1:E3749)))))</f>
        <v> </v>
      </c>
      <c r="L3750" s="27"/>
    </row>
    <row r="3751" spans="1:12">
      <c r="A3751" s="20" t="s">
        <v>1615</v>
      </c>
      <c r="B3751" s="21" t="s">
        <v>959</v>
      </c>
      <c r="C3751" s="21" t="s">
        <v>1044</v>
      </c>
      <c r="D3751" s="21" t="s">
        <v>950</v>
      </c>
      <c r="E3751" s="22">
        <f>IF(D3751="?OLD","!!!","")</f>
        <v/>
      </c>
      <c r="F3751" s="23" t="str">
        <f>IF(OR(E3751="",E3751="!!!"),"",IF(NOT(ISNA(VLOOKUP(E3751,E$1:E3750,1,FALSE()))),"OLD",IF(AND(E3751&lt;&gt;"",E3751&lt;&gt;"!!!"),"NEW","")))</f>
        <v> </v>
      </c>
      <c r="G3751" s="24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5" t="str">
        <f>IF(J3751&lt;&gt;1,"",IF(I3751="SBJ","CB","?"))</f>
        <v> </v>
      </c>
      <c r="I3751" s="26" t="str">
        <f>IF(OR(E3751="",E3751="!!!",F3751="NEW"),"",INDEX(B3750:B$2,-1+SUMPRODUCT(MAX(ROW(E3750:E$2)*(E3751=E3750:E$2)))))</f>
        <v> </v>
      </c>
      <c r="J3751" s="26" t="str">
        <f>IF(OR(E3751="",E3751="!!!",F3751="NEW"),"",COUNTBLANK(OFFSET(A$1,,,SUMPRODUCT(MAX(ROW(E$2:E3751)*(E3751=E$2:E3751)))))-COUNTBLANK(OFFSET(A$1,,,SUMPRODUCT(MAX(ROW(E$1:E3750)*(E2=E$1:E3750))))))</f>
        <v> </v>
      </c>
      <c r="K3751" s="26" t="str">
        <f>IF(OR(E3751="",E3751="!!!",F3751="NEW"),"",INDEX(J$1:J3750,SUMPRODUCT(MAX(ROW(E$1:E3750)*(E3751=E$1:E3750)))))</f>
        <v> </v>
      </c>
      <c r="L3751" s="27"/>
    </row>
    <row r="3752" spans="1:12">
      <c r="A3752" s="20" t="s">
        <v>977</v>
      </c>
      <c r="E3752" s="22">
        <f>IF(D3752="?OLD","!!!","")</f>
        <v/>
      </c>
      <c r="F3752" s="23" t="str">
        <f>IF(OR(E3752="",E3752="!!!"),"",IF(NOT(ISNA(VLOOKUP(E3752,E$1:E3751,1,FALSE()))),"OLD",IF(AND(E3752&lt;&gt;"",E3752&lt;&gt;"!!!"),"NEW","")))</f>
        <v> </v>
      </c>
      <c r="G3752" s="24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5" t="str">
        <f>IF(J3752&lt;&gt;1,"",IF(I3752="SBJ","CB","?"))</f>
        <v> </v>
      </c>
      <c r="I3752" s="26" t="str">
        <f>IF(OR(E3752="",E3752="!!!",F3752="NEW"),"",INDEX(B3751:B$2,-1+SUMPRODUCT(MAX(ROW(E3751:E$2)*(E3752=E3751:E$2)))))</f>
        <v> </v>
      </c>
      <c r="J3752" s="26" t="str">
        <f>IF(OR(E3752="",E3752="!!!",F3752="NEW"),"",COUNTBLANK(OFFSET(A$1,,,SUMPRODUCT(MAX(ROW(E$2:E3752)*(E3752=E$2:E3752)))))-COUNTBLANK(OFFSET(A$1,,,SUMPRODUCT(MAX(ROW(E$1:E3751)*(E2=E$1:E3751))))))</f>
        <v> </v>
      </c>
      <c r="K3752" s="26" t="str">
        <f>IF(OR(E3752="",E3752="!!!",F3752="NEW"),"",INDEX(J$1:J3751,SUMPRODUCT(MAX(ROW(E$1:E3751)*(E3752=E$1:E3751)))))</f>
        <v> </v>
      </c>
      <c r="L3752" s="27"/>
    </row>
    <row r="3753" spans="1:12">
      <c r="A3753" s="20" t="s">
        <v>1006</v>
      </c>
      <c r="E3753" s="22">
        <f>IF(D3753="?OLD","!!!","")</f>
        <v/>
      </c>
      <c r="F3753" s="23" t="str">
        <f>IF(OR(E3753="",E3753="!!!"),"",IF(NOT(ISNA(VLOOKUP(E3753,E$1:E3752,1,FALSE()))),"OLD",IF(AND(E3753&lt;&gt;"",E3753&lt;&gt;"!!!"),"NEW","")))</f>
        <v> </v>
      </c>
      <c r="G3753" s="24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5" t="str">
        <f>IF(J3753&lt;&gt;1,"",IF(I3753="SBJ","CB","?"))</f>
        <v> </v>
      </c>
      <c r="I3753" s="26" t="str">
        <f>IF(OR(E3753="",E3753="!!!",F3753="NEW"),"",INDEX(B3752:B$2,-1+SUMPRODUCT(MAX(ROW(E3752:E$2)*(E3753=E3752:E$2)))))</f>
        <v> </v>
      </c>
      <c r="J3753" s="26" t="str">
        <f>IF(OR(E3753="",E3753="!!!",F3753="NEW"),"",COUNTBLANK(OFFSET(A$1,,,SUMPRODUCT(MAX(ROW(E$2:E3753)*(E3753=E$2:E3753)))))-COUNTBLANK(OFFSET(A$1,,,SUMPRODUCT(MAX(ROW(E$1:E3752)*(E2=E$1:E3752))))))</f>
        <v> </v>
      </c>
      <c r="K3753" s="26" t="str">
        <f>IF(OR(E3753="",E3753="!!!",F3753="NEW"),"",INDEX(J$1:J3752,SUMPRODUCT(MAX(ROW(E$1:E3752)*(E3753=E$1:E3752)))))</f>
        <v> </v>
      </c>
      <c r="L3753" s="27"/>
    </row>
    <row r="3754" spans="1:12">
      <c r="A3754" s="20" t="s">
        <v>2017</v>
      </c>
      <c r="B3754" s="21" t="s">
        <v>1031</v>
      </c>
      <c r="C3754" s="21" t="s">
        <v>949</v>
      </c>
      <c r="D3754" s="21" t="s">
        <v>950</v>
      </c>
      <c r="E3754" s="22">
        <f>IF(D3754="?OLD","!!!","")</f>
        <v/>
      </c>
      <c r="F3754" s="23" t="str">
        <f>IF(OR(E3754="",E3754="!!!"),"",IF(NOT(ISNA(VLOOKUP(E3754,E$1:E3753,1,FALSE()))),"OLD",IF(AND(E3754&lt;&gt;"",E3754&lt;&gt;"!!!"),"NEW","")))</f>
        <v> </v>
      </c>
      <c r="G3754" s="24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5" t="str">
        <f>IF(J3754&lt;&gt;1,"",IF(I3754="SBJ","CB","?"))</f>
        <v> </v>
      </c>
      <c r="I3754" s="26" t="str">
        <f>IF(OR(E3754="",E3754="!!!",F3754="NEW"),"",INDEX(B3753:B$2,-1+SUMPRODUCT(MAX(ROW(E3753:E$2)*(E3754=E3753:E$2)))))</f>
        <v> </v>
      </c>
      <c r="J3754" s="26" t="str">
        <f>IF(OR(E3754="",E3754="!!!",F3754="NEW"),"",COUNTBLANK(OFFSET(A$1,,,SUMPRODUCT(MAX(ROW(E$2:E3754)*(E3754=E$2:E3754)))))-COUNTBLANK(OFFSET(A$1,,,SUMPRODUCT(MAX(ROW(E$1:E3753)*(E2=E$1:E3753))))))</f>
        <v> </v>
      </c>
      <c r="K3754" s="26" t="str">
        <f>IF(OR(E3754="",E3754="!!!",F3754="NEW"),"",INDEX(J$1:J3753,SUMPRODUCT(MAX(ROW(E$1:E3753)*(E3754=E$1:E3753)))))</f>
        <v> </v>
      </c>
      <c r="L3754" s="27"/>
    </row>
    <row r="3755" spans="1:12">
      <c r="A3755" s="20" t="s">
        <v>984</v>
      </c>
      <c r="E3755" s="22">
        <f>IF(D3755="?OLD","!!!","")</f>
        <v/>
      </c>
      <c r="F3755" s="23" t="str">
        <f>IF(OR(E3755="",E3755="!!!"),"",IF(NOT(ISNA(VLOOKUP(E3755,E$1:E3754,1,FALSE()))),"OLD",IF(AND(E3755&lt;&gt;"",E3755&lt;&gt;"!!!"),"NEW","")))</f>
        <v> </v>
      </c>
      <c r="G3755" s="24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5" t="str">
        <f>IF(J3755&lt;&gt;1,"",IF(I3755="SBJ","CB","?"))</f>
        <v> </v>
      </c>
      <c r="I3755" s="26" t="str">
        <f>IF(OR(E3755="",E3755="!!!",F3755="NEW"),"",INDEX(B3754:B$2,-1+SUMPRODUCT(MAX(ROW(E3754:E$2)*(E3755=E3754:E$2)))))</f>
        <v> </v>
      </c>
      <c r="J3755" s="26" t="str">
        <f>IF(OR(E3755="",E3755="!!!",F3755="NEW"),"",COUNTBLANK(OFFSET(A$1,,,SUMPRODUCT(MAX(ROW(E$2:E3755)*(E3755=E$2:E3755)))))-COUNTBLANK(OFFSET(A$1,,,SUMPRODUCT(MAX(ROW(E$1:E3754)*(E2=E$1:E3754))))))</f>
        <v> </v>
      </c>
      <c r="K3755" s="26" t="str">
        <f>IF(OR(E3755="",E3755="!!!",F3755="NEW"),"",INDEX(J$1:J3754,SUMPRODUCT(MAX(ROW(E$1:E3754)*(E3755=E$1:E3754)))))</f>
        <v> </v>
      </c>
      <c r="L3755" s="27"/>
    </row>
    <row r="3756" spans="1:12">
      <c r="A3756" s="20"/>
    </row>
    <row r="3757" spans="1:12">
      <c r="A3757" s="20" t="s">
        <v>2018</v>
      </c>
    </row>
    <row r="3758" spans="1:12">
      <c r="A3758" s="20" t="s">
        <v>1217</v>
      </c>
      <c r="E3758" s="22">
        <f>IF(D3758="?OLD","!!!","")</f>
        <v/>
      </c>
      <c r="F3758" s="23" t="str">
        <f>IF(OR(E3758="",E3758="!!!"),"",IF(NOT(ISNA(VLOOKUP(E3758,E$1:E3757,1,FALSE()))),"OLD",IF(AND(E3758&lt;&gt;"",E3758&lt;&gt;"!!!"),"NEW","")))</f>
        <v> </v>
      </c>
      <c r="G3758" s="24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5" t="str">
        <f>IF(J3758&lt;&gt;1,"",IF(I3758="SBJ","CB","?"))</f>
        <v> </v>
      </c>
      <c r="I3758" s="26" t="str">
        <f>IF(OR(E3758="",E3758="!!!",F3758="NEW"),"",INDEX(B3757:B$2,-1+SUMPRODUCT(MAX(ROW(E3757:E$2)*(E3758=E3757:E$2)))))</f>
        <v> </v>
      </c>
      <c r="J3758" s="26" t="str">
        <f>IF(OR(E3758="",E3758="!!!",F3758="NEW"),"",COUNTBLANK(OFFSET(A$1,,,SUMPRODUCT(MAX(ROW(E$2:E3758)*(E3758=E$2:E3758)))))-COUNTBLANK(OFFSET(A$1,,,SUMPRODUCT(MAX(ROW(E$1:E3757)*(E2=E$1:E3757))))))</f>
        <v> </v>
      </c>
      <c r="K3758" s="26" t="str">
        <f>IF(OR(E3758="",E3758="!!!",F3758="NEW"),"",INDEX(J$1:J3757,SUMPRODUCT(MAX(ROW(E$1:E3757)*(E3758=E$1:E3757)))))</f>
        <v> </v>
      </c>
      <c r="L3758" s="27"/>
    </row>
    <row r="3759" spans="1:12">
      <c r="A3759" s="20" t="s">
        <v>1554</v>
      </c>
      <c r="E3759" s="22">
        <f>IF(D3759="?OLD","!!!","")</f>
        <v/>
      </c>
      <c r="F3759" s="23" t="str">
        <f>IF(OR(E3759="",E3759="!!!"),"",IF(NOT(ISNA(VLOOKUP(E3759,E$1:E3758,1,FALSE()))),"OLD",IF(AND(E3759&lt;&gt;"",E3759&lt;&gt;"!!!"),"NEW","")))</f>
        <v> </v>
      </c>
      <c r="G3759" s="24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5" t="str">
        <f>IF(J3759&lt;&gt;1,"",IF(I3759="SBJ","CB","?"))</f>
        <v> </v>
      </c>
      <c r="I3759" s="26" t="str">
        <f>IF(OR(E3759="",E3759="!!!",F3759="NEW"),"",INDEX(B3758:B$2,-1+SUMPRODUCT(MAX(ROW(E3758:E$2)*(E3759=E3758:E$2)))))</f>
        <v> </v>
      </c>
      <c r="J3759" s="26" t="str">
        <f>IF(OR(E3759="",E3759="!!!",F3759="NEW"),"",COUNTBLANK(OFFSET(A$1,,,SUMPRODUCT(MAX(ROW(E$2:E3759)*(E3759=E$2:E3759)))))-COUNTBLANK(OFFSET(A$1,,,SUMPRODUCT(MAX(ROW(E$1:E3758)*(E2=E$1:E3758))))))</f>
        <v> </v>
      </c>
      <c r="K3759" s="26" t="str">
        <f>IF(OR(E3759="",E3759="!!!",F3759="NEW"),"",INDEX(J$1:J3758,SUMPRODUCT(MAX(ROW(E$1:E3758)*(E3759=E$1:E3758)))))</f>
        <v> </v>
      </c>
      <c r="L3759" s="27"/>
    </row>
    <row r="3760" spans="1:12">
      <c r="A3760" s="20" t="s">
        <v>2019</v>
      </c>
      <c r="E3760" s="22">
        <f>IF(D3760="?OLD","!!!","")</f>
        <v/>
      </c>
      <c r="F3760" s="23" t="str">
        <f>IF(OR(E3760="",E3760="!!!"),"",IF(NOT(ISNA(VLOOKUP(E3760,E$1:E3759,1,FALSE()))),"OLD",IF(AND(E3760&lt;&gt;"",E3760&lt;&gt;"!!!"),"NEW","")))</f>
        <v> </v>
      </c>
      <c r="G3760" s="24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5" t="str">
        <f>IF(J3760&lt;&gt;1,"",IF(I3760="SBJ","CB","?"))</f>
        <v> </v>
      </c>
      <c r="I3760" s="26" t="str">
        <f>IF(OR(E3760="",E3760="!!!",F3760="NEW"),"",INDEX(B3759:B$2,-1+SUMPRODUCT(MAX(ROW(E3759:E$2)*(E3760=E3759:E$2)))))</f>
        <v> </v>
      </c>
      <c r="J3760" s="26" t="str">
        <f>IF(OR(E3760="",E3760="!!!",F3760="NEW"),"",COUNTBLANK(OFFSET(A$1,,,SUMPRODUCT(MAX(ROW(E$2:E3760)*(E3760=E$2:E3760)))))-COUNTBLANK(OFFSET(A$1,,,SUMPRODUCT(MAX(ROW(E$1:E3759)*(E2=E$1:E3759))))))</f>
        <v> </v>
      </c>
      <c r="K3760" s="26" t="str">
        <f>IF(OR(E3760="",E3760="!!!",F3760="NEW"),"",INDEX(J$1:J3759,SUMPRODUCT(MAX(ROW(E$1:E3759)*(E3760=E$1:E3759)))))</f>
        <v> </v>
      </c>
      <c r="L3760" s="27"/>
    </row>
    <row r="3761" spans="1:12">
      <c r="A3761" s="20" t="s">
        <v>150</v>
      </c>
      <c r="E3761" s="22">
        <f>IF(D3761="?OLD","!!!","")</f>
        <v/>
      </c>
      <c r="F3761" s="23" t="str">
        <f>IF(OR(E3761="",E3761="!!!"),"",IF(NOT(ISNA(VLOOKUP(E3761,E$1:E3760,1,FALSE()))),"OLD",IF(AND(E3761&lt;&gt;"",E3761&lt;&gt;"!!!"),"NEW","")))</f>
        <v> </v>
      </c>
      <c r="G3761" s="24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5" t="str">
        <f>IF(J3761&lt;&gt;1,"",IF(I3761="SBJ","CB","?"))</f>
        <v> </v>
      </c>
      <c r="I3761" s="26" t="str">
        <f>IF(OR(E3761="",E3761="!!!",F3761="NEW"),"",INDEX(B3760:B$2,-1+SUMPRODUCT(MAX(ROW(E3760:E$2)*(E3761=E3760:E$2)))))</f>
        <v> </v>
      </c>
      <c r="J3761" s="26" t="str">
        <f>IF(OR(E3761="",E3761="!!!",F3761="NEW"),"",COUNTBLANK(OFFSET(A$1,,,SUMPRODUCT(MAX(ROW(E$2:E3761)*(E3761=E$2:E3761)))))-COUNTBLANK(OFFSET(A$1,,,SUMPRODUCT(MAX(ROW(E$1:E3760)*(E2=E$1:E3760))))))</f>
        <v> </v>
      </c>
      <c r="K3761" s="26" t="str">
        <f>IF(OR(E3761="",E3761="!!!",F3761="NEW"),"",INDEX(J$1:J3760,SUMPRODUCT(MAX(ROW(E$1:E3760)*(E3761=E$1:E3760)))))</f>
        <v> </v>
      </c>
      <c r="L3761" s="27"/>
    </row>
    <row r="3762" spans="1:12">
      <c r="A3762" s="20" t="s">
        <v>1075</v>
      </c>
      <c r="E3762" s="22">
        <f>IF(D3762="?OLD","!!!","")</f>
        <v/>
      </c>
      <c r="F3762" s="23" t="str">
        <f>IF(OR(E3762="",E3762="!!!"),"",IF(NOT(ISNA(VLOOKUP(E3762,E$1:E3761,1,FALSE()))),"OLD",IF(AND(E3762&lt;&gt;"",E3762&lt;&gt;"!!!"),"NEW","")))</f>
        <v> </v>
      </c>
      <c r="G3762" s="24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5" t="str">
        <f>IF(J3762&lt;&gt;1,"",IF(I3762="SBJ","CB","?"))</f>
        <v> </v>
      </c>
      <c r="I3762" s="26" t="str">
        <f>IF(OR(E3762="",E3762="!!!",F3762="NEW"),"",INDEX(B3761:B$2,-1+SUMPRODUCT(MAX(ROW(E3761:E$2)*(E3762=E3761:E$2)))))</f>
        <v> </v>
      </c>
      <c r="J3762" s="26" t="str">
        <f>IF(OR(E3762="",E3762="!!!",F3762="NEW"),"",COUNTBLANK(OFFSET(A$1,,,SUMPRODUCT(MAX(ROW(E$2:E3762)*(E3762=E$2:E3762)))))-COUNTBLANK(OFFSET(A$1,,,SUMPRODUCT(MAX(ROW(E$1:E3761)*(E2=E$1:E3761))))))</f>
        <v> </v>
      </c>
      <c r="K3762" s="26" t="str">
        <f>IF(OR(E3762="",E3762="!!!",F3762="NEW"),"",INDEX(J$1:J3761,SUMPRODUCT(MAX(ROW(E$1:E3761)*(E3762=E$1:E3761)))))</f>
        <v> </v>
      </c>
      <c r="L3762" s="27"/>
    </row>
    <row r="3763" spans="1:12">
      <c r="A3763" s="20" t="s">
        <v>1019</v>
      </c>
      <c r="E3763" s="22">
        <f>IF(D3763="?OLD","!!!","")</f>
        <v/>
      </c>
      <c r="F3763" s="23" t="str">
        <f>IF(OR(E3763="",E3763="!!!"),"",IF(NOT(ISNA(VLOOKUP(E3763,E$1:E3762,1,FALSE()))),"OLD",IF(AND(E3763&lt;&gt;"",E3763&lt;&gt;"!!!"),"NEW","")))</f>
        <v> </v>
      </c>
      <c r="G3763" s="24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5" t="str">
        <f>IF(J3763&lt;&gt;1,"",IF(I3763="SBJ","CB","?"))</f>
        <v> </v>
      </c>
      <c r="I3763" s="26" t="str">
        <f>IF(OR(E3763="",E3763="!!!",F3763="NEW"),"",INDEX(B3762:B$2,-1+SUMPRODUCT(MAX(ROW(E3762:E$2)*(E3763=E3762:E$2)))))</f>
        <v> </v>
      </c>
      <c r="J3763" s="26" t="str">
        <f>IF(OR(E3763="",E3763="!!!",F3763="NEW"),"",COUNTBLANK(OFFSET(A$1,,,SUMPRODUCT(MAX(ROW(E$2:E3763)*(E3763=E$2:E3763)))))-COUNTBLANK(OFFSET(A$1,,,SUMPRODUCT(MAX(ROW(E$1:E3762)*(E2=E$1:E3762))))))</f>
        <v> </v>
      </c>
      <c r="K3763" s="26" t="str">
        <f>IF(OR(E3763="",E3763="!!!",F3763="NEW"),"",INDEX(J$1:J3762,SUMPRODUCT(MAX(ROW(E$1:E3762)*(E3763=E$1:E3762)))))</f>
        <v> </v>
      </c>
      <c r="L3763" s="27"/>
    </row>
    <row r="3764" spans="1:12">
      <c r="A3764" s="20" t="s">
        <v>2020</v>
      </c>
      <c r="E3764" s="22">
        <f>IF(D3764="?OLD","!!!","")</f>
        <v/>
      </c>
      <c r="F3764" s="23" t="str">
        <f>IF(OR(E3764="",E3764="!!!"),"",IF(NOT(ISNA(VLOOKUP(E3764,E$1:E3763,1,FALSE()))),"OLD",IF(AND(E3764&lt;&gt;"",E3764&lt;&gt;"!!!"),"NEW","")))</f>
        <v> </v>
      </c>
      <c r="G3764" s="24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5" t="str">
        <f>IF(J3764&lt;&gt;1,"",IF(I3764="SBJ","CB","?"))</f>
        <v> </v>
      </c>
      <c r="I3764" s="26" t="str">
        <f>IF(OR(E3764="",E3764="!!!",F3764="NEW"),"",INDEX(B3763:B$2,-1+SUMPRODUCT(MAX(ROW(E3763:E$2)*(E3764=E3763:E$2)))))</f>
        <v> </v>
      </c>
      <c r="J3764" s="26" t="str">
        <f>IF(OR(E3764="",E3764="!!!",F3764="NEW"),"",COUNTBLANK(OFFSET(A$1,,,SUMPRODUCT(MAX(ROW(E$2:E3764)*(E3764=E$2:E3764)))))-COUNTBLANK(OFFSET(A$1,,,SUMPRODUCT(MAX(ROW(E$1:E3763)*(E2=E$1:E3763))))))</f>
        <v> </v>
      </c>
      <c r="K3764" s="26" t="str">
        <f>IF(OR(E3764="",E3764="!!!",F3764="NEW"),"",INDEX(J$1:J3763,SUMPRODUCT(MAX(ROW(E$1:E3763)*(E3764=E$1:E3763)))))</f>
        <v> </v>
      </c>
      <c r="L3764" s="27"/>
    </row>
    <row r="3765" spans="1:12">
      <c r="A3765" s="20" t="s">
        <v>1001</v>
      </c>
      <c r="E3765" s="22">
        <f>IF(D3765="?OLD","!!!","")</f>
        <v/>
      </c>
      <c r="F3765" s="23" t="str">
        <f>IF(OR(E3765="",E3765="!!!"),"",IF(NOT(ISNA(VLOOKUP(E3765,E$1:E3764,1,FALSE()))),"OLD",IF(AND(E3765&lt;&gt;"",E3765&lt;&gt;"!!!"),"NEW","")))</f>
        <v> </v>
      </c>
      <c r="G3765" s="24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5" t="str">
        <f>IF(J3765&lt;&gt;1,"",IF(I3765="SBJ","CB","?"))</f>
        <v> </v>
      </c>
      <c r="I3765" s="26" t="str">
        <f>IF(OR(E3765="",E3765="!!!",F3765="NEW"),"",INDEX(B3764:B$2,-1+SUMPRODUCT(MAX(ROW(E3764:E$2)*(E3765=E3764:E$2)))))</f>
        <v> </v>
      </c>
      <c r="J3765" s="26" t="str">
        <f>IF(OR(E3765="",E3765="!!!",F3765="NEW"),"",COUNTBLANK(OFFSET(A$1,,,SUMPRODUCT(MAX(ROW(E$2:E3765)*(E3765=E$2:E3765)))))-COUNTBLANK(OFFSET(A$1,,,SUMPRODUCT(MAX(ROW(E$1:E3764)*(E2=E$1:E3764))))))</f>
        <v> </v>
      </c>
      <c r="K3765" s="26" t="str">
        <f>IF(OR(E3765="",E3765="!!!",F3765="NEW"),"",INDEX(J$1:J3764,SUMPRODUCT(MAX(ROW(E$1:E3764)*(E3765=E$1:E3764)))))</f>
        <v> </v>
      </c>
      <c r="L3765" s="27"/>
    </row>
    <row r="3766" spans="1:12">
      <c r="A3766" s="20" t="s">
        <v>2021</v>
      </c>
      <c r="E3766" s="22">
        <f>IF(D3766="?OLD","!!!","")</f>
        <v/>
      </c>
      <c r="F3766" s="23" t="str">
        <f>IF(OR(E3766="",E3766="!!!"),"",IF(NOT(ISNA(VLOOKUP(E3766,E$1:E3765,1,FALSE()))),"OLD",IF(AND(E3766&lt;&gt;"",E3766&lt;&gt;"!!!"),"NEW","")))</f>
        <v> </v>
      </c>
      <c r="G3766" s="24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5" t="str">
        <f>IF(J3766&lt;&gt;1,"",IF(I3766="SBJ","CB","?"))</f>
        <v> </v>
      </c>
      <c r="I3766" s="26" t="str">
        <f>IF(OR(E3766="",E3766="!!!",F3766="NEW"),"",INDEX(B3765:B$2,-1+SUMPRODUCT(MAX(ROW(E3765:E$2)*(E3766=E3765:E$2)))))</f>
        <v> </v>
      </c>
      <c r="J3766" s="26" t="str">
        <f>IF(OR(E3766="",E3766="!!!",F3766="NEW"),"",COUNTBLANK(OFFSET(A$1,,,SUMPRODUCT(MAX(ROW(E$2:E3766)*(E3766=E$2:E3766)))))-COUNTBLANK(OFFSET(A$1,,,SUMPRODUCT(MAX(ROW(E$1:E3765)*(E2=E$1:E3765))))))</f>
        <v> </v>
      </c>
      <c r="K3766" s="26" t="str">
        <f>IF(OR(E3766="",E3766="!!!",F3766="NEW"),"",INDEX(J$1:J3765,SUMPRODUCT(MAX(ROW(E$1:E3765)*(E3766=E$1:E3765)))))</f>
        <v> </v>
      </c>
      <c r="L3766" s="27"/>
    </row>
    <row r="3767" spans="1:12">
      <c r="A3767" s="20" t="s">
        <v>1957</v>
      </c>
      <c r="B3767" s="21" t="s">
        <v>948</v>
      </c>
      <c r="C3767" s="21" t="s">
        <v>976</v>
      </c>
      <c r="D3767" s="21" t="s">
        <v>950</v>
      </c>
      <c r="E3767" s="22">
        <f>IF(D3767="?OLD","!!!","")</f>
        <v/>
      </c>
      <c r="F3767" s="23" t="str">
        <f>IF(OR(E3767="",E3767="!!!"),"",IF(NOT(ISNA(VLOOKUP(E3767,E$1:E3766,1,FALSE()))),"OLD",IF(AND(E3767&lt;&gt;"",E3767&lt;&gt;"!!!"),"NEW","")))</f>
        <v> </v>
      </c>
      <c r="G3767" s="24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5" t="str">
        <f>IF(J3767&lt;&gt;1,"",IF(I3767="SBJ","CB","?"))</f>
        <v> </v>
      </c>
      <c r="I3767" s="26" t="str">
        <f>IF(OR(E3767="",E3767="!!!",F3767="NEW"),"",INDEX(B3766:B$2,-1+SUMPRODUCT(MAX(ROW(E3766:E$2)*(E3767=E3766:E$2)))))</f>
        <v> </v>
      </c>
      <c r="J3767" s="26" t="str">
        <f>IF(OR(E3767="",E3767="!!!",F3767="NEW"),"",COUNTBLANK(OFFSET(A$1,,,SUMPRODUCT(MAX(ROW(E$2:E3767)*(E3767=E$2:E3767)))))-COUNTBLANK(OFFSET(A$1,,,SUMPRODUCT(MAX(ROW(E$1:E3766)*(E2=E$1:E3766))))))</f>
        <v> </v>
      </c>
      <c r="K3767" s="26" t="str">
        <f>IF(OR(E3767="",E3767="!!!",F3767="NEW"),"",INDEX(J$1:J3766,SUMPRODUCT(MAX(ROW(E$1:E3766)*(E3767=E$1:E3766)))))</f>
        <v> </v>
      </c>
      <c r="L3767" s="27"/>
    </row>
    <row r="3768" spans="1:12">
      <c r="A3768" s="20" t="s">
        <v>977</v>
      </c>
      <c r="E3768" s="22">
        <f>IF(D3768="?OLD","!!!","")</f>
        <v/>
      </c>
      <c r="F3768" s="23" t="str">
        <f>IF(OR(E3768="",E3768="!!!"),"",IF(NOT(ISNA(VLOOKUP(E3768,E$1:E3767,1,FALSE()))),"OLD",IF(AND(E3768&lt;&gt;"",E3768&lt;&gt;"!!!"),"NEW","")))</f>
        <v> </v>
      </c>
      <c r="G3768" s="24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5" t="str">
        <f>IF(J3768&lt;&gt;1,"",IF(I3768="SBJ","CB","?"))</f>
        <v> </v>
      </c>
      <c r="I3768" s="26" t="str">
        <f>IF(OR(E3768="",E3768="!!!",F3768="NEW"),"",INDEX(B3767:B$2,-1+SUMPRODUCT(MAX(ROW(E3767:E$2)*(E3768=E3767:E$2)))))</f>
        <v> </v>
      </c>
      <c r="J3768" s="26" t="str">
        <f>IF(OR(E3768="",E3768="!!!",F3768="NEW"),"",COUNTBLANK(OFFSET(A$1,,,SUMPRODUCT(MAX(ROW(E$2:E3768)*(E3768=E$2:E3768)))))-COUNTBLANK(OFFSET(A$1,,,SUMPRODUCT(MAX(ROW(E$1:E3767)*(E2=E$1:E3767))))))</f>
        <v> </v>
      </c>
      <c r="K3768" s="26" t="str">
        <f>IF(OR(E3768="",E3768="!!!",F3768="NEW"),"",INDEX(J$1:J3767,SUMPRODUCT(MAX(ROW(E$1:E3767)*(E3768=E$1:E3767)))))</f>
        <v> </v>
      </c>
      <c r="L3768" s="27"/>
    </row>
    <row r="3769" spans="1:12">
      <c r="A3769" s="20" t="s">
        <v>2022</v>
      </c>
      <c r="B3769" s="21" t="s">
        <v>1031</v>
      </c>
      <c r="C3769" s="21" t="s">
        <v>983</v>
      </c>
      <c r="E3769" s="22">
        <f>IF(D3769="?OLD","!!!","")</f>
        <v/>
      </c>
      <c r="F3769" s="23" t="str">
        <f>IF(OR(E3769="",E3769="!!!"),"",IF(NOT(ISNA(VLOOKUP(E3769,E$1:E3768,1,FALSE()))),"OLD",IF(AND(E3769&lt;&gt;"",E3769&lt;&gt;"!!!"),"NEW","")))</f>
        <v> </v>
      </c>
      <c r="G3769" s="24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5" t="str">
        <f>IF(J3769&lt;&gt;1,"",IF(I3769="SBJ","CB","?"))</f>
        <v> </v>
      </c>
      <c r="I3769" s="26" t="str">
        <f>IF(OR(E3769="",E3769="!!!",F3769="NEW"),"",INDEX(B3768:B$2,-1+SUMPRODUCT(MAX(ROW(E3768:E$2)*(E3769=E3768:E$2)))))</f>
        <v> </v>
      </c>
      <c r="J3769" s="26" t="str">
        <f>IF(OR(E3769="",E3769="!!!",F3769="NEW"),"",COUNTBLANK(OFFSET(A$1,,,SUMPRODUCT(MAX(ROW(E$2:E3769)*(E3769=E$2:E3769)))))-COUNTBLANK(OFFSET(A$1,,,SUMPRODUCT(MAX(ROW(E$1:E3768)*(E2=E$1:E3768))))))</f>
        <v> </v>
      </c>
      <c r="K3769" s="26" t="str">
        <f>IF(OR(E3769="",E3769="!!!",F3769="NEW"),"",INDEX(J$1:J3768,SUMPRODUCT(MAX(ROW(E$1:E3768)*(E3769=E$1:E3768)))))</f>
        <v> </v>
      </c>
      <c r="L3769" s="27"/>
    </row>
    <row r="3770" spans="1:12">
      <c r="A3770" s="20" t="s">
        <v>984</v>
      </c>
      <c r="E3770" s="22">
        <f>IF(D3770="?OLD","!!!","")</f>
        <v/>
      </c>
      <c r="F3770" s="23" t="str">
        <f>IF(OR(E3770="",E3770="!!!"),"",IF(NOT(ISNA(VLOOKUP(E3770,E$1:E3769,1,FALSE()))),"OLD",IF(AND(E3770&lt;&gt;"",E3770&lt;&gt;"!!!"),"NEW","")))</f>
        <v> </v>
      </c>
      <c r="G3770" s="24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5" t="str">
        <f>IF(J3770&lt;&gt;1,"",IF(I3770="SBJ","CB","?"))</f>
        <v> </v>
      </c>
      <c r="I3770" s="26" t="str">
        <f>IF(OR(E3770="",E3770="!!!",F3770="NEW"),"",INDEX(B3769:B$2,-1+SUMPRODUCT(MAX(ROW(E3769:E$2)*(E3770=E3769:E$2)))))</f>
        <v> </v>
      </c>
      <c r="J3770" s="26" t="str">
        <f>IF(OR(E3770="",E3770="!!!",F3770="NEW"),"",COUNTBLANK(OFFSET(A$1,,,SUMPRODUCT(MAX(ROW(E$2:E3770)*(E3770=E$2:E3770)))))-COUNTBLANK(OFFSET(A$1,,,SUMPRODUCT(MAX(ROW(E$1:E3769)*(E2=E$1:E3769))))))</f>
        <v> </v>
      </c>
      <c r="K3770" s="26" t="str">
        <f>IF(OR(E3770="",E3770="!!!",F3770="NEW"),"",INDEX(J$1:J3769,SUMPRODUCT(MAX(ROW(E$1:E3769)*(E3770=E$1:E3769)))))</f>
        <v> </v>
      </c>
      <c r="L3770" s="27"/>
    </row>
    <row r="3771" spans="1:12">
      <c r="A3771" s="20"/>
    </row>
    <row r="3772" spans="1:12">
      <c r="A3772" s="20" t="s">
        <v>2023</v>
      </c>
    </row>
    <row r="3773" spans="1:12">
      <c r="A3773" s="20" t="s">
        <v>1070</v>
      </c>
      <c r="B3773" s="21" t="s">
        <v>948</v>
      </c>
      <c r="C3773" s="21" t="s">
        <v>983</v>
      </c>
      <c r="E3773" s="22">
        <f>IF(D3773="?OLD","!!!","")</f>
        <v/>
      </c>
      <c r="F3773" s="23" t="str">
        <f>IF(OR(E3773="",E3773="!!!"),"",IF(NOT(ISNA(VLOOKUP(E3773,E$1:E3772,1,FALSE()))),"OLD",IF(AND(E3773&lt;&gt;"",E3773&lt;&gt;"!!!"),"NEW","")))</f>
        <v> </v>
      </c>
      <c r="G3773" s="24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5" t="str">
        <f>IF(J3773&lt;&gt;1,"",IF(I3773="SBJ","CB","?"))</f>
        <v> </v>
      </c>
      <c r="I3773" s="26" t="str">
        <f>IF(OR(E3773="",E3773="!!!",F3773="NEW"),"",INDEX(B3772:B$2,-1+SUMPRODUCT(MAX(ROW(E3772:E$2)*(E3773=E3772:E$2)))))</f>
        <v> </v>
      </c>
      <c r="J3773" s="26" t="str">
        <f>IF(OR(E3773="",E3773="!!!",F3773="NEW"),"",COUNTBLANK(OFFSET(A$1,,,SUMPRODUCT(MAX(ROW(E$2:E3773)*(E3773=E$2:E3773)))))-COUNTBLANK(OFFSET(A$1,,,SUMPRODUCT(MAX(ROW(E$1:E3772)*(E2=E$1:E3772))))))</f>
        <v> </v>
      </c>
      <c r="K3773" s="26" t="str">
        <f>IF(OR(E3773="",E3773="!!!",F3773="NEW"),"",INDEX(J$1:J3772,SUMPRODUCT(MAX(ROW(E$1:E3772)*(E3773=E$1:E3772)))))</f>
        <v> </v>
      </c>
      <c r="L3773" s="27"/>
    </row>
    <row r="3774" spans="1:12">
      <c r="A3774" s="20" t="s">
        <v>952</v>
      </c>
      <c r="E3774" s="22">
        <f>IF(D3774="?OLD","!!!","")</f>
        <v/>
      </c>
      <c r="F3774" s="23" t="str">
        <f>IF(OR(E3774="",E3774="!!!"),"",IF(NOT(ISNA(VLOOKUP(E3774,E$1:E3773,1,FALSE()))),"OLD",IF(AND(E3774&lt;&gt;"",E3774&lt;&gt;"!!!"),"NEW","")))</f>
        <v> </v>
      </c>
      <c r="G3774" s="24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5" t="str">
        <f>IF(J3774&lt;&gt;1,"",IF(I3774="SBJ","CB","?"))</f>
        <v> </v>
      </c>
      <c r="I3774" s="26" t="str">
        <f>IF(OR(E3774="",E3774="!!!",F3774="NEW"),"",INDEX(B3773:B$2,-1+SUMPRODUCT(MAX(ROW(E3773:E$2)*(E3774=E3773:E$2)))))</f>
        <v> </v>
      </c>
      <c r="J3774" s="26" t="str">
        <f>IF(OR(E3774="",E3774="!!!",F3774="NEW"),"",COUNTBLANK(OFFSET(A$1,,,SUMPRODUCT(MAX(ROW(E$2:E3774)*(E3774=E$2:E3774)))))-COUNTBLANK(OFFSET(A$1,,,SUMPRODUCT(MAX(ROW(E$1:E3773)*(E2=E$1:E3773))))))</f>
        <v> </v>
      </c>
      <c r="K3774" s="26" t="str">
        <f>IF(OR(E3774="",E3774="!!!",F3774="NEW"),"",INDEX(J$1:J3773,SUMPRODUCT(MAX(ROW(E$1:E3773)*(E3774=E$1:E3773)))))</f>
        <v> </v>
      </c>
      <c r="L3774" s="27"/>
    </row>
    <row r="3775" spans="1:12">
      <c r="A3775" s="20" t="s">
        <v>1394</v>
      </c>
      <c r="B3775" s="21" t="s">
        <v>948</v>
      </c>
      <c r="C3775" s="21" t="s">
        <v>949</v>
      </c>
      <c r="D3775" s="21" t="s">
        <v>950</v>
      </c>
      <c r="E3775" s="22">
        <f>IF(D3775="?OLD","!!!","")</f>
        <v/>
      </c>
      <c r="F3775" s="23" t="str">
        <f>IF(OR(E3775="",E3775="!!!"),"",IF(NOT(ISNA(VLOOKUP(E3775,E$1:E3774,1,FALSE()))),"OLD",IF(AND(E3775&lt;&gt;"",E3775&lt;&gt;"!!!"),"NEW","")))</f>
        <v> </v>
      </c>
      <c r="G3775" s="24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5" t="str">
        <f>IF(J3775&lt;&gt;1,"",IF(I3775="SBJ","CB","?"))</f>
        <v> </v>
      </c>
      <c r="I3775" s="26" t="str">
        <f>IF(OR(E3775="",E3775="!!!",F3775="NEW"),"",INDEX(B3774:B$2,-1+SUMPRODUCT(MAX(ROW(E3774:E$2)*(E3775=E3774:E$2)))))</f>
        <v> </v>
      </c>
      <c r="J3775" s="26" t="str">
        <f>IF(OR(E3775="",E3775="!!!",F3775="NEW"),"",COUNTBLANK(OFFSET(A$1,,,SUMPRODUCT(MAX(ROW(E$2:E3775)*(E3775=E$2:E3775)))))-COUNTBLANK(OFFSET(A$1,,,SUMPRODUCT(MAX(ROW(E$1:E3774)*(E2=E$1:E3774))))))</f>
        <v> </v>
      </c>
      <c r="K3775" s="26" t="str">
        <f>IF(OR(E3775="",E3775="!!!",F3775="NEW"),"",INDEX(J$1:J3774,SUMPRODUCT(MAX(ROW(E$1:E3774)*(E3775=E$1:E3774)))))</f>
        <v> </v>
      </c>
      <c r="L3775" s="27"/>
    </row>
    <row r="3776" spans="1:12">
      <c r="A3776" s="20" t="s">
        <v>1000</v>
      </c>
      <c r="E3776" s="22">
        <f>IF(D3776="?OLD","!!!","")</f>
        <v/>
      </c>
      <c r="F3776" s="23" t="str">
        <f>IF(OR(E3776="",E3776="!!!"),"",IF(NOT(ISNA(VLOOKUP(E3776,E$1:E3775,1,FALSE()))),"OLD",IF(AND(E3776&lt;&gt;"",E3776&lt;&gt;"!!!"),"NEW","")))</f>
        <v> </v>
      </c>
      <c r="G3776" s="24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5" t="str">
        <f>IF(J3776&lt;&gt;1,"",IF(I3776="SBJ","CB","?"))</f>
        <v> </v>
      </c>
      <c r="I3776" s="26" t="str">
        <f>IF(OR(E3776="",E3776="!!!",F3776="NEW"),"",INDEX(B3775:B$2,-1+SUMPRODUCT(MAX(ROW(E3775:E$2)*(E3776=E3775:E$2)))))</f>
        <v> </v>
      </c>
      <c r="J3776" s="26" t="str">
        <f>IF(OR(E3776="",E3776="!!!",F3776="NEW"),"",COUNTBLANK(OFFSET(A$1,,,SUMPRODUCT(MAX(ROW(E$2:E3776)*(E3776=E$2:E3776)))))-COUNTBLANK(OFFSET(A$1,,,SUMPRODUCT(MAX(ROW(E$1:E3775)*(E2=E$1:E3775))))))</f>
        <v> </v>
      </c>
      <c r="K3776" s="26" t="str">
        <f>IF(OR(E3776="",E3776="!!!",F3776="NEW"),"",INDEX(J$1:J3775,SUMPRODUCT(MAX(ROW(E$1:E3775)*(E3776=E$1:E3775)))))</f>
        <v> </v>
      </c>
      <c r="L3776" s="27"/>
    </row>
    <row r="3777" spans="1:12">
      <c r="A3777" s="20" t="s">
        <v>56</v>
      </c>
      <c r="B3777" s="21" t="s">
        <v>966</v>
      </c>
      <c r="C3777" s="21" t="s">
        <v>960</v>
      </c>
      <c r="D3777" s="21" t="s">
        <v>950</v>
      </c>
      <c r="E3777" s="22">
        <f>IF(D3777="?OLD","!!!","")</f>
        <v/>
      </c>
      <c r="F3777" s="23" t="str">
        <f>IF(OR(E3777="",E3777="!!!"),"",IF(NOT(ISNA(VLOOKUP(E3777,E$1:E3776,1,FALSE()))),"OLD",IF(AND(E3777&lt;&gt;"",E3777&lt;&gt;"!!!"),"NEW","")))</f>
        <v> </v>
      </c>
      <c r="G3777" s="24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5" t="str">
        <f>IF(J3777&lt;&gt;1,"",IF(I3777="SBJ","CB","?"))</f>
        <v> </v>
      </c>
      <c r="I3777" s="26" t="str">
        <f>IF(OR(E3777="",E3777="!!!",F3777="NEW"),"",INDEX(B3776:B$2,-1+SUMPRODUCT(MAX(ROW(E3776:E$2)*(E3777=E3776:E$2)))))</f>
        <v> </v>
      </c>
      <c r="J3777" s="26" t="str">
        <f>IF(OR(E3777="",E3777="!!!",F3777="NEW"),"",COUNTBLANK(OFFSET(A$1,,,SUMPRODUCT(MAX(ROW(E$2:E3777)*(E3777=E$2:E3777)))))-COUNTBLANK(OFFSET(A$1,,,SUMPRODUCT(MAX(ROW(E$1:E3776)*(E2=E$1:E3776))))))</f>
        <v> </v>
      </c>
      <c r="K3777" s="26" t="str">
        <f>IF(OR(E3777="",E3777="!!!",F3777="NEW"),"",INDEX(J$1:J3776,SUMPRODUCT(MAX(ROW(E$1:E3776)*(E3777=E$1:E3776)))))</f>
        <v> </v>
      </c>
      <c r="L3777" s="27"/>
    </row>
    <row r="3778" spans="1:12">
      <c r="A3778" s="20" t="s">
        <v>1104</v>
      </c>
      <c r="E3778" s="22">
        <f>IF(D3778="?OLD","!!!","")</f>
        <v/>
      </c>
      <c r="F3778" s="23" t="str">
        <f>IF(OR(E3778="",E3778="!!!"),"",IF(NOT(ISNA(VLOOKUP(E3778,E$1:E3777,1,FALSE()))),"OLD",IF(AND(E3778&lt;&gt;"",E3778&lt;&gt;"!!!"),"NEW","")))</f>
        <v> </v>
      </c>
      <c r="G3778" s="24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5" t="str">
        <f>IF(J3778&lt;&gt;1,"",IF(I3778="SBJ","CB","?"))</f>
        <v> </v>
      </c>
      <c r="I3778" s="26" t="str">
        <f>IF(OR(E3778="",E3778="!!!",F3778="NEW"),"",INDEX(B3777:B$2,-1+SUMPRODUCT(MAX(ROW(E3777:E$2)*(E3778=E3777:E$2)))))</f>
        <v> </v>
      </c>
      <c r="J3778" s="26" t="str">
        <f>IF(OR(E3778="",E3778="!!!",F3778="NEW"),"",COUNTBLANK(OFFSET(A$1,,,SUMPRODUCT(MAX(ROW(E$2:E3778)*(E3778=E$2:E3778)))))-COUNTBLANK(OFFSET(A$1,,,SUMPRODUCT(MAX(ROW(E$1:E3777)*(E2=E$1:E3777))))))</f>
        <v> </v>
      </c>
      <c r="K3778" s="26" t="str">
        <f>IF(OR(E3778="",E3778="!!!",F3778="NEW"),"",INDEX(J$1:J3777,SUMPRODUCT(MAX(ROW(E$1:E3777)*(E3778=E$1:E3777)))))</f>
        <v> </v>
      </c>
      <c r="L3778" s="27"/>
    </row>
    <row r="3779" spans="1:12">
      <c r="A3779" s="20" t="s">
        <v>965</v>
      </c>
      <c r="E3779" s="22">
        <f>IF(D3779="?OLD","!!!","")</f>
        <v/>
      </c>
      <c r="F3779" s="23" t="str">
        <f>IF(OR(E3779="",E3779="!!!"),"",IF(NOT(ISNA(VLOOKUP(E3779,E$1:E3778,1,FALSE()))),"OLD",IF(AND(E3779&lt;&gt;"",E3779&lt;&gt;"!!!"),"NEW","")))</f>
        <v> </v>
      </c>
      <c r="G3779" s="24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5" t="str">
        <f>IF(J3779&lt;&gt;1,"",IF(I3779="SBJ","CB","?"))</f>
        <v> </v>
      </c>
      <c r="I3779" s="26" t="str">
        <f>IF(OR(E3779="",E3779="!!!",F3779="NEW"),"",INDEX(B3778:B$2,-1+SUMPRODUCT(MAX(ROW(E3778:E$2)*(E3779=E3778:E$2)))))</f>
        <v> </v>
      </c>
      <c r="J3779" s="26" t="str">
        <f>IF(OR(E3779="",E3779="!!!",F3779="NEW"),"",COUNTBLANK(OFFSET(A$1,,,SUMPRODUCT(MAX(ROW(E$2:E3779)*(E3779=E$2:E3779)))))-COUNTBLANK(OFFSET(A$1,,,SUMPRODUCT(MAX(ROW(E$1:E3778)*(E2=E$1:E3778))))))</f>
        <v> </v>
      </c>
      <c r="K3779" s="26" t="str">
        <f>IF(OR(E3779="",E3779="!!!",F3779="NEW"),"",INDEX(J$1:J3778,SUMPRODUCT(MAX(ROW(E$1:E3778)*(E3779=E$1:E3778)))))</f>
        <v> </v>
      </c>
      <c r="L3779" s="27"/>
    </row>
    <row r="3780" spans="1:12">
      <c r="A3780" s="20" t="s">
        <v>1376</v>
      </c>
      <c r="B3780" s="21" t="s">
        <v>1080</v>
      </c>
      <c r="C3780" s="21" t="s">
        <v>1074</v>
      </c>
      <c r="E3780" s="22">
        <f>IF(D3780="?OLD","!!!","")</f>
        <v/>
      </c>
      <c r="F3780" s="23" t="str">
        <f>IF(OR(E3780="",E3780="!!!"),"",IF(NOT(ISNA(VLOOKUP(E3780,E$1:E3779,1,FALSE()))),"OLD",IF(AND(E3780&lt;&gt;"",E3780&lt;&gt;"!!!"),"NEW","")))</f>
        <v> </v>
      </c>
      <c r="G3780" s="24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5" t="str">
        <f>IF(J3780&lt;&gt;1,"",IF(I3780="SBJ","CB","?"))</f>
        <v> </v>
      </c>
      <c r="I3780" s="26" t="str">
        <f>IF(OR(E3780="",E3780="!!!",F3780="NEW"),"",INDEX(B3779:B$2,-1+SUMPRODUCT(MAX(ROW(E3779:E$2)*(E3780=E3779:E$2)))))</f>
        <v> </v>
      </c>
      <c r="J3780" s="26" t="str">
        <f>IF(OR(E3780="",E3780="!!!",F3780="NEW"),"",COUNTBLANK(OFFSET(A$1,,,SUMPRODUCT(MAX(ROW(E$2:E3780)*(E3780=E$2:E3780)))))-COUNTBLANK(OFFSET(A$1,,,SUMPRODUCT(MAX(ROW(E$1:E3779)*(E2=E$1:E3779))))))</f>
        <v> </v>
      </c>
      <c r="K3780" s="26" t="str">
        <f>IF(OR(E3780="",E3780="!!!",F3780="NEW"),"",INDEX(J$1:J3779,SUMPRODUCT(MAX(ROW(E$1:E3779)*(E3780=E$1:E3779)))))</f>
        <v> </v>
      </c>
      <c r="L3780" s="27"/>
    </row>
    <row r="3781" spans="1:12">
      <c r="A3781" s="20" t="s">
        <v>977</v>
      </c>
      <c r="E3781" s="22">
        <f>IF(D3781="?OLD","!!!","")</f>
        <v/>
      </c>
      <c r="F3781" s="23" t="str">
        <f>IF(OR(E3781="",E3781="!!!"),"",IF(NOT(ISNA(VLOOKUP(E3781,E$1:E3780,1,FALSE()))),"OLD",IF(AND(E3781&lt;&gt;"",E3781&lt;&gt;"!!!"),"NEW","")))</f>
        <v> </v>
      </c>
      <c r="G3781" s="24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5" t="str">
        <f>IF(J3781&lt;&gt;1,"",IF(I3781="SBJ","CB","?"))</f>
        <v> </v>
      </c>
      <c r="I3781" s="26" t="str">
        <f>IF(OR(E3781="",E3781="!!!",F3781="NEW"),"",INDEX(B3780:B$2,-1+SUMPRODUCT(MAX(ROW(E3780:E$2)*(E3781=E3780:E$2)))))</f>
        <v> </v>
      </c>
      <c r="J3781" s="26" t="str">
        <f>IF(OR(E3781="",E3781="!!!",F3781="NEW"),"",COUNTBLANK(OFFSET(A$1,,,SUMPRODUCT(MAX(ROW(E$2:E3781)*(E3781=E$2:E3781)))))-COUNTBLANK(OFFSET(A$1,,,SUMPRODUCT(MAX(ROW(E$1:E3780)*(E2=E$1:E3780))))))</f>
        <v> </v>
      </c>
      <c r="K3781" s="26" t="str">
        <f>IF(OR(E3781="",E3781="!!!",F3781="NEW"),"",INDEX(J$1:J3780,SUMPRODUCT(MAX(ROW(E$1:E3780)*(E3781=E$1:E3780)))))</f>
        <v> </v>
      </c>
      <c r="L3781" s="27"/>
    </row>
    <row r="3782" spans="1:12">
      <c r="A3782" s="20" t="s">
        <v>1093</v>
      </c>
      <c r="E3782" s="22">
        <f>IF(D3782="?OLD","!!!","")</f>
        <v/>
      </c>
      <c r="F3782" s="23" t="str">
        <f>IF(OR(E3782="",E3782="!!!"),"",IF(NOT(ISNA(VLOOKUP(E3782,E$1:E3781,1,FALSE()))),"OLD",IF(AND(E3782&lt;&gt;"",E3782&lt;&gt;"!!!"),"NEW","")))</f>
        <v> </v>
      </c>
      <c r="G3782" s="24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5" t="str">
        <f>IF(J3782&lt;&gt;1,"",IF(I3782="SBJ","CB","?"))</f>
        <v> </v>
      </c>
      <c r="I3782" s="26" t="str">
        <f>IF(OR(E3782="",E3782="!!!",F3782="NEW"),"",INDEX(B3781:B$2,-1+SUMPRODUCT(MAX(ROW(E3781:E$2)*(E3782=E3781:E$2)))))</f>
        <v> </v>
      </c>
      <c r="J3782" s="26" t="str">
        <f>IF(OR(E3782="",E3782="!!!",F3782="NEW"),"",COUNTBLANK(OFFSET(A$1,,,SUMPRODUCT(MAX(ROW(E$2:E3782)*(E3782=E$2:E3782)))))-COUNTBLANK(OFFSET(A$1,,,SUMPRODUCT(MAX(ROW(E$1:E3781)*(E2=E$1:E3781))))))</f>
        <v> </v>
      </c>
      <c r="K3782" s="26" t="str">
        <f>IF(OR(E3782="",E3782="!!!",F3782="NEW"),"",INDEX(J$1:J3781,SUMPRODUCT(MAX(ROW(E$1:E3781)*(E3782=E$1:E3781)))))</f>
        <v> </v>
      </c>
      <c r="L3782" s="27"/>
    </row>
    <row r="3783" spans="1:12">
      <c r="A3783" s="20" t="s">
        <v>1232</v>
      </c>
      <c r="B3783" s="21" t="s">
        <v>1010</v>
      </c>
      <c r="C3783" s="21" t="s">
        <v>1032</v>
      </c>
      <c r="D3783" s="21" t="s">
        <v>950</v>
      </c>
      <c r="E3783" s="22">
        <f>IF(D3783="?OLD","!!!","")</f>
        <v/>
      </c>
      <c r="F3783" s="23" t="str">
        <f>IF(OR(E3783="",E3783="!!!"),"",IF(NOT(ISNA(VLOOKUP(E3783,E$1:E3782,1,FALSE()))),"OLD",IF(AND(E3783&lt;&gt;"",E3783&lt;&gt;"!!!"),"NEW","")))</f>
        <v> </v>
      </c>
      <c r="G3783" s="24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5" t="str">
        <f>IF(J3783&lt;&gt;1,"",IF(I3783="SBJ","CB","?"))</f>
        <v> </v>
      </c>
      <c r="I3783" s="26" t="str">
        <f>IF(OR(E3783="",E3783="!!!",F3783="NEW"),"",INDEX(B3782:B$2,-1+SUMPRODUCT(MAX(ROW(E3782:E$2)*(E3783=E3782:E$2)))))</f>
        <v> </v>
      </c>
      <c r="J3783" s="26" t="str">
        <f>IF(OR(E3783="",E3783="!!!",F3783="NEW"),"",COUNTBLANK(OFFSET(A$1,,,SUMPRODUCT(MAX(ROW(E$2:E3783)*(E3783=E$2:E3783)))))-COUNTBLANK(OFFSET(A$1,,,SUMPRODUCT(MAX(ROW(E$1:E3782)*(E2=E$1:E3782))))))</f>
        <v> </v>
      </c>
      <c r="K3783" s="26" t="str">
        <f>IF(OR(E3783="",E3783="!!!",F3783="NEW"),"",INDEX(J$1:J3782,SUMPRODUCT(MAX(ROW(E$1:E3782)*(E3783=E$1:E3782)))))</f>
        <v> </v>
      </c>
      <c r="L3783" s="27"/>
    </row>
    <row r="3784" spans="1:12">
      <c r="A3784" s="20" t="s">
        <v>977</v>
      </c>
      <c r="E3784" s="22">
        <f>IF(D3784="?OLD","!!!","")</f>
        <v/>
      </c>
      <c r="F3784" s="23" t="str">
        <f>IF(OR(E3784="",E3784="!!!"),"",IF(NOT(ISNA(VLOOKUP(E3784,E$1:E3783,1,FALSE()))),"OLD",IF(AND(E3784&lt;&gt;"",E3784&lt;&gt;"!!!"),"NEW","")))</f>
        <v> </v>
      </c>
      <c r="G3784" s="24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5" t="str">
        <f>IF(J3784&lt;&gt;1,"",IF(I3784="SBJ","CB","?"))</f>
        <v> </v>
      </c>
      <c r="I3784" s="26" t="str">
        <f>IF(OR(E3784="",E3784="!!!",F3784="NEW"),"",INDEX(B3783:B$2,-1+SUMPRODUCT(MAX(ROW(E3783:E$2)*(E3784=E3783:E$2)))))</f>
        <v> </v>
      </c>
      <c r="J3784" s="26" t="str">
        <f>IF(OR(E3784="",E3784="!!!",F3784="NEW"),"",COUNTBLANK(OFFSET(A$1,,,SUMPRODUCT(MAX(ROW(E$2:E3784)*(E3784=E$2:E3784)))))-COUNTBLANK(OFFSET(A$1,,,SUMPRODUCT(MAX(ROW(E$1:E3783)*(E2=E$1:E3783))))))</f>
        <v> </v>
      </c>
      <c r="K3784" s="26" t="str">
        <f>IF(OR(E3784="",E3784="!!!",F3784="NEW"),"",INDEX(J$1:J3783,SUMPRODUCT(MAX(ROW(E$1:E3783)*(E3784=E$1:E3783)))))</f>
        <v> </v>
      </c>
      <c r="L3784" s="27"/>
    </row>
    <row r="3785" spans="1:12">
      <c r="A3785" s="20" t="s">
        <v>965</v>
      </c>
      <c r="E3785" s="22">
        <f>IF(D3785="?OLD","!!!","")</f>
        <v/>
      </c>
      <c r="F3785" s="23" t="str">
        <f>IF(OR(E3785="",E3785="!!!"),"",IF(NOT(ISNA(VLOOKUP(E3785,E$1:E3784,1,FALSE()))),"OLD",IF(AND(E3785&lt;&gt;"",E3785&lt;&gt;"!!!"),"NEW","")))</f>
        <v> </v>
      </c>
      <c r="G3785" s="24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5" t="str">
        <f>IF(J3785&lt;&gt;1,"",IF(I3785="SBJ","CB","?"))</f>
        <v> </v>
      </c>
      <c r="I3785" s="26" t="str">
        <f>IF(OR(E3785="",E3785="!!!",F3785="NEW"),"",INDEX(B3784:B$2,-1+SUMPRODUCT(MAX(ROW(E3784:E$2)*(E3785=E3784:E$2)))))</f>
        <v> </v>
      </c>
      <c r="J3785" s="26" t="str">
        <f>IF(OR(E3785="",E3785="!!!",F3785="NEW"),"",COUNTBLANK(OFFSET(A$1,,,SUMPRODUCT(MAX(ROW(E$2:E3785)*(E3785=E$2:E3785)))))-COUNTBLANK(OFFSET(A$1,,,SUMPRODUCT(MAX(ROW(E$1:E3784)*(E2=E$1:E3784))))))</f>
        <v> </v>
      </c>
      <c r="K3785" s="26" t="str">
        <f>IF(OR(E3785="",E3785="!!!",F3785="NEW"),"",INDEX(J$1:J3784,SUMPRODUCT(MAX(ROW(E$1:E3784)*(E3785=E$1:E3784)))))</f>
        <v> </v>
      </c>
      <c r="L3785" s="27"/>
    </row>
    <row r="3786" spans="1:12">
      <c r="A3786" s="20" t="s">
        <v>1726</v>
      </c>
      <c r="E3786" s="22">
        <f>IF(D3786="?OLD","!!!","")</f>
        <v/>
      </c>
      <c r="F3786" s="23" t="str">
        <f>IF(OR(E3786="",E3786="!!!"),"",IF(NOT(ISNA(VLOOKUP(E3786,E$1:E3785,1,FALSE()))),"OLD",IF(AND(E3786&lt;&gt;"",E3786&lt;&gt;"!!!"),"NEW","")))</f>
        <v> </v>
      </c>
      <c r="G3786" s="24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5" t="str">
        <f>IF(J3786&lt;&gt;1,"",IF(I3786="SBJ","CB","?"))</f>
        <v> </v>
      </c>
      <c r="I3786" s="26" t="str">
        <f>IF(OR(E3786="",E3786="!!!",F3786="NEW"),"",INDEX(B3785:B$2,-1+SUMPRODUCT(MAX(ROW(E3785:E$2)*(E3786=E3785:E$2)))))</f>
        <v> </v>
      </c>
      <c r="J3786" s="26" t="str">
        <f>IF(OR(E3786="",E3786="!!!",F3786="NEW"),"",COUNTBLANK(OFFSET(A$1,,,SUMPRODUCT(MAX(ROW(E$2:E3786)*(E3786=E$2:E3786)))))-COUNTBLANK(OFFSET(A$1,,,SUMPRODUCT(MAX(ROW(E$1:E3785)*(E2=E$1:E3785))))))</f>
        <v> </v>
      </c>
      <c r="K3786" s="26" t="str">
        <f>IF(OR(E3786="",E3786="!!!",F3786="NEW"),"",INDEX(J$1:J3785,SUMPRODUCT(MAX(ROW(E$1:E3785)*(E3786=E$1:E3785)))))</f>
        <v> </v>
      </c>
      <c r="L3786" s="27"/>
    </row>
    <row r="3787" spans="1:12">
      <c r="A3787" s="20" t="s">
        <v>1250</v>
      </c>
      <c r="E3787" s="22">
        <f>IF(D3787="?OLD","!!!","")</f>
        <v/>
      </c>
      <c r="F3787" s="23" t="str">
        <f>IF(OR(E3787="",E3787="!!!"),"",IF(NOT(ISNA(VLOOKUP(E3787,E$1:E3786,1,FALSE()))),"OLD",IF(AND(E3787&lt;&gt;"",E3787&lt;&gt;"!!!"),"NEW","")))</f>
        <v> </v>
      </c>
      <c r="G3787" s="24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5" t="str">
        <f>IF(J3787&lt;&gt;1,"",IF(I3787="SBJ","CB","?"))</f>
        <v> </v>
      </c>
      <c r="I3787" s="26" t="str">
        <f>IF(OR(E3787="",E3787="!!!",F3787="NEW"),"",INDEX(B3786:B$2,-1+SUMPRODUCT(MAX(ROW(E3786:E$2)*(E3787=E3786:E$2)))))</f>
        <v> </v>
      </c>
      <c r="J3787" s="26" t="str">
        <f>IF(OR(E3787="",E3787="!!!",F3787="NEW"),"",COUNTBLANK(OFFSET(A$1,,,SUMPRODUCT(MAX(ROW(E$2:E3787)*(E3787=E$2:E3787)))))-COUNTBLANK(OFFSET(A$1,,,SUMPRODUCT(MAX(ROW(E$1:E3786)*(E2=E$1:E3786))))))</f>
        <v> </v>
      </c>
      <c r="K3787" s="26" t="str">
        <f>IF(OR(E3787="",E3787="!!!",F3787="NEW"),"",INDEX(J$1:J3786,SUMPRODUCT(MAX(ROW(E$1:E3786)*(E3787=E$1:E3786)))))</f>
        <v> </v>
      </c>
      <c r="L3787" s="27"/>
    </row>
    <row r="3788" spans="1:12">
      <c r="A3788" s="20" t="s">
        <v>1646</v>
      </c>
      <c r="E3788" s="22">
        <f>IF(D3788="?OLD","!!!","")</f>
        <v/>
      </c>
      <c r="F3788" s="23" t="str">
        <f>IF(OR(E3788="",E3788="!!!"),"",IF(NOT(ISNA(VLOOKUP(E3788,E$1:E3787,1,FALSE()))),"OLD",IF(AND(E3788&lt;&gt;"",E3788&lt;&gt;"!!!"),"NEW","")))</f>
        <v> </v>
      </c>
      <c r="G3788" s="24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5" t="str">
        <f>IF(J3788&lt;&gt;1,"",IF(I3788="SBJ","CB","?"))</f>
        <v> </v>
      </c>
      <c r="I3788" s="26" t="str">
        <f>IF(OR(E3788="",E3788="!!!",F3788="NEW"),"",INDEX(B3787:B$2,-1+SUMPRODUCT(MAX(ROW(E3787:E$2)*(E3788=E3787:E$2)))))</f>
        <v> </v>
      </c>
      <c r="J3788" s="26" t="str">
        <f>IF(OR(E3788="",E3788="!!!",F3788="NEW"),"",COUNTBLANK(OFFSET(A$1,,,SUMPRODUCT(MAX(ROW(E$2:E3788)*(E3788=E$2:E3788)))))-COUNTBLANK(OFFSET(A$1,,,SUMPRODUCT(MAX(ROW(E$1:E3787)*(E2=E$1:E3787))))))</f>
        <v> </v>
      </c>
      <c r="K3788" s="26" t="str">
        <f>IF(OR(E3788="",E3788="!!!",F3788="NEW"),"",INDEX(J$1:J3787,SUMPRODUCT(MAX(ROW(E$1:E3787)*(E3788=E$1:E3787)))))</f>
        <v> </v>
      </c>
      <c r="L3788" s="27"/>
    </row>
    <row r="3789" spans="1:12">
      <c r="A3789" s="20" t="s">
        <v>1000</v>
      </c>
      <c r="E3789" s="22">
        <f>IF(D3789="?OLD","!!!","")</f>
        <v/>
      </c>
      <c r="F3789" s="23" t="str">
        <f>IF(OR(E3789="",E3789="!!!"),"",IF(NOT(ISNA(VLOOKUP(E3789,E$1:E3788,1,FALSE()))),"OLD",IF(AND(E3789&lt;&gt;"",E3789&lt;&gt;"!!!"),"NEW","")))</f>
        <v> </v>
      </c>
      <c r="G3789" s="24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5" t="str">
        <f>IF(J3789&lt;&gt;1,"",IF(I3789="SBJ","CB","?"))</f>
        <v> </v>
      </c>
      <c r="I3789" s="26" t="str">
        <f>IF(OR(E3789="",E3789="!!!",F3789="NEW"),"",INDEX(B3788:B$2,-1+SUMPRODUCT(MAX(ROW(E3788:E$2)*(E3789=E3788:E$2)))))</f>
        <v> </v>
      </c>
      <c r="J3789" s="26" t="str">
        <f>IF(OR(E3789="",E3789="!!!",F3789="NEW"),"",COUNTBLANK(OFFSET(A$1,,,SUMPRODUCT(MAX(ROW(E$2:E3789)*(E3789=E$2:E3789)))))-COUNTBLANK(OFFSET(A$1,,,SUMPRODUCT(MAX(ROW(E$1:E3788)*(E2=E$1:E3788))))))</f>
        <v> </v>
      </c>
      <c r="K3789" s="26" t="str">
        <f>IF(OR(E3789="",E3789="!!!",F3789="NEW"),"",INDEX(J$1:J3788,SUMPRODUCT(MAX(ROW(E$1:E3788)*(E3789=E$1:E3788)))))</f>
        <v> </v>
      </c>
      <c r="L3789" s="27"/>
    </row>
    <row r="3790" spans="1:12">
      <c r="A3790" s="20" t="s">
        <v>1075</v>
      </c>
      <c r="E3790" s="22">
        <f>IF(D3790="?OLD","!!!","")</f>
        <v/>
      </c>
      <c r="F3790" s="23" t="str">
        <f>IF(OR(E3790="",E3790="!!!"),"",IF(NOT(ISNA(VLOOKUP(E3790,E$1:E3789,1,FALSE()))),"OLD",IF(AND(E3790&lt;&gt;"",E3790&lt;&gt;"!!!"),"NEW","")))</f>
        <v> </v>
      </c>
      <c r="G3790" s="24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5" t="str">
        <f>IF(J3790&lt;&gt;1,"",IF(I3790="SBJ","CB","?"))</f>
        <v> </v>
      </c>
      <c r="I3790" s="26" t="str">
        <f>IF(OR(E3790="",E3790="!!!",F3790="NEW"),"",INDEX(B3789:B$2,-1+SUMPRODUCT(MAX(ROW(E3789:E$2)*(E3790=E3789:E$2)))))</f>
        <v> </v>
      </c>
      <c r="J3790" s="26" t="str">
        <f>IF(OR(E3790="",E3790="!!!",F3790="NEW"),"",COUNTBLANK(OFFSET(A$1,,,SUMPRODUCT(MAX(ROW(E$2:E3790)*(E3790=E$2:E3790)))))-COUNTBLANK(OFFSET(A$1,,,SUMPRODUCT(MAX(ROW(E$1:E3789)*(E2=E$1:E3789))))))</f>
        <v> </v>
      </c>
      <c r="K3790" s="26" t="str">
        <f>IF(OR(E3790="",E3790="!!!",F3790="NEW"),"",INDEX(J$1:J3789,SUMPRODUCT(MAX(ROW(E$1:E3789)*(E3790=E$1:E3789)))))</f>
        <v> </v>
      </c>
      <c r="L3790" s="27"/>
    </row>
    <row r="3791" spans="1:12">
      <c r="A3791" s="20" t="s">
        <v>965</v>
      </c>
      <c r="E3791" s="22">
        <f>IF(D3791="?OLD","!!!","")</f>
        <v/>
      </c>
      <c r="F3791" s="23" t="str">
        <f>IF(OR(E3791="",E3791="!!!"),"",IF(NOT(ISNA(VLOOKUP(E3791,E$1:E3790,1,FALSE()))),"OLD",IF(AND(E3791&lt;&gt;"",E3791&lt;&gt;"!!!"),"NEW","")))</f>
        <v> </v>
      </c>
      <c r="G3791" s="24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5" t="str">
        <f>IF(J3791&lt;&gt;1,"",IF(I3791="SBJ","CB","?"))</f>
        <v> </v>
      </c>
      <c r="I3791" s="26" t="str">
        <f>IF(OR(E3791="",E3791="!!!",F3791="NEW"),"",INDEX(B3790:B$2,-1+SUMPRODUCT(MAX(ROW(E3790:E$2)*(E3791=E3790:E$2)))))</f>
        <v> </v>
      </c>
      <c r="J3791" s="26" t="str">
        <f>IF(OR(E3791="",E3791="!!!",F3791="NEW"),"",COUNTBLANK(OFFSET(A$1,,,SUMPRODUCT(MAX(ROW(E$2:E3791)*(E3791=E$2:E3791)))))-COUNTBLANK(OFFSET(A$1,,,SUMPRODUCT(MAX(ROW(E$1:E3790)*(E2=E$1:E3790))))))</f>
        <v> </v>
      </c>
      <c r="K3791" s="26" t="str">
        <f>IF(OR(E3791="",E3791="!!!",F3791="NEW"),"",INDEX(J$1:J3790,SUMPRODUCT(MAX(ROW(E$1:E3790)*(E3791=E$1:E3790)))))</f>
        <v> </v>
      </c>
      <c r="L3791" s="27"/>
    </row>
    <row r="3792" spans="1:12">
      <c r="A3792" s="20" t="s">
        <v>1115</v>
      </c>
      <c r="E3792" s="22">
        <f>IF(D3792="?OLD","!!!","")</f>
        <v/>
      </c>
      <c r="F3792" s="23" t="str">
        <f>IF(OR(E3792="",E3792="!!!"),"",IF(NOT(ISNA(VLOOKUP(E3792,E$1:E3791,1,FALSE()))),"OLD",IF(AND(E3792&lt;&gt;"",E3792&lt;&gt;"!!!"),"NEW","")))</f>
        <v> </v>
      </c>
      <c r="G3792" s="24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5" t="str">
        <f>IF(J3792&lt;&gt;1,"",IF(I3792="SBJ","CB","?"))</f>
        <v> </v>
      </c>
      <c r="I3792" s="26" t="str">
        <f>IF(OR(E3792="",E3792="!!!",F3792="NEW"),"",INDEX(B3791:B$2,-1+SUMPRODUCT(MAX(ROW(E3791:E$2)*(E3792=E3791:E$2)))))</f>
        <v> </v>
      </c>
      <c r="J3792" s="26" t="str">
        <f>IF(OR(E3792="",E3792="!!!",F3792="NEW"),"",COUNTBLANK(OFFSET(A$1,,,SUMPRODUCT(MAX(ROW(E$2:E3792)*(E3792=E$2:E3792)))))-COUNTBLANK(OFFSET(A$1,,,SUMPRODUCT(MAX(ROW(E$1:E3791)*(E2=E$1:E3791))))))</f>
        <v> </v>
      </c>
      <c r="K3792" s="26" t="str">
        <f>IF(OR(E3792="",E3792="!!!",F3792="NEW"),"",INDEX(J$1:J3791,SUMPRODUCT(MAX(ROW(E$1:E3791)*(E3792=E$1:E3791)))))</f>
        <v> </v>
      </c>
      <c r="L3792" s="27"/>
    </row>
    <row r="3793" spans="1:12">
      <c r="A3793" s="20" t="s">
        <v>991</v>
      </c>
      <c r="E3793" s="22">
        <f>IF(D3793="?OLD","!!!","")</f>
        <v/>
      </c>
      <c r="F3793" s="23" t="str">
        <f>IF(OR(E3793="",E3793="!!!"),"",IF(NOT(ISNA(VLOOKUP(E3793,E$1:E3792,1,FALSE()))),"OLD",IF(AND(E3793&lt;&gt;"",E3793&lt;&gt;"!!!"),"NEW","")))</f>
        <v> </v>
      </c>
      <c r="G3793" s="24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5" t="str">
        <f>IF(J3793&lt;&gt;1,"",IF(I3793="SBJ","CB","?"))</f>
        <v> </v>
      </c>
      <c r="I3793" s="26" t="str">
        <f>IF(OR(E3793="",E3793="!!!",F3793="NEW"),"",INDEX(B3792:B$2,-1+SUMPRODUCT(MAX(ROW(E3792:E$2)*(E3793=E3792:E$2)))))</f>
        <v> </v>
      </c>
      <c r="J3793" s="26" t="str">
        <f>IF(OR(E3793="",E3793="!!!",F3793="NEW"),"",COUNTBLANK(OFFSET(A$1,,,SUMPRODUCT(MAX(ROW(E$2:E3793)*(E3793=E$2:E3793)))))-COUNTBLANK(OFFSET(A$1,,,SUMPRODUCT(MAX(ROW(E$1:E3792)*(E2=E$1:E3792))))))</f>
        <v> </v>
      </c>
      <c r="K3793" s="26" t="str">
        <f>IF(OR(E3793="",E3793="!!!",F3793="NEW"),"",INDEX(J$1:J3792,SUMPRODUCT(MAX(ROW(E$1:E3792)*(E3793=E$1:E3792)))))</f>
        <v> </v>
      </c>
      <c r="L3793" s="27"/>
    </row>
    <row r="3794" spans="1:12">
      <c r="A3794" s="20"/>
    </row>
    <row r="3795" spans="1:12">
      <c r="A3795" s="20" t="s">
        <v>2024</v>
      </c>
    </row>
    <row r="3796" spans="1:12">
      <c r="A3796" s="20" t="s">
        <v>2025</v>
      </c>
      <c r="E3796" s="22">
        <f>IF(D3796="?OLD","!!!","")</f>
        <v/>
      </c>
      <c r="F3796" s="23" t="str">
        <f>IF(OR(E3796="",E3796="!!!"),"",IF(NOT(ISNA(VLOOKUP(E3796,E$1:E3795,1,FALSE()))),"OLD",IF(AND(E3796&lt;&gt;"",E3796&lt;&gt;"!!!"),"NEW","")))</f>
        <v> </v>
      </c>
      <c r="G3796" s="24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5" t="str">
        <f>IF(J3796&lt;&gt;1,"",IF(I3796="SBJ","CB","?"))</f>
        <v> </v>
      </c>
      <c r="I3796" s="26" t="str">
        <f>IF(OR(E3796="",E3796="!!!",F3796="NEW"),"",INDEX(B3795:B$2,-1+SUMPRODUCT(MAX(ROW(E3795:E$2)*(E3796=E3795:E$2)))))</f>
        <v> </v>
      </c>
      <c r="J3796" s="26" t="str">
        <f>IF(OR(E3796="",E3796="!!!",F3796="NEW"),"",COUNTBLANK(OFFSET(A$1,,,SUMPRODUCT(MAX(ROW(E$2:E3796)*(E3796=E$2:E3796)))))-COUNTBLANK(OFFSET(A$1,,,SUMPRODUCT(MAX(ROW(E$1:E3795)*(E2=E$1:E3795))))))</f>
        <v> </v>
      </c>
      <c r="K3796" s="26" t="str">
        <f>IF(OR(E3796="",E3796="!!!",F3796="NEW"),"",INDEX(J$1:J3795,SUMPRODUCT(MAX(ROW(E$1:E3795)*(E3796=E$1:E3795)))))</f>
        <v> </v>
      </c>
      <c r="L3796" s="27"/>
    </row>
    <row r="3797" spans="1:12">
      <c r="A3797" s="20" t="s">
        <v>2026</v>
      </c>
      <c r="E3797" s="22">
        <f>IF(D3797="?OLD","!!!","")</f>
        <v/>
      </c>
      <c r="F3797" s="23" t="str">
        <f>IF(OR(E3797="",E3797="!!!"),"",IF(NOT(ISNA(VLOOKUP(E3797,E$1:E3796,1,FALSE()))),"OLD",IF(AND(E3797&lt;&gt;"",E3797&lt;&gt;"!!!"),"NEW","")))</f>
        <v> </v>
      </c>
      <c r="G3797" s="24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5" t="str">
        <f>IF(J3797&lt;&gt;1,"",IF(I3797="SBJ","CB","?"))</f>
        <v> </v>
      </c>
      <c r="I3797" s="26" t="str">
        <f>IF(OR(E3797="",E3797="!!!",F3797="NEW"),"",INDEX(B3796:B$2,-1+SUMPRODUCT(MAX(ROW(E3796:E$2)*(E3797=E3796:E$2)))))</f>
        <v> </v>
      </c>
      <c r="J3797" s="26" t="str">
        <f>IF(OR(E3797="",E3797="!!!",F3797="NEW"),"",COUNTBLANK(OFFSET(A$1,,,SUMPRODUCT(MAX(ROW(E$2:E3797)*(E3797=E$2:E3797)))))-COUNTBLANK(OFFSET(A$1,,,SUMPRODUCT(MAX(ROW(E$1:E3796)*(E2=E$1:E3796))))))</f>
        <v> </v>
      </c>
      <c r="K3797" s="26" t="str">
        <f>IF(OR(E3797="",E3797="!!!",F3797="NEW"),"",INDEX(J$1:J3796,SUMPRODUCT(MAX(ROW(E$1:E3796)*(E3797=E$1:E3796)))))</f>
        <v> </v>
      </c>
      <c r="L3797" s="27"/>
    </row>
    <row r="3798" spans="1:12">
      <c r="A3798" s="20" t="s">
        <v>1006</v>
      </c>
      <c r="E3798" s="22">
        <f>IF(D3798="?OLD","!!!","")</f>
        <v/>
      </c>
      <c r="F3798" s="23" t="str">
        <f>IF(OR(E3798="",E3798="!!!"),"",IF(NOT(ISNA(VLOOKUP(E3798,E$1:E3797,1,FALSE()))),"OLD",IF(AND(E3798&lt;&gt;"",E3798&lt;&gt;"!!!"),"NEW","")))</f>
        <v> </v>
      </c>
      <c r="G3798" s="24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5" t="str">
        <f>IF(J3798&lt;&gt;1,"",IF(I3798="SBJ","CB","?"))</f>
        <v> </v>
      </c>
      <c r="I3798" s="26" t="str">
        <f>IF(OR(E3798="",E3798="!!!",F3798="NEW"),"",INDEX(B3797:B$2,-1+SUMPRODUCT(MAX(ROW(E3797:E$2)*(E3798=E3797:E$2)))))</f>
        <v> </v>
      </c>
      <c r="J3798" s="26" t="str">
        <f>IF(OR(E3798="",E3798="!!!",F3798="NEW"),"",COUNTBLANK(OFFSET(A$1,,,SUMPRODUCT(MAX(ROW(E$2:E3798)*(E3798=E$2:E3798)))))-COUNTBLANK(OFFSET(A$1,,,SUMPRODUCT(MAX(ROW(E$1:E3797)*(E2=E$1:E3797))))))</f>
        <v> </v>
      </c>
      <c r="K3798" s="26" t="str">
        <f>IF(OR(E3798="",E3798="!!!",F3798="NEW"),"",INDEX(J$1:J3797,SUMPRODUCT(MAX(ROW(E$1:E3797)*(E3798=E$1:E3797)))))</f>
        <v> </v>
      </c>
      <c r="L3798" s="27"/>
    </row>
    <row r="3799" spans="1:12">
      <c r="A3799" s="20" t="s">
        <v>1243</v>
      </c>
      <c r="B3799" s="21" t="s">
        <v>959</v>
      </c>
      <c r="C3799" s="21" t="s">
        <v>976</v>
      </c>
      <c r="D3799" s="21" t="s">
        <v>950</v>
      </c>
      <c r="E3799" s="22">
        <f>IF(D3799="?OLD","!!!","")</f>
        <v/>
      </c>
      <c r="F3799" s="23" t="str">
        <f>IF(OR(E3799="",E3799="!!!"),"",IF(NOT(ISNA(VLOOKUP(E3799,E$1:E3798,1,FALSE()))),"OLD",IF(AND(E3799&lt;&gt;"",E3799&lt;&gt;"!!!"),"NEW","")))</f>
        <v> </v>
      </c>
      <c r="G3799" s="24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5" t="str">
        <f>IF(J3799&lt;&gt;1,"",IF(I3799="SBJ","CB","?"))</f>
        <v> </v>
      </c>
      <c r="I3799" s="26" t="str">
        <f>IF(OR(E3799="",E3799="!!!",F3799="NEW"),"",INDEX(B3798:B$2,-1+SUMPRODUCT(MAX(ROW(E3798:E$2)*(E3799=E3798:E$2)))))</f>
        <v> </v>
      </c>
      <c r="J3799" s="26" t="str">
        <f>IF(OR(E3799="",E3799="!!!",F3799="NEW"),"",COUNTBLANK(OFFSET(A$1,,,SUMPRODUCT(MAX(ROW(E$2:E3799)*(E3799=E$2:E3799)))))-COUNTBLANK(OFFSET(A$1,,,SUMPRODUCT(MAX(ROW(E$1:E3798)*(E2=E$1:E3798))))))</f>
        <v> </v>
      </c>
      <c r="K3799" s="26" t="str">
        <f>IF(OR(E3799="",E3799="!!!",F3799="NEW"),"",INDEX(J$1:J3798,SUMPRODUCT(MAX(ROW(E$1:E3798)*(E3799=E$1:E3798)))))</f>
        <v> </v>
      </c>
      <c r="L3799" s="27"/>
    </row>
    <row r="3800" spans="1:12">
      <c r="A3800" s="20" t="s">
        <v>2027</v>
      </c>
      <c r="E3800" s="22">
        <f>IF(D3800="?OLD","!!!","")</f>
        <v/>
      </c>
      <c r="F3800" s="23" t="str">
        <f>IF(OR(E3800="",E3800="!!!"),"",IF(NOT(ISNA(VLOOKUP(E3800,E$1:E3799,1,FALSE()))),"OLD",IF(AND(E3800&lt;&gt;"",E3800&lt;&gt;"!!!"),"NEW","")))</f>
        <v> </v>
      </c>
      <c r="G3800" s="24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5" t="str">
        <f>IF(J3800&lt;&gt;1,"",IF(I3800="SBJ","CB","?"))</f>
        <v> </v>
      </c>
      <c r="I3800" s="26" t="str">
        <f>IF(OR(E3800="",E3800="!!!",F3800="NEW"),"",INDEX(B3799:B$2,-1+SUMPRODUCT(MAX(ROW(E3799:E$2)*(E3800=E3799:E$2)))))</f>
        <v> </v>
      </c>
      <c r="J3800" s="26" t="str">
        <f>IF(OR(E3800="",E3800="!!!",F3800="NEW"),"",COUNTBLANK(OFFSET(A$1,,,SUMPRODUCT(MAX(ROW(E$2:E3800)*(E3800=E$2:E3800)))))-COUNTBLANK(OFFSET(A$1,,,SUMPRODUCT(MAX(ROW(E$1:E3799)*(E2=E$1:E3799))))))</f>
        <v> </v>
      </c>
      <c r="K3800" s="26" t="str">
        <f>IF(OR(E3800="",E3800="!!!",F3800="NEW"),"",INDEX(J$1:J3799,SUMPRODUCT(MAX(ROW(E$1:E3799)*(E3800=E$1:E3799)))))</f>
        <v> </v>
      </c>
      <c r="L3800" s="27"/>
    </row>
    <row r="3801" spans="1:12">
      <c r="A3801" s="20" t="s">
        <v>977</v>
      </c>
      <c r="E3801" s="22">
        <f>IF(D3801="?OLD","!!!","")</f>
        <v/>
      </c>
      <c r="F3801" s="23" t="str">
        <f>IF(OR(E3801="",E3801="!!!"),"",IF(NOT(ISNA(VLOOKUP(E3801,E$1:E3800,1,FALSE()))),"OLD",IF(AND(E3801&lt;&gt;"",E3801&lt;&gt;"!!!"),"NEW","")))</f>
        <v> </v>
      </c>
      <c r="G3801" s="24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5" t="str">
        <f>IF(J3801&lt;&gt;1,"",IF(I3801="SBJ","CB","?"))</f>
        <v> </v>
      </c>
      <c r="I3801" s="26" t="str">
        <f>IF(OR(E3801="",E3801="!!!",F3801="NEW"),"",INDEX(B3800:B$2,-1+SUMPRODUCT(MAX(ROW(E3800:E$2)*(E3801=E3800:E$2)))))</f>
        <v> </v>
      </c>
      <c r="J3801" s="26" t="str">
        <f>IF(OR(E3801="",E3801="!!!",F3801="NEW"),"",COUNTBLANK(OFFSET(A$1,,,SUMPRODUCT(MAX(ROW(E$2:E3801)*(E3801=E$2:E3801)))))-COUNTBLANK(OFFSET(A$1,,,SUMPRODUCT(MAX(ROW(E$1:E3800)*(E2=E$1:E3800))))))</f>
        <v> </v>
      </c>
      <c r="K3801" s="26" t="str">
        <f>IF(OR(E3801="",E3801="!!!",F3801="NEW"),"",INDEX(J$1:J3800,SUMPRODUCT(MAX(ROW(E$1:E3800)*(E3801=E$1:E3800)))))</f>
        <v> </v>
      </c>
      <c r="L3801" s="27"/>
    </row>
    <row r="3802" spans="1:12">
      <c r="A3802" s="20" t="s">
        <v>2028</v>
      </c>
      <c r="B3802" s="21" t="s">
        <v>1031</v>
      </c>
      <c r="C3802" s="21" t="s">
        <v>983</v>
      </c>
      <c r="E3802" s="22">
        <f>IF(D3802="?OLD","!!!","")</f>
        <v/>
      </c>
      <c r="F3802" s="23" t="str">
        <f>IF(OR(E3802="",E3802="!!!"),"",IF(NOT(ISNA(VLOOKUP(E3802,E$1:E3801,1,FALSE()))),"OLD",IF(AND(E3802&lt;&gt;"",E3802&lt;&gt;"!!!"),"NEW","")))</f>
        <v> </v>
      </c>
      <c r="G3802" s="24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5" t="str">
        <f>IF(J3802&lt;&gt;1,"",IF(I3802="SBJ","CB","?"))</f>
        <v> </v>
      </c>
      <c r="I3802" s="26" t="str">
        <f>IF(OR(E3802="",E3802="!!!",F3802="NEW"),"",INDEX(B3801:B$2,-1+SUMPRODUCT(MAX(ROW(E3801:E$2)*(E3802=E3801:E$2)))))</f>
        <v> </v>
      </c>
      <c r="J3802" s="26" t="str">
        <f>IF(OR(E3802="",E3802="!!!",F3802="NEW"),"",COUNTBLANK(OFFSET(A$1,,,SUMPRODUCT(MAX(ROW(E$2:E3802)*(E3802=E$2:E3802)))))-COUNTBLANK(OFFSET(A$1,,,SUMPRODUCT(MAX(ROW(E$1:E3801)*(E2=E$1:E3801))))))</f>
        <v> </v>
      </c>
      <c r="K3802" s="26" t="str">
        <f>IF(OR(E3802="",E3802="!!!",F3802="NEW"),"",INDEX(J$1:J3801,SUMPRODUCT(MAX(ROW(E$1:E3801)*(E3802=E$1:E3801)))))</f>
        <v> </v>
      </c>
      <c r="L3802" s="27"/>
    </row>
    <row r="3803" spans="1:12">
      <c r="A3803" s="20" t="s">
        <v>1000</v>
      </c>
      <c r="E3803" s="22">
        <f>IF(D3803="?OLD","!!!","")</f>
        <v/>
      </c>
      <c r="F3803" s="23" t="str">
        <f>IF(OR(E3803="",E3803="!!!"),"",IF(NOT(ISNA(VLOOKUP(E3803,E$1:E3802,1,FALSE()))),"OLD",IF(AND(E3803&lt;&gt;"",E3803&lt;&gt;"!!!"),"NEW","")))</f>
        <v> </v>
      </c>
      <c r="G3803" s="24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5" t="str">
        <f>IF(J3803&lt;&gt;1,"",IF(I3803="SBJ","CB","?"))</f>
        <v> </v>
      </c>
      <c r="I3803" s="26" t="str">
        <f>IF(OR(E3803="",E3803="!!!",F3803="NEW"),"",INDEX(B3802:B$2,-1+SUMPRODUCT(MAX(ROW(E3802:E$2)*(E3803=E3802:E$2)))))</f>
        <v> </v>
      </c>
      <c r="J3803" s="26" t="str">
        <f>IF(OR(E3803="",E3803="!!!",F3803="NEW"),"",COUNTBLANK(OFFSET(A$1,,,SUMPRODUCT(MAX(ROW(E$2:E3803)*(E3803=E$2:E3803)))))-COUNTBLANK(OFFSET(A$1,,,SUMPRODUCT(MAX(ROW(E$1:E3802)*(E2=E$1:E3802))))))</f>
        <v> </v>
      </c>
      <c r="K3803" s="26" t="str">
        <f>IF(OR(E3803="",E3803="!!!",F3803="NEW"),"",INDEX(J$1:J3802,SUMPRODUCT(MAX(ROW(E$1:E3802)*(E3803=E$1:E3802)))))</f>
        <v> </v>
      </c>
      <c r="L3803" s="27"/>
    </row>
    <row r="3804" spans="1:12">
      <c r="A3804" s="20" t="s">
        <v>965</v>
      </c>
      <c r="B3804" s="21" t="s">
        <v>1080</v>
      </c>
      <c r="E3804" s="22">
        <f>IF(D3804="?OLD","!!!","")</f>
        <v/>
      </c>
      <c r="F3804" s="23" t="str">
        <f>IF(OR(E3804="",E3804="!!!"),"",IF(NOT(ISNA(VLOOKUP(E3804,E$1:E3803,1,FALSE()))),"OLD",IF(AND(E3804&lt;&gt;"",E3804&lt;&gt;"!!!"),"NEW","")))</f>
        <v> </v>
      </c>
      <c r="G3804" s="24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5" t="str">
        <f>IF(J3804&lt;&gt;1,"",IF(I3804="SBJ","CB","?"))</f>
        <v> </v>
      </c>
      <c r="I3804" s="26" t="str">
        <f>IF(OR(E3804="",E3804="!!!",F3804="NEW"),"",INDEX(B3803:B$2,-1+SUMPRODUCT(MAX(ROW(E3803:E$2)*(E3804=E3803:E$2)))))</f>
        <v> </v>
      </c>
      <c r="J3804" s="26" t="str">
        <f>IF(OR(E3804="",E3804="!!!",F3804="NEW"),"",COUNTBLANK(OFFSET(A$1,,,SUMPRODUCT(MAX(ROW(E$2:E3804)*(E3804=E$2:E3804)))))-COUNTBLANK(OFFSET(A$1,,,SUMPRODUCT(MAX(ROW(E$1:E3803)*(E2=E$1:E3803))))))</f>
        <v> </v>
      </c>
      <c r="K3804" s="26" t="str">
        <f>IF(OR(E3804="",E3804="!!!",F3804="NEW"),"",INDEX(J$1:J3803,SUMPRODUCT(MAX(ROW(E$1:E3803)*(E3804=E$1:E3803)))))</f>
        <v> </v>
      </c>
      <c r="L3804" s="27"/>
    </row>
    <row r="3805" spans="1:12">
      <c r="A3805" s="20" t="s">
        <v>1562</v>
      </c>
      <c r="E3805" s="22">
        <f>IF(D3805="?OLD","!!!","")</f>
        <v/>
      </c>
      <c r="F3805" s="23" t="str">
        <f>IF(OR(E3805="",E3805="!!!"),"",IF(NOT(ISNA(VLOOKUP(E3805,E$1:E3804,1,FALSE()))),"OLD",IF(AND(E3805&lt;&gt;"",E3805&lt;&gt;"!!!"),"NEW","")))</f>
        <v> </v>
      </c>
      <c r="G3805" s="24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5" t="str">
        <f>IF(J3805&lt;&gt;1,"",IF(I3805="SBJ","CB","?"))</f>
        <v> </v>
      </c>
      <c r="I3805" s="26" t="str">
        <f>IF(OR(E3805="",E3805="!!!",F3805="NEW"),"",INDEX(B3804:B$2,-1+SUMPRODUCT(MAX(ROW(E3804:E$2)*(E3805=E3804:E$2)))))</f>
        <v> </v>
      </c>
      <c r="J3805" s="26" t="str">
        <f>IF(OR(E3805="",E3805="!!!",F3805="NEW"),"",COUNTBLANK(OFFSET(A$1,,,SUMPRODUCT(MAX(ROW(E$2:E3805)*(E3805=E$2:E3805)))))-COUNTBLANK(OFFSET(A$1,,,SUMPRODUCT(MAX(ROW(E$1:E3804)*(E2=E$1:E3804))))))</f>
        <v> </v>
      </c>
      <c r="K3805" s="26" t="str">
        <f>IF(OR(E3805="",E3805="!!!",F3805="NEW"),"",INDEX(J$1:J3804,SUMPRODUCT(MAX(ROW(E$1:E3804)*(E3805=E$1:E3804)))))</f>
        <v> </v>
      </c>
      <c r="L3805" s="27"/>
    </row>
    <row r="3806" spans="1:12">
      <c r="A3806" s="20" t="s">
        <v>965</v>
      </c>
      <c r="E3806" s="22">
        <f>IF(D3806="?OLD","!!!","")</f>
        <v/>
      </c>
      <c r="F3806" s="23" t="str">
        <f>IF(OR(E3806="",E3806="!!!"),"",IF(NOT(ISNA(VLOOKUP(E3806,E$1:E3805,1,FALSE()))),"OLD",IF(AND(E3806&lt;&gt;"",E3806&lt;&gt;"!!!"),"NEW","")))</f>
        <v> </v>
      </c>
      <c r="G3806" s="24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5" t="str">
        <f>IF(J3806&lt;&gt;1,"",IF(I3806="SBJ","CB","?"))</f>
        <v> </v>
      </c>
      <c r="I3806" s="26" t="str">
        <f>IF(OR(E3806="",E3806="!!!",F3806="NEW"),"",INDEX(B3805:B$2,-1+SUMPRODUCT(MAX(ROW(E3805:E$2)*(E3806=E3805:E$2)))))</f>
        <v> </v>
      </c>
      <c r="J3806" s="26" t="str">
        <f>IF(OR(E3806="",E3806="!!!",F3806="NEW"),"",COUNTBLANK(OFFSET(A$1,,,SUMPRODUCT(MAX(ROW(E$2:E3806)*(E3806=E$2:E3806)))))-COUNTBLANK(OFFSET(A$1,,,SUMPRODUCT(MAX(ROW(E$1:E3805)*(E2=E$1:E3805))))))</f>
        <v> </v>
      </c>
      <c r="K3806" s="26" t="str">
        <f>IF(OR(E3806="",E3806="!!!",F3806="NEW"),"",INDEX(J$1:J3805,SUMPRODUCT(MAX(ROW(E$1:E3805)*(E3806=E$1:E3805)))))</f>
        <v> </v>
      </c>
      <c r="L3806" s="27"/>
    </row>
    <row r="3807" spans="1:12">
      <c r="A3807" s="20" t="s">
        <v>1117</v>
      </c>
      <c r="E3807" s="22">
        <f>IF(D3807="?OLD","!!!","")</f>
        <v/>
      </c>
      <c r="F3807" s="23" t="str">
        <f>IF(OR(E3807="",E3807="!!!"),"",IF(NOT(ISNA(VLOOKUP(E3807,E$1:E3806,1,FALSE()))),"OLD",IF(AND(E3807&lt;&gt;"",E3807&lt;&gt;"!!!"),"NEW","")))</f>
        <v> </v>
      </c>
      <c r="G3807" s="24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5" t="str">
        <f>IF(J3807&lt;&gt;1,"",IF(I3807="SBJ","CB","?"))</f>
        <v> </v>
      </c>
      <c r="I3807" s="26" t="str">
        <f>IF(OR(E3807="",E3807="!!!",F3807="NEW"),"",INDEX(B3806:B$2,-1+SUMPRODUCT(MAX(ROW(E3806:E$2)*(E3807=E3806:E$2)))))</f>
        <v> </v>
      </c>
      <c r="J3807" s="26" t="str">
        <f>IF(OR(E3807="",E3807="!!!",F3807="NEW"),"",COUNTBLANK(OFFSET(A$1,,,SUMPRODUCT(MAX(ROW(E$2:E3807)*(E3807=E$2:E3807)))))-COUNTBLANK(OFFSET(A$1,,,SUMPRODUCT(MAX(ROW(E$1:E3806)*(E2=E$1:E3806))))))</f>
        <v> </v>
      </c>
      <c r="K3807" s="26" t="str">
        <f>IF(OR(E3807="",E3807="!!!",F3807="NEW"),"",INDEX(J$1:J3806,SUMPRODUCT(MAX(ROW(E$1:E3806)*(E3807=E$1:E3806)))))</f>
        <v> </v>
      </c>
      <c r="L3807" s="27"/>
    </row>
    <row r="3808" spans="1:12">
      <c r="A3808" s="20" t="s">
        <v>1022</v>
      </c>
      <c r="E3808" s="22">
        <f>IF(D3808="?OLD","!!!","")</f>
        <v/>
      </c>
      <c r="F3808" s="23" t="str">
        <f>IF(OR(E3808="",E3808="!!!"),"",IF(NOT(ISNA(VLOOKUP(E3808,E$1:E3807,1,FALSE()))),"OLD",IF(AND(E3808&lt;&gt;"",E3808&lt;&gt;"!!!"),"NEW","")))</f>
        <v> </v>
      </c>
      <c r="G3808" s="24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5" t="str">
        <f>IF(J3808&lt;&gt;1,"",IF(I3808="SBJ","CB","?"))</f>
        <v> </v>
      </c>
      <c r="I3808" s="26" t="str">
        <f>IF(OR(E3808="",E3808="!!!",F3808="NEW"),"",INDEX(B3807:B$2,-1+SUMPRODUCT(MAX(ROW(E3807:E$2)*(E3808=E3807:E$2)))))</f>
        <v> </v>
      </c>
      <c r="J3808" s="26" t="str">
        <f>IF(OR(E3808="",E3808="!!!",F3808="NEW"),"",COUNTBLANK(OFFSET(A$1,,,SUMPRODUCT(MAX(ROW(E$2:E3808)*(E3808=E$2:E3808)))))-COUNTBLANK(OFFSET(A$1,,,SUMPRODUCT(MAX(ROW(E$1:E3807)*(E2=E$1:E3807))))))</f>
        <v> </v>
      </c>
      <c r="K3808" s="26" t="str">
        <f>IF(OR(E3808="",E3808="!!!",F3808="NEW"),"",INDEX(J$1:J3807,SUMPRODUCT(MAX(ROW(E$1:E3807)*(E3808=E$1:E3807)))))</f>
        <v> </v>
      </c>
      <c r="L3808" s="27"/>
    </row>
    <row r="3809" spans="1:12">
      <c r="A3809" s="20" t="s">
        <v>283</v>
      </c>
      <c r="E3809" s="22">
        <f>IF(D3809="?OLD","!!!","")</f>
        <v/>
      </c>
      <c r="F3809" s="23" t="str">
        <f>IF(OR(E3809="",E3809="!!!"),"",IF(NOT(ISNA(VLOOKUP(E3809,E$1:E3808,1,FALSE()))),"OLD",IF(AND(E3809&lt;&gt;"",E3809&lt;&gt;"!!!"),"NEW","")))</f>
        <v> </v>
      </c>
      <c r="G3809" s="24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5" t="str">
        <f>IF(J3809&lt;&gt;1,"",IF(I3809="SBJ","CB","?"))</f>
        <v> </v>
      </c>
      <c r="I3809" s="26" t="str">
        <f>IF(OR(E3809="",E3809="!!!",F3809="NEW"),"",INDEX(B3808:B$2,-1+SUMPRODUCT(MAX(ROW(E3808:E$2)*(E3809=E3808:E$2)))))</f>
        <v> </v>
      </c>
      <c r="J3809" s="26" t="str">
        <f>IF(OR(E3809="",E3809="!!!",F3809="NEW"),"",COUNTBLANK(OFFSET(A$1,,,SUMPRODUCT(MAX(ROW(E$2:E3809)*(E3809=E$2:E3809)))))-COUNTBLANK(OFFSET(A$1,,,SUMPRODUCT(MAX(ROW(E$1:E3808)*(E2=E$1:E3808))))))</f>
        <v> </v>
      </c>
      <c r="K3809" s="26" t="str">
        <f>IF(OR(E3809="",E3809="!!!",F3809="NEW"),"",INDEX(J$1:J3808,SUMPRODUCT(MAX(ROW(E$1:E3808)*(E3809=E$1:E3808)))))</f>
        <v> </v>
      </c>
      <c r="L3809" s="27"/>
    </row>
    <row r="3810" spans="1:12">
      <c r="A3810" s="20" t="s">
        <v>1073</v>
      </c>
      <c r="B3810" s="21" t="s">
        <v>1053</v>
      </c>
      <c r="C3810" s="21" t="s">
        <v>1074</v>
      </c>
      <c r="E3810" s="22">
        <f>IF(D3810="?OLD","!!!","")</f>
        <v/>
      </c>
      <c r="F3810" s="23" t="str">
        <f>IF(OR(E3810="",E3810="!!!"),"",IF(NOT(ISNA(VLOOKUP(E3810,E$1:E3809,1,FALSE()))),"OLD",IF(AND(E3810&lt;&gt;"",E3810&lt;&gt;"!!!"),"NEW","")))</f>
        <v> </v>
      </c>
      <c r="G3810" s="24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5" t="str">
        <f>IF(J3810&lt;&gt;1,"",IF(I3810="SBJ","CB","?"))</f>
        <v> </v>
      </c>
      <c r="I3810" s="26" t="str">
        <f>IF(OR(E3810="",E3810="!!!",F3810="NEW"),"",INDEX(B3809:B$2,-1+SUMPRODUCT(MAX(ROW(E3809:E$2)*(E3810=E3809:E$2)))))</f>
        <v> </v>
      </c>
      <c r="J3810" s="26" t="str">
        <f>IF(OR(E3810="",E3810="!!!",F3810="NEW"),"",COUNTBLANK(OFFSET(A$1,,,SUMPRODUCT(MAX(ROW(E$2:E3810)*(E3810=E$2:E3810)))))-COUNTBLANK(OFFSET(A$1,,,SUMPRODUCT(MAX(ROW(E$1:E3809)*(E2=E$1:E3809))))))</f>
        <v> </v>
      </c>
      <c r="K3810" s="26" t="str">
        <f>IF(OR(E3810="",E3810="!!!",F3810="NEW"),"",INDEX(J$1:J3809,SUMPRODUCT(MAX(ROW(E$1:E3809)*(E3810=E$1:E3809)))))</f>
        <v> </v>
      </c>
      <c r="L3810" s="27"/>
    </row>
    <row r="3811" spans="1:12">
      <c r="A3811" s="20" t="s">
        <v>965</v>
      </c>
      <c r="B3811" s="21" t="s">
        <v>1045</v>
      </c>
      <c r="E3811" s="22">
        <f>IF(D3811="?OLD","!!!","")</f>
        <v/>
      </c>
      <c r="F3811" s="23" t="str">
        <f>IF(OR(E3811="",E3811="!!!"),"",IF(NOT(ISNA(VLOOKUP(E3811,E$1:E3810,1,FALSE()))),"OLD",IF(AND(E3811&lt;&gt;"",E3811&lt;&gt;"!!!"),"NEW","")))</f>
        <v> </v>
      </c>
      <c r="G3811" s="24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5" t="str">
        <f>IF(J3811&lt;&gt;1,"",IF(I3811="SBJ","CB","?"))</f>
        <v> </v>
      </c>
      <c r="I3811" s="26" t="str">
        <f>IF(OR(E3811="",E3811="!!!",F3811="NEW"),"",INDEX(B3810:B$2,-1+SUMPRODUCT(MAX(ROW(E3810:E$2)*(E3811=E3810:E$2)))))</f>
        <v> </v>
      </c>
      <c r="J3811" s="26" t="str">
        <f>IF(OR(E3811="",E3811="!!!",F3811="NEW"),"",COUNTBLANK(OFFSET(A$1,,,SUMPRODUCT(MAX(ROW(E$2:E3811)*(E3811=E$2:E3811)))))-COUNTBLANK(OFFSET(A$1,,,SUMPRODUCT(MAX(ROW(E$1:E3810)*(E2=E$1:E3810))))))</f>
        <v> </v>
      </c>
      <c r="K3811" s="26" t="str">
        <f>IF(OR(E3811="",E3811="!!!",F3811="NEW"),"",INDEX(J$1:J3810,SUMPRODUCT(MAX(ROW(E$1:E3810)*(E3811=E$1:E3810)))))</f>
        <v> </v>
      </c>
      <c r="L3811" s="27"/>
    </row>
    <row r="3812" spans="1:12">
      <c r="A3812" s="20" t="s">
        <v>972</v>
      </c>
      <c r="E3812" s="22">
        <f>IF(D3812="?OLD","!!!","")</f>
        <v/>
      </c>
      <c r="F3812" s="23" t="str">
        <f>IF(OR(E3812="",E3812="!!!"),"",IF(NOT(ISNA(VLOOKUP(E3812,E$1:E3811,1,FALSE()))),"OLD",IF(AND(E3812&lt;&gt;"",E3812&lt;&gt;"!!!"),"NEW","")))</f>
        <v> </v>
      </c>
      <c r="G3812" s="24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5" t="str">
        <f>IF(J3812&lt;&gt;1,"",IF(I3812="SBJ","CB","?"))</f>
        <v> </v>
      </c>
      <c r="I3812" s="26" t="str">
        <f>IF(OR(E3812="",E3812="!!!",F3812="NEW"),"",INDEX(B3811:B$2,-1+SUMPRODUCT(MAX(ROW(E3811:E$2)*(E3812=E3811:E$2)))))</f>
        <v> </v>
      </c>
      <c r="J3812" s="26" t="str">
        <f>IF(OR(E3812="",E3812="!!!",F3812="NEW"),"",COUNTBLANK(OFFSET(A$1,,,SUMPRODUCT(MAX(ROW(E$2:E3812)*(E3812=E$2:E3812)))))-COUNTBLANK(OFFSET(A$1,,,SUMPRODUCT(MAX(ROW(E$1:E3811)*(E2=E$1:E3811))))))</f>
        <v> </v>
      </c>
      <c r="K3812" s="26" t="str">
        <f>IF(OR(E3812="",E3812="!!!",F3812="NEW"),"",INDEX(J$1:J3811,SUMPRODUCT(MAX(ROW(E$1:E3811)*(E3812=E$1:E3811)))))</f>
        <v> </v>
      </c>
      <c r="L3812" s="27"/>
    </row>
    <row r="3813" spans="1:12">
      <c r="A3813" s="20" t="s">
        <v>2029</v>
      </c>
      <c r="E3813" s="22">
        <f>IF(D3813="?OLD","!!!","")</f>
        <v/>
      </c>
      <c r="F3813" s="23" t="str">
        <f>IF(OR(E3813="",E3813="!!!"),"",IF(NOT(ISNA(VLOOKUP(E3813,E$1:E3812,1,FALSE()))),"OLD",IF(AND(E3813&lt;&gt;"",E3813&lt;&gt;"!!!"),"NEW","")))</f>
        <v> </v>
      </c>
      <c r="G3813" s="24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5" t="str">
        <f>IF(J3813&lt;&gt;1,"",IF(I3813="SBJ","CB","?"))</f>
        <v> </v>
      </c>
      <c r="I3813" s="26" t="str">
        <f>IF(OR(E3813="",E3813="!!!",F3813="NEW"),"",INDEX(B3812:B$2,-1+SUMPRODUCT(MAX(ROW(E3812:E$2)*(E3813=E3812:E$2)))))</f>
        <v> </v>
      </c>
      <c r="J3813" s="26" t="str">
        <f>IF(OR(E3813="",E3813="!!!",F3813="NEW"),"",COUNTBLANK(OFFSET(A$1,,,SUMPRODUCT(MAX(ROW(E$2:E3813)*(E3813=E$2:E3813)))))-COUNTBLANK(OFFSET(A$1,,,SUMPRODUCT(MAX(ROW(E$1:E3812)*(E2=E$1:E3812))))))</f>
        <v> </v>
      </c>
      <c r="K3813" s="26" t="str">
        <f>IF(OR(E3813="",E3813="!!!",F3813="NEW"),"",INDEX(J$1:J3812,SUMPRODUCT(MAX(ROW(E$1:E3812)*(E3813=E$1:E3812)))))</f>
        <v> </v>
      </c>
      <c r="L3813" s="27"/>
    </row>
    <row r="3814" spans="1:12">
      <c r="A3814" s="20" t="s">
        <v>1180</v>
      </c>
      <c r="E3814" s="22">
        <f>IF(D3814="?OLD","!!!","")</f>
        <v/>
      </c>
      <c r="F3814" s="23" t="str">
        <f>IF(OR(E3814="",E3814="!!!"),"",IF(NOT(ISNA(VLOOKUP(E3814,E$1:E3813,1,FALSE()))),"OLD",IF(AND(E3814&lt;&gt;"",E3814&lt;&gt;"!!!"),"NEW","")))</f>
        <v> </v>
      </c>
      <c r="G3814" s="24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5" t="str">
        <f>IF(J3814&lt;&gt;1,"",IF(I3814="SBJ","CB","?"))</f>
        <v> </v>
      </c>
      <c r="I3814" s="26" t="str">
        <f>IF(OR(E3814="",E3814="!!!",F3814="NEW"),"",INDEX(B3813:B$2,-1+SUMPRODUCT(MAX(ROW(E3813:E$2)*(E3814=E3813:E$2)))))</f>
        <v> </v>
      </c>
      <c r="J3814" s="26" t="str">
        <f>IF(OR(E3814="",E3814="!!!",F3814="NEW"),"",COUNTBLANK(OFFSET(A$1,,,SUMPRODUCT(MAX(ROW(E$2:E3814)*(E3814=E$2:E3814)))))-COUNTBLANK(OFFSET(A$1,,,SUMPRODUCT(MAX(ROW(E$1:E3813)*(E2=E$1:E3813))))))</f>
        <v> </v>
      </c>
      <c r="K3814" s="26" t="str">
        <f>IF(OR(E3814="",E3814="!!!",F3814="NEW"),"",INDEX(J$1:J3813,SUMPRODUCT(MAX(ROW(E$1:E3813)*(E3814=E$1:E3813)))))</f>
        <v> </v>
      </c>
      <c r="L3814" s="27"/>
    </row>
    <row r="3815" spans="1:12">
      <c r="A3815" s="20" t="s">
        <v>972</v>
      </c>
      <c r="E3815" s="22">
        <f>IF(D3815="?OLD","!!!","")</f>
        <v/>
      </c>
      <c r="F3815" s="23" t="str">
        <f>IF(OR(E3815="",E3815="!!!"),"",IF(NOT(ISNA(VLOOKUP(E3815,E$1:E3814,1,FALSE()))),"OLD",IF(AND(E3815&lt;&gt;"",E3815&lt;&gt;"!!!"),"NEW","")))</f>
        <v> </v>
      </c>
      <c r="G3815" s="24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5" t="str">
        <f>IF(J3815&lt;&gt;1,"",IF(I3815="SBJ","CB","?"))</f>
        <v> </v>
      </c>
      <c r="I3815" s="26" t="str">
        <f>IF(OR(E3815="",E3815="!!!",F3815="NEW"),"",INDEX(B3814:B$2,-1+SUMPRODUCT(MAX(ROW(E3814:E$2)*(E3815=E3814:E$2)))))</f>
        <v> </v>
      </c>
      <c r="J3815" s="26" t="str">
        <f>IF(OR(E3815="",E3815="!!!",F3815="NEW"),"",COUNTBLANK(OFFSET(A$1,,,SUMPRODUCT(MAX(ROW(E$2:E3815)*(E3815=E$2:E3815)))))-COUNTBLANK(OFFSET(A$1,,,SUMPRODUCT(MAX(ROW(E$1:E3814)*(E2=E$1:E3814))))))</f>
        <v> </v>
      </c>
      <c r="K3815" s="26" t="str">
        <f>IF(OR(E3815="",E3815="!!!",F3815="NEW"),"",INDEX(J$1:J3814,SUMPRODUCT(MAX(ROW(E$1:E3814)*(E3815=E$1:E3814)))))</f>
        <v> </v>
      </c>
      <c r="L3815" s="27"/>
    </row>
    <row r="3816" spans="1:12">
      <c r="A3816" s="20" t="s">
        <v>1006</v>
      </c>
      <c r="B3816" s="21" t="s">
        <v>1050</v>
      </c>
      <c r="C3816" s="21" t="s">
        <v>960</v>
      </c>
      <c r="D3816" s="21" t="s">
        <v>950</v>
      </c>
      <c r="E3816" s="22">
        <f>IF(D3816="?OLD","!!!","")</f>
        <v/>
      </c>
      <c r="F3816" s="23" t="str">
        <f>IF(OR(E3816="",E3816="!!!"),"",IF(NOT(ISNA(VLOOKUP(E3816,E$1:E3815,1,FALSE()))),"OLD",IF(AND(E3816&lt;&gt;"",E3816&lt;&gt;"!!!"),"NEW","")))</f>
        <v> </v>
      </c>
      <c r="G3816" s="24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5" t="str">
        <f>IF(J3816&lt;&gt;1,"",IF(I3816="SBJ","CB","?"))</f>
        <v> </v>
      </c>
      <c r="I3816" s="26" t="str">
        <f>IF(OR(E3816="",E3816="!!!",F3816="NEW"),"",INDEX(B3815:B$2,-1+SUMPRODUCT(MAX(ROW(E3815:E$2)*(E3816=E3815:E$2)))))</f>
        <v> </v>
      </c>
      <c r="J3816" s="26" t="str">
        <f>IF(OR(E3816="",E3816="!!!",F3816="NEW"),"",COUNTBLANK(OFFSET(A$1,,,SUMPRODUCT(MAX(ROW(E$2:E3816)*(E3816=E$2:E3816)))))-COUNTBLANK(OFFSET(A$1,,,SUMPRODUCT(MAX(ROW(E$1:E3815)*(E2=E$1:E3815))))))</f>
        <v> </v>
      </c>
      <c r="K3816" s="26" t="str">
        <f>IF(OR(E3816="",E3816="!!!",F3816="NEW"),"",INDEX(J$1:J3815,SUMPRODUCT(MAX(ROW(E$1:E3815)*(E3816=E$1:E3815)))))</f>
        <v> </v>
      </c>
      <c r="L3816" s="27"/>
    </row>
    <row r="3817" spans="1:12">
      <c r="A3817" s="20" t="s">
        <v>1860</v>
      </c>
      <c r="E3817" s="22">
        <f>IF(D3817="?OLD","!!!","")</f>
        <v/>
      </c>
      <c r="F3817" s="23" t="str">
        <f>IF(OR(E3817="",E3817="!!!"),"",IF(NOT(ISNA(VLOOKUP(E3817,E$1:E3816,1,FALSE()))),"OLD",IF(AND(E3817&lt;&gt;"",E3817&lt;&gt;"!!!"),"NEW","")))</f>
        <v> </v>
      </c>
      <c r="G3817" s="24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5" t="str">
        <f>IF(J3817&lt;&gt;1,"",IF(I3817="SBJ","CB","?"))</f>
        <v> </v>
      </c>
      <c r="I3817" s="26" t="str">
        <f>IF(OR(E3817="",E3817="!!!",F3817="NEW"),"",INDEX(B3816:B$2,-1+SUMPRODUCT(MAX(ROW(E3816:E$2)*(E3817=E3816:E$2)))))</f>
        <v> </v>
      </c>
      <c r="J3817" s="26" t="str">
        <f>IF(OR(E3817="",E3817="!!!",F3817="NEW"),"",COUNTBLANK(OFFSET(A$1,,,SUMPRODUCT(MAX(ROW(E$2:E3817)*(E3817=E$2:E3817)))))-COUNTBLANK(OFFSET(A$1,,,SUMPRODUCT(MAX(ROW(E$1:E3816)*(E2=E$1:E3816))))))</f>
        <v> </v>
      </c>
      <c r="K3817" s="26" t="str">
        <f>IF(OR(E3817="",E3817="!!!",F3817="NEW"),"",INDEX(J$1:J3816,SUMPRODUCT(MAX(ROW(E$1:E3816)*(E3817=E$1:E3816)))))</f>
        <v> </v>
      </c>
      <c r="L3817" s="27"/>
    </row>
    <row r="3818" spans="1:12">
      <c r="A3818" s="20" t="s">
        <v>984</v>
      </c>
      <c r="E3818" s="22">
        <f>IF(D3818="?OLD","!!!","")</f>
        <v/>
      </c>
      <c r="F3818" s="23" t="str">
        <f>IF(OR(E3818="",E3818="!!!"),"",IF(NOT(ISNA(VLOOKUP(E3818,E$1:E3817,1,FALSE()))),"OLD",IF(AND(E3818&lt;&gt;"",E3818&lt;&gt;"!!!"),"NEW","")))</f>
        <v> </v>
      </c>
      <c r="G3818" s="24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5" t="str">
        <f>IF(J3818&lt;&gt;1,"",IF(I3818="SBJ","CB","?"))</f>
        <v> </v>
      </c>
      <c r="I3818" s="26" t="str">
        <f>IF(OR(E3818="",E3818="!!!",F3818="NEW"),"",INDEX(B3817:B$2,-1+SUMPRODUCT(MAX(ROW(E3817:E$2)*(E3818=E3817:E$2)))))</f>
        <v> </v>
      </c>
      <c r="J3818" s="26" t="str">
        <f>IF(OR(E3818="",E3818="!!!",F3818="NEW"),"",COUNTBLANK(OFFSET(A$1,,,SUMPRODUCT(MAX(ROW(E$2:E3818)*(E3818=E$2:E3818)))))-COUNTBLANK(OFFSET(A$1,,,SUMPRODUCT(MAX(ROW(E$1:E3817)*(E2=E$1:E3817))))))</f>
        <v> </v>
      </c>
      <c r="K3818" s="26" t="str">
        <f>IF(OR(E3818="",E3818="!!!",F3818="NEW"),"",INDEX(J$1:J3817,SUMPRODUCT(MAX(ROW(E$1:E3817)*(E3818=E$1:E3817)))))</f>
        <v> </v>
      </c>
      <c r="L3818" s="27"/>
    </row>
    <row r="3819" spans="1:12">
      <c r="A3819" s="20"/>
    </row>
    <row r="3820" spans="1:12">
      <c r="A3820" s="20" t="s">
        <v>2030</v>
      </c>
    </row>
    <row r="3821" spans="1:12">
      <c r="A3821" s="20" t="s">
        <v>1092</v>
      </c>
      <c r="E3821" s="22">
        <f>IF(D3821="?OLD","!!!","")</f>
        <v/>
      </c>
      <c r="F3821" s="23" t="str">
        <f>IF(OR(E3821="",E3821="!!!"),"",IF(NOT(ISNA(VLOOKUP(E3821,E$1:E3820,1,FALSE()))),"OLD",IF(AND(E3821&lt;&gt;"",E3821&lt;&gt;"!!!"),"NEW","")))</f>
        <v> </v>
      </c>
      <c r="G3821" s="24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5" t="str">
        <f>IF(J3821&lt;&gt;1,"",IF(I3821="SBJ","CB","?"))</f>
        <v> </v>
      </c>
      <c r="I3821" s="26" t="str">
        <f>IF(OR(E3821="",E3821="!!!",F3821="NEW"),"",INDEX(B3820:B$2,-1+SUMPRODUCT(MAX(ROW(E3820:E$2)*(E3821=E3820:E$2)))))</f>
        <v> </v>
      </c>
      <c r="J3821" s="26" t="str">
        <f>IF(OR(E3821="",E3821="!!!",F3821="NEW"),"",COUNTBLANK(OFFSET(A$1,,,SUMPRODUCT(MAX(ROW(E$2:E3821)*(E3821=E$2:E3821)))))-COUNTBLANK(OFFSET(A$1,,,SUMPRODUCT(MAX(ROW(E$1:E3820)*(E2=E$1:E3820))))))</f>
        <v> </v>
      </c>
      <c r="K3821" s="26" t="str">
        <f>IF(OR(E3821="",E3821="!!!",F3821="NEW"),"",INDEX(J$1:J3820,SUMPRODUCT(MAX(ROW(E$1:E3820)*(E3821=E$1:E3820)))))</f>
        <v> </v>
      </c>
      <c r="L3821" s="27"/>
    </row>
    <row r="3822" spans="1:12">
      <c r="A3822" s="20" t="s">
        <v>1000</v>
      </c>
      <c r="E3822" s="22">
        <f>IF(D3822="?OLD","!!!","")</f>
        <v/>
      </c>
      <c r="F3822" s="23" t="str">
        <f>IF(OR(E3822="",E3822="!!!"),"",IF(NOT(ISNA(VLOOKUP(E3822,E$1:E3821,1,FALSE()))),"OLD",IF(AND(E3822&lt;&gt;"",E3822&lt;&gt;"!!!"),"NEW","")))</f>
        <v> </v>
      </c>
      <c r="G3822" s="24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5" t="str">
        <f>IF(J3822&lt;&gt;1,"",IF(I3822="SBJ","CB","?"))</f>
        <v> </v>
      </c>
      <c r="I3822" s="26" t="str">
        <f>IF(OR(E3822="",E3822="!!!",F3822="NEW"),"",INDEX(B3821:B$2,-1+SUMPRODUCT(MAX(ROW(E3821:E$2)*(E3822=E3821:E$2)))))</f>
        <v> </v>
      </c>
      <c r="J3822" s="26" t="str">
        <f>IF(OR(E3822="",E3822="!!!",F3822="NEW"),"",COUNTBLANK(OFFSET(A$1,,,SUMPRODUCT(MAX(ROW(E$2:E3822)*(E3822=E$2:E3822)))))-COUNTBLANK(OFFSET(A$1,,,SUMPRODUCT(MAX(ROW(E$1:E3821)*(E2=E$1:E3821))))))</f>
        <v> </v>
      </c>
      <c r="K3822" s="26" t="str">
        <f>IF(OR(E3822="",E3822="!!!",F3822="NEW"),"",INDEX(J$1:J3821,SUMPRODUCT(MAX(ROW(E$1:E3821)*(E3822=E$1:E3821)))))</f>
        <v> </v>
      </c>
      <c r="L3822" s="27"/>
    </row>
    <row r="3823" spans="1:12">
      <c r="A3823" s="20" t="s">
        <v>1763</v>
      </c>
      <c r="E3823" s="22">
        <f>IF(D3823="?OLD","!!!","")</f>
        <v/>
      </c>
      <c r="F3823" s="23" t="str">
        <f>IF(OR(E3823="",E3823="!!!"),"",IF(NOT(ISNA(VLOOKUP(E3823,E$1:E3822,1,FALSE()))),"OLD",IF(AND(E3823&lt;&gt;"",E3823&lt;&gt;"!!!"),"NEW","")))</f>
        <v> </v>
      </c>
      <c r="G3823" s="24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5" t="str">
        <f>IF(J3823&lt;&gt;1,"",IF(I3823="SBJ","CB","?"))</f>
        <v> </v>
      </c>
      <c r="I3823" s="26" t="str">
        <f>IF(OR(E3823="",E3823="!!!",F3823="NEW"),"",INDEX(B3822:B$2,-1+SUMPRODUCT(MAX(ROW(E3822:E$2)*(E3823=E3822:E$2)))))</f>
        <v> </v>
      </c>
      <c r="J3823" s="26" t="str">
        <f>IF(OR(E3823="",E3823="!!!",F3823="NEW"),"",COUNTBLANK(OFFSET(A$1,,,SUMPRODUCT(MAX(ROW(E$2:E3823)*(E3823=E$2:E3823)))))-COUNTBLANK(OFFSET(A$1,,,SUMPRODUCT(MAX(ROW(E$1:E3822)*(E2=E$1:E3822))))))</f>
        <v> </v>
      </c>
      <c r="K3823" s="26" t="str">
        <f>IF(OR(E3823="",E3823="!!!",F3823="NEW"),"",INDEX(J$1:J3822,SUMPRODUCT(MAX(ROW(E$1:E3822)*(E3823=E$1:E3822)))))</f>
        <v> </v>
      </c>
      <c r="L3823" s="27"/>
    </row>
    <row r="3824" spans="1:12">
      <c r="A3824" s="20" t="s">
        <v>998</v>
      </c>
      <c r="E3824" s="22">
        <f>IF(D3824="?OLD","!!!","")</f>
        <v/>
      </c>
      <c r="F3824" s="23" t="str">
        <f>IF(OR(E3824="",E3824="!!!"),"",IF(NOT(ISNA(VLOOKUP(E3824,E$1:E3823,1,FALSE()))),"OLD",IF(AND(E3824&lt;&gt;"",E3824&lt;&gt;"!!!"),"NEW","")))</f>
        <v> </v>
      </c>
      <c r="G3824" s="24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5" t="str">
        <f>IF(J3824&lt;&gt;1,"",IF(I3824="SBJ","CB","?"))</f>
        <v> </v>
      </c>
      <c r="I3824" s="26" t="str">
        <f>IF(OR(E3824="",E3824="!!!",F3824="NEW"),"",INDEX(B3823:B$2,-1+SUMPRODUCT(MAX(ROW(E3823:E$2)*(E3824=E3823:E$2)))))</f>
        <v> </v>
      </c>
      <c r="J3824" s="26" t="str">
        <f>IF(OR(E3824="",E3824="!!!",F3824="NEW"),"",COUNTBLANK(OFFSET(A$1,,,SUMPRODUCT(MAX(ROW(E$2:E3824)*(E3824=E$2:E3824)))))-COUNTBLANK(OFFSET(A$1,,,SUMPRODUCT(MAX(ROW(E$1:E3823)*(E2=E$1:E3823))))))</f>
        <v> </v>
      </c>
      <c r="K3824" s="26" t="str">
        <f>IF(OR(E3824="",E3824="!!!",F3824="NEW"),"",INDEX(J$1:J3823,SUMPRODUCT(MAX(ROW(E$1:E3823)*(E3824=E$1:E3823)))))</f>
        <v> </v>
      </c>
      <c r="L3824" s="27"/>
    </row>
    <row r="3825" spans="1:12">
      <c r="A3825" s="20" t="s">
        <v>1232</v>
      </c>
      <c r="B3825" s="21" t="s">
        <v>948</v>
      </c>
      <c r="C3825" s="21" t="s">
        <v>976</v>
      </c>
      <c r="D3825" s="21" t="s">
        <v>950</v>
      </c>
      <c r="E3825" s="22">
        <f>IF(D3825="?OLD","!!!","")</f>
        <v/>
      </c>
      <c r="F3825" s="23" t="str">
        <f>IF(OR(E3825="",E3825="!!!"),"",IF(NOT(ISNA(VLOOKUP(E3825,E$1:E3824,1,FALSE()))),"OLD",IF(AND(E3825&lt;&gt;"",E3825&lt;&gt;"!!!"),"NEW","")))</f>
        <v> </v>
      </c>
      <c r="G3825" s="24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5" t="str">
        <f>IF(J3825&lt;&gt;1,"",IF(I3825="SBJ","CB","?"))</f>
        <v> </v>
      </c>
      <c r="I3825" s="26" t="str">
        <f>IF(OR(E3825="",E3825="!!!",F3825="NEW"),"",INDEX(B3824:B$2,-1+SUMPRODUCT(MAX(ROW(E3824:E$2)*(E3825=E3824:E$2)))))</f>
        <v> </v>
      </c>
      <c r="J3825" s="26" t="str">
        <f>IF(OR(E3825="",E3825="!!!",F3825="NEW"),"",COUNTBLANK(OFFSET(A$1,,,SUMPRODUCT(MAX(ROW(E$2:E3825)*(E3825=E$2:E3825)))))-COUNTBLANK(OFFSET(A$1,,,SUMPRODUCT(MAX(ROW(E$1:E3824)*(E2=E$1:E3824))))))</f>
        <v> </v>
      </c>
      <c r="K3825" s="26" t="str">
        <f>IF(OR(E3825="",E3825="!!!",F3825="NEW"),"",INDEX(J$1:J3824,SUMPRODUCT(MAX(ROW(E$1:E3824)*(E3825=E$1:E3824)))))</f>
        <v> </v>
      </c>
      <c r="L3825" s="27"/>
    </row>
    <row r="3826" spans="1:12">
      <c r="A3826" s="20" t="s">
        <v>977</v>
      </c>
      <c r="E3826" s="22">
        <f>IF(D3826="?OLD","!!!","")</f>
        <v/>
      </c>
      <c r="F3826" s="23" t="str">
        <f>IF(OR(E3826="",E3826="!!!"),"",IF(NOT(ISNA(VLOOKUP(E3826,E$1:E3825,1,FALSE()))),"OLD",IF(AND(E3826&lt;&gt;"",E3826&lt;&gt;"!!!"),"NEW","")))</f>
        <v> </v>
      </c>
      <c r="G3826" s="24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5" t="str">
        <f>IF(J3826&lt;&gt;1,"",IF(I3826="SBJ","CB","?"))</f>
        <v> </v>
      </c>
      <c r="I3826" s="26" t="str">
        <f>IF(OR(E3826="",E3826="!!!",F3826="NEW"),"",INDEX(B3825:B$2,-1+SUMPRODUCT(MAX(ROW(E3825:E$2)*(E3826=E3825:E$2)))))</f>
        <v> </v>
      </c>
      <c r="J3826" s="26" t="str">
        <f>IF(OR(E3826="",E3826="!!!",F3826="NEW"),"",COUNTBLANK(OFFSET(A$1,,,SUMPRODUCT(MAX(ROW(E$2:E3826)*(E3826=E$2:E3826)))))-COUNTBLANK(OFFSET(A$1,,,SUMPRODUCT(MAX(ROW(E$1:E3825)*(E2=E$1:E3825))))))</f>
        <v> </v>
      </c>
      <c r="K3826" s="26" t="str">
        <f>IF(OR(E3826="",E3826="!!!",F3826="NEW"),"",INDEX(J$1:J3825,SUMPRODUCT(MAX(ROW(E$1:E3825)*(E3826=E$1:E3825)))))</f>
        <v> </v>
      </c>
      <c r="L3826" s="27"/>
    </row>
    <row r="3827" spans="1:12">
      <c r="A3827" s="20" t="s">
        <v>1299</v>
      </c>
      <c r="E3827" s="22">
        <f>IF(D3827="?OLD","!!!","")</f>
        <v/>
      </c>
      <c r="F3827" s="23" t="str">
        <f>IF(OR(E3827="",E3827="!!!"),"",IF(NOT(ISNA(VLOOKUP(E3827,E$1:E3826,1,FALSE()))),"OLD",IF(AND(E3827&lt;&gt;"",E3827&lt;&gt;"!!!"),"NEW","")))</f>
        <v> </v>
      </c>
      <c r="G3827" s="24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5" t="str">
        <f>IF(J3827&lt;&gt;1,"",IF(I3827="SBJ","CB","?"))</f>
        <v> </v>
      </c>
      <c r="I3827" s="26" t="str">
        <f>IF(OR(E3827="",E3827="!!!",F3827="NEW"),"",INDEX(B3826:B$2,-1+SUMPRODUCT(MAX(ROW(E3826:E$2)*(E3827=E3826:E$2)))))</f>
        <v> </v>
      </c>
      <c r="J3827" s="26" t="str">
        <f>IF(OR(E3827="",E3827="!!!",F3827="NEW"),"",COUNTBLANK(OFFSET(A$1,,,SUMPRODUCT(MAX(ROW(E$2:E3827)*(E3827=E$2:E3827)))))-COUNTBLANK(OFFSET(A$1,,,SUMPRODUCT(MAX(ROW(E$1:E3826)*(E2=E$1:E3826))))))</f>
        <v> </v>
      </c>
      <c r="K3827" s="26" t="str">
        <f>IF(OR(E3827="",E3827="!!!",F3827="NEW"),"",INDEX(J$1:J3826,SUMPRODUCT(MAX(ROW(E$1:E3826)*(E3827=E$1:E3826)))))</f>
        <v> </v>
      </c>
      <c r="L3827" s="27"/>
    </row>
    <row r="3828" spans="1:12">
      <c r="A3828" s="20" t="s">
        <v>2031</v>
      </c>
      <c r="B3828" s="21" t="s">
        <v>948</v>
      </c>
      <c r="C3828" s="21" t="s">
        <v>1044</v>
      </c>
      <c r="D3828" s="21" t="s">
        <v>950</v>
      </c>
      <c r="E3828" s="22">
        <f>IF(D3828="?OLD","!!!","")</f>
        <v/>
      </c>
      <c r="F3828" s="23" t="str">
        <f>IF(OR(E3828="",E3828="!!!"),"",IF(NOT(ISNA(VLOOKUP(E3828,E$1:E3827,1,FALSE()))),"OLD",IF(AND(E3828&lt;&gt;"",E3828&lt;&gt;"!!!"),"NEW","")))</f>
        <v> </v>
      </c>
      <c r="G3828" s="24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5" t="str">
        <f>IF(J3828&lt;&gt;1,"",IF(I3828="SBJ","CB","?"))</f>
        <v> </v>
      </c>
      <c r="I3828" s="26" t="str">
        <f>IF(OR(E3828="",E3828="!!!",F3828="NEW"),"",INDEX(B3827:B$2,-1+SUMPRODUCT(MAX(ROW(E3827:E$2)*(E3828=E3827:E$2)))))</f>
        <v> </v>
      </c>
      <c r="J3828" s="26" t="str">
        <f>IF(OR(E3828="",E3828="!!!",F3828="NEW"),"",COUNTBLANK(OFFSET(A$1,,,SUMPRODUCT(MAX(ROW(E$2:E3828)*(E3828=E$2:E3828)))))-COUNTBLANK(OFFSET(A$1,,,SUMPRODUCT(MAX(ROW(E$1:E3827)*(E2=E$1:E3827))))))</f>
        <v> </v>
      </c>
      <c r="K3828" s="26" t="str">
        <f>IF(OR(E3828="",E3828="!!!",F3828="NEW"),"",INDEX(J$1:J3827,SUMPRODUCT(MAX(ROW(E$1:E3827)*(E3828=E$1:E3827)))))</f>
        <v> </v>
      </c>
      <c r="L3828" s="27"/>
    </row>
    <row r="3829" spans="1:12">
      <c r="A3829" s="20" t="s">
        <v>1000</v>
      </c>
      <c r="E3829" s="22">
        <f>IF(D3829="?OLD","!!!","")</f>
        <v/>
      </c>
      <c r="F3829" s="23" t="str">
        <f>IF(OR(E3829="",E3829="!!!"),"",IF(NOT(ISNA(VLOOKUP(E3829,E$1:E3828,1,FALSE()))),"OLD",IF(AND(E3829&lt;&gt;"",E3829&lt;&gt;"!!!"),"NEW","")))</f>
        <v> </v>
      </c>
      <c r="G3829" s="24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5" t="str">
        <f>IF(J3829&lt;&gt;1,"",IF(I3829="SBJ","CB","?"))</f>
        <v> </v>
      </c>
      <c r="I3829" s="26" t="str">
        <f>IF(OR(E3829="",E3829="!!!",F3829="NEW"),"",INDEX(B3828:B$2,-1+SUMPRODUCT(MAX(ROW(E3828:E$2)*(E3829=E3828:E$2)))))</f>
        <v> </v>
      </c>
      <c r="J3829" s="26" t="str">
        <f>IF(OR(E3829="",E3829="!!!",F3829="NEW"),"",COUNTBLANK(OFFSET(A$1,,,SUMPRODUCT(MAX(ROW(E$2:E3829)*(E3829=E$2:E3829)))))-COUNTBLANK(OFFSET(A$1,,,SUMPRODUCT(MAX(ROW(E$1:E3828)*(E2=E$1:E3828))))))</f>
        <v> </v>
      </c>
      <c r="K3829" s="26" t="str">
        <f>IF(OR(E3829="",E3829="!!!",F3829="NEW"),"",INDEX(J$1:J3828,SUMPRODUCT(MAX(ROW(E$1:E3828)*(E3829=E$1:E3828)))))</f>
        <v> </v>
      </c>
      <c r="L3829" s="27"/>
    </row>
    <row r="3830" spans="1:12">
      <c r="A3830" s="20" t="s">
        <v>1575</v>
      </c>
      <c r="E3830" s="22">
        <f>IF(D3830="?OLD","!!!","")</f>
        <v/>
      </c>
      <c r="F3830" s="23" t="str">
        <f>IF(OR(E3830="",E3830="!!!"),"",IF(NOT(ISNA(VLOOKUP(E3830,E$1:E3829,1,FALSE()))),"OLD",IF(AND(E3830&lt;&gt;"",E3830&lt;&gt;"!!!"),"NEW","")))</f>
        <v> </v>
      </c>
      <c r="G3830" s="24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5" t="str">
        <f>IF(J3830&lt;&gt;1,"",IF(I3830="SBJ","CB","?"))</f>
        <v> </v>
      </c>
      <c r="I3830" s="26" t="str">
        <f>IF(OR(E3830="",E3830="!!!",F3830="NEW"),"",INDEX(B3829:B$2,-1+SUMPRODUCT(MAX(ROW(E3829:E$2)*(E3830=E3829:E$2)))))</f>
        <v> </v>
      </c>
      <c r="J3830" s="26" t="str">
        <f>IF(OR(E3830="",E3830="!!!",F3830="NEW"),"",COUNTBLANK(OFFSET(A$1,,,SUMPRODUCT(MAX(ROW(E$2:E3830)*(E3830=E$2:E3830)))))-COUNTBLANK(OFFSET(A$1,,,SUMPRODUCT(MAX(ROW(E$1:E3829)*(E2=E$1:E3829))))))</f>
        <v> </v>
      </c>
      <c r="K3830" s="26" t="str">
        <f>IF(OR(E3830="",E3830="!!!",F3830="NEW"),"",INDEX(J$1:J3829,SUMPRODUCT(MAX(ROW(E$1:E3829)*(E3830=E$1:E3829)))))</f>
        <v> </v>
      </c>
      <c r="L3830" s="27"/>
    </row>
    <row r="3831" spans="1:12">
      <c r="A3831" s="20" t="s">
        <v>1006</v>
      </c>
      <c r="E3831" s="22">
        <f>IF(D3831="?OLD","!!!","")</f>
        <v/>
      </c>
      <c r="F3831" s="23" t="str">
        <f>IF(OR(E3831="",E3831="!!!"),"",IF(NOT(ISNA(VLOOKUP(E3831,E$1:E3830,1,FALSE()))),"OLD",IF(AND(E3831&lt;&gt;"",E3831&lt;&gt;"!!!"),"NEW","")))</f>
        <v> </v>
      </c>
      <c r="G3831" s="24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5" t="str">
        <f>IF(J3831&lt;&gt;1,"",IF(I3831="SBJ","CB","?"))</f>
        <v> </v>
      </c>
      <c r="I3831" s="26" t="str">
        <f>IF(OR(E3831="",E3831="!!!",F3831="NEW"),"",INDEX(B3830:B$2,-1+SUMPRODUCT(MAX(ROW(E3830:E$2)*(E3831=E3830:E$2)))))</f>
        <v> </v>
      </c>
      <c r="J3831" s="26" t="str">
        <f>IF(OR(E3831="",E3831="!!!",F3831="NEW"),"",COUNTBLANK(OFFSET(A$1,,,SUMPRODUCT(MAX(ROW(E$2:E3831)*(E3831=E$2:E3831)))))-COUNTBLANK(OFFSET(A$1,,,SUMPRODUCT(MAX(ROW(E$1:E3830)*(E2=E$1:E3830))))))</f>
        <v> </v>
      </c>
      <c r="K3831" s="26" t="str">
        <f>IF(OR(E3831="",E3831="!!!",F3831="NEW"),"",INDEX(J$1:J3830,SUMPRODUCT(MAX(ROW(E$1:E3830)*(E3831=E$1:E3830)))))</f>
        <v> </v>
      </c>
      <c r="L3831" s="27"/>
    </row>
    <row r="3832" spans="1:12">
      <c r="A3832" s="20" t="s">
        <v>2032</v>
      </c>
      <c r="B3832" s="21" t="s">
        <v>1031</v>
      </c>
      <c r="C3832" s="21" t="s">
        <v>1032</v>
      </c>
      <c r="D3832" s="21" t="s">
        <v>950</v>
      </c>
      <c r="E3832" s="22">
        <f>IF(D3832="?OLD","!!!","")</f>
        <v/>
      </c>
      <c r="F3832" s="23" t="str">
        <f>IF(OR(E3832="",E3832="!!!"),"",IF(NOT(ISNA(VLOOKUP(E3832,E$1:E3831,1,FALSE()))),"OLD",IF(AND(E3832&lt;&gt;"",E3832&lt;&gt;"!!!"),"NEW","")))</f>
        <v> </v>
      </c>
      <c r="G3832" s="24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5" t="str">
        <f>IF(J3832&lt;&gt;1,"",IF(I3832="SBJ","CB","?"))</f>
        <v> </v>
      </c>
      <c r="I3832" s="26" t="str">
        <f>IF(OR(E3832="",E3832="!!!",F3832="NEW"),"",INDEX(B3831:B$2,-1+SUMPRODUCT(MAX(ROW(E3831:E$2)*(E3832=E3831:E$2)))))</f>
        <v> </v>
      </c>
      <c r="J3832" s="26" t="str">
        <f>IF(OR(E3832="",E3832="!!!",F3832="NEW"),"",COUNTBLANK(OFFSET(A$1,,,SUMPRODUCT(MAX(ROW(E$2:E3832)*(E3832=E$2:E3832)))))-COUNTBLANK(OFFSET(A$1,,,SUMPRODUCT(MAX(ROW(E$1:E3831)*(E2=E$1:E3831))))))</f>
        <v> </v>
      </c>
      <c r="K3832" s="26" t="str">
        <f>IF(OR(E3832="",E3832="!!!",F3832="NEW"),"",INDEX(J$1:J3831,SUMPRODUCT(MAX(ROW(E$1:E3831)*(E3832=E$1:E3831)))))</f>
        <v> </v>
      </c>
      <c r="L3832" s="27"/>
    </row>
    <row r="3833" spans="1:12">
      <c r="A3833" s="20" t="s">
        <v>965</v>
      </c>
      <c r="B3833" s="21" t="s">
        <v>1082</v>
      </c>
      <c r="E3833" s="22">
        <f>IF(D3833="?OLD","!!!","")</f>
        <v/>
      </c>
      <c r="F3833" s="23" t="str">
        <f>IF(OR(E3833="",E3833="!!!"),"",IF(NOT(ISNA(VLOOKUP(E3833,E$1:E3832,1,FALSE()))),"OLD",IF(AND(E3833&lt;&gt;"",E3833&lt;&gt;"!!!"),"NEW","")))</f>
        <v> </v>
      </c>
      <c r="G3833" s="24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5" t="str">
        <f>IF(J3833&lt;&gt;1,"",IF(I3833="SBJ","CB","?"))</f>
        <v> </v>
      </c>
      <c r="I3833" s="26" t="str">
        <f>IF(OR(E3833="",E3833="!!!",F3833="NEW"),"",INDEX(B3832:B$2,-1+SUMPRODUCT(MAX(ROW(E3832:E$2)*(E3833=E3832:E$2)))))</f>
        <v> </v>
      </c>
      <c r="J3833" s="26" t="str">
        <f>IF(OR(E3833="",E3833="!!!",F3833="NEW"),"",COUNTBLANK(OFFSET(A$1,,,SUMPRODUCT(MAX(ROW(E$2:E3833)*(E3833=E$2:E3833)))))-COUNTBLANK(OFFSET(A$1,,,SUMPRODUCT(MAX(ROW(E$1:E3832)*(E2=E$1:E3832))))))</f>
        <v> </v>
      </c>
      <c r="K3833" s="26" t="str">
        <f>IF(OR(E3833="",E3833="!!!",F3833="NEW"),"",INDEX(J$1:J3832,SUMPRODUCT(MAX(ROW(E$1:E3832)*(E3833=E$1:E3832)))))</f>
        <v> </v>
      </c>
      <c r="L3833" s="27"/>
    </row>
    <row r="3834" spans="1:12">
      <c r="A3834" s="20" t="s">
        <v>2033</v>
      </c>
      <c r="E3834" s="22">
        <f>IF(D3834="?OLD","!!!","")</f>
        <v/>
      </c>
      <c r="F3834" s="23" t="str">
        <f>IF(OR(E3834="",E3834="!!!"),"",IF(NOT(ISNA(VLOOKUP(E3834,E$1:E3833,1,FALSE()))),"OLD",IF(AND(E3834&lt;&gt;"",E3834&lt;&gt;"!!!"),"NEW","")))</f>
        <v> </v>
      </c>
      <c r="G3834" s="24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5" t="str">
        <f>IF(J3834&lt;&gt;1,"",IF(I3834="SBJ","CB","?"))</f>
        <v> </v>
      </c>
      <c r="I3834" s="26" t="str">
        <f>IF(OR(E3834="",E3834="!!!",F3834="NEW"),"",INDEX(B3833:B$2,-1+SUMPRODUCT(MAX(ROW(E3833:E$2)*(E3834=E3833:E$2)))))</f>
        <v> </v>
      </c>
      <c r="J3834" s="26" t="str">
        <f>IF(OR(E3834="",E3834="!!!",F3834="NEW"),"",COUNTBLANK(OFFSET(A$1,,,SUMPRODUCT(MAX(ROW(E$2:E3834)*(E3834=E$2:E3834)))))-COUNTBLANK(OFFSET(A$1,,,SUMPRODUCT(MAX(ROW(E$1:E3833)*(E2=E$1:E3833))))))</f>
        <v> </v>
      </c>
      <c r="K3834" s="26" t="str">
        <f>IF(OR(E3834="",E3834="!!!",F3834="NEW"),"",INDEX(J$1:J3833,SUMPRODUCT(MAX(ROW(E$1:E3833)*(E3834=E$1:E3833)))))</f>
        <v> </v>
      </c>
      <c r="L3834" s="27"/>
    </row>
    <row r="3835" spans="1:12">
      <c r="A3835" s="20" t="s">
        <v>1000</v>
      </c>
      <c r="E3835" s="22">
        <f>IF(D3835="?OLD","!!!","")</f>
        <v/>
      </c>
      <c r="F3835" s="23" t="str">
        <f>IF(OR(E3835="",E3835="!!!"),"",IF(NOT(ISNA(VLOOKUP(E3835,E$1:E3834,1,FALSE()))),"OLD",IF(AND(E3835&lt;&gt;"",E3835&lt;&gt;"!!!"),"NEW","")))</f>
        <v> </v>
      </c>
      <c r="G3835" s="24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5" t="str">
        <f>IF(J3835&lt;&gt;1,"",IF(I3835="SBJ","CB","?"))</f>
        <v> </v>
      </c>
      <c r="I3835" s="26" t="str">
        <f>IF(OR(E3835="",E3835="!!!",F3835="NEW"),"",INDEX(B3834:B$2,-1+SUMPRODUCT(MAX(ROW(E3834:E$2)*(E3835=E3834:E$2)))))</f>
        <v> </v>
      </c>
      <c r="J3835" s="26" t="str">
        <f>IF(OR(E3835="",E3835="!!!",F3835="NEW"),"",COUNTBLANK(OFFSET(A$1,,,SUMPRODUCT(MAX(ROW(E$2:E3835)*(E3835=E$2:E3835)))))-COUNTBLANK(OFFSET(A$1,,,SUMPRODUCT(MAX(ROW(E$1:E3834)*(E2=E$1:E3834))))))</f>
        <v> </v>
      </c>
      <c r="K3835" s="26" t="str">
        <f>IF(OR(E3835="",E3835="!!!",F3835="NEW"),"",INDEX(J$1:J3834,SUMPRODUCT(MAX(ROW(E$1:E3834)*(E3835=E$1:E3834)))))</f>
        <v> </v>
      </c>
      <c r="L3835" s="27"/>
    </row>
    <row r="3836" spans="1:12">
      <c r="A3836" s="20" t="s">
        <v>1001</v>
      </c>
      <c r="E3836" s="22">
        <f>IF(D3836="?OLD","!!!","")</f>
        <v/>
      </c>
      <c r="F3836" s="23" t="str">
        <f>IF(OR(E3836="",E3836="!!!"),"",IF(NOT(ISNA(VLOOKUP(E3836,E$1:E3835,1,FALSE()))),"OLD",IF(AND(E3836&lt;&gt;"",E3836&lt;&gt;"!!!"),"NEW","")))</f>
        <v> </v>
      </c>
      <c r="G3836" s="24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5" t="str">
        <f>IF(J3836&lt;&gt;1,"",IF(I3836="SBJ","CB","?"))</f>
        <v> </v>
      </c>
      <c r="I3836" s="26" t="str">
        <f>IF(OR(E3836="",E3836="!!!",F3836="NEW"),"",INDEX(B3835:B$2,-1+SUMPRODUCT(MAX(ROW(E3835:E$2)*(E3836=E3835:E$2)))))</f>
        <v> </v>
      </c>
      <c r="J3836" s="26" t="str">
        <f>IF(OR(E3836="",E3836="!!!",F3836="NEW"),"",COUNTBLANK(OFFSET(A$1,,,SUMPRODUCT(MAX(ROW(E$2:E3836)*(E3836=E$2:E3836)))))-COUNTBLANK(OFFSET(A$1,,,SUMPRODUCT(MAX(ROW(E$1:E3835)*(E2=E$1:E3835))))))</f>
        <v> </v>
      </c>
      <c r="K3836" s="26" t="str">
        <f>IF(OR(E3836="",E3836="!!!",F3836="NEW"),"",INDEX(J$1:J3835,SUMPRODUCT(MAX(ROW(E$1:E3835)*(E3836=E$1:E3835)))))</f>
        <v> </v>
      </c>
      <c r="L3836" s="27"/>
    </row>
    <row r="3837" spans="1:12">
      <c r="A3837" s="20" t="s">
        <v>1277</v>
      </c>
      <c r="E3837" s="22">
        <f>IF(D3837="?OLD","!!!","")</f>
        <v/>
      </c>
      <c r="F3837" s="23" t="str">
        <f>IF(OR(E3837="",E3837="!!!"),"",IF(NOT(ISNA(VLOOKUP(E3837,E$1:E3836,1,FALSE()))),"OLD",IF(AND(E3837&lt;&gt;"",E3837&lt;&gt;"!!!"),"NEW","")))</f>
        <v> </v>
      </c>
      <c r="G3837" s="24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5" t="str">
        <f>IF(J3837&lt;&gt;1,"",IF(I3837="SBJ","CB","?"))</f>
        <v> </v>
      </c>
      <c r="I3837" s="26" t="str">
        <f>IF(OR(E3837="",E3837="!!!",F3837="NEW"),"",INDEX(B3836:B$2,-1+SUMPRODUCT(MAX(ROW(E3836:E$2)*(E3837=E3836:E$2)))))</f>
        <v> </v>
      </c>
      <c r="J3837" s="26" t="str">
        <f>IF(OR(E3837="",E3837="!!!",F3837="NEW"),"",COUNTBLANK(OFFSET(A$1,,,SUMPRODUCT(MAX(ROW(E$2:E3837)*(E3837=E$2:E3837)))))-COUNTBLANK(OFFSET(A$1,,,SUMPRODUCT(MAX(ROW(E$1:E3836)*(E2=E$1:E3836))))))</f>
        <v> </v>
      </c>
      <c r="K3837" s="26" t="str">
        <f>IF(OR(E3837="",E3837="!!!",F3837="NEW"),"",INDEX(J$1:J3836,SUMPRODUCT(MAX(ROW(E$1:E3836)*(E3837=E$1:E3836)))))</f>
        <v> </v>
      </c>
      <c r="L3837" s="27"/>
    </row>
    <row r="3838" spans="1:12">
      <c r="A3838" s="20" t="s">
        <v>1180</v>
      </c>
      <c r="E3838" s="22">
        <f>IF(D3838="?OLD","!!!","")</f>
        <v/>
      </c>
      <c r="F3838" s="23" t="str">
        <f>IF(OR(E3838="",E3838="!!!"),"",IF(NOT(ISNA(VLOOKUP(E3838,E$1:E3837,1,FALSE()))),"OLD",IF(AND(E3838&lt;&gt;"",E3838&lt;&gt;"!!!"),"NEW","")))</f>
        <v> </v>
      </c>
      <c r="G3838" s="24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5" t="str">
        <f>IF(J3838&lt;&gt;1,"",IF(I3838="SBJ","CB","?"))</f>
        <v> </v>
      </c>
      <c r="I3838" s="26" t="str">
        <f>IF(OR(E3838="",E3838="!!!",F3838="NEW"),"",INDEX(B3837:B$2,-1+SUMPRODUCT(MAX(ROW(E3837:E$2)*(E3838=E3837:E$2)))))</f>
        <v> </v>
      </c>
      <c r="J3838" s="26" t="str">
        <f>IF(OR(E3838="",E3838="!!!",F3838="NEW"),"",COUNTBLANK(OFFSET(A$1,,,SUMPRODUCT(MAX(ROW(E$2:E3838)*(E3838=E$2:E3838)))))-COUNTBLANK(OFFSET(A$1,,,SUMPRODUCT(MAX(ROW(E$1:E3837)*(E2=E$1:E3837))))))</f>
        <v> </v>
      </c>
      <c r="K3838" s="26" t="str">
        <f>IF(OR(E3838="",E3838="!!!",F3838="NEW"),"",INDEX(J$1:J3837,SUMPRODUCT(MAX(ROW(E$1:E3837)*(E3838=E$1:E3837)))))</f>
        <v> </v>
      </c>
      <c r="L3838" s="27"/>
    </row>
    <row r="3839" spans="1:12">
      <c r="A3839" s="20" t="s">
        <v>977</v>
      </c>
      <c r="E3839" s="22">
        <f>IF(D3839="?OLD","!!!","")</f>
        <v/>
      </c>
      <c r="F3839" s="23" t="str">
        <f>IF(OR(E3839="",E3839="!!!"),"",IF(NOT(ISNA(VLOOKUP(E3839,E$1:E3838,1,FALSE()))),"OLD",IF(AND(E3839&lt;&gt;"",E3839&lt;&gt;"!!!"),"NEW","")))</f>
        <v> </v>
      </c>
      <c r="G3839" s="24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5" t="str">
        <f>IF(J3839&lt;&gt;1,"",IF(I3839="SBJ","CB","?"))</f>
        <v> </v>
      </c>
      <c r="I3839" s="26" t="str">
        <f>IF(OR(E3839="",E3839="!!!",F3839="NEW"),"",INDEX(B3838:B$2,-1+SUMPRODUCT(MAX(ROW(E3838:E$2)*(E3839=E3838:E$2)))))</f>
        <v> </v>
      </c>
      <c r="J3839" s="26" t="str">
        <f>IF(OR(E3839="",E3839="!!!",F3839="NEW"),"",COUNTBLANK(OFFSET(A$1,,,SUMPRODUCT(MAX(ROW(E$2:E3839)*(E3839=E$2:E3839)))))-COUNTBLANK(OFFSET(A$1,,,SUMPRODUCT(MAX(ROW(E$1:E3838)*(E2=E$1:E3838))))))</f>
        <v> </v>
      </c>
      <c r="K3839" s="26" t="str">
        <f>IF(OR(E3839="",E3839="!!!",F3839="NEW"),"",INDEX(J$1:J3838,SUMPRODUCT(MAX(ROW(E$1:E3838)*(E3839=E$1:E3838)))))</f>
        <v> </v>
      </c>
      <c r="L3839" s="27"/>
    </row>
    <row r="3840" spans="1:12">
      <c r="A3840" s="20" t="s">
        <v>283</v>
      </c>
      <c r="E3840" s="22">
        <f>IF(D3840="?OLD","!!!","")</f>
        <v/>
      </c>
      <c r="F3840" s="23" t="str">
        <f>IF(OR(E3840="",E3840="!!!"),"",IF(NOT(ISNA(VLOOKUP(E3840,E$1:E3839,1,FALSE()))),"OLD",IF(AND(E3840&lt;&gt;"",E3840&lt;&gt;"!!!"),"NEW","")))</f>
        <v> </v>
      </c>
      <c r="G3840" s="24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5" t="str">
        <f>IF(J3840&lt;&gt;1,"",IF(I3840="SBJ","CB","?"))</f>
        <v> </v>
      </c>
      <c r="I3840" s="26" t="str">
        <f>IF(OR(E3840="",E3840="!!!",F3840="NEW"),"",INDEX(B3839:B$2,-1+SUMPRODUCT(MAX(ROW(E3839:E$2)*(E3840=E3839:E$2)))))</f>
        <v> </v>
      </c>
      <c r="J3840" s="26" t="str">
        <f>IF(OR(E3840="",E3840="!!!",F3840="NEW"),"",COUNTBLANK(OFFSET(A$1,,,SUMPRODUCT(MAX(ROW(E$2:E3840)*(E3840=E$2:E3840)))))-COUNTBLANK(OFFSET(A$1,,,SUMPRODUCT(MAX(ROW(E$1:E3839)*(E2=E$1:E3839))))))</f>
        <v> </v>
      </c>
      <c r="K3840" s="26" t="str">
        <f>IF(OR(E3840="",E3840="!!!",F3840="NEW"),"",INDEX(J$1:J3839,SUMPRODUCT(MAX(ROW(E$1:E3839)*(E3840=E$1:E3839)))))</f>
        <v> </v>
      </c>
      <c r="L3840" s="27"/>
    </row>
    <row r="3841" spans="1:12">
      <c r="A3841" s="20" t="s">
        <v>1232</v>
      </c>
      <c r="B3841" s="21" t="s">
        <v>1040</v>
      </c>
      <c r="C3841" s="21" t="s">
        <v>983</v>
      </c>
      <c r="E3841" s="22">
        <f>IF(D3841="?OLD","!!!","")</f>
        <v/>
      </c>
      <c r="F3841" s="23" t="str">
        <f>IF(OR(E3841="",E3841="!!!"),"",IF(NOT(ISNA(VLOOKUP(E3841,E$1:E3840,1,FALSE()))),"OLD",IF(AND(E3841&lt;&gt;"",E3841&lt;&gt;"!!!"),"NEW","")))</f>
        <v> </v>
      </c>
      <c r="G3841" s="24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5" t="str">
        <f>IF(J3841&lt;&gt;1,"",IF(I3841="SBJ","CB","?"))</f>
        <v> </v>
      </c>
      <c r="I3841" s="26" t="str">
        <f>IF(OR(E3841="",E3841="!!!",F3841="NEW"),"",INDEX(B3840:B$2,-1+SUMPRODUCT(MAX(ROW(E3840:E$2)*(E3841=E3840:E$2)))))</f>
        <v> </v>
      </c>
      <c r="J3841" s="26" t="str">
        <f>IF(OR(E3841="",E3841="!!!",F3841="NEW"),"",COUNTBLANK(OFFSET(A$1,,,SUMPRODUCT(MAX(ROW(E$2:E3841)*(E3841=E$2:E3841)))))-COUNTBLANK(OFFSET(A$1,,,SUMPRODUCT(MAX(ROW(E$1:E3840)*(E2=E$1:E3840))))))</f>
        <v> </v>
      </c>
      <c r="K3841" s="26" t="str">
        <f>IF(OR(E3841="",E3841="!!!",F3841="NEW"),"",INDEX(J$1:J3840,SUMPRODUCT(MAX(ROW(E$1:E3840)*(E3841=E$1:E3840)))))</f>
        <v> </v>
      </c>
      <c r="L3841" s="27"/>
    </row>
    <row r="3842" spans="1:12">
      <c r="A3842" s="20" t="s">
        <v>965</v>
      </c>
      <c r="E3842" s="22">
        <f>IF(D3842="?OLD","!!!","")</f>
        <v/>
      </c>
      <c r="F3842" s="23" t="str">
        <f>IF(OR(E3842="",E3842="!!!"),"",IF(NOT(ISNA(VLOOKUP(E3842,E$1:E3841,1,FALSE()))),"OLD",IF(AND(E3842&lt;&gt;"",E3842&lt;&gt;"!!!"),"NEW","")))</f>
        <v> </v>
      </c>
      <c r="G3842" s="24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5" t="str">
        <f>IF(J3842&lt;&gt;1,"",IF(I3842="SBJ","CB","?"))</f>
        <v> </v>
      </c>
      <c r="I3842" s="26" t="str">
        <f>IF(OR(E3842="",E3842="!!!",F3842="NEW"),"",INDEX(B3841:B$2,-1+SUMPRODUCT(MAX(ROW(E3841:E$2)*(E3842=E3841:E$2)))))</f>
        <v> </v>
      </c>
      <c r="J3842" s="26" t="str">
        <f>IF(OR(E3842="",E3842="!!!",F3842="NEW"),"",COUNTBLANK(OFFSET(A$1,,,SUMPRODUCT(MAX(ROW(E$2:E3842)*(E3842=E$2:E3842)))))-COUNTBLANK(OFFSET(A$1,,,SUMPRODUCT(MAX(ROW(E$1:E3841)*(E2=E$1:E3841))))))</f>
        <v> </v>
      </c>
      <c r="K3842" s="26" t="str">
        <f>IF(OR(E3842="",E3842="!!!",F3842="NEW"),"",INDEX(J$1:J3841,SUMPRODUCT(MAX(ROW(E$1:E3841)*(E3842=E$1:E3841)))))</f>
        <v> </v>
      </c>
      <c r="L3842" s="27"/>
    </row>
    <row r="3843" spans="1:12">
      <c r="A3843" s="20" t="s">
        <v>1093</v>
      </c>
      <c r="E3843" s="22">
        <f>IF(D3843="?OLD","!!!","")</f>
        <v/>
      </c>
      <c r="F3843" s="23" t="str">
        <f>IF(OR(E3843="",E3843="!!!"),"",IF(NOT(ISNA(VLOOKUP(E3843,E$1:E3842,1,FALSE()))),"OLD",IF(AND(E3843&lt;&gt;"",E3843&lt;&gt;"!!!"),"NEW","")))</f>
        <v> </v>
      </c>
      <c r="G3843" s="24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5" t="str">
        <f>IF(J3843&lt;&gt;1,"",IF(I3843="SBJ","CB","?"))</f>
        <v> </v>
      </c>
      <c r="I3843" s="26" t="str">
        <f>IF(OR(E3843="",E3843="!!!",F3843="NEW"),"",INDEX(B3842:B$2,-1+SUMPRODUCT(MAX(ROW(E3842:E$2)*(E3843=E3842:E$2)))))</f>
        <v> </v>
      </c>
      <c r="J3843" s="26" t="str">
        <f>IF(OR(E3843="",E3843="!!!",F3843="NEW"),"",COUNTBLANK(OFFSET(A$1,,,SUMPRODUCT(MAX(ROW(E$2:E3843)*(E3843=E$2:E3843)))))-COUNTBLANK(OFFSET(A$1,,,SUMPRODUCT(MAX(ROW(E$1:E3842)*(E2=E$1:E3842))))))</f>
        <v> </v>
      </c>
      <c r="K3843" s="26" t="str">
        <f>IF(OR(E3843="",E3843="!!!",F3843="NEW"),"",INDEX(J$1:J3842,SUMPRODUCT(MAX(ROW(E$1:E3842)*(E3843=E$1:E3842)))))</f>
        <v> </v>
      </c>
      <c r="L3843" s="27"/>
    </row>
    <row r="3844" spans="1:12">
      <c r="A3844" s="20" t="s">
        <v>1094</v>
      </c>
      <c r="B3844" s="21" t="s">
        <v>1161</v>
      </c>
      <c r="C3844" s="21" t="s">
        <v>1032</v>
      </c>
      <c r="D3844" s="21" t="s">
        <v>950</v>
      </c>
      <c r="E3844" s="22">
        <f>IF(D3844="?OLD","!!!","")</f>
        <v/>
      </c>
      <c r="F3844" s="23" t="str">
        <f>IF(OR(E3844="",E3844="!!!"),"",IF(NOT(ISNA(VLOOKUP(E3844,E$1:E3843,1,FALSE()))),"OLD",IF(AND(E3844&lt;&gt;"",E3844&lt;&gt;"!!!"),"NEW","")))</f>
        <v> </v>
      </c>
      <c r="G3844" s="24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5" t="str">
        <f>IF(J3844&lt;&gt;1,"",IF(I3844="SBJ","CB","?"))</f>
        <v> </v>
      </c>
      <c r="I3844" s="26" t="str">
        <f>IF(OR(E3844="",E3844="!!!",F3844="NEW"),"",INDEX(B3843:B$2,-1+SUMPRODUCT(MAX(ROW(E3843:E$2)*(E3844=E3843:E$2)))))</f>
        <v> </v>
      </c>
      <c r="J3844" s="26" t="str">
        <f>IF(OR(E3844="",E3844="!!!",F3844="NEW"),"",COUNTBLANK(OFFSET(A$1,,,SUMPRODUCT(MAX(ROW(E$2:E3844)*(E3844=E$2:E3844)))))-COUNTBLANK(OFFSET(A$1,,,SUMPRODUCT(MAX(ROW(E$1:E3843)*(E2=E$1:E3843))))))</f>
        <v> </v>
      </c>
      <c r="K3844" s="26" t="str">
        <f>IF(OR(E3844="",E3844="!!!",F3844="NEW"),"",INDEX(J$1:J3843,SUMPRODUCT(MAX(ROW(E$1:E3843)*(E3844=E$1:E3843)))))</f>
        <v> </v>
      </c>
      <c r="L3844" s="27"/>
    </row>
    <row r="3845" spans="1:12">
      <c r="A3845" s="20" t="s">
        <v>1568</v>
      </c>
      <c r="E3845" s="22">
        <f>IF(D3845="?OLD","!!!","")</f>
        <v/>
      </c>
      <c r="F3845" s="23" t="str">
        <f>IF(OR(E3845="",E3845="!!!"),"",IF(NOT(ISNA(VLOOKUP(E3845,E$1:E3844,1,FALSE()))),"OLD",IF(AND(E3845&lt;&gt;"",E3845&lt;&gt;"!!!"),"NEW","")))</f>
        <v> </v>
      </c>
      <c r="G3845" s="24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5" t="str">
        <f>IF(J3845&lt;&gt;1,"",IF(I3845="SBJ","CB","?"))</f>
        <v> </v>
      </c>
      <c r="I3845" s="26" t="str">
        <f>IF(OR(E3845="",E3845="!!!",F3845="NEW"),"",INDEX(B3844:B$2,-1+SUMPRODUCT(MAX(ROW(E3844:E$2)*(E3845=E3844:E$2)))))</f>
        <v> </v>
      </c>
      <c r="J3845" s="26" t="str">
        <f>IF(OR(E3845="",E3845="!!!",F3845="NEW"),"",COUNTBLANK(OFFSET(A$1,,,SUMPRODUCT(MAX(ROW(E$2:E3845)*(E3845=E$2:E3845)))))-COUNTBLANK(OFFSET(A$1,,,SUMPRODUCT(MAX(ROW(E$1:E3844)*(E2=E$1:E3844))))))</f>
        <v> </v>
      </c>
      <c r="K3845" s="26" t="str">
        <f>IF(OR(E3845="",E3845="!!!",F3845="NEW"),"",INDEX(J$1:J3844,SUMPRODUCT(MAX(ROW(E$1:E3844)*(E3845=E$1:E3844)))))</f>
        <v> </v>
      </c>
      <c r="L3845" s="27"/>
    </row>
    <row r="3846" spans="1:12">
      <c r="A3846" s="20" t="s">
        <v>143</v>
      </c>
      <c r="E3846" s="22">
        <f>IF(D3846="?OLD","!!!","")</f>
        <v/>
      </c>
      <c r="F3846" s="23" t="str">
        <f>IF(OR(E3846="",E3846="!!!"),"",IF(NOT(ISNA(VLOOKUP(E3846,E$1:E3845,1,FALSE()))),"OLD",IF(AND(E3846&lt;&gt;"",E3846&lt;&gt;"!!!"),"NEW","")))</f>
        <v> </v>
      </c>
      <c r="G3846" s="24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5" t="str">
        <f>IF(J3846&lt;&gt;1,"",IF(I3846="SBJ","CB","?"))</f>
        <v> </v>
      </c>
      <c r="I3846" s="26" t="str">
        <f>IF(OR(E3846="",E3846="!!!",F3846="NEW"),"",INDEX(B3845:B$2,-1+SUMPRODUCT(MAX(ROW(E3845:E$2)*(E3846=E3845:E$2)))))</f>
        <v> </v>
      </c>
      <c r="J3846" s="26" t="str">
        <f>IF(OR(E3846="",E3846="!!!",F3846="NEW"),"",COUNTBLANK(OFFSET(A$1,,,SUMPRODUCT(MAX(ROW(E$2:E3846)*(E3846=E$2:E3846)))))-COUNTBLANK(OFFSET(A$1,,,SUMPRODUCT(MAX(ROW(E$1:E3845)*(E2=E$1:E3845))))))</f>
        <v> </v>
      </c>
      <c r="K3846" s="26" t="str">
        <f>IF(OR(E3846="",E3846="!!!",F3846="NEW"),"",INDEX(J$1:J3845,SUMPRODUCT(MAX(ROW(E$1:E3845)*(E3846=E$1:E3845)))))</f>
        <v> </v>
      </c>
      <c r="L3846" s="27"/>
    </row>
    <row r="3847" spans="1:12">
      <c r="A3847" s="20" t="s">
        <v>965</v>
      </c>
      <c r="E3847" s="22">
        <f>IF(D3847="?OLD","!!!","")</f>
        <v/>
      </c>
      <c r="F3847" s="23" t="str">
        <f>IF(OR(E3847="",E3847="!!!"),"",IF(NOT(ISNA(VLOOKUP(E3847,E$1:E3846,1,FALSE()))),"OLD",IF(AND(E3847&lt;&gt;"",E3847&lt;&gt;"!!!"),"NEW","")))</f>
        <v> </v>
      </c>
      <c r="G3847" s="24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5" t="str">
        <f>IF(J3847&lt;&gt;1,"",IF(I3847="SBJ","CB","?"))</f>
        <v> </v>
      </c>
      <c r="I3847" s="26" t="str">
        <f>IF(OR(E3847="",E3847="!!!",F3847="NEW"),"",INDEX(B3846:B$2,-1+SUMPRODUCT(MAX(ROW(E3846:E$2)*(E3847=E3846:E$2)))))</f>
        <v> </v>
      </c>
      <c r="J3847" s="26" t="str">
        <f>IF(OR(E3847="",E3847="!!!",F3847="NEW"),"",COUNTBLANK(OFFSET(A$1,,,SUMPRODUCT(MAX(ROW(E$2:E3847)*(E3847=E$2:E3847)))))-COUNTBLANK(OFFSET(A$1,,,SUMPRODUCT(MAX(ROW(E$1:E3846)*(E2=E$1:E3846))))))</f>
        <v> </v>
      </c>
      <c r="K3847" s="26" t="str">
        <f>IF(OR(E3847="",E3847="!!!",F3847="NEW"),"",INDEX(J$1:J3846,SUMPRODUCT(MAX(ROW(E$1:E3846)*(E3847=E$1:E3846)))))</f>
        <v> </v>
      </c>
      <c r="L3847" s="27"/>
    </row>
    <row r="3848" spans="1:12">
      <c r="A3848" s="20" t="s">
        <v>972</v>
      </c>
      <c r="E3848" s="22">
        <f>IF(D3848="?OLD","!!!","")</f>
        <v/>
      </c>
      <c r="F3848" s="23" t="str">
        <f>IF(OR(E3848="",E3848="!!!"),"",IF(NOT(ISNA(VLOOKUP(E3848,E$1:E3847,1,FALSE()))),"OLD",IF(AND(E3848&lt;&gt;"",E3848&lt;&gt;"!!!"),"NEW","")))</f>
        <v> </v>
      </c>
      <c r="G3848" s="24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5" t="str">
        <f>IF(J3848&lt;&gt;1,"",IF(I3848="SBJ","CB","?"))</f>
        <v> </v>
      </c>
      <c r="I3848" s="26" t="str">
        <f>IF(OR(E3848="",E3848="!!!",F3848="NEW"),"",INDEX(B3847:B$2,-1+SUMPRODUCT(MAX(ROW(E3847:E$2)*(E3848=E3847:E$2)))))</f>
        <v> </v>
      </c>
      <c r="J3848" s="26" t="str">
        <f>IF(OR(E3848="",E3848="!!!",F3848="NEW"),"",COUNTBLANK(OFFSET(A$1,,,SUMPRODUCT(MAX(ROW(E$2:E3848)*(E3848=E$2:E3848)))))-COUNTBLANK(OFFSET(A$1,,,SUMPRODUCT(MAX(ROW(E$1:E3847)*(E2=E$1:E3847))))))</f>
        <v> </v>
      </c>
      <c r="K3848" s="26" t="str">
        <f>IF(OR(E3848="",E3848="!!!",F3848="NEW"),"",INDEX(J$1:J3847,SUMPRODUCT(MAX(ROW(E$1:E3847)*(E3848=E$1:E3847)))))</f>
        <v> </v>
      </c>
      <c r="L3848" s="27"/>
    </row>
    <row r="3849" spans="1:12">
      <c r="A3849" s="20" t="s">
        <v>1250</v>
      </c>
      <c r="E3849" s="22">
        <f>IF(D3849="?OLD","!!!","")</f>
        <v/>
      </c>
      <c r="F3849" s="23" t="str">
        <f>IF(OR(E3849="",E3849="!!!"),"",IF(NOT(ISNA(VLOOKUP(E3849,E$1:E3848,1,FALSE()))),"OLD",IF(AND(E3849&lt;&gt;"",E3849&lt;&gt;"!!!"),"NEW","")))</f>
        <v> </v>
      </c>
      <c r="G3849" s="24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5" t="str">
        <f>IF(J3849&lt;&gt;1,"",IF(I3849="SBJ","CB","?"))</f>
        <v> </v>
      </c>
      <c r="I3849" s="26" t="str">
        <f>IF(OR(E3849="",E3849="!!!",F3849="NEW"),"",INDEX(B3848:B$2,-1+SUMPRODUCT(MAX(ROW(E3848:E$2)*(E3849=E3848:E$2)))))</f>
        <v> </v>
      </c>
      <c r="J3849" s="26" t="str">
        <f>IF(OR(E3849="",E3849="!!!",F3849="NEW"),"",COUNTBLANK(OFFSET(A$1,,,SUMPRODUCT(MAX(ROW(E$2:E3849)*(E3849=E$2:E3849)))))-COUNTBLANK(OFFSET(A$1,,,SUMPRODUCT(MAX(ROW(E$1:E3848)*(E2=E$1:E3848))))))</f>
        <v> </v>
      </c>
      <c r="K3849" s="26" t="str">
        <f>IF(OR(E3849="",E3849="!!!",F3849="NEW"),"",INDEX(J$1:J3848,SUMPRODUCT(MAX(ROW(E$1:E3848)*(E3849=E$1:E3848)))))</f>
        <v> </v>
      </c>
      <c r="L3849" s="27"/>
    </row>
    <row r="3850" spans="1:12">
      <c r="A3850" s="20" t="s">
        <v>1607</v>
      </c>
      <c r="E3850" s="22">
        <f>IF(D3850="?OLD","!!!","")</f>
        <v/>
      </c>
      <c r="F3850" s="23" t="str">
        <f>IF(OR(E3850="",E3850="!!!"),"",IF(NOT(ISNA(VLOOKUP(E3850,E$1:E3849,1,FALSE()))),"OLD",IF(AND(E3850&lt;&gt;"",E3850&lt;&gt;"!!!"),"NEW","")))</f>
        <v> </v>
      </c>
      <c r="G3850" s="24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5" t="str">
        <f>IF(J3850&lt;&gt;1,"",IF(I3850="SBJ","CB","?"))</f>
        <v> </v>
      </c>
      <c r="I3850" s="26" t="str">
        <f>IF(OR(E3850="",E3850="!!!",F3850="NEW"),"",INDEX(B3849:B$2,-1+SUMPRODUCT(MAX(ROW(E3849:E$2)*(E3850=E3849:E$2)))))</f>
        <v> </v>
      </c>
      <c r="J3850" s="26" t="str">
        <f>IF(OR(E3850="",E3850="!!!",F3850="NEW"),"",COUNTBLANK(OFFSET(A$1,,,SUMPRODUCT(MAX(ROW(E$2:E3850)*(E3850=E$2:E3850)))))-COUNTBLANK(OFFSET(A$1,,,SUMPRODUCT(MAX(ROW(E$1:E3849)*(E2=E$1:E3849))))))</f>
        <v> </v>
      </c>
      <c r="K3850" s="26" t="str">
        <f>IF(OR(E3850="",E3850="!!!",F3850="NEW"),"",INDEX(J$1:J3849,SUMPRODUCT(MAX(ROW(E$1:E3849)*(E3850=E$1:E3849)))))</f>
        <v> </v>
      </c>
      <c r="L3850" s="27"/>
    </row>
    <row r="3851" spans="1:12">
      <c r="A3851" s="20" t="s">
        <v>984</v>
      </c>
      <c r="E3851" s="22">
        <f>IF(D3851="?OLD","!!!","")</f>
        <v/>
      </c>
      <c r="F3851" s="23" t="str">
        <f>IF(OR(E3851="",E3851="!!!"),"",IF(NOT(ISNA(VLOOKUP(E3851,E$1:E3850,1,FALSE()))),"OLD",IF(AND(E3851&lt;&gt;"",E3851&lt;&gt;"!!!"),"NEW","")))</f>
        <v> </v>
      </c>
      <c r="G3851" s="24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5" t="str">
        <f>IF(J3851&lt;&gt;1,"",IF(I3851="SBJ","CB","?"))</f>
        <v> </v>
      </c>
      <c r="I3851" s="26" t="str">
        <f>IF(OR(E3851="",E3851="!!!",F3851="NEW"),"",INDEX(B3850:B$2,-1+SUMPRODUCT(MAX(ROW(E3850:E$2)*(E3851=E3850:E$2)))))</f>
        <v> </v>
      </c>
      <c r="J3851" s="26" t="str">
        <f>IF(OR(E3851="",E3851="!!!",F3851="NEW"),"",COUNTBLANK(OFFSET(A$1,,,SUMPRODUCT(MAX(ROW(E$2:E3851)*(E3851=E$2:E3851)))))-COUNTBLANK(OFFSET(A$1,,,SUMPRODUCT(MAX(ROW(E$1:E3850)*(E2=E$1:E3850))))))</f>
        <v> </v>
      </c>
      <c r="K3851" s="26" t="str">
        <f>IF(OR(E3851="",E3851="!!!",F3851="NEW"),"",INDEX(J$1:J3850,SUMPRODUCT(MAX(ROW(E$1:E3850)*(E3851=E$1:E3850)))))</f>
        <v> </v>
      </c>
      <c r="L3851" s="27"/>
    </row>
    <row r="3852" spans="1:12">
      <c r="A3852" s="20"/>
    </row>
    <row r="3853" spans="1:12">
      <c r="A3853" s="20" t="s">
        <v>2034</v>
      </c>
    </row>
    <row r="3854" spans="1:12">
      <c r="A3854" s="20" t="s">
        <v>1092</v>
      </c>
      <c r="E3854" s="22">
        <f>IF(D3854="?OLD","!!!","")</f>
        <v/>
      </c>
      <c r="F3854" s="23" t="str">
        <f>IF(OR(E3854="",E3854="!!!"),"",IF(NOT(ISNA(VLOOKUP(E3854,E$1:E3853,1,FALSE()))),"OLD",IF(AND(E3854&lt;&gt;"",E3854&lt;&gt;"!!!"),"NEW","")))</f>
        <v> </v>
      </c>
      <c r="G3854" s="24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5" t="str">
        <f>IF(J3854&lt;&gt;1,"",IF(I3854="SBJ","CB","?"))</f>
        <v> </v>
      </c>
      <c r="I3854" s="26" t="str">
        <f>IF(OR(E3854="",E3854="!!!",F3854="NEW"),"",INDEX(B3853:B$2,-1+SUMPRODUCT(MAX(ROW(E3853:E$2)*(E3854=E3853:E$2)))))</f>
        <v> </v>
      </c>
      <c r="J3854" s="26" t="str">
        <f>IF(OR(E3854="",E3854="!!!",F3854="NEW"),"",COUNTBLANK(OFFSET(A$1,,,SUMPRODUCT(MAX(ROW(E$2:E3854)*(E3854=E$2:E3854)))))-COUNTBLANK(OFFSET(A$1,,,SUMPRODUCT(MAX(ROW(E$1:E3853)*(E2=E$1:E3853))))))</f>
        <v> </v>
      </c>
      <c r="K3854" s="26" t="str">
        <f>IF(OR(E3854="",E3854="!!!",F3854="NEW"),"",INDEX(J$1:J3853,SUMPRODUCT(MAX(ROW(E$1:E3853)*(E3854=E$1:E3853)))))</f>
        <v> </v>
      </c>
      <c r="L3854" s="27"/>
    </row>
    <row r="3855" spans="1:12">
      <c r="A3855" s="20" t="s">
        <v>1921</v>
      </c>
      <c r="E3855" s="22">
        <f>IF(D3855="?OLD","!!!","")</f>
        <v/>
      </c>
      <c r="F3855" s="23" t="str">
        <f>IF(OR(E3855="",E3855="!!!"),"",IF(NOT(ISNA(VLOOKUP(E3855,E$1:E3854,1,FALSE()))),"OLD",IF(AND(E3855&lt;&gt;"",E3855&lt;&gt;"!!!"),"NEW","")))</f>
        <v> </v>
      </c>
      <c r="G3855" s="24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5" t="str">
        <f>IF(J3855&lt;&gt;1,"",IF(I3855="SBJ","CB","?"))</f>
        <v> </v>
      </c>
      <c r="I3855" s="26" t="str">
        <f>IF(OR(E3855="",E3855="!!!",F3855="NEW"),"",INDEX(B3854:B$2,-1+SUMPRODUCT(MAX(ROW(E3854:E$2)*(E3855=E3854:E$2)))))</f>
        <v> </v>
      </c>
      <c r="J3855" s="26" t="str">
        <f>IF(OR(E3855="",E3855="!!!",F3855="NEW"),"",COUNTBLANK(OFFSET(A$1,,,SUMPRODUCT(MAX(ROW(E$2:E3855)*(E3855=E$2:E3855)))))-COUNTBLANK(OFFSET(A$1,,,SUMPRODUCT(MAX(ROW(E$1:E3854)*(E2=E$1:E3854))))))</f>
        <v> </v>
      </c>
      <c r="K3855" s="26" t="str">
        <f>IF(OR(E3855="",E3855="!!!",F3855="NEW"),"",INDEX(J$1:J3854,SUMPRODUCT(MAX(ROW(E$1:E3854)*(E3855=E$1:E3854)))))</f>
        <v> </v>
      </c>
      <c r="L3855" s="27"/>
    </row>
    <row r="3856" spans="1:12">
      <c r="A3856" s="20" t="s">
        <v>2035</v>
      </c>
      <c r="B3856" s="21" t="s">
        <v>975</v>
      </c>
      <c r="C3856" s="21" t="s">
        <v>983</v>
      </c>
      <c r="E3856" s="22">
        <f>IF(D3856="?OLD","!!!","")</f>
        <v/>
      </c>
      <c r="F3856" s="23" t="str">
        <f>IF(OR(E3856="",E3856="!!!"),"",IF(NOT(ISNA(VLOOKUP(E3856,E$1:E3855,1,FALSE()))),"OLD",IF(AND(E3856&lt;&gt;"",E3856&lt;&gt;"!!!"),"NEW","")))</f>
        <v> </v>
      </c>
      <c r="G3856" s="24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5" t="str">
        <f>IF(J3856&lt;&gt;1,"",IF(I3856="SBJ","CB","?"))</f>
        <v> </v>
      </c>
      <c r="I3856" s="26" t="str">
        <f>IF(OR(E3856="",E3856="!!!",F3856="NEW"),"",INDEX(B3855:B$2,-1+SUMPRODUCT(MAX(ROW(E3855:E$2)*(E3856=E3855:E$2)))))</f>
        <v> </v>
      </c>
      <c r="J3856" s="26" t="str">
        <f>IF(OR(E3856="",E3856="!!!",F3856="NEW"),"",COUNTBLANK(OFFSET(A$1,,,SUMPRODUCT(MAX(ROW(E$2:E3856)*(E3856=E$2:E3856)))))-COUNTBLANK(OFFSET(A$1,,,SUMPRODUCT(MAX(ROW(E$1:E3855)*(E2=E$1:E3855))))))</f>
        <v> </v>
      </c>
      <c r="K3856" s="26" t="str">
        <f>IF(OR(E3856="",E3856="!!!",F3856="NEW"),"",INDEX(J$1:J3855,SUMPRODUCT(MAX(ROW(E$1:E3855)*(E3856=E$1:E3855)))))</f>
        <v> </v>
      </c>
      <c r="L3856" s="27"/>
    </row>
    <row r="3857" spans="1:12">
      <c r="A3857" s="20" t="s">
        <v>1000</v>
      </c>
      <c r="E3857" s="22">
        <f>IF(D3857="?OLD","!!!","")</f>
        <v/>
      </c>
      <c r="F3857" s="23" t="str">
        <f>IF(OR(E3857="",E3857="!!!"),"",IF(NOT(ISNA(VLOOKUP(E3857,E$1:E3856,1,FALSE()))),"OLD",IF(AND(E3857&lt;&gt;"",E3857&lt;&gt;"!!!"),"NEW","")))</f>
        <v> </v>
      </c>
      <c r="G3857" s="24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5" t="str">
        <f>IF(J3857&lt;&gt;1,"",IF(I3857="SBJ","CB","?"))</f>
        <v> </v>
      </c>
      <c r="I3857" s="26" t="str">
        <f>IF(OR(E3857="",E3857="!!!",F3857="NEW"),"",INDEX(B3856:B$2,-1+SUMPRODUCT(MAX(ROW(E3856:E$2)*(E3857=E3856:E$2)))))</f>
        <v> </v>
      </c>
      <c r="J3857" s="26" t="str">
        <f>IF(OR(E3857="",E3857="!!!",F3857="NEW"),"",COUNTBLANK(OFFSET(A$1,,,SUMPRODUCT(MAX(ROW(E$2:E3857)*(E3857=E$2:E3857)))))-COUNTBLANK(OFFSET(A$1,,,SUMPRODUCT(MAX(ROW(E$1:E3856)*(E2=E$1:E3856))))))</f>
        <v> </v>
      </c>
      <c r="K3857" s="26" t="str">
        <f>IF(OR(E3857="",E3857="!!!",F3857="NEW"),"",INDEX(J$1:J3856,SUMPRODUCT(MAX(ROW(E$1:E3856)*(E3857=E$1:E3856)))))</f>
        <v> </v>
      </c>
      <c r="L3857" s="27"/>
    </row>
    <row r="3858" spans="1:12">
      <c r="A3858" s="20" t="s">
        <v>1763</v>
      </c>
      <c r="B3858" s="21" t="s">
        <v>1082</v>
      </c>
      <c r="E3858" s="22">
        <f>IF(D3858="?OLD","!!!","")</f>
        <v/>
      </c>
      <c r="F3858" s="23" t="str">
        <f>IF(OR(E3858="",E3858="!!!"),"",IF(NOT(ISNA(VLOOKUP(E3858,E$1:E3857,1,FALSE()))),"OLD",IF(AND(E3858&lt;&gt;"",E3858&lt;&gt;"!!!"),"NEW","")))</f>
        <v> </v>
      </c>
      <c r="G3858" s="24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5" t="str">
        <f>IF(J3858&lt;&gt;1,"",IF(I3858="SBJ","CB","?"))</f>
        <v> </v>
      </c>
      <c r="I3858" s="26" t="str">
        <f>IF(OR(E3858="",E3858="!!!",F3858="NEW"),"",INDEX(B3857:B$2,-1+SUMPRODUCT(MAX(ROW(E3857:E$2)*(E3858=E3857:E$2)))))</f>
        <v> </v>
      </c>
      <c r="J3858" s="26" t="str">
        <f>IF(OR(E3858="",E3858="!!!",F3858="NEW"),"",COUNTBLANK(OFFSET(A$1,,,SUMPRODUCT(MAX(ROW(E$2:E3858)*(E3858=E$2:E3858)))))-COUNTBLANK(OFFSET(A$1,,,SUMPRODUCT(MAX(ROW(E$1:E3857)*(E2=E$1:E3857))))))</f>
        <v> </v>
      </c>
      <c r="K3858" s="26" t="str">
        <f>IF(OR(E3858="",E3858="!!!",F3858="NEW"),"",INDEX(J$1:J3857,SUMPRODUCT(MAX(ROW(E$1:E3857)*(E3858=E$1:E3857)))))</f>
        <v> </v>
      </c>
      <c r="L3858" s="27"/>
    </row>
    <row r="3859" spans="1:12">
      <c r="A3859" s="20" t="s">
        <v>998</v>
      </c>
      <c r="E3859" s="22">
        <f>IF(D3859="?OLD","!!!","")</f>
        <v/>
      </c>
      <c r="F3859" s="23" t="str">
        <f>IF(OR(E3859="",E3859="!!!"),"",IF(NOT(ISNA(VLOOKUP(E3859,E$1:E3858,1,FALSE()))),"OLD",IF(AND(E3859&lt;&gt;"",E3859&lt;&gt;"!!!"),"NEW","")))</f>
        <v> </v>
      </c>
      <c r="G3859" s="24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5" t="str">
        <f>IF(J3859&lt;&gt;1,"",IF(I3859="SBJ","CB","?"))</f>
        <v> </v>
      </c>
      <c r="I3859" s="26" t="str">
        <f>IF(OR(E3859="",E3859="!!!",F3859="NEW"),"",INDEX(B3858:B$2,-1+SUMPRODUCT(MAX(ROW(E3858:E$2)*(E3859=E3858:E$2)))))</f>
        <v> </v>
      </c>
      <c r="J3859" s="26" t="str">
        <f>IF(OR(E3859="",E3859="!!!",F3859="NEW"),"",COUNTBLANK(OFFSET(A$1,,,SUMPRODUCT(MAX(ROW(E$2:E3859)*(E3859=E$2:E3859)))))-COUNTBLANK(OFFSET(A$1,,,SUMPRODUCT(MAX(ROW(E$1:E3858)*(E2=E$1:E3858))))))</f>
        <v> </v>
      </c>
      <c r="K3859" s="26" t="str">
        <f>IF(OR(E3859="",E3859="!!!",F3859="NEW"),"",INDEX(J$1:J3858,SUMPRODUCT(MAX(ROW(E$1:E3858)*(E3859=E$1:E3858)))))</f>
        <v> </v>
      </c>
      <c r="L3859" s="27"/>
    </row>
    <row r="3860" spans="1:12">
      <c r="A3860" s="20" t="s">
        <v>2036</v>
      </c>
      <c r="E3860" s="22">
        <f>IF(D3860="?OLD","!!!","")</f>
        <v/>
      </c>
      <c r="F3860" s="23" t="str">
        <f>IF(OR(E3860="",E3860="!!!"),"",IF(NOT(ISNA(VLOOKUP(E3860,E$1:E3859,1,FALSE()))),"OLD",IF(AND(E3860&lt;&gt;"",E3860&lt;&gt;"!!!"),"NEW","")))</f>
        <v> </v>
      </c>
      <c r="G3860" s="24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5" t="str">
        <f>IF(J3860&lt;&gt;1,"",IF(I3860="SBJ","CB","?"))</f>
        <v> </v>
      </c>
      <c r="I3860" s="26" t="str">
        <f>IF(OR(E3860="",E3860="!!!",F3860="NEW"),"",INDEX(B3859:B$2,-1+SUMPRODUCT(MAX(ROW(E3859:E$2)*(E3860=E3859:E$2)))))</f>
        <v> </v>
      </c>
      <c r="J3860" s="26" t="str">
        <f>IF(OR(E3860="",E3860="!!!",F3860="NEW"),"",COUNTBLANK(OFFSET(A$1,,,SUMPRODUCT(MAX(ROW(E$2:E3860)*(E3860=E$2:E3860)))))-COUNTBLANK(OFFSET(A$1,,,SUMPRODUCT(MAX(ROW(E$1:E3859)*(E2=E$1:E3859))))))</f>
        <v> </v>
      </c>
      <c r="K3860" s="26" t="str">
        <f>IF(OR(E3860="",E3860="!!!",F3860="NEW"),"",INDEX(J$1:J3859,SUMPRODUCT(MAX(ROW(E$1:E3859)*(E3860=E$1:E3859)))))</f>
        <v> </v>
      </c>
      <c r="L3860" s="27"/>
    </row>
    <row r="3861" spans="1:12">
      <c r="A3861" s="20" t="s">
        <v>1021</v>
      </c>
      <c r="E3861" s="22">
        <f>IF(D3861="?OLD","!!!","")</f>
        <v/>
      </c>
      <c r="F3861" s="23" t="str">
        <f>IF(OR(E3861="",E3861="!!!"),"",IF(NOT(ISNA(VLOOKUP(E3861,E$1:E3860,1,FALSE()))),"OLD",IF(AND(E3861&lt;&gt;"",E3861&lt;&gt;"!!!"),"NEW","")))</f>
        <v> </v>
      </c>
      <c r="G3861" s="24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5" t="str">
        <f>IF(J3861&lt;&gt;1,"",IF(I3861="SBJ","CB","?"))</f>
        <v> </v>
      </c>
      <c r="I3861" s="26" t="str">
        <f>IF(OR(E3861="",E3861="!!!",F3861="NEW"),"",INDEX(B3860:B$2,-1+SUMPRODUCT(MAX(ROW(E3860:E$2)*(E3861=E3860:E$2)))))</f>
        <v> </v>
      </c>
      <c r="J3861" s="26" t="str">
        <f>IF(OR(E3861="",E3861="!!!",F3861="NEW"),"",COUNTBLANK(OFFSET(A$1,,,SUMPRODUCT(MAX(ROW(E$2:E3861)*(E3861=E$2:E3861)))))-COUNTBLANK(OFFSET(A$1,,,SUMPRODUCT(MAX(ROW(E$1:E3860)*(E2=E$1:E3860))))))</f>
        <v> </v>
      </c>
      <c r="K3861" s="26" t="str">
        <f>IF(OR(E3861="",E3861="!!!",F3861="NEW"),"",INDEX(J$1:J3860,SUMPRODUCT(MAX(ROW(E$1:E3860)*(E3861=E$1:E3860)))))</f>
        <v> </v>
      </c>
      <c r="L3861" s="27"/>
    </row>
    <row r="3862" spans="1:12">
      <c r="A3862" s="20" t="s">
        <v>1558</v>
      </c>
      <c r="B3862" s="21" t="s">
        <v>982</v>
      </c>
      <c r="C3862" s="21" t="s">
        <v>983</v>
      </c>
      <c r="E3862" s="22">
        <f>IF(D3862="?OLD","!!!","")</f>
        <v/>
      </c>
      <c r="F3862" s="23" t="str">
        <f>IF(OR(E3862="",E3862="!!!"),"",IF(NOT(ISNA(VLOOKUP(E3862,E$1:E3861,1,FALSE()))),"OLD",IF(AND(E3862&lt;&gt;"",E3862&lt;&gt;"!!!"),"NEW","")))</f>
        <v> </v>
      </c>
      <c r="G3862" s="24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5" t="str">
        <f>IF(J3862&lt;&gt;1,"",IF(I3862="SBJ","CB","?"))</f>
        <v> </v>
      </c>
      <c r="I3862" s="26" t="str">
        <f>IF(OR(E3862="",E3862="!!!",F3862="NEW"),"",INDEX(B3861:B$2,-1+SUMPRODUCT(MAX(ROW(E3861:E$2)*(E3862=E3861:E$2)))))</f>
        <v> </v>
      </c>
      <c r="J3862" s="26" t="str">
        <f>IF(OR(E3862="",E3862="!!!",F3862="NEW"),"",COUNTBLANK(OFFSET(A$1,,,SUMPRODUCT(MAX(ROW(E$2:E3862)*(E3862=E$2:E3862)))))-COUNTBLANK(OFFSET(A$1,,,SUMPRODUCT(MAX(ROW(E$1:E3861)*(E2=E$1:E3861))))))</f>
        <v> </v>
      </c>
      <c r="K3862" s="26" t="str">
        <f>IF(OR(E3862="",E3862="!!!",F3862="NEW"),"",INDEX(J$1:J3861,SUMPRODUCT(MAX(ROW(E$1:E3861)*(E3862=E$1:E3861)))))</f>
        <v> </v>
      </c>
      <c r="L3862" s="27"/>
    </row>
    <row r="3863" spans="1:12">
      <c r="A3863" s="20" t="s">
        <v>1000</v>
      </c>
      <c r="E3863" s="22">
        <f>IF(D3863="?OLD","!!!","")</f>
        <v/>
      </c>
      <c r="F3863" s="23" t="str">
        <f>IF(OR(E3863="",E3863="!!!"),"",IF(NOT(ISNA(VLOOKUP(E3863,E$1:E3862,1,FALSE()))),"OLD",IF(AND(E3863&lt;&gt;"",E3863&lt;&gt;"!!!"),"NEW","")))</f>
        <v> </v>
      </c>
      <c r="G3863" s="24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5" t="str">
        <f>IF(J3863&lt;&gt;1,"",IF(I3863="SBJ","CB","?"))</f>
        <v> </v>
      </c>
      <c r="I3863" s="26" t="str">
        <f>IF(OR(E3863="",E3863="!!!",F3863="NEW"),"",INDEX(B3862:B$2,-1+SUMPRODUCT(MAX(ROW(E3862:E$2)*(E3863=E3862:E$2)))))</f>
        <v> </v>
      </c>
      <c r="J3863" s="26" t="str">
        <f>IF(OR(E3863="",E3863="!!!",F3863="NEW"),"",COUNTBLANK(OFFSET(A$1,,,SUMPRODUCT(MAX(ROW(E$2:E3863)*(E3863=E$2:E3863)))))-COUNTBLANK(OFFSET(A$1,,,SUMPRODUCT(MAX(ROW(E$1:E3862)*(E2=E$1:E3862))))))</f>
        <v> </v>
      </c>
      <c r="K3863" s="26" t="str">
        <f>IF(OR(E3863="",E3863="!!!",F3863="NEW"),"",INDEX(J$1:J3862,SUMPRODUCT(MAX(ROW(E$1:E3862)*(E3863=E$1:E3862)))))</f>
        <v> </v>
      </c>
      <c r="L3863" s="27"/>
    </row>
    <row r="3864" spans="1:12">
      <c r="A3864" s="20" t="s">
        <v>998</v>
      </c>
      <c r="E3864" s="22">
        <f>IF(D3864="?OLD","!!!","")</f>
        <v/>
      </c>
      <c r="F3864" s="23" t="str">
        <f>IF(OR(E3864="",E3864="!!!"),"",IF(NOT(ISNA(VLOOKUP(E3864,E$1:E3863,1,FALSE()))),"OLD",IF(AND(E3864&lt;&gt;"",E3864&lt;&gt;"!!!"),"NEW","")))</f>
        <v> </v>
      </c>
      <c r="G3864" s="24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5" t="str">
        <f>IF(J3864&lt;&gt;1,"",IF(I3864="SBJ","CB","?"))</f>
        <v> </v>
      </c>
      <c r="I3864" s="26" t="str">
        <f>IF(OR(E3864="",E3864="!!!",F3864="NEW"),"",INDEX(B3863:B$2,-1+SUMPRODUCT(MAX(ROW(E3863:E$2)*(E3864=E3863:E$2)))))</f>
        <v> </v>
      </c>
      <c r="J3864" s="26" t="str">
        <f>IF(OR(E3864="",E3864="!!!",F3864="NEW"),"",COUNTBLANK(OFFSET(A$1,,,SUMPRODUCT(MAX(ROW(E$2:E3864)*(E3864=E$2:E3864)))))-COUNTBLANK(OFFSET(A$1,,,SUMPRODUCT(MAX(ROW(E$1:E3863)*(E2=E$1:E3863))))))</f>
        <v> </v>
      </c>
      <c r="K3864" s="26" t="str">
        <f>IF(OR(E3864="",E3864="!!!",F3864="NEW"),"",INDEX(J$1:J3863,SUMPRODUCT(MAX(ROW(E$1:E3863)*(E3864=E$1:E3863)))))</f>
        <v> </v>
      </c>
      <c r="L3864" s="27"/>
    </row>
    <row r="3865" spans="1:12">
      <c r="A3865" s="20" t="s">
        <v>958</v>
      </c>
      <c r="B3865" s="21" t="s">
        <v>959</v>
      </c>
      <c r="C3865" s="21" t="s">
        <v>960</v>
      </c>
      <c r="D3865" s="21" t="s">
        <v>950</v>
      </c>
      <c r="E3865" s="22">
        <f>IF(D3865="?OLD","!!!","")</f>
        <v/>
      </c>
      <c r="F3865" s="23" t="str">
        <f>IF(OR(E3865="",E3865="!!!"),"",IF(NOT(ISNA(VLOOKUP(E3865,E$1:E3864,1,FALSE()))),"OLD",IF(AND(E3865&lt;&gt;"",E3865&lt;&gt;"!!!"),"NEW","")))</f>
        <v> </v>
      </c>
      <c r="G3865" s="24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5" t="str">
        <f>IF(J3865&lt;&gt;1,"",IF(I3865="SBJ","CB","?"))</f>
        <v> </v>
      </c>
      <c r="I3865" s="26" t="str">
        <f>IF(OR(E3865="",E3865="!!!",F3865="NEW"),"",INDEX(B3864:B$2,-1+SUMPRODUCT(MAX(ROW(E3864:E$2)*(E3865=E3864:E$2)))))</f>
        <v> </v>
      </c>
      <c r="J3865" s="26" t="str">
        <f>IF(OR(E3865="",E3865="!!!",F3865="NEW"),"",COUNTBLANK(OFFSET(A$1,,,SUMPRODUCT(MAX(ROW(E$2:E3865)*(E3865=E$2:E3865)))))-COUNTBLANK(OFFSET(A$1,,,SUMPRODUCT(MAX(ROW(E$1:E3864)*(E2=E$1:E3864))))))</f>
        <v> </v>
      </c>
      <c r="K3865" s="26" t="str">
        <f>IF(OR(E3865="",E3865="!!!",F3865="NEW"),"",INDEX(J$1:J3864,SUMPRODUCT(MAX(ROW(E$1:E3864)*(E3865=E$1:E3864)))))</f>
        <v> </v>
      </c>
      <c r="L3865" s="27"/>
    </row>
    <row r="3866" spans="1:12">
      <c r="A3866" s="20" t="s">
        <v>2037</v>
      </c>
      <c r="E3866" s="22">
        <f>IF(D3866="?OLD","!!!","")</f>
        <v/>
      </c>
      <c r="F3866" s="23" t="str">
        <f>IF(OR(E3866="",E3866="!!!"),"",IF(NOT(ISNA(VLOOKUP(E3866,E$1:E3865,1,FALSE()))),"OLD",IF(AND(E3866&lt;&gt;"",E3866&lt;&gt;"!!!"),"NEW","")))</f>
        <v> </v>
      </c>
      <c r="G3866" s="24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5" t="str">
        <f>IF(J3866&lt;&gt;1,"",IF(I3866="SBJ","CB","?"))</f>
        <v> </v>
      </c>
      <c r="I3866" s="26" t="str">
        <f>IF(OR(E3866="",E3866="!!!",F3866="NEW"),"",INDEX(B3865:B$2,-1+SUMPRODUCT(MAX(ROW(E3865:E$2)*(E3866=E3865:E$2)))))</f>
        <v> </v>
      </c>
      <c r="J3866" s="26" t="str">
        <f>IF(OR(E3866="",E3866="!!!",F3866="NEW"),"",COUNTBLANK(OFFSET(A$1,,,SUMPRODUCT(MAX(ROW(E$2:E3866)*(E3866=E$2:E3866)))))-COUNTBLANK(OFFSET(A$1,,,SUMPRODUCT(MAX(ROW(E$1:E3865)*(E2=E$1:E3865))))))</f>
        <v> </v>
      </c>
      <c r="K3866" s="26" t="str">
        <f>IF(OR(E3866="",E3866="!!!",F3866="NEW"),"",INDEX(J$1:J3865,SUMPRODUCT(MAX(ROW(E$1:E3865)*(E3866=E$1:E3865)))))</f>
        <v> </v>
      </c>
      <c r="L3866" s="27"/>
    </row>
    <row r="3867" spans="1:12">
      <c r="A3867" s="20" t="s">
        <v>977</v>
      </c>
      <c r="E3867" s="22">
        <f>IF(D3867="?OLD","!!!","")</f>
        <v/>
      </c>
      <c r="F3867" s="23" t="str">
        <f>IF(OR(E3867="",E3867="!!!"),"",IF(NOT(ISNA(VLOOKUP(E3867,E$1:E3866,1,FALSE()))),"OLD",IF(AND(E3867&lt;&gt;"",E3867&lt;&gt;"!!!"),"NEW","")))</f>
        <v> </v>
      </c>
      <c r="G3867" s="24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5" t="str">
        <f>IF(J3867&lt;&gt;1,"",IF(I3867="SBJ","CB","?"))</f>
        <v> </v>
      </c>
      <c r="I3867" s="26" t="str">
        <f>IF(OR(E3867="",E3867="!!!",F3867="NEW"),"",INDEX(B3866:B$2,-1+SUMPRODUCT(MAX(ROW(E3866:E$2)*(E3867=E3866:E$2)))))</f>
        <v> </v>
      </c>
      <c r="J3867" s="26" t="str">
        <f>IF(OR(E3867="",E3867="!!!",F3867="NEW"),"",COUNTBLANK(OFFSET(A$1,,,SUMPRODUCT(MAX(ROW(E$2:E3867)*(E3867=E$2:E3867)))))-COUNTBLANK(OFFSET(A$1,,,SUMPRODUCT(MAX(ROW(E$1:E3866)*(E2=E$1:E3866))))))</f>
        <v> </v>
      </c>
      <c r="K3867" s="26" t="str">
        <f>IF(OR(E3867="",E3867="!!!",F3867="NEW"),"",INDEX(J$1:J3866,SUMPRODUCT(MAX(ROW(E$1:E3866)*(E3867=E$1:E3866)))))</f>
        <v> </v>
      </c>
      <c r="L3867" s="27"/>
    </row>
    <row r="3868" spans="1:12">
      <c r="A3868" s="20" t="s">
        <v>1006</v>
      </c>
      <c r="B3868" s="21" t="s">
        <v>980</v>
      </c>
      <c r="C3868" s="21" t="s">
        <v>1008</v>
      </c>
      <c r="D3868" s="21" t="s">
        <v>950</v>
      </c>
      <c r="E3868" s="22">
        <f>IF(D3868="?OLD","!!!","")</f>
        <v/>
      </c>
      <c r="F3868" s="23" t="str">
        <f>IF(OR(E3868="",E3868="!!!"),"",IF(NOT(ISNA(VLOOKUP(E3868,E$1:E3867,1,FALSE()))),"OLD",IF(AND(E3868&lt;&gt;"",E3868&lt;&gt;"!!!"),"NEW","")))</f>
        <v> </v>
      </c>
      <c r="G3868" s="24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5" t="str">
        <f>IF(J3868&lt;&gt;1,"",IF(I3868="SBJ","CB","?"))</f>
        <v> </v>
      </c>
      <c r="I3868" s="26" t="str">
        <f>IF(OR(E3868="",E3868="!!!",F3868="NEW"),"",INDEX(B3867:B$2,-1+SUMPRODUCT(MAX(ROW(E3867:E$2)*(E3868=E3867:E$2)))))</f>
        <v> </v>
      </c>
      <c r="J3868" s="26" t="str">
        <f>IF(OR(E3868="",E3868="!!!",F3868="NEW"),"",COUNTBLANK(OFFSET(A$1,,,SUMPRODUCT(MAX(ROW(E$2:E3868)*(E3868=E$2:E3868)))))-COUNTBLANK(OFFSET(A$1,,,SUMPRODUCT(MAX(ROW(E$1:E3867)*(E2=E$1:E3867))))))</f>
        <v> </v>
      </c>
      <c r="K3868" s="26" t="str">
        <f>IF(OR(E3868="",E3868="!!!",F3868="NEW"),"",INDEX(J$1:J3867,SUMPRODUCT(MAX(ROW(E$1:E3867)*(E3868=E$1:E3867)))))</f>
        <v> </v>
      </c>
      <c r="L3868" s="27"/>
    </row>
    <row r="3869" spans="1:12">
      <c r="A3869" s="20" t="s">
        <v>965</v>
      </c>
      <c r="E3869" s="22">
        <f>IF(D3869="?OLD","!!!","")</f>
        <v/>
      </c>
      <c r="F3869" s="23" t="str">
        <f>IF(OR(E3869="",E3869="!!!"),"",IF(NOT(ISNA(VLOOKUP(E3869,E$1:E3868,1,FALSE()))),"OLD",IF(AND(E3869&lt;&gt;"",E3869&lt;&gt;"!!!"),"NEW","")))</f>
        <v> </v>
      </c>
      <c r="G3869" s="24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5" t="str">
        <f>IF(J3869&lt;&gt;1,"",IF(I3869="SBJ","CB","?"))</f>
        <v> </v>
      </c>
      <c r="I3869" s="26" t="str">
        <f>IF(OR(E3869="",E3869="!!!",F3869="NEW"),"",INDEX(B3868:B$2,-1+SUMPRODUCT(MAX(ROW(E3868:E$2)*(E3869=E3868:E$2)))))</f>
        <v> </v>
      </c>
      <c r="J3869" s="26" t="str">
        <f>IF(OR(E3869="",E3869="!!!",F3869="NEW"),"",COUNTBLANK(OFFSET(A$1,,,SUMPRODUCT(MAX(ROW(E$2:E3869)*(E3869=E$2:E3869)))))-COUNTBLANK(OFFSET(A$1,,,SUMPRODUCT(MAX(ROW(E$1:E3868)*(E2=E$1:E3868))))))</f>
        <v> </v>
      </c>
      <c r="K3869" s="26" t="str">
        <f>IF(OR(E3869="",E3869="!!!",F3869="NEW"),"",INDEX(J$1:J3868,SUMPRODUCT(MAX(ROW(E$1:E3868)*(E3869=E$1:E3868)))))</f>
        <v> </v>
      </c>
      <c r="L3869" s="27"/>
    </row>
    <row r="3870" spans="1:12">
      <c r="A3870" s="20" t="s">
        <v>972</v>
      </c>
      <c r="E3870" s="22">
        <f>IF(D3870="?OLD","!!!","")</f>
        <v/>
      </c>
      <c r="F3870" s="23" t="str">
        <f>IF(OR(E3870="",E3870="!!!"),"",IF(NOT(ISNA(VLOOKUP(E3870,E$1:E3869,1,FALSE()))),"OLD",IF(AND(E3870&lt;&gt;"",E3870&lt;&gt;"!!!"),"NEW","")))</f>
        <v> </v>
      </c>
      <c r="G3870" s="24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5" t="str">
        <f>IF(J3870&lt;&gt;1,"",IF(I3870="SBJ","CB","?"))</f>
        <v> </v>
      </c>
      <c r="I3870" s="26" t="str">
        <f>IF(OR(E3870="",E3870="!!!",F3870="NEW"),"",INDEX(B3869:B$2,-1+SUMPRODUCT(MAX(ROW(E3869:E$2)*(E3870=E3869:E$2)))))</f>
        <v> </v>
      </c>
      <c r="J3870" s="26" t="str">
        <f>IF(OR(E3870="",E3870="!!!",F3870="NEW"),"",COUNTBLANK(OFFSET(A$1,,,SUMPRODUCT(MAX(ROW(E$2:E3870)*(E3870=E$2:E3870)))))-COUNTBLANK(OFFSET(A$1,,,SUMPRODUCT(MAX(ROW(E$1:E3869)*(E2=E$1:E3869))))))</f>
        <v> </v>
      </c>
      <c r="K3870" s="26" t="str">
        <f>IF(OR(E3870="",E3870="!!!",F3870="NEW"),"",INDEX(J$1:J3869,SUMPRODUCT(MAX(ROW(E$1:E3869)*(E3870=E$1:E3869)))))</f>
        <v> </v>
      </c>
      <c r="L3870" s="27"/>
    </row>
    <row r="3871" spans="1:12">
      <c r="A3871" s="20" t="s">
        <v>1378</v>
      </c>
      <c r="E3871" s="22">
        <f>IF(D3871="?OLD","!!!","")</f>
        <v/>
      </c>
      <c r="F3871" s="23" t="str">
        <f>IF(OR(E3871="",E3871="!!!"),"",IF(NOT(ISNA(VLOOKUP(E3871,E$1:E3870,1,FALSE()))),"OLD",IF(AND(E3871&lt;&gt;"",E3871&lt;&gt;"!!!"),"NEW","")))</f>
        <v> </v>
      </c>
      <c r="G3871" s="24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5" t="str">
        <f>IF(J3871&lt;&gt;1,"",IF(I3871="SBJ","CB","?"))</f>
        <v> </v>
      </c>
      <c r="I3871" s="26" t="str">
        <f>IF(OR(E3871="",E3871="!!!",F3871="NEW"),"",INDEX(B3870:B$2,-1+SUMPRODUCT(MAX(ROW(E3870:E$2)*(E3871=E3870:E$2)))))</f>
        <v> </v>
      </c>
      <c r="J3871" s="26" t="str">
        <f>IF(OR(E3871="",E3871="!!!",F3871="NEW"),"",COUNTBLANK(OFFSET(A$1,,,SUMPRODUCT(MAX(ROW(E$2:E3871)*(E3871=E$2:E3871)))))-COUNTBLANK(OFFSET(A$1,,,SUMPRODUCT(MAX(ROW(E$1:E3870)*(E2=E$1:E3870))))))</f>
        <v> </v>
      </c>
      <c r="K3871" s="26" t="str">
        <f>IF(OR(E3871="",E3871="!!!",F3871="NEW"),"",INDEX(J$1:J3870,SUMPRODUCT(MAX(ROW(E$1:E3870)*(E3871=E$1:E3870)))))</f>
        <v> </v>
      </c>
      <c r="L3871" s="27"/>
    </row>
    <row r="3872" spans="1:12">
      <c r="A3872" s="20" t="s">
        <v>1000</v>
      </c>
      <c r="E3872" s="22">
        <f>IF(D3872="?OLD","!!!","")</f>
        <v/>
      </c>
      <c r="F3872" s="23" t="str">
        <f>IF(OR(E3872="",E3872="!!!"),"",IF(NOT(ISNA(VLOOKUP(E3872,E$1:E3871,1,FALSE()))),"OLD",IF(AND(E3872&lt;&gt;"",E3872&lt;&gt;"!!!"),"NEW","")))</f>
        <v> </v>
      </c>
      <c r="G3872" s="24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5" t="str">
        <f>IF(J3872&lt;&gt;1,"",IF(I3872="SBJ","CB","?"))</f>
        <v> </v>
      </c>
      <c r="I3872" s="26" t="str">
        <f>IF(OR(E3872="",E3872="!!!",F3872="NEW"),"",INDEX(B3871:B$2,-1+SUMPRODUCT(MAX(ROW(E3871:E$2)*(E3872=E3871:E$2)))))</f>
        <v> </v>
      </c>
      <c r="J3872" s="26" t="str">
        <f>IF(OR(E3872="",E3872="!!!",F3872="NEW"),"",COUNTBLANK(OFFSET(A$1,,,SUMPRODUCT(MAX(ROW(E$2:E3872)*(E3872=E$2:E3872)))))-COUNTBLANK(OFFSET(A$1,,,SUMPRODUCT(MAX(ROW(E$1:E3871)*(E2=E$1:E3871))))))</f>
        <v> </v>
      </c>
      <c r="K3872" s="26" t="str">
        <f>IF(OR(E3872="",E3872="!!!",F3872="NEW"),"",INDEX(J$1:J3871,SUMPRODUCT(MAX(ROW(E$1:E3871)*(E3872=E$1:E3871)))))</f>
        <v> </v>
      </c>
      <c r="L3872" s="27"/>
    </row>
    <row r="3873" spans="1:12">
      <c r="A3873" s="20" t="s">
        <v>1001</v>
      </c>
      <c r="E3873" s="22">
        <f>IF(D3873="?OLD","!!!","")</f>
        <v/>
      </c>
      <c r="F3873" s="23" t="str">
        <f>IF(OR(E3873="",E3873="!!!"),"",IF(NOT(ISNA(VLOOKUP(E3873,E$1:E3872,1,FALSE()))),"OLD",IF(AND(E3873&lt;&gt;"",E3873&lt;&gt;"!!!"),"NEW","")))</f>
        <v> </v>
      </c>
      <c r="G3873" s="24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5" t="str">
        <f>IF(J3873&lt;&gt;1,"",IF(I3873="SBJ","CB","?"))</f>
        <v> </v>
      </c>
      <c r="I3873" s="26" t="str">
        <f>IF(OR(E3873="",E3873="!!!",F3873="NEW"),"",INDEX(B3872:B$2,-1+SUMPRODUCT(MAX(ROW(E3872:E$2)*(E3873=E3872:E$2)))))</f>
        <v> </v>
      </c>
      <c r="J3873" s="26" t="str">
        <f>IF(OR(E3873="",E3873="!!!",F3873="NEW"),"",COUNTBLANK(OFFSET(A$1,,,SUMPRODUCT(MAX(ROW(E$2:E3873)*(E3873=E$2:E3873)))))-COUNTBLANK(OFFSET(A$1,,,SUMPRODUCT(MAX(ROW(E$1:E3872)*(E2=E$1:E3872))))))</f>
        <v> </v>
      </c>
      <c r="K3873" s="26" t="str">
        <f>IF(OR(E3873="",E3873="!!!",F3873="NEW"),"",INDEX(J$1:J3872,SUMPRODUCT(MAX(ROW(E$1:E3872)*(E3873=E$1:E3872)))))</f>
        <v> </v>
      </c>
      <c r="L3873" s="27"/>
    </row>
    <row r="3874" spans="1:12">
      <c r="A3874" s="20" t="s">
        <v>1072</v>
      </c>
      <c r="E3874" s="22">
        <f>IF(D3874="?OLD","!!!","")</f>
        <v/>
      </c>
      <c r="F3874" s="23" t="str">
        <f>IF(OR(E3874="",E3874="!!!"),"",IF(NOT(ISNA(VLOOKUP(E3874,E$1:E3873,1,FALSE()))),"OLD",IF(AND(E3874&lt;&gt;"",E3874&lt;&gt;"!!!"),"NEW","")))</f>
        <v> </v>
      </c>
      <c r="G3874" s="24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5" t="str">
        <f>IF(J3874&lt;&gt;1,"",IF(I3874="SBJ","CB","?"))</f>
        <v> </v>
      </c>
      <c r="I3874" s="26" t="str">
        <f>IF(OR(E3874="",E3874="!!!",F3874="NEW"),"",INDEX(B3873:B$2,-1+SUMPRODUCT(MAX(ROW(E3873:E$2)*(E3874=E3873:E$2)))))</f>
        <v> </v>
      </c>
      <c r="J3874" s="26" t="str">
        <f>IF(OR(E3874="",E3874="!!!",F3874="NEW"),"",COUNTBLANK(OFFSET(A$1,,,SUMPRODUCT(MAX(ROW(E$2:E3874)*(E3874=E$2:E3874)))))-COUNTBLANK(OFFSET(A$1,,,SUMPRODUCT(MAX(ROW(E$1:E3873)*(E2=E$1:E3873))))))</f>
        <v> </v>
      </c>
      <c r="K3874" s="26" t="str">
        <f>IF(OR(E3874="",E3874="!!!",F3874="NEW"),"",INDEX(J$1:J3873,SUMPRODUCT(MAX(ROW(E$1:E3873)*(E3874=E$1:E3873)))))</f>
        <v> </v>
      </c>
      <c r="L3874" s="27"/>
    </row>
    <row r="3875" spans="1:12">
      <c r="A3875" s="20" t="s">
        <v>2038</v>
      </c>
      <c r="E3875" s="22">
        <f>IF(D3875="?OLD","!!!","")</f>
        <v/>
      </c>
      <c r="F3875" s="23" t="str">
        <f>IF(OR(E3875="",E3875="!!!"),"",IF(NOT(ISNA(VLOOKUP(E3875,E$1:E3874,1,FALSE()))),"OLD",IF(AND(E3875&lt;&gt;"",E3875&lt;&gt;"!!!"),"NEW","")))</f>
        <v> </v>
      </c>
      <c r="G3875" s="24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5" t="str">
        <f>IF(J3875&lt;&gt;1,"",IF(I3875="SBJ","CB","?"))</f>
        <v> </v>
      </c>
      <c r="I3875" s="26" t="str">
        <f>IF(OR(E3875="",E3875="!!!",F3875="NEW"),"",INDEX(B3874:B$2,-1+SUMPRODUCT(MAX(ROW(E3874:E$2)*(E3875=E3874:E$2)))))</f>
        <v> </v>
      </c>
      <c r="J3875" s="26" t="str">
        <f>IF(OR(E3875="",E3875="!!!",F3875="NEW"),"",COUNTBLANK(OFFSET(A$1,,,SUMPRODUCT(MAX(ROW(E$2:E3875)*(E3875=E$2:E3875)))))-COUNTBLANK(OFFSET(A$1,,,SUMPRODUCT(MAX(ROW(E$1:E3874)*(E2=E$1:E3874))))))</f>
        <v> </v>
      </c>
      <c r="K3875" s="26" t="str">
        <f>IF(OR(E3875="",E3875="!!!",F3875="NEW"),"",INDEX(J$1:J3874,SUMPRODUCT(MAX(ROW(E$1:E3874)*(E3875=E$1:E3874)))))</f>
        <v> </v>
      </c>
      <c r="L3875" s="27"/>
    </row>
    <row r="3876" spans="1:12">
      <c r="A3876" s="20" t="s">
        <v>1022</v>
      </c>
      <c r="E3876" s="22">
        <f>IF(D3876="?OLD","!!!","")</f>
        <v/>
      </c>
      <c r="F3876" s="23" t="str">
        <f>IF(OR(E3876="",E3876="!!!"),"",IF(NOT(ISNA(VLOOKUP(E3876,E$1:E3875,1,FALSE()))),"OLD",IF(AND(E3876&lt;&gt;"",E3876&lt;&gt;"!!!"),"NEW","")))</f>
        <v> </v>
      </c>
      <c r="G3876" s="24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5" t="str">
        <f>IF(J3876&lt;&gt;1,"",IF(I3876="SBJ","CB","?"))</f>
        <v> </v>
      </c>
      <c r="I3876" s="26" t="str">
        <f>IF(OR(E3876="",E3876="!!!",F3876="NEW"),"",INDEX(B3875:B$2,-1+SUMPRODUCT(MAX(ROW(E3875:E$2)*(E3876=E3875:E$2)))))</f>
        <v> </v>
      </c>
      <c r="J3876" s="26" t="str">
        <f>IF(OR(E3876="",E3876="!!!",F3876="NEW"),"",COUNTBLANK(OFFSET(A$1,,,SUMPRODUCT(MAX(ROW(E$2:E3876)*(E3876=E$2:E3876)))))-COUNTBLANK(OFFSET(A$1,,,SUMPRODUCT(MAX(ROW(E$1:E3875)*(E2=E$1:E3875))))))</f>
        <v> </v>
      </c>
      <c r="K3876" s="26" t="str">
        <f>IF(OR(E3876="",E3876="!!!",F3876="NEW"),"",INDEX(J$1:J3875,SUMPRODUCT(MAX(ROW(E$1:E3875)*(E3876=E$1:E3875)))))</f>
        <v> </v>
      </c>
      <c r="L3876" s="27"/>
    </row>
    <row r="3877" spans="1:12">
      <c r="A3877" s="20" t="s">
        <v>1256</v>
      </c>
      <c r="E3877" s="22">
        <f>IF(D3877="?OLD","!!!","")</f>
        <v/>
      </c>
      <c r="F3877" s="23" t="str">
        <f>IF(OR(E3877="",E3877="!!!"),"",IF(NOT(ISNA(VLOOKUP(E3877,E$1:E3876,1,FALSE()))),"OLD",IF(AND(E3877&lt;&gt;"",E3877&lt;&gt;"!!!"),"NEW","")))</f>
        <v> </v>
      </c>
      <c r="G3877" s="24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5" t="str">
        <f>IF(J3877&lt;&gt;1,"",IF(I3877="SBJ","CB","?"))</f>
        <v> </v>
      </c>
      <c r="I3877" s="26" t="str">
        <f>IF(OR(E3877="",E3877="!!!",F3877="NEW"),"",INDEX(B3876:B$2,-1+SUMPRODUCT(MAX(ROW(E3876:E$2)*(E3877=E3876:E$2)))))</f>
        <v> </v>
      </c>
      <c r="J3877" s="26" t="str">
        <f>IF(OR(E3877="",E3877="!!!",F3877="NEW"),"",COUNTBLANK(OFFSET(A$1,,,SUMPRODUCT(MAX(ROW(E$2:E3877)*(E3877=E$2:E3877)))))-COUNTBLANK(OFFSET(A$1,,,SUMPRODUCT(MAX(ROW(E$1:E3876)*(E2=E$1:E3876))))))</f>
        <v> </v>
      </c>
      <c r="K3877" s="26" t="str">
        <f>IF(OR(E3877="",E3877="!!!",F3877="NEW"),"",INDEX(J$1:J3876,SUMPRODUCT(MAX(ROW(E$1:E3876)*(E3877=E$1:E3876)))))</f>
        <v> </v>
      </c>
      <c r="L3877" s="27"/>
    </row>
    <row r="3878" spans="1:12">
      <c r="A3878" s="20" t="s">
        <v>2039</v>
      </c>
      <c r="B3878" s="21" t="s">
        <v>975</v>
      </c>
      <c r="C3878" s="21" t="s">
        <v>1044</v>
      </c>
      <c r="D3878" s="21" t="s">
        <v>950</v>
      </c>
      <c r="E3878" s="22">
        <f>IF(D3878="?OLD","!!!","")</f>
        <v/>
      </c>
      <c r="F3878" s="23" t="str">
        <f>IF(OR(E3878="",E3878="!!!"),"",IF(NOT(ISNA(VLOOKUP(E3878,E$1:E3877,1,FALSE()))),"OLD",IF(AND(E3878&lt;&gt;"",E3878&lt;&gt;"!!!"),"NEW","")))</f>
        <v> </v>
      </c>
      <c r="G3878" s="24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5" t="str">
        <f>IF(J3878&lt;&gt;1,"",IF(I3878="SBJ","CB","?"))</f>
        <v> </v>
      </c>
      <c r="I3878" s="26" t="str">
        <f>IF(OR(E3878="",E3878="!!!",F3878="NEW"),"",INDEX(B3877:B$2,-1+SUMPRODUCT(MAX(ROW(E3877:E$2)*(E3878=E3877:E$2)))))</f>
        <v> </v>
      </c>
      <c r="J3878" s="26" t="str">
        <f>IF(OR(E3878="",E3878="!!!",F3878="NEW"),"",COUNTBLANK(OFFSET(A$1,,,SUMPRODUCT(MAX(ROW(E$2:E3878)*(E3878=E$2:E3878)))))-COUNTBLANK(OFFSET(A$1,,,SUMPRODUCT(MAX(ROW(E$1:E3877)*(E2=E$1:E3877))))))</f>
        <v> </v>
      </c>
      <c r="K3878" s="26" t="str">
        <f>IF(OR(E3878="",E3878="!!!",F3878="NEW"),"",INDEX(J$1:J3877,SUMPRODUCT(MAX(ROW(E$1:E3877)*(E3878=E$1:E3877)))))</f>
        <v> </v>
      </c>
      <c r="L3878" s="27"/>
    </row>
    <row r="3879" spans="1:12">
      <c r="A3879" s="20" t="s">
        <v>2040</v>
      </c>
      <c r="E3879" s="22">
        <f>IF(D3879="?OLD","!!!","")</f>
        <v/>
      </c>
      <c r="F3879" s="23" t="str">
        <f>IF(OR(E3879="",E3879="!!!"),"",IF(NOT(ISNA(VLOOKUP(E3879,E$1:E3878,1,FALSE()))),"OLD",IF(AND(E3879&lt;&gt;"",E3879&lt;&gt;"!!!"),"NEW","")))</f>
        <v> </v>
      </c>
      <c r="G3879" s="24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5" t="str">
        <f>IF(J3879&lt;&gt;1,"",IF(I3879="SBJ","CB","?"))</f>
        <v> </v>
      </c>
      <c r="I3879" s="26" t="str">
        <f>IF(OR(E3879="",E3879="!!!",F3879="NEW"),"",INDEX(B3878:B$2,-1+SUMPRODUCT(MAX(ROW(E3878:E$2)*(E3879=E3878:E$2)))))</f>
        <v> </v>
      </c>
      <c r="J3879" s="26" t="str">
        <f>IF(OR(E3879="",E3879="!!!",F3879="NEW"),"",COUNTBLANK(OFFSET(A$1,,,SUMPRODUCT(MAX(ROW(E$2:E3879)*(E3879=E$2:E3879)))))-COUNTBLANK(OFFSET(A$1,,,SUMPRODUCT(MAX(ROW(E$1:E3878)*(E2=E$1:E3878))))))</f>
        <v> </v>
      </c>
      <c r="K3879" s="26" t="str">
        <f>IF(OR(E3879="",E3879="!!!",F3879="NEW"),"",INDEX(J$1:J3878,SUMPRODUCT(MAX(ROW(E$1:E3878)*(E3879=E$1:E3878)))))</f>
        <v> </v>
      </c>
      <c r="L3879" s="27"/>
    </row>
    <row r="3880" spans="1:12">
      <c r="A3880" s="20" t="s">
        <v>1000</v>
      </c>
      <c r="E3880" s="22">
        <f>IF(D3880="?OLD","!!!","")</f>
        <v/>
      </c>
      <c r="F3880" s="23" t="str">
        <f>IF(OR(E3880="",E3880="!!!"),"",IF(NOT(ISNA(VLOOKUP(E3880,E$1:E3879,1,FALSE()))),"OLD",IF(AND(E3880&lt;&gt;"",E3880&lt;&gt;"!!!"),"NEW","")))</f>
        <v> </v>
      </c>
      <c r="G3880" s="24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5" t="str">
        <f>IF(J3880&lt;&gt;1,"",IF(I3880="SBJ","CB","?"))</f>
        <v> </v>
      </c>
      <c r="I3880" s="26" t="str">
        <f>IF(OR(E3880="",E3880="!!!",F3880="NEW"),"",INDEX(B3879:B$2,-1+SUMPRODUCT(MAX(ROW(E3879:E$2)*(E3880=E3879:E$2)))))</f>
        <v> </v>
      </c>
      <c r="J3880" s="26" t="str">
        <f>IF(OR(E3880="",E3880="!!!",F3880="NEW"),"",COUNTBLANK(OFFSET(A$1,,,SUMPRODUCT(MAX(ROW(E$2:E3880)*(E3880=E$2:E3880)))))-COUNTBLANK(OFFSET(A$1,,,SUMPRODUCT(MAX(ROW(E$1:E3879)*(E2=E$1:E3879))))))</f>
        <v> </v>
      </c>
      <c r="K3880" s="26" t="str">
        <f>IF(OR(E3880="",E3880="!!!",F3880="NEW"),"",INDEX(J$1:J3879,SUMPRODUCT(MAX(ROW(E$1:E3879)*(E3880=E$1:E3879)))))</f>
        <v> </v>
      </c>
      <c r="L3880" s="27"/>
    </row>
    <row r="3881" spans="1:12">
      <c r="A3881" s="20" t="s">
        <v>1389</v>
      </c>
      <c r="B3881" s="21" t="s">
        <v>1031</v>
      </c>
      <c r="C3881" s="21" t="s">
        <v>1008</v>
      </c>
      <c r="D3881" s="21" t="s">
        <v>950</v>
      </c>
      <c r="E3881" s="22">
        <f>IF(D3881="?OLD","!!!","")</f>
        <v/>
      </c>
      <c r="F3881" s="23" t="str">
        <f>IF(OR(E3881="",E3881="!!!"),"",IF(NOT(ISNA(VLOOKUP(E3881,E$1:E3880,1,FALSE()))),"OLD",IF(AND(E3881&lt;&gt;"",E3881&lt;&gt;"!!!"),"NEW","")))</f>
        <v> </v>
      </c>
      <c r="G3881" s="24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5" t="str">
        <f>IF(J3881&lt;&gt;1,"",IF(I3881="SBJ","CB","?"))</f>
        <v> </v>
      </c>
      <c r="I3881" s="26" t="str">
        <f>IF(OR(E3881="",E3881="!!!",F3881="NEW"),"",INDEX(B3880:B$2,-1+SUMPRODUCT(MAX(ROW(E3880:E$2)*(E3881=E3880:E$2)))))</f>
        <v> </v>
      </c>
      <c r="J3881" s="26" t="str">
        <f>IF(OR(E3881="",E3881="!!!",F3881="NEW"),"",COUNTBLANK(OFFSET(A$1,,,SUMPRODUCT(MAX(ROW(E$2:E3881)*(E3881=E$2:E3881)))))-COUNTBLANK(OFFSET(A$1,,,SUMPRODUCT(MAX(ROW(E$1:E3880)*(E2=E$1:E3880))))))</f>
        <v> </v>
      </c>
      <c r="K3881" s="26" t="str">
        <f>IF(OR(E3881="",E3881="!!!",F3881="NEW"),"",INDEX(J$1:J3880,SUMPRODUCT(MAX(ROW(E$1:E3880)*(E3881=E$1:E3880)))))</f>
        <v> </v>
      </c>
      <c r="L3881" s="27"/>
    </row>
    <row r="3882" spans="1:12">
      <c r="A3882" s="20" t="s">
        <v>965</v>
      </c>
      <c r="B3882" s="21" t="s">
        <v>1080</v>
      </c>
      <c r="E3882" s="22">
        <f>IF(D3882="?OLD","!!!","")</f>
        <v/>
      </c>
      <c r="F3882" s="23" t="str">
        <f>IF(OR(E3882="",E3882="!!!"),"",IF(NOT(ISNA(VLOOKUP(E3882,E$1:E3881,1,FALSE()))),"OLD",IF(AND(E3882&lt;&gt;"",E3882&lt;&gt;"!!!"),"NEW","")))</f>
        <v> </v>
      </c>
      <c r="G3882" s="24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5" t="str">
        <f>IF(J3882&lt;&gt;1,"",IF(I3882="SBJ","CB","?"))</f>
        <v> </v>
      </c>
      <c r="I3882" s="26" t="str">
        <f>IF(OR(E3882="",E3882="!!!",F3882="NEW"),"",INDEX(B3881:B$2,-1+SUMPRODUCT(MAX(ROW(E3881:E$2)*(E3882=E3881:E$2)))))</f>
        <v> </v>
      </c>
      <c r="J3882" s="26" t="str">
        <f>IF(OR(E3882="",E3882="!!!",F3882="NEW"),"",COUNTBLANK(OFFSET(A$1,,,SUMPRODUCT(MAX(ROW(E$2:E3882)*(E3882=E$2:E3882)))))-COUNTBLANK(OFFSET(A$1,,,SUMPRODUCT(MAX(ROW(E$1:E3881)*(E2=E$1:E3881))))))</f>
        <v> </v>
      </c>
      <c r="K3882" s="26" t="str">
        <f>IF(OR(E3882="",E3882="!!!",F3882="NEW"),"",INDEX(J$1:J3881,SUMPRODUCT(MAX(ROW(E$1:E3881)*(E3882=E$1:E3881)))))</f>
        <v> </v>
      </c>
      <c r="L3882" s="27"/>
    </row>
    <row r="3883" spans="1:12">
      <c r="A3883" s="20" t="s">
        <v>2041</v>
      </c>
      <c r="E3883" s="22">
        <f>IF(D3883="?OLD","!!!","")</f>
        <v/>
      </c>
      <c r="F3883" s="23" t="str">
        <f>IF(OR(E3883="",E3883="!!!"),"",IF(NOT(ISNA(VLOOKUP(E3883,E$1:E3882,1,FALSE()))),"OLD",IF(AND(E3883&lt;&gt;"",E3883&lt;&gt;"!!!"),"NEW","")))</f>
        <v> </v>
      </c>
      <c r="G3883" s="24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5" t="str">
        <f>IF(J3883&lt;&gt;1,"",IF(I3883="SBJ","CB","?"))</f>
        <v> </v>
      </c>
      <c r="I3883" s="26" t="str">
        <f>IF(OR(E3883="",E3883="!!!",F3883="NEW"),"",INDEX(B3882:B$2,-1+SUMPRODUCT(MAX(ROW(E3882:E$2)*(E3883=E3882:E$2)))))</f>
        <v> </v>
      </c>
      <c r="J3883" s="26" t="str">
        <f>IF(OR(E3883="",E3883="!!!",F3883="NEW"),"",COUNTBLANK(OFFSET(A$1,,,SUMPRODUCT(MAX(ROW(E$2:E3883)*(E3883=E$2:E3883)))))-COUNTBLANK(OFFSET(A$1,,,SUMPRODUCT(MAX(ROW(E$1:E3882)*(E2=E$1:E3882))))))</f>
        <v> </v>
      </c>
      <c r="K3883" s="26" t="str">
        <f>IF(OR(E3883="",E3883="!!!",F3883="NEW"),"",INDEX(J$1:J3882,SUMPRODUCT(MAX(ROW(E$1:E3882)*(E3883=E$1:E3882)))))</f>
        <v> </v>
      </c>
      <c r="L3883" s="27"/>
    </row>
    <row r="3884" spans="1:12">
      <c r="A3884" s="20" t="s">
        <v>965</v>
      </c>
      <c r="E3884" s="22">
        <f>IF(D3884="?OLD","!!!","")</f>
        <v/>
      </c>
      <c r="F3884" s="23" t="str">
        <f>IF(OR(E3884="",E3884="!!!"),"",IF(NOT(ISNA(VLOOKUP(E3884,E$1:E3883,1,FALSE()))),"OLD",IF(AND(E3884&lt;&gt;"",E3884&lt;&gt;"!!!"),"NEW","")))</f>
        <v> </v>
      </c>
      <c r="G3884" s="24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5" t="str">
        <f>IF(J3884&lt;&gt;1,"",IF(I3884="SBJ","CB","?"))</f>
        <v> </v>
      </c>
      <c r="I3884" s="26" t="str">
        <f>IF(OR(E3884="",E3884="!!!",F3884="NEW"),"",INDEX(B3883:B$2,-1+SUMPRODUCT(MAX(ROW(E3883:E$2)*(E3884=E3883:E$2)))))</f>
        <v> </v>
      </c>
      <c r="J3884" s="26" t="str">
        <f>IF(OR(E3884="",E3884="!!!",F3884="NEW"),"",COUNTBLANK(OFFSET(A$1,,,SUMPRODUCT(MAX(ROW(E$2:E3884)*(E3884=E$2:E3884)))))-COUNTBLANK(OFFSET(A$1,,,SUMPRODUCT(MAX(ROW(E$1:E3883)*(E2=E$1:E3883))))))</f>
        <v> </v>
      </c>
      <c r="K3884" s="26" t="str">
        <f>IF(OR(E3884="",E3884="!!!",F3884="NEW"),"",INDEX(J$1:J3883,SUMPRODUCT(MAX(ROW(E$1:E3883)*(E3884=E$1:E3883)))))</f>
        <v> </v>
      </c>
      <c r="L3884" s="27"/>
    </row>
    <row r="3885" spans="1:12">
      <c r="A3885" s="20" t="s">
        <v>1018</v>
      </c>
      <c r="E3885" s="22">
        <f>IF(D3885="?OLD","!!!","")</f>
        <v/>
      </c>
      <c r="F3885" s="23" t="str">
        <f>IF(OR(E3885="",E3885="!!!"),"",IF(NOT(ISNA(VLOOKUP(E3885,E$1:E3884,1,FALSE()))),"OLD",IF(AND(E3885&lt;&gt;"",E3885&lt;&gt;"!!!"),"NEW","")))</f>
        <v> </v>
      </c>
      <c r="G3885" s="24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5" t="str">
        <f>IF(J3885&lt;&gt;1,"",IF(I3885="SBJ","CB","?"))</f>
        <v> </v>
      </c>
      <c r="I3885" s="26" t="str">
        <f>IF(OR(E3885="",E3885="!!!",F3885="NEW"),"",INDEX(B3884:B$2,-1+SUMPRODUCT(MAX(ROW(E3884:E$2)*(E3885=E3884:E$2)))))</f>
        <v> </v>
      </c>
      <c r="J3885" s="26" t="str">
        <f>IF(OR(E3885="",E3885="!!!",F3885="NEW"),"",COUNTBLANK(OFFSET(A$1,,,SUMPRODUCT(MAX(ROW(E$2:E3885)*(E3885=E$2:E3885)))))-COUNTBLANK(OFFSET(A$1,,,SUMPRODUCT(MAX(ROW(E$1:E3884)*(E2=E$1:E3884))))))</f>
        <v> </v>
      </c>
      <c r="K3885" s="26" t="str">
        <f>IF(OR(E3885="",E3885="!!!",F3885="NEW"),"",INDEX(J$1:J3884,SUMPRODUCT(MAX(ROW(E$1:E3884)*(E3885=E$1:E3884)))))</f>
        <v> </v>
      </c>
      <c r="L3885" s="27"/>
    </row>
    <row r="3886" spans="1:12">
      <c r="A3886" s="20" t="s">
        <v>283</v>
      </c>
      <c r="E3886" s="22">
        <f>IF(D3886="?OLD","!!!","")</f>
        <v/>
      </c>
      <c r="F3886" s="23" t="str">
        <f>IF(OR(E3886="",E3886="!!!"),"",IF(NOT(ISNA(VLOOKUP(E3886,E$1:E3885,1,FALSE()))),"OLD",IF(AND(E3886&lt;&gt;"",E3886&lt;&gt;"!!!"),"NEW","")))</f>
        <v> </v>
      </c>
      <c r="G3886" s="24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5" t="str">
        <f>IF(J3886&lt;&gt;1,"",IF(I3886="SBJ","CB","?"))</f>
        <v> </v>
      </c>
      <c r="I3886" s="26" t="str">
        <f>IF(OR(E3886="",E3886="!!!",F3886="NEW"),"",INDEX(B3885:B$2,-1+SUMPRODUCT(MAX(ROW(E3885:E$2)*(E3886=E3885:E$2)))))</f>
        <v> </v>
      </c>
      <c r="J3886" s="26" t="str">
        <f>IF(OR(E3886="",E3886="!!!",F3886="NEW"),"",COUNTBLANK(OFFSET(A$1,,,SUMPRODUCT(MAX(ROW(E$2:E3886)*(E3886=E$2:E3886)))))-COUNTBLANK(OFFSET(A$1,,,SUMPRODUCT(MAX(ROW(E$1:E3885)*(E2=E$1:E3885))))))</f>
        <v> </v>
      </c>
      <c r="K3886" s="26" t="str">
        <f>IF(OR(E3886="",E3886="!!!",F3886="NEW"),"",INDEX(J$1:J3885,SUMPRODUCT(MAX(ROW(E$1:E3885)*(E3886=E$1:E3885)))))</f>
        <v> </v>
      </c>
      <c r="L3886" s="27"/>
    </row>
    <row r="3887" spans="1:12">
      <c r="A3887" s="20" t="s">
        <v>1022</v>
      </c>
      <c r="E3887" s="22">
        <f>IF(D3887="?OLD","!!!","")</f>
        <v/>
      </c>
      <c r="F3887" s="23" t="str">
        <f>IF(OR(E3887="",E3887="!!!"),"",IF(NOT(ISNA(VLOOKUP(E3887,E$1:E3886,1,FALSE()))),"OLD",IF(AND(E3887&lt;&gt;"",E3887&lt;&gt;"!!!"),"NEW","")))</f>
        <v> </v>
      </c>
      <c r="G3887" s="24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5" t="str">
        <f>IF(J3887&lt;&gt;1,"",IF(I3887="SBJ","CB","?"))</f>
        <v> </v>
      </c>
      <c r="I3887" s="26" t="str">
        <f>IF(OR(E3887="",E3887="!!!",F3887="NEW"),"",INDEX(B3886:B$2,-1+SUMPRODUCT(MAX(ROW(E3886:E$2)*(E3887=E3886:E$2)))))</f>
        <v> </v>
      </c>
      <c r="J3887" s="26" t="str">
        <f>IF(OR(E3887="",E3887="!!!",F3887="NEW"),"",COUNTBLANK(OFFSET(A$1,,,SUMPRODUCT(MAX(ROW(E$2:E3887)*(E3887=E$2:E3887)))))-COUNTBLANK(OFFSET(A$1,,,SUMPRODUCT(MAX(ROW(E$1:E3886)*(E2=E$1:E3886))))))</f>
        <v> </v>
      </c>
      <c r="K3887" s="26" t="str">
        <f>IF(OR(E3887="",E3887="!!!",F3887="NEW"),"",INDEX(J$1:J3886,SUMPRODUCT(MAX(ROW(E$1:E3886)*(E3887=E$1:E3886)))))</f>
        <v> </v>
      </c>
      <c r="L3887" s="27"/>
    </row>
    <row r="3888" spans="1:12">
      <c r="A3888" s="20" t="s">
        <v>2042</v>
      </c>
      <c r="E3888" s="22">
        <f>IF(D3888="?OLD","!!!","")</f>
        <v/>
      </c>
      <c r="F3888" s="23" t="str">
        <f>IF(OR(E3888="",E3888="!!!"),"",IF(NOT(ISNA(VLOOKUP(E3888,E$1:E3887,1,FALSE()))),"OLD",IF(AND(E3888&lt;&gt;"",E3888&lt;&gt;"!!!"),"NEW","")))</f>
        <v> </v>
      </c>
      <c r="G3888" s="24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5" t="str">
        <f>IF(J3888&lt;&gt;1,"",IF(I3888="SBJ","CB","?"))</f>
        <v> </v>
      </c>
      <c r="I3888" s="26" t="str">
        <f>IF(OR(E3888="",E3888="!!!",F3888="NEW"),"",INDEX(B3887:B$2,-1+SUMPRODUCT(MAX(ROW(E3887:E$2)*(E3888=E3887:E$2)))))</f>
        <v> </v>
      </c>
      <c r="J3888" s="26" t="str">
        <f>IF(OR(E3888="",E3888="!!!",F3888="NEW"),"",COUNTBLANK(OFFSET(A$1,,,SUMPRODUCT(MAX(ROW(E$2:E3888)*(E3888=E$2:E3888)))))-COUNTBLANK(OFFSET(A$1,,,SUMPRODUCT(MAX(ROW(E$1:E3887)*(E2=E$1:E3887))))))</f>
        <v> </v>
      </c>
      <c r="K3888" s="26" t="str">
        <f>IF(OR(E3888="",E3888="!!!",F3888="NEW"),"",INDEX(J$1:J3887,SUMPRODUCT(MAX(ROW(E$1:E3887)*(E3888=E$1:E3887)))))</f>
        <v> </v>
      </c>
      <c r="L3888" s="27"/>
    </row>
    <row r="3889" spans="1:12">
      <c r="A3889" s="20" t="s">
        <v>1000</v>
      </c>
      <c r="E3889" s="22">
        <f>IF(D3889="?OLD","!!!","")</f>
        <v/>
      </c>
      <c r="F3889" s="23" t="str">
        <f>IF(OR(E3889="",E3889="!!!"),"",IF(NOT(ISNA(VLOOKUP(E3889,E$1:E3888,1,FALSE()))),"OLD",IF(AND(E3889&lt;&gt;"",E3889&lt;&gt;"!!!"),"NEW","")))</f>
        <v> </v>
      </c>
      <c r="G3889" s="24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5" t="str">
        <f>IF(J3889&lt;&gt;1,"",IF(I3889="SBJ","CB","?"))</f>
        <v> </v>
      </c>
      <c r="I3889" s="26" t="str">
        <f>IF(OR(E3889="",E3889="!!!",F3889="NEW"),"",INDEX(B3888:B$2,-1+SUMPRODUCT(MAX(ROW(E3888:E$2)*(E3889=E3888:E$2)))))</f>
        <v> </v>
      </c>
      <c r="J3889" s="26" t="str">
        <f>IF(OR(E3889="",E3889="!!!",F3889="NEW"),"",COUNTBLANK(OFFSET(A$1,,,SUMPRODUCT(MAX(ROW(E$2:E3889)*(E3889=E$2:E3889)))))-COUNTBLANK(OFFSET(A$1,,,SUMPRODUCT(MAX(ROW(E$1:E3888)*(E2=E$1:E3888))))))</f>
        <v> </v>
      </c>
      <c r="K3889" s="26" t="str">
        <f>IF(OR(E3889="",E3889="!!!",F3889="NEW"),"",INDEX(J$1:J3888,SUMPRODUCT(MAX(ROW(E$1:E3888)*(E3889=E$1:E3888)))))</f>
        <v> </v>
      </c>
      <c r="L3889" s="27"/>
    </row>
    <row r="3890" spans="1:12">
      <c r="A3890" s="20" t="s">
        <v>1763</v>
      </c>
      <c r="E3890" s="22">
        <f>IF(D3890="?OLD","!!!","")</f>
        <v/>
      </c>
      <c r="F3890" s="23" t="str">
        <f>IF(OR(E3890="",E3890="!!!"),"",IF(NOT(ISNA(VLOOKUP(E3890,E$1:E3889,1,FALSE()))),"OLD",IF(AND(E3890&lt;&gt;"",E3890&lt;&gt;"!!!"),"NEW","")))</f>
        <v> </v>
      </c>
      <c r="G3890" s="24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5" t="str">
        <f>IF(J3890&lt;&gt;1,"",IF(I3890="SBJ","CB","?"))</f>
        <v> </v>
      </c>
      <c r="I3890" s="26" t="str">
        <f>IF(OR(E3890="",E3890="!!!",F3890="NEW"),"",INDEX(B3889:B$2,-1+SUMPRODUCT(MAX(ROW(E3889:E$2)*(E3890=E3889:E$2)))))</f>
        <v> </v>
      </c>
      <c r="J3890" s="26" t="str">
        <f>IF(OR(E3890="",E3890="!!!",F3890="NEW"),"",COUNTBLANK(OFFSET(A$1,,,SUMPRODUCT(MAX(ROW(E$2:E3890)*(E3890=E$2:E3890)))))-COUNTBLANK(OFFSET(A$1,,,SUMPRODUCT(MAX(ROW(E$1:E3889)*(E2=E$1:E3889))))))</f>
        <v> </v>
      </c>
      <c r="K3890" s="26" t="str">
        <f>IF(OR(E3890="",E3890="!!!",F3890="NEW"),"",INDEX(J$1:J3889,SUMPRODUCT(MAX(ROW(E$1:E3889)*(E3890=E$1:E3889)))))</f>
        <v> </v>
      </c>
      <c r="L3890" s="27"/>
    </row>
    <row r="3891" spans="1:12">
      <c r="A3891" s="20" t="s">
        <v>998</v>
      </c>
      <c r="E3891" s="22">
        <f>IF(D3891="?OLD","!!!","")</f>
        <v/>
      </c>
      <c r="F3891" s="23" t="str">
        <f>IF(OR(E3891="",E3891="!!!"),"",IF(NOT(ISNA(VLOOKUP(E3891,E$1:E3890,1,FALSE()))),"OLD",IF(AND(E3891&lt;&gt;"",E3891&lt;&gt;"!!!"),"NEW","")))</f>
        <v> </v>
      </c>
      <c r="G3891" s="24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5" t="str">
        <f>IF(J3891&lt;&gt;1,"",IF(I3891="SBJ","CB","?"))</f>
        <v> </v>
      </c>
      <c r="I3891" s="26" t="str">
        <f>IF(OR(E3891="",E3891="!!!",F3891="NEW"),"",INDEX(B3890:B$2,-1+SUMPRODUCT(MAX(ROW(E3890:E$2)*(E3891=E3890:E$2)))))</f>
        <v> </v>
      </c>
      <c r="J3891" s="26" t="str">
        <f>IF(OR(E3891="",E3891="!!!",F3891="NEW"),"",COUNTBLANK(OFFSET(A$1,,,SUMPRODUCT(MAX(ROW(E$2:E3891)*(E3891=E$2:E3891)))))-COUNTBLANK(OFFSET(A$1,,,SUMPRODUCT(MAX(ROW(E$1:E3890)*(E2=E$1:E3890))))))</f>
        <v> </v>
      </c>
      <c r="K3891" s="26" t="str">
        <f>IF(OR(E3891="",E3891="!!!",F3891="NEW"),"",INDEX(J$1:J3890,SUMPRODUCT(MAX(ROW(E$1:E3890)*(E3891=E$1:E3890)))))</f>
        <v> </v>
      </c>
      <c r="L3891" s="27"/>
    </row>
    <row r="3892" spans="1:12">
      <c r="A3892" s="20" t="s">
        <v>1249</v>
      </c>
      <c r="E3892" s="22">
        <f>IF(D3892="?OLD","!!!","")</f>
        <v/>
      </c>
      <c r="F3892" s="23" t="str">
        <f>IF(OR(E3892="",E3892="!!!"),"",IF(NOT(ISNA(VLOOKUP(E3892,E$1:E3891,1,FALSE()))),"OLD",IF(AND(E3892&lt;&gt;"",E3892&lt;&gt;"!!!"),"NEW","")))</f>
        <v> </v>
      </c>
      <c r="G3892" s="24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5" t="str">
        <f>IF(J3892&lt;&gt;1,"",IF(I3892="SBJ","CB","?"))</f>
        <v> </v>
      </c>
      <c r="I3892" s="26" t="str">
        <f>IF(OR(E3892="",E3892="!!!",F3892="NEW"),"",INDEX(B3891:B$2,-1+SUMPRODUCT(MAX(ROW(E3891:E$2)*(E3892=E3891:E$2)))))</f>
        <v> </v>
      </c>
      <c r="J3892" s="26" t="str">
        <f>IF(OR(E3892="",E3892="!!!",F3892="NEW"),"",COUNTBLANK(OFFSET(A$1,,,SUMPRODUCT(MAX(ROW(E$2:E3892)*(E3892=E$2:E3892)))))-COUNTBLANK(OFFSET(A$1,,,SUMPRODUCT(MAX(ROW(E$1:E3891)*(E2=E$1:E3891))))))</f>
        <v> </v>
      </c>
      <c r="K3892" s="26" t="str">
        <f>IF(OR(E3892="",E3892="!!!",F3892="NEW"),"",INDEX(J$1:J3891,SUMPRODUCT(MAX(ROW(E$1:E3891)*(E3892=E$1:E3891)))))</f>
        <v> </v>
      </c>
      <c r="L3892" s="27"/>
    </row>
    <row r="3893" spans="1:12">
      <c r="A3893" s="20" t="s">
        <v>1021</v>
      </c>
      <c r="E3893" s="22">
        <f>IF(D3893="?OLD","!!!","")</f>
        <v/>
      </c>
      <c r="F3893" s="23" t="str">
        <f>IF(OR(E3893="",E3893="!!!"),"",IF(NOT(ISNA(VLOOKUP(E3893,E$1:E3892,1,FALSE()))),"OLD",IF(AND(E3893&lt;&gt;"",E3893&lt;&gt;"!!!"),"NEW","")))</f>
        <v> </v>
      </c>
      <c r="G3893" s="24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5" t="str">
        <f>IF(J3893&lt;&gt;1,"",IF(I3893="SBJ","CB","?"))</f>
        <v> </v>
      </c>
      <c r="I3893" s="26" t="str">
        <f>IF(OR(E3893="",E3893="!!!",F3893="NEW"),"",INDEX(B3892:B$2,-1+SUMPRODUCT(MAX(ROW(E3892:E$2)*(E3893=E3892:E$2)))))</f>
        <v> </v>
      </c>
      <c r="J3893" s="26" t="str">
        <f>IF(OR(E3893="",E3893="!!!",F3893="NEW"),"",COUNTBLANK(OFFSET(A$1,,,SUMPRODUCT(MAX(ROW(E$2:E3893)*(E3893=E$2:E3893)))))-COUNTBLANK(OFFSET(A$1,,,SUMPRODUCT(MAX(ROW(E$1:E3892)*(E2=E$1:E3892))))))</f>
        <v> </v>
      </c>
      <c r="K3893" s="26" t="str">
        <f>IF(OR(E3893="",E3893="!!!",F3893="NEW"),"",INDEX(J$1:J3892,SUMPRODUCT(MAX(ROW(E$1:E3892)*(E3893=E$1:E3892)))))</f>
        <v> </v>
      </c>
      <c r="L3893" s="27"/>
    </row>
    <row r="3894" spans="1:12">
      <c r="A3894" s="20" t="s">
        <v>1558</v>
      </c>
      <c r="B3894" s="21" t="s">
        <v>1158</v>
      </c>
      <c r="C3894" s="21" t="s">
        <v>983</v>
      </c>
      <c r="E3894" s="22">
        <f>IF(D3894="?OLD","!!!","")</f>
        <v/>
      </c>
      <c r="F3894" s="23" t="str">
        <f>IF(OR(E3894="",E3894="!!!"),"",IF(NOT(ISNA(VLOOKUP(E3894,E$1:E3893,1,FALSE()))),"OLD",IF(AND(E3894&lt;&gt;"",E3894&lt;&gt;"!!!"),"NEW","")))</f>
        <v> </v>
      </c>
      <c r="G3894" s="24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5" t="str">
        <f>IF(J3894&lt;&gt;1,"",IF(I3894="SBJ","CB","?"))</f>
        <v> </v>
      </c>
      <c r="I3894" s="26" t="str">
        <f>IF(OR(E3894="",E3894="!!!",F3894="NEW"),"",INDEX(B3893:B$2,-1+SUMPRODUCT(MAX(ROW(E3893:E$2)*(E3894=E3893:E$2)))))</f>
        <v> </v>
      </c>
      <c r="J3894" s="26" t="str">
        <f>IF(OR(E3894="",E3894="!!!",F3894="NEW"),"",COUNTBLANK(OFFSET(A$1,,,SUMPRODUCT(MAX(ROW(E$2:E3894)*(E3894=E$2:E3894)))))-COUNTBLANK(OFFSET(A$1,,,SUMPRODUCT(MAX(ROW(E$1:E3893)*(E2=E$1:E3893))))))</f>
        <v> </v>
      </c>
      <c r="K3894" s="26" t="str">
        <f>IF(OR(E3894="",E3894="!!!",F3894="NEW"),"",INDEX(J$1:J3893,SUMPRODUCT(MAX(ROW(E$1:E3893)*(E3894=E$1:E3893)))))</f>
        <v> </v>
      </c>
      <c r="L3894" s="27"/>
    </row>
    <row r="3895" spans="1:12">
      <c r="A3895" s="20" t="s">
        <v>1000</v>
      </c>
      <c r="E3895" s="22">
        <f>IF(D3895="?OLD","!!!","")</f>
        <v/>
      </c>
      <c r="F3895" s="23" t="str">
        <f>IF(OR(E3895="",E3895="!!!"),"",IF(NOT(ISNA(VLOOKUP(E3895,E$1:E3894,1,FALSE()))),"OLD",IF(AND(E3895&lt;&gt;"",E3895&lt;&gt;"!!!"),"NEW","")))</f>
        <v> </v>
      </c>
      <c r="G3895" s="24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5" t="str">
        <f>IF(J3895&lt;&gt;1,"",IF(I3895="SBJ","CB","?"))</f>
        <v> </v>
      </c>
      <c r="I3895" s="26" t="str">
        <f>IF(OR(E3895="",E3895="!!!",F3895="NEW"),"",INDEX(B3894:B$2,-1+SUMPRODUCT(MAX(ROW(E3894:E$2)*(E3895=E3894:E$2)))))</f>
        <v> </v>
      </c>
      <c r="J3895" s="26" t="str">
        <f>IF(OR(E3895="",E3895="!!!",F3895="NEW"),"",COUNTBLANK(OFFSET(A$1,,,SUMPRODUCT(MAX(ROW(E$2:E3895)*(E3895=E$2:E3895)))))-COUNTBLANK(OFFSET(A$1,,,SUMPRODUCT(MAX(ROW(E$1:E3894)*(E2=E$1:E3894))))))</f>
        <v> </v>
      </c>
      <c r="K3895" s="26" t="str">
        <f>IF(OR(E3895="",E3895="!!!",F3895="NEW"),"",INDEX(J$1:J3894,SUMPRODUCT(MAX(ROW(E$1:E3894)*(E3895=E$1:E3894)))))</f>
        <v> </v>
      </c>
      <c r="L3895" s="27"/>
    </row>
    <row r="3896" spans="1:12">
      <c r="A3896" s="20" t="s">
        <v>998</v>
      </c>
      <c r="E3896" s="22">
        <f>IF(D3896="?OLD","!!!","")</f>
        <v/>
      </c>
      <c r="F3896" s="23" t="str">
        <f>IF(OR(E3896="",E3896="!!!"),"",IF(NOT(ISNA(VLOOKUP(E3896,E$1:E3895,1,FALSE()))),"OLD",IF(AND(E3896&lt;&gt;"",E3896&lt;&gt;"!!!"),"NEW","")))</f>
        <v> </v>
      </c>
      <c r="G3896" s="24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5" t="str">
        <f>IF(J3896&lt;&gt;1,"",IF(I3896="SBJ","CB","?"))</f>
        <v> </v>
      </c>
      <c r="I3896" s="26" t="str">
        <f>IF(OR(E3896="",E3896="!!!",F3896="NEW"),"",INDEX(B3895:B$2,-1+SUMPRODUCT(MAX(ROW(E3895:E$2)*(E3896=E3895:E$2)))))</f>
        <v> </v>
      </c>
      <c r="J3896" s="26" t="str">
        <f>IF(OR(E3896="",E3896="!!!",F3896="NEW"),"",COUNTBLANK(OFFSET(A$1,,,SUMPRODUCT(MAX(ROW(E$2:E3896)*(E3896=E$2:E3896)))))-COUNTBLANK(OFFSET(A$1,,,SUMPRODUCT(MAX(ROW(E$1:E3895)*(E2=E$1:E3895))))))</f>
        <v> </v>
      </c>
      <c r="K3896" s="26" t="str">
        <f>IF(OR(E3896="",E3896="!!!",F3896="NEW"),"",INDEX(J$1:J3895,SUMPRODUCT(MAX(ROW(E$1:E3895)*(E3896=E$1:E3895)))))</f>
        <v> </v>
      </c>
      <c r="L3896" s="27"/>
    </row>
    <row r="3897" spans="1:12">
      <c r="A3897" s="20" t="s">
        <v>1249</v>
      </c>
      <c r="E3897" s="22">
        <f>IF(D3897="?OLD","!!!","")</f>
        <v/>
      </c>
      <c r="F3897" s="23" t="str">
        <f>IF(OR(E3897="",E3897="!!!"),"",IF(NOT(ISNA(VLOOKUP(E3897,E$1:E3896,1,FALSE()))),"OLD",IF(AND(E3897&lt;&gt;"",E3897&lt;&gt;"!!!"),"NEW","")))</f>
        <v> </v>
      </c>
      <c r="G3897" s="24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5" t="str">
        <f>IF(J3897&lt;&gt;1,"",IF(I3897="SBJ","CB","?"))</f>
        <v> </v>
      </c>
      <c r="I3897" s="26" t="str">
        <f>IF(OR(E3897="",E3897="!!!",F3897="NEW"),"",INDEX(B3896:B$2,-1+SUMPRODUCT(MAX(ROW(E3896:E$2)*(E3897=E3896:E$2)))))</f>
        <v> </v>
      </c>
      <c r="J3897" s="26" t="str">
        <f>IF(OR(E3897="",E3897="!!!",F3897="NEW"),"",COUNTBLANK(OFFSET(A$1,,,SUMPRODUCT(MAX(ROW(E$2:E3897)*(E3897=E$2:E3897)))))-COUNTBLANK(OFFSET(A$1,,,SUMPRODUCT(MAX(ROW(E$1:E3896)*(E2=E$1:E3896))))))</f>
        <v> </v>
      </c>
      <c r="K3897" s="26" t="str">
        <f>IF(OR(E3897="",E3897="!!!",F3897="NEW"),"",INDEX(J$1:J3896,SUMPRODUCT(MAX(ROW(E$1:E3896)*(E3897=E$1:E3896)))))</f>
        <v> </v>
      </c>
      <c r="L3897" s="27"/>
    </row>
    <row r="3898" spans="1:12">
      <c r="A3898" s="20" t="s">
        <v>1021</v>
      </c>
      <c r="E3898" s="22">
        <f>IF(D3898="?OLD","!!!","")</f>
        <v/>
      </c>
      <c r="F3898" s="23" t="str">
        <f>IF(OR(E3898="",E3898="!!!"),"",IF(NOT(ISNA(VLOOKUP(E3898,E$1:E3897,1,FALSE()))),"OLD",IF(AND(E3898&lt;&gt;"",E3898&lt;&gt;"!!!"),"NEW","")))</f>
        <v> </v>
      </c>
      <c r="G3898" s="24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5" t="str">
        <f>IF(J3898&lt;&gt;1,"",IF(I3898="SBJ","CB","?"))</f>
        <v> </v>
      </c>
      <c r="I3898" s="26" t="str">
        <f>IF(OR(E3898="",E3898="!!!",F3898="NEW"),"",INDEX(B3897:B$2,-1+SUMPRODUCT(MAX(ROW(E3897:E$2)*(E3898=E3897:E$2)))))</f>
        <v> </v>
      </c>
      <c r="J3898" s="26" t="str">
        <f>IF(OR(E3898="",E3898="!!!",F3898="NEW"),"",COUNTBLANK(OFFSET(A$1,,,SUMPRODUCT(MAX(ROW(E$2:E3898)*(E3898=E$2:E3898)))))-COUNTBLANK(OFFSET(A$1,,,SUMPRODUCT(MAX(ROW(E$1:E3897)*(E2=E$1:E3897))))))</f>
        <v> </v>
      </c>
      <c r="K3898" s="26" t="str">
        <f>IF(OR(E3898="",E3898="!!!",F3898="NEW"),"",INDEX(J$1:J3897,SUMPRODUCT(MAX(ROW(E$1:E3897)*(E3898=E$1:E3897)))))</f>
        <v> </v>
      </c>
      <c r="L3898" s="27"/>
    </row>
    <row r="3899" spans="1:12">
      <c r="A3899" s="20" t="s">
        <v>1006</v>
      </c>
      <c r="B3899" s="21" t="s">
        <v>1159</v>
      </c>
      <c r="C3899" s="21" t="s">
        <v>1008</v>
      </c>
      <c r="D3899" s="21" t="s">
        <v>950</v>
      </c>
      <c r="E3899" s="22">
        <f>IF(D3899="?OLD","!!!","")</f>
        <v/>
      </c>
      <c r="F3899" s="23" t="str">
        <f>IF(OR(E3899="",E3899="!!!"),"",IF(NOT(ISNA(VLOOKUP(E3899,E$1:E3898,1,FALSE()))),"OLD",IF(AND(E3899&lt;&gt;"",E3899&lt;&gt;"!!!"),"NEW","")))</f>
        <v> </v>
      </c>
      <c r="G3899" s="24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5" t="str">
        <f>IF(J3899&lt;&gt;1,"",IF(I3899="SBJ","CB","?"))</f>
        <v> </v>
      </c>
      <c r="I3899" s="26" t="str">
        <f>IF(OR(E3899="",E3899="!!!",F3899="NEW"),"",INDEX(B3898:B$2,-1+SUMPRODUCT(MAX(ROW(E3898:E$2)*(E3899=E3898:E$2)))))</f>
        <v> </v>
      </c>
      <c r="J3899" s="26" t="str">
        <f>IF(OR(E3899="",E3899="!!!",F3899="NEW"),"",COUNTBLANK(OFFSET(A$1,,,SUMPRODUCT(MAX(ROW(E$2:E3899)*(E3899=E$2:E3899)))))-COUNTBLANK(OFFSET(A$1,,,SUMPRODUCT(MAX(ROW(E$1:E3898)*(E2=E$1:E3898))))))</f>
        <v> </v>
      </c>
      <c r="K3899" s="26" t="str">
        <f>IF(OR(E3899="",E3899="!!!",F3899="NEW"),"",INDEX(J$1:J3898,SUMPRODUCT(MAX(ROW(E$1:E3898)*(E3899=E$1:E3898)))))</f>
        <v> </v>
      </c>
      <c r="L3899" s="27"/>
    </row>
    <row r="3900" spans="1:12">
      <c r="A3900" s="20" t="s">
        <v>965</v>
      </c>
      <c r="B3900" s="21" t="s">
        <v>1359</v>
      </c>
      <c r="E3900" s="22">
        <f>IF(D3900="?OLD","!!!","")</f>
        <v/>
      </c>
      <c r="F3900" s="23" t="str">
        <f>IF(OR(E3900="",E3900="!!!"),"",IF(NOT(ISNA(VLOOKUP(E3900,E$1:E3899,1,FALSE()))),"OLD",IF(AND(E3900&lt;&gt;"",E3900&lt;&gt;"!!!"),"NEW","")))</f>
        <v> </v>
      </c>
      <c r="G3900" s="24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5" t="str">
        <f>IF(J3900&lt;&gt;1,"",IF(I3900="SBJ","CB","?"))</f>
        <v> </v>
      </c>
      <c r="I3900" s="26" t="str">
        <f>IF(OR(E3900="",E3900="!!!",F3900="NEW"),"",INDEX(B3899:B$2,-1+SUMPRODUCT(MAX(ROW(E3899:E$2)*(E3900=E3899:E$2)))))</f>
        <v> </v>
      </c>
      <c r="J3900" s="26" t="str">
        <f>IF(OR(E3900="",E3900="!!!",F3900="NEW"),"",COUNTBLANK(OFFSET(A$1,,,SUMPRODUCT(MAX(ROW(E$2:E3900)*(E3900=E$2:E3900)))))-COUNTBLANK(OFFSET(A$1,,,SUMPRODUCT(MAX(ROW(E$1:E3899)*(E2=E$1:E3899))))))</f>
        <v> </v>
      </c>
      <c r="K3900" s="26" t="str">
        <f>IF(OR(E3900="",E3900="!!!",F3900="NEW"),"",INDEX(J$1:J3899,SUMPRODUCT(MAX(ROW(E$1:E3899)*(E3900=E$1:E3899)))))</f>
        <v> </v>
      </c>
      <c r="L3900" s="27"/>
    </row>
    <row r="3901" spans="1:12">
      <c r="A3901" s="20" t="s">
        <v>1072</v>
      </c>
      <c r="E3901" s="22">
        <f>IF(D3901="?OLD","!!!","")</f>
        <v/>
      </c>
      <c r="F3901" s="23" t="str">
        <f>IF(OR(E3901="",E3901="!!!"),"",IF(NOT(ISNA(VLOOKUP(E3901,E$1:E3900,1,FALSE()))),"OLD",IF(AND(E3901&lt;&gt;"",E3901&lt;&gt;"!!!"),"NEW","")))</f>
        <v> </v>
      </c>
      <c r="G3901" s="24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5" t="str">
        <f>IF(J3901&lt;&gt;1,"",IF(I3901="SBJ","CB","?"))</f>
        <v> </v>
      </c>
      <c r="I3901" s="26" t="str">
        <f>IF(OR(E3901="",E3901="!!!",F3901="NEW"),"",INDEX(B3900:B$2,-1+SUMPRODUCT(MAX(ROW(E3900:E$2)*(E3901=E3900:E$2)))))</f>
        <v> </v>
      </c>
      <c r="J3901" s="26" t="str">
        <f>IF(OR(E3901="",E3901="!!!",F3901="NEW"),"",COUNTBLANK(OFFSET(A$1,,,SUMPRODUCT(MAX(ROW(E$2:E3901)*(E3901=E$2:E3901)))))-COUNTBLANK(OFFSET(A$1,,,SUMPRODUCT(MAX(ROW(E$1:E3900)*(E2=E$1:E3900))))))</f>
        <v> </v>
      </c>
      <c r="K3901" s="26" t="str">
        <f>IF(OR(E3901="",E3901="!!!",F3901="NEW"),"",INDEX(J$1:J3900,SUMPRODUCT(MAX(ROW(E$1:E3900)*(E3901=E$1:E3900)))))</f>
        <v> </v>
      </c>
      <c r="L3901" s="27"/>
    </row>
    <row r="3902" spans="1:12">
      <c r="A3902" s="20" t="s">
        <v>1758</v>
      </c>
      <c r="E3902" s="22">
        <f>IF(D3902="?OLD","!!!","")</f>
        <v/>
      </c>
      <c r="F3902" s="23" t="str">
        <f>IF(OR(E3902="",E3902="!!!"),"",IF(NOT(ISNA(VLOOKUP(E3902,E$1:E3901,1,FALSE()))),"OLD",IF(AND(E3902&lt;&gt;"",E3902&lt;&gt;"!!!"),"NEW","")))</f>
        <v> </v>
      </c>
      <c r="G3902" s="24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5" t="str">
        <f>IF(J3902&lt;&gt;1,"",IF(I3902="SBJ","CB","?"))</f>
        <v> </v>
      </c>
      <c r="I3902" s="26" t="str">
        <f>IF(OR(E3902="",E3902="!!!",F3902="NEW"),"",INDEX(B3901:B$2,-1+SUMPRODUCT(MAX(ROW(E3901:E$2)*(E3902=E3901:E$2)))))</f>
        <v> </v>
      </c>
      <c r="J3902" s="26" t="str">
        <f>IF(OR(E3902="",E3902="!!!",F3902="NEW"),"",COUNTBLANK(OFFSET(A$1,,,SUMPRODUCT(MAX(ROW(E$2:E3902)*(E3902=E$2:E3902)))))-COUNTBLANK(OFFSET(A$1,,,SUMPRODUCT(MAX(ROW(E$1:E3901)*(E2=E$1:E3901))))))</f>
        <v> </v>
      </c>
      <c r="K3902" s="26" t="str">
        <f>IF(OR(E3902="",E3902="!!!",F3902="NEW"),"",INDEX(J$1:J3901,SUMPRODUCT(MAX(ROW(E$1:E3901)*(E3902=E$1:E3901)))))</f>
        <v> </v>
      </c>
      <c r="L3902" s="27"/>
    </row>
    <row r="3903" spans="1:12">
      <c r="A3903" s="20" t="s">
        <v>984</v>
      </c>
      <c r="E3903" s="22">
        <f>IF(D3903="?OLD","!!!","")</f>
        <v/>
      </c>
      <c r="F3903" s="23" t="str">
        <f>IF(OR(E3903="",E3903="!!!"),"",IF(NOT(ISNA(VLOOKUP(E3903,E$1:E3902,1,FALSE()))),"OLD",IF(AND(E3903&lt;&gt;"",E3903&lt;&gt;"!!!"),"NEW","")))</f>
        <v> </v>
      </c>
      <c r="G3903" s="24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5" t="str">
        <f>IF(J3903&lt;&gt;1,"",IF(I3903="SBJ","CB","?"))</f>
        <v> </v>
      </c>
      <c r="I3903" s="26" t="str">
        <f>IF(OR(E3903="",E3903="!!!",F3903="NEW"),"",INDEX(B3902:B$2,-1+SUMPRODUCT(MAX(ROW(E3902:E$2)*(E3903=E3902:E$2)))))</f>
        <v> </v>
      </c>
      <c r="J3903" s="26" t="str">
        <f>IF(OR(E3903="",E3903="!!!",F3903="NEW"),"",COUNTBLANK(OFFSET(A$1,,,SUMPRODUCT(MAX(ROW(E$2:E3903)*(E3903=E$2:E3903)))))-COUNTBLANK(OFFSET(A$1,,,SUMPRODUCT(MAX(ROW(E$1:E3902)*(E2=E$1:E3902))))))</f>
        <v> </v>
      </c>
      <c r="K3903" s="26" t="str">
        <f>IF(OR(E3903="",E3903="!!!",F3903="NEW"),"",INDEX(J$1:J3902,SUMPRODUCT(MAX(ROW(E$1:E3902)*(E3903=E$1:E3902)))))</f>
        <v> </v>
      </c>
      <c r="L3903" s="27"/>
    </row>
    <row r="3904" spans="1:12">
      <c r="A3904" s="20"/>
    </row>
    <row r="3905" spans="1:12">
      <c r="A3905" s="20" t="s">
        <v>2043</v>
      </c>
    </row>
    <row r="3906" spans="1:12">
      <c r="A3906" s="20" t="s">
        <v>2044</v>
      </c>
      <c r="E3906" s="22">
        <f>IF(D3906="?OLD","!!!","")</f>
        <v/>
      </c>
      <c r="F3906" s="23" t="str">
        <f>IF(OR(E3906="",E3906="!!!"),"",IF(NOT(ISNA(VLOOKUP(E3906,E$1:E3905,1,FALSE()))),"OLD",IF(AND(E3906&lt;&gt;"",E3906&lt;&gt;"!!!"),"NEW","")))</f>
        <v> </v>
      </c>
      <c r="G3906" s="24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5" t="str">
        <f>IF(J3906&lt;&gt;1,"",IF(I3906="SBJ","CB","?"))</f>
        <v> </v>
      </c>
      <c r="I3906" s="26" t="str">
        <f>IF(OR(E3906="",E3906="!!!",F3906="NEW"),"",INDEX(B3905:B$2,-1+SUMPRODUCT(MAX(ROW(E3905:E$2)*(E3906=E3905:E$2)))))</f>
        <v> </v>
      </c>
      <c r="J3906" s="26" t="str">
        <f>IF(OR(E3906="",E3906="!!!",F3906="NEW"),"",COUNTBLANK(OFFSET(A$1,,,SUMPRODUCT(MAX(ROW(E$2:E3906)*(E3906=E$2:E3906)))))-COUNTBLANK(OFFSET(A$1,,,SUMPRODUCT(MAX(ROW(E$1:E3905)*(E2=E$1:E3905))))))</f>
        <v> </v>
      </c>
      <c r="K3906" s="26" t="str">
        <f>IF(OR(E3906="",E3906="!!!",F3906="NEW"),"",INDEX(J$1:J3905,SUMPRODUCT(MAX(ROW(E$1:E3905)*(E3906=E$1:E3905)))))</f>
        <v> </v>
      </c>
      <c r="L3906" s="27"/>
    </row>
    <row r="3907" spans="1:12">
      <c r="A3907" s="20" t="s">
        <v>965</v>
      </c>
      <c r="E3907" s="22">
        <f>IF(D3907="?OLD","!!!","")</f>
        <v/>
      </c>
      <c r="F3907" s="23" t="str">
        <f>IF(OR(E3907="",E3907="!!!"),"",IF(NOT(ISNA(VLOOKUP(E3907,E$1:E3906,1,FALSE()))),"OLD",IF(AND(E3907&lt;&gt;"",E3907&lt;&gt;"!!!"),"NEW","")))</f>
        <v> </v>
      </c>
      <c r="G3907" s="24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5" t="str">
        <f>IF(J3907&lt;&gt;1,"",IF(I3907="SBJ","CB","?"))</f>
        <v> </v>
      </c>
      <c r="I3907" s="26" t="str">
        <f>IF(OR(E3907="",E3907="!!!",F3907="NEW"),"",INDEX(B3906:B$2,-1+SUMPRODUCT(MAX(ROW(E3906:E$2)*(E3907=E3906:E$2)))))</f>
        <v> </v>
      </c>
      <c r="J3907" s="26" t="str">
        <f>IF(OR(E3907="",E3907="!!!",F3907="NEW"),"",COUNTBLANK(OFFSET(A$1,,,SUMPRODUCT(MAX(ROW(E$2:E3907)*(E3907=E$2:E3907)))))-COUNTBLANK(OFFSET(A$1,,,SUMPRODUCT(MAX(ROW(E$1:E3906)*(E2=E$1:E3906))))))</f>
        <v> </v>
      </c>
      <c r="K3907" s="26" t="str">
        <f>IF(OR(E3907="",E3907="!!!",F3907="NEW"),"",INDEX(J$1:J3906,SUMPRODUCT(MAX(ROW(E$1:E3906)*(E3907=E$1:E3906)))))</f>
        <v> </v>
      </c>
      <c r="L3907" s="27"/>
    </row>
    <row r="3908" spans="1:12">
      <c r="A3908" s="20" t="s">
        <v>1038</v>
      </c>
      <c r="E3908" s="22">
        <f>IF(D3908="?OLD","!!!","")</f>
        <v/>
      </c>
      <c r="F3908" s="23" t="str">
        <f>IF(OR(E3908="",E3908="!!!"),"",IF(NOT(ISNA(VLOOKUP(E3908,E$1:E3907,1,FALSE()))),"OLD",IF(AND(E3908&lt;&gt;"",E3908&lt;&gt;"!!!"),"NEW","")))</f>
        <v> </v>
      </c>
      <c r="G3908" s="24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5" t="str">
        <f>IF(J3908&lt;&gt;1,"",IF(I3908="SBJ","CB","?"))</f>
        <v> </v>
      </c>
      <c r="I3908" s="26" t="str">
        <f>IF(OR(E3908="",E3908="!!!",F3908="NEW"),"",INDEX(B3907:B$2,-1+SUMPRODUCT(MAX(ROW(E3907:E$2)*(E3908=E3907:E$2)))))</f>
        <v> </v>
      </c>
      <c r="J3908" s="26" t="str">
        <f>IF(OR(E3908="",E3908="!!!",F3908="NEW"),"",COUNTBLANK(OFFSET(A$1,,,SUMPRODUCT(MAX(ROW(E$2:E3908)*(E3908=E$2:E3908)))))-COUNTBLANK(OFFSET(A$1,,,SUMPRODUCT(MAX(ROW(E$1:E3907)*(E2=E$1:E3907))))))</f>
        <v> </v>
      </c>
      <c r="K3908" s="26" t="str">
        <f>IF(OR(E3908="",E3908="!!!",F3908="NEW"),"",INDEX(J$1:J3907,SUMPRODUCT(MAX(ROW(E$1:E3907)*(E3908=E$1:E3907)))))</f>
        <v> </v>
      </c>
      <c r="L3908" s="27"/>
    </row>
    <row r="3909" spans="1:12">
      <c r="A3909" s="20" t="s">
        <v>1582</v>
      </c>
      <c r="B3909" s="21" t="s">
        <v>1143</v>
      </c>
      <c r="C3909" s="21" t="s">
        <v>1032</v>
      </c>
      <c r="D3909" s="21" t="s">
        <v>950</v>
      </c>
      <c r="E3909" s="22">
        <f>IF(D3909="?OLD","!!!","")</f>
        <v/>
      </c>
      <c r="F3909" s="23" t="str">
        <f>IF(OR(E3909="",E3909="!!!"),"",IF(NOT(ISNA(VLOOKUP(E3909,E$1:E3908,1,FALSE()))),"OLD",IF(AND(E3909&lt;&gt;"",E3909&lt;&gt;"!!!"),"NEW","")))</f>
        <v> </v>
      </c>
      <c r="G3909" s="24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5" t="str">
        <f>IF(J3909&lt;&gt;1,"",IF(I3909="SBJ","CB","?"))</f>
        <v> </v>
      </c>
      <c r="I3909" s="26" t="str">
        <f>IF(OR(E3909="",E3909="!!!",F3909="NEW"),"",INDEX(B3908:B$2,-1+SUMPRODUCT(MAX(ROW(E3908:E$2)*(E3909=E3908:E$2)))))</f>
        <v> </v>
      </c>
      <c r="J3909" s="26" t="str">
        <f>IF(OR(E3909="",E3909="!!!",F3909="NEW"),"",COUNTBLANK(OFFSET(A$1,,,SUMPRODUCT(MAX(ROW(E$2:E3909)*(E3909=E$2:E3909)))))-COUNTBLANK(OFFSET(A$1,,,SUMPRODUCT(MAX(ROW(E$1:E3908)*(E2=E$1:E3908))))))</f>
        <v> </v>
      </c>
      <c r="K3909" s="26" t="str">
        <f>IF(OR(E3909="",E3909="!!!",F3909="NEW"),"",INDEX(J$1:J3908,SUMPRODUCT(MAX(ROW(E$1:E3908)*(E3909=E$1:E3908)))))</f>
        <v> </v>
      </c>
      <c r="L3909" s="27"/>
    </row>
    <row r="3910" spans="1:12">
      <c r="A3910" s="20" t="s">
        <v>1250</v>
      </c>
      <c r="E3910" s="22">
        <f>IF(D3910="?OLD","!!!","")</f>
        <v/>
      </c>
      <c r="F3910" s="23" t="str">
        <f>IF(OR(E3910="",E3910="!!!"),"",IF(NOT(ISNA(VLOOKUP(E3910,E$1:E3909,1,FALSE()))),"OLD",IF(AND(E3910&lt;&gt;"",E3910&lt;&gt;"!!!"),"NEW","")))</f>
        <v> </v>
      </c>
      <c r="G3910" s="24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5" t="str">
        <f>IF(J3910&lt;&gt;1,"",IF(I3910="SBJ","CB","?"))</f>
        <v> </v>
      </c>
      <c r="I3910" s="26" t="str">
        <f>IF(OR(E3910="",E3910="!!!",F3910="NEW"),"",INDEX(B3909:B$2,-1+SUMPRODUCT(MAX(ROW(E3909:E$2)*(E3910=E3909:E$2)))))</f>
        <v> </v>
      </c>
      <c r="J3910" s="26" t="str">
        <f>IF(OR(E3910="",E3910="!!!",F3910="NEW"),"",COUNTBLANK(OFFSET(A$1,,,SUMPRODUCT(MAX(ROW(E$2:E3910)*(E3910=E$2:E3910)))))-COUNTBLANK(OFFSET(A$1,,,SUMPRODUCT(MAX(ROW(E$1:E3909)*(E2=E$1:E3909))))))</f>
        <v> </v>
      </c>
      <c r="K3910" s="26" t="str">
        <f>IF(OR(E3910="",E3910="!!!",F3910="NEW"),"",INDEX(J$1:J3909,SUMPRODUCT(MAX(ROW(E$1:E3909)*(E3910=E$1:E3909)))))</f>
        <v> </v>
      </c>
      <c r="L3910" s="27"/>
    </row>
    <row r="3911" spans="1:12">
      <c r="A3911" s="20" t="s">
        <v>1607</v>
      </c>
      <c r="E3911" s="22">
        <f>IF(D3911="?OLD","!!!","")</f>
        <v/>
      </c>
      <c r="F3911" s="23" t="str">
        <f>IF(OR(E3911="",E3911="!!!"),"",IF(NOT(ISNA(VLOOKUP(E3911,E$1:E3910,1,FALSE()))),"OLD",IF(AND(E3911&lt;&gt;"",E3911&lt;&gt;"!!!"),"NEW","")))</f>
        <v> </v>
      </c>
      <c r="G3911" s="24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5" t="str">
        <f>IF(J3911&lt;&gt;1,"",IF(I3911="SBJ","CB","?"))</f>
        <v> </v>
      </c>
      <c r="I3911" s="26" t="str">
        <f>IF(OR(E3911="",E3911="!!!",F3911="NEW"),"",INDEX(B3910:B$2,-1+SUMPRODUCT(MAX(ROW(E3910:E$2)*(E3911=E3910:E$2)))))</f>
        <v> </v>
      </c>
      <c r="J3911" s="26" t="str">
        <f>IF(OR(E3911="",E3911="!!!",F3911="NEW"),"",COUNTBLANK(OFFSET(A$1,,,SUMPRODUCT(MAX(ROW(E$2:E3911)*(E3911=E$2:E3911)))))-COUNTBLANK(OFFSET(A$1,,,SUMPRODUCT(MAX(ROW(E$1:E3910)*(E2=E$1:E3910))))))</f>
        <v> </v>
      </c>
      <c r="K3911" s="26" t="str">
        <f>IF(OR(E3911="",E3911="!!!",F3911="NEW"),"",INDEX(J$1:J3910,SUMPRODUCT(MAX(ROW(E$1:E3910)*(E3911=E$1:E3910)))))</f>
        <v> </v>
      </c>
      <c r="L3911" s="27"/>
    </row>
    <row r="3912" spans="1:12">
      <c r="A3912" s="20" t="s">
        <v>995</v>
      </c>
      <c r="E3912" s="22">
        <f>IF(D3912="?OLD","!!!","")</f>
        <v/>
      </c>
      <c r="F3912" s="23" t="str">
        <f>IF(OR(E3912="",E3912="!!!"),"",IF(NOT(ISNA(VLOOKUP(E3912,E$1:E3911,1,FALSE()))),"OLD",IF(AND(E3912&lt;&gt;"",E3912&lt;&gt;"!!!"),"NEW","")))</f>
        <v> </v>
      </c>
      <c r="G3912" s="24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5" t="str">
        <f>IF(J3912&lt;&gt;1,"",IF(I3912="SBJ","CB","?"))</f>
        <v> </v>
      </c>
      <c r="I3912" s="26" t="str">
        <f>IF(OR(E3912="",E3912="!!!",F3912="NEW"),"",INDEX(B3911:B$2,-1+SUMPRODUCT(MAX(ROW(E3911:E$2)*(E3912=E3911:E$2)))))</f>
        <v> </v>
      </c>
      <c r="J3912" s="26" t="str">
        <f>IF(OR(E3912="",E3912="!!!",F3912="NEW"),"",COUNTBLANK(OFFSET(A$1,,,SUMPRODUCT(MAX(ROW(E$2:E3912)*(E3912=E$2:E3912)))))-COUNTBLANK(OFFSET(A$1,,,SUMPRODUCT(MAX(ROW(E$1:E3911)*(E2=E$1:E3911))))))</f>
        <v> </v>
      </c>
      <c r="K3912" s="26" t="str">
        <f>IF(OR(E3912="",E3912="!!!",F3912="NEW"),"",INDEX(J$1:J3911,SUMPRODUCT(MAX(ROW(E$1:E3911)*(E3912=E$1:E3911)))))</f>
        <v> </v>
      </c>
      <c r="L3912" s="27"/>
    </row>
    <row r="3913" spans="1:12">
      <c r="A3913" s="20" t="s">
        <v>1047</v>
      </c>
      <c r="E3913" s="22">
        <f>IF(D3913="?OLD","!!!","")</f>
        <v/>
      </c>
      <c r="F3913" s="23" t="str">
        <f>IF(OR(E3913="",E3913="!!!"),"",IF(NOT(ISNA(VLOOKUP(E3913,E$1:E3912,1,FALSE()))),"OLD",IF(AND(E3913&lt;&gt;"",E3913&lt;&gt;"!!!"),"NEW","")))</f>
        <v> </v>
      </c>
      <c r="G3913" s="24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5" t="str">
        <f>IF(J3913&lt;&gt;1,"",IF(I3913="SBJ","CB","?"))</f>
        <v> </v>
      </c>
      <c r="I3913" s="26" t="str">
        <f>IF(OR(E3913="",E3913="!!!",F3913="NEW"),"",INDEX(B3912:B$2,-1+SUMPRODUCT(MAX(ROW(E3912:E$2)*(E3913=E3912:E$2)))))</f>
        <v> </v>
      </c>
      <c r="J3913" s="26" t="str">
        <f>IF(OR(E3913="",E3913="!!!",F3913="NEW"),"",COUNTBLANK(OFFSET(A$1,,,SUMPRODUCT(MAX(ROW(E$2:E3913)*(E3913=E$2:E3913)))))-COUNTBLANK(OFFSET(A$1,,,SUMPRODUCT(MAX(ROW(E$1:E3912)*(E2=E$1:E3912))))))</f>
        <v> </v>
      </c>
      <c r="K3913" s="26" t="str">
        <f>IF(OR(E3913="",E3913="!!!",F3913="NEW"),"",INDEX(J$1:J3912,SUMPRODUCT(MAX(ROW(E$1:E3912)*(E3913=E$1:E3912)))))</f>
        <v> </v>
      </c>
      <c r="L3913" s="27"/>
    </row>
    <row r="3914" spans="1:12">
      <c r="A3914" s="20" t="s">
        <v>1048</v>
      </c>
      <c r="E3914" s="22">
        <f>IF(D3914="?OLD","!!!","")</f>
        <v/>
      </c>
      <c r="F3914" s="23" t="str">
        <f>IF(OR(E3914="",E3914="!!!"),"",IF(NOT(ISNA(VLOOKUP(E3914,E$1:E3913,1,FALSE()))),"OLD",IF(AND(E3914&lt;&gt;"",E3914&lt;&gt;"!!!"),"NEW","")))</f>
        <v> </v>
      </c>
      <c r="G3914" s="24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5" t="str">
        <f>IF(J3914&lt;&gt;1,"",IF(I3914="SBJ","CB","?"))</f>
        <v> </v>
      </c>
      <c r="I3914" s="26" t="str">
        <f>IF(OR(E3914="",E3914="!!!",F3914="NEW"),"",INDEX(B3913:B$2,-1+SUMPRODUCT(MAX(ROW(E3913:E$2)*(E3914=E3913:E$2)))))</f>
        <v> </v>
      </c>
      <c r="J3914" s="26" t="str">
        <f>IF(OR(E3914="",E3914="!!!",F3914="NEW"),"",COUNTBLANK(OFFSET(A$1,,,SUMPRODUCT(MAX(ROW(E$2:E3914)*(E3914=E$2:E3914)))))-COUNTBLANK(OFFSET(A$1,,,SUMPRODUCT(MAX(ROW(E$1:E3913)*(E2=E$1:E3913))))))</f>
        <v> </v>
      </c>
      <c r="K3914" s="26" t="str">
        <f>IF(OR(E3914="",E3914="!!!",F3914="NEW"),"",INDEX(J$1:J3913,SUMPRODUCT(MAX(ROW(E$1:E3913)*(E3914=E$1:E3913)))))</f>
        <v> </v>
      </c>
      <c r="L3914" s="27"/>
    </row>
    <row r="3915" spans="1:12">
      <c r="A3915" s="20" t="s">
        <v>2045</v>
      </c>
      <c r="B3915" s="21" t="s">
        <v>1005</v>
      </c>
      <c r="C3915" s="21" t="s">
        <v>1051</v>
      </c>
      <c r="E3915" s="22">
        <f>IF(D3915="?OLD","!!!","")</f>
        <v/>
      </c>
      <c r="F3915" s="23" t="str">
        <f>IF(OR(E3915="",E3915="!!!"),"",IF(NOT(ISNA(VLOOKUP(E3915,E$1:E3914,1,FALSE()))),"OLD",IF(AND(E3915&lt;&gt;"",E3915&lt;&gt;"!!!"),"NEW","")))</f>
        <v> </v>
      </c>
      <c r="G3915" s="24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5" t="str">
        <f>IF(J3915&lt;&gt;1,"",IF(I3915="SBJ","CB","?"))</f>
        <v> </v>
      </c>
      <c r="I3915" s="26" t="str">
        <f>IF(OR(E3915="",E3915="!!!",F3915="NEW"),"",INDEX(B3914:B$2,-1+SUMPRODUCT(MAX(ROW(E3914:E$2)*(E3915=E3914:E$2)))))</f>
        <v> </v>
      </c>
      <c r="J3915" s="26" t="str">
        <f>IF(OR(E3915="",E3915="!!!",F3915="NEW"),"",COUNTBLANK(OFFSET(A$1,,,SUMPRODUCT(MAX(ROW(E$2:E3915)*(E3915=E$2:E3915)))))-COUNTBLANK(OFFSET(A$1,,,SUMPRODUCT(MAX(ROW(E$1:E3914)*(E2=E$1:E3914))))))</f>
        <v> </v>
      </c>
      <c r="K3915" s="26" t="str">
        <f>IF(OR(E3915="",E3915="!!!",F3915="NEW"),"",INDEX(J$1:J3914,SUMPRODUCT(MAX(ROW(E$1:E3914)*(E3915=E$1:E3914)))))</f>
        <v> </v>
      </c>
      <c r="L3915" s="27"/>
    </row>
    <row r="3916" spans="1:12">
      <c r="A3916" s="20" t="s">
        <v>965</v>
      </c>
      <c r="B3916" s="21" t="s">
        <v>1036</v>
      </c>
      <c r="E3916" s="22">
        <f>IF(D3916="?OLD","!!!","")</f>
        <v/>
      </c>
      <c r="F3916" s="23" t="str">
        <f>IF(OR(E3916="",E3916="!!!"),"",IF(NOT(ISNA(VLOOKUP(E3916,E$1:E3915,1,FALSE()))),"OLD",IF(AND(E3916&lt;&gt;"",E3916&lt;&gt;"!!!"),"NEW","")))</f>
        <v> </v>
      </c>
      <c r="G3916" s="24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5" t="str">
        <f>IF(J3916&lt;&gt;1,"",IF(I3916="SBJ","CB","?"))</f>
        <v> </v>
      </c>
      <c r="I3916" s="26" t="str">
        <f>IF(OR(E3916="",E3916="!!!",F3916="NEW"),"",INDEX(B3915:B$2,-1+SUMPRODUCT(MAX(ROW(E3915:E$2)*(E3916=E3915:E$2)))))</f>
        <v> </v>
      </c>
      <c r="J3916" s="26" t="str">
        <f>IF(OR(E3916="",E3916="!!!",F3916="NEW"),"",COUNTBLANK(OFFSET(A$1,,,SUMPRODUCT(MAX(ROW(E$2:E3916)*(E3916=E$2:E3916)))))-COUNTBLANK(OFFSET(A$1,,,SUMPRODUCT(MAX(ROW(E$1:E3915)*(E2=E$1:E3915))))))</f>
        <v> </v>
      </c>
      <c r="K3916" s="26" t="str">
        <f>IF(OR(E3916="",E3916="!!!",F3916="NEW"),"",INDEX(J$1:J3915,SUMPRODUCT(MAX(ROW(E$1:E3915)*(E3916=E$1:E3915)))))</f>
        <v> </v>
      </c>
      <c r="L3916" s="27"/>
    </row>
    <row r="3917" spans="1:12">
      <c r="A3917" s="20" t="s">
        <v>1038</v>
      </c>
      <c r="B3917" s="21" t="s">
        <v>1040</v>
      </c>
      <c r="C3917" s="21" t="s">
        <v>960</v>
      </c>
      <c r="D3917" s="21" t="s">
        <v>950</v>
      </c>
      <c r="E3917" s="22">
        <f>IF(D3917="?OLD","!!!","")</f>
        <v/>
      </c>
      <c r="F3917" s="23" t="str">
        <f>IF(OR(E3917="",E3917="!!!"),"",IF(NOT(ISNA(VLOOKUP(E3917,E$1:E3916,1,FALSE()))),"OLD",IF(AND(E3917&lt;&gt;"",E3917&lt;&gt;"!!!"),"NEW","")))</f>
        <v> </v>
      </c>
      <c r="G3917" s="24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5" t="str">
        <f>IF(J3917&lt;&gt;1,"",IF(I3917="SBJ","CB","?"))</f>
        <v> </v>
      </c>
      <c r="I3917" s="26" t="str">
        <f>IF(OR(E3917="",E3917="!!!",F3917="NEW"),"",INDEX(B3916:B$2,-1+SUMPRODUCT(MAX(ROW(E3916:E$2)*(E3917=E3916:E$2)))))</f>
        <v> </v>
      </c>
      <c r="J3917" s="26" t="str">
        <f>IF(OR(E3917="",E3917="!!!",F3917="NEW"),"",COUNTBLANK(OFFSET(A$1,,,SUMPRODUCT(MAX(ROW(E$2:E3917)*(E3917=E$2:E3917)))))-COUNTBLANK(OFFSET(A$1,,,SUMPRODUCT(MAX(ROW(E$1:E3916)*(E2=E$1:E3916))))))</f>
        <v> </v>
      </c>
      <c r="K3917" s="26" t="str">
        <f>IF(OR(E3917="",E3917="!!!",F3917="NEW"),"",INDEX(J$1:J3916,SUMPRODUCT(MAX(ROW(E$1:E3916)*(E3917=E$1:E3916)))))</f>
        <v> </v>
      </c>
      <c r="L3917" s="27"/>
    </row>
    <row r="3918" spans="1:12">
      <c r="A3918" s="20" t="s">
        <v>2046</v>
      </c>
      <c r="E3918" s="22">
        <f>IF(D3918="?OLD","!!!","")</f>
        <v/>
      </c>
      <c r="F3918" s="23" t="str">
        <f>IF(OR(E3918="",E3918="!!!"),"",IF(NOT(ISNA(VLOOKUP(E3918,E$1:E3917,1,FALSE()))),"OLD",IF(AND(E3918&lt;&gt;"",E3918&lt;&gt;"!!!"),"NEW","")))</f>
        <v> </v>
      </c>
      <c r="G3918" s="24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5" t="str">
        <f>IF(J3918&lt;&gt;1,"",IF(I3918="SBJ","CB","?"))</f>
        <v> </v>
      </c>
      <c r="I3918" s="26" t="str">
        <f>IF(OR(E3918="",E3918="!!!",F3918="NEW"),"",INDEX(B3917:B$2,-1+SUMPRODUCT(MAX(ROW(E3917:E$2)*(E3918=E3917:E$2)))))</f>
        <v> </v>
      </c>
      <c r="J3918" s="26" t="str">
        <f>IF(OR(E3918="",E3918="!!!",F3918="NEW"),"",COUNTBLANK(OFFSET(A$1,,,SUMPRODUCT(MAX(ROW(E$2:E3918)*(E3918=E$2:E3918)))))-COUNTBLANK(OFFSET(A$1,,,SUMPRODUCT(MAX(ROW(E$1:E3917)*(E2=E$1:E3917))))))</f>
        <v> </v>
      </c>
      <c r="K3918" s="26" t="str">
        <f>IF(OR(E3918="",E3918="!!!",F3918="NEW"),"",INDEX(J$1:J3917,SUMPRODUCT(MAX(ROW(E$1:E3917)*(E3918=E$1:E3917)))))</f>
        <v> </v>
      </c>
      <c r="L3918" s="27"/>
    </row>
    <row r="3919" spans="1:12">
      <c r="A3919" s="20" t="s">
        <v>1155</v>
      </c>
      <c r="E3919" s="22">
        <f>IF(D3919="?OLD","!!!","")</f>
        <v/>
      </c>
      <c r="F3919" s="23" t="str">
        <f>IF(OR(E3919="",E3919="!!!"),"",IF(NOT(ISNA(VLOOKUP(E3919,E$1:E3918,1,FALSE()))),"OLD",IF(AND(E3919&lt;&gt;"",E3919&lt;&gt;"!!!"),"NEW","")))</f>
        <v> </v>
      </c>
      <c r="G3919" s="24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5" t="str">
        <f>IF(J3919&lt;&gt;1,"",IF(I3919="SBJ","CB","?"))</f>
        <v> </v>
      </c>
      <c r="I3919" s="26" t="str">
        <f>IF(OR(E3919="",E3919="!!!",F3919="NEW"),"",INDEX(B3918:B$2,-1+SUMPRODUCT(MAX(ROW(E3918:E$2)*(E3919=E3918:E$2)))))</f>
        <v> </v>
      </c>
      <c r="J3919" s="26" t="str">
        <f>IF(OR(E3919="",E3919="!!!",F3919="NEW"),"",COUNTBLANK(OFFSET(A$1,,,SUMPRODUCT(MAX(ROW(E$2:E3919)*(E3919=E$2:E3919)))))-COUNTBLANK(OFFSET(A$1,,,SUMPRODUCT(MAX(ROW(E$1:E3918)*(E2=E$1:E3918))))))</f>
        <v> </v>
      </c>
      <c r="K3919" s="26" t="str">
        <f>IF(OR(E3919="",E3919="!!!",F3919="NEW"),"",INDEX(J$1:J3918,SUMPRODUCT(MAX(ROW(E$1:E3918)*(E3919=E$1:E3918)))))</f>
        <v> </v>
      </c>
      <c r="L3919" s="27"/>
    </row>
    <row r="3920" spans="1:12">
      <c r="A3920" s="20" t="s">
        <v>984</v>
      </c>
      <c r="E3920" s="22">
        <f>IF(D3920="?OLD","!!!","")</f>
        <v/>
      </c>
      <c r="F3920" s="23" t="str">
        <f>IF(OR(E3920="",E3920="!!!"),"",IF(NOT(ISNA(VLOOKUP(E3920,E$1:E3919,1,FALSE()))),"OLD",IF(AND(E3920&lt;&gt;"",E3920&lt;&gt;"!!!"),"NEW","")))</f>
        <v> </v>
      </c>
      <c r="G3920" s="24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5" t="str">
        <f>IF(J3920&lt;&gt;1,"",IF(I3920="SBJ","CB","?"))</f>
        <v> </v>
      </c>
      <c r="I3920" s="26" t="str">
        <f>IF(OR(E3920="",E3920="!!!",F3920="NEW"),"",INDEX(B3919:B$2,-1+SUMPRODUCT(MAX(ROW(E3919:E$2)*(E3920=E3919:E$2)))))</f>
        <v> </v>
      </c>
      <c r="J3920" s="26" t="str">
        <f>IF(OR(E3920="",E3920="!!!",F3920="NEW"),"",COUNTBLANK(OFFSET(A$1,,,SUMPRODUCT(MAX(ROW(E$2:E3920)*(E3920=E$2:E3920)))))-COUNTBLANK(OFFSET(A$1,,,SUMPRODUCT(MAX(ROW(E$1:E3919)*(E2=E$1:E3919))))))</f>
        <v> </v>
      </c>
      <c r="K3920" s="26" t="str">
        <f>IF(OR(E3920="",E3920="!!!",F3920="NEW"),"",INDEX(J$1:J3919,SUMPRODUCT(MAX(ROW(E$1:E3919)*(E3920=E$1:E3919)))))</f>
        <v> </v>
      </c>
      <c r="L3920" s="27"/>
    </row>
    <row r="3921" spans="1:12">
      <c r="A3921" s="20"/>
    </row>
    <row r="3922" spans="1:12">
      <c r="A3922" s="20" t="s">
        <v>2047</v>
      </c>
    </row>
    <row r="3923" spans="1:12">
      <c r="A3923" s="20" t="s">
        <v>1016</v>
      </c>
      <c r="E3923" s="22">
        <f>IF(D3923="?OLD","!!!","")</f>
        <v/>
      </c>
      <c r="F3923" s="23" t="str">
        <f>IF(OR(E3923="",E3923="!!!"),"",IF(NOT(ISNA(VLOOKUP(E3923,E$1:E3922,1,FALSE()))),"OLD",IF(AND(E3923&lt;&gt;"",E3923&lt;&gt;"!!!"),"NEW","")))</f>
        <v> </v>
      </c>
      <c r="G3923" s="24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5" t="str">
        <f>IF(J3923&lt;&gt;1,"",IF(I3923="SBJ","CB","?"))</f>
        <v> </v>
      </c>
      <c r="I3923" s="26" t="str">
        <f>IF(OR(E3923="",E3923="!!!",F3923="NEW"),"",INDEX(B3922:B$2,-1+SUMPRODUCT(MAX(ROW(E3922:E$2)*(E3923=E3922:E$2)))))</f>
        <v> </v>
      </c>
      <c r="J3923" s="26" t="str">
        <f>IF(OR(E3923="",E3923="!!!",F3923="NEW"),"",COUNTBLANK(OFFSET(A$1,,,SUMPRODUCT(MAX(ROW(E$2:E3923)*(E3923=E$2:E3923)))))-COUNTBLANK(OFFSET(A$1,,,SUMPRODUCT(MAX(ROW(E$1:E3922)*(E2=E$1:E3922))))))</f>
        <v> </v>
      </c>
      <c r="K3923" s="26" t="str">
        <f>IF(OR(E3923="",E3923="!!!",F3923="NEW"),"",INDEX(J$1:J3922,SUMPRODUCT(MAX(ROW(E$1:E3922)*(E3923=E$1:E3922)))))</f>
        <v> </v>
      </c>
      <c r="L3923" s="27"/>
    </row>
    <row r="3924" spans="1:12">
      <c r="A3924" s="20" t="s">
        <v>952</v>
      </c>
      <c r="E3924" s="22">
        <f>IF(D3924="?OLD","!!!","")</f>
        <v/>
      </c>
      <c r="F3924" s="23" t="str">
        <f>IF(OR(E3924="",E3924="!!!"),"",IF(NOT(ISNA(VLOOKUP(E3924,E$1:E3923,1,FALSE()))),"OLD",IF(AND(E3924&lt;&gt;"",E3924&lt;&gt;"!!!"),"NEW","")))</f>
        <v> </v>
      </c>
      <c r="G3924" s="24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5" t="str">
        <f>IF(J3924&lt;&gt;1,"",IF(I3924="SBJ","CB","?"))</f>
        <v> </v>
      </c>
      <c r="I3924" s="26" t="str">
        <f>IF(OR(E3924="",E3924="!!!",F3924="NEW"),"",INDEX(B3923:B$2,-1+SUMPRODUCT(MAX(ROW(E3923:E$2)*(E3924=E3923:E$2)))))</f>
        <v> </v>
      </c>
      <c r="J3924" s="26" t="str">
        <f>IF(OR(E3924="",E3924="!!!",F3924="NEW"),"",COUNTBLANK(OFFSET(A$1,,,SUMPRODUCT(MAX(ROW(E$2:E3924)*(E3924=E$2:E3924)))))-COUNTBLANK(OFFSET(A$1,,,SUMPRODUCT(MAX(ROW(E$1:E3923)*(E2=E$1:E3923))))))</f>
        <v> </v>
      </c>
      <c r="K3924" s="26" t="str">
        <f>IF(OR(E3924="",E3924="!!!",F3924="NEW"),"",INDEX(J$1:J3923,SUMPRODUCT(MAX(ROW(E$1:E3923)*(E3924=E$1:E3923)))))</f>
        <v> </v>
      </c>
      <c r="L3924" s="27"/>
    </row>
    <row r="3925" spans="1:12">
      <c r="A3925" s="20" t="s">
        <v>1109</v>
      </c>
      <c r="E3925" s="22">
        <f>IF(D3925="?OLD","!!!","")</f>
        <v/>
      </c>
      <c r="F3925" s="23" t="str">
        <f>IF(OR(E3925="",E3925="!!!"),"",IF(NOT(ISNA(VLOOKUP(E3925,E$1:E3924,1,FALSE()))),"OLD",IF(AND(E3925&lt;&gt;"",E3925&lt;&gt;"!!!"),"NEW","")))</f>
        <v> </v>
      </c>
      <c r="G3925" s="24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5" t="str">
        <f>IF(J3925&lt;&gt;1,"",IF(I3925="SBJ","CB","?"))</f>
        <v> </v>
      </c>
      <c r="I3925" s="26" t="str">
        <f>IF(OR(E3925="",E3925="!!!",F3925="NEW"),"",INDEX(B3924:B$2,-1+SUMPRODUCT(MAX(ROW(E3924:E$2)*(E3925=E3924:E$2)))))</f>
        <v> </v>
      </c>
      <c r="J3925" s="26" t="str">
        <f>IF(OR(E3925="",E3925="!!!",F3925="NEW"),"",COUNTBLANK(OFFSET(A$1,,,SUMPRODUCT(MAX(ROW(E$2:E3925)*(E3925=E$2:E3925)))))-COUNTBLANK(OFFSET(A$1,,,SUMPRODUCT(MAX(ROW(E$1:E3924)*(E2=E$1:E3924))))))</f>
        <v> </v>
      </c>
      <c r="K3925" s="26" t="str">
        <f>IF(OR(E3925="",E3925="!!!",F3925="NEW"),"",INDEX(J$1:J3924,SUMPRODUCT(MAX(ROW(E$1:E3924)*(E3925=E$1:E3924)))))</f>
        <v> </v>
      </c>
      <c r="L3925" s="27"/>
    </row>
    <row r="3926" spans="1:12">
      <c r="A3926" s="20" t="s">
        <v>1000</v>
      </c>
      <c r="E3926" s="22">
        <f>IF(D3926="?OLD","!!!","")</f>
        <v/>
      </c>
      <c r="F3926" s="23" t="str">
        <f>IF(OR(E3926="",E3926="!!!"),"",IF(NOT(ISNA(VLOOKUP(E3926,E$1:E3925,1,FALSE()))),"OLD",IF(AND(E3926&lt;&gt;"",E3926&lt;&gt;"!!!"),"NEW","")))</f>
        <v> </v>
      </c>
      <c r="G3926" s="24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5" t="str">
        <f>IF(J3926&lt;&gt;1,"",IF(I3926="SBJ","CB","?"))</f>
        <v> </v>
      </c>
      <c r="I3926" s="26" t="str">
        <f>IF(OR(E3926="",E3926="!!!",F3926="NEW"),"",INDEX(B3925:B$2,-1+SUMPRODUCT(MAX(ROW(E3925:E$2)*(E3926=E3925:E$2)))))</f>
        <v> </v>
      </c>
      <c r="J3926" s="26" t="str">
        <f>IF(OR(E3926="",E3926="!!!",F3926="NEW"),"",COUNTBLANK(OFFSET(A$1,,,SUMPRODUCT(MAX(ROW(E$2:E3926)*(E3926=E$2:E3926)))))-COUNTBLANK(OFFSET(A$1,,,SUMPRODUCT(MAX(ROW(E$1:E3925)*(E2=E$1:E3925))))))</f>
        <v> </v>
      </c>
      <c r="K3926" s="26" t="str">
        <f>IF(OR(E3926="",E3926="!!!",F3926="NEW"),"",INDEX(J$1:J3925,SUMPRODUCT(MAX(ROW(E$1:E3925)*(E3926=E$1:E3925)))))</f>
        <v> </v>
      </c>
      <c r="L3926" s="27"/>
    </row>
    <row r="3927" spans="1:12">
      <c r="A3927" s="20" t="s">
        <v>1006</v>
      </c>
      <c r="B3927" s="21" t="s">
        <v>1143</v>
      </c>
      <c r="C3927" s="21" t="s">
        <v>1008</v>
      </c>
      <c r="D3927" s="21" t="s">
        <v>950</v>
      </c>
      <c r="E3927" s="22">
        <f>IF(D3927="?OLD","!!!","")</f>
        <v/>
      </c>
      <c r="F3927" s="23" t="str">
        <f>IF(OR(E3927="",E3927="!!!"),"",IF(NOT(ISNA(VLOOKUP(E3927,E$1:E3926,1,FALSE()))),"OLD",IF(AND(E3927&lt;&gt;"",E3927&lt;&gt;"!!!"),"NEW","")))</f>
        <v> </v>
      </c>
      <c r="G3927" s="24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5" t="str">
        <f>IF(J3927&lt;&gt;1,"",IF(I3927="SBJ","CB","?"))</f>
        <v> </v>
      </c>
      <c r="I3927" s="26" t="str">
        <f>IF(OR(E3927="",E3927="!!!",F3927="NEW"),"",INDEX(B3926:B$2,-1+SUMPRODUCT(MAX(ROW(E3926:E$2)*(E3927=E3926:E$2)))))</f>
        <v> </v>
      </c>
      <c r="J3927" s="26" t="str">
        <f>IF(OR(E3927="",E3927="!!!",F3927="NEW"),"",COUNTBLANK(OFFSET(A$1,,,SUMPRODUCT(MAX(ROW(E$2:E3927)*(E3927=E$2:E3927)))))-COUNTBLANK(OFFSET(A$1,,,SUMPRODUCT(MAX(ROW(E$1:E3926)*(E2=E$1:E3926))))))</f>
        <v> </v>
      </c>
      <c r="K3927" s="26" t="str">
        <f>IF(OR(E3927="",E3927="!!!",F3927="NEW"),"",INDEX(J$1:J3926,SUMPRODUCT(MAX(ROW(E$1:E3926)*(E3927=E$1:E3926)))))</f>
        <v> </v>
      </c>
      <c r="L3927" s="27"/>
    </row>
    <row r="3928" spans="1:12">
      <c r="A3928" s="20" t="s">
        <v>965</v>
      </c>
      <c r="B3928" s="21" t="s">
        <v>1080</v>
      </c>
      <c r="E3928" s="22">
        <f>IF(D3928="?OLD","!!!","")</f>
        <v/>
      </c>
      <c r="F3928" s="23" t="str">
        <f>IF(OR(E3928="",E3928="!!!"),"",IF(NOT(ISNA(VLOOKUP(E3928,E$1:E3927,1,FALSE()))),"OLD",IF(AND(E3928&lt;&gt;"",E3928&lt;&gt;"!!!"),"NEW","")))</f>
        <v> </v>
      </c>
      <c r="G3928" s="24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5" t="str">
        <f>IF(J3928&lt;&gt;1,"",IF(I3928="SBJ","CB","?"))</f>
        <v> </v>
      </c>
      <c r="I3928" s="26" t="str">
        <f>IF(OR(E3928="",E3928="!!!",F3928="NEW"),"",INDEX(B3927:B$2,-1+SUMPRODUCT(MAX(ROW(E3927:E$2)*(E3928=E3927:E$2)))))</f>
        <v> </v>
      </c>
      <c r="J3928" s="26" t="str">
        <f>IF(OR(E3928="",E3928="!!!",F3928="NEW"),"",COUNTBLANK(OFFSET(A$1,,,SUMPRODUCT(MAX(ROW(E$2:E3928)*(E3928=E$2:E3928)))))-COUNTBLANK(OFFSET(A$1,,,SUMPRODUCT(MAX(ROW(E$1:E3927)*(E2=E$1:E3927))))))</f>
        <v> </v>
      </c>
      <c r="K3928" s="26" t="str">
        <f>IF(OR(E3928="",E3928="!!!",F3928="NEW"),"",INDEX(J$1:J3927,SUMPRODUCT(MAX(ROW(E$1:E3927)*(E3928=E$1:E3927)))))</f>
        <v> </v>
      </c>
      <c r="L3928" s="27"/>
    </row>
    <row r="3929" spans="1:12">
      <c r="A3929" s="20" t="s">
        <v>1072</v>
      </c>
      <c r="E3929" s="22">
        <f>IF(D3929="?OLD","!!!","")</f>
        <v/>
      </c>
      <c r="F3929" s="23" t="str">
        <f>IF(OR(E3929="",E3929="!!!"),"",IF(NOT(ISNA(VLOOKUP(E3929,E$1:E3928,1,FALSE()))),"OLD",IF(AND(E3929&lt;&gt;"",E3929&lt;&gt;"!!!"),"NEW","")))</f>
        <v> </v>
      </c>
      <c r="G3929" s="24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5" t="str">
        <f>IF(J3929&lt;&gt;1,"",IF(I3929="SBJ","CB","?"))</f>
        <v> </v>
      </c>
      <c r="I3929" s="26" t="str">
        <f>IF(OR(E3929="",E3929="!!!",F3929="NEW"),"",INDEX(B3928:B$2,-1+SUMPRODUCT(MAX(ROW(E3928:E$2)*(E3929=E3928:E$2)))))</f>
        <v> </v>
      </c>
      <c r="J3929" s="26" t="str">
        <f>IF(OR(E3929="",E3929="!!!",F3929="NEW"),"",COUNTBLANK(OFFSET(A$1,,,SUMPRODUCT(MAX(ROW(E$2:E3929)*(E3929=E$2:E3929)))))-COUNTBLANK(OFFSET(A$1,,,SUMPRODUCT(MAX(ROW(E$1:E3928)*(E2=E$1:E3928))))))</f>
        <v> </v>
      </c>
      <c r="K3929" s="26" t="str">
        <f>IF(OR(E3929="",E3929="!!!",F3929="NEW"),"",INDEX(J$1:J3928,SUMPRODUCT(MAX(ROW(E$1:E3928)*(E3929=E$1:E3928)))))</f>
        <v> </v>
      </c>
      <c r="L3929" s="27"/>
    </row>
    <row r="3930" spans="1:12">
      <c r="A3930" s="20" t="s">
        <v>2048</v>
      </c>
      <c r="E3930" s="22">
        <f>IF(D3930="?OLD","!!!","")</f>
        <v/>
      </c>
      <c r="F3930" s="23" t="str">
        <f>IF(OR(E3930="",E3930="!!!"),"",IF(NOT(ISNA(VLOOKUP(E3930,E$1:E3929,1,FALSE()))),"OLD",IF(AND(E3930&lt;&gt;"",E3930&lt;&gt;"!!!"),"NEW","")))</f>
        <v> </v>
      </c>
      <c r="G3930" s="24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5" t="str">
        <f>IF(J3930&lt;&gt;1,"",IF(I3930="SBJ","CB","?"))</f>
        <v> </v>
      </c>
      <c r="I3930" s="26" t="str">
        <f>IF(OR(E3930="",E3930="!!!",F3930="NEW"),"",INDEX(B3929:B$2,-1+SUMPRODUCT(MAX(ROW(E3929:E$2)*(E3930=E3929:E$2)))))</f>
        <v> </v>
      </c>
      <c r="J3930" s="26" t="str">
        <f>IF(OR(E3930="",E3930="!!!",F3930="NEW"),"",COUNTBLANK(OFFSET(A$1,,,SUMPRODUCT(MAX(ROW(E$2:E3930)*(E3930=E$2:E3930)))))-COUNTBLANK(OFFSET(A$1,,,SUMPRODUCT(MAX(ROW(E$1:E3929)*(E2=E$1:E3929))))))</f>
        <v> </v>
      </c>
      <c r="K3930" s="26" t="str">
        <f>IF(OR(E3930="",E3930="!!!",F3930="NEW"),"",INDEX(J$1:J3929,SUMPRODUCT(MAX(ROW(E$1:E3929)*(E3930=E$1:E3929)))))</f>
        <v> </v>
      </c>
      <c r="L3930" s="27"/>
    </row>
    <row r="3931" spans="1:12">
      <c r="A3931" s="20" t="s">
        <v>1021</v>
      </c>
      <c r="E3931" s="22">
        <f>IF(D3931="?OLD","!!!","")</f>
        <v/>
      </c>
      <c r="F3931" s="23" t="str">
        <f>IF(OR(E3931="",E3931="!!!"),"",IF(NOT(ISNA(VLOOKUP(E3931,E$1:E3930,1,FALSE()))),"OLD",IF(AND(E3931&lt;&gt;"",E3931&lt;&gt;"!!!"),"NEW","")))</f>
        <v> </v>
      </c>
      <c r="G3931" s="24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5" t="str">
        <f>IF(J3931&lt;&gt;1,"",IF(I3931="SBJ","CB","?"))</f>
        <v> </v>
      </c>
      <c r="I3931" s="26" t="str">
        <f>IF(OR(E3931="",E3931="!!!",F3931="NEW"),"",INDEX(B3930:B$2,-1+SUMPRODUCT(MAX(ROW(E3930:E$2)*(E3931=E3930:E$2)))))</f>
        <v> </v>
      </c>
      <c r="J3931" s="26" t="str">
        <f>IF(OR(E3931="",E3931="!!!",F3931="NEW"),"",COUNTBLANK(OFFSET(A$1,,,SUMPRODUCT(MAX(ROW(E$2:E3931)*(E3931=E$2:E3931)))))-COUNTBLANK(OFFSET(A$1,,,SUMPRODUCT(MAX(ROW(E$1:E3930)*(E2=E$1:E3930))))))</f>
        <v> </v>
      </c>
      <c r="K3931" s="26" t="str">
        <f>IF(OR(E3931="",E3931="!!!",F3931="NEW"),"",INDEX(J$1:J3930,SUMPRODUCT(MAX(ROW(E$1:E3930)*(E3931=E$1:E3930)))))</f>
        <v> </v>
      </c>
      <c r="L3931" s="27"/>
    </row>
    <row r="3932" spans="1:12">
      <c r="A3932" s="20" t="s">
        <v>1551</v>
      </c>
      <c r="B3932" s="21" t="s">
        <v>982</v>
      </c>
      <c r="C3932" s="21" t="s">
        <v>960</v>
      </c>
      <c r="D3932" s="21" t="s">
        <v>950</v>
      </c>
      <c r="E3932" s="22">
        <f>IF(D3932="?OLD","!!!","")</f>
        <v/>
      </c>
      <c r="F3932" s="23" t="str">
        <f>IF(OR(E3932="",E3932="!!!"),"",IF(NOT(ISNA(VLOOKUP(E3932,E$1:E3931,1,FALSE()))),"OLD",IF(AND(E3932&lt;&gt;"",E3932&lt;&gt;"!!!"),"NEW","")))</f>
        <v> </v>
      </c>
      <c r="G3932" s="24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5" t="str">
        <f>IF(J3932&lt;&gt;1,"",IF(I3932="SBJ","CB","?"))</f>
        <v> </v>
      </c>
      <c r="I3932" s="26" t="str">
        <f>IF(OR(E3932="",E3932="!!!",F3932="NEW"),"",INDEX(B3931:B$2,-1+SUMPRODUCT(MAX(ROW(E3931:E$2)*(E3932=E3931:E$2)))))</f>
        <v> </v>
      </c>
      <c r="J3932" s="26" t="str">
        <f>IF(OR(E3932="",E3932="!!!",F3932="NEW"),"",COUNTBLANK(OFFSET(A$1,,,SUMPRODUCT(MAX(ROW(E$2:E3932)*(E3932=E$2:E3932)))))-COUNTBLANK(OFFSET(A$1,,,SUMPRODUCT(MAX(ROW(E$1:E3931)*(E2=E$1:E3931))))))</f>
        <v> </v>
      </c>
      <c r="K3932" s="26" t="str">
        <f>IF(OR(E3932="",E3932="!!!",F3932="NEW"),"",INDEX(J$1:J3931,SUMPRODUCT(MAX(ROW(E$1:E3931)*(E3932=E$1:E3931)))))</f>
        <v> </v>
      </c>
      <c r="L3932" s="27"/>
    </row>
    <row r="3933" spans="1:12">
      <c r="A3933" s="20" t="s">
        <v>1000</v>
      </c>
      <c r="E3933" s="22">
        <f>IF(D3933="?OLD","!!!","")</f>
        <v/>
      </c>
      <c r="F3933" s="23" t="str">
        <f>IF(OR(E3933="",E3933="!!!"),"",IF(NOT(ISNA(VLOOKUP(E3933,E$1:E3932,1,FALSE()))),"OLD",IF(AND(E3933&lt;&gt;"",E3933&lt;&gt;"!!!"),"NEW","")))</f>
        <v> </v>
      </c>
      <c r="G3933" s="24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5" t="str">
        <f>IF(J3933&lt;&gt;1,"",IF(I3933="SBJ","CB","?"))</f>
        <v> </v>
      </c>
      <c r="I3933" s="26" t="str">
        <f>IF(OR(E3933="",E3933="!!!",F3933="NEW"),"",INDEX(B3932:B$2,-1+SUMPRODUCT(MAX(ROW(E3932:E$2)*(E3933=E3932:E$2)))))</f>
        <v> </v>
      </c>
      <c r="J3933" s="26" t="str">
        <f>IF(OR(E3933="",E3933="!!!",F3933="NEW"),"",COUNTBLANK(OFFSET(A$1,,,SUMPRODUCT(MAX(ROW(E$2:E3933)*(E3933=E$2:E3933)))))-COUNTBLANK(OFFSET(A$1,,,SUMPRODUCT(MAX(ROW(E$1:E3932)*(E2=E$1:E3932))))))</f>
        <v> </v>
      </c>
      <c r="K3933" s="26" t="str">
        <f>IF(OR(E3933="",E3933="!!!",F3933="NEW"),"",INDEX(J$1:J3932,SUMPRODUCT(MAX(ROW(E$1:E3932)*(E3933=E$1:E3932)))))</f>
        <v> </v>
      </c>
      <c r="L3933" s="27"/>
    </row>
    <row r="3934" spans="1:12">
      <c r="A3934" s="20" t="s">
        <v>1763</v>
      </c>
      <c r="E3934" s="22">
        <f>IF(D3934="?OLD","!!!","")</f>
        <v/>
      </c>
      <c r="F3934" s="23" t="str">
        <f>IF(OR(E3934="",E3934="!!!"),"",IF(NOT(ISNA(VLOOKUP(E3934,E$1:E3933,1,FALSE()))),"OLD",IF(AND(E3934&lt;&gt;"",E3934&lt;&gt;"!!!"),"NEW","")))</f>
        <v> </v>
      </c>
      <c r="G3934" s="24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5" t="str">
        <f>IF(J3934&lt;&gt;1,"",IF(I3934="SBJ","CB","?"))</f>
        <v> </v>
      </c>
      <c r="I3934" s="26" t="str">
        <f>IF(OR(E3934="",E3934="!!!",F3934="NEW"),"",INDEX(B3933:B$2,-1+SUMPRODUCT(MAX(ROW(E3933:E$2)*(E3934=E3933:E$2)))))</f>
        <v> </v>
      </c>
      <c r="J3934" s="26" t="str">
        <f>IF(OR(E3934="",E3934="!!!",F3934="NEW"),"",COUNTBLANK(OFFSET(A$1,,,SUMPRODUCT(MAX(ROW(E$2:E3934)*(E3934=E$2:E3934)))))-COUNTBLANK(OFFSET(A$1,,,SUMPRODUCT(MAX(ROW(E$1:E3933)*(E2=E$1:E3933))))))</f>
        <v> </v>
      </c>
      <c r="K3934" s="26" t="str">
        <f>IF(OR(E3934="",E3934="!!!",F3934="NEW"),"",INDEX(J$1:J3933,SUMPRODUCT(MAX(ROW(E$1:E3933)*(E3934=E$1:E3933)))))</f>
        <v> </v>
      </c>
      <c r="L3934" s="27"/>
    </row>
    <row r="3935" spans="1:12">
      <c r="A3935" s="20" t="s">
        <v>1022</v>
      </c>
      <c r="E3935" s="22">
        <f>IF(D3935="?OLD","!!!","")</f>
        <v/>
      </c>
      <c r="F3935" s="23" t="str">
        <f>IF(OR(E3935="",E3935="!!!"),"",IF(NOT(ISNA(VLOOKUP(E3935,E$1:E3934,1,FALSE()))),"OLD",IF(AND(E3935&lt;&gt;"",E3935&lt;&gt;"!!!"),"NEW","")))</f>
        <v> </v>
      </c>
      <c r="G3935" s="24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5" t="str">
        <f>IF(J3935&lt;&gt;1,"",IF(I3935="SBJ","CB","?"))</f>
        <v> </v>
      </c>
      <c r="I3935" s="26" t="str">
        <f>IF(OR(E3935="",E3935="!!!",F3935="NEW"),"",INDEX(B3934:B$2,-1+SUMPRODUCT(MAX(ROW(E3934:E$2)*(E3935=E3934:E$2)))))</f>
        <v> </v>
      </c>
      <c r="J3935" s="26" t="str">
        <f>IF(OR(E3935="",E3935="!!!",F3935="NEW"),"",COUNTBLANK(OFFSET(A$1,,,SUMPRODUCT(MAX(ROW(E$2:E3935)*(E3935=E$2:E3935)))))-COUNTBLANK(OFFSET(A$1,,,SUMPRODUCT(MAX(ROW(E$1:E3934)*(E2=E$1:E3934))))))</f>
        <v> </v>
      </c>
      <c r="K3935" s="26" t="str">
        <f>IF(OR(E3935="",E3935="!!!",F3935="NEW"),"",INDEX(J$1:J3934,SUMPRODUCT(MAX(ROW(E$1:E3934)*(E3935=E$1:E3934)))))</f>
        <v> </v>
      </c>
      <c r="L3935" s="27"/>
    </row>
    <row r="3936" spans="1:12">
      <c r="A3936" s="20" t="s">
        <v>1335</v>
      </c>
      <c r="B3936" s="21" t="s">
        <v>1031</v>
      </c>
      <c r="C3936" s="21" t="s">
        <v>960</v>
      </c>
      <c r="D3936" s="21" t="s">
        <v>950</v>
      </c>
      <c r="E3936" s="22">
        <f>IF(D3936="?OLD","!!!","")</f>
        <v/>
      </c>
      <c r="F3936" s="23" t="str">
        <f>IF(OR(E3936="",E3936="!!!"),"",IF(NOT(ISNA(VLOOKUP(E3936,E$1:E3935,1,FALSE()))),"OLD",IF(AND(E3936&lt;&gt;"",E3936&lt;&gt;"!!!"),"NEW","")))</f>
        <v> </v>
      </c>
      <c r="G3936" s="24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5" t="str">
        <f>IF(J3936&lt;&gt;1,"",IF(I3936="SBJ","CB","?"))</f>
        <v> </v>
      </c>
      <c r="I3936" s="26" t="str">
        <f>IF(OR(E3936="",E3936="!!!",F3936="NEW"),"",INDEX(B3935:B$2,-1+SUMPRODUCT(MAX(ROW(E3935:E$2)*(E3936=E3935:E$2)))))</f>
        <v> </v>
      </c>
      <c r="J3936" s="26" t="str">
        <f>IF(OR(E3936="",E3936="!!!",F3936="NEW"),"",COUNTBLANK(OFFSET(A$1,,,SUMPRODUCT(MAX(ROW(E$2:E3936)*(E3936=E$2:E3936)))))-COUNTBLANK(OFFSET(A$1,,,SUMPRODUCT(MAX(ROW(E$1:E3935)*(E2=E$1:E3935))))))</f>
        <v> </v>
      </c>
      <c r="K3936" s="26" t="str">
        <f>IF(OR(E3936="",E3936="!!!",F3936="NEW"),"",INDEX(J$1:J3935,SUMPRODUCT(MAX(ROW(E$1:E3935)*(E3936=E$1:E3935)))))</f>
        <v> </v>
      </c>
      <c r="L3936" s="27"/>
    </row>
    <row r="3937" spans="1:12">
      <c r="A3937" s="20" t="s">
        <v>1000</v>
      </c>
      <c r="E3937" s="22">
        <f>IF(D3937="?OLD","!!!","")</f>
        <v/>
      </c>
      <c r="F3937" s="23" t="str">
        <f>IF(OR(E3937="",E3937="!!!"),"",IF(NOT(ISNA(VLOOKUP(E3937,E$1:E3936,1,FALSE()))),"OLD",IF(AND(E3937&lt;&gt;"",E3937&lt;&gt;"!!!"),"NEW","")))</f>
        <v> </v>
      </c>
      <c r="G3937" s="24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5" t="str">
        <f>IF(J3937&lt;&gt;1,"",IF(I3937="SBJ","CB","?"))</f>
        <v> </v>
      </c>
      <c r="I3937" s="26" t="str">
        <f>IF(OR(E3937="",E3937="!!!",F3937="NEW"),"",INDEX(B3936:B$2,-1+SUMPRODUCT(MAX(ROW(E3936:E$2)*(E3937=E3936:E$2)))))</f>
        <v> </v>
      </c>
      <c r="J3937" s="26" t="str">
        <f>IF(OR(E3937="",E3937="!!!",F3937="NEW"),"",COUNTBLANK(OFFSET(A$1,,,SUMPRODUCT(MAX(ROW(E$2:E3937)*(E3937=E$2:E3937)))))-COUNTBLANK(OFFSET(A$1,,,SUMPRODUCT(MAX(ROW(E$1:E3936)*(E2=E$1:E3936))))))</f>
        <v> </v>
      </c>
      <c r="K3937" s="26" t="str">
        <f>IF(OR(E3937="",E3937="!!!",F3937="NEW"),"",INDEX(J$1:J3936,SUMPRODUCT(MAX(ROW(E$1:E3936)*(E3937=E$1:E3936)))))</f>
        <v> </v>
      </c>
      <c r="L3937" s="27"/>
    </row>
    <row r="3938" spans="1:12">
      <c r="A3938" s="20" t="s">
        <v>1072</v>
      </c>
      <c r="E3938" s="22">
        <f>IF(D3938="?OLD","!!!","")</f>
        <v/>
      </c>
      <c r="F3938" s="23" t="str">
        <f>IF(OR(E3938="",E3938="!!!"),"",IF(NOT(ISNA(VLOOKUP(E3938,E$1:E3937,1,FALSE()))),"OLD",IF(AND(E3938&lt;&gt;"",E3938&lt;&gt;"!!!"),"NEW","")))</f>
        <v> </v>
      </c>
      <c r="G3938" s="24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5" t="str">
        <f>IF(J3938&lt;&gt;1,"",IF(I3938="SBJ","CB","?"))</f>
        <v> </v>
      </c>
      <c r="I3938" s="26" t="str">
        <f>IF(OR(E3938="",E3938="!!!",F3938="NEW"),"",INDEX(B3937:B$2,-1+SUMPRODUCT(MAX(ROW(E3937:E$2)*(E3938=E3937:E$2)))))</f>
        <v> </v>
      </c>
      <c r="J3938" s="26" t="str">
        <f>IF(OR(E3938="",E3938="!!!",F3938="NEW"),"",COUNTBLANK(OFFSET(A$1,,,SUMPRODUCT(MAX(ROW(E$2:E3938)*(E3938=E$2:E3938)))))-COUNTBLANK(OFFSET(A$1,,,SUMPRODUCT(MAX(ROW(E$1:E3937)*(E2=E$1:E3937))))))</f>
        <v> </v>
      </c>
      <c r="K3938" s="26" t="str">
        <f>IF(OR(E3938="",E3938="!!!",F3938="NEW"),"",INDEX(J$1:J3937,SUMPRODUCT(MAX(ROW(E$1:E3937)*(E3938=E$1:E3937)))))</f>
        <v> </v>
      </c>
      <c r="L3938" s="27"/>
    </row>
    <row r="3939" spans="1:12">
      <c r="A3939" s="20" t="s">
        <v>965</v>
      </c>
      <c r="E3939" s="22">
        <f>IF(D3939="?OLD","!!!","")</f>
        <v/>
      </c>
      <c r="F3939" s="23" t="str">
        <f>IF(OR(E3939="",E3939="!!!"),"",IF(NOT(ISNA(VLOOKUP(E3939,E$1:E3938,1,FALSE()))),"OLD",IF(AND(E3939&lt;&gt;"",E3939&lt;&gt;"!!!"),"NEW","")))</f>
        <v> </v>
      </c>
      <c r="G3939" s="24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5" t="str">
        <f>IF(J3939&lt;&gt;1,"",IF(I3939="SBJ","CB","?"))</f>
        <v> </v>
      </c>
      <c r="I3939" s="26" t="str">
        <f>IF(OR(E3939="",E3939="!!!",F3939="NEW"),"",INDEX(B3938:B$2,-1+SUMPRODUCT(MAX(ROW(E3938:E$2)*(E3939=E3938:E$2)))))</f>
        <v> </v>
      </c>
      <c r="J3939" s="26" t="str">
        <f>IF(OR(E3939="",E3939="!!!",F3939="NEW"),"",COUNTBLANK(OFFSET(A$1,,,SUMPRODUCT(MAX(ROW(E$2:E3939)*(E3939=E$2:E3939)))))-COUNTBLANK(OFFSET(A$1,,,SUMPRODUCT(MAX(ROW(E$1:E3938)*(E2=E$1:E3938))))))</f>
        <v> </v>
      </c>
      <c r="K3939" s="26" t="str">
        <f>IF(OR(E3939="",E3939="!!!",F3939="NEW"),"",INDEX(J$1:J3938,SUMPRODUCT(MAX(ROW(E$1:E3938)*(E3939=E$1:E3938)))))</f>
        <v> </v>
      </c>
      <c r="L3939" s="27"/>
    </row>
    <row r="3940" spans="1:12">
      <c r="A3940" s="20" t="s">
        <v>1150</v>
      </c>
      <c r="E3940" s="22">
        <f>IF(D3940="?OLD","!!!","")</f>
        <v/>
      </c>
      <c r="F3940" s="23" t="str">
        <f>IF(OR(E3940="",E3940="!!!"),"",IF(NOT(ISNA(VLOOKUP(E3940,E$1:E3939,1,FALSE()))),"OLD",IF(AND(E3940&lt;&gt;"",E3940&lt;&gt;"!!!"),"NEW","")))</f>
        <v> </v>
      </c>
      <c r="G3940" s="24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5" t="str">
        <f>IF(J3940&lt;&gt;1,"",IF(I3940="SBJ","CB","?"))</f>
        <v> </v>
      </c>
      <c r="I3940" s="26" t="str">
        <f>IF(OR(E3940="",E3940="!!!",F3940="NEW"),"",INDEX(B3939:B$2,-1+SUMPRODUCT(MAX(ROW(E3939:E$2)*(E3940=E3939:E$2)))))</f>
        <v> </v>
      </c>
      <c r="J3940" s="26" t="str">
        <f>IF(OR(E3940="",E3940="!!!",F3940="NEW"),"",COUNTBLANK(OFFSET(A$1,,,SUMPRODUCT(MAX(ROW(E$2:E3940)*(E3940=E$2:E3940)))))-COUNTBLANK(OFFSET(A$1,,,SUMPRODUCT(MAX(ROW(E$1:E3939)*(E2=E$1:E3939))))))</f>
        <v> </v>
      </c>
      <c r="K3940" s="26" t="str">
        <f>IF(OR(E3940="",E3940="!!!",F3940="NEW"),"",INDEX(J$1:J3939,SUMPRODUCT(MAX(ROW(E$1:E3939)*(E3940=E$1:E3939)))))</f>
        <v> </v>
      </c>
      <c r="L3940" s="27"/>
    </row>
    <row r="3941" spans="1:12">
      <c r="A3941" s="20" t="s">
        <v>1834</v>
      </c>
      <c r="E3941" s="22">
        <f>IF(D3941="?OLD","!!!","")</f>
        <v/>
      </c>
      <c r="F3941" s="23" t="str">
        <f>IF(OR(E3941="",E3941="!!!"),"",IF(NOT(ISNA(VLOOKUP(E3941,E$1:E3940,1,FALSE()))),"OLD",IF(AND(E3941&lt;&gt;"",E3941&lt;&gt;"!!!"),"NEW","")))</f>
        <v> </v>
      </c>
      <c r="G3941" s="24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5" t="str">
        <f>IF(J3941&lt;&gt;1,"",IF(I3941="SBJ","CB","?"))</f>
        <v> </v>
      </c>
      <c r="I3941" s="26" t="str">
        <f>IF(OR(E3941="",E3941="!!!",F3941="NEW"),"",INDEX(B3940:B$2,-1+SUMPRODUCT(MAX(ROW(E3940:E$2)*(E3941=E3940:E$2)))))</f>
        <v> </v>
      </c>
      <c r="J3941" s="26" t="str">
        <f>IF(OR(E3941="",E3941="!!!",F3941="NEW"),"",COUNTBLANK(OFFSET(A$1,,,SUMPRODUCT(MAX(ROW(E$2:E3941)*(E3941=E$2:E3941)))))-COUNTBLANK(OFFSET(A$1,,,SUMPRODUCT(MAX(ROW(E$1:E3940)*(E2=E$1:E3940))))))</f>
        <v> </v>
      </c>
      <c r="K3941" s="26" t="str">
        <f>IF(OR(E3941="",E3941="!!!",F3941="NEW"),"",INDEX(J$1:J3940,SUMPRODUCT(MAX(ROW(E$1:E3940)*(E3941=E$1:E3940)))))</f>
        <v> </v>
      </c>
      <c r="L3941" s="27"/>
    </row>
    <row r="3942" spans="1:12">
      <c r="A3942" s="20" t="s">
        <v>1498</v>
      </c>
      <c r="B3942" s="21" t="s">
        <v>1005</v>
      </c>
      <c r="C3942" s="21" t="s">
        <v>1051</v>
      </c>
      <c r="E3942" s="22">
        <f>IF(D3942="?OLD","!!!","")</f>
        <v/>
      </c>
      <c r="F3942" s="23" t="str">
        <f>IF(OR(E3942="",E3942="!!!"),"",IF(NOT(ISNA(VLOOKUP(E3942,E$1:E3941,1,FALSE()))),"OLD",IF(AND(E3942&lt;&gt;"",E3942&lt;&gt;"!!!"),"NEW","")))</f>
        <v> </v>
      </c>
      <c r="G3942" s="24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5" t="str">
        <f>IF(J3942&lt;&gt;1,"",IF(I3942="SBJ","CB","?"))</f>
        <v> </v>
      </c>
      <c r="I3942" s="26" t="str">
        <f>IF(OR(E3942="",E3942="!!!",F3942="NEW"),"",INDEX(B3941:B$2,-1+SUMPRODUCT(MAX(ROW(E3941:E$2)*(E3942=E3941:E$2)))))</f>
        <v> </v>
      </c>
      <c r="J3942" s="26" t="str">
        <f>IF(OR(E3942="",E3942="!!!",F3942="NEW"),"",COUNTBLANK(OFFSET(A$1,,,SUMPRODUCT(MAX(ROW(E$2:E3942)*(E3942=E$2:E3942)))))-COUNTBLANK(OFFSET(A$1,,,SUMPRODUCT(MAX(ROW(E$1:E3941)*(E2=E$1:E3941))))))</f>
        <v> </v>
      </c>
      <c r="K3942" s="26" t="str">
        <f>IF(OR(E3942="",E3942="!!!",F3942="NEW"),"",INDEX(J$1:J3941,SUMPRODUCT(MAX(ROW(E$1:E3941)*(E3942=E$1:E3941)))))</f>
        <v> </v>
      </c>
      <c r="L3942" s="27"/>
    </row>
    <row r="3943" spans="1:12">
      <c r="A3943" s="20" t="s">
        <v>1022</v>
      </c>
      <c r="E3943" s="22">
        <f>IF(D3943="?OLD","!!!","")</f>
        <v/>
      </c>
      <c r="F3943" s="23" t="str">
        <f>IF(OR(E3943="",E3943="!!!"),"",IF(NOT(ISNA(VLOOKUP(E3943,E$1:E3942,1,FALSE()))),"OLD",IF(AND(E3943&lt;&gt;"",E3943&lt;&gt;"!!!"),"NEW","")))</f>
        <v> </v>
      </c>
      <c r="G3943" s="24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5" t="str">
        <f>IF(J3943&lt;&gt;1,"",IF(I3943="SBJ","CB","?"))</f>
        <v> </v>
      </c>
      <c r="I3943" s="26" t="str">
        <f>IF(OR(E3943="",E3943="!!!",F3943="NEW"),"",INDEX(B3942:B$2,-1+SUMPRODUCT(MAX(ROW(E3942:E$2)*(E3943=E3942:E$2)))))</f>
        <v> </v>
      </c>
      <c r="J3943" s="26" t="str">
        <f>IF(OR(E3943="",E3943="!!!",F3943="NEW"),"",COUNTBLANK(OFFSET(A$1,,,SUMPRODUCT(MAX(ROW(E$2:E3943)*(E3943=E$2:E3943)))))-COUNTBLANK(OFFSET(A$1,,,SUMPRODUCT(MAX(ROW(E$1:E3942)*(E2=E$1:E3942))))))</f>
        <v> </v>
      </c>
      <c r="K3943" s="26" t="str">
        <f>IF(OR(E3943="",E3943="!!!",F3943="NEW"),"",INDEX(J$1:J3942,SUMPRODUCT(MAX(ROW(E$1:E3942)*(E3943=E$1:E3942)))))</f>
        <v> </v>
      </c>
      <c r="L3943" s="27"/>
    </row>
    <row r="3944" spans="1:12">
      <c r="A3944" s="20" t="s">
        <v>143</v>
      </c>
      <c r="E3944" s="22">
        <f>IF(D3944="?OLD","!!!","")</f>
        <v/>
      </c>
      <c r="F3944" s="23" t="str">
        <f>IF(OR(E3944="",E3944="!!!"),"",IF(NOT(ISNA(VLOOKUP(E3944,E$1:E3943,1,FALSE()))),"OLD",IF(AND(E3944&lt;&gt;"",E3944&lt;&gt;"!!!"),"NEW","")))</f>
        <v> </v>
      </c>
      <c r="G3944" s="24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5" t="str">
        <f>IF(J3944&lt;&gt;1,"",IF(I3944="SBJ","CB","?"))</f>
        <v> </v>
      </c>
      <c r="I3944" s="26" t="str">
        <f>IF(OR(E3944="",E3944="!!!",F3944="NEW"),"",INDEX(B3943:B$2,-1+SUMPRODUCT(MAX(ROW(E3943:E$2)*(E3944=E3943:E$2)))))</f>
        <v> </v>
      </c>
      <c r="J3944" s="26" t="str">
        <f>IF(OR(E3944="",E3944="!!!",F3944="NEW"),"",COUNTBLANK(OFFSET(A$1,,,SUMPRODUCT(MAX(ROW(E$2:E3944)*(E3944=E$2:E3944)))))-COUNTBLANK(OFFSET(A$1,,,SUMPRODUCT(MAX(ROW(E$1:E3943)*(E2=E$1:E3943))))))</f>
        <v> </v>
      </c>
      <c r="K3944" s="26" t="str">
        <f>IF(OR(E3944="",E3944="!!!",F3944="NEW"),"",INDEX(J$1:J3943,SUMPRODUCT(MAX(ROW(E$1:E3943)*(E3944=E$1:E3943)))))</f>
        <v> </v>
      </c>
      <c r="L3944" s="27"/>
    </row>
    <row r="3945" spans="1:12">
      <c r="A3945" s="20" t="s">
        <v>1021</v>
      </c>
      <c r="E3945" s="22">
        <f>IF(D3945="?OLD","!!!","")</f>
        <v/>
      </c>
      <c r="F3945" s="23" t="str">
        <f>IF(OR(E3945="",E3945="!!!"),"",IF(NOT(ISNA(VLOOKUP(E3945,E$1:E3944,1,FALSE()))),"OLD",IF(AND(E3945&lt;&gt;"",E3945&lt;&gt;"!!!"),"NEW","")))</f>
        <v> </v>
      </c>
      <c r="G3945" s="24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5" t="str">
        <f>IF(J3945&lt;&gt;1,"",IF(I3945="SBJ","CB","?"))</f>
        <v> </v>
      </c>
      <c r="I3945" s="26" t="str">
        <f>IF(OR(E3945="",E3945="!!!",F3945="NEW"),"",INDEX(B3944:B$2,-1+SUMPRODUCT(MAX(ROW(E3944:E$2)*(E3945=E3944:E$2)))))</f>
        <v> </v>
      </c>
      <c r="J3945" s="26" t="str">
        <f>IF(OR(E3945="",E3945="!!!",F3945="NEW"),"",COUNTBLANK(OFFSET(A$1,,,SUMPRODUCT(MAX(ROW(E$2:E3945)*(E3945=E$2:E3945)))))-COUNTBLANK(OFFSET(A$1,,,SUMPRODUCT(MAX(ROW(E$1:E3944)*(E2=E$1:E3944))))))</f>
        <v> </v>
      </c>
      <c r="K3945" s="26" t="str">
        <f>IF(OR(E3945="",E3945="!!!",F3945="NEW"),"",INDEX(J$1:J3944,SUMPRODUCT(MAX(ROW(E$1:E3944)*(E3945=E$1:E3944)))))</f>
        <v> </v>
      </c>
      <c r="L3945" s="27"/>
    </row>
    <row r="3946" spans="1:12">
      <c r="A3946" s="20" t="s">
        <v>1006</v>
      </c>
      <c r="E3946" s="22">
        <f>IF(D3946="?OLD","!!!","")</f>
        <v/>
      </c>
      <c r="F3946" s="23" t="str">
        <f>IF(OR(E3946="",E3946="!!!"),"",IF(NOT(ISNA(VLOOKUP(E3946,E$1:E3945,1,FALSE()))),"OLD",IF(AND(E3946&lt;&gt;"",E3946&lt;&gt;"!!!"),"NEW","")))</f>
        <v> </v>
      </c>
      <c r="G3946" s="24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5" t="str">
        <f>IF(J3946&lt;&gt;1,"",IF(I3946="SBJ","CB","?"))</f>
        <v> </v>
      </c>
      <c r="I3946" s="26" t="str">
        <f>IF(OR(E3946="",E3946="!!!",F3946="NEW"),"",INDEX(B3945:B$2,-1+SUMPRODUCT(MAX(ROW(E3945:E$2)*(E3946=E3945:E$2)))))</f>
        <v> </v>
      </c>
      <c r="J3946" s="26" t="str">
        <f>IF(OR(E3946="",E3946="!!!",F3946="NEW"),"",COUNTBLANK(OFFSET(A$1,,,SUMPRODUCT(MAX(ROW(E$2:E3946)*(E3946=E$2:E3946)))))-COUNTBLANK(OFFSET(A$1,,,SUMPRODUCT(MAX(ROW(E$1:E3945)*(E2=E$1:E3945))))))</f>
        <v> </v>
      </c>
      <c r="K3946" s="26" t="str">
        <f>IF(OR(E3946="",E3946="!!!",F3946="NEW"),"",INDEX(J$1:J3945,SUMPRODUCT(MAX(ROW(E$1:E3945)*(E3946=E$1:E3945)))))</f>
        <v> </v>
      </c>
      <c r="L3946" s="27"/>
    </row>
    <row r="3947" spans="1:12">
      <c r="A3947" s="20" t="s">
        <v>1060</v>
      </c>
      <c r="B3947" s="21" t="s">
        <v>1040</v>
      </c>
      <c r="C3947" s="21" t="s">
        <v>1032</v>
      </c>
      <c r="D3947" s="21" t="s">
        <v>950</v>
      </c>
      <c r="E3947" s="22">
        <f>IF(D3947="?OLD","!!!","")</f>
        <v/>
      </c>
      <c r="F3947" s="23" t="str">
        <f>IF(OR(E3947="",E3947="!!!"),"",IF(NOT(ISNA(VLOOKUP(E3947,E$1:E3946,1,FALSE()))),"OLD",IF(AND(E3947&lt;&gt;"",E3947&lt;&gt;"!!!"),"NEW","")))</f>
        <v> </v>
      </c>
      <c r="G3947" s="24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5" t="str">
        <f>IF(J3947&lt;&gt;1,"",IF(I3947="SBJ","CB","?"))</f>
        <v> </v>
      </c>
      <c r="I3947" s="26" t="str">
        <f>IF(OR(E3947="",E3947="!!!",F3947="NEW"),"",INDEX(B3946:B$2,-1+SUMPRODUCT(MAX(ROW(E3946:E$2)*(E3947=E3946:E$2)))))</f>
        <v> </v>
      </c>
      <c r="J3947" s="26" t="str">
        <f>IF(OR(E3947="",E3947="!!!",F3947="NEW"),"",COUNTBLANK(OFFSET(A$1,,,SUMPRODUCT(MAX(ROW(E$2:E3947)*(E3947=E$2:E3947)))))-COUNTBLANK(OFFSET(A$1,,,SUMPRODUCT(MAX(ROW(E$1:E3946)*(E2=E$1:E3946))))))</f>
        <v> </v>
      </c>
      <c r="K3947" s="26" t="str">
        <f>IF(OR(E3947="",E3947="!!!",F3947="NEW"),"",INDEX(J$1:J3946,SUMPRODUCT(MAX(ROW(E$1:E3946)*(E3947=E$1:E3946)))))</f>
        <v> </v>
      </c>
      <c r="L3947" s="27"/>
    </row>
    <row r="3948" spans="1:12">
      <c r="A3948" s="20" t="s">
        <v>1000</v>
      </c>
      <c r="E3948" s="22">
        <f>IF(D3948="?OLD","!!!","")</f>
        <v/>
      </c>
      <c r="F3948" s="23" t="str">
        <f>IF(OR(E3948="",E3948="!!!"),"",IF(NOT(ISNA(VLOOKUP(E3948,E$1:E3947,1,FALSE()))),"OLD",IF(AND(E3948&lt;&gt;"",E3948&lt;&gt;"!!!"),"NEW","")))</f>
        <v> </v>
      </c>
      <c r="G3948" s="24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5" t="str">
        <f>IF(J3948&lt;&gt;1,"",IF(I3948="SBJ","CB","?"))</f>
        <v> </v>
      </c>
      <c r="I3948" s="26" t="str">
        <f>IF(OR(E3948="",E3948="!!!",F3948="NEW"),"",INDEX(B3947:B$2,-1+SUMPRODUCT(MAX(ROW(E3947:E$2)*(E3948=E3947:E$2)))))</f>
        <v> </v>
      </c>
      <c r="J3948" s="26" t="str">
        <f>IF(OR(E3948="",E3948="!!!",F3948="NEW"),"",COUNTBLANK(OFFSET(A$1,,,SUMPRODUCT(MAX(ROW(E$2:E3948)*(E3948=E$2:E3948)))))-COUNTBLANK(OFFSET(A$1,,,SUMPRODUCT(MAX(ROW(E$1:E3947)*(E2=E$1:E3947))))))</f>
        <v> </v>
      </c>
      <c r="K3948" s="26" t="str">
        <f>IF(OR(E3948="",E3948="!!!",F3948="NEW"),"",INDEX(J$1:J3947,SUMPRODUCT(MAX(ROW(E$1:E3947)*(E3948=E$1:E3947)))))</f>
        <v> </v>
      </c>
      <c r="L3948" s="27"/>
    </row>
    <row r="3949" spans="1:12">
      <c r="A3949" s="20" t="s">
        <v>2049</v>
      </c>
      <c r="E3949" s="22">
        <f>IF(D3949="?OLD","!!!","")</f>
        <v/>
      </c>
      <c r="F3949" s="23" t="str">
        <f>IF(OR(E3949="",E3949="!!!"),"",IF(NOT(ISNA(VLOOKUP(E3949,E$1:E3948,1,FALSE()))),"OLD",IF(AND(E3949&lt;&gt;"",E3949&lt;&gt;"!!!"),"NEW","")))</f>
        <v> </v>
      </c>
      <c r="G3949" s="24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5" t="str">
        <f>IF(J3949&lt;&gt;1,"",IF(I3949="SBJ","CB","?"))</f>
        <v> </v>
      </c>
      <c r="I3949" s="26" t="str">
        <f>IF(OR(E3949="",E3949="!!!",F3949="NEW"),"",INDEX(B3948:B$2,-1+SUMPRODUCT(MAX(ROW(E3948:E$2)*(E3949=E3948:E$2)))))</f>
        <v> </v>
      </c>
      <c r="J3949" s="26" t="str">
        <f>IF(OR(E3949="",E3949="!!!",F3949="NEW"),"",COUNTBLANK(OFFSET(A$1,,,SUMPRODUCT(MAX(ROW(E$2:E3949)*(E3949=E$2:E3949)))))-COUNTBLANK(OFFSET(A$1,,,SUMPRODUCT(MAX(ROW(E$1:E3948)*(E2=E$1:E3948))))))</f>
        <v> </v>
      </c>
      <c r="K3949" s="26" t="str">
        <f>IF(OR(E3949="",E3949="!!!",F3949="NEW"),"",INDEX(J$1:J3948,SUMPRODUCT(MAX(ROW(E$1:E3948)*(E3949=E$1:E3948)))))</f>
        <v> </v>
      </c>
      <c r="L3949" s="27"/>
    </row>
    <row r="3950" spans="1:12">
      <c r="A3950" s="20" t="s">
        <v>1000</v>
      </c>
      <c r="E3950" s="22">
        <f>IF(D3950="?OLD","!!!","")</f>
        <v/>
      </c>
      <c r="F3950" s="23" t="str">
        <f>IF(OR(E3950="",E3950="!!!"),"",IF(NOT(ISNA(VLOOKUP(E3950,E$1:E3949,1,FALSE()))),"OLD",IF(AND(E3950&lt;&gt;"",E3950&lt;&gt;"!!!"),"NEW","")))</f>
        <v> </v>
      </c>
      <c r="G3950" s="24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5" t="str">
        <f>IF(J3950&lt;&gt;1,"",IF(I3950="SBJ","CB","?"))</f>
        <v> </v>
      </c>
      <c r="I3950" s="26" t="str">
        <f>IF(OR(E3950="",E3950="!!!",F3950="NEW"),"",INDEX(B3949:B$2,-1+SUMPRODUCT(MAX(ROW(E3949:E$2)*(E3950=E3949:E$2)))))</f>
        <v> </v>
      </c>
      <c r="J3950" s="26" t="str">
        <f>IF(OR(E3950="",E3950="!!!",F3950="NEW"),"",COUNTBLANK(OFFSET(A$1,,,SUMPRODUCT(MAX(ROW(E$2:E3950)*(E3950=E$2:E3950)))))-COUNTBLANK(OFFSET(A$1,,,SUMPRODUCT(MAX(ROW(E$1:E3949)*(E2=E$1:E3949))))))</f>
        <v> </v>
      </c>
      <c r="K3950" s="26" t="str">
        <f>IF(OR(E3950="",E3950="!!!",F3950="NEW"),"",INDEX(J$1:J3949,SUMPRODUCT(MAX(ROW(E$1:E3949)*(E3950=E$1:E3949)))))</f>
        <v> </v>
      </c>
      <c r="L3950" s="27"/>
    </row>
    <row r="3951" spans="1:12">
      <c r="A3951" s="20" t="s">
        <v>2050</v>
      </c>
      <c r="E3951" s="22">
        <f>IF(D3951="?OLD","!!!","")</f>
        <v/>
      </c>
      <c r="F3951" s="23" t="str">
        <f>IF(OR(E3951="",E3951="!!!"),"",IF(NOT(ISNA(VLOOKUP(E3951,E$1:E3950,1,FALSE()))),"OLD",IF(AND(E3951&lt;&gt;"",E3951&lt;&gt;"!!!"),"NEW","")))</f>
        <v> </v>
      </c>
      <c r="G3951" s="24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5" t="str">
        <f>IF(J3951&lt;&gt;1,"",IF(I3951="SBJ","CB","?"))</f>
        <v> </v>
      </c>
      <c r="I3951" s="26" t="str">
        <f>IF(OR(E3951="",E3951="!!!",F3951="NEW"),"",INDEX(B3950:B$2,-1+SUMPRODUCT(MAX(ROW(E3950:E$2)*(E3951=E3950:E$2)))))</f>
        <v> </v>
      </c>
      <c r="J3951" s="26" t="str">
        <f>IF(OR(E3951="",E3951="!!!",F3951="NEW"),"",COUNTBLANK(OFFSET(A$1,,,SUMPRODUCT(MAX(ROW(E$2:E3951)*(E3951=E$2:E3951)))))-COUNTBLANK(OFFSET(A$1,,,SUMPRODUCT(MAX(ROW(E$1:E3950)*(E2=E$1:E3950))))))</f>
        <v> </v>
      </c>
      <c r="K3951" s="26" t="str">
        <f>IF(OR(E3951="",E3951="!!!",F3951="NEW"),"",INDEX(J$1:J3950,SUMPRODUCT(MAX(ROW(E$1:E3950)*(E3951=E$1:E3950)))))</f>
        <v> </v>
      </c>
      <c r="L3951" s="27"/>
    </row>
    <row r="3952" spans="1:12">
      <c r="A3952" s="20" t="s">
        <v>1001</v>
      </c>
      <c r="E3952" s="22">
        <f>IF(D3952="?OLD","!!!","")</f>
        <v/>
      </c>
      <c r="F3952" s="23" t="str">
        <f>IF(OR(E3952="",E3952="!!!"),"",IF(NOT(ISNA(VLOOKUP(E3952,E$1:E3951,1,FALSE()))),"OLD",IF(AND(E3952&lt;&gt;"",E3952&lt;&gt;"!!!"),"NEW","")))</f>
        <v> </v>
      </c>
      <c r="G3952" s="24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5" t="str">
        <f>IF(J3952&lt;&gt;1,"",IF(I3952="SBJ","CB","?"))</f>
        <v> </v>
      </c>
      <c r="I3952" s="26" t="str">
        <f>IF(OR(E3952="",E3952="!!!",F3952="NEW"),"",INDEX(B3951:B$2,-1+SUMPRODUCT(MAX(ROW(E3951:E$2)*(E3952=E3951:E$2)))))</f>
        <v> </v>
      </c>
      <c r="J3952" s="26" t="str">
        <f>IF(OR(E3952="",E3952="!!!",F3952="NEW"),"",COUNTBLANK(OFFSET(A$1,,,SUMPRODUCT(MAX(ROW(E$2:E3952)*(E3952=E$2:E3952)))))-COUNTBLANK(OFFSET(A$1,,,SUMPRODUCT(MAX(ROW(E$1:E3951)*(E2=E$1:E3951))))))</f>
        <v> </v>
      </c>
      <c r="K3952" s="26" t="str">
        <f>IF(OR(E3952="",E3952="!!!",F3952="NEW"),"",INDEX(J$1:J3951,SUMPRODUCT(MAX(ROW(E$1:E3951)*(E3952=E$1:E3951)))))</f>
        <v> </v>
      </c>
      <c r="L3952" s="27"/>
    </row>
    <row r="3953" spans="1:12">
      <c r="A3953" s="20" t="s">
        <v>2051</v>
      </c>
      <c r="E3953" s="22">
        <f>IF(D3953="?OLD","!!!","")</f>
        <v/>
      </c>
      <c r="F3953" s="23" t="str">
        <f>IF(OR(E3953="",E3953="!!!"),"",IF(NOT(ISNA(VLOOKUP(E3953,E$1:E3952,1,FALSE()))),"OLD",IF(AND(E3953&lt;&gt;"",E3953&lt;&gt;"!!!"),"NEW","")))</f>
        <v> </v>
      </c>
      <c r="G3953" s="24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5" t="str">
        <f>IF(J3953&lt;&gt;1,"",IF(I3953="SBJ","CB","?"))</f>
        <v> </v>
      </c>
      <c r="I3953" s="26" t="str">
        <f>IF(OR(E3953="",E3953="!!!",F3953="NEW"),"",INDEX(B3952:B$2,-1+SUMPRODUCT(MAX(ROW(E3952:E$2)*(E3953=E3952:E$2)))))</f>
        <v> </v>
      </c>
      <c r="J3953" s="26" t="str">
        <f>IF(OR(E3953="",E3953="!!!",F3953="NEW"),"",COUNTBLANK(OFFSET(A$1,,,SUMPRODUCT(MAX(ROW(E$2:E3953)*(E3953=E$2:E3953)))))-COUNTBLANK(OFFSET(A$1,,,SUMPRODUCT(MAX(ROW(E$1:E3952)*(E2=E$1:E3952))))))</f>
        <v> </v>
      </c>
      <c r="K3953" s="26" t="str">
        <f>IF(OR(E3953="",E3953="!!!",F3953="NEW"),"",INDEX(J$1:J3952,SUMPRODUCT(MAX(ROW(E$1:E3952)*(E3953=E$1:E3952)))))</f>
        <v> </v>
      </c>
      <c r="L3953" s="27"/>
    </row>
    <row r="3954" spans="1:12">
      <c r="A3954" s="20" t="s">
        <v>1126</v>
      </c>
      <c r="E3954" s="22">
        <f>IF(D3954="?OLD","!!!","")</f>
        <v/>
      </c>
      <c r="F3954" s="23" t="str">
        <f>IF(OR(E3954="",E3954="!!!"),"",IF(NOT(ISNA(VLOOKUP(E3954,E$1:E3953,1,FALSE()))),"OLD",IF(AND(E3954&lt;&gt;"",E3954&lt;&gt;"!!!"),"NEW","")))</f>
        <v> </v>
      </c>
      <c r="G3954" s="24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5" t="str">
        <f>IF(J3954&lt;&gt;1,"",IF(I3954="SBJ","CB","?"))</f>
        <v> </v>
      </c>
      <c r="I3954" s="26" t="str">
        <f>IF(OR(E3954="",E3954="!!!",F3954="NEW"),"",INDEX(B3953:B$2,-1+SUMPRODUCT(MAX(ROW(E3953:E$2)*(E3954=E3953:E$2)))))</f>
        <v> </v>
      </c>
      <c r="J3954" s="26" t="str">
        <f>IF(OR(E3954="",E3954="!!!",F3954="NEW"),"",COUNTBLANK(OFFSET(A$1,,,SUMPRODUCT(MAX(ROW(E$2:E3954)*(E3954=E$2:E3954)))))-COUNTBLANK(OFFSET(A$1,,,SUMPRODUCT(MAX(ROW(E$1:E3953)*(E2=E$1:E3953))))))</f>
        <v> </v>
      </c>
      <c r="K3954" s="26" t="str">
        <f>IF(OR(E3954="",E3954="!!!",F3954="NEW"),"",INDEX(J$1:J3953,SUMPRODUCT(MAX(ROW(E$1:E3953)*(E3954=E$1:E3953)))))</f>
        <v> </v>
      </c>
      <c r="L3954" s="27"/>
    </row>
    <row r="3955" spans="1:12">
      <c r="A3955" s="20" t="s">
        <v>1654</v>
      </c>
      <c r="E3955" s="22">
        <f>IF(D3955="?OLD","!!!","")</f>
        <v/>
      </c>
      <c r="F3955" s="23" t="str">
        <f>IF(OR(E3955="",E3955="!!!"),"",IF(NOT(ISNA(VLOOKUP(E3955,E$1:E3954,1,FALSE()))),"OLD",IF(AND(E3955&lt;&gt;"",E3955&lt;&gt;"!!!"),"NEW","")))</f>
        <v> </v>
      </c>
      <c r="G3955" s="24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5" t="str">
        <f>IF(J3955&lt;&gt;1,"",IF(I3955="SBJ","CB","?"))</f>
        <v> </v>
      </c>
      <c r="I3955" s="26" t="str">
        <f>IF(OR(E3955="",E3955="!!!",F3955="NEW"),"",INDEX(B3954:B$2,-1+SUMPRODUCT(MAX(ROW(E3954:E$2)*(E3955=E3954:E$2)))))</f>
        <v> </v>
      </c>
      <c r="J3955" s="26" t="str">
        <f>IF(OR(E3955="",E3955="!!!",F3955="NEW"),"",COUNTBLANK(OFFSET(A$1,,,SUMPRODUCT(MAX(ROW(E$2:E3955)*(E3955=E$2:E3955)))))-COUNTBLANK(OFFSET(A$1,,,SUMPRODUCT(MAX(ROW(E$1:E3954)*(E2=E$1:E3954))))))</f>
        <v> </v>
      </c>
      <c r="K3955" s="26" t="str">
        <f>IF(OR(E3955="",E3955="!!!",F3955="NEW"),"",INDEX(J$1:J3954,SUMPRODUCT(MAX(ROW(E$1:E3954)*(E3955=E$1:E3954)))))</f>
        <v> </v>
      </c>
      <c r="L3955" s="27"/>
    </row>
    <row r="3956" spans="1:12">
      <c r="A3956" s="20" t="s">
        <v>2041</v>
      </c>
      <c r="E3956" s="22">
        <f>IF(D3956="?OLD","!!!","")</f>
        <v/>
      </c>
      <c r="F3956" s="23" t="str">
        <f>IF(OR(E3956="",E3956="!!!"),"",IF(NOT(ISNA(VLOOKUP(E3956,E$1:E3955,1,FALSE()))),"OLD",IF(AND(E3956&lt;&gt;"",E3956&lt;&gt;"!!!"),"NEW","")))</f>
        <v> </v>
      </c>
      <c r="G3956" s="24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5" t="str">
        <f>IF(J3956&lt;&gt;1,"",IF(I3956="SBJ","CB","?"))</f>
        <v> </v>
      </c>
      <c r="I3956" s="26" t="str">
        <f>IF(OR(E3956="",E3956="!!!",F3956="NEW"),"",INDEX(B3955:B$2,-1+SUMPRODUCT(MAX(ROW(E3955:E$2)*(E3956=E3955:E$2)))))</f>
        <v> </v>
      </c>
      <c r="J3956" s="26" t="str">
        <f>IF(OR(E3956="",E3956="!!!",F3956="NEW"),"",COUNTBLANK(OFFSET(A$1,,,SUMPRODUCT(MAX(ROW(E$2:E3956)*(E3956=E$2:E3956)))))-COUNTBLANK(OFFSET(A$1,,,SUMPRODUCT(MAX(ROW(E$1:E3955)*(E2=E$1:E3955))))))</f>
        <v> </v>
      </c>
      <c r="K3956" s="26" t="str">
        <f>IF(OR(E3956="",E3956="!!!",F3956="NEW"),"",INDEX(J$1:J3955,SUMPRODUCT(MAX(ROW(E$1:E3955)*(E3956=E$1:E3955)))))</f>
        <v> </v>
      </c>
      <c r="L3956" s="27"/>
    </row>
    <row r="3957" spans="1:12">
      <c r="A3957" s="20" t="s">
        <v>1022</v>
      </c>
      <c r="E3957" s="22">
        <f>IF(D3957="?OLD","!!!","")</f>
        <v/>
      </c>
      <c r="F3957" s="23" t="str">
        <f>IF(OR(E3957="",E3957="!!!"),"",IF(NOT(ISNA(VLOOKUP(E3957,E$1:E3956,1,FALSE()))),"OLD",IF(AND(E3957&lt;&gt;"",E3957&lt;&gt;"!!!"),"NEW","")))</f>
        <v> </v>
      </c>
      <c r="G3957" s="24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5" t="str">
        <f>IF(J3957&lt;&gt;1,"",IF(I3957="SBJ","CB","?"))</f>
        <v> </v>
      </c>
      <c r="I3957" s="26" t="str">
        <f>IF(OR(E3957="",E3957="!!!",F3957="NEW"),"",INDEX(B3956:B$2,-1+SUMPRODUCT(MAX(ROW(E3956:E$2)*(E3957=E3956:E$2)))))</f>
        <v> </v>
      </c>
      <c r="J3957" s="26" t="str">
        <f>IF(OR(E3957="",E3957="!!!",F3957="NEW"),"",COUNTBLANK(OFFSET(A$1,,,SUMPRODUCT(MAX(ROW(E$2:E3957)*(E3957=E$2:E3957)))))-COUNTBLANK(OFFSET(A$1,,,SUMPRODUCT(MAX(ROW(E$1:E3956)*(E2=E$1:E3956))))))</f>
        <v> </v>
      </c>
      <c r="K3957" s="26" t="str">
        <f>IF(OR(E3957="",E3957="!!!",F3957="NEW"),"",INDEX(J$1:J3956,SUMPRODUCT(MAX(ROW(E$1:E3956)*(E3957=E$1:E3956)))))</f>
        <v> </v>
      </c>
      <c r="L3957" s="27"/>
    </row>
    <row r="3958" spans="1:12">
      <c r="A3958" s="20" t="s">
        <v>2052</v>
      </c>
      <c r="B3958" s="21" t="s">
        <v>1005</v>
      </c>
      <c r="C3958" s="21" t="s">
        <v>1032</v>
      </c>
      <c r="D3958" s="21" t="s">
        <v>950</v>
      </c>
      <c r="E3958" s="22">
        <f>IF(D3958="?OLD","!!!","")</f>
        <v/>
      </c>
      <c r="F3958" s="23" t="str">
        <f>IF(OR(E3958="",E3958="!!!"),"",IF(NOT(ISNA(VLOOKUP(E3958,E$1:E3957,1,FALSE()))),"OLD",IF(AND(E3958&lt;&gt;"",E3958&lt;&gt;"!!!"),"NEW","")))</f>
        <v> </v>
      </c>
      <c r="G3958" s="24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5" t="str">
        <f>IF(J3958&lt;&gt;1,"",IF(I3958="SBJ","CB","?"))</f>
        <v> </v>
      </c>
      <c r="I3958" s="26" t="str">
        <f>IF(OR(E3958="",E3958="!!!",F3958="NEW"),"",INDEX(B3957:B$2,-1+SUMPRODUCT(MAX(ROW(E3957:E$2)*(E3958=E3957:E$2)))))</f>
        <v> </v>
      </c>
      <c r="J3958" s="26" t="str">
        <f>IF(OR(E3958="",E3958="!!!",F3958="NEW"),"",COUNTBLANK(OFFSET(A$1,,,SUMPRODUCT(MAX(ROW(E$2:E3958)*(E3958=E$2:E3958)))))-COUNTBLANK(OFFSET(A$1,,,SUMPRODUCT(MAX(ROW(E$1:E3957)*(E2=E$1:E3957))))))</f>
        <v> </v>
      </c>
      <c r="K3958" s="26" t="str">
        <f>IF(OR(E3958="",E3958="!!!",F3958="NEW"),"",INDEX(J$1:J3957,SUMPRODUCT(MAX(ROW(E$1:E3957)*(E3958=E$1:E3957)))))</f>
        <v> </v>
      </c>
      <c r="L3958" s="27"/>
    </row>
    <row r="3959" spans="1:12">
      <c r="A3959" s="20" t="s">
        <v>984</v>
      </c>
      <c r="E3959" s="22">
        <f>IF(D3959="?OLD","!!!","")</f>
        <v/>
      </c>
      <c r="F3959" s="23" t="str">
        <f>IF(OR(E3959="",E3959="!!!"),"",IF(NOT(ISNA(VLOOKUP(E3959,E$1:E3958,1,FALSE()))),"OLD",IF(AND(E3959&lt;&gt;"",E3959&lt;&gt;"!!!"),"NEW","")))</f>
        <v> </v>
      </c>
      <c r="G3959" s="24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5" t="str">
        <f>IF(J3959&lt;&gt;1,"",IF(I3959="SBJ","CB","?"))</f>
        <v> </v>
      </c>
      <c r="I3959" s="26" t="str">
        <f>IF(OR(E3959="",E3959="!!!",F3959="NEW"),"",INDEX(B3958:B$2,-1+SUMPRODUCT(MAX(ROW(E3958:E$2)*(E3959=E3958:E$2)))))</f>
        <v> </v>
      </c>
      <c r="J3959" s="26" t="str">
        <f>IF(OR(E3959="",E3959="!!!",F3959="NEW"),"",COUNTBLANK(OFFSET(A$1,,,SUMPRODUCT(MAX(ROW(E$2:E3959)*(E3959=E$2:E3959)))))-COUNTBLANK(OFFSET(A$1,,,SUMPRODUCT(MAX(ROW(E$1:E3958)*(E2=E$1:E3958))))))</f>
        <v> </v>
      </c>
      <c r="K3959" s="26" t="str">
        <f>IF(OR(E3959="",E3959="!!!",F3959="NEW"),"",INDEX(J$1:J3958,SUMPRODUCT(MAX(ROW(E$1:E3958)*(E3959=E$1:E3958)))))</f>
        <v> </v>
      </c>
      <c r="L3959" s="27"/>
    </row>
    <row r="3960" spans="1:12">
      <c r="A3960" s="20"/>
    </row>
    <row r="3961" spans="1:12">
      <c r="A3961" s="20" t="s">
        <v>2053</v>
      </c>
    </row>
    <row r="3962" spans="1:12">
      <c r="A3962" s="20" t="s">
        <v>1253</v>
      </c>
      <c r="E3962" s="22">
        <f>IF(D3962="?OLD","!!!","")</f>
        <v/>
      </c>
      <c r="F3962" s="23" t="str">
        <f>IF(OR(E3962="",E3962="!!!"),"",IF(NOT(ISNA(VLOOKUP(E3962,E$1:E3961,1,FALSE()))),"OLD",IF(AND(E3962&lt;&gt;"",E3962&lt;&gt;"!!!"),"NEW","")))</f>
        <v> </v>
      </c>
      <c r="G3962" s="24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5" t="str">
        <f>IF(J3962&lt;&gt;1,"",IF(I3962="SBJ","CB","?"))</f>
        <v> </v>
      </c>
      <c r="I3962" s="26" t="str">
        <f>IF(OR(E3962="",E3962="!!!",F3962="NEW"),"",INDEX(B3961:B$2,-1+SUMPRODUCT(MAX(ROW(E3961:E$2)*(E3962=E3961:E$2)))))</f>
        <v> </v>
      </c>
      <c r="J3962" s="26" t="str">
        <f>IF(OR(E3962="",E3962="!!!",F3962="NEW"),"",COUNTBLANK(OFFSET(A$1,,,SUMPRODUCT(MAX(ROW(E$2:E3962)*(E3962=E$2:E3962)))))-COUNTBLANK(OFFSET(A$1,,,SUMPRODUCT(MAX(ROW(E$1:E3961)*(E2=E$1:E3961))))))</f>
        <v> </v>
      </c>
      <c r="K3962" s="26" t="str">
        <f>IF(OR(E3962="",E3962="!!!",F3962="NEW"),"",INDEX(J$1:J3961,SUMPRODUCT(MAX(ROW(E$1:E3961)*(E3962=E$1:E3961)))))</f>
        <v> </v>
      </c>
      <c r="L3962" s="27"/>
    </row>
    <row r="3963" spans="1:12">
      <c r="A3963" s="20" t="s">
        <v>1075</v>
      </c>
      <c r="E3963" s="22">
        <f>IF(D3963="?OLD","!!!","")</f>
        <v/>
      </c>
      <c r="F3963" s="23" t="str">
        <f>IF(OR(E3963="",E3963="!!!"),"",IF(NOT(ISNA(VLOOKUP(E3963,E$1:E3962,1,FALSE()))),"OLD",IF(AND(E3963&lt;&gt;"",E3963&lt;&gt;"!!!"),"NEW","")))</f>
        <v> </v>
      </c>
      <c r="G3963" s="24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5" t="str">
        <f>IF(J3963&lt;&gt;1,"",IF(I3963="SBJ","CB","?"))</f>
        <v> </v>
      </c>
      <c r="I3963" s="26" t="str">
        <f>IF(OR(E3963="",E3963="!!!",F3963="NEW"),"",INDEX(B3962:B$2,-1+SUMPRODUCT(MAX(ROW(E3962:E$2)*(E3963=E3962:E$2)))))</f>
        <v> </v>
      </c>
      <c r="J3963" s="26" t="str">
        <f>IF(OR(E3963="",E3963="!!!",F3963="NEW"),"",COUNTBLANK(OFFSET(A$1,,,SUMPRODUCT(MAX(ROW(E$2:E3963)*(E3963=E$2:E3963)))))-COUNTBLANK(OFFSET(A$1,,,SUMPRODUCT(MAX(ROW(E$1:E3962)*(E2=E$1:E3962))))))</f>
        <v> </v>
      </c>
      <c r="K3963" s="26" t="str">
        <f>IF(OR(E3963="",E3963="!!!",F3963="NEW"),"",INDEX(J$1:J3962,SUMPRODUCT(MAX(ROW(E$1:E3962)*(E3963=E$1:E3962)))))</f>
        <v> </v>
      </c>
      <c r="L3963" s="27"/>
    </row>
    <row r="3964" spans="1:12">
      <c r="A3964" s="20" t="s">
        <v>1636</v>
      </c>
      <c r="B3964" s="21" t="s">
        <v>948</v>
      </c>
      <c r="C3964" s="21" t="s">
        <v>1074</v>
      </c>
      <c r="E3964" s="22">
        <f>IF(D3964="?OLD","!!!","")</f>
        <v/>
      </c>
      <c r="F3964" s="23" t="str">
        <f>IF(OR(E3964="",E3964="!!!"),"",IF(NOT(ISNA(VLOOKUP(E3964,E$1:E3963,1,FALSE()))),"OLD",IF(AND(E3964&lt;&gt;"",E3964&lt;&gt;"!!!"),"NEW","")))</f>
        <v> </v>
      </c>
      <c r="G3964" s="24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5" t="str">
        <f>IF(J3964&lt;&gt;1,"",IF(I3964="SBJ","CB","?"))</f>
        <v> </v>
      </c>
      <c r="I3964" s="26" t="str">
        <f>IF(OR(E3964="",E3964="!!!",F3964="NEW"),"",INDEX(B3963:B$2,-1+SUMPRODUCT(MAX(ROW(E3963:E$2)*(E3964=E3963:E$2)))))</f>
        <v> </v>
      </c>
      <c r="J3964" s="26" t="str">
        <f>IF(OR(E3964="",E3964="!!!",F3964="NEW"),"",COUNTBLANK(OFFSET(A$1,,,SUMPRODUCT(MAX(ROW(E$2:E3964)*(E3964=E$2:E3964)))))-COUNTBLANK(OFFSET(A$1,,,SUMPRODUCT(MAX(ROW(E$1:E3963)*(E2=E$1:E3963))))))</f>
        <v> </v>
      </c>
      <c r="K3964" s="26" t="str">
        <f>IF(OR(E3964="",E3964="!!!",F3964="NEW"),"",INDEX(J$1:J3963,SUMPRODUCT(MAX(ROW(E$1:E3963)*(E3964=E$1:E3963)))))</f>
        <v> </v>
      </c>
      <c r="L3964" s="27"/>
    </row>
    <row r="3965" spans="1:12">
      <c r="A3965" s="20" t="s">
        <v>965</v>
      </c>
      <c r="B3965" s="21" t="s">
        <v>966</v>
      </c>
      <c r="E3965" s="22">
        <f>IF(D3965="?OLD","!!!","")</f>
        <v/>
      </c>
      <c r="F3965" s="23" t="str">
        <f>IF(OR(E3965="",E3965="!!!"),"",IF(NOT(ISNA(VLOOKUP(E3965,E$1:E3964,1,FALSE()))),"OLD",IF(AND(E3965&lt;&gt;"",E3965&lt;&gt;"!!!"),"NEW","")))</f>
        <v> </v>
      </c>
      <c r="G3965" s="24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5" t="str">
        <f>IF(J3965&lt;&gt;1,"",IF(I3965="SBJ","CB","?"))</f>
        <v> </v>
      </c>
      <c r="I3965" s="26" t="str">
        <f>IF(OR(E3965="",E3965="!!!",F3965="NEW"),"",INDEX(B3964:B$2,-1+SUMPRODUCT(MAX(ROW(E3964:E$2)*(E3965=E3964:E$2)))))</f>
        <v> </v>
      </c>
      <c r="J3965" s="26" t="str">
        <f>IF(OR(E3965="",E3965="!!!",F3965="NEW"),"",COUNTBLANK(OFFSET(A$1,,,SUMPRODUCT(MAX(ROW(E$2:E3965)*(E3965=E$2:E3965)))))-COUNTBLANK(OFFSET(A$1,,,SUMPRODUCT(MAX(ROW(E$1:E3964)*(E2=E$1:E3964))))))</f>
        <v> </v>
      </c>
      <c r="K3965" s="26" t="str">
        <f>IF(OR(E3965="",E3965="!!!",F3965="NEW"),"",INDEX(J$1:J3964,SUMPRODUCT(MAX(ROW(E$1:E3964)*(E3965=E$1:E3964)))))</f>
        <v> </v>
      </c>
      <c r="L3965" s="27"/>
    </row>
    <row r="3966" spans="1:12">
      <c r="A3966" s="20" t="s">
        <v>2054</v>
      </c>
      <c r="E3966" s="22">
        <f>IF(D3966="?OLD","!!!","")</f>
        <v/>
      </c>
      <c r="F3966" s="23" t="str">
        <f>IF(OR(E3966="",E3966="!!!"),"",IF(NOT(ISNA(VLOOKUP(E3966,E$1:E3965,1,FALSE()))),"OLD",IF(AND(E3966&lt;&gt;"",E3966&lt;&gt;"!!!"),"NEW","")))</f>
        <v> </v>
      </c>
      <c r="G3966" s="24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5" t="str">
        <f>IF(J3966&lt;&gt;1,"",IF(I3966="SBJ","CB","?"))</f>
        <v> </v>
      </c>
      <c r="I3966" s="26" t="str">
        <f>IF(OR(E3966="",E3966="!!!",F3966="NEW"),"",INDEX(B3965:B$2,-1+SUMPRODUCT(MAX(ROW(E3965:E$2)*(E3966=E3965:E$2)))))</f>
        <v> </v>
      </c>
      <c r="J3966" s="26" t="str">
        <f>IF(OR(E3966="",E3966="!!!",F3966="NEW"),"",COUNTBLANK(OFFSET(A$1,,,SUMPRODUCT(MAX(ROW(E$2:E3966)*(E3966=E$2:E3966)))))-COUNTBLANK(OFFSET(A$1,,,SUMPRODUCT(MAX(ROW(E$1:E3965)*(E2=E$1:E3965))))))</f>
        <v> </v>
      </c>
      <c r="K3966" s="26" t="str">
        <f>IF(OR(E3966="",E3966="!!!",F3966="NEW"),"",INDEX(J$1:J3965,SUMPRODUCT(MAX(ROW(E$1:E3965)*(E3966=E$1:E3965)))))</f>
        <v> </v>
      </c>
      <c r="L3966" s="27"/>
    </row>
    <row r="3967" spans="1:12">
      <c r="A3967" s="20" t="s">
        <v>1001</v>
      </c>
      <c r="E3967" s="22">
        <f>IF(D3967="?OLD","!!!","")</f>
        <v/>
      </c>
      <c r="F3967" s="23" t="str">
        <f>IF(OR(E3967="",E3967="!!!"),"",IF(NOT(ISNA(VLOOKUP(E3967,E$1:E3966,1,FALSE()))),"OLD",IF(AND(E3967&lt;&gt;"",E3967&lt;&gt;"!!!"),"NEW","")))</f>
        <v> </v>
      </c>
      <c r="G3967" s="24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5" t="str">
        <f>IF(J3967&lt;&gt;1,"",IF(I3967="SBJ","CB","?"))</f>
        <v> </v>
      </c>
      <c r="I3967" s="26" t="str">
        <f>IF(OR(E3967="",E3967="!!!",F3967="NEW"),"",INDEX(B3966:B$2,-1+SUMPRODUCT(MAX(ROW(E3966:E$2)*(E3967=E3966:E$2)))))</f>
        <v> </v>
      </c>
      <c r="J3967" s="26" t="str">
        <f>IF(OR(E3967="",E3967="!!!",F3967="NEW"),"",COUNTBLANK(OFFSET(A$1,,,SUMPRODUCT(MAX(ROW(E$2:E3967)*(E3967=E$2:E3967)))))-COUNTBLANK(OFFSET(A$1,,,SUMPRODUCT(MAX(ROW(E$1:E3966)*(E2=E$1:E3966))))))</f>
        <v> </v>
      </c>
      <c r="K3967" s="26" t="str">
        <f>IF(OR(E3967="",E3967="!!!",F3967="NEW"),"",INDEX(J$1:J3966,SUMPRODUCT(MAX(ROW(E$1:E3966)*(E3967=E$1:E3966)))))</f>
        <v> </v>
      </c>
      <c r="L3967" s="27"/>
    </row>
    <row r="3968" spans="1:12">
      <c r="A3968" s="20" t="s">
        <v>1021</v>
      </c>
      <c r="E3968" s="22">
        <f>IF(D3968="?OLD","!!!","")</f>
        <v/>
      </c>
      <c r="F3968" s="23" t="str">
        <f>IF(OR(E3968="",E3968="!!!"),"",IF(NOT(ISNA(VLOOKUP(E3968,E$1:E3967,1,FALSE()))),"OLD",IF(AND(E3968&lt;&gt;"",E3968&lt;&gt;"!!!"),"NEW","")))</f>
        <v> </v>
      </c>
      <c r="G3968" s="24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5" t="str">
        <f>IF(J3968&lt;&gt;1,"",IF(I3968="SBJ","CB","?"))</f>
        <v> </v>
      </c>
      <c r="I3968" s="26" t="str">
        <f>IF(OR(E3968="",E3968="!!!",F3968="NEW"),"",INDEX(B3967:B$2,-1+SUMPRODUCT(MAX(ROW(E3967:E$2)*(E3968=E3967:E$2)))))</f>
        <v> </v>
      </c>
      <c r="J3968" s="26" t="str">
        <f>IF(OR(E3968="",E3968="!!!",F3968="NEW"),"",COUNTBLANK(OFFSET(A$1,,,SUMPRODUCT(MAX(ROW(E$2:E3968)*(E3968=E$2:E3968)))))-COUNTBLANK(OFFSET(A$1,,,SUMPRODUCT(MAX(ROW(E$1:E3967)*(E2=E$1:E3967))))))</f>
        <v> </v>
      </c>
      <c r="K3968" s="26" t="str">
        <f>IF(OR(E3968="",E3968="!!!",F3968="NEW"),"",INDEX(J$1:J3967,SUMPRODUCT(MAX(ROW(E$1:E3967)*(E3968=E$1:E3967)))))</f>
        <v> </v>
      </c>
      <c r="L3968" s="27"/>
    </row>
    <row r="3969" spans="1:12">
      <c r="A3969" s="20" t="s">
        <v>1552</v>
      </c>
      <c r="B3969" s="21" t="s">
        <v>1080</v>
      </c>
      <c r="E3969" s="22">
        <f>IF(D3969="?OLD","!!!","")</f>
        <v/>
      </c>
      <c r="F3969" s="23" t="str">
        <f>IF(OR(E3969="",E3969="!!!"),"",IF(NOT(ISNA(VLOOKUP(E3969,E$1:E3968,1,FALSE()))),"OLD",IF(AND(E3969&lt;&gt;"",E3969&lt;&gt;"!!!"),"NEW","")))</f>
        <v> </v>
      </c>
      <c r="G3969" s="24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5" t="str">
        <f>IF(J3969&lt;&gt;1,"",IF(I3969="SBJ","CB","?"))</f>
        <v> </v>
      </c>
      <c r="I3969" s="26" t="str">
        <f>IF(OR(E3969="",E3969="!!!",F3969="NEW"),"",INDEX(B3968:B$2,-1+SUMPRODUCT(MAX(ROW(E3968:E$2)*(E3969=E3968:E$2)))))</f>
        <v> </v>
      </c>
      <c r="J3969" s="26" t="str">
        <f>IF(OR(E3969="",E3969="!!!",F3969="NEW"),"",COUNTBLANK(OFFSET(A$1,,,SUMPRODUCT(MAX(ROW(E$2:E3969)*(E3969=E$2:E3969)))))-COUNTBLANK(OFFSET(A$1,,,SUMPRODUCT(MAX(ROW(E$1:E3968)*(E2=E$1:E3968))))))</f>
        <v> </v>
      </c>
      <c r="K3969" s="26" t="str">
        <f>IF(OR(E3969="",E3969="!!!",F3969="NEW"),"",INDEX(J$1:J3968,SUMPRODUCT(MAX(ROW(E$1:E3968)*(E3969=E$1:E3968)))))</f>
        <v> </v>
      </c>
      <c r="L3969" s="27"/>
    </row>
    <row r="3970" spans="1:12">
      <c r="A3970" s="20" t="s">
        <v>2055</v>
      </c>
      <c r="E3970" s="22">
        <f>IF(D3970="?OLD","!!!","")</f>
        <v/>
      </c>
      <c r="F3970" s="23" t="str">
        <f>IF(OR(E3970="",E3970="!!!"),"",IF(NOT(ISNA(VLOOKUP(E3970,E$1:E3969,1,FALSE()))),"OLD",IF(AND(E3970&lt;&gt;"",E3970&lt;&gt;"!!!"),"NEW","")))</f>
        <v> </v>
      </c>
      <c r="G3970" s="24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5" t="str">
        <f>IF(J3970&lt;&gt;1,"",IF(I3970="SBJ","CB","?"))</f>
        <v> </v>
      </c>
      <c r="I3970" s="26" t="str">
        <f>IF(OR(E3970="",E3970="!!!",F3970="NEW"),"",INDEX(B3969:B$2,-1+SUMPRODUCT(MAX(ROW(E3969:E$2)*(E3970=E3969:E$2)))))</f>
        <v> </v>
      </c>
      <c r="J3970" s="26" t="str">
        <f>IF(OR(E3970="",E3970="!!!",F3970="NEW"),"",COUNTBLANK(OFFSET(A$1,,,SUMPRODUCT(MAX(ROW(E$2:E3970)*(E3970=E$2:E3970)))))-COUNTBLANK(OFFSET(A$1,,,SUMPRODUCT(MAX(ROW(E$1:E3969)*(E2=E$1:E3969))))))</f>
        <v> </v>
      </c>
      <c r="K3970" s="26" t="str">
        <f>IF(OR(E3970="",E3970="!!!",F3970="NEW"),"",INDEX(J$1:J3969,SUMPRODUCT(MAX(ROW(E$1:E3969)*(E3970=E$1:E3969)))))</f>
        <v> </v>
      </c>
      <c r="L3970" s="27"/>
    </row>
    <row r="3971" spans="1:12">
      <c r="A3971" s="20" t="s">
        <v>1000</v>
      </c>
      <c r="E3971" s="22">
        <f>IF(D3971="?OLD","!!!","")</f>
        <v/>
      </c>
      <c r="F3971" s="23" t="str">
        <f>IF(OR(E3971="",E3971="!!!"),"",IF(NOT(ISNA(VLOOKUP(E3971,E$1:E3970,1,FALSE()))),"OLD",IF(AND(E3971&lt;&gt;"",E3971&lt;&gt;"!!!"),"NEW","")))</f>
        <v> </v>
      </c>
      <c r="G3971" s="24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5" t="str">
        <f>IF(J3971&lt;&gt;1,"",IF(I3971="SBJ","CB","?"))</f>
        <v> </v>
      </c>
      <c r="I3971" s="26" t="str">
        <f>IF(OR(E3971="",E3971="!!!",F3971="NEW"),"",INDEX(B3970:B$2,-1+SUMPRODUCT(MAX(ROW(E3970:E$2)*(E3971=E3970:E$2)))))</f>
        <v> </v>
      </c>
      <c r="J3971" s="26" t="str">
        <f>IF(OR(E3971="",E3971="!!!",F3971="NEW"),"",COUNTBLANK(OFFSET(A$1,,,SUMPRODUCT(MAX(ROW(E$2:E3971)*(E3971=E$2:E3971)))))-COUNTBLANK(OFFSET(A$1,,,SUMPRODUCT(MAX(ROW(E$1:E3970)*(E2=E$1:E3970))))))</f>
        <v> </v>
      </c>
      <c r="K3971" s="26" t="str">
        <f>IF(OR(E3971="",E3971="!!!",F3971="NEW"),"",INDEX(J$1:J3970,SUMPRODUCT(MAX(ROW(E$1:E3970)*(E3971=E$1:E3970)))))</f>
        <v> </v>
      </c>
      <c r="L3971" s="27"/>
    </row>
    <row r="3972" spans="1:12">
      <c r="A3972" s="20" t="s">
        <v>2056</v>
      </c>
      <c r="B3972" s="21" t="s">
        <v>1082</v>
      </c>
      <c r="C3972" s="21" t="s">
        <v>949</v>
      </c>
      <c r="D3972" s="21" t="s">
        <v>950</v>
      </c>
      <c r="E3972" s="22">
        <f>IF(D3972="?OLD","!!!","")</f>
        <v/>
      </c>
      <c r="F3972" s="23" t="str">
        <f>IF(OR(E3972="",E3972="!!!"),"",IF(NOT(ISNA(VLOOKUP(E3972,E$1:E3971,1,FALSE()))),"OLD",IF(AND(E3972&lt;&gt;"",E3972&lt;&gt;"!!!"),"NEW","")))</f>
        <v> </v>
      </c>
      <c r="G3972" s="24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5" t="str">
        <f>IF(J3972&lt;&gt;1,"",IF(I3972="SBJ","CB","?"))</f>
        <v> </v>
      </c>
      <c r="I3972" s="26" t="str">
        <f>IF(OR(E3972="",E3972="!!!",F3972="NEW"),"",INDEX(B3971:B$2,-1+SUMPRODUCT(MAX(ROW(E3971:E$2)*(E3972=E3971:E$2)))))</f>
        <v> </v>
      </c>
      <c r="J3972" s="26" t="str">
        <f>IF(OR(E3972="",E3972="!!!",F3972="NEW"),"",COUNTBLANK(OFFSET(A$1,,,SUMPRODUCT(MAX(ROW(E$2:E3972)*(E3972=E$2:E3972)))))-COUNTBLANK(OFFSET(A$1,,,SUMPRODUCT(MAX(ROW(E$1:E3971)*(E2=E$1:E3971))))))</f>
        <v> </v>
      </c>
      <c r="K3972" s="26" t="str">
        <f>IF(OR(E3972="",E3972="!!!",F3972="NEW"),"",INDEX(J$1:J3971,SUMPRODUCT(MAX(ROW(E$1:E3971)*(E3972=E$1:E3971)))))</f>
        <v> </v>
      </c>
      <c r="L3972" s="27"/>
    </row>
    <row r="3973" spans="1:12">
      <c r="A3973" s="20" t="s">
        <v>984</v>
      </c>
      <c r="E3973" s="22">
        <f>IF(D3973="?OLD","!!!","")</f>
        <v/>
      </c>
      <c r="F3973" s="23" t="str">
        <f>IF(OR(E3973="",E3973="!!!"),"",IF(NOT(ISNA(VLOOKUP(E3973,E$1:E3972,1,FALSE()))),"OLD",IF(AND(E3973&lt;&gt;"",E3973&lt;&gt;"!!!"),"NEW","")))</f>
        <v> </v>
      </c>
      <c r="G3973" s="24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5" t="str">
        <f>IF(J3973&lt;&gt;1,"",IF(I3973="SBJ","CB","?"))</f>
        <v> </v>
      </c>
      <c r="I3973" s="26" t="str">
        <f>IF(OR(E3973="",E3973="!!!",F3973="NEW"),"",INDEX(B3972:B$2,-1+SUMPRODUCT(MAX(ROW(E3972:E$2)*(E3973=E3972:E$2)))))</f>
        <v> </v>
      </c>
      <c r="J3973" s="26" t="str">
        <f>IF(OR(E3973="",E3973="!!!",F3973="NEW"),"",COUNTBLANK(OFFSET(A$1,,,SUMPRODUCT(MAX(ROW(E$2:E3973)*(E3973=E$2:E3973)))))-COUNTBLANK(OFFSET(A$1,,,SUMPRODUCT(MAX(ROW(E$1:E3972)*(E2=E$1:E3972))))))</f>
        <v> </v>
      </c>
      <c r="K3973" s="26" t="str">
        <f>IF(OR(E3973="",E3973="!!!",F3973="NEW"),"",INDEX(J$1:J3972,SUMPRODUCT(MAX(ROW(E$1:E3972)*(E3973=E$1:E3972)))))</f>
        <v> </v>
      </c>
      <c r="L3973" s="27"/>
    </row>
    <row r="3974" spans="1:12">
      <c r="A3974" s="20"/>
    </row>
    <row r="3975" spans="1:12">
      <c r="A3975" s="20" t="s">
        <v>2057</v>
      </c>
    </row>
    <row r="3976" spans="1:12">
      <c r="A3976" s="20" t="s">
        <v>2058</v>
      </c>
      <c r="E3976" s="22">
        <f>IF(D3976="?OLD","!!!","")</f>
        <v/>
      </c>
      <c r="F3976" s="23" t="str">
        <f>IF(OR(E3976="",E3976="!!!"),"",IF(NOT(ISNA(VLOOKUP(E3976,E$1:E3975,1,FALSE()))),"OLD",IF(AND(E3976&lt;&gt;"",E3976&lt;&gt;"!!!"),"NEW","")))</f>
        <v> </v>
      </c>
      <c r="G3976" s="24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5" t="str">
        <f>IF(J3976&lt;&gt;1,"",IF(I3976="SBJ","CB","?"))</f>
        <v> </v>
      </c>
      <c r="I3976" s="26" t="str">
        <f>IF(OR(E3976="",E3976="!!!",F3976="NEW"),"",INDEX(B3975:B$2,-1+SUMPRODUCT(MAX(ROW(E3975:E$2)*(E3976=E3975:E$2)))))</f>
        <v> </v>
      </c>
      <c r="J3976" s="26" t="str">
        <f>IF(OR(E3976="",E3976="!!!",F3976="NEW"),"",COUNTBLANK(OFFSET(A$1,,,SUMPRODUCT(MAX(ROW(E$2:E3976)*(E3976=E$2:E3976)))))-COUNTBLANK(OFFSET(A$1,,,SUMPRODUCT(MAX(ROW(E$1:E3975)*(E2=E$1:E3975))))))</f>
        <v> </v>
      </c>
      <c r="K3976" s="26" t="str">
        <f>IF(OR(E3976="",E3976="!!!",F3976="NEW"),"",INDEX(J$1:J3975,SUMPRODUCT(MAX(ROW(E$1:E3975)*(E3976=E$1:E3975)))))</f>
        <v> </v>
      </c>
      <c r="L3976" s="27"/>
    </row>
    <row r="3977" spans="1:12">
      <c r="A3977" s="20" t="s">
        <v>1551</v>
      </c>
      <c r="B3977" s="21" t="s">
        <v>948</v>
      </c>
      <c r="C3977" s="21" t="s">
        <v>960</v>
      </c>
      <c r="D3977" s="21" t="s">
        <v>950</v>
      </c>
      <c r="E3977" s="22">
        <f>IF(D3977="?OLD","!!!","")</f>
        <v/>
      </c>
      <c r="F3977" s="23" t="str">
        <f>IF(OR(E3977="",E3977="!!!"),"",IF(NOT(ISNA(VLOOKUP(E3977,E$1:E3976,1,FALSE()))),"OLD",IF(AND(E3977&lt;&gt;"",E3977&lt;&gt;"!!!"),"NEW","")))</f>
        <v> </v>
      </c>
      <c r="G3977" s="24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5" t="str">
        <f>IF(J3977&lt;&gt;1,"",IF(I3977="SBJ","CB","?"))</f>
        <v> </v>
      </c>
      <c r="I3977" s="26" t="str">
        <f>IF(OR(E3977="",E3977="!!!",F3977="NEW"),"",INDEX(B3976:B$2,-1+SUMPRODUCT(MAX(ROW(E3976:E$2)*(E3977=E3976:E$2)))))</f>
        <v> </v>
      </c>
      <c r="J3977" s="26" t="str">
        <f>IF(OR(E3977="",E3977="!!!",F3977="NEW"),"",COUNTBLANK(OFFSET(A$1,,,SUMPRODUCT(MAX(ROW(E$2:E3977)*(E3977=E$2:E3977)))))-COUNTBLANK(OFFSET(A$1,,,SUMPRODUCT(MAX(ROW(E$1:E3976)*(E2=E$1:E3976))))))</f>
        <v> </v>
      </c>
      <c r="K3977" s="26" t="str">
        <f>IF(OR(E3977="",E3977="!!!",F3977="NEW"),"",INDEX(J$1:J3976,SUMPRODUCT(MAX(ROW(E$1:E3976)*(E3977=E$1:E3976)))))</f>
        <v> </v>
      </c>
      <c r="L3977" s="27"/>
    </row>
    <row r="3978" spans="1:12">
      <c r="A3978" s="20" t="s">
        <v>1000</v>
      </c>
      <c r="E3978" s="22">
        <f>IF(D3978="?OLD","!!!","")</f>
        <v/>
      </c>
      <c r="F3978" s="23" t="str">
        <f>IF(OR(E3978="",E3978="!!!"),"",IF(NOT(ISNA(VLOOKUP(E3978,E$1:E3977,1,FALSE()))),"OLD",IF(AND(E3978&lt;&gt;"",E3978&lt;&gt;"!!!"),"NEW","")))</f>
        <v> </v>
      </c>
      <c r="G3978" s="24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5" t="str">
        <f>IF(J3978&lt;&gt;1,"",IF(I3978="SBJ","CB","?"))</f>
        <v> </v>
      </c>
      <c r="I3978" s="26" t="str">
        <f>IF(OR(E3978="",E3978="!!!",F3978="NEW"),"",INDEX(B3977:B$2,-1+SUMPRODUCT(MAX(ROW(E3977:E$2)*(E3978=E3977:E$2)))))</f>
        <v> </v>
      </c>
      <c r="J3978" s="26" t="str">
        <f>IF(OR(E3978="",E3978="!!!",F3978="NEW"),"",COUNTBLANK(OFFSET(A$1,,,SUMPRODUCT(MAX(ROW(E$2:E3978)*(E3978=E$2:E3978)))))-COUNTBLANK(OFFSET(A$1,,,SUMPRODUCT(MAX(ROW(E$1:E3977)*(E2=E$1:E3977))))))</f>
        <v> </v>
      </c>
      <c r="K3978" s="26" t="str">
        <f>IF(OR(E3978="",E3978="!!!",F3978="NEW"),"",INDEX(J$1:J3977,SUMPRODUCT(MAX(ROW(E$1:E3977)*(E3978=E$1:E3977)))))</f>
        <v> </v>
      </c>
      <c r="L3978" s="27"/>
    </row>
    <row r="3979" spans="1:12">
      <c r="A3979" s="20" t="s">
        <v>1213</v>
      </c>
      <c r="B3979" s="21" t="s">
        <v>956</v>
      </c>
      <c r="C3979" s="21" t="s">
        <v>1148</v>
      </c>
      <c r="E3979" s="22">
        <f>IF(D3979="?OLD","!!!","")</f>
        <v/>
      </c>
      <c r="F3979" s="23" t="str">
        <f>IF(OR(E3979="",E3979="!!!"),"",IF(NOT(ISNA(VLOOKUP(E3979,E$1:E3978,1,FALSE()))),"OLD",IF(AND(E3979&lt;&gt;"",E3979&lt;&gt;"!!!"),"NEW","")))</f>
        <v> </v>
      </c>
      <c r="G3979" s="24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5" t="str">
        <f>IF(J3979&lt;&gt;1,"",IF(I3979="SBJ","CB","?"))</f>
        <v> </v>
      </c>
      <c r="I3979" s="26" t="str">
        <f>IF(OR(E3979="",E3979="!!!",F3979="NEW"),"",INDEX(B3978:B$2,-1+SUMPRODUCT(MAX(ROW(E3978:E$2)*(E3979=E3978:E$2)))))</f>
        <v> </v>
      </c>
      <c r="J3979" s="26" t="str">
        <f>IF(OR(E3979="",E3979="!!!",F3979="NEW"),"",COUNTBLANK(OFFSET(A$1,,,SUMPRODUCT(MAX(ROW(E$2:E3979)*(E3979=E$2:E3979)))))-COUNTBLANK(OFFSET(A$1,,,SUMPRODUCT(MAX(ROW(E$1:E3978)*(E2=E$1:E3978))))))</f>
        <v> </v>
      </c>
      <c r="K3979" s="26" t="str">
        <f>IF(OR(E3979="",E3979="!!!",F3979="NEW"),"",INDEX(J$1:J3978,SUMPRODUCT(MAX(ROW(E$1:E3978)*(E3979=E$1:E3978)))))</f>
        <v> </v>
      </c>
      <c r="L3979" s="27"/>
    </row>
    <row r="3980" spans="1:12">
      <c r="A3980" s="20" t="s">
        <v>1072</v>
      </c>
      <c r="E3980" s="22">
        <f>IF(D3980="?OLD","!!!","")</f>
        <v/>
      </c>
      <c r="F3980" s="23" t="str">
        <f>IF(OR(E3980="",E3980="!!!"),"",IF(NOT(ISNA(VLOOKUP(E3980,E$1:E3979,1,FALSE()))),"OLD",IF(AND(E3980&lt;&gt;"",E3980&lt;&gt;"!!!"),"NEW","")))</f>
        <v> </v>
      </c>
      <c r="G3980" s="24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5" t="str">
        <f>IF(J3980&lt;&gt;1,"",IF(I3980="SBJ","CB","?"))</f>
        <v> </v>
      </c>
      <c r="I3980" s="26" t="str">
        <f>IF(OR(E3980="",E3980="!!!",F3980="NEW"),"",INDEX(B3979:B$2,-1+SUMPRODUCT(MAX(ROW(E3979:E$2)*(E3980=E3979:E$2)))))</f>
        <v> </v>
      </c>
      <c r="J3980" s="26" t="str">
        <f>IF(OR(E3980="",E3980="!!!",F3980="NEW"),"",COUNTBLANK(OFFSET(A$1,,,SUMPRODUCT(MAX(ROW(E$2:E3980)*(E3980=E$2:E3980)))))-COUNTBLANK(OFFSET(A$1,,,SUMPRODUCT(MAX(ROW(E$1:E3979)*(E2=E$1:E3979))))))</f>
        <v> </v>
      </c>
      <c r="K3980" s="26" t="str">
        <f>IF(OR(E3980="",E3980="!!!",F3980="NEW"),"",INDEX(J$1:J3979,SUMPRODUCT(MAX(ROW(E$1:E3979)*(E3980=E$1:E3979)))))</f>
        <v> </v>
      </c>
      <c r="L3980" s="27"/>
    </row>
    <row r="3981" spans="1:12">
      <c r="A3981" s="20" t="s">
        <v>1006</v>
      </c>
      <c r="E3981" s="22">
        <f>IF(D3981="?OLD","!!!","")</f>
        <v/>
      </c>
      <c r="F3981" s="23" t="str">
        <f>IF(OR(E3981="",E3981="!!!"),"",IF(NOT(ISNA(VLOOKUP(E3981,E$1:E3980,1,FALSE()))),"OLD",IF(AND(E3981&lt;&gt;"",E3981&lt;&gt;"!!!"),"NEW","")))</f>
        <v> </v>
      </c>
      <c r="G3981" s="24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5" t="str">
        <f>IF(J3981&lt;&gt;1,"",IF(I3981="SBJ","CB","?"))</f>
        <v> </v>
      </c>
      <c r="I3981" s="26" t="str">
        <f>IF(OR(E3981="",E3981="!!!",F3981="NEW"),"",INDEX(B3980:B$2,-1+SUMPRODUCT(MAX(ROW(E3980:E$2)*(E3981=E3980:E$2)))))</f>
        <v> </v>
      </c>
      <c r="J3981" s="26" t="str">
        <f>IF(OR(E3981="",E3981="!!!",F3981="NEW"),"",COUNTBLANK(OFFSET(A$1,,,SUMPRODUCT(MAX(ROW(E$2:E3981)*(E3981=E$2:E3981)))))-COUNTBLANK(OFFSET(A$1,,,SUMPRODUCT(MAX(ROW(E$1:E3980)*(E2=E$1:E3980))))))</f>
        <v> </v>
      </c>
      <c r="K3981" s="26" t="str">
        <f>IF(OR(E3981="",E3981="!!!",F3981="NEW"),"",INDEX(J$1:J3980,SUMPRODUCT(MAX(ROW(E$1:E3980)*(E3981=E$1:E3980)))))</f>
        <v> </v>
      </c>
      <c r="L3981" s="27"/>
    </row>
    <row r="3982" spans="1:12">
      <c r="A3982" s="20" t="s">
        <v>2059</v>
      </c>
      <c r="B3982" s="21" t="s">
        <v>948</v>
      </c>
      <c r="C3982" s="21" t="s">
        <v>976</v>
      </c>
      <c r="D3982" s="21" t="s">
        <v>950</v>
      </c>
      <c r="E3982" s="22">
        <f>IF(D3982="?OLD","!!!","")</f>
        <v/>
      </c>
      <c r="F3982" s="23" t="str">
        <f>IF(OR(E3982="",E3982="!!!"),"",IF(NOT(ISNA(VLOOKUP(E3982,E$1:E3981,1,FALSE()))),"OLD",IF(AND(E3982&lt;&gt;"",E3982&lt;&gt;"!!!"),"NEW","")))</f>
        <v> </v>
      </c>
      <c r="G3982" s="24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5" t="str">
        <f>IF(J3982&lt;&gt;1,"",IF(I3982="SBJ","CB","?"))</f>
        <v> </v>
      </c>
      <c r="I3982" s="26" t="str">
        <f>IF(OR(E3982="",E3982="!!!",F3982="NEW"),"",INDEX(B3981:B$2,-1+SUMPRODUCT(MAX(ROW(E3981:E$2)*(E3982=E3981:E$2)))))</f>
        <v> </v>
      </c>
      <c r="J3982" s="26" t="str">
        <f>IF(OR(E3982="",E3982="!!!",F3982="NEW"),"",COUNTBLANK(OFFSET(A$1,,,SUMPRODUCT(MAX(ROW(E$2:E3982)*(E3982=E$2:E3982)))))-COUNTBLANK(OFFSET(A$1,,,SUMPRODUCT(MAX(ROW(E$1:E3981)*(E2=E$1:E3981))))))</f>
        <v> </v>
      </c>
      <c r="K3982" s="26" t="str">
        <f>IF(OR(E3982="",E3982="!!!",F3982="NEW"),"",INDEX(J$1:J3981,SUMPRODUCT(MAX(ROW(E$1:E3981)*(E3982=E$1:E3981)))))</f>
        <v> </v>
      </c>
      <c r="L3982" s="27"/>
    </row>
    <row r="3983" spans="1:12">
      <c r="A3983" s="20" t="s">
        <v>977</v>
      </c>
      <c r="E3983" s="22">
        <f>IF(D3983="?OLD","!!!","")</f>
        <v/>
      </c>
      <c r="F3983" s="23" t="str">
        <f>IF(OR(E3983="",E3983="!!!"),"",IF(NOT(ISNA(VLOOKUP(E3983,E$1:E3982,1,FALSE()))),"OLD",IF(AND(E3983&lt;&gt;"",E3983&lt;&gt;"!!!"),"NEW","")))</f>
        <v> </v>
      </c>
      <c r="G3983" s="24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5" t="str">
        <f>IF(J3983&lt;&gt;1,"",IF(I3983="SBJ","CB","?"))</f>
        <v> </v>
      </c>
      <c r="I3983" s="26" t="str">
        <f>IF(OR(E3983="",E3983="!!!",F3983="NEW"),"",INDEX(B3982:B$2,-1+SUMPRODUCT(MAX(ROW(E3982:E$2)*(E3983=E3982:E$2)))))</f>
        <v> </v>
      </c>
      <c r="J3983" s="26" t="str">
        <f>IF(OR(E3983="",E3983="!!!",F3983="NEW"),"",COUNTBLANK(OFFSET(A$1,,,SUMPRODUCT(MAX(ROW(E$2:E3983)*(E3983=E$2:E3983)))))-COUNTBLANK(OFFSET(A$1,,,SUMPRODUCT(MAX(ROW(E$1:E3982)*(E2=E$1:E3982))))))</f>
        <v> </v>
      </c>
      <c r="K3983" s="26" t="str">
        <f>IF(OR(E3983="",E3983="!!!",F3983="NEW"),"",INDEX(J$1:J3982,SUMPRODUCT(MAX(ROW(E$1:E3982)*(E3983=E$1:E3982)))))</f>
        <v> </v>
      </c>
      <c r="L3983" s="27"/>
    </row>
    <row r="3984" spans="1:12">
      <c r="A3984" s="20" t="s">
        <v>1098</v>
      </c>
      <c r="B3984" s="21" t="s">
        <v>948</v>
      </c>
      <c r="C3984" s="21" t="s">
        <v>1008</v>
      </c>
      <c r="D3984" s="21" t="s">
        <v>950</v>
      </c>
      <c r="E3984" s="22">
        <f>IF(D3984="?OLD","!!!","")</f>
        <v/>
      </c>
      <c r="F3984" s="23" t="str">
        <f>IF(OR(E3984="",E3984="!!!"),"",IF(NOT(ISNA(VLOOKUP(E3984,E$1:E3983,1,FALSE()))),"OLD",IF(AND(E3984&lt;&gt;"",E3984&lt;&gt;"!!!"),"NEW","")))</f>
        <v> </v>
      </c>
      <c r="G3984" s="24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5" t="str">
        <f>IF(J3984&lt;&gt;1,"",IF(I3984="SBJ","CB","?"))</f>
        <v> </v>
      </c>
      <c r="I3984" s="26" t="str">
        <f>IF(OR(E3984="",E3984="!!!",F3984="NEW"),"",INDEX(B3983:B$2,-1+SUMPRODUCT(MAX(ROW(E3983:E$2)*(E3984=E3983:E$2)))))</f>
        <v> </v>
      </c>
      <c r="J3984" s="26" t="str">
        <f>IF(OR(E3984="",E3984="!!!",F3984="NEW"),"",COUNTBLANK(OFFSET(A$1,,,SUMPRODUCT(MAX(ROW(E$2:E3984)*(E3984=E$2:E3984)))))-COUNTBLANK(OFFSET(A$1,,,SUMPRODUCT(MAX(ROW(E$1:E3983)*(E2=E$1:E3983))))))</f>
        <v> </v>
      </c>
      <c r="K3984" s="26" t="str">
        <f>IF(OR(E3984="",E3984="!!!",F3984="NEW"),"",INDEX(J$1:J3983,SUMPRODUCT(MAX(ROW(E$1:E3983)*(E3984=E$1:E3983)))))</f>
        <v> </v>
      </c>
      <c r="L3984" s="27"/>
    </row>
    <row r="3985" spans="1:12">
      <c r="A3985" s="20" t="s">
        <v>1068</v>
      </c>
      <c r="E3985" s="22">
        <f>IF(D3985="?OLD","!!!","")</f>
        <v/>
      </c>
      <c r="F3985" s="23" t="str">
        <f>IF(OR(E3985="",E3985="!!!"),"",IF(NOT(ISNA(VLOOKUP(E3985,E$1:E3984,1,FALSE()))),"OLD",IF(AND(E3985&lt;&gt;"",E3985&lt;&gt;"!!!"),"NEW","")))</f>
        <v> </v>
      </c>
      <c r="G3985" s="24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5" t="str">
        <f>IF(J3985&lt;&gt;1,"",IF(I3985="SBJ","CB","?"))</f>
        <v> </v>
      </c>
      <c r="I3985" s="26" t="str">
        <f>IF(OR(E3985="",E3985="!!!",F3985="NEW"),"",INDEX(B3984:B$2,-1+SUMPRODUCT(MAX(ROW(E3984:E$2)*(E3985=E3984:E$2)))))</f>
        <v> </v>
      </c>
      <c r="J3985" s="26" t="str">
        <f>IF(OR(E3985="",E3985="!!!",F3985="NEW"),"",COUNTBLANK(OFFSET(A$1,,,SUMPRODUCT(MAX(ROW(E$2:E3985)*(E3985=E$2:E3985)))))-COUNTBLANK(OFFSET(A$1,,,SUMPRODUCT(MAX(ROW(E$1:E3984)*(E2=E$1:E3984))))))</f>
        <v> </v>
      </c>
      <c r="K3985" s="26" t="str">
        <f>IF(OR(E3985="",E3985="!!!",F3985="NEW"),"",INDEX(J$1:J3984,SUMPRODUCT(MAX(ROW(E$1:E3984)*(E3985=E$1:E3984)))))</f>
        <v> </v>
      </c>
      <c r="L3985" s="27"/>
    </row>
    <row r="3986" spans="1:12">
      <c r="A3986" s="20"/>
    </row>
    <row r="3987" spans="1:12">
      <c r="A3987" s="20" t="s">
        <v>2060</v>
      </c>
    </row>
    <row r="3988" spans="1:12">
      <c r="A3988" s="20" t="s">
        <v>1070</v>
      </c>
      <c r="B3988" s="21" t="s">
        <v>948</v>
      </c>
      <c r="C3988" s="21" t="s">
        <v>983</v>
      </c>
      <c r="E3988" s="22">
        <f>IF(D3988="?OLD","!!!","")</f>
        <v/>
      </c>
      <c r="F3988" s="23" t="str">
        <f>IF(OR(E3988="",E3988="!!!"),"",IF(NOT(ISNA(VLOOKUP(E3988,E$1:E3987,1,FALSE()))),"OLD",IF(AND(E3988&lt;&gt;"",E3988&lt;&gt;"!!!"),"NEW","")))</f>
        <v> </v>
      </c>
      <c r="G3988" s="24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5" t="str">
        <f>IF(J3988&lt;&gt;1,"",IF(I3988="SBJ","CB","?"))</f>
        <v> </v>
      </c>
      <c r="I3988" s="26" t="str">
        <f>IF(OR(E3988="",E3988="!!!",F3988="NEW"),"",INDEX(B3987:B$2,-1+SUMPRODUCT(MAX(ROW(E3987:E$2)*(E3988=E3987:E$2)))))</f>
        <v> </v>
      </c>
      <c r="J3988" s="26" t="str">
        <f>IF(OR(E3988="",E3988="!!!",F3988="NEW"),"",COUNTBLANK(OFFSET(A$1,,,SUMPRODUCT(MAX(ROW(E$2:E3988)*(E3988=E$2:E3988)))))-COUNTBLANK(OFFSET(A$1,,,SUMPRODUCT(MAX(ROW(E$1:E3987)*(E2=E$1:E3987))))))</f>
        <v> </v>
      </c>
      <c r="K3988" s="26" t="str">
        <f>IF(OR(E3988="",E3988="!!!",F3988="NEW"),"",INDEX(J$1:J3987,SUMPRODUCT(MAX(ROW(E$1:E3987)*(E3988=E$1:E3987)))))</f>
        <v> </v>
      </c>
      <c r="L3988" s="27"/>
    </row>
    <row r="3989" spans="1:12">
      <c r="A3989" s="20" t="s">
        <v>952</v>
      </c>
      <c r="E3989" s="22">
        <f>IF(D3989="?OLD","!!!","")</f>
        <v/>
      </c>
      <c r="F3989" s="23" t="str">
        <f>IF(OR(E3989="",E3989="!!!"),"",IF(NOT(ISNA(VLOOKUP(E3989,E$1:E3988,1,FALSE()))),"OLD",IF(AND(E3989&lt;&gt;"",E3989&lt;&gt;"!!!"),"NEW","")))</f>
        <v> </v>
      </c>
      <c r="G3989" s="24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5" t="str">
        <f>IF(J3989&lt;&gt;1,"",IF(I3989="SBJ","CB","?"))</f>
        <v> </v>
      </c>
      <c r="I3989" s="26" t="str">
        <f>IF(OR(E3989="",E3989="!!!",F3989="NEW"),"",INDEX(B3988:B$2,-1+SUMPRODUCT(MAX(ROW(E3988:E$2)*(E3989=E3988:E$2)))))</f>
        <v> </v>
      </c>
      <c r="J3989" s="26" t="str">
        <f>IF(OR(E3989="",E3989="!!!",F3989="NEW"),"",COUNTBLANK(OFFSET(A$1,,,SUMPRODUCT(MAX(ROW(E$2:E3989)*(E3989=E$2:E3989)))))-COUNTBLANK(OFFSET(A$1,,,SUMPRODUCT(MAX(ROW(E$1:E3988)*(E2=E$1:E3988))))))</f>
        <v> </v>
      </c>
      <c r="K3989" s="26" t="str">
        <f>IF(OR(E3989="",E3989="!!!",F3989="NEW"),"",INDEX(J$1:J3988,SUMPRODUCT(MAX(ROW(E$1:E3988)*(E3989=E$1:E3988)))))</f>
        <v> </v>
      </c>
      <c r="L3989" s="27"/>
    </row>
    <row r="3990" spans="1:12">
      <c r="A3990" s="20" t="s">
        <v>1071</v>
      </c>
      <c r="E3990" s="22">
        <f>IF(D3990="?OLD","!!!","")</f>
        <v/>
      </c>
      <c r="F3990" s="23" t="str">
        <f>IF(OR(E3990="",E3990="!!!"),"",IF(NOT(ISNA(VLOOKUP(E3990,E$1:E3989,1,FALSE()))),"OLD",IF(AND(E3990&lt;&gt;"",E3990&lt;&gt;"!!!"),"NEW","")))</f>
        <v> </v>
      </c>
      <c r="G3990" s="24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5" t="str">
        <f>IF(J3990&lt;&gt;1,"",IF(I3990="SBJ","CB","?"))</f>
        <v> </v>
      </c>
      <c r="I3990" s="26" t="str">
        <f>IF(OR(E3990="",E3990="!!!",F3990="NEW"),"",INDEX(B3989:B$2,-1+SUMPRODUCT(MAX(ROW(E3989:E$2)*(E3990=E3989:E$2)))))</f>
        <v> </v>
      </c>
      <c r="J3990" s="26" t="str">
        <f>IF(OR(E3990="",E3990="!!!",F3990="NEW"),"",COUNTBLANK(OFFSET(A$1,,,SUMPRODUCT(MAX(ROW(E$2:E3990)*(E3990=E$2:E3990)))))-COUNTBLANK(OFFSET(A$1,,,SUMPRODUCT(MAX(ROW(E$1:E3989)*(E2=E$1:E3989))))))</f>
        <v> </v>
      </c>
      <c r="K3990" s="26" t="str">
        <f>IF(OR(E3990="",E3990="!!!",F3990="NEW"),"",INDEX(J$1:J3989,SUMPRODUCT(MAX(ROW(E$1:E3989)*(E3990=E$1:E3989)))))</f>
        <v> </v>
      </c>
      <c r="L3990" s="27"/>
    </row>
    <row r="3991" spans="1:12">
      <c r="A3991" s="20" t="s">
        <v>1000</v>
      </c>
      <c r="E3991" s="22">
        <f>IF(D3991="?OLD","!!!","")</f>
        <v/>
      </c>
      <c r="F3991" s="23" t="str">
        <f>IF(OR(E3991="",E3991="!!!"),"",IF(NOT(ISNA(VLOOKUP(E3991,E$1:E3990,1,FALSE()))),"OLD",IF(AND(E3991&lt;&gt;"",E3991&lt;&gt;"!!!"),"NEW","")))</f>
        <v> </v>
      </c>
      <c r="G3991" s="24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5" t="str">
        <f>IF(J3991&lt;&gt;1,"",IF(I3991="SBJ","CB","?"))</f>
        <v> </v>
      </c>
      <c r="I3991" s="26" t="str">
        <f>IF(OR(E3991="",E3991="!!!",F3991="NEW"),"",INDEX(B3990:B$2,-1+SUMPRODUCT(MAX(ROW(E3990:E$2)*(E3991=E3990:E$2)))))</f>
        <v> </v>
      </c>
      <c r="J3991" s="26" t="str">
        <f>IF(OR(E3991="",E3991="!!!",F3991="NEW"),"",COUNTBLANK(OFFSET(A$1,,,SUMPRODUCT(MAX(ROW(E$2:E3991)*(E3991=E$2:E3991)))))-COUNTBLANK(OFFSET(A$1,,,SUMPRODUCT(MAX(ROW(E$1:E3990)*(E2=E$1:E3990))))))</f>
        <v> </v>
      </c>
      <c r="K3991" s="26" t="str">
        <f>IF(OR(E3991="",E3991="!!!",F3991="NEW"),"",INDEX(J$1:J3990,SUMPRODUCT(MAX(ROW(E$1:E3990)*(E3991=E$1:E3990)))))</f>
        <v> </v>
      </c>
      <c r="L3991" s="27"/>
    </row>
    <row r="3992" spans="1:12">
      <c r="A3992" s="20" t="s">
        <v>1104</v>
      </c>
      <c r="E3992" s="22">
        <f>IF(D3992="?OLD","!!!","")</f>
        <v/>
      </c>
      <c r="F3992" s="23" t="str">
        <f>IF(OR(E3992="",E3992="!!!"),"",IF(NOT(ISNA(VLOOKUP(E3992,E$1:E3991,1,FALSE()))),"OLD",IF(AND(E3992&lt;&gt;"",E3992&lt;&gt;"!!!"),"NEW","")))</f>
        <v> </v>
      </c>
      <c r="G3992" s="24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5" t="str">
        <f>IF(J3992&lt;&gt;1,"",IF(I3992="SBJ","CB","?"))</f>
        <v> </v>
      </c>
      <c r="I3992" s="26" t="str">
        <f>IF(OR(E3992="",E3992="!!!",F3992="NEW"),"",INDEX(B3991:B$2,-1+SUMPRODUCT(MAX(ROW(E3991:E$2)*(E3992=E3991:E$2)))))</f>
        <v> </v>
      </c>
      <c r="J3992" s="26" t="str">
        <f>IF(OR(E3992="",E3992="!!!",F3992="NEW"),"",COUNTBLANK(OFFSET(A$1,,,SUMPRODUCT(MAX(ROW(E$2:E3992)*(E3992=E$2:E3992)))))-COUNTBLANK(OFFSET(A$1,,,SUMPRODUCT(MAX(ROW(E$1:E3991)*(E2=E$1:E3991))))))</f>
        <v> </v>
      </c>
      <c r="K3992" s="26" t="str">
        <f>IF(OR(E3992="",E3992="!!!",F3992="NEW"),"",INDEX(J$1:J3991,SUMPRODUCT(MAX(ROW(E$1:E3991)*(E3992=E$1:E3991)))))</f>
        <v> </v>
      </c>
      <c r="L3992" s="27"/>
    </row>
    <row r="3993" spans="1:12">
      <c r="A3993" s="20" t="s">
        <v>965</v>
      </c>
      <c r="E3993" s="22">
        <f>IF(D3993="?OLD","!!!","")</f>
        <v/>
      </c>
      <c r="F3993" s="23" t="str">
        <f>IF(OR(E3993="",E3993="!!!"),"",IF(NOT(ISNA(VLOOKUP(E3993,E$1:E3992,1,FALSE()))),"OLD",IF(AND(E3993&lt;&gt;"",E3993&lt;&gt;"!!!"),"NEW","")))</f>
        <v> </v>
      </c>
      <c r="G3993" s="24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5" t="str">
        <f>IF(J3993&lt;&gt;1,"",IF(I3993="SBJ","CB","?"))</f>
        <v> </v>
      </c>
      <c r="I3993" s="26" t="str">
        <f>IF(OR(E3993="",E3993="!!!",F3993="NEW"),"",INDEX(B3992:B$2,-1+SUMPRODUCT(MAX(ROW(E3992:E$2)*(E3993=E3992:E$2)))))</f>
        <v> </v>
      </c>
      <c r="J3993" s="26" t="str">
        <f>IF(OR(E3993="",E3993="!!!",F3993="NEW"),"",COUNTBLANK(OFFSET(A$1,,,SUMPRODUCT(MAX(ROW(E$2:E3993)*(E3993=E$2:E3993)))))-COUNTBLANK(OFFSET(A$1,,,SUMPRODUCT(MAX(ROW(E$1:E3992)*(E2=E$1:E3992))))))</f>
        <v> </v>
      </c>
      <c r="K3993" s="26" t="str">
        <f>IF(OR(E3993="",E3993="!!!",F3993="NEW"),"",INDEX(J$1:J3992,SUMPRODUCT(MAX(ROW(E$1:E3992)*(E3993=E$1:E3992)))))</f>
        <v> </v>
      </c>
      <c r="L3993" s="27"/>
    </row>
    <row r="3994" spans="1:12">
      <c r="A3994" s="20" t="s">
        <v>1022</v>
      </c>
      <c r="E3994" s="22">
        <f>IF(D3994="?OLD","!!!","")</f>
        <v/>
      </c>
      <c r="F3994" s="23" t="str">
        <f>IF(OR(E3994="",E3994="!!!"),"",IF(NOT(ISNA(VLOOKUP(E3994,E$1:E3993,1,FALSE()))),"OLD",IF(AND(E3994&lt;&gt;"",E3994&lt;&gt;"!!!"),"NEW","")))</f>
        <v> </v>
      </c>
      <c r="G3994" s="24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5" t="str">
        <f>IF(J3994&lt;&gt;1,"",IF(I3994="SBJ","CB","?"))</f>
        <v> </v>
      </c>
      <c r="I3994" s="26" t="str">
        <f>IF(OR(E3994="",E3994="!!!",F3994="NEW"),"",INDEX(B3993:B$2,-1+SUMPRODUCT(MAX(ROW(E3993:E$2)*(E3994=E3993:E$2)))))</f>
        <v> </v>
      </c>
      <c r="J3994" s="26" t="str">
        <f>IF(OR(E3994="",E3994="!!!",F3994="NEW"),"",COUNTBLANK(OFFSET(A$1,,,SUMPRODUCT(MAX(ROW(E$2:E3994)*(E3994=E$2:E3994)))))-COUNTBLANK(OFFSET(A$1,,,SUMPRODUCT(MAX(ROW(E$1:E3993)*(E2=E$1:E3993))))))</f>
        <v> </v>
      </c>
      <c r="K3994" s="26" t="str">
        <f>IF(OR(E3994="",E3994="!!!",F3994="NEW"),"",INDEX(J$1:J3993,SUMPRODUCT(MAX(ROW(E$1:E3993)*(E3994=E$1:E3993)))))</f>
        <v> </v>
      </c>
      <c r="L3994" s="27"/>
    </row>
    <row r="3995" spans="1:12">
      <c r="A3995" s="20" t="s">
        <v>2061</v>
      </c>
      <c r="B3995" s="21" t="s">
        <v>1143</v>
      </c>
      <c r="C3995" s="21" t="s">
        <v>1032</v>
      </c>
      <c r="D3995" s="21" t="s">
        <v>950</v>
      </c>
      <c r="E3995" s="22">
        <f>IF(D3995="?OLD","!!!","")</f>
        <v/>
      </c>
      <c r="F3995" s="23" t="str">
        <f>IF(OR(E3995="",E3995="!!!"),"",IF(NOT(ISNA(VLOOKUP(E3995,E$1:E3994,1,FALSE()))),"OLD",IF(AND(E3995&lt;&gt;"",E3995&lt;&gt;"!!!"),"NEW","")))</f>
        <v> </v>
      </c>
      <c r="G3995" s="24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5" t="str">
        <f>IF(J3995&lt;&gt;1,"",IF(I3995="SBJ","CB","?"))</f>
        <v> </v>
      </c>
      <c r="I3995" s="26" t="str">
        <f>IF(OR(E3995="",E3995="!!!",F3995="NEW"),"",INDEX(B3994:B$2,-1+SUMPRODUCT(MAX(ROW(E3994:E$2)*(E3995=E3994:E$2)))))</f>
        <v> </v>
      </c>
      <c r="J3995" s="26" t="str">
        <f>IF(OR(E3995="",E3995="!!!",F3995="NEW"),"",COUNTBLANK(OFFSET(A$1,,,SUMPRODUCT(MAX(ROW(E$2:E3995)*(E3995=E$2:E3995)))))-COUNTBLANK(OFFSET(A$1,,,SUMPRODUCT(MAX(ROW(E$1:E3994)*(E2=E$1:E3994))))))</f>
        <v> </v>
      </c>
      <c r="K3995" s="26" t="str">
        <f>IF(OR(E3995="",E3995="!!!",F3995="NEW"),"",INDEX(J$1:J3994,SUMPRODUCT(MAX(ROW(E$1:E3994)*(E3995=E$1:E3994)))))</f>
        <v> </v>
      </c>
      <c r="L3995" s="27"/>
    </row>
    <row r="3996" spans="1:12">
      <c r="A3996" s="20" t="s">
        <v>972</v>
      </c>
      <c r="E3996" s="22">
        <f>IF(D3996="?OLD","!!!","")</f>
        <v/>
      </c>
      <c r="F3996" s="23" t="str">
        <f>IF(OR(E3996="",E3996="!!!"),"",IF(NOT(ISNA(VLOOKUP(E3996,E$1:E3995,1,FALSE()))),"OLD",IF(AND(E3996&lt;&gt;"",E3996&lt;&gt;"!!!"),"NEW","")))</f>
        <v> </v>
      </c>
      <c r="G3996" s="24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5" t="str">
        <f>IF(J3996&lt;&gt;1,"",IF(I3996="SBJ","CB","?"))</f>
        <v> </v>
      </c>
      <c r="I3996" s="26" t="str">
        <f>IF(OR(E3996="",E3996="!!!",F3996="NEW"),"",INDEX(B3995:B$2,-1+SUMPRODUCT(MAX(ROW(E3995:E$2)*(E3996=E3995:E$2)))))</f>
        <v> </v>
      </c>
      <c r="J3996" s="26" t="str">
        <f>IF(OR(E3996="",E3996="!!!",F3996="NEW"),"",COUNTBLANK(OFFSET(A$1,,,SUMPRODUCT(MAX(ROW(E$2:E3996)*(E3996=E$2:E3996)))))-COUNTBLANK(OFFSET(A$1,,,SUMPRODUCT(MAX(ROW(E$1:E3995)*(E2=E$1:E3995))))))</f>
        <v> </v>
      </c>
      <c r="K3996" s="26" t="str">
        <f>IF(OR(E3996="",E3996="!!!",F3996="NEW"),"",INDEX(J$1:J3995,SUMPRODUCT(MAX(ROW(E$1:E3995)*(E3996=E$1:E3995)))))</f>
        <v> </v>
      </c>
      <c r="L3996" s="27"/>
    </row>
    <row r="3997" spans="1:12">
      <c r="A3997" s="20" t="s">
        <v>1072</v>
      </c>
      <c r="E3997" s="22">
        <f>IF(D3997="?OLD","!!!","")</f>
        <v/>
      </c>
      <c r="F3997" s="23" t="str">
        <f>IF(OR(E3997="",E3997="!!!"),"",IF(NOT(ISNA(VLOOKUP(E3997,E$1:E3996,1,FALSE()))),"OLD",IF(AND(E3997&lt;&gt;"",E3997&lt;&gt;"!!!"),"NEW","")))</f>
        <v> </v>
      </c>
      <c r="G3997" s="24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5" t="str">
        <f>IF(J3997&lt;&gt;1,"",IF(I3997="SBJ","CB","?"))</f>
        <v> </v>
      </c>
      <c r="I3997" s="26" t="str">
        <f>IF(OR(E3997="",E3997="!!!",F3997="NEW"),"",INDEX(B3996:B$2,-1+SUMPRODUCT(MAX(ROW(E3996:E$2)*(E3997=E3996:E$2)))))</f>
        <v> </v>
      </c>
      <c r="J3997" s="26" t="str">
        <f>IF(OR(E3997="",E3997="!!!",F3997="NEW"),"",COUNTBLANK(OFFSET(A$1,,,SUMPRODUCT(MAX(ROW(E$2:E3997)*(E3997=E$2:E3997)))))-COUNTBLANK(OFFSET(A$1,,,SUMPRODUCT(MAX(ROW(E$1:E3996)*(E2=E$1:E3996))))))</f>
        <v> </v>
      </c>
      <c r="K3997" s="26" t="str">
        <f>IF(OR(E3997="",E3997="!!!",F3997="NEW"),"",INDEX(J$1:J3996,SUMPRODUCT(MAX(ROW(E$1:E3996)*(E3997=E$1:E3996)))))</f>
        <v> </v>
      </c>
      <c r="L3997" s="27"/>
    </row>
    <row r="3998" spans="1:12">
      <c r="A3998" s="20" t="s">
        <v>2062</v>
      </c>
      <c r="E3998" s="22">
        <f>IF(D3998="?OLD","!!!","")</f>
        <v/>
      </c>
      <c r="F3998" s="23" t="str">
        <f>IF(OR(E3998="",E3998="!!!"),"",IF(NOT(ISNA(VLOOKUP(E3998,E$1:E3997,1,FALSE()))),"OLD",IF(AND(E3998&lt;&gt;"",E3998&lt;&gt;"!!!"),"NEW","")))</f>
        <v> </v>
      </c>
      <c r="G3998" s="24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5" t="str">
        <f>IF(J3998&lt;&gt;1,"",IF(I3998="SBJ","CB","?"))</f>
        <v> </v>
      </c>
      <c r="I3998" s="26" t="str">
        <f>IF(OR(E3998="",E3998="!!!",F3998="NEW"),"",INDEX(B3997:B$2,-1+SUMPRODUCT(MAX(ROW(E3997:E$2)*(E3998=E3997:E$2)))))</f>
        <v> </v>
      </c>
      <c r="J3998" s="26" t="str">
        <f>IF(OR(E3998="",E3998="!!!",F3998="NEW"),"",COUNTBLANK(OFFSET(A$1,,,SUMPRODUCT(MAX(ROW(E$2:E3998)*(E3998=E$2:E3998)))))-COUNTBLANK(OFFSET(A$1,,,SUMPRODUCT(MAX(ROW(E$1:E3997)*(E2=E$1:E3997))))))</f>
        <v> </v>
      </c>
      <c r="K3998" s="26" t="str">
        <f>IF(OR(E3998="",E3998="!!!",F3998="NEW"),"",INDEX(J$1:J3997,SUMPRODUCT(MAX(ROW(E$1:E3997)*(E3998=E$1:E3997)))))</f>
        <v> </v>
      </c>
      <c r="L3998" s="27"/>
    </row>
    <row r="3999" spans="1:12">
      <c r="A3999" s="20" t="s">
        <v>984</v>
      </c>
      <c r="E3999" s="22">
        <f>IF(D3999="?OLD","!!!","")</f>
        <v/>
      </c>
      <c r="F3999" s="23" t="str">
        <f>IF(OR(E3999="",E3999="!!!"),"",IF(NOT(ISNA(VLOOKUP(E3999,E$1:E3998,1,FALSE()))),"OLD",IF(AND(E3999&lt;&gt;"",E3999&lt;&gt;"!!!"),"NEW","")))</f>
        <v> </v>
      </c>
      <c r="G3999" s="24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5" t="str">
        <f>IF(J3999&lt;&gt;1,"",IF(I3999="SBJ","CB","?"))</f>
        <v> </v>
      </c>
      <c r="I3999" s="26" t="str">
        <f>IF(OR(E3999="",E3999="!!!",F3999="NEW"),"",INDEX(B3998:B$2,-1+SUMPRODUCT(MAX(ROW(E3998:E$2)*(E3999=E3998:E$2)))))</f>
        <v> </v>
      </c>
      <c r="J3999" s="26" t="str">
        <f>IF(OR(E3999="",E3999="!!!",F3999="NEW"),"",COUNTBLANK(OFFSET(A$1,,,SUMPRODUCT(MAX(ROW(E$2:E3999)*(E3999=E$2:E3999)))))-COUNTBLANK(OFFSET(A$1,,,SUMPRODUCT(MAX(ROW(E$1:E3998)*(E2=E$1:E3998))))))</f>
        <v> </v>
      </c>
      <c r="K3999" s="26" t="str">
        <f>IF(OR(E3999="",E3999="!!!",F3999="NEW"),"",INDEX(J$1:J3998,SUMPRODUCT(MAX(ROW(E$1:E3998)*(E3999=E$1:E3998)))))</f>
        <v> </v>
      </c>
      <c r="L3999" s="27"/>
    </row>
    <row r="4000" spans="1:12">
      <c r="A4000" s="20"/>
    </row>
    <row r="4001" spans="1:12">
      <c r="A4001" s="20" t="s">
        <v>2063</v>
      </c>
    </row>
    <row r="4002" spans="1:12">
      <c r="A4002" s="20" t="s">
        <v>1248</v>
      </c>
      <c r="E4002" s="22">
        <f>IF(D4002="?OLD","!!!","")</f>
        <v/>
      </c>
      <c r="F4002" s="23" t="str">
        <f>IF(OR(E4002="",E4002="!!!"),"",IF(NOT(ISNA(VLOOKUP(E4002,E$1:E4001,1,FALSE()))),"OLD",IF(AND(E4002&lt;&gt;"",E4002&lt;&gt;"!!!"),"NEW","")))</f>
        <v> </v>
      </c>
      <c r="G4002" s="24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5" t="str">
        <f>IF(J4002&lt;&gt;1,"",IF(I4002="SBJ","CB","?"))</f>
        <v> </v>
      </c>
      <c r="I4002" s="26" t="str">
        <f>IF(OR(E4002="",E4002="!!!",F4002="NEW"),"",INDEX(B4001:B$2,-1+SUMPRODUCT(MAX(ROW(E4001:E$2)*(E4002=E4001:E$2)))))</f>
        <v> </v>
      </c>
      <c r="J4002" s="26" t="str">
        <f>IF(OR(E4002="",E4002="!!!",F4002="NEW"),"",COUNTBLANK(OFFSET(A$1,,,SUMPRODUCT(MAX(ROW(E$2:E4002)*(E4002=E$2:E4002)))))-COUNTBLANK(OFFSET(A$1,,,SUMPRODUCT(MAX(ROW(E$1:E4001)*(E2=E$1:E4001))))))</f>
        <v> </v>
      </c>
      <c r="K4002" s="26" t="str">
        <f>IF(OR(E4002="",E4002="!!!",F4002="NEW"),"",INDEX(J$1:J4001,SUMPRODUCT(MAX(ROW(E$1:E4001)*(E4002=E$1:E4001)))))</f>
        <v> </v>
      </c>
      <c r="L4002" s="27"/>
    </row>
    <row r="4003" spans="1:12">
      <c r="A4003" s="20" t="s">
        <v>2064</v>
      </c>
      <c r="E4003" s="22">
        <f>IF(D4003="?OLD","!!!","")</f>
        <v/>
      </c>
      <c r="F4003" s="23" t="str">
        <f>IF(OR(E4003="",E4003="!!!"),"",IF(NOT(ISNA(VLOOKUP(E4003,E$1:E4002,1,FALSE()))),"OLD",IF(AND(E4003&lt;&gt;"",E4003&lt;&gt;"!!!"),"NEW","")))</f>
        <v> </v>
      </c>
      <c r="G4003" s="24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5" t="str">
        <f>IF(J4003&lt;&gt;1,"",IF(I4003="SBJ","CB","?"))</f>
        <v> </v>
      </c>
      <c r="I4003" s="26" t="str">
        <f>IF(OR(E4003="",E4003="!!!",F4003="NEW"),"",INDEX(B4002:B$2,-1+SUMPRODUCT(MAX(ROW(E4002:E$2)*(E4003=E4002:E$2)))))</f>
        <v> </v>
      </c>
      <c r="J4003" s="26" t="str">
        <f>IF(OR(E4003="",E4003="!!!",F4003="NEW"),"",COUNTBLANK(OFFSET(A$1,,,SUMPRODUCT(MAX(ROW(E$2:E4003)*(E4003=E$2:E4003)))))-COUNTBLANK(OFFSET(A$1,,,SUMPRODUCT(MAX(ROW(E$1:E4002)*(E2=E$1:E4002))))))</f>
        <v> </v>
      </c>
      <c r="K4003" s="26" t="str">
        <f>IF(OR(E4003="",E4003="!!!",F4003="NEW"),"",INDEX(J$1:J4002,SUMPRODUCT(MAX(ROW(E$1:E4002)*(E4003=E$1:E4002)))))</f>
        <v> </v>
      </c>
      <c r="L4003" s="27"/>
    </row>
    <row r="4004" spans="1:12">
      <c r="A4004" s="20" t="s">
        <v>1073</v>
      </c>
      <c r="B4004" s="21" t="s">
        <v>975</v>
      </c>
      <c r="C4004" s="21" t="s">
        <v>1074</v>
      </c>
      <c r="E4004" s="22">
        <f>IF(D4004="?OLD","!!!","")</f>
        <v/>
      </c>
      <c r="F4004" s="23" t="str">
        <f>IF(OR(E4004="",E4004="!!!"),"",IF(NOT(ISNA(VLOOKUP(E4004,E$1:E4003,1,FALSE()))),"OLD",IF(AND(E4004&lt;&gt;"",E4004&lt;&gt;"!!!"),"NEW","")))</f>
        <v> </v>
      </c>
      <c r="G4004" s="24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5" t="str">
        <f>IF(J4004&lt;&gt;1,"",IF(I4004="SBJ","CB","?"))</f>
        <v> </v>
      </c>
      <c r="I4004" s="26" t="str">
        <f>IF(OR(E4004="",E4004="!!!",F4004="NEW"),"",INDEX(B4003:B$2,-1+SUMPRODUCT(MAX(ROW(E4003:E$2)*(E4004=E4003:E$2)))))</f>
        <v> </v>
      </c>
      <c r="J4004" s="26" t="str">
        <f>IF(OR(E4004="",E4004="!!!",F4004="NEW"),"",COUNTBLANK(OFFSET(A$1,,,SUMPRODUCT(MAX(ROW(E$2:E4004)*(E4004=E$2:E4004)))))-COUNTBLANK(OFFSET(A$1,,,SUMPRODUCT(MAX(ROW(E$1:E4003)*(E2=E$1:E4003))))))</f>
        <v> </v>
      </c>
      <c r="K4004" s="26" t="str">
        <f>IF(OR(E4004="",E4004="!!!",F4004="NEW"),"",INDEX(J$1:J4003,SUMPRODUCT(MAX(ROW(E$1:E4003)*(E4004=E$1:E4003)))))</f>
        <v> </v>
      </c>
      <c r="L4004" s="27"/>
    </row>
    <row r="4005" spans="1:12">
      <c r="A4005" s="20" t="s">
        <v>1000</v>
      </c>
      <c r="E4005" s="22">
        <f>IF(D4005="?OLD","!!!","")</f>
        <v/>
      </c>
      <c r="F4005" s="23" t="str">
        <f>IF(OR(E4005="",E4005="!!!"),"",IF(NOT(ISNA(VLOOKUP(E4005,E$1:E4004,1,FALSE()))),"OLD",IF(AND(E4005&lt;&gt;"",E4005&lt;&gt;"!!!"),"NEW","")))</f>
        <v> </v>
      </c>
      <c r="G4005" s="24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5" t="str">
        <f>IF(J4005&lt;&gt;1,"",IF(I4005="SBJ","CB","?"))</f>
        <v> </v>
      </c>
      <c r="I4005" s="26" t="str">
        <f>IF(OR(E4005="",E4005="!!!",F4005="NEW"),"",INDEX(B4004:B$2,-1+SUMPRODUCT(MAX(ROW(E4004:E$2)*(E4005=E4004:E$2)))))</f>
        <v> </v>
      </c>
      <c r="J4005" s="26" t="str">
        <f>IF(OR(E4005="",E4005="!!!",F4005="NEW"),"",COUNTBLANK(OFFSET(A$1,,,SUMPRODUCT(MAX(ROW(E$2:E4005)*(E4005=E$2:E4005)))))-COUNTBLANK(OFFSET(A$1,,,SUMPRODUCT(MAX(ROW(E$1:E4004)*(E2=E$1:E4004))))))</f>
        <v> </v>
      </c>
      <c r="K4005" s="26" t="str">
        <f>IF(OR(E4005="",E4005="!!!",F4005="NEW"),"",INDEX(J$1:J4004,SUMPRODUCT(MAX(ROW(E$1:E4004)*(E4005=E$1:E4004)))))</f>
        <v> </v>
      </c>
      <c r="L4005" s="27"/>
    </row>
    <row r="4006" spans="1:12">
      <c r="A4006" s="20" t="s">
        <v>2056</v>
      </c>
      <c r="B4006" s="21" t="s">
        <v>956</v>
      </c>
      <c r="C4006" s="21" t="s">
        <v>949</v>
      </c>
      <c r="D4006" s="21" t="s">
        <v>950</v>
      </c>
      <c r="E4006" s="22">
        <f>IF(D4006="?OLD","!!!","")</f>
        <v/>
      </c>
      <c r="F4006" s="23" t="str">
        <f>IF(OR(E4006="",E4006="!!!"),"",IF(NOT(ISNA(VLOOKUP(E4006,E$1:E4005,1,FALSE()))),"OLD",IF(AND(E4006&lt;&gt;"",E4006&lt;&gt;"!!!"),"NEW","")))</f>
        <v> </v>
      </c>
      <c r="G4006" s="24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5" t="str">
        <f>IF(J4006&lt;&gt;1,"",IF(I4006="SBJ","CB","?"))</f>
        <v> </v>
      </c>
      <c r="I4006" s="26" t="str">
        <f>IF(OR(E4006="",E4006="!!!",F4006="NEW"),"",INDEX(B4005:B$2,-1+SUMPRODUCT(MAX(ROW(E4005:E$2)*(E4006=E4005:E$2)))))</f>
        <v> </v>
      </c>
      <c r="J4006" s="26" t="str">
        <f>IF(OR(E4006="",E4006="!!!",F4006="NEW"),"",COUNTBLANK(OFFSET(A$1,,,SUMPRODUCT(MAX(ROW(E$2:E4006)*(E4006=E$2:E4006)))))-COUNTBLANK(OFFSET(A$1,,,SUMPRODUCT(MAX(ROW(E$1:E4005)*(E2=E$1:E4005))))))</f>
        <v> </v>
      </c>
      <c r="K4006" s="26" t="str">
        <f>IF(OR(E4006="",E4006="!!!",F4006="NEW"),"",INDEX(J$1:J4005,SUMPRODUCT(MAX(ROW(E$1:E4005)*(E4006=E$1:E4005)))))</f>
        <v> </v>
      </c>
      <c r="L4006" s="27"/>
    </row>
    <row r="4007" spans="1:12">
      <c r="A4007" s="20" t="s">
        <v>2065</v>
      </c>
      <c r="E4007" s="22">
        <f>IF(D4007="?OLD","!!!","")</f>
        <v/>
      </c>
      <c r="F4007" s="23" t="str">
        <f>IF(OR(E4007="",E4007="!!!"),"",IF(NOT(ISNA(VLOOKUP(E4007,E$1:E4006,1,FALSE()))),"OLD",IF(AND(E4007&lt;&gt;"",E4007&lt;&gt;"!!!"),"NEW","")))</f>
        <v> </v>
      </c>
      <c r="G4007" s="24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5" t="str">
        <f>IF(J4007&lt;&gt;1,"",IF(I4007="SBJ","CB","?"))</f>
        <v> </v>
      </c>
      <c r="I4007" s="26" t="str">
        <f>IF(OR(E4007="",E4007="!!!",F4007="NEW"),"",INDEX(B4006:B$2,-1+SUMPRODUCT(MAX(ROW(E4006:E$2)*(E4007=E4006:E$2)))))</f>
        <v> </v>
      </c>
      <c r="J4007" s="26" t="str">
        <f>IF(OR(E4007="",E4007="!!!",F4007="NEW"),"",COUNTBLANK(OFFSET(A$1,,,SUMPRODUCT(MAX(ROW(E$2:E4007)*(E4007=E$2:E4007)))))-COUNTBLANK(OFFSET(A$1,,,SUMPRODUCT(MAX(ROW(E$1:E4006)*(E2=E$1:E4006))))))</f>
        <v> </v>
      </c>
      <c r="K4007" s="26" t="str">
        <f>IF(OR(E4007="",E4007="!!!",F4007="NEW"),"",INDEX(J$1:J4006,SUMPRODUCT(MAX(ROW(E$1:E4006)*(E4007=E$1:E4006)))))</f>
        <v> </v>
      </c>
      <c r="L4007" s="27"/>
    </row>
    <row r="4008" spans="1:12">
      <c r="A4008" s="20" t="s">
        <v>1022</v>
      </c>
      <c r="E4008" s="22">
        <f>IF(D4008="?OLD","!!!","")</f>
        <v/>
      </c>
      <c r="F4008" s="23" t="str">
        <f>IF(OR(E4008="",E4008="!!!"),"",IF(NOT(ISNA(VLOOKUP(E4008,E$1:E4007,1,FALSE()))),"OLD",IF(AND(E4008&lt;&gt;"",E4008&lt;&gt;"!!!"),"NEW","")))</f>
        <v> </v>
      </c>
      <c r="G4008" s="24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5" t="str">
        <f>IF(J4008&lt;&gt;1,"",IF(I4008="SBJ","CB","?"))</f>
        <v> </v>
      </c>
      <c r="I4008" s="26" t="str">
        <f>IF(OR(E4008="",E4008="!!!",F4008="NEW"),"",INDEX(B4007:B$2,-1+SUMPRODUCT(MAX(ROW(E4007:E$2)*(E4008=E4007:E$2)))))</f>
        <v> </v>
      </c>
      <c r="J4008" s="26" t="str">
        <f>IF(OR(E4008="",E4008="!!!",F4008="NEW"),"",COUNTBLANK(OFFSET(A$1,,,SUMPRODUCT(MAX(ROW(E$2:E4008)*(E4008=E$2:E4008)))))-COUNTBLANK(OFFSET(A$1,,,SUMPRODUCT(MAX(ROW(E$1:E4007)*(E2=E$1:E4007))))))</f>
        <v> </v>
      </c>
      <c r="K4008" s="26" t="str">
        <f>IF(OR(E4008="",E4008="!!!",F4008="NEW"),"",INDEX(J$1:J4007,SUMPRODUCT(MAX(ROW(E$1:E4007)*(E4008=E$1:E4007)))))</f>
        <v> </v>
      </c>
      <c r="L4008" s="27"/>
    </row>
    <row r="4009" spans="1:12">
      <c r="A4009" s="20" t="s">
        <v>2066</v>
      </c>
      <c r="B4009" s="21" t="s">
        <v>959</v>
      </c>
      <c r="C4009" s="21" t="s">
        <v>1032</v>
      </c>
      <c r="D4009" s="21" t="s">
        <v>950</v>
      </c>
      <c r="E4009" s="22">
        <f>IF(D4009="?OLD","!!!","")</f>
        <v/>
      </c>
      <c r="F4009" s="23" t="str">
        <f>IF(OR(E4009="",E4009="!!!"),"",IF(NOT(ISNA(VLOOKUP(E4009,E$1:E4008,1,FALSE()))),"OLD",IF(AND(E4009&lt;&gt;"",E4009&lt;&gt;"!!!"),"NEW","")))</f>
        <v> </v>
      </c>
      <c r="G4009" s="24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5" t="str">
        <f>IF(J4009&lt;&gt;1,"",IF(I4009="SBJ","CB","?"))</f>
        <v> </v>
      </c>
      <c r="I4009" s="26" t="str">
        <f>IF(OR(E4009="",E4009="!!!",F4009="NEW"),"",INDEX(B4008:B$2,-1+SUMPRODUCT(MAX(ROW(E4008:E$2)*(E4009=E4008:E$2)))))</f>
        <v> </v>
      </c>
      <c r="J4009" s="26" t="str">
        <f>IF(OR(E4009="",E4009="!!!",F4009="NEW"),"",COUNTBLANK(OFFSET(A$1,,,SUMPRODUCT(MAX(ROW(E$2:E4009)*(E4009=E$2:E4009)))))-COUNTBLANK(OFFSET(A$1,,,SUMPRODUCT(MAX(ROW(E$1:E4008)*(E2=E$1:E4008))))))</f>
        <v> </v>
      </c>
      <c r="K4009" s="26" t="str">
        <f>IF(OR(E4009="",E4009="!!!",F4009="NEW"),"",INDEX(J$1:J4008,SUMPRODUCT(MAX(ROW(E$1:E4008)*(E4009=E$1:E4008)))))</f>
        <v> </v>
      </c>
      <c r="L4009" s="27"/>
    </row>
    <row r="4010" spans="1:12">
      <c r="A4010" s="20" t="s">
        <v>2067</v>
      </c>
      <c r="E4010" s="22">
        <f>IF(D4010="?OLD","!!!","")</f>
        <v/>
      </c>
      <c r="F4010" s="23" t="str">
        <f>IF(OR(E4010="",E4010="!!!"),"",IF(NOT(ISNA(VLOOKUP(E4010,E$1:E4009,1,FALSE()))),"OLD",IF(AND(E4010&lt;&gt;"",E4010&lt;&gt;"!!!"),"NEW","")))</f>
        <v> </v>
      </c>
      <c r="G4010" s="24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5" t="str">
        <f>IF(J4010&lt;&gt;1,"",IF(I4010="SBJ","CB","?"))</f>
        <v> </v>
      </c>
      <c r="I4010" s="26" t="str">
        <f>IF(OR(E4010="",E4010="!!!",F4010="NEW"),"",INDEX(B4009:B$2,-1+SUMPRODUCT(MAX(ROW(E4009:E$2)*(E4010=E4009:E$2)))))</f>
        <v> </v>
      </c>
      <c r="J4010" s="26" t="str">
        <f>IF(OR(E4010="",E4010="!!!",F4010="NEW"),"",COUNTBLANK(OFFSET(A$1,,,SUMPRODUCT(MAX(ROW(E$2:E4010)*(E4010=E$2:E4010)))))-COUNTBLANK(OFFSET(A$1,,,SUMPRODUCT(MAX(ROW(E$1:E4009)*(E2=E$1:E4009))))))</f>
        <v> </v>
      </c>
      <c r="K4010" s="26" t="str">
        <f>IF(OR(E4010="",E4010="!!!",F4010="NEW"),"",INDEX(J$1:J4009,SUMPRODUCT(MAX(ROW(E$1:E4009)*(E4010=E$1:E4009)))))</f>
        <v> </v>
      </c>
      <c r="L4010" s="27"/>
    </row>
    <row r="4011" spans="1:12">
      <c r="A4011" s="20" t="s">
        <v>965</v>
      </c>
      <c r="B4011" s="21" t="s">
        <v>1005</v>
      </c>
      <c r="E4011" s="22">
        <f>IF(D4011="?OLD","!!!","")</f>
        <v/>
      </c>
      <c r="F4011" s="23" t="str">
        <f>IF(OR(E4011="",E4011="!!!"),"",IF(NOT(ISNA(VLOOKUP(E4011,E$1:E4010,1,FALSE()))),"OLD",IF(AND(E4011&lt;&gt;"",E4011&lt;&gt;"!!!"),"NEW","")))</f>
        <v> </v>
      </c>
      <c r="G4011" s="24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5" t="str">
        <f>IF(J4011&lt;&gt;1,"",IF(I4011="SBJ","CB","?"))</f>
        <v> </v>
      </c>
      <c r="I4011" s="26" t="str">
        <f>IF(OR(E4011="",E4011="!!!",F4011="NEW"),"",INDEX(B4010:B$2,-1+SUMPRODUCT(MAX(ROW(E4010:E$2)*(E4011=E4010:E$2)))))</f>
        <v> </v>
      </c>
      <c r="J4011" s="26" t="str">
        <f>IF(OR(E4011="",E4011="!!!",F4011="NEW"),"",COUNTBLANK(OFFSET(A$1,,,SUMPRODUCT(MAX(ROW(E$2:E4011)*(E4011=E$2:E4011)))))-COUNTBLANK(OFFSET(A$1,,,SUMPRODUCT(MAX(ROW(E$1:E4010)*(E2=E$1:E4010))))))</f>
        <v> </v>
      </c>
      <c r="K4011" s="26" t="str">
        <f>IF(OR(E4011="",E4011="!!!",F4011="NEW"),"",INDEX(J$1:J4010,SUMPRODUCT(MAX(ROW(E$1:E4010)*(E4011=E$1:E4010)))))</f>
        <v> </v>
      </c>
      <c r="L4011" s="27"/>
    </row>
    <row r="4012" spans="1:12">
      <c r="A4012" s="20" t="s">
        <v>1535</v>
      </c>
      <c r="E4012" s="22">
        <f>IF(D4012="?OLD","!!!","")</f>
        <v/>
      </c>
      <c r="F4012" s="23" t="str">
        <f>IF(OR(E4012="",E4012="!!!"),"",IF(NOT(ISNA(VLOOKUP(E4012,E$1:E4011,1,FALSE()))),"OLD",IF(AND(E4012&lt;&gt;"",E4012&lt;&gt;"!!!"),"NEW","")))</f>
        <v> </v>
      </c>
      <c r="G4012" s="24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5" t="str">
        <f>IF(J4012&lt;&gt;1,"",IF(I4012="SBJ","CB","?"))</f>
        <v> </v>
      </c>
      <c r="I4012" s="26" t="str">
        <f>IF(OR(E4012="",E4012="!!!",F4012="NEW"),"",INDEX(B4011:B$2,-1+SUMPRODUCT(MAX(ROW(E4011:E$2)*(E4012=E4011:E$2)))))</f>
        <v> </v>
      </c>
      <c r="J4012" s="26" t="str">
        <f>IF(OR(E4012="",E4012="!!!",F4012="NEW"),"",COUNTBLANK(OFFSET(A$1,,,SUMPRODUCT(MAX(ROW(E$2:E4012)*(E4012=E$2:E4012)))))-COUNTBLANK(OFFSET(A$1,,,SUMPRODUCT(MAX(ROW(E$1:E4011)*(E2=E$1:E4011))))))</f>
        <v> </v>
      </c>
      <c r="K4012" s="26" t="str">
        <f>IF(OR(E4012="",E4012="!!!",F4012="NEW"),"",INDEX(J$1:J4011,SUMPRODUCT(MAX(ROW(E$1:E4011)*(E4012=E$1:E4011)))))</f>
        <v> </v>
      </c>
      <c r="L4012" s="27"/>
    </row>
    <row r="4013" spans="1:12">
      <c r="A4013" s="20" t="s">
        <v>1000</v>
      </c>
      <c r="E4013" s="22">
        <f>IF(D4013="?OLD","!!!","")</f>
        <v/>
      </c>
      <c r="F4013" s="23" t="str">
        <f>IF(OR(E4013="",E4013="!!!"),"",IF(NOT(ISNA(VLOOKUP(E4013,E$1:E4012,1,FALSE()))),"OLD",IF(AND(E4013&lt;&gt;"",E4013&lt;&gt;"!!!"),"NEW","")))</f>
        <v> </v>
      </c>
      <c r="G4013" s="24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5" t="str">
        <f>IF(J4013&lt;&gt;1,"",IF(I4013="SBJ","CB","?"))</f>
        <v> </v>
      </c>
      <c r="I4013" s="26" t="str">
        <f>IF(OR(E4013="",E4013="!!!",F4013="NEW"),"",INDEX(B4012:B$2,-1+SUMPRODUCT(MAX(ROW(E4012:E$2)*(E4013=E4012:E$2)))))</f>
        <v> </v>
      </c>
      <c r="J4013" s="26" t="str">
        <f>IF(OR(E4013="",E4013="!!!",F4013="NEW"),"",COUNTBLANK(OFFSET(A$1,,,SUMPRODUCT(MAX(ROW(E$2:E4013)*(E4013=E$2:E4013)))))-COUNTBLANK(OFFSET(A$1,,,SUMPRODUCT(MAX(ROW(E$1:E4012)*(E2=E$1:E4012))))))</f>
        <v> </v>
      </c>
      <c r="K4013" s="26" t="str">
        <f>IF(OR(E4013="",E4013="!!!",F4013="NEW"),"",INDEX(J$1:J4012,SUMPRODUCT(MAX(ROW(E$1:E4012)*(E4013=E$1:E4012)))))</f>
        <v> </v>
      </c>
      <c r="L4013" s="27"/>
    </row>
    <row r="4014" spans="1:12">
      <c r="A4014" s="20" t="s">
        <v>1126</v>
      </c>
      <c r="E4014" s="22">
        <f>IF(D4014="?OLD","!!!","")</f>
        <v/>
      </c>
      <c r="F4014" s="23" t="str">
        <f>IF(OR(E4014="",E4014="!!!"),"",IF(NOT(ISNA(VLOOKUP(E4014,E$1:E4013,1,FALSE()))),"OLD",IF(AND(E4014&lt;&gt;"",E4014&lt;&gt;"!!!"),"NEW","")))</f>
        <v> </v>
      </c>
      <c r="G4014" s="24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5" t="str">
        <f>IF(J4014&lt;&gt;1,"",IF(I4014="SBJ","CB","?"))</f>
        <v> </v>
      </c>
      <c r="I4014" s="26" t="str">
        <f>IF(OR(E4014="",E4014="!!!",F4014="NEW"),"",INDEX(B4013:B$2,-1+SUMPRODUCT(MAX(ROW(E4013:E$2)*(E4014=E4013:E$2)))))</f>
        <v> </v>
      </c>
      <c r="J4014" s="26" t="str">
        <f>IF(OR(E4014="",E4014="!!!",F4014="NEW"),"",COUNTBLANK(OFFSET(A$1,,,SUMPRODUCT(MAX(ROW(E$2:E4014)*(E4014=E$2:E4014)))))-COUNTBLANK(OFFSET(A$1,,,SUMPRODUCT(MAX(ROW(E$1:E4013)*(E2=E$1:E4013))))))</f>
        <v> </v>
      </c>
      <c r="K4014" s="26" t="str">
        <f>IF(OR(E4014="",E4014="!!!",F4014="NEW"),"",INDEX(J$1:J4013,SUMPRODUCT(MAX(ROW(E$1:E4013)*(E4014=E$1:E4013)))))</f>
        <v> </v>
      </c>
      <c r="L4014" s="27"/>
    </row>
    <row r="4015" spans="1:12">
      <c r="A4015" s="20" t="s">
        <v>2068</v>
      </c>
      <c r="E4015" s="22">
        <f>IF(D4015="?OLD","!!!","")</f>
        <v/>
      </c>
      <c r="F4015" s="23" t="str">
        <f>IF(OR(E4015="",E4015="!!!"),"",IF(NOT(ISNA(VLOOKUP(E4015,E$1:E4014,1,FALSE()))),"OLD",IF(AND(E4015&lt;&gt;"",E4015&lt;&gt;"!!!"),"NEW","")))</f>
        <v> </v>
      </c>
      <c r="G4015" s="24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5" t="str">
        <f>IF(J4015&lt;&gt;1,"",IF(I4015="SBJ","CB","?"))</f>
        <v> </v>
      </c>
      <c r="I4015" s="26" t="str">
        <f>IF(OR(E4015="",E4015="!!!",F4015="NEW"),"",INDEX(B4014:B$2,-1+SUMPRODUCT(MAX(ROW(E4014:E$2)*(E4015=E4014:E$2)))))</f>
        <v> </v>
      </c>
      <c r="J4015" s="26" t="str">
        <f>IF(OR(E4015="",E4015="!!!",F4015="NEW"),"",COUNTBLANK(OFFSET(A$1,,,SUMPRODUCT(MAX(ROW(E$2:E4015)*(E4015=E$2:E4015)))))-COUNTBLANK(OFFSET(A$1,,,SUMPRODUCT(MAX(ROW(E$1:E4014)*(E2=E$1:E4014))))))</f>
        <v> </v>
      </c>
      <c r="K4015" s="26" t="str">
        <f>IF(OR(E4015="",E4015="!!!",F4015="NEW"),"",INDEX(J$1:J4014,SUMPRODUCT(MAX(ROW(E$1:E4014)*(E4015=E$1:E4014)))))</f>
        <v> </v>
      </c>
      <c r="L4015" s="27"/>
    </row>
    <row r="4016" spans="1:12">
      <c r="A4016" s="20" t="s">
        <v>1066</v>
      </c>
      <c r="E4016" s="22">
        <f>IF(D4016="?OLD","!!!","")</f>
        <v/>
      </c>
      <c r="F4016" s="23" t="str">
        <f>IF(OR(E4016="",E4016="!!!"),"",IF(NOT(ISNA(VLOOKUP(E4016,E$1:E4015,1,FALSE()))),"OLD",IF(AND(E4016&lt;&gt;"",E4016&lt;&gt;"!!!"),"NEW","")))</f>
        <v> </v>
      </c>
      <c r="G4016" s="24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5" t="str">
        <f>IF(J4016&lt;&gt;1,"",IF(I4016="SBJ","CB","?"))</f>
        <v> </v>
      </c>
      <c r="I4016" s="26" t="str">
        <f>IF(OR(E4016="",E4016="!!!",F4016="NEW"),"",INDEX(B4015:B$2,-1+SUMPRODUCT(MAX(ROW(E4015:E$2)*(E4016=E4015:E$2)))))</f>
        <v> </v>
      </c>
      <c r="J4016" s="26" t="str">
        <f>IF(OR(E4016="",E4016="!!!",F4016="NEW"),"",COUNTBLANK(OFFSET(A$1,,,SUMPRODUCT(MAX(ROW(E$2:E4016)*(E4016=E$2:E4016)))))-COUNTBLANK(OFFSET(A$1,,,SUMPRODUCT(MAX(ROW(E$1:E4015)*(E2=E$1:E4015))))))</f>
        <v> </v>
      </c>
      <c r="K4016" s="26" t="str">
        <f>IF(OR(E4016="",E4016="!!!",F4016="NEW"),"",INDEX(J$1:J4015,SUMPRODUCT(MAX(ROW(E$1:E4015)*(E4016=E$1:E4015)))))</f>
        <v> </v>
      </c>
      <c r="L4016" s="27"/>
    </row>
    <row r="4017" spans="1:12">
      <c r="A4017" s="20" t="s">
        <v>1022</v>
      </c>
      <c r="E4017" s="22">
        <f>IF(D4017="?OLD","!!!","")</f>
        <v/>
      </c>
      <c r="F4017" s="23" t="str">
        <f>IF(OR(E4017="",E4017="!!!"),"",IF(NOT(ISNA(VLOOKUP(E4017,E$1:E4016,1,FALSE()))),"OLD",IF(AND(E4017&lt;&gt;"",E4017&lt;&gt;"!!!"),"NEW","")))</f>
        <v> </v>
      </c>
      <c r="G4017" s="24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5" t="str">
        <f>IF(J4017&lt;&gt;1,"",IF(I4017="SBJ","CB","?"))</f>
        <v> </v>
      </c>
      <c r="I4017" s="26" t="str">
        <f>IF(OR(E4017="",E4017="!!!",F4017="NEW"),"",INDEX(B4016:B$2,-1+SUMPRODUCT(MAX(ROW(E4016:E$2)*(E4017=E4016:E$2)))))</f>
        <v> </v>
      </c>
      <c r="J4017" s="26" t="str">
        <f>IF(OR(E4017="",E4017="!!!",F4017="NEW"),"",COUNTBLANK(OFFSET(A$1,,,SUMPRODUCT(MAX(ROW(E$2:E4017)*(E4017=E$2:E4017)))))-COUNTBLANK(OFFSET(A$1,,,SUMPRODUCT(MAX(ROW(E$1:E4016)*(E2=E$1:E4016))))))</f>
        <v> </v>
      </c>
      <c r="K4017" s="26" t="str">
        <f>IF(OR(E4017="",E4017="!!!",F4017="NEW"),"",INDEX(J$1:J4016,SUMPRODUCT(MAX(ROW(E$1:E4016)*(E4017=E$1:E4016)))))</f>
        <v> </v>
      </c>
      <c r="L4017" s="27"/>
    </row>
    <row r="4018" spans="1:12">
      <c r="A4018" s="20" t="s">
        <v>769</v>
      </c>
      <c r="E4018" s="22">
        <f>IF(D4018="?OLD","!!!","")</f>
        <v/>
      </c>
      <c r="F4018" s="23" t="str">
        <f>IF(OR(E4018="",E4018="!!!"),"",IF(NOT(ISNA(VLOOKUP(E4018,E$1:E4017,1,FALSE()))),"OLD",IF(AND(E4018&lt;&gt;"",E4018&lt;&gt;"!!!"),"NEW","")))</f>
        <v> </v>
      </c>
      <c r="G4018" s="24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5" t="str">
        <f>IF(J4018&lt;&gt;1,"",IF(I4018="SBJ","CB","?"))</f>
        <v> </v>
      </c>
      <c r="I4018" s="26" t="str">
        <f>IF(OR(E4018="",E4018="!!!",F4018="NEW"),"",INDEX(B4017:B$2,-1+SUMPRODUCT(MAX(ROW(E4017:E$2)*(E4018=E4017:E$2)))))</f>
        <v> </v>
      </c>
      <c r="J4018" s="26" t="str">
        <f>IF(OR(E4018="",E4018="!!!",F4018="NEW"),"",COUNTBLANK(OFFSET(A$1,,,SUMPRODUCT(MAX(ROW(E$2:E4018)*(E4018=E$2:E4018)))))-COUNTBLANK(OFFSET(A$1,,,SUMPRODUCT(MAX(ROW(E$1:E4017)*(E2=E$1:E4017))))))</f>
        <v> </v>
      </c>
      <c r="K4018" s="26" t="str">
        <f>IF(OR(E4018="",E4018="!!!",F4018="NEW"),"",INDEX(J$1:J4017,SUMPRODUCT(MAX(ROW(E$1:E4017)*(E4018=E$1:E4017)))))</f>
        <v> </v>
      </c>
      <c r="L4018" s="27"/>
    </row>
    <row r="4019" spans="1:12">
      <c r="A4019" s="20" t="s">
        <v>1022</v>
      </c>
      <c r="E4019" s="22">
        <f>IF(D4019="?OLD","!!!","")</f>
        <v/>
      </c>
      <c r="F4019" s="23" t="str">
        <f>IF(OR(E4019="",E4019="!!!"),"",IF(NOT(ISNA(VLOOKUP(E4019,E$1:E4018,1,FALSE()))),"OLD",IF(AND(E4019&lt;&gt;"",E4019&lt;&gt;"!!!"),"NEW","")))</f>
        <v> </v>
      </c>
      <c r="G4019" s="24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5" t="str">
        <f>IF(J4019&lt;&gt;1,"",IF(I4019="SBJ","CB","?"))</f>
        <v> </v>
      </c>
      <c r="I4019" s="26" t="str">
        <f>IF(OR(E4019="",E4019="!!!",F4019="NEW"),"",INDEX(B4018:B$2,-1+SUMPRODUCT(MAX(ROW(E4018:E$2)*(E4019=E4018:E$2)))))</f>
        <v> </v>
      </c>
      <c r="J4019" s="26" t="str">
        <f>IF(OR(E4019="",E4019="!!!",F4019="NEW"),"",COUNTBLANK(OFFSET(A$1,,,SUMPRODUCT(MAX(ROW(E$2:E4019)*(E4019=E$2:E4019)))))-COUNTBLANK(OFFSET(A$1,,,SUMPRODUCT(MAX(ROW(E$1:E4018)*(E2=E$1:E4018))))))</f>
        <v> </v>
      </c>
      <c r="K4019" s="26" t="str">
        <f>IF(OR(E4019="",E4019="!!!",F4019="NEW"),"",INDEX(J$1:J4018,SUMPRODUCT(MAX(ROW(E$1:E4018)*(E4019=E$1:E4018)))))</f>
        <v> </v>
      </c>
      <c r="L4019" s="27"/>
    </row>
    <row r="4020" spans="1:12">
      <c r="A4020" s="20" t="s">
        <v>1093</v>
      </c>
      <c r="E4020" s="22">
        <f>IF(D4020="?OLD","!!!","")</f>
        <v/>
      </c>
      <c r="F4020" s="23" t="str">
        <f>IF(OR(E4020="",E4020="!!!"),"",IF(NOT(ISNA(VLOOKUP(E4020,E$1:E4019,1,FALSE()))),"OLD",IF(AND(E4020&lt;&gt;"",E4020&lt;&gt;"!!!"),"NEW","")))</f>
        <v> </v>
      </c>
      <c r="G4020" s="24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5" t="str">
        <f>IF(J4020&lt;&gt;1,"",IF(I4020="SBJ","CB","?"))</f>
        <v> </v>
      </c>
      <c r="I4020" s="26" t="str">
        <f>IF(OR(E4020="",E4020="!!!",F4020="NEW"),"",INDEX(B4019:B$2,-1+SUMPRODUCT(MAX(ROW(E4019:E$2)*(E4020=E4019:E$2)))))</f>
        <v> </v>
      </c>
      <c r="J4020" s="26" t="str">
        <f>IF(OR(E4020="",E4020="!!!",F4020="NEW"),"",COUNTBLANK(OFFSET(A$1,,,SUMPRODUCT(MAX(ROW(E$2:E4020)*(E4020=E$2:E4020)))))-COUNTBLANK(OFFSET(A$1,,,SUMPRODUCT(MAX(ROW(E$1:E4019)*(E2=E$1:E4019))))))</f>
        <v> </v>
      </c>
      <c r="K4020" s="26" t="str">
        <f>IF(OR(E4020="",E4020="!!!",F4020="NEW"),"",INDEX(J$1:J4019,SUMPRODUCT(MAX(ROW(E$1:E4019)*(E4020=E$1:E4019)))))</f>
        <v> </v>
      </c>
      <c r="L4020" s="27"/>
    </row>
    <row r="4021" spans="1:12">
      <c r="A4021" s="20" t="s">
        <v>1094</v>
      </c>
      <c r="B4021" s="21" t="s">
        <v>1005</v>
      </c>
      <c r="C4021" s="21" t="s">
        <v>1032</v>
      </c>
      <c r="D4021" s="21" t="s">
        <v>950</v>
      </c>
      <c r="E4021" s="22">
        <f>IF(D4021="?OLD","!!!","")</f>
        <v/>
      </c>
      <c r="F4021" s="23" t="str">
        <f>IF(OR(E4021="",E4021="!!!"),"",IF(NOT(ISNA(VLOOKUP(E4021,E$1:E4020,1,FALSE()))),"OLD",IF(AND(E4021&lt;&gt;"",E4021&lt;&gt;"!!!"),"NEW","")))</f>
        <v> </v>
      </c>
      <c r="G4021" s="24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5" t="str">
        <f>IF(J4021&lt;&gt;1,"",IF(I4021="SBJ","CB","?"))</f>
        <v> </v>
      </c>
      <c r="I4021" s="26" t="str">
        <f>IF(OR(E4021="",E4021="!!!",F4021="NEW"),"",INDEX(B4020:B$2,-1+SUMPRODUCT(MAX(ROW(E4020:E$2)*(E4021=E4020:E$2)))))</f>
        <v> </v>
      </c>
      <c r="J4021" s="26" t="str">
        <f>IF(OR(E4021="",E4021="!!!",F4021="NEW"),"",COUNTBLANK(OFFSET(A$1,,,SUMPRODUCT(MAX(ROW(E$2:E4021)*(E4021=E$2:E4021)))))-COUNTBLANK(OFFSET(A$1,,,SUMPRODUCT(MAX(ROW(E$1:E4020)*(E2=E$1:E4020))))))</f>
        <v> </v>
      </c>
      <c r="K4021" s="26" t="str">
        <f>IF(OR(E4021="",E4021="!!!",F4021="NEW"),"",INDEX(J$1:J4020,SUMPRODUCT(MAX(ROW(E$1:E4020)*(E4021=E$1:E4020)))))</f>
        <v> </v>
      </c>
      <c r="L4021" s="27"/>
    </row>
    <row r="4022" spans="1:12">
      <c r="A4022" s="20" t="s">
        <v>984</v>
      </c>
      <c r="E4022" s="22">
        <f>IF(D4022="?OLD","!!!","")</f>
        <v/>
      </c>
      <c r="F4022" s="23" t="str">
        <f>IF(OR(E4022="",E4022="!!!"),"",IF(NOT(ISNA(VLOOKUP(E4022,E$1:E4021,1,FALSE()))),"OLD",IF(AND(E4022&lt;&gt;"",E4022&lt;&gt;"!!!"),"NEW","")))</f>
        <v> </v>
      </c>
      <c r="G4022" s="24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5" t="str">
        <f>IF(J4022&lt;&gt;1,"",IF(I4022="SBJ","CB","?"))</f>
        <v> </v>
      </c>
      <c r="I4022" s="26" t="str">
        <f>IF(OR(E4022="",E4022="!!!",F4022="NEW"),"",INDEX(B4021:B$2,-1+SUMPRODUCT(MAX(ROW(E4021:E$2)*(E4022=E4021:E$2)))))</f>
        <v> </v>
      </c>
      <c r="J4022" s="26" t="str">
        <f>IF(OR(E4022="",E4022="!!!",F4022="NEW"),"",COUNTBLANK(OFFSET(A$1,,,SUMPRODUCT(MAX(ROW(E$2:E4022)*(E4022=E$2:E4022)))))-COUNTBLANK(OFFSET(A$1,,,SUMPRODUCT(MAX(ROW(E$1:E4021)*(E2=E$1:E4021))))))</f>
        <v> </v>
      </c>
      <c r="K4022" s="26" t="str">
        <f>IF(OR(E4022="",E4022="!!!",F4022="NEW"),"",INDEX(J$1:J4021,SUMPRODUCT(MAX(ROW(E$1:E4021)*(E4022=E$1:E4021)))))</f>
        <v> </v>
      </c>
      <c r="L4022" s="27"/>
    </row>
    <row r="4023" spans="1:12">
      <c r="A4023" s="20"/>
    </row>
    <row r="4024" spans="1:12">
      <c r="A4024" s="20" t="s">
        <v>2069</v>
      </c>
    </row>
    <row r="4025" spans="1:12">
      <c r="A4025" s="20" t="s">
        <v>1226</v>
      </c>
      <c r="B4025" s="21" t="s">
        <v>956</v>
      </c>
      <c r="C4025" s="21" t="s">
        <v>1008</v>
      </c>
      <c r="D4025" s="21" t="s">
        <v>950</v>
      </c>
      <c r="E4025" s="22">
        <f>IF(D4025="?OLD","!!!","")</f>
        <v/>
      </c>
      <c r="F4025" s="23" t="str">
        <f>IF(OR(E4025="",E4025="!!!"),"",IF(NOT(ISNA(VLOOKUP(E4025,E$1:E4024,1,FALSE()))),"OLD",IF(AND(E4025&lt;&gt;"",E4025&lt;&gt;"!!!"),"NEW","")))</f>
        <v> </v>
      </c>
      <c r="G4025" s="24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5" t="str">
        <f>IF(J4025&lt;&gt;1,"",IF(I4025="SBJ","CB","?"))</f>
        <v> </v>
      </c>
      <c r="I4025" s="26" t="str">
        <f>IF(OR(E4025="",E4025="!!!",F4025="NEW"),"",INDEX(B4024:B$2,-1+SUMPRODUCT(MAX(ROW(E4024:E$2)*(E4025=E4024:E$2)))))</f>
        <v> </v>
      </c>
      <c r="J4025" s="26" t="str">
        <f>IF(OR(E4025="",E4025="!!!",F4025="NEW"),"",COUNTBLANK(OFFSET(A$1,,,SUMPRODUCT(MAX(ROW(E$2:E4025)*(E4025=E$2:E4025)))))-COUNTBLANK(OFFSET(A$1,,,SUMPRODUCT(MAX(ROW(E$1:E4024)*(E2=E$1:E4024))))))</f>
        <v> </v>
      </c>
      <c r="K4025" s="26" t="str">
        <f>IF(OR(E4025="",E4025="!!!",F4025="NEW"),"",INDEX(J$1:J4024,SUMPRODUCT(MAX(ROW(E$1:E4024)*(E4025=E$1:E4024)))))</f>
        <v> </v>
      </c>
      <c r="L4025" s="27"/>
    </row>
    <row r="4026" spans="1:12">
      <c r="A4026" s="20" t="s">
        <v>2070</v>
      </c>
      <c r="E4026" s="22">
        <f>IF(D4026="?OLD","!!!","")</f>
        <v/>
      </c>
      <c r="F4026" s="23" t="str">
        <f>IF(OR(E4026="",E4026="!!!"),"",IF(NOT(ISNA(VLOOKUP(E4026,E$1:E4025,1,FALSE()))),"OLD",IF(AND(E4026&lt;&gt;"",E4026&lt;&gt;"!!!"),"NEW","")))</f>
        <v> </v>
      </c>
      <c r="G4026" s="24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5" t="str">
        <f>IF(J4026&lt;&gt;1,"",IF(I4026="SBJ","CB","?"))</f>
        <v> </v>
      </c>
      <c r="I4026" s="26" t="str">
        <f>IF(OR(E4026="",E4026="!!!",F4026="NEW"),"",INDEX(B4025:B$2,-1+SUMPRODUCT(MAX(ROW(E4025:E$2)*(E4026=E4025:E$2)))))</f>
        <v> </v>
      </c>
      <c r="J4026" s="26" t="str">
        <f>IF(OR(E4026="",E4026="!!!",F4026="NEW"),"",COUNTBLANK(OFFSET(A$1,,,SUMPRODUCT(MAX(ROW(E$2:E4026)*(E4026=E$2:E4026)))))-COUNTBLANK(OFFSET(A$1,,,SUMPRODUCT(MAX(ROW(E$1:E4025)*(E2=E$1:E4025))))))</f>
        <v> </v>
      </c>
      <c r="K4026" s="26" t="str">
        <f>IF(OR(E4026="",E4026="!!!",F4026="NEW"),"",INDEX(J$1:J4025,SUMPRODUCT(MAX(ROW(E$1:E4025)*(E4026=E$1:E4025)))))</f>
        <v> </v>
      </c>
      <c r="L4026" s="27"/>
    </row>
    <row r="4027" spans="1:12">
      <c r="A4027" s="20" t="s">
        <v>965</v>
      </c>
      <c r="E4027" s="22">
        <f>IF(D4027="?OLD","!!!","")</f>
        <v/>
      </c>
      <c r="F4027" s="23" t="str">
        <f>IF(OR(E4027="",E4027="!!!"),"",IF(NOT(ISNA(VLOOKUP(E4027,E$1:E4026,1,FALSE()))),"OLD",IF(AND(E4027&lt;&gt;"",E4027&lt;&gt;"!!!"),"NEW","")))</f>
        <v> </v>
      </c>
      <c r="G4027" s="24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5" t="str">
        <f>IF(J4027&lt;&gt;1,"",IF(I4027="SBJ","CB","?"))</f>
        <v> </v>
      </c>
      <c r="I4027" s="26" t="str">
        <f>IF(OR(E4027="",E4027="!!!",F4027="NEW"),"",INDEX(B4026:B$2,-1+SUMPRODUCT(MAX(ROW(E4026:E$2)*(E4027=E4026:E$2)))))</f>
        <v> </v>
      </c>
      <c r="J4027" s="26" t="str">
        <f>IF(OR(E4027="",E4027="!!!",F4027="NEW"),"",COUNTBLANK(OFFSET(A$1,,,SUMPRODUCT(MAX(ROW(E$2:E4027)*(E4027=E$2:E4027)))))-COUNTBLANK(OFFSET(A$1,,,SUMPRODUCT(MAX(ROW(E$1:E4026)*(E2=E$1:E4026))))))</f>
        <v> </v>
      </c>
      <c r="K4027" s="26" t="str">
        <f>IF(OR(E4027="",E4027="!!!",F4027="NEW"),"",INDEX(J$1:J4026,SUMPRODUCT(MAX(ROW(E$1:E4026)*(E4027=E$1:E4026)))))</f>
        <v> </v>
      </c>
      <c r="L4027" s="27"/>
    </row>
    <row r="4028" spans="1:12">
      <c r="A4028" s="20" t="s">
        <v>436</v>
      </c>
      <c r="E4028" s="22">
        <f>IF(D4028="?OLD","!!!","")</f>
        <v/>
      </c>
      <c r="F4028" s="23" t="str">
        <f>IF(OR(E4028="",E4028="!!!"),"",IF(NOT(ISNA(VLOOKUP(E4028,E$1:E4027,1,FALSE()))),"OLD",IF(AND(E4028&lt;&gt;"",E4028&lt;&gt;"!!!"),"NEW","")))</f>
        <v> </v>
      </c>
      <c r="G4028" s="24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5" t="str">
        <f>IF(J4028&lt;&gt;1,"",IF(I4028="SBJ","CB","?"))</f>
        <v> </v>
      </c>
      <c r="I4028" s="26" t="str">
        <f>IF(OR(E4028="",E4028="!!!",F4028="NEW"),"",INDEX(B4027:B$2,-1+SUMPRODUCT(MAX(ROW(E4027:E$2)*(E4028=E4027:E$2)))))</f>
        <v> </v>
      </c>
      <c r="J4028" s="26" t="str">
        <f>IF(OR(E4028="",E4028="!!!",F4028="NEW"),"",COUNTBLANK(OFFSET(A$1,,,SUMPRODUCT(MAX(ROW(E$2:E4028)*(E4028=E$2:E4028)))))-COUNTBLANK(OFFSET(A$1,,,SUMPRODUCT(MAX(ROW(E$1:E4027)*(E2=E$1:E4027))))))</f>
        <v> </v>
      </c>
      <c r="K4028" s="26" t="str">
        <f>IF(OR(E4028="",E4028="!!!",F4028="NEW"),"",INDEX(J$1:J4027,SUMPRODUCT(MAX(ROW(E$1:E4027)*(E4028=E$1:E4027)))))</f>
        <v> </v>
      </c>
      <c r="L4028" s="27"/>
    </row>
    <row r="4029" spans="1:12">
      <c r="A4029" s="20" t="s">
        <v>1138</v>
      </c>
      <c r="E4029" s="22">
        <f>IF(D4029="?OLD","!!!","")</f>
        <v/>
      </c>
      <c r="F4029" s="23" t="str">
        <f>IF(OR(E4029="",E4029="!!!"),"",IF(NOT(ISNA(VLOOKUP(E4029,E$1:E4028,1,FALSE()))),"OLD",IF(AND(E4029&lt;&gt;"",E4029&lt;&gt;"!!!"),"NEW","")))</f>
        <v> </v>
      </c>
      <c r="G4029" s="24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5" t="str">
        <f>IF(J4029&lt;&gt;1,"",IF(I4029="SBJ","CB","?"))</f>
        <v> </v>
      </c>
      <c r="I4029" s="26" t="str">
        <f>IF(OR(E4029="",E4029="!!!",F4029="NEW"),"",INDEX(B4028:B$2,-1+SUMPRODUCT(MAX(ROW(E4028:E$2)*(E4029=E4028:E$2)))))</f>
        <v> </v>
      </c>
      <c r="J4029" s="26" t="str">
        <f>IF(OR(E4029="",E4029="!!!",F4029="NEW"),"",COUNTBLANK(OFFSET(A$1,,,SUMPRODUCT(MAX(ROW(E$2:E4029)*(E4029=E$2:E4029)))))-COUNTBLANK(OFFSET(A$1,,,SUMPRODUCT(MAX(ROW(E$1:E4028)*(E2=E$1:E4028))))))</f>
        <v> </v>
      </c>
      <c r="K4029" s="26" t="str">
        <f>IF(OR(E4029="",E4029="!!!",F4029="NEW"),"",INDEX(J$1:J4028,SUMPRODUCT(MAX(ROW(E$1:E4028)*(E4029=E$1:E4028)))))</f>
        <v> </v>
      </c>
      <c r="L4029" s="27"/>
    </row>
    <row r="4030" spans="1:12">
      <c r="A4030" s="20" t="s">
        <v>1207</v>
      </c>
      <c r="E4030" s="22">
        <f>IF(D4030="?OLD","!!!","")</f>
        <v/>
      </c>
      <c r="F4030" s="23" t="str">
        <f>IF(OR(E4030="",E4030="!!!"),"",IF(NOT(ISNA(VLOOKUP(E4030,E$1:E4029,1,FALSE()))),"OLD",IF(AND(E4030&lt;&gt;"",E4030&lt;&gt;"!!!"),"NEW","")))</f>
        <v> </v>
      </c>
      <c r="G4030" s="24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5" t="str">
        <f>IF(J4030&lt;&gt;1,"",IF(I4030="SBJ","CB","?"))</f>
        <v> </v>
      </c>
      <c r="I4030" s="26" t="str">
        <f>IF(OR(E4030="",E4030="!!!",F4030="NEW"),"",INDEX(B4029:B$2,-1+SUMPRODUCT(MAX(ROW(E4029:E$2)*(E4030=E4029:E$2)))))</f>
        <v> </v>
      </c>
      <c r="J4030" s="26" t="str">
        <f>IF(OR(E4030="",E4030="!!!",F4030="NEW"),"",COUNTBLANK(OFFSET(A$1,,,SUMPRODUCT(MAX(ROW(E$2:E4030)*(E4030=E$2:E4030)))))-COUNTBLANK(OFFSET(A$1,,,SUMPRODUCT(MAX(ROW(E$1:E4029)*(E2=E$1:E4029))))))</f>
        <v> </v>
      </c>
      <c r="K4030" s="26" t="str">
        <f>IF(OR(E4030="",E4030="!!!",F4030="NEW"),"",INDEX(J$1:J4029,SUMPRODUCT(MAX(ROW(E$1:E4029)*(E4030=E$1:E4029)))))</f>
        <v> </v>
      </c>
      <c r="L4030" s="27"/>
    </row>
    <row r="4031" spans="1:12">
      <c r="A4031" s="20" t="s">
        <v>1438</v>
      </c>
      <c r="B4031" s="21" t="s">
        <v>1031</v>
      </c>
      <c r="C4031" s="21" t="s">
        <v>1074</v>
      </c>
      <c r="E4031" s="22">
        <f>IF(D4031="?OLD","!!!","")</f>
        <v/>
      </c>
      <c r="F4031" s="23" t="str">
        <f>IF(OR(E4031="",E4031="!!!"),"",IF(NOT(ISNA(VLOOKUP(E4031,E$1:E4030,1,FALSE()))),"OLD",IF(AND(E4031&lt;&gt;"",E4031&lt;&gt;"!!!"),"NEW","")))</f>
        <v> </v>
      </c>
      <c r="G4031" s="24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5" t="str">
        <f>IF(J4031&lt;&gt;1,"",IF(I4031="SBJ","CB","?"))</f>
        <v> </v>
      </c>
      <c r="I4031" s="26" t="str">
        <f>IF(OR(E4031="",E4031="!!!",F4031="NEW"),"",INDEX(B4030:B$2,-1+SUMPRODUCT(MAX(ROW(E4030:E$2)*(E4031=E4030:E$2)))))</f>
        <v> </v>
      </c>
      <c r="J4031" s="26" t="str">
        <f>IF(OR(E4031="",E4031="!!!",F4031="NEW"),"",COUNTBLANK(OFFSET(A$1,,,SUMPRODUCT(MAX(ROW(E$2:E4031)*(E4031=E$2:E4031)))))-COUNTBLANK(OFFSET(A$1,,,SUMPRODUCT(MAX(ROW(E$1:E4030)*(E2=E$1:E4030))))))</f>
        <v> </v>
      </c>
      <c r="K4031" s="26" t="str">
        <f>IF(OR(E4031="",E4031="!!!",F4031="NEW"),"",INDEX(J$1:J4030,SUMPRODUCT(MAX(ROW(E$1:E4030)*(E4031=E$1:E4030)))))</f>
        <v> </v>
      </c>
      <c r="L4031" s="27"/>
    </row>
    <row r="4032" spans="1:12">
      <c r="A4032" s="20" t="s">
        <v>984</v>
      </c>
      <c r="E4032" s="22">
        <f>IF(D4032="?OLD","!!!","")</f>
        <v/>
      </c>
      <c r="F4032" s="23" t="str">
        <f>IF(OR(E4032="",E4032="!!!"),"",IF(NOT(ISNA(VLOOKUP(E4032,E$1:E4031,1,FALSE()))),"OLD",IF(AND(E4032&lt;&gt;"",E4032&lt;&gt;"!!!"),"NEW","")))</f>
        <v> </v>
      </c>
      <c r="G4032" s="24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5" t="str">
        <f>IF(J4032&lt;&gt;1,"",IF(I4032="SBJ","CB","?"))</f>
        <v> </v>
      </c>
      <c r="I4032" s="26" t="str">
        <f>IF(OR(E4032="",E4032="!!!",F4032="NEW"),"",INDEX(B4031:B$2,-1+SUMPRODUCT(MAX(ROW(E4031:E$2)*(E4032=E4031:E$2)))))</f>
        <v> </v>
      </c>
      <c r="J4032" s="26" t="str">
        <f>IF(OR(E4032="",E4032="!!!",F4032="NEW"),"",COUNTBLANK(OFFSET(A$1,,,SUMPRODUCT(MAX(ROW(E$2:E4032)*(E4032=E$2:E4032)))))-COUNTBLANK(OFFSET(A$1,,,SUMPRODUCT(MAX(ROW(E$1:E4031)*(E2=E$1:E4031))))))</f>
        <v> </v>
      </c>
      <c r="K4032" s="26" t="str">
        <f>IF(OR(E4032="",E4032="!!!",F4032="NEW"),"",INDEX(J$1:J4031,SUMPRODUCT(MAX(ROW(E$1:E4031)*(E4032=E$1:E4031)))))</f>
        <v> </v>
      </c>
      <c r="L4032" s="27"/>
    </row>
    <row r="4033" spans="1:12">
      <c r="A4033" s="20"/>
    </row>
    <row r="4034" spans="1:12">
      <c r="A4034" s="20" t="s">
        <v>2071</v>
      </c>
    </row>
    <row r="4035" spans="1:12">
      <c r="A4035" s="20" t="s">
        <v>2072</v>
      </c>
      <c r="E4035" s="22">
        <f>IF(D4035="?OLD","!!!","")</f>
        <v/>
      </c>
      <c r="F4035" s="23" t="str">
        <f>IF(OR(E4035="",E4035="!!!"),"",IF(NOT(ISNA(VLOOKUP(E4035,E$1:E4034,1,FALSE()))),"OLD",IF(AND(E4035&lt;&gt;"",E4035&lt;&gt;"!!!"),"NEW","")))</f>
        <v> </v>
      </c>
      <c r="G4035" s="24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5" t="str">
        <f>IF(J4035&lt;&gt;1,"",IF(I4035="SBJ","CB","?"))</f>
        <v> </v>
      </c>
      <c r="I4035" s="26" t="str">
        <f>IF(OR(E4035="",E4035="!!!",F4035="NEW"),"",INDEX(B4034:B$2,-1+SUMPRODUCT(MAX(ROW(E4034:E$2)*(E4035=E4034:E$2)))))</f>
        <v> </v>
      </c>
      <c r="J4035" s="26" t="str">
        <f>IF(OR(E4035="",E4035="!!!",F4035="NEW"),"",COUNTBLANK(OFFSET(A$1,,,SUMPRODUCT(MAX(ROW(E$2:E4035)*(E4035=E$2:E4035)))))-COUNTBLANK(OFFSET(A$1,,,SUMPRODUCT(MAX(ROW(E$1:E4034)*(E2=E$1:E4034))))))</f>
        <v> </v>
      </c>
      <c r="K4035" s="26" t="str">
        <f>IF(OR(E4035="",E4035="!!!",F4035="NEW"),"",INDEX(J$1:J4034,SUMPRODUCT(MAX(ROW(E$1:E4034)*(E4035=E$1:E4034)))))</f>
        <v> </v>
      </c>
      <c r="L4035" s="27"/>
    </row>
    <row r="4036" spans="1:12">
      <c r="A4036" s="20" t="s">
        <v>1077</v>
      </c>
      <c r="E4036" s="22">
        <f>IF(D4036="?OLD","!!!","")</f>
        <v/>
      </c>
      <c r="F4036" s="23" t="str">
        <f>IF(OR(E4036="",E4036="!!!"),"",IF(NOT(ISNA(VLOOKUP(E4036,E$1:E4035,1,FALSE()))),"OLD",IF(AND(E4036&lt;&gt;"",E4036&lt;&gt;"!!!"),"NEW","")))</f>
        <v> </v>
      </c>
      <c r="G4036" s="24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5" t="str">
        <f>IF(J4036&lt;&gt;1,"",IF(I4036="SBJ","CB","?"))</f>
        <v> </v>
      </c>
      <c r="I4036" s="26" t="str">
        <f>IF(OR(E4036="",E4036="!!!",F4036="NEW"),"",INDEX(B4035:B$2,-1+SUMPRODUCT(MAX(ROW(E4035:E$2)*(E4036=E4035:E$2)))))</f>
        <v> </v>
      </c>
      <c r="J4036" s="26" t="str">
        <f>IF(OR(E4036="",E4036="!!!",F4036="NEW"),"",COUNTBLANK(OFFSET(A$1,,,SUMPRODUCT(MAX(ROW(E$2:E4036)*(E4036=E$2:E4036)))))-COUNTBLANK(OFFSET(A$1,,,SUMPRODUCT(MAX(ROW(E$1:E4035)*(E2=E$1:E4035))))))</f>
        <v> </v>
      </c>
      <c r="K4036" s="26" t="str">
        <f>IF(OR(E4036="",E4036="!!!",F4036="NEW"),"",INDEX(J$1:J4035,SUMPRODUCT(MAX(ROW(E$1:E4035)*(E4036=E$1:E4035)))))</f>
        <v> </v>
      </c>
      <c r="L4036" s="27"/>
    </row>
    <row r="4037" spans="1:12">
      <c r="A4037" s="20" t="s">
        <v>1049</v>
      </c>
      <c r="B4037" s="21" t="s">
        <v>959</v>
      </c>
      <c r="C4037" s="21" t="s">
        <v>1051</v>
      </c>
      <c r="E4037" s="22">
        <f>IF(D4037="?OLD","!!!","")</f>
        <v/>
      </c>
      <c r="F4037" s="23" t="str">
        <f>IF(OR(E4037="",E4037="!!!"),"",IF(NOT(ISNA(VLOOKUP(E4037,E$1:E4036,1,FALSE()))),"OLD",IF(AND(E4037&lt;&gt;"",E4037&lt;&gt;"!!!"),"NEW","")))</f>
        <v> </v>
      </c>
      <c r="G4037" s="24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5" t="str">
        <f>IF(J4037&lt;&gt;1,"",IF(I4037="SBJ","CB","?"))</f>
        <v> </v>
      </c>
      <c r="I4037" s="26" t="str">
        <f>IF(OR(E4037="",E4037="!!!",F4037="NEW"),"",INDEX(B4036:B$2,-1+SUMPRODUCT(MAX(ROW(E4036:E$2)*(E4037=E4036:E$2)))))</f>
        <v> </v>
      </c>
      <c r="J4037" s="26" t="str">
        <f>IF(OR(E4037="",E4037="!!!",F4037="NEW"),"",COUNTBLANK(OFFSET(A$1,,,SUMPRODUCT(MAX(ROW(E$2:E4037)*(E4037=E$2:E4037)))))-COUNTBLANK(OFFSET(A$1,,,SUMPRODUCT(MAX(ROW(E$1:E4036)*(E2=E$1:E4036))))))</f>
        <v> </v>
      </c>
      <c r="K4037" s="26" t="str">
        <f>IF(OR(E4037="",E4037="!!!",F4037="NEW"),"",INDEX(J$1:J4036,SUMPRODUCT(MAX(ROW(E$1:E4036)*(E4037=E$1:E4036)))))</f>
        <v> </v>
      </c>
      <c r="L4037" s="27"/>
    </row>
    <row r="4038" spans="1:12">
      <c r="A4038" s="20" t="s">
        <v>984</v>
      </c>
      <c r="E4038" s="22">
        <f>IF(D4038="?OLD","!!!","")</f>
        <v/>
      </c>
      <c r="F4038" s="23" t="str">
        <f>IF(OR(E4038="",E4038="!!!"),"",IF(NOT(ISNA(VLOOKUP(E4038,E$1:E4037,1,FALSE()))),"OLD",IF(AND(E4038&lt;&gt;"",E4038&lt;&gt;"!!!"),"NEW","")))</f>
        <v> </v>
      </c>
      <c r="G4038" s="24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5" t="str">
        <f>IF(J4038&lt;&gt;1,"",IF(I4038="SBJ","CB","?"))</f>
        <v> </v>
      </c>
      <c r="I4038" s="26" t="str">
        <f>IF(OR(E4038="",E4038="!!!",F4038="NEW"),"",INDEX(B4037:B$2,-1+SUMPRODUCT(MAX(ROW(E4037:E$2)*(E4038=E4037:E$2)))))</f>
        <v> </v>
      </c>
      <c r="J4038" s="26" t="str">
        <f>IF(OR(E4038="",E4038="!!!",F4038="NEW"),"",COUNTBLANK(OFFSET(A$1,,,SUMPRODUCT(MAX(ROW(E$2:E4038)*(E4038=E$2:E4038)))))-COUNTBLANK(OFFSET(A$1,,,SUMPRODUCT(MAX(ROW(E$1:E4037)*(E2=E$1:E4037))))))</f>
        <v> </v>
      </c>
      <c r="K4038" s="26" t="str">
        <f>IF(OR(E4038="",E4038="!!!",F4038="NEW"),"",INDEX(J$1:J4037,SUMPRODUCT(MAX(ROW(E$1:E4037)*(E4038=E$1:E4037)))))</f>
        <v> </v>
      </c>
      <c r="L4038" s="27"/>
    </row>
    <row r="4039" spans="1:12">
      <c r="A4039" s="20"/>
    </row>
    <row r="4040" spans="1:12">
      <c r="A4040" s="20" t="s">
        <v>2073</v>
      </c>
    </row>
    <row r="4041" spans="1:12">
      <c r="A4041" s="20" t="s">
        <v>1248</v>
      </c>
      <c r="E4041" s="22">
        <f>IF(D4041="?OLD","!!!","")</f>
        <v/>
      </c>
      <c r="F4041" s="23" t="str">
        <f>IF(OR(E4041="",E4041="!!!"),"",IF(NOT(ISNA(VLOOKUP(E4041,E$1:E4040,1,FALSE()))),"OLD",IF(AND(E4041&lt;&gt;"",E4041&lt;&gt;"!!!"),"NEW","")))</f>
        <v> </v>
      </c>
      <c r="G4041" s="24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5" t="str">
        <f>IF(J4041&lt;&gt;1,"",IF(I4041="SBJ","CB","?"))</f>
        <v> </v>
      </c>
      <c r="I4041" s="26" t="str">
        <f>IF(OR(E4041="",E4041="!!!",F4041="NEW"),"",INDEX(B4040:B$2,-1+SUMPRODUCT(MAX(ROW(E4040:E$2)*(E4041=E4040:E$2)))))</f>
        <v> </v>
      </c>
      <c r="J4041" s="26" t="str">
        <f>IF(OR(E4041="",E4041="!!!",F4041="NEW"),"",COUNTBLANK(OFFSET(A$1,,,SUMPRODUCT(MAX(ROW(E$2:E4041)*(E4041=E$2:E4041)))))-COUNTBLANK(OFFSET(A$1,,,SUMPRODUCT(MAX(ROW(E$1:E4040)*(E2=E$1:E4040))))))</f>
        <v> </v>
      </c>
      <c r="K4041" s="26" t="str">
        <f>IF(OR(E4041="",E4041="!!!",F4041="NEW"),"",INDEX(J$1:J4040,SUMPRODUCT(MAX(ROW(E$1:E4040)*(E4041=E$1:E4040)))))</f>
        <v> </v>
      </c>
      <c r="L4041" s="27"/>
    </row>
    <row r="4042" spans="1:12">
      <c r="A4042" s="20" t="s">
        <v>2074</v>
      </c>
      <c r="E4042" s="22">
        <f>IF(D4042="?OLD","!!!","")</f>
        <v/>
      </c>
      <c r="F4042" s="23" t="str">
        <f>IF(OR(E4042="",E4042="!!!"),"",IF(NOT(ISNA(VLOOKUP(E4042,E$1:E4041,1,FALSE()))),"OLD",IF(AND(E4042&lt;&gt;"",E4042&lt;&gt;"!!!"),"NEW","")))</f>
        <v> </v>
      </c>
      <c r="G4042" s="24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5" t="str">
        <f>IF(J4042&lt;&gt;1,"",IF(I4042="SBJ","CB","?"))</f>
        <v> </v>
      </c>
      <c r="I4042" s="26" t="str">
        <f>IF(OR(E4042="",E4042="!!!",F4042="NEW"),"",INDEX(B4041:B$2,-1+SUMPRODUCT(MAX(ROW(E4041:E$2)*(E4042=E4041:E$2)))))</f>
        <v> </v>
      </c>
      <c r="J4042" s="26" t="str">
        <f>IF(OR(E4042="",E4042="!!!",F4042="NEW"),"",COUNTBLANK(OFFSET(A$1,,,SUMPRODUCT(MAX(ROW(E$2:E4042)*(E4042=E$2:E4042)))))-COUNTBLANK(OFFSET(A$1,,,SUMPRODUCT(MAX(ROW(E$1:E4041)*(E2=E$1:E4041))))))</f>
        <v> </v>
      </c>
      <c r="K4042" s="26" t="str">
        <f>IF(OR(E4042="",E4042="!!!",F4042="NEW"),"",INDEX(J$1:J4041,SUMPRODUCT(MAX(ROW(E$1:E4041)*(E4042=E$1:E4041)))))</f>
        <v> </v>
      </c>
      <c r="L4042" s="27"/>
    </row>
    <row r="4043" spans="1:12">
      <c r="A4043" s="20" t="s">
        <v>1097</v>
      </c>
      <c r="E4043" s="22">
        <f>IF(D4043="?OLD","!!!","")</f>
        <v/>
      </c>
      <c r="F4043" s="23" t="str">
        <f>IF(OR(E4043="",E4043="!!!"),"",IF(NOT(ISNA(VLOOKUP(E4043,E$1:E4042,1,FALSE()))),"OLD",IF(AND(E4043&lt;&gt;"",E4043&lt;&gt;"!!!"),"NEW","")))</f>
        <v> </v>
      </c>
      <c r="G4043" s="24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5" t="str">
        <f>IF(J4043&lt;&gt;1,"",IF(I4043="SBJ","CB","?"))</f>
        <v> </v>
      </c>
      <c r="I4043" s="26" t="str">
        <f>IF(OR(E4043="",E4043="!!!",F4043="NEW"),"",INDEX(B4042:B$2,-1+SUMPRODUCT(MAX(ROW(E4042:E$2)*(E4043=E4042:E$2)))))</f>
        <v> </v>
      </c>
      <c r="J4043" s="26" t="str">
        <f>IF(OR(E4043="",E4043="!!!",F4043="NEW"),"",COUNTBLANK(OFFSET(A$1,,,SUMPRODUCT(MAX(ROW(E$2:E4043)*(E4043=E$2:E4043)))))-COUNTBLANK(OFFSET(A$1,,,SUMPRODUCT(MAX(ROW(E$1:E4042)*(E2=E$1:E4042))))))</f>
        <v> </v>
      </c>
      <c r="K4043" s="26" t="str">
        <f>IF(OR(E4043="",E4043="!!!",F4043="NEW"),"",INDEX(J$1:J4042,SUMPRODUCT(MAX(ROW(E$1:E4042)*(E4043=E$1:E4042)))))</f>
        <v> </v>
      </c>
      <c r="L4043" s="27"/>
    </row>
    <row r="4044" spans="1:12">
      <c r="A4044" s="20" t="s">
        <v>2075</v>
      </c>
      <c r="E4044" s="22">
        <f>IF(D4044="?OLD","!!!","")</f>
        <v/>
      </c>
      <c r="F4044" s="23" t="str">
        <f>IF(OR(E4044="",E4044="!!!"),"",IF(NOT(ISNA(VLOOKUP(E4044,E$1:E4043,1,FALSE()))),"OLD",IF(AND(E4044&lt;&gt;"",E4044&lt;&gt;"!!!"),"NEW","")))</f>
        <v> </v>
      </c>
      <c r="G4044" s="24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5" t="str">
        <f>IF(J4044&lt;&gt;1,"",IF(I4044="SBJ","CB","?"))</f>
        <v> </v>
      </c>
      <c r="I4044" s="26" t="str">
        <f>IF(OR(E4044="",E4044="!!!",F4044="NEW"),"",INDEX(B4043:B$2,-1+SUMPRODUCT(MAX(ROW(E4043:E$2)*(E4044=E4043:E$2)))))</f>
        <v> </v>
      </c>
      <c r="J4044" s="26" t="str">
        <f>IF(OR(E4044="",E4044="!!!",F4044="NEW"),"",COUNTBLANK(OFFSET(A$1,,,SUMPRODUCT(MAX(ROW(E$2:E4044)*(E4044=E$2:E4044)))))-COUNTBLANK(OFFSET(A$1,,,SUMPRODUCT(MAX(ROW(E$1:E4043)*(E2=E$1:E4043))))))</f>
        <v> </v>
      </c>
      <c r="K4044" s="26" t="str">
        <f>IF(OR(E4044="",E4044="!!!",F4044="NEW"),"",INDEX(J$1:J4043,SUMPRODUCT(MAX(ROW(E$1:E4043)*(E4044=E$1:E4043)))))</f>
        <v> </v>
      </c>
      <c r="L4044" s="27"/>
    </row>
    <row r="4045" spans="1:12">
      <c r="A4045" s="20" t="s">
        <v>2076</v>
      </c>
      <c r="E4045" s="22">
        <f>IF(D4045="?OLD","!!!","")</f>
        <v/>
      </c>
      <c r="F4045" s="23" t="str">
        <f>IF(OR(E4045="",E4045="!!!"),"",IF(NOT(ISNA(VLOOKUP(E4045,E$1:E4044,1,FALSE()))),"OLD",IF(AND(E4045&lt;&gt;"",E4045&lt;&gt;"!!!"),"NEW","")))</f>
        <v> </v>
      </c>
      <c r="G4045" s="24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5" t="str">
        <f>IF(J4045&lt;&gt;1,"",IF(I4045="SBJ","CB","?"))</f>
        <v> </v>
      </c>
      <c r="I4045" s="26" t="str">
        <f>IF(OR(E4045="",E4045="!!!",F4045="NEW"),"",INDEX(B4044:B$2,-1+SUMPRODUCT(MAX(ROW(E4044:E$2)*(E4045=E4044:E$2)))))</f>
        <v> </v>
      </c>
      <c r="J4045" s="26" t="str">
        <f>IF(OR(E4045="",E4045="!!!",F4045="NEW"),"",COUNTBLANK(OFFSET(A$1,,,SUMPRODUCT(MAX(ROW(E$2:E4045)*(E4045=E$2:E4045)))))-COUNTBLANK(OFFSET(A$1,,,SUMPRODUCT(MAX(ROW(E$1:E4044)*(E2=E$1:E4044))))))</f>
        <v> </v>
      </c>
      <c r="K4045" s="26" t="str">
        <f>IF(OR(E4045="",E4045="!!!",F4045="NEW"),"",INDEX(J$1:J4044,SUMPRODUCT(MAX(ROW(E$1:E4044)*(E4045=E$1:E4044)))))</f>
        <v> </v>
      </c>
      <c r="L4045" s="27"/>
    </row>
    <row r="4046" spans="1:12">
      <c r="A4046" s="20" t="s">
        <v>1093</v>
      </c>
      <c r="E4046" s="22">
        <f>IF(D4046="?OLD","!!!","")</f>
        <v/>
      </c>
      <c r="F4046" s="23" t="str">
        <f>IF(OR(E4046="",E4046="!!!"),"",IF(NOT(ISNA(VLOOKUP(E4046,E$1:E4045,1,FALSE()))),"OLD",IF(AND(E4046&lt;&gt;"",E4046&lt;&gt;"!!!"),"NEW","")))</f>
        <v> </v>
      </c>
      <c r="G4046" s="24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5" t="str">
        <f>IF(J4046&lt;&gt;1,"",IF(I4046="SBJ","CB","?"))</f>
        <v> </v>
      </c>
      <c r="I4046" s="26" t="str">
        <f>IF(OR(E4046="",E4046="!!!",F4046="NEW"),"",INDEX(B4045:B$2,-1+SUMPRODUCT(MAX(ROW(E4045:E$2)*(E4046=E4045:E$2)))))</f>
        <v> </v>
      </c>
      <c r="J4046" s="26" t="str">
        <f>IF(OR(E4046="",E4046="!!!",F4046="NEW"),"",COUNTBLANK(OFFSET(A$1,,,SUMPRODUCT(MAX(ROW(E$2:E4046)*(E4046=E$2:E4046)))))-COUNTBLANK(OFFSET(A$1,,,SUMPRODUCT(MAX(ROW(E$1:E4045)*(E2=E$1:E4045))))))</f>
        <v> </v>
      </c>
      <c r="K4046" s="26" t="str">
        <f>IF(OR(E4046="",E4046="!!!",F4046="NEW"),"",INDEX(J$1:J4045,SUMPRODUCT(MAX(ROW(E$1:E4045)*(E4046=E$1:E4045)))))</f>
        <v> </v>
      </c>
      <c r="L4046" s="27"/>
    </row>
    <row r="4047" spans="1:12">
      <c r="A4047" s="20" t="s">
        <v>1232</v>
      </c>
      <c r="B4047" s="21" t="s">
        <v>975</v>
      </c>
      <c r="C4047" s="21" t="s">
        <v>1032</v>
      </c>
      <c r="D4047" s="21" t="s">
        <v>950</v>
      </c>
      <c r="E4047" s="22">
        <f>IF(D4047="?OLD","!!!","")</f>
        <v/>
      </c>
      <c r="F4047" s="23" t="str">
        <f>IF(OR(E4047="",E4047="!!!"),"",IF(NOT(ISNA(VLOOKUP(E4047,E$1:E4046,1,FALSE()))),"OLD",IF(AND(E4047&lt;&gt;"",E4047&lt;&gt;"!!!"),"NEW","")))</f>
        <v> </v>
      </c>
      <c r="G4047" s="24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5" t="str">
        <f>IF(J4047&lt;&gt;1,"",IF(I4047="SBJ","CB","?"))</f>
        <v> </v>
      </c>
      <c r="I4047" s="26" t="str">
        <f>IF(OR(E4047="",E4047="!!!",F4047="NEW"),"",INDEX(B4046:B$2,-1+SUMPRODUCT(MAX(ROW(E4046:E$2)*(E4047=E4046:E$2)))))</f>
        <v> </v>
      </c>
      <c r="J4047" s="26" t="str">
        <f>IF(OR(E4047="",E4047="!!!",F4047="NEW"),"",COUNTBLANK(OFFSET(A$1,,,SUMPRODUCT(MAX(ROW(E$2:E4047)*(E4047=E$2:E4047)))))-COUNTBLANK(OFFSET(A$1,,,SUMPRODUCT(MAX(ROW(E$1:E4046)*(E2=E$1:E4046))))))</f>
        <v> </v>
      </c>
      <c r="K4047" s="26" t="str">
        <f>IF(OR(E4047="",E4047="!!!",F4047="NEW"),"",INDEX(J$1:J4046,SUMPRODUCT(MAX(ROW(E$1:E4046)*(E4047=E$1:E4046)))))</f>
        <v> </v>
      </c>
      <c r="L4047" s="27"/>
    </row>
    <row r="4048" spans="1:12">
      <c r="A4048" s="20" t="s">
        <v>1000</v>
      </c>
      <c r="E4048" s="22">
        <f>IF(D4048="?OLD","!!!","")</f>
        <v/>
      </c>
      <c r="F4048" s="23" t="str">
        <f>IF(OR(E4048="",E4048="!!!"),"",IF(NOT(ISNA(VLOOKUP(E4048,E$1:E4047,1,FALSE()))),"OLD",IF(AND(E4048&lt;&gt;"",E4048&lt;&gt;"!!!"),"NEW","")))</f>
        <v> </v>
      </c>
      <c r="G4048" s="24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5" t="str">
        <f>IF(J4048&lt;&gt;1,"",IF(I4048="SBJ","CB","?"))</f>
        <v> </v>
      </c>
      <c r="I4048" s="26" t="str">
        <f>IF(OR(E4048="",E4048="!!!",F4048="NEW"),"",INDEX(B4047:B$2,-1+SUMPRODUCT(MAX(ROW(E4047:E$2)*(E4048=E4047:E$2)))))</f>
        <v> </v>
      </c>
      <c r="J4048" s="26" t="str">
        <f>IF(OR(E4048="",E4048="!!!",F4048="NEW"),"",COUNTBLANK(OFFSET(A$1,,,SUMPRODUCT(MAX(ROW(E$2:E4048)*(E4048=E$2:E4048)))))-COUNTBLANK(OFFSET(A$1,,,SUMPRODUCT(MAX(ROW(E$1:E4047)*(E2=E$1:E4047))))))</f>
        <v> </v>
      </c>
      <c r="K4048" s="26" t="str">
        <f>IF(OR(E4048="",E4048="!!!",F4048="NEW"),"",INDEX(J$1:J4047,SUMPRODUCT(MAX(ROW(E$1:E4047)*(E4048=E$1:E4047)))))</f>
        <v> </v>
      </c>
      <c r="L4048" s="27"/>
    </row>
    <row r="4049" spans="1:12">
      <c r="A4049" s="20" t="s">
        <v>1111</v>
      </c>
      <c r="E4049" s="22">
        <f>IF(D4049="?OLD","!!!","")</f>
        <v/>
      </c>
      <c r="F4049" s="23" t="str">
        <f>IF(OR(E4049="",E4049="!!!"),"",IF(NOT(ISNA(VLOOKUP(E4049,E$1:E4048,1,FALSE()))),"OLD",IF(AND(E4049&lt;&gt;"",E4049&lt;&gt;"!!!"),"NEW","")))</f>
        <v> </v>
      </c>
      <c r="G4049" s="24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5" t="str">
        <f>IF(J4049&lt;&gt;1,"",IF(I4049="SBJ","CB","?"))</f>
        <v> </v>
      </c>
      <c r="I4049" s="26" t="str">
        <f>IF(OR(E4049="",E4049="!!!",F4049="NEW"),"",INDEX(B4048:B$2,-1+SUMPRODUCT(MAX(ROW(E4048:E$2)*(E4049=E4048:E$2)))))</f>
        <v> </v>
      </c>
      <c r="J4049" s="26" t="str">
        <f>IF(OR(E4049="",E4049="!!!",F4049="NEW"),"",COUNTBLANK(OFFSET(A$1,,,SUMPRODUCT(MAX(ROW(E$2:E4049)*(E4049=E$2:E4049)))))-COUNTBLANK(OFFSET(A$1,,,SUMPRODUCT(MAX(ROW(E$1:E4048)*(E2=E$1:E4048))))))</f>
        <v> </v>
      </c>
      <c r="K4049" s="26" t="str">
        <f>IF(OR(E4049="",E4049="!!!",F4049="NEW"),"",INDEX(J$1:J4048,SUMPRODUCT(MAX(ROW(E$1:E4048)*(E4049=E$1:E4048)))))</f>
        <v> </v>
      </c>
      <c r="L4049" s="27"/>
    </row>
    <row r="4050" spans="1:12">
      <c r="A4050" s="20" t="s">
        <v>1150</v>
      </c>
      <c r="E4050" s="22">
        <f>IF(D4050="?OLD","!!!","")</f>
        <v/>
      </c>
      <c r="F4050" s="23" t="str">
        <f>IF(OR(E4050="",E4050="!!!"),"",IF(NOT(ISNA(VLOOKUP(E4050,E$1:E4049,1,FALSE()))),"OLD",IF(AND(E4050&lt;&gt;"",E4050&lt;&gt;"!!!"),"NEW","")))</f>
        <v> </v>
      </c>
      <c r="G4050" s="24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5" t="str">
        <f>IF(J4050&lt;&gt;1,"",IF(I4050="SBJ","CB","?"))</f>
        <v> </v>
      </c>
      <c r="I4050" s="26" t="str">
        <f>IF(OR(E4050="",E4050="!!!",F4050="NEW"),"",INDEX(B4049:B$2,-1+SUMPRODUCT(MAX(ROW(E4049:E$2)*(E4050=E4049:E$2)))))</f>
        <v> </v>
      </c>
      <c r="J4050" s="26" t="str">
        <f>IF(OR(E4050="",E4050="!!!",F4050="NEW"),"",COUNTBLANK(OFFSET(A$1,,,SUMPRODUCT(MAX(ROW(E$2:E4050)*(E4050=E$2:E4050)))))-COUNTBLANK(OFFSET(A$1,,,SUMPRODUCT(MAX(ROW(E$1:E4049)*(E2=E$1:E4049))))))</f>
        <v> </v>
      </c>
      <c r="K4050" s="26" t="str">
        <f>IF(OR(E4050="",E4050="!!!",F4050="NEW"),"",INDEX(J$1:J4049,SUMPRODUCT(MAX(ROW(E$1:E4049)*(E4050=E$1:E4049)))))</f>
        <v> </v>
      </c>
      <c r="L4050" s="27"/>
    </row>
    <row r="4051" spans="1:12">
      <c r="A4051" s="20" t="s">
        <v>1019</v>
      </c>
      <c r="E4051" s="22">
        <f>IF(D4051="?OLD","!!!","")</f>
        <v/>
      </c>
      <c r="F4051" s="23" t="str">
        <f>IF(OR(E4051="",E4051="!!!"),"",IF(NOT(ISNA(VLOOKUP(E4051,E$1:E4050,1,FALSE()))),"OLD",IF(AND(E4051&lt;&gt;"",E4051&lt;&gt;"!!!"),"NEW","")))</f>
        <v> </v>
      </c>
      <c r="G4051" s="24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5" t="str">
        <f>IF(J4051&lt;&gt;1,"",IF(I4051="SBJ","CB","?"))</f>
        <v> </v>
      </c>
      <c r="I4051" s="26" t="str">
        <f>IF(OR(E4051="",E4051="!!!",F4051="NEW"),"",INDEX(B4050:B$2,-1+SUMPRODUCT(MAX(ROW(E4050:E$2)*(E4051=E4050:E$2)))))</f>
        <v> </v>
      </c>
      <c r="J4051" s="26" t="str">
        <f>IF(OR(E4051="",E4051="!!!",F4051="NEW"),"",COUNTBLANK(OFFSET(A$1,,,SUMPRODUCT(MAX(ROW(E$2:E4051)*(E4051=E$2:E4051)))))-COUNTBLANK(OFFSET(A$1,,,SUMPRODUCT(MAX(ROW(E$1:E4050)*(E2=E$1:E4050))))))</f>
        <v> </v>
      </c>
      <c r="K4051" s="26" t="str">
        <f>IF(OR(E4051="",E4051="!!!",F4051="NEW"),"",INDEX(J$1:J4050,SUMPRODUCT(MAX(ROW(E$1:E4050)*(E4051=E$1:E4050)))))</f>
        <v> </v>
      </c>
      <c r="L4051" s="27"/>
    </row>
    <row r="4052" spans="1:12">
      <c r="A4052" s="20" t="s">
        <v>1611</v>
      </c>
      <c r="B4052" s="21" t="s">
        <v>975</v>
      </c>
      <c r="C4052" s="21" t="s">
        <v>964</v>
      </c>
      <c r="E4052" s="22">
        <f>IF(D4052="?OLD","!!!","")</f>
        <v/>
      </c>
      <c r="F4052" s="23" t="str">
        <f>IF(OR(E4052="",E4052="!!!"),"",IF(NOT(ISNA(VLOOKUP(E4052,E$1:E4051,1,FALSE()))),"OLD",IF(AND(E4052&lt;&gt;"",E4052&lt;&gt;"!!!"),"NEW","")))</f>
        <v> </v>
      </c>
      <c r="G4052" s="24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5" t="str">
        <f>IF(J4052&lt;&gt;1,"",IF(I4052="SBJ","CB","?"))</f>
        <v> </v>
      </c>
      <c r="I4052" s="26" t="str">
        <f>IF(OR(E4052="",E4052="!!!",F4052="NEW"),"",INDEX(B4051:B$2,-1+SUMPRODUCT(MAX(ROW(E4051:E$2)*(E4052=E4051:E$2)))))</f>
        <v> </v>
      </c>
      <c r="J4052" s="26" t="str">
        <f>IF(OR(E4052="",E4052="!!!",F4052="NEW"),"",COUNTBLANK(OFFSET(A$1,,,SUMPRODUCT(MAX(ROW(E$2:E4052)*(E4052=E$2:E4052)))))-COUNTBLANK(OFFSET(A$1,,,SUMPRODUCT(MAX(ROW(E$1:E4051)*(E2=E$1:E4051))))))</f>
        <v> </v>
      </c>
      <c r="K4052" s="26" t="str">
        <f>IF(OR(E4052="",E4052="!!!",F4052="NEW"),"",INDEX(J$1:J4051,SUMPRODUCT(MAX(ROW(E$1:E4051)*(E4052=E$1:E4051)))))</f>
        <v> </v>
      </c>
      <c r="L4052" s="27"/>
    </row>
    <row r="4053" spans="1:12">
      <c r="A4053" s="20" t="s">
        <v>1001</v>
      </c>
      <c r="E4053" s="22">
        <f>IF(D4053="?OLD","!!!","")</f>
        <v/>
      </c>
      <c r="F4053" s="23" t="str">
        <f>IF(OR(E4053="",E4053="!!!"),"",IF(NOT(ISNA(VLOOKUP(E4053,E$1:E4052,1,FALSE()))),"OLD",IF(AND(E4053&lt;&gt;"",E4053&lt;&gt;"!!!"),"NEW","")))</f>
        <v> </v>
      </c>
      <c r="G4053" s="24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5" t="str">
        <f>IF(J4053&lt;&gt;1,"",IF(I4053="SBJ","CB","?"))</f>
        <v> </v>
      </c>
      <c r="I4053" s="26" t="str">
        <f>IF(OR(E4053="",E4053="!!!",F4053="NEW"),"",INDEX(B4052:B$2,-1+SUMPRODUCT(MAX(ROW(E4052:E$2)*(E4053=E4052:E$2)))))</f>
        <v> </v>
      </c>
      <c r="J4053" s="26" t="str">
        <f>IF(OR(E4053="",E4053="!!!",F4053="NEW"),"",COUNTBLANK(OFFSET(A$1,,,SUMPRODUCT(MAX(ROW(E$2:E4053)*(E4053=E$2:E4053)))))-COUNTBLANK(OFFSET(A$1,,,SUMPRODUCT(MAX(ROW(E$1:E4052)*(E2=E$1:E4052))))))</f>
        <v> </v>
      </c>
      <c r="K4053" s="26" t="str">
        <f>IF(OR(E4053="",E4053="!!!",F4053="NEW"),"",INDEX(J$1:J4052,SUMPRODUCT(MAX(ROW(E$1:E4052)*(E4053=E$1:E4052)))))</f>
        <v> </v>
      </c>
      <c r="L4053" s="27"/>
    </row>
    <row r="4054" spans="1:12">
      <c r="A4054" s="20" t="s">
        <v>961</v>
      </c>
      <c r="E4054" s="22">
        <f>IF(D4054="?OLD","!!!","")</f>
        <v/>
      </c>
      <c r="F4054" s="23" t="str">
        <f>IF(OR(E4054="",E4054="!!!"),"",IF(NOT(ISNA(VLOOKUP(E4054,E$1:E4053,1,FALSE()))),"OLD",IF(AND(E4054&lt;&gt;"",E4054&lt;&gt;"!!!"),"NEW","")))</f>
        <v> </v>
      </c>
      <c r="G4054" s="24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5" t="str">
        <f>IF(J4054&lt;&gt;1,"",IF(I4054="SBJ","CB","?"))</f>
        <v> </v>
      </c>
      <c r="I4054" s="26" t="str">
        <f>IF(OR(E4054="",E4054="!!!",F4054="NEW"),"",INDEX(B4053:B$2,-1+SUMPRODUCT(MAX(ROW(E4053:E$2)*(E4054=E4053:E$2)))))</f>
        <v> </v>
      </c>
      <c r="J4054" s="26" t="str">
        <f>IF(OR(E4054="",E4054="!!!",F4054="NEW"),"",COUNTBLANK(OFFSET(A$1,,,SUMPRODUCT(MAX(ROW(E$2:E4054)*(E4054=E$2:E4054)))))-COUNTBLANK(OFFSET(A$1,,,SUMPRODUCT(MAX(ROW(E$1:E4053)*(E2=E$1:E4053))))))</f>
        <v> </v>
      </c>
      <c r="K4054" s="26" t="str">
        <f>IF(OR(E4054="",E4054="!!!",F4054="NEW"),"",INDEX(J$1:J4053,SUMPRODUCT(MAX(ROW(E$1:E4053)*(E4054=E$1:E4053)))))</f>
        <v> </v>
      </c>
      <c r="L4054" s="27"/>
    </row>
    <row r="4055" spans="1:12">
      <c r="A4055" s="20" t="s">
        <v>2077</v>
      </c>
      <c r="B4055" s="21" t="s">
        <v>980</v>
      </c>
      <c r="C4055" s="21" t="s">
        <v>976</v>
      </c>
      <c r="D4055" s="21" t="s">
        <v>950</v>
      </c>
      <c r="E4055" s="22">
        <f>IF(D4055="?OLD","!!!","")</f>
        <v/>
      </c>
      <c r="F4055" s="23" t="str">
        <f>IF(OR(E4055="",E4055="!!!"),"",IF(NOT(ISNA(VLOOKUP(E4055,E$1:E4054,1,FALSE()))),"OLD",IF(AND(E4055&lt;&gt;"",E4055&lt;&gt;"!!!"),"NEW","")))</f>
        <v> </v>
      </c>
      <c r="G4055" s="24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5" t="str">
        <f>IF(J4055&lt;&gt;1,"",IF(I4055="SBJ","CB","?"))</f>
        <v> </v>
      </c>
      <c r="I4055" s="26" t="str">
        <f>IF(OR(E4055="",E4055="!!!",F4055="NEW"),"",INDEX(B4054:B$2,-1+SUMPRODUCT(MAX(ROW(E4054:E$2)*(E4055=E4054:E$2)))))</f>
        <v> </v>
      </c>
      <c r="J4055" s="26" t="str">
        <f>IF(OR(E4055="",E4055="!!!",F4055="NEW"),"",COUNTBLANK(OFFSET(A$1,,,SUMPRODUCT(MAX(ROW(E$2:E4055)*(E4055=E$2:E4055)))))-COUNTBLANK(OFFSET(A$1,,,SUMPRODUCT(MAX(ROW(E$1:E4054)*(E2=E$1:E4054))))))</f>
        <v> </v>
      </c>
      <c r="K4055" s="26" t="str">
        <f>IF(OR(E4055="",E4055="!!!",F4055="NEW"),"",INDEX(J$1:J4054,SUMPRODUCT(MAX(ROW(E$1:E4054)*(E4055=E$1:E4054)))))</f>
        <v> </v>
      </c>
      <c r="L4055" s="27"/>
    </row>
    <row r="4056" spans="1:12">
      <c r="A4056" s="20" t="s">
        <v>977</v>
      </c>
      <c r="E4056" s="22">
        <f>IF(D4056="?OLD","!!!","")</f>
        <v/>
      </c>
      <c r="F4056" s="23" t="str">
        <f>IF(OR(E4056="",E4056="!!!"),"",IF(NOT(ISNA(VLOOKUP(E4056,E$1:E4055,1,FALSE()))),"OLD",IF(AND(E4056&lt;&gt;"",E4056&lt;&gt;"!!!"),"NEW","")))</f>
        <v> </v>
      </c>
      <c r="G4056" s="24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5" t="str">
        <f>IF(J4056&lt;&gt;1,"",IF(I4056="SBJ","CB","?"))</f>
        <v> </v>
      </c>
      <c r="I4056" s="26" t="str">
        <f>IF(OR(E4056="",E4056="!!!",F4056="NEW"),"",INDEX(B4055:B$2,-1+SUMPRODUCT(MAX(ROW(E4055:E$2)*(E4056=E4055:E$2)))))</f>
        <v> </v>
      </c>
      <c r="J4056" s="26" t="str">
        <f>IF(OR(E4056="",E4056="!!!",F4056="NEW"),"",COUNTBLANK(OFFSET(A$1,,,SUMPRODUCT(MAX(ROW(E$2:E4056)*(E4056=E$2:E4056)))))-COUNTBLANK(OFFSET(A$1,,,SUMPRODUCT(MAX(ROW(E$1:E4055)*(E2=E$1:E4055))))))</f>
        <v> </v>
      </c>
      <c r="K4056" s="26" t="str">
        <f>IF(OR(E4056="",E4056="!!!",F4056="NEW"),"",INDEX(J$1:J4055,SUMPRODUCT(MAX(ROW(E$1:E4055)*(E4056=E$1:E4055)))))</f>
        <v> </v>
      </c>
      <c r="L4056" s="27"/>
    </row>
    <row r="4057" spans="1:12">
      <c r="A4057" s="20" t="s">
        <v>2061</v>
      </c>
      <c r="B4057" s="21" t="s">
        <v>982</v>
      </c>
      <c r="C4057" s="21" t="s">
        <v>983</v>
      </c>
      <c r="E4057" s="22">
        <f>IF(D4057="?OLD","!!!","")</f>
        <v/>
      </c>
      <c r="F4057" s="23" t="str">
        <f>IF(OR(E4057="",E4057="!!!"),"",IF(NOT(ISNA(VLOOKUP(E4057,E$1:E4056,1,FALSE()))),"OLD",IF(AND(E4057&lt;&gt;"",E4057&lt;&gt;"!!!"),"NEW","")))</f>
        <v> </v>
      </c>
      <c r="G4057" s="24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5" t="str">
        <f>IF(J4057&lt;&gt;1,"",IF(I4057="SBJ","CB","?"))</f>
        <v> </v>
      </c>
      <c r="I4057" s="26" t="str">
        <f>IF(OR(E4057="",E4057="!!!",F4057="NEW"),"",INDEX(B4056:B$2,-1+SUMPRODUCT(MAX(ROW(E4056:E$2)*(E4057=E4056:E$2)))))</f>
        <v> </v>
      </c>
      <c r="J4057" s="26" t="str">
        <f>IF(OR(E4057="",E4057="!!!",F4057="NEW"),"",COUNTBLANK(OFFSET(A$1,,,SUMPRODUCT(MAX(ROW(E$2:E4057)*(E4057=E$2:E4057)))))-COUNTBLANK(OFFSET(A$1,,,SUMPRODUCT(MAX(ROW(E$1:E4056)*(E2=E$1:E4056))))))</f>
        <v> </v>
      </c>
      <c r="K4057" s="26" t="str">
        <f>IF(OR(E4057="",E4057="!!!",F4057="NEW"),"",INDEX(J$1:J4056,SUMPRODUCT(MAX(ROW(E$1:E4056)*(E4057=E$1:E4056)))))</f>
        <v> </v>
      </c>
      <c r="L4057" s="27"/>
    </row>
    <row r="4058" spans="1:12">
      <c r="A4058" s="20" t="s">
        <v>1000</v>
      </c>
      <c r="E4058" s="22">
        <f>IF(D4058="?OLD","!!!","")</f>
        <v/>
      </c>
      <c r="F4058" s="23" t="str">
        <f>IF(OR(E4058="",E4058="!!!"),"",IF(NOT(ISNA(VLOOKUP(E4058,E$1:E4057,1,FALSE()))),"OLD",IF(AND(E4058&lt;&gt;"",E4058&lt;&gt;"!!!"),"NEW","")))</f>
        <v> </v>
      </c>
      <c r="G4058" s="24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5" t="str">
        <f>IF(J4058&lt;&gt;1,"",IF(I4058="SBJ","CB","?"))</f>
        <v> </v>
      </c>
      <c r="I4058" s="26" t="str">
        <f>IF(OR(E4058="",E4058="!!!",F4058="NEW"),"",INDEX(B4057:B$2,-1+SUMPRODUCT(MAX(ROW(E4057:E$2)*(E4058=E4057:E$2)))))</f>
        <v> </v>
      </c>
      <c r="J4058" s="26" t="str">
        <f>IF(OR(E4058="",E4058="!!!",F4058="NEW"),"",COUNTBLANK(OFFSET(A$1,,,SUMPRODUCT(MAX(ROW(E$2:E4058)*(E4058=E$2:E4058)))))-COUNTBLANK(OFFSET(A$1,,,SUMPRODUCT(MAX(ROW(E$1:E4057)*(E2=E$1:E4057))))))</f>
        <v> </v>
      </c>
      <c r="K4058" s="26" t="str">
        <f>IF(OR(E4058="",E4058="!!!",F4058="NEW"),"",INDEX(J$1:J4057,SUMPRODUCT(MAX(ROW(E$1:E4057)*(E4058=E$1:E4057)))))</f>
        <v> </v>
      </c>
      <c r="L4058" s="27"/>
    </row>
    <row r="4059" spans="1:12">
      <c r="A4059" s="20" t="s">
        <v>998</v>
      </c>
      <c r="E4059" s="22">
        <f>IF(D4059="?OLD","!!!","")</f>
        <v/>
      </c>
      <c r="F4059" s="23" t="str">
        <f>IF(OR(E4059="",E4059="!!!"),"",IF(NOT(ISNA(VLOOKUP(E4059,E$1:E4058,1,FALSE()))),"OLD",IF(AND(E4059&lt;&gt;"",E4059&lt;&gt;"!!!"),"NEW","")))</f>
        <v> </v>
      </c>
      <c r="G4059" s="24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5" t="str">
        <f>IF(J4059&lt;&gt;1,"",IF(I4059="SBJ","CB","?"))</f>
        <v> </v>
      </c>
      <c r="I4059" s="26" t="str">
        <f>IF(OR(E4059="",E4059="!!!",F4059="NEW"),"",INDEX(B4058:B$2,-1+SUMPRODUCT(MAX(ROW(E4058:E$2)*(E4059=E4058:E$2)))))</f>
        <v> </v>
      </c>
      <c r="J4059" s="26" t="str">
        <f>IF(OR(E4059="",E4059="!!!",F4059="NEW"),"",COUNTBLANK(OFFSET(A$1,,,SUMPRODUCT(MAX(ROW(E$2:E4059)*(E4059=E$2:E4059)))))-COUNTBLANK(OFFSET(A$1,,,SUMPRODUCT(MAX(ROW(E$1:E4058)*(E2=E$1:E4058))))))</f>
        <v> </v>
      </c>
      <c r="K4059" s="26" t="str">
        <f>IF(OR(E4059="",E4059="!!!",F4059="NEW"),"",INDEX(J$1:J4058,SUMPRODUCT(MAX(ROW(E$1:E4058)*(E4059=E$1:E4058)))))</f>
        <v> </v>
      </c>
      <c r="L4059" s="27"/>
    </row>
    <row r="4060" spans="1:12">
      <c r="A4060" s="20" t="s">
        <v>1022</v>
      </c>
      <c r="E4060" s="22">
        <f>IF(D4060="?OLD","!!!","")</f>
        <v/>
      </c>
      <c r="F4060" s="23" t="str">
        <f>IF(OR(E4060="",E4060="!!!"),"",IF(NOT(ISNA(VLOOKUP(E4060,E$1:E4059,1,FALSE()))),"OLD",IF(AND(E4060&lt;&gt;"",E4060&lt;&gt;"!!!"),"NEW","")))</f>
        <v> </v>
      </c>
      <c r="G4060" s="24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5" t="str">
        <f>IF(J4060&lt;&gt;1,"",IF(I4060="SBJ","CB","?"))</f>
        <v> </v>
      </c>
      <c r="I4060" s="26" t="str">
        <f>IF(OR(E4060="",E4060="!!!",F4060="NEW"),"",INDEX(B4059:B$2,-1+SUMPRODUCT(MAX(ROW(E4059:E$2)*(E4060=E4059:E$2)))))</f>
        <v> </v>
      </c>
      <c r="J4060" s="26" t="str">
        <f>IF(OR(E4060="",E4060="!!!",F4060="NEW"),"",COUNTBLANK(OFFSET(A$1,,,SUMPRODUCT(MAX(ROW(E$2:E4060)*(E4060=E$2:E4060)))))-COUNTBLANK(OFFSET(A$1,,,SUMPRODUCT(MAX(ROW(E$1:E4059)*(E2=E$1:E4059))))))</f>
        <v> </v>
      </c>
      <c r="K4060" s="26" t="str">
        <f>IF(OR(E4060="",E4060="!!!",F4060="NEW"),"",INDEX(J$1:J4059,SUMPRODUCT(MAX(ROW(E$1:E4059)*(E4060=E$1:E4059)))))</f>
        <v> </v>
      </c>
      <c r="L4060" s="27"/>
    </row>
    <row r="4061" spans="1:12">
      <c r="A4061" s="20" t="s">
        <v>2078</v>
      </c>
      <c r="B4061" s="21" t="s">
        <v>980</v>
      </c>
      <c r="C4061" s="21" t="s">
        <v>1032</v>
      </c>
      <c r="D4061" s="21" t="s">
        <v>950</v>
      </c>
      <c r="E4061" s="22">
        <f>IF(D4061="?OLD","!!!","")</f>
        <v/>
      </c>
      <c r="F4061" s="23" t="str">
        <f>IF(OR(E4061="",E4061="!!!"),"",IF(NOT(ISNA(VLOOKUP(E4061,E$1:E4060,1,FALSE()))),"OLD",IF(AND(E4061&lt;&gt;"",E4061&lt;&gt;"!!!"),"NEW","")))</f>
        <v> </v>
      </c>
      <c r="G4061" s="24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5" t="str">
        <f>IF(J4061&lt;&gt;1,"",IF(I4061="SBJ","CB","?"))</f>
        <v> </v>
      </c>
      <c r="I4061" s="26" t="str">
        <f>IF(OR(E4061="",E4061="!!!",F4061="NEW"),"",INDEX(B4060:B$2,-1+SUMPRODUCT(MAX(ROW(E4060:E$2)*(E4061=E4060:E$2)))))</f>
        <v> </v>
      </c>
      <c r="J4061" s="26" t="str">
        <f>IF(OR(E4061="",E4061="!!!",F4061="NEW"),"",COUNTBLANK(OFFSET(A$1,,,SUMPRODUCT(MAX(ROW(E$2:E4061)*(E4061=E$2:E4061)))))-COUNTBLANK(OFFSET(A$1,,,SUMPRODUCT(MAX(ROW(E$1:E4060)*(E2=E$1:E4060))))))</f>
        <v> </v>
      </c>
      <c r="K4061" s="26" t="str">
        <f>IF(OR(E4061="",E4061="!!!",F4061="NEW"),"",INDEX(J$1:J4060,SUMPRODUCT(MAX(ROW(E$1:E4060)*(E4061=E$1:E4060)))))</f>
        <v> </v>
      </c>
      <c r="L4061" s="27"/>
    </row>
    <row r="4062" spans="1:12">
      <c r="A4062" s="20" t="s">
        <v>977</v>
      </c>
      <c r="E4062" s="22">
        <f>IF(D4062="?OLD","!!!","")</f>
        <v/>
      </c>
      <c r="F4062" s="23" t="str">
        <f>IF(OR(E4062="",E4062="!!!"),"",IF(NOT(ISNA(VLOOKUP(E4062,E$1:E4061,1,FALSE()))),"OLD",IF(AND(E4062&lt;&gt;"",E4062&lt;&gt;"!!!"),"NEW","")))</f>
        <v> </v>
      </c>
      <c r="G4062" s="24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5" t="str">
        <f>IF(J4062&lt;&gt;1,"",IF(I4062="SBJ","CB","?"))</f>
        <v> </v>
      </c>
      <c r="I4062" s="26" t="str">
        <f>IF(OR(E4062="",E4062="!!!",F4062="NEW"),"",INDEX(B4061:B$2,-1+SUMPRODUCT(MAX(ROW(E4061:E$2)*(E4062=E4061:E$2)))))</f>
        <v> </v>
      </c>
      <c r="J4062" s="26" t="str">
        <f>IF(OR(E4062="",E4062="!!!",F4062="NEW"),"",COUNTBLANK(OFFSET(A$1,,,SUMPRODUCT(MAX(ROW(E$2:E4062)*(E4062=E$2:E4062)))))-COUNTBLANK(OFFSET(A$1,,,SUMPRODUCT(MAX(ROW(E$1:E4061)*(E2=E$1:E4061))))))</f>
        <v> </v>
      </c>
      <c r="K4062" s="26" t="str">
        <f>IF(OR(E4062="",E4062="!!!",F4062="NEW"),"",INDEX(J$1:J4061,SUMPRODUCT(MAX(ROW(E$1:E4061)*(E4062=E$1:E4061)))))</f>
        <v> </v>
      </c>
      <c r="L4062" s="27"/>
    </row>
    <row r="4063" spans="1:12">
      <c r="A4063" s="20" t="s">
        <v>2079</v>
      </c>
      <c r="E4063" s="22">
        <f>IF(D4063="?OLD","!!!","")</f>
        <v/>
      </c>
      <c r="F4063" s="23" t="str">
        <f>IF(OR(E4063="",E4063="!!!"),"",IF(NOT(ISNA(VLOOKUP(E4063,E$1:E4062,1,FALSE()))),"OLD",IF(AND(E4063&lt;&gt;"",E4063&lt;&gt;"!!!"),"NEW","")))</f>
        <v> </v>
      </c>
      <c r="G4063" s="24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5" t="str">
        <f>IF(J4063&lt;&gt;1,"",IF(I4063="SBJ","CB","?"))</f>
        <v> </v>
      </c>
      <c r="I4063" s="26" t="str">
        <f>IF(OR(E4063="",E4063="!!!",F4063="NEW"),"",INDEX(B4062:B$2,-1+SUMPRODUCT(MAX(ROW(E4062:E$2)*(E4063=E4062:E$2)))))</f>
        <v> </v>
      </c>
      <c r="J4063" s="26" t="str">
        <f>IF(OR(E4063="",E4063="!!!",F4063="NEW"),"",COUNTBLANK(OFFSET(A$1,,,SUMPRODUCT(MAX(ROW(E$2:E4063)*(E4063=E$2:E4063)))))-COUNTBLANK(OFFSET(A$1,,,SUMPRODUCT(MAX(ROW(E$1:E4062)*(E2=E$1:E4062))))))</f>
        <v> </v>
      </c>
      <c r="K4063" s="26" t="str">
        <f>IF(OR(E4063="",E4063="!!!",F4063="NEW"),"",INDEX(J$1:J4062,SUMPRODUCT(MAX(ROW(E$1:E4062)*(E4063=E$1:E4062)))))</f>
        <v> </v>
      </c>
      <c r="L4063" s="27"/>
    </row>
    <row r="4064" spans="1:12">
      <c r="A4064" s="20" t="s">
        <v>1136</v>
      </c>
      <c r="E4064" s="22">
        <f>IF(D4064="?OLD","!!!","")</f>
        <v/>
      </c>
      <c r="F4064" s="23" t="str">
        <f>IF(OR(E4064="",E4064="!!!"),"",IF(NOT(ISNA(VLOOKUP(E4064,E$1:E4063,1,FALSE()))),"OLD",IF(AND(E4064&lt;&gt;"",E4064&lt;&gt;"!!!"),"NEW","")))</f>
        <v> </v>
      </c>
      <c r="G4064" s="24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5" t="str">
        <f>IF(J4064&lt;&gt;1,"",IF(I4064="SBJ","CB","?"))</f>
        <v> </v>
      </c>
      <c r="I4064" s="26" t="str">
        <f>IF(OR(E4064="",E4064="!!!",F4064="NEW"),"",INDEX(B4063:B$2,-1+SUMPRODUCT(MAX(ROW(E4063:E$2)*(E4064=E4063:E$2)))))</f>
        <v> </v>
      </c>
      <c r="J4064" s="26" t="str">
        <f>IF(OR(E4064="",E4064="!!!",F4064="NEW"),"",COUNTBLANK(OFFSET(A$1,,,SUMPRODUCT(MAX(ROW(E$2:E4064)*(E4064=E$2:E4064)))))-COUNTBLANK(OFFSET(A$1,,,SUMPRODUCT(MAX(ROW(E$1:E4063)*(E2=E$1:E4063))))))</f>
        <v> </v>
      </c>
      <c r="K4064" s="26" t="str">
        <f>IF(OR(E4064="",E4064="!!!",F4064="NEW"),"",INDEX(J$1:J4063,SUMPRODUCT(MAX(ROW(E$1:E4063)*(E4064=E$1:E4063)))))</f>
        <v> </v>
      </c>
      <c r="L4064" s="27"/>
    </row>
    <row r="4065" spans="1:12">
      <c r="A4065" s="20" t="s">
        <v>1019</v>
      </c>
      <c r="E4065" s="22">
        <f>IF(D4065="?OLD","!!!","")</f>
        <v/>
      </c>
      <c r="F4065" s="23" t="str">
        <f>IF(OR(E4065="",E4065="!!!"),"",IF(NOT(ISNA(VLOOKUP(E4065,E$1:E4064,1,FALSE()))),"OLD",IF(AND(E4065&lt;&gt;"",E4065&lt;&gt;"!!!"),"NEW","")))</f>
        <v> </v>
      </c>
      <c r="G4065" s="24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5" t="str">
        <f>IF(J4065&lt;&gt;1,"",IF(I4065="SBJ","CB","?"))</f>
        <v> </v>
      </c>
      <c r="I4065" s="26" t="str">
        <f>IF(OR(E4065="",E4065="!!!",F4065="NEW"),"",INDEX(B4064:B$2,-1+SUMPRODUCT(MAX(ROW(E4064:E$2)*(E4065=E4064:E$2)))))</f>
        <v> </v>
      </c>
      <c r="J4065" s="26" t="str">
        <f>IF(OR(E4065="",E4065="!!!",F4065="NEW"),"",COUNTBLANK(OFFSET(A$1,,,SUMPRODUCT(MAX(ROW(E$2:E4065)*(E4065=E$2:E4065)))))-COUNTBLANK(OFFSET(A$1,,,SUMPRODUCT(MAX(ROW(E$1:E4064)*(E2=E$1:E4064))))))</f>
        <v> </v>
      </c>
      <c r="K4065" s="26" t="str">
        <f>IF(OR(E4065="",E4065="!!!",F4065="NEW"),"",INDEX(J$1:J4064,SUMPRODUCT(MAX(ROW(E$1:E4064)*(E4065=E$1:E4064)))))</f>
        <v> </v>
      </c>
      <c r="L4065" s="27"/>
    </row>
    <row r="4066" spans="1:12">
      <c r="A4066" s="20" t="s">
        <v>1185</v>
      </c>
      <c r="B4066" s="21" t="s">
        <v>1040</v>
      </c>
      <c r="C4066" s="21" t="s">
        <v>964</v>
      </c>
      <c r="E4066" s="22">
        <f>IF(D4066="?OLD","!!!","")</f>
        <v/>
      </c>
      <c r="F4066" s="23" t="str">
        <f>IF(OR(E4066="",E4066="!!!"),"",IF(NOT(ISNA(VLOOKUP(E4066,E$1:E4065,1,FALSE()))),"OLD",IF(AND(E4066&lt;&gt;"",E4066&lt;&gt;"!!!"),"NEW","")))</f>
        <v> </v>
      </c>
      <c r="G4066" s="24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5" t="str">
        <f>IF(J4066&lt;&gt;1,"",IF(I4066="SBJ","CB","?"))</f>
        <v> </v>
      </c>
      <c r="I4066" s="26" t="str">
        <f>IF(OR(E4066="",E4066="!!!",F4066="NEW"),"",INDEX(B4065:B$2,-1+SUMPRODUCT(MAX(ROW(E4065:E$2)*(E4066=E4065:E$2)))))</f>
        <v> </v>
      </c>
      <c r="J4066" s="26" t="str">
        <f>IF(OR(E4066="",E4066="!!!",F4066="NEW"),"",COUNTBLANK(OFFSET(A$1,,,SUMPRODUCT(MAX(ROW(E$2:E4066)*(E4066=E$2:E4066)))))-COUNTBLANK(OFFSET(A$1,,,SUMPRODUCT(MAX(ROW(E$1:E4065)*(E2=E$1:E4065))))))</f>
        <v> </v>
      </c>
      <c r="K4066" s="26" t="str">
        <f>IF(OR(E4066="",E4066="!!!",F4066="NEW"),"",INDEX(J$1:J4065,SUMPRODUCT(MAX(ROW(E$1:E4065)*(E4066=E$1:E4065)))))</f>
        <v> </v>
      </c>
      <c r="L4066" s="27"/>
    </row>
    <row r="4067" spans="1:12">
      <c r="A4067" s="20" t="s">
        <v>965</v>
      </c>
      <c r="B4067" s="21" t="s">
        <v>1045</v>
      </c>
      <c r="E4067" s="22">
        <f>IF(D4067="?OLD","!!!","")</f>
        <v/>
      </c>
      <c r="F4067" s="23" t="str">
        <f>IF(OR(E4067="",E4067="!!!"),"",IF(NOT(ISNA(VLOOKUP(E4067,E$1:E4066,1,FALSE()))),"OLD",IF(AND(E4067&lt;&gt;"",E4067&lt;&gt;"!!!"),"NEW","")))</f>
        <v> </v>
      </c>
      <c r="G4067" s="24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5" t="str">
        <f>IF(J4067&lt;&gt;1,"",IF(I4067="SBJ","CB","?"))</f>
        <v> </v>
      </c>
      <c r="I4067" s="26" t="str">
        <f>IF(OR(E4067="",E4067="!!!",F4067="NEW"),"",INDEX(B4066:B$2,-1+SUMPRODUCT(MAX(ROW(E4066:E$2)*(E4067=E4066:E$2)))))</f>
        <v> </v>
      </c>
      <c r="J4067" s="26" t="str">
        <f>IF(OR(E4067="",E4067="!!!",F4067="NEW"),"",COUNTBLANK(OFFSET(A$1,,,SUMPRODUCT(MAX(ROW(E$2:E4067)*(E4067=E$2:E4067)))))-COUNTBLANK(OFFSET(A$1,,,SUMPRODUCT(MAX(ROW(E$1:E4066)*(E2=E$1:E4066))))))</f>
        <v> </v>
      </c>
      <c r="K4067" s="26" t="str">
        <f>IF(OR(E4067="",E4067="!!!",F4067="NEW"),"",INDEX(J$1:J4066,SUMPRODUCT(MAX(ROW(E$1:E4066)*(E4067=E$1:E4066)))))</f>
        <v> </v>
      </c>
      <c r="L4067" s="27"/>
    </row>
    <row r="4068" spans="1:12">
      <c r="A4068" s="20" t="s">
        <v>1265</v>
      </c>
      <c r="E4068" s="22">
        <f>IF(D4068="?OLD","!!!","")</f>
        <v/>
      </c>
      <c r="F4068" s="23" t="str">
        <f>IF(OR(E4068="",E4068="!!!"),"",IF(NOT(ISNA(VLOOKUP(E4068,E$1:E4067,1,FALSE()))),"OLD",IF(AND(E4068&lt;&gt;"",E4068&lt;&gt;"!!!"),"NEW","")))</f>
        <v> </v>
      </c>
      <c r="G4068" s="24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5" t="str">
        <f>IF(J4068&lt;&gt;1,"",IF(I4068="SBJ","CB","?"))</f>
        <v> </v>
      </c>
      <c r="I4068" s="26" t="str">
        <f>IF(OR(E4068="",E4068="!!!",F4068="NEW"),"",INDEX(B4067:B$2,-1+SUMPRODUCT(MAX(ROW(E4067:E$2)*(E4068=E4067:E$2)))))</f>
        <v> </v>
      </c>
      <c r="J4068" s="26" t="str">
        <f>IF(OR(E4068="",E4068="!!!",F4068="NEW"),"",COUNTBLANK(OFFSET(A$1,,,SUMPRODUCT(MAX(ROW(E$2:E4068)*(E4068=E$2:E4068)))))-COUNTBLANK(OFFSET(A$1,,,SUMPRODUCT(MAX(ROW(E$1:E4067)*(E2=E$1:E4067))))))</f>
        <v> </v>
      </c>
      <c r="K4068" s="26" t="str">
        <f>IF(OR(E4068="",E4068="!!!",F4068="NEW"),"",INDEX(J$1:J4067,SUMPRODUCT(MAX(ROW(E$1:E4067)*(E4068=E$1:E4067)))))</f>
        <v> </v>
      </c>
      <c r="L4068" s="27"/>
    </row>
    <row r="4069" spans="1:12">
      <c r="A4069" s="20" t="s">
        <v>1097</v>
      </c>
      <c r="E4069" s="22">
        <f>IF(D4069="?OLD","!!!","")</f>
        <v/>
      </c>
      <c r="F4069" s="23" t="str">
        <f>IF(OR(E4069="",E4069="!!!"),"",IF(NOT(ISNA(VLOOKUP(E4069,E$1:E4068,1,FALSE()))),"OLD",IF(AND(E4069&lt;&gt;"",E4069&lt;&gt;"!!!"),"NEW","")))</f>
        <v> </v>
      </c>
      <c r="G4069" s="24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5" t="str">
        <f>IF(J4069&lt;&gt;1,"",IF(I4069="SBJ","CB","?"))</f>
        <v> </v>
      </c>
      <c r="I4069" s="26" t="str">
        <f>IF(OR(E4069="",E4069="!!!",F4069="NEW"),"",INDEX(B4068:B$2,-1+SUMPRODUCT(MAX(ROW(E4068:E$2)*(E4069=E4068:E$2)))))</f>
        <v> </v>
      </c>
      <c r="J4069" s="26" t="str">
        <f>IF(OR(E4069="",E4069="!!!",F4069="NEW"),"",COUNTBLANK(OFFSET(A$1,,,SUMPRODUCT(MAX(ROW(E$2:E4069)*(E4069=E$2:E4069)))))-COUNTBLANK(OFFSET(A$1,,,SUMPRODUCT(MAX(ROW(E$1:E4068)*(E2=E$1:E4068))))))</f>
        <v> </v>
      </c>
      <c r="K4069" s="26" t="str">
        <f>IF(OR(E4069="",E4069="!!!",F4069="NEW"),"",INDEX(J$1:J4068,SUMPRODUCT(MAX(ROW(E$1:E4068)*(E4069=E$1:E4068)))))</f>
        <v> </v>
      </c>
      <c r="L4069" s="27"/>
    </row>
    <row r="4070" spans="1:12">
      <c r="A4070" s="20" t="s">
        <v>2080</v>
      </c>
      <c r="E4070" s="22">
        <f>IF(D4070="?OLD","!!!","")</f>
        <v/>
      </c>
      <c r="F4070" s="23" t="str">
        <f>IF(OR(E4070="",E4070="!!!"),"",IF(NOT(ISNA(VLOOKUP(E4070,E$1:E4069,1,FALSE()))),"OLD",IF(AND(E4070&lt;&gt;"",E4070&lt;&gt;"!!!"),"NEW","")))</f>
        <v> </v>
      </c>
      <c r="G4070" s="24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5" t="str">
        <f>IF(J4070&lt;&gt;1,"",IF(I4070="SBJ","CB","?"))</f>
        <v> </v>
      </c>
      <c r="I4070" s="26" t="str">
        <f>IF(OR(E4070="",E4070="!!!",F4070="NEW"),"",INDEX(B4069:B$2,-1+SUMPRODUCT(MAX(ROW(E4069:E$2)*(E4070=E4069:E$2)))))</f>
        <v> </v>
      </c>
      <c r="J4070" s="26" t="str">
        <f>IF(OR(E4070="",E4070="!!!",F4070="NEW"),"",COUNTBLANK(OFFSET(A$1,,,SUMPRODUCT(MAX(ROW(E$2:E4070)*(E4070=E$2:E4070)))))-COUNTBLANK(OFFSET(A$1,,,SUMPRODUCT(MAX(ROW(E$1:E4069)*(E2=E$1:E4069))))))</f>
        <v> </v>
      </c>
      <c r="K4070" s="26" t="str">
        <f>IF(OR(E4070="",E4070="!!!",F4070="NEW"),"",INDEX(J$1:J4069,SUMPRODUCT(MAX(ROW(E$1:E4069)*(E4070=E$1:E4069)))))</f>
        <v> </v>
      </c>
      <c r="L4070" s="27"/>
    </row>
    <row r="4071" spans="1:12">
      <c r="A4071" s="20" t="s">
        <v>1093</v>
      </c>
      <c r="E4071" s="22">
        <f>IF(D4071="?OLD","!!!","")</f>
        <v/>
      </c>
      <c r="F4071" s="23" t="str">
        <f>IF(OR(E4071="",E4071="!!!"),"",IF(NOT(ISNA(VLOOKUP(E4071,E$1:E4070,1,FALSE()))),"OLD",IF(AND(E4071&lt;&gt;"",E4071&lt;&gt;"!!!"),"NEW","")))</f>
        <v> </v>
      </c>
      <c r="G4071" s="24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5" t="str">
        <f>IF(J4071&lt;&gt;1,"",IF(I4071="SBJ","CB","?"))</f>
        <v> </v>
      </c>
      <c r="I4071" s="26" t="str">
        <f>IF(OR(E4071="",E4071="!!!",F4071="NEW"),"",INDEX(B4070:B$2,-1+SUMPRODUCT(MAX(ROW(E4070:E$2)*(E4071=E4070:E$2)))))</f>
        <v> </v>
      </c>
      <c r="J4071" s="26" t="str">
        <f>IF(OR(E4071="",E4071="!!!",F4071="NEW"),"",COUNTBLANK(OFFSET(A$1,,,SUMPRODUCT(MAX(ROW(E$2:E4071)*(E4071=E$2:E4071)))))-COUNTBLANK(OFFSET(A$1,,,SUMPRODUCT(MAX(ROW(E$1:E4070)*(E2=E$1:E4070))))))</f>
        <v> </v>
      </c>
      <c r="K4071" s="26" t="str">
        <f>IF(OR(E4071="",E4071="!!!",F4071="NEW"),"",INDEX(J$1:J4070,SUMPRODUCT(MAX(ROW(E$1:E4070)*(E4071=E$1:E4070)))))</f>
        <v> </v>
      </c>
      <c r="L4071" s="27"/>
    </row>
    <row r="4072" spans="1:12">
      <c r="A4072" s="20" t="s">
        <v>1232</v>
      </c>
      <c r="B4072" s="21" t="s">
        <v>1288</v>
      </c>
      <c r="C4072" s="21" t="s">
        <v>1032</v>
      </c>
      <c r="D4072" s="21" t="s">
        <v>950</v>
      </c>
      <c r="E4072" s="22">
        <f>IF(D4072="?OLD","!!!","")</f>
        <v/>
      </c>
      <c r="F4072" s="23" t="str">
        <f>IF(OR(E4072="",E4072="!!!"),"",IF(NOT(ISNA(VLOOKUP(E4072,E$1:E4071,1,FALSE()))),"OLD",IF(AND(E4072&lt;&gt;"",E4072&lt;&gt;"!!!"),"NEW","")))</f>
        <v> </v>
      </c>
      <c r="G4072" s="24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5" t="str">
        <f>IF(J4072&lt;&gt;1,"",IF(I4072="SBJ","CB","?"))</f>
        <v> </v>
      </c>
      <c r="I4072" s="26" t="str">
        <f>IF(OR(E4072="",E4072="!!!",F4072="NEW"),"",INDEX(B4071:B$2,-1+SUMPRODUCT(MAX(ROW(E4071:E$2)*(E4072=E4071:E$2)))))</f>
        <v> </v>
      </c>
      <c r="J4072" s="26" t="str">
        <f>IF(OR(E4072="",E4072="!!!",F4072="NEW"),"",COUNTBLANK(OFFSET(A$1,,,SUMPRODUCT(MAX(ROW(E$2:E4072)*(E4072=E$2:E4072)))))-COUNTBLANK(OFFSET(A$1,,,SUMPRODUCT(MAX(ROW(E$1:E4071)*(E2=E$1:E4071))))))</f>
        <v> </v>
      </c>
      <c r="K4072" s="26" t="str">
        <f>IF(OR(E4072="",E4072="!!!",F4072="NEW"),"",INDEX(J$1:J4071,SUMPRODUCT(MAX(ROW(E$1:E4071)*(E4072=E$1:E4071)))))</f>
        <v> </v>
      </c>
      <c r="L4072" s="27"/>
    </row>
    <row r="4073" spans="1:12">
      <c r="A4073" s="20" t="s">
        <v>1001</v>
      </c>
      <c r="E4073" s="22">
        <f>IF(D4073="?OLD","!!!","")</f>
        <v/>
      </c>
      <c r="F4073" s="23" t="str">
        <f>IF(OR(E4073="",E4073="!!!"),"",IF(NOT(ISNA(VLOOKUP(E4073,E$1:E4072,1,FALSE()))),"OLD",IF(AND(E4073&lt;&gt;"",E4073&lt;&gt;"!!!"),"NEW","")))</f>
        <v> </v>
      </c>
      <c r="G4073" s="24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5" t="str">
        <f>IF(J4073&lt;&gt;1,"",IF(I4073="SBJ","CB","?"))</f>
        <v> </v>
      </c>
      <c r="I4073" s="26" t="str">
        <f>IF(OR(E4073="",E4073="!!!",F4073="NEW"),"",INDEX(B4072:B$2,-1+SUMPRODUCT(MAX(ROW(E4072:E$2)*(E4073=E4072:E$2)))))</f>
        <v> </v>
      </c>
      <c r="J4073" s="26" t="str">
        <f>IF(OR(E4073="",E4073="!!!",F4073="NEW"),"",COUNTBLANK(OFFSET(A$1,,,SUMPRODUCT(MAX(ROW(E$2:E4073)*(E4073=E$2:E4073)))))-COUNTBLANK(OFFSET(A$1,,,SUMPRODUCT(MAX(ROW(E$1:E4072)*(E2=E$1:E4072))))))</f>
        <v> </v>
      </c>
      <c r="K4073" s="26" t="str">
        <f>IF(OR(E4073="",E4073="!!!",F4073="NEW"),"",INDEX(J$1:J4072,SUMPRODUCT(MAX(ROW(E$1:E4072)*(E4073=E$1:E4072)))))</f>
        <v> </v>
      </c>
      <c r="L4073" s="27"/>
    </row>
    <row r="4074" spans="1:12">
      <c r="A4074" s="20" t="s">
        <v>2081</v>
      </c>
      <c r="E4074" s="22">
        <f>IF(D4074="?OLD","!!!","")</f>
        <v/>
      </c>
      <c r="F4074" s="23" t="str">
        <f>IF(OR(E4074="",E4074="!!!"),"",IF(NOT(ISNA(VLOOKUP(E4074,E$1:E4073,1,FALSE()))),"OLD",IF(AND(E4074&lt;&gt;"",E4074&lt;&gt;"!!!"),"NEW","")))</f>
        <v> </v>
      </c>
      <c r="G4074" s="24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5" t="str">
        <f>IF(J4074&lt;&gt;1,"",IF(I4074="SBJ","CB","?"))</f>
        <v> </v>
      </c>
      <c r="I4074" s="26" t="str">
        <f>IF(OR(E4074="",E4074="!!!",F4074="NEW"),"",INDEX(B4073:B$2,-1+SUMPRODUCT(MAX(ROW(E4073:E$2)*(E4074=E4073:E$2)))))</f>
        <v> </v>
      </c>
      <c r="J4074" s="26" t="str">
        <f>IF(OR(E4074="",E4074="!!!",F4074="NEW"),"",COUNTBLANK(OFFSET(A$1,,,SUMPRODUCT(MAX(ROW(E$2:E4074)*(E4074=E$2:E4074)))))-COUNTBLANK(OFFSET(A$1,,,SUMPRODUCT(MAX(ROW(E$1:E4073)*(E2=E$1:E4073))))))</f>
        <v> </v>
      </c>
      <c r="K4074" s="26" t="str">
        <f>IF(OR(E4074="",E4074="!!!",F4074="NEW"),"",INDEX(J$1:J4073,SUMPRODUCT(MAX(ROW(E$1:E4073)*(E4074=E$1:E4073)))))</f>
        <v> </v>
      </c>
      <c r="L4074" s="27"/>
    </row>
    <row r="4075" spans="1:12">
      <c r="A4075" s="20" t="s">
        <v>2082</v>
      </c>
      <c r="B4075" s="21" t="s">
        <v>1050</v>
      </c>
      <c r="C4075" s="21" t="s">
        <v>960</v>
      </c>
      <c r="D4075" s="21" t="s">
        <v>950</v>
      </c>
      <c r="E4075" s="22">
        <f>IF(D4075="?OLD","!!!","")</f>
        <v/>
      </c>
      <c r="F4075" s="23" t="str">
        <f>IF(OR(E4075="",E4075="!!!"),"",IF(NOT(ISNA(VLOOKUP(E4075,E$1:E4074,1,FALSE()))),"OLD",IF(AND(E4075&lt;&gt;"",E4075&lt;&gt;"!!!"),"NEW","")))</f>
        <v> </v>
      </c>
      <c r="G4075" s="24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5" t="str">
        <f>IF(J4075&lt;&gt;1,"",IF(I4075="SBJ","CB","?"))</f>
        <v> </v>
      </c>
      <c r="I4075" s="26" t="str">
        <f>IF(OR(E4075="",E4075="!!!",F4075="NEW"),"",INDEX(B4074:B$2,-1+SUMPRODUCT(MAX(ROW(E4074:E$2)*(E4075=E4074:E$2)))))</f>
        <v> </v>
      </c>
      <c r="J4075" s="26" t="str">
        <f>IF(OR(E4075="",E4075="!!!",F4075="NEW"),"",COUNTBLANK(OFFSET(A$1,,,SUMPRODUCT(MAX(ROW(E$2:E4075)*(E4075=E$2:E4075)))))-COUNTBLANK(OFFSET(A$1,,,SUMPRODUCT(MAX(ROW(E$1:E4074)*(E2=E$1:E4074))))))</f>
        <v> </v>
      </c>
      <c r="K4075" s="26" t="str">
        <f>IF(OR(E4075="",E4075="!!!",F4075="NEW"),"",INDEX(J$1:J4074,SUMPRODUCT(MAX(ROW(E$1:E4074)*(E4075=E$1:E4074)))))</f>
        <v> </v>
      </c>
      <c r="L4075" s="27"/>
    </row>
    <row r="4076" spans="1:12">
      <c r="A4076" s="20" t="s">
        <v>1022</v>
      </c>
      <c r="E4076" s="22">
        <f>IF(D4076="?OLD","!!!","")</f>
        <v/>
      </c>
      <c r="F4076" s="23" t="str">
        <f>IF(OR(E4076="",E4076="!!!"),"",IF(NOT(ISNA(VLOOKUP(E4076,E$1:E4075,1,FALSE()))),"OLD",IF(AND(E4076&lt;&gt;"",E4076&lt;&gt;"!!!"),"NEW","")))</f>
        <v> </v>
      </c>
      <c r="G4076" s="24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5" t="str">
        <f>IF(J4076&lt;&gt;1,"",IF(I4076="SBJ","CB","?"))</f>
        <v> </v>
      </c>
      <c r="I4076" s="26" t="str">
        <f>IF(OR(E4076="",E4076="!!!",F4076="NEW"),"",INDEX(B4075:B$2,-1+SUMPRODUCT(MAX(ROW(E4075:E$2)*(E4076=E4075:E$2)))))</f>
        <v> </v>
      </c>
      <c r="J4076" s="26" t="str">
        <f>IF(OR(E4076="",E4076="!!!",F4076="NEW"),"",COUNTBLANK(OFFSET(A$1,,,SUMPRODUCT(MAX(ROW(E$2:E4076)*(E4076=E$2:E4076)))))-COUNTBLANK(OFFSET(A$1,,,SUMPRODUCT(MAX(ROW(E$1:E4075)*(E2=E$1:E4075))))))</f>
        <v> </v>
      </c>
      <c r="K4076" s="26" t="str">
        <f>IF(OR(E4076="",E4076="!!!",F4076="NEW"),"",INDEX(J$1:J4075,SUMPRODUCT(MAX(ROW(E$1:E4075)*(E4076=E$1:E4075)))))</f>
        <v> </v>
      </c>
      <c r="L4076" s="27"/>
    </row>
    <row r="4077" spans="1:12">
      <c r="A4077" s="20" t="s">
        <v>1093</v>
      </c>
      <c r="E4077" s="22">
        <f>IF(D4077="?OLD","!!!","")</f>
        <v/>
      </c>
      <c r="F4077" s="23" t="str">
        <f>IF(OR(E4077="",E4077="!!!"),"",IF(NOT(ISNA(VLOOKUP(E4077,E$1:E4076,1,FALSE()))),"OLD",IF(AND(E4077&lt;&gt;"",E4077&lt;&gt;"!!!"),"NEW","")))</f>
        <v> </v>
      </c>
      <c r="G4077" s="24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5" t="str">
        <f>IF(J4077&lt;&gt;1,"",IF(I4077="SBJ","CB","?"))</f>
        <v> </v>
      </c>
      <c r="I4077" s="26" t="str">
        <f>IF(OR(E4077="",E4077="!!!",F4077="NEW"),"",INDEX(B4076:B$2,-1+SUMPRODUCT(MAX(ROW(E4076:E$2)*(E4077=E4076:E$2)))))</f>
        <v> </v>
      </c>
      <c r="J4077" s="26" t="str">
        <f>IF(OR(E4077="",E4077="!!!",F4077="NEW"),"",COUNTBLANK(OFFSET(A$1,,,SUMPRODUCT(MAX(ROW(E$2:E4077)*(E4077=E$2:E4077)))))-COUNTBLANK(OFFSET(A$1,,,SUMPRODUCT(MAX(ROW(E$1:E4076)*(E2=E$1:E4076))))))</f>
        <v> </v>
      </c>
      <c r="K4077" s="26" t="str">
        <f>IF(OR(E4077="",E4077="!!!",F4077="NEW"),"",INDEX(J$1:J4076,SUMPRODUCT(MAX(ROW(E$1:E4076)*(E4077=E$1:E4076)))))</f>
        <v> </v>
      </c>
      <c r="L4077" s="27"/>
    </row>
    <row r="4078" spans="1:12">
      <c r="A4078" s="20" t="s">
        <v>1094</v>
      </c>
      <c r="B4078" s="21" t="s">
        <v>1050</v>
      </c>
      <c r="C4078" s="21" t="s">
        <v>976</v>
      </c>
      <c r="D4078" s="21" t="s">
        <v>950</v>
      </c>
      <c r="E4078" s="22">
        <f>IF(D4078="?OLD","!!!","")</f>
        <v/>
      </c>
      <c r="F4078" s="23" t="str">
        <f>IF(OR(E4078="",E4078="!!!"),"",IF(NOT(ISNA(VLOOKUP(E4078,E$1:E4077,1,FALSE()))),"OLD",IF(AND(E4078&lt;&gt;"",E4078&lt;&gt;"!!!"),"NEW","")))</f>
        <v> </v>
      </c>
      <c r="G4078" s="24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5" t="str">
        <f>IF(J4078&lt;&gt;1,"",IF(I4078="SBJ","CB","?"))</f>
        <v> </v>
      </c>
      <c r="I4078" s="26" t="str">
        <f>IF(OR(E4078="",E4078="!!!",F4078="NEW"),"",INDEX(B4077:B$2,-1+SUMPRODUCT(MAX(ROW(E4077:E$2)*(E4078=E4077:E$2)))))</f>
        <v> </v>
      </c>
      <c r="J4078" s="26" t="str">
        <f>IF(OR(E4078="",E4078="!!!",F4078="NEW"),"",COUNTBLANK(OFFSET(A$1,,,SUMPRODUCT(MAX(ROW(E$2:E4078)*(E4078=E$2:E4078)))))-COUNTBLANK(OFFSET(A$1,,,SUMPRODUCT(MAX(ROW(E$1:E4077)*(E2=E$1:E4077))))))</f>
        <v> </v>
      </c>
      <c r="K4078" s="26" t="str">
        <f>IF(OR(E4078="",E4078="!!!",F4078="NEW"),"",INDEX(J$1:J4077,SUMPRODUCT(MAX(ROW(E$1:E4077)*(E4078=E$1:E4077)))))</f>
        <v> </v>
      </c>
      <c r="L4078" s="27"/>
    </row>
    <row r="4079" spans="1:12">
      <c r="A4079" s="20" t="s">
        <v>977</v>
      </c>
      <c r="E4079" s="22">
        <f>IF(D4079="?OLD","!!!","")</f>
        <v/>
      </c>
      <c r="F4079" s="23" t="str">
        <f>IF(OR(E4079="",E4079="!!!"),"",IF(NOT(ISNA(VLOOKUP(E4079,E$1:E4078,1,FALSE()))),"OLD",IF(AND(E4079&lt;&gt;"",E4079&lt;&gt;"!!!"),"NEW","")))</f>
        <v> </v>
      </c>
      <c r="G4079" s="24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5" t="str">
        <f>IF(J4079&lt;&gt;1,"",IF(I4079="SBJ","CB","?"))</f>
        <v> </v>
      </c>
      <c r="I4079" s="26" t="str">
        <f>IF(OR(E4079="",E4079="!!!",F4079="NEW"),"",INDEX(B4078:B$2,-1+SUMPRODUCT(MAX(ROW(E4078:E$2)*(E4079=E4078:E$2)))))</f>
        <v> </v>
      </c>
      <c r="J4079" s="26" t="str">
        <f>IF(OR(E4079="",E4079="!!!",F4079="NEW"),"",COUNTBLANK(OFFSET(A$1,,,SUMPRODUCT(MAX(ROW(E$2:E4079)*(E4079=E$2:E4079)))))-COUNTBLANK(OFFSET(A$1,,,SUMPRODUCT(MAX(ROW(E$1:E4078)*(E2=E$1:E4078))))))</f>
        <v> </v>
      </c>
      <c r="K4079" s="26" t="str">
        <f>IF(OR(E4079="",E4079="!!!",F4079="NEW"),"",INDEX(J$1:J4078,SUMPRODUCT(MAX(ROW(E$1:E4078)*(E4079=E$1:E4078)))))</f>
        <v> </v>
      </c>
      <c r="L4079" s="27"/>
    </row>
    <row r="4080" spans="1:12">
      <c r="A4080" s="20" t="s">
        <v>961</v>
      </c>
      <c r="E4080" s="22">
        <f>IF(D4080="?OLD","!!!","")</f>
        <v/>
      </c>
      <c r="F4080" s="23" t="str">
        <f>IF(OR(E4080="",E4080="!!!"),"",IF(NOT(ISNA(VLOOKUP(E4080,E$1:E4079,1,FALSE()))),"OLD",IF(AND(E4080&lt;&gt;"",E4080&lt;&gt;"!!!"),"NEW","")))</f>
        <v> </v>
      </c>
      <c r="G4080" s="24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5" t="str">
        <f>IF(J4080&lt;&gt;1,"",IF(I4080="SBJ","CB","?"))</f>
        <v> </v>
      </c>
      <c r="I4080" s="26" t="str">
        <f>IF(OR(E4080="",E4080="!!!",F4080="NEW"),"",INDEX(B4079:B$2,-1+SUMPRODUCT(MAX(ROW(E4079:E$2)*(E4080=E4079:E$2)))))</f>
        <v> </v>
      </c>
      <c r="J4080" s="26" t="str">
        <f>IF(OR(E4080="",E4080="!!!",F4080="NEW"),"",COUNTBLANK(OFFSET(A$1,,,SUMPRODUCT(MAX(ROW(E$2:E4080)*(E4080=E$2:E4080)))))-COUNTBLANK(OFFSET(A$1,,,SUMPRODUCT(MAX(ROW(E$1:E4079)*(E2=E$1:E4079))))))</f>
        <v> </v>
      </c>
      <c r="K4080" s="26" t="str">
        <f>IF(OR(E4080="",E4080="!!!",F4080="NEW"),"",INDEX(J$1:J4079,SUMPRODUCT(MAX(ROW(E$1:E4079)*(E4080=E$1:E4079)))))</f>
        <v> </v>
      </c>
      <c r="L4080" s="27"/>
    </row>
    <row r="4081" spans="1:12">
      <c r="A4081" s="20" t="s">
        <v>1257</v>
      </c>
      <c r="B4081" s="21" t="s">
        <v>1285</v>
      </c>
      <c r="C4081" s="21" t="s">
        <v>976</v>
      </c>
      <c r="D4081" s="21" t="s">
        <v>950</v>
      </c>
      <c r="E4081" s="22">
        <f>IF(D4081="?OLD","!!!","")</f>
        <v/>
      </c>
      <c r="F4081" s="23" t="str">
        <f>IF(OR(E4081="",E4081="!!!"),"",IF(NOT(ISNA(VLOOKUP(E4081,E$1:E4080,1,FALSE()))),"OLD",IF(AND(E4081&lt;&gt;"",E4081&lt;&gt;"!!!"),"NEW","")))</f>
        <v> </v>
      </c>
      <c r="G4081" s="24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5" t="str">
        <f>IF(J4081&lt;&gt;1,"",IF(I4081="SBJ","CB","?"))</f>
        <v> </v>
      </c>
      <c r="I4081" s="26" t="str">
        <f>IF(OR(E4081="",E4081="!!!",F4081="NEW"),"",INDEX(B4080:B$2,-1+SUMPRODUCT(MAX(ROW(E4080:E$2)*(E4081=E4080:E$2)))))</f>
        <v> </v>
      </c>
      <c r="J4081" s="26" t="str">
        <f>IF(OR(E4081="",E4081="!!!",F4081="NEW"),"",COUNTBLANK(OFFSET(A$1,,,SUMPRODUCT(MAX(ROW(E$2:E4081)*(E4081=E$2:E4081)))))-COUNTBLANK(OFFSET(A$1,,,SUMPRODUCT(MAX(ROW(E$1:E4080)*(E2=E$1:E4080))))))</f>
        <v> </v>
      </c>
      <c r="K4081" s="26" t="str">
        <f>IF(OR(E4081="",E4081="!!!",F4081="NEW"),"",INDEX(J$1:J4080,SUMPRODUCT(MAX(ROW(E$1:E4080)*(E4081=E$1:E4080)))))</f>
        <v> </v>
      </c>
      <c r="L4081" s="27"/>
    </row>
    <row r="4082" spans="1:12">
      <c r="A4082" s="20" t="s">
        <v>2083</v>
      </c>
      <c r="E4082" s="22">
        <f>IF(D4082="?OLD","!!!","")</f>
        <v/>
      </c>
      <c r="F4082" s="23" t="str">
        <f>IF(OR(E4082="",E4082="!!!"),"",IF(NOT(ISNA(VLOOKUP(E4082,E$1:E4081,1,FALSE()))),"OLD",IF(AND(E4082&lt;&gt;"",E4082&lt;&gt;"!!!"),"NEW","")))</f>
        <v> </v>
      </c>
      <c r="G4082" s="24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5" t="str">
        <f>IF(J4082&lt;&gt;1,"",IF(I4082="SBJ","CB","?"))</f>
        <v> </v>
      </c>
      <c r="I4082" s="26" t="str">
        <f>IF(OR(E4082="",E4082="!!!",F4082="NEW"),"",INDEX(B4081:B$2,-1+SUMPRODUCT(MAX(ROW(E4081:E$2)*(E4082=E4081:E$2)))))</f>
        <v> </v>
      </c>
      <c r="J4082" s="26" t="str">
        <f>IF(OR(E4082="",E4082="!!!",F4082="NEW"),"",COUNTBLANK(OFFSET(A$1,,,SUMPRODUCT(MAX(ROW(E$2:E4082)*(E4082=E$2:E4082)))))-COUNTBLANK(OFFSET(A$1,,,SUMPRODUCT(MAX(ROW(E$1:E4081)*(E2=E$1:E4081))))))</f>
        <v> </v>
      </c>
      <c r="K4082" s="26" t="str">
        <f>IF(OR(E4082="",E4082="!!!",F4082="NEW"),"",INDEX(J$1:J4081,SUMPRODUCT(MAX(ROW(E$1:E4081)*(E4082=E$1:E4081)))))</f>
        <v> </v>
      </c>
      <c r="L4082" s="27"/>
    </row>
    <row r="4083" spans="1:12">
      <c r="A4083" s="20" t="s">
        <v>1066</v>
      </c>
      <c r="E4083" s="22">
        <f>IF(D4083="?OLD","!!!","")</f>
        <v/>
      </c>
      <c r="F4083" s="23" t="str">
        <f>IF(OR(E4083="",E4083="!!!"),"",IF(NOT(ISNA(VLOOKUP(E4083,E$1:E4082,1,FALSE()))),"OLD",IF(AND(E4083&lt;&gt;"",E4083&lt;&gt;"!!!"),"NEW","")))</f>
        <v> </v>
      </c>
      <c r="G4083" s="24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5" t="str">
        <f>IF(J4083&lt;&gt;1,"",IF(I4083="SBJ","CB","?"))</f>
        <v> </v>
      </c>
      <c r="I4083" s="26" t="str">
        <f>IF(OR(E4083="",E4083="!!!",F4083="NEW"),"",INDEX(B4082:B$2,-1+SUMPRODUCT(MAX(ROW(E4082:E$2)*(E4083=E4082:E$2)))))</f>
        <v> </v>
      </c>
      <c r="J4083" s="26" t="str">
        <f>IF(OR(E4083="",E4083="!!!",F4083="NEW"),"",COUNTBLANK(OFFSET(A$1,,,SUMPRODUCT(MAX(ROW(E$2:E4083)*(E4083=E$2:E4083)))))-COUNTBLANK(OFFSET(A$1,,,SUMPRODUCT(MAX(ROW(E$1:E4082)*(E2=E$1:E4082))))))</f>
        <v> </v>
      </c>
      <c r="K4083" s="26" t="str">
        <f>IF(OR(E4083="",E4083="!!!",F4083="NEW"),"",INDEX(J$1:J4082,SUMPRODUCT(MAX(ROW(E$1:E4082)*(E4083=E$1:E4082)))))</f>
        <v> </v>
      </c>
      <c r="L4083" s="27"/>
    </row>
    <row r="4084" spans="1:12">
      <c r="A4084" s="20" t="s">
        <v>1006</v>
      </c>
      <c r="E4084" s="22">
        <f>IF(D4084="?OLD","!!!","")</f>
        <v/>
      </c>
      <c r="F4084" s="23" t="str">
        <f>IF(OR(E4084="",E4084="!!!"),"",IF(NOT(ISNA(VLOOKUP(E4084,E$1:E4083,1,FALSE()))),"OLD",IF(AND(E4084&lt;&gt;"",E4084&lt;&gt;"!!!"),"NEW","")))</f>
        <v> </v>
      </c>
      <c r="G4084" s="24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5" t="str">
        <f>IF(J4084&lt;&gt;1,"",IF(I4084="SBJ","CB","?"))</f>
        <v> </v>
      </c>
      <c r="I4084" s="26" t="str">
        <f>IF(OR(E4084="",E4084="!!!",F4084="NEW"),"",INDEX(B4083:B$2,-1+SUMPRODUCT(MAX(ROW(E4083:E$2)*(E4084=E4083:E$2)))))</f>
        <v> </v>
      </c>
      <c r="J4084" s="26" t="str">
        <f>IF(OR(E4084="",E4084="!!!",F4084="NEW"),"",COUNTBLANK(OFFSET(A$1,,,SUMPRODUCT(MAX(ROW(E$2:E4084)*(E4084=E$2:E4084)))))-COUNTBLANK(OFFSET(A$1,,,SUMPRODUCT(MAX(ROW(E$1:E4083)*(E2=E$1:E4083))))))</f>
        <v> </v>
      </c>
      <c r="K4084" s="26" t="str">
        <f>IF(OR(E4084="",E4084="!!!",F4084="NEW"),"",INDEX(J$1:J4083,SUMPRODUCT(MAX(ROW(E$1:E4083)*(E4084=E$1:E4083)))))</f>
        <v> </v>
      </c>
      <c r="L4084" s="27"/>
    </row>
    <row r="4085" spans="1:12">
      <c r="A4085" s="20" t="s">
        <v>1556</v>
      </c>
      <c r="B4085" s="21" t="s">
        <v>1665</v>
      </c>
      <c r="C4085" s="21" t="s">
        <v>1032</v>
      </c>
      <c r="D4085" s="21" t="s">
        <v>950</v>
      </c>
      <c r="E4085" s="22">
        <f>IF(D4085="?OLD","!!!","")</f>
        <v/>
      </c>
      <c r="F4085" s="23" t="str">
        <f>IF(OR(E4085="",E4085="!!!"),"",IF(NOT(ISNA(VLOOKUP(E4085,E$1:E4084,1,FALSE()))),"OLD",IF(AND(E4085&lt;&gt;"",E4085&lt;&gt;"!!!"),"NEW","")))</f>
        <v> </v>
      </c>
      <c r="G4085" s="24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5" t="str">
        <f>IF(J4085&lt;&gt;1,"",IF(I4085="SBJ","CB","?"))</f>
        <v> </v>
      </c>
      <c r="I4085" s="26" t="str">
        <f>IF(OR(E4085="",E4085="!!!",F4085="NEW"),"",INDEX(B4084:B$2,-1+SUMPRODUCT(MAX(ROW(E4084:E$2)*(E4085=E4084:E$2)))))</f>
        <v> </v>
      </c>
      <c r="J4085" s="26" t="str">
        <f>IF(OR(E4085="",E4085="!!!",F4085="NEW"),"",COUNTBLANK(OFFSET(A$1,,,SUMPRODUCT(MAX(ROW(E$2:E4085)*(E4085=E$2:E4085)))))-COUNTBLANK(OFFSET(A$1,,,SUMPRODUCT(MAX(ROW(E$1:E4084)*(E2=E$1:E4084))))))</f>
        <v> </v>
      </c>
      <c r="K4085" s="26" t="str">
        <f>IF(OR(E4085="",E4085="!!!",F4085="NEW"),"",INDEX(J$1:J4084,SUMPRODUCT(MAX(ROW(E$1:E4084)*(E4085=E$1:E4084)))))</f>
        <v> </v>
      </c>
      <c r="L4085" s="27"/>
    </row>
    <row r="4086" spans="1:12">
      <c r="A4086" s="20" t="s">
        <v>1001</v>
      </c>
      <c r="E4086" s="22">
        <f>IF(D4086="?OLD","!!!","")</f>
        <v/>
      </c>
      <c r="F4086" s="23" t="str">
        <f>IF(OR(E4086="",E4086="!!!"),"",IF(NOT(ISNA(VLOOKUP(E4086,E$1:E4085,1,FALSE()))),"OLD",IF(AND(E4086&lt;&gt;"",E4086&lt;&gt;"!!!"),"NEW","")))</f>
        <v> </v>
      </c>
      <c r="G4086" s="24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5" t="str">
        <f>IF(J4086&lt;&gt;1,"",IF(I4086="SBJ","CB","?"))</f>
        <v> </v>
      </c>
      <c r="I4086" s="26" t="str">
        <f>IF(OR(E4086="",E4086="!!!",F4086="NEW"),"",INDEX(B4085:B$2,-1+SUMPRODUCT(MAX(ROW(E4085:E$2)*(E4086=E4085:E$2)))))</f>
        <v> </v>
      </c>
      <c r="J4086" s="26" t="str">
        <f>IF(OR(E4086="",E4086="!!!",F4086="NEW"),"",COUNTBLANK(OFFSET(A$1,,,SUMPRODUCT(MAX(ROW(E$2:E4086)*(E4086=E$2:E4086)))))-COUNTBLANK(OFFSET(A$1,,,SUMPRODUCT(MAX(ROW(E$1:E4085)*(E2=E$1:E4085))))))</f>
        <v> </v>
      </c>
      <c r="K4086" s="26" t="str">
        <f>IF(OR(E4086="",E4086="!!!",F4086="NEW"),"",INDEX(J$1:J4085,SUMPRODUCT(MAX(ROW(E$1:E4085)*(E4086=E$1:E4085)))))</f>
        <v> </v>
      </c>
      <c r="L4086" s="27"/>
    </row>
    <row r="4087" spans="1:12">
      <c r="A4087" s="20" t="s">
        <v>2084</v>
      </c>
      <c r="E4087" s="22">
        <f>IF(D4087="?OLD","!!!","")</f>
        <v/>
      </c>
      <c r="F4087" s="23" t="str">
        <f>IF(OR(E4087="",E4087="!!!"),"",IF(NOT(ISNA(VLOOKUP(E4087,E$1:E4086,1,FALSE()))),"OLD",IF(AND(E4087&lt;&gt;"",E4087&lt;&gt;"!!!"),"NEW","")))</f>
        <v> </v>
      </c>
      <c r="G4087" s="24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5" t="str">
        <f>IF(J4087&lt;&gt;1,"",IF(I4087="SBJ","CB","?"))</f>
        <v> </v>
      </c>
      <c r="I4087" s="26" t="str">
        <f>IF(OR(E4087="",E4087="!!!",F4087="NEW"),"",INDEX(B4086:B$2,-1+SUMPRODUCT(MAX(ROW(E4086:E$2)*(E4087=E4086:E$2)))))</f>
        <v> </v>
      </c>
      <c r="J4087" s="26" t="str">
        <f>IF(OR(E4087="",E4087="!!!",F4087="NEW"),"",COUNTBLANK(OFFSET(A$1,,,SUMPRODUCT(MAX(ROW(E$2:E4087)*(E4087=E$2:E4087)))))-COUNTBLANK(OFFSET(A$1,,,SUMPRODUCT(MAX(ROW(E$1:E4086)*(E2=E$1:E4086))))))</f>
        <v> </v>
      </c>
      <c r="K4087" s="26" t="str">
        <f>IF(OR(E4087="",E4087="!!!",F4087="NEW"),"",INDEX(J$1:J4086,SUMPRODUCT(MAX(ROW(E$1:E4086)*(E4087=E$1:E4086)))))</f>
        <v> </v>
      </c>
      <c r="L4087" s="27"/>
    </row>
    <row r="4088" spans="1:12">
      <c r="A4088" s="20" t="s">
        <v>2085</v>
      </c>
      <c r="B4088" s="21" t="s">
        <v>1661</v>
      </c>
      <c r="C4088" s="21" t="s">
        <v>983</v>
      </c>
      <c r="E4088" s="22">
        <f>IF(D4088="?OLD","!!!","")</f>
        <v/>
      </c>
      <c r="F4088" s="23" t="str">
        <f>IF(OR(E4088="",E4088="!!!"),"",IF(NOT(ISNA(VLOOKUP(E4088,E$1:E4087,1,FALSE()))),"OLD",IF(AND(E4088&lt;&gt;"",E4088&lt;&gt;"!!!"),"NEW","")))</f>
        <v> </v>
      </c>
      <c r="G4088" s="24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5" t="str">
        <f>IF(J4088&lt;&gt;1,"",IF(I4088="SBJ","CB","?"))</f>
        <v> </v>
      </c>
      <c r="I4088" s="26" t="str">
        <f>IF(OR(E4088="",E4088="!!!",F4088="NEW"),"",INDEX(B4087:B$2,-1+SUMPRODUCT(MAX(ROW(E4087:E$2)*(E4088=E4087:E$2)))))</f>
        <v> </v>
      </c>
      <c r="J4088" s="26" t="str">
        <f>IF(OR(E4088="",E4088="!!!",F4088="NEW"),"",COUNTBLANK(OFFSET(A$1,,,SUMPRODUCT(MAX(ROW(E$2:E4088)*(E4088=E$2:E4088)))))-COUNTBLANK(OFFSET(A$1,,,SUMPRODUCT(MAX(ROW(E$1:E4087)*(E2=E$1:E4087))))))</f>
        <v> </v>
      </c>
      <c r="K4088" s="26" t="str">
        <f>IF(OR(E4088="",E4088="!!!",F4088="NEW"),"",INDEX(J$1:J4087,SUMPRODUCT(MAX(ROW(E$1:E4087)*(E4088=E$1:E4087)))))</f>
        <v> </v>
      </c>
      <c r="L4088" s="27"/>
    </row>
    <row r="4089" spans="1:12">
      <c r="A4089" s="20" t="s">
        <v>1022</v>
      </c>
      <c r="E4089" s="22">
        <f>IF(D4089="?OLD","!!!","")</f>
        <v/>
      </c>
      <c r="F4089" s="23" t="str">
        <f>IF(OR(E4089="",E4089="!!!"),"",IF(NOT(ISNA(VLOOKUP(E4089,E$1:E4088,1,FALSE()))),"OLD",IF(AND(E4089&lt;&gt;"",E4089&lt;&gt;"!!!"),"NEW","")))</f>
        <v> </v>
      </c>
      <c r="G4089" s="24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5" t="str">
        <f>IF(J4089&lt;&gt;1,"",IF(I4089="SBJ","CB","?"))</f>
        <v> </v>
      </c>
      <c r="I4089" s="26" t="str">
        <f>IF(OR(E4089="",E4089="!!!",F4089="NEW"),"",INDEX(B4088:B$2,-1+SUMPRODUCT(MAX(ROW(E4088:E$2)*(E4089=E4088:E$2)))))</f>
        <v> </v>
      </c>
      <c r="J4089" s="26" t="str">
        <f>IF(OR(E4089="",E4089="!!!",F4089="NEW"),"",COUNTBLANK(OFFSET(A$1,,,SUMPRODUCT(MAX(ROW(E$2:E4089)*(E4089=E$2:E4089)))))-COUNTBLANK(OFFSET(A$1,,,SUMPRODUCT(MAX(ROW(E$1:E4088)*(E2=E$1:E4088))))))</f>
        <v> </v>
      </c>
      <c r="K4089" s="26" t="str">
        <f>IF(OR(E4089="",E4089="!!!",F4089="NEW"),"",INDEX(J$1:J4088,SUMPRODUCT(MAX(ROW(E$1:E4088)*(E4089=E$1:E4088)))))</f>
        <v> </v>
      </c>
      <c r="L4089" s="27"/>
    </row>
    <row r="4090" spans="1:12">
      <c r="A4090" s="20" t="s">
        <v>1093</v>
      </c>
      <c r="E4090" s="22">
        <f>IF(D4090="?OLD","!!!","")</f>
        <v/>
      </c>
      <c r="F4090" s="23" t="str">
        <f>IF(OR(E4090="",E4090="!!!"),"",IF(NOT(ISNA(VLOOKUP(E4090,E$1:E4089,1,FALSE()))),"OLD",IF(AND(E4090&lt;&gt;"",E4090&lt;&gt;"!!!"),"NEW","")))</f>
        <v> </v>
      </c>
      <c r="G4090" s="24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5" t="str">
        <f>IF(J4090&lt;&gt;1,"",IF(I4090="SBJ","CB","?"))</f>
        <v> </v>
      </c>
      <c r="I4090" s="26" t="str">
        <f>IF(OR(E4090="",E4090="!!!",F4090="NEW"),"",INDEX(B4089:B$2,-1+SUMPRODUCT(MAX(ROW(E4089:E$2)*(E4090=E4089:E$2)))))</f>
        <v> </v>
      </c>
      <c r="J4090" s="26" t="str">
        <f>IF(OR(E4090="",E4090="!!!",F4090="NEW"),"",COUNTBLANK(OFFSET(A$1,,,SUMPRODUCT(MAX(ROW(E$2:E4090)*(E4090=E$2:E4090)))))-COUNTBLANK(OFFSET(A$1,,,SUMPRODUCT(MAX(ROW(E$1:E4089)*(E2=E$1:E4089))))))</f>
        <v> </v>
      </c>
      <c r="K4090" s="26" t="str">
        <f>IF(OR(E4090="",E4090="!!!",F4090="NEW"),"",INDEX(J$1:J4089,SUMPRODUCT(MAX(ROW(E$1:E4089)*(E4090=E$1:E4089)))))</f>
        <v> </v>
      </c>
      <c r="L4090" s="27"/>
    </row>
    <row r="4091" spans="1:12">
      <c r="A4091" s="20" t="s">
        <v>1094</v>
      </c>
      <c r="B4091" s="21" t="s">
        <v>1661</v>
      </c>
      <c r="C4091" s="21" t="s">
        <v>1032</v>
      </c>
      <c r="D4091" s="21" t="s">
        <v>950</v>
      </c>
      <c r="E4091" s="22">
        <f>IF(D4091="?OLD","!!!","")</f>
        <v/>
      </c>
      <c r="F4091" s="23" t="str">
        <f>IF(OR(E4091="",E4091="!!!"),"",IF(NOT(ISNA(VLOOKUP(E4091,E$1:E4090,1,FALSE()))),"OLD",IF(AND(E4091&lt;&gt;"",E4091&lt;&gt;"!!!"),"NEW","")))</f>
        <v> </v>
      </c>
      <c r="G4091" s="24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5" t="str">
        <f>IF(J4091&lt;&gt;1,"",IF(I4091="SBJ","CB","?"))</f>
        <v> </v>
      </c>
      <c r="I4091" s="26" t="str">
        <f>IF(OR(E4091="",E4091="!!!",F4091="NEW"),"",INDEX(B4090:B$2,-1+SUMPRODUCT(MAX(ROW(E4090:E$2)*(E4091=E4090:E$2)))))</f>
        <v> </v>
      </c>
      <c r="J4091" s="26" t="str">
        <f>IF(OR(E4091="",E4091="!!!",F4091="NEW"),"",COUNTBLANK(OFFSET(A$1,,,SUMPRODUCT(MAX(ROW(E$2:E4091)*(E4091=E$2:E4091)))))-COUNTBLANK(OFFSET(A$1,,,SUMPRODUCT(MAX(ROW(E$1:E4090)*(E2=E$1:E4090))))))</f>
        <v> </v>
      </c>
      <c r="K4091" s="26" t="str">
        <f>IF(OR(E4091="",E4091="!!!",F4091="NEW"),"",INDEX(J$1:J4090,SUMPRODUCT(MAX(ROW(E$1:E4090)*(E4091=E$1:E4090)))))</f>
        <v> </v>
      </c>
      <c r="L4091" s="27"/>
    </row>
    <row r="4092" spans="1:12">
      <c r="A4092" s="20" t="s">
        <v>984</v>
      </c>
      <c r="E4092" s="22">
        <f>IF(D4092="?OLD","!!!","")</f>
        <v/>
      </c>
      <c r="F4092" s="23" t="str">
        <f>IF(OR(E4092="",E4092="!!!"),"",IF(NOT(ISNA(VLOOKUP(E4092,E$1:E4091,1,FALSE()))),"OLD",IF(AND(E4092&lt;&gt;"",E4092&lt;&gt;"!!!"),"NEW","")))</f>
        <v> </v>
      </c>
      <c r="G4092" s="24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5" t="str">
        <f>IF(J4092&lt;&gt;1,"",IF(I4092="SBJ","CB","?"))</f>
        <v> </v>
      </c>
      <c r="I4092" s="26" t="str">
        <f>IF(OR(E4092="",E4092="!!!",F4092="NEW"),"",INDEX(B4091:B$2,-1+SUMPRODUCT(MAX(ROW(E4091:E$2)*(E4092=E4091:E$2)))))</f>
        <v> </v>
      </c>
      <c r="J4092" s="26" t="str">
        <f>IF(OR(E4092="",E4092="!!!",F4092="NEW"),"",COUNTBLANK(OFFSET(A$1,,,SUMPRODUCT(MAX(ROW(E$2:E4092)*(E4092=E$2:E4092)))))-COUNTBLANK(OFFSET(A$1,,,SUMPRODUCT(MAX(ROW(E$1:E4091)*(E2=E$1:E4091))))))</f>
        <v> </v>
      </c>
      <c r="K4092" s="26" t="str">
        <f>IF(OR(E4092="",E4092="!!!",F4092="NEW"),"",INDEX(J$1:J4091,SUMPRODUCT(MAX(ROW(E$1:E4091)*(E4092=E$1:E4091)))))</f>
        <v> </v>
      </c>
      <c r="L4092" s="27"/>
    </row>
    <row r="4093" spans="1:12">
      <c r="A4093" s="20"/>
    </row>
    <row r="4094" spans="1:12">
      <c r="A4094" s="20" t="s">
        <v>2086</v>
      </c>
    </row>
    <row r="4095" spans="1:12">
      <c r="A4095" s="20" t="s">
        <v>777</v>
      </c>
      <c r="E4095" s="22">
        <f>IF(D4095="?OLD","!!!","")</f>
        <v/>
      </c>
      <c r="F4095" s="23" t="str">
        <f>IF(OR(E4095="",E4095="!!!"),"",IF(NOT(ISNA(VLOOKUP(E4095,E$1:E4094,1,FALSE()))),"OLD",IF(AND(E4095&lt;&gt;"",E4095&lt;&gt;"!!!"),"NEW","")))</f>
        <v> </v>
      </c>
      <c r="G4095" s="24" t="str">
        <f>IF(OR(E4095="",E4095="!!!"),"",IF(OR(J4095=0,AND(J4095=1,K4095=1),AND(J4095=1,I4095="SBJ"),AND(J4095=1,I4095=0)),"?IN_FOCUS",IF(J4095&lt;=2,"?ACTIVATED",IF(J4095&lt;&gt;"","?FAMILIAR",IF(F4095="NEW",IF(ISNA(VLOOKUP(E4095,#REF!,1,FALSE())),"?TYPE_IDENTIFIABLE","?REFERENTIAL"),"_")))))</f>
        <v> </v>
      </c>
      <c r="H4095" s="25" t="str">
        <f>IF(J4095&lt;&gt;1,"",IF(I4095="SBJ","CB","?"))</f>
        <v> </v>
      </c>
      <c r="I4095" s="26" t="str">
        <f>IF(OR(E4095="",E4095="!!!",F4095="NEW"),"",INDEX(B4094:B$2,-1+SUMPRODUCT(MAX(ROW(E4094:E$2)*(E4095=E4094:E$2)))))</f>
        <v> </v>
      </c>
      <c r="J4095" s="26" t="str">
        <f>IF(OR(E4095="",E4095="!!!",F4095="NEW"),"",COUNTBLANK(OFFSET(A$1,,,SUMPRODUCT(MAX(ROW(E$2:E4095)*(E4095=E$2:E4095)))))-COUNTBLANK(OFFSET(A$1,,,SUMPRODUCT(MAX(ROW(E$1:E4094)*(E2=E$1:E4094))))))</f>
        <v> </v>
      </c>
      <c r="K4095" s="26" t="str">
        <f>IF(OR(E4095="",E4095="!!!",F4095="NEW"),"",INDEX(J$1:J4094,SUMPRODUCT(MAX(ROW(E$1:E4094)*(E4095=E$1:E4094)))))</f>
        <v> </v>
      </c>
      <c r="L4095" s="27"/>
    </row>
    <row r="4096" spans="1:12">
      <c r="A4096" s="20" t="s">
        <v>1000</v>
      </c>
      <c r="E4096" s="22">
        <f>IF(D4096="?OLD","!!!","")</f>
        <v/>
      </c>
      <c r="F4096" s="23" t="str">
        <f>IF(OR(E4096="",E4096="!!!"),"",IF(NOT(ISNA(VLOOKUP(E4096,E$1:E4095,1,FALSE()))),"OLD",IF(AND(E4096&lt;&gt;"",E4096&lt;&gt;"!!!"),"NEW","")))</f>
        <v> </v>
      </c>
      <c r="G4096" s="24" t="str">
        <f>IF(OR(E4096="",E4096="!!!"),"",IF(OR(J4096=0,AND(J4096=1,K4096=1),AND(J4096=1,I4096="SBJ"),AND(J4096=1,I4096=0)),"?IN_FOCUS",IF(J4096&lt;=2,"?ACTIVATED",IF(J4096&lt;&gt;"","?FAMILIAR",IF(F4096="NEW",IF(ISNA(VLOOKUP(E4096,#REF!,1,FALSE())),"?TYPE_IDENTIFIABLE","?REFERENTIAL"),"_")))))</f>
        <v> </v>
      </c>
      <c r="H4096" s="25" t="str">
        <f>IF(J4096&lt;&gt;1,"",IF(I4096="SBJ","CB","?"))</f>
        <v> </v>
      </c>
      <c r="I4096" s="26" t="str">
        <f>IF(OR(E4096="",E4096="!!!",F4096="NEW"),"",INDEX(B4095:B$2,-1+SUMPRODUCT(MAX(ROW(E4095:E$2)*(E4096=E4095:E$2)))))</f>
        <v> </v>
      </c>
      <c r="J4096" s="26" t="str">
        <f>IF(OR(E4096="",E4096="!!!",F4096="NEW"),"",COUNTBLANK(OFFSET(A$1,,,SUMPRODUCT(MAX(ROW(E$2:E4096)*(E4096=E$2:E4096)))))-COUNTBLANK(OFFSET(A$1,,,SUMPRODUCT(MAX(ROW(E$1:E4095)*(E2=E$1:E4095))))))</f>
        <v> </v>
      </c>
      <c r="K4096" s="26" t="str">
        <f>IF(OR(E4096="",E4096="!!!",F4096="NEW"),"",INDEX(J$1:J4095,SUMPRODUCT(MAX(ROW(E$1:E4095)*(E4096=E$1:E4095)))))</f>
        <v> </v>
      </c>
      <c r="L4096" s="27"/>
    </row>
    <row r="4097" spans="1:12">
      <c r="A4097" s="20" t="s">
        <v>1728</v>
      </c>
      <c r="E4097" s="22">
        <f>IF(D4097="?OLD","!!!","")</f>
        <v/>
      </c>
      <c r="F4097" s="23" t="str">
        <f>IF(OR(E4097="",E4097="!!!"),"",IF(NOT(ISNA(VLOOKUP(E4097,E$1:E4096,1,FALSE()))),"OLD",IF(AND(E4097&lt;&gt;"",E4097&lt;&gt;"!!!"),"NEW","")))</f>
        <v> </v>
      </c>
      <c r="G4097" s="24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5" t="str">
        <f>IF(J4097&lt;&gt;1,"",IF(I4097="SBJ","CB","?"))</f>
        <v> </v>
      </c>
      <c r="I4097" s="26" t="str">
        <f>IF(OR(E4097="",E4097="!!!",F4097="NEW"),"",INDEX(B4096:B$2,-1+SUMPRODUCT(MAX(ROW(E4096:E$2)*(E4097=E4096:E$2)))))</f>
        <v> </v>
      </c>
      <c r="J4097" s="26" t="str">
        <f>IF(OR(E4097="",E4097="!!!",F4097="NEW"),"",COUNTBLANK(OFFSET(A$1,,,SUMPRODUCT(MAX(ROW(E$2:E4097)*(E4097=E$2:E4097)))))-COUNTBLANK(OFFSET(A$1,,,SUMPRODUCT(MAX(ROW(E$1:E4096)*(E2=E$1:E4096))))))</f>
        <v> </v>
      </c>
      <c r="K4097" s="26" t="str">
        <f>IF(OR(E4097="",E4097="!!!",F4097="NEW"),"",INDEX(J$1:J4096,SUMPRODUCT(MAX(ROW(E$1:E4096)*(E4097=E$1:E4096)))))</f>
        <v> </v>
      </c>
      <c r="L4097" s="27"/>
    </row>
    <row r="4098" spans="1:12">
      <c r="A4098" s="20" t="s">
        <v>2087</v>
      </c>
      <c r="E4098" s="22">
        <f>IF(D4098="?OLD","!!!","")</f>
        <v/>
      </c>
      <c r="F4098" s="23" t="str">
        <f>IF(OR(E4098="",E4098="!!!"),"",IF(NOT(ISNA(VLOOKUP(E4098,E$1:E4097,1,FALSE()))),"OLD",IF(AND(E4098&lt;&gt;"",E4098&lt;&gt;"!!!"),"NEW","")))</f>
        <v> </v>
      </c>
      <c r="G4098" s="24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5" t="str">
        <f>IF(J4098&lt;&gt;1,"",IF(I4098="SBJ","CB","?"))</f>
        <v> </v>
      </c>
      <c r="I4098" s="26" t="str">
        <f>IF(OR(E4098="",E4098="!!!",F4098="NEW"),"",INDEX(B4097:B$2,-1+SUMPRODUCT(MAX(ROW(E4097:E$2)*(E4098=E4097:E$2)))))</f>
        <v> </v>
      </c>
      <c r="J4098" s="26" t="str">
        <f>IF(OR(E4098="",E4098="!!!",F4098="NEW"),"",COUNTBLANK(OFFSET(A$1,,,SUMPRODUCT(MAX(ROW(E$2:E4098)*(E4098=E$2:E4098)))))-COUNTBLANK(OFFSET(A$1,,,SUMPRODUCT(MAX(ROW(E$1:E4097)*(E2=E$1:E4097))))))</f>
        <v> </v>
      </c>
      <c r="K4098" s="26" t="str">
        <f>IF(OR(E4098="",E4098="!!!",F4098="NEW"),"",INDEX(J$1:J4097,SUMPRODUCT(MAX(ROW(E$1:E4097)*(E4098=E$1:E4097)))))</f>
        <v> </v>
      </c>
      <c r="L4098" s="27"/>
    </row>
    <row r="4099" spans="1:12">
      <c r="A4099" s="20" t="s">
        <v>1168</v>
      </c>
      <c r="E4099" s="22">
        <f>IF(D4099="?OLD","!!!","")</f>
        <v/>
      </c>
      <c r="F4099" s="23" t="str">
        <f>IF(OR(E4099="",E4099="!!!"),"",IF(NOT(ISNA(VLOOKUP(E4099,E$1:E4098,1,FALSE()))),"OLD",IF(AND(E4099&lt;&gt;"",E4099&lt;&gt;"!!!"),"NEW","")))</f>
        <v> </v>
      </c>
      <c r="G4099" s="24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5" t="str">
        <f>IF(J4099&lt;&gt;1,"",IF(I4099="SBJ","CB","?"))</f>
        <v> </v>
      </c>
      <c r="I4099" s="26" t="str">
        <f>IF(OR(E4099="",E4099="!!!",F4099="NEW"),"",INDEX(B4098:B$2,-1+SUMPRODUCT(MAX(ROW(E4098:E$2)*(E4099=E4098:E$2)))))</f>
        <v> </v>
      </c>
      <c r="J4099" s="26" t="str">
        <f>IF(OR(E4099="",E4099="!!!",F4099="NEW"),"",COUNTBLANK(OFFSET(A$1,,,SUMPRODUCT(MAX(ROW(E$2:E4099)*(E4099=E$2:E4099)))))-COUNTBLANK(OFFSET(A$1,,,SUMPRODUCT(MAX(ROW(E$1:E4098)*(E2=E$1:E4098))))))</f>
        <v> </v>
      </c>
      <c r="K4099" s="26" t="str">
        <f>IF(OR(E4099="",E4099="!!!",F4099="NEW"),"",INDEX(J$1:J4098,SUMPRODUCT(MAX(ROW(E$1:E4098)*(E4099=E$1:E4098)))))</f>
        <v> </v>
      </c>
      <c r="L4099" s="27"/>
    </row>
    <row r="4100" spans="1:12">
      <c r="A4100" s="20" t="s">
        <v>1006</v>
      </c>
      <c r="E4100" s="22">
        <f>IF(D4100="?OLD","!!!","")</f>
        <v/>
      </c>
      <c r="F4100" s="23" t="str">
        <f>IF(OR(E4100="",E4100="!!!"),"",IF(NOT(ISNA(VLOOKUP(E4100,E$1:E4099,1,FALSE()))),"OLD",IF(AND(E4100&lt;&gt;"",E4100&lt;&gt;"!!!"),"NEW","")))</f>
        <v> </v>
      </c>
      <c r="G4100" s="24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5" t="str">
        <f>IF(J4100&lt;&gt;1,"",IF(I4100="SBJ","CB","?"))</f>
        <v> </v>
      </c>
      <c r="I4100" s="26" t="str">
        <f>IF(OR(E4100="",E4100="!!!",F4100="NEW"),"",INDEX(B4099:B$2,-1+SUMPRODUCT(MAX(ROW(E4099:E$2)*(E4100=E4099:E$2)))))</f>
        <v> </v>
      </c>
      <c r="J4100" s="26" t="str">
        <f>IF(OR(E4100="",E4100="!!!",F4100="NEW"),"",COUNTBLANK(OFFSET(A$1,,,SUMPRODUCT(MAX(ROW(E$2:E4100)*(E4100=E$2:E4100)))))-COUNTBLANK(OFFSET(A$1,,,SUMPRODUCT(MAX(ROW(E$1:E4099)*(E2=E$1:E4099))))))</f>
        <v> </v>
      </c>
      <c r="K4100" s="26" t="str">
        <f>IF(OR(E4100="",E4100="!!!",F4100="NEW"),"",INDEX(J$1:J4099,SUMPRODUCT(MAX(ROW(E$1:E4099)*(E4100=E$1:E4099)))))</f>
        <v> </v>
      </c>
      <c r="L4100" s="27"/>
    </row>
    <row r="4101" spans="1:12">
      <c r="A4101" s="20" t="s">
        <v>1579</v>
      </c>
      <c r="B4101" s="21" t="s">
        <v>1031</v>
      </c>
      <c r="C4101" s="21" t="s">
        <v>949</v>
      </c>
      <c r="D4101" s="21" t="s">
        <v>950</v>
      </c>
      <c r="E4101" s="22">
        <f>IF(D4101="?OLD","!!!","")</f>
        <v/>
      </c>
      <c r="F4101" s="23" t="str">
        <f>IF(OR(E4101="",E4101="!!!"),"",IF(NOT(ISNA(VLOOKUP(E4101,E$1:E4100,1,FALSE()))),"OLD",IF(AND(E4101&lt;&gt;"",E4101&lt;&gt;"!!!"),"NEW","")))</f>
        <v> </v>
      </c>
      <c r="G4101" s="24" t="str">
        <f>IF(OR(E4101="",E4101="!!!"),"",IF(OR(J4101=0,AND(J4101=1,K4101=1),AND(J4101=1,I4101="SBJ"),AND(J4101=1,I4101=0)),"?IN_FOCUS",IF(J4101&lt;=2,"?ACTIVATED",IF(J4101&lt;&gt;"","?FAMILIAR",IF(F4101="NEW",IF(ISNA(VLOOKUP(E4101,#REF!,1,FALSE())),"?TYPE_IDENTIFIABLE","?REFERENTIAL"),"_")))))</f>
        <v> </v>
      </c>
      <c r="H4101" s="25" t="str">
        <f>IF(J4101&lt;&gt;1,"",IF(I4101="SBJ","CB","?"))</f>
        <v> </v>
      </c>
      <c r="I4101" s="26" t="str">
        <f>IF(OR(E4101="",E4101="!!!",F4101="NEW"),"",INDEX(B4100:B$2,-1+SUMPRODUCT(MAX(ROW(E4100:E$2)*(E4101=E4100:E$2)))))</f>
        <v> </v>
      </c>
      <c r="J4101" s="26" t="str">
        <f>IF(OR(E4101="",E4101="!!!",F4101="NEW"),"",COUNTBLANK(OFFSET(A$1,,,SUMPRODUCT(MAX(ROW(E$2:E4101)*(E4101=E$2:E4101)))))-COUNTBLANK(OFFSET(A$1,,,SUMPRODUCT(MAX(ROW(E$1:E4100)*(E2=E$1:E4100))))))</f>
        <v> </v>
      </c>
      <c r="K4101" s="26" t="str">
        <f>IF(OR(E4101="",E4101="!!!",F4101="NEW"),"",INDEX(J$1:J4100,SUMPRODUCT(MAX(ROW(E$1:E4100)*(E4101=E$1:E4100)))))</f>
        <v> </v>
      </c>
      <c r="L4101" s="27"/>
    </row>
    <row r="4102" spans="1:12">
      <c r="A4102" s="20" t="s">
        <v>1580</v>
      </c>
      <c r="B4102" s="21" t="s">
        <v>980</v>
      </c>
      <c r="C4102" s="21" t="s">
        <v>949</v>
      </c>
      <c r="D4102" s="21" t="s">
        <v>950</v>
      </c>
      <c r="E4102" s="22">
        <f>IF(D4102="?OLD","!!!","")</f>
        <v/>
      </c>
      <c r="F4102" s="23" t="str">
        <f>IF(OR(E4102="",E4102="!!!"),"",IF(NOT(ISNA(VLOOKUP(E4102,E$1:E4101,1,FALSE()))),"OLD",IF(AND(E4102&lt;&gt;"",E4102&lt;&gt;"!!!"),"NEW","")))</f>
        <v> </v>
      </c>
      <c r="G4102" s="24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5" t="str">
        <f>IF(J4102&lt;&gt;1,"",IF(I4102="SBJ","CB","?"))</f>
        <v> </v>
      </c>
      <c r="I4102" s="26" t="str">
        <f>IF(OR(E4102="",E4102="!!!",F4102="NEW"),"",INDEX(B4101:B$2,-1+SUMPRODUCT(MAX(ROW(E4101:E$2)*(E4102=E4101:E$2)))))</f>
        <v> </v>
      </c>
      <c r="J4102" s="26" t="str">
        <f>IF(OR(E4102="",E4102="!!!",F4102="NEW"),"",COUNTBLANK(OFFSET(A$1,,,SUMPRODUCT(MAX(ROW(E$2:E4102)*(E4102=E$2:E4102)))))-COUNTBLANK(OFFSET(A$1,,,SUMPRODUCT(MAX(ROW(E$1:E4101)*(E2=E$1:E4101))))))</f>
        <v> </v>
      </c>
      <c r="K4102" s="26" t="str">
        <f>IF(OR(E4102="",E4102="!!!",F4102="NEW"),"",INDEX(J$1:J4101,SUMPRODUCT(MAX(ROW(E$1:E4101)*(E4102=E$1:E4101)))))</f>
        <v> </v>
      </c>
      <c r="L4102" s="27"/>
    </row>
    <row r="4103" spans="1:12">
      <c r="A4103" s="20" t="s">
        <v>1034</v>
      </c>
      <c r="E4103" s="22">
        <f>IF(D4103="?OLD","!!!","")</f>
        <v/>
      </c>
      <c r="F4103" s="23" t="str">
        <f>IF(OR(E4103="",E4103="!!!"),"",IF(NOT(ISNA(VLOOKUP(E4103,E$1:E4102,1,FALSE()))),"OLD",IF(AND(E4103&lt;&gt;"",E4103&lt;&gt;"!!!"),"NEW","")))</f>
        <v> </v>
      </c>
      <c r="G4103" s="24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5" t="str">
        <f>IF(J4103&lt;&gt;1,"",IF(I4103="SBJ","CB","?"))</f>
        <v> </v>
      </c>
      <c r="I4103" s="26" t="str">
        <f>IF(OR(E4103="",E4103="!!!",F4103="NEW"),"",INDEX(B4102:B$2,-1+SUMPRODUCT(MAX(ROW(E4102:E$2)*(E4103=E4102:E$2)))))</f>
        <v> </v>
      </c>
      <c r="J4103" s="26" t="str">
        <f>IF(OR(E4103="",E4103="!!!",F4103="NEW"),"",COUNTBLANK(OFFSET(A$1,,,SUMPRODUCT(MAX(ROW(E$2:E4103)*(E4103=E$2:E4103)))))-COUNTBLANK(OFFSET(A$1,,,SUMPRODUCT(MAX(ROW(E$1:E4102)*(E2=E$1:E4102))))))</f>
        <v> </v>
      </c>
      <c r="K4103" s="26" t="str">
        <f>IF(OR(E4103="",E4103="!!!",F4103="NEW"),"",INDEX(J$1:J4102,SUMPRODUCT(MAX(ROW(E$1:E4102)*(E4103=E$1:E4102)))))</f>
        <v> </v>
      </c>
      <c r="L4103" s="27"/>
    </row>
    <row r="4104" spans="1:12">
      <c r="A4104" s="20" t="s">
        <v>1093</v>
      </c>
      <c r="E4104" s="22">
        <f>IF(D4104="?OLD","!!!","")</f>
        <v/>
      </c>
      <c r="F4104" s="23" t="str">
        <f>IF(OR(E4104="",E4104="!!!"),"",IF(NOT(ISNA(VLOOKUP(E4104,E$1:E4103,1,FALSE()))),"OLD",IF(AND(E4104&lt;&gt;"",E4104&lt;&gt;"!!!"),"NEW","")))</f>
        <v> </v>
      </c>
      <c r="G4104" s="24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5" t="str">
        <f>IF(J4104&lt;&gt;1,"",IF(I4104="SBJ","CB","?"))</f>
        <v> </v>
      </c>
      <c r="I4104" s="26" t="str">
        <f>IF(OR(E4104="",E4104="!!!",F4104="NEW"),"",INDEX(B4103:B$2,-1+SUMPRODUCT(MAX(ROW(E4103:E$2)*(E4104=E4103:E$2)))))</f>
        <v> </v>
      </c>
      <c r="J4104" s="26" t="str">
        <f>IF(OR(E4104="",E4104="!!!",F4104="NEW"),"",COUNTBLANK(OFFSET(A$1,,,SUMPRODUCT(MAX(ROW(E$2:E4104)*(E4104=E$2:E4104)))))-COUNTBLANK(OFFSET(A$1,,,SUMPRODUCT(MAX(ROW(E$1:E4103)*(E2=E$1:E4103))))))</f>
        <v> </v>
      </c>
      <c r="K4104" s="26" t="str">
        <f>IF(OR(E4104="",E4104="!!!",F4104="NEW"),"",INDEX(J$1:J4103,SUMPRODUCT(MAX(ROW(E$1:E4103)*(E4104=E$1:E4103)))))</f>
        <v> </v>
      </c>
      <c r="L4104" s="27"/>
    </row>
    <row r="4105" spans="1:12">
      <c r="A4105" s="20" t="s">
        <v>1094</v>
      </c>
      <c r="B4105" s="21" t="s">
        <v>980</v>
      </c>
      <c r="C4105" s="21" t="s">
        <v>1032</v>
      </c>
      <c r="D4105" s="21" t="s">
        <v>950</v>
      </c>
      <c r="E4105" s="22">
        <f>IF(D4105="?OLD","!!!","")</f>
        <v/>
      </c>
      <c r="F4105" s="23" t="str">
        <f>IF(OR(E4105="",E4105="!!!"),"",IF(NOT(ISNA(VLOOKUP(E4105,E$1:E4104,1,FALSE()))),"OLD",IF(AND(E4105&lt;&gt;"",E4105&lt;&gt;"!!!"),"NEW","")))</f>
        <v> </v>
      </c>
      <c r="G4105" s="24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5" t="str">
        <f>IF(J4105&lt;&gt;1,"",IF(I4105="SBJ","CB","?"))</f>
        <v> </v>
      </c>
      <c r="I4105" s="26" t="str">
        <f>IF(OR(E4105="",E4105="!!!",F4105="NEW"),"",INDEX(B4104:B$2,-1+SUMPRODUCT(MAX(ROW(E4104:E$2)*(E4105=E4104:E$2)))))</f>
        <v> </v>
      </c>
      <c r="J4105" s="26" t="str">
        <f>IF(OR(E4105="",E4105="!!!",F4105="NEW"),"",COUNTBLANK(OFFSET(A$1,,,SUMPRODUCT(MAX(ROW(E$2:E4105)*(E4105=E$2:E4105)))))-COUNTBLANK(OFFSET(A$1,,,SUMPRODUCT(MAX(ROW(E$1:E4104)*(E2=E$1:E4104))))))</f>
        <v> </v>
      </c>
      <c r="K4105" s="26" t="str">
        <f>IF(OR(E4105="",E4105="!!!",F4105="NEW"),"",INDEX(J$1:J4104,SUMPRODUCT(MAX(ROW(E$1:E4104)*(E4105=E$1:E4104)))))</f>
        <v> </v>
      </c>
      <c r="L4105" s="27"/>
    </row>
    <row r="4106" spans="1:12">
      <c r="A4106" s="20" t="s">
        <v>2088</v>
      </c>
      <c r="E4106" s="22">
        <f>IF(D4106="?OLD","!!!","")</f>
        <v/>
      </c>
      <c r="F4106" s="23" t="str">
        <f>IF(OR(E4106="",E4106="!!!"),"",IF(NOT(ISNA(VLOOKUP(E4106,E$1:E4105,1,FALSE()))),"OLD",IF(AND(E4106&lt;&gt;"",E4106&lt;&gt;"!!!"),"NEW","")))</f>
        <v> </v>
      </c>
      <c r="G4106" s="24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5" t="str">
        <f>IF(J4106&lt;&gt;1,"",IF(I4106="SBJ","CB","?"))</f>
        <v> </v>
      </c>
      <c r="I4106" s="26" t="str">
        <f>IF(OR(E4106="",E4106="!!!",F4106="NEW"),"",INDEX(B4105:B$2,-1+SUMPRODUCT(MAX(ROW(E4105:E$2)*(E4106=E4105:E$2)))))</f>
        <v> </v>
      </c>
      <c r="J4106" s="26" t="str">
        <f>IF(OR(E4106="",E4106="!!!",F4106="NEW"),"",COUNTBLANK(OFFSET(A$1,,,SUMPRODUCT(MAX(ROW(E$2:E4106)*(E4106=E$2:E4106)))))-COUNTBLANK(OFFSET(A$1,,,SUMPRODUCT(MAX(ROW(E$1:E4105)*(E2=E$1:E4105))))))</f>
        <v> </v>
      </c>
      <c r="K4106" s="26" t="str">
        <f>IF(OR(E4106="",E4106="!!!",F4106="NEW"),"",INDEX(J$1:J4105,SUMPRODUCT(MAX(ROW(E$1:E4105)*(E4106=E$1:E4105)))))</f>
        <v> </v>
      </c>
      <c r="L4106" s="27"/>
    </row>
    <row r="4107" spans="1:12">
      <c r="A4107" s="20" t="s">
        <v>1054</v>
      </c>
      <c r="E4107" s="22">
        <f>IF(D4107="?OLD","!!!","")</f>
        <v/>
      </c>
      <c r="F4107" s="23" t="str">
        <f>IF(OR(E4107="",E4107="!!!"),"",IF(NOT(ISNA(VLOOKUP(E4107,E$1:E4106,1,FALSE()))),"OLD",IF(AND(E4107&lt;&gt;"",E4107&lt;&gt;"!!!"),"NEW","")))</f>
        <v> </v>
      </c>
      <c r="G4107" s="24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5" t="str">
        <f>IF(J4107&lt;&gt;1,"",IF(I4107="SBJ","CB","?"))</f>
        <v> </v>
      </c>
      <c r="I4107" s="26" t="str">
        <f>IF(OR(E4107="",E4107="!!!",F4107="NEW"),"",INDEX(B4106:B$2,-1+SUMPRODUCT(MAX(ROW(E4106:E$2)*(E4107=E4106:E$2)))))</f>
        <v> </v>
      </c>
      <c r="J4107" s="26" t="str">
        <f>IF(OR(E4107="",E4107="!!!",F4107="NEW"),"",COUNTBLANK(OFFSET(A$1,,,SUMPRODUCT(MAX(ROW(E$2:E4107)*(E4107=E$2:E4107)))))-COUNTBLANK(OFFSET(A$1,,,SUMPRODUCT(MAX(ROW(E$1:E4106)*(E2=E$1:E4106))))))</f>
        <v> </v>
      </c>
      <c r="K4107" s="26" t="str">
        <f>IF(OR(E4107="",E4107="!!!",F4107="NEW"),"",INDEX(J$1:J4106,SUMPRODUCT(MAX(ROW(E$1:E4106)*(E4107=E$1:E4106)))))</f>
        <v> </v>
      </c>
      <c r="L4107" s="27"/>
    </row>
    <row r="4108" spans="1:12">
      <c r="A4108" s="20" t="s">
        <v>2089</v>
      </c>
      <c r="E4108" s="22">
        <f>IF(D4108="?OLD","!!!","")</f>
        <v/>
      </c>
      <c r="F4108" s="23" t="str">
        <f>IF(OR(E4108="",E4108="!!!"),"",IF(NOT(ISNA(VLOOKUP(E4108,E$1:E4107,1,FALSE()))),"OLD",IF(AND(E4108&lt;&gt;"",E4108&lt;&gt;"!!!"),"NEW","")))</f>
        <v> </v>
      </c>
      <c r="G4108" s="24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5" t="str">
        <f>IF(J4108&lt;&gt;1,"",IF(I4108="SBJ","CB","?"))</f>
        <v> </v>
      </c>
      <c r="I4108" s="26" t="str">
        <f>IF(OR(E4108="",E4108="!!!",F4108="NEW"),"",INDEX(B4107:B$2,-1+SUMPRODUCT(MAX(ROW(E4107:E$2)*(E4108=E4107:E$2)))))</f>
        <v> </v>
      </c>
      <c r="J4108" s="26" t="str">
        <f>IF(OR(E4108="",E4108="!!!",F4108="NEW"),"",COUNTBLANK(OFFSET(A$1,,,SUMPRODUCT(MAX(ROW(E$2:E4108)*(E4108=E$2:E4108)))))-COUNTBLANK(OFFSET(A$1,,,SUMPRODUCT(MAX(ROW(E$1:E4107)*(E2=E$1:E4107))))))</f>
        <v> </v>
      </c>
      <c r="K4108" s="26" t="str">
        <f>IF(OR(E4108="",E4108="!!!",F4108="NEW"),"",INDEX(J$1:J4107,SUMPRODUCT(MAX(ROW(E$1:E4107)*(E4108=E$1:E4107)))))</f>
        <v> </v>
      </c>
      <c r="L4108" s="27"/>
    </row>
    <row r="4109" spans="1:12">
      <c r="A4109" s="20" t="s">
        <v>1000</v>
      </c>
      <c r="E4109" s="22">
        <f>IF(D4109="?OLD","!!!","")</f>
        <v/>
      </c>
      <c r="F4109" s="23" t="str">
        <f>IF(OR(E4109="",E4109="!!!"),"",IF(NOT(ISNA(VLOOKUP(E4109,E$1:E4108,1,FALSE()))),"OLD",IF(AND(E4109&lt;&gt;"",E4109&lt;&gt;"!!!"),"NEW","")))</f>
        <v> </v>
      </c>
      <c r="G4109" s="24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5" t="str">
        <f>IF(J4109&lt;&gt;1,"",IF(I4109="SBJ","CB","?"))</f>
        <v> </v>
      </c>
      <c r="I4109" s="26" t="str">
        <f>IF(OR(E4109="",E4109="!!!",F4109="NEW"),"",INDEX(B4108:B$2,-1+SUMPRODUCT(MAX(ROW(E4108:E$2)*(E4109=E4108:E$2)))))</f>
        <v> </v>
      </c>
      <c r="J4109" s="26" t="str">
        <f>IF(OR(E4109="",E4109="!!!",F4109="NEW"),"",COUNTBLANK(OFFSET(A$1,,,SUMPRODUCT(MAX(ROW(E$2:E4109)*(E4109=E$2:E4109)))))-COUNTBLANK(OFFSET(A$1,,,SUMPRODUCT(MAX(ROW(E$1:E4108)*(E2=E$1:E4108))))))</f>
        <v> </v>
      </c>
      <c r="K4109" s="26" t="str">
        <f>IF(OR(E4109="",E4109="!!!",F4109="NEW"),"",INDEX(J$1:J4108,SUMPRODUCT(MAX(ROW(E$1:E4108)*(E4109=E$1:E4108)))))</f>
        <v> </v>
      </c>
      <c r="L4109" s="27"/>
    </row>
    <row r="4110" spans="1:12">
      <c r="A4110" s="20" t="s">
        <v>995</v>
      </c>
      <c r="E4110" s="22">
        <f>IF(D4110="?OLD","!!!","")</f>
        <v/>
      </c>
      <c r="F4110" s="23" t="str">
        <f>IF(OR(E4110="",E4110="!!!"),"",IF(NOT(ISNA(VLOOKUP(E4110,E$1:E4109,1,FALSE()))),"OLD",IF(AND(E4110&lt;&gt;"",E4110&lt;&gt;"!!!"),"NEW","")))</f>
        <v> </v>
      </c>
      <c r="G4110" s="24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5" t="str">
        <f>IF(J4110&lt;&gt;1,"",IF(I4110="SBJ","CB","?"))</f>
        <v> </v>
      </c>
      <c r="I4110" s="26" t="str">
        <f>IF(OR(E4110="",E4110="!!!",F4110="NEW"),"",INDEX(B4109:B$2,-1+SUMPRODUCT(MAX(ROW(E4109:E$2)*(E4110=E4109:E$2)))))</f>
        <v> </v>
      </c>
      <c r="J4110" s="26" t="str">
        <f>IF(OR(E4110="",E4110="!!!",F4110="NEW"),"",COUNTBLANK(OFFSET(A$1,,,SUMPRODUCT(MAX(ROW(E$2:E4110)*(E4110=E$2:E4110)))))-COUNTBLANK(OFFSET(A$1,,,SUMPRODUCT(MAX(ROW(E$1:E4109)*(E2=E$1:E4109))))))</f>
        <v> </v>
      </c>
      <c r="K4110" s="26" t="str">
        <f>IF(OR(E4110="",E4110="!!!",F4110="NEW"),"",INDEX(J$1:J4109,SUMPRODUCT(MAX(ROW(E$1:E4109)*(E4110=E$1:E4109)))))</f>
        <v> </v>
      </c>
      <c r="L4110" s="27"/>
    </row>
    <row r="4111" spans="1:12">
      <c r="A4111" s="20" t="s">
        <v>1637</v>
      </c>
      <c r="E4111" s="22">
        <f>IF(D4111="?OLD","!!!","")</f>
        <v/>
      </c>
      <c r="F4111" s="23" t="str">
        <f>IF(OR(E4111="",E4111="!!!"),"",IF(NOT(ISNA(VLOOKUP(E4111,E$1:E4110,1,FALSE()))),"OLD",IF(AND(E4111&lt;&gt;"",E4111&lt;&gt;"!!!"),"NEW","")))</f>
        <v> </v>
      </c>
      <c r="G4111" s="24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5" t="str">
        <f>IF(J4111&lt;&gt;1,"",IF(I4111="SBJ","CB","?"))</f>
        <v> </v>
      </c>
      <c r="I4111" s="26" t="str">
        <f>IF(OR(E4111="",E4111="!!!",F4111="NEW"),"",INDEX(B4110:B$2,-1+SUMPRODUCT(MAX(ROW(E4110:E$2)*(E4111=E4110:E$2)))))</f>
        <v> </v>
      </c>
      <c r="J4111" s="26" t="str">
        <f>IF(OR(E4111="",E4111="!!!",F4111="NEW"),"",COUNTBLANK(OFFSET(A$1,,,SUMPRODUCT(MAX(ROW(E$2:E4111)*(E4111=E$2:E4111)))))-COUNTBLANK(OFFSET(A$1,,,SUMPRODUCT(MAX(ROW(E$1:E4110)*(E2=E$1:E4110))))))</f>
        <v> </v>
      </c>
      <c r="K4111" s="26" t="str">
        <f>IF(OR(E4111="",E4111="!!!",F4111="NEW"),"",INDEX(J$1:J4110,SUMPRODUCT(MAX(ROW(E$1:E4110)*(E4111=E$1:E4110)))))</f>
        <v> </v>
      </c>
      <c r="L4111" s="27"/>
    </row>
    <row r="4112" spans="1:12">
      <c r="A4112" s="20" t="s">
        <v>2090</v>
      </c>
      <c r="B4112" s="21" t="s">
        <v>1005</v>
      </c>
      <c r="C4112" s="21" t="s">
        <v>983</v>
      </c>
      <c r="E4112" s="22">
        <f>IF(D4112="?OLD","!!!","")</f>
        <v/>
      </c>
      <c r="F4112" s="23" t="str">
        <f>IF(OR(E4112="",E4112="!!!"),"",IF(NOT(ISNA(VLOOKUP(E4112,E$1:E4111,1,FALSE()))),"OLD",IF(AND(E4112&lt;&gt;"",E4112&lt;&gt;"!!!"),"NEW","")))</f>
        <v> </v>
      </c>
      <c r="G4112" s="24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5" t="str">
        <f>IF(J4112&lt;&gt;1,"",IF(I4112="SBJ","CB","?"))</f>
        <v> </v>
      </c>
      <c r="I4112" s="26" t="str">
        <f>IF(OR(E4112="",E4112="!!!",F4112="NEW"),"",INDEX(B4111:B$2,-1+SUMPRODUCT(MAX(ROW(E4111:E$2)*(E4112=E4111:E$2)))))</f>
        <v> </v>
      </c>
      <c r="J4112" s="26" t="str">
        <f>IF(OR(E4112="",E4112="!!!",F4112="NEW"),"",COUNTBLANK(OFFSET(A$1,,,SUMPRODUCT(MAX(ROW(E$2:E4112)*(E4112=E$2:E4112)))))-COUNTBLANK(OFFSET(A$1,,,SUMPRODUCT(MAX(ROW(E$1:E4111)*(E2=E$1:E4111))))))</f>
        <v> </v>
      </c>
      <c r="K4112" s="26" t="str">
        <f>IF(OR(E4112="",E4112="!!!",F4112="NEW"),"",INDEX(J$1:J4111,SUMPRODUCT(MAX(ROW(E$1:E4111)*(E4112=E$1:E4111)))))</f>
        <v> </v>
      </c>
      <c r="L4112" s="27"/>
    </row>
    <row r="4113" spans="1:12">
      <c r="A4113" s="20" t="s">
        <v>1022</v>
      </c>
      <c r="E4113" s="22">
        <f>IF(D4113="?OLD","!!!","")</f>
        <v/>
      </c>
      <c r="F4113" s="23" t="str">
        <f>IF(OR(E4113="",E4113="!!!"),"",IF(NOT(ISNA(VLOOKUP(E4113,E$1:E4112,1,FALSE()))),"OLD",IF(AND(E4113&lt;&gt;"",E4113&lt;&gt;"!!!"),"NEW","")))</f>
        <v> </v>
      </c>
      <c r="G4113" s="24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5" t="str">
        <f>IF(J4113&lt;&gt;1,"",IF(I4113="SBJ","CB","?"))</f>
        <v> </v>
      </c>
      <c r="I4113" s="26" t="str">
        <f>IF(OR(E4113="",E4113="!!!",F4113="NEW"),"",INDEX(B4112:B$2,-1+SUMPRODUCT(MAX(ROW(E4112:E$2)*(E4113=E4112:E$2)))))</f>
        <v> </v>
      </c>
      <c r="J4113" s="26" t="str">
        <f>IF(OR(E4113="",E4113="!!!",F4113="NEW"),"",COUNTBLANK(OFFSET(A$1,,,SUMPRODUCT(MAX(ROW(E$2:E4113)*(E4113=E$2:E4113)))))-COUNTBLANK(OFFSET(A$1,,,SUMPRODUCT(MAX(ROW(E$1:E4112)*(E2=E$1:E4112))))))</f>
        <v> </v>
      </c>
      <c r="K4113" s="26" t="str">
        <f>IF(OR(E4113="",E4113="!!!",F4113="NEW"),"",INDEX(J$1:J4112,SUMPRODUCT(MAX(ROW(E$1:E4112)*(E4113=E$1:E4112)))))</f>
        <v> </v>
      </c>
      <c r="L4113" s="27"/>
    </row>
    <row r="4114" spans="1:12">
      <c r="A4114" s="20" t="s">
        <v>2091</v>
      </c>
      <c r="B4114" s="21" t="s">
        <v>1005</v>
      </c>
      <c r="E4114" s="22">
        <f>IF(D4114="?OLD","!!!","")</f>
        <v/>
      </c>
      <c r="F4114" s="23" t="str">
        <f>IF(OR(E4114="",E4114="!!!"),"",IF(NOT(ISNA(VLOOKUP(E4114,E$1:E4113,1,FALSE()))),"OLD",IF(AND(E4114&lt;&gt;"",E4114&lt;&gt;"!!!"),"NEW","")))</f>
        <v> </v>
      </c>
      <c r="G4114" s="24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5" t="str">
        <f>IF(J4114&lt;&gt;1,"",IF(I4114="SBJ","CB","?"))</f>
        <v> </v>
      </c>
      <c r="I4114" s="26" t="str">
        <f>IF(OR(E4114="",E4114="!!!",F4114="NEW"),"",INDEX(B4113:B$2,-1+SUMPRODUCT(MAX(ROW(E4113:E$2)*(E4114=E4113:E$2)))))</f>
        <v> </v>
      </c>
      <c r="J4114" s="26" t="str">
        <f>IF(OR(E4114="",E4114="!!!",F4114="NEW"),"",COUNTBLANK(OFFSET(A$1,,,SUMPRODUCT(MAX(ROW(E$2:E4114)*(E4114=E$2:E4114)))))-COUNTBLANK(OFFSET(A$1,,,SUMPRODUCT(MAX(ROW(E$1:E4113)*(E2=E$1:E4113))))))</f>
        <v> </v>
      </c>
      <c r="K4114" s="26" t="str">
        <f>IF(OR(E4114="",E4114="!!!",F4114="NEW"),"",INDEX(J$1:J4113,SUMPRODUCT(MAX(ROW(E$1:E4113)*(E4114=E$1:E4113)))))</f>
        <v> </v>
      </c>
      <c r="L4114" s="27"/>
    </row>
    <row r="4115" spans="1:12">
      <c r="A4115" s="20" t="s">
        <v>2092</v>
      </c>
      <c r="E4115" s="22">
        <f>IF(D4115="?OLD","!!!","")</f>
        <v/>
      </c>
      <c r="F4115" s="23" t="str">
        <f>IF(OR(E4115="",E4115="!!!"),"",IF(NOT(ISNA(VLOOKUP(E4115,E$1:E4114,1,FALSE()))),"OLD",IF(AND(E4115&lt;&gt;"",E4115&lt;&gt;"!!!"),"NEW","")))</f>
        <v> </v>
      </c>
      <c r="G4115" s="24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5" t="str">
        <f>IF(J4115&lt;&gt;1,"",IF(I4115="SBJ","CB","?"))</f>
        <v> </v>
      </c>
      <c r="I4115" s="26" t="str">
        <f>IF(OR(E4115="",E4115="!!!",F4115="NEW"),"",INDEX(B4114:B$2,-1+SUMPRODUCT(MAX(ROW(E4114:E$2)*(E4115=E4114:E$2)))))</f>
        <v> </v>
      </c>
      <c r="J4115" s="26" t="str">
        <f>IF(OR(E4115="",E4115="!!!",F4115="NEW"),"",COUNTBLANK(OFFSET(A$1,,,SUMPRODUCT(MAX(ROW(E$2:E4115)*(E4115=E$2:E4115)))))-COUNTBLANK(OFFSET(A$1,,,SUMPRODUCT(MAX(ROW(E$1:E4114)*(E2=E$1:E4114))))))</f>
        <v> </v>
      </c>
      <c r="K4115" s="26" t="str">
        <f>IF(OR(E4115="",E4115="!!!",F4115="NEW"),"",INDEX(J$1:J4114,SUMPRODUCT(MAX(ROW(E$1:E4114)*(E4115=E$1:E4114)))))</f>
        <v> </v>
      </c>
      <c r="L4115" s="27"/>
    </row>
    <row r="4116" spans="1:12">
      <c r="A4116" s="20" t="s">
        <v>977</v>
      </c>
      <c r="E4116" s="22">
        <f>IF(D4116="?OLD","!!!","")</f>
        <v/>
      </c>
      <c r="F4116" s="23" t="str">
        <f>IF(OR(E4116="",E4116="!!!"),"",IF(NOT(ISNA(VLOOKUP(E4116,E$1:E4115,1,FALSE()))),"OLD",IF(AND(E4116&lt;&gt;"",E4116&lt;&gt;"!!!"),"NEW","")))</f>
        <v> </v>
      </c>
      <c r="G4116" s="24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5" t="str">
        <f>IF(J4116&lt;&gt;1,"",IF(I4116="SBJ","CB","?"))</f>
        <v> </v>
      </c>
      <c r="I4116" s="26" t="str">
        <f>IF(OR(E4116="",E4116="!!!",F4116="NEW"),"",INDEX(B4115:B$2,-1+SUMPRODUCT(MAX(ROW(E4115:E$2)*(E4116=E4115:E$2)))))</f>
        <v> </v>
      </c>
      <c r="J4116" s="26" t="str">
        <f>IF(OR(E4116="",E4116="!!!",F4116="NEW"),"",COUNTBLANK(OFFSET(A$1,,,SUMPRODUCT(MAX(ROW(E$2:E4116)*(E4116=E$2:E4116)))))-COUNTBLANK(OFFSET(A$1,,,SUMPRODUCT(MAX(ROW(E$1:E4115)*(E2=E$1:E4115))))))</f>
        <v> </v>
      </c>
      <c r="K4116" s="26" t="str">
        <f>IF(OR(E4116="",E4116="!!!",F4116="NEW"),"",INDEX(J$1:J4115,SUMPRODUCT(MAX(ROW(E$1:E4115)*(E4116=E$1:E4115)))))</f>
        <v> </v>
      </c>
      <c r="L4116" s="27"/>
    </row>
    <row r="4117" spans="1:12">
      <c r="A4117" s="20" t="s">
        <v>1006</v>
      </c>
      <c r="E4117" s="22">
        <f>IF(D4117="?OLD","!!!","")</f>
        <v/>
      </c>
      <c r="F4117" s="23" t="str">
        <f>IF(OR(E4117="",E4117="!!!"),"",IF(NOT(ISNA(VLOOKUP(E4117,E$1:E4116,1,FALSE()))),"OLD",IF(AND(E4117&lt;&gt;"",E4117&lt;&gt;"!!!"),"NEW","")))</f>
        <v> </v>
      </c>
      <c r="G4117" s="24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5" t="str">
        <f>IF(J4117&lt;&gt;1,"",IF(I4117="SBJ","CB","?"))</f>
        <v> </v>
      </c>
      <c r="I4117" s="26" t="str">
        <f>IF(OR(E4117="",E4117="!!!",F4117="NEW"),"",INDEX(B4116:B$2,-1+SUMPRODUCT(MAX(ROW(E4116:E$2)*(E4117=E4116:E$2)))))</f>
        <v> </v>
      </c>
      <c r="J4117" s="26" t="str">
        <f>IF(OR(E4117="",E4117="!!!",F4117="NEW"),"",COUNTBLANK(OFFSET(A$1,,,SUMPRODUCT(MAX(ROW(E$2:E4117)*(E4117=E$2:E4117)))))-COUNTBLANK(OFFSET(A$1,,,SUMPRODUCT(MAX(ROW(E$1:E4116)*(E2=E$1:E4116))))))</f>
        <v> </v>
      </c>
      <c r="K4117" s="26" t="str">
        <f>IF(OR(E4117="",E4117="!!!",F4117="NEW"),"",INDEX(J$1:J4116,SUMPRODUCT(MAX(ROW(E$1:E4116)*(E4117=E$1:E4116)))))</f>
        <v> </v>
      </c>
      <c r="L4117" s="27"/>
    </row>
    <row r="4118" spans="1:12">
      <c r="A4118" s="20" t="s">
        <v>1556</v>
      </c>
      <c r="B4118" s="21" t="s">
        <v>1010</v>
      </c>
      <c r="C4118" s="21" t="s">
        <v>1032</v>
      </c>
      <c r="D4118" s="21" t="s">
        <v>950</v>
      </c>
      <c r="E4118" s="22">
        <f>IF(D4118="?OLD","!!!","")</f>
        <v/>
      </c>
      <c r="F4118" s="23" t="str">
        <f>IF(OR(E4118="",E4118="!!!"),"",IF(NOT(ISNA(VLOOKUP(E4118,E$1:E4117,1,FALSE()))),"OLD",IF(AND(E4118&lt;&gt;"",E4118&lt;&gt;"!!!"),"NEW","")))</f>
        <v> </v>
      </c>
      <c r="G4118" s="24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5" t="str">
        <f>IF(J4118&lt;&gt;1,"",IF(I4118="SBJ","CB","?"))</f>
        <v> </v>
      </c>
      <c r="I4118" s="26" t="str">
        <f>IF(OR(E4118="",E4118="!!!",F4118="NEW"),"",INDEX(B4117:B$2,-1+SUMPRODUCT(MAX(ROW(E4117:E$2)*(E4118=E4117:E$2)))))</f>
        <v> </v>
      </c>
      <c r="J4118" s="26" t="str">
        <f>IF(OR(E4118="",E4118="!!!",F4118="NEW"),"",COUNTBLANK(OFFSET(A$1,,,SUMPRODUCT(MAX(ROW(E$2:E4118)*(E4118=E$2:E4118)))))-COUNTBLANK(OFFSET(A$1,,,SUMPRODUCT(MAX(ROW(E$1:E4117)*(E2=E$1:E4117))))))</f>
        <v> </v>
      </c>
      <c r="K4118" s="26" t="str">
        <f>IF(OR(E4118="",E4118="!!!",F4118="NEW"),"",INDEX(J$1:J4117,SUMPRODUCT(MAX(ROW(E$1:E4117)*(E4118=E$1:E4117)))))</f>
        <v> </v>
      </c>
      <c r="L4118" s="27"/>
    </row>
    <row r="4119" spans="1:12">
      <c r="A4119" s="20" t="s">
        <v>965</v>
      </c>
      <c r="B4119" s="21" t="s">
        <v>1161</v>
      </c>
      <c r="E4119" s="22">
        <f>IF(D4119="?OLD","!!!","")</f>
        <v/>
      </c>
      <c r="F4119" s="23" t="str">
        <f>IF(OR(E4119="",E4119="!!!"),"",IF(NOT(ISNA(VLOOKUP(E4119,E$1:E4118,1,FALSE()))),"OLD",IF(AND(E4119&lt;&gt;"",E4119&lt;&gt;"!!!"),"NEW","")))</f>
        <v> </v>
      </c>
      <c r="G4119" s="24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5" t="str">
        <f>IF(J4119&lt;&gt;1,"",IF(I4119="SBJ","CB","?"))</f>
        <v> </v>
      </c>
      <c r="I4119" s="26" t="str">
        <f>IF(OR(E4119="",E4119="!!!",F4119="NEW"),"",INDEX(B4118:B$2,-1+SUMPRODUCT(MAX(ROW(E4118:E$2)*(E4119=E4118:E$2)))))</f>
        <v> </v>
      </c>
      <c r="J4119" s="26" t="str">
        <f>IF(OR(E4119="",E4119="!!!",F4119="NEW"),"",COUNTBLANK(OFFSET(A$1,,,SUMPRODUCT(MAX(ROW(E$2:E4119)*(E4119=E$2:E4119)))))-COUNTBLANK(OFFSET(A$1,,,SUMPRODUCT(MAX(ROW(E$1:E4118)*(E2=E$1:E4118))))))</f>
        <v> </v>
      </c>
      <c r="K4119" s="26" t="str">
        <f>IF(OR(E4119="",E4119="!!!",F4119="NEW"),"",INDEX(J$1:J4118,SUMPRODUCT(MAX(ROW(E$1:E4118)*(E4119=E$1:E4118)))))</f>
        <v> </v>
      </c>
      <c r="L4119" s="27"/>
    </row>
    <row r="4120" spans="1:12">
      <c r="A4120" s="20" t="s">
        <v>1000</v>
      </c>
      <c r="E4120" s="22">
        <f>IF(D4120="?OLD","!!!","")</f>
        <v/>
      </c>
      <c r="F4120" s="23" t="str">
        <f>IF(OR(E4120="",E4120="!!!"),"",IF(NOT(ISNA(VLOOKUP(E4120,E$1:E4119,1,FALSE()))),"OLD",IF(AND(E4120&lt;&gt;"",E4120&lt;&gt;"!!!"),"NEW","")))</f>
        <v> </v>
      </c>
      <c r="G4120" s="24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5" t="str">
        <f>IF(J4120&lt;&gt;1,"",IF(I4120="SBJ","CB","?"))</f>
        <v> </v>
      </c>
      <c r="I4120" s="26" t="str">
        <f>IF(OR(E4120="",E4120="!!!",F4120="NEW"),"",INDEX(B4119:B$2,-1+SUMPRODUCT(MAX(ROW(E4119:E$2)*(E4120=E4119:E$2)))))</f>
        <v> </v>
      </c>
      <c r="J4120" s="26" t="str">
        <f>IF(OR(E4120="",E4120="!!!",F4120="NEW"),"",COUNTBLANK(OFFSET(A$1,,,SUMPRODUCT(MAX(ROW(E$2:E4120)*(E4120=E$2:E4120)))))-COUNTBLANK(OFFSET(A$1,,,SUMPRODUCT(MAX(ROW(E$1:E4119)*(E2=E$1:E4119))))))</f>
        <v> </v>
      </c>
      <c r="K4120" s="26" t="str">
        <f>IF(OR(E4120="",E4120="!!!",F4120="NEW"),"",INDEX(J$1:J4119,SUMPRODUCT(MAX(ROW(E$1:E4119)*(E4120=E$1:E4119)))))</f>
        <v> </v>
      </c>
      <c r="L4120" s="27"/>
    </row>
    <row r="4121" spans="1:12">
      <c r="A4121" s="20" t="s">
        <v>1075</v>
      </c>
      <c r="E4121" s="22">
        <f>IF(D4121="?OLD","!!!","")</f>
        <v/>
      </c>
      <c r="F4121" s="23" t="str">
        <f>IF(OR(E4121="",E4121="!!!"),"",IF(NOT(ISNA(VLOOKUP(E4121,E$1:E4120,1,FALSE()))),"OLD",IF(AND(E4121&lt;&gt;"",E4121&lt;&gt;"!!!"),"NEW","")))</f>
        <v> </v>
      </c>
      <c r="G4121" s="24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5" t="str">
        <f>IF(J4121&lt;&gt;1,"",IF(I4121="SBJ","CB","?"))</f>
        <v> </v>
      </c>
      <c r="I4121" s="26" t="str">
        <f>IF(OR(E4121="",E4121="!!!",F4121="NEW"),"",INDEX(B4120:B$2,-1+SUMPRODUCT(MAX(ROW(E4120:E$2)*(E4121=E4120:E$2)))))</f>
        <v> </v>
      </c>
      <c r="J4121" s="26" t="str">
        <f>IF(OR(E4121="",E4121="!!!",F4121="NEW"),"",COUNTBLANK(OFFSET(A$1,,,SUMPRODUCT(MAX(ROW(E$2:E4121)*(E4121=E$2:E4121)))))-COUNTBLANK(OFFSET(A$1,,,SUMPRODUCT(MAX(ROW(E$1:E4120)*(E2=E$1:E4120))))))</f>
        <v> </v>
      </c>
      <c r="K4121" s="26" t="str">
        <f>IF(OR(E4121="",E4121="!!!",F4121="NEW"),"",INDEX(J$1:J4120,SUMPRODUCT(MAX(ROW(E$1:E4120)*(E4121=E$1:E4120)))))</f>
        <v> </v>
      </c>
      <c r="L4121" s="27"/>
    </row>
    <row r="4122" spans="1:12">
      <c r="A4122" s="20" t="s">
        <v>1256</v>
      </c>
      <c r="E4122" s="22">
        <f>IF(D4122="?OLD","!!!","")</f>
        <v/>
      </c>
      <c r="F4122" s="23" t="str">
        <f>IF(OR(E4122="",E4122="!!!"),"",IF(NOT(ISNA(VLOOKUP(E4122,E$1:E4121,1,FALSE()))),"OLD",IF(AND(E4122&lt;&gt;"",E4122&lt;&gt;"!!!"),"NEW","")))</f>
        <v> </v>
      </c>
      <c r="G4122" s="24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5" t="str">
        <f>IF(J4122&lt;&gt;1,"",IF(I4122="SBJ","CB","?"))</f>
        <v> </v>
      </c>
      <c r="I4122" s="26" t="str">
        <f>IF(OR(E4122="",E4122="!!!",F4122="NEW"),"",INDEX(B4121:B$2,-1+SUMPRODUCT(MAX(ROW(E4121:E$2)*(E4122=E4121:E$2)))))</f>
        <v> </v>
      </c>
      <c r="J4122" s="26" t="str">
        <f>IF(OR(E4122="",E4122="!!!",F4122="NEW"),"",COUNTBLANK(OFFSET(A$1,,,SUMPRODUCT(MAX(ROW(E$2:E4122)*(E4122=E$2:E4122)))))-COUNTBLANK(OFFSET(A$1,,,SUMPRODUCT(MAX(ROW(E$1:E4121)*(E2=E$1:E4121))))))</f>
        <v> </v>
      </c>
      <c r="K4122" s="26" t="str">
        <f>IF(OR(E4122="",E4122="!!!",F4122="NEW"),"",INDEX(J$1:J4121,SUMPRODUCT(MAX(ROW(E$1:E4121)*(E4122=E$1:E4121)))))</f>
        <v> </v>
      </c>
      <c r="L4122" s="27"/>
    </row>
    <row r="4123" spans="1:12">
      <c r="A4123" s="20" t="s">
        <v>1371</v>
      </c>
      <c r="B4123" s="21" t="s">
        <v>1328</v>
      </c>
      <c r="C4123" s="21" t="s">
        <v>1044</v>
      </c>
      <c r="D4123" s="21" t="s">
        <v>950</v>
      </c>
      <c r="E4123" s="22">
        <f>IF(D4123="?OLD","!!!","")</f>
        <v/>
      </c>
      <c r="F4123" s="23" t="str">
        <f>IF(OR(E4123="",E4123="!!!"),"",IF(NOT(ISNA(VLOOKUP(E4123,E$1:E4122,1,FALSE()))),"OLD",IF(AND(E4123&lt;&gt;"",E4123&lt;&gt;"!!!"),"NEW","")))</f>
        <v> </v>
      </c>
      <c r="G4123" s="24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5" t="str">
        <f>IF(J4123&lt;&gt;1,"",IF(I4123="SBJ","CB","?"))</f>
        <v> </v>
      </c>
      <c r="I4123" s="26" t="str">
        <f>IF(OR(E4123="",E4123="!!!",F4123="NEW"),"",INDEX(B4122:B$2,-1+SUMPRODUCT(MAX(ROW(E4122:E$2)*(E4123=E4122:E$2)))))</f>
        <v> </v>
      </c>
      <c r="J4123" s="26" t="str">
        <f>IF(OR(E4123="",E4123="!!!",F4123="NEW"),"",COUNTBLANK(OFFSET(A$1,,,SUMPRODUCT(MAX(ROW(E$2:E4123)*(E4123=E$2:E4123)))))-COUNTBLANK(OFFSET(A$1,,,SUMPRODUCT(MAX(ROW(E$1:E4122)*(E2=E$1:E4122))))))</f>
        <v> </v>
      </c>
      <c r="K4123" s="26" t="str">
        <f>IF(OR(E4123="",E4123="!!!",F4123="NEW"),"",INDEX(J$1:J4122,SUMPRODUCT(MAX(ROW(E$1:E4122)*(E4123=E$1:E4122)))))</f>
        <v> </v>
      </c>
      <c r="L4123" s="27"/>
    </row>
    <row r="4124" spans="1:12">
      <c r="A4124" s="20" t="s">
        <v>1000</v>
      </c>
      <c r="E4124" s="22">
        <f>IF(D4124="?OLD","!!!","")</f>
        <v/>
      </c>
      <c r="F4124" s="23" t="str">
        <f>IF(OR(E4124="",E4124="!!!"),"",IF(NOT(ISNA(VLOOKUP(E4124,E$1:E4123,1,FALSE()))),"OLD",IF(AND(E4124&lt;&gt;"",E4124&lt;&gt;"!!!"),"NEW","")))</f>
        <v> </v>
      </c>
      <c r="G4124" s="24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5" t="str">
        <f>IF(J4124&lt;&gt;1,"",IF(I4124="SBJ","CB","?"))</f>
        <v> </v>
      </c>
      <c r="I4124" s="26" t="str">
        <f>IF(OR(E4124="",E4124="!!!",F4124="NEW"),"",INDEX(B4123:B$2,-1+SUMPRODUCT(MAX(ROW(E4123:E$2)*(E4124=E4123:E$2)))))</f>
        <v> </v>
      </c>
      <c r="J4124" s="26" t="str">
        <f>IF(OR(E4124="",E4124="!!!",F4124="NEW"),"",COUNTBLANK(OFFSET(A$1,,,SUMPRODUCT(MAX(ROW(E$2:E4124)*(E4124=E$2:E4124)))))-COUNTBLANK(OFFSET(A$1,,,SUMPRODUCT(MAX(ROW(E$1:E4123)*(E2=E$1:E4123))))))</f>
        <v> </v>
      </c>
      <c r="K4124" s="26" t="str">
        <f>IF(OR(E4124="",E4124="!!!",F4124="NEW"),"",INDEX(J$1:J4123,SUMPRODUCT(MAX(ROW(E$1:E4123)*(E4124=E$1:E4123)))))</f>
        <v> </v>
      </c>
      <c r="L4124" s="27"/>
    </row>
    <row r="4125" spans="1:12">
      <c r="A4125" s="20" t="s">
        <v>972</v>
      </c>
      <c r="E4125" s="22">
        <f>IF(D4125="?OLD","!!!","")</f>
        <v/>
      </c>
      <c r="F4125" s="23" t="str">
        <f>IF(OR(E4125="",E4125="!!!"),"",IF(NOT(ISNA(VLOOKUP(E4125,E$1:E4124,1,FALSE()))),"OLD",IF(AND(E4125&lt;&gt;"",E4125&lt;&gt;"!!!"),"NEW","")))</f>
        <v> </v>
      </c>
      <c r="G4125" s="24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5" t="str">
        <f>IF(J4125&lt;&gt;1,"",IF(I4125="SBJ","CB","?"))</f>
        <v> </v>
      </c>
      <c r="I4125" s="26" t="str">
        <f>IF(OR(E4125="",E4125="!!!",F4125="NEW"),"",INDEX(B4124:B$2,-1+SUMPRODUCT(MAX(ROW(E4124:E$2)*(E4125=E4124:E$2)))))</f>
        <v> </v>
      </c>
      <c r="J4125" s="26" t="str">
        <f>IF(OR(E4125="",E4125="!!!",F4125="NEW"),"",COUNTBLANK(OFFSET(A$1,,,SUMPRODUCT(MAX(ROW(E$2:E4125)*(E4125=E$2:E4125)))))-COUNTBLANK(OFFSET(A$1,,,SUMPRODUCT(MAX(ROW(E$1:E4124)*(E2=E$1:E4124))))))</f>
        <v> </v>
      </c>
      <c r="K4125" s="26" t="str">
        <f>IF(OR(E4125="",E4125="!!!",F4125="NEW"),"",INDEX(J$1:J4124,SUMPRODUCT(MAX(ROW(E$1:E4124)*(E4125=E$1:E4124)))))</f>
        <v> </v>
      </c>
      <c r="L4125" s="27"/>
    </row>
    <row r="4126" spans="1:12">
      <c r="A4126" s="20" t="s">
        <v>1528</v>
      </c>
      <c r="E4126" s="22">
        <f>IF(D4126="?OLD","!!!","")</f>
        <v/>
      </c>
      <c r="F4126" s="23" t="str">
        <f>IF(OR(E4126="",E4126="!!!"),"",IF(NOT(ISNA(VLOOKUP(E4126,E$1:E4125,1,FALSE()))),"OLD",IF(AND(E4126&lt;&gt;"",E4126&lt;&gt;"!!!"),"NEW","")))</f>
        <v> </v>
      </c>
      <c r="G4126" s="24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5" t="str">
        <f>IF(J4126&lt;&gt;1,"",IF(I4126="SBJ","CB","?"))</f>
        <v> </v>
      </c>
      <c r="I4126" s="26" t="str">
        <f>IF(OR(E4126="",E4126="!!!",F4126="NEW"),"",INDEX(B4125:B$2,-1+SUMPRODUCT(MAX(ROW(E4125:E$2)*(E4126=E4125:E$2)))))</f>
        <v> </v>
      </c>
      <c r="J4126" s="26" t="str">
        <f>IF(OR(E4126="",E4126="!!!",F4126="NEW"),"",COUNTBLANK(OFFSET(A$1,,,SUMPRODUCT(MAX(ROW(E$2:E4126)*(E4126=E$2:E4126)))))-COUNTBLANK(OFFSET(A$1,,,SUMPRODUCT(MAX(ROW(E$1:E4125)*(E2=E$1:E4125))))))</f>
        <v> </v>
      </c>
      <c r="K4126" s="26" t="str">
        <f>IF(OR(E4126="",E4126="!!!",F4126="NEW"),"",INDEX(J$1:J4125,SUMPRODUCT(MAX(ROW(E$1:E4125)*(E4126=E$1:E4125)))))</f>
        <v> </v>
      </c>
      <c r="L4126" s="27"/>
    </row>
    <row r="4127" spans="1:12">
      <c r="A4127" s="20" t="s">
        <v>1023</v>
      </c>
      <c r="B4127" s="21" t="s">
        <v>1158</v>
      </c>
      <c r="C4127" s="21" t="s">
        <v>949</v>
      </c>
      <c r="D4127" s="21" t="s">
        <v>950</v>
      </c>
      <c r="E4127" s="22">
        <f>IF(D4127="?OLD","!!!","")</f>
        <v/>
      </c>
      <c r="F4127" s="23" t="str">
        <f>IF(OR(E4127="",E4127="!!!"),"",IF(NOT(ISNA(VLOOKUP(E4127,E$1:E4126,1,FALSE()))),"OLD",IF(AND(E4127&lt;&gt;"",E4127&lt;&gt;"!!!"),"NEW","")))</f>
        <v> </v>
      </c>
      <c r="G4127" s="24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5" t="str">
        <f>IF(J4127&lt;&gt;1,"",IF(I4127="SBJ","CB","?"))</f>
        <v> </v>
      </c>
      <c r="I4127" s="26" t="str">
        <f>IF(OR(E4127="",E4127="!!!",F4127="NEW"),"",INDEX(B4126:B$2,-1+SUMPRODUCT(MAX(ROW(E4126:E$2)*(E4127=E4126:E$2)))))</f>
        <v> </v>
      </c>
      <c r="J4127" s="26" t="str">
        <f>IF(OR(E4127="",E4127="!!!",F4127="NEW"),"",COUNTBLANK(OFFSET(A$1,,,SUMPRODUCT(MAX(ROW(E$2:E4127)*(E4127=E$2:E4127)))))-COUNTBLANK(OFFSET(A$1,,,SUMPRODUCT(MAX(ROW(E$1:E4126)*(E2=E$1:E4126))))))</f>
        <v> </v>
      </c>
      <c r="K4127" s="26" t="str">
        <f>IF(OR(E4127="",E4127="!!!",F4127="NEW"),"",INDEX(J$1:J4126,SUMPRODUCT(MAX(ROW(E$1:E4126)*(E4127=E$1:E4126)))))</f>
        <v> </v>
      </c>
      <c r="L4127" s="27"/>
    </row>
    <row r="4128" spans="1:12">
      <c r="A4128" s="20" t="s">
        <v>977</v>
      </c>
      <c r="E4128" s="22">
        <f>IF(D4128="?OLD","!!!","")</f>
        <v/>
      </c>
      <c r="F4128" s="23" t="str">
        <f>IF(OR(E4128="",E4128="!!!"),"",IF(NOT(ISNA(VLOOKUP(E4128,E$1:E4127,1,FALSE()))),"OLD",IF(AND(E4128&lt;&gt;"",E4128&lt;&gt;"!!!"),"NEW","")))</f>
        <v> </v>
      </c>
      <c r="G4128" s="24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5" t="str">
        <f>IF(J4128&lt;&gt;1,"",IF(I4128="SBJ","CB","?"))</f>
        <v> </v>
      </c>
      <c r="I4128" s="26" t="str">
        <f>IF(OR(E4128="",E4128="!!!",F4128="NEW"),"",INDEX(B4127:B$2,-1+SUMPRODUCT(MAX(ROW(E4127:E$2)*(E4128=E4127:E$2)))))</f>
        <v> </v>
      </c>
      <c r="J4128" s="26" t="str">
        <f>IF(OR(E4128="",E4128="!!!",F4128="NEW"),"",COUNTBLANK(OFFSET(A$1,,,SUMPRODUCT(MAX(ROW(E$2:E4128)*(E4128=E$2:E4128)))))-COUNTBLANK(OFFSET(A$1,,,SUMPRODUCT(MAX(ROW(E$1:E4127)*(E2=E$1:E4127))))))</f>
        <v> </v>
      </c>
      <c r="K4128" s="26" t="str">
        <f>IF(OR(E4128="",E4128="!!!",F4128="NEW"),"",INDEX(J$1:J4127,SUMPRODUCT(MAX(ROW(E$1:E4127)*(E4128=E$1:E4127)))))</f>
        <v> </v>
      </c>
      <c r="L4128" s="27"/>
    </row>
    <row r="4129" spans="1:12">
      <c r="A4129" s="20" t="s">
        <v>2093</v>
      </c>
      <c r="B4129" s="21" t="s">
        <v>1159</v>
      </c>
      <c r="C4129" s="21" t="s">
        <v>983</v>
      </c>
      <c r="E4129" s="22">
        <f>IF(D4129="?OLD","!!!","")</f>
        <v/>
      </c>
      <c r="F4129" s="23" t="str">
        <f>IF(OR(E4129="",E4129="!!!"),"",IF(NOT(ISNA(VLOOKUP(E4129,E$1:E4128,1,FALSE()))),"OLD",IF(AND(E4129&lt;&gt;"",E4129&lt;&gt;"!!!"),"NEW","")))</f>
        <v> </v>
      </c>
      <c r="G4129" s="24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5" t="str">
        <f>IF(J4129&lt;&gt;1,"",IF(I4129="SBJ","CB","?"))</f>
        <v> </v>
      </c>
      <c r="I4129" s="26" t="str">
        <f>IF(OR(E4129="",E4129="!!!",F4129="NEW"),"",INDEX(B4128:B$2,-1+SUMPRODUCT(MAX(ROW(E4128:E$2)*(E4129=E4128:E$2)))))</f>
        <v> </v>
      </c>
      <c r="J4129" s="26" t="str">
        <f>IF(OR(E4129="",E4129="!!!",F4129="NEW"),"",COUNTBLANK(OFFSET(A$1,,,SUMPRODUCT(MAX(ROW(E$2:E4129)*(E4129=E$2:E4129)))))-COUNTBLANK(OFFSET(A$1,,,SUMPRODUCT(MAX(ROW(E$1:E4128)*(E2=E$1:E4128))))))</f>
        <v> </v>
      </c>
      <c r="K4129" s="26" t="str">
        <f>IF(OR(E4129="",E4129="!!!",F4129="NEW"),"",INDEX(J$1:J4128,SUMPRODUCT(MAX(ROW(E$1:E4128)*(E4129=E$1:E4128)))))</f>
        <v> </v>
      </c>
      <c r="L4129" s="27"/>
    </row>
    <row r="4130" spans="1:12">
      <c r="A4130" s="20" t="s">
        <v>984</v>
      </c>
      <c r="E4130" s="22">
        <f>IF(D4130="?OLD","!!!","")</f>
        <v/>
      </c>
      <c r="F4130" s="23" t="str">
        <f>IF(OR(E4130="",E4130="!!!"),"",IF(NOT(ISNA(VLOOKUP(E4130,E$1:E4129,1,FALSE()))),"OLD",IF(AND(E4130&lt;&gt;"",E4130&lt;&gt;"!!!"),"NEW","")))</f>
        <v> </v>
      </c>
      <c r="G4130" s="24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5" t="str">
        <f>IF(J4130&lt;&gt;1,"",IF(I4130="SBJ","CB","?"))</f>
        <v> </v>
      </c>
      <c r="I4130" s="26" t="str">
        <f>IF(OR(E4130="",E4130="!!!",F4130="NEW"),"",INDEX(B4129:B$2,-1+SUMPRODUCT(MAX(ROW(E4129:E$2)*(E4130=E4129:E$2)))))</f>
        <v> </v>
      </c>
      <c r="J4130" s="26" t="str">
        <f>IF(OR(E4130="",E4130="!!!",F4130="NEW"),"",COUNTBLANK(OFFSET(A$1,,,SUMPRODUCT(MAX(ROW(E$2:E4130)*(E4130=E$2:E4130)))))-COUNTBLANK(OFFSET(A$1,,,SUMPRODUCT(MAX(ROW(E$1:E4129)*(E2=E$1:E4129))))))</f>
        <v> </v>
      </c>
      <c r="K4130" s="26" t="str">
        <f>IF(OR(E4130="",E4130="!!!",F4130="NEW"),"",INDEX(J$1:J4129,SUMPRODUCT(MAX(ROW(E$1:E4129)*(E4130=E$1:E4129)))))</f>
        <v> </v>
      </c>
      <c r="L4130" s="27"/>
    </row>
    <row r="4131" spans="1:12">
      <c r="A4131" s="20"/>
    </row>
    <row r="4132" spans="1:12">
      <c r="A4132" s="20" t="s">
        <v>2094</v>
      </c>
    </row>
    <row r="4133" spans="1:12">
      <c r="A4133" s="20" t="s">
        <v>1016</v>
      </c>
      <c r="B4133" s="21" t="s">
        <v>948</v>
      </c>
      <c r="C4133" s="21" t="s">
        <v>983</v>
      </c>
      <c r="E4133" s="22">
        <f>IF(D4133="?OLD","!!!","")</f>
        <v/>
      </c>
      <c r="F4133" s="23" t="str">
        <f>IF(OR(E4133="",E4133="!!!"),"",IF(NOT(ISNA(VLOOKUP(E4133,E$1:E4132,1,FALSE()))),"OLD",IF(AND(E4133&lt;&gt;"",E4133&lt;&gt;"!!!"),"NEW","")))</f>
        <v> </v>
      </c>
      <c r="G4133" s="24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5" t="str">
        <f>IF(J4133&lt;&gt;1,"",IF(I4133="SBJ","CB","?"))</f>
        <v> </v>
      </c>
      <c r="I4133" s="26" t="str">
        <f>IF(OR(E4133="",E4133="!!!",F4133="NEW"),"",INDEX(B4132:B$2,-1+SUMPRODUCT(MAX(ROW(E4132:E$2)*(E4133=E4132:E$2)))))</f>
        <v> </v>
      </c>
      <c r="J4133" s="26" t="str">
        <f>IF(OR(E4133="",E4133="!!!",F4133="NEW"),"",COUNTBLANK(OFFSET(A$1,,,SUMPRODUCT(MAX(ROW(E$2:E4133)*(E4133=E$2:E4133)))))-COUNTBLANK(OFFSET(A$1,,,SUMPRODUCT(MAX(ROW(E$1:E4132)*(E2=E$1:E4132))))))</f>
        <v> </v>
      </c>
      <c r="K4133" s="26" t="str">
        <f>IF(OR(E4133="",E4133="!!!",F4133="NEW"),"",INDEX(J$1:J4132,SUMPRODUCT(MAX(ROW(E$1:E4132)*(E4133=E$1:E4132)))))</f>
        <v> </v>
      </c>
      <c r="L4133" s="27"/>
    </row>
    <row r="4134" spans="1:12">
      <c r="A4134" s="20" t="s">
        <v>952</v>
      </c>
      <c r="E4134" s="22">
        <f>IF(D4134="?OLD","!!!","")</f>
        <v/>
      </c>
      <c r="F4134" s="23" t="str">
        <f>IF(OR(E4134="",E4134="!!!"),"",IF(NOT(ISNA(VLOOKUP(E4134,E$1:E4133,1,FALSE()))),"OLD",IF(AND(E4134&lt;&gt;"",E4134&lt;&gt;"!!!"),"NEW","")))</f>
        <v> </v>
      </c>
      <c r="G4134" s="24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5" t="str">
        <f>IF(J4134&lt;&gt;1,"",IF(I4134="SBJ","CB","?"))</f>
        <v> </v>
      </c>
      <c r="I4134" s="26" t="str">
        <f>IF(OR(E4134="",E4134="!!!",F4134="NEW"),"",INDEX(B4133:B$2,-1+SUMPRODUCT(MAX(ROW(E4133:E$2)*(E4134=E4133:E$2)))))</f>
        <v> </v>
      </c>
      <c r="J4134" s="26" t="str">
        <f>IF(OR(E4134="",E4134="!!!",F4134="NEW"),"",COUNTBLANK(OFFSET(A$1,,,SUMPRODUCT(MAX(ROW(E$2:E4134)*(E4134=E$2:E4134)))))-COUNTBLANK(OFFSET(A$1,,,SUMPRODUCT(MAX(ROW(E$1:E4133)*(E2=E$1:E4133))))))</f>
        <v> </v>
      </c>
      <c r="K4134" s="26" t="str">
        <f>IF(OR(E4134="",E4134="!!!",F4134="NEW"),"",INDEX(J$1:J4133,SUMPRODUCT(MAX(ROW(E$1:E4133)*(E4134=E$1:E4133)))))</f>
        <v> </v>
      </c>
      <c r="L4134" s="27"/>
    </row>
    <row r="4135" spans="1:12">
      <c r="A4135" s="20" t="s">
        <v>11</v>
      </c>
      <c r="B4135" s="21" t="s">
        <v>948</v>
      </c>
      <c r="C4135" s="21" t="s">
        <v>1008</v>
      </c>
      <c r="D4135" s="21" t="s">
        <v>950</v>
      </c>
      <c r="E4135" s="22">
        <f>IF(D4135="?OLD","!!!","")</f>
        <v/>
      </c>
      <c r="F4135" s="23" t="str">
        <f>IF(OR(E4135="",E4135="!!!"),"",IF(NOT(ISNA(VLOOKUP(E4135,E$1:E4134,1,FALSE()))),"OLD",IF(AND(E4135&lt;&gt;"",E4135&lt;&gt;"!!!"),"NEW","")))</f>
        <v> </v>
      </c>
      <c r="G4135" s="24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5" t="str">
        <f>IF(J4135&lt;&gt;1,"",IF(I4135="SBJ","CB","?"))</f>
        <v> </v>
      </c>
      <c r="I4135" s="26" t="str">
        <f>IF(OR(E4135="",E4135="!!!",F4135="NEW"),"",INDEX(B4134:B$2,-1+SUMPRODUCT(MAX(ROW(E4134:E$2)*(E4135=E4134:E$2)))))</f>
        <v> </v>
      </c>
      <c r="J4135" s="26" t="str">
        <f>IF(OR(E4135="",E4135="!!!",F4135="NEW"),"",COUNTBLANK(OFFSET(A$1,,,SUMPRODUCT(MAX(ROW(E$2:E4135)*(E4135=E$2:E4135)))))-COUNTBLANK(OFFSET(A$1,,,SUMPRODUCT(MAX(ROW(E$1:E4134)*(E2=E$1:E4134))))))</f>
        <v> </v>
      </c>
      <c r="K4135" s="26" t="str">
        <f>IF(OR(E4135="",E4135="!!!",F4135="NEW"),"",INDEX(J$1:J4134,SUMPRODUCT(MAX(ROW(E$1:E4134)*(E4135=E$1:E4134)))))</f>
        <v> </v>
      </c>
      <c r="L4135" s="27"/>
    </row>
    <row r="4136" spans="1:12">
      <c r="A4136" s="20" t="s">
        <v>965</v>
      </c>
      <c r="B4136" s="21" t="s">
        <v>966</v>
      </c>
      <c r="E4136" s="22">
        <f>IF(D4136="?OLD","!!!","")</f>
        <v/>
      </c>
      <c r="F4136" s="23" t="str">
        <f>IF(OR(E4136="",E4136="!!!"),"",IF(NOT(ISNA(VLOOKUP(E4136,E$1:E4135,1,FALSE()))),"OLD",IF(AND(E4136&lt;&gt;"",E4136&lt;&gt;"!!!"),"NEW","")))</f>
        <v> </v>
      </c>
      <c r="G4136" s="24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5" t="str">
        <f>IF(J4136&lt;&gt;1,"",IF(I4136="SBJ","CB","?"))</f>
        <v> </v>
      </c>
      <c r="I4136" s="26" t="str">
        <f>IF(OR(E4136="",E4136="!!!",F4136="NEW"),"",INDEX(B4135:B$2,-1+SUMPRODUCT(MAX(ROW(E4135:E$2)*(E4136=E4135:E$2)))))</f>
        <v> </v>
      </c>
      <c r="J4136" s="26" t="str">
        <f>IF(OR(E4136="",E4136="!!!",F4136="NEW"),"",COUNTBLANK(OFFSET(A$1,,,SUMPRODUCT(MAX(ROW(E$2:E4136)*(E4136=E$2:E4136)))))-COUNTBLANK(OFFSET(A$1,,,SUMPRODUCT(MAX(ROW(E$1:E4135)*(E2=E$1:E4135))))))</f>
        <v> </v>
      </c>
      <c r="K4136" s="26" t="str">
        <f>IF(OR(E4136="",E4136="!!!",F4136="NEW"),"",INDEX(J$1:J4135,SUMPRODUCT(MAX(ROW(E$1:E4135)*(E4136=E$1:E4135)))))</f>
        <v> </v>
      </c>
      <c r="L4136" s="27"/>
    </row>
    <row r="4137" spans="1:12">
      <c r="A4137" s="20" t="s">
        <v>1072</v>
      </c>
      <c r="E4137" s="22">
        <f>IF(D4137="?OLD","!!!","")</f>
        <v/>
      </c>
      <c r="F4137" s="23" t="str">
        <f>IF(OR(E4137="",E4137="!!!"),"",IF(NOT(ISNA(VLOOKUP(E4137,E$1:E4136,1,FALSE()))),"OLD",IF(AND(E4137&lt;&gt;"",E4137&lt;&gt;"!!!"),"NEW","")))</f>
        <v> </v>
      </c>
      <c r="G4137" s="24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5" t="str">
        <f>IF(J4137&lt;&gt;1,"",IF(I4137="SBJ","CB","?"))</f>
        <v> </v>
      </c>
      <c r="I4137" s="26" t="str">
        <f>IF(OR(E4137="",E4137="!!!",F4137="NEW"),"",INDEX(B4136:B$2,-1+SUMPRODUCT(MAX(ROW(E4136:E$2)*(E4137=E4136:E$2)))))</f>
        <v> </v>
      </c>
      <c r="J4137" s="26" t="str">
        <f>IF(OR(E4137="",E4137="!!!",F4137="NEW"),"",COUNTBLANK(OFFSET(A$1,,,SUMPRODUCT(MAX(ROW(E$2:E4137)*(E4137=E$2:E4137)))))-COUNTBLANK(OFFSET(A$1,,,SUMPRODUCT(MAX(ROW(E$1:E4136)*(E2=E$1:E4136))))))</f>
        <v> </v>
      </c>
      <c r="K4137" s="26" t="str">
        <f>IF(OR(E4137="",E4137="!!!",F4137="NEW"),"",INDEX(J$1:J4136,SUMPRODUCT(MAX(ROW(E$1:E4136)*(E4137=E$1:E4136)))))</f>
        <v> </v>
      </c>
      <c r="L4137" s="27"/>
    </row>
    <row r="4138" spans="1:12">
      <c r="A4138" s="20" t="s">
        <v>1019</v>
      </c>
      <c r="E4138" s="22">
        <f>IF(D4138="?OLD","!!!","")</f>
        <v/>
      </c>
      <c r="F4138" s="23" t="str">
        <f>IF(OR(E4138="",E4138="!!!"),"",IF(NOT(ISNA(VLOOKUP(E4138,E$1:E4137,1,FALSE()))),"OLD",IF(AND(E4138&lt;&gt;"",E4138&lt;&gt;"!!!"),"NEW","")))</f>
        <v> </v>
      </c>
      <c r="G4138" s="24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5" t="str">
        <f>IF(J4138&lt;&gt;1,"",IF(I4138="SBJ","CB","?"))</f>
        <v> </v>
      </c>
      <c r="I4138" s="26" t="str">
        <f>IF(OR(E4138="",E4138="!!!",F4138="NEW"),"",INDEX(B4137:B$2,-1+SUMPRODUCT(MAX(ROW(E4137:E$2)*(E4138=E4137:E$2)))))</f>
        <v> </v>
      </c>
      <c r="J4138" s="26" t="str">
        <f>IF(OR(E4138="",E4138="!!!",F4138="NEW"),"",COUNTBLANK(OFFSET(A$1,,,SUMPRODUCT(MAX(ROW(E$2:E4138)*(E4138=E$2:E4138)))))-COUNTBLANK(OFFSET(A$1,,,SUMPRODUCT(MAX(ROW(E$1:E4137)*(E2=E$1:E4137))))))</f>
        <v> </v>
      </c>
      <c r="K4138" s="26" t="str">
        <f>IF(OR(E4138="",E4138="!!!",F4138="NEW"),"",INDEX(J$1:J4137,SUMPRODUCT(MAX(ROW(E$1:E4137)*(E4138=E$1:E4137)))))</f>
        <v> </v>
      </c>
      <c r="L4138" s="27"/>
    </row>
    <row r="4139" spans="1:12">
      <c r="A4139" s="20" t="s">
        <v>738</v>
      </c>
      <c r="B4139" s="21" t="s">
        <v>1031</v>
      </c>
      <c r="C4139" s="21" t="s">
        <v>976</v>
      </c>
      <c r="D4139" s="21" t="s">
        <v>950</v>
      </c>
      <c r="E4139" s="22">
        <f>IF(D4139="?OLD","!!!","")</f>
        <v/>
      </c>
      <c r="F4139" s="23" t="str">
        <f>IF(OR(E4139="",E4139="!!!"),"",IF(NOT(ISNA(VLOOKUP(E4139,E$1:E4138,1,FALSE()))),"OLD",IF(AND(E4139&lt;&gt;"",E4139&lt;&gt;"!!!"),"NEW","")))</f>
        <v> </v>
      </c>
      <c r="G4139" s="24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5" t="str">
        <f>IF(J4139&lt;&gt;1,"",IF(I4139="SBJ","CB","?"))</f>
        <v> </v>
      </c>
      <c r="I4139" s="26" t="str">
        <f>IF(OR(E4139="",E4139="!!!",F4139="NEW"),"",INDEX(B4138:B$2,-1+SUMPRODUCT(MAX(ROW(E4138:E$2)*(E4139=E4138:E$2)))))</f>
        <v> </v>
      </c>
      <c r="J4139" s="26" t="str">
        <f>IF(OR(E4139="",E4139="!!!",F4139="NEW"),"",COUNTBLANK(OFFSET(A$1,,,SUMPRODUCT(MAX(ROW(E$2:E4139)*(E4139=E$2:E4139)))))-COUNTBLANK(OFFSET(A$1,,,SUMPRODUCT(MAX(ROW(E$1:E4138)*(E2=E$1:E4138))))))</f>
        <v> </v>
      </c>
      <c r="K4139" s="26" t="str">
        <f>IF(OR(E4139="",E4139="!!!",F4139="NEW"),"",INDEX(J$1:J4138,SUMPRODUCT(MAX(ROW(E$1:E4138)*(E4139=E$1:E4138)))))</f>
        <v> </v>
      </c>
      <c r="L4139" s="27"/>
    </row>
    <row r="4140" spans="1:12">
      <c r="A4140" s="20" t="s">
        <v>2095</v>
      </c>
      <c r="E4140" s="22">
        <f>IF(D4140="?OLD","!!!","")</f>
        <v/>
      </c>
      <c r="F4140" s="23" t="str">
        <f>IF(OR(E4140="",E4140="!!!"),"",IF(NOT(ISNA(VLOOKUP(E4140,E$1:E4139,1,FALSE()))),"OLD",IF(AND(E4140&lt;&gt;"",E4140&lt;&gt;"!!!"),"NEW","")))</f>
        <v> </v>
      </c>
      <c r="G4140" s="24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5" t="str">
        <f>IF(J4140&lt;&gt;1,"",IF(I4140="SBJ","CB","?"))</f>
        <v> </v>
      </c>
      <c r="I4140" s="26" t="str">
        <f>IF(OR(E4140="",E4140="!!!",F4140="NEW"),"",INDEX(B4139:B$2,-1+SUMPRODUCT(MAX(ROW(E4139:E$2)*(E4140=E4139:E$2)))))</f>
        <v> </v>
      </c>
      <c r="J4140" s="26" t="str">
        <f>IF(OR(E4140="",E4140="!!!",F4140="NEW"),"",COUNTBLANK(OFFSET(A$1,,,SUMPRODUCT(MAX(ROW(E$2:E4140)*(E4140=E$2:E4140)))))-COUNTBLANK(OFFSET(A$1,,,SUMPRODUCT(MAX(ROW(E$1:E4139)*(E2=E$1:E4139))))))</f>
        <v> </v>
      </c>
      <c r="K4140" s="26" t="str">
        <f>IF(OR(E4140="",E4140="!!!",F4140="NEW"),"",INDEX(J$1:J4139,SUMPRODUCT(MAX(ROW(E$1:E4139)*(E4140=E$1:E4139)))))</f>
        <v> </v>
      </c>
      <c r="L4140" s="27"/>
    </row>
    <row r="4141" spans="1:12">
      <c r="A4141" s="20" t="s">
        <v>1066</v>
      </c>
      <c r="E4141" s="22">
        <f>IF(D4141="?OLD","!!!","")</f>
        <v/>
      </c>
      <c r="F4141" s="23" t="str">
        <f>IF(OR(E4141="",E4141="!!!"),"",IF(NOT(ISNA(VLOOKUP(E4141,E$1:E4140,1,FALSE()))),"OLD",IF(AND(E4141&lt;&gt;"",E4141&lt;&gt;"!!!"),"NEW","")))</f>
        <v> </v>
      </c>
      <c r="G4141" s="24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5" t="str">
        <f>IF(J4141&lt;&gt;1,"",IF(I4141="SBJ","CB","?"))</f>
        <v> </v>
      </c>
      <c r="I4141" s="26" t="str">
        <f>IF(OR(E4141="",E4141="!!!",F4141="NEW"),"",INDEX(B4140:B$2,-1+SUMPRODUCT(MAX(ROW(E4140:E$2)*(E4141=E4140:E$2)))))</f>
        <v> </v>
      </c>
      <c r="J4141" s="26" t="str">
        <f>IF(OR(E4141="",E4141="!!!",F4141="NEW"),"",COUNTBLANK(OFFSET(A$1,,,SUMPRODUCT(MAX(ROW(E$2:E4141)*(E4141=E$2:E4141)))))-COUNTBLANK(OFFSET(A$1,,,SUMPRODUCT(MAX(ROW(E$1:E4140)*(E2=E$1:E4140))))))</f>
        <v> </v>
      </c>
      <c r="K4141" s="26" t="str">
        <f>IF(OR(E4141="",E4141="!!!",F4141="NEW"),"",INDEX(J$1:J4140,SUMPRODUCT(MAX(ROW(E$1:E4140)*(E4141=E$1:E4140)))))</f>
        <v> </v>
      </c>
      <c r="L4141" s="27"/>
    </row>
    <row r="4142" spans="1:12">
      <c r="A4142" s="20" t="s">
        <v>1093</v>
      </c>
      <c r="E4142" s="22">
        <f>IF(D4142="?OLD","!!!","")</f>
        <v/>
      </c>
      <c r="F4142" s="23" t="str">
        <f>IF(OR(E4142="",E4142="!!!"),"",IF(NOT(ISNA(VLOOKUP(E4142,E$1:E4141,1,FALSE()))),"OLD",IF(AND(E4142&lt;&gt;"",E4142&lt;&gt;"!!!"),"NEW","")))</f>
        <v> </v>
      </c>
      <c r="G4142" s="24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5" t="str">
        <f>IF(J4142&lt;&gt;1,"",IF(I4142="SBJ","CB","?"))</f>
        <v> </v>
      </c>
      <c r="I4142" s="26" t="str">
        <f>IF(OR(E4142="",E4142="!!!",F4142="NEW"),"",INDEX(B4141:B$2,-1+SUMPRODUCT(MAX(ROW(E4141:E$2)*(E4142=E4141:E$2)))))</f>
        <v> </v>
      </c>
      <c r="J4142" s="26" t="str">
        <f>IF(OR(E4142="",E4142="!!!",F4142="NEW"),"",COUNTBLANK(OFFSET(A$1,,,SUMPRODUCT(MAX(ROW(E$2:E4142)*(E4142=E$2:E4142)))))-COUNTBLANK(OFFSET(A$1,,,SUMPRODUCT(MAX(ROW(E$1:E4141)*(E2=E$1:E4141))))))</f>
        <v> </v>
      </c>
      <c r="K4142" s="26" t="str">
        <f>IF(OR(E4142="",E4142="!!!",F4142="NEW"),"",INDEX(J$1:J4141,SUMPRODUCT(MAX(ROW(E$1:E4141)*(E4142=E$1:E4141)))))</f>
        <v> </v>
      </c>
      <c r="L4142" s="27"/>
    </row>
    <row r="4143" spans="1:12">
      <c r="A4143" s="20" t="s">
        <v>2096</v>
      </c>
      <c r="B4143" s="21" t="s">
        <v>980</v>
      </c>
      <c r="C4143" s="21" t="s">
        <v>1032</v>
      </c>
      <c r="D4143" s="21" t="s">
        <v>950</v>
      </c>
      <c r="E4143" s="22">
        <f>IF(D4143="?OLD","!!!","")</f>
        <v/>
      </c>
      <c r="F4143" s="23" t="str">
        <f>IF(OR(E4143="",E4143="!!!"),"",IF(NOT(ISNA(VLOOKUP(E4143,E$1:E4142,1,FALSE()))),"OLD",IF(AND(E4143&lt;&gt;"",E4143&lt;&gt;"!!!"),"NEW","")))</f>
        <v> </v>
      </c>
      <c r="G4143" s="24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5" t="str">
        <f>IF(J4143&lt;&gt;1,"",IF(I4143="SBJ","CB","?"))</f>
        <v> </v>
      </c>
      <c r="I4143" s="26" t="str">
        <f>IF(OR(E4143="",E4143="!!!",F4143="NEW"),"",INDEX(B4142:B$2,-1+SUMPRODUCT(MAX(ROW(E4142:E$2)*(E4143=E4142:E$2)))))</f>
        <v> </v>
      </c>
      <c r="J4143" s="26" t="str">
        <f>IF(OR(E4143="",E4143="!!!",F4143="NEW"),"",COUNTBLANK(OFFSET(A$1,,,SUMPRODUCT(MAX(ROW(E$2:E4143)*(E4143=E$2:E4143)))))-COUNTBLANK(OFFSET(A$1,,,SUMPRODUCT(MAX(ROW(E$1:E4142)*(E2=E$1:E4142))))))</f>
        <v> </v>
      </c>
      <c r="K4143" s="26" t="str">
        <f>IF(OR(E4143="",E4143="!!!",F4143="NEW"),"",INDEX(J$1:J4142,SUMPRODUCT(MAX(ROW(E$1:E4142)*(E4143=E$1:E4142)))))</f>
        <v> </v>
      </c>
      <c r="L4143" s="27"/>
    </row>
    <row r="4144" spans="1:12">
      <c r="A4144" s="20" t="s">
        <v>984</v>
      </c>
      <c r="E4144" s="22">
        <f>IF(D4144="?OLD","!!!","")</f>
        <v/>
      </c>
      <c r="F4144" s="23" t="str">
        <f>IF(OR(E4144="",E4144="!!!"),"",IF(NOT(ISNA(VLOOKUP(E4144,E$1:E4143,1,FALSE()))),"OLD",IF(AND(E4144&lt;&gt;"",E4144&lt;&gt;"!!!"),"NEW","")))</f>
        <v> </v>
      </c>
      <c r="G4144" s="24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5" t="str">
        <f>IF(J4144&lt;&gt;1,"",IF(I4144="SBJ","CB","?"))</f>
        <v> </v>
      </c>
      <c r="I4144" s="26" t="str">
        <f>IF(OR(E4144="",E4144="!!!",F4144="NEW"),"",INDEX(B4143:B$2,-1+SUMPRODUCT(MAX(ROW(E4143:E$2)*(E4144=E4143:E$2)))))</f>
        <v> </v>
      </c>
      <c r="J4144" s="26" t="str">
        <f>IF(OR(E4144="",E4144="!!!",F4144="NEW"),"",COUNTBLANK(OFFSET(A$1,,,SUMPRODUCT(MAX(ROW(E$2:E4144)*(E4144=E$2:E4144)))))-COUNTBLANK(OFFSET(A$1,,,SUMPRODUCT(MAX(ROW(E$1:E4143)*(E2=E$1:E4143))))))</f>
        <v> </v>
      </c>
      <c r="K4144" s="26" t="str">
        <f>IF(OR(E4144="",E4144="!!!",F4144="NEW"),"",INDEX(J$1:J4143,SUMPRODUCT(MAX(ROW(E$1:E4143)*(E4144=E$1:E4143)))))</f>
        <v> </v>
      </c>
      <c r="L4144" s="27"/>
    </row>
    <row r="4145" spans="1:12">
      <c r="A4145" s="20"/>
    </row>
    <row r="4146" spans="1:12">
      <c r="A4146" s="20" t="s">
        <v>2097</v>
      </c>
    </row>
    <row r="4147" spans="1:12">
      <c r="A4147" s="20" t="s">
        <v>2098</v>
      </c>
      <c r="B4147" s="21" t="s">
        <v>956</v>
      </c>
      <c r="C4147" s="21" t="s">
        <v>960</v>
      </c>
      <c r="D4147" s="21" t="s">
        <v>950</v>
      </c>
      <c r="E4147" s="22">
        <f>IF(D4147="?OLD","!!!","")</f>
        <v/>
      </c>
      <c r="F4147" s="23" t="str">
        <f>IF(OR(E4147="",E4147="!!!"),"",IF(NOT(ISNA(VLOOKUP(E4147,E$1:E4146,1,FALSE()))),"OLD",IF(AND(E4147&lt;&gt;"",E4147&lt;&gt;"!!!"),"NEW","")))</f>
        <v> </v>
      </c>
      <c r="G4147" s="24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5" t="str">
        <f>IF(J4147&lt;&gt;1,"",IF(I4147="SBJ","CB","?"))</f>
        <v> </v>
      </c>
      <c r="I4147" s="26" t="str">
        <f>IF(OR(E4147="",E4147="!!!",F4147="NEW"),"",INDEX(B4146:B$2,-1+SUMPRODUCT(MAX(ROW(E4146:E$2)*(E4147=E4146:E$2)))))</f>
        <v> </v>
      </c>
      <c r="J4147" s="26" t="str">
        <f>IF(OR(E4147="",E4147="!!!",F4147="NEW"),"",COUNTBLANK(OFFSET(A$1,,,SUMPRODUCT(MAX(ROW(E$2:E4147)*(E4147=E$2:E4147)))))-COUNTBLANK(OFFSET(A$1,,,SUMPRODUCT(MAX(ROW(E$1:E4146)*(E2=E$1:E4146))))))</f>
        <v> </v>
      </c>
      <c r="K4147" s="26" t="str">
        <f>IF(OR(E4147="",E4147="!!!",F4147="NEW"),"",INDEX(J$1:J4146,SUMPRODUCT(MAX(ROW(E$1:E4146)*(E4147=E$1:E4146)))))</f>
        <v> </v>
      </c>
      <c r="L4147" s="27"/>
    </row>
    <row r="4148" spans="1:12">
      <c r="A4148" s="20" t="s">
        <v>1072</v>
      </c>
      <c r="E4148" s="22">
        <f>IF(D4148="?OLD","!!!","")</f>
        <v/>
      </c>
      <c r="F4148" s="23" t="str">
        <f>IF(OR(E4148="",E4148="!!!"),"",IF(NOT(ISNA(VLOOKUP(E4148,E$1:E4147,1,FALSE()))),"OLD",IF(AND(E4148&lt;&gt;"",E4148&lt;&gt;"!!!"),"NEW","")))</f>
        <v> </v>
      </c>
      <c r="G4148" s="24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5" t="str">
        <f>IF(J4148&lt;&gt;1,"",IF(I4148="SBJ","CB","?"))</f>
        <v> </v>
      </c>
      <c r="I4148" s="26" t="str">
        <f>IF(OR(E4148="",E4148="!!!",F4148="NEW"),"",INDEX(B4147:B$2,-1+SUMPRODUCT(MAX(ROW(E4147:E$2)*(E4148=E4147:E$2)))))</f>
        <v> </v>
      </c>
      <c r="J4148" s="26" t="str">
        <f>IF(OR(E4148="",E4148="!!!",F4148="NEW"),"",COUNTBLANK(OFFSET(A$1,,,SUMPRODUCT(MAX(ROW(E$2:E4148)*(E4148=E$2:E4148)))))-COUNTBLANK(OFFSET(A$1,,,SUMPRODUCT(MAX(ROW(E$1:E4147)*(E2=E$1:E4147))))))</f>
        <v> </v>
      </c>
      <c r="K4148" s="26" t="str">
        <f>IF(OR(E4148="",E4148="!!!",F4148="NEW"),"",INDEX(J$1:J4147,SUMPRODUCT(MAX(ROW(E$1:E4147)*(E4148=E$1:E4147)))))</f>
        <v> </v>
      </c>
      <c r="L4148" s="27"/>
    </row>
    <row r="4149" spans="1:12">
      <c r="A4149" s="20" t="s">
        <v>1019</v>
      </c>
      <c r="E4149" s="22">
        <f>IF(D4149="?OLD","!!!","")</f>
        <v/>
      </c>
      <c r="F4149" s="23" t="str">
        <f>IF(OR(E4149="",E4149="!!!"),"",IF(NOT(ISNA(VLOOKUP(E4149,E$1:E4148,1,FALSE()))),"OLD",IF(AND(E4149&lt;&gt;"",E4149&lt;&gt;"!!!"),"NEW","")))</f>
        <v> </v>
      </c>
      <c r="G4149" s="24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5" t="str">
        <f>IF(J4149&lt;&gt;1,"",IF(I4149="SBJ","CB","?"))</f>
        <v> </v>
      </c>
      <c r="I4149" s="26" t="str">
        <f>IF(OR(E4149="",E4149="!!!",F4149="NEW"),"",INDEX(B4148:B$2,-1+SUMPRODUCT(MAX(ROW(E4148:E$2)*(E4149=E4148:E$2)))))</f>
        <v> </v>
      </c>
      <c r="J4149" s="26" t="str">
        <f>IF(OR(E4149="",E4149="!!!",F4149="NEW"),"",COUNTBLANK(OFFSET(A$1,,,SUMPRODUCT(MAX(ROW(E$2:E4149)*(E4149=E$2:E4149)))))-COUNTBLANK(OFFSET(A$1,,,SUMPRODUCT(MAX(ROW(E$1:E4148)*(E2=E$1:E4148))))))</f>
        <v> </v>
      </c>
      <c r="K4149" s="26" t="str">
        <f>IF(OR(E4149="",E4149="!!!",F4149="NEW"),"",INDEX(J$1:J4148,SUMPRODUCT(MAX(ROW(E$1:E4148)*(E4149=E$1:E4148)))))</f>
        <v> </v>
      </c>
      <c r="L4149" s="27"/>
    </row>
    <row r="4150" spans="1:12">
      <c r="A4150" s="20" t="s">
        <v>977</v>
      </c>
      <c r="E4150" s="22">
        <f>IF(D4150="?OLD","!!!","")</f>
        <v/>
      </c>
      <c r="F4150" s="23" t="str">
        <f>IF(OR(E4150="",E4150="!!!"),"",IF(NOT(ISNA(VLOOKUP(E4150,E$1:E4149,1,FALSE()))),"OLD",IF(AND(E4150&lt;&gt;"",E4150&lt;&gt;"!!!"),"NEW","")))</f>
        <v> </v>
      </c>
      <c r="G4150" s="24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5" t="str">
        <f>IF(J4150&lt;&gt;1,"",IF(I4150="SBJ","CB","?"))</f>
        <v> </v>
      </c>
      <c r="I4150" s="26" t="str">
        <f>IF(OR(E4150="",E4150="!!!",F4150="NEW"),"",INDEX(B4149:B$2,-1+SUMPRODUCT(MAX(ROW(E4149:E$2)*(E4150=E4149:E$2)))))</f>
        <v> </v>
      </c>
      <c r="J4150" s="26" t="str">
        <f>IF(OR(E4150="",E4150="!!!",F4150="NEW"),"",COUNTBLANK(OFFSET(A$1,,,SUMPRODUCT(MAX(ROW(E$2:E4150)*(E4150=E$2:E4150)))))-COUNTBLANK(OFFSET(A$1,,,SUMPRODUCT(MAX(ROW(E$1:E4149)*(E2=E$1:E4149))))))</f>
        <v> </v>
      </c>
      <c r="K4150" s="26" t="str">
        <f>IF(OR(E4150="",E4150="!!!",F4150="NEW"),"",INDEX(J$1:J4149,SUMPRODUCT(MAX(ROW(E$1:E4149)*(E4150=E$1:E4149)))))</f>
        <v> </v>
      </c>
      <c r="L4150" s="27"/>
    </row>
    <row r="4151" spans="1:12">
      <c r="A4151" s="20" t="s">
        <v>2099</v>
      </c>
      <c r="E4151" s="22">
        <f>IF(D4151="?OLD","!!!","")</f>
        <v/>
      </c>
      <c r="F4151" s="23" t="str">
        <f>IF(OR(E4151="",E4151="!!!"),"",IF(NOT(ISNA(VLOOKUP(E4151,E$1:E4150,1,FALSE()))),"OLD",IF(AND(E4151&lt;&gt;"",E4151&lt;&gt;"!!!"),"NEW","")))</f>
        <v> </v>
      </c>
      <c r="G4151" s="24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5" t="str">
        <f>IF(J4151&lt;&gt;1,"",IF(I4151="SBJ","CB","?"))</f>
        <v> </v>
      </c>
      <c r="I4151" s="26" t="str">
        <f>IF(OR(E4151="",E4151="!!!",F4151="NEW"),"",INDEX(B4150:B$2,-1+SUMPRODUCT(MAX(ROW(E4150:E$2)*(E4151=E4150:E$2)))))</f>
        <v> </v>
      </c>
      <c r="J4151" s="26" t="str">
        <f>IF(OR(E4151="",E4151="!!!",F4151="NEW"),"",COUNTBLANK(OFFSET(A$1,,,SUMPRODUCT(MAX(ROW(E$2:E4151)*(E4151=E$2:E4151)))))-COUNTBLANK(OFFSET(A$1,,,SUMPRODUCT(MAX(ROW(E$1:E4150)*(E2=E$1:E4150))))))</f>
        <v> </v>
      </c>
      <c r="K4151" s="26" t="str">
        <f>IF(OR(E4151="",E4151="!!!",F4151="NEW"),"",INDEX(J$1:J4150,SUMPRODUCT(MAX(ROW(E$1:E4150)*(E4151=E$1:E4150)))))</f>
        <v> </v>
      </c>
      <c r="L4151" s="27"/>
    </row>
    <row r="4152" spans="1:12">
      <c r="A4152" s="20" t="s">
        <v>1094</v>
      </c>
      <c r="B4152" s="21" t="s">
        <v>948</v>
      </c>
      <c r="C4152" s="21" t="s">
        <v>1044</v>
      </c>
      <c r="D4152" s="21" t="s">
        <v>950</v>
      </c>
      <c r="E4152" s="22">
        <f>IF(D4152="?OLD","!!!","")</f>
        <v/>
      </c>
      <c r="F4152" s="23" t="str">
        <f>IF(OR(E4152="",E4152="!!!"),"",IF(NOT(ISNA(VLOOKUP(E4152,E$1:E4151,1,FALSE()))),"OLD",IF(AND(E4152&lt;&gt;"",E4152&lt;&gt;"!!!"),"NEW","")))</f>
        <v> </v>
      </c>
      <c r="G4152" s="24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5" t="str">
        <f>IF(J4152&lt;&gt;1,"",IF(I4152="SBJ","CB","?"))</f>
        <v> </v>
      </c>
      <c r="I4152" s="26" t="str">
        <f>IF(OR(E4152="",E4152="!!!",F4152="NEW"),"",INDEX(B4151:B$2,-1+SUMPRODUCT(MAX(ROW(E4151:E$2)*(E4152=E4151:E$2)))))</f>
        <v> </v>
      </c>
      <c r="J4152" s="26" t="str">
        <f>IF(OR(E4152="",E4152="!!!",F4152="NEW"),"",COUNTBLANK(OFFSET(A$1,,,SUMPRODUCT(MAX(ROW(E$2:E4152)*(E4152=E$2:E4152)))))-COUNTBLANK(OFFSET(A$1,,,SUMPRODUCT(MAX(ROW(E$1:E4151)*(E2=E$1:E4151))))))</f>
        <v> </v>
      </c>
      <c r="K4152" s="26" t="str">
        <f>IF(OR(E4152="",E4152="!!!",F4152="NEW"),"",INDEX(J$1:J4151,SUMPRODUCT(MAX(ROW(E$1:E4151)*(E4152=E$1:E4151)))))</f>
        <v> </v>
      </c>
      <c r="L4152" s="27"/>
    </row>
    <row r="4153" spans="1:12">
      <c r="A4153" s="20" t="s">
        <v>965</v>
      </c>
      <c r="B4153" s="21" t="s">
        <v>966</v>
      </c>
      <c r="E4153" s="22">
        <f>IF(D4153="?OLD","!!!","")</f>
        <v/>
      </c>
      <c r="F4153" s="23" t="str">
        <f>IF(OR(E4153="",E4153="!!!"),"",IF(NOT(ISNA(VLOOKUP(E4153,E$1:E4152,1,FALSE()))),"OLD",IF(AND(E4153&lt;&gt;"",E4153&lt;&gt;"!!!"),"NEW","")))</f>
        <v> </v>
      </c>
      <c r="G4153" s="24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5" t="str">
        <f>IF(J4153&lt;&gt;1,"",IF(I4153="SBJ","CB","?"))</f>
        <v> </v>
      </c>
      <c r="I4153" s="26" t="str">
        <f>IF(OR(E4153="",E4153="!!!",F4153="NEW"),"",INDEX(B4152:B$2,-1+SUMPRODUCT(MAX(ROW(E4152:E$2)*(E4153=E4152:E$2)))))</f>
        <v> </v>
      </c>
      <c r="J4153" s="26" t="str">
        <f>IF(OR(E4153="",E4153="!!!",F4153="NEW"),"",COUNTBLANK(OFFSET(A$1,,,SUMPRODUCT(MAX(ROW(E$2:E4153)*(E4153=E$2:E4153)))))-COUNTBLANK(OFFSET(A$1,,,SUMPRODUCT(MAX(ROW(E$1:E4152)*(E2=E$1:E4152))))))</f>
        <v> </v>
      </c>
      <c r="K4153" s="26" t="str">
        <f>IF(OR(E4153="",E4153="!!!",F4153="NEW"),"",INDEX(J$1:J4152,SUMPRODUCT(MAX(ROW(E$1:E4152)*(E4153=E$1:E4152)))))</f>
        <v> </v>
      </c>
      <c r="L4153" s="27"/>
    </row>
    <row r="4154" spans="1:12">
      <c r="A4154" s="20" t="s">
        <v>2100</v>
      </c>
      <c r="E4154" s="22">
        <f>IF(D4154="?OLD","!!!","")</f>
        <v/>
      </c>
      <c r="F4154" s="23" t="str">
        <f>IF(OR(E4154="",E4154="!!!"),"",IF(NOT(ISNA(VLOOKUP(E4154,E$1:E4153,1,FALSE()))),"OLD",IF(AND(E4154&lt;&gt;"",E4154&lt;&gt;"!!!"),"NEW","")))</f>
        <v> </v>
      </c>
      <c r="G4154" s="24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5" t="str">
        <f>IF(J4154&lt;&gt;1,"",IF(I4154="SBJ","CB","?"))</f>
        <v> </v>
      </c>
      <c r="I4154" s="26" t="str">
        <f>IF(OR(E4154="",E4154="!!!",F4154="NEW"),"",INDEX(B4153:B$2,-1+SUMPRODUCT(MAX(ROW(E4153:E$2)*(E4154=E4153:E$2)))))</f>
        <v> </v>
      </c>
      <c r="J4154" s="26" t="str">
        <f>IF(OR(E4154="",E4154="!!!",F4154="NEW"),"",COUNTBLANK(OFFSET(A$1,,,SUMPRODUCT(MAX(ROW(E$2:E4154)*(E4154=E$2:E4154)))))-COUNTBLANK(OFFSET(A$1,,,SUMPRODUCT(MAX(ROW(E$1:E4153)*(E2=E$1:E4153))))))</f>
        <v> </v>
      </c>
      <c r="K4154" s="26" t="str">
        <f>IF(OR(E4154="",E4154="!!!",F4154="NEW"),"",INDEX(J$1:J4153,SUMPRODUCT(MAX(ROW(E$1:E4153)*(E4154=E$1:E4153)))))</f>
        <v> </v>
      </c>
      <c r="L4154" s="27"/>
    </row>
    <row r="4155" spans="1:12">
      <c r="A4155" s="20" t="s">
        <v>965</v>
      </c>
      <c r="E4155" s="22">
        <f>IF(D4155="?OLD","!!!","")</f>
        <v/>
      </c>
      <c r="F4155" s="23" t="str">
        <f>IF(OR(E4155="",E4155="!!!"),"",IF(NOT(ISNA(VLOOKUP(E4155,E$1:E4154,1,FALSE()))),"OLD",IF(AND(E4155&lt;&gt;"",E4155&lt;&gt;"!!!"),"NEW","")))</f>
        <v> </v>
      </c>
      <c r="G4155" s="24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5" t="str">
        <f>IF(J4155&lt;&gt;1,"",IF(I4155="SBJ","CB","?"))</f>
        <v> </v>
      </c>
      <c r="I4155" s="26" t="str">
        <f>IF(OR(E4155="",E4155="!!!",F4155="NEW"),"",INDEX(B4154:B$2,-1+SUMPRODUCT(MAX(ROW(E4154:E$2)*(E4155=E4154:E$2)))))</f>
        <v> </v>
      </c>
      <c r="J4155" s="26" t="str">
        <f>IF(OR(E4155="",E4155="!!!",F4155="NEW"),"",COUNTBLANK(OFFSET(A$1,,,SUMPRODUCT(MAX(ROW(E$2:E4155)*(E4155=E$2:E4155)))))-COUNTBLANK(OFFSET(A$1,,,SUMPRODUCT(MAX(ROW(E$1:E4154)*(E2=E$1:E4154))))))</f>
        <v> </v>
      </c>
      <c r="K4155" s="26" t="str">
        <f>IF(OR(E4155="",E4155="!!!",F4155="NEW"),"",INDEX(J$1:J4154,SUMPRODUCT(MAX(ROW(E$1:E4154)*(E4155=E$1:E4154)))))</f>
        <v> </v>
      </c>
      <c r="L4155" s="27"/>
    </row>
    <row r="4156" spans="1:12">
      <c r="A4156" s="20" t="s">
        <v>1093</v>
      </c>
      <c r="E4156" s="22">
        <f>IF(D4156="?OLD","!!!","")</f>
        <v/>
      </c>
      <c r="F4156" s="23" t="str">
        <f>IF(OR(E4156="",E4156="!!!"),"",IF(NOT(ISNA(VLOOKUP(E4156,E$1:E4155,1,FALSE()))),"OLD",IF(AND(E4156&lt;&gt;"",E4156&lt;&gt;"!!!"),"NEW","")))</f>
        <v> </v>
      </c>
      <c r="G4156" s="24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5" t="str">
        <f>IF(J4156&lt;&gt;1,"",IF(I4156="SBJ","CB","?"))</f>
        <v> </v>
      </c>
      <c r="I4156" s="26" t="str">
        <f>IF(OR(E4156="",E4156="!!!",F4156="NEW"),"",INDEX(B4155:B$2,-1+SUMPRODUCT(MAX(ROW(E4155:E$2)*(E4156=E4155:E$2)))))</f>
        <v> </v>
      </c>
      <c r="J4156" s="26" t="str">
        <f>IF(OR(E4156="",E4156="!!!",F4156="NEW"),"",COUNTBLANK(OFFSET(A$1,,,SUMPRODUCT(MAX(ROW(E$2:E4156)*(E4156=E$2:E4156)))))-COUNTBLANK(OFFSET(A$1,,,SUMPRODUCT(MAX(ROW(E$1:E4155)*(E2=E$1:E4155))))))</f>
        <v> </v>
      </c>
      <c r="K4156" s="26" t="str">
        <f>IF(OR(E4156="",E4156="!!!",F4156="NEW"),"",INDEX(J$1:J4155,SUMPRODUCT(MAX(ROW(E$1:E4155)*(E4156=E$1:E4155)))))</f>
        <v> </v>
      </c>
      <c r="L4156" s="27"/>
    </row>
    <row r="4157" spans="1:12">
      <c r="A4157" s="20" t="s">
        <v>2096</v>
      </c>
      <c r="B4157" s="21" t="s">
        <v>1080</v>
      </c>
      <c r="C4157" s="21" t="s">
        <v>1032</v>
      </c>
      <c r="D4157" s="21" t="s">
        <v>950</v>
      </c>
      <c r="E4157" s="22">
        <f>IF(D4157="?OLD","!!!","")</f>
        <v/>
      </c>
      <c r="F4157" s="23" t="str">
        <f>IF(OR(E4157="",E4157="!!!"),"",IF(NOT(ISNA(VLOOKUP(E4157,E$1:E4156,1,FALSE()))),"OLD",IF(AND(E4157&lt;&gt;"",E4157&lt;&gt;"!!!"),"NEW","")))</f>
        <v> </v>
      </c>
      <c r="G4157" s="24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5" t="str">
        <f>IF(J4157&lt;&gt;1,"",IF(I4157="SBJ","CB","?"))</f>
        <v> </v>
      </c>
      <c r="I4157" s="26" t="str">
        <f>IF(OR(E4157="",E4157="!!!",F4157="NEW"),"",INDEX(B4156:B$2,-1+SUMPRODUCT(MAX(ROW(E4156:E$2)*(E4157=E4156:E$2)))))</f>
        <v> </v>
      </c>
      <c r="J4157" s="26" t="str">
        <f>IF(OR(E4157="",E4157="!!!",F4157="NEW"),"",COUNTBLANK(OFFSET(A$1,,,SUMPRODUCT(MAX(ROW(E$2:E4157)*(E4157=E$2:E4157)))))-COUNTBLANK(OFFSET(A$1,,,SUMPRODUCT(MAX(ROW(E$1:E4156)*(E2=E$1:E4156))))))</f>
        <v> </v>
      </c>
      <c r="K4157" s="26" t="str">
        <f>IF(OR(E4157="",E4157="!!!",F4157="NEW"),"",INDEX(J$1:J4156,SUMPRODUCT(MAX(ROW(E$1:E4156)*(E4157=E$1:E4156)))))</f>
        <v> </v>
      </c>
      <c r="L4157" s="27"/>
    </row>
    <row r="4158" spans="1:12">
      <c r="A4158" s="20" t="s">
        <v>1250</v>
      </c>
      <c r="E4158" s="22">
        <f>IF(D4158="?OLD","!!!","")</f>
        <v/>
      </c>
      <c r="F4158" s="23" t="str">
        <f>IF(OR(E4158="",E4158="!!!"),"",IF(NOT(ISNA(VLOOKUP(E4158,E$1:E4157,1,FALSE()))),"OLD",IF(AND(E4158&lt;&gt;"",E4158&lt;&gt;"!!!"),"NEW","")))</f>
        <v> </v>
      </c>
      <c r="G4158" s="24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5" t="str">
        <f>IF(J4158&lt;&gt;1,"",IF(I4158="SBJ","CB","?"))</f>
        <v> </v>
      </c>
      <c r="I4158" s="26" t="str">
        <f>IF(OR(E4158="",E4158="!!!",F4158="NEW"),"",INDEX(B4157:B$2,-1+SUMPRODUCT(MAX(ROW(E4157:E$2)*(E4158=E4157:E$2)))))</f>
        <v> </v>
      </c>
      <c r="J4158" s="26" t="str">
        <f>IF(OR(E4158="",E4158="!!!",F4158="NEW"),"",COUNTBLANK(OFFSET(A$1,,,SUMPRODUCT(MAX(ROW(E$2:E4158)*(E4158=E$2:E4158)))))-COUNTBLANK(OFFSET(A$1,,,SUMPRODUCT(MAX(ROW(E$1:E4157)*(E2=E$1:E4157))))))</f>
        <v> </v>
      </c>
      <c r="K4158" s="26" t="str">
        <f>IF(OR(E4158="",E4158="!!!",F4158="NEW"),"",INDEX(J$1:J4157,SUMPRODUCT(MAX(ROW(E$1:E4157)*(E4158=E$1:E4157)))))</f>
        <v> </v>
      </c>
      <c r="L4158" s="27"/>
    </row>
    <row r="4159" spans="1:12">
      <c r="A4159" s="20" t="s">
        <v>2101</v>
      </c>
      <c r="E4159" s="22">
        <f>IF(D4159="?OLD","!!!","")</f>
        <v/>
      </c>
      <c r="F4159" s="23" t="str">
        <f>IF(OR(E4159="",E4159="!!!"),"",IF(NOT(ISNA(VLOOKUP(E4159,E$1:E4158,1,FALSE()))),"OLD",IF(AND(E4159&lt;&gt;"",E4159&lt;&gt;"!!!"),"NEW","")))</f>
        <v> </v>
      </c>
      <c r="G4159" s="24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5" t="str">
        <f>IF(J4159&lt;&gt;1,"",IF(I4159="SBJ","CB","?"))</f>
        <v> </v>
      </c>
      <c r="I4159" s="26" t="str">
        <f>IF(OR(E4159="",E4159="!!!",F4159="NEW"),"",INDEX(B4158:B$2,-1+SUMPRODUCT(MAX(ROW(E4158:E$2)*(E4159=E4158:E$2)))))</f>
        <v> </v>
      </c>
      <c r="J4159" s="26" t="str">
        <f>IF(OR(E4159="",E4159="!!!",F4159="NEW"),"",COUNTBLANK(OFFSET(A$1,,,SUMPRODUCT(MAX(ROW(E$2:E4159)*(E4159=E$2:E4159)))))-COUNTBLANK(OFFSET(A$1,,,SUMPRODUCT(MAX(ROW(E$1:E4158)*(E2=E$1:E4158))))))</f>
        <v> </v>
      </c>
      <c r="K4159" s="26" t="str">
        <f>IF(OR(E4159="",E4159="!!!",F4159="NEW"),"",INDEX(J$1:J4158,SUMPRODUCT(MAX(ROW(E$1:E4158)*(E4159=E$1:E4158)))))</f>
        <v> </v>
      </c>
      <c r="L4159" s="27"/>
    </row>
    <row r="4160" spans="1:12">
      <c r="A4160" s="20" t="s">
        <v>977</v>
      </c>
      <c r="E4160" s="22">
        <f>IF(D4160="?OLD","!!!","")</f>
        <v/>
      </c>
      <c r="F4160" s="23" t="str">
        <f>IF(OR(E4160="",E4160="!!!"),"",IF(NOT(ISNA(VLOOKUP(E4160,E$1:E4159,1,FALSE()))),"OLD",IF(AND(E4160&lt;&gt;"",E4160&lt;&gt;"!!!"),"NEW","")))</f>
        <v> </v>
      </c>
      <c r="G4160" s="24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5" t="str">
        <f>IF(J4160&lt;&gt;1,"",IF(I4160="SBJ","CB","?"))</f>
        <v> </v>
      </c>
      <c r="I4160" s="26" t="str">
        <f>IF(OR(E4160="",E4160="!!!",F4160="NEW"),"",INDEX(B4159:B$2,-1+SUMPRODUCT(MAX(ROW(E4159:E$2)*(E4160=E4159:E$2)))))</f>
        <v> </v>
      </c>
      <c r="J4160" s="26" t="str">
        <f>IF(OR(E4160="",E4160="!!!",F4160="NEW"),"",COUNTBLANK(OFFSET(A$1,,,SUMPRODUCT(MAX(ROW(E$2:E4160)*(E4160=E$2:E4160)))))-COUNTBLANK(OFFSET(A$1,,,SUMPRODUCT(MAX(ROW(E$1:E4159)*(E2=E$1:E4159))))))</f>
        <v> </v>
      </c>
      <c r="K4160" s="26" t="str">
        <f>IF(OR(E4160="",E4160="!!!",F4160="NEW"),"",INDEX(J$1:J4159,SUMPRODUCT(MAX(ROW(E$1:E4159)*(E4160=E$1:E4159)))))</f>
        <v> </v>
      </c>
      <c r="L4160" s="27"/>
    </row>
    <row r="4161" spans="1:12">
      <c r="A4161" s="20" t="s">
        <v>2102</v>
      </c>
      <c r="B4161" s="21" t="s">
        <v>982</v>
      </c>
      <c r="C4161" s="21" t="s">
        <v>983</v>
      </c>
      <c r="E4161" s="22">
        <f>IF(D4161="?OLD","!!!","")</f>
        <v/>
      </c>
      <c r="F4161" s="23" t="str">
        <f>IF(OR(E4161="",E4161="!!!"),"",IF(NOT(ISNA(VLOOKUP(E4161,E$1:E4160,1,FALSE()))),"OLD",IF(AND(E4161&lt;&gt;"",E4161&lt;&gt;"!!!"),"NEW","")))</f>
        <v> </v>
      </c>
      <c r="G4161" s="24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5" t="str">
        <f>IF(J4161&lt;&gt;1,"",IF(I4161="SBJ","CB","?"))</f>
        <v> </v>
      </c>
      <c r="I4161" s="26" t="str">
        <f>IF(OR(E4161="",E4161="!!!",F4161="NEW"),"",INDEX(B4160:B$2,-1+SUMPRODUCT(MAX(ROW(E4160:E$2)*(E4161=E4160:E$2)))))</f>
        <v> </v>
      </c>
      <c r="J4161" s="26" t="str">
        <f>IF(OR(E4161="",E4161="!!!",F4161="NEW"),"",COUNTBLANK(OFFSET(A$1,,,SUMPRODUCT(MAX(ROW(E$2:E4161)*(E4161=E$2:E4161)))))-COUNTBLANK(OFFSET(A$1,,,SUMPRODUCT(MAX(ROW(E$1:E4160)*(E2=E$1:E4160))))))</f>
        <v> </v>
      </c>
      <c r="K4161" s="26" t="str">
        <f>IF(OR(E4161="",E4161="!!!",F4161="NEW"),"",INDEX(J$1:J4160,SUMPRODUCT(MAX(ROW(E$1:E4160)*(E4161=E$1:E4160)))))</f>
        <v> </v>
      </c>
      <c r="L4161" s="27"/>
    </row>
    <row r="4162" spans="1:12">
      <c r="A4162" s="20" t="s">
        <v>1180</v>
      </c>
      <c r="E4162" s="22">
        <f>IF(D4162="?OLD","!!!","")</f>
        <v/>
      </c>
      <c r="F4162" s="23" t="str">
        <f>IF(OR(E4162="",E4162="!!!"),"",IF(NOT(ISNA(VLOOKUP(E4162,E$1:E4161,1,FALSE()))),"OLD",IF(AND(E4162&lt;&gt;"",E4162&lt;&gt;"!!!"),"NEW","")))</f>
        <v> </v>
      </c>
      <c r="G4162" s="24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5" t="str">
        <f>IF(J4162&lt;&gt;1,"",IF(I4162="SBJ","CB","?"))</f>
        <v> </v>
      </c>
      <c r="I4162" s="26" t="str">
        <f>IF(OR(E4162="",E4162="!!!",F4162="NEW"),"",INDEX(B4161:B$2,-1+SUMPRODUCT(MAX(ROW(E4161:E$2)*(E4162=E4161:E$2)))))</f>
        <v> </v>
      </c>
      <c r="J4162" s="26" t="str">
        <f>IF(OR(E4162="",E4162="!!!",F4162="NEW"),"",COUNTBLANK(OFFSET(A$1,,,SUMPRODUCT(MAX(ROW(E$2:E4162)*(E4162=E$2:E4162)))))-COUNTBLANK(OFFSET(A$1,,,SUMPRODUCT(MAX(ROW(E$1:E4161)*(E2=E$1:E4161))))))</f>
        <v> </v>
      </c>
      <c r="K4162" s="26" t="str">
        <f>IF(OR(E4162="",E4162="!!!",F4162="NEW"),"",INDEX(J$1:J4161,SUMPRODUCT(MAX(ROW(E$1:E4161)*(E4162=E$1:E4161)))))</f>
        <v> </v>
      </c>
      <c r="L4162" s="27"/>
    </row>
    <row r="4163" spans="1:12">
      <c r="A4163" s="20" t="s">
        <v>2103</v>
      </c>
      <c r="E4163" s="22">
        <f>IF(D4163="?OLD","!!!","")</f>
        <v/>
      </c>
      <c r="F4163" s="23" t="str">
        <f>IF(OR(E4163="",E4163="!!!"),"",IF(NOT(ISNA(VLOOKUP(E4163,E$1:E4162,1,FALSE()))),"OLD",IF(AND(E4163&lt;&gt;"",E4163&lt;&gt;"!!!"),"NEW","")))</f>
        <v> </v>
      </c>
      <c r="G4163" s="24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5" t="str">
        <f>IF(J4163&lt;&gt;1,"",IF(I4163="SBJ","CB","?"))</f>
        <v> </v>
      </c>
      <c r="I4163" s="26" t="str">
        <f>IF(OR(E4163="",E4163="!!!",F4163="NEW"),"",INDEX(B4162:B$2,-1+SUMPRODUCT(MAX(ROW(E4162:E$2)*(E4163=E4162:E$2)))))</f>
        <v> </v>
      </c>
      <c r="J4163" s="26" t="str">
        <f>IF(OR(E4163="",E4163="!!!",F4163="NEW"),"",COUNTBLANK(OFFSET(A$1,,,SUMPRODUCT(MAX(ROW(E$2:E4163)*(E4163=E$2:E4163)))))-COUNTBLANK(OFFSET(A$1,,,SUMPRODUCT(MAX(ROW(E$1:E4162)*(E2=E$1:E4162))))))</f>
        <v> </v>
      </c>
      <c r="K4163" s="26" t="str">
        <f>IF(OR(E4163="",E4163="!!!",F4163="NEW"),"",INDEX(J$1:J4162,SUMPRODUCT(MAX(ROW(E$1:E4162)*(E4163=E$1:E4162)))))</f>
        <v> </v>
      </c>
      <c r="L4163" s="27"/>
    </row>
    <row r="4164" spans="1:12">
      <c r="A4164" s="20" t="s">
        <v>1106</v>
      </c>
      <c r="E4164" s="22">
        <f>IF(D4164="?OLD","!!!","")</f>
        <v/>
      </c>
      <c r="F4164" s="23" t="str">
        <f>IF(OR(E4164="",E4164="!!!"),"",IF(NOT(ISNA(VLOOKUP(E4164,E$1:E4163,1,FALSE()))),"OLD",IF(AND(E4164&lt;&gt;"",E4164&lt;&gt;"!!!"),"NEW","")))</f>
        <v> </v>
      </c>
      <c r="G4164" s="24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5" t="str">
        <f>IF(J4164&lt;&gt;1,"",IF(I4164="SBJ","CB","?"))</f>
        <v> </v>
      </c>
      <c r="I4164" s="26" t="str">
        <f>IF(OR(E4164="",E4164="!!!",F4164="NEW"),"",INDEX(B4163:B$2,-1+SUMPRODUCT(MAX(ROW(E4163:E$2)*(E4164=E4163:E$2)))))</f>
        <v> </v>
      </c>
      <c r="J4164" s="26" t="str">
        <f>IF(OR(E4164="",E4164="!!!",F4164="NEW"),"",COUNTBLANK(OFFSET(A$1,,,SUMPRODUCT(MAX(ROW(E$2:E4164)*(E4164=E$2:E4164)))))-COUNTBLANK(OFFSET(A$1,,,SUMPRODUCT(MAX(ROW(E$1:E4163)*(E2=E$1:E4163))))))</f>
        <v> </v>
      </c>
      <c r="K4164" s="26" t="str">
        <f>IF(OR(E4164="",E4164="!!!",F4164="NEW"),"",INDEX(J$1:J4163,SUMPRODUCT(MAX(ROW(E$1:E4163)*(E4164=E$1:E4163)))))</f>
        <v> </v>
      </c>
      <c r="L4164" s="27"/>
    </row>
    <row r="4165" spans="1:12">
      <c r="A4165" s="20" t="s">
        <v>2104</v>
      </c>
      <c r="E4165" s="22">
        <f>IF(D4165="?OLD","!!!","")</f>
        <v/>
      </c>
      <c r="F4165" s="23" t="str">
        <f>IF(OR(E4165="",E4165="!!!"),"",IF(NOT(ISNA(VLOOKUP(E4165,E$1:E4164,1,FALSE()))),"OLD",IF(AND(E4165&lt;&gt;"",E4165&lt;&gt;"!!!"),"NEW","")))</f>
        <v> </v>
      </c>
      <c r="G4165" s="24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5" t="str">
        <f>IF(J4165&lt;&gt;1,"",IF(I4165="SBJ","CB","?"))</f>
        <v> </v>
      </c>
      <c r="I4165" s="26" t="str">
        <f>IF(OR(E4165="",E4165="!!!",F4165="NEW"),"",INDEX(B4164:B$2,-1+SUMPRODUCT(MAX(ROW(E4164:E$2)*(E4165=E4164:E$2)))))</f>
        <v> </v>
      </c>
      <c r="J4165" s="26" t="str">
        <f>IF(OR(E4165="",E4165="!!!",F4165="NEW"),"",COUNTBLANK(OFFSET(A$1,,,SUMPRODUCT(MAX(ROW(E$2:E4165)*(E4165=E$2:E4165)))))-COUNTBLANK(OFFSET(A$1,,,SUMPRODUCT(MAX(ROW(E$1:E4164)*(E2=E$1:E4164))))))</f>
        <v> </v>
      </c>
      <c r="K4165" s="26" t="str">
        <f>IF(OR(E4165="",E4165="!!!",F4165="NEW"),"",INDEX(J$1:J4164,SUMPRODUCT(MAX(ROW(E$1:E4164)*(E4165=E$1:E4164)))))</f>
        <v> </v>
      </c>
      <c r="L4165" s="27"/>
    </row>
    <row r="4166" spans="1:12">
      <c r="A4166" s="20" t="s">
        <v>984</v>
      </c>
      <c r="E4166" s="22">
        <f>IF(D4166="?OLD","!!!","")</f>
        <v/>
      </c>
      <c r="F4166" s="23" t="str">
        <f>IF(OR(E4166="",E4166="!!!"),"",IF(NOT(ISNA(VLOOKUP(E4166,E$1:E4165,1,FALSE()))),"OLD",IF(AND(E4166&lt;&gt;"",E4166&lt;&gt;"!!!"),"NEW","")))</f>
        <v> </v>
      </c>
      <c r="G4166" s="24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5" t="str">
        <f>IF(J4166&lt;&gt;1,"",IF(I4166="SBJ","CB","?"))</f>
        <v> </v>
      </c>
      <c r="I4166" s="26" t="str">
        <f>IF(OR(E4166="",E4166="!!!",F4166="NEW"),"",INDEX(B4165:B$2,-1+SUMPRODUCT(MAX(ROW(E4165:E$2)*(E4166=E4165:E$2)))))</f>
        <v> </v>
      </c>
      <c r="J4166" s="26" t="str">
        <f>IF(OR(E4166="",E4166="!!!",F4166="NEW"),"",COUNTBLANK(OFFSET(A$1,,,SUMPRODUCT(MAX(ROW(E$2:E4166)*(E4166=E$2:E4166)))))-COUNTBLANK(OFFSET(A$1,,,SUMPRODUCT(MAX(ROW(E$1:E4165)*(E2=E$1:E4165))))))</f>
        <v> </v>
      </c>
      <c r="K4166" s="26" t="str">
        <f>IF(OR(E4166="",E4166="!!!",F4166="NEW"),"",INDEX(J$1:J4165,SUMPRODUCT(MAX(ROW(E$1:E4165)*(E4166=E$1:E4165)))))</f>
        <v> </v>
      </c>
      <c r="L4166" s="27"/>
    </row>
    <row r="4167" spans="1:12">
      <c r="A4167" s="20"/>
    </row>
    <row r="4168" spans="1:12">
      <c r="A4168" s="20" t="s">
        <v>1393</v>
      </c>
    </row>
    <row r="4169" spans="1:12">
      <c r="A4169" s="20" t="s">
        <v>1070</v>
      </c>
      <c r="B4169" s="21" t="s">
        <v>948</v>
      </c>
      <c r="C4169" s="21" t="s">
        <v>983</v>
      </c>
      <c r="E4169" s="22">
        <f>IF(D4169="?OLD","!!!","")</f>
        <v/>
      </c>
      <c r="F4169" s="23" t="str">
        <f>IF(OR(E4169="",E4169="!!!"),"",IF(NOT(ISNA(VLOOKUP(E4169,E$1:E4168,1,FALSE()))),"OLD",IF(AND(E4169&lt;&gt;"",E4169&lt;&gt;"!!!"),"NEW","")))</f>
        <v> </v>
      </c>
      <c r="G4169" s="24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5" t="str">
        <f>IF(J4169&lt;&gt;1,"",IF(I4169="SBJ","CB","?"))</f>
        <v> </v>
      </c>
      <c r="I4169" s="26" t="str">
        <f>IF(OR(E4169="",E4169="!!!",F4169="NEW"),"",INDEX(B4168:B$2,-1+SUMPRODUCT(MAX(ROW(E4168:E$2)*(E4169=E4168:E$2)))))</f>
        <v> </v>
      </c>
      <c r="J4169" s="26" t="str">
        <f>IF(OR(E4169="",E4169="!!!",F4169="NEW"),"",COUNTBLANK(OFFSET(A$1,,,SUMPRODUCT(MAX(ROW(E$2:E4169)*(E4169=E$2:E4169)))))-COUNTBLANK(OFFSET(A$1,,,SUMPRODUCT(MAX(ROW(E$1:E4168)*(E2=E$1:E4168))))))</f>
        <v> </v>
      </c>
      <c r="K4169" s="26" t="str">
        <f>IF(OR(E4169="",E4169="!!!",F4169="NEW"),"",INDEX(J$1:J4168,SUMPRODUCT(MAX(ROW(E$1:E4168)*(E4169=E$1:E4168)))))</f>
        <v> </v>
      </c>
      <c r="L4169" s="27"/>
    </row>
    <row r="4170" spans="1:12">
      <c r="A4170" s="20" t="s">
        <v>952</v>
      </c>
      <c r="E4170" s="22">
        <f>IF(D4170="?OLD","!!!","")</f>
        <v/>
      </c>
      <c r="F4170" s="23" t="str">
        <f>IF(OR(E4170="",E4170="!!!"),"",IF(NOT(ISNA(VLOOKUP(E4170,E$1:E4169,1,FALSE()))),"OLD",IF(AND(E4170&lt;&gt;"",E4170&lt;&gt;"!!!"),"NEW","")))</f>
        <v> </v>
      </c>
      <c r="G4170" s="24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5" t="str">
        <f>IF(J4170&lt;&gt;1,"",IF(I4170="SBJ","CB","?"))</f>
        <v> </v>
      </c>
      <c r="I4170" s="26" t="str">
        <f>IF(OR(E4170="",E4170="!!!",F4170="NEW"),"",INDEX(B4169:B$2,-1+SUMPRODUCT(MAX(ROW(E4169:E$2)*(E4170=E4169:E$2)))))</f>
        <v> </v>
      </c>
      <c r="J4170" s="26" t="str">
        <f>IF(OR(E4170="",E4170="!!!",F4170="NEW"),"",COUNTBLANK(OFFSET(A$1,,,SUMPRODUCT(MAX(ROW(E$2:E4170)*(E4170=E$2:E4170)))))-COUNTBLANK(OFFSET(A$1,,,SUMPRODUCT(MAX(ROW(E$1:E4169)*(E2=E$1:E4169))))))</f>
        <v> </v>
      </c>
      <c r="K4170" s="26" t="str">
        <f>IF(OR(E4170="",E4170="!!!",F4170="NEW"),"",INDEX(J$1:J4169,SUMPRODUCT(MAX(ROW(E$1:E4169)*(E4170=E$1:E4169)))))</f>
        <v> </v>
      </c>
      <c r="L4170" s="27"/>
    </row>
    <row r="4171" spans="1:12">
      <c r="A4171" s="20" t="s">
        <v>1394</v>
      </c>
      <c r="E4171" s="22">
        <f>IF(D4171="?OLD","!!!","")</f>
        <v/>
      </c>
      <c r="F4171" s="23" t="str">
        <f>IF(OR(E4171="",E4171="!!!"),"",IF(NOT(ISNA(VLOOKUP(E4171,E$1:E4170,1,FALSE()))),"OLD",IF(AND(E4171&lt;&gt;"",E4171&lt;&gt;"!!!"),"NEW","")))</f>
        <v> </v>
      </c>
      <c r="G4171" s="24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5" t="str">
        <f>IF(J4171&lt;&gt;1,"",IF(I4171="SBJ","CB","?"))</f>
        <v> </v>
      </c>
      <c r="I4171" s="26" t="str">
        <f>IF(OR(E4171="",E4171="!!!",F4171="NEW"),"",INDEX(B4170:B$2,-1+SUMPRODUCT(MAX(ROW(E4170:E$2)*(E4171=E4170:E$2)))))</f>
        <v> </v>
      </c>
      <c r="J4171" s="26" t="str">
        <f>IF(OR(E4171="",E4171="!!!",F4171="NEW"),"",COUNTBLANK(OFFSET(A$1,,,SUMPRODUCT(MAX(ROW(E$2:E4171)*(E4171=E$2:E4171)))))-COUNTBLANK(OFFSET(A$1,,,SUMPRODUCT(MAX(ROW(E$1:E4170)*(E2=E$1:E4170))))))</f>
        <v> </v>
      </c>
      <c r="K4171" s="26" t="str">
        <f>IF(OR(E4171="",E4171="!!!",F4171="NEW"),"",INDEX(J$1:J4170,SUMPRODUCT(MAX(ROW(E$1:E4170)*(E4171=E$1:E4170)))))</f>
        <v> </v>
      </c>
      <c r="L4171" s="27"/>
    </row>
    <row r="4172" spans="1:12">
      <c r="A4172" s="20" t="s">
        <v>984</v>
      </c>
      <c r="E4172" s="22">
        <f>IF(D4172="?OLD","!!!","")</f>
        <v/>
      </c>
      <c r="F4172" s="23" t="str">
        <f>IF(OR(E4172="",E4172="!!!"),"",IF(NOT(ISNA(VLOOKUP(E4172,E$1:E4171,1,FALSE()))),"OLD",IF(AND(E4172&lt;&gt;"",E4172&lt;&gt;"!!!"),"NEW","")))</f>
        <v> </v>
      </c>
      <c r="G4172" s="24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5" t="str">
        <f>IF(J4172&lt;&gt;1,"",IF(I4172="SBJ","CB","?"))</f>
        <v> </v>
      </c>
      <c r="I4172" s="26" t="str">
        <f>IF(OR(E4172="",E4172="!!!",F4172="NEW"),"",INDEX(B4171:B$2,-1+SUMPRODUCT(MAX(ROW(E4171:E$2)*(E4172=E4171:E$2)))))</f>
        <v> </v>
      </c>
      <c r="J4172" s="26" t="str">
        <f>IF(OR(E4172="",E4172="!!!",F4172="NEW"),"",COUNTBLANK(OFFSET(A$1,,,SUMPRODUCT(MAX(ROW(E$2:E4172)*(E4172=E$2:E4172)))))-COUNTBLANK(OFFSET(A$1,,,SUMPRODUCT(MAX(ROW(E$1:E4171)*(E2=E$1:E4171))))))</f>
        <v> </v>
      </c>
      <c r="K4172" s="26" t="str">
        <f>IF(OR(E4172="",E4172="!!!",F4172="NEW"),"",INDEX(J$1:J4171,SUMPRODUCT(MAX(ROW(E$1:E4171)*(E4172=E$1:E4171)))))</f>
        <v> </v>
      </c>
      <c r="L4172" s="27"/>
    </row>
    <row r="4173" spans="1:12">
      <c r="A4173" s="20"/>
    </row>
    <row r="4174" spans="1:12">
      <c r="A4174" s="20" t="s">
        <v>2105</v>
      </c>
    </row>
    <row r="4175" spans="1:12">
      <c r="A4175" s="20" t="s">
        <v>989</v>
      </c>
      <c r="E4175" s="22">
        <f>IF(D4175="?OLD","!!!","")</f>
        <v/>
      </c>
      <c r="F4175" s="23" t="str">
        <f>IF(OR(E4175="",E4175="!!!"),"",IF(NOT(ISNA(VLOOKUP(E4175,E$1:E4174,1,FALSE()))),"OLD",IF(AND(E4175&lt;&gt;"",E4175&lt;&gt;"!!!"),"NEW","")))</f>
        <v> </v>
      </c>
      <c r="G4175" s="24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5" t="str">
        <f>IF(J4175&lt;&gt;1,"",IF(I4175="SBJ","CB","?"))</f>
        <v> </v>
      </c>
      <c r="I4175" s="26" t="str">
        <f>IF(OR(E4175="",E4175="!!!",F4175="NEW"),"",INDEX(B4174:B$2,-1+SUMPRODUCT(MAX(ROW(E4174:E$2)*(E4175=E4174:E$2)))))</f>
        <v> </v>
      </c>
      <c r="J4175" s="26" t="str">
        <f>IF(OR(E4175="",E4175="!!!",F4175="NEW"),"",COUNTBLANK(OFFSET(A$1,,,SUMPRODUCT(MAX(ROW(E$2:E4175)*(E4175=E$2:E4175)))))-COUNTBLANK(OFFSET(A$1,,,SUMPRODUCT(MAX(ROW(E$1:E4174)*(E2=E$1:E4174))))))</f>
        <v> </v>
      </c>
      <c r="K4175" s="26" t="str">
        <f>IF(OR(E4175="",E4175="!!!",F4175="NEW"),"",INDEX(J$1:J4174,SUMPRODUCT(MAX(ROW(E$1:E4174)*(E4175=E$1:E4174)))))</f>
        <v> </v>
      </c>
      <c r="L4175" s="27"/>
    </row>
    <row r="4176" spans="1:12">
      <c r="A4176" s="20" t="s">
        <v>958</v>
      </c>
      <c r="B4176" s="21" t="s">
        <v>959</v>
      </c>
      <c r="C4176" s="21" t="s">
        <v>960</v>
      </c>
      <c r="D4176" s="21" t="s">
        <v>950</v>
      </c>
      <c r="E4176" s="22">
        <f>IF(D4176="?OLD","!!!","")</f>
        <v/>
      </c>
      <c r="F4176" s="23" t="str">
        <f>IF(OR(E4176="",E4176="!!!"),"",IF(NOT(ISNA(VLOOKUP(E4176,E$1:E4175,1,FALSE()))),"OLD",IF(AND(E4176&lt;&gt;"",E4176&lt;&gt;"!!!"),"NEW","")))</f>
        <v> </v>
      </c>
      <c r="G4176" s="24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5" t="str">
        <f>IF(J4176&lt;&gt;1,"",IF(I4176="SBJ","CB","?"))</f>
        <v> </v>
      </c>
      <c r="I4176" s="26" t="str">
        <f>IF(OR(E4176="",E4176="!!!",F4176="NEW"),"",INDEX(B4175:B$2,-1+SUMPRODUCT(MAX(ROW(E4175:E$2)*(E4176=E4175:E$2)))))</f>
        <v> </v>
      </c>
      <c r="J4176" s="26" t="str">
        <f>IF(OR(E4176="",E4176="!!!",F4176="NEW"),"",COUNTBLANK(OFFSET(A$1,,,SUMPRODUCT(MAX(ROW(E$2:E4176)*(E4176=E$2:E4176)))))-COUNTBLANK(OFFSET(A$1,,,SUMPRODUCT(MAX(ROW(E$1:E4175)*(E2=E$1:E4175))))))</f>
        <v> </v>
      </c>
      <c r="K4176" s="26" t="str">
        <f>IF(OR(E4176="",E4176="!!!",F4176="NEW"),"",INDEX(J$1:J4175,SUMPRODUCT(MAX(ROW(E$1:E4175)*(E4176=E$1:E4175)))))</f>
        <v> </v>
      </c>
      <c r="L4176" s="27"/>
    </row>
    <row r="4177" spans="1:12">
      <c r="A4177" s="20" t="s">
        <v>1097</v>
      </c>
      <c r="E4177" s="22">
        <f>IF(D4177="?OLD","!!!","")</f>
        <v/>
      </c>
      <c r="F4177" s="23" t="str">
        <f>IF(OR(E4177="",E4177="!!!"),"",IF(NOT(ISNA(VLOOKUP(E4177,E$1:E4176,1,FALSE()))),"OLD",IF(AND(E4177&lt;&gt;"",E4177&lt;&gt;"!!!"),"NEW","")))</f>
        <v> </v>
      </c>
      <c r="G4177" s="24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5" t="str">
        <f>IF(J4177&lt;&gt;1,"",IF(I4177="SBJ","CB","?"))</f>
        <v> </v>
      </c>
      <c r="I4177" s="26" t="str">
        <f>IF(OR(E4177="",E4177="!!!",F4177="NEW"),"",INDEX(B4176:B$2,-1+SUMPRODUCT(MAX(ROW(E4176:E$2)*(E4177=E4176:E$2)))))</f>
        <v> </v>
      </c>
      <c r="J4177" s="26" t="str">
        <f>IF(OR(E4177="",E4177="!!!",F4177="NEW"),"",COUNTBLANK(OFFSET(A$1,,,SUMPRODUCT(MAX(ROW(E$2:E4177)*(E4177=E$2:E4177)))))-COUNTBLANK(OFFSET(A$1,,,SUMPRODUCT(MAX(ROW(E$1:E4176)*(E2=E$1:E4176))))))</f>
        <v> </v>
      </c>
      <c r="K4177" s="26" t="str">
        <f>IF(OR(E4177="",E4177="!!!",F4177="NEW"),"",INDEX(J$1:J4176,SUMPRODUCT(MAX(ROW(E$1:E4176)*(E4177=E$1:E4176)))))</f>
        <v> </v>
      </c>
      <c r="L4177" s="27"/>
    </row>
    <row r="4178" spans="1:12">
      <c r="A4178" s="20" t="s">
        <v>2106</v>
      </c>
      <c r="E4178" s="22">
        <f>IF(D4178="?OLD","!!!","")</f>
        <v/>
      </c>
      <c r="F4178" s="23" t="str">
        <f>IF(OR(E4178="",E4178="!!!"),"",IF(NOT(ISNA(VLOOKUP(E4178,E$1:E4177,1,FALSE()))),"OLD",IF(AND(E4178&lt;&gt;"",E4178&lt;&gt;"!!!"),"NEW","")))</f>
        <v> </v>
      </c>
      <c r="G4178" s="24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5" t="str">
        <f>IF(J4178&lt;&gt;1,"",IF(I4178="SBJ","CB","?"))</f>
        <v> </v>
      </c>
      <c r="I4178" s="26" t="str">
        <f>IF(OR(E4178="",E4178="!!!",F4178="NEW"),"",INDEX(B4177:B$2,-1+SUMPRODUCT(MAX(ROW(E4177:E$2)*(E4178=E4177:E$2)))))</f>
        <v> </v>
      </c>
      <c r="J4178" s="26" t="str">
        <f>IF(OR(E4178="",E4178="!!!",F4178="NEW"),"",COUNTBLANK(OFFSET(A$1,,,SUMPRODUCT(MAX(ROW(E$2:E4178)*(E4178=E$2:E4178)))))-COUNTBLANK(OFFSET(A$1,,,SUMPRODUCT(MAX(ROW(E$1:E4177)*(E2=E$1:E4177))))))</f>
        <v> </v>
      </c>
      <c r="K4178" s="26" t="str">
        <f>IF(OR(E4178="",E4178="!!!",F4178="NEW"),"",INDEX(J$1:J4177,SUMPRODUCT(MAX(ROW(E$1:E4177)*(E4178=E$1:E4177)))))</f>
        <v> </v>
      </c>
      <c r="L4178" s="27"/>
    </row>
    <row r="4179" spans="1:12">
      <c r="A4179" s="20" t="s">
        <v>1207</v>
      </c>
      <c r="E4179" s="22">
        <f>IF(D4179="?OLD","!!!","")</f>
        <v/>
      </c>
      <c r="F4179" s="23" t="str">
        <f>IF(OR(E4179="",E4179="!!!"),"",IF(NOT(ISNA(VLOOKUP(E4179,E$1:E4178,1,FALSE()))),"OLD",IF(AND(E4179&lt;&gt;"",E4179&lt;&gt;"!!!"),"NEW","")))</f>
        <v> </v>
      </c>
      <c r="G4179" s="24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5" t="str">
        <f>IF(J4179&lt;&gt;1,"",IF(I4179="SBJ","CB","?"))</f>
        <v> </v>
      </c>
      <c r="I4179" s="26" t="str">
        <f>IF(OR(E4179="",E4179="!!!",F4179="NEW"),"",INDEX(B4178:B$2,-1+SUMPRODUCT(MAX(ROW(E4178:E$2)*(E4179=E4178:E$2)))))</f>
        <v> </v>
      </c>
      <c r="J4179" s="26" t="str">
        <f>IF(OR(E4179="",E4179="!!!",F4179="NEW"),"",COUNTBLANK(OFFSET(A$1,,,SUMPRODUCT(MAX(ROW(E$2:E4179)*(E4179=E$2:E4179)))))-COUNTBLANK(OFFSET(A$1,,,SUMPRODUCT(MAX(ROW(E$1:E4178)*(E2=E$1:E4178))))))</f>
        <v> </v>
      </c>
      <c r="K4179" s="26" t="str">
        <f>IF(OR(E4179="",E4179="!!!",F4179="NEW"),"",INDEX(J$1:J4178,SUMPRODUCT(MAX(ROW(E$1:E4178)*(E4179=E$1:E4178)))))</f>
        <v> </v>
      </c>
      <c r="L4179" s="27"/>
    </row>
    <row r="4180" spans="1:12">
      <c r="A4180" s="20" t="s">
        <v>1022</v>
      </c>
      <c r="E4180" s="22">
        <f>IF(D4180="?OLD","!!!","")</f>
        <v/>
      </c>
      <c r="F4180" s="23" t="str">
        <f>IF(OR(E4180="",E4180="!!!"),"",IF(NOT(ISNA(VLOOKUP(E4180,E$1:E4179,1,FALSE()))),"OLD",IF(AND(E4180&lt;&gt;"",E4180&lt;&gt;"!!!"),"NEW","")))</f>
        <v> </v>
      </c>
      <c r="G4180" s="24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5" t="str">
        <f>IF(J4180&lt;&gt;1,"",IF(I4180="SBJ","CB","?"))</f>
        <v> </v>
      </c>
      <c r="I4180" s="26" t="str">
        <f>IF(OR(E4180="",E4180="!!!",F4180="NEW"),"",INDEX(B4179:B$2,-1+SUMPRODUCT(MAX(ROW(E4179:E$2)*(E4180=E4179:E$2)))))</f>
        <v> </v>
      </c>
      <c r="J4180" s="26" t="str">
        <f>IF(OR(E4180="",E4180="!!!",F4180="NEW"),"",COUNTBLANK(OFFSET(A$1,,,SUMPRODUCT(MAX(ROW(E$2:E4180)*(E4180=E$2:E4180)))))-COUNTBLANK(OFFSET(A$1,,,SUMPRODUCT(MAX(ROW(E$1:E4179)*(E2=E$1:E4179))))))</f>
        <v> </v>
      </c>
      <c r="K4180" s="26" t="str">
        <f>IF(OR(E4180="",E4180="!!!",F4180="NEW"),"",INDEX(J$1:J4179,SUMPRODUCT(MAX(ROW(E$1:E4179)*(E4180=E$1:E4179)))))</f>
        <v> </v>
      </c>
      <c r="L4180" s="27"/>
    </row>
    <row r="4181" spans="1:12">
      <c r="A4181" s="20" t="s">
        <v>1958</v>
      </c>
      <c r="B4181" s="21" t="s">
        <v>980</v>
      </c>
      <c r="C4181" s="21" t="s">
        <v>1032</v>
      </c>
      <c r="D4181" s="21" t="s">
        <v>950</v>
      </c>
      <c r="E4181" s="22">
        <f>IF(D4181="?OLD","!!!","")</f>
        <v/>
      </c>
      <c r="F4181" s="23" t="str">
        <f>IF(OR(E4181="",E4181="!!!"),"",IF(NOT(ISNA(VLOOKUP(E4181,E$1:E4180,1,FALSE()))),"OLD",IF(AND(E4181&lt;&gt;"",E4181&lt;&gt;"!!!"),"NEW","")))</f>
        <v> </v>
      </c>
      <c r="G4181" s="24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5" t="str">
        <f>IF(J4181&lt;&gt;1,"",IF(I4181="SBJ","CB","?"))</f>
        <v> </v>
      </c>
      <c r="I4181" s="26" t="str">
        <f>IF(OR(E4181="",E4181="!!!",F4181="NEW"),"",INDEX(B4180:B$2,-1+SUMPRODUCT(MAX(ROW(E4180:E$2)*(E4181=E4180:E$2)))))</f>
        <v> </v>
      </c>
      <c r="J4181" s="26" t="str">
        <f>IF(OR(E4181="",E4181="!!!",F4181="NEW"),"",COUNTBLANK(OFFSET(A$1,,,SUMPRODUCT(MAX(ROW(E$2:E4181)*(E4181=E$2:E4181)))))-COUNTBLANK(OFFSET(A$1,,,SUMPRODUCT(MAX(ROW(E$1:E4180)*(E2=E$1:E4180))))))</f>
        <v> </v>
      </c>
      <c r="K4181" s="26" t="str">
        <f>IF(OR(E4181="",E4181="!!!",F4181="NEW"),"",INDEX(J$1:J4180,SUMPRODUCT(MAX(ROW(E$1:E4180)*(E4181=E$1:E4180)))))</f>
        <v> </v>
      </c>
      <c r="L4181" s="27"/>
    </row>
    <row r="4182" spans="1:12">
      <c r="A4182" s="20" t="s">
        <v>977</v>
      </c>
      <c r="E4182" s="22">
        <f>IF(D4182="?OLD","!!!","")</f>
        <v/>
      </c>
      <c r="F4182" s="23" t="str">
        <f>IF(OR(E4182="",E4182="!!!"),"",IF(NOT(ISNA(VLOOKUP(E4182,E$1:E4181,1,FALSE()))),"OLD",IF(AND(E4182&lt;&gt;"",E4182&lt;&gt;"!!!"),"NEW","")))</f>
        <v> </v>
      </c>
      <c r="G4182" s="24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5" t="str">
        <f>IF(J4182&lt;&gt;1,"",IF(I4182="SBJ","CB","?"))</f>
        <v> </v>
      </c>
      <c r="I4182" s="26" t="str">
        <f>IF(OR(E4182="",E4182="!!!",F4182="NEW"),"",INDEX(B4181:B$2,-1+SUMPRODUCT(MAX(ROW(E4181:E$2)*(E4182=E4181:E$2)))))</f>
        <v> </v>
      </c>
      <c r="J4182" s="26" t="str">
        <f>IF(OR(E4182="",E4182="!!!",F4182="NEW"),"",COUNTBLANK(OFFSET(A$1,,,SUMPRODUCT(MAX(ROW(E$2:E4182)*(E4182=E$2:E4182)))))-COUNTBLANK(OFFSET(A$1,,,SUMPRODUCT(MAX(ROW(E$1:E4181)*(E2=E$1:E4181))))))</f>
        <v> </v>
      </c>
      <c r="K4182" s="26" t="str">
        <f>IF(OR(E4182="",E4182="!!!",F4182="NEW"),"",INDEX(J$1:J4181,SUMPRODUCT(MAX(ROW(E$1:E4181)*(E4182=E$1:E4181)))))</f>
        <v> </v>
      </c>
      <c r="L4182" s="27"/>
    </row>
    <row r="4183" spans="1:12">
      <c r="A4183" s="20" t="s">
        <v>1093</v>
      </c>
      <c r="E4183" s="22">
        <f>IF(D4183="?OLD","!!!","")</f>
        <v/>
      </c>
      <c r="F4183" s="23" t="str">
        <f>IF(OR(E4183="",E4183="!!!"),"",IF(NOT(ISNA(VLOOKUP(E4183,E$1:E4182,1,FALSE()))),"OLD",IF(AND(E4183&lt;&gt;"",E4183&lt;&gt;"!!!"),"NEW","")))</f>
        <v> </v>
      </c>
      <c r="G4183" s="24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5" t="str">
        <f>IF(J4183&lt;&gt;1,"",IF(I4183="SBJ","CB","?"))</f>
        <v> </v>
      </c>
      <c r="I4183" s="26" t="str">
        <f>IF(OR(E4183="",E4183="!!!",F4183="NEW"),"",INDEX(B4182:B$2,-1+SUMPRODUCT(MAX(ROW(E4182:E$2)*(E4183=E4182:E$2)))))</f>
        <v> </v>
      </c>
      <c r="J4183" s="26" t="str">
        <f>IF(OR(E4183="",E4183="!!!",F4183="NEW"),"",COUNTBLANK(OFFSET(A$1,,,SUMPRODUCT(MAX(ROW(E$2:E4183)*(E4183=E$2:E4183)))))-COUNTBLANK(OFFSET(A$1,,,SUMPRODUCT(MAX(ROW(E$1:E4182)*(E2=E$1:E4182))))))</f>
        <v> </v>
      </c>
      <c r="K4183" s="26" t="str">
        <f>IF(OR(E4183="",E4183="!!!",F4183="NEW"),"",INDEX(J$1:J4182,SUMPRODUCT(MAX(ROW(E$1:E4182)*(E4183=E$1:E4182)))))</f>
        <v> </v>
      </c>
      <c r="L4183" s="27"/>
    </row>
    <row r="4184" spans="1:12">
      <c r="A4184" s="20" t="s">
        <v>1094</v>
      </c>
      <c r="B4184" s="21" t="s">
        <v>1036</v>
      </c>
      <c r="C4184" s="21" t="s">
        <v>1032</v>
      </c>
      <c r="D4184" s="21" t="s">
        <v>950</v>
      </c>
      <c r="E4184" s="22">
        <f>IF(D4184="?OLD","!!!","")</f>
        <v/>
      </c>
      <c r="F4184" s="23" t="str">
        <f>IF(OR(E4184="",E4184="!!!"),"",IF(NOT(ISNA(VLOOKUP(E4184,E$1:E4183,1,FALSE()))),"OLD",IF(AND(E4184&lt;&gt;"",E4184&lt;&gt;"!!!"),"NEW","")))</f>
        <v> </v>
      </c>
      <c r="G4184" s="24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5" t="str">
        <f>IF(J4184&lt;&gt;1,"",IF(I4184="SBJ","CB","?"))</f>
        <v> </v>
      </c>
      <c r="I4184" s="26" t="str">
        <f>IF(OR(E4184="",E4184="!!!",F4184="NEW"),"",INDEX(B4183:B$2,-1+SUMPRODUCT(MAX(ROW(E4183:E$2)*(E4184=E4183:E$2)))))</f>
        <v> </v>
      </c>
      <c r="J4184" s="26" t="str">
        <f>IF(OR(E4184="",E4184="!!!",F4184="NEW"),"",COUNTBLANK(OFFSET(A$1,,,SUMPRODUCT(MAX(ROW(E$2:E4184)*(E4184=E$2:E4184)))))-COUNTBLANK(OFFSET(A$1,,,SUMPRODUCT(MAX(ROW(E$1:E4183)*(E2=E$1:E4183))))))</f>
        <v> </v>
      </c>
      <c r="K4184" s="26" t="str">
        <f>IF(OR(E4184="",E4184="!!!",F4184="NEW"),"",INDEX(J$1:J4183,SUMPRODUCT(MAX(ROW(E$1:E4183)*(E4184=E$1:E4183)))))</f>
        <v> </v>
      </c>
      <c r="L4184" s="27"/>
    </row>
    <row r="4185" spans="1:12">
      <c r="A4185" s="20" t="s">
        <v>143</v>
      </c>
      <c r="E4185" s="22">
        <f>IF(D4185="?OLD","!!!","")</f>
        <v/>
      </c>
      <c r="F4185" s="23" t="str">
        <f>IF(OR(E4185="",E4185="!!!"),"",IF(NOT(ISNA(VLOOKUP(E4185,E$1:E4184,1,FALSE()))),"OLD",IF(AND(E4185&lt;&gt;"",E4185&lt;&gt;"!!!"),"NEW","")))</f>
        <v> </v>
      </c>
      <c r="G4185" s="24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5" t="str">
        <f>IF(J4185&lt;&gt;1,"",IF(I4185="SBJ","CB","?"))</f>
        <v> </v>
      </c>
      <c r="I4185" s="26" t="str">
        <f>IF(OR(E4185="",E4185="!!!",F4185="NEW"),"",INDEX(B4184:B$2,-1+SUMPRODUCT(MAX(ROW(E4184:E$2)*(E4185=E4184:E$2)))))</f>
        <v> </v>
      </c>
      <c r="J4185" s="26" t="str">
        <f>IF(OR(E4185="",E4185="!!!",F4185="NEW"),"",COUNTBLANK(OFFSET(A$1,,,SUMPRODUCT(MAX(ROW(E$2:E4185)*(E4185=E$2:E4185)))))-COUNTBLANK(OFFSET(A$1,,,SUMPRODUCT(MAX(ROW(E$1:E4184)*(E2=E$1:E4184))))))</f>
        <v> </v>
      </c>
      <c r="K4185" s="26" t="str">
        <f>IF(OR(E4185="",E4185="!!!",F4185="NEW"),"",INDEX(J$1:J4184,SUMPRODUCT(MAX(ROW(E$1:E4184)*(E4185=E$1:E4184)))))</f>
        <v> </v>
      </c>
      <c r="L4185" s="27"/>
    </row>
    <row r="4186" spans="1:12">
      <c r="A4186" s="20" t="s">
        <v>965</v>
      </c>
      <c r="E4186" s="22">
        <f>IF(D4186="?OLD","!!!","")</f>
        <v/>
      </c>
      <c r="F4186" s="23" t="str">
        <f>IF(OR(E4186="",E4186="!!!"),"",IF(NOT(ISNA(VLOOKUP(E4186,E$1:E4185,1,FALSE()))),"OLD",IF(AND(E4186&lt;&gt;"",E4186&lt;&gt;"!!!"),"NEW","")))</f>
        <v> </v>
      </c>
      <c r="G4186" s="24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5" t="str">
        <f>IF(J4186&lt;&gt;1,"",IF(I4186="SBJ","CB","?"))</f>
        <v> </v>
      </c>
      <c r="I4186" s="26" t="str">
        <f>IF(OR(E4186="",E4186="!!!",F4186="NEW"),"",INDEX(B4185:B$2,-1+SUMPRODUCT(MAX(ROW(E4185:E$2)*(E4186=E4185:E$2)))))</f>
        <v> </v>
      </c>
      <c r="J4186" s="26" t="str">
        <f>IF(OR(E4186="",E4186="!!!",F4186="NEW"),"",COUNTBLANK(OFFSET(A$1,,,SUMPRODUCT(MAX(ROW(E$2:E4186)*(E4186=E$2:E4186)))))-COUNTBLANK(OFFSET(A$1,,,SUMPRODUCT(MAX(ROW(E$1:E4185)*(E2=E$1:E4185))))))</f>
        <v> </v>
      </c>
      <c r="K4186" s="26" t="str">
        <f>IF(OR(E4186="",E4186="!!!",F4186="NEW"),"",INDEX(J$1:J4185,SUMPRODUCT(MAX(ROW(E$1:E4185)*(E4186=E$1:E4185)))))</f>
        <v> </v>
      </c>
      <c r="L4186" s="27"/>
    </row>
    <row r="4187" spans="1:12">
      <c r="A4187" s="20" t="s">
        <v>1093</v>
      </c>
      <c r="E4187" s="22">
        <f>IF(D4187="?OLD","!!!","")</f>
        <v/>
      </c>
      <c r="F4187" s="23" t="str">
        <f>IF(OR(E4187="",E4187="!!!"),"",IF(NOT(ISNA(VLOOKUP(E4187,E$1:E4186,1,FALSE()))),"OLD",IF(AND(E4187&lt;&gt;"",E4187&lt;&gt;"!!!"),"NEW","")))</f>
        <v> </v>
      </c>
      <c r="G4187" s="24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5" t="str">
        <f>IF(J4187&lt;&gt;1,"",IF(I4187="SBJ","CB","?"))</f>
        <v> </v>
      </c>
      <c r="I4187" s="26" t="str">
        <f>IF(OR(E4187="",E4187="!!!",F4187="NEW"),"",INDEX(B4186:B$2,-1+SUMPRODUCT(MAX(ROW(E4186:E$2)*(E4187=E4186:E$2)))))</f>
        <v> </v>
      </c>
      <c r="J4187" s="26" t="str">
        <f>IF(OR(E4187="",E4187="!!!",F4187="NEW"),"",COUNTBLANK(OFFSET(A$1,,,SUMPRODUCT(MAX(ROW(E$2:E4187)*(E4187=E$2:E4187)))))-COUNTBLANK(OFFSET(A$1,,,SUMPRODUCT(MAX(ROW(E$1:E4186)*(E2=E$1:E4186))))))</f>
        <v> </v>
      </c>
      <c r="K4187" s="26" t="str">
        <f>IF(OR(E4187="",E4187="!!!",F4187="NEW"),"",INDEX(J$1:J4186,SUMPRODUCT(MAX(ROW(E$1:E4186)*(E4187=E$1:E4186)))))</f>
        <v> </v>
      </c>
      <c r="L4187" s="27"/>
    </row>
    <row r="4188" spans="1:12">
      <c r="A4188" s="20" t="s">
        <v>2096</v>
      </c>
      <c r="B4188" s="21" t="s">
        <v>1043</v>
      </c>
      <c r="C4188" s="21" t="s">
        <v>1032</v>
      </c>
      <c r="D4188" s="21" t="s">
        <v>950</v>
      </c>
      <c r="E4188" s="22">
        <f>IF(D4188="?OLD","!!!","")</f>
        <v/>
      </c>
      <c r="F4188" s="23" t="str">
        <f>IF(OR(E4188="",E4188="!!!"),"",IF(NOT(ISNA(VLOOKUP(E4188,E$1:E4187,1,FALSE()))),"OLD",IF(AND(E4188&lt;&gt;"",E4188&lt;&gt;"!!!"),"NEW","")))</f>
        <v> </v>
      </c>
      <c r="G4188" s="24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5" t="str">
        <f>IF(J4188&lt;&gt;1,"",IF(I4188="SBJ","CB","?"))</f>
        <v> </v>
      </c>
      <c r="I4188" s="26" t="str">
        <f>IF(OR(E4188="",E4188="!!!",F4188="NEW"),"",INDEX(B4187:B$2,-1+SUMPRODUCT(MAX(ROW(E4187:E$2)*(E4188=E4187:E$2)))))</f>
        <v> </v>
      </c>
      <c r="J4188" s="26" t="str">
        <f>IF(OR(E4188="",E4188="!!!",F4188="NEW"),"",COUNTBLANK(OFFSET(A$1,,,SUMPRODUCT(MAX(ROW(E$2:E4188)*(E4188=E$2:E4188)))))-COUNTBLANK(OFFSET(A$1,,,SUMPRODUCT(MAX(ROW(E$1:E4187)*(E2=E$1:E4187))))))</f>
        <v> </v>
      </c>
      <c r="K4188" s="26" t="str">
        <f>IF(OR(E4188="",E4188="!!!",F4188="NEW"),"",INDEX(J$1:J4187,SUMPRODUCT(MAX(ROW(E$1:E4187)*(E4188=E$1:E4187)))))</f>
        <v> </v>
      </c>
      <c r="L4188" s="27"/>
    </row>
    <row r="4189" spans="1:12">
      <c r="A4189" s="20" t="s">
        <v>1250</v>
      </c>
      <c r="E4189" s="22">
        <f>IF(D4189="?OLD","!!!","")</f>
        <v/>
      </c>
      <c r="F4189" s="23" t="str">
        <f>IF(OR(E4189="",E4189="!!!"),"",IF(NOT(ISNA(VLOOKUP(E4189,E$1:E4188,1,FALSE()))),"OLD",IF(AND(E4189&lt;&gt;"",E4189&lt;&gt;"!!!"),"NEW","")))</f>
        <v> </v>
      </c>
      <c r="G4189" s="24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5" t="str">
        <f>IF(J4189&lt;&gt;1,"",IF(I4189="SBJ","CB","?"))</f>
        <v> </v>
      </c>
      <c r="I4189" s="26" t="str">
        <f>IF(OR(E4189="",E4189="!!!",F4189="NEW"),"",INDEX(B4188:B$2,-1+SUMPRODUCT(MAX(ROW(E4188:E$2)*(E4189=E4188:E$2)))))</f>
        <v> </v>
      </c>
      <c r="J4189" s="26" t="str">
        <f>IF(OR(E4189="",E4189="!!!",F4189="NEW"),"",COUNTBLANK(OFFSET(A$1,,,SUMPRODUCT(MAX(ROW(E$2:E4189)*(E4189=E$2:E4189)))))-COUNTBLANK(OFFSET(A$1,,,SUMPRODUCT(MAX(ROW(E$1:E4188)*(E2=E$1:E4188))))))</f>
        <v> </v>
      </c>
      <c r="K4189" s="26" t="str">
        <f>IF(OR(E4189="",E4189="!!!",F4189="NEW"),"",INDEX(J$1:J4188,SUMPRODUCT(MAX(ROW(E$1:E4188)*(E4189=E$1:E4188)))))</f>
        <v> </v>
      </c>
      <c r="L4189" s="27"/>
    </row>
    <row r="4190" spans="1:12">
      <c r="A4190" s="20" t="s">
        <v>967</v>
      </c>
      <c r="E4190" s="22">
        <f>IF(D4190="?OLD","!!!","")</f>
        <v/>
      </c>
      <c r="F4190" s="23" t="str">
        <f>IF(OR(E4190="",E4190="!!!"),"",IF(NOT(ISNA(VLOOKUP(E4190,E$1:E4189,1,FALSE()))),"OLD",IF(AND(E4190&lt;&gt;"",E4190&lt;&gt;"!!!"),"NEW","")))</f>
        <v> </v>
      </c>
      <c r="G4190" s="24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5" t="str">
        <f>IF(J4190&lt;&gt;1,"",IF(I4190="SBJ","CB","?"))</f>
        <v> </v>
      </c>
      <c r="I4190" s="26" t="str">
        <f>IF(OR(E4190="",E4190="!!!",F4190="NEW"),"",INDEX(B4189:B$2,-1+SUMPRODUCT(MAX(ROW(E4189:E$2)*(E4190=E4189:E$2)))))</f>
        <v> </v>
      </c>
      <c r="J4190" s="26" t="str">
        <f>IF(OR(E4190="",E4190="!!!",F4190="NEW"),"",COUNTBLANK(OFFSET(A$1,,,SUMPRODUCT(MAX(ROW(E$2:E4190)*(E4190=E$2:E4190)))))-COUNTBLANK(OFFSET(A$1,,,SUMPRODUCT(MAX(ROW(E$1:E4189)*(E2=E$1:E4189))))))</f>
        <v> </v>
      </c>
      <c r="K4190" s="26" t="str">
        <f>IF(OR(E4190="",E4190="!!!",F4190="NEW"),"",INDEX(J$1:J4189,SUMPRODUCT(MAX(ROW(E$1:E4189)*(E4190=E$1:E4189)))))</f>
        <v> </v>
      </c>
      <c r="L4190" s="27"/>
    </row>
    <row r="4191" spans="1:12">
      <c r="A4191" s="20" t="s">
        <v>2107</v>
      </c>
      <c r="E4191" s="22">
        <f>IF(D4191="?OLD","!!!","")</f>
        <v/>
      </c>
      <c r="F4191" s="23" t="str">
        <f>IF(OR(E4191="",E4191="!!!"),"",IF(NOT(ISNA(VLOOKUP(E4191,E$1:E4190,1,FALSE()))),"OLD",IF(AND(E4191&lt;&gt;"",E4191&lt;&gt;"!!!"),"NEW","")))</f>
        <v> </v>
      </c>
      <c r="G4191" s="24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5" t="str">
        <f>IF(J4191&lt;&gt;1,"",IF(I4191="SBJ","CB","?"))</f>
        <v> </v>
      </c>
      <c r="I4191" s="26" t="str">
        <f>IF(OR(E4191="",E4191="!!!",F4191="NEW"),"",INDEX(B4190:B$2,-1+SUMPRODUCT(MAX(ROW(E4190:E$2)*(E4191=E4190:E$2)))))</f>
        <v> </v>
      </c>
      <c r="J4191" s="26" t="str">
        <f>IF(OR(E4191="",E4191="!!!",F4191="NEW"),"",COUNTBLANK(OFFSET(A$1,,,SUMPRODUCT(MAX(ROW(E$2:E4191)*(E4191=E$2:E4191)))))-COUNTBLANK(OFFSET(A$1,,,SUMPRODUCT(MAX(ROW(E$1:E4190)*(E2=E$1:E4190))))))</f>
        <v> </v>
      </c>
      <c r="K4191" s="26" t="str">
        <f>IF(OR(E4191="",E4191="!!!",F4191="NEW"),"",INDEX(J$1:J4190,SUMPRODUCT(MAX(ROW(E$1:E4190)*(E4191=E$1:E4190)))))</f>
        <v> </v>
      </c>
      <c r="L4191" s="27"/>
    </row>
    <row r="4192" spans="1:12">
      <c r="A4192" s="20" t="s">
        <v>984</v>
      </c>
      <c r="E4192" s="22">
        <f>IF(D4192="?OLD","!!!","")</f>
        <v/>
      </c>
      <c r="F4192" s="23" t="str">
        <f>IF(OR(E4192="",E4192="!!!"),"",IF(NOT(ISNA(VLOOKUP(E4192,E$1:E4191,1,FALSE()))),"OLD",IF(AND(E4192&lt;&gt;"",E4192&lt;&gt;"!!!"),"NEW","")))</f>
        <v> </v>
      </c>
      <c r="G4192" s="24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5" t="str">
        <f>IF(J4192&lt;&gt;1,"",IF(I4192="SBJ","CB","?"))</f>
        <v> </v>
      </c>
      <c r="I4192" s="26" t="str">
        <f>IF(OR(E4192="",E4192="!!!",F4192="NEW"),"",INDEX(B4191:B$2,-1+SUMPRODUCT(MAX(ROW(E4191:E$2)*(E4192=E4191:E$2)))))</f>
        <v> </v>
      </c>
      <c r="J4192" s="26" t="str">
        <f>IF(OR(E4192="",E4192="!!!",F4192="NEW"),"",COUNTBLANK(OFFSET(A$1,,,SUMPRODUCT(MAX(ROW(E$2:E4192)*(E4192=E$2:E4192)))))-COUNTBLANK(OFFSET(A$1,,,SUMPRODUCT(MAX(ROW(E$1:E4191)*(E2=E$1:E4191))))))</f>
        <v> </v>
      </c>
      <c r="K4192" s="26" t="str">
        <f>IF(OR(E4192="",E4192="!!!",F4192="NEW"),"",INDEX(J$1:J4191,SUMPRODUCT(MAX(ROW(E$1:E4191)*(E4192=E$1:E4191)))))</f>
        <v> </v>
      </c>
      <c r="L4192" s="27"/>
    </row>
    <row r="4193" spans="1:12">
      <c r="A4193" s="20"/>
    </row>
    <row r="4194" spans="1:12">
      <c r="A4194" s="20" t="s">
        <v>2108</v>
      </c>
    </row>
    <row r="4195" spans="1:12">
      <c r="A4195" s="20" t="s">
        <v>2109</v>
      </c>
      <c r="E4195" s="22">
        <f>IF(D4195="?OLD","!!!","")</f>
        <v/>
      </c>
      <c r="F4195" s="23" t="str">
        <f>IF(OR(E4195="",E4195="!!!"),"",IF(NOT(ISNA(VLOOKUP(E4195,E$1:E4194,1,FALSE()))),"OLD",IF(AND(E4195&lt;&gt;"",E4195&lt;&gt;"!!!"),"NEW","")))</f>
        <v> </v>
      </c>
      <c r="G4195" s="24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5" t="str">
        <f>IF(J4195&lt;&gt;1,"",IF(I4195="SBJ","CB","?"))</f>
        <v> </v>
      </c>
      <c r="I4195" s="26" t="str">
        <f>IF(OR(E4195="",E4195="!!!",F4195="NEW"),"",INDEX(B4194:B$2,-1+SUMPRODUCT(MAX(ROW(E4194:E$2)*(E4195=E4194:E$2)))))</f>
        <v> </v>
      </c>
      <c r="J4195" s="26" t="str">
        <f>IF(OR(E4195="",E4195="!!!",F4195="NEW"),"",COUNTBLANK(OFFSET(A$1,,,SUMPRODUCT(MAX(ROW(E$2:E4195)*(E4195=E$2:E4195)))))-COUNTBLANK(OFFSET(A$1,,,SUMPRODUCT(MAX(ROW(E$1:E4194)*(E2=E$1:E4194))))))</f>
        <v> </v>
      </c>
      <c r="K4195" s="26" t="str">
        <f>IF(OR(E4195="",E4195="!!!",F4195="NEW"),"",INDEX(J$1:J4194,SUMPRODUCT(MAX(ROW(E$1:E4194)*(E4195=E$1:E4194)))))</f>
        <v> </v>
      </c>
      <c r="L4195" s="27"/>
    </row>
    <row r="4196" spans="1:12">
      <c r="A4196" s="20" t="s">
        <v>2110</v>
      </c>
      <c r="E4196" s="22">
        <f>IF(D4196="?OLD","!!!","")</f>
        <v/>
      </c>
      <c r="F4196" s="23" t="str">
        <f>IF(OR(E4196="",E4196="!!!"),"",IF(NOT(ISNA(VLOOKUP(E4196,E$1:E4195,1,FALSE()))),"OLD",IF(AND(E4196&lt;&gt;"",E4196&lt;&gt;"!!!"),"NEW","")))</f>
        <v> </v>
      </c>
      <c r="G4196" s="24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5" t="str">
        <f>IF(J4196&lt;&gt;1,"",IF(I4196="SBJ","CB","?"))</f>
        <v> </v>
      </c>
      <c r="I4196" s="26" t="str">
        <f>IF(OR(E4196="",E4196="!!!",F4196="NEW"),"",INDEX(B4195:B$2,-1+SUMPRODUCT(MAX(ROW(E4195:E$2)*(E4196=E4195:E$2)))))</f>
        <v> </v>
      </c>
      <c r="J4196" s="26" t="str">
        <f>IF(OR(E4196="",E4196="!!!",F4196="NEW"),"",COUNTBLANK(OFFSET(A$1,,,SUMPRODUCT(MAX(ROW(E$2:E4196)*(E4196=E$2:E4196)))))-COUNTBLANK(OFFSET(A$1,,,SUMPRODUCT(MAX(ROW(E$1:E4195)*(E2=E$1:E4195))))))</f>
        <v> </v>
      </c>
      <c r="K4196" s="26" t="str">
        <f>IF(OR(E4196="",E4196="!!!",F4196="NEW"),"",INDEX(J$1:J4195,SUMPRODUCT(MAX(ROW(E$1:E4195)*(E4196=E$1:E4195)))))</f>
        <v> </v>
      </c>
      <c r="L4196" s="27"/>
    </row>
    <row r="4197" spans="1:12">
      <c r="A4197" s="20" t="s">
        <v>2111</v>
      </c>
      <c r="B4197" s="21" t="s">
        <v>959</v>
      </c>
      <c r="C4197" s="21" t="s">
        <v>983</v>
      </c>
      <c r="E4197" s="22">
        <f>IF(D4197="?OLD","!!!","")</f>
        <v/>
      </c>
      <c r="F4197" s="23" t="str">
        <f>IF(OR(E4197="",E4197="!!!"),"",IF(NOT(ISNA(VLOOKUP(E4197,E$1:E4196,1,FALSE()))),"OLD",IF(AND(E4197&lt;&gt;"",E4197&lt;&gt;"!!!"),"NEW","")))</f>
        <v> </v>
      </c>
      <c r="G4197" s="24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5" t="str">
        <f>IF(J4197&lt;&gt;1,"",IF(I4197="SBJ","CB","?"))</f>
        <v> </v>
      </c>
      <c r="I4197" s="26" t="str">
        <f>IF(OR(E4197="",E4197="!!!",F4197="NEW"),"",INDEX(B4196:B$2,-1+SUMPRODUCT(MAX(ROW(E4196:E$2)*(E4197=E4196:E$2)))))</f>
        <v> </v>
      </c>
      <c r="J4197" s="26" t="str">
        <f>IF(OR(E4197="",E4197="!!!",F4197="NEW"),"",COUNTBLANK(OFFSET(A$1,,,SUMPRODUCT(MAX(ROW(E$2:E4197)*(E4197=E$2:E4197)))))-COUNTBLANK(OFFSET(A$1,,,SUMPRODUCT(MAX(ROW(E$1:E4196)*(E2=E$1:E4196))))))</f>
        <v> </v>
      </c>
      <c r="K4197" s="26" t="str">
        <f>IF(OR(E4197="",E4197="!!!",F4197="NEW"),"",INDEX(J$1:J4196,SUMPRODUCT(MAX(ROW(E$1:E4196)*(E4197=E$1:E4196)))))</f>
        <v> </v>
      </c>
      <c r="L4197" s="27"/>
    </row>
    <row r="4198" spans="1:12">
      <c r="A4198" s="20" t="s">
        <v>984</v>
      </c>
      <c r="E4198" s="22">
        <f>IF(D4198="?OLD","!!!","")</f>
        <v/>
      </c>
      <c r="F4198" s="23" t="str">
        <f>IF(OR(E4198="",E4198="!!!"),"",IF(NOT(ISNA(VLOOKUP(E4198,E$1:E4197,1,FALSE()))),"OLD",IF(AND(E4198&lt;&gt;"",E4198&lt;&gt;"!!!"),"NEW","")))</f>
        <v> </v>
      </c>
      <c r="G4198" s="24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5" t="str">
        <f>IF(J4198&lt;&gt;1,"",IF(I4198="SBJ","CB","?"))</f>
        <v> </v>
      </c>
      <c r="I4198" s="26" t="str">
        <f>IF(OR(E4198="",E4198="!!!",F4198="NEW"),"",INDEX(B4197:B$2,-1+SUMPRODUCT(MAX(ROW(E4197:E$2)*(E4198=E4197:E$2)))))</f>
        <v> </v>
      </c>
      <c r="J4198" s="26" t="str">
        <f>IF(OR(E4198="",E4198="!!!",F4198="NEW"),"",COUNTBLANK(OFFSET(A$1,,,SUMPRODUCT(MAX(ROW(E$2:E4198)*(E4198=E$2:E4198)))))-COUNTBLANK(OFFSET(A$1,,,SUMPRODUCT(MAX(ROW(E$1:E4197)*(E2=E$1:E4197))))))</f>
        <v> </v>
      </c>
      <c r="K4198" s="26" t="str">
        <f>IF(OR(E4198="",E4198="!!!",F4198="NEW"),"",INDEX(J$1:J4197,SUMPRODUCT(MAX(ROW(E$1:E4197)*(E4198=E$1:E4197)))))</f>
        <v> </v>
      </c>
      <c r="L4198" s="27"/>
    </row>
    <row r="4199" spans="1:12">
      <c r="A4199" s="20"/>
    </row>
    <row r="4200" spans="1:12">
      <c r="A4200" s="20" t="s">
        <v>2112</v>
      </c>
    </row>
    <row r="4201" spans="1:12">
      <c r="A4201" s="20" t="s">
        <v>1253</v>
      </c>
      <c r="E4201" s="22">
        <f>IF(D4201="?OLD","!!!","")</f>
        <v/>
      </c>
      <c r="F4201" s="23" t="str">
        <f>IF(OR(E4201="",E4201="!!!"),"",IF(NOT(ISNA(VLOOKUP(E4201,E$1:E4200,1,FALSE()))),"OLD",IF(AND(E4201&lt;&gt;"",E4201&lt;&gt;"!!!"),"NEW","")))</f>
        <v> </v>
      </c>
      <c r="G4201" s="24" t="str">
        <f>IF(OR(E4201="",E4201="!!!"),"",IF(OR(J4201=0,AND(J4201=1,K4201=1),AND(J4201=1,I4201="SBJ"),AND(J4201=1,I4201=0)),"?IN_FOCUS",IF(J4201&lt;=2,"?ACTIVATED",IF(J4201&lt;&gt;"","?FAMILIAR",IF(F4201="NEW",IF(ISNA(VLOOKUP(E4201,#REF!,1,FALSE())),"?TYPE_IDENTIFIABLE","?REFERENTIAL"),"_")))))</f>
        <v> </v>
      </c>
      <c r="H4201" s="25" t="str">
        <f>IF(J4201&lt;&gt;1,"",IF(I4201="SBJ","CB","?"))</f>
        <v> </v>
      </c>
      <c r="I4201" s="26" t="str">
        <f>IF(OR(E4201="",E4201="!!!",F4201="NEW"),"",INDEX(B4200:B$2,-1+SUMPRODUCT(MAX(ROW(E4200:E$2)*(E4201=E4200:E$2)))))</f>
        <v> </v>
      </c>
      <c r="J4201" s="26" t="str">
        <f>IF(OR(E4201="",E4201="!!!",F4201="NEW"),"",COUNTBLANK(OFFSET(A$1,,,SUMPRODUCT(MAX(ROW(E$2:E4201)*(E4201=E$2:E4201)))))-COUNTBLANK(OFFSET(A$1,,,SUMPRODUCT(MAX(ROW(E$1:E4200)*(E2=E$1:E4200))))))</f>
        <v> </v>
      </c>
      <c r="K4201" s="26" t="str">
        <f>IF(OR(E4201="",E4201="!!!",F4201="NEW"),"",INDEX(J$1:J4200,SUMPRODUCT(MAX(ROW(E$1:E4200)*(E4201=E$1:E4200)))))</f>
        <v> </v>
      </c>
      <c r="L4201" s="27"/>
    </row>
    <row r="4202" spans="1:12">
      <c r="A4202" s="20" t="s">
        <v>965</v>
      </c>
      <c r="E4202" s="22">
        <f>IF(D4202="?OLD","!!!","")</f>
        <v/>
      </c>
      <c r="F4202" s="23" t="str">
        <f>IF(OR(E4202="",E4202="!!!"),"",IF(NOT(ISNA(VLOOKUP(E4202,E$1:E4201,1,FALSE()))),"OLD",IF(AND(E4202&lt;&gt;"",E4202&lt;&gt;"!!!"),"NEW","")))</f>
        <v> </v>
      </c>
      <c r="G4202" s="24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5" t="str">
        <f>IF(J4202&lt;&gt;1,"",IF(I4202="SBJ","CB","?"))</f>
        <v> </v>
      </c>
      <c r="I4202" s="26" t="str">
        <f>IF(OR(E4202="",E4202="!!!",F4202="NEW"),"",INDEX(B4201:B$2,-1+SUMPRODUCT(MAX(ROW(E4201:E$2)*(E4202=E4201:E$2)))))</f>
        <v> </v>
      </c>
      <c r="J4202" s="26" t="str">
        <f>IF(OR(E4202="",E4202="!!!",F4202="NEW"),"",COUNTBLANK(OFFSET(A$1,,,SUMPRODUCT(MAX(ROW(E$2:E4202)*(E4202=E$2:E4202)))))-COUNTBLANK(OFFSET(A$1,,,SUMPRODUCT(MAX(ROW(E$1:E4201)*(E2=E$1:E4201))))))</f>
        <v> </v>
      </c>
      <c r="K4202" s="26" t="str">
        <f>IF(OR(E4202="",E4202="!!!",F4202="NEW"),"",INDEX(J$1:J4201,SUMPRODUCT(MAX(ROW(E$1:E4201)*(E4202=E$1:E4201)))))</f>
        <v> </v>
      </c>
      <c r="L4202" s="27"/>
    </row>
    <row r="4203" spans="1:12">
      <c r="A4203" s="20" t="s">
        <v>1072</v>
      </c>
      <c r="E4203" s="22">
        <f>IF(D4203="?OLD","!!!","")</f>
        <v/>
      </c>
      <c r="F4203" s="23" t="str">
        <f>IF(OR(E4203="",E4203="!!!"),"",IF(NOT(ISNA(VLOOKUP(E4203,E$1:E4202,1,FALSE()))),"OLD",IF(AND(E4203&lt;&gt;"",E4203&lt;&gt;"!!!"),"NEW","")))</f>
        <v> </v>
      </c>
      <c r="G4203" s="24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5" t="str">
        <f>IF(J4203&lt;&gt;1,"",IF(I4203="SBJ","CB","?"))</f>
        <v> </v>
      </c>
      <c r="I4203" s="26" t="str">
        <f>IF(OR(E4203="",E4203="!!!",F4203="NEW"),"",INDEX(B4202:B$2,-1+SUMPRODUCT(MAX(ROW(E4202:E$2)*(E4203=E4202:E$2)))))</f>
        <v> </v>
      </c>
      <c r="J4203" s="26" t="str">
        <f>IF(OR(E4203="",E4203="!!!",F4203="NEW"),"",COUNTBLANK(OFFSET(A$1,,,SUMPRODUCT(MAX(ROW(E$2:E4203)*(E4203=E$2:E4203)))))-COUNTBLANK(OFFSET(A$1,,,SUMPRODUCT(MAX(ROW(E$1:E4202)*(E2=E$1:E4202))))))</f>
        <v> </v>
      </c>
      <c r="K4203" s="26" t="str">
        <f>IF(OR(E4203="",E4203="!!!",F4203="NEW"),"",INDEX(J$1:J4202,SUMPRODUCT(MAX(ROW(E$1:E4202)*(E4203=E$1:E4202)))))</f>
        <v> </v>
      </c>
      <c r="L4203" s="27"/>
    </row>
    <row r="4204" spans="1:12">
      <c r="A4204" s="20" t="s">
        <v>977</v>
      </c>
      <c r="E4204" s="22">
        <f>IF(D4204="?OLD","!!!","")</f>
        <v/>
      </c>
      <c r="F4204" s="23" t="str">
        <f>IF(OR(E4204="",E4204="!!!"),"",IF(NOT(ISNA(VLOOKUP(E4204,E$1:E4203,1,FALSE()))),"OLD",IF(AND(E4204&lt;&gt;"",E4204&lt;&gt;"!!!"),"NEW","")))</f>
        <v> </v>
      </c>
      <c r="G4204" s="24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5" t="str">
        <f>IF(J4204&lt;&gt;1,"",IF(I4204="SBJ","CB","?"))</f>
        <v> </v>
      </c>
      <c r="I4204" s="26" t="str">
        <f>IF(OR(E4204="",E4204="!!!",F4204="NEW"),"",INDEX(B4203:B$2,-1+SUMPRODUCT(MAX(ROW(E4203:E$2)*(E4204=E4203:E$2)))))</f>
        <v> </v>
      </c>
      <c r="J4204" s="26" t="str">
        <f>IF(OR(E4204="",E4204="!!!",F4204="NEW"),"",COUNTBLANK(OFFSET(A$1,,,SUMPRODUCT(MAX(ROW(E$2:E4204)*(E4204=E$2:E4204)))))-COUNTBLANK(OFFSET(A$1,,,SUMPRODUCT(MAX(ROW(E$1:E4203)*(E2=E$1:E4203))))))</f>
        <v> </v>
      </c>
      <c r="K4204" s="26" t="str">
        <f>IF(OR(E4204="",E4204="!!!",F4204="NEW"),"",INDEX(J$1:J4203,SUMPRODUCT(MAX(ROW(E$1:E4203)*(E4204=E$1:E4203)))))</f>
        <v> </v>
      </c>
      <c r="L4204" s="27"/>
    </row>
    <row r="4205" spans="1:12">
      <c r="A4205" s="20" t="s">
        <v>1572</v>
      </c>
      <c r="E4205" s="22">
        <f>IF(D4205="?OLD","!!!","")</f>
        <v/>
      </c>
      <c r="F4205" s="23" t="str">
        <f>IF(OR(E4205="",E4205="!!!"),"",IF(NOT(ISNA(VLOOKUP(E4205,E$1:E4204,1,FALSE()))),"OLD",IF(AND(E4205&lt;&gt;"",E4205&lt;&gt;"!!!"),"NEW","")))</f>
        <v> </v>
      </c>
      <c r="G4205" s="24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5" t="str">
        <f>IF(J4205&lt;&gt;1,"",IF(I4205="SBJ","CB","?"))</f>
        <v> </v>
      </c>
      <c r="I4205" s="26" t="str">
        <f>IF(OR(E4205="",E4205="!!!",F4205="NEW"),"",INDEX(B4204:B$2,-1+SUMPRODUCT(MAX(ROW(E4204:E$2)*(E4205=E4204:E$2)))))</f>
        <v> </v>
      </c>
      <c r="J4205" s="26" t="str">
        <f>IF(OR(E4205="",E4205="!!!",F4205="NEW"),"",COUNTBLANK(OFFSET(A$1,,,SUMPRODUCT(MAX(ROW(E$2:E4205)*(E4205=E$2:E4205)))))-COUNTBLANK(OFFSET(A$1,,,SUMPRODUCT(MAX(ROW(E$1:E4204)*(E2=E$1:E4204))))))</f>
        <v> </v>
      </c>
      <c r="K4205" s="26" t="str">
        <f>IF(OR(E4205="",E4205="!!!",F4205="NEW"),"",INDEX(J$1:J4204,SUMPRODUCT(MAX(ROW(E$1:E4204)*(E4205=E$1:E4204)))))</f>
        <v> </v>
      </c>
      <c r="L4205" s="27"/>
    </row>
    <row r="4206" spans="1:12">
      <c r="A4206" s="20" t="s">
        <v>1257</v>
      </c>
      <c r="B4206" s="21" t="s">
        <v>948</v>
      </c>
      <c r="C4206" s="21" t="s">
        <v>1051</v>
      </c>
      <c r="E4206" s="22">
        <f>IF(D4206="?OLD","!!!","")</f>
        <v/>
      </c>
      <c r="F4206" s="23" t="str">
        <f>IF(OR(E4206="",E4206="!!!"),"",IF(NOT(ISNA(VLOOKUP(E4206,E$1:E4205,1,FALSE()))),"OLD",IF(AND(E4206&lt;&gt;"",E4206&lt;&gt;"!!!"),"NEW","")))</f>
        <v> </v>
      </c>
      <c r="G4206" s="24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5" t="str">
        <f>IF(J4206&lt;&gt;1,"",IF(I4206="SBJ","CB","?"))</f>
        <v> </v>
      </c>
      <c r="I4206" s="26" t="str">
        <f>IF(OR(E4206="",E4206="!!!",F4206="NEW"),"",INDEX(B4205:B$2,-1+SUMPRODUCT(MAX(ROW(E4205:E$2)*(E4206=E4205:E$2)))))</f>
        <v> </v>
      </c>
      <c r="J4206" s="26" t="str">
        <f>IF(OR(E4206="",E4206="!!!",F4206="NEW"),"",COUNTBLANK(OFFSET(A$1,,,SUMPRODUCT(MAX(ROW(E$2:E4206)*(E4206=E$2:E4206)))))-COUNTBLANK(OFFSET(A$1,,,SUMPRODUCT(MAX(ROW(E$1:E4205)*(E2=E$1:E4205))))))</f>
        <v> </v>
      </c>
      <c r="K4206" s="26" t="str">
        <f>IF(OR(E4206="",E4206="!!!",F4206="NEW"),"",INDEX(J$1:J4205,SUMPRODUCT(MAX(ROW(E$1:E4205)*(E4206=E$1:E4205)))))</f>
        <v> </v>
      </c>
      <c r="L4206" s="27"/>
    </row>
    <row r="4207" spans="1:12">
      <c r="A4207" s="20" t="s">
        <v>2113</v>
      </c>
      <c r="E4207" s="22">
        <f>IF(D4207="?OLD","!!!","")</f>
        <v/>
      </c>
      <c r="F4207" s="23" t="str">
        <f>IF(OR(E4207="",E4207="!!!"),"",IF(NOT(ISNA(VLOOKUP(E4207,E$1:E4206,1,FALSE()))),"OLD",IF(AND(E4207&lt;&gt;"",E4207&lt;&gt;"!!!"),"NEW","")))</f>
        <v> </v>
      </c>
      <c r="G4207" s="24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5" t="str">
        <f>IF(J4207&lt;&gt;1,"",IF(I4207="SBJ","CB","?"))</f>
        <v> </v>
      </c>
      <c r="I4207" s="26" t="str">
        <f>IF(OR(E4207="",E4207="!!!",F4207="NEW"),"",INDEX(B4206:B$2,-1+SUMPRODUCT(MAX(ROW(E4206:E$2)*(E4207=E4206:E$2)))))</f>
        <v> </v>
      </c>
      <c r="J4207" s="26" t="str">
        <f>IF(OR(E4207="",E4207="!!!",F4207="NEW"),"",COUNTBLANK(OFFSET(A$1,,,SUMPRODUCT(MAX(ROW(E$2:E4207)*(E4207=E$2:E4207)))))-COUNTBLANK(OFFSET(A$1,,,SUMPRODUCT(MAX(ROW(E$1:E4206)*(E2=E$1:E4206))))))</f>
        <v> </v>
      </c>
      <c r="K4207" s="26" t="str">
        <f>IF(OR(E4207="",E4207="!!!",F4207="NEW"),"",INDEX(J$1:J4206,SUMPRODUCT(MAX(ROW(E$1:E4206)*(E4207=E$1:E4206)))))</f>
        <v> </v>
      </c>
      <c r="L4207" s="27"/>
    </row>
    <row r="4208" spans="1:12">
      <c r="A4208" s="20" t="s">
        <v>984</v>
      </c>
      <c r="E4208" s="22">
        <f>IF(D4208="?OLD","!!!","")</f>
        <v/>
      </c>
      <c r="F4208" s="23" t="str">
        <f>IF(OR(E4208="",E4208="!!!"),"",IF(NOT(ISNA(VLOOKUP(E4208,E$1:E4207,1,FALSE()))),"OLD",IF(AND(E4208&lt;&gt;"",E4208&lt;&gt;"!!!"),"NEW","")))</f>
        <v> </v>
      </c>
      <c r="G4208" s="24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5" t="str">
        <f>IF(J4208&lt;&gt;1,"",IF(I4208="SBJ","CB","?"))</f>
        <v> </v>
      </c>
      <c r="I4208" s="26" t="str">
        <f>IF(OR(E4208="",E4208="!!!",F4208="NEW"),"",INDEX(B4207:B$2,-1+SUMPRODUCT(MAX(ROW(E4207:E$2)*(E4208=E4207:E$2)))))</f>
        <v> </v>
      </c>
      <c r="J4208" s="26" t="str">
        <f>IF(OR(E4208="",E4208="!!!",F4208="NEW"),"",COUNTBLANK(OFFSET(A$1,,,SUMPRODUCT(MAX(ROW(E$2:E4208)*(E4208=E$2:E4208)))))-COUNTBLANK(OFFSET(A$1,,,SUMPRODUCT(MAX(ROW(E$1:E4207)*(E2=E$1:E4207))))))</f>
        <v> </v>
      </c>
      <c r="K4208" s="26" t="str">
        <f>IF(OR(E4208="",E4208="!!!",F4208="NEW"),"",INDEX(J$1:J4207,SUMPRODUCT(MAX(ROW(E$1:E4207)*(E4208=E$1:E4207)))))</f>
        <v> </v>
      </c>
      <c r="L4208" s="27"/>
    </row>
    <row r="4209" spans="1:12">
      <c r="A4209" s="20"/>
    </row>
    <row r="4210" spans="1:12">
      <c r="A4210" s="20" t="s">
        <v>2114</v>
      </c>
    </row>
    <row r="4211" spans="1:12">
      <c r="A4211" s="20" t="s">
        <v>2115</v>
      </c>
      <c r="E4211" s="22">
        <f>IF(D4211="?OLD","!!!","")</f>
        <v/>
      </c>
      <c r="F4211" s="23" t="str">
        <f>IF(OR(E4211="",E4211="!!!"),"",IF(NOT(ISNA(VLOOKUP(E4211,E$1:E4210,1,FALSE()))),"OLD",IF(AND(E4211&lt;&gt;"",E4211&lt;&gt;"!!!"),"NEW","")))</f>
        <v> </v>
      </c>
      <c r="G4211" s="24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5" t="str">
        <f>IF(J4211&lt;&gt;1,"",IF(I4211="SBJ","CB","?"))</f>
        <v> </v>
      </c>
      <c r="I4211" s="26" t="str">
        <f>IF(OR(E4211="",E4211="!!!",F4211="NEW"),"",INDEX(B4210:B$2,-1+SUMPRODUCT(MAX(ROW(E4210:E$2)*(E4211=E4210:E$2)))))</f>
        <v> </v>
      </c>
      <c r="J4211" s="26" t="str">
        <f>IF(OR(E4211="",E4211="!!!",F4211="NEW"),"",COUNTBLANK(OFFSET(A$1,,,SUMPRODUCT(MAX(ROW(E$2:E4211)*(E4211=E$2:E4211)))))-COUNTBLANK(OFFSET(A$1,,,SUMPRODUCT(MAX(ROW(E$1:E4210)*(E2=E$1:E4210))))))</f>
        <v> </v>
      </c>
      <c r="K4211" s="26" t="str">
        <f>IF(OR(E4211="",E4211="!!!",F4211="NEW"),"",INDEX(J$1:J4210,SUMPRODUCT(MAX(ROW(E$1:E4210)*(E4211=E$1:E4210)))))</f>
        <v> </v>
      </c>
      <c r="L4211" s="27"/>
    </row>
    <row r="4212" spans="1:12">
      <c r="A4212" s="20" t="s">
        <v>2096</v>
      </c>
      <c r="B4212" s="21" t="s">
        <v>956</v>
      </c>
      <c r="C4212" s="21" t="s">
        <v>1032</v>
      </c>
      <c r="D4212" s="21" t="s">
        <v>950</v>
      </c>
      <c r="E4212" s="22">
        <f>IF(D4212="?OLD","!!!","")</f>
        <v/>
      </c>
      <c r="F4212" s="23" t="str">
        <f>IF(OR(E4212="",E4212="!!!"),"",IF(NOT(ISNA(VLOOKUP(E4212,E$1:E4211,1,FALSE()))),"OLD",IF(AND(E4212&lt;&gt;"",E4212&lt;&gt;"!!!"),"NEW","")))</f>
        <v> </v>
      </c>
      <c r="G4212" s="24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5" t="str">
        <f>IF(J4212&lt;&gt;1,"",IF(I4212="SBJ","CB","?"))</f>
        <v> </v>
      </c>
      <c r="I4212" s="26" t="str">
        <f>IF(OR(E4212="",E4212="!!!",F4212="NEW"),"",INDEX(B4211:B$2,-1+SUMPRODUCT(MAX(ROW(E4211:E$2)*(E4212=E4211:E$2)))))</f>
        <v> </v>
      </c>
      <c r="J4212" s="26" t="str">
        <f>IF(OR(E4212="",E4212="!!!",F4212="NEW"),"",COUNTBLANK(OFFSET(A$1,,,SUMPRODUCT(MAX(ROW(E$2:E4212)*(E4212=E$2:E4212)))))-COUNTBLANK(OFFSET(A$1,,,SUMPRODUCT(MAX(ROW(E$1:E4211)*(E2=E$1:E4211))))))</f>
        <v> </v>
      </c>
      <c r="K4212" s="26" t="str">
        <f>IF(OR(E4212="",E4212="!!!",F4212="NEW"),"",INDEX(J$1:J4211,SUMPRODUCT(MAX(ROW(E$1:E4211)*(E4212=E$1:E4211)))))</f>
        <v> </v>
      </c>
      <c r="L4212" s="27"/>
    </row>
    <row r="4213" spans="1:12">
      <c r="A4213" s="20" t="s">
        <v>2116</v>
      </c>
      <c r="E4213" s="22">
        <f>IF(D4213="?OLD","!!!","")</f>
        <v/>
      </c>
      <c r="F4213" s="23" t="str">
        <f>IF(OR(E4213="",E4213="!!!"),"",IF(NOT(ISNA(VLOOKUP(E4213,E$1:E4212,1,FALSE()))),"OLD",IF(AND(E4213&lt;&gt;"",E4213&lt;&gt;"!!!"),"NEW","")))</f>
        <v> </v>
      </c>
      <c r="G4213" s="24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5" t="str">
        <f>IF(J4213&lt;&gt;1,"",IF(I4213="SBJ","CB","?"))</f>
        <v> </v>
      </c>
      <c r="I4213" s="26" t="str">
        <f>IF(OR(E4213="",E4213="!!!",F4213="NEW"),"",INDEX(B4212:B$2,-1+SUMPRODUCT(MAX(ROW(E4212:E$2)*(E4213=E4212:E$2)))))</f>
        <v> </v>
      </c>
      <c r="J4213" s="26" t="str">
        <f>IF(OR(E4213="",E4213="!!!",F4213="NEW"),"",COUNTBLANK(OFFSET(A$1,,,SUMPRODUCT(MAX(ROW(E$2:E4213)*(E4213=E$2:E4213)))))-COUNTBLANK(OFFSET(A$1,,,SUMPRODUCT(MAX(ROW(E$1:E4212)*(E2=E$1:E4212))))))</f>
        <v> </v>
      </c>
      <c r="K4213" s="26" t="str">
        <f>IF(OR(E4213="",E4213="!!!",F4213="NEW"),"",INDEX(J$1:J4212,SUMPRODUCT(MAX(ROW(E$1:E4212)*(E4213=E$1:E4212)))))</f>
        <v> </v>
      </c>
      <c r="L4213" s="27"/>
    </row>
    <row r="4214" spans="1:12">
      <c r="A4214" s="20" t="s">
        <v>1093</v>
      </c>
      <c r="E4214" s="22">
        <f>IF(D4214="?OLD","!!!","")</f>
        <v/>
      </c>
      <c r="F4214" s="23" t="str">
        <f>IF(OR(E4214="",E4214="!!!"),"",IF(NOT(ISNA(VLOOKUP(E4214,E$1:E4213,1,FALSE()))),"OLD",IF(AND(E4214&lt;&gt;"",E4214&lt;&gt;"!!!"),"NEW","")))</f>
        <v> </v>
      </c>
      <c r="G4214" s="24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5" t="str">
        <f>IF(J4214&lt;&gt;1,"",IF(I4214="SBJ","CB","?"))</f>
        <v> </v>
      </c>
      <c r="I4214" s="26" t="str">
        <f>IF(OR(E4214="",E4214="!!!",F4214="NEW"),"",INDEX(B4213:B$2,-1+SUMPRODUCT(MAX(ROW(E4213:E$2)*(E4214=E4213:E$2)))))</f>
        <v> </v>
      </c>
      <c r="J4214" s="26" t="str">
        <f>IF(OR(E4214="",E4214="!!!",F4214="NEW"),"",COUNTBLANK(OFFSET(A$1,,,SUMPRODUCT(MAX(ROW(E$2:E4214)*(E4214=E$2:E4214)))))-COUNTBLANK(OFFSET(A$1,,,SUMPRODUCT(MAX(ROW(E$1:E4213)*(E2=E$1:E4213))))))</f>
        <v> </v>
      </c>
      <c r="K4214" s="26" t="str">
        <f>IF(OR(E4214="",E4214="!!!",F4214="NEW"),"",INDEX(J$1:J4213,SUMPRODUCT(MAX(ROW(E$1:E4213)*(E4214=E$1:E4213)))))</f>
        <v> </v>
      </c>
      <c r="L4214" s="27"/>
    </row>
    <row r="4215" spans="1:12">
      <c r="A4215" s="20" t="s">
        <v>1232</v>
      </c>
      <c r="B4215" s="21" t="s">
        <v>959</v>
      </c>
      <c r="C4215" s="21" t="s">
        <v>1032</v>
      </c>
      <c r="D4215" s="21" t="s">
        <v>950</v>
      </c>
      <c r="E4215" s="22">
        <f>IF(D4215="?OLD","!!!","")</f>
        <v/>
      </c>
      <c r="F4215" s="23" t="str">
        <f>IF(OR(E4215="",E4215="!!!"),"",IF(NOT(ISNA(VLOOKUP(E4215,E$1:E4214,1,FALSE()))),"OLD",IF(AND(E4215&lt;&gt;"",E4215&lt;&gt;"!!!"),"NEW","")))</f>
        <v> </v>
      </c>
      <c r="G4215" s="24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5" t="str">
        <f>IF(J4215&lt;&gt;1,"",IF(I4215="SBJ","CB","?"))</f>
        <v> </v>
      </c>
      <c r="I4215" s="26" t="str">
        <f>IF(OR(E4215="",E4215="!!!",F4215="NEW"),"",INDEX(B4214:B$2,-1+SUMPRODUCT(MAX(ROW(E4214:E$2)*(E4215=E4214:E$2)))))</f>
        <v> </v>
      </c>
      <c r="J4215" s="26" t="str">
        <f>IF(OR(E4215="",E4215="!!!",F4215="NEW"),"",COUNTBLANK(OFFSET(A$1,,,SUMPRODUCT(MAX(ROW(E$2:E4215)*(E4215=E$2:E4215)))))-COUNTBLANK(OFFSET(A$1,,,SUMPRODUCT(MAX(ROW(E$1:E4214)*(E2=E$1:E4214))))))</f>
        <v> </v>
      </c>
      <c r="K4215" s="26" t="str">
        <f>IF(OR(E4215="",E4215="!!!",F4215="NEW"),"",INDEX(J$1:J4214,SUMPRODUCT(MAX(ROW(E$1:E4214)*(E4215=E$1:E4214)))))</f>
        <v> </v>
      </c>
      <c r="L4215" s="27"/>
    </row>
    <row r="4216" spans="1:12">
      <c r="A4216" s="20" t="s">
        <v>2117</v>
      </c>
      <c r="E4216" s="22">
        <f>IF(D4216="?OLD","!!!","")</f>
        <v/>
      </c>
      <c r="F4216" s="23" t="str">
        <f>IF(OR(E4216="",E4216="!!!"),"",IF(NOT(ISNA(VLOOKUP(E4216,E$1:E4215,1,FALSE()))),"OLD",IF(AND(E4216&lt;&gt;"",E4216&lt;&gt;"!!!"),"NEW","")))</f>
        <v> </v>
      </c>
      <c r="G4216" s="24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5" t="str">
        <f>IF(J4216&lt;&gt;1,"",IF(I4216="SBJ","CB","?"))</f>
        <v> </v>
      </c>
      <c r="I4216" s="26" t="str">
        <f>IF(OR(E4216="",E4216="!!!",F4216="NEW"),"",INDEX(B4215:B$2,-1+SUMPRODUCT(MAX(ROW(E4215:E$2)*(E4216=E4215:E$2)))))</f>
        <v> </v>
      </c>
      <c r="J4216" s="26" t="str">
        <f>IF(OR(E4216="",E4216="!!!",F4216="NEW"),"",COUNTBLANK(OFFSET(A$1,,,SUMPRODUCT(MAX(ROW(E$2:E4216)*(E4216=E$2:E4216)))))-COUNTBLANK(OFFSET(A$1,,,SUMPRODUCT(MAX(ROW(E$1:E4215)*(E2=E$1:E4215))))))</f>
        <v> </v>
      </c>
      <c r="K4216" s="26" t="str">
        <f>IF(OR(E4216="",E4216="!!!",F4216="NEW"),"",INDEX(J$1:J4215,SUMPRODUCT(MAX(ROW(E$1:E4215)*(E4216=E$1:E4215)))))</f>
        <v> </v>
      </c>
      <c r="L4216" s="27"/>
    </row>
    <row r="4217" spans="1:12">
      <c r="A4217" s="20" t="s">
        <v>1034</v>
      </c>
      <c r="E4217" s="22">
        <f>IF(D4217="?OLD","!!!","")</f>
        <v/>
      </c>
      <c r="F4217" s="23" t="str">
        <f>IF(OR(E4217="",E4217="!!!"),"",IF(NOT(ISNA(VLOOKUP(E4217,E$1:E4216,1,FALSE()))),"OLD",IF(AND(E4217&lt;&gt;"",E4217&lt;&gt;"!!!"),"NEW","")))</f>
        <v> </v>
      </c>
      <c r="G4217" s="24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5" t="str">
        <f>IF(J4217&lt;&gt;1,"",IF(I4217="SBJ","CB","?"))</f>
        <v> </v>
      </c>
      <c r="I4217" s="26" t="str">
        <f>IF(OR(E4217="",E4217="!!!",F4217="NEW"),"",INDEX(B4216:B$2,-1+SUMPRODUCT(MAX(ROW(E4216:E$2)*(E4217=E4216:E$2)))))</f>
        <v> </v>
      </c>
      <c r="J4217" s="26" t="str">
        <f>IF(OR(E4217="",E4217="!!!",F4217="NEW"),"",COUNTBLANK(OFFSET(A$1,,,SUMPRODUCT(MAX(ROW(E$2:E4217)*(E4217=E$2:E4217)))))-COUNTBLANK(OFFSET(A$1,,,SUMPRODUCT(MAX(ROW(E$1:E4216)*(E2=E$1:E4216))))))</f>
        <v> </v>
      </c>
      <c r="K4217" s="26" t="str">
        <f>IF(OR(E4217="",E4217="!!!",F4217="NEW"),"",INDEX(J$1:J4216,SUMPRODUCT(MAX(ROW(E$1:E4216)*(E4217=E$1:E4216)))))</f>
        <v> </v>
      </c>
      <c r="L4217" s="27"/>
    </row>
    <row r="4218" spans="1:12">
      <c r="A4218" s="20" t="s">
        <v>2118</v>
      </c>
      <c r="E4218" s="22">
        <f>IF(D4218="?OLD","!!!","")</f>
        <v/>
      </c>
      <c r="F4218" s="23" t="str">
        <f>IF(OR(E4218="",E4218="!!!"),"",IF(NOT(ISNA(VLOOKUP(E4218,E$1:E4217,1,FALSE()))),"OLD",IF(AND(E4218&lt;&gt;"",E4218&lt;&gt;"!!!"),"NEW","")))</f>
        <v> </v>
      </c>
      <c r="G4218" s="24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5" t="str">
        <f>IF(J4218&lt;&gt;1,"",IF(I4218="SBJ","CB","?"))</f>
        <v> </v>
      </c>
      <c r="I4218" s="26" t="str">
        <f>IF(OR(E4218="",E4218="!!!",F4218="NEW"),"",INDEX(B4217:B$2,-1+SUMPRODUCT(MAX(ROW(E4217:E$2)*(E4218=E4217:E$2)))))</f>
        <v> </v>
      </c>
      <c r="J4218" s="26" t="str">
        <f>IF(OR(E4218="",E4218="!!!",F4218="NEW"),"",COUNTBLANK(OFFSET(A$1,,,SUMPRODUCT(MAX(ROW(E$2:E4218)*(E4218=E$2:E4218)))))-COUNTBLANK(OFFSET(A$1,,,SUMPRODUCT(MAX(ROW(E$1:E4217)*(E2=E$1:E4217))))))</f>
        <v> </v>
      </c>
      <c r="K4218" s="26" t="str">
        <f>IF(OR(E4218="",E4218="!!!",F4218="NEW"),"",INDEX(J$1:J4217,SUMPRODUCT(MAX(ROW(E$1:E4217)*(E4218=E$1:E4217)))))</f>
        <v> </v>
      </c>
      <c r="L4218" s="27"/>
    </row>
    <row r="4219" spans="1:12">
      <c r="A4219" s="20" t="s">
        <v>1047</v>
      </c>
      <c r="E4219" s="22">
        <f>IF(D4219="?OLD","!!!","")</f>
        <v/>
      </c>
      <c r="F4219" s="23" t="str">
        <f>IF(OR(E4219="",E4219="!!!"),"",IF(NOT(ISNA(VLOOKUP(E4219,E$1:E4218,1,FALSE()))),"OLD",IF(AND(E4219&lt;&gt;"",E4219&lt;&gt;"!!!"),"NEW","")))</f>
        <v> </v>
      </c>
      <c r="G4219" s="24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5" t="str">
        <f>IF(J4219&lt;&gt;1,"",IF(I4219="SBJ","CB","?"))</f>
        <v> </v>
      </c>
      <c r="I4219" s="26" t="str">
        <f>IF(OR(E4219="",E4219="!!!",F4219="NEW"),"",INDEX(B4218:B$2,-1+SUMPRODUCT(MAX(ROW(E4218:E$2)*(E4219=E4218:E$2)))))</f>
        <v> </v>
      </c>
      <c r="J4219" s="26" t="str">
        <f>IF(OR(E4219="",E4219="!!!",F4219="NEW"),"",COUNTBLANK(OFFSET(A$1,,,SUMPRODUCT(MAX(ROW(E$2:E4219)*(E4219=E$2:E4219)))))-COUNTBLANK(OFFSET(A$1,,,SUMPRODUCT(MAX(ROW(E$1:E4218)*(E2=E$1:E4218))))))</f>
        <v> </v>
      </c>
      <c r="K4219" s="26" t="str">
        <f>IF(OR(E4219="",E4219="!!!",F4219="NEW"),"",INDEX(J$1:J4218,SUMPRODUCT(MAX(ROW(E$1:E4218)*(E4219=E$1:E4218)))))</f>
        <v> </v>
      </c>
      <c r="L4219" s="27"/>
    </row>
    <row r="4220" spans="1:12">
      <c r="A4220" s="20" t="s">
        <v>193</v>
      </c>
      <c r="E4220" s="22">
        <f>IF(D4220="?OLD","!!!","")</f>
        <v/>
      </c>
      <c r="F4220" s="23" t="str">
        <f>IF(OR(E4220="",E4220="!!!"),"",IF(NOT(ISNA(VLOOKUP(E4220,E$1:E4219,1,FALSE()))),"OLD",IF(AND(E4220&lt;&gt;"",E4220&lt;&gt;"!!!"),"NEW","")))</f>
        <v> </v>
      </c>
      <c r="G4220" s="24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5" t="str">
        <f>IF(J4220&lt;&gt;1,"",IF(I4220="SBJ","CB","?"))</f>
        <v> </v>
      </c>
      <c r="I4220" s="26" t="str">
        <f>IF(OR(E4220="",E4220="!!!",F4220="NEW"),"",INDEX(B4219:B$2,-1+SUMPRODUCT(MAX(ROW(E4219:E$2)*(E4220=E4219:E$2)))))</f>
        <v> </v>
      </c>
      <c r="J4220" s="26" t="str">
        <f>IF(OR(E4220="",E4220="!!!",F4220="NEW"),"",COUNTBLANK(OFFSET(A$1,,,SUMPRODUCT(MAX(ROW(E$2:E4220)*(E4220=E$2:E4220)))))-COUNTBLANK(OFFSET(A$1,,,SUMPRODUCT(MAX(ROW(E$1:E4219)*(E2=E$1:E4219))))))</f>
        <v> </v>
      </c>
      <c r="K4220" s="26" t="str">
        <f>IF(OR(E4220="",E4220="!!!",F4220="NEW"),"",INDEX(J$1:J4219,SUMPRODUCT(MAX(ROW(E$1:E4219)*(E4220=E$1:E4219)))))</f>
        <v> </v>
      </c>
      <c r="L4220" s="27"/>
    </row>
    <row r="4221" spans="1:12">
      <c r="A4221" s="20" t="s">
        <v>1124</v>
      </c>
      <c r="B4221" s="21" t="s">
        <v>1031</v>
      </c>
      <c r="C4221" s="21" t="s">
        <v>1125</v>
      </c>
      <c r="E4221" s="22">
        <f>IF(D4221="?OLD","!!!","")</f>
        <v/>
      </c>
      <c r="F4221" s="23" t="str">
        <f>IF(OR(E4221="",E4221="!!!"),"",IF(NOT(ISNA(VLOOKUP(E4221,E$1:E4220,1,FALSE()))),"OLD",IF(AND(E4221&lt;&gt;"",E4221&lt;&gt;"!!!"),"NEW","")))</f>
        <v> </v>
      </c>
      <c r="G4221" s="24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5" t="str">
        <f>IF(J4221&lt;&gt;1,"",IF(I4221="SBJ","CB","?"))</f>
        <v> </v>
      </c>
      <c r="I4221" s="26" t="str">
        <f>IF(OR(E4221="",E4221="!!!",F4221="NEW"),"",INDEX(B4220:B$2,-1+SUMPRODUCT(MAX(ROW(E4220:E$2)*(E4221=E4220:E$2)))))</f>
        <v> </v>
      </c>
      <c r="J4221" s="26" t="str">
        <f>IF(OR(E4221="",E4221="!!!",F4221="NEW"),"",COUNTBLANK(OFFSET(A$1,,,SUMPRODUCT(MAX(ROW(E$2:E4221)*(E4221=E$2:E4221)))))-COUNTBLANK(OFFSET(A$1,,,SUMPRODUCT(MAX(ROW(E$1:E4220)*(E2=E$1:E4220))))))</f>
        <v> </v>
      </c>
      <c r="K4221" s="26" t="str">
        <f>IF(OR(E4221="",E4221="!!!",F4221="NEW"),"",INDEX(J$1:J4220,SUMPRODUCT(MAX(ROW(E$1:E4220)*(E4221=E$1:E4220)))))</f>
        <v> </v>
      </c>
      <c r="L4221" s="27"/>
    </row>
    <row r="4222" spans="1:12">
      <c r="A4222" s="20" t="s">
        <v>1318</v>
      </c>
      <c r="E4222" s="22">
        <f>IF(D4222="?OLD","!!!","")</f>
        <v/>
      </c>
      <c r="F4222" s="23" t="str">
        <f>IF(OR(E4222="",E4222="!!!"),"",IF(NOT(ISNA(VLOOKUP(E4222,E$1:E4221,1,FALSE()))),"OLD",IF(AND(E4222&lt;&gt;"",E4222&lt;&gt;"!!!"),"NEW","")))</f>
        <v> </v>
      </c>
      <c r="G4222" s="24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5" t="str">
        <f>IF(J4222&lt;&gt;1,"",IF(I4222="SBJ","CB","?"))</f>
        <v> </v>
      </c>
      <c r="I4222" s="26" t="str">
        <f>IF(OR(E4222="",E4222="!!!",F4222="NEW"),"",INDEX(B4221:B$2,-1+SUMPRODUCT(MAX(ROW(E4221:E$2)*(E4222=E4221:E$2)))))</f>
        <v> </v>
      </c>
      <c r="J4222" s="26" t="str">
        <f>IF(OR(E4222="",E4222="!!!",F4222="NEW"),"",COUNTBLANK(OFFSET(A$1,,,SUMPRODUCT(MAX(ROW(E$2:E4222)*(E4222=E$2:E4222)))))-COUNTBLANK(OFFSET(A$1,,,SUMPRODUCT(MAX(ROW(E$1:E4221)*(E2=E$1:E4221))))))</f>
        <v> </v>
      </c>
      <c r="K4222" s="26" t="str">
        <f>IF(OR(E4222="",E4222="!!!",F4222="NEW"),"",INDEX(J$1:J4221,SUMPRODUCT(MAX(ROW(E$1:E4221)*(E4222=E$1:E4221)))))</f>
        <v> </v>
      </c>
      <c r="L4222" s="27"/>
    </row>
    <row r="4223" spans="1:12">
      <c r="A4223" s="20" t="s">
        <v>1047</v>
      </c>
      <c r="E4223" s="22">
        <f>IF(D4223="?OLD","!!!","")</f>
        <v/>
      </c>
      <c r="F4223" s="23" t="str">
        <f>IF(OR(E4223="",E4223="!!!"),"",IF(NOT(ISNA(VLOOKUP(E4223,E$1:E4222,1,FALSE()))),"OLD",IF(AND(E4223&lt;&gt;"",E4223&lt;&gt;"!!!"),"NEW","")))</f>
        <v> </v>
      </c>
      <c r="G4223" s="24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5" t="str">
        <f>IF(J4223&lt;&gt;1,"",IF(I4223="SBJ","CB","?"))</f>
        <v> </v>
      </c>
      <c r="I4223" s="26" t="str">
        <f>IF(OR(E4223="",E4223="!!!",F4223="NEW"),"",INDEX(B4222:B$2,-1+SUMPRODUCT(MAX(ROW(E4222:E$2)*(E4223=E4222:E$2)))))</f>
        <v> </v>
      </c>
      <c r="J4223" s="26" t="str">
        <f>IF(OR(E4223="",E4223="!!!",F4223="NEW"),"",COUNTBLANK(OFFSET(A$1,,,SUMPRODUCT(MAX(ROW(E$2:E4223)*(E4223=E$2:E4223)))))-COUNTBLANK(OFFSET(A$1,,,SUMPRODUCT(MAX(ROW(E$1:E4222)*(E2=E$1:E4222))))))</f>
        <v> </v>
      </c>
      <c r="K4223" s="26" t="str">
        <f>IF(OR(E4223="",E4223="!!!",F4223="NEW"),"",INDEX(J$1:J4222,SUMPRODUCT(MAX(ROW(E$1:E4222)*(E4223=E$1:E4222)))))</f>
        <v> </v>
      </c>
      <c r="L4223" s="27"/>
    </row>
    <row r="4224" spans="1:12">
      <c r="A4224" s="20" t="s">
        <v>60</v>
      </c>
      <c r="E4224" s="22">
        <f>IF(D4224="?OLD","!!!","")</f>
        <v/>
      </c>
      <c r="F4224" s="23" t="str">
        <f>IF(OR(E4224="",E4224="!!!"),"",IF(NOT(ISNA(VLOOKUP(E4224,E$1:E4223,1,FALSE()))),"OLD",IF(AND(E4224&lt;&gt;"",E4224&lt;&gt;"!!!"),"NEW","")))</f>
        <v> </v>
      </c>
      <c r="G4224" s="24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5" t="str">
        <f>IF(J4224&lt;&gt;1,"",IF(I4224="SBJ","CB","?"))</f>
        <v> </v>
      </c>
      <c r="I4224" s="26" t="str">
        <f>IF(OR(E4224="",E4224="!!!",F4224="NEW"),"",INDEX(B4223:B$2,-1+SUMPRODUCT(MAX(ROW(E4223:E$2)*(E4224=E4223:E$2)))))</f>
        <v> </v>
      </c>
      <c r="J4224" s="26" t="str">
        <f>IF(OR(E4224="",E4224="!!!",F4224="NEW"),"",COUNTBLANK(OFFSET(A$1,,,SUMPRODUCT(MAX(ROW(E$2:E4224)*(E4224=E$2:E4224)))))-COUNTBLANK(OFFSET(A$1,,,SUMPRODUCT(MAX(ROW(E$1:E4223)*(E2=E$1:E4223))))))</f>
        <v> </v>
      </c>
      <c r="K4224" s="26" t="str">
        <f>IF(OR(E4224="",E4224="!!!",F4224="NEW"),"",INDEX(J$1:J4223,SUMPRODUCT(MAX(ROW(E$1:E4223)*(E4224=E$1:E4223)))))</f>
        <v> </v>
      </c>
      <c r="L4224" s="27"/>
    </row>
    <row r="4225" spans="1:12">
      <c r="A4225" s="20" t="s">
        <v>1124</v>
      </c>
      <c r="B4225" s="21" t="s">
        <v>1005</v>
      </c>
      <c r="C4225" s="21" t="s">
        <v>1125</v>
      </c>
      <c r="E4225" s="22">
        <f>IF(D4225="?OLD","!!!","")</f>
        <v/>
      </c>
      <c r="F4225" s="23" t="str">
        <f>IF(OR(E4225="",E4225="!!!"),"",IF(NOT(ISNA(VLOOKUP(E4225,E$1:E4224,1,FALSE()))),"OLD",IF(AND(E4225&lt;&gt;"",E4225&lt;&gt;"!!!"),"NEW","")))</f>
        <v> </v>
      </c>
      <c r="G4225" s="24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5" t="str">
        <f>IF(J4225&lt;&gt;1,"",IF(I4225="SBJ","CB","?"))</f>
        <v> </v>
      </c>
      <c r="I4225" s="26" t="str">
        <f>IF(OR(E4225="",E4225="!!!",F4225="NEW"),"",INDEX(B4224:B$2,-1+SUMPRODUCT(MAX(ROW(E4224:E$2)*(E4225=E4224:E$2)))))</f>
        <v> </v>
      </c>
      <c r="J4225" s="26" t="str">
        <f>IF(OR(E4225="",E4225="!!!",F4225="NEW"),"",COUNTBLANK(OFFSET(A$1,,,SUMPRODUCT(MAX(ROW(E$2:E4225)*(E4225=E$2:E4225)))))-COUNTBLANK(OFFSET(A$1,,,SUMPRODUCT(MAX(ROW(E$1:E4224)*(E2=E$1:E4224))))))</f>
        <v> </v>
      </c>
      <c r="K4225" s="26" t="str">
        <f>IF(OR(E4225="",E4225="!!!",F4225="NEW"),"",INDEX(J$1:J4224,SUMPRODUCT(MAX(ROW(E$1:E4224)*(E4225=E$1:E4224)))))</f>
        <v> </v>
      </c>
      <c r="L4225" s="27"/>
    </row>
    <row r="4226" spans="1:12">
      <c r="A4226" s="20" t="s">
        <v>984</v>
      </c>
      <c r="E4226" s="22">
        <f>IF(D4226="?OLD","!!!","")</f>
        <v/>
      </c>
      <c r="F4226" s="23" t="str">
        <f>IF(OR(E4226="",E4226="!!!"),"",IF(NOT(ISNA(VLOOKUP(E4226,E$1:E4225,1,FALSE()))),"OLD",IF(AND(E4226&lt;&gt;"",E4226&lt;&gt;"!!!"),"NEW","")))</f>
        <v> </v>
      </c>
      <c r="G4226" s="24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5" t="str">
        <f>IF(J4226&lt;&gt;1,"",IF(I4226="SBJ","CB","?"))</f>
        <v> </v>
      </c>
      <c r="I4226" s="26" t="str">
        <f>IF(OR(E4226="",E4226="!!!",F4226="NEW"),"",INDEX(B4225:B$2,-1+SUMPRODUCT(MAX(ROW(E4225:E$2)*(E4226=E4225:E$2)))))</f>
        <v> </v>
      </c>
      <c r="J4226" s="26" t="str">
        <f>IF(OR(E4226="",E4226="!!!",F4226="NEW"),"",COUNTBLANK(OFFSET(A$1,,,SUMPRODUCT(MAX(ROW(E$2:E4226)*(E4226=E$2:E4226)))))-COUNTBLANK(OFFSET(A$1,,,SUMPRODUCT(MAX(ROW(E$1:E4225)*(E2=E$1:E4225))))))</f>
        <v> </v>
      </c>
      <c r="K4226" s="26" t="str">
        <f>IF(OR(E4226="",E4226="!!!",F4226="NEW"),"",INDEX(J$1:J4225,SUMPRODUCT(MAX(ROW(E$1:E4225)*(E4226=E$1:E4225)))))</f>
        <v> </v>
      </c>
      <c r="L4226" s="27"/>
    </row>
    <row r="4227" spans="1:12">
      <c r="A4227" s="20"/>
    </row>
    <row r="4228" spans="1:12">
      <c r="A4228" s="20" t="s">
        <v>2119</v>
      </c>
    </row>
    <row r="4229" spans="1:12">
      <c r="A4229" s="20" t="s">
        <v>1217</v>
      </c>
      <c r="E4229" s="22">
        <f>IF(D4229="?OLD","!!!","")</f>
        <v/>
      </c>
      <c r="F4229" s="23" t="str">
        <f>IF(OR(E4229="",E4229="!!!"),"",IF(NOT(ISNA(VLOOKUP(E4229,E$1:E4228,1,FALSE()))),"OLD",IF(AND(E4229&lt;&gt;"",E4229&lt;&gt;"!!!"),"NEW","")))</f>
        <v> </v>
      </c>
      <c r="G4229" s="24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5" t="str">
        <f>IF(J4229&lt;&gt;1,"",IF(I4229="SBJ","CB","?"))</f>
        <v> </v>
      </c>
      <c r="I4229" s="26" t="str">
        <f>IF(OR(E4229="",E4229="!!!",F4229="NEW"),"",INDEX(B4228:B$2,-1+SUMPRODUCT(MAX(ROW(E4228:E$2)*(E4229=E4228:E$2)))))</f>
        <v> </v>
      </c>
      <c r="J4229" s="26" t="str">
        <f>IF(OR(E4229="",E4229="!!!",F4229="NEW"),"",COUNTBLANK(OFFSET(A$1,,,SUMPRODUCT(MAX(ROW(E$2:E4229)*(E4229=E$2:E4229)))))-COUNTBLANK(OFFSET(A$1,,,SUMPRODUCT(MAX(ROW(E$1:E4228)*(E2=E$1:E4228))))))</f>
        <v> </v>
      </c>
      <c r="K4229" s="26" t="str">
        <f>IF(OR(E4229="",E4229="!!!",F4229="NEW"),"",INDEX(J$1:J4228,SUMPRODUCT(MAX(ROW(E$1:E4228)*(E4229=E$1:E4228)))))</f>
        <v> </v>
      </c>
      <c r="L4229" s="27"/>
    </row>
    <row r="4230" spans="1:12">
      <c r="A4230" s="20" t="s">
        <v>1072</v>
      </c>
      <c r="E4230" s="22">
        <f>IF(D4230="?OLD","!!!","")</f>
        <v/>
      </c>
      <c r="F4230" s="23" t="str">
        <f>IF(OR(E4230="",E4230="!!!"),"",IF(NOT(ISNA(VLOOKUP(E4230,E$1:E4229,1,FALSE()))),"OLD",IF(AND(E4230&lt;&gt;"",E4230&lt;&gt;"!!!"),"NEW","")))</f>
        <v> </v>
      </c>
      <c r="G4230" s="24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5" t="str">
        <f>IF(J4230&lt;&gt;1,"",IF(I4230="SBJ","CB","?"))</f>
        <v> </v>
      </c>
      <c r="I4230" s="26" t="str">
        <f>IF(OR(E4230="",E4230="!!!",F4230="NEW"),"",INDEX(B4229:B$2,-1+SUMPRODUCT(MAX(ROW(E4229:E$2)*(E4230=E4229:E$2)))))</f>
        <v> </v>
      </c>
      <c r="J4230" s="26" t="str">
        <f>IF(OR(E4230="",E4230="!!!",F4230="NEW"),"",COUNTBLANK(OFFSET(A$1,,,SUMPRODUCT(MAX(ROW(E$2:E4230)*(E4230=E$2:E4230)))))-COUNTBLANK(OFFSET(A$1,,,SUMPRODUCT(MAX(ROW(E$1:E4229)*(E2=E$1:E4229))))))</f>
        <v> </v>
      </c>
      <c r="K4230" s="26" t="str">
        <f>IF(OR(E4230="",E4230="!!!",F4230="NEW"),"",INDEX(J$1:J4229,SUMPRODUCT(MAX(ROW(E$1:E4229)*(E4230=E$1:E4229)))))</f>
        <v> </v>
      </c>
      <c r="L4230" s="27"/>
    </row>
    <row r="4231" spans="1:12">
      <c r="A4231" s="20" t="s">
        <v>977</v>
      </c>
      <c r="E4231" s="22">
        <f>IF(D4231="?OLD","!!!","")</f>
        <v/>
      </c>
      <c r="F4231" s="23" t="str">
        <f>IF(OR(E4231="",E4231="!!!"),"",IF(NOT(ISNA(VLOOKUP(E4231,E$1:E4230,1,FALSE()))),"OLD",IF(AND(E4231&lt;&gt;"",E4231&lt;&gt;"!!!"),"NEW","")))</f>
        <v> </v>
      </c>
      <c r="G4231" s="24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5" t="str">
        <f>IF(J4231&lt;&gt;1,"",IF(I4231="SBJ","CB","?"))</f>
        <v> </v>
      </c>
      <c r="I4231" s="26" t="str">
        <f>IF(OR(E4231="",E4231="!!!",F4231="NEW"),"",INDEX(B4230:B$2,-1+SUMPRODUCT(MAX(ROW(E4230:E$2)*(E4231=E4230:E$2)))))</f>
        <v> </v>
      </c>
      <c r="J4231" s="26" t="str">
        <f>IF(OR(E4231="",E4231="!!!",F4231="NEW"),"",COUNTBLANK(OFFSET(A$1,,,SUMPRODUCT(MAX(ROW(E$2:E4231)*(E4231=E$2:E4231)))))-COUNTBLANK(OFFSET(A$1,,,SUMPRODUCT(MAX(ROW(E$1:E4230)*(E2=E$1:E4230))))))</f>
        <v> </v>
      </c>
      <c r="K4231" s="26" t="str">
        <f>IF(OR(E4231="",E4231="!!!",F4231="NEW"),"",INDEX(J$1:J4230,SUMPRODUCT(MAX(ROW(E$1:E4230)*(E4231=E$1:E4230)))))</f>
        <v> </v>
      </c>
      <c r="L4231" s="27"/>
    </row>
    <row r="4232" spans="1:12">
      <c r="A4232" s="20" t="s">
        <v>1098</v>
      </c>
      <c r="B4232" s="21" t="s">
        <v>948</v>
      </c>
      <c r="C4232" s="21" t="s">
        <v>1008</v>
      </c>
      <c r="D4232" s="21" t="s">
        <v>950</v>
      </c>
      <c r="E4232" s="22">
        <f>IF(D4232="?OLD","!!!","")</f>
        <v/>
      </c>
      <c r="F4232" s="23" t="str">
        <f>IF(OR(E4232="",E4232="!!!"),"",IF(NOT(ISNA(VLOOKUP(E4232,E$1:E4231,1,FALSE()))),"OLD",IF(AND(E4232&lt;&gt;"",E4232&lt;&gt;"!!!"),"NEW","")))</f>
        <v> </v>
      </c>
      <c r="G4232" s="24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5" t="str">
        <f>IF(J4232&lt;&gt;1,"",IF(I4232="SBJ","CB","?"))</f>
        <v> </v>
      </c>
      <c r="I4232" s="26" t="str">
        <f>IF(OR(E4232="",E4232="!!!",F4232="NEW"),"",INDEX(B4231:B$2,-1+SUMPRODUCT(MAX(ROW(E4231:E$2)*(E4232=E4231:E$2)))))</f>
        <v> </v>
      </c>
      <c r="J4232" s="26" t="str">
        <f>IF(OR(E4232="",E4232="!!!",F4232="NEW"),"",COUNTBLANK(OFFSET(A$1,,,SUMPRODUCT(MAX(ROW(E$2:E4232)*(E4232=E$2:E4232)))))-COUNTBLANK(OFFSET(A$1,,,SUMPRODUCT(MAX(ROW(E$1:E4231)*(E2=E$1:E4231))))))</f>
        <v> </v>
      </c>
      <c r="K4232" s="26" t="str">
        <f>IF(OR(E4232="",E4232="!!!",F4232="NEW"),"",INDEX(J$1:J4231,SUMPRODUCT(MAX(ROW(E$1:E4231)*(E4232=E$1:E4231)))))</f>
        <v> </v>
      </c>
      <c r="L4232" s="27"/>
    </row>
    <row r="4233" spans="1:12">
      <c r="A4233" s="20" t="s">
        <v>965</v>
      </c>
      <c r="B4233" s="21" t="s">
        <v>975</v>
      </c>
      <c r="E4233" s="22">
        <f>IF(D4233="?OLD","!!!","")</f>
        <v/>
      </c>
      <c r="F4233" s="23" t="str">
        <f>IF(OR(E4233="",E4233="!!!"),"",IF(NOT(ISNA(VLOOKUP(E4233,E$1:E4232,1,FALSE()))),"OLD",IF(AND(E4233&lt;&gt;"",E4233&lt;&gt;"!!!"),"NEW","")))</f>
        <v> </v>
      </c>
      <c r="G4233" s="24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5" t="str">
        <f>IF(J4233&lt;&gt;1,"",IF(I4233="SBJ","CB","?"))</f>
        <v> </v>
      </c>
      <c r="I4233" s="26" t="str">
        <f>IF(OR(E4233="",E4233="!!!",F4233="NEW"),"",INDEX(B4232:B$2,-1+SUMPRODUCT(MAX(ROW(E4232:E$2)*(E4233=E4232:E$2)))))</f>
        <v> </v>
      </c>
      <c r="J4233" s="26" t="str">
        <f>IF(OR(E4233="",E4233="!!!",F4233="NEW"),"",COUNTBLANK(OFFSET(A$1,,,SUMPRODUCT(MAX(ROW(E$2:E4233)*(E4233=E$2:E4233)))))-COUNTBLANK(OFFSET(A$1,,,SUMPRODUCT(MAX(ROW(E$1:E4232)*(E2=E$1:E4232))))))</f>
        <v> </v>
      </c>
      <c r="K4233" s="26" t="str">
        <f>IF(OR(E4233="",E4233="!!!",F4233="NEW"),"",INDEX(J$1:J4232,SUMPRODUCT(MAX(ROW(E$1:E4232)*(E4233=E$1:E4232)))))</f>
        <v> </v>
      </c>
      <c r="L4233" s="27"/>
    </row>
    <row r="4234" spans="1:12">
      <c r="A4234" s="20" t="s">
        <v>2120</v>
      </c>
      <c r="E4234" s="22">
        <f>IF(D4234="?OLD","!!!","")</f>
        <v/>
      </c>
      <c r="F4234" s="23" t="str">
        <f>IF(OR(E4234="",E4234="!!!"),"",IF(NOT(ISNA(VLOOKUP(E4234,E$1:E4233,1,FALSE()))),"OLD",IF(AND(E4234&lt;&gt;"",E4234&lt;&gt;"!!!"),"NEW","")))</f>
        <v> </v>
      </c>
      <c r="G4234" s="24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5" t="str">
        <f>IF(J4234&lt;&gt;1,"",IF(I4234="SBJ","CB","?"))</f>
        <v> </v>
      </c>
      <c r="I4234" s="26" t="str">
        <f>IF(OR(E4234="",E4234="!!!",F4234="NEW"),"",INDEX(B4233:B$2,-1+SUMPRODUCT(MAX(ROW(E4233:E$2)*(E4234=E4233:E$2)))))</f>
        <v> </v>
      </c>
      <c r="J4234" s="26" t="str">
        <f>IF(OR(E4234="",E4234="!!!",F4234="NEW"),"",COUNTBLANK(OFFSET(A$1,,,SUMPRODUCT(MAX(ROW(E$2:E4234)*(E4234=E$2:E4234)))))-COUNTBLANK(OFFSET(A$1,,,SUMPRODUCT(MAX(ROW(E$1:E4233)*(E2=E$1:E4233))))))</f>
        <v> </v>
      </c>
      <c r="K4234" s="26" t="str">
        <f>IF(OR(E4234="",E4234="!!!",F4234="NEW"),"",INDEX(J$1:J4233,SUMPRODUCT(MAX(ROW(E$1:E4233)*(E4234=E$1:E4233)))))</f>
        <v> </v>
      </c>
      <c r="L4234" s="27"/>
    </row>
    <row r="4235" spans="1:12">
      <c r="A4235" s="20" t="s">
        <v>984</v>
      </c>
      <c r="E4235" s="22">
        <f>IF(D4235="?OLD","!!!","")</f>
        <v/>
      </c>
      <c r="F4235" s="23" t="str">
        <f>IF(OR(E4235="",E4235="!!!"),"",IF(NOT(ISNA(VLOOKUP(E4235,E$1:E4234,1,FALSE()))),"OLD",IF(AND(E4235&lt;&gt;"",E4235&lt;&gt;"!!!"),"NEW","")))</f>
        <v> </v>
      </c>
      <c r="G4235" s="24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5" t="str">
        <f>IF(J4235&lt;&gt;1,"",IF(I4235="SBJ","CB","?"))</f>
        <v> </v>
      </c>
      <c r="I4235" s="26" t="str">
        <f>IF(OR(E4235="",E4235="!!!",F4235="NEW"),"",INDEX(B4234:B$2,-1+SUMPRODUCT(MAX(ROW(E4234:E$2)*(E4235=E4234:E$2)))))</f>
        <v> </v>
      </c>
      <c r="J4235" s="26" t="str">
        <f>IF(OR(E4235="",E4235="!!!",F4235="NEW"),"",COUNTBLANK(OFFSET(A$1,,,SUMPRODUCT(MAX(ROW(E$2:E4235)*(E4235=E$2:E4235)))))-COUNTBLANK(OFFSET(A$1,,,SUMPRODUCT(MAX(ROW(E$1:E4234)*(E2=E$1:E4234))))))</f>
        <v> </v>
      </c>
      <c r="K4235" s="26" t="str">
        <f>IF(OR(E4235="",E4235="!!!",F4235="NEW"),"",INDEX(J$1:J4234,SUMPRODUCT(MAX(ROW(E$1:E4234)*(E4235=E$1:E4234)))))</f>
        <v> </v>
      </c>
      <c r="L4235" s="27"/>
    </row>
    <row r="4236" spans="1:12">
      <c r="A4236" s="20"/>
    </row>
    <row r="4237" spans="1:12">
      <c r="A4237" s="20" t="s">
        <v>2121</v>
      </c>
    </row>
    <row r="4238" spans="1:12">
      <c r="A4238" s="20" t="s">
        <v>2122</v>
      </c>
      <c r="E4238" s="22">
        <f>IF(D4238="?OLD","!!!","")</f>
        <v/>
      </c>
      <c r="F4238" s="23" t="str">
        <f>IF(OR(E4238="",E4238="!!!"),"",IF(NOT(ISNA(VLOOKUP(E4238,E$1:E4237,1,FALSE()))),"OLD",IF(AND(E4238&lt;&gt;"",E4238&lt;&gt;"!!!"),"NEW","")))</f>
        <v> </v>
      </c>
      <c r="G4238" s="24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5" t="str">
        <f>IF(J4238&lt;&gt;1,"",IF(I4238="SBJ","CB","?"))</f>
        <v> </v>
      </c>
      <c r="I4238" s="26" t="str">
        <f>IF(OR(E4238="",E4238="!!!",F4238="NEW"),"",INDEX(B4237:B$2,-1+SUMPRODUCT(MAX(ROW(E4237:E$2)*(E4238=E4237:E$2)))))</f>
        <v> </v>
      </c>
      <c r="J4238" s="26" t="str">
        <f>IF(OR(E4238="",E4238="!!!",F4238="NEW"),"",COUNTBLANK(OFFSET(A$1,,,SUMPRODUCT(MAX(ROW(E$2:E4238)*(E4238=E$2:E4238)))))-COUNTBLANK(OFFSET(A$1,,,SUMPRODUCT(MAX(ROW(E$1:E4237)*(E2=E$1:E4237))))))</f>
        <v> </v>
      </c>
      <c r="K4238" s="26" t="str">
        <f>IF(OR(E4238="",E4238="!!!",F4238="NEW"),"",INDEX(J$1:J4237,SUMPRODUCT(MAX(ROW(E$1:E4237)*(E4238=E$1:E4237)))))</f>
        <v> </v>
      </c>
      <c r="L4238" s="27"/>
    </row>
    <row r="4239" spans="1:12">
      <c r="A4239" s="20" t="s">
        <v>1000</v>
      </c>
      <c r="E4239" s="22">
        <f>IF(D4239="?OLD","!!!","")</f>
        <v/>
      </c>
      <c r="F4239" s="23" t="str">
        <f>IF(OR(E4239="",E4239="!!!"),"",IF(NOT(ISNA(VLOOKUP(E4239,E$1:E4238,1,FALSE()))),"OLD",IF(AND(E4239&lt;&gt;"",E4239&lt;&gt;"!!!"),"NEW","")))</f>
        <v> </v>
      </c>
      <c r="G4239" s="24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5" t="str">
        <f>IF(J4239&lt;&gt;1,"",IF(I4239="SBJ","CB","?"))</f>
        <v> </v>
      </c>
      <c r="I4239" s="26" t="str">
        <f>IF(OR(E4239="",E4239="!!!",F4239="NEW"),"",INDEX(B4238:B$2,-1+SUMPRODUCT(MAX(ROW(E4238:E$2)*(E4239=E4238:E$2)))))</f>
        <v> </v>
      </c>
      <c r="J4239" s="26" t="str">
        <f>IF(OR(E4239="",E4239="!!!",F4239="NEW"),"",COUNTBLANK(OFFSET(A$1,,,SUMPRODUCT(MAX(ROW(E$2:E4239)*(E4239=E$2:E4239)))))-COUNTBLANK(OFFSET(A$1,,,SUMPRODUCT(MAX(ROW(E$1:E4238)*(E2=E$1:E4238))))))</f>
        <v> </v>
      </c>
      <c r="K4239" s="26" t="str">
        <f>IF(OR(E4239="",E4239="!!!",F4239="NEW"),"",INDEX(J$1:J4238,SUMPRODUCT(MAX(ROW(E$1:E4238)*(E4239=E$1:E4238)))))</f>
        <v> </v>
      </c>
      <c r="L4239" s="27"/>
    </row>
    <row r="4240" spans="1:12">
      <c r="A4240" s="20" t="s">
        <v>2123</v>
      </c>
      <c r="E4240" s="22">
        <f>IF(D4240="?OLD","!!!","")</f>
        <v/>
      </c>
      <c r="F4240" s="23" t="str">
        <f>IF(OR(E4240="",E4240="!!!"),"",IF(NOT(ISNA(VLOOKUP(E4240,E$1:E4239,1,FALSE()))),"OLD",IF(AND(E4240&lt;&gt;"",E4240&lt;&gt;"!!!"),"NEW","")))</f>
        <v> </v>
      </c>
      <c r="G4240" s="24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5" t="str">
        <f>IF(J4240&lt;&gt;1,"",IF(I4240="SBJ","CB","?"))</f>
        <v> </v>
      </c>
      <c r="I4240" s="26" t="str">
        <f>IF(OR(E4240="",E4240="!!!",F4240="NEW"),"",INDEX(B4239:B$2,-1+SUMPRODUCT(MAX(ROW(E4239:E$2)*(E4240=E4239:E$2)))))</f>
        <v> </v>
      </c>
      <c r="J4240" s="26" t="str">
        <f>IF(OR(E4240="",E4240="!!!",F4240="NEW"),"",COUNTBLANK(OFFSET(A$1,,,SUMPRODUCT(MAX(ROW(E$2:E4240)*(E4240=E$2:E4240)))))-COUNTBLANK(OFFSET(A$1,,,SUMPRODUCT(MAX(ROW(E$1:E4239)*(E2=E$1:E4239))))))</f>
        <v> </v>
      </c>
      <c r="K4240" s="26" t="str">
        <f>IF(OR(E4240="",E4240="!!!",F4240="NEW"),"",INDEX(J$1:J4239,SUMPRODUCT(MAX(ROW(E$1:E4239)*(E4240=E$1:E4239)))))</f>
        <v> </v>
      </c>
      <c r="L4240" s="27"/>
    </row>
    <row r="4241" spans="1:12">
      <c r="A4241" s="20" t="s">
        <v>1075</v>
      </c>
      <c r="E4241" s="22">
        <f>IF(D4241="?OLD","!!!","")</f>
        <v/>
      </c>
      <c r="F4241" s="23" t="str">
        <f>IF(OR(E4241="",E4241="!!!"),"",IF(NOT(ISNA(VLOOKUP(E4241,E$1:E4240,1,FALSE()))),"OLD",IF(AND(E4241&lt;&gt;"",E4241&lt;&gt;"!!!"),"NEW","")))</f>
        <v> </v>
      </c>
      <c r="G4241" s="24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5" t="str">
        <f>IF(J4241&lt;&gt;1,"",IF(I4241="SBJ","CB","?"))</f>
        <v> </v>
      </c>
      <c r="I4241" s="26" t="str">
        <f>IF(OR(E4241="",E4241="!!!",F4241="NEW"),"",INDEX(B4240:B$2,-1+SUMPRODUCT(MAX(ROW(E4240:E$2)*(E4241=E4240:E$2)))))</f>
        <v> </v>
      </c>
      <c r="J4241" s="26" t="str">
        <f>IF(OR(E4241="",E4241="!!!",F4241="NEW"),"",COUNTBLANK(OFFSET(A$1,,,SUMPRODUCT(MAX(ROW(E$2:E4241)*(E4241=E$2:E4241)))))-COUNTBLANK(OFFSET(A$1,,,SUMPRODUCT(MAX(ROW(E$1:E4240)*(E2=E$1:E4240))))))</f>
        <v> </v>
      </c>
      <c r="K4241" s="26" t="str">
        <f>IF(OR(E4241="",E4241="!!!",F4241="NEW"),"",INDEX(J$1:J4240,SUMPRODUCT(MAX(ROW(E$1:E4240)*(E4241=E$1:E4240)))))</f>
        <v> </v>
      </c>
      <c r="L4241" s="27"/>
    </row>
    <row r="4242" spans="1:12">
      <c r="A4242" s="20" t="s">
        <v>1022</v>
      </c>
      <c r="E4242" s="22">
        <f>IF(D4242="?OLD","!!!","")</f>
        <v/>
      </c>
      <c r="F4242" s="23" t="str">
        <f>IF(OR(E4242="",E4242="!!!"),"",IF(NOT(ISNA(VLOOKUP(E4242,E$1:E4241,1,FALSE()))),"OLD",IF(AND(E4242&lt;&gt;"",E4242&lt;&gt;"!!!"),"NEW","")))</f>
        <v> </v>
      </c>
      <c r="G4242" s="24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5" t="str">
        <f>IF(J4242&lt;&gt;1,"",IF(I4242="SBJ","CB","?"))</f>
        <v> </v>
      </c>
      <c r="I4242" s="26" t="str">
        <f>IF(OR(E4242="",E4242="!!!",F4242="NEW"),"",INDEX(B4241:B$2,-1+SUMPRODUCT(MAX(ROW(E4241:E$2)*(E4242=E4241:E$2)))))</f>
        <v> </v>
      </c>
      <c r="J4242" s="26" t="str">
        <f>IF(OR(E4242="",E4242="!!!",F4242="NEW"),"",COUNTBLANK(OFFSET(A$1,,,SUMPRODUCT(MAX(ROW(E$2:E4242)*(E4242=E$2:E4242)))))-COUNTBLANK(OFFSET(A$1,,,SUMPRODUCT(MAX(ROW(E$1:E4241)*(E2=E$1:E4241))))))</f>
        <v> </v>
      </c>
      <c r="K4242" s="26" t="str">
        <f>IF(OR(E4242="",E4242="!!!",F4242="NEW"),"",INDEX(J$1:J4241,SUMPRODUCT(MAX(ROW(E$1:E4241)*(E4242=E$1:E4241)))))</f>
        <v> </v>
      </c>
      <c r="L4242" s="27"/>
    </row>
    <row r="4243" spans="1:12">
      <c r="A4243" s="20" t="s">
        <v>1558</v>
      </c>
      <c r="B4243" s="21" t="s">
        <v>959</v>
      </c>
      <c r="C4243" s="21" t="s">
        <v>1032</v>
      </c>
      <c r="D4243" s="21" t="s">
        <v>950</v>
      </c>
      <c r="E4243" s="22">
        <f>IF(D4243="?OLD","!!!","")</f>
        <v/>
      </c>
      <c r="F4243" s="23" t="str">
        <f>IF(OR(E4243="",E4243="!!!"),"",IF(NOT(ISNA(VLOOKUP(E4243,E$1:E4242,1,FALSE()))),"OLD",IF(AND(E4243&lt;&gt;"",E4243&lt;&gt;"!!!"),"NEW","")))</f>
        <v> </v>
      </c>
      <c r="G4243" s="24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5" t="str">
        <f>IF(J4243&lt;&gt;1,"",IF(I4243="SBJ","CB","?"))</f>
        <v> </v>
      </c>
      <c r="I4243" s="26" t="str">
        <f>IF(OR(E4243="",E4243="!!!",F4243="NEW"),"",INDEX(B4242:B$2,-1+SUMPRODUCT(MAX(ROW(E4242:E$2)*(E4243=E4242:E$2)))))</f>
        <v> </v>
      </c>
      <c r="J4243" s="26" t="str">
        <f>IF(OR(E4243="",E4243="!!!",F4243="NEW"),"",COUNTBLANK(OFFSET(A$1,,,SUMPRODUCT(MAX(ROW(E$2:E4243)*(E4243=E$2:E4243)))))-COUNTBLANK(OFFSET(A$1,,,SUMPRODUCT(MAX(ROW(E$1:E4242)*(E2=E$1:E4242))))))</f>
        <v> </v>
      </c>
      <c r="K4243" s="26" t="str">
        <f>IF(OR(E4243="",E4243="!!!",F4243="NEW"),"",INDEX(J$1:J4242,SUMPRODUCT(MAX(ROW(E$1:E4242)*(E4243=E$1:E4242)))))</f>
        <v> </v>
      </c>
      <c r="L4243" s="27"/>
    </row>
    <row r="4244" spans="1:12">
      <c r="A4244" s="20" t="s">
        <v>1000</v>
      </c>
      <c r="E4244" s="22">
        <f>IF(D4244="?OLD","!!!","")</f>
        <v/>
      </c>
      <c r="F4244" s="23" t="str">
        <f>IF(OR(E4244="",E4244="!!!"),"",IF(NOT(ISNA(VLOOKUP(E4244,E$1:E4243,1,FALSE()))),"OLD",IF(AND(E4244&lt;&gt;"",E4244&lt;&gt;"!!!"),"NEW","")))</f>
        <v> </v>
      </c>
      <c r="G4244" s="24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5" t="str">
        <f>IF(J4244&lt;&gt;1,"",IF(I4244="SBJ","CB","?"))</f>
        <v> </v>
      </c>
      <c r="I4244" s="26" t="str">
        <f>IF(OR(E4244="",E4244="!!!",F4244="NEW"),"",INDEX(B4243:B$2,-1+SUMPRODUCT(MAX(ROW(E4243:E$2)*(E4244=E4243:E$2)))))</f>
        <v> </v>
      </c>
      <c r="J4244" s="26" t="str">
        <f>IF(OR(E4244="",E4244="!!!",F4244="NEW"),"",COUNTBLANK(OFFSET(A$1,,,SUMPRODUCT(MAX(ROW(E$2:E4244)*(E4244=E$2:E4244)))))-COUNTBLANK(OFFSET(A$1,,,SUMPRODUCT(MAX(ROW(E$1:E4243)*(E2=E$1:E4243))))))</f>
        <v> </v>
      </c>
      <c r="K4244" s="26" t="str">
        <f>IF(OR(E4244="",E4244="!!!",F4244="NEW"),"",INDEX(J$1:J4243,SUMPRODUCT(MAX(ROW(E$1:E4243)*(E4244=E$1:E4243)))))</f>
        <v> </v>
      </c>
      <c r="L4244" s="27"/>
    </row>
    <row r="4245" spans="1:12">
      <c r="A4245" s="20" t="s">
        <v>977</v>
      </c>
      <c r="E4245" s="22">
        <f>IF(D4245="?OLD","!!!","")</f>
        <v/>
      </c>
      <c r="F4245" s="23" t="str">
        <f>IF(OR(E4245="",E4245="!!!"),"",IF(NOT(ISNA(VLOOKUP(E4245,E$1:E4244,1,FALSE()))),"OLD",IF(AND(E4245&lt;&gt;"",E4245&lt;&gt;"!!!"),"NEW","")))</f>
        <v> </v>
      </c>
      <c r="G4245" s="24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5" t="str">
        <f>IF(J4245&lt;&gt;1,"",IF(I4245="SBJ","CB","?"))</f>
        <v> </v>
      </c>
      <c r="I4245" s="26" t="str">
        <f>IF(OR(E4245="",E4245="!!!",F4245="NEW"),"",INDEX(B4244:B$2,-1+SUMPRODUCT(MAX(ROW(E4244:E$2)*(E4245=E4244:E$2)))))</f>
        <v> </v>
      </c>
      <c r="J4245" s="26" t="str">
        <f>IF(OR(E4245="",E4245="!!!",F4245="NEW"),"",COUNTBLANK(OFFSET(A$1,,,SUMPRODUCT(MAX(ROW(E$2:E4245)*(E4245=E$2:E4245)))))-COUNTBLANK(OFFSET(A$1,,,SUMPRODUCT(MAX(ROW(E$1:E4244)*(E2=E$1:E4244))))))</f>
        <v> </v>
      </c>
      <c r="K4245" s="26" t="str">
        <f>IF(OR(E4245="",E4245="!!!",F4245="NEW"),"",INDEX(J$1:J4244,SUMPRODUCT(MAX(ROW(E$1:E4244)*(E4245=E$1:E4244)))))</f>
        <v> </v>
      </c>
      <c r="L4245" s="27"/>
    </row>
    <row r="4246" spans="1:12">
      <c r="A4246" s="20" t="s">
        <v>1019</v>
      </c>
      <c r="E4246" s="22">
        <f>IF(D4246="?OLD","!!!","")</f>
        <v/>
      </c>
      <c r="F4246" s="23" t="str">
        <f>IF(OR(E4246="",E4246="!!!"),"",IF(NOT(ISNA(VLOOKUP(E4246,E$1:E4245,1,FALSE()))),"OLD",IF(AND(E4246&lt;&gt;"",E4246&lt;&gt;"!!!"),"NEW","")))</f>
        <v> </v>
      </c>
      <c r="G4246" s="24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5" t="str">
        <f>IF(J4246&lt;&gt;1,"",IF(I4246="SBJ","CB","?"))</f>
        <v> </v>
      </c>
      <c r="I4246" s="26" t="str">
        <f>IF(OR(E4246="",E4246="!!!",F4246="NEW"),"",INDEX(B4245:B$2,-1+SUMPRODUCT(MAX(ROW(E4245:E$2)*(E4246=E4245:E$2)))))</f>
        <v> </v>
      </c>
      <c r="J4246" s="26" t="str">
        <f>IF(OR(E4246="",E4246="!!!",F4246="NEW"),"",COUNTBLANK(OFFSET(A$1,,,SUMPRODUCT(MAX(ROW(E$2:E4246)*(E4246=E$2:E4246)))))-COUNTBLANK(OFFSET(A$1,,,SUMPRODUCT(MAX(ROW(E$1:E4245)*(E2=E$1:E4245))))))</f>
        <v> </v>
      </c>
      <c r="K4246" s="26" t="str">
        <f>IF(OR(E4246="",E4246="!!!",F4246="NEW"),"",INDEX(J$1:J4245,SUMPRODUCT(MAX(ROW(E$1:E4245)*(E4246=E$1:E4245)))))</f>
        <v> </v>
      </c>
      <c r="L4246" s="27"/>
    </row>
    <row r="4247" spans="1:12">
      <c r="A4247" s="20" t="s">
        <v>2102</v>
      </c>
      <c r="B4247" s="21" t="s">
        <v>948</v>
      </c>
      <c r="C4247" s="21" t="s">
        <v>964</v>
      </c>
      <c r="E4247" s="22">
        <f>IF(D4247="?OLD","!!!","")</f>
        <v/>
      </c>
      <c r="F4247" s="23" t="str">
        <f>IF(OR(E4247="",E4247="!!!"),"",IF(NOT(ISNA(VLOOKUP(E4247,E$1:E4246,1,FALSE()))),"OLD",IF(AND(E4247&lt;&gt;"",E4247&lt;&gt;"!!!"),"NEW","")))</f>
        <v> </v>
      </c>
      <c r="G4247" s="24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5" t="str">
        <f>IF(J4247&lt;&gt;1,"",IF(I4247="SBJ","CB","?"))</f>
        <v> </v>
      </c>
      <c r="I4247" s="26" t="str">
        <f>IF(OR(E4247="",E4247="!!!",F4247="NEW"),"",INDEX(B4246:B$2,-1+SUMPRODUCT(MAX(ROW(E4246:E$2)*(E4247=E4246:E$2)))))</f>
        <v> </v>
      </c>
      <c r="J4247" s="26" t="str">
        <f>IF(OR(E4247="",E4247="!!!",F4247="NEW"),"",COUNTBLANK(OFFSET(A$1,,,SUMPRODUCT(MAX(ROW(E$2:E4247)*(E4247=E$2:E4247)))))-COUNTBLANK(OFFSET(A$1,,,SUMPRODUCT(MAX(ROW(E$1:E4246)*(E2=E$1:E4246))))))</f>
        <v> </v>
      </c>
      <c r="K4247" s="26" t="str">
        <f>IF(OR(E4247="",E4247="!!!",F4247="NEW"),"",INDEX(J$1:J4246,SUMPRODUCT(MAX(ROW(E$1:E4246)*(E4247=E$1:E4246)))))</f>
        <v> </v>
      </c>
      <c r="L4247" s="27"/>
    </row>
    <row r="4248" spans="1:12">
      <c r="A4248" s="20" t="s">
        <v>2124</v>
      </c>
      <c r="E4248" s="22">
        <f>IF(D4248="?OLD","!!!","")</f>
        <v/>
      </c>
      <c r="F4248" s="23" t="str">
        <f>IF(OR(E4248="",E4248="!!!"),"",IF(NOT(ISNA(VLOOKUP(E4248,E$1:E4247,1,FALSE()))),"OLD",IF(AND(E4248&lt;&gt;"",E4248&lt;&gt;"!!!"),"NEW","")))</f>
        <v> </v>
      </c>
      <c r="G4248" s="24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5" t="str">
        <f>IF(J4248&lt;&gt;1,"",IF(I4248="SBJ","CB","?"))</f>
        <v> </v>
      </c>
      <c r="I4248" s="26" t="str">
        <f>IF(OR(E4248="",E4248="!!!",F4248="NEW"),"",INDEX(B4247:B$2,-1+SUMPRODUCT(MAX(ROW(E4247:E$2)*(E4248=E4247:E$2)))))</f>
        <v> </v>
      </c>
      <c r="J4248" s="26" t="str">
        <f>IF(OR(E4248="",E4248="!!!",F4248="NEW"),"",COUNTBLANK(OFFSET(A$1,,,SUMPRODUCT(MAX(ROW(E$2:E4248)*(E4248=E$2:E4248)))))-COUNTBLANK(OFFSET(A$1,,,SUMPRODUCT(MAX(ROW(E$1:E4247)*(E2=E$1:E4247))))))</f>
        <v> </v>
      </c>
      <c r="K4248" s="26" t="str">
        <f>IF(OR(E4248="",E4248="!!!",F4248="NEW"),"",INDEX(J$1:J4247,SUMPRODUCT(MAX(ROW(E$1:E4247)*(E4248=E$1:E4247)))))</f>
        <v> </v>
      </c>
      <c r="L4248" s="27"/>
    </row>
    <row r="4249" spans="1:12">
      <c r="A4249" s="20" t="s">
        <v>1000</v>
      </c>
      <c r="E4249" s="22">
        <f>IF(D4249="?OLD","!!!","")</f>
        <v/>
      </c>
      <c r="F4249" s="23" t="str">
        <f>IF(OR(E4249="",E4249="!!!"),"",IF(NOT(ISNA(VLOOKUP(E4249,E$1:E4248,1,FALSE()))),"OLD",IF(AND(E4249&lt;&gt;"",E4249&lt;&gt;"!!!"),"NEW","")))</f>
        <v> </v>
      </c>
      <c r="G4249" s="24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5" t="str">
        <f>IF(J4249&lt;&gt;1,"",IF(I4249="SBJ","CB","?"))</f>
        <v> </v>
      </c>
      <c r="I4249" s="26" t="str">
        <f>IF(OR(E4249="",E4249="!!!",F4249="NEW"),"",INDEX(B4248:B$2,-1+SUMPRODUCT(MAX(ROW(E4248:E$2)*(E4249=E4248:E$2)))))</f>
        <v> </v>
      </c>
      <c r="J4249" s="26" t="str">
        <f>IF(OR(E4249="",E4249="!!!",F4249="NEW"),"",COUNTBLANK(OFFSET(A$1,,,SUMPRODUCT(MAX(ROW(E$2:E4249)*(E4249=E$2:E4249)))))-COUNTBLANK(OFFSET(A$1,,,SUMPRODUCT(MAX(ROW(E$1:E4248)*(E2=E$1:E4248))))))</f>
        <v> </v>
      </c>
      <c r="K4249" s="26" t="str">
        <f>IF(OR(E4249="",E4249="!!!",F4249="NEW"),"",INDEX(J$1:J4248,SUMPRODUCT(MAX(ROW(E$1:E4248)*(E4249=E$1:E4248)))))</f>
        <v> </v>
      </c>
      <c r="L4249" s="27"/>
    </row>
    <row r="4250" spans="1:12">
      <c r="A4250" s="20" t="s">
        <v>972</v>
      </c>
      <c r="E4250" s="22">
        <f>IF(D4250="?OLD","!!!","")</f>
        <v/>
      </c>
      <c r="F4250" s="23" t="str">
        <f>IF(OR(E4250="",E4250="!!!"),"",IF(NOT(ISNA(VLOOKUP(E4250,E$1:E4249,1,FALSE()))),"OLD",IF(AND(E4250&lt;&gt;"",E4250&lt;&gt;"!!!"),"NEW","")))</f>
        <v> </v>
      </c>
      <c r="G4250" s="24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5" t="str">
        <f>IF(J4250&lt;&gt;1,"",IF(I4250="SBJ","CB","?"))</f>
        <v> </v>
      </c>
      <c r="I4250" s="26" t="str">
        <f>IF(OR(E4250="",E4250="!!!",F4250="NEW"),"",INDEX(B4249:B$2,-1+SUMPRODUCT(MAX(ROW(E4249:E$2)*(E4250=E4249:E$2)))))</f>
        <v> </v>
      </c>
      <c r="J4250" s="26" t="str">
        <f>IF(OR(E4250="",E4250="!!!",F4250="NEW"),"",COUNTBLANK(OFFSET(A$1,,,SUMPRODUCT(MAX(ROW(E$2:E4250)*(E4250=E$2:E4250)))))-COUNTBLANK(OFFSET(A$1,,,SUMPRODUCT(MAX(ROW(E$1:E4249)*(E2=E$1:E4249))))))</f>
        <v> </v>
      </c>
      <c r="K4250" s="26" t="str">
        <f>IF(OR(E4250="",E4250="!!!",F4250="NEW"),"",INDEX(J$1:J4249,SUMPRODUCT(MAX(ROW(E$1:E4249)*(E4250=E$1:E4249)))))</f>
        <v> </v>
      </c>
      <c r="L4250" s="27"/>
    </row>
    <row r="4251" spans="1:12">
      <c r="A4251" s="20" t="s">
        <v>2125</v>
      </c>
      <c r="E4251" s="22">
        <f>IF(D4251="?OLD","!!!","")</f>
        <v/>
      </c>
      <c r="F4251" s="23" t="str">
        <f>IF(OR(E4251="",E4251="!!!"),"",IF(NOT(ISNA(VLOOKUP(E4251,E$1:E4250,1,FALSE()))),"OLD",IF(AND(E4251&lt;&gt;"",E4251&lt;&gt;"!!!"),"NEW","")))</f>
        <v> </v>
      </c>
      <c r="G4251" s="24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5" t="str">
        <f>IF(J4251&lt;&gt;1,"",IF(I4251="SBJ","CB","?"))</f>
        <v> </v>
      </c>
      <c r="I4251" s="26" t="str">
        <f>IF(OR(E4251="",E4251="!!!",F4251="NEW"),"",INDEX(B4250:B$2,-1+SUMPRODUCT(MAX(ROW(E4250:E$2)*(E4251=E4250:E$2)))))</f>
        <v> </v>
      </c>
      <c r="J4251" s="26" t="str">
        <f>IF(OR(E4251="",E4251="!!!",F4251="NEW"),"",COUNTBLANK(OFFSET(A$1,,,SUMPRODUCT(MAX(ROW(E$2:E4251)*(E4251=E$2:E4251)))))-COUNTBLANK(OFFSET(A$1,,,SUMPRODUCT(MAX(ROW(E$1:E4250)*(E2=E$1:E4250))))))</f>
        <v> </v>
      </c>
      <c r="K4251" s="26" t="str">
        <f>IF(OR(E4251="",E4251="!!!",F4251="NEW"),"",INDEX(J$1:J4250,SUMPRODUCT(MAX(ROW(E$1:E4250)*(E4251=E$1:E4250)))))</f>
        <v> </v>
      </c>
      <c r="L4251" s="27"/>
    </row>
    <row r="4252" spans="1:12">
      <c r="A4252" s="20" t="s">
        <v>984</v>
      </c>
      <c r="E4252" s="22">
        <f>IF(D4252="?OLD","!!!","")</f>
        <v/>
      </c>
      <c r="F4252" s="23" t="str">
        <f>IF(OR(E4252="",E4252="!!!"),"",IF(NOT(ISNA(VLOOKUP(E4252,E$1:E4251,1,FALSE()))),"OLD",IF(AND(E4252&lt;&gt;"",E4252&lt;&gt;"!!!"),"NEW","")))</f>
        <v> </v>
      </c>
      <c r="G4252" s="24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5" t="str">
        <f>IF(J4252&lt;&gt;1,"",IF(I4252="SBJ","CB","?"))</f>
        <v> </v>
      </c>
      <c r="I4252" s="26" t="str">
        <f>IF(OR(E4252="",E4252="!!!",F4252="NEW"),"",INDEX(B4251:B$2,-1+SUMPRODUCT(MAX(ROW(E4251:E$2)*(E4252=E4251:E$2)))))</f>
        <v> </v>
      </c>
      <c r="J4252" s="26" t="str">
        <f>IF(OR(E4252="",E4252="!!!",F4252="NEW"),"",COUNTBLANK(OFFSET(A$1,,,SUMPRODUCT(MAX(ROW(E$2:E4252)*(E4252=E$2:E4252)))))-COUNTBLANK(OFFSET(A$1,,,SUMPRODUCT(MAX(ROW(E$1:E4251)*(E2=E$1:E4251))))))</f>
        <v> </v>
      </c>
      <c r="K4252" s="26" t="str">
        <f>IF(OR(E4252="",E4252="!!!",F4252="NEW"),"",INDEX(J$1:J4251,SUMPRODUCT(MAX(ROW(E$1:E4251)*(E4252=E$1:E4251)))))</f>
        <v> </v>
      </c>
      <c r="L4252" s="27"/>
    </row>
    <row r="4253" spans="1:12">
      <c r="A4253" s="20"/>
    </row>
    <row r="4254" spans="1:12">
      <c r="A4254" s="20" t="s">
        <v>2126</v>
      </c>
    </row>
    <row r="4255" spans="1:12">
      <c r="A4255" s="20" t="s">
        <v>1016</v>
      </c>
      <c r="B4255" s="21" t="s">
        <v>948</v>
      </c>
      <c r="C4255" s="21" t="s">
        <v>949</v>
      </c>
      <c r="D4255" s="21" t="s">
        <v>950</v>
      </c>
      <c r="E4255" s="22">
        <f>IF(D4255="?OLD","!!!","")</f>
        <v/>
      </c>
      <c r="F4255" s="23" t="str">
        <f>IF(OR(E4255="",E4255="!!!"),"",IF(NOT(ISNA(VLOOKUP(E4255,E$1:E4254,1,FALSE()))),"OLD",IF(AND(E4255&lt;&gt;"",E4255&lt;&gt;"!!!"),"NEW","")))</f>
        <v> </v>
      </c>
      <c r="G4255" s="24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5" t="str">
        <f>IF(J4255&lt;&gt;1,"",IF(I4255="SBJ","CB","?"))</f>
        <v> </v>
      </c>
      <c r="I4255" s="26" t="str">
        <f>IF(OR(E4255="",E4255="!!!",F4255="NEW"),"",INDEX(B4254:B$2,-1+SUMPRODUCT(MAX(ROW(E4254:E$2)*(E4255=E4254:E$2)))))</f>
        <v> </v>
      </c>
      <c r="J4255" s="26" t="str">
        <f>IF(OR(E4255="",E4255="!!!",F4255="NEW"),"",COUNTBLANK(OFFSET(A$1,,,SUMPRODUCT(MAX(ROW(E$2:E4255)*(E4255=E$2:E4255)))))-COUNTBLANK(OFFSET(A$1,,,SUMPRODUCT(MAX(ROW(E$1:E4254)*(E2=E$1:E4254))))))</f>
        <v> </v>
      </c>
      <c r="K4255" s="26" t="str">
        <f>IF(OR(E4255="",E4255="!!!",F4255="NEW"),"",INDEX(J$1:J4254,SUMPRODUCT(MAX(ROW(E$1:E4254)*(E4255=E$1:E4254)))))</f>
        <v> </v>
      </c>
      <c r="L4255" s="27"/>
    </row>
    <row r="4256" spans="1:12">
      <c r="A4256" s="20" t="s">
        <v>952</v>
      </c>
      <c r="E4256" s="22">
        <f>IF(D4256="?OLD","!!!","")</f>
        <v/>
      </c>
      <c r="F4256" s="23" t="str">
        <f>IF(OR(E4256="",E4256="!!!"),"",IF(NOT(ISNA(VLOOKUP(E4256,E$1:E4255,1,FALSE()))),"OLD",IF(AND(E4256&lt;&gt;"",E4256&lt;&gt;"!!!"),"NEW","")))</f>
        <v> </v>
      </c>
      <c r="G4256" s="24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5" t="str">
        <f>IF(J4256&lt;&gt;1,"",IF(I4256="SBJ","CB","?"))</f>
        <v> </v>
      </c>
      <c r="I4256" s="26" t="str">
        <f>IF(OR(E4256="",E4256="!!!",F4256="NEW"),"",INDEX(B4255:B$2,-1+SUMPRODUCT(MAX(ROW(E4255:E$2)*(E4256=E4255:E$2)))))</f>
        <v> </v>
      </c>
      <c r="J4256" s="26" t="str">
        <f>IF(OR(E4256="",E4256="!!!",F4256="NEW"),"",COUNTBLANK(OFFSET(A$1,,,SUMPRODUCT(MAX(ROW(E$2:E4256)*(E4256=E$2:E4256)))))-COUNTBLANK(OFFSET(A$1,,,SUMPRODUCT(MAX(ROW(E$1:E4255)*(E2=E$1:E4255))))))</f>
        <v> </v>
      </c>
      <c r="K4256" s="26" t="str">
        <f>IF(OR(E4256="",E4256="!!!",F4256="NEW"),"",INDEX(J$1:J4255,SUMPRODUCT(MAX(ROW(E$1:E4255)*(E4256=E$1:E4255)))))</f>
        <v> </v>
      </c>
      <c r="L4256" s="27"/>
    </row>
    <row r="4257" spans="1:12">
      <c r="A4257" s="20" t="s">
        <v>2098</v>
      </c>
      <c r="B4257" s="21" t="s">
        <v>1143</v>
      </c>
      <c r="C4257" s="21" t="s">
        <v>960</v>
      </c>
      <c r="D4257" s="21" t="s">
        <v>950</v>
      </c>
      <c r="E4257" s="22">
        <f>IF(D4257="?OLD","!!!","")</f>
        <v/>
      </c>
      <c r="F4257" s="23" t="str">
        <f>IF(OR(E4257="",E4257="!!!"),"",IF(NOT(ISNA(VLOOKUP(E4257,E$1:E4256,1,FALSE()))),"OLD",IF(AND(E4257&lt;&gt;"",E4257&lt;&gt;"!!!"),"NEW","")))</f>
        <v> </v>
      </c>
      <c r="G4257" s="24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5" t="str">
        <f>IF(J4257&lt;&gt;1,"",IF(I4257="SBJ","CB","?"))</f>
        <v> </v>
      </c>
      <c r="I4257" s="26" t="str">
        <f>IF(OR(E4257="",E4257="!!!",F4257="NEW"),"",INDEX(B4256:B$2,-1+SUMPRODUCT(MAX(ROW(E4256:E$2)*(E4257=E4256:E$2)))))</f>
        <v> </v>
      </c>
      <c r="J4257" s="26" t="str">
        <f>IF(OR(E4257="",E4257="!!!",F4257="NEW"),"",COUNTBLANK(OFFSET(A$1,,,SUMPRODUCT(MAX(ROW(E$2:E4257)*(E4257=E$2:E4257)))))-COUNTBLANK(OFFSET(A$1,,,SUMPRODUCT(MAX(ROW(E$1:E4256)*(E2=E$1:E4256))))))</f>
        <v> </v>
      </c>
      <c r="K4257" s="26" t="str">
        <f>IF(OR(E4257="",E4257="!!!",F4257="NEW"),"",INDEX(J$1:J4256,SUMPRODUCT(MAX(ROW(E$1:E4256)*(E4257=E$1:E4256)))))</f>
        <v> </v>
      </c>
      <c r="L4257" s="27"/>
    </row>
    <row r="4258" spans="1:12">
      <c r="A4258" s="20" t="s">
        <v>987</v>
      </c>
      <c r="E4258" s="22">
        <f>IF(D4258="?OLD","!!!","")</f>
        <v/>
      </c>
      <c r="F4258" s="23" t="str">
        <f>IF(OR(E4258="",E4258="!!!"),"",IF(NOT(ISNA(VLOOKUP(E4258,E$1:E4257,1,FALSE()))),"OLD",IF(AND(E4258&lt;&gt;"",E4258&lt;&gt;"!!!"),"NEW","")))</f>
        <v> </v>
      </c>
      <c r="G4258" s="24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5" t="str">
        <f>IF(J4258&lt;&gt;1,"",IF(I4258="SBJ","CB","?"))</f>
        <v> </v>
      </c>
      <c r="I4258" s="26" t="str">
        <f>IF(OR(E4258="",E4258="!!!",F4258="NEW"),"",INDEX(B4257:B$2,-1+SUMPRODUCT(MAX(ROW(E4257:E$2)*(E4258=E4257:E$2)))))</f>
        <v> </v>
      </c>
      <c r="J4258" s="26" t="str">
        <f>IF(OR(E4258="",E4258="!!!",F4258="NEW"),"",COUNTBLANK(OFFSET(A$1,,,SUMPRODUCT(MAX(ROW(E$2:E4258)*(E4258=E$2:E4258)))))-COUNTBLANK(OFFSET(A$1,,,SUMPRODUCT(MAX(ROW(E$1:E4257)*(E2=E$1:E4257))))))</f>
        <v> </v>
      </c>
      <c r="K4258" s="26" t="str">
        <f>IF(OR(E4258="",E4258="!!!",F4258="NEW"),"",INDEX(J$1:J4257,SUMPRODUCT(MAX(ROW(E$1:E4257)*(E4258=E$1:E4257)))))</f>
        <v> </v>
      </c>
      <c r="L4258" s="27"/>
    </row>
    <row r="4259" spans="1:12">
      <c r="A4259" s="20" t="s">
        <v>1019</v>
      </c>
      <c r="E4259" s="22">
        <f>IF(D4259="?OLD","!!!","")</f>
        <v/>
      </c>
      <c r="F4259" s="23" t="str">
        <f>IF(OR(E4259="",E4259="!!!"),"",IF(NOT(ISNA(VLOOKUP(E4259,E$1:E4258,1,FALSE()))),"OLD",IF(AND(E4259&lt;&gt;"",E4259&lt;&gt;"!!!"),"NEW","")))</f>
        <v> </v>
      </c>
      <c r="G4259" s="24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5" t="str">
        <f>IF(J4259&lt;&gt;1,"",IF(I4259="SBJ","CB","?"))</f>
        <v> </v>
      </c>
      <c r="I4259" s="26" t="str">
        <f>IF(OR(E4259="",E4259="!!!",F4259="NEW"),"",INDEX(B4258:B$2,-1+SUMPRODUCT(MAX(ROW(E4258:E$2)*(E4259=E4258:E$2)))))</f>
        <v> </v>
      </c>
      <c r="J4259" s="26" t="str">
        <f>IF(OR(E4259="",E4259="!!!",F4259="NEW"),"",COUNTBLANK(OFFSET(A$1,,,SUMPRODUCT(MAX(ROW(E$2:E4259)*(E4259=E$2:E4259)))))-COUNTBLANK(OFFSET(A$1,,,SUMPRODUCT(MAX(ROW(E$1:E4258)*(E2=E$1:E4258))))))</f>
        <v> </v>
      </c>
      <c r="K4259" s="26" t="str">
        <f>IF(OR(E4259="",E4259="!!!",F4259="NEW"),"",INDEX(J$1:J4258,SUMPRODUCT(MAX(ROW(E$1:E4258)*(E4259=E$1:E4258)))))</f>
        <v> </v>
      </c>
      <c r="L4259" s="27"/>
    </row>
    <row r="4260" spans="1:12">
      <c r="A4260" s="20" t="s">
        <v>2127</v>
      </c>
      <c r="B4260" s="21" t="s">
        <v>975</v>
      </c>
      <c r="C4260" s="21" t="s">
        <v>964</v>
      </c>
      <c r="E4260" s="22">
        <f>IF(D4260="?OLD","!!!","")</f>
        <v/>
      </c>
      <c r="F4260" s="23" t="str">
        <f>IF(OR(E4260="",E4260="!!!"),"",IF(NOT(ISNA(VLOOKUP(E4260,E$1:E4259,1,FALSE()))),"OLD",IF(AND(E4260&lt;&gt;"",E4260&lt;&gt;"!!!"),"NEW","")))</f>
        <v> </v>
      </c>
      <c r="G4260" s="24" t="str">
        <f>IF(OR(E4260="",E4260="!!!"),"",IF(OR(J4260=0,AND(J4260=1,K4260=1),AND(J4260=1,I4260="SBJ"),AND(J4260=1,I4260=0)),"?IN_FOCUS",IF(J4260&lt;=2,"?ACTIVATED",IF(J4260&lt;&gt;"","?FAMILIAR",IF(F4260="NEW",IF(ISNA(VLOOKUP(E4260,#REF!,1,FALSE())),"?TYPE_IDENTIFIABLE","?REFERENTIAL"),"_")))))</f>
        <v> </v>
      </c>
      <c r="H4260" s="25" t="str">
        <f>IF(J4260&lt;&gt;1,"",IF(I4260="SBJ","CB","?"))</f>
        <v> </v>
      </c>
      <c r="I4260" s="26" t="str">
        <f>IF(OR(E4260="",E4260="!!!",F4260="NEW"),"",INDEX(B4259:B$2,-1+SUMPRODUCT(MAX(ROW(E4259:E$2)*(E4260=E4259:E$2)))))</f>
        <v> </v>
      </c>
      <c r="J4260" s="26" t="str">
        <f>IF(OR(E4260="",E4260="!!!",F4260="NEW"),"",COUNTBLANK(OFFSET(A$1,,,SUMPRODUCT(MAX(ROW(E$2:E4260)*(E4260=E$2:E4260)))))-COUNTBLANK(OFFSET(A$1,,,SUMPRODUCT(MAX(ROW(E$1:E4259)*(E2=E$1:E4259))))))</f>
        <v> </v>
      </c>
      <c r="K4260" s="26" t="str">
        <f>IF(OR(E4260="",E4260="!!!",F4260="NEW"),"",INDEX(J$1:J4259,SUMPRODUCT(MAX(ROW(E$1:E4259)*(E4260=E$1:E4259)))))</f>
        <v> </v>
      </c>
      <c r="L4260" s="27"/>
    </row>
    <row r="4261" spans="1:12">
      <c r="A4261" s="20" t="s">
        <v>1000</v>
      </c>
      <c r="E4261" s="22">
        <f>IF(D4261="?OLD","!!!","")</f>
        <v/>
      </c>
      <c r="F4261" s="23" t="str">
        <f>IF(OR(E4261="",E4261="!!!"),"",IF(NOT(ISNA(VLOOKUP(E4261,E$1:E4260,1,FALSE()))),"OLD",IF(AND(E4261&lt;&gt;"",E4261&lt;&gt;"!!!"),"NEW","")))</f>
        <v> </v>
      </c>
      <c r="G4261" s="24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5" t="str">
        <f>IF(J4261&lt;&gt;1,"",IF(I4261="SBJ","CB","?"))</f>
        <v> </v>
      </c>
      <c r="I4261" s="26" t="str">
        <f>IF(OR(E4261="",E4261="!!!",F4261="NEW"),"",INDEX(B4260:B$2,-1+SUMPRODUCT(MAX(ROW(E4260:E$2)*(E4261=E4260:E$2)))))</f>
        <v> </v>
      </c>
      <c r="J4261" s="26" t="str">
        <f>IF(OR(E4261="",E4261="!!!",F4261="NEW"),"",COUNTBLANK(OFFSET(A$1,,,SUMPRODUCT(MAX(ROW(E$2:E4261)*(E4261=E$2:E4261)))))-COUNTBLANK(OFFSET(A$1,,,SUMPRODUCT(MAX(ROW(E$1:E4260)*(E2=E$1:E4260))))))</f>
        <v> </v>
      </c>
      <c r="K4261" s="26" t="str">
        <f>IF(OR(E4261="",E4261="!!!",F4261="NEW"),"",INDEX(J$1:J4260,SUMPRODUCT(MAX(ROW(E$1:E4260)*(E4261=E$1:E4260)))))</f>
        <v> </v>
      </c>
      <c r="L4261" s="27"/>
    </row>
    <row r="4262" spans="1:12">
      <c r="A4262" s="20" t="s">
        <v>1136</v>
      </c>
      <c r="E4262" s="22">
        <f>IF(D4262="?OLD","!!!","")</f>
        <v/>
      </c>
      <c r="F4262" s="23" t="str">
        <f>IF(OR(E4262="",E4262="!!!"),"",IF(NOT(ISNA(VLOOKUP(E4262,E$1:E4261,1,FALSE()))),"OLD",IF(AND(E4262&lt;&gt;"",E4262&lt;&gt;"!!!"),"NEW","")))</f>
        <v> </v>
      </c>
      <c r="G4262" s="24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5" t="str">
        <f>IF(J4262&lt;&gt;1,"",IF(I4262="SBJ","CB","?"))</f>
        <v> </v>
      </c>
      <c r="I4262" s="26" t="str">
        <f>IF(OR(E4262="",E4262="!!!",F4262="NEW"),"",INDEX(B4261:B$2,-1+SUMPRODUCT(MAX(ROW(E4261:E$2)*(E4262=E4261:E$2)))))</f>
        <v> </v>
      </c>
      <c r="J4262" s="26" t="str">
        <f>IF(OR(E4262="",E4262="!!!",F4262="NEW"),"",COUNTBLANK(OFFSET(A$1,,,SUMPRODUCT(MAX(ROW(E$2:E4262)*(E4262=E$2:E4262)))))-COUNTBLANK(OFFSET(A$1,,,SUMPRODUCT(MAX(ROW(E$1:E4261)*(E2=E$1:E4261))))))</f>
        <v> </v>
      </c>
      <c r="K4262" s="26" t="str">
        <f>IF(OR(E4262="",E4262="!!!",F4262="NEW"),"",INDEX(J$1:J4261,SUMPRODUCT(MAX(ROW(E$1:E4261)*(E4262=E$1:E4261)))))</f>
        <v> </v>
      </c>
      <c r="L4262" s="27"/>
    </row>
    <row r="4263" spans="1:12">
      <c r="A4263" s="20" t="s">
        <v>1104</v>
      </c>
      <c r="E4263" s="22">
        <f>IF(D4263="?OLD","!!!","")</f>
        <v/>
      </c>
      <c r="F4263" s="23" t="str">
        <f>IF(OR(E4263="",E4263="!!!"),"",IF(NOT(ISNA(VLOOKUP(E4263,E$1:E4262,1,FALSE()))),"OLD",IF(AND(E4263&lt;&gt;"",E4263&lt;&gt;"!!!"),"NEW","")))</f>
        <v> </v>
      </c>
      <c r="G4263" s="24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5" t="str">
        <f>IF(J4263&lt;&gt;1,"",IF(I4263="SBJ","CB","?"))</f>
        <v> </v>
      </c>
      <c r="I4263" s="26" t="str">
        <f>IF(OR(E4263="",E4263="!!!",F4263="NEW"),"",INDEX(B4262:B$2,-1+SUMPRODUCT(MAX(ROW(E4262:E$2)*(E4263=E4262:E$2)))))</f>
        <v> </v>
      </c>
      <c r="J4263" s="26" t="str">
        <f>IF(OR(E4263="",E4263="!!!",F4263="NEW"),"",COUNTBLANK(OFFSET(A$1,,,SUMPRODUCT(MAX(ROW(E$2:E4263)*(E4263=E$2:E4263)))))-COUNTBLANK(OFFSET(A$1,,,SUMPRODUCT(MAX(ROW(E$1:E4262)*(E2=E$1:E4262))))))</f>
        <v> </v>
      </c>
      <c r="K4263" s="26" t="str">
        <f>IF(OR(E4263="",E4263="!!!",F4263="NEW"),"",INDEX(J$1:J4262,SUMPRODUCT(MAX(ROW(E$1:E4262)*(E4263=E$1:E4262)))))</f>
        <v> </v>
      </c>
      <c r="L4263" s="27"/>
    </row>
    <row r="4264" spans="1:12">
      <c r="A4264" s="20" t="s">
        <v>264</v>
      </c>
      <c r="E4264" s="22">
        <f>IF(D4264="?OLD","!!!","")</f>
        <v/>
      </c>
      <c r="F4264" s="23" t="str">
        <f>IF(OR(E4264="",E4264="!!!"),"",IF(NOT(ISNA(VLOOKUP(E4264,E$1:E4263,1,FALSE()))),"OLD",IF(AND(E4264&lt;&gt;"",E4264&lt;&gt;"!!!"),"NEW","")))</f>
        <v> </v>
      </c>
      <c r="G4264" s="24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5" t="str">
        <f>IF(J4264&lt;&gt;1,"",IF(I4264="SBJ","CB","?"))</f>
        <v> </v>
      </c>
      <c r="I4264" s="26" t="str">
        <f>IF(OR(E4264="",E4264="!!!",F4264="NEW"),"",INDEX(B4263:B$2,-1+SUMPRODUCT(MAX(ROW(E4263:E$2)*(E4264=E4263:E$2)))))</f>
        <v> </v>
      </c>
      <c r="J4264" s="26" t="str">
        <f>IF(OR(E4264="",E4264="!!!",F4264="NEW"),"",COUNTBLANK(OFFSET(A$1,,,SUMPRODUCT(MAX(ROW(E$2:E4264)*(E4264=E$2:E4264)))))-COUNTBLANK(OFFSET(A$1,,,SUMPRODUCT(MAX(ROW(E$1:E4263)*(E2=E$1:E4263))))))</f>
        <v> </v>
      </c>
      <c r="K4264" s="26" t="str">
        <f>IF(OR(E4264="",E4264="!!!",F4264="NEW"),"",INDEX(J$1:J4263,SUMPRODUCT(MAX(ROW(E$1:E4263)*(E4264=E$1:E4263)))))</f>
        <v> </v>
      </c>
      <c r="L4264" s="27"/>
    </row>
    <row r="4265" spans="1:12">
      <c r="A4265" s="20" t="s">
        <v>2128</v>
      </c>
      <c r="E4265" s="22">
        <f>IF(D4265="?OLD","!!!","")</f>
        <v/>
      </c>
      <c r="F4265" s="23" t="str">
        <f>IF(OR(E4265="",E4265="!!!"),"",IF(NOT(ISNA(VLOOKUP(E4265,E$1:E4264,1,FALSE()))),"OLD",IF(AND(E4265&lt;&gt;"",E4265&lt;&gt;"!!!"),"NEW","")))</f>
        <v> </v>
      </c>
      <c r="G4265" s="24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5" t="str">
        <f>IF(J4265&lt;&gt;1,"",IF(I4265="SBJ","CB","?"))</f>
        <v> </v>
      </c>
      <c r="I4265" s="26" t="str">
        <f>IF(OR(E4265="",E4265="!!!",F4265="NEW"),"",INDEX(B4264:B$2,-1+SUMPRODUCT(MAX(ROW(E4264:E$2)*(E4265=E4264:E$2)))))</f>
        <v> </v>
      </c>
      <c r="J4265" s="26" t="str">
        <f>IF(OR(E4265="",E4265="!!!",F4265="NEW"),"",COUNTBLANK(OFFSET(A$1,,,SUMPRODUCT(MAX(ROW(E$2:E4265)*(E4265=E$2:E4265)))))-COUNTBLANK(OFFSET(A$1,,,SUMPRODUCT(MAX(ROW(E$1:E4264)*(E2=E$1:E4264))))))</f>
        <v> </v>
      </c>
      <c r="K4265" s="26" t="str">
        <f>IF(OR(E4265="",E4265="!!!",F4265="NEW"),"",INDEX(J$1:J4264,SUMPRODUCT(MAX(ROW(E$1:E4264)*(E4265=E$1:E4264)))))</f>
        <v> </v>
      </c>
      <c r="L4265" s="27"/>
    </row>
    <row r="4266" spans="1:12">
      <c r="A4266" s="20" t="s">
        <v>1106</v>
      </c>
      <c r="E4266" s="22">
        <f>IF(D4266="?OLD","!!!","")</f>
        <v/>
      </c>
      <c r="F4266" s="23" t="str">
        <f>IF(OR(E4266="",E4266="!!!"),"",IF(NOT(ISNA(VLOOKUP(E4266,E$1:E4265,1,FALSE()))),"OLD",IF(AND(E4266&lt;&gt;"",E4266&lt;&gt;"!!!"),"NEW","")))</f>
        <v> </v>
      </c>
      <c r="G4266" s="24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5" t="str">
        <f>IF(J4266&lt;&gt;1,"",IF(I4266="SBJ","CB","?"))</f>
        <v> </v>
      </c>
      <c r="I4266" s="26" t="str">
        <f>IF(OR(E4266="",E4266="!!!",F4266="NEW"),"",INDEX(B4265:B$2,-1+SUMPRODUCT(MAX(ROW(E4265:E$2)*(E4266=E4265:E$2)))))</f>
        <v> </v>
      </c>
      <c r="J4266" s="26" t="str">
        <f>IF(OR(E4266="",E4266="!!!",F4266="NEW"),"",COUNTBLANK(OFFSET(A$1,,,SUMPRODUCT(MAX(ROW(E$2:E4266)*(E4266=E$2:E4266)))))-COUNTBLANK(OFFSET(A$1,,,SUMPRODUCT(MAX(ROW(E$1:E4265)*(E2=E$1:E4265))))))</f>
        <v> </v>
      </c>
      <c r="K4266" s="26" t="str">
        <f>IF(OR(E4266="",E4266="!!!",F4266="NEW"),"",INDEX(J$1:J4265,SUMPRODUCT(MAX(ROW(E$1:E4265)*(E4266=E$1:E4265)))))</f>
        <v> </v>
      </c>
      <c r="L4266" s="27"/>
    </row>
    <row r="4267" spans="1:12">
      <c r="A4267" s="20" t="s">
        <v>1136</v>
      </c>
      <c r="E4267" s="22">
        <f>IF(D4267="?OLD","!!!","")</f>
        <v/>
      </c>
      <c r="F4267" s="23" t="str">
        <f>IF(OR(E4267="",E4267="!!!"),"",IF(NOT(ISNA(VLOOKUP(E4267,E$1:E4266,1,FALSE()))),"OLD",IF(AND(E4267&lt;&gt;"",E4267&lt;&gt;"!!!"),"NEW","")))</f>
        <v> </v>
      </c>
      <c r="G4267" s="24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5" t="str">
        <f>IF(J4267&lt;&gt;1,"",IF(I4267="SBJ","CB","?"))</f>
        <v> </v>
      </c>
      <c r="I4267" s="26" t="str">
        <f>IF(OR(E4267="",E4267="!!!",F4267="NEW"),"",INDEX(B4266:B$2,-1+SUMPRODUCT(MAX(ROW(E4266:E$2)*(E4267=E4266:E$2)))))</f>
        <v> </v>
      </c>
      <c r="J4267" s="26" t="str">
        <f>IF(OR(E4267="",E4267="!!!",F4267="NEW"),"",COUNTBLANK(OFFSET(A$1,,,SUMPRODUCT(MAX(ROW(E$2:E4267)*(E4267=E$2:E4267)))))-COUNTBLANK(OFFSET(A$1,,,SUMPRODUCT(MAX(ROW(E$1:E4266)*(E2=E$1:E4266))))))</f>
        <v> </v>
      </c>
      <c r="K4267" s="26" t="str">
        <f>IF(OR(E4267="",E4267="!!!",F4267="NEW"),"",INDEX(J$1:J4266,SUMPRODUCT(MAX(ROW(E$1:E4266)*(E4267=E$1:E4266)))))</f>
        <v> </v>
      </c>
      <c r="L4267" s="27"/>
    </row>
    <row r="4268" spans="1:12">
      <c r="A4268" s="20" t="s">
        <v>965</v>
      </c>
      <c r="E4268" s="22">
        <f>IF(D4268="?OLD","!!!","")</f>
        <v/>
      </c>
      <c r="F4268" s="23" t="str">
        <f>IF(OR(E4268="",E4268="!!!"),"",IF(NOT(ISNA(VLOOKUP(E4268,E$1:E4267,1,FALSE()))),"OLD",IF(AND(E4268&lt;&gt;"",E4268&lt;&gt;"!!!"),"NEW","")))</f>
        <v> </v>
      </c>
      <c r="G4268" s="24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5" t="str">
        <f>IF(J4268&lt;&gt;1,"",IF(I4268="SBJ","CB","?"))</f>
        <v> </v>
      </c>
      <c r="I4268" s="26" t="str">
        <f>IF(OR(E4268="",E4268="!!!",F4268="NEW"),"",INDEX(B4267:B$2,-1+SUMPRODUCT(MAX(ROW(E4267:E$2)*(E4268=E4267:E$2)))))</f>
        <v> </v>
      </c>
      <c r="J4268" s="26" t="str">
        <f>IF(OR(E4268="",E4268="!!!",F4268="NEW"),"",COUNTBLANK(OFFSET(A$1,,,SUMPRODUCT(MAX(ROW(E$2:E4268)*(E4268=E$2:E4268)))))-COUNTBLANK(OFFSET(A$1,,,SUMPRODUCT(MAX(ROW(E$1:E4267)*(E2=E$1:E4267))))))</f>
        <v> </v>
      </c>
      <c r="K4268" s="26" t="str">
        <f>IF(OR(E4268="",E4268="!!!",F4268="NEW"),"",INDEX(J$1:J4267,SUMPRODUCT(MAX(ROW(E$1:E4267)*(E4268=E$1:E4267)))))</f>
        <v> </v>
      </c>
      <c r="L4268" s="27"/>
    </row>
    <row r="4269" spans="1:12">
      <c r="A4269" s="20" t="s">
        <v>2129</v>
      </c>
      <c r="E4269" s="22">
        <f>IF(D4269="?OLD","!!!","")</f>
        <v/>
      </c>
      <c r="F4269" s="23" t="str">
        <f>IF(OR(E4269="",E4269="!!!"),"",IF(NOT(ISNA(VLOOKUP(E4269,E$1:E4268,1,FALSE()))),"OLD",IF(AND(E4269&lt;&gt;"",E4269&lt;&gt;"!!!"),"NEW","")))</f>
        <v> </v>
      </c>
      <c r="G4269" s="24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5" t="str">
        <f>IF(J4269&lt;&gt;1,"",IF(I4269="SBJ","CB","?"))</f>
        <v> </v>
      </c>
      <c r="I4269" s="26" t="str">
        <f>IF(OR(E4269="",E4269="!!!",F4269="NEW"),"",INDEX(B4268:B$2,-1+SUMPRODUCT(MAX(ROW(E4268:E$2)*(E4269=E4268:E$2)))))</f>
        <v> </v>
      </c>
      <c r="J4269" s="26" t="str">
        <f>IF(OR(E4269="",E4269="!!!",F4269="NEW"),"",COUNTBLANK(OFFSET(A$1,,,SUMPRODUCT(MAX(ROW(E$2:E4269)*(E4269=E$2:E4269)))))-COUNTBLANK(OFFSET(A$1,,,SUMPRODUCT(MAX(ROW(E$1:E4268)*(E2=E$1:E4268))))))</f>
        <v> </v>
      </c>
      <c r="K4269" s="26" t="str">
        <f>IF(OR(E4269="",E4269="!!!",F4269="NEW"),"",INDEX(J$1:J4268,SUMPRODUCT(MAX(ROW(E$1:E4268)*(E4269=E$1:E4268)))))</f>
        <v> </v>
      </c>
      <c r="L4269" s="27"/>
    </row>
    <row r="4270" spans="1:12">
      <c r="A4270" s="20" t="s">
        <v>1000</v>
      </c>
      <c r="E4270" s="22">
        <f>IF(D4270="?OLD","!!!","")</f>
        <v/>
      </c>
      <c r="F4270" s="23" t="str">
        <f>IF(OR(E4270="",E4270="!!!"),"",IF(NOT(ISNA(VLOOKUP(E4270,E$1:E4269,1,FALSE()))),"OLD",IF(AND(E4270&lt;&gt;"",E4270&lt;&gt;"!!!"),"NEW","")))</f>
        <v> </v>
      </c>
      <c r="G4270" s="24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5" t="str">
        <f>IF(J4270&lt;&gt;1,"",IF(I4270="SBJ","CB","?"))</f>
        <v> </v>
      </c>
      <c r="I4270" s="26" t="str">
        <f>IF(OR(E4270="",E4270="!!!",F4270="NEW"),"",INDEX(B4269:B$2,-1+SUMPRODUCT(MAX(ROW(E4269:E$2)*(E4270=E4269:E$2)))))</f>
        <v> </v>
      </c>
      <c r="J4270" s="26" t="str">
        <f>IF(OR(E4270="",E4270="!!!",F4270="NEW"),"",COUNTBLANK(OFFSET(A$1,,,SUMPRODUCT(MAX(ROW(E$2:E4270)*(E4270=E$2:E4270)))))-COUNTBLANK(OFFSET(A$1,,,SUMPRODUCT(MAX(ROW(E$1:E4269)*(E2=E$1:E4269))))))</f>
        <v> </v>
      </c>
      <c r="K4270" s="26" t="str">
        <f>IF(OR(E4270="",E4270="!!!",F4270="NEW"),"",INDEX(J$1:J4269,SUMPRODUCT(MAX(ROW(E$1:E4269)*(E4270=E$1:E4269)))))</f>
        <v> </v>
      </c>
      <c r="L4270" s="27"/>
    </row>
    <row r="4271" spans="1:12">
      <c r="A4271" s="20" t="s">
        <v>1075</v>
      </c>
      <c r="E4271" s="22">
        <f>IF(D4271="?OLD","!!!","")</f>
        <v/>
      </c>
      <c r="F4271" s="23" t="str">
        <f>IF(OR(E4271="",E4271="!!!"),"",IF(NOT(ISNA(VLOOKUP(E4271,E$1:E4270,1,FALSE()))),"OLD",IF(AND(E4271&lt;&gt;"",E4271&lt;&gt;"!!!"),"NEW","")))</f>
        <v> </v>
      </c>
      <c r="G4271" s="24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5" t="str">
        <f>IF(J4271&lt;&gt;1,"",IF(I4271="SBJ","CB","?"))</f>
        <v> </v>
      </c>
      <c r="I4271" s="26" t="str">
        <f>IF(OR(E4271="",E4271="!!!",F4271="NEW"),"",INDEX(B4270:B$2,-1+SUMPRODUCT(MAX(ROW(E4270:E$2)*(E4271=E4270:E$2)))))</f>
        <v> </v>
      </c>
      <c r="J4271" s="26" t="str">
        <f>IF(OR(E4271="",E4271="!!!",F4271="NEW"),"",COUNTBLANK(OFFSET(A$1,,,SUMPRODUCT(MAX(ROW(E$2:E4271)*(E4271=E$2:E4271)))))-COUNTBLANK(OFFSET(A$1,,,SUMPRODUCT(MAX(ROW(E$1:E4270)*(E2=E$1:E4270))))))</f>
        <v> </v>
      </c>
      <c r="K4271" s="26" t="str">
        <f>IF(OR(E4271="",E4271="!!!",F4271="NEW"),"",INDEX(J$1:J4270,SUMPRODUCT(MAX(ROW(E$1:E4270)*(E4271=E$1:E4270)))))</f>
        <v> </v>
      </c>
      <c r="L4271" s="27"/>
    </row>
    <row r="4272" spans="1:12">
      <c r="A4272" s="20" t="s">
        <v>2127</v>
      </c>
      <c r="B4272" s="21" t="s">
        <v>1007</v>
      </c>
      <c r="C4272" s="21" t="s">
        <v>983</v>
      </c>
      <c r="E4272" s="22">
        <f>IF(D4272="?OLD","!!!","")</f>
        <v/>
      </c>
      <c r="F4272" s="23" t="str">
        <f>IF(OR(E4272="",E4272="!!!"),"",IF(NOT(ISNA(VLOOKUP(E4272,E$1:E4271,1,FALSE()))),"OLD",IF(AND(E4272&lt;&gt;"",E4272&lt;&gt;"!!!"),"NEW","")))</f>
        <v> </v>
      </c>
      <c r="G4272" s="24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5" t="str">
        <f>IF(J4272&lt;&gt;1,"",IF(I4272="SBJ","CB","?"))</f>
        <v> </v>
      </c>
      <c r="I4272" s="26" t="str">
        <f>IF(OR(E4272="",E4272="!!!",F4272="NEW"),"",INDEX(B4271:B$2,-1+SUMPRODUCT(MAX(ROW(E4271:E$2)*(E4272=E4271:E$2)))))</f>
        <v> </v>
      </c>
      <c r="J4272" s="26" t="str">
        <f>IF(OR(E4272="",E4272="!!!",F4272="NEW"),"",COUNTBLANK(OFFSET(A$1,,,SUMPRODUCT(MAX(ROW(E$2:E4272)*(E4272=E$2:E4272)))))-COUNTBLANK(OFFSET(A$1,,,SUMPRODUCT(MAX(ROW(E$1:E4271)*(E2=E$1:E4271))))))</f>
        <v> </v>
      </c>
      <c r="K4272" s="26" t="str">
        <f>IF(OR(E4272="",E4272="!!!",F4272="NEW"),"",INDEX(J$1:J4271,SUMPRODUCT(MAX(ROW(E$1:E4271)*(E4272=E$1:E4271)))))</f>
        <v> </v>
      </c>
      <c r="L4272" s="27"/>
    </row>
    <row r="4273" spans="1:12">
      <c r="A4273" s="20" t="s">
        <v>977</v>
      </c>
      <c r="E4273" s="22">
        <f>IF(D4273="?OLD","!!!","")</f>
        <v/>
      </c>
      <c r="F4273" s="23" t="str">
        <f>IF(OR(E4273="",E4273="!!!"),"",IF(NOT(ISNA(VLOOKUP(E4273,E$1:E4272,1,FALSE()))),"OLD",IF(AND(E4273&lt;&gt;"",E4273&lt;&gt;"!!!"),"NEW","")))</f>
        <v> </v>
      </c>
      <c r="G4273" s="24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5" t="str">
        <f>IF(J4273&lt;&gt;1,"",IF(I4273="SBJ","CB","?"))</f>
        <v> </v>
      </c>
      <c r="I4273" s="26" t="str">
        <f>IF(OR(E4273="",E4273="!!!",F4273="NEW"),"",INDEX(B4272:B$2,-1+SUMPRODUCT(MAX(ROW(E4272:E$2)*(E4273=E4272:E$2)))))</f>
        <v> </v>
      </c>
      <c r="J4273" s="26" t="str">
        <f>IF(OR(E4273="",E4273="!!!",F4273="NEW"),"",COUNTBLANK(OFFSET(A$1,,,SUMPRODUCT(MAX(ROW(E$2:E4273)*(E4273=E$2:E4273)))))-COUNTBLANK(OFFSET(A$1,,,SUMPRODUCT(MAX(ROW(E$1:E4272)*(E2=E$1:E4272))))))</f>
        <v> </v>
      </c>
      <c r="K4273" s="26" t="str">
        <f>IF(OR(E4273="",E4273="!!!",F4273="NEW"),"",INDEX(J$1:J4272,SUMPRODUCT(MAX(ROW(E$1:E4272)*(E4273=E$1:E4272)))))</f>
        <v> </v>
      </c>
      <c r="L4273" s="27"/>
    </row>
    <row r="4274" spans="1:12">
      <c r="A4274" s="20" t="s">
        <v>2084</v>
      </c>
      <c r="E4274" s="22">
        <f>IF(D4274="?OLD","!!!","")</f>
        <v/>
      </c>
      <c r="F4274" s="23" t="str">
        <f>IF(OR(E4274="",E4274="!!!"),"",IF(NOT(ISNA(VLOOKUP(E4274,E$1:E4273,1,FALSE()))),"OLD",IF(AND(E4274&lt;&gt;"",E4274&lt;&gt;"!!!"),"NEW","")))</f>
        <v> </v>
      </c>
      <c r="G4274" s="24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5" t="str">
        <f>IF(J4274&lt;&gt;1,"",IF(I4274="SBJ","CB","?"))</f>
        <v> </v>
      </c>
      <c r="I4274" s="26" t="str">
        <f>IF(OR(E4274="",E4274="!!!",F4274="NEW"),"",INDEX(B4273:B$2,-1+SUMPRODUCT(MAX(ROW(E4273:E$2)*(E4274=E4273:E$2)))))</f>
        <v> </v>
      </c>
      <c r="J4274" s="26" t="str">
        <f>IF(OR(E4274="",E4274="!!!",F4274="NEW"),"",COUNTBLANK(OFFSET(A$1,,,SUMPRODUCT(MAX(ROW(E$2:E4274)*(E4274=E$2:E4274)))))-COUNTBLANK(OFFSET(A$1,,,SUMPRODUCT(MAX(ROW(E$1:E4273)*(E2=E$1:E4273))))))</f>
        <v> </v>
      </c>
      <c r="K4274" s="26" t="str">
        <f>IF(OR(E4274="",E4274="!!!",F4274="NEW"),"",INDEX(J$1:J4273,SUMPRODUCT(MAX(ROW(E$1:E4273)*(E4274=E$1:E4273)))))</f>
        <v> </v>
      </c>
      <c r="L4274" s="27"/>
    </row>
    <row r="4275" spans="1:12">
      <c r="A4275" s="20" t="s">
        <v>1006</v>
      </c>
      <c r="E4275" s="22">
        <f>IF(D4275="?OLD","!!!","")</f>
        <v/>
      </c>
      <c r="F4275" s="23" t="str">
        <f>IF(OR(E4275="",E4275="!!!"),"",IF(NOT(ISNA(VLOOKUP(E4275,E$1:E4274,1,FALSE()))),"OLD",IF(AND(E4275&lt;&gt;"",E4275&lt;&gt;"!!!"),"NEW","")))</f>
        <v> </v>
      </c>
      <c r="G4275" s="24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5" t="str">
        <f>IF(J4275&lt;&gt;1,"",IF(I4275="SBJ","CB","?"))</f>
        <v> </v>
      </c>
      <c r="I4275" s="26" t="str">
        <f>IF(OR(E4275="",E4275="!!!",F4275="NEW"),"",INDEX(B4274:B$2,-1+SUMPRODUCT(MAX(ROW(E4274:E$2)*(E4275=E4274:E$2)))))</f>
        <v> </v>
      </c>
      <c r="J4275" s="26" t="str">
        <f>IF(OR(E4275="",E4275="!!!",F4275="NEW"),"",COUNTBLANK(OFFSET(A$1,,,SUMPRODUCT(MAX(ROW(E$2:E4275)*(E4275=E$2:E4275)))))-COUNTBLANK(OFFSET(A$1,,,SUMPRODUCT(MAX(ROW(E$1:E4274)*(E2=E$1:E4274))))))</f>
        <v> </v>
      </c>
      <c r="K4275" s="26" t="str">
        <f>IF(OR(E4275="",E4275="!!!",F4275="NEW"),"",INDEX(J$1:J4274,SUMPRODUCT(MAX(ROW(E$1:E4274)*(E4275=E$1:E4274)))))</f>
        <v> </v>
      </c>
      <c r="L4275" s="27"/>
    </row>
    <row r="4276" spans="1:12">
      <c r="A4276" s="20" t="s">
        <v>1472</v>
      </c>
      <c r="B4276" s="21" t="s">
        <v>1007</v>
      </c>
      <c r="C4276" s="21" t="s">
        <v>1029</v>
      </c>
      <c r="D4276" s="21" t="s">
        <v>950</v>
      </c>
      <c r="E4276" s="22">
        <f>IF(D4276="?OLD","!!!","")</f>
        <v/>
      </c>
      <c r="F4276" s="23" t="str">
        <f>IF(OR(E4276="",E4276="!!!"),"",IF(NOT(ISNA(VLOOKUP(E4276,E$1:E4275,1,FALSE()))),"OLD",IF(AND(E4276&lt;&gt;"",E4276&lt;&gt;"!!!"),"NEW","")))</f>
        <v> </v>
      </c>
      <c r="G4276" s="24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5" t="str">
        <f>IF(J4276&lt;&gt;1,"",IF(I4276="SBJ","CB","?"))</f>
        <v> </v>
      </c>
      <c r="I4276" s="26" t="str">
        <f>IF(OR(E4276="",E4276="!!!",F4276="NEW"),"",INDEX(B4275:B$2,-1+SUMPRODUCT(MAX(ROW(E4275:E$2)*(E4276=E4275:E$2)))))</f>
        <v> </v>
      </c>
      <c r="J4276" s="26" t="str">
        <f>IF(OR(E4276="",E4276="!!!",F4276="NEW"),"",COUNTBLANK(OFFSET(A$1,,,SUMPRODUCT(MAX(ROW(E$2:E4276)*(E4276=E$2:E4276)))))-COUNTBLANK(OFFSET(A$1,,,SUMPRODUCT(MAX(ROW(E$1:E4275)*(E2=E$1:E4275))))))</f>
        <v> </v>
      </c>
      <c r="K4276" s="26" t="str">
        <f>IF(OR(E4276="",E4276="!!!",F4276="NEW"),"",INDEX(J$1:J4275,SUMPRODUCT(MAX(ROW(E$1:E4275)*(E4276=E$1:E4275)))))</f>
        <v> </v>
      </c>
      <c r="L4276" s="27"/>
    </row>
    <row r="4277" spans="1:12">
      <c r="A4277" s="20" t="s">
        <v>2130</v>
      </c>
      <c r="B4277" s="21" t="s">
        <v>1040</v>
      </c>
      <c r="C4277" s="21" t="s">
        <v>1032</v>
      </c>
      <c r="D4277" s="21" t="s">
        <v>950</v>
      </c>
      <c r="E4277" s="22">
        <f>IF(D4277="?OLD","!!!","")</f>
        <v/>
      </c>
      <c r="F4277" s="23" t="str">
        <f>IF(OR(E4277="",E4277="!!!"),"",IF(NOT(ISNA(VLOOKUP(E4277,E$1:E4276,1,FALSE()))),"OLD",IF(AND(E4277&lt;&gt;"",E4277&lt;&gt;"!!!"),"NEW","")))</f>
        <v> </v>
      </c>
      <c r="G4277" s="24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5" t="str">
        <f>IF(J4277&lt;&gt;1,"",IF(I4277="SBJ","CB","?"))</f>
        <v> </v>
      </c>
      <c r="I4277" s="26" t="str">
        <f>IF(OR(E4277="",E4277="!!!",F4277="NEW"),"",INDEX(B4276:B$2,-1+SUMPRODUCT(MAX(ROW(E4276:E$2)*(E4277=E4276:E$2)))))</f>
        <v> </v>
      </c>
      <c r="J4277" s="26" t="str">
        <f>IF(OR(E4277="",E4277="!!!",F4277="NEW"),"",COUNTBLANK(OFFSET(A$1,,,SUMPRODUCT(MAX(ROW(E$2:E4277)*(E4277=E$2:E4277)))))-COUNTBLANK(OFFSET(A$1,,,SUMPRODUCT(MAX(ROW(E$1:E4276)*(E2=E$1:E4276))))))</f>
        <v> </v>
      </c>
      <c r="K4277" s="26" t="str">
        <f>IF(OR(E4277="",E4277="!!!",F4277="NEW"),"",INDEX(J$1:J4276,SUMPRODUCT(MAX(ROW(E$1:E4276)*(E4277=E$1:E4276)))))</f>
        <v> </v>
      </c>
      <c r="L4277" s="27"/>
    </row>
    <row r="4278" spans="1:12">
      <c r="A4278" s="20" t="s">
        <v>1000</v>
      </c>
      <c r="E4278" s="22">
        <f>IF(D4278="?OLD","!!!","")</f>
        <v/>
      </c>
      <c r="F4278" s="23" t="str">
        <f>IF(OR(E4278="",E4278="!!!"),"",IF(NOT(ISNA(VLOOKUP(E4278,E$1:E4277,1,FALSE()))),"OLD",IF(AND(E4278&lt;&gt;"",E4278&lt;&gt;"!!!"),"NEW","")))</f>
        <v> </v>
      </c>
      <c r="G4278" s="24" t="str">
        <f>IF(OR(E4278="",E4278="!!!"),"",IF(OR(J4278=0,AND(J4278=1,K4278=1),AND(J4278=1,I4278="SBJ"),AND(J4278=1,I4278=0)),"?IN_FOCUS",IF(J4278&lt;=2,"?ACTIVATED",IF(J4278&lt;&gt;"","?FAMILIAR",IF(F4278="NEW",IF(ISNA(VLOOKUP(E4278,#REF!,1,FALSE())),"?TYPE_IDENTIFIABLE","?REFERENTIAL"),"_")))))</f>
        <v> </v>
      </c>
      <c r="H4278" s="25" t="str">
        <f>IF(J4278&lt;&gt;1,"",IF(I4278="SBJ","CB","?"))</f>
        <v> </v>
      </c>
      <c r="I4278" s="26" t="str">
        <f>IF(OR(E4278="",E4278="!!!",F4278="NEW"),"",INDEX(B4277:B$2,-1+SUMPRODUCT(MAX(ROW(E4277:E$2)*(E4278=E4277:E$2)))))</f>
        <v> </v>
      </c>
      <c r="J4278" s="26" t="str">
        <f>IF(OR(E4278="",E4278="!!!",F4278="NEW"),"",COUNTBLANK(OFFSET(A$1,,,SUMPRODUCT(MAX(ROW(E$2:E4278)*(E4278=E$2:E4278)))))-COUNTBLANK(OFFSET(A$1,,,SUMPRODUCT(MAX(ROW(E$1:E4277)*(E2=E$1:E4277))))))</f>
        <v> </v>
      </c>
      <c r="K4278" s="26" t="str">
        <f>IF(OR(E4278="",E4278="!!!",F4278="NEW"),"",INDEX(J$1:J4277,SUMPRODUCT(MAX(ROW(E$1:E4277)*(E4278=E$1:E4277)))))</f>
        <v> </v>
      </c>
      <c r="L4278" s="27"/>
    </row>
    <row r="4279" spans="1:12">
      <c r="A4279" s="20" t="s">
        <v>1180</v>
      </c>
      <c r="E4279" s="22">
        <f>IF(D4279="?OLD","!!!","")</f>
        <v/>
      </c>
      <c r="F4279" s="23" t="str">
        <f>IF(OR(E4279="",E4279="!!!"),"",IF(NOT(ISNA(VLOOKUP(E4279,E$1:E4278,1,FALSE()))),"OLD",IF(AND(E4279&lt;&gt;"",E4279&lt;&gt;"!!!"),"NEW","")))</f>
        <v> </v>
      </c>
      <c r="G4279" s="24" t="str">
        <f>IF(OR(E4279="",E4279="!!!"),"",IF(OR(J4279=0,AND(J4279=1,K4279=1),AND(J4279=1,I4279="SBJ"),AND(J4279=1,I4279=0)),"?IN_FOCUS",IF(J4279&lt;=2,"?ACTIVATED",IF(J4279&lt;&gt;"","?FAMILIAR",IF(F4279="NEW",IF(ISNA(VLOOKUP(E4279,#REF!,1,FALSE())),"?TYPE_IDENTIFIABLE","?REFERENTIAL"),"_")))))</f>
        <v> </v>
      </c>
      <c r="H4279" s="25" t="str">
        <f>IF(J4279&lt;&gt;1,"",IF(I4279="SBJ","CB","?"))</f>
        <v> </v>
      </c>
      <c r="I4279" s="26" t="str">
        <f>IF(OR(E4279="",E4279="!!!",F4279="NEW"),"",INDEX(B4278:B$2,-1+SUMPRODUCT(MAX(ROW(E4278:E$2)*(E4279=E4278:E$2)))))</f>
        <v> </v>
      </c>
      <c r="J4279" s="26" t="str">
        <f>IF(OR(E4279="",E4279="!!!",F4279="NEW"),"",COUNTBLANK(OFFSET(A$1,,,SUMPRODUCT(MAX(ROW(E$2:E4279)*(E4279=E$2:E4279)))))-COUNTBLANK(OFFSET(A$1,,,SUMPRODUCT(MAX(ROW(E$1:E4278)*(E2=E$1:E4278))))))</f>
        <v> </v>
      </c>
      <c r="K4279" s="26" t="str">
        <f>IF(OR(E4279="",E4279="!!!",F4279="NEW"),"",INDEX(J$1:J4278,SUMPRODUCT(MAX(ROW(E$1:E4278)*(E4279=E$1:E4278)))))</f>
        <v> </v>
      </c>
      <c r="L4279" s="27"/>
    </row>
    <row r="4280" spans="1:12">
      <c r="A4280" s="20" t="s">
        <v>1006</v>
      </c>
      <c r="E4280" s="22">
        <f>IF(D4280="?OLD","!!!","")</f>
        <v/>
      </c>
      <c r="F4280" s="23" t="str">
        <f>IF(OR(E4280="",E4280="!!!"),"",IF(NOT(ISNA(VLOOKUP(E4280,E$1:E4279,1,FALSE()))),"OLD",IF(AND(E4280&lt;&gt;"",E4280&lt;&gt;"!!!"),"NEW","")))</f>
        <v> </v>
      </c>
      <c r="G4280" s="24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5" t="str">
        <f>IF(J4280&lt;&gt;1,"",IF(I4280="SBJ","CB","?"))</f>
        <v> </v>
      </c>
      <c r="I4280" s="26" t="str">
        <f>IF(OR(E4280="",E4280="!!!",F4280="NEW"),"",INDEX(B4279:B$2,-1+SUMPRODUCT(MAX(ROW(E4279:E$2)*(E4280=E4279:E$2)))))</f>
        <v> </v>
      </c>
      <c r="J4280" s="26" t="str">
        <f>IF(OR(E4280="",E4280="!!!",F4280="NEW"),"",COUNTBLANK(OFFSET(A$1,,,SUMPRODUCT(MAX(ROW(E$2:E4280)*(E4280=E$2:E4280)))))-COUNTBLANK(OFFSET(A$1,,,SUMPRODUCT(MAX(ROW(E$1:E4279)*(E2=E$1:E4279))))))</f>
        <v> </v>
      </c>
      <c r="K4280" s="26" t="str">
        <f>IF(OR(E4280="",E4280="!!!",F4280="NEW"),"",INDEX(J$1:J4279,SUMPRODUCT(MAX(ROW(E$1:E4279)*(E4280=E$1:E4279)))))</f>
        <v> </v>
      </c>
      <c r="L4280" s="27"/>
    </row>
    <row r="4281" spans="1:12">
      <c r="A4281" s="20" t="s">
        <v>2131</v>
      </c>
      <c r="B4281" s="21" t="s">
        <v>1080</v>
      </c>
      <c r="C4281" s="21" t="s">
        <v>976</v>
      </c>
      <c r="D4281" s="21" t="s">
        <v>950</v>
      </c>
      <c r="E4281" s="22">
        <f>IF(D4281="?OLD","!!!","")</f>
        <v/>
      </c>
      <c r="F4281" s="23" t="str">
        <f>IF(OR(E4281="",E4281="!!!"),"",IF(NOT(ISNA(VLOOKUP(E4281,E$1:E4280,1,FALSE()))),"OLD",IF(AND(E4281&lt;&gt;"",E4281&lt;&gt;"!!!"),"NEW","")))</f>
        <v> </v>
      </c>
      <c r="G4281" s="24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5" t="str">
        <f>IF(J4281&lt;&gt;1,"",IF(I4281="SBJ","CB","?"))</f>
        <v> </v>
      </c>
      <c r="I4281" s="26" t="str">
        <f>IF(OR(E4281="",E4281="!!!",F4281="NEW"),"",INDEX(B4280:B$2,-1+SUMPRODUCT(MAX(ROW(E4280:E$2)*(E4281=E4280:E$2)))))</f>
        <v> </v>
      </c>
      <c r="J4281" s="26" t="str">
        <f>IF(OR(E4281="",E4281="!!!",F4281="NEW"),"",COUNTBLANK(OFFSET(A$1,,,SUMPRODUCT(MAX(ROW(E$2:E4281)*(E4281=E$2:E4281)))))-COUNTBLANK(OFFSET(A$1,,,SUMPRODUCT(MAX(ROW(E$1:E4280)*(E2=E$1:E4280))))))</f>
        <v> </v>
      </c>
      <c r="K4281" s="26" t="str">
        <f>IF(OR(E4281="",E4281="!!!",F4281="NEW"),"",INDEX(J$1:J4280,SUMPRODUCT(MAX(ROW(E$1:E4280)*(E4281=E$1:E4280)))))</f>
        <v> </v>
      </c>
      <c r="L4281" s="27"/>
    </row>
    <row r="4282" spans="1:12">
      <c r="A4282" s="20" t="s">
        <v>1022</v>
      </c>
      <c r="E4282" s="22">
        <f>IF(D4282="?OLD","!!!","")</f>
        <v/>
      </c>
      <c r="F4282" s="23" t="str">
        <f>IF(OR(E4282="",E4282="!!!"),"",IF(NOT(ISNA(VLOOKUP(E4282,E$1:E4281,1,FALSE()))),"OLD",IF(AND(E4282&lt;&gt;"",E4282&lt;&gt;"!!!"),"NEW","")))</f>
        <v> </v>
      </c>
      <c r="G4282" s="24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5" t="str">
        <f>IF(J4282&lt;&gt;1,"",IF(I4282="SBJ","CB","?"))</f>
        <v> </v>
      </c>
      <c r="I4282" s="26" t="str">
        <f>IF(OR(E4282="",E4282="!!!",F4282="NEW"),"",INDEX(B4281:B$2,-1+SUMPRODUCT(MAX(ROW(E4281:E$2)*(E4282=E4281:E$2)))))</f>
        <v> </v>
      </c>
      <c r="J4282" s="26" t="str">
        <f>IF(OR(E4282="",E4282="!!!",F4282="NEW"),"",COUNTBLANK(OFFSET(A$1,,,SUMPRODUCT(MAX(ROW(E$2:E4282)*(E4282=E$2:E4282)))))-COUNTBLANK(OFFSET(A$1,,,SUMPRODUCT(MAX(ROW(E$1:E4281)*(E2=E$1:E4281))))))</f>
        <v> </v>
      </c>
      <c r="K4282" s="26" t="str">
        <f>IF(OR(E4282="",E4282="!!!",F4282="NEW"),"",INDEX(J$1:J4281,SUMPRODUCT(MAX(ROW(E$1:E4281)*(E4282=E$1:E4281)))))</f>
        <v> </v>
      </c>
      <c r="L4282" s="27"/>
    </row>
    <row r="4283" spans="1:12">
      <c r="A4283" s="20" t="s">
        <v>1750</v>
      </c>
      <c r="E4283" s="22">
        <f>IF(D4283="?OLD","!!!","")</f>
        <v/>
      </c>
      <c r="F4283" s="23" t="str">
        <f>IF(OR(E4283="",E4283="!!!"),"",IF(NOT(ISNA(VLOOKUP(E4283,E$1:E4282,1,FALSE()))),"OLD",IF(AND(E4283&lt;&gt;"",E4283&lt;&gt;"!!!"),"NEW","")))</f>
        <v> </v>
      </c>
      <c r="G4283" s="24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5" t="str">
        <f>IF(J4283&lt;&gt;1,"",IF(I4283="SBJ","CB","?"))</f>
        <v> </v>
      </c>
      <c r="I4283" s="26" t="str">
        <f>IF(OR(E4283="",E4283="!!!",F4283="NEW"),"",INDEX(B4282:B$2,-1+SUMPRODUCT(MAX(ROW(E4282:E$2)*(E4283=E4282:E$2)))))</f>
        <v> </v>
      </c>
      <c r="J4283" s="26" t="str">
        <f>IF(OR(E4283="",E4283="!!!",F4283="NEW"),"",COUNTBLANK(OFFSET(A$1,,,SUMPRODUCT(MAX(ROW(E$2:E4283)*(E4283=E$2:E4283)))))-COUNTBLANK(OFFSET(A$1,,,SUMPRODUCT(MAX(ROW(E$1:E4282)*(E2=E$1:E4282))))))</f>
        <v> </v>
      </c>
      <c r="K4283" s="26" t="str">
        <f>IF(OR(E4283="",E4283="!!!",F4283="NEW"),"",INDEX(J$1:J4282,SUMPRODUCT(MAX(ROW(E$1:E4282)*(E4283=E$1:E4282)))))</f>
        <v> </v>
      </c>
      <c r="L4283" s="27"/>
    </row>
    <row r="4284" spans="1:12">
      <c r="A4284" s="20" t="s">
        <v>1940</v>
      </c>
      <c r="B4284" s="21" t="s">
        <v>1010</v>
      </c>
      <c r="C4284" s="21" t="s">
        <v>1051</v>
      </c>
      <c r="E4284" s="22">
        <f>IF(D4284="?OLD","!!!","")</f>
        <v/>
      </c>
      <c r="F4284" s="23" t="str">
        <f>IF(OR(E4284="",E4284="!!!"),"",IF(NOT(ISNA(VLOOKUP(E4284,E$1:E4283,1,FALSE()))),"OLD",IF(AND(E4284&lt;&gt;"",E4284&lt;&gt;"!!!"),"NEW","")))</f>
        <v> </v>
      </c>
      <c r="G4284" s="24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5" t="str">
        <f>IF(J4284&lt;&gt;1,"",IF(I4284="SBJ","CB","?"))</f>
        <v> </v>
      </c>
      <c r="I4284" s="26" t="str">
        <f>IF(OR(E4284="",E4284="!!!",F4284="NEW"),"",INDEX(B4283:B$2,-1+SUMPRODUCT(MAX(ROW(E4283:E$2)*(E4284=E4283:E$2)))))</f>
        <v> </v>
      </c>
      <c r="J4284" s="26" t="str">
        <f>IF(OR(E4284="",E4284="!!!",F4284="NEW"),"",COUNTBLANK(OFFSET(A$1,,,SUMPRODUCT(MAX(ROW(E$2:E4284)*(E4284=E$2:E4284)))))-COUNTBLANK(OFFSET(A$1,,,SUMPRODUCT(MAX(ROW(E$1:E4283)*(E2=E$1:E4283))))))</f>
        <v> </v>
      </c>
      <c r="K4284" s="26" t="str">
        <f>IF(OR(E4284="",E4284="!!!",F4284="NEW"),"",INDEX(J$1:J4283,SUMPRODUCT(MAX(ROW(E$1:E4283)*(E4284=E$1:E4283)))))</f>
        <v> </v>
      </c>
      <c r="L4284" s="27"/>
    </row>
    <row r="4285" spans="1:12">
      <c r="A4285" s="20" t="s">
        <v>1000</v>
      </c>
      <c r="E4285" s="22">
        <f>IF(D4285="?OLD","!!!","")</f>
        <v/>
      </c>
      <c r="F4285" s="23" t="str">
        <f>IF(OR(E4285="",E4285="!!!"),"",IF(NOT(ISNA(VLOOKUP(E4285,E$1:E4284,1,FALSE()))),"OLD",IF(AND(E4285&lt;&gt;"",E4285&lt;&gt;"!!!"),"NEW","")))</f>
        <v> </v>
      </c>
      <c r="G4285" s="24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5" t="str">
        <f>IF(J4285&lt;&gt;1,"",IF(I4285="SBJ","CB","?"))</f>
        <v> </v>
      </c>
      <c r="I4285" s="26" t="str">
        <f>IF(OR(E4285="",E4285="!!!",F4285="NEW"),"",INDEX(B4284:B$2,-1+SUMPRODUCT(MAX(ROW(E4284:E$2)*(E4285=E4284:E$2)))))</f>
        <v> </v>
      </c>
      <c r="J4285" s="26" t="str">
        <f>IF(OR(E4285="",E4285="!!!",F4285="NEW"),"",COUNTBLANK(OFFSET(A$1,,,SUMPRODUCT(MAX(ROW(E$2:E4285)*(E4285=E$2:E4285)))))-COUNTBLANK(OFFSET(A$1,,,SUMPRODUCT(MAX(ROW(E$1:E4284)*(E2=E$1:E4284))))))</f>
        <v> </v>
      </c>
      <c r="K4285" s="26" t="str">
        <f>IF(OR(E4285="",E4285="!!!",F4285="NEW"),"",INDEX(J$1:J4284,SUMPRODUCT(MAX(ROW(E$1:E4284)*(E4285=E$1:E4284)))))</f>
        <v> </v>
      </c>
      <c r="L4285" s="27"/>
    </row>
    <row r="4286" spans="1:12">
      <c r="A4286" s="20" t="s">
        <v>2019</v>
      </c>
      <c r="E4286" s="22">
        <f>IF(D4286="?OLD","!!!","")</f>
        <v/>
      </c>
      <c r="F4286" s="23" t="str">
        <f>IF(OR(E4286="",E4286="!!!"),"",IF(NOT(ISNA(VLOOKUP(E4286,E$1:E4285,1,FALSE()))),"OLD",IF(AND(E4286&lt;&gt;"",E4286&lt;&gt;"!!!"),"NEW","")))</f>
        <v> </v>
      </c>
      <c r="G4286" s="24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5" t="str">
        <f>IF(J4286&lt;&gt;1,"",IF(I4286="SBJ","CB","?"))</f>
        <v> </v>
      </c>
      <c r="I4286" s="26" t="str">
        <f>IF(OR(E4286="",E4286="!!!",F4286="NEW"),"",INDEX(B4285:B$2,-1+SUMPRODUCT(MAX(ROW(E4285:E$2)*(E4286=E4285:E$2)))))</f>
        <v> </v>
      </c>
      <c r="J4286" s="26" t="str">
        <f>IF(OR(E4286="",E4286="!!!",F4286="NEW"),"",COUNTBLANK(OFFSET(A$1,,,SUMPRODUCT(MAX(ROW(E$2:E4286)*(E4286=E$2:E4286)))))-COUNTBLANK(OFFSET(A$1,,,SUMPRODUCT(MAX(ROW(E$1:E4285)*(E2=E$1:E4285))))))</f>
        <v> </v>
      </c>
      <c r="K4286" s="26" t="str">
        <f>IF(OR(E4286="",E4286="!!!",F4286="NEW"),"",INDEX(J$1:J4285,SUMPRODUCT(MAX(ROW(E$1:E4285)*(E4286=E$1:E4285)))))</f>
        <v> </v>
      </c>
      <c r="L4286" s="27"/>
    </row>
    <row r="4287" spans="1:12">
      <c r="A4287" s="20" t="s">
        <v>1006</v>
      </c>
      <c r="B4287" s="21" t="s">
        <v>1082</v>
      </c>
      <c r="C4287" s="21" t="s">
        <v>960</v>
      </c>
      <c r="D4287" s="21" t="s">
        <v>950</v>
      </c>
      <c r="E4287" s="22">
        <f>IF(D4287="?OLD","!!!","")</f>
        <v/>
      </c>
      <c r="F4287" s="23" t="str">
        <f>IF(OR(E4287="",E4287="!!!"),"",IF(NOT(ISNA(VLOOKUP(E4287,E$1:E4286,1,FALSE()))),"OLD",IF(AND(E4287&lt;&gt;"",E4287&lt;&gt;"!!!"),"NEW","")))</f>
        <v> </v>
      </c>
      <c r="G4287" s="24" t="str">
        <f>IF(OR(E4287="",E4287="!!!"),"",IF(OR(J4287=0,AND(J4287=1,K4287=1),AND(J4287=1,I4287="SBJ"),AND(J4287=1,I4287=0)),"?IN_FOCUS",IF(J4287&lt;=2,"?ACTIVATED",IF(J4287&lt;&gt;"","?FAMILIAR",IF(F4287="NEW",IF(ISNA(VLOOKUP(E4287,#REF!,1,FALSE())),"?TYPE_IDENTIFIABLE","?REFERENTIAL"),"_")))))</f>
        <v> </v>
      </c>
      <c r="H4287" s="25" t="str">
        <f>IF(J4287&lt;&gt;1,"",IF(I4287="SBJ","CB","?"))</f>
        <v> </v>
      </c>
      <c r="I4287" s="26" t="str">
        <f>IF(OR(E4287="",E4287="!!!",F4287="NEW"),"",INDEX(B4286:B$2,-1+SUMPRODUCT(MAX(ROW(E4286:E$2)*(E4287=E4286:E$2)))))</f>
        <v> </v>
      </c>
      <c r="J4287" s="26" t="str">
        <f>IF(OR(E4287="",E4287="!!!",F4287="NEW"),"",COUNTBLANK(OFFSET(A$1,,,SUMPRODUCT(MAX(ROW(E$2:E4287)*(E4287=E$2:E4287)))))-COUNTBLANK(OFFSET(A$1,,,SUMPRODUCT(MAX(ROW(E$1:E4286)*(E2=E$1:E4286))))))</f>
        <v> </v>
      </c>
      <c r="K4287" s="26" t="str">
        <f>IF(OR(E4287="",E4287="!!!",F4287="NEW"),"",INDEX(J$1:J4286,SUMPRODUCT(MAX(ROW(E$1:E4286)*(E4287=E$1:E4286)))))</f>
        <v> </v>
      </c>
      <c r="L4287" s="27"/>
    </row>
    <row r="4288" spans="1:12">
      <c r="A4288" s="20" t="s">
        <v>2132</v>
      </c>
      <c r="E4288" s="22">
        <f>IF(D4288="?OLD","!!!","")</f>
        <v/>
      </c>
      <c r="F4288" s="23" t="str">
        <f>IF(OR(E4288="",E4288="!!!"),"",IF(NOT(ISNA(VLOOKUP(E4288,E$1:E4287,1,FALSE()))),"OLD",IF(AND(E4288&lt;&gt;"",E4288&lt;&gt;"!!!"),"NEW","")))</f>
        <v> </v>
      </c>
      <c r="G4288" s="24" t="str">
        <f>IF(OR(E4288="",E4288="!!!"),"",IF(OR(J4288=0,AND(J4288=1,K4288=1),AND(J4288=1,I4288="SBJ"),AND(J4288=1,I4288=0)),"?IN_FOCUS",IF(J4288&lt;=2,"?ACTIVATED",IF(J4288&lt;&gt;"","?FAMILIAR",IF(F4288="NEW",IF(ISNA(VLOOKUP(E4288,#REF!,1,FALSE())),"?TYPE_IDENTIFIABLE","?REFERENTIAL"),"_")))))</f>
        <v> </v>
      </c>
      <c r="H4288" s="25" t="str">
        <f>IF(J4288&lt;&gt;1,"",IF(I4288="SBJ","CB","?"))</f>
        <v> </v>
      </c>
      <c r="I4288" s="26" t="str">
        <f>IF(OR(E4288="",E4288="!!!",F4288="NEW"),"",INDEX(B4287:B$2,-1+SUMPRODUCT(MAX(ROW(E4287:E$2)*(E4288=E4287:E$2)))))</f>
        <v> </v>
      </c>
      <c r="J4288" s="26" t="str">
        <f>IF(OR(E4288="",E4288="!!!",F4288="NEW"),"",COUNTBLANK(OFFSET(A$1,,,SUMPRODUCT(MAX(ROW(E$2:E4288)*(E4288=E$2:E4288)))))-COUNTBLANK(OFFSET(A$1,,,SUMPRODUCT(MAX(ROW(E$1:E4287)*(E2=E$1:E4287))))))</f>
        <v> </v>
      </c>
      <c r="K4288" s="26" t="str">
        <f>IF(OR(E4288="",E4288="!!!",F4288="NEW"),"",INDEX(J$1:J4287,SUMPRODUCT(MAX(ROW(E$1:E4287)*(E4288=E$1:E4287)))))</f>
        <v> </v>
      </c>
      <c r="L4288" s="27"/>
    </row>
    <row r="4289" spans="1:12">
      <c r="A4289" s="20" t="s">
        <v>1022</v>
      </c>
      <c r="E4289" s="22">
        <f>IF(D4289="?OLD","!!!","")</f>
        <v/>
      </c>
      <c r="F4289" s="23" t="str">
        <f>IF(OR(E4289="",E4289="!!!"),"",IF(NOT(ISNA(VLOOKUP(E4289,E$1:E4288,1,FALSE()))),"OLD",IF(AND(E4289&lt;&gt;"",E4289&lt;&gt;"!!!"),"NEW","")))</f>
        <v> </v>
      </c>
      <c r="G4289" s="24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5" t="str">
        <f>IF(J4289&lt;&gt;1,"",IF(I4289="SBJ","CB","?"))</f>
        <v> </v>
      </c>
      <c r="I4289" s="26" t="str">
        <f>IF(OR(E4289="",E4289="!!!",F4289="NEW"),"",INDEX(B4288:B$2,-1+SUMPRODUCT(MAX(ROW(E4288:E$2)*(E4289=E4288:E$2)))))</f>
        <v> </v>
      </c>
      <c r="J4289" s="26" t="str">
        <f>IF(OR(E4289="",E4289="!!!",F4289="NEW"),"",COUNTBLANK(OFFSET(A$1,,,SUMPRODUCT(MAX(ROW(E$2:E4289)*(E4289=E$2:E4289)))))-COUNTBLANK(OFFSET(A$1,,,SUMPRODUCT(MAX(ROW(E$1:E4288)*(E2=E$1:E4288))))))</f>
        <v> </v>
      </c>
      <c r="K4289" s="26" t="str">
        <f>IF(OR(E4289="",E4289="!!!",F4289="NEW"),"",INDEX(J$1:J4288,SUMPRODUCT(MAX(ROW(E$1:E4288)*(E4289=E$1:E4288)))))</f>
        <v> </v>
      </c>
      <c r="L4289" s="27"/>
    </row>
    <row r="4290" spans="1:12">
      <c r="A4290" s="20" t="s">
        <v>2133</v>
      </c>
      <c r="B4290" s="21" t="s">
        <v>982</v>
      </c>
      <c r="C4290" s="21" t="s">
        <v>949</v>
      </c>
      <c r="D4290" s="21" t="s">
        <v>950</v>
      </c>
      <c r="E4290" s="22">
        <f>IF(D4290="?OLD","!!!","")</f>
        <v/>
      </c>
      <c r="F4290" s="23" t="str">
        <f>IF(OR(E4290="",E4290="!!!"),"",IF(NOT(ISNA(VLOOKUP(E4290,E$1:E4289,1,FALSE()))),"OLD",IF(AND(E4290&lt;&gt;"",E4290&lt;&gt;"!!!"),"NEW","")))</f>
        <v> </v>
      </c>
      <c r="G4290" s="24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5" t="str">
        <f>IF(J4290&lt;&gt;1,"",IF(I4290="SBJ","CB","?"))</f>
        <v> </v>
      </c>
      <c r="I4290" s="26" t="str">
        <f>IF(OR(E4290="",E4290="!!!",F4290="NEW"),"",INDEX(B4289:B$2,-1+SUMPRODUCT(MAX(ROW(E4289:E$2)*(E4290=E4289:E$2)))))</f>
        <v> </v>
      </c>
      <c r="J4290" s="26" t="str">
        <f>IF(OR(E4290="",E4290="!!!",F4290="NEW"),"",COUNTBLANK(OFFSET(A$1,,,SUMPRODUCT(MAX(ROW(E$2:E4290)*(E4290=E$2:E4290)))))-COUNTBLANK(OFFSET(A$1,,,SUMPRODUCT(MAX(ROW(E$1:E4289)*(E2=E$1:E4289))))))</f>
        <v> </v>
      </c>
      <c r="K4290" s="26" t="str">
        <f>IF(OR(E4290="",E4290="!!!",F4290="NEW"),"",INDEX(J$1:J4289,SUMPRODUCT(MAX(ROW(E$1:E4289)*(E4290=E$1:E4289)))))</f>
        <v> </v>
      </c>
      <c r="L4290" s="27"/>
    </row>
    <row r="4291" spans="1:12">
      <c r="A4291" s="20" t="s">
        <v>2134</v>
      </c>
      <c r="B4291" s="21" t="s">
        <v>1010</v>
      </c>
      <c r="C4291" s="21" t="s">
        <v>949</v>
      </c>
      <c r="D4291" s="21" t="s">
        <v>950</v>
      </c>
      <c r="E4291" s="22">
        <f>IF(D4291="?OLD","!!!","")</f>
        <v/>
      </c>
      <c r="F4291" s="23" t="str">
        <f>IF(OR(E4291="",E4291="!!!"),"",IF(NOT(ISNA(VLOOKUP(E4291,E$1:E4290,1,FALSE()))),"OLD",IF(AND(E4291&lt;&gt;"",E4291&lt;&gt;"!!!"),"NEW","")))</f>
        <v> </v>
      </c>
      <c r="G4291" s="24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5" t="str">
        <f>IF(J4291&lt;&gt;1,"",IF(I4291="SBJ","CB","?"))</f>
        <v> </v>
      </c>
      <c r="I4291" s="26" t="str">
        <f>IF(OR(E4291="",E4291="!!!",F4291="NEW"),"",INDEX(B4290:B$2,-1+SUMPRODUCT(MAX(ROW(E4290:E$2)*(E4291=E4290:E$2)))))</f>
        <v> </v>
      </c>
      <c r="J4291" s="26" t="str">
        <f>IF(OR(E4291="",E4291="!!!",F4291="NEW"),"",COUNTBLANK(OFFSET(A$1,,,SUMPRODUCT(MAX(ROW(E$2:E4291)*(E4291=E$2:E4291)))))-COUNTBLANK(OFFSET(A$1,,,SUMPRODUCT(MAX(ROW(E$1:E4290)*(E2=E$1:E4290))))))</f>
        <v> </v>
      </c>
      <c r="K4291" s="26" t="str">
        <f>IF(OR(E4291="",E4291="!!!",F4291="NEW"),"",INDEX(J$1:J4290,SUMPRODUCT(MAX(ROW(E$1:E4290)*(E4291=E$1:E4290)))))</f>
        <v> </v>
      </c>
      <c r="L4291" s="27"/>
    </row>
    <row r="4292" spans="1:12">
      <c r="A4292" s="20" t="s">
        <v>1000</v>
      </c>
      <c r="E4292" s="22">
        <f>IF(D4292="?OLD","!!!","")</f>
        <v/>
      </c>
      <c r="F4292" s="23" t="str">
        <f>IF(OR(E4292="",E4292="!!!"),"",IF(NOT(ISNA(VLOOKUP(E4292,E$1:E4291,1,FALSE()))),"OLD",IF(AND(E4292&lt;&gt;"",E4292&lt;&gt;"!!!"),"NEW","")))</f>
        <v> </v>
      </c>
      <c r="G4292" s="24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5" t="str">
        <f>IF(J4292&lt;&gt;1,"",IF(I4292="SBJ","CB","?"))</f>
        <v> </v>
      </c>
      <c r="I4292" s="26" t="str">
        <f>IF(OR(E4292="",E4292="!!!",F4292="NEW"),"",INDEX(B4291:B$2,-1+SUMPRODUCT(MAX(ROW(E4291:E$2)*(E4292=E4291:E$2)))))</f>
        <v> </v>
      </c>
      <c r="J4292" s="26" t="str">
        <f>IF(OR(E4292="",E4292="!!!",F4292="NEW"),"",COUNTBLANK(OFFSET(A$1,,,SUMPRODUCT(MAX(ROW(E$2:E4292)*(E4292=E$2:E4292)))))-COUNTBLANK(OFFSET(A$1,,,SUMPRODUCT(MAX(ROW(E$1:E4291)*(E2=E$1:E4291))))))</f>
        <v> </v>
      </c>
      <c r="K4292" s="26" t="str">
        <f>IF(OR(E4292="",E4292="!!!",F4292="NEW"),"",INDEX(J$1:J4291,SUMPRODUCT(MAX(ROW(E$1:E4291)*(E4292=E$1:E4291)))))</f>
        <v> </v>
      </c>
      <c r="L4292" s="27"/>
    </row>
    <row r="4293" spans="1:12">
      <c r="A4293" s="20" t="s">
        <v>995</v>
      </c>
      <c r="E4293" s="22">
        <f>IF(D4293="?OLD","!!!","")</f>
        <v/>
      </c>
      <c r="F4293" s="23" t="str">
        <f>IF(OR(E4293="",E4293="!!!"),"",IF(NOT(ISNA(VLOOKUP(E4293,E$1:E4292,1,FALSE()))),"OLD",IF(AND(E4293&lt;&gt;"",E4293&lt;&gt;"!!!"),"NEW","")))</f>
        <v> </v>
      </c>
      <c r="G4293" s="24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5" t="str">
        <f>IF(J4293&lt;&gt;1,"",IF(I4293="SBJ","CB","?"))</f>
        <v> </v>
      </c>
      <c r="I4293" s="26" t="str">
        <f>IF(OR(E4293="",E4293="!!!",F4293="NEW"),"",INDEX(B4292:B$2,-1+SUMPRODUCT(MAX(ROW(E4292:E$2)*(E4293=E4292:E$2)))))</f>
        <v> </v>
      </c>
      <c r="J4293" s="26" t="str">
        <f>IF(OR(E4293="",E4293="!!!",F4293="NEW"),"",COUNTBLANK(OFFSET(A$1,,,SUMPRODUCT(MAX(ROW(E$2:E4293)*(E4293=E$2:E4293)))))-COUNTBLANK(OFFSET(A$1,,,SUMPRODUCT(MAX(ROW(E$1:E4292)*(E2=E$1:E4292))))))</f>
        <v> </v>
      </c>
      <c r="K4293" s="26" t="str">
        <f>IF(OR(E4293="",E4293="!!!",F4293="NEW"),"",INDEX(J$1:J4292,SUMPRODUCT(MAX(ROW(E$1:E4292)*(E4293=E$1:E4292)))))</f>
        <v> </v>
      </c>
      <c r="L4293" s="27"/>
    </row>
    <row r="4294" spans="1:12">
      <c r="A4294" s="20" t="s">
        <v>1415</v>
      </c>
      <c r="E4294" s="22">
        <f>IF(D4294="?OLD","!!!","")</f>
        <v/>
      </c>
      <c r="F4294" s="23" t="str">
        <f>IF(OR(E4294="",E4294="!!!"),"",IF(NOT(ISNA(VLOOKUP(E4294,E$1:E4293,1,FALSE()))),"OLD",IF(AND(E4294&lt;&gt;"",E4294&lt;&gt;"!!!"),"NEW","")))</f>
        <v> </v>
      </c>
      <c r="G4294" s="24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5" t="str">
        <f>IF(J4294&lt;&gt;1,"",IF(I4294="SBJ","CB","?"))</f>
        <v> </v>
      </c>
      <c r="I4294" s="26" t="str">
        <f>IF(OR(E4294="",E4294="!!!",F4294="NEW"),"",INDEX(B4293:B$2,-1+SUMPRODUCT(MAX(ROW(E4293:E$2)*(E4294=E4293:E$2)))))</f>
        <v> </v>
      </c>
      <c r="J4294" s="26" t="str">
        <f>IF(OR(E4294="",E4294="!!!",F4294="NEW"),"",COUNTBLANK(OFFSET(A$1,,,SUMPRODUCT(MAX(ROW(E$2:E4294)*(E4294=E$2:E4294)))))-COUNTBLANK(OFFSET(A$1,,,SUMPRODUCT(MAX(ROW(E$1:E4293)*(E2=E$1:E4293))))))</f>
        <v> </v>
      </c>
      <c r="K4294" s="26" t="str">
        <f>IF(OR(E4294="",E4294="!!!",F4294="NEW"),"",INDEX(J$1:J4293,SUMPRODUCT(MAX(ROW(E$1:E4293)*(E4294=E$1:E4293)))))</f>
        <v> </v>
      </c>
      <c r="L4294" s="27"/>
    </row>
    <row r="4295" spans="1:12">
      <c r="A4295" s="20" t="s">
        <v>1878</v>
      </c>
      <c r="B4295" s="21" t="s">
        <v>1040</v>
      </c>
      <c r="C4295" s="21" t="s">
        <v>983</v>
      </c>
      <c r="E4295" s="22">
        <f>IF(D4295="?OLD","!!!","")</f>
        <v/>
      </c>
      <c r="F4295" s="23" t="str">
        <f>IF(OR(E4295="",E4295="!!!"),"",IF(NOT(ISNA(VLOOKUP(E4295,E$1:E4294,1,FALSE()))),"OLD",IF(AND(E4295&lt;&gt;"",E4295&lt;&gt;"!!!"),"NEW","")))</f>
        <v> </v>
      </c>
      <c r="G4295" s="24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5" t="str">
        <f>IF(J4295&lt;&gt;1,"",IF(I4295="SBJ","CB","?"))</f>
        <v> </v>
      </c>
      <c r="I4295" s="26" t="str">
        <f>IF(OR(E4295="",E4295="!!!",F4295="NEW"),"",INDEX(B4294:B$2,-1+SUMPRODUCT(MAX(ROW(E4294:E$2)*(E4295=E4294:E$2)))))</f>
        <v> </v>
      </c>
      <c r="J4295" s="26" t="str">
        <f>IF(OR(E4295="",E4295="!!!",F4295="NEW"),"",COUNTBLANK(OFFSET(A$1,,,SUMPRODUCT(MAX(ROW(E$2:E4295)*(E4295=E$2:E4295)))))-COUNTBLANK(OFFSET(A$1,,,SUMPRODUCT(MAX(ROW(E$1:E4294)*(E2=E$1:E4294))))))</f>
        <v> </v>
      </c>
      <c r="K4295" s="26" t="str">
        <f>IF(OR(E4295="",E4295="!!!",F4295="NEW"),"",INDEX(J$1:J4294,SUMPRODUCT(MAX(ROW(E$1:E4294)*(E4295=E$1:E4294)))))</f>
        <v> </v>
      </c>
      <c r="L4295" s="27"/>
    </row>
    <row r="4296" spans="1:12">
      <c r="A4296" s="20" t="s">
        <v>965</v>
      </c>
      <c r="E4296" s="22">
        <f>IF(D4296="?OLD","!!!","")</f>
        <v/>
      </c>
      <c r="F4296" s="23" t="str">
        <f>IF(OR(E4296="",E4296="!!!"),"",IF(NOT(ISNA(VLOOKUP(E4296,E$1:E4295,1,FALSE()))),"OLD",IF(AND(E4296&lt;&gt;"",E4296&lt;&gt;"!!!"),"NEW","")))</f>
        <v> </v>
      </c>
      <c r="G4296" s="24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5" t="str">
        <f>IF(J4296&lt;&gt;1,"",IF(I4296="SBJ","CB","?"))</f>
        <v> </v>
      </c>
      <c r="I4296" s="26" t="str">
        <f>IF(OR(E4296="",E4296="!!!",F4296="NEW"),"",INDEX(B4295:B$2,-1+SUMPRODUCT(MAX(ROW(E4295:E$2)*(E4296=E4295:E$2)))))</f>
        <v> </v>
      </c>
      <c r="J4296" s="26" t="str">
        <f>IF(OR(E4296="",E4296="!!!",F4296="NEW"),"",COUNTBLANK(OFFSET(A$1,,,SUMPRODUCT(MAX(ROW(E$2:E4296)*(E4296=E$2:E4296)))))-COUNTBLANK(OFFSET(A$1,,,SUMPRODUCT(MAX(ROW(E$1:E4295)*(E2=E$1:E4295))))))</f>
        <v> </v>
      </c>
      <c r="K4296" s="26" t="str">
        <f>IF(OR(E4296="",E4296="!!!",F4296="NEW"),"",INDEX(J$1:J4295,SUMPRODUCT(MAX(ROW(E$1:E4295)*(E4296=E$1:E4295)))))</f>
        <v> </v>
      </c>
      <c r="L4296" s="27"/>
    </row>
    <row r="4297" spans="1:12">
      <c r="A4297" s="20" t="s">
        <v>1002</v>
      </c>
      <c r="B4297" s="21" t="s">
        <v>1043</v>
      </c>
      <c r="C4297" s="21" t="s">
        <v>960</v>
      </c>
      <c r="D4297" s="21" t="s">
        <v>950</v>
      </c>
      <c r="E4297" s="22">
        <f>IF(D4297="?OLD","!!!","")</f>
        <v/>
      </c>
      <c r="F4297" s="23" t="str">
        <f>IF(OR(E4297="",E4297="!!!"),"",IF(NOT(ISNA(VLOOKUP(E4297,E$1:E4296,1,FALSE()))),"OLD",IF(AND(E4297&lt;&gt;"",E4297&lt;&gt;"!!!"),"NEW","")))</f>
        <v> </v>
      </c>
      <c r="G4297" s="24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5" t="str">
        <f>IF(J4297&lt;&gt;1,"",IF(I4297="SBJ","CB","?"))</f>
        <v> </v>
      </c>
      <c r="I4297" s="26" t="str">
        <f>IF(OR(E4297="",E4297="!!!",F4297="NEW"),"",INDEX(B4296:B$2,-1+SUMPRODUCT(MAX(ROW(E4296:E$2)*(E4297=E4296:E$2)))))</f>
        <v> </v>
      </c>
      <c r="J4297" s="26" t="str">
        <f>IF(OR(E4297="",E4297="!!!",F4297="NEW"),"",COUNTBLANK(OFFSET(A$1,,,SUMPRODUCT(MAX(ROW(E$2:E4297)*(E4297=E$2:E4297)))))-COUNTBLANK(OFFSET(A$1,,,SUMPRODUCT(MAX(ROW(E$1:E4296)*(E2=E$1:E4296))))))</f>
        <v> </v>
      </c>
      <c r="K4297" s="26" t="str">
        <f>IF(OR(E4297="",E4297="!!!",F4297="NEW"),"",INDEX(J$1:J4296,SUMPRODUCT(MAX(ROW(E$1:E4296)*(E4297=E$1:E4296)))))</f>
        <v> </v>
      </c>
      <c r="L4297" s="27"/>
    </row>
    <row r="4298" spans="1:12">
      <c r="A4298" s="20" t="s">
        <v>2135</v>
      </c>
      <c r="E4298" s="22">
        <f>IF(D4298="?OLD","!!!","")</f>
        <v/>
      </c>
      <c r="F4298" s="23" t="str">
        <f>IF(OR(E4298="",E4298="!!!"),"",IF(NOT(ISNA(VLOOKUP(E4298,E$1:E4297,1,FALSE()))),"OLD",IF(AND(E4298&lt;&gt;"",E4298&lt;&gt;"!!!"),"NEW","")))</f>
        <v> </v>
      </c>
      <c r="G4298" s="24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5" t="str">
        <f>IF(J4298&lt;&gt;1,"",IF(I4298="SBJ","CB","?"))</f>
        <v> </v>
      </c>
      <c r="I4298" s="26" t="str">
        <f>IF(OR(E4298="",E4298="!!!",F4298="NEW"),"",INDEX(B4297:B$2,-1+SUMPRODUCT(MAX(ROW(E4297:E$2)*(E4298=E4297:E$2)))))</f>
        <v> </v>
      </c>
      <c r="J4298" s="26" t="str">
        <f>IF(OR(E4298="",E4298="!!!",F4298="NEW"),"",COUNTBLANK(OFFSET(A$1,,,SUMPRODUCT(MAX(ROW(E$2:E4298)*(E4298=E$2:E4298)))))-COUNTBLANK(OFFSET(A$1,,,SUMPRODUCT(MAX(ROW(E$1:E4297)*(E2=E$1:E4297))))))</f>
        <v> </v>
      </c>
      <c r="K4298" s="26" t="str">
        <f>IF(OR(E4298="",E4298="!!!",F4298="NEW"),"",INDEX(J$1:J4297,SUMPRODUCT(MAX(ROW(E$1:E4297)*(E4298=E$1:E4297)))))</f>
        <v> </v>
      </c>
      <c r="L4298" s="27"/>
    </row>
    <row r="4299" spans="1:12">
      <c r="A4299" s="20" t="s">
        <v>1006</v>
      </c>
      <c r="E4299" s="22">
        <f>IF(D4299="?OLD","!!!","")</f>
        <v/>
      </c>
      <c r="F4299" s="23" t="str">
        <f>IF(OR(E4299="",E4299="!!!"),"",IF(NOT(ISNA(VLOOKUP(E4299,E$1:E4298,1,FALSE()))),"OLD",IF(AND(E4299&lt;&gt;"",E4299&lt;&gt;"!!!"),"NEW","")))</f>
        <v> </v>
      </c>
      <c r="G4299" s="24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5" t="str">
        <f>IF(J4299&lt;&gt;1,"",IF(I4299="SBJ","CB","?"))</f>
        <v> </v>
      </c>
      <c r="I4299" s="26" t="str">
        <f>IF(OR(E4299="",E4299="!!!",F4299="NEW"),"",INDEX(B4298:B$2,-1+SUMPRODUCT(MAX(ROW(E4298:E$2)*(E4299=E4298:E$2)))))</f>
        <v> </v>
      </c>
      <c r="J4299" s="26" t="str">
        <f>IF(OR(E4299="",E4299="!!!",F4299="NEW"),"",COUNTBLANK(OFFSET(A$1,,,SUMPRODUCT(MAX(ROW(E$2:E4299)*(E4299=E$2:E4299)))))-COUNTBLANK(OFFSET(A$1,,,SUMPRODUCT(MAX(ROW(E$1:E4298)*(E2=E$1:E4298))))))</f>
        <v> </v>
      </c>
      <c r="K4299" s="26" t="str">
        <f>IF(OR(E4299="",E4299="!!!",F4299="NEW"),"",INDEX(J$1:J4298,SUMPRODUCT(MAX(ROW(E$1:E4298)*(E4299=E$1:E4298)))))</f>
        <v> </v>
      </c>
      <c r="L4299" s="27"/>
    </row>
    <row r="4300" spans="1:12">
      <c r="A4300" s="20" t="s">
        <v>1060</v>
      </c>
      <c r="B4300" s="21" t="s">
        <v>1053</v>
      </c>
      <c r="C4300" s="21" t="s">
        <v>1032</v>
      </c>
      <c r="D4300" s="21" t="s">
        <v>950</v>
      </c>
      <c r="E4300" s="22">
        <f>IF(D4300="?OLD","!!!","")</f>
        <v/>
      </c>
      <c r="F4300" s="23" t="str">
        <f>IF(OR(E4300="",E4300="!!!"),"",IF(NOT(ISNA(VLOOKUP(E4300,E$1:E4299,1,FALSE()))),"OLD",IF(AND(E4300&lt;&gt;"",E4300&lt;&gt;"!!!"),"NEW","")))</f>
        <v> </v>
      </c>
      <c r="G4300" s="24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5" t="str">
        <f>IF(J4300&lt;&gt;1,"",IF(I4300="SBJ","CB","?"))</f>
        <v> </v>
      </c>
      <c r="I4300" s="26" t="str">
        <f>IF(OR(E4300="",E4300="!!!",F4300="NEW"),"",INDEX(B4299:B$2,-1+SUMPRODUCT(MAX(ROW(E4299:E$2)*(E4300=E4299:E$2)))))</f>
        <v> </v>
      </c>
      <c r="J4300" s="26" t="str">
        <f>IF(OR(E4300="",E4300="!!!",F4300="NEW"),"",COUNTBLANK(OFFSET(A$1,,,SUMPRODUCT(MAX(ROW(E$2:E4300)*(E4300=E$2:E4300)))))-COUNTBLANK(OFFSET(A$1,,,SUMPRODUCT(MAX(ROW(E$1:E4299)*(E2=E$1:E4299))))))</f>
        <v> </v>
      </c>
      <c r="K4300" s="26" t="str">
        <f>IF(OR(E4300="",E4300="!!!",F4300="NEW"),"",INDEX(J$1:J4299,SUMPRODUCT(MAX(ROW(E$1:E4299)*(E4300=E$1:E4299)))))</f>
        <v> </v>
      </c>
      <c r="L4300" s="27"/>
    </row>
    <row r="4301" spans="1:12">
      <c r="A4301" s="20" t="s">
        <v>1000</v>
      </c>
      <c r="E4301" s="22">
        <f>IF(D4301="?OLD","!!!","")</f>
        <v/>
      </c>
      <c r="F4301" s="23" t="str">
        <f>IF(OR(E4301="",E4301="!!!"),"",IF(NOT(ISNA(VLOOKUP(E4301,E$1:E4300,1,FALSE()))),"OLD",IF(AND(E4301&lt;&gt;"",E4301&lt;&gt;"!!!"),"NEW","")))</f>
        <v> </v>
      </c>
      <c r="G4301" s="24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5" t="str">
        <f>IF(J4301&lt;&gt;1,"",IF(I4301="SBJ","CB","?"))</f>
        <v> </v>
      </c>
      <c r="I4301" s="26" t="str">
        <f>IF(OR(E4301="",E4301="!!!",F4301="NEW"),"",INDEX(B4300:B$2,-1+SUMPRODUCT(MAX(ROW(E4300:E$2)*(E4301=E4300:E$2)))))</f>
        <v> </v>
      </c>
      <c r="J4301" s="26" t="str">
        <f>IF(OR(E4301="",E4301="!!!",F4301="NEW"),"",COUNTBLANK(OFFSET(A$1,,,SUMPRODUCT(MAX(ROW(E$2:E4301)*(E4301=E$2:E4301)))))-COUNTBLANK(OFFSET(A$1,,,SUMPRODUCT(MAX(ROW(E$1:E4300)*(E2=E$1:E4300))))))</f>
        <v> </v>
      </c>
      <c r="K4301" s="26" t="str">
        <f>IF(OR(E4301="",E4301="!!!",F4301="NEW"),"",INDEX(J$1:J4300,SUMPRODUCT(MAX(ROW(E$1:E4300)*(E4301=E$1:E4300)))))</f>
        <v> </v>
      </c>
      <c r="L4301" s="27"/>
    </row>
    <row r="4302" spans="1:12">
      <c r="A4302" s="20" t="s">
        <v>1001</v>
      </c>
      <c r="E4302" s="22">
        <f>IF(D4302="?OLD","!!!","")</f>
        <v/>
      </c>
      <c r="F4302" s="23" t="str">
        <f>IF(OR(E4302="",E4302="!!!"),"",IF(NOT(ISNA(VLOOKUP(E4302,E$1:E4301,1,FALSE()))),"OLD",IF(AND(E4302&lt;&gt;"",E4302&lt;&gt;"!!!"),"NEW","")))</f>
        <v> </v>
      </c>
      <c r="G4302" s="24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5" t="str">
        <f>IF(J4302&lt;&gt;1,"",IF(I4302="SBJ","CB","?"))</f>
        <v> </v>
      </c>
      <c r="I4302" s="26" t="str">
        <f>IF(OR(E4302="",E4302="!!!",F4302="NEW"),"",INDEX(B4301:B$2,-1+SUMPRODUCT(MAX(ROW(E4301:E$2)*(E4302=E4301:E$2)))))</f>
        <v> </v>
      </c>
      <c r="J4302" s="26" t="str">
        <f>IF(OR(E4302="",E4302="!!!",F4302="NEW"),"",COUNTBLANK(OFFSET(A$1,,,SUMPRODUCT(MAX(ROW(E$2:E4302)*(E4302=E$2:E4302)))))-COUNTBLANK(OFFSET(A$1,,,SUMPRODUCT(MAX(ROW(E$1:E4301)*(E2=E$1:E4301))))))</f>
        <v> </v>
      </c>
      <c r="K4302" s="26" t="str">
        <f>IF(OR(E4302="",E4302="!!!",F4302="NEW"),"",INDEX(J$1:J4301,SUMPRODUCT(MAX(ROW(E$1:E4301)*(E4302=E$1:E4301)))))</f>
        <v> </v>
      </c>
      <c r="L4302" s="27"/>
    </row>
    <row r="4303" spans="1:12">
      <c r="A4303" s="20" t="s">
        <v>965</v>
      </c>
      <c r="E4303" s="22">
        <f>IF(D4303="?OLD","!!!","")</f>
        <v/>
      </c>
      <c r="F4303" s="23" t="str">
        <f>IF(OR(E4303="",E4303="!!!"),"",IF(NOT(ISNA(VLOOKUP(E4303,E$1:E4302,1,FALSE()))),"OLD",IF(AND(E4303&lt;&gt;"",E4303&lt;&gt;"!!!"),"NEW","")))</f>
        <v> </v>
      </c>
      <c r="G4303" s="24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5" t="str">
        <f>IF(J4303&lt;&gt;1,"",IF(I4303="SBJ","CB","?"))</f>
        <v> </v>
      </c>
      <c r="I4303" s="26" t="str">
        <f>IF(OR(E4303="",E4303="!!!",F4303="NEW"),"",INDEX(B4302:B$2,-1+SUMPRODUCT(MAX(ROW(E4302:E$2)*(E4303=E4302:E$2)))))</f>
        <v> </v>
      </c>
      <c r="J4303" s="26" t="str">
        <f>IF(OR(E4303="",E4303="!!!",F4303="NEW"),"",COUNTBLANK(OFFSET(A$1,,,SUMPRODUCT(MAX(ROW(E$2:E4303)*(E4303=E$2:E4303)))))-COUNTBLANK(OFFSET(A$1,,,SUMPRODUCT(MAX(ROW(E$1:E4302)*(E2=E$1:E4302))))))</f>
        <v> </v>
      </c>
      <c r="K4303" s="26" t="str">
        <f>IF(OR(E4303="",E4303="!!!",F4303="NEW"),"",INDEX(J$1:J4302,SUMPRODUCT(MAX(ROW(E$1:E4302)*(E4303=E$1:E4302)))))</f>
        <v> </v>
      </c>
      <c r="L4303" s="27"/>
    </row>
    <row r="4304" spans="1:12">
      <c r="A4304" s="20" t="s">
        <v>1000</v>
      </c>
      <c r="E4304" s="22">
        <f>IF(D4304="?OLD","!!!","")</f>
        <v/>
      </c>
      <c r="F4304" s="23" t="str">
        <f>IF(OR(E4304="",E4304="!!!"),"",IF(NOT(ISNA(VLOOKUP(E4304,E$1:E4303,1,FALSE()))),"OLD",IF(AND(E4304&lt;&gt;"",E4304&lt;&gt;"!!!"),"NEW","")))</f>
        <v> </v>
      </c>
      <c r="G4304" s="24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5" t="str">
        <f>IF(J4304&lt;&gt;1,"",IF(I4304="SBJ","CB","?"))</f>
        <v> </v>
      </c>
      <c r="I4304" s="26" t="str">
        <f>IF(OR(E4304="",E4304="!!!",F4304="NEW"),"",INDEX(B4303:B$2,-1+SUMPRODUCT(MAX(ROW(E4303:E$2)*(E4304=E4303:E$2)))))</f>
        <v> </v>
      </c>
      <c r="J4304" s="26" t="str">
        <f>IF(OR(E4304="",E4304="!!!",F4304="NEW"),"",COUNTBLANK(OFFSET(A$1,,,SUMPRODUCT(MAX(ROW(E$2:E4304)*(E4304=E$2:E4304)))))-COUNTBLANK(OFFSET(A$1,,,SUMPRODUCT(MAX(ROW(E$1:E4303)*(E2=E$1:E4303))))))</f>
        <v> </v>
      </c>
      <c r="K4304" s="26" t="str">
        <f>IF(OR(E4304="",E4304="!!!",F4304="NEW"),"",INDEX(J$1:J4303,SUMPRODUCT(MAX(ROW(E$1:E4303)*(E4304=E$1:E4303)))))</f>
        <v> </v>
      </c>
      <c r="L4304" s="27"/>
    </row>
    <row r="4305" spans="1:12">
      <c r="A4305" s="20" t="s">
        <v>2136</v>
      </c>
      <c r="E4305" s="22">
        <f>IF(D4305="?OLD","!!!","")</f>
        <v/>
      </c>
      <c r="F4305" s="23" t="str">
        <f>IF(OR(E4305="",E4305="!!!"),"",IF(NOT(ISNA(VLOOKUP(E4305,E$1:E4304,1,FALSE()))),"OLD",IF(AND(E4305&lt;&gt;"",E4305&lt;&gt;"!!!"),"NEW","")))</f>
        <v> </v>
      </c>
      <c r="G4305" s="24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5" t="str">
        <f>IF(J4305&lt;&gt;1,"",IF(I4305="SBJ","CB","?"))</f>
        <v> </v>
      </c>
      <c r="I4305" s="26" t="str">
        <f>IF(OR(E4305="",E4305="!!!",F4305="NEW"),"",INDEX(B4304:B$2,-1+SUMPRODUCT(MAX(ROW(E4304:E$2)*(E4305=E4304:E$2)))))</f>
        <v> </v>
      </c>
      <c r="J4305" s="26" t="str">
        <f>IF(OR(E4305="",E4305="!!!",F4305="NEW"),"",COUNTBLANK(OFFSET(A$1,,,SUMPRODUCT(MAX(ROW(E$2:E4305)*(E4305=E$2:E4305)))))-COUNTBLANK(OFFSET(A$1,,,SUMPRODUCT(MAX(ROW(E$1:E4304)*(E2=E$1:E4304))))))</f>
        <v> </v>
      </c>
      <c r="K4305" s="26" t="str">
        <f>IF(OR(E4305="",E4305="!!!",F4305="NEW"),"",INDEX(J$1:J4304,SUMPRODUCT(MAX(ROW(E$1:E4304)*(E4305=E$1:E4304)))))</f>
        <v> </v>
      </c>
      <c r="L4305" s="27"/>
    </row>
    <row r="4306" spans="1:12">
      <c r="A4306" s="20" t="s">
        <v>1000</v>
      </c>
      <c r="E4306" s="22">
        <f>IF(D4306="?OLD","!!!","")</f>
        <v/>
      </c>
      <c r="F4306" s="23" t="str">
        <f>IF(OR(E4306="",E4306="!!!"),"",IF(NOT(ISNA(VLOOKUP(E4306,E$1:E4305,1,FALSE()))),"OLD",IF(AND(E4306&lt;&gt;"",E4306&lt;&gt;"!!!"),"NEW","")))</f>
        <v> </v>
      </c>
      <c r="G4306" s="24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5" t="str">
        <f>IF(J4306&lt;&gt;1,"",IF(I4306="SBJ","CB","?"))</f>
        <v> </v>
      </c>
      <c r="I4306" s="26" t="str">
        <f>IF(OR(E4306="",E4306="!!!",F4306="NEW"),"",INDEX(B4305:B$2,-1+SUMPRODUCT(MAX(ROW(E4305:E$2)*(E4306=E4305:E$2)))))</f>
        <v> </v>
      </c>
      <c r="J4306" s="26" t="str">
        <f>IF(OR(E4306="",E4306="!!!",F4306="NEW"),"",COUNTBLANK(OFFSET(A$1,,,SUMPRODUCT(MAX(ROW(E$2:E4306)*(E4306=E$2:E4306)))))-COUNTBLANK(OFFSET(A$1,,,SUMPRODUCT(MAX(ROW(E$1:E4305)*(E2=E$1:E4305))))))</f>
        <v> </v>
      </c>
      <c r="K4306" s="26" t="str">
        <f>IF(OR(E4306="",E4306="!!!",F4306="NEW"),"",INDEX(J$1:J4305,SUMPRODUCT(MAX(ROW(E$1:E4305)*(E4306=E$1:E4305)))))</f>
        <v> </v>
      </c>
      <c r="L4306" s="27"/>
    </row>
    <row r="4307" spans="1:12">
      <c r="A4307" s="20" t="s">
        <v>2137</v>
      </c>
      <c r="E4307" s="22">
        <f>IF(D4307="?OLD","!!!","")</f>
        <v/>
      </c>
      <c r="F4307" s="23" t="str">
        <f>IF(OR(E4307="",E4307="!!!"),"",IF(NOT(ISNA(VLOOKUP(E4307,E$1:E4306,1,FALSE()))),"OLD",IF(AND(E4307&lt;&gt;"",E4307&lt;&gt;"!!!"),"NEW","")))</f>
        <v> </v>
      </c>
      <c r="G4307" s="24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5" t="str">
        <f>IF(J4307&lt;&gt;1,"",IF(I4307="SBJ","CB","?"))</f>
        <v> </v>
      </c>
      <c r="I4307" s="26" t="str">
        <f>IF(OR(E4307="",E4307="!!!",F4307="NEW"),"",INDEX(B4306:B$2,-1+SUMPRODUCT(MAX(ROW(E4306:E$2)*(E4307=E4306:E$2)))))</f>
        <v> </v>
      </c>
      <c r="J4307" s="26" t="str">
        <f>IF(OR(E4307="",E4307="!!!",F4307="NEW"),"",COUNTBLANK(OFFSET(A$1,,,SUMPRODUCT(MAX(ROW(E$2:E4307)*(E4307=E$2:E4307)))))-COUNTBLANK(OFFSET(A$1,,,SUMPRODUCT(MAX(ROW(E$1:E4306)*(E2=E$1:E4306))))))</f>
        <v> </v>
      </c>
      <c r="K4307" s="26" t="str">
        <f>IF(OR(E4307="",E4307="!!!",F4307="NEW"),"",INDEX(J$1:J4306,SUMPRODUCT(MAX(ROW(E$1:E4306)*(E4307=E$1:E4306)))))</f>
        <v> </v>
      </c>
      <c r="L4307" s="27"/>
    </row>
    <row r="4308" spans="1:12">
      <c r="A4308" s="20" t="s">
        <v>991</v>
      </c>
      <c r="E4308" s="22">
        <f>IF(D4308="?OLD","!!!","")</f>
        <v/>
      </c>
      <c r="F4308" s="23" t="str">
        <f>IF(OR(E4308="",E4308="!!!"),"",IF(NOT(ISNA(VLOOKUP(E4308,E$1:E4307,1,FALSE()))),"OLD",IF(AND(E4308&lt;&gt;"",E4308&lt;&gt;"!!!"),"NEW","")))</f>
        <v> </v>
      </c>
      <c r="G4308" s="24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5" t="str">
        <f>IF(J4308&lt;&gt;1,"",IF(I4308="SBJ","CB","?"))</f>
        <v> </v>
      </c>
      <c r="I4308" s="26" t="str">
        <f>IF(OR(E4308="",E4308="!!!",F4308="NEW"),"",INDEX(B4307:B$2,-1+SUMPRODUCT(MAX(ROW(E4307:E$2)*(E4308=E4307:E$2)))))</f>
        <v> </v>
      </c>
      <c r="J4308" s="26" t="str">
        <f>IF(OR(E4308="",E4308="!!!",F4308="NEW"),"",COUNTBLANK(OFFSET(A$1,,,SUMPRODUCT(MAX(ROW(E$2:E4308)*(E4308=E$2:E4308)))))-COUNTBLANK(OFFSET(A$1,,,SUMPRODUCT(MAX(ROW(E$1:E4307)*(E2=E$1:E4307))))))</f>
        <v> </v>
      </c>
      <c r="K4308" s="26" t="str">
        <f>IF(OR(E4308="",E4308="!!!",F4308="NEW"),"",INDEX(J$1:J4307,SUMPRODUCT(MAX(ROW(E$1:E4307)*(E4308=E$1:E4307)))))</f>
        <v> </v>
      </c>
      <c r="L4308" s="27"/>
    </row>
    <row r="4309" spans="1:12">
      <c r="A4309" s="20" t="s">
        <v>1070</v>
      </c>
      <c r="B4309" s="21" t="s">
        <v>1082</v>
      </c>
      <c r="C4309" s="21" t="s">
        <v>949</v>
      </c>
      <c r="D4309" s="21" t="s">
        <v>950</v>
      </c>
      <c r="E4309" s="22">
        <f>IF(D4309="?OLD","!!!","")</f>
        <v/>
      </c>
      <c r="F4309" s="23" t="str">
        <f>IF(OR(E4309="",E4309="!!!"),"",IF(NOT(ISNA(VLOOKUP(E4309,E$1:E4308,1,FALSE()))),"OLD",IF(AND(E4309&lt;&gt;"",E4309&lt;&gt;"!!!"),"NEW","")))</f>
        <v> </v>
      </c>
      <c r="G4309" s="24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5" t="str">
        <f>IF(J4309&lt;&gt;1,"",IF(I4309="SBJ","CB","?"))</f>
        <v> </v>
      </c>
      <c r="I4309" s="26" t="str">
        <f>IF(OR(E4309="",E4309="!!!",F4309="NEW"),"",INDEX(B4308:B$2,-1+SUMPRODUCT(MAX(ROW(E4308:E$2)*(E4309=E4308:E$2)))))</f>
        <v> </v>
      </c>
      <c r="J4309" s="26" t="str">
        <f>IF(OR(E4309="",E4309="!!!",F4309="NEW"),"",COUNTBLANK(OFFSET(A$1,,,SUMPRODUCT(MAX(ROW(E$2:E4309)*(E4309=E$2:E4309)))))-COUNTBLANK(OFFSET(A$1,,,SUMPRODUCT(MAX(ROW(E$1:E4308)*(E2=E$1:E4308))))))</f>
        <v> </v>
      </c>
      <c r="K4309" s="26" t="str">
        <f>IF(OR(E4309="",E4309="!!!",F4309="NEW"),"",INDEX(J$1:J4308,SUMPRODUCT(MAX(ROW(E$1:E4308)*(E4309=E$1:E4308)))))</f>
        <v> </v>
      </c>
      <c r="L4309" s="27"/>
    </row>
    <row r="4310" spans="1:12">
      <c r="A4310" s="20" t="s">
        <v>952</v>
      </c>
      <c r="E4310" s="22">
        <f>IF(D4310="?OLD","!!!","")</f>
        <v/>
      </c>
      <c r="F4310" s="23" t="str">
        <f>IF(OR(E4310="",E4310="!!!"),"",IF(NOT(ISNA(VLOOKUP(E4310,E$1:E4309,1,FALSE()))),"OLD",IF(AND(E4310&lt;&gt;"",E4310&lt;&gt;"!!!"),"NEW","")))</f>
        <v> </v>
      </c>
      <c r="G4310" s="24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5" t="str">
        <f>IF(J4310&lt;&gt;1,"",IF(I4310="SBJ","CB","?"))</f>
        <v> </v>
      </c>
      <c r="I4310" s="26" t="str">
        <f>IF(OR(E4310="",E4310="!!!",F4310="NEW"),"",INDEX(B4309:B$2,-1+SUMPRODUCT(MAX(ROW(E4309:E$2)*(E4310=E4309:E$2)))))</f>
        <v> </v>
      </c>
      <c r="J4310" s="26" t="str">
        <f>IF(OR(E4310="",E4310="!!!",F4310="NEW"),"",COUNTBLANK(OFFSET(A$1,,,SUMPRODUCT(MAX(ROW(E$2:E4310)*(E4310=E$2:E4310)))))-COUNTBLANK(OFFSET(A$1,,,SUMPRODUCT(MAX(ROW(E$1:E4309)*(E2=E$1:E4309))))))</f>
        <v> </v>
      </c>
      <c r="K4310" s="26" t="str">
        <f>IF(OR(E4310="",E4310="!!!",F4310="NEW"),"",INDEX(J$1:J4309,SUMPRODUCT(MAX(ROW(E$1:E4309)*(E4310=E$1:E4309)))))</f>
        <v> </v>
      </c>
      <c r="L4310" s="27"/>
    </row>
    <row r="4311" spans="1:12">
      <c r="A4311" s="20"/>
    </row>
    <row r="4312" spans="1:12">
      <c r="A4312" s="20" t="s">
        <v>2138</v>
      </c>
    </row>
    <row r="4313" spans="1:12">
      <c r="A4313" s="20" t="s">
        <v>1394</v>
      </c>
      <c r="E4313" s="22">
        <f>IF(D4313="?OLD","!!!","")</f>
        <v/>
      </c>
      <c r="F4313" s="23" t="str">
        <f>IF(OR(E4313="",E4313="!!!"),"",IF(NOT(ISNA(VLOOKUP(E4313,E$1:E4312,1,FALSE()))),"OLD",IF(AND(E4313&lt;&gt;"",E4313&lt;&gt;"!!!"),"NEW","")))</f>
        <v> </v>
      </c>
      <c r="G4313" s="24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5" t="str">
        <f>IF(J4313&lt;&gt;1,"",IF(I4313="SBJ","CB","?"))</f>
        <v> </v>
      </c>
      <c r="I4313" s="26" t="str">
        <f>IF(OR(E4313="",E4313="!!!",F4313="NEW"),"",INDEX(B4312:B$2,-1+SUMPRODUCT(MAX(ROW(E4312:E$2)*(E4313=E4312:E$2)))))</f>
        <v> </v>
      </c>
      <c r="J4313" s="26" t="str">
        <f>IF(OR(E4313="",E4313="!!!",F4313="NEW"),"",COUNTBLANK(OFFSET(A$1,,,SUMPRODUCT(MAX(ROW(E$2:E4313)*(E4313=E$2:E4313)))))-COUNTBLANK(OFFSET(A$1,,,SUMPRODUCT(MAX(ROW(E$1:E4312)*(E2=E$1:E4312))))))</f>
        <v> </v>
      </c>
      <c r="K4313" s="26" t="str">
        <f>IF(OR(E4313="",E4313="!!!",F4313="NEW"),"",INDEX(J$1:J4312,SUMPRODUCT(MAX(ROW(E$1:E4312)*(E4313=E$1:E4312)))))</f>
        <v> </v>
      </c>
      <c r="L4313" s="27"/>
    </row>
    <row r="4314" spans="1:12">
      <c r="A4314" s="20" t="s">
        <v>1000</v>
      </c>
      <c r="E4314" s="22">
        <f>IF(D4314="?OLD","!!!","")</f>
        <v/>
      </c>
      <c r="F4314" s="23" t="str">
        <f>IF(OR(E4314="",E4314="!!!"),"",IF(NOT(ISNA(VLOOKUP(E4314,E$1:E4313,1,FALSE()))),"OLD",IF(AND(E4314&lt;&gt;"",E4314&lt;&gt;"!!!"),"NEW","")))</f>
        <v> </v>
      </c>
      <c r="G4314" s="24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5" t="str">
        <f>IF(J4314&lt;&gt;1,"",IF(I4314="SBJ","CB","?"))</f>
        <v> </v>
      </c>
      <c r="I4314" s="26" t="str">
        <f>IF(OR(E4314="",E4314="!!!",F4314="NEW"),"",INDEX(B4313:B$2,-1+SUMPRODUCT(MAX(ROW(E4313:E$2)*(E4314=E4313:E$2)))))</f>
        <v> </v>
      </c>
      <c r="J4314" s="26" t="str">
        <f>IF(OR(E4314="",E4314="!!!",F4314="NEW"),"",COUNTBLANK(OFFSET(A$1,,,SUMPRODUCT(MAX(ROW(E$2:E4314)*(E4314=E$2:E4314)))))-COUNTBLANK(OFFSET(A$1,,,SUMPRODUCT(MAX(ROW(E$1:E4313)*(E2=E$1:E4313))))))</f>
        <v> </v>
      </c>
      <c r="K4314" s="26" t="str">
        <f>IF(OR(E4314="",E4314="!!!",F4314="NEW"),"",INDEX(J$1:J4313,SUMPRODUCT(MAX(ROW(E$1:E4313)*(E4314=E$1:E4313)))))</f>
        <v> </v>
      </c>
      <c r="L4314" s="27"/>
    </row>
    <row r="4315" spans="1:12">
      <c r="A4315" s="20" t="s">
        <v>1180</v>
      </c>
      <c r="E4315" s="22">
        <f>IF(D4315="?OLD","!!!","")</f>
        <v/>
      </c>
      <c r="F4315" s="23" t="str">
        <f>IF(OR(E4315="",E4315="!!!"),"",IF(NOT(ISNA(VLOOKUP(E4315,E$1:E4314,1,FALSE()))),"OLD",IF(AND(E4315&lt;&gt;"",E4315&lt;&gt;"!!!"),"NEW","")))</f>
        <v> </v>
      </c>
      <c r="G4315" s="24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5" t="str">
        <f>IF(J4315&lt;&gt;1,"",IF(I4315="SBJ","CB","?"))</f>
        <v> </v>
      </c>
      <c r="I4315" s="26" t="str">
        <f>IF(OR(E4315="",E4315="!!!",F4315="NEW"),"",INDEX(B4314:B$2,-1+SUMPRODUCT(MAX(ROW(E4314:E$2)*(E4315=E4314:E$2)))))</f>
        <v> </v>
      </c>
      <c r="J4315" s="26" t="str">
        <f>IF(OR(E4315="",E4315="!!!",F4315="NEW"),"",COUNTBLANK(OFFSET(A$1,,,SUMPRODUCT(MAX(ROW(E$2:E4315)*(E4315=E$2:E4315)))))-COUNTBLANK(OFFSET(A$1,,,SUMPRODUCT(MAX(ROW(E$1:E4314)*(E2=E$1:E4314))))))</f>
        <v> </v>
      </c>
      <c r="K4315" s="26" t="str">
        <f>IF(OR(E4315="",E4315="!!!",F4315="NEW"),"",INDEX(J$1:J4314,SUMPRODUCT(MAX(ROW(E$1:E4314)*(E4315=E$1:E4314)))))</f>
        <v> </v>
      </c>
      <c r="L4315" s="27"/>
    </row>
    <row r="4316" spans="1:12">
      <c r="A4316" s="20" t="s">
        <v>2139</v>
      </c>
      <c r="E4316" s="22">
        <f>IF(D4316="?OLD","!!!","")</f>
        <v/>
      </c>
      <c r="F4316" s="23" t="str">
        <f>IF(OR(E4316="",E4316="!!!"),"",IF(NOT(ISNA(VLOOKUP(E4316,E$1:E4315,1,FALSE()))),"OLD",IF(AND(E4316&lt;&gt;"",E4316&lt;&gt;"!!!"),"NEW","")))</f>
        <v> </v>
      </c>
      <c r="G4316" s="24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5" t="str">
        <f>IF(J4316&lt;&gt;1,"",IF(I4316="SBJ","CB","?"))</f>
        <v> </v>
      </c>
      <c r="I4316" s="26" t="str">
        <f>IF(OR(E4316="",E4316="!!!",F4316="NEW"),"",INDEX(B4315:B$2,-1+SUMPRODUCT(MAX(ROW(E4315:E$2)*(E4316=E4315:E$2)))))</f>
        <v> </v>
      </c>
      <c r="J4316" s="26" t="str">
        <f>IF(OR(E4316="",E4316="!!!",F4316="NEW"),"",COUNTBLANK(OFFSET(A$1,,,SUMPRODUCT(MAX(ROW(E$2:E4316)*(E4316=E$2:E4316)))))-COUNTBLANK(OFFSET(A$1,,,SUMPRODUCT(MAX(ROW(E$1:E4315)*(E2=E$1:E4315))))))</f>
        <v> </v>
      </c>
      <c r="K4316" s="26" t="str">
        <f>IF(OR(E4316="",E4316="!!!",F4316="NEW"),"",INDEX(J$1:J4315,SUMPRODUCT(MAX(ROW(E$1:E4315)*(E4316=E$1:E4315)))))</f>
        <v> </v>
      </c>
      <c r="L4316" s="27"/>
    </row>
    <row r="4317" spans="1:12">
      <c r="A4317" s="20" t="s">
        <v>2140</v>
      </c>
      <c r="E4317" s="22">
        <f>IF(D4317="?OLD","!!!","")</f>
        <v/>
      </c>
      <c r="F4317" s="23" t="str">
        <f>IF(OR(E4317="",E4317="!!!"),"",IF(NOT(ISNA(VLOOKUP(E4317,E$1:E4316,1,FALSE()))),"OLD",IF(AND(E4317&lt;&gt;"",E4317&lt;&gt;"!!!"),"NEW","")))</f>
        <v> </v>
      </c>
      <c r="G4317" s="24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5" t="str">
        <f>IF(J4317&lt;&gt;1,"",IF(I4317="SBJ","CB","?"))</f>
        <v> </v>
      </c>
      <c r="I4317" s="26" t="str">
        <f>IF(OR(E4317="",E4317="!!!",F4317="NEW"),"",INDEX(B4316:B$2,-1+SUMPRODUCT(MAX(ROW(E4316:E$2)*(E4317=E4316:E$2)))))</f>
        <v> </v>
      </c>
      <c r="J4317" s="26" t="str">
        <f>IF(OR(E4317="",E4317="!!!",F4317="NEW"),"",COUNTBLANK(OFFSET(A$1,,,SUMPRODUCT(MAX(ROW(E$2:E4317)*(E4317=E$2:E4317)))))-COUNTBLANK(OFFSET(A$1,,,SUMPRODUCT(MAX(ROW(E$1:E4316)*(E2=E$1:E4316))))))</f>
        <v> </v>
      </c>
      <c r="K4317" s="26" t="str">
        <f>IF(OR(E4317="",E4317="!!!",F4317="NEW"),"",INDEX(J$1:J4316,SUMPRODUCT(MAX(ROW(E$1:E4316)*(E4317=E$1:E4316)))))</f>
        <v> </v>
      </c>
      <c r="L4317" s="27"/>
    </row>
    <row r="4318" spans="1:12">
      <c r="A4318" s="20" t="s">
        <v>1022</v>
      </c>
      <c r="E4318" s="22">
        <f>IF(D4318="?OLD","!!!","")</f>
        <v/>
      </c>
      <c r="F4318" s="23" t="str">
        <f>IF(OR(E4318="",E4318="!!!"),"",IF(NOT(ISNA(VLOOKUP(E4318,E$1:E4317,1,FALSE()))),"OLD",IF(AND(E4318&lt;&gt;"",E4318&lt;&gt;"!!!"),"NEW","")))</f>
        <v> </v>
      </c>
      <c r="G4318" s="24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5" t="str">
        <f>IF(J4318&lt;&gt;1,"",IF(I4318="SBJ","CB","?"))</f>
        <v> </v>
      </c>
      <c r="I4318" s="26" t="str">
        <f>IF(OR(E4318="",E4318="!!!",F4318="NEW"),"",INDEX(B4317:B$2,-1+SUMPRODUCT(MAX(ROW(E4317:E$2)*(E4318=E4317:E$2)))))</f>
        <v> </v>
      </c>
      <c r="J4318" s="26" t="str">
        <f>IF(OR(E4318="",E4318="!!!",F4318="NEW"),"",COUNTBLANK(OFFSET(A$1,,,SUMPRODUCT(MAX(ROW(E$2:E4318)*(E4318=E$2:E4318)))))-COUNTBLANK(OFFSET(A$1,,,SUMPRODUCT(MAX(ROW(E$1:E4317)*(E2=E$1:E4317))))))</f>
        <v> </v>
      </c>
      <c r="K4318" s="26" t="str">
        <f>IF(OR(E4318="",E4318="!!!",F4318="NEW"),"",INDEX(J$1:J4317,SUMPRODUCT(MAX(ROW(E$1:E4317)*(E4318=E$1:E4317)))))</f>
        <v> </v>
      </c>
      <c r="L4318" s="27"/>
    </row>
    <row r="4319" spans="1:12">
      <c r="A4319" s="20" t="s">
        <v>2141</v>
      </c>
      <c r="B4319" s="21" t="s">
        <v>1005</v>
      </c>
      <c r="C4319" s="21" t="s">
        <v>949</v>
      </c>
      <c r="D4319" s="21" t="s">
        <v>950</v>
      </c>
      <c r="E4319" s="22">
        <f>IF(D4319="?OLD","!!!","")</f>
        <v/>
      </c>
      <c r="F4319" s="23" t="str">
        <f>IF(OR(E4319="",E4319="!!!"),"",IF(NOT(ISNA(VLOOKUP(E4319,E$1:E4318,1,FALSE()))),"OLD",IF(AND(E4319&lt;&gt;"",E4319&lt;&gt;"!!!"),"NEW","")))</f>
        <v> </v>
      </c>
      <c r="G4319" s="24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5" t="str">
        <f>IF(J4319&lt;&gt;1,"",IF(I4319="SBJ","CB","?"))</f>
        <v> </v>
      </c>
      <c r="I4319" s="26" t="str">
        <f>IF(OR(E4319="",E4319="!!!",F4319="NEW"),"",INDEX(B4318:B$2,-1+SUMPRODUCT(MAX(ROW(E4318:E$2)*(E4319=E4318:E$2)))))</f>
        <v> </v>
      </c>
      <c r="J4319" s="26" t="str">
        <f>IF(OR(E4319="",E4319="!!!",F4319="NEW"),"",COUNTBLANK(OFFSET(A$1,,,SUMPRODUCT(MAX(ROW(E$2:E4319)*(E4319=E$2:E4319)))))-COUNTBLANK(OFFSET(A$1,,,SUMPRODUCT(MAX(ROW(E$1:E4318)*(E2=E$1:E4318))))))</f>
        <v> </v>
      </c>
      <c r="K4319" s="26" t="str">
        <f>IF(OR(E4319="",E4319="!!!",F4319="NEW"),"",INDEX(J$1:J4318,SUMPRODUCT(MAX(ROW(E$1:E4318)*(E4319=E$1:E4318)))))</f>
        <v> </v>
      </c>
      <c r="L4319" s="27"/>
    </row>
    <row r="4320" spans="1:12">
      <c r="A4320" s="20" t="s">
        <v>1000</v>
      </c>
      <c r="E4320" s="22">
        <f>IF(D4320="?OLD","!!!","")</f>
        <v/>
      </c>
      <c r="F4320" s="23" t="str">
        <f>IF(OR(E4320="",E4320="!!!"),"",IF(NOT(ISNA(VLOOKUP(E4320,E$1:E4319,1,FALSE()))),"OLD",IF(AND(E4320&lt;&gt;"",E4320&lt;&gt;"!!!"),"NEW","")))</f>
        <v> </v>
      </c>
      <c r="G4320" s="24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5" t="str">
        <f>IF(J4320&lt;&gt;1,"",IF(I4320="SBJ","CB","?"))</f>
        <v> </v>
      </c>
      <c r="I4320" s="26" t="str">
        <f>IF(OR(E4320="",E4320="!!!",F4320="NEW"),"",INDEX(B4319:B$2,-1+SUMPRODUCT(MAX(ROW(E4319:E$2)*(E4320=E4319:E$2)))))</f>
        <v> </v>
      </c>
      <c r="J4320" s="26" t="str">
        <f>IF(OR(E4320="",E4320="!!!",F4320="NEW"),"",COUNTBLANK(OFFSET(A$1,,,SUMPRODUCT(MAX(ROW(E$2:E4320)*(E4320=E$2:E4320)))))-COUNTBLANK(OFFSET(A$1,,,SUMPRODUCT(MAX(ROW(E$1:E4319)*(E2=E$1:E4319))))))</f>
        <v> </v>
      </c>
      <c r="K4320" s="26" t="str">
        <f>IF(OR(E4320="",E4320="!!!",F4320="NEW"),"",INDEX(J$1:J4319,SUMPRODUCT(MAX(ROW(E$1:E4319)*(E4320=E$1:E4319)))))</f>
        <v> </v>
      </c>
      <c r="L4320" s="27"/>
    </row>
    <row r="4321" spans="1:12">
      <c r="A4321" s="20" t="s">
        <v>1002</v>
      </c>
      <c r="B4321" s="21" t="s">
        <v>1080</v>
      </c>
      <c r="C4321" s="21" t="s">
        <v>960</v>
      </c>
      <c r="D4321" s="21" t="s">
        <v>950</v>
      </c>
      <c r="E4321" s="22">
        <f>IF(D4321="?OLD","!!!","")</f>
        <v/>
      </c>
      <c r="F4321" s="23" t="str">
        <f>IF(OR(E4321="",E4321="!!!"),"",IF(NOT(ISNA(VLOOKUP(E4321,E$1:E4320,1,FALSE()))),"OLD",IF(AND(E4321&lt;&gt;"",E4321&lt;&gt;"!!!"),"NEW","")))</f>
        <v> </v>
      </c>
      <c r="G4321" s="24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5" t="str">
        <f>IF(J4321&lt;&gt;1,"",IF(I4321="SBJ","CB","?"))</f>
        <v> </v>
      </c>
      <c r="I4321" s="26" t="str">
        <f>IF(OR(E4321="",E4321="!!!",F4321="NEW"),"",INDEX(B4320:B$2,-1+SUMPRODUCT(MAX(ROW(E4320:E$2)*(E4321=E4320:E$2)))))</f>
        <v> </v>
      </c>
      <c r="J4321" s="26" t="str">
        <f>IF(OR(E4321="",E4321="!!!",F4321="NEW"),"",COUNTBLANK(OFFSET(A$1,,,SUMPRODUCT(MAX(ROW(E$2:E4321)*(E4321=E$2:E4321)))))-COUNTBLANK(OFFSET(A$1,,,SUMPRODUCT(MAX(ROW(E$1:E4320)*(E2=E$1:E4320))))))</f>
        <v> </v>
      </c>
      <c r="K4321" s="26" t="str">
        <f>IF(OR(E4321="",E4321="!!!",F4321="NEW"),"",INDEX(J$1:J4320,SUMPRODUCT(MAX(ROW(E$1:E4320)*(E4321=E$1:E4320)))))</f>
        <v> </v>
      </c>
      <c r="L4321" s="27"/>
    </row>
    <row r="4322" spans="1:12">
      <c r="A4322" s="20" t="s">
        <v>1554</v>
      </c>
      <c r="E4322" s="22">
        <f>IF(D4322="?OLD","!!!","")</f>
        <v/>
      </c>
      <c r="F4322" s="23" t="str">
        <f>IF(OR(E4322="",E4322="!!!"),"",IF(NOT(ISNA(VLOOKUP(E4322,E$1:E4321,1,FALSE()))),"OLD",IF(AND(E4322&lt;&gt;"",E4322&lt;&gt;"!!!"),"NEW","")))</f>
        <v> </v>
      </c>
      <c r="G4322" s="24" t="str">
        <f>IF(OR(E4322="",E4322="!!!"),"",IF(OR(J4322=0,AND(J4322=1,K4322=1),AND(J4322=1,I4322="SBJ"),AND(J4322=1,I4322=0)),"?IN_FOCUS",IF(J4322&lt;=2,"?ACTIVATED",IF(J4322&lt;&gt;"","?FAMILIAR",IF(F4322="NEW",IF(ISNA(VLOOKUP(E4322,#REF!,1,FALSE())),"?TYPE_IDENTIFIABLE","?REFERENTIAL"),"_")))))</f>
        <v> </v>
      </c>
      <c r="H4322" s="25" t="str">
        <f>IF(J4322&lt;&gt;1,"",IF(I4322="SBJ","CB","?"))</f>
        <v> </v>
      </c>
      <c r="I4322" s="26" t="str">
        <f>IF(OR(E4322="",E4322="!!!",F4322="NEW"),"",INDEX(B4321:B$2,-1+SUMPRODUCT(MAX(ROW(E4321:E$2)*(E4322=E4321:E$2)))))</f>
        <v> </v>
      </c>
      <c r="J4322" s="26" t="str">
        <f>IF(OR(E4322="",E4322="!!!",F4322="NEW"),"",COUNTBLANK(OFFSET(A$1,,,SUMPRODUCT(MAX(ROW(E$2:E4322)*(E4322=E$2:E4322)))))-COUNTBLANK(OFFSET(A$1,,,SUMPRODUCT(MAX(ROW(E$1:E4321)*(E2=E$1:E4321))))))</f>
        <v> </v>
      </c>
      <c r="K4322" s="26" t="str">
        <f>IF(OR(E4322="",E4322="!!!",F4322="NEW"),"",INDEX(J$1:J4321,SUMPRODUCT(MAX(ROW(E$1:E4321)*(E4322=E$1:E4321)))))</f>
        <v> </v>
      </c>
      <c r="L4322" s="27"/>
    </row>
    <row r="4323" spans="1:12">
      <c r="A4323" s="20" t="s">
        <v>2140</v>
      </c>
      <c r="E4323" s="22">
        <f>IF(D4323="?OLD","!!!","")</f>
        <v/>
      </c>
      <c r="F4323" s="23" t="str">
        <f>IF(OR(E4323="",E4323="!!!"),"",IF(NOT(ISNA(VLOOKUP(E4323,E$1:E4322,1,FALSE()))),"OLD",IF(AND(E4323&lt;&gt;"",E4323&lt;&gt;"!!!"),"NEW","")))</f>
        <v> </v>
      </c>
      <c r="G4323" s="24" t="str">
        <f>IF(OR(E4323="",E4323="!!!"),"",IF(OR(J4323=0,AND(J4323=1,K4323=1),AND(J4323=1,I4323="SBJ"),AND(J4323=1,I4323=0)),"?IN_FOCUS",IF(J4323&lt;=2,"?ACTIVATED",IF(J4323&lt;&gt;"","?FAMILIAR",IF(F4323="NEW",IF(ISNA(VLOOKUP(E4323,#REF!,1,FALSE())),"?TYPE_IDENTIFIABLE","?REFERENTIAL"),"_")))))</f>
        <v> </v>
      </c>
      <c r="H4323" s="25" t="str">
        <f>IF(J4323&lt;&gt;1,"",IF(I4323="SBJ","CB","?"))</f>
        <v> </v>
      </c>
      <c r="I4323" s="26" t="str">
        <f>IF(OR(E4323="",E4323="!!!",F4323="NEW"),"",INDEX(B4322:B$2,-1+SUMPRODUCT(MAX(ROW(E4322:E$2)*(E4323=E4322:E$2)))))</f>
        <v> </v>
      </c>
      <c r="J4323" s="26" t="str">
        <f>IF(OR(E4323="",E4323="!!!",F4323="NEW"),"",COUNTBLANK(OFFSET(A$1,,,SUMPRODUCT(MAX(ROW(E$2:E4323)*(E4323=E$2:E4323)))))-COUNTBLANK(OFFSET(A$1,,,SUMPRODUCT(MAX(ROW(E$1:E4322)*(E2=E$1:E4322))))))</f>
        <v> </v>
      </c>
      <c r="K4323" s="26" t="str">
        <f>IF(OR(E4323="",E4323="!!!",F4323="NEW"),"",INDEX(J$1:J4322,SUMPRODUCT(MAX(ROW(E$1:E4322)*(E4323=E$1:E4322)))))</f>
        <v> </v>
      </c>
      <c r="L4323" s="27"/>
    </row>
    <row r="4324" spans="1:12">
      <c r="A4324" s="20" t="s">
        <v>1022</v>
      </c>
      <c r="E4324" s="22">
        <f>IF(D4324="?OLD","!!!","")</f>
        <v/>
      </c>
      <c r="F4324" s="23" t="str">
        <f>IF(OR(E4324="",E4324="!!!"),"",IF(NOT(ISNA(VLOOKUP(E4324,E$1:E4323,1,FALSE()))),"OLD",IF(AND(E4324&lt;&gt;"",E4324&lt;&gt;"!!!"),"NEW","")))</f>
        <v> </v>
      </c>
      <c r="G4324" s="24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5" t="str">
        <f>IF(J4324&lt;&gt;1,"",IF(I4324="SBJ","CB","?"))</f>
        <v> </v>
      </c>
      <c r="I4324" s="26" t="str">
        <f>IF(OR(E4324="",E4324="!!!",F4324="NEW"),"",INDEX(B4323:B$2,-1+SUMPRODUCT(MAX(ROW(E4323:E$2)*(E4324=E4323:E$2)))))</f>
        <v> </v>
      </c>
      <c r="J4324" s="26" t="str">
        <f>IF(OR(E4324="",E4324="!!!",F4324="NEW"),"",COUNTBLANK(OFFSET(A$1,,,SUMPRODUCT(MAX(ROW(E$2:E4324)*(E4324=E$2:E4324)))))-COUNTBLANK(OFFSET(A$1,,,SUMPRODUCT(MAX(ROW(E$1:E4323)*(E2=E$1:E4323))))))</f>
        <v> </v>
      </c>
      <c r="K4324" s="26" t="str">
        <f>IF(OR(E4324="",E4324="!!!",F4324="NEW"),"",INDEX(J$1:J4323,SUMPRODUCT(MAX(ROW(E$1:E4323)*(E4324=E$1:E4323)))))</f>
        <v> </v>
      </c>
      <c r="L4324" s="27"/>
    </row>
    <row r="4325" spans="1:12">
      <c r="A4325" s="20" t="s">
        <v>2141</v>
      </c>
      <c r="B4325" s="21" t="s">
        <v>1040</v>
      </c>
      <c r="C4325" s="21" t="s">
        <v>1032</v>
      </c>
      <c r="D4325" s="21" t="s">
        <v>950</v>
      </c>
      <c r="E4325" s="22">
        <f>IF(D4325="?OLD","!!!","")</f>
        <v/>
      </c>
      <c r="F4325" s="23" t="str">
        <f>IF(OR(E4325="",E4325="!!!"),"",IF(NOT(ISNA(VLOOKUP(E4325,E$1:E4324,1,FALSE()))),"OLD",IF(AND(E4325&lt;&gt;"",E4325&lt;&gt;"!!!"),"NEW","")))</f>
        <v> </v>
      </c>
      <c r="G4325" s="24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5" t="str">
        <f>IF(J4325&lt;&gt;1,"",IF(I4325="SBJ","CB","?"))</f>
        <v> </v>
      </c>
      <c r="I4325" s="26" t="str">
        <f>IF(OR(E4325="",E4325="!!!",F4325="NEW"),"",INDEX(B4324:B$2,-1+SUMPRODUCT(MAX(ROW(E4324:E$2)*(E4325=E4324:E$2)))))</f>
        <v> </v>
      </c>
      <c r="J4325" s="26" t="str">
        <f>IF(OR(E4325="",E4325="!!!",F4325="NEW"),"",COUNTBLANK(OFFSET(A$1,,,SUMPRODUCT(MAX(ROW(E$2:E4325)*(E4325=E$2:E4325)))))-COUNTBLANK(OFFSET(A$1,,,SUMPRODUCT(MAX(ROW(E$1:E4324)*(E2=E$1:E4324))))))</f>
        <v> </v>
      </c>
      <c r="K4325" s="26" t="str">
        <f>IF(OR(E4325="",E4325="!!!",F4325="NEW"),"",INDEX(J$1:J4324,SUMPRODUCT(MAX(ROW(E$1:E4324)*(E4325=E$1:E4324)))))</f>
        <v> </v>
      </c>
      <c r="L4325" s="27"/>
    </row>
    <row r="4326" spans="1:12">
      <c r="A4326" s="20" t="s">
        <v>1000</v>
      </c>
      <c r="E4326" s="22">
        <f>IF(D4326="?OLD","!!!","")</f>
        <v/>
      </c>
      <c r="F4326" s="23" t="str">
        <f>IF(OR(E4326="",E4326="!!!"),"",IF(NOT(ISNA(VLOOKUP(E4326,E$1:E4325,1,FALSE()))),"OLD",IF(AND(E4326&lt;&gt;"",E4326&lt;&gt;"!!!"),"NEW","")))</f>
        <v> </v>
      </c>
      <c r="G4326" s="24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5" t="str">
        <f>IF(J4326&lt;&gt;1,"",IF(I4326="SBJ","CB","?"))</f>
        <v> </v>
      </c>
      <c r="I4326" s="26" t="str">
        <f>IF(OR(E4326="",E4326="!!!",F4326="NEW"),"",INDEX(B4325:B$2,-1+SUMPRODUCT(MAX(ROW(E4325:E$2)*(E4326=E4325:E$2)))))</f>
        <v> </v>
      </c>
      <c r="J4326" s="26" t="str">
        <f>IF(OR(E4326="",E4326="!!!",F4326="NEW"),"",COUNTBLANK(OFFSET(A$1,,,SUMPRODUCT(MAX(ROW(E$2:E4326)*(E4326=E$2:E4326)))))-COUNTBLANK(OFFSET(A$1,,,SUMPRODUCT(MAX(ROW(E$1:E4325)*(E2=E$1:E4325))))))</f>
        <v> </v>
      </c>
      <c r="K4326" s="26" t="str">
        <f>IF(OR(E4326="",E4326="!!!",F4326="NEW"),"",INDEX(J$1:J4325,SUMPRODUCT(MAX(ROW(E$1:E4325)*(E4326=E$1:E4325)))))</f>
        <v> </v>
      </c>
      <c r="L4326" s="27"/>
    </row>
    <row r="4327" spans="1:12">
      <c r="A4327" s="20" t="s">
        <v>1066</v>
      </c>
      <c r="E4327" s="22">
        <f>IF(D4327="?OLD","!!!","")</f>
        <v/>
      </c>
      <c r="F4327" s="23" t="str">
        <f>IF(OR(E4327="",E4327="!!!"),"",IF(NOT(ISNA(VLOOKUP(E4327,E$1:E4326,1,FALSE()))),"OLD",IF(AND(E4327&lt;&gt;"",E4327&lt;&gt;"!!!"),"NEW","")))</f>
        <v> </v>
      </c>
      <c r="G4327" s="24" t="str">
        <f>IF(OR(E4327="",E4327="!!!"),"",IF(OR(J4327=0,AND(J4327=1,K4327=1),AND(J4327=1,I4327="SBJ"),AND(J4327=1,I4327=0)),"?IN_FOCUS",IF(J4327&lt;=2,"?ACTIVATED",IF(J4327&lt;&gt;"","?FAMILIAR",IF(F4327="NEW",IF(ISNA(VLOOKUP(E4327,#REF!,1,FALSE())),"?TYPE_IDENTIFIABLE","?REFERENTIAL"),"_")))))</f>
        <v> </v>
      </c>
      <c r="H4327" s="25" t="str">
        <f>IF(J4327&lt;&gt;1,"",IF(I4327="SBJ","CB","?"))</f>
        <v> </v>
      </c>
      <c r="I4327" s="26" t="str">
        <f>IF(OR(E4327="",E4327="!!!",F4327="NEW"),"",INDEX(B4326:B$2,-1+SUMPRODUCT(MAX(ROW(E4326:E$2)*(E4327=E4326:E$2)))))</f>
        <v> </v>
      </c>
      <c r="J4327" s="26" t="str">
        <f>IF(OR(E4327="",E4327="!!!",F4327="NEW"),"",COUNTBLANK(OFFSET(A$1,,,SUMPRODUCT(MAX(ROW(E$2:E4327)*(E4327=E$2:E4327)))))-COUNTBLANK(OFFSET(A$1,,,SUMPRODUCT(MAX(ROW(E$1:E4326)*(E2=E$1:E4326))))))</f>
        <v> </v>
      </c>
      <c r="K4327" s="26" t="str">
        <f>IF(OR(E4327="",E4327="!!!",F4327="NEW"),"",INDEX(J$1:J4326,SUMPRODUCT(MAX(ROW(E$1:E4326)*(E4327=E$1:E4326)))))</f>
        <v> </v>
      </c>
      <c r="L4327" s="27"/>
    </row>
    <row r="4328" spans="1:12">
      <c r="A4328" s="20" t="s">
        <v>2142</v>
      </c>
      <c r="E4328" s="22">
        <f>IF(D4328="?OLD","!!!","")</f>
        <v/>
      </c>
      <c r="F4328" s="23" t="str">
        <f>IF(OR(E4328="",E4328="!!!"),"",IF(NOT(ISNA(VLOOKUP(E4328,E$1:E4327,1,FALSE()))),"OLD",IF(AND(E4328&lt;&gt;"",E4328&lt;&gt;"!!!"),"NEW","")))</f>
        <v> </v>
      </c>
      <c r="G4328" s="24" t="str">
        <f>IF(OR(E4328="",E4328="!!!"),"",IF(OR(J4328=0,AND(J4328=1,K4328=1),AND(J4328=1,I4328="SBJ"),AND(J4328=1,I4328=0)),"?IN_FOCUS",IF(J4328&lt;=2,"?ACTIVATED",IF(J4328&lt;&gt;"","?FAMILIAR",IF(F4328="NEW",IF(ISNA(VLOOKUP(E4328,#REF!,1,FALSE())),"?TYPE_IDENTIFIABLE","?REFERENTIAL"),"_")))))</f>
        <v> </v>
      </c>
      <c r="H4328" s="25" t="str">
        <f>IF(J4328&lt;&gt;1,"",IF(I4328="SBJ","CB","?"))</f>
        <v> </v>
      </c>
      <c r="I4328" s="26" t="str">
        <f>IF(OR(E4328="",E4328="!!!",F4328="NEW"),"",INDEX(B4327:B$2,-1+SUMPRODUCT(MAX(ROW(E4327:E$2)*(E4328=E4327:E$2)))))</f>
        <v> </v>
      </c>
      <c r="J4328" s="26" t="str">
        <f>IF(OR(E4328="",E4328="!!!",F4328="NEW"),"",COUNTBLANK(OFFSET(A$1,,,SUMPRODUCT(MAX(ROW(E$2:E4328)*(E4328=E$2:E4328)))))-COUNTBLANK(OFFSET(A$1,,,SUMPRODUCT(MAX(ROW(E$1:E4327)*(E2=E$1:E4327))))))</f>
        <v> </v>
      </c>
      <c r="K4328" s="26" t="str">
        <f>IF(OR(E4328="",E4328="!!!",F4328="NEW"),"",INDEX(J$1:J4327,SUMPRODUCT(MAX(ROW(E$1:E4327)*(E4328=E$1:E4327)))))</f>
        <v> </v>
      </c>
      <c r="L4328" s="27"/>
    </row>
    <row r="4329" spans="1:12">
      <c r="A4329" s="20" t="s">
        <v>1022</v>
      </c>
      <c r="E4329" s="22">
        <f>IF(D4329="?OLD","!!!","")</f>
        <v/>
      </c>
      <c r="F4329" s="23" t="str">
        <f>IF(OR(E4329="",E4329="!!!"),"",IF(NOT(ISNA(VLOOKUP(E4329,E$1:E4328,1,FALSE()))),"OLD",IF(AND(E4329&lt;&gt;"",E4329&lt;&gt;"!!!"),"NEW","")))</f>
        <v> </v>
      </c>
      <c r="G4329" s="24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5" t="str">
        <f>IF(J4329&lt;&gt;1,"",IF(I4329="SBJ","CB","?"))</f>
        <v> </v>
      </c>
      <c r="I4329" s="26" t="str">
        <f>IF(OR(E4329="",E4329="!!!",F4329="NEW"),"",INDEX(B4328:B$2,-1+SUMPRODUCT(MAX(ROW(E4328:E$2)*(E4329=E4328:E$2)))))</f>
        <v> </v>
      </c>
      <c r="J4329" s="26" t="str">
        <f>IF(OR(E4329="",E4329="!!!",F4329="NEW"),"",COUNTBLANK(OFFSET(A$1,,,SUMPRODUCT(MAX(ROW(E$2:E4329)*(E4329=E$2:E4329)))))-COUNTBLANK(OFFSET(A$1,,,SUMPRODUCT(MAX(ROW(E$1:E4328)*(E2=E$1:E4328))))))</f>
        <v> </v>
      </c>
      <c r="K4329" s="26" t="str">
        <f>IF(OR(E4329="",E4329="!!!",F4329="NEW"),"",INDEX(J$1:J4328,SUMPRODUCT(MAX(ROW(E$1:E4328)*(E4329=E$1:E4328)))))</f>
        <v> </v>
      </c>
      <c r="L4329" s="27"/>
    </row>
    <row r="4330" spans="1:12">
      <c r="A4330" s="20" t="s">
        <v>2143</v>
      </c>
      <c r="B4330" s="21" t="s">
        <v>1040</v>
      </c>
      <c r="C4330" s="21" t="s">
        <v>1032</v>
      </c>
      <c r="D4330" s="21" t="s">
        <v>950</v>
      </c>
      <c r="E4330" s="22">
        <f>IF(D4330="?OLD","!!!","")</f>
        <v/>
      </c>
      <c r="F4330" s="23" t="str">
        <f>IF(OR(E4330="",E4330="!!!"),"",IF(NOT(ISNA(VLOOKUP(E4330,E$1:E4329,1,FALSE()))),"OLD",IF(AND(E4330&lt;&gt;"",E4330&lt;&gt;"!!!"),"NEW","")))</f>
        <v> </v>
      </c>
      <c r="G4330" s="24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5" t="str">
        <f>IF(J4330&lt;&gt;1,"",IF(I4330="SBJ","CB","?"))</f>
        <v> </v>
      </c>
      <c r="I4330" s="26" t="str">
        <f>IF(OR(E4330="",E4330="!!!",F4330="NEW"),"",INDEX(B4329:B$2,-1+SUMPRODUCT(MAX(ROW(E4329:E$2)*(E4330=E4329:E$2)))))</f>
        <v> </v>
      </c>
      <c r="J4330" s="26" t="str">
        <f>IF(OR(E4330="",E4330="!!!",F4330="NEW"),"",COUNTBLANK(OFFSET(A$1,,,SUMPRODUCT(MAX(ROW(E$2:E4330)*(E4330=E$2:E4330)))))-COUNTBLANK(OFFSET(A$1,,,SUMPRODUCT(MAX(ROW(E$1:E4329)*(E2=E$1:E4329))))))</f>
        <v> </v>
      </c>
      <c r="K4330" s="26" t="str">
        <f>IF(OR(E4330="",E4330="!!!",F4330="NEW"),"",INDEX(J$1:J4329,SUMPRODUCT(MAX(ROW(E$1:E4329)*(E4330=E$1:E4329)))))</f>
        <v> </v>
      </c>
      <c r="L4330" s="27"/>
    </row>
    <row r="4331" spans="1:12">
      <c r="A4331" s="20" t="s">
        <v>1000</v>
      </c>
      <c r="E4331" s="22">
        <f>IF(D4331="?OLD","!!!","")</f>
        <v/>
      </c>
      <c r="F4331" s="23" t="str">
        <f>IF(OR(E4331="",E4331="!!!"),"",IF(NOT(ISNA(VLOOKUP(E4331,E$1:E4330,1,FALSE()))),"OLD",IF(AND(E4331&lt;&gt;"",E4331&lt;&gt;"!!!"),"NEW","")))</f>
        <v> </v>
      </c>
      <c r="G4331" s="24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5" t="str">
        <f>IF(J4331&lt;&gt;1,"",IF(I4331="SBJ","CB","?"))</f>
        <v> </v>
      </c>
      <c r="I4331" s="26" t="str">
        <f>IF(OR(E4331="",E4331="!!!",F4331="NEW"),"",INDEX(B4330:B$2,-1+SUMPRODUCT(MAX(ROW(E4330:E$2)*(E4331=E4330:E$2)))))</f>
        <v> </v>
      </c>
      <c r="J4331" s="26" t="str">
        <f>IF(OR(E4331="",E4331="!!!",F4331="NEW"),"",COUNTBLANK(OFFSET(A$1,,,SUMPRODUCT(MAX(ROW(E$2:E4331)*(E4331=E$2:E4331)))))-COUNTBLANK(OFFSET(A$1,,,SUMPRODUCT(MAX(ROW(E$1:E4330)*(E2=E$1:E4330))))))</f>
        <v> </v>
      </c>
      <c r="K4331" s="26" t="str">
        <f>IF(OR(E4331="",E4331="!!!",F4331="NEW"),"",INDEX(J$1:J4330,SUMPRODUCT(MAX(ROW(E$1:E4330)*(E4331=E$1:E4330)))))</f>
        <v> </v>
      </c>
      <c r="L4331" s="27"/>
    </row>
    <row r="4332" spans="1:12">
      <c r="A4332" s="20" t="s">
        <v>1072</v>
      </c>
      <c r="E4332" s="22">
        <f>IF(D4332="?OLD","!!!","")</f>
        <v/>
      </c>
      <c r="F4332" s="23" t="str">
        <f>IF(OR(E4332="",E4332="!!!"),"",IF(NOT(ISNA(VLOOKUP(E4332,E$1:E4331,1,FALSE()))),"OLD",IF(AND(E4332&lt;&gt;"",E4332&lt;&gt;"!!!"),"NEW","")))</f>
        <v> </v>
      </c>
      <c r="G4332" s="24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5" t="str">
        <f>IF(J4332&lt;&gt;1,"",IF(I4332="SBJ","CB","?"))</f>
        <v> </v>
      </c>
      <c r="I4332" s="26" t="str">
        <f>IF(OR(E4332="",E4332="!!!",F4332="NEW"),"",INDEX(B4331:B$2,-1+SUMPRODUCT(MAX(ROW(E4331:E$2)*(E4332=E4331:E$2)))))</f>
        <v> </v>
      </c>
      <c r="J4332" s="26" t="str">
        <f>IF(OR(E4332="",E4332="!!!",F4332="NEW"),"",COUNTBLANK(OFFSET(A$1,,,SUMPRODUCT(MAX(ROW(E$2:E4332)*(E4332=E$2:E4332)))))-COUNTBLANK(OFFSET(A$1,,,SUMPRODUCT(MAX(ROW(E$1:E4331)*(E2=E$1:E4331))))))</f>
        <v> </v>
      </c>
      <c r="K4332" s="26" t="str">
        <f>IF(OR(E4332="",E4332="!!!",F4332="NEW"),"",INDEX(J$1:J4331,SUMPRODUCT(MAX(ROW(E$1:E4331)*(E4332=E$1:E4331)))))</f>
        <v> </v>
      </c>
      <c r="L4332" s="27"/>
    </row>
    <row r="4333" spans="1:12">
      <c r="A4333" s="20" t="s">
        <v>961</v>
      </c>
      <c r="E4333" s="22">
        <f>IF(D4333="?OLD","!!!","")</f>
        <v/>
      </c>
      <c r="F4333" s="23" t="str">
        <f>IF(OR(E4333="",E4333="!!!"),"",IF(NOT(ISNA(VLOOKUP(E4333,E$1:E4332,1,FALSE()))),"OLD",IF(AND(E4333&lt;&gt;"",E4333&lt;&gt;"!!!"),"NEW","")))</f>
        <v> </v>
      </c>
      <c r="G4333" s="24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5" t="str">
        <f>IF(J4333&lt;&gt;1,"",IF(I4333="SBJ","CB","?"))</f>
        <v> </v>
      </c>
      <c r="I4333" s="26" t="str">
        <f>IF(OR(E4333="",E4333="!!!",F4333="NEW"),"",INDEX(B4332:B$2,-1+SUMPRODUCT(MAX(ROW(E4332:E$2)*(E4333=E4332:E$2)))))</f>
        <v> </v>
      </c>
      <c r="J4333" s="26" t="str">
        <f>IF(OR(E4333="",E4333="!!!",F4333="NEW"),"",COUNTBLANK(OFFSET(A$1,,,SUMPRODUCT(MAX(ROW(E$2:E4333)*(E4333=E$2:E4333)))))-COUNTBLANK(OFFSET(A$1,,,SUMPRODUCT(MAX(ROW(E$1:E4332)*(E2=E$1:E4332))))))</f>
        <v> </v>
      </c>
      <c r="K4333" s="26" t="str">
        <f>IF(OR(E4333="",E4333="!!!",F4333="NEW"),"",INDEX(J$1:J4332,SUMPRODUCT(MAX(ROW(E$1:E4332)*(E4333=E$1:E4332)))))</f>
        <v> </v>
      </c>
      <c r="L4333" s="27"/>
    </row>
    <row r="4334" spans="1:12">
      <c r="A4334" s="20" t="s">
        <v>1329</v>
      </c>
      <c r="B4334" s="21" t="s">
        <v>948</v>
      </c>
      <c r="C4334" s="21" t="s">
        <v>976</v>
      </c>
      <c r="D4334" s="21" t="s">
        <v>950</v>
      </c>
      <c r="E4334" s="22">
        <f>IF(D4334="?OLD","!!!","")</f>
        <v/>
      </c>
      <c r="F4334" s="23" t="str">
        <f>IF(OR(E4334="",E4334="!!!"),"",IF(NOT(ISNA(VLOOKUP(E4334,E$1:E4333,1,FALSE()))),"OLD",IF(AND(E4334&lt;&gt;"",E4334&lt;&gt;"!!!"),"NEW","")))</f>
        <v> </v>
      </c>
      <c r="G4334" s="24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5" t="str">
        <f>IF(J4334&lt;&gt;1,"",IF(I4334="SBJ","CB","?"))</f>
        <v> </v>
      </c>
      <c r="I4334" s="26" t="str">
        <f>IF(OR(E4334="",E4334="!!!",F4334="NEW"),"",INDEX(B4333:B$2,-1+SUMPRODUCT(MAX(ROW(E4333:E$2)*(E4334=E4333:E$2)))))</f>
        <v> </v>
      </c>
      <c r="J4334" s="26" t="str">
        <f>IF(OR(E4334="",E4334="!!!",F4334="NEW"),"",COUNTBLANK(OFFSET(A$1,,,SUMPRODUCT(MAX(ROW(E$2:E4334)*(E4334=E$2:E4334)))))-COUNTBLANK(OFFSET(A$1,,,SUMPRODUCT(MAX(ROW(E$1:E4333)*(E2=E$1:E4333))))))</f>
        <v> </v>
      </c>
      <c r="K4334" s="26" t="str">
        <f>IF(OR(E4334="",E4334="!!!",F4334="NEW"),"",INDEX(J$1:J4333,SUMPRODUCT(MAX(ROW(E$1:E4333)*(E4334=E$1:E4333)))))</f>
        <v> </v>
      </c>
      <c r="L4334" s="27"/>
    </row>
    <row r="4335" spans="1:12">
      <c r="A4335" s="20" t="s">
        <v>977</v>
      </c>
      <c r="E4335" s="22">
        <f>IF(D4335="?OLD","!!!","")</f>
        <v/>
      </c>
      <c r="F4335" s="23" t="str">
        <f>IF(OR(E4335="",E4335="!!!"),"",IF(NOT(ISNA(VLOOKUP(E4335,E$1:E4334,1,FALSE()))),"OLD",IF(AND(E4335&lt;&gt;"",E4335&lt;&gt;"!!!"),"NEW","")))</f>
        <v> </v>
      </c>
      <c r="G4335" s="24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5" t="str">
        <f>IF(J4335&lt;&gt;1,"",IF(I4335="SBJ","CB","?"))</f>
        <v> </v>
      </c>
      <c r="I4335" s="26" t="str">
        <f>IF(OR(E4335="",E4335="!!!",F4335="NEW"),"",INDEX(B4334:B$2,-1+SUMPRODUCT(MAX(ROW(E4334:E$2)*(E4335=E4334:E$2)))))</f>
        <v> </v>
      </c>
      <c r="J4335" s="26" t="str">
        <f>IF(OR(E4335="",E4335="!!!",F4335="NEW"),"",COUNTBLANK(OFFSET(A$1,,,SUMPRODUCT(MAX(ROW(E$2:E4335)*(E4335=E$2:E4335)))))-COUNTBLANK(OFFSET(A$1,,,SUMPRODUCT(MAX(ROW(E$1:E4334)*(E2=E$1:E4334))))))</f>
        <v> </v>
      </c>
      <c r="K4335" s="26" t="str">
        <f>IF(OR(E4335="",E4335="!!!",F4335="NEW"),"",INDEX(J$1:J4334,SUMPRODUCT(MAX(ROW(E$1:E4334)*(E4335=E$1:E4334)))))</f>
        <v> </v>
      </c>
      <c r="L4335" s="27"/>
    </row>
    <row r="4336" spans="1:12">
      <c r="A4336" s="20" t="s">
        <v>2144</v>
      </c>
      <c r="B4336" s="21" t="s">
        <v>948</v>
      </c>
      <c r="C4336" s="21" t="s">
        <v>983</v>
      </c>
      <c r="E4336" s="22">
        <f>IF(D4336="?OLD","!!!","")</f>
        <v/>
      </c>
      <c r="F4336" s="23" t="str">
        <f>IF(OR(E4336="",E4336="!!!"),"",IF(NOT(ISNA(VLOOKUP(E4336,E$1:E4335,1,FALSE()))),"OLD",IF(AND(E4336&lt;&gt;"",E4336&lt;&gt;"!!!"),"NEW","")))</f>
        <v> </v>
      </c>
      <c r="G4336" s="24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5" t="str">
        <f>IF(J4336&lt;&gt;1,"",IF(I4336="SBJ","CB","?"))</f>
        <v> </v>
      </c>
      <c r="I4336" s="26" t="str">
        <f>IF(OR(E4336="",E4336="!!!",F4336="NEW"),"",INDEX(B4335:B$2,-1+SUMPRODUCT(MAX(ROW(E4335:E$2)*(E4336=E4335:E$2)))))</f>
        <v> </v>
      </c>
      <c r="J4336" s="26" t="str">
        <f>IF(OR(E4336="",E4336="!!!",F4336="NEW"),"",COUNTBLANK(OFFSET(A$1,,,SUMPRODUCT(MAX(ROW(E$2:E4336)*(E4336=E$2:E4336)))))-COUNTBLANK(OFFSET(A$1,,,SUMPRODUCT(MAX(ROW(E$1:E4335)*(E2=E$1:E4335))))))</f>
        <v> </v>
      </c>
      <c r="K4336" s="26" t="str">
        <f>IF(OR(E4336="",E4336="!!!",F4336="NEW"),"",INDEX(J$1:J4335,SUMPRODUCT(MAX(ROW(E$1:E4335)*(E4336=E$1:E4335)))))</f>
        <v> </v>
      </c>
      <c r="L4336" s="27"/>
    </row>
    <row r="4337" spans="1:12">
      <c r="A4337" s="20" t="s">
        <v>1000</v>
      </c>
      <c r="E4337" s="22">
        <f>IF(D4337="?OLD","!!!","")</f>
        <v/>
      </c>
      <c r="F4337" s="23" t="str">
        <f>IF(OR(E4337="",E4337="!!!"),"",IF(NOT(ISNA(VLOOKUP(E4337,E$1:E4336,1,FALSE()))),"OLD",IF(AND(E4337&lt;&gt;"",E4337&lt;&gt;"!!!"),"NEW","")))</f>
        <v> </v>
      </c>
      <c r="G4337" s="24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5" t="str">
        <f>IF(J4337&lt;&gt;1,"",IF(I4337="SBJ","CB","?"))</f>
        <v> </v>
      </c>
      <c r="I4337" s="26" t="str">
        <f>IF(OR(E4337="",E4337="!!!",F4337="NEW"),"",INDEX(B4336:B$2,-1+SUMPRODUCT(MAX(ROW(E4336:E$2)*(E4337=E4336:E$2)))))</f>
        <v> </v>
      </c>
      <c r="J4337" s="26" t="str">
        <f>IF(OR(E4337="",E4337="!!!",F4337="NEW"),"",COUNTBLANK(OFFSET(A$1,,,SUMPRODUCT(MAX(ROW(E$2:E4337)*(E4337=E$2:E4337)))))-COUNTBLANK(OFFSET(A$1,,,SUMPRODUCT(MAX(ROW(E$1:E4336)*(E2=E$1:E4336))))))</f>
        <v> </v>
      </c>
      <c r="K4337" s="26" t="str">
        <f>IF(OR(E4337="",E4337="!!!",F4337="NEW"),"",INDEX(J$1:J4336,SUMPRODUCT(MAX(ROW(E$1:E4336)*(E4337=E$1:E4336)))))</f>
        <v> </v>
      </c>
      <c r="L4337" s="27"/>
    </row>
    <row r="4338" spans="1:12">
      <c r="A4338" s="20" t="s">
        <v>1126</v>
      </c>
      <c r="E4338" s="22">
        <f>IF(D4338="?OLD","!!!","")</f>
        <v/>
      </c>
      <c r="F4338" s="23" t="str">
        <f>IF(OR(E4338="",E4338="!!!"),"",IF(NOT(ISNA(VLOOKUP(E4338,E$1:E4337,1,FALSE()))),"OLD",IF(AND(E4338&lt;&gt;"",E4338&lt;&gt;"!!!"),"NEW","")))</f>
        <v> </v>
      </c>
      <c r="G4338" s="24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5" t="str">
        <f>IF(J4338&lt;&gt;1,"",IF(I4338="SBJ","CB","?"))</f>
        <v> </v>
      </c>
      <c r="I4338" s="26" t="str">
        <f>IF(OR(E4338="",E4338="!!!",F4338="NEW"),"",INDEX(B4337:B$2,-1+SUMPRODUCT(MAX(ROW(E4337:E$2)*(E4338=E4337:E$2)))))</f>
        <v> </v>
      </c>
      <c r="J4338" s="26" t="str">
        <f>IF(OR(E4338="",E4338="!!!",F4338="NEW"),"",COUNTBLANK(OFFSET(A$1,,,SUMPRODUCT(MAX(ROW(E$2:E4338)*(E4338=E$2:E4338)))))-COUNTBLANK(OFFSET(A$1,,,SUMPRODUCT(MAX(ROW(E$1:E4337)*(E2=E$1:E4337))))))</f>
        <v> </v>
      </c>
      <c r="K4338" s="26" t="str">
        <f>IF(OR(E4338="",E4338="!!!",F4338="NEW"),"",INDEX(J$1:J4337,SUMPRODUCT(MAX(ROW(E$1:E4337)*(E4338=E$1:E4337)))))</f>
        <v> </v>
      </c>
      <c r="L4338" s="27"/>
    </row>
    <row r="4339" spans="1:12">
      <c r="A4339" s="20" t="s">
        <v>1072</v>
      </c>
      <c r="E4339" s="22">
        <f>IF(D4339="?OLD","!!!","")</f>
        <v/>
      </c>
      <c r="F4339" s="23" t="str">
        <f>IF(OR(E4339="",E4339="!!!"),"",IF(NOT(ISNA(VLOOKUP(E4339,E$1:E4338,1,FALSE()))),"OLD",IF(AND(E4339&lt;&gt;"",E4339&lt;&gt;"!!!"),"NEW","")))</f>
        <v> </v>
      </c>
      <c r="G4339" s="24" t="str">
        <f>IF(OR(E4339="",E4339="!!!"),"",IF(OR(J4339=0,AND(J4339=1,K4339=1),AND(J4339=1,I4339="SBJ"),AND(J4339=1,I4339=0)),"?IN_FOCUS",IF(J4339&lt;=2,"?ACTIVATED",IF(J4339&lt;&gt;"","?FAMILIAR",IF(F4339="NEW",IF(ISNA(VLOOKUP(E4339,#REF!,1,FALSE())),"?TYPE_IDENTIFIABLE","?REFERENTIAL"),"_")))))</f>
        <v> </v>
      </c>
      <c r="H4339" s="25" t="str">
        <f>IF(J4339&lt;&gt;1,"",IF(I4339="SBJ","CB","?"))</f>
        <v> </v>
      </c>
      <c r="I4339" s="26" t="str">
        <f>IF(OR(E4339="",E4339="!!!",F4339="NEW"),"",INDEX(B4338:B$2,-1+SUMPRODUCT(MAX(ROW(E4338:E$2)*(E4339=E4338:E$2)))))</f>
        <v> </v>
      </c>
      <c r="J4339" s="26" t="str">
        <f>IF(OR(E4339="",E4339="!!!",F4339="NEW"),"",COUNTBLANK(OFFSET(A$1,,,SUMPRODUCT(MAX(ROW(E$2:E4339)*(E4339=E$2:E4339)))))-COUNTBLANK(OFFSET(A$1,,,SUMPRODUCT(MAX(ROW(E$1:E4338)*(E2=E$1:E4338))))))</f>
        <v> </v>
      </c>
      <c r="K4339" s="26" t="str">
        <f>IF(OR(E4339="",E4339="!!!",F4339="NEW"),"",INDEX(J$1:J4338,SUMPRODUCT(MAX(ROW(E$1:E4338)*(E4339=E$1:E4338)))))</f>
        <v> </v>
      </c>
      <c r="L4339" s="27"/>
    </row>
    <row r="4340" spans="1:12">
      <c r="A4340" s="20" t="s">
        <v>1019</v>
      </c>
      <c r="E4340" s="22">
        <f>IF(D4340="?OLD","!!!","")</f>
        <v/>
      </c>
      <c r="F4340" s="23" t="str">
        <f>IF(OR(E4340="",E4340="!!!"),"",IF(NOT(ISNA(VLOOKUP(E4340,E$1:E4339,1,FALSE()))),"OLD",IF(AND(E4340&lt;&gt;"",E4340&lt;&gt;"!!!"),"NEW","")))</f>
        <v> </v>
      </c>
      <c r="G4340" s="24" t="str">
        <f>IF(OR(E4340="",E4340="!!!"),"",IF(OR(J4340=0,AND(J4340=1,K4340=1),AND(J4340=1,I4340="SBJ"),AND(J4340=1,I4340=0)),"?IN_FOCUS",IF(J4340&lt;=2,"?ACTIVATED",IF(J4340&lt;&gt;"","?FAMILIAR",IF(F4340="NEW",IF(ISNA(VLOOKUP(E4340,#REF!,1,FALSE())),"?TYPE_IDENTIFIABLE","?REFERENTIAL"),"_")))))</f>
        <v> </v>
      </c>
      <c r="H4340" s="25" t="str">
        <f>IF(J4340&lt;&gt;1,"",IF(I4340="SBJ","CB","?"))</f>
        <v> </v>
      </c>
      <c r="I4340" s="26" t="str">
        <f>IF(OR(E4340="",E4340="!!!",F4340="NEW"),"",INDEX(B4339:B$2,-1+SUMPRODUCT(MAX(ROW(E4339:E$2)*(E4340=E4339:E$2)))))</f>
        <v> </v>
      </c>
      <c r="J4340" s="26" t="str">
        <f>IF(OR(E4340="",E4340="!!!",F4340="NEW"),"",COUNTBLANK(OFFSET(A$1,,,SUMPRODUCT(MAX(ROW(E$2:E4340)*(E4340=E$2:E4340)))))-COUNTBLANK(OFFSET(A$1,,,SUMPRODUCT(MAX(ROW(E$1:E4339)*(E2=E$1:E4339))))))</f>
        <v> </v>
      </c>
      <c r="K4340" s="26" t="str">
        <f>IF(OR(E4340="",E4340="!!!",F4340="NEW"),"",INDEX(J$1:J4339,SUMPRODUCT(MAX(ROW(E$1:E4339)*(E4340=E$1:E4339)))))</f>
        <v> </v>
      </c>
      <c r="L4340" s="27"/>
    </row>
    <row r="4341" spans="1:12">
      <c r="A4341" s="20" t="s">
        <v>1185</v>
      </c>
      <c r="B4341" s="21" t="s">
        <v>948</v>
      </c>
      <c r="C4341" s="21" t="s">
        <v>964</v>
      </c>
      <c r="E4341" s="22">
        <f>IF(D4341="?OLD","!!!","")</f>
        <v/>
      </c>
      <c r="F4341" s="23" t="str">
        <f>IF(OR(E4341="",E4341="!!!"),"",IF(NOT(ISNA(VLOOKUP(E4341,E$1:E4340,1,FALSE()))),"OLD",IF(AND(E4341&lt;&gt;"",E4341&lt;&gt;"!!!"),"NEW","")))</f>
        <v> </v>
      </c>
      <c r="G4341" s="24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5" t="str">
        <f>IF(J4341&lt;&gt;1,"",IF(I4341="SBJ","CB","?"))</f>
        <v> </v>
      </c>
      <c r="I4341" s="26" t="str">
        <f>IF(OR(E4341="",E4341="!!!",F4341="NEW"),"",INDEX(B4340:B$2,-1+SUMPRODUCT(MAX(ROW(E4340:E$2)*(E4341=E4340:E$2)))))</f>
        <v> </v>
      </c>
      <c r="J4341" s="26" t="str">
        <f>IF(OR(E4341="",E4341="!!!",F4341="NEW"),"",COUNTBLANK(OFFSET(A$1,,,SUMPRODUCT(MAX(ROW(E$2:E4341)*(E4341=E$2:E4341)))))-COUNTBLANK(OFFSET(A$1,,,SUMPRODUCT(MAX(ROW(E$1:E4340)*(E2=E$1:E4340))))))</f>
        <v> </v>
      </c>
      <c r="K4341" s="26" t="str">
        <f>IF(OR(E4341="",E4341="!!!",F4341="NEW"),"",INDEX(J$1:J4340,SUMPRODUCT(MAX(ROW(E$1:E4340)*(E4341=E$1:E4340)))))</f>
        <v> </v>
      </c>
      <c r="L4341" s="27"/>
    </row>
    <row r="4342" spans="1:12">
      <c r="A4342" s="20" t="s">
        <v>1000</v>
      </c>
      <c r="E4342" s="22">
        <f>IF(D4342="?OLD","!!!","")</f>
        <v/>
      </c>
      <c r="F4342" s="23" t="str">
        <f>IF(OR(E4342="",E4342="!!!"),"",IF(NOT(ISNA(VLOOKUP(E4342,E$1:E4341,1,FALSE()))),"OLD",IF(AND(E4342&lt;&gt;"",E4342&lt;&gt;"!!!"),"NEW","")))</f>
        <v> </v>
      </c>
      <c r="G4342" s="24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5" t="str">
        <f>IF(J4342&lt;&gt;1,"",IF(I4342="SBJ","CB","?"))</f>
        <v> </v>
      </c>
      <c r="I4342" s="26" t="str">
        <f>IF(OR(E4342="",E4342="!!!",F4342="NEW"),"",INDEX(B4341:B$2,-1+SUMPRODUCT(MAX(ROW(E4341:E$2)*(E4342=E4341:E$2)))))</f>
        <v> </v>
      </c>
      <c r="J4342" s="26" t="str">
        <f>IF(OR(E4342="",E4342="!!!",F4342="NEW"),"",COUNTBLANK(OFFSET(A$1,,,SUMPRODUCT(MAX(ROW(E$2:E4342)*(E4342=E$2:E4342)))))-COUNTBLANK(OFFSET(A$1,,,SUMPRODUCT(MAX(ROW(E$1:E4341)*(E2=E$1:E4341))))))</f>
        <v> </v>
      </c>
      <c r="K4342" s="26" t="str">
        <f>IF(OR(E4342="",E4342="!!!",F4342="NEW"),"",INDEX(J$1:J4341,SUMPRODUCT(MAX(ROW(E$1:E4341)*(E4342=E$1:E4341)))))</f>
        <v> </v>
      </c>
      <c r="L4342" s="27"/>
    </row>
    <row r="4343" spans="1:12">
      <c r="A4343" s="20" t="s">
        <v>1001</v>
      </c>
      <c r="E4343" s="22">
        <f>IF(D4343="?OLD","!!!","")</f>
        <v/>
      </c>
      <c r="F4343" s="23" t="str">
        <f>IF(OR(E4343="",E4343="!!!"),"",IF(NOT(ISNA(VLOOKUP(E4343,E$1:E4342,1,FALSE()))),"OLD",IF(AND(E4343&lt;&gt;"",E4343&lt;&gt;"!!!"),"NEW","")))</f>
        <v> </v>
      </c>
      <c r="G4343" s="24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5" t="str">
        <f>IF(J4343&lt;&gt;1,"",IF(I4343="SBJ","CB","?"))</f>
        <v> </v>
      </c>
      <c r="I4343" s="26" t="str">
        <f>IF(OR(E4343="",E4343="!!!",F4343="NEW"),"",INDEX(B4342:B$2,-1+SUMPRODUCT(MAX(ROW(E4342:E$2)*(E4343=E4342:E$2)))))</f>
        <v> </v>
      </c>
      <c r="J4343" s="26" t="str">
        <f>IF(OR(E4343="",E4343="!!!",F4343="NEW"),"",COUNTBLANK(OFFSET(A$1,,,SUMPRODUCT(MAX(ROW(E$2:E4343)*(E4343=E$2:E4343)))))-COUNTBLANK(OFFSET(A$1,,,SUMPRODUCT(MAX(ROW(E$1:E4342)*(E2=E$1:E4342))))))</f>
        <v> </v>
      </c>
      <c r="K4343" s="26" t="str">
        <f>IF(OR(E4343="",E4343="!!!",F4343="NEW"),"",INDEX(J$1:J4342,SUMPRODUCT(MAX(ROW(E$1:E4342)*(E4343=E$1:E4342)))))</f>
        <v> </v>
      </c>
      <c r="L4343" s="27"/>
    </row>
    <row r="4344" spans="1:12">
      <c r="A4344" s="20" t="s">
        <v>1072</v>
      </c>
      <c r="E4344" s="22">
        <f>IF(D4344="?OLD","!!!","")</f>
        <v/>
      </c>
      <c r="F4344" s="23" t="str">
        <f>IF(OR(E4344="",E4344="!!!"),"",IF(NOT(ISNA(VLOOKUP(E4344,E$1:E4343,1,FALSE()))),"OLD",IF(AND(E4344&lt;&gt;"",E4344&lt;&gt;"!!!"),"NEW","")))</f>
        <v> </v>
      </c>
      <c r="G4344" s="24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5" t="str">
        <f>IF(J4344&lt;&gt;1,"",IF(I4344="SBJ","CB","?"))</f>
        <v> </v>
      </c>
      <c r="I4344" s="26" t="str">
        <f>IF(OR(E4344="",E4344="!!!",F4344="NEW"),"",INDEX(B4343:B$2,-1+SUMPRODUCT(MAX(ROW(E4343:E$2)*(E4344=E4343:E$2)))))</f>
        <v> </v>
      </c>
      <c r="J4344" s="26" t="str">
        <f>IF(OR(E4344="",E4344="!!!",F4344="NEW"),"",COUNTBLANK(OFFSET(A$1,,,SUMPRODUCT(MAX(ROW(E$2:E4344)*(E4344=E$2:E4344)))))-COUNTBLANK(OFFSET(A$1,,,SUMPRODUCT(MAX(ROW(E$1:E4343)*(E2=E$1:E4343))))))</f>
        <v> </v>
      </c>
      <c r="K4344" s="26" t="str">
        <f>IF(OR(E4344="",E4344="!!!",F4344="NEW"),"",INDEX(J$1:J4343,SUMPRODUCT(MAX(ROW(E$1:E4343)*(E4344=E$1:E4343)))))</f>
        <v> </v>
      </c>
      <c r="L4344" s="27"/>
    </row>
    <row r="4345" spans="1:12">
      <c r="A4345" s="20" t="s">
        <v>2145</v>
      </c>
      <c r="E4345" s="22">
        <f>IF(D4345="?OLD","!!!","")</f>
        <v/>
      </c>
      <c r="F4345" s="23" t="str">
        <f>IF(OR(E4345="",E4345="!!!"),"",IF(NOT(ISNA(VLOOKUP(E4345,E$1:E4344,1,FALSE()))),"OLD",IF(AND(E4345&lt;&gt;"",E4345&lt;&gt;"!!!"),"NEW","")))</f>
        <v> </v>
      </c>
      <c r="G4345" s="24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5" t="str">
        <f>IF(J4345&lt;&gt;1,"",IF(I4345="SBJ","CB","?"))</f>
        <v> </v>
      </c>
      <c r="I4345" s="26" t="str">
        <f>IF(OR(E4345="",E4345="!!!",F4345="NEW"),"",INDEX(B4344:B$2,-1+SUMPRODUCT(MAX(ROW(E4344:E$2)*(E4345=E4344:E$2)))))</f>
        <v> </v>
      </c>
      <c r="J4345" s="26" t="str">
        <f>IF(OR(E4345="",E4345="!!!",F4345="NEW"),"",COUNTBLANK(OFFSET(A$1,,,SUMPRODUCT(MAX(ROW(E$2:E4345)*(E4345=E$2:E4345)))))-COUNTBLANK(OFFSET(A$1,,,SUMPRODUCT(MAX(ROW(E$1:E4344)*(E2=E$1:E4344))))))</f>
        <v> </v>
      </c>
      <c r="K4345" s="26" t="str">
        <f>IF(OR(E4345="",E4345="!!!",F4345="NEW"),"",INDEX(J$1:J4344,SUMPRODUCT(MAX(ROW(E$1:E4344)*(E4345=E$1:E4344)))))</f>
        <v> </v>
      </c>
      <c r="L4345" s="27"/>
    </row>
    <row r="4346" spans="1:12">
      <c r="A4346" s="20" t="s">
        <v>984</v>
      </c>
      <c r="E4346" s="22">
        <f>IF(D4346="?OLD","!!!","")</f>
        <v/>
      </c>
      <c r="F4346" s="23" t="str">
        <f>IF(OR(E4346="",E4346="!!!"),"",IF(NOT(ISNA(VLOOKUP(E4346,E$1:E4345,1,FALSE()))),"OLD",IF(AND(E4346&lt;&gt;"",E4346&lt;&gt;"!!!"),"NEW","")))</f>
        <v> </v>
      </c>
      <c r="G4346" s="24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5" t="str">
        <f>IF(J4346&lt;&gt;1,"",IF(I4346="SBJ","CB","?"))</f>
        <v> </v>
      </c>
      <c r="I4346" s="26" t="str">
        <f>IF(OR(E4346="",E4346="!!!",F4346="NEW"),"",INDEX(B4345:B$2,-1+SUMPRODUCT(MAX(ROW(E4345:E$2)*(E4346=E4345:E$2)))))</f>
        <v> </v>
      </c>
      <c r="J4346" s="26" t="str">
        <f>IF(OR(E4346="",E4346="!!!",F4346="NEW"),"",COUNTBLANK(OFFSET(A$1,,,SUMPRODUCT(MAX(ROW(E$2:E4346)*(E4346=E$2:E4346)))))-COUNTBLANK(OFFSET(A$1,,,SUMPRODUCT(MAX(ROW(E$1:E4345)*(E2=E$1:E4345))))))</f>
        <v> </v>
      </c>
      <c r="K4346" s="26" t="str">
        <f>IF(OR(E4346="",E4346="!!!",F4346="NEW"),"",INDEX(J$1:J4345,SUMPRODUCT(MAX(ROW(E$1:E4345)*(E4346=E$1:E4345)))))</f>
        <v> </v>
      </c>
      <c r="L4346" s="27"/>
    </row>
    <row r="4347" spans="1:12">
      <c r="A4347" s="20"/>
    </row>
    <row r="4348" spans="1:12">
      <c r="A4348" s="20" t="s">
        <v>2146</v>
      </c>
    </row>
    <row r="4349" spans="1:12">
      <c r="A4349" s="20" t="s">
        <v>1253</v>
      </c>
      <c r="E4349" s="22">
        <f>IF(D4349="?OLD","!!!","")</f>
        <v/>
      </c>
      <c r="F4349" s="23" t="str">
        <f>IF(OR(E4349="",E4349="!!!"),"",IF(NOT(ISNA(VLOOKUP(E4349,E$1:E4348,1,FALSE()))),"OLD",IF(AND(E4349&lt;&gt;"",E4349&lt;&gt;"!!!"),"NEW","")))</f>
        <v> </v>
      </c>
      <c r="G4349" s="24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5" t="str">
        <f>IF(J4349&lt;&gt;1,"",IF(I4349="SBJ","CB","?"))</f>
        <v> </v>
      </c>
      <c r="I4349" s="26" t="str">
        <f>IF(OR(E4349="",E4349="!!!",F4349="NEW"),"",INDEX(B4348:B$2,-1+SUMPRODUCT(MAX(ROW(E4348:E$2)*(E4349=E4348:E$2)))))</f>
        <v> </v>
      </c>
      <c r="J4349" s="26" t="str">
        <f>IF(OR(E4349="",E4349="!!!",F4349="NEW"),"",COUNTBLANK(OFFSET(A$1,,,SUMPRODUCT(MAX(ROW(E$2:E4349)*(E4349=E$2:E4349)))))-COUNTBLANK(OFFSET(A$1,,,SUMPRODUCT(MAX(ROW(E$1:E4348)*(E2=E$1:E4348))))))</f>
        <v> </v>
      </c>
      <c r="K4349" s="26" t="str">
        <f>IF(OR(E4349="",E4349="!!!",F4349="NEW"),"",INDEX(J$1:J4348,SUMPRODUCT(MAX(ROW(E$1:E4348)*(E4349=E$1:E4348)))))</f>
        <v> </v>
      </c>
      <c r="L4349" s="27"/>
    </row>
    <row r="4350" spans="1:12">
      <c r="A4350" s="20" t="s">
        <v>965</v>
      </c>
      <c r="E4350" s="22">
        <f>IF(D4350="?OLD","!!!","")</f>
        <v/>
      </c>
      <c r="F4350" s="23" t="str">
        <f>IF(OR(E4350="",E4350="!!!"),"",IF(NOT(ISNA(VLOOKUP(E4350,E$1:E4349,1,FALSE()))),"OLD",IF(AND(E4350&lt;&gt;"",E4350&lt;&gt;"!!!"),"NEW","")))</f>
        <v> </v>
      </c>
      <c r="G4350" s="24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5" t="str">
        <f>IF(J4350&lt;&gt;1,"",IF(I4350="SBJ","CB","?"))</f>
        <v> </v>
      </c>
      <c r="I4350" s="26" t="str">
        <f>IF(OR(E4350="",E4350="!!!",F4350="NEW"),"",INDEX(B4349:B$2,-1+SUMPRODUCT(MAX(ROW(E4349:E$2)*(E4350=E4349:E$2)))))</f>
        <v> </v>
      </c>
      <c r="J4350" s="26" t="str">
        <f>IF(OR(E4350="",E4350="!!!",F4350="NEW"),"",COUNTBLANK(OFFSET(A$1,,,SUMPRODUCT(MAX(ROW(E$2:E4350)*(E4350=E$2:E4350)))))-COUNTBLANK(OFFSET(A$1,,,SUMPRODUCT(MAX(ROW(E$1:E4349)*(E2=E$1:E4349))))))</f>
        <v> </v>
      </c>
      <c r="K4350" s="26" t="str">
        <f>IF(OR(E4350="",E4350="!!!",F4350="NEW"),"",INDEX(J$1:J4349,SUMPRODUCT(MAX(ROW(E$1:E4349)*(E4350=E$1:E4349)))))</f>
        <v> </v>
      </c>
      <c r="L4350" s="27"/>
    </row>
    <row r="4351" spans="1:12">
      <c r="A4351" s="20" t="s">
        <v>1006</v>
      </c>
      <c r="E4351" s="22">
        <f>IF(D4351="?OLD","!!!","")</f>
        <v/>
      </c>
      <c r="F4351" s="23" t="str">
        <f>IF(OR(E4351="",E4351="!!!"),"",IF(NOT(ISNA(VLOOKUP(E4351,E$1:E4350,1,FALSE()))),"OLD",IF(AND(E4351&lt;&gt;"",E4351&lt;&gt;"!!!"),"NEW","")))</f>
        <v> </v>
      </c>
      <c r="G4351" s="24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5" t="str">
        <f>IF(J4351&lt;&gt;1,"",IF(I4351="SBJ","CB","?"))</f>
        <v> </v>
      </c>
      <c r="I4351" s="26" t="str">
        <f>IF(OR(E4351="",E4351="!!!",F4351="NEW"),"",INDEX(B4350:B$2,-1+SUMPRODUCT(MAX(ROW(E4350:E$2)*(E4351=E4350:E$2)))))</f>
        <v> </v>
      </c>
      <c r="J4351" s="26" t="str">
        <f>IF(OR(E4351="",E4351="!!!",F4351="NEW"),"",COUNTBLANK(OFFSET(A$1,,,SUMPRODUCT(MAX(ROW(E$2:E4351)*(E4351=E$2:E4351)))))-COUNTBLANK(OFFSET(A$1,,,SUMPRODUCT(MAX(ROW(E$1:E4350)*(E2=E$1:E4350))))))</f>
        <v> </v>
      </c>
      <c r="K4351" s="26" t="str">
        <f>IF(OR(E4351="",E4351="!!!",F4351="NEW"),"",INDEX(J$1:J4350,SUMPRODUCT(MAX(ROW(E$1:E4350)*(E4351=E$1:E4350)))))</f>
        <v> </v>
      </c>
      <c r="L4351" s="27"/>
    </row>
    <row r="4352" spans="1:12">
      <c r="A4352" s="20" t="s">
        <v>1146</v>
      </c>
      <c r="B4352" s="21" t="s">
        <v>980</v>
      </c>
      <c r="C4352" s="21" t="s">
        <v>1029</v>
      </c>
      <c r="D4352" s="21" t="s">
        <v>950</v>
      </c>
      <c r="E4352" s="22">
        <f>IF(D4352="?OLD","!!!","")</f>
        <v/>
      </c>
      <c r="F4352" s="23" t="str">
        <f>IF(OR(E4352="",E4352="!!!"),"",IF(NOT(ISNA(VLOOKUP(E4352,E$1:E4351,1,FALSE()))),"OLD",IF(AND(E4352&lt;&gt;"",E4352&lt;&gt;"!!!"),"NEW","")))</f>
        <v> </v>
      </c>
      <c r="G4352" s="24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5" t="str">
        <f>IF(J4352&lt;&gt;1,"",IF(I4352="SBJ","CB","?"))</f>
        <v> </v>
      </c>
      <c r="I4352" s="26" t="str">
        <f>IF(OR(E4352="",E4352="!!!",F4352="NEW"),"",INDEX(B4351:B$2,-1+SUMPRODUCT(MAX(ROW(E4351:E$2)*(E4352=E4351:E$2)))))</f>
        <v> </v>
      </c>
      <c r="J4352" s="26" t="str">
        <f>IF(OR(E4352="",E4352="!!!",F4352="NEW"),"",COUNTBLANK(OFFSET(A$1,,,SUMPRODUCT(MAX(ROW(E$2:E4352)*(E4352=E$2:E4352)))))-COUNTBLANK(OFFSET(A$1,,,SUMPRODUCT(MAX(ROW(E$1:E4351)*(E2=E$1:E4351))))))</f>
        <v> </v>
      </c>
      <c r="K4352" s="26" t="str">
        <f>IF(OR(E4352="",E4352="!!!",F4352="NEW"),"",INDEX(J$1:J4351,SUMPRODUCT(MAX(ROW(E$1:E4351)*(E4352=E$1:E4351)))))</f>
        <v> </v>
      </c>
      <c r="L4352" s="27"/>
    </row>
    <row r="4353" spans="1:12">
      <c r="A4353" s="20" t="s">
        <v>1329</v>
      </c>
      <c r="B4353" s="21" t="s">
        <v>1143</v>
      </c>
      <c r="C4353" s="21" t="s">
        <v>1032</v>
      </c>
      <c r="D4353" s="21" t="s">
        <v>950</v>
      </c>
      <c r="E4353" s="22">
        <f>IF(D4353="?OLD","!!!","")</f>
        <v/>
      </c>
      <c r="F4353" s="23" t="str">
        <f>IF(OR(E4353="",E4353="!!!"),"",IF(NOT(ISNA(VLOOKUP(E4353,E$1:E4352,1,FALSE()))),"OLD",IF(AND(E4353&lt;&gt;"",E4353&lt;&gt;"!!!"),"NEW","")))</f>
        <v> </v>
      </c>
      <c r="G4353" s="24" t="str">
        <f>IF(OR(E4353="",E4353="!!!"),"",IF(OR(J4353=0,AND(J4353=1,K4353=1),AND(J4353=1,I4353="SBJ"),AND(J4353=1,I4353=0)),"?IN_FOCUS",IF(J4353&lt;=2,"?ACTIVATED",IF(J4353&lt;&gt;"","?FAMILIAR",IF(F4353="NEW",IF(ISNA(VLOOKUP(E4353,#REF!,1,FALSE())),"?TYPE_IDENTIFIABLE","?REFERENTIAL"),"_")))))</f>
        <v> </v>
      </c>
      <c r="H4353" s="25" t="str">
        <f>IF(J4353&lt;&gt;1,"",IF(I4353="SBJ","CB","?"))</f>
        <v> </v>
      </c>
      <c r="I4353" s="26" t="str">
        <f>IF(OR(E4353="",E4353="!!!",F4353="NEW"),"",INDEX(B4352:B$2,-1+SUMPRODUCT(MAX(ROW(E4352:E$2)*(E4353=E4352:E$2)))))</f>
        <v> </v>
      </c>
      <c r="J4353" s="26" t="str">
        <f>IF(OR(E4353="",E4353="!!!",F4353="NEW"),"",COUNTBLANK(OFFSET(A$1,,,SUMPRODUCT(MAX(ROW(E$2:E4353)*(E4353=E$2:E4353)))))-COUNTBLANK(OFFSET(A$1,,,SUMPRODUCT(MAX(ROW(E$1:E4352)*(E2=E$1:E4352))))))</f>
        <v> </v>
      </c>
      <c r="K4353" s="26" t="str">
        <f>IF(OR(E4353="",E4353="!!!",F4353="NEW"),"",INDEX(J$1:J4352,SUMPRODUCT(MAX(ROW(E$1:E4352)*(E4353=E$1:E4352)))))</f>
        <v> </v>
      </c>
      <c r="L4353" s="27"/>
    </row>
    <row r="4354" spans="1:12">
      <c r="A4354" s="20" t="s">
        <v>1072</v>
      </c>
      <c r="E4354" s="22">
        <f>IF(D4354="?OLD","!!!","")</f>
        <v/>
      </c>
      <c r="F4354" s="23" t="str">
        <f>IF(OR(E4354="",E4354="!!!"),"",IF(NOT(ISNA(VLOOKUP(E4354,E$1:E4353,1,FALSE()))),"OLD",IF(AND(E4354&lt;&gt;"",E4354&lt;&gt;"!!!"),"NEW","")))</f>
        <v> </v>
      </c>
      <c r="G4354" s="24" t="str">
        <f>IF(OR(E4354="",E4354="!!!"),"",IF(OR(J4354=0,AND(J4354=1,K4354=1),AND(J4354=1,I4354="SBJ"),AND(J4354=1,I4354=0)),"?IN_FOCUS",IF(J4354&lt;=2,"?ACTIVATED",IF(J4354&lt;&gt;"","?FAMILIAR",IF(F4354="NEW",IF(ISNA(VLOOKUP(E4354,#REF!,1,FALSE())),"?TYPE_IDENTIFIABLE","?REFERENTIAL"),"_")))))</f>
        <v> </v>
      </c>
      <c r="H4354" s="25" t="str">
        <f>IF(J4354&lt;&gt;1,"",IF(I4354="SBJ","CB","?"))</f>
        <v> </v>
      </c>
      <c r="I4354" s="26" t="str">
        <f>IF(OR(E4354="",E4354="!!!",F4354="NEW"),"",INDEX(B4353:B$2,-1+SUMPRODUCT(MAX(ROW(E4353:E$2)*(E4354=E4353:E$2)))))</f>
        <v> </v>
      </c>
      <c r="J4354" s="26" t="str">
        <f>IF(OR(E4354="",E4354="!!!",F4354="NEW"),"",COUNTBLANK(OFFSET(A$1,,,SUMPRODUCT(MAX(ROW(E$2:E4354)*(E4354=E$2:E4354)))))-COUNTBLANK(OFFSET(A$1,,,SUMPRODUCT(MAX(ROW(E$1:E4353)*(E2=E$1:E4353))))))</f>
        <v> </v>
      </c>
      <c r="K4354" s="26" t="str">
        <f>IF(OR(E4354="",E4354="!!!",F4354="NEW"),"",INDEX(J$1:J4353,SUMPRODUCT(MAX(ROW(E$1:E4353)*(E4354=E$1:E4353)))))</f>
        <v> </v>
      </c>
      <c r="L4354" s="27"/>
    </row>
    <row r="4355" spans="1:12">
      <c r="A4355" s="20" t="s">
        <v>283</v>
      </c>
      <c r="E4355" s="22">
        <f>IF(D4355="?OLD","!!!","")</f>
        <v/>
      </c>
      <c r="F4355" s="23" t="str">
        <f>IF(OR(E4355="",E4355="!!!"),"",IF(NOT(ISNA(VLOOKUP(E4355,E$1:E4354,1,FALSE()))),"OLD",IF(AND(E4355&lt;&gt;"",E4355&lt;&gt;"!!!"),"NEW","")))</f>
        <v> </v>
      </c>
      <c r="G4355" s="24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5" t="str">
        <f>IF(J4355&lt;&gt;1,"",IF(I4355="SBJ","CB","?"))</f>
        <v> </v>
      </c>
      <c r="I4355" s="26" t="str">
        <f>IF(OR(E4355="",E4355="!!!",F4355="NEW"),"",INDEX(B4354:B$2,-1+SUMPRODUCT(MAX(ROW(E4354:E$2)*(E4355=E4354:E$2)))))</f>
        <v> </v>
      </c>
      <c r="J4355" s="26" t="str">
        <f>IF(OR(E4355="",E4355="!!!",F4355="NEW"),"",COUNTBLANK(OFFSET(A$1,,,SUMPRODUCT(MAX(ROW(E$2:E4355)*(E4355=E$2:E4355)))))-COUNTBLANK(OFFSET(A$1,,,SUMPRODUCT(MAX(ROW(E$1:E4354)*(E2=E$1:E4354))))))</f>
        <v> </v>
      </c>
      <c r="K4355" s="26" t="str">
        <f>IF(OR(E4355="",E4355="!!!",F4355="NEW"),"",INDEX(J$1:J4354,SUMPRODUCT(MAX(ROW(E$1:E4354)*(E4355=E$1:E4354)))))</f>
        <v> </v>
      </c>
      <c r="L4355" s="27"/>
    </row>
    <row r="4356" spans="1:12">
      <c r="A4356" s="20" t="s">
        <v>1232</v>
      </c>
      <c r="B4356" s="21" t="s">
        <v>975</v>
      </c>
      <c r="C4356" s="21" t="s">
        <v>983</v>
      </c>
      <c r="E4356" s="22">
        <f>IF(D4356="?OLD","!!!","")</f>
        <v/>
      </c>
      <c r="F4356" s="23" t="str">
        <f>IF(OR(E4356="",E4356="!!!"),"",IF(NOT(ISNA(VLOOKUP(E4356,E$1:E4355,1,FALSE()))),"OLD",IF(AND(E4356&lt;&gt;"",E4356&lt;&gt;"!!!"),"NEW","")))</f>
        <v> </v>
      </c>
      <c r="G4356" s="24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5" t="str">
        <f>IF(J4356&lt;&gt;1,"",IF(I4356="SBJ","CB","?"))</f>
        <v> </v>
      </c>
      <c r="I4356" s="26" t="str">
        <f>IF(OR(E4356="",E4356="!!!",F4356="NEW"),"",INDEX(B4355:B$2,-1+SUMPRODUCT(MAX(ROW(E4355:E$2)*(E4356=E4355:E$2)))))</f>
        <v> </v>
      </c>
      <c r="J4356" s="26" t="str">
        <f>IF(OR(E4356="",E4356="!!!",F4356="NEW"),"",COUNTBLANK(OFFSET(A$1,,,SUMPRODUCT(MAX(ROW(E$2:E4356)*(E4356=E$2:E4356)))))-COUNTBLANK(OFFSET(A$1,,,SUMPRODUCT(MAX(ROW(E$1:E4355)*(E2=E$1:E4355))))))</f>
        <v> </v>
      </c>
      <c r="K4356" s="26" t="str">
        <f>IF(OR(E4356="",E4356="!!!",F4356="NEW"),"",INDEX(J$1:J4355,SUMPRODUCT(MAX(ROW(E$1:E4355)*(E4356=E$1:E4355)))))</f>
        <v> </v>
      </c>
      <c r="L4356" s="27"/>
    </row>
    <row r="4357" spans="1:12">
      <c r="A4357" s="20" t="s">
        <v>1841</v>
      </c>
      <c r="E4357" s="22">
        <f>IF(D4357="?OLD","!!!","")</f>
        <v/>
      </c>
      <c r="F4357" s="23" t="str">
        <f>IF(OR(E4357="",E4357="!!!"),"",IF(NOT(ISNA(VLOOKUP(E4357,E$1:E4356,1,FALSE()))),"OLD",IF(AND(E4357&lt;&gt;"",E4357&lt;&gt;"!!!"),"NEW","")))</f>
        <v> </v>
      </c>
      <c r="G4357" s="24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5" t="str">
        <f>IF(J4357&lt;&gt;1,"",IF(I4357="SBJ","CB","?"))</f>
        <v> </v>
      </c>
      <c r="I4357" s="26" t="str">
        <f>IF(OR(E4357="",E4357="!!!",F4357="NEW"),"",INDEX(B4356:B$2,-1+SUMPRODUCT(MAX(ROW(E4356:E$2)*(E4357=E4356:E$2)))))</f>
        <v> </v>
      </c>
      <c r="J4357" s="26" t="str">
        <f>IF(OR(E4357="",E4357="!!!",F4357="NEW"),"",COUNTBLANK(OFFSET(A$1,,,SUMPRODUCT(MAX(ROW(E$2:E4357)*(E4357=E$2:E4357)))))-COUNTBLANK(OFFSET(A$1,,,SUMPRODUCT(MAX(ROW(E$1:E4356)*(E2=E$1:E4356))))))</f>
        <v> </v>
      </c>
      <c r="K4357" s="26" t="str">
        <f>IF(OR(E4357="",E4357="!!!",F4357="NEW"),"",INDEX(J$1:J4356,SUMPRODUCT(MAX(ROW(E$1:E4356)*(E4357=E$1:E4356)))))</f>
        <v> </v>
      </c>
      <c r="L4357" s="27"/>
    </row>
    <row r="4358" spans="1:12">
      <c r="A4358" s="20" t="s">
        <v>984</v>
      </c>
      <c r="E4358" s="22">
        <f>IF(D4358="?OLD","!!!","")</f>
        <v/>
      </c>
      <c r="F4358" s="23" t="str">
        <f>IF(OR(E4358="",E4358="!!!"),"",IF(NOT(ISNA(VLOOKUP(E4358,E$1:E4357,1,FALSE()))),"OLD",IF(AND(E4358&lt;&gt;"",E4358&lt;&gt;"!!!"),"NEW","")))</f>
        <v> </v>
      </c>
      <c r="G4358" s="24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5" t="str">
        <f>IF(J4358&lt;&gt;1,"",IF(I4358="SBJ","CB","?"))</f>
        <v> </v>
      </c>
      <c r="I4358" s="26" t="str">
        <f>IF(OR(E4358="",E4358="!!!",F4358="NEW"),"",INDEX(B4357:B$2,-1+SUMPRODUCT(MAX(ROW(E4357:E$2)*(E4358=E4357:E$2)))))</f>
        <v> </v>
      </c>
      <c r="J4358" s="26" t="str">
        <f>IF(OR(E4358="",E4358="!!!",F4358="NEW"),"",COUNTBLANK(OFFSET(A$1,,,SUMPRODUCT(MAX(ROW(E$2:E4358)*(E4358=E$2:E4358)))))-COUNTBLANK(OFFSET(A$1,,,SUMPRODUCT(MAX(ROW(E$1:E4357)*(E2=E$1:E4357))))))</f>
        <v> </v>
      </c>
      <c r="K4358" s="26" t="str">
        <f>IF(OR(E4358="",E4358="!!!",F4358="NEW"),"",INDEX(J$1:J4357,SUMPRODUCT(MAX(ROW(E$1:E4357)*(E4358=E$1:E4357)))))</f>
        <v> </v>
      </c>
      <c r="L4358" s="27"/>
    </row>
    <row r="4359" spans="1:12">
      <c r="A4359" s="20"/>
    </row>
    <row r="4360" spans="1:12">
      <c r="A4360" s="20" t="s">
        <v>2147</v>
      </c>
    </row>
    <row r="4361" spans="1:12">
      <c r="A4361" s="20" t="s">
        <v>1092</v>
      </c>
      <c r="E4361" s="22">
        <f>IF(D4361="?OLD","!!!","")</f>
        <v/>
      </c>
      <c r="F4361" s="23" t="str">
        <f>IF(OR(E4361="",E4361="!!!"),"",IF(NOT(ISNA(VLOOKUP(E4361,E$1:E4360,1,FALSE()))),"OLD",IF(AND(E4361&lt;&gt;"",E4361&lt;&gt;"!!!"),"NEW","")))</f>
        <v> </v>
      </c>
      <c r="G4361" s="24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5" t="str">
        <f>IF(J4361&lt;&gt;1,"",IF(I4361="SBJ","CB","?"))</f>
        <v> </v>
      </c>
      <c r="I4361" s="26" t="str">
        <f>IF(OR(E4361="",E4361="!!!",F4361="NEW"),"",INDEX(B4360:B$2,-1+SUMPRODUCT(MAX(ROW(E4360:E$2)*(E4361=E4360:E$2)))))</f>
        <v> </v>
      </c>
      <c r="J4361" s="26" t="str">
        <f>IF(OR(E4361="",E4361="!!!",F4361="NEW"),"",COUNTBLANK(OFFSET(A$1,,,SUMPRODUCT(MAX(ROW(E$2:E4361)*(E4361=E$2:E4361)))))-COUNTBLANK(OFFSET(A$1,,,SUMPRODUCT(MAX(ROW(E$1:E4360)*(E2=E$1:E4360))))))</f>
        <v> </v>
      </c>
      <c r="K4361" s="26" t="str">
        <f>IF(OR(E4361="",E4361="!!!",F4361="NEW"),"",INDEX(J$1:J4360,SUMPRODUCT(MAX(ROW(E$1:E4360)*(E4361=E$1:E4360)))))</f>
        <v> </v>
      </c>
      <c r="L4361" s="27"/>
    </row>
    <row r="4362" spans="1:12">
      <c r="A4362" s="20" t="s">
        <v>1000</v>
      </c>
      <c r="E4362" s="22">
        <f>IF(D4362="?OLD","!!!","")</f>
        <v/>
      </c>
      <c r="F4362" s="23" t="str">
        <f>IF(OR(E4362="",E4362="!!!"),"",IF(NOT(ISNA(VLOOKUP(E4362,E$1:E4361,1,FALSE()))),"OLD",IF(AND(E4362&lt;&gt;"",E4362&lt;&gt;"!!!"),"NEW","")))</f>
        <v> </v>
      </c>
      <c r="G4362" s="24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5" t="str">
        <f>IF(J4362&lt;&gt;1,"",IF(I4362="SBJ","CB","?"))</f>
        <v> </v>
      </c>
      <c r="I4362" s="26" t="str">
        <f>IF(OR(E4362="",E4362="!!!",F4362="NEW"),"",INDEX(B4361:B$2,-1+SUMPRODUCT(MAX(ROW(E4361:E$2)*(E4362=E4361:E$2)))))</f>
        <v> </v>
      </c>
      <c r="J4362" s="26" t="str">
        <f>IF(OR(E4362="",E4362="!!!",F4362="NEW"),"",COUNTBLANK(OFFSET(A$1,,,SUMPRODUCT(MAX(ROW(E$2:E4362)*(E4362=E$2:E4362)))))-COUNTBLANK(OFFSET(A$1,,,SUMPRODUCT(MAX(ROW(E$1:E4361)*(E2=E$1:E4361))))))</f>
        <v> </v>
      </c>
      <c r="K4362" s="26" t="str">
        <f>IF(OR(E4362="",E4362="!!!",F4362="NEW"),"",INDEX(J$1:J4361,SUMPRODUCT(MAX(ROW(E$1:E4361)*(E4362=E$1:E4361)))))</f>
        <v> </v>
      </c>
      <c r="L4362" s="27"/>
    </row>
    <row r="4363" spans="1:12">
      <c r="A4363" s="20" t="s">
        <v>1104</v>
      </c>
      <c r="E4363" s="22">
        <f>IF(D4363="?OLD","!!!","")</f>
        <v/>
      </c>
      <c r="F4363" s="23" t="str">
        <f>IF(OR(E4363="",E4363="!!!"),"",IF(NOT(ISNA(VLOOKUP(E4363,E$1:E4362,1,FALSE()))),"OLD",IF(AND(E4363&lt;&gt;"",E4363&lt;&gt;"!!!"),"NEW","")))</f>
        <v> </v>
      </c>
      <c r="G4363" s="24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5" t="str">
        <f>IF(J4363&lt;&gt;1,"",IF(I4363="SBJ","CB","?"))</f>
        <v> </v>
      </c>
      <c r="I4363" s="26" t="str">
        <f>IF(OR(E4363="",E4363="!!!",F4363="NEW"),"",INDEX(B4362:B$2,-1+SUMPRODUCT(MAX(ROW(E4362:E$2)*(E4363=E4362:E$2)))))</f>
        <v> </v>
      </c>
      <c r="J4363" s="26" t="str">
        <f>IF(OR(E4363="",E4363="!!!",F4363="NEW"),"",COUNTBLANK(OFFSET(A$1,,,SUMPRODUCT(MAX(ROW(E$2:E4363)*(E4363=E$2:E4363)))))-COUNTBLANK(OFFSET(A$1,,,SUMPRODUCT(MAX(ROW(E$1:E4362)*(E2=E$1:E4362))))))</f>
        <v> </v>
      </c>
      <c r="K4363" s="26" t="str">
        <f>IF(OR(E4363="",E4363="!!!",F4363="NEW"),"",INDEX(J$1:J4362,SUMPRODUCT(MAX(ROW(E$1:E4362)*(E4363=E$1:E4362)))))</f>
        <v> </v>
      </c>
      <c r="L4363" s="27"/>
    </row>
    <row r="4364" spans="1:12">
      <c r="A4364" s="20" t="s">
        <v>965</v>
      </c>
      <c r="E4364" s="22">
        <f>IF(D4364="?OLD","!!!","")</f>
        <v/>
      </c>
      <c r="F4364" s="23" t="str">
        <f>IF(OR(E4364="",E4364="!!!"),"",IF(NOT(ISNA(VLOOKUP(E4364,E$1:E4363,1,FALSE()))),"OLD",IF(AND(E4364&lt;&gt;"",E4364&lt;&gt;"!!!"),"NEW","")))</f>
        <v> </v>
      </c>
      <c r="G4364" s="24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5" t="str">
        <f>IF(J4364&lt;&gt;1,"",IF(I4364="SBJ","CB","?"))</f>
        <v> </v>
      </c>
      <c r="I4364" s="26" t="str">
        <f>IF(OR(E4364="",E4364="!!!",F4364="NEW"),"",INDEX(B4363:B$2,-1+SUMPRODUCT(MAX(ROW(E4363:E$2)*(E4364=E4363:E$2)))))</f>
        <v> </v>
      </c>
      <c r="J4364" s="26" t="str">
        <f>IF(OR(E4364="",E4364="!!!",F4364="NEW"),"",COUNTBLANK(OFFSET(A$1,,,SUMPRODUCT(MAX(ROW(E$2:E4364)*(E4364=E$2:E4364)))))-COUNTBLANK(OFFSET(A$1,,,SUMPRODUCT(MAX(ROW(E$1:E4363)*(E2=E$1:E4363))))))</f>
        <v> </v>
      </c>
      <c r="K4364" s="26" t="str">
        <f>IF(OR(E4364="",E4364="!!!",F4364="NEW"),"",INDEX(J$1:J4363,SUMPRODUCT(MAX(ROW(E$1:E4363)*(E4364=E$1:E4363)))))</f>
        <v> </v>
      </c>
      <c r="L4364" s="27"/>
    </row>
    <row r="4365" spans="1:12">
      <c r="A4365" s="20" t="s">
        <v>1035</v>
      </c>
      <c r="B4365" s="21" t="s">
        <v>966</v>
      </c>
      <c r="C4365" s="21" t="s">
        <v>960</v>
      </c>
      <c r="D4365" s="21" t="s">
        <v>950</v>
      </c>
      <c r="E4365" s="22">
        <f>IF(D4365="?OLD","!!!","")</f>
        <v/>
      </c>
      <c r="F4365" s="23" t="str">
        <f>IF(OR(E4365="",E4365="!!!"),"",IF(NOT(ISNA(VLOOKUP(E4365,E$1:E4364,1,FALSE()))),"OLD",IF(AND(E4365&lt;&gt;"",E4365&lt;&gt;"!!!"),"NEW","")))</f>
        <v> </v>
      </c>
      <c r="G4365" s="24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5" t="str">
        <f>IF(J4365&lt;&gt;1,"",IF(I4365="SBJ","CB","?"))</f>
        <v> </v>
      </c>
      <c r="I4365" s="26" t="str">
        <f>IF(OR(E4365="",E4365="!!!",F4365="NEW"),"",INDEX(B4364:B$2,-1+SUMPRODUCT(MAX(ROW(E4364:E$2)*(E4365=E4364:E$2)))))</f>
        <v> </v>
      </c>
      <c r="J4365" s="26" t="str">
        <f>IF(OR(E4365="",E4365="!!!",F4365="NEW"),"",COUNTBLANK(OFFSET(A$1,,,SUMPRODUCT(MAX(ROW(E$2:E4365)*(E4365=E$2:E4365)))))-COUNTBLANK(OFFSET(A$1,,,SUMPRODUCT(MAX(ROW(E$1:E4364)*(E2=E$1:E4364))))))</f>
        <v> </v>
      </c>
      <c r="K4365" s="26" t="str">
        <f>IF(OR(E4365="",E4365="!!!",F4365="NEW"),"",INDEX(J$1:J4364,SUMPRODUCT(MAX(ROW(E$1:E4364)*(E4365=E$1:E4364)))))</f>
        <v> </v>
      </c>
      <c r="L4365" s="27"/>
    </row>
    <row r="4366" spans="1:12">
      <c r="A4366" s="20" t="s">
        <v>1711</v>
      </c>
      <c r="E4366" s="22">
        <f>IF(D4366="?OLD","!!!","")</f>
        <v/>
      </c>
      <c r="F4366" s="23" t="str">
        <f>IF(OR(E4366="",E4366="!!!"),"",IF(NOT(ISNA(VLOOKUP(E4366,E$1:E4365,1,FALSE()))),"OLD",IF(AND(E4366&lt;&gt;"",E4366&lt;&gt;"!!!"),"NEW","")))</f>
        <v> </v>
      </c>
      <c r="G4366" s="24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5" t="str">
        <f>IF(J4366&lt;&gt;1,"",IF(I4366="SBJ","CB","?"))</f>
        <v> </v>
      </c>
      <c r="I4366" s="26" t="str">
        <f>IF(OR(E4366="",E4366="!!!",F4366="NEW"),"",INDEX(B4365:B$2,-1+SUMPRODUCT(MAX(ROW(E4365:E$2)*(E4366=E4365:E$2)))))</f>
        <v> </v>
      </c>
      <c r="J4366" s="26" t="str">
        <f>IF(OR(E4366="",E4366="!!!",F4366="NEW"),"",COUNTBLANK(OFFSET(A$1,,,SUMPRODUCT(MAX(ROW(E$2:E4366)*(E4366=E$2:E4366)))))-COUNTBLANK(OFFSET(A$1,,,SUMPRODUCT(MAX(ROW(E$1:E4365)*(E2=E$1:E4365))))))</f>
        <v> </v>
      </c>
      <c r="K4366" s="26" t="str">
        <f>IF(OR(E4366="",E4366="!!!",F4366="NEW"),"",INDEX(J$1:J4365,SUMPRODUCT(MAX(ROW(E$1:E4365)*(E4366=E$1:E4365)))))</f>
        <v> </v>
      </c>
      <c r="L4366" s="27"/>
    </row>
    <row r="4367" spans="1:12">
      <c r="A4367" s="20" t="s">
        <v>1000</v>
      </c>
      <c r="E4367" s="22">
        <f>IF(D4367="?OLD","!!!","")</f>
        <v/>
      </c>
      <c r="F4367" s="23" t="str">
        <f>IF(OR(E4367="",E4367="!!!"),"",IF(NOT(ISNA(VLOOKUP(E4367,E$1:E4366,1,FALSE()))),"OLD",IF(AND(E4367&lt;&gt;"",E4367&lt;&gt;"!!!"),"NEW","")))</f>
        <v> </v>
      </c>
      <c r="G4367" s="24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5" t="str">
        <f>IF(J4367&lt;&gt;1,"",IF(I4367="SBJ","CB","?"))</f>
        <v> </v>
      </c>
      <c r="I4367" s="26" t="str">
        <f>IF(OR(E4367="",E4367="!!!",F4367="NEW"),"",INDEX(B4366:B$2,-1+SUMPRODUCT(MAX(ROW(E4366:E$2)*(E4367=E4366:E$2)))))</f>
        <v> </v>
      </c>
      <c r="J4367" s="26" t="str">
        <f>IF(OR(E4367="",E4367="!!!",F4367="NEW"),"",COUNTBLANK(OFFSET(A$1,,,SUMPRODUCT(MAX(ROW(E$2:E4367)*(E4367=E$2:E4367)))))-COUNTBLANK(OFFSET(A$1,,,SUMPRODUCT(MAX(ROW(E$1:E4366)*(E2=E$1:E4366))))))</f>
        <v> </v>
      </c>
      <c r="K4367" s="26" t="str">
        <f>IF(OR(E4367="",E4367="!!!",F4367="NEW"),"",INDEX(J$1:J4366,SUMPRODUCT(MAX(ROW(E$1:E4366)*(E4367=E$1:E4366)))))</f>
        <v> </v>
      </c>
      <c r="L4367" s="27"/>
    </row>
    <row r="4368" spans="1:12">
      <c r="A4368" s="20" t="s">
        <v>1150</v>
      </c>
      <c r="E4368" s="22">
        <f>IF(D4368="?OLD","!!!","")</f>
        <v/>
      </c>
      <c r="F4368" s="23" t="str">
        <f>IF(OR(E4368="",E4368="!!!"),"",IF(NOT(ISNA(VLOOKUP(E4368,E$1:E4367,1,FALSE()))),"OLD",IF(AND(E4368&lt;&gt;"",E4368&lt;&gt;"!!!"),"NEW","")))</f>
        <v> </v>
      </c>
      <c r="G4368" s="24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5" t="str">
        <f>IF(J4368&lt;&gt;1,"",IF(I4368="SBJ","CB","?"))</f>
        <v> </v>
      </c>
      <c r="I4368" s="26" t="str">
        <f>IF(OR(E4368="",E4368="!!!",F4368="NEW"),"",INDEX(B4367:B$2,-1+SUMPRODUCT(MAX(ROW(E4367:E$2)*(E4368=E4367:E$2)))))</f>
        <v> </v>
      </c>
      <c r="J4368" s="26" t="str">
        <f>IF(OR(E4368="",E4368="!!!",F4368="NEW"),"",COUNTBLANK(OFFSET(A$1,,,SUMPRODUCT(MAX(ROW(E$2:E4368)*(E4368=E$2:E4368)))))-COUNTBLANK(OFFSET(A$1,,,SUMPRODUCT(MAX(ROW(E$1:E4367)*(E2=E$1:E4367))))))</f>
        <v> </v>
      </c>
      <c r="K4368" s="26" t="str">
        <f>IF(OR(E4368="",E4368="!!!",F4368="NEW"),"",INDEX(J$1:J4367,SUMPRODUCT(MAX(ROW(E$1:E4367)*(E4368=E$1:E4367)))))</f>
        <v> </v>
      </c>
      <c r="L4368" s="27"/>
    </row>
    <row r="4369" spans="1:12">
      <c r="A4369" s="20" t="s">
        <v>2148</v>
      </c>
      <c r="E4369" s="22">
        <f>IF(D4369="?OLD","!!!","")</f>
        <v/>
      </c>
      <c r="F4369" s="23" t="str">
        <f>IF(OR(E4369="",E4369="!!!"),"",IF(NOT(ISNA(VLOOKUP(E4369,E$1:E4368,1,FALSE()))),"OLD",IF(AND(E4369&lt;&gt;"",E4369&lt;&gt;"!!!"),"NEW","")))</f>
        <v> </v>
      </c>
      <c r="G4369" s="24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5" t="str">
        <f>IF(J4369&lt;&gt;1,"",IF(I4369="SBJ","CB","?"))</f>
        <v> </v>
      </c>
      <c r="I4369" s="26" t="str">
        <f>IF(OR(E4369="",E4369="!!!",F4369="NEW"),"",INDEX(B4368:B$2,-1+SUMPRODUCT(MAX(ROW(E4368:E$2)*(E4369=E4368:E$2)))))</f>
        <v> </v>
      </c>
      <c r="J4369" s="26" t="str">
        <f>IF(OR(E4369="",E4369="!!!",F4369="NEW"),"",COUNTBLANK(OFFSET(A$1,,,SUMPRODUCT(MAX(ROW(E$2:E4369)*(E4369=E$2:E4369)))))-COUNTBLANK(OFFSET(A$1,,,SUMPRODUCT(MAX(ROW(E$1:E4368)*(E2=E$1:E4368))))))</f>
        <v> </v>
      </c>
      <c r="K4369" s="26" t="str">
        <f>IF(OR(E4369="",E4369="!!!",F4369="NEW"),"",INDEX(J$1:J4368,SUMPRODUCT(MAX(ROW(E$1:E4368)*(E4369=E$1:E4368)))))</f>
        <v> </v>
      </c>
      <c r="L4369" s="27"/>
    </row>
    <row r="4370" spans="1:12">
      <c r="A4370" s="20" t="s">
        <v>2149</v>
      </c>
      <c r="B4370" s="21" t="s">
        <v>959</v>
      </c>
      <c r="C4370" s="21" t="s">
        <v>976</v>
      </c>
      <c r="D4370" s="21" t="s">
        <v>950</v>
      </c>
      <c r="E4370" s="22">
        <f>IF(D4370="?OLD","!!!","")</f>
        <v/>
      </c>
      <c r="F4370" s="23" t="str">
        <f>IF(OR(E4370="",E4370="!!!"),"",IF(NOT(ISNA(VLOOKUP(E4370,E$1:E4369,1,FALSE()))),"OLD",IF(AND(E4370&lt;&gt;"",E4370&lt;&gt;"!!!"),"NEW","")))</f>
        <v> </v>
      </c>
      <c r="G4370" s="24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5" t="str">
        <f>IF(J4370&lt;&gt;1,"",IF(I4370="SBJ","CB","?"))</f>
        <v> </v>
      </c>
      <c r="I4370" s="26" t="str">
        <f>IF(OR(E4370="",E4370="!!!",F4370="NEW"),"",INDEX(B4369:B$2,-1+SUMPRODUCT(MAX(ROW(E4369:E$2)*(E4370=E4369:E$2)))))</f>
        <v> </v>
      </c>
      <c r="J4370" s="26" t="str">
        <f>IF(OR(E4370="",E4370="!!!",F4370="NEW"),"",COUNTBLANK(OFFSET(A$1,,,SUMPRODUCT(MAX(ROW(E$2:E4370)*(E4370=E$2:E4370)))))-COUNTBLANK(OFFSET(A$1,,,SUMPRODUCT(MAX(ROW(E$1:E4369)*(E2=E$1:E4369))))))</f>
        <v> </v>
      </c>
      <c r="K4370" s="26" t="str">
        <f>IF(OR(E4370="",E4370="!!!",F4370="NEW"),"",INDEX(J$1:J4369,SUMPRODUCT(MAX(ROW(E$1:E4369)*(E4370=E$1:E4369)))))</f>
        <v> </v>
      </c>
      <c r="L4370" s="27"/>
    </row>
    <row r="4371" spans="1:12">
      <c r="A4371" s="20" t="s">
        <v>1075</v>
      </c>
      <c r="E4371" s="22">
        <f>IF(D4371="?OLD","!!!","")</f>
        <v/>
      </c>
      <c r="F4371" s="23" t="str">
        <f>IF(OR(E4371="",E4371="!!!"),"",IF(NOT(ISNA(VLOOKUP(E4371,E$1:E4370,1,FALSE()))),"OLD",IF(AND(E4371&lt;&gt;"",E4371&lt;&gt;"!!!"),"NEW","")))</f>
        <v> </v>
      </c>
      <c r="G4371" s="24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5" t="str">
        <f>IF(J4371&lt;&gt;1,"",IF(I4371="SBJ","CB","?"))</f>
        <v> </v>
      </c>
      <c r="I4371" s="26" t="str">
        <f>IF(OR(E4371="",E4371="!!!",F4371="NEW"),"",INDEX(B4370:B$2,-1+SUMPRODUCT(MAX(ROW(E4370:E$2)*(E4371=E4370:E$2)))))</f>
        <v> </v>
      </c>
      <c r="J4371" s="26" t="str">
        <f>IF(OR(E4371="",E4371="!!!",F4371="NEW"),"",COUNTBLANK(OFFSET(A$1,,,SUMPRODUCT(MAX(ROW(E$2:E4371)*(E4371=E$2:E4371)))))-COUNTBLANK(OFFSET(A$1,,,SUMPRODUCT(MAX(ROW(E$1:E4370)*(E2=E$1:E4370))))))</f>
        <v> </v>
      </c>
      <c r="K4371" s="26" t="str">
        <f>IF(OR(E4371="",E4371="!!!",F4371="NEW"),"",INDEX(J$1:J4370,SUMPRODUCT(MAX(ROW(E$1:E4370)*(E4371=E$1:E4370)))))</f>
        <v> </v>
      </c>
      <c r="L4371" s="27"/>
    </row>
    <row r="4372" spans="1:12">
      <c r="A4372" s="20" t="s">
        <v>1022</v>
      </c>
      <c r="E4372" s="22">
        <f>IF(D4372="?OLD","!!!","")</f>
        <v/>
      </c>
      <c r="F4372" s="23" t="str">
        <f>IF(OR(E4372="",E4372="!!!"),"",IF(NOT(ISNA(VLOOKUP(E4372,E$1:E4371,1,FALSE()))),"OLD",IF(AND(E4372&lt;&gt;"",E4372&lt;&gt;"!!!"),"NEW","")))</f>
        <v> </v>
      </c>
      <c r="G4372" s="24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5" t="str">
        <f>IF(J4372&lt;&gt;1,"",IF(I4372="SBJ","CB","?"))</f>
        <v> </v>
      </c>
      <c r="I4372" s="26" t="str">
        <f>IF(OR(E4372="",E4372="!!!",F4372="NEW"),"",INDEX(B4371:B$2,-1+SUMPRODUCT(MAX(ROW(E4371:E$2)*(E4372=E4371:E$2)))))</f>
        <v> </v>
      </c>
      <c r="J4372" s="26" t="str">
        <f>IF(OR(E4372="",E4372="!!!",F4372="NEW"),"",COUNTBLANK(OFFSET(A$1,,,SUMPRODUCT(MAX(ROW(E$2:E4372)*(E4372=E$2:E4372)))))-COUNTBLANK(OFFSET(A$1,,,SUMPRODUCT(MAX(ROW(E$1:E4371)*(E2=E$1:E4371))))))</f>
        <v> </v>
      </c>
      <c r="K4372" s="26" t="str">
        <f>IF(OR(E4372="",E4372="!!!",F4372="NEW"),"",INDEX(J$1:J4371,SUMPRODUCT(MAX(ROW(E$1:E4371)*(E4372=E$1:E4371)))))</f>
        <v> </v>
      </c>
      <c r="L4372" s="27"/>
    </row>
    <row r="4373" spans="1:12">
      <c r="A4373" s="20" t="s">
        <v>1024</v>
      </c>
      <c r="B4373" s="21" t="s">
        <v>1031</v>
      </c>
      <c r="C4373" s="21" t="s">
        <v>949</v>
      </c>
      <c r="D4373" s="21" t="s">
        <v>950</v>
      </c>
      <c r="E4373" s="22">
        <f>IF(D4373="?OLD","!!!","")</f>
        <v/>
      </c>
      <c r="F4373" s="23" t="str">
        <f>IF(OR(E4373="",E4373="!!!"),"",IF(NOT(ISNA(VLOOKUP(E4373,E$1:E4372,1,FALSE()))),"OLD",IF(AND(E4373&lt;&gt;"",E4373&lt;&gt;"!!!"),"NEW","")))</f>
        <v> </v>
      </c>
      <c r="G4373" s="24" t="str">
        <f>IF(OR(E4373="",E4373="!!!"),"",IF(OR(J4373=0,AND(J4373=1,K4373=1),AND(J4373=1,I4373="SBJ"),AND(J4373=1,I4373=0)),"?IN_FOCUS",IF(J4373&lt;=2,"?ACTIVATED",IF(J4373&lt;&gt;"","?FAMILIAR",IF(F4373="NEW",IF(ISNA(VLOOKUP(E4373,#REF!,1,FALSE())),"?TYPE_IDENTIFIABLE","?REFERENTIAL"),"_")))))</f>
        <v> </v>
      </c>
      <c r="H4373" s="25" t="str">
        <f>IF(J4373&lt;&gt;1,"",IF(I4373="SBJ","CB","?"))</f>
        <v> </v>
      </c>
      <c r="I4373" s="26" t="str">
        <f>IF(OR(E4373="",E4373="!!!",F4373="NEW"),"",INDEX(B4372:B$2,-1+SUMPRODUCT(MAX(ROW(E4372:E$2)*(E4373=E4372:E$2)))))</f>
        <v> </v>
      </c>
      <c r="J4373" s="26" t="str">
        <f>IF(OR(E4373="",E4373="!!!",F4373="NEW"),"",COUNTBLANK(OFFSET(A$1,,,SUMPRODUCT(MAX(ROW(E$2:E4373)*(E4373=E$2:E4373)))))-COUNTBLANK(OFFSET(A$1,,,SUMPRODUCT(MAX(ROW(E$1:E4372)*(E2=E$1:E4372))))))</f>
        <v> </v>
      </c>
      <c r="K4373" s="26" t="str">
        <f>IF(OR(E4373="",E4373="!!!",F4373="NEW"),"",INDEX(J$1:J4372,SUMPRODUCT(MAX(ROW(E$1:E4372)*(E4373=E$1:E4372)))))</f>
        <v> </v>
      </c>
      <c r="L4373" s="27"/>
    </row>
    <row r="4374" spans="1:12">
      <c r="A4374" s="20" t="s">
        <v>965</v>
      </c>
      <c r="E4374" s="22">
        <f>IF(D4374="?OLD","!!!","")</f>
        <v/>
      </c>
      <c r="F4374" s="23" t="str">
        <f>IF(OR(E4374="",E4374="!!!"),"",IF(NOT(ISNA(VLOOKUP(E4374,E$1:E4373,1,FALSE()))),"OLD",IF(AND(E4374&lt;&gt;"",E4374&lt;&gt;"!!!"),"NEW","")))</f>
        <v> </v>
      </c>
      <c r="G4374" s="24" t="str">
        <f>IF(OR(E4374="",E4374="!!!"),"",IF(OR(J4374=0,AND(J4374=1,K4374=1),AND(J4374=1,I4374="SBJ"),AND(J4374=1,I4374=0)),"?IN_FOCUS",IF(J4374&lt;=2,"?ACTIVATED",IF(J4374&lt;&gt;"","?FAMILIAR",IF(F4374="NEW",IF(ISNA(VLOOKUP(E4374,#REF!,1,FALSE())),"?TYPE_IDENTIFIABLE","?REFERENTIAL"),"_")))))</f>
        <v> </v>
      </c>
      <c r="H4374" s="25" t="str">
        <f>IF(J4374&lt;&gt;1,"",IF(I4374="SBJ","CB","?"))</f>
        <v> </v>
      </c>
      <c r="I4374" s="26" t="str">
        <f>IF(OR(E4374="",E4374="!!!",F4374="NEW"),"",INDEX(B4373:B$2,-1+SUMPRODUCT(MAX(ROW(E4373:E$2)*(E4374=E4373:E$2)))))</f>
        <v> </v>
      </c>
      <c r="J4374" s="26" t="str">
        <f>IF(OR(E4374="",E4374="!!!",F4374="NEW"),"",COUNTBLANK(OFFSET(A$1,,,SUMPRODUCT(MAX(ROW(E$2:E4374)*(E4374=E$2:E4374)))))-COUNTBLANK(OFFSET(A$1,,,SUMPRODUCT(MAX(ROW(E$1:E4373)*(E2=E$1:E4373))))))</f>
        <v> </v>
      </c>
      <c r="K4374" s="26" t="str">
        <f>IF(OR(E4374="",E4374="!!!",F4374="NEW"),"",INDEX(J$1:J4373,SUMPRODUCT(MAX(ROW(E$1:E4373)*(E4374=E$1:E4373)))))</f>
        <v> </v>
      </c>
      <c r="L4374" s="27"/>
    </row>
    <row r="4375" spans="1:12">
      <c r="A4375" s="20" t="s">
        <v>2150</v>
      </c>
      <c r="E4375" s="22">
        <f>IF(D4375="?OLD","!!!","")</f>
        <v/>
      </c>
      <c r="F4375" s="23" t="str">
        <f>IF(OR(E4375="",E4375="!!!"),"",IF(NOT(ISNA(VLOOKUP(E4375,E$1:E4374,1,FALSE()))),"OLD",IF(AND(E4375&lt;&gt;"",E4375&lt;&gt;"!!!"),"NEW","")))</f>
        <v> </v>
      </c>
      <c r="G4375" s="24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5" t="str">
        <f>IF(J4375&lt;&gt;1,"",IF(I4375="SBJ","CB","?"))</f>
        <v> </v>
      </c>
      <c r="I4375" s="26" t="str">
        <f>IF(OR(E4375="",E4375="!!!",F4375="NEW"),"",INDEX(B4374:B$2,-1+SUMPRODUCT(MAX(ROW(E4374:E$2)*(E4375=E4374:E$2)))))</f>
        <v> </v>
      </c>
      <c r="J4375" s="26" t="str">
        <f>IF(OR(E4375="",E4375="!!!",F4375="NEW"),"",COUNTBLANK(OFFSET(A$1,,,SUMPRODUCT(MAX(ROW(E$2:E4375)*(E4375=E$2:E4375)))))-COUNTBLANK(OFFSET(A$1,,,SUMPRODUCT(MAX(ROW(E$1:E4374)*(E2=E$1:E4374))))))</f>
        <v> </v>
      </c>
      <c r="K4375" s="26" t="str">
        <f>IF(OR(E4375="",E4375="!!!",F4375="NEW"),"",INDEX(J$1:J4374,SUMPRODUCT(MAX(ROW(E$1:E4374)*(E4375=E$1:E4374)))))</f>
        <v> </v>
      </c>
      <c r="L4375" s="27"/>
    </row>
    <row r="4376" spans="1:12">
      <c r="A4376" s="20" t="s">
        <v>1106</v>
      </c>
      <c r="E4376" s="22">
        <f>IF(D4376="?OLD","!!!","")</f>
        <v/>
      </c>
      <c r="F4376" s="23" t="str">
        <f>IF(OR(E4376="",E4376="!!!"),"",IF(NOT(ISNA(VLOOKUP(E4376,E$1:E4375,1,FALSE()))),"OLD",IF(AND(E4376&lt;&gt;"",E4376&lt;&gt;"!!!"),"NEW","")))</f>
        <v> </v>
      </c>
      <c r="G4376" s="24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5" t="str">
        <f>IF(J4376&lt;&gt;1,"",IF(I4376="SBJ","CB","?"))</f>
        <v> </v>
      </c>
      <c r="I4376" s="26" t="str">
        <f>IF(OR(E4376="",E4376="!!!",F4376="NEW"),"",INDEX(B4375:B$2,-1+SUMPRODUCT(MAX(ROW(E4375:E$2)*(E4376=E4375:E$2)))))</f>
        <v> </v>
      </c>
      <c r="J4376" s="26" t="str">
        <f>IF(OR(E4376="",E4376="!!!",F4376="NEW"),"",COUNTBLANK(OFFSET(A$1,,,SUMPRODUCT(MAX(ROW(E$2:E4376)*(E4376=E$2:E4376)))))-COUNTBLANK(OFFSET(A$1,,,SUMPRODUCT(MAX(ROW(E$1:E4375)*(E2=E$1:E4375))))))</f>
        <v> </v>
      </c>
      <c r="K4376" s="26" t="str">
        <f>IF(OR(E4376="",E4376="!!!",F4376="NEW"),"",INDEX(J$1:J4375,SUMPRODUCT(MAX(ROW(E$1:E4375)*(E4376=E$1:E4375)))))</f>
        <v> </v>
      </c>
      <c r="L4376" s="27"/>
    </row>
    <row r="4377" spans="1:12">
      <c r="A4377" s="20" t="s">
        <v>1075</v>
      </c>
      <c r="E4377" s="22">
        <f>IF(D4377="?OLD","!!!","")</f>
        <v/>
      </c>
      <c r="F4377" s="23" t="str">
        <f>IF(OR(E4377="",E4377="!!!"),"",IF(NOT(ISNA(VLOOKUP(E4377,E$1:E4376,1,FALSE()))),"OLD",IF(AND(E4377&lt;&gt;"",E4377&lt;&gt;"!!!"),"NEW","")))</f>
        <v> </v>
      </c>
      <c r="G4377" s="24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5" t="str">
        <f>IF(J4377&lt;&gt;1,"",IF(I4377="SBJ","CB","?"))</f>
        <v> </v>
      </c>
      <c r="I4377" s="26" t="str">
        <f>IF(OR(E4377="",E4377="!!!",F4377="NEW"),"",INDEX(B4376:B$2,-1+SUMPRODUCT(MAX(ROW(E4376:E$2)*(E4377=E4376:E$2)))))</f>
        <v> </v>
      </c>
      <c r="J4377" s="26" t="str">
        <f>IF(OR(E4377="",E4377="!!!",F4377="NEW"),"",COUNTBLANK(OFFSET(A$1,,,SUMPRODUCT(MAX(ROW(E$2:E4377)*(E4377=E$2:E4377)))))-COUNTBLANK(OFFSET(A$1,,,SUMPRODUCT(MAX(ROW(E$1:E4376)*(E2=E$1:E4376))))))</f>
        <v> </v>
      </c>
      <c r="K4377" s="26" t="str">
        <f>IF(OR(E4377="",E4377="!!!",F4377="NEW"),"",INDEX(J$1:J4376,SUMPRODUCT(MAX(ROW(E$1:E4376)*(E4377=E$1:E4376)))))</f>
        <v> </v>
      </c>
      <c r="L4377" s="27"/>
    </row>
    <row r="4378" spans="1:12">
      <c r="A4378" s="20" t="s">
        <v>1022</v>
      </c>
      <c r="E4378" s="22">
        <f>IF(D4378="?OLD","!!!","")</f>
        <v/>
      </c>
      <c r="F4378" s="23" t="str">
        <f>IF(OR(E4378="",E4378="!!!"),"",IF(NOT(ISNA(VLOOKUP(E4378,E$1:E4377,1,FALSE()))),"OLD",IF(AND(E4378&lt;&gt;"",E4378&lt;&gt;"!!!"),"NEW","")))</f>
        <v> </v>
      </c>
      <c r="G4378" s="24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5" t="str">
        <f>IF(J4378&lt;&gt;1,"",IF(I4378="SBJ","CB","?"))</f>
        <v> </v>
      </c>
      <c r="I4378" s="26" t="str">
        <f>IF(OR(E4378="",E4378="!!!",F4378="NEW"),"",INDEX(B4377:B$2,-1+SUMPRODUCT(MAX(ROW(E4377:E$2)*(E4378=E4377:E$2)))))</f>
        <v> </v>
      </c>
      <c r="J4378" s="26" t="str">
        <f>IF(OR(E4378="",E4378="!!!",F4378="NEW"),"",COUNTBLANK(OFFSET(A$1,,,SUMPRODUCT(MAX(ROW(E$2:E4378)*(E4378=E$2:E4378)))))-COUNTBLANK(OFFSET(A$1,,,SUMPRODUCT(MAX(ROW(E$1:E4377)*(E2=E$1:E4377))))))</f>
        <v> </v>
      </c>
      <c r="K4378" s="26" t="str">
        <f>IF(OR(E4378="",E4378="!!!",F4378="NEW"),"",INDEX(J$1:J4377,SUMPRODUCT(MAX(ROW(E$1:E4377)*(E4378=E$1:E4377)))))</f>
        <v> </v>
      </c>
      <c r="L4378" s="27"/>
    </row>
    <row r="4379" spans="1:12">
      <c r="A4379" s="20" t="s">
        <v>1517</v>
      </c>
      <c r="B4379" s="21" t="s">
        <v>1031</v>
      </c>
      <c r="C4379" s="21" t="s">
        <v>1032</v>
      </c>
      <c r="D4379" s="21" t="s">
        <v>950</v>
      </c>
      <c r="E4379" s="22">
        <f>IF(D4379="?OLD","!!!","")</f>
        <v/>
      </c>
      <c r="F4379" s="23" t="str">
        <f>IF(OR(E4379="",E4379="!!!"),"",IF(NOT(ISNA(VLOOKUP(E4379,E$1:E4378,1,FALSE()))),"OLD",IF(AND(E4379&lt;&gt;"",E4379&lt;&gt;"!!!"),"NEW","")))</f>
        <v> </v>
      </c>
      <c r="G4379" s="24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5" t="str">
        <f>IF(J4379&lt;&gt;1,"",IF(I4379="SBJ","CB","?"))</f>
        <v> </v>
      </c>
      <c r="I4379" s="26" t="str">
        <f>IF(OR(E4379="",E4379="!!!",F4379="NEW"),"",INDEX(B4378:B$2,-1+SUMPRODUCT(MAX(ROW(E4378:E$2)*(E4379=E4378:E$2)))))</f>
        <v> </v>
      </c>
      <c r="J4379" s="26" t="str">
        <f>IF(OR(E4379="",E4379="!!!",F4379="NEW"),"",COUNTBLANK(OFFSET(A$1,,,SUMPRODUCT(MAX(ROW(E$2:E4379)*(E4379=E$2:E4379)))))-COUNTBLANK(OFFSET(A$1,,,SUMPRODUCT(MAX(ROW(E$1:E4378)*(E2=E$1:E4378))))))</f>
        <v> </v>
      </c>
      <c r="K4379" s="26" t="str">
        <f>IF(OR(E4379="",E4379="!!!",F4379="NEW"),"",INDEX(J$1:J4378,SUMPRODUCT(MAX(ROW(E$1:E4378)*(E4379=E$1:E4378)))))</f>
        <v> </v>
      </c>
      <c r="L4379" s="27"/>
    </row>
    <row r="4380" spans="1:12">
      <c r="A4380" s="20" t="s">
        <v>984</v>
      </c>
      <c r="E4380" s="22">
        <f>IF(D4380="?OLD","!!!","")</f>
        <v/>
      </c>
      <c r="F4380" s="23" t="str">
        <f>IF(OR(E4380="",E4380="!!!"),"",IF(NOT(ISNA(VLOOKUP(E4380,E$1:E4379,1,FALSE()))),"OLD",IF(AND(E4380&lt;&gt;"",E4380&lt;&gt;"!!!"),"NEW","")))</f>
        <v> </v>
      </c>
      <c r="G4380" s="24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5" t="str">
        <f>IF(J4380&lt;&gt;1,"",IF(I4380="SBJ","CB","?"))</f>
        <v> </v>
      </c>
      <c r="I4380" s="26" t="str">
        <f>IF(OR(E4380="",E4380="!!!",F4380="NEW"),"",INDEX(B4379:B$2,-1+SUMPRODUCT(MAX(ROW(E4379:E$2)*(E4380=E4379:E$2)))))</f>
        <v> </v>
      </c>
      <c r="J4380" s="26" t="str">
        <f>IF(OR(E4380="",E4380="!!!",F4380="NEW"),"",COUNTBLANK(OFFSET(A$1,,,SUMPRODUCT(MAX(ROW(E$2:E4380)*(E4380=E$2:E4380)))))-COUNTBLANK(OFFSET(A$1,,,SUMPRODUCT(MAX(ROW(E$1:E4379)*(E2=E$1:E4379))))))</f>
        <v> </v>
      </c>
      <c r="K4380" s="26" t="str">
        <f>IF(OR(E4380="",E4380="!!!",F4380="NEW"),"",INDEX(J$1:J4379,SUMPRODUCT(MAX(ROW(E$1:E4379)*(E4380=E$1:E4379)))))</f>
        <v> </v>
      </c>
      <c r="L4380" s="27"/>
    </row>
    <row r="4381" spans="1:12">
      <c r="A4381" s="20"/>
    </row>
    <row r="4382" spans="1:12">
      <c r="A4382" s="20" t="s">
        <v>2151</v>
      </c>
    </row>
    <row r="4383" spans="1:12">
      <c r="A4383" s="20" t="s">
        <v>2115</v>
      </c>
      <c r="E4383" s="22">
        <f>IF(D4383="?OLD","!!!","")</f>
        <v/>
      </c>
      <c r="F4383" s="23" t="str">
        <f>IF(OR(E4383="",E4383="!!!"),"",IF(NOT(ISNA(VLOOKUP(E4383,E$1:E4382,1,FALSE()))),"OLD",IF(AND(E4383&lt;&gt;"",E4383&lt;&gt;"!!!"),"NEW","")))</f>
        <v> </v>
      </c>
      <c r="G4383" s="24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5" t="str">
        <f>IF(J4383&lt;&gt;1,"",IF(I4383="SBJ","CB","?"))</f>
        <v> </v>
      </c>
      <c r="I4383" s="26" t="str">
        <f>IF(OR(E4383="",E4383="!!!",F4383="NEW"),"",INDEX(B4382:B$2,-1+SUMPRODUCT(MAX(ROW(E4382:E$2)*(E4383=E4382:E$2)))))</f>
        <v> </v>
      </c>
      <c r="J4383" s="26" t="str">
        <f>IF(OR(E4383="",E4383="!!!",F4383="NEW"),"",COUNTBLANK(OFFSET(A$1,,,SUMPRODUCT(MAX(ROW(E$2:E4383)*(E4383=E$2:E4383)))))-COUNTBLANK(OFFSET(A$1,,,SUMPRODUCT(MAX(ROW(E$1:E4382)*(E2=E$1:E4382))))))</f>
        <v> </v>
      </c>
      <c r="K4383" s="26" t="str">
        <f>IF(OR(E4383="",E4383="!!!",F4383="NEW"),"",INDEX(J$1:J4382,SUMPRODUCT(MAX(ROW(E$1:E4382)*(E4383=E$1:E4382)))))</f>
        <v> </v>
      </c>
      <c r="L4383" s="27"/>
    </row>
    <row r="4384" spans="1:12">
      <c r="A4384" s="20" t="s">
        <v>1094</v>
      </c>
      <c r="B4384" s="21" t="s">
        <v>956</v>
      </c>
      <c r="C4384" s="21" t="s">
        <v>1032</v>
      </c>
      <c r="D4384" s="21" t="s">
        <v>950</v>
      </c>
      <c r="E4384" s="22">
        <f>IF(D4384="?OLD","!!!","")</f>
        <v/>
      </c>
      <c r="F4384" s="23" t="str">
        <f>IF(OR(E4384="",E4384="!!!"),"",IF(NOT(ISNA(VLOOKUP(E4384,E$1:E4383,1,FALSE()))),"OLD",IF(AND(E4384&lt;&gt;"",E4384&lt;&gt;"!!!"),"NEW","")))</f>
        <v> </v>
      </c>
      <c r="G4384" s="24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5" t="str">
        <f>IF(J4384&lt;&gt;1,"",IF(I4384="SBJ","CB","?"))</f>
        <v> </v>
      </c>
      <c r="I4384" s="26" t="str">
        <f>IF(OR(E4384="",E4384="!!!",F4384="NEW"),"",INDEX(B4383:B$2,-1+SUMPRODUCT(MAX(ROW(E4383:E$2)*(E4384=E4383:E$2)))))</f>
        <v> </v>
      </c>
      <c r="J4384" s="26" t="str">
        <f>IF(OR(E4384="",E4384="!!!",F4384="NEW"),"",COUNTBLANK(OFFSET(A$1,,,SUMPRODUCT(MAX(ROW(E$2:E4384)*(E4384=E$2:E4384)))))-COUNTBLANK(OFFSET(A$1,,,SUMPRODUCT(MAX(ROW(E$1:E4383)*(E2=E$1:E4383))))))</f>
        <v> </v>
      </c>
      <c r="K4384" s="26" t="str">
        <f>IF(OR(E4384="",E4384="!!!",F4384="NEW"),"",INDEX(J$1:J4383,SUMPRODUCT(MAX(ROW(E$1:E4383)*(E4384=E$1:E4383)))))</f>
        <v> </v>
      </c>
      <c r="L4384" s="27"/>
    </row>
    <row r="4385" spans="1:12">
      <c r="A4385" s="20" t="s">
        <v>2152</v>
      </c>
      <c r="E4385" s="22">
        <f>IF(D4385="?OLD","!!!","")</f>
        <v/>
      </c>
      <c r="F4385" s="23" t="str">
        <f>IF(OR(E4385="",E4385="!!!"),"",IF(NOT(ISNA(VLOOKUP(E4385,E$1:E4384,1,FALSE()))),"OLD",IF(AND(E4385&lt;&gt;"",E4385&lt;&gt;"!!!"),"NEW","")))</f>
        <v> </v>
      </c>
      <c r="G4385" s="24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5" t="str">
        <f>IF(J4385&lt;&gt;1,"",IF(I4385="SBJ","CB","?"))</f>
        <v> </v>
      </c>
      <c r="I4385" s="26" t="str">
        <f>IF(OR(E4385="",E4385="!!!",F4385="NEW"),"",INDEX(B4384:B$2,-1+SUMPRODUCT(MAX(ROW(E4384:E$2)*(E4385=E4384:E$2)))))</f>
        <v> </v>
      </c>
      <c r="J4385" s="26" t="str">
        <f>IF(OR(E4385="",E4385="!!!",F4385="NEW"),"",COUNTBLANK(OFFSET(A$1,,,SUMPRODUCT(MAX(ROW(E$2:E4385)*(E4385=E$2:E4385)))))-COUNTBLANK(OFFSET(A$1,,,SUMPRODUCT(MAX(ROW(E$1:E4384)*(E2=E$1:E4384))))))</f>
        <v> </v>
      </c>
      <c r="K4385" s="26" t="str">
        <f>IF(OR(E4385="",E4385="!!!",F4385="NEW"),"",INDEX(J$1:J4384,SUMPRODUCT(MAX(ROW(E$1:E4384)*(E4385=E$1:E4384)))))</f>
        <v> </v>
      </c>
      <c r="L4385" s="27"/>
    </row>
    <row r="4386" spans="1:12">
      <c r="A4386" s="20" t="s">
        <v>1077</v>
      </c>
      <c r="E4386" s="22">
        <f>IF(D4386="?OLD","!!!","")</f>
        <v/>
      </c>
      <c r="F4386" s="23" t="str">
        <f>IF(OR(E4386="",E4386="!!!"),"",IF(NOT(ISNA(VLOOKUP(E4386,E$1:E4385,1,FALSE()))),"OLD",IF(AND(E4386&lt;&gt;"",E4386&lt;&gt;"!!!"),"NEW","")))</f>
        <v> </v>
      </c>
      <c r="G4386" s="24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5" t="str">
        <f>IF(J4386&lt;&gt;1,"",IF(I4386="SBJ","CB","?"))</f>
        <v> </v>
      </c>
      <c r="I4386" s="26" t="str">
        <f>IF(OR(E4386="",E4386="!!!",F4386="NEW"),"",INDEX(B4385:B$2,-1+SUMPRODUCT(MAX(ROW(E4385:E$2)*(E4386=E4385:E$2)))))</f>
        <v> </v>
      </c>
      <c r="J4386" s="26" t="str">
        <f>IF(OR(E4386="",E4386="!!!",F4386="NEW"),"",COUNTBLANK(OFFSET(A$1,,,SUMPRODUCT(MAX(ROW(E$2:E4386)*(E4386=E$2:E4386)))))-COUNTBLANK(OFFSET(A$1,,,SUMPRODUCT(MAX(ROW(E$1:E4385)*(E2=E$1:E4385))))))</f>
        <v> </v>
      </c>
      <c r="K4386" s="26" t="str">
        <f>IF(OR(E4386="",E4386="!!!",F4386="NEW"),"",INDEX(J$1:J4385,SUMPRODUCT(MAX(ROW(E$1:E4385)*(E4386=E$1:E4385)))))</f>
        <v> </v>
      </c>
      <c r="L4386" s="27"/>
    </row>
    <row r="4387" spans="1:12">
      <c r="A4387" s="20" t="s">
        <v>2130</v>
      </c>
      <c r="B4387" s="21" t="s">
        <v>959</v>
      </c>
      <c r="C4387" s="21" t="s">
        <v>1051</v>
      </c>
      <c r="E4387" s="22">
        <f>IF(D4387="?OLD","!!!","")</f>
        <v/>
      </c>
      <c r="F4387" s="23" t="str">
        <f>IF(OR(E4387="",E4387="!!!"),"",IF(NOT(ISNA(VLOOKUP(E4387,E$1:E4386,1,FALSE()))),"OLD",IF(AND(E4387&lt;&gt;"",E4387&lt;&gt;"!!!"),"NEW","")))</f>
        <v> </v>
      </c>
      <c r="G4387" s="24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5" t="str">
        <f>IF(J4387&lt;&gt;1,"",IF(I4387="SBJ","CB","?"))</f>
        <v> </v>
      </c>
      <c r="I4387" s="26" t="str">
        <f>IF(OR(E4387="",E4387="!!!",F4387="NEW"),"",INDEX(B4386:B$2,-1+SUMPRODUCT(MAX(ROW(E4386:E$2)*(E4387=E4386:E$2)))))</f>
        <v> </v>
      </c>
      <c r="J4387" s="26" t="str">
        <f>IF(OR(E4387="",E4387="!!!",F4387="NEW"),"",COUNTBLANK(OFFSET(A$1,,,SUMPRODUCT(MAX(ROW(E$2:E4387)*(E4387=E$2:E4387)))))-COUNTBLANK(OFFSET(A$1,,,SUMPRODUCT(MAX(ROW(E$1:E4386)*(E2=E$1:E4386))))))</f>
        <v> </v>
      </c>
      <c r="K4387" s="26" t="str">
        <f>IF(OR(E4387="",E4387="!!!",F4387="NEW"),"",INDEX(J$1:J4386,SUMPRODUCT(MAX(ROW(E$1:E4386)*(E4387=E$1:E4386)))))</f>
        <v> </v>
      </c>
      <c r="L4387" s="27"/>
    </row>
    <row r="4388" spans="1:12">
      <c r="A4388" s="20" t="s">
        <v>1168</v>
      </c>
      <c r="E4388" s="22">
        <f>IF(D4388="?OLD","!!!","")</f>
        <v/>
      </c>
      <c r="F4388" s="23" t="str">
        <f>IF(OR(E4388="",E4388="!!!"),"",IF(NOT(ISNA(VLOOKUP(E4388,E$1:E4387,1,FALSE()))),"OLD",IF(AND(E4388&lt;&gt;"",E4388&lt;&gt;"!!!"),"NEW","")))</f>
        <v> </v>
      </c>
      <c r="G4388" s="24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5" t="str">
        <f>IF(J4388&lt;&gt;1,"",IF(I4388="SBJ","CB","?"))</f>
        <v> </v>
      </c>
      <c r="I4388" s="26" t="str">
        <f>IF(OR(E4388="",E4388="!!!",F4388="NEW"),"",INDEX(B4387:B$2,-1+SUMPRODUCT(MAX(ROW(E4387:E$2)*(E4388=E4387:E$2)))))</f>
        <v> </v>
      </c>
      <c r="J4388" s="26" t="str">
        <f>IF(OR(E4388="",E4388="!!!",F4388="NEW"),"",COUNTBLANK(OFFSET(A$1,,,SUMPRODUCT(MAX(ROW(E$2:E4388)*(E4388=E$2:E4388)))))-COUNTBLANK(OFFSET(A$1,,,SUMPRODUCT(MAX(ROW(E$1:E4387)*(E2=E$1:E4387))))))</f>
        <v> </v>
      </c>
      <c r="K4388" s="26" t="str">
        <f>IF(OR(E4388="",E4388="!!!",F4388="NEW"),"",INDEX(J$1:J4387,SUMPRODUCT(MAX(ROW(E$1:E4387)*(E4388=E$1:E4387)))))</f>
        <v> </v>
      </c>
      <c r="L4388" s="27"/>
    </row>
    <row r="4389" spans="1:12">
      <c r="A4389" s="20" t="s">
        <v>1022</v>
      </c>
      <c r="E4389" s="22">
        <f>IF(D4389="?OLD","!!!","")</f>
        <v/>
      </c>
      <c r="F4389" s="23" t="str">
        <f>IF(OR(E4389="",E4389="!!!"),"",IF(NOT(ISNA(VLOOKUP(E4389,E$1:E4388,1,FALSE()))),"OLD",IF(AND(E4389&lt;&gt;"",E4389&lt;&gt;"!!!"),"NEW","")))</f>
        <v> </v>
      </c>
      <c r="G4389" s="24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5" t="str">
        <f>IF(J4389&lt;&gt;1,"",IF(I4389="SBJ","CB","?"))</f>
        <v> </v>
      </c>
      <c r="I4389" s="26" t="str">
        <f>IF(OR(E4389="",E4389="!!!",F4389="NEW"),"",INDEX(B4388:B$2,-1+SUMPRODUCT(MAX(ROW(E4388:E$2)*(E4389=E4388:E$2)))))</f>
        <v> </v>
      </c>
      <c r="J4389" s="26" t="str">
        <f>IF(OR(E4389="",E4389="!!!",F4389="NEW"),"",COUNTBLANK(OFFSET(A$1,,,SUMPRODUCT(MAX(ROW(E$2:E4389)*(E4389=E$2:E4389)))))-COUNTBLANK(OFFSET(A$1,,,SUMPRODUCT(MAX(ROW(E$1:E4388)*(E2=E$1:E4388))))))</f>
        <v> </v>
      </c>
      <c r="K4389" s="26" t="str">
        <f>IF(OR(E4389="",E4389="!!!",F4389="NEW"),"",INDEX(J$1:J4388,SUMPRODUCT(MAX(ROW(E$1:E4388)*(E4389=E$1:E4388)))))</f>
        <v> </v>
      </c>
      <c r="L4389" s="27"/>
    </row>
    <row r="4390" spans="1:12">
      <c r="A4390" s="20" t="s">
        <v>1558</v>
      </c>
      <c r="B4390" s="21" t="s">
        <v>948</v>
      </c>
      <c r="C4390" s="21" t="s">
        <v>1032</v>
      </c>
      <c r="D4390" s="21" t="s">
        <v>950</v>
      </c>
      <c r="E4390" s="22">
        <f>IF(D4390="?OLD","!!!","")</f>
        <v/>
      </c>
      <c r="F4390" s="23" t="str">
        <f>IF(OR(E4390="",E4390="!!!"),"",IF(NOT(ISNA(VLOOKUP(E4390,E$1:E4389,1,FALSE()))),"OLD",IF(AND(E4390&lt;&gt;"",E4390&lt;&gt;"!!!"),"NEW","")))</f>
        <v> </v>
      </c>
      <c r="G4390" s="24" t="str">
        <f>IF(OR(E4390="",E4390="!!!"),"",IF(OR(J4390=0,AND(J4390=1,K4390=1),AND(J4390=1,I4390="SBJ"),AND(J4390=1,I4390=0)),"?IN_FOCUS",IF(J4390&lt;=2,"?ACTIVATED",IF(J4390&lt;&gt;"","?FAMILIAR",IF(F4390="NEW",IF(ISNA(VLOOKUP(E4390,#REF!,1,FALSE())),"?TYPE_IDENTIFIABLE","?REFERENTIAL"),"_")))))</f>
        <v> </v>
      </c>
      <c r="H4390" s="25" t="str">
        <f>IF(J4390&lt;&gt;1,"",IF(I4390="SBJ","CB","?"))</f>
        <v> </v>
      </c>
      <c r="I4390" s="26" t="str">
        <f>IF(OR(E4390="",E4390="!!!",F4390="NEW"),"",INDEX(B4389:B$2,-1+SUMPRODUCT(MAX(ROW(E4389:E$2)*(E4390=E4389:E$2)))))</f>
        <v> </v>
      </c>
      <c r="J4390" s="26" t="str">
        <f>IF(OR(E4390="",E4390="!!!",F4390="NEW"),"",COUNTBLANK(OFFSET(A$1,,,SUMPRODUCT(MAX(ROW(E$2:E4390)*(E4390=E$2:E4390)))))-COUNTBLANK(OFFSET(A$1,,,SUMPRODUCT(MAX(ROW(E$1:E4389)*(E2=E$1:E4389))))))</f>
        <v> </v>
      </c>
      <c r="K4390" s="26" t="str">
        <f>IF(OR(E4390="",E4390="!!!",F4390="NEW"),"",INDEX(J$1:J4389,SUMPRODUCT(MAX(ROW(E$1:E4389)*(E4390=E$1:E4389)))))</f>
        <v> </v>
      </c>
      <c r="L4390" s="27"/>
    </row>
    <row r="4391" spans="1:12">
      <c r="A4391" s="20" t="s">
        <v>984</v>
      </c>
      <c r="E4391" s="22">
        <f>IF(D4391="?OLD","!!!","")</f>
        <v/>
      </c>
      <c r="F4391" s="23" t="str">
        <f>IF(OR(E4391="",E4391="!!!"),"",IF(NOT(ISNA(VLOOKUP(E4391,E$1:E4390,1,FALSE()))),"OLD",IF(AND(E4391&lt;&gt;"",E4391&lt;&gt;"!!!"),"NEW","")))</f>
        <v> </v>
      </c>
      <c r="G4391" s="24" t="str">
        <f>IF(OR(E4391="",E4391="!!!"),"",IF(OR(J4391=0,AND(J4391=1,K4391=1),AND(J4391=1,I4391="SBJ"),AND(J4391=1,I4391=0)),"?IN_FOCUS",IF(J4391&lt;=2,"?ACTIVATED",IF(J4391&lt;&gt;"","?FAMILIAR",IF(F4391="NEW",IF(ISNA(VLOOKUP(E4391,#REF!,1,FALSE())),"?TYPE_IDENTIFIABLE","?REFERENTIAL"),"_")))))</f>
        <v> </v>
      </c>
      <c r="H4391" s="25" t="str">
        <f>IF(J4391&lt;&gt;1,"",IF(I4391="SBJ","CB","?"))</f>
        <v> </v>
      </c>
      <c r="I4391" s="26" t="str">
        <f>IF(OR(E4391="",E4391="!!!",F4391="NEW"),"",INDEX(B4390:B$2,-1+SUMPRODUCT(MAX(ROW(E4390:E$2)*(E4391=E4390:E$2)))))</f>
        <v> </v>
      </c>
      <c r="J4391" s="26" t="str">
        <f>IF(OR(E4391="",E4391="!!!",F4391="NEW"),"",COUNTBLANK(OFFSET(A$1,,,SUMPRODUCT(MAX(ROW(E$2:E4391)*(E4391=E$2:E4391)))))-COUNTBLANK(OFFSET(A$1,,,SUMPRODUCT(MAX(ROW(E$1:E4390)*(E2=E$1:E4390))))))</f>
        <v> </v>
      </c>
      <c r="K4391" s="26" t="str">
        <f>IF(OR(E4391="",E4391="!!!",F4391="NEW"),"",INDEX(J$1:J4390,SUMPRODUCT(MAX(ROW(E$1:E4390)*(E4391=E$1:E4390)))))</f>
        <v> </v>
      </c>
      <c r="L4391" s="27"/>
    </row>
    <row r="4392" spans="1:12">
      <c r="A4392" s="20"/>
    </row>
    <row r="4393" spans="1:12">
      <c r="A4393" s="20" t="s">
        <v>2153</v>
      </c>
    </row>
    <row r="4394" spans="1:12">
      <c r="A4394" s="20" t="s">
        <v>1427</v>
      </c>
      <c r="E4394" s="22">
        <f>IF(D4394="?OLD","!!!","")</f>
        <v/>
      </c>
      <c r="F4394" s="23" t="str">
        <f>IF(OR(E4394="",E4394="!!!"),"",IF(NOT(ISNA(VLOOKUP(E4394,E$1:E4393,1,FALSE()))),"OLD",IF(AND(E4394&lt;&gt;"",E4394&lt;&gt;"!!!"),"NEW","")))</f>
        <v> </v>
      </c>
      <c r="G4394" s="24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5" t="str">
        <f>IF(J4394&lt;&gt;1,"",IF(I4394="SBJ","CB","?"))</f>
        <v> </v>
      </c>
      <c r="I4394" s="26" t="str">
        <f>IF(OR(E4394="",E4394="!!!",F4394="NEW"),"",INDEX(B4393:B$2,-1+SUMPRODUCT(MAX(ROW(E4393:E$2)*(E4394=E4393:E$2)))))</f>
        <v> </v>
      </c>
      <c r="J4394" s="26" t="str">
        <f>IF(OR(E4394="",E4394="!!!",F4394="NEW"),"",COUNTBLANK(OFFSET(A$1,,,SUMPRODUCT(MAX(ROW(E$2:E4394)*(E4394=E$2:E4394)))))-COUNTBLANK(OFFSET(A$1,,,SUMPRODUCT(MAX(ROW(E$1:E4393)*(E2=E$1:E4393))))))</f>
        <v> </v>
      </c>
      <c r="K4394" s="26" t="str">
        <f>IF(OR(E4394="",E4394="!!!",F4394="NEW"),"",INDEX(J$1:J4393,SUMPRODUCT(MAX(ROW(E$1:E4393)*(E4394=E$1:E4393)))))</f>
        <v> </v>
      </c>
      <c r="L4394" s="27"/>
    </row>
    <row r="4395" spans="1:12">
      <c r="A4395" s="20" t="s">
        <v>1376</v>
      </c>
      <c r="E4395" s="22">
        <f>IF(D4395="?OLD","!!!","")</f>
        <v/>
      </c>
      <c r="F4395" s="23" t="str">
        <f>IF(OR(E4395="",E4395="!!!"),"",IF(NOT(ISNA(VLOOKUP(E4395,E$1:E4394,1,FALSE()))),"OLD",IF(AND(E4395&lt;&gt;"",E4395&lt;&gt;"!!!"),"NEW","")))</f>
        <v> </v>
      </c>
      <c r="G4395" s="24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5" t="str">
        <f>IF(J4395&lt;&gt;1,"",IF(I4395="SBJ","CB","?"))</f>
        <v> </v>
      </c>
      <c r="I4395" s="26" t="str">
        <f>IF(OR(E4395="",E4395="!!!",F4395="NEW"),"",INDEX(B4394:B$2,-1+SUMPRODUCT(MAX(ROW(E4394:E$2)*(E4395=E4394:E$2)))))</f>
        <v> </v>
      </c>
      <c r="J4395" s="26" t="str">
        <f>IF(OR(E4395="",E4395="!!!",F4395="NEW"),"",COUNTBLANK(OFFSET(A$1,,,SUMPRODUCT(MAX(ROW(E$2:E4395)*(E4395=E$2:E4395)))))-COUNTBLANK(OFFSET(A$1,,,SUMPRODUCT(MAX(ROW(E$1:E4394)*(E2=E$1:E4394))))))</f>
        <v> </v>
      </c>
      <c r="K4395" s="26" t="str">
        <f>IF(OR(E4395="",E4395="!!!",F4395="NEW"),"",INDEX(J$1:J4394,SUMPRODUCT(MAX(ROW(E$1:E4394)*(E4395=E$1:E4394)))))</f>
        <v> </v>
      </c>
      <c r="L4395" s="27"/>
    </row>
    <row r="4396" spans="1:12">
      <c r="A4396" s="20" t="s">
        <v>1094</v>
      </c>
      <c r="B4396" s="21" t="s">
        <v>959</v>
      </c>
      <c r="C4396" s="21" t="s">
        <v>1051</v>
      </c>
      <c r="E4396" s="22">
        <f>IF(D4396="?OLD","!!!","")</f>
        <v/>
      </c>
      <c r="F4396" s="23" t="str">
        <f>IF(OR(E4396="",E4396="!!!"),"",IF(NOT(ISNA(VLOOKUP(E4396,E$1:E4395,1,FALSE()))),"OLD",IF(AND(E4396&lt;&gt;"",E4396&lt;&gt;"!!!"),"NEW","")))</f>
        <v> </v>
      </c>
      <c r="G4396" s="24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5" t="str">
        <f>IF(J4396&lt;&gt;1,"",IF(I4396="SBJ","CB","?"))</f>
        <v> </v>
      </c>
      <c r="I4396" s="26" t="str">
        <f>IF(OR(E4396="",E4396="!!!",F4396="NEW"),"",INDEX(B4395:B$2,-1+SUMPRODUCT(MAX(ROW(E4395:E$2)*(E4396=E4395:E$2)))))</f>
        <v> </v>
      </c>
      <c r="J4396" s="26" t="str">
        <f>IF(OR(E4396="",E4396="!!!",F4396="NEW"),"",COUNTBLANK(OFFSET(A$1,,,SUMPRODUCT(MAX(ROW(E$2:E4396)*(E4396=E$2:E4396)))))-COUNTBLANK(OFFSET(A$1,,,SUMPRODUCT(MAX(ROW(E$1:E4395)*(E2=E$1:E4395))))))</f>
        <v> </v>
      </c>
      <c r="K4396" s="26" t="str">
        <f>IF(OR(E4396="",E4396="!!!",F4396="NEW"),"",INDEX(J$1:J4395,SUMPRODUCT(MAX(ROW(E$1:E4395)*(E4396=E$1:E4395)))))</f>
        <v> </v>
      </c>
      <c r="L4396" s="27"/>
    </row>
    <row r="4397" spans="1:12">
      <c r="A4397" s="20" t="s">
        <v>1075</v>
      </c>
      <c r="E4397" s="22">
        <f>IF(D4397="?OLD","!!!","")</f>
        <v/>
      </c>
      <c r="F4397" s="23" t="str">
        <f>IF(OR(E4397="",E4397="!!!"),"",IF(NOT(ISNA(VLOOKUP(E4397,E$1:E4396,1,FALSE()))),"OLD",IF(AND(E4397&lt;&gt;"",E4397&lt;&gt;"!!!"),"NEW","")))</f>
        <v> </v>
      </c>
      <c r="G4397" s="24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5" t="str">
        <f>IF(J4397&lt;&gt;1,"",IF(I4397="SBJ","CB","?"))</f>
        <v> </v>
      </c>
      <c r="I4397" s="26" t="str">
        <f>IF(OR(E4397="",E4397="!!!",F4397="NEW"),"",INDEX(B4396:B$2,-1+SUMPRODUCT(MAX(ROW(E4396:E$2)*(E4397=E4396:E$2)))))</f>
        <v> </v>
      </c>
      <c r="J4397" s="26" t="str">
        <f>IF(OR(E4397="",E4397="!!!",F4397="NEW"),"",COUNTBLANK(OFFSET(A$1,,,SUMPRODUCT(MAX(ROW(E$2:E4397)*(E4397=E$2:E4397)))))-COUNTBLANK(OFFSET(A$1,,,SUMPRODUCT(MAX(ROW(E$1:E4396)*(E2=E$1:E4396))))))</f>
        <v> </v>
      </c>
      <c r="K4397" s="26" t="str">
        <f>IF(OR(E4397="",E4397="!!!",F4397="NEW"),"",INDEX(J$1:J4396,SUMPRODUCT(MAX(ROW(E$1:E4396)*(E4397=E$1:E4396)))))</f>
        <v> </v>
      </c>
      <c r="L4397" s="27"/>
    </row>
    <row r="4398" spans="1:12">
      <c r="A4398" s="20" t="s">
        <v>1022</v>
      </c>
      <c r="E4398" s="22">
        <f>IF(D4398="?OLD","!!!","")</f>
        <v/>
      </c>
      <c r="F4398" s="23" t="str">
        <f>IF(OR(E4398="",E4398="!!!"),"",IF(NOT(ISNA(VLOOKUP(E4398,E$1:E4397,1,FALSE()))),"OLD",IF(AND(E4398&lt;&gt;"",E4398&lt;&gt;"!!!"),"NEW","")))</f>
        <v> </v>
      </c>
      <c r="G4398" s="24" t="str">
        <f>IF(OR(E4398="",E4398="!!!"),"",IF(OR(J4398=0,AND(J4398=1,K4398=1),AND(J4398=1,I4398="SBJ"),AND(J4398=1,I4398=0)),"?IN_FOCUS",IF(J4398&lt;=2,"?ACTIVATED",IF(J4398&lt;&gt;"","?FAMILIAR",IF(F4398="NEW",IF(ISNA(VLOOKUP(E4398,#REF!,1,FALSE())),"?TYPE_IDENTIFIABLE","?REFERENTIAL"),"_")))))</f>
        <v> </v>
      </c>
      <c r="H4398" s="25" t="str">
        <f>IF(J4398&lt;&gt;1,"",IF(I4398="SBJ","CB","?"))</f>
        <v> </v>
      </c>
      <c r="I4398" s="26" t="str">
        <f>IF(OR(E4398="",E4398="!!!",F4398="NEW"),"",INDEX(B4397:B$2,-1+SUMPRODUCT(MAX(ROW(E4397:E$2)*(E4398=E4397:E$2)))))</f>
        <v> </v>
      </c>
      <c r="J4398" s="26" t="str">
        <f>IF(OR(E4398="",E4398="!!!",F4398="NEW"),"",COUNTBLANK(OFFSET(A$1,,,SUMPRODUCT(MAX(ROW(E$2:E4398)*(E4398=E$2:E4398)))))-COUNTBLANK(OFFSET(A$1,,,SUMPRODUCT(MAX(ROW(E$1:E4397)*(E2=E$1:E4397))))))</f>
        <v> </v>
      </c>
      <c r="K4398" s="26" t="str">
        <f>IF(OR(E4398="",E4398="!!!",F4398="NEW"),"",INDEX(J$1:J4397,SUMPRODUCT(MAX(ROW(E$1:E4397)*(E4398=E$1:E4397)))))</f>
        <v> </v>
      </c>
      <c r="L4398" s="27"/>
    </row>
    <row r="4399" spans="1:12">
      <c r="A4399" s="20" t="s">
        <v>2154</v>
      </c>
      <c r="B4399" s="21" t="s">
        <v>948</v>
      </c>
      <c r="C4399" s="21" t="s">
        <v>976</v>
      </c>
      <c r="D4399" s="21" t="s">
        <v>950</v>
      </c>
      <c r="E4399" s="22">
        <f>IF(D4399="?OLD","!!!","")</f>
        <v/>
      </c>
      <c r="F4399" s="23" t="str">
        <f>IF(OR(E4399="",E4399="!!!"),"",IF(NOT(ISNA(VLOOKUP(E4399,E$1:E4398,1,FALSE()))),"OLD",IF(AND(E4399&lt;&gt;"",E4399&lt;&gt;"!!!"),"NEW","")))</f>
        <v> </v>
      </c>
      <c r="G4399" s="24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5" t="str">
        <f>IF(J4399&lt;&gt;1,"",IF(I4399="SBJ","CB","?"))</f>
        <v> </v>
      </c>
      <c r="I4399" s="26" t="str">
        <f>IF(OR(E4399="",E4399="!!!",F4399="NEW"),"",INDEX(B4398:B$2,-1+SUMPRODUCT(MAX(ROW(E4398:E$2)*(E4399=E4398:E$2)))))</f>
        <v> </v>
      </c>
      <c r="J4399" s="26" t="str">
        <f>IF(OR(E4399="",E4399="!!!",F4399="NEW"),"",COUNTBLANK(OFFSET(A$1,,,SUMPRODUCT(MAX(ROW(E$2:E4399)*(E4399=E$2:E4399)))))-COUNTBLANK(OFFSET(A$1,,,SUMPRODUCT(MAX(ROW(E$1:E4398)*(E2=E$1:E4398))))))</f>
        <v> </v>
      </c>
      <c r="K4399" s="26" t="str">
        <f>IF(OR(E4399="",E4399="!!!",F4399="NEW"),"",INDEX(J$1:J4398,SUMPRODUCT(MAX(ROW(E$1:E4398)*(E4399=E$1:E4398)))))</f>
        <v> </v>
      </c>
      <c r="L4399" s="27"/>
    </row>
    <row r="4400" spans="1:12">
      <c r="A4400" s="20" t="s">
        <v>965</v>
      </c>
      <c r="B4400" s="21" t="s">
        <v>966</v>
      </c>
      <c r="E4400" s="22">
        <f>IF(D4400="?OLD","!!!","")</f>
        <v/>
      </c>
      <c r="F4400" s="23" t="str">
        <f>IF(OR(E4400="",E4400="!!!"),"",IF(NOT(ISNA(VLOOKUP(E4400,E$1:E4399,1,FALSE()))),"OLD",IF(AND(E4400&lt;&gt;"",E4400&lt;&gt;"!!!"),"NEW","")))</f>
        <v> </v>
      </c>
      <c r="G4400" s="24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5" t="str">
        <f>IF(J4400&lt;&gt;1,"",IF(I4400="SBJ","CB","?"))</f>
        <v> </v>
      </c>
      <c r="I4400" s="26" t="str">
        <f>IF(OR(E4400="",E4400="!!!",F4400="NEW"),"",INDEX(B4399:B$2,-1+SUMPRODUCT(MAX(ROW(E4399:E$2)*(E4400=E4399:E$2)))))</f>
        <v> </v>
      </c>
      <c r="J4400" s="26" t="str">
        <f>IF(OR(E4400="",E4400="!!!",F4400="NEW"),"",COUNTBLANK(OFFSET(A$1,,,SUMPRODUCT(MAX(ROW(E$2:E4400)*(E4400=E$2:E4400)))))-COUNTBLANK(OFFSET(A$1,,,SUMPRODUCT(MAX(ROW(E$1:E4399)*(E2=E$1:E4399))))))</f>
        <v> </v>
      </c>
      <c r="K4400" s="26" t="str">
        <f>IF(OR(E4400="",E4400="!!!",F4400="NEW"),"",INDEX(J$1:J4399,SUMPRODUCT(MAX(ROW(E$1:E4399)*(E4400=E$1:E4399)))))</f>
        <v> </v>
      </c>
      <c r="L4400" s="27"/>
    </row>
    <row r="4401" spans="1:12">
      <c r="A4401" s="20" t="s">
        <v>1101</v>
      </c>
      <c r="E4401" s="22">
        <f>IF(D4401="?OLD","!!!","")</f>
        <v/>
      </c>
      <c r="F4401" s="23" t="str">
        <f>IF(OR(E4401="",E4401="!!!"),"",IF(NOT(ISNA(VLOOKUP(E4401,E$1:E4400,1,FALSE()))),"OLD",IF(AND(E4401&lt;&gt;"",E4401&lt;&gt;"!!!"),"NEW","")))</f>
        <v> </v>
      </c>
      <c r="G4401" s="24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5" t="str">
        <f>IF(J4401&lt;&gt;1,"",IF(I4401="SBJ","CB","?"))</f>
        <v> </v>
      </c>
      <c r="I4401" s="26" t="str">
        <f>IF(OR(E4401="",E4401="!!!",F4401="NEW"),"",INDEX(B4400:B$2,-1+SUMPRODUCT(MAX(ROW(E4400:E$2)*(E4401=E4400:E$2)))))</f>
        <v> </v>
      </c>
      <c r="J4401" s="26" t="str">
        <f>IF(OR(E4401="",E4401="!!!",F4401="NEW"),"",COUNTBLANK(OFFSET(A$1,,,SUMPRODUCT(MAX(ROW(E$2:E4401)*(E4401=E$2:E4401)))))-COUNTBLANK(OFFSET(A$1,,,SUMPRODUCT(MAX(ROW(E$1:E4400)*(E2=E$1:E4400))))))</f>
        <v> </v>
      </c>
      <c r="K4401" s="26" t="str">
        <f>IF(OR(E4401="",E4401="!!!",F4401="NEW"),"",INDEX(J$1:J4400,SUMPRODUCT(MAX(ROW(E$1:E4400)*(E4401=E$1:E4400)))))</f>
        <v> </v>
      </c>
      <c r="L4401" s="27"/>
    </row>
    <row r="4402" spans="1:12">
      <c r="A4402" s="20" t="s">
        <v>1106</v>
      </c>
      <c r="E4402" s="22">
        <f>IF(D4402="?OLD","!!!","")</f>
        <v/>
      </c>
      <c r="F4402" s="23" t="str">
        <f>IF(OR(E4402="",E4402="!!!"),"",IF(NOT(ISNA(VLOOKUP(E4402,E$1:E4401,1,FALSE()))),"OLD",IF(AND(E4402&lt;&gt;"",E4402&lt;&gt;"!!!"),"NEW","")))</f>
        <v> </v>
      </c>
      <c r="G4402" s="24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5" t="str">
        <f>IF(J4402&lt;&gt;1,"",IF(I4402="SBJ","CB","?"))</f>
        <v> </v>
      </c>
      <c r="I4402" s="26" t="str">
        <f>IF(OR(E4402="",E4402="!!!",F4402="NEW"),"",INDEX(B4401:B$2,-1+SUMPRODUCT(MAX(ROW(E4401:E$2)*(E4402=E4401:E$2)))))</f>
        <v> </v>
      </c>
      <c r="J4402" s="26" t="str">
        <f>IF(OR(E4402="",E4402="!!!",F4402="NEW"),"",COUNTBLANK(OFFSET(A$1,,,SUMPRODUCT(MAX(ROW(E$2:E4402)*(E4402=E$2:E4402)))))-COUNTBLANK(OFFSET(A$1,,,SUMPRODUCT(MAX(ROW(E$1:E4401)*(E2=E$1:E4401))))))</f>
        <v> </v>
      </c>
      <c r="K4402" s="26" t="str">
        <f>IF(OR(E4402="",E4402="!!!",F4402="NEW"),"",INDEX(J$1:J4401,SUMPRODUCT(MAX(ROW(E$1:E4401)*(E4402=E$1:E4401)))))</f>
        <v> </v>
      </c>
      <c r="L4402" s="27"/>
    </row>
    <row r="4403" spans="1:12">
      <c r="A4403" s="20" t="s">
        <v>1075</v>
      </c>
      <c r="E4403" s="22">
        <f>IF(D4403="?OLD","!!!","")</f>
        <v/>
      </c>
      <c r="F4403" s="23" t="str">
        <f>IF(OR(E4403="",E4403="!!!"),"",IF(NOT(ISNA(VLOOKUP(E4403,E$1:E4402,1,FALSE()))),"OLD",IF(AND(E4403&lt;&gt;"",E4403&lt;&gt;"!!!"),"NEW","")))</f>
        <v> </v>
      </c>
      <c r="G4403" s="24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5" t="str">
        <f>IF(J4403&lt;&gt;1,"",IF(I4403="SBJ","CB","?"))</f>
        <v> </v>
      </c>
      <c r="I4403" s="26" t="str">
        <f>IF(OR(E4403="",E4403="!!!",F4403="NEW"),"",INDEX(B4402:B$2,-1+SUMPRODUCT(MAX(ROW(E4402:E$2)*(E4403=E4402:E$2)))))</f>
        <v> </v>
      </c>
      <c r="J4403" s="26" t="str">
        <f>IF(OR(E4403="",E4403="!!!",F4403="NEW"),"",COUNTBLANK(OFFSET(A$1,,,SUMPRODUCT(MAX(ROW(E$2:E4403)*(E4403=E$2:E4403)))))-COUNTBLANK(OFFSET(A$1,,,SUMPRODUCT(MAX(ROW(E$1:E4402)*(E2=E$1:E4402))))))</f>
        <v> </v>
      </c>
      <c r="K4403" s="26" t="str">
        <f>IF(OR(E4403="",E4403="!!!",F4403="NEW"),"",INDEX(J$1:J4402,SUMPRODUCT(MAX(ROW(E$1:E4402)*(E4403=E$1:E4402)))))</f>
        <v> </v>
      </c>
      <c r="L4403" s="27"/>
    </row>
    <row r="4404" spans="1:12">
      <c r="A4404" s="20" t="s">
        <v>1022</v>
      </c>
      <c r="E4404" s="22">
        <f>IF(D4404="?OLD","!!!","")</f>
        <v/>
      </c>
      <c r="F4404" s="23" t="str">
        <f>IF(OR(E4404="",E4404="!!!"),"",IF(NOT(ISNA(VLOOKUP(E4404,E$1:E4403,1,FALSE()))),"OLD",IF(AND(E4404&lt;&gt;"",E4404&lt;&gt;"!!!"),"NEW","")))</f>
        <v> </v>
      </c>
      <c r="G4404" s="24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5" t="str">
        <f>IF(J4404&lt;&gt;1,"",IF(I4404="SBJ","CB","?"))</f>
        <v> </v>
      </c>
      <c r="I4404" s="26" t="str">
        <f>IF(OR(E4404="",E4404="!!!",F4404="NEW"),"",INDEX(B4403:B$2,-1+SUMPRODUCT(MAX(ROW(E4403:E$2)*(E4404=E4403:E$2)))))</f>
        <v> </v>
      </c>
      <c r="J4404" s="26" t="str">
        <f>IF(OR(E4404="",E4404="!!!",F4404="NEW"),"",COUNTBLANK(OFFSET(A$1,,,SUMPRODUCT(MAX(ROW(E$2:E4404)*(E4404=E$2:E4404)))))-COUNTBLANK(OFFSET(A$1,,,SUMPRODUCT(MAX(ROW(E$1:E4403)*(E2=E$1:E4403))))))</f>
        <v> </v>
      </c>
      <c r="K4404" s="26" t="str">
        <f>IF(OR(E4404="",E4404="!!!",F4404="NEW"),"",INDEX(J$1:J4403,SUMPRODUCT(MAX(ROW(E$1:E4403)*(E4404=E$1:E4403)))))</f>
        <v> </v>
      </c>
      <c r="L4404" s="27"/>
    </row>
    <row r="4405" spans="1:12">
      <c r="A4405" s="20" t="s">
        <v>1517</v>
      </c>
      <c r="B4405" s="21" t="s">
        <v>1031</v>
      </c>
      <c r="C4405" s="21" t="s">
        <v>1032</v>
      </c>
      <c r="D4405" s="21" t="s">
        <v>950</v>
      </c>
      <c r="E4405" s="22">
        <f>IF(D4405="?OLD","!!!","")</f>
        <v/>
      </c>
      <c r="F4405" s="23" t="str">
        <f>IF(OR(E4405="",E4405="!!!"),"",IF(NOT(ISNA(VLOOKUP(E4405,E$1:E4404,1,FALSE()))),"OLD",IF(AND(E4405&lt;&gt;"",E4405&lt;&gt;"!!!"),"NEW","")))</f>
        <v> </v>
      </c>
      <c r="G4405" s="24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5" t="str">
        <f>IF(J4405&lt;&gt;1,"",IF(I4405="SBJ","CB","?"))</f>
        <v> </v>
      </c>
      <c r="I4405" s="26" t="str">
        <f>IF(OR(E4405="",E4405="!!!",F4405="NEW"),"",INDEX(B4404:B$2,-1+SUMPRODUCT(MAX(ROW(E4404:E$2)*(E4405=E4404:E$2)))))</f>
        <v> </v>
      </c>
      <c r="J4405" s="26" t="str">
        <f>IF(OR(E4405="",E4405="!!!",F4405="NEW"),"",COUNTBLANK(OFFSET(A$1,,,SUMPRODUCT(MAX(ROW(E$2:E4405)*(E4405=E$2:E4405)))))-COUNTBLANK(OFFSET(A$1,,,SUMPRODUCT(MAX(ROW(E$1:E4404)*(E2=E$1:E4404))))))</f>
        <v> </v>
      </c>
      <c r="K4405" s="26" t="str">
        <f>IF(OR(E4405="",E4405="!!!",F4405="NEW"),"",INDEX(J$1:J4404,SUMPRODUCT(MAX(ROW(E$1:E4404)*(E4405=E$1:E4404)))))</f>
        <v> </v>
      </c>
      <c r="L4405" s="27"/>
    </row>
    <row r="4406" spans="1:12">
      <c r="A4406" s="20" t="s">
        <v>984</v>
      </c>
      <c r="E4406" s="22">
        <f>IF(D4406="?OLD","!!!","")</f>
        <v/>
      </c>
      <c r="F4406" s="23" t="str">
        <f>IF(OR(E4406="",E4406="!!!"),"",IF(NOT(ISNA(VLOOKUP(E4406,E$1:E4405,1,FALSE()))),"OLD",IF(AND(E4406&lt;&gt;"",E4406&lt;&gt;"!!!"),"NEW","")))</f>
        <v> </v>
      </c>
      <c r="G4406" s="24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5" t="str">
        <f>IF(J4406&lt;&gt;1,"",IF(I4406="SBJ","CB","?"))</f>
        <v> </v>
      </c>
      <c r="I4406" s="26" t="str">
        <f>IF(OR(E4406="",E4406="!!!",F4406="NEW"),"",INDEX(B4405:B$2,-1+SUMPRODUCT(MAX(ROW(E4405:E$2)*(E4406=E4405:E$2)))))</f>
        <v> </v>
      </c>
      <c r="J4406" s="26" t="str">
        <f>IF(OR(E4406="",E4406="!!!",F4406="NEW"),"",COUNTBLANK(OFFSET(A$1,,,SUMPRODUCT(MAX(ROW(E$2:E4406)*(E4406=E$2:E4406)))))-COUNTBLANK(OFFSET(A$1,,,SUMPRODUCT(MAX(ROW(E$1:E4405)*(E2=E$1:E4405))))))</f>
        <v> </v>
      </c>
      <c r="K4406" s="26" t="str">
        <f>IF(OR(E4406="",E4406="!!!",F4406="NEW"),"",INDEX(J$1:J4405,SUMPRODUCT(MAX(ROW(E$1:E4405)*(E4406=E$1:E4405)))))</f>
        <v> </v>
      </c>
      <c r="L4406" s="27"/>
    </row>
    <row r="4407" spans="1:12">
      <c r="A4407" s="20"/>
    </row>
    <row r="4408" spans="1:12">
      <c r="A4408" s="20" t="s">
        <v>2155</v>
      </c>
    </row>
    <row r="4409" spans="1:12">
      <c r="A4409" s="20" t="s">
        <v>1122</v>
      </c>
      <c r="E4409" s="22">
        <f>IF(D4409="?OLD","!!!","")</f>
        <v/>
      </c>
      <c r="F4409" s="23" t="str">
        <f>IF(OR(E4409="",E4409="!!!"),"",IF(NOT(ISNA(VLOOKUP(E4409,E$1:E4408,1,FALSE()))),"OLD",IF(AND(E4409&lt;&gt;"",E4409&lt;&gt;"!!!"),"NEW","")))</f>
        <v> </v>
      </c>
      <c r="G4409" s="24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5" t="str">
        <f>IF(J4409&lt;&gt;1,"",IF(I4409="SBJ","CB","?"))</f>
        <v> </v>
      </c>
      <c r="I4409" s="26" t="str">
        <f>IF(OR(E4409="",E4409="!!!",F4409="NEW"),"",INDEX(B4408:B$2,-1+SUMPRODUCT(MAX(ROW(E4408:E$2)*(E4409=E4408:E$2)))))</f>
        <v> </v>
      </c>
      <c r="J4409" s="26" t="str">
        <f>IF(OR(E4409="",E4409="!!!",F4409="NEW"),"",COUNTBLANK(OFFSET(A$1,,,SUMPRODUCT(MAX(ROW(E$2:E4409)*(E4409=E$2:E4409)))))-COUNTBLANK(OFFSET(A$1,,,SUMPRODUCT(MAX(ROW(E$1:E4408)*(E2=E$1:E4408))))))</f>
        <v> </v>
      </c>
      <c r="K4409" s="26" t="str">
        <f>IF(OR(E4409="",E4409="!!!",F4409="NEW"),"",INDEX(J$1:J4408,SUMPRODUCT(MAX(ROW(E$1:E4408)*(E4409=E$1:E4408)))))</f>
        <v> </v>
      </c>
      <c r="L4409" s="27"/>
    </row>
    <row r="4410" spans="1:12">
      <c r="A4410" s="20" t="s">
        <v>995</v>
      </c>
      <c r="E4410" s="22">
        <f>IF(D4410="?OLD","!!!","")</f>
        <v/>
      </c>
      <c r="F4410" s="23" t="str">
        <f>IF(OR(E4410="",E4410="!!!"),"",IF(NOT(ISNA(VLOOKUP(E4410,E$1:E4409,1,FALSE()))),"OLD",IF(AND(E4410&lt;&gt;"",E4410&lt;&gt;"!!!"),"NEW","")))</f>
        <v> </v>
      </c>
      <c r="G4410" s="24" t="str">
        <f>IF(OR(E4410="",E4410="!!!"),"",IF(OR(J4410=0,AND(J4410=1,K4410=1),AND(J4410=1,I4410="SBJ"),AND(J4410=1,I4410=0)),"?IN_FOCUS",IF(J4410&lt;=2,"?ACTIVATED",IF(J4410&lt;&gt;"","?FAMILIAR",IF(F4410="NEW",IF(ISNA(VLOOKUP(E4410,#REF!,1,FALSE())),"?TYPE_IDENTIFIABLE","?REFERENTIAL"),"_")))))</f>
        <v> </v>
      </c>
      <c r="H4410" s="25" t="str">
        <f>IF(J4410&lt;&gt;1,"",IF(I4410="SBJ","CB","?"))</f>
        <v> </v>
      </c>
      <c r="I4410" s="26" t="str">
        <f>IF(OR(E4410="",E4410="!!!",F4410="NEW"),"",INDEX(B4409:B$2,-1+SUMPRODUCT(MAX(ROW(E4409:E$2)*(E4410=E4409:E$2)))))</f>
        <v> </v>
      </c>
      <c r="J4410" s="26" t="str">
        <f>IF(OR(E4410="",E4410="!!!",F4410="NEW"),"",COUNTBLANK(OFFSET(A$1,,,SUMPRODUCT(MAX(ROW(E$2:E4410)*(E4410=E$2:E4410)))))-COUNTBLANK(OFFSET(A$1,,,SUMPRODUCT(MAX(ROW(E$1:E4409)*(E2=E$1:E4409))))))</f>
        <v> </v>
      </c>
      <c r="K4410" s="26" t="str">
        <f>IF(OR(E4410="",E4410="!!!",F4410="NEW"),"",INDEX(J$1:J4409,SUMPRODUCT(MAX(ROW(E$1:E4409)*(E4410=E$1:E4409)))))</f>
        <v> </v>
      </c>
      <c r="L4410" s="27"/>
    </row>
    <row r="4411" spans="1:12">
      <c r="A4411" s="20" t="s">
        <v>1116</v>
      </c>
      <c r="E4411" s="22">
        <f>IF(D4411="?OLD","!!!","")</f>
        <v/>
      </c>
      <c r="F4411" s="23" t="str">
        <f>IF(OR(E4411="",E4411="!!!"),"",IF(NOT(ISNA(VLOOKUP(E4411,E$1:E4410,1,FALSE()))),"OLD",IF(AND(E4411&lt;&gt;"",E4411&lt;&gt;"!!!"),"NEW","")))</f>
        <v> </v>
      </c>
      <c r="G4411" s="24" t="str">
        <f>IF(OR(E4411="",E4411="!!!"),"",IF(OR(J4411=0,AND(J4411=1,K4411=1),AND(J4411=1,I4411="SBJ"),AND(J4411=1,I4411=0)),"?IN_FOCUS",IF(J4411&lt;=2,"?ACTIVATED",IF(J4411&lt;&gt;"","?FAMILIAR",IF(F4411="NEW",IF(ISNA(VLOOKUP(E4411,#REF!,1,FALSE())),"?TYPE_IDENTIFIABLE","?REFERENTIAL"),"_")))))</f>
        <v> </v>
      </c>
      <c r="H4411" s="25" t="str">
        <f>IF(J4411&lt;&gt;1,"",IF(I4411="SBJ","CB","?"))</f>
        <v> </v>
      </c>
      <c r="I4411" s="26" t="str">
        <f>IF(OR(E4411="",E4411="!!!",F4411="NEW"),"",INDEX(B4410:B$2,-1+SUMPRODUCT(MAX(ROW(E4410:E$2)*(E4411=E4410:E$2)))))</f>
        <v> </v>
      </c>
      <c r="J4411" s="26" t="str">
        <f>IF(OR(E4411="",E4411="!!!",F4411="NEW"),"",COUNTBLANK(OFFSET(A$1,,,SUMPRODUCT(MAX(ROW(E$2:E4411)*(E4411=E$2:E4411)))))-COUNTBLANK(OFFSET(A$1,,,SUMPRODUCT(MAX(ROW(E$1:E4410)*(E2=E$1:E4410))))))</f>
        <v> </v>
      </c>
      <c r="K4411" s="26" t="str">
        <f>IF(OR(E4411="",E4411="!!!",F4411="NEW"),"",INDEX(J$1:J4410,SUMPRODUCT(MAX(ROW(E$1:E4410)*(E4411=E$1:E4410)))))</f>
        <v> </v>
      </c>
      <c r="L4411" s="27"/>
    </row>
    <row r="4412" spans="1:12">
      <c r="A4412" s="20" t="s">
        <v>1555</v>
      </c>
      <c r="E4412" s="22">
        <f>IF(D4412="?OLD","!!!","")</f>
        <v/>
      </c>
      <c r="F4412" s="23" t="str">
        <f>IF(OR(E4412="",E4412="!!!"),"",IF(NOT(ISNA(VLOOKUP(E4412,E$1:E4411,1,FALSE()))),"OLD",IF(AND(E4412&lt;&gt;"",E4412&lt;&gt;"!!!"),"NEW","")))</f>
        <v> </v>
      </c>
      <c r="G4412" s="24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5" t="str">
        <f>IF(J4412&lt;&gt;1,"",IF(I4412="SBJ","CB","?"))</f>
        <v> </v>
      </c>
      <c r="I4412" s="26" t="str">
        <f>IF(OR(E4412="",E4412="!!!",F4412="NEW"),"",INDEX(B4411:B$2,-1+SUMPRODUCT(MAX(ROW(E4411:E$2)*(E4412=E4411:E$2)))))</f>
        <v> </v>
      </c>
      <c r="J4412" s="26" t="str">
        <f>IF(OR(E4412="",E4412="!!!",F4412="NEW"),"",COUNTBLANK(OFFSET(A$1,,,SUMPRODUCT(MAX(ROW(E$2:E4412)*(E4412=E$2:E4412)))))-COUNTBLANK(OFFSET(A$1,,,SUMPRODUCT(MAX(ROW(E$1:E4411)*(E2=E$1:E4411))))))</f>
        <v> </v>
      </c>
      <c r="K4412" s="26" t="str">
        <f>IF(OR(E4412="",E4412="!!!",F4412="NEW"),"",INDEX(J$1:J4411,SUMPRODUCT(MAX(ROW(E$1:E4411)*(E4412=E$1:E4411)))))</f>
        <v> </v>
      </c>
      <c r="L4412" s="27"/>
    </row>
    <row r="4413" spans="1:12">
      <c r="A4413" s="20" t="s">
        <v>1006</v>
      </c>
      <c r="E4413" s="22">
        <f>IF(D4413="?OLD","!!!","")</f>
        <v/>
      </c>
      <c r="F4413" s="23" t="str">
        <f>IF(OR(E4413="",E4413="!!!"),"",IF(NOT(ISNA(VLOOKUP(E4413,E$1:E4412,1,FALSE()))),"OLD",IF(AND(E4413&lt;&gt;"",E4413&lt;&gt;"!!!"),"NEW","")))</f>
        <v> </v>
      </c>
      <c r="G4413" s="24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5" t="str">
        <f>IF(J4413&lt;&gt;1,"",IF(I4413="SBJ","CB","?"))</f>
        <v> </v>
      </c>
      <c r="I4413" s="26" t="str">
        <f>IF(OR(E4413="",E4413="!!!",F4413="NEW"),"",INDEX(B4412:B$2,-1+SUMPRODUCT(MAX(ROW(E4412:E$2)*(E4413=E4412:E$2)))))</f>
        <v> </v>
      </c>
      <c r="J4413" s="26" t="str">
        <f>IF(OR(E4413="",E4413="!!!",F4413="NEW"),"",COUNTBLANK(OFFSET(A$1,,,SUMPRODUCT(MAX(ROW(E$2:E4413)*(E4413=E$2:E4413)))))-COUNTBLANK(OFFSET(A$1,,,SUMPRODUCT(MAX(ROW(E$1:E4412)*(E2=E$1:E4412))))))</f>
        <v> </v>
      </c>
      <c r="K4413" s="26" t="str">
        <f>IF(OR(E4413="",E4413="!!!",F4413="NEW"),"",INDEX(J$1:J4412,SUMPRODUCT(MAX(ROW(E$1:E4412)*(E4413=E$1:E4412)))))</f>
        <v> </v>
      </c>
      <c r="L4413" s="27"/>
    </row>
    <row r="4414" spans="1:12">
      <c r="A4414" s="20" t="s">
        <v>1556</v>
      </c>
      <c r="B4414" s="21" t="s">
        <v>1005</v>
      </c>
      <c r="C4414" s="21" t="s">
        <v>1032</v>
      </c>
      <c r="D4414" s="21" t="s">
        <v>950</v>
      </c>
      <c r="E4414" s="22">
        <f>IF(D4414="?OLD","!!!","")</f>
        <v/>
      </c>
      <c r="F4414" s="23" t="str">
        <f>IF(OR(E4414="",E4414="!!!"),"",IF(NOT(ISNA(VLOOKUP(E4414,E$1:E4413,1,FALSE()))),"OLD",IF(AND(E4414&lt;&gt;"",E4414&lt;&gt;"!!!"),"NEW","")))</f>
        <v> </v>
      </c>
      <c r="G4414" s="24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5" t="str">
        <f>IF(J4414&lt;&gt;1,"",IF(I4414="SBJ","CB","?"))</f>
        <v> </v>
      </c>
      <c r="I4414" s="26" t="str">
        <f>IF(OR(E4414="",E4414="!!!",F4414="NEW"),"",INDEX(B4413:B$2,-1+SUMPRODUCT(MAX(ROW(E4413:E$2)*(E4414=E4413:E$2)))))</f>
        <v> </v>
      </c>
      <c r="J4414" s="26" t="str">
        <f>IF(OR(E4414="",E4414="!!!",F4414="NEW"),"",COUNTBLANK(OFFSET(A$1,,,SUMPRODUCT(MAX(ROW(E$2:E4414)*(E4414=E$2:E4414)))))-COUNTBLANK(OFFSET(A$1,,,SUMPRODUCT(MAX(ROW(E$1:E4413)*(E2=E$1:E4413))))))</f>
        <v> </v>
      </c>
      <c r="K4414" s="26" t="str">
        <f>IF(OR(E4414="",E4414="!!!",F4414="NEW"),"",INDEX(J$1:J4413,SUMPRODUCT(MAX(ROW(E$1:E4413)*(E4414=E$1:E4413)))))</f>
        <v> </v>
      </c>
      <c r="L4414" s="27"/>
    </row>
    <row r="4415" spans="1:12">
      <c r="A4415" s="20" t="s">
        <v>984</v>
      </c>
      <c r="E4415" s="22">
        <f>IF(D4415="?OLD","!!!","")</f>
        <v/>
      </c>
      <c r="F4415" s="23" t="str">
        <f>IF(OR(E4415="",E4415="!!!"),"",IF(NOT(ISNA(VLOOKUP(E4415,E$1:E4414,1,FALSE()))),"OLD",IF(AND(E4415&lt;&gt;"",E4415&lt;&gt;"!!!"),"NEW","")))</f>
        <v> </v>
      </c>
      <c r="G4415" s="24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5" t="str">
        <f>IF(J4415&lt;&gt;1,"",IF(I4415="SBJ","CB","?"))</f>
        <v> </v>
      </c>
      <c r="I4415" s="26" t="str">
        <f>IF(OR(E4415="",E4415="!!!",F4415="NEW"),"",INDEX(B4414:B$2,-1+SUMPRODUCT(MAX(ROW(E4414:E$2)*(E4415=E4414:E$2)))))</f>
        <v> </v>
      </c>
      <c r="J4415" s="26" t="str">
        <f>IF(OR(E4415="",E4415="!!!",F4415="NEW"),"",COUNTBLANK(OFFSET(A$1,,,SUMPRODUCT(MAX(ROW(E$2:E4415)*(E4415=E$2:E4415)))))-COUNTBLANK(OFFSET(A$1,,,SUMPRODUCT(MAX(ROW(E$1:E4414)*(E2=E$1:E4414))))))</f>
        <v> </v>
      </c>
      <c r="K4415" s="26" t="str">
        <f>IF(OR(E4415="",E4415="!!!",F4415="NEW"),"",INDEX(J$1:J4414,SUMPRODUCT(MAX(ROW(E$1:E4414)*(E4415=E$1:E4414)))))</f>
        <v> </v>
      </c>
      <c r="L4415" s="27"/>
    </row>
    <row r="4416" spans="1:12">
      <c r="A4416" s="20"/>
    </row>
    <row r="4417" spans="1:12">
      <c r="A4417" s="20" t="s">
        <v>2156</v>
      </c>
    </row>
    <row r="4418" spans="1:12">
      <c r="A4418" s="20" t="s">
        <v>1057</v>
      </c>
      <c r="E4418" s="22">
        <f>IF(D4418="?OLD","!!!","")</f>
        <v/>
      </c>
      <c r="F4418" s="23" t="str">
        <f>IF(OR(E4418="",E4418="!!!"),"",IF(NOT(ISNA(VLOOKUP(E4418,E$1:E4417,1,FALSE()))),"OLD",IF(AND(E4418&lt;&gt;"",E4418&lt;&gt;"!!!"),"NEW","")))</f>
        <v> </v>
      </c>
      <c r="G4418" s="24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5" t="str">
        <f>IF(J4418&lt;&gt;1,"",IF(I4418="SBJ","CB","?"))</f>
        <v> </v>
      </c>
      <c r="I4418" s="26" t="str">
        <f>IF(OR(E4418="",E4418="!!!",F4418="NEW"),"",INDEX(B4417:B$2,-1+SUMPRODUCT(MAX(ROW(E4417:E$2)*(E4418=E4417:E$2)))))</f>
        <v> </v>
      </c>
      <c r="J4418" s="26" t="str">
        <f>IF(OR(E4418="",E4418="!!!",F4418="NEW"),"",COUNTBLANK(OFFSET(A$1,,,SUMPRODUCT(MAX(ROW(E$2:E4418)*(E4418=E$2:E4418)))))-COUNTBLANK(OFFSET(A$1,,,SUMPRODUCT(MAX(ROW(E$1:E4417)*(E2=E$1:E4417))))))</f>
        <v> </v>
      </c>
      <c r="K4418" s="26" t="str">
        <f>IF(OR(E4418="",E4418="!!!",F4418="NEW"),"",INDEX(J$1:J4417,SUMPRODUCT(MAX(ROW(E$1:E4417)*(E4418=E$1:E4417)))))</f>
        <v> </v>
      </c>
      <c r="L4418" s="27"/>
    </row>
    <row r="4419" spans="1:12">
      <c r="A4419" s="20" t="s">
        <v>1086</v>
      </c>
      <c r="E4419" s="22">
        <f>IF(D4419="?OLD","!!!","")</f>
        <v/>
      </c>
      <c r="F4419" s="23" t="str">
        <f>IF(OR(E4419="",E4419="!!!"),"",IF(NOT(ISNA(VLOOKUP(E4419,E$1:E4418,1,FALSE()))),"OLD",IF(AND(E4419&lt;&gt;"",E4419&lt;&gt;"!!!"),"NEW","")))</f>
        <v> </v>
      </c>
      <c r="G4419" s="24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5" t="str">
        <f>IF(J4419&lt;&gt;1,"",IF(I4419="SBJ","CB","?"))</f>
        <v> </v>
      </c>
      <c r="I4419" s="26" t="str">
        <f>IF(OR(E4419="",E4419="!!!",F4419="NEW"),"",INDEX(B4418:B$2,-1+SUMPRODUCT(MAX(ROW(E4418:E$2)*(E4419=E4418:E$2)))))</f>
        <v> </v>
      </c>
      <c r="J4419" s="26" t="str">
        <f>IF(OR(E4419="",E4419="!!!",F4419="NEW"),"",COUNTBLANK(OFFSET(A$1,,,SUMPRODUCT(MAX(ROW(E$2:E4419)*(E4419=E$2:E4419)))))-COUNTBLANK(OFFSET(A$1,,,SUMPRODUCT(MAX(ROW(E$1:E4418)*(E2=E$1:E4418))))))</f>
        <v> </v>
      </c>
      <c r="K4419" s="26" t="str">
        <f>IF(OR(E4419="",E4419="!!!",F4419="NEW"),"",INDEX(J$1:J4418,SUMPRODUCT(MAX(ROW(E$1:E4418)*(E4419=E$1:E4418)))))</f>
        <v> </v>
      </c>
      <c r="L4419" s="27"/>
    </row>
    <row r="4420" spans="1:12">
      <c r="A4420" s="20" t="s">
        <v>1632</v>
      </c>
      <c r="B4420" s="21" t="s">
        <v>975</v>
      </c>
      <c r="C4420" s="21" t="s">
        <v>960</v>
      </c>
      <c r="D4420" s="21" t="s">
        <v>950</v>
      </c>
      <c r="E4420" s="22">
        <f>IF(D4420="?OLD","!!!","")</f>
        <v/>
      </c>
      <c r="F4420" s="23" t="str">
        <f>IF(OR(E4420="",E4420="!!!"),"",IF(NOT(ISNA(VLOOKUP(E4420,E$1:E4419,1,FALSE()))),"OLD",IF(AND(E4420&lt;&gt;"",E4420&lt;&gt;"!!!"),"NEW","")))</f>
        <v> </v>
      </c>
      <c r="G4420" s="24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5" t="str">
        <f>IF(J4420&lt;&gt;1,"",IF(I4420="SBJ","CB","?"))</f>
        <v> </v>
      </c>
      <c r="I4420" s="26" t="str">
        <f>IF(OR(E4420="",E4420="!!!",F4420="NEW"),"",INDEX(B4419:B$2,-1+SUMPRODUCT(MAX(ROW(E4419:E$2)*(E4420=E4419:E$2)))))</f>
        <v> </v>
      </c>
      <c r="J4420" s="26" t="str">
        <f>IF(OR(E4420="",E4420="!!!",F4420="NEW"),"",COUNTBLANK(OFFSET(A$1,,,SUMPRODUCT(MAX(ROW(E$2:E4420)*(E4420=E$2:E4420)))))-COUNTBLANK(OFFSET(A$1,,,SUMPRODUCT(MAX(ROW(E$1:E4419)*(E2=E$1:E4419))))))</f>
        <v> </v>
      </c>
      <c r="K4420" s="26" t="str">
        <f>IF(OR(E4420="",E4420="!!!",F4420="NEW"),"",INDEX(J$1:J4419,SUMPRODUCT(MAX(ROW(E$1:E4419)*(E4420=E$1:E4419)))))</f>
        <v> </v>
      </c>
      <c r="L4420" s="27"/>
    </row>
    <row r="4421" spans="1:12">
      <c r="A4421" s="20" t="s">
        <v>1518</v>
      </c>
      <c r="E4421" s="22">
        <f>IF(D4421="?OLD","!!!","")</f>
        <v/>
      </c>
      <c r="F4421" s="23" t="str">
        <f>IF(OR(E4421="",E4421="!!!"),"",IF(NOT(ISNA(VLOOKUP(E4421,E$1:E4420,1,FALSE()))),"OLD",IF(AND(E4421&lt;&gt;"",E4421&lt;&gt;"!!!"),"NEW","")))</f>
        <v> </v>
      </c>
      <c r="G4421" s="24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5" t="str">
        <f>IF(J4421&lt;&gt;1,"",IF(I4421="SBJ","CB","?"))</f>
        <v> </v>
      </c>
      <c r="I4421" s="26" t="str">
        <f>IF(OR(E4421="",E4421="!!!",F4421="NEW"),"",INDEX(B4420:B$2,-1+SUMPRODUCT(MAX(ROW(E4420:E$2)*(E4421=E4420:E$2)))))</f>
        <v> </v>
      </c>
      <c r="J4421" s="26" t="str">
        <f>IF(OR(E4421="",E4421="!!!",F4421="NEW"),"",COUNTBLANK(OFFSET(A$1,,,SUMPRODUCT(MAX(ROW(E$2:E4421)*(E4421=E$2:E4421)))))-COUNTBLANK(OFFSET(A$1,,,SUMPRODUCT(MAX(ROW(E$1:E4420)*(E2=E$1:E4420))))))</f>
        <v> </v>
      </c>
      <c r="K4421" s="26" t="str">
        <f>IF(OR(E4421="",E4421="!!!",F4421="NEW"),"",INDEX(J$1:J4420,SUMPRODUCT(MAX(ROW(E$1:E4420)*(E4421=E$1:E4420)))))</f>
        <v> </v>
      </c>
      <c r="L4421" s="27"/>
    </row>
    <row r="4422" spans="1:12">
      <c r="A4422" s="20" t="s">
        <v>984</v>
      </c>
      <c r="E4422" s="22">
        <f>IF(D4422="?OLD","!!!","")</f>
        <v/>
      </c>
      <c r="F4422" s="23" t="str">
        <f>IF(OR(E4422="",E4422="!!!"),"",IF(NOT(ISNA(VLOOKUP(E4422,E$1:E4421,1,FALSE()))),"OLD",IF(AND(E4422&lt;&gt;"",E4422&lt;&gt;"!!!"),"NEW","")))</f>
        <v> </v>
      </c>
      <c r="G4422" s="24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5" t="str">
        <f>IF(J4422&lt;&gt;1,"",IF(I4422="SBJ","CB","?"))</f>
        <v> </v>
      </c>
      <c r="I4422" s="26" t="str">
        <f>IF(OR(E4422="",E4422="!!!",F4422="NEW"),"",INDEX(B4421:B$2,-1+SUMPRODUCT(MAX(ROW(E4421:E$2)*(E4422=E4421:E$2)))))</f>
        <v> </v>
      </c>
      <c r="J4422" s="26" t="str">
        <f>IF(OR(E4422="",E4422="!!!",F4422="NEW"),"",COUNTBLANK(OFFSET(A$1,,,SUMPRODUCT(MAX(ROW(E$2:E4422)*(E4422=E$2:E4422)))))-COUNTBLANK(OFFSET(A$1,,,SUMPRODUCT(MAX(ROW(E$1:E4421)*(E2=E$1:E4421))))))</f>
        <v> </v>
      </c>
      <c r="K4422" s="26" t="str">
        <f>IF(OR(E4422="",E4422="!!!",F4422="NEW"),"",INDEX(J$1:J4421,SUMPRODUCT(MAX(ROW(E$1:E4421)*(E4422=E$1:E4421)))))</f>
        <v> </v>
      </c>
      <c r="L4422" s="27"/>
    </row>
    <row r="4423" spans="1:12">
      <c r="A4423" s="20"/>
    </row>
    <row r="4424" spans="1:12">
      <c r="A4424" s="20" t="s">
        <v>2157</v>
      </c>
    </row>
    <row r="4425" spans="1:12">
      <c r="A4425" s="20" t="s">
        <v>1603</v>
      </c>
      <c r="E4425" s="22">
        <f>IF(D4425="?OLD","!!!","")</f>
        <v/>
      </c>
      <c r="F4425" s="23" t="str">
        <f>IF(OR(E4425="",E4425="!!!"),"",IF(NOT(ISNA(VLOOKUP(E4425,E$1:E4424,1,FALSE()))),"OLD",IF(AND(E4425&lt;&gt;"",E4425&lt;&gt;"!!!"),"NEW","")))</f>
        <v> </v>
      </c>
      <c r="G4425" s="24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5" t="str">
        <f>IF(J4425&lt;&gt;1,"",IF(I4425="SBJ","CB","?"))</f>
        <v> </v>
      </c>
      <c r="I4425" s="26" t="str">
        <f>IF(OR(E4425="",E4425="!!!",F4425="NEW"),"",INDEX(B4424:B$2,-1+SUMPRODUCT(MAX(ROW(E4424:E$2)*(E4425=E4424:E$2)))))</f>
        <v> </v>
      </c>
      <c r="J4425" s="26" t="str">
        <f>IF(OR(E4425="",E4425="!!!",F4425="NEW"),"",COUNTBLANK(OFFSET(A$1,,,SUMPRODUCT(MAX(ROW(E$2:E4425)*(E4425=E$2:E4425)))))-COUNTBLANK(OFFSET(A$1,,,SUMPRODUCT(MAX(ROW(E$1:E4424)*(E2=E$1:E4424))))))</f>
        <v> </v>
      </c>
      <c r="K4425" s="26" t="str">
        <f>IF(OR(E4425="",E4425="!!!",F4425="NEW"),"",INDEX(J$1:J4424,SUMPRODUCT(MAX(ROW(E$1:E4424)*(E4425=E$1:E4424)))))</f>
        <v> </v>
      </c>
      <c r="L4425" s="27"/>
    </row>
    <row r="4426" spans="1:12">
      <c r="A4426" s="20" t="s">
        <v>1072</v>
      </c>
      <c r="E4426" s="22">
        <f>IF(D4426="?OLD","!!!","")</f>
        <v/>
      </c>
      <c r="F4426" s="23" t="str">
        <f>IF(OR(E4426="",E4426="!!!"),"",IF(NOT(ISNA(VLOOKUP(E4426,E$1:E4425,1,FALSE()))),"OLD",IF(AND(E4426&lt;&gt;"",E4426&lt;&gt;"!!!"),"NEW","")))</f>
        <v> </v>
      </c>
      <c r="G4426" s="24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5" t="str">
        <f>IF(J4426&lt;&gt;1,"",IF(I4426="SBJ","CB","?"))</f>
        <v> </v>
      </c>
      <c r="I4426" s="26" t="str">
        <f>IF(OR(E4426="",E4426="!!!",F4426="NEW"),"",INDEX(B4425:B$2,-1+SUMPRODUCT(MAX(ROW(E4425:E$2)*(E4426=E4425:E$2)))))</f>
        <v> </v>
      </c>
      <c r="J4426" s="26" t="str">
        <f>IF(OR(E4426="",E4426="!!!",F4426="NEW"),"",COUNTBLANK(OFFSET(A$1,,,SUMPRODUCT(MAX(ROW(E$2:E4426)*(E4426=E$2:E4426)))))-COUNTBLANK(OFFSET(A$1,,,SUMPRODUCT(MAX(ROW(E$1:E4425)*(E2=E$1:E4425))))))</f>
        <v> </v>
      </c>
      <c r="K4426" s="26" t="str">
        <f>IF(OR(E4426="",E4426="!!!",F4426="NEW"),"",INDEX(J$1:J4425,SUMPRODUCT(MAX(ROW(E$1:E4425)*(E4426=E$1:E4425)))))</f>
        <v> </v>
      </c>
      <c r="L4426" s="27"/>
    </row>
    <row r="4427" spans="1:12">
      <c r="A4427" s="20" t="s">
        <v>965</v>
      </c>
      <c r="E4427" s="22">
        <f>IF(D4427="?OLD","!!!","")</f>
        <v/>
      </c>
      <c r="F4427" s="23" t="str">
        <f>IF(OR(E4427="",E4427="!!!"),"",IF(NOT(ISNA(VLOOKUP(E4427,E$1:E4426,1,FALSE()))),"OLD",IF(AND(E4427&lt;&gt;"",E4427&lt;&gt;"!!!"),"NEW","")))</f>
        <v> </v>
      </c>
      <c r="G4427" s="24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5" t="str">
        <f>IF(J4427&lt;&gt;1,"",IF(I4427="SBJ","CB","?"))</f>
        <v> </v>
      </c>
      <c r="I4427" s="26" t="str">
        <f>IF(OR(E4427="",E4427="!!!",F4427="NEW"),"",INDEX(B4426:B$2,-1+SUMPRODUCT(MAX(ROW(E4426:E$2)*(E4427=E4426:E$2)))))</f>
        <v> </v>
      </c>
      <c r="J4427" s="26" t="str">
        <f>IF(OR(E4427="",E4427="!!!",F4427="NEW"),"",COUNTBLANK(OFFSET(A$1,,,SUMPRODUCT(MAX(ROW(E$2:E4427)*(E4427=E$2:E4427)))))-COUNTBLANK(OFFSET(A$1,,,SUMPRODUCT(MAX(ROW(E$1:E4426)*(E2=E$1:E4426))))))</f>
        <v> </v>
      </c>
      <c r="K4427" s="26" t="str">
        <f>IF(OR(E4427="",E4427="!!!",F4427="NEW"),"",INDEX(J$1:J4426,SUMPRODUCT(MAX(ROW(E$1:E4426)*(E4427=E$1:E4426)))))</f>
        <v> </v>
      </c>
      <c r="L4427" s="27"/>
    </row>
    <row r="4428" spans="1:12">
      <c r="A4428" s="20" t="s">
        <v>1022</v>
      </c>
      <c r="E4428" s="22">
        <f>IF(D4428="?OLD","!!!","")</f>
        <v/>
      </c>
      <c r="F4428" s="23" t="str">
        <f>IF(OR(E4428="",E4428="!!!"),"",IF(NOT(ISNA(VLOOKUP(E4428,E$1:E4427,1,FALSE()))),"OLD",IF(AND(E4428&lt;&gt;"",E4428&lt;&gt;"!!!"),"NEW","")))</f>
        <v> </v>
      </c>
      <c r="G4428" s="24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5" t="str">
        <f>IF(J4428&lt;&gt;1,"",IF(I4428="SBJ","CB","?"))</f>
        <v> </v>
      </c>
      <c r="I4428" s="26" t="str">
        <f>IF(OR(E4428="",E4428="!!!",F4428="NEW"),"",INDEX(B4427:B$2,-1+SUMPRODUCT(MAX(ROW(E4427:E$2)*(E4428=E4427:E$2)))))</f>
        <v> </v>
      </c>
      <c r="J4428" s="26" t="str">
        <f>IF(OR(E4428="",E4428="!!!",F4428="NEW"),"",COUNTBLANK(OFFSET(A$1,,,SUMPRODUCT(MAX(ROW(E$2:E4428)*(E4428=E$2:E4428)))))-COUNTBLANK(OFFSET(A$1,,,SUMPRODUCT(MAX(ROW(E$1:E4427)*(E2=E$1:E4427))))))</f>
        <v> </v>
      </c>
      <c r="K4428" s="26" t="str">
        <f>IF(OR(E4428="",E4428="!!!",F4428="NEW"),"",INDEX(J$1:J4427,SUMPRODUCT(MAX(ROW(E$1:E4427)*(E4428=E$1:E4427)))))</f>
        <v> </v>
      </c>
      <c r="L4428" s="27"/>
    </row>
    <row r="4429" spans="1:12">
      <c r="A4429" s="20" t="s">
        <v>1185</v>
      </c>
      <c r="B4429" s="21" t="s">
        <v>956</v>
      </c>
      <c r="C4429" s="21" t="s">
        <v>1032</v>
      </c>
      <c r="D4429" s="21" t="s">
        <v>950</v>
      </c>
      <c r="E4429" s="22">
        <f>IF(D4429="?OLD","!!!","")</f>
        <v/>
      </c>
      <c r="F4429" s="23" t="str">
        <f>IF(OR(E4429="",E4429="!!!"),"",IF(NOT(ISNA(VLOOKUP(E4429,E$1:E4428,1,FALSE()))),"OLD",IF(AND(E4429&lt;&gt;"",E4429&lt;&gt;"!!!"),"NEW","")))</f>
        <v> </v>
      </c>
      <c r="G4429" s="24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5" t="str">
        <f>IF(J4429&lt;&gt;1,"",IF(I4429="SBJ","CB","?"))</f>
        <v> </v>
      </c>
      <c r="I4429" s="26" t="str">
        <f>IF(OR(E4429="",E4429="!!!",F4429="NEW"),"",INDEX(B4428:B$2,-1+SUMPRODUCT(MAX(ROW(E4428:E$2)*(E4429=E4428:E$2)))))</f>
        <v> </v>
      </c>
      <c r="J4429" s="26" t="str">
        <f>IF(OR(E4429="",E4429="!!!",F4429="NEW"),"",COUNTBLANK(OFFSET(A$1,,,SUMPRODUCT(MAX(ROW(E$2:E4429)*(E4429=E$2:E4429)))))-COUNTBLANK(OFFSET(A$1,,,SUMPRODUCT(MAX(ROW(E$1:E4428)*(E2=E$1:E4428))))))</f>
        <v> </v>
      </c>
      <c r="K4429" s="26" t="str">
        <f>IF(OR(E4429="",E4429="!!!",F4429="NEW"),"",INDEX(J$1:J4428,SUMPRODUCT(MAX(ROW(E$1:E4428)*(E4429=E$1:E4428)))))</f>
        <v> </v>
      </c>
      <c r="L4429" s="27"/>
    </row>
    <row r="4430" spans="1:12">
      <c r="A4430" s="20" t="s">
        <v>1075</v>
      </c>
      <c r="E4430" s="22">
        <f>IF(D4430="?OLD","!!!","")</f>
        <v/>
      </c>
      <c r="F4430" s="23" t="str">
        <f>IF(OR(E4430="",E4430="!!!"),"",IF(NOT(ISNA(VLOOKUP(E4430,E$1:E4429,1,FALSE()))),"OLD",IF(AND(E4430&lt;&gt;"",E4430&lt;&gt;"!!!"),"NEW","")))</f>
        <v> </v>
      </c>
      <c r="G4430" s="24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5" t="str">
        <f>IF(J4430&lt;&gt;1,"",IF(I4430="SBJ","CB","?"))</f>
        <v> </v>
      </c>
      <c r="I4430" s="26" t="str">
        <f>IF(OR(E4430="",E4430="!!!",F4430="NEW"),"",INDEX(B4429:B$2,-1+SUMPRODUCT(MAX(ROW(E4429:E$2)*(E4430=E4429:E$2)))))</f>
        <v> </v>
      </c>
      <c r="J4430" s="26" t="str">
        <f>IF(OR(E4430="",E4430="!!!",F4430="NEW"),"",COUNTBLANK(OFFSET(A$1,,,SUMPRODUCT(MAX(ROW(E$2:E4430)*(E4430=E$2:E4430)))))-COUNTBLANK(OFFSET(A$1,,,SUMPRODUCT(MAX(ROW(E$1:E4429)*(E2=E$1:E4429))))))</f>
        <v> </v>
      </c>
      <c r="K4430" s="26" t="str">
        <f>IF(OR(E4430="",E4430="!!!",F4430="NEW"),"",INDEX(J$1:J4429,SUMPRODUCT(MAX(ROW(E$1:E4429)*(E4430=E$1:E4429)))))</f>
        <v> </v>
      </c>
      <c r="L4430" s="27"/>
    </row>
    <row r="4431" spans="1:12">
      <c r="A4431" s="20" t="s">
        <v>965</v>
      </c>
      <c r="E4431" s="22">
        <f>IF(D4431="?OLD","!!!","")</f>
        <v/>
      </c>
      <c r="F4431" s="23" t="str">
        <f>IF(OR(E4431="",E4431="!!!"),"",IF(NOT(ISNA(VLOOKUP(E4431,E$1:E4430,1,FALSE()))),"OLD",IF(AND(E4431&lt;&gt;"",E4431&lt;&gt;"!!!"),"NEW","")))</f>
        <v> </v>
      </c>
      <c r="G4431" s="24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5" t="str">
        <f>IF(J4431&lt;&gt;1,"",IF(I4431="SBJ","CB","?"))</f>
        <v> </v>
      </c>
      <c r="I4431" s="26" t="str">
        <f>IF(OR(E4431="",E4431="!!!",F4431="NEW"),"",INDEX(B4430:B$2,-1+SUMPRODUCT(MAX(ROW(E4430:E$2)*(E4431=E4430:E$2)))))</f>
        <v> </v>
      </c>
      <c r="J4431" s="26" t="str">
        <f>IF(OR(E4431="",E4431="!!!",F4431="NEW"),"",COUNTBLANK(OFFSET(A$1,,,SUMPRODUCT(MAX(ROW(E$2:E4431)*(E4431=E$2:E4431)))))-COUNTBLANK(OFFSET(A$1,,,SUMPRODUCT(MAX(ROW(E$1:E4430)*(E2=E$1:E4430))))))</f>
        <v> </v>
      </c>
      <c r="K4431" s="26" t="str">
        <f>IF(OR(E4431="",E4431="!!!",F4431="NEW"),"",INDEX(J$1:J4430,SUMPRODUCT(MAX(ROW(E$1:E4430)*(E4431=E$1:E4430)))))</f>
        <v> </v>
      </c>
      <c r="L4431" s="27"/>
    </row>
    <row r="4432" spans="1:12">
      <c r="A4432" s="20" t="s">
        <v>2158</v>
      </c>
      <c r="E4432" s="22">
        <f>IF(D4432="?OLD","!!!","")</f>
        <v/>
      </c>
      <c r="F4432" s="23" t="str">
        <f>IF(OR(E4432="",E4432="!!!"),"",IF(NOT(ISNA(VLOOKUP(E4432,E$1:E4431,1,FALSE()))),"OLD",IF(AND(E4432&lt;&gt;"",E4432&lt;&gt;"!!!"),"NEW","")))</f>
        <v> </v>
      </c>
      <c r="G4432" s="24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5" t="str">
        <f>IF(J4432&lt;&gt;1,"",IF(I4432="SBJ","CB","?"))</f>
        <v> </v>
      </c>
      <c r="I4432" s="26" t="str">
        <f>IF(OR(E4432="",E4432="!!!",F4432="NEW"),"",INDEX(B4431:B$2,-1+SUMPRODUCT(MAX(ROW(E4431:E$2)*(E4432=E4431:E$2)))))</f>
        <v> </v>
      </c>
      <c r="J4432" s="26" t="str">
        <f>IF(OR(E4432="",E4432="!!!",F4432="NEW"),"",COUNTBLANK(OFFSET(A$1,,,SUMPRODUCT(MAX(ROW(E$2:E4432)*(E4432=E$2:E4432)))))-COUNTBLANK(OFFSET(A$1,,,SUMPRODUCT(MAX(ROW(E$1:E4431)*(E2=E$1:E4431))))))</f>
        <v> </v>
      </c>
      <c r="K4432" s="26" t="str">
        <f>IF(OR(E4432="",E4432="!!!",F4432="NEW"),"",INDEX(J$1:J4431,SUMPRODUCT(MAX(ROW(E$1:E4431)*(E4432=E$1:E4431)))))</f>
        <v> </v>
      </c>
      <c r="L4432" s="27"/>
    </row>
    <row r="4433" spans="1:12">
      <c r="A4433" s="20" t="s">
        <v>972</v>
      </c>
      <c r="E4433" s="22">
        <f>IF(D4433="?OLD","!!!","")</f>
        <v/>
      </c>
      <c r="F4433" s="23" t="str">
        <f>IF(OR(E4433="",E4433="!!!"),"",IF(NOT(ISNA(VLOOKUP(E4433,E$1:E4432,1,FALSE()))),"OLD",IF(AND(E4433&lt;&gt;"",E4433&lt;&gt;"!!!"),"NEW","")))</f>
        <v> </v>
      </c>
      <c r="G4433" s="24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5" t="str">
        <f>IF(J4433&lt;&gt;1,"",IF(I4433="SBJ","CB","?"))</f>
        <v> </v>
      </c>
      <c r="I4433" s="26" t="str">
        <f>IF(OR(E4433="",E4433="!!!",F4433="NEW"),"",INDEX(B4432:B$2,-1+SUMPRODUCT(MAX(ROW(E4432:E$2)*(E4433=E4432:E$2)))))</f>
        <v> </v>
      </c>
      <c r="J4433" s="26" t="str">
        <f>IF(OR(E4433="",E4433="!!!",F4433="NEW"),"",COUNTBLANK(OFFSET(A$1,,,SUMPRODUCT(MAX(ROW(E$2:E4433)*(E4433=E$2:E4433)))))-COUNTBLANK(OFFSET(A$1,,,SUMPRODUCT(MAX(ROW(E$1:E4432)*(E2=E$1:E4432))))))</f>
        <v> </v>
      </c>
      <c r="K4433" s="26" t="str">
        <f>IF(OR(E4433="",E4433="!!!",F4433="NEW"),"",INDEX(J$1:J4432,SUMPRODUCT(MAX(ROW(E$1:E4432)*(E4433=E$1:E4432)))))</f>
        <v> </v>
      </c>
      <c r="L4433" s="27"/>
    </row>
    <row r="4434" spans="1:12">
      <c r="A4434" s="20" t="s">
        <v>1072</v>
      </c>
      <c r="E4434" s="22">
        <f>IF(D4434="?OLD","!!!","")</f>
        <v/>
      </c>
      <c r="F4434" s="23" t="str">
        <f>IF(OR(E4434="",E4434="!!!"),"",IF(NOT(ISNA(VLOOKUP(E4434,E$1:E4433,1,FALSE()))),"OLD",IF(AND(E4434&lt;&gt;"",E4434&lt;&gt;"!!!"),"NEW","")))</f>
        <v> </v>
      </c>
      <c r="G4434" s="24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5" t="str">
        <f>IF(J4434&lt;&gt;1,"",IF(I4434="SBJ","CB","?"))</f>
        <v> </v>
      </c>
      <c r="I4434" s="26" t="str">
        <f>IF(OR(E4434="",E4434="!!!",F4434="NEW"),"",INDEX(B4433:B$2,-1+SUMPRODUCT(MAX(ROW(E4433:E$2)*(E4434=E4433:E$2)))))</f>
        <v> </v>
      </c>
      <c r="J4434" s="26" t="str">
        <f>IF(OR(E4434="",E4434="!!!",F4434="NEW"),"",COUNTBLANK(OFFSET(A$1,,,SUMPRODUCT(MAX(ROW(E$2:E4434)*(E4434=E$2:E4434)))))-COUNTBLANK(OFFSET(A$1,,,SUMPRODUCT(MAX(ROW(E$1:E4433)*(E2=E$1:E4433))))))</f>
        <v> </v>
      </c>
      <c r="K4434" s="26" t="str">
        <f>IF(OR(E4434="",E4434="!!!",F4434="NEW"),"",INDEX(J$1:J4433,SUMPRODUCT(MAX(ROW(E$1:E4433)*(E4434=E$1:E4433)))))</f>
        <v> </v>
      </c>
      <c r="L4434" s="27"/>
    </row>
    <row r="4435" spans="1:12">
      <c r="A4435" s="20" t="s">
        <v>2159</v>
      </c>
      <c r="B4435" s="21" t="s">
        <v>948</v>
      </c>
      <c r="C4435" s="21" t="s">
        <v>983</v>
      </c>
      <c r="E4435" s="22">
        <f>IF(D4435="?OLD","!!!","")</f>
        <v/>
      </c>
      <c r="F4435" s="23" t="str">
        <f>IF(OR(E4435="",E4435="!!!"),"",IF(NOT(ISNA(VLOOKUP(E4435,E$1:E4434,1,FALSE()))),"OLD",IF(AND(E4435&lt;&gt;"",E4435&lt;&gt;"!!!"),"NEW","")))</f>
        <v> </v>
      </c>
      <c r="G4435" s="24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5" t="str">
        <f>IF(J4435&lt;&gt;1,"",IF(I4435="SBJ","CB","?"))</f>
        <v> </v>
      </c>
      <c r="I4435" s="26" t="str">
        <f>IF(OR(E4435="",E4435="!!!",F4435="NEW"),"",INDEX(B4434:B$2,-1+SUMPRODUCT(MAX(ROW(E4434:E$2)*(E4435=E4434:E$2)))))</f>
        <v> </v>
      </c>
      <c r="J4435" s="26" t="str">
        <f>IF(OR(E4435="",E4435="!!!",F4435="NEW"),"",COUNTBLANK(OFFSET(A$1,,,SUMPRODUCT(MAX(ROW(E$2:E4435)*(E4435=E$2:E4435)))))-COUNTBLANK(OFFSET(A$1,,,SUMPRODUCT(MAX(ROW(E$1:E4434)*(E2=E$1:E4434))))))</f>
        <v> </v>
      </c>
      <c r="K4435" s="26" t="str">
        <f>IF(OR(E4435="",E4435="!!!",F4435="NEW"),"",INDEX(J$1:J4434,SUMPRODUCT(MAX(ROW(E$1:E4434)*(E4435=E$1:E4434)))))</f>
        <v> </v>
      </c>
      <c r="L4435" s="27"/>
    </row>
    <row r="4436" spans="1:12">
      <c r="A4436" s="20" t="s">
        <v>1141</v>
      </c>
      <c r="E4436" s="22">
        <f>IF(D4436="?OLD","!!!","")</f>
        <v/>
      </c>
      <c r="F4436" s="23" t="str">
        <f>IF(OR(E4436="",E4436="!!!"),"",IF(NOT(ISNA(VLOOKUP(E4436,E$1:E4435,1,FALSE()))),"OLD",IF(AND(E4436&lt;&gt;"",E4436&lt;&gt;"!!!"),"NEW","")))</f>
        <v> </v>
      </c>
      <c r="G4436" s="24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5" t="str">
        <f>IF(J4436&lt;&gt;1,"",IF(I4436="SBJ","CB","?"))</f>
        <v> </v>
      </c>
      <c r="I4436" s="26" t="str">
        <f>IF(OR(E4436="",E4436="!!!",F4436="NEW"),"",INDEX(B4435:B$2,-1+SUMPRODUCT(MAX(ROW(E4435:E$2)*(E4436=E4435:E$2)))))</f>
        <v> </v>
      </c>
      <c r="J4436" s="26" t="str">
        <f>IF(OR(E4436="",E4436="!!!",F4436="NEW"),"",COUNTBLANK(OFFSET(A$1,,,SUMPRODUCT(MAX(ROW(E$2:E4436)*(E4436=E$2:E4436)))))-COUNTBLANK(OFFSET(A$1,,,SUMPRODUCT(MAX(ROW(E$1:E4435)*(E2=E$1:E4435))))))</f>
        <v> </v>
      </c>
      <c r="K4436" s="26" t="str">
        <f>IF(OR(E4436="",E4436="!!!",F4436="NEW"),"",INDEX(J$1:J4435,SUMPRODUCT(MAX(ROW(E$1:E4435)*(E4436=E$1:E4435)))))</f>
        <v> </v>
      </c>
      <c r="L4436" s="27"/>
    </row>
    <row r="4437" spans="1:12">
      <c r="A4437" s="20" t="s">
        <v>977</v>
      </c>
      <c r="E4437" s="22">
        <f>IF(D4437="?OLD","!!!","")</f>
        <v/>
      </c>
      <c r="F4437" s="23" t="str">
        <f>IF(OR(E4437="",E4437="!!!"),"",IF(NOT(ISNA(VLOOKUP(E4437,E$1:E4436,1,FALSE()))),"OLD",IF(AND(E4437&lt;&gt;"",E4437&lt;&gt;"!!!"),"NEW","")))</f>
        <v> </v>
      </c>
      <c r="G4437" s="24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5" t="str">
        <f>IF(J4437&lt;&gt;1,"",IF(I4437="SBJ","CB","?"))</f>
        <v> </v>
      </c>
      <c r="I4437" s="26" t="str">
        <f>IF(OR(E4437="",E4437="!!!",F4437="NEW"),"",INDEX(B4436:B$2,-1+SUMPRODUCT(MAX(ROW(E4436:E$2)*(E4437=E4436:E$2)))))</f>
        <v> </v>
      </c>
      <c r="J4437" s="26" t="str">
        <f>IF(OR(E4437="",E4437="!!!",F4437="NEW"),"",COUNTBLANK(OFFSET(A$1,,,SUMPRODUCT(MAX(ROW(E$2:E4437)*(E4437=E$2:E4437)))))-COUNTBLANK(OFFSET(A$1,,,SUMPRODUCT(MAX(ROW(E$1:E4436)*(E2=E$1:E4436))))))</f>
        <v> </v>
      </c>
      <c r="K4437" s="26" t="str">
        <f>IF(OR(E4437="",E4437="!!!",F4437="NEW"),"",INDEX(J$1:J4436,SUMPRODUCT(MAX(ROW(E$1:E4436)*(E4437=E$1:E4436)))))</f>
        <v> </v>
      </c>
      <c r="L4437" s="27"/>
    </row>
    <row r="4438" spans="1:12">
      <c r="A4438" s="20" t="s">
        <v>1006</v>
      </c>
      <c r="E4438" s="22">
        <f>IF(D4438="?OLD","!!!","")</f>
        <v/>
      </c>
      <c r="F4438" s="23" t="str">
        <f>IF(OR(E4438="",E4438="!!!"),"",IF(NOT(ISNA(VLOOKUP(E4438,E$1:E4437,1,FALSE()))),"OLD",IF(AND(E4438&lt;&gt;"",E4438&lt;&gt;"!!!"),"NEW","")))</f>
        <v> </v>
      </c>
      <c r="G4438" s="24" t="str">
        <f>IF(OR(E4438="",E4438="!!!"),"",IF(OR(J4438=0,AND(J4438=1,K4438=1),AND(J4438=1,I4438="SBJ"),AND(J4438=1,I4438=0)),"?IN_FOCUS",IF(J4438&lt;=2,"?ACTIVATED",IF(J4438&lt;&gt;"","?FAMILIAR",IF(F4438="NEW",IF(ISNA(VLOOKUP(E4438,#REF!,1,FALSE())),"?TYPE_IDENTIFIABLE","?REFERENTIAL"),"_")))))</f>
        <v> </v>
      </c>
      <c r="H4438" s="25" t="str">
        <f>IF(J4438&lt;&gt;1,"",IF(I4438="SBJ","CB","?"))</f>
        <v> </v>
      </c>
      <c r="I4438" s="26" t="str">
        <f>IF(OR(E4438="",E4438="!!!",F4438="NEW"),"",INDEX(B4437:B$2,-1+SUMPRODUCT(MAX(ROW(E4437:E$2)*(E4438=E4437:E$2)))))</f>
        <v> </v>
      </c>
      <c r="J4438" s="26" t="str">
        <f>IF(OR(E4438="",E4438="!!!",F4438="NEW"),"",COUNTBLANK(OFFSET(A$1,,,SUMPRODUCT(MAX(ROW(E$2:E4438)*(E4438=E$2:E4438)))))-COUNTBLANK(OFFSET(A$1,,,SUMPRODUCT(MAX(ROW(E$1:E4437)*(E2=E$1:E4437))))))</f>
        <v> </v>
      </c>
      <c r="K4438" s="26" t="str">
        <f>IF(OR(E4438="",E4438="!!!",F4438="NEW"),"",INDEX(J$1:J4437,SUMPRODUCT(MAX(ROW(E$1:E4437)*(E4438=E$1:E4437)))))</f>
        <v> </v>
      </c>
      <c r="L4438" s="27"/>
    </row>
    <row r="4439" spans="1:12">
      <c r="A4439" s="20" t="s">
        <v>1146</v>
      </c>
      <c r="B4439" s="21" t="s">
        <v>980</v>
      </c>
      <c r="C4439" s="21" t="s">
        <v>1029</v>
      </c>
      <c r="D4439" s="21" t="s">
        <v>950</v>
      </c>
      <c r="E4439" s="22">
        <f>IF(D4439="?OLD","!!!","")</f>
        <v/>
      </c>
      <c r="F4439" s="23" t="str">
        <f>IF(OR(E4439="",E4439="!!!"),"",IF(NOT(ISNA(VLOOKUP(E4439,E$1:E4438,1,FALSE()))),"OLD",IF(AND(E4439&lt;&gt;"",E4439&lt;&gt;"!!!"),"NEW","")))</f>
        <v> </v>
      </c>
      <c r="G4439" s="24" t="str">
        <f>IF(OR(E4439="",E4439="!!!"),"",IF(OR(J4439=0,AND(J4439=1,K4439=1),AND(J4439=1,I4439="SBJ"),AND(J4439=1,I4439=0)),"?IN_FOCUS",IF(J4439&lt;=2,"?ACTIVATED",IF(J4439&lt;&gt;"","?FAMILIAR",IF(F4439="NEW",IF(ISNA(VLOOKUP(E4439,#REF!,1,FALSE())),"?TYPE_IDENTIFIABLE","?REFERENTIAL"),"_")))))</f>
        <v> </v>
      </c>
      <c r="H4439" s="25" t="str">
        <f>IF(J4439&lt;&gt;1,"",IF(I4439="SBJ","CB","?"))</f>
        <v> </v>
      </c>
      <c r="I4439" s="26" t="str">
        <f>IF(OR(E4439="",E4439="!!!",F4439="NEW"),"",INDEX(B4438:B$2,-1+SUMPRODUCT(MAX(ROW(E4438:E$2)*(E4439=E4438:E$2)))))</f>
        <v> </v>
      </c>
      <c r="J4439" s="26" t="str">
        <f>IF(OR(E4439="",E4439="!!!",F4439="NEW"),"",COUNTBLANK(OFFSET(A$1,,,SUMPRODUCT(MAX(ROW(E$2:E4439)*(E4439=E$2:E4439)))))-COUNTBLANK(OFFSET(A$1,,,SUMPRODUCT(MAX(ROW(E$1:E4438)*(E2=E$1:E4438))))))</f>
        <v> </v>
      </c>
      <c r="K4439" s="26" t="str">
        <f>IF(OR(E4439="",E4439="!!!",F4439="NEW"),"",INDEX(J$1:J4438,SUMPRODUCT(MAX(ROW(E$1:E4438)*(E4439=E$1:E4438)))))</f>
        <v> </v>
      </c>
      <c r="L4439" s="27"/>
    </row>
    <row r="4440" spans="1:12">
      <c r="A4440" s="20" t="s">
        <v>1049</v>
      </c>
      <c r="B4440" s="21" t="s">
        <v>1031</v>
      </c>
      <c r="C4440" s="21" t="s">
        <v>1032</v>
      </c>
      <c r="D4440" s="21" t="s">
        <v>950</v>
      </c>
      <c r="E4440" s="22">
        <f>IF(D4440="?OLD","!!!","")</f>
        <v/>
      </c>
      <c r="F4440" s="23" t="str">
        <f>IF(OR(E4440="",E4440="!!!"),"",IF(NOT(ISNA(VLOOKUP(E4440,E$1:E4439,1,FALSE()))),"OLD",IF(AND(E4440&lt;&gt;"",E4440&lt;&gt;"!!!"),"NEW","")))</f>
        <v> </v>
      </c>
      <c r="G4440" s="24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5" t="str">
        <f>IF(J4440&lt;&gt;1,"",IF(I4440="SBJ","CB","?"))</f>
        <v> </v>
      </c>
      <c r="I4440" s="26" t="str">
        <f>IF(OR(E4440="",E4440="!!!",F4440="NEW"),"",INDEX(B4439:B$2,-1+SUMPRODUCT(MAX(ROW(E4439:E$2)*(E4440=E4439:E$2)))))</f>
        <v> </v>
      </c>
      <c r="J4440" s="26" t="str">
        <f>IF(OR(E4440="",E4440="!!!",F4440="NEW"),"",COUNTBLANK(OFFSET(A$1,,,SUMPRODUCT(MAX(ROW(E$2:E4440)*(E4440=E$2:E4440)))))-COUNTBLANK(OFFSET(A$1,,,SUMPRODUCT(MAX(ROW(E$1:E4439)*(E2=E$1:E4439))))))</f>
        <v> </v>
      </c>
      <c r="K4440" s="26" t="str">
        <f>IF(OR(E4440="",E4440="!!!",F4440="NEW"),"",INDEX(J$1:J4439,SUMPRODUCT(MAX(ROW(E$1:E4439)*(E4440=E$1:E4439)))))</f>
        <v> </v>
      </c>
      <c r="L4440" s="27"/>
    </row>
    <row r="4441" spans="1:12">
      <c r="A4441" s="20" t="s">
        <v>1126</v>
      </c>
      <c r="E4441" s="22">
        <f>IF(D4441="?OLD","!!!","")</f>
        <v/>
      </c>
      <c r="F4441" s="23" t="str">
        <f>IF(OR(E4441="",E4441="!!!"),"",IF(NOT(ISNA(VLOOKUP(E4441,E$1:E4440,1,FALSE()))),"OLD",IF(AND(E4441&lt;&gt;"",E4441&lt;&gt;"!!!"),"NEW","")))</f>
        <v> </v>
      </c>
      <c r="G4441" s="24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5" t="str">
        <f>IF(J4441&lt;&gt;1,"",IF(I4441="SBJ","CB","?"))</f>
        <v> </v>
      </c>
      <c r="I4441" s="26" t="str">
        <f>IF(OR(E4441="",E4441="!!!",F4441="NEW"),"",INDEX(B4440:B$2,-1+SUMPRODUCT(MAX(ROW(E4440:E$2)*(E4441=E4440:E$2)))))</f>
        <v> </v>
      </c>
      <c r="J4441" s="26" t="str">
        <f>IF(OR(E4441="",E4441="!!!",F4441="NEW"),"",COUNTBLANK(OFFSET(A$1,,,SUMPRODUCT(MAX(ROW(E$2:E4441)*(E4441=E$2:E4441)))))-COUNTBLANK(OFFSET(A$1,,,SUMPRODUCT(MAX(ROW(E$1:E4440)*(E2=E$1:E4440))))))</f>
        <v> </v>
      </c>
      <c r="K4441" s="26" t="str">
        <f>IF(OR(E4441="",E4441="!!!",F4441="NEW"),"",INDEX(J$1:J4440,SUMPRODUCT(MAX(ROW(E$1:E4440)*(E4441=E$1:E4440)))))</f>
        <v> </v>
      </c>
      <c r="L4441" s="27"/>
    </row>
    <row r="4442" spans="1:12">
      <c r="A4442" s="20" t="s">
        <v>1027</v>
      </c>
      <c r="E4442" s="22">
        <f>IF(D4442="?OLD","!!!","")</f>
        <v/>
      </c>
      <c r="F4442" s="23" t="str">
        <f>IF(OR(E4442="",E4442="!!!"),"",IF(NOT(ISNA(VLOOKUP(E4442,E$1:E4441,1,FALSE()))),"OLD",IF(AND(E4442&lt;&gt;"",E4442&lt;&gt;"!!!"),"NEW","")))</f>
        <v> </v>
      </c>
      <c r="G4442" s="24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5" t="str">
        <f>IF(J4442&lt;&gt;1,"",IF(I4442="SBJ","CB","?"))</f>
        <v> </v>
      </c>
      <c r="I4442" s="26" t="str">
        <f>IF(OR(E4442="",E4442="!!!",F4442="NEW"),"",INDEX(B4441:B$2,-1+SUMPRODUCT(MAX(ROW(E4441:E$2)*(E4442=E4441:E$2)))))</f>
        <v> </v>
      </c>
      <c r="J4442" s="26" t="str">
        <f>IF(OR(E4442="",E4442="!!!",F4442="NEW"),"",COUNTBLANK(OFFSET(A$1,,,SUMPRODUCT(MAX(ROW(E$2:E4442)*(E4442=E$2:E4442)))))-COUNTBLANK(OFFSET(A$1,,,SUMPRODUCT(MAX(ROW(E$1:E4441)*(E2=E$1:E4441))))))</f>
        <v> </v>
      </c>
      <c r="K4442" s="26" t="str">
        <f>IF(OR(E4442="",E4442="!!!",F4442="NEW"),"",INDEX(J$1:J4441,SUMPRODUCT(MAX(ROW(E$1:E4441)*(E4442=E$1:E4441)))))</f>
        <v> </v>
      </c>
      <c r="L4442" s="27"/>
    </row>
    <row r="4443" spans="1:12">
      <c r="A4443" s="20" t="s">
        <v>977</v>
      </c>
      <c r="E4443" s="22">
        <f>IF(D4443="?OLD","!!!","")</f>
        <v/>
      </c>
      <c r="F4443" s="23" t="str">
        <f>IF(OR(E4443="",E4443="!!!"),"",IF(NOT(ISNA(VLOOKUP(E4443,E$1:E4442,1,FALSE()))),"OLD",IF(AND(E4443&lt;&gt;"",E4443&lt;&gt;"!!!"),"NEW","")))</f>
        <v> </v>
      </c>
      <c r="G4443" s="24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5" t="str">
        <f>IF(J4443&lt;&gt;1,"",IF(I4443="SBJ","CB","?"))</f>
        <v> </v>
      </c>
      <c r="I4443" s="26" t="str">
        <f>IF(OR(E4443="",E4443="!!!",F4443="NEW"),"",INDEX(B4442:B$2,-1+SUMPRODUCT(MAX(ROW(E4442:E$2)*(E4443=E4442:E$2)))))</f>
        <v> </v>
      </c>
      <c r="J4443" s="26" t="str">
        <f>IF(OR(E4443="",E4443="!!!",F4443="NEW"),"",COUNTBLANK(OFFSET(A$1,,,SUMPRODUCT(MAX(ROW(E$2:E4443)*(E4443=E$2:E4443)))))-COUNTBLANK(OFFSET(A$1,,,SUMPRODUCT(MAX(ROW(E$1:E4442)*(E2=E$1:E4442))))))</f>
        <v> </v>
      </c>
      <c r="K4443" s="26" t="str">
        <f>IF(OR(E4443="",E4443="!!!",F4443="NEW"),"",INDEX(J$1:J4442,SUMPRODUCT(MAX(ROW(E$1:E4442)*(E4443=E$1:E4442)))))</f>
        <v> </v>
      </c>
      <c r="L4443" s="27"/>
    </row>
    <row r="4444" spans="1:12">
      <c r="A4444" s="20" t="s">
        <v>1006</v>
      </c>
      <c r="E4444" s="22">
        <f>IF(D4444="?OLD","!!!","")</f>
        <v/>
      </c>
      <c r="F4444" s="23" t="str">
        <f>IF(OR(E4444="",E4444="!!!"),"",IF(NOT(ISNA(VLOOKUP(E4444,E$1:E4443,1,FALSE()))),"OLD",IF(AND(E4444&lt;&gt;"",E4444&lt;&gt;"!!!"),"NEW","")))</f>
        <v> </v>
      </c>
      <c r="G4444" s="24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5" t="str">
        <f>IF(J4444&lt;&gt;1,"",IF(I4444="SBJ","CB","?"))</f>
        <v> </v>
      </c>
      <c r="I4444" s="26" t="str">
        <f>IF(OR(E4444="",E4444="!!!",F4444="NEW"),"",INDEX(B4443:B$2,-1+SUMPRODUCT(MAX(ROW(E4443:E$2)*(E4444=E4443:E$2)))))</f>
        <v> </v>
      </c>
      <c r="J4444" s="26" t="str">
        <f>IF(OR(E4444="",E4444="!!!",F4444="NEW"),"",COUNTBLANK(OFFSET(A$1,,,SUMPRODUCT(MAX(ROW(E$2:E4444)*(E4444=E$2:E4444)))))-COUNTBLANK(OFFSET(A$1,,,SUMPRODUCT(MAX(ROW(E$1:E4443)*(E2=E$1:E4443))))))</f>
        <v> </v>
      </c>
      <c r="K4444" s="26" t="str">
        <f>IF(OR(E4444="",E4444="!!!",F4444="NEW"),"",INDEX(J$1:J4443,SUMPRODUCT(MAX(ROW(E$1:E4443)*(E4444=E$1:E4443)))))</f>
        <v> </v>
      </c>
      <c r="L4444" s="27"/>
    </row>
    <row r="4445" spans="1:12">
      <c r="A4445" s="20" t="s">
        <v>1146</v>
      </c>
      <c r="B4445" s="21" t="s">
        <v>1031</v>
      </c>
      <c r="C4445" s="21" t="s">
        <v>1029</v>
      </c>
      <c r="D4445" s="21" t="s">
        <v>950</v>
      </c>
      <c r="E4445" s="22">
        <f>IF(D4445="?OLD","!!!","")</f>
        <v/>
      </c>
      <c r="F4445" s="23" t="str">
        <f>IF(OR(E4445="",E4445="!!!"),"",IF(NOT(ISNA(VLOOKUP(E4445,E$1:E4444,1,FALSE()))),"OLD",IF(AND(E4445&lt;&gt;"",E4445&lt;&gt;"!!!"),"NEW","")))</f>
        <v> </v>
      </c>
      <c r="G4445" s="24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5" t="str">
        <f>IF(J4445&lt;&gt;1,"",IF(I4445="SBJ","CB","?"))</f>
        <v> </v>
      </c>
      <c r="I4445" s="26" t="str">
        <f>IF(OR(E4445="",E4445="!!!",F4445="NEW"),"",INDEX(B4444:B$2,-1+SUMPRODUCT(MAX(ROW(E4444:E$2)*(E4445=E4444:E$2)))))</f>
        <v> </v>
      </c>
      <c r="J4445" s="26" t="str">
        <f>IF(OR(E4445="",E4445="!!!",F4445="NEW"),"",COUNTBLANK(OFFSET(A$1,,,SUMPRODUCT(MAX(ROW(E$2:E4445)*(E4445=E$2:E4445)))))-COUNTBLANK(OFFSET(A$1,,,SUMPRODUCT(MAX(ROW(E$1:E4444)*(E2=E$1:E4444))))))</f>
        <v> </v>
      </c>
      <c r="K4445" s="26" t="str">
        <f>IF(OR(E4445="",E4445="!!!",F4445="NEW"),"",INDEX(J$1:J4444,SUMPRODUCT(MAX(ROW(E$1:E4444)*(E4445=E$1:E4444)))))</f>
        <v> </v>
      </c>
      <c r="L4445" s="27"/>
    </row>
    <row r="4446" spans="1:12">
      <c r="A4446" s="20" t="s">
        <v>2130</v>
      </c>
      <c r="B4446" s="21" t="s">
        <v>948</v>
      </c>
      <c r="C4446" s="21" t="s">
        <v>1032</v>
      </c>
      <c r="D4446" s="21" t="s">
        <v>950</v>
      </c>
      <c r="E4446" s="22">
        <f>IF(D4446="?OLD","!!!","")</f>
        <v/>
      </c>
      <c r="F4446" s="23" t="str">
        <f>IF(OR(E4446="",E4446="!!!"),"",IF(NOT(ISNA(VLOOKUP(E4446,E$1:E4445,1,FALSE()))),"OLD",IF(AND(E4446&lt;&gt;"",E4446&lt;&gt;"!!!"),"NEW","")))</f>
        <v> </v>
      </c>
      <c r="G4446" s="24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5" t="str">
        <f>IF(J4446&lt;&gt;1,"",IF(I4446="SBJ","CB","?"))</f>
        <v> </v>
      </c>
      <c r="I4446" s="26" t="str">
        <f>IF(OR(E4446="",E4446="!!!",F4446="NEW"),"",INDEX(B4445:B$2,-1+SUMPRODUCT(MAX(ROW(E4445:E$2)*(E4446=E4445:E$2)))))</f>
        <v> </v>
      </c>
      <c r="J4446" s="26" t="str">
        <f>IF(OR(E4446="",E4446="!!!",F4446="NEW"),"",COUNTBLANK(OFFSET(A$1,,,SUMPRODUCT(MAX(ROW(E$2:E4446)*(E4446=E$2:E4446)))))-COUNTBLANK(OFFSET(A$1,,,SUMPRODUCT(MAX(ROW(E$1:E4445)*(E2=E$1:E4445))))))</f>
        <v> </v>
      </c>
      <c r="K4446" s="26" t="str">
        <f>IF(OR(E4446="",E4446="!!!",F4446="NEW"),"",INDEX(J$1:J4445,SUMPRODUCT(MAX(ROW(E$1:E4445)*(E4446=E$1:E4445)))))</f>
        <v> </v>
      </c>
      <c r="L4446" s="27"/>
    </row>
    <row r="4447" spans="1:12">
      <c r="A4447" s="20" t="s">
        <v>1068</v>
      </c>
      <c r="E4447" s="22">
        <f>IF(D4447="?OLD","!!!","")</f>
        <v/>
      </c>
      <c r="F4447" s="23" t="str">
        <f>IF(OR(E4447="",E4447="!!!"),"",IF(NOT(ISNA(VLOOKUP(E4447,E$1:E4446,1,FALSE()))),"OLD",IF(AND(E4447&lt;&gt;"",E4447&lt;&gt;"!!!"),"NEW","")))</f>
        <v> </v>
      </c>
      <c r="G4447" s="24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5" t="str">
        <f>IF(J4447&lt;&gt;1,"",IF(I4447="SBJ","CB","?"))</f>
        <v> </v>
      </c>
      <c r="I4447" s="26" t="str">
        <f>IF(OR(E4447="",E4447="!!!",F4447="NEW"),"",INDEX(B4446:B$2,-1+SUMPRODUCT(MAX(ROW(E4446:E$2)*(E4447=E4446:E$2)))))</f>
        <v> </v>
      </c>
      <c r="J4447" s="26" t="str">
        <f>IF(OR(E4447="",E4447="!!!",F4447="NEW"),"",COUNTBLANK(OFFSET(A$1,,,SUMPRODUCT(MAX(ROW(E$2:E4447)*(E4447=E$2:E4447)))))-COUNTBLANK(OFFSET(A$1,,,SUMPRODUCT(MAX(ROW(E$1:E4446)*(E2=E$1:E4446))))))</f>
        <v> </v>
      </c>
      <c r="K4447" s="26" t="str">
        <f>IF(OR(E4447="",E4447="!!!",F4447="NEW"),"",INDEX(J$1:J4446,SUMPRODUCT(MAX(ROW(E$1:E4446)*(E4447=E$1:E4446)))))</f>
        <v> </v>
      </c>
      <c r="L4447" s="27"/>
    </row>
    <row r="4448" spans="1:12">
      <c r="A4448" s="20"/>
    </row>
    <row r="4449" spans="1:12">
      <c r="A4449" s="20" t="s">
        <v>2160</v>
      </c>
    </row>
    <row r="4450" spans="1:12">
      <c r="A4450" s="20" t="s">
        <v>1109</v>
      </c>
      <c r="E4450" s="22">
        <f>IF(D4450="?OLD","!!!","")</f>
        <v/>
      </c>
      <c r="F4450" s="23" t="str">
        <f>IF(OR(E4450="",E4450="!!!"),"",IF(NOT(ISNA(VLOOKUP(E4450,E$1:E4449,1,FALSE()))),"OLD",IF(AND(E4450&lt;&gt;"",E4450&lt;&gt;"!!!"),"NEW","")))</f>
        <v> </v>
      </c>
      <c r="G4450" s="24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5" t="str">
        <f>IF(J4450&lt;&gt;1,"",IF(I4450="SBJ","CB","?"))</f>
        <v> </v>
      </c>
      <c r="I4450" s="26" t="str">
        <f>IF(OR(E4450="",E4450="!!!",F4450="NEW"),"",INDEX(B4449:B$2,-1+SUMPRODUCT(MAX(ROW(E4449:E$2)*(E4450=E4449:E$2)))))</f>
        <v> </v>
      </c>
      <c r="J4450" s="26" t="str">
        <f>IF(OR(E4450="",E4450="!!!",F4450="NEW"),"",COUNTBLANK(OFFSET(A$1,,,SUMPRODUCT(MAX(ROW(E$2:E4450)*(E4450=E$2:E4450)))))-COUNTBLANK(OFFSET(A$1,,,SUMPRODUCT(MAX(ROW(E$1:E4449)*(E2=E$1:E4449))))))</f>
        <v> </v>
      </c>
      <c r="K4450" s="26" t="str">
        <f>IF(OR(E4450="",E4450="!!!",F4450="NEW"),"",INDEX(J$1:J4449,SUMPRODUCT(MAX(ROW(E$1:E4449)*(E4450=E$1:E4449)))))</f>
        <v> </v>
      </c>
      <c r="L4450" s="27"/>
    </row>
    <row r="4451" spans="1:12">
      <c r="A4451" s="20" t="s">
        <v>972</v>
      </c>
      <c r="E4451" s="22">
        <f>IF(D4451="?OLD","!!!","")</f>
        <v/>
      </c>
      <c r="F4451" s="23" t="str">
        <f>IF(OR(E4451="",E4451="!!!"),"",IF(NOT(ISNA(VLOOKUP(E4451,E$1:E4450,1,FALSE()))),"OLD",IF(AND(E4451&lt;&gt;"",E4451&lt;&gt;"!!!"),"NEW","")))</f>
        <v> </v>
      </c>
      <c r="G4451" s="24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5" t="str">
        <f>IF(J4451&lt;&gt;1,"",IF(I4451="SBJ","CB","?"))</f>
        <v> </v>
      </c>
      <c r="I4451" s="26" t="str">
        <f>IF(OR(E4451="",E4451="!!!",F4451="NEW"),"",INDEX(B4450:B$2,-1+SUMPRODUCT(MAX(ROW(E4450:E$2)*(E4451=E4450:E$2)))))</f>
        <v> </v>
      </c>
      <c r="J4451" s="26" t="str">
        <f>IF(OR(E4451="",E4451="!!!",F4451="NEW"),"",COUNTBLANK(OFFSET(A$1,,,SUMPRODUCT(MAX(ROW(E$2:E4451)*(E4451=E$2:E4451)))))-COUNTBLANK(OFFSET(A$1,,,SUMPRODUCT(MAX(ROW(E$1:E4450)*(E2=E$1:E4450))))))</f>
        <v> </v>
      </c>
      <c r="K4451" s="26" t="str">
        <f>IF(OR(E4451="",E4451="!!!",F4451="NEW"),"",INDEX(J$1:J4450,SUMPRODUCT(MAX(ROW(E$1:E4450)*(E4451=E$1:E4450)))))</f>
        <v> </v>
      </c>
      <c r="L4451" s="27"/>
    </row>
    <row r="4452" spans="1:12">
      <c r="A4452" s="20" t="s">
        <v>1150</v>
      </c>
      <c r="E4452" s="22">
        <f>IF(D4452="?OLD","!!!","")</f>
        <v/>
      </c>
      <c r="F4452" s="23" t="str">
        <f>IF(OR(E4452="",E4452="!!!"),"",IF(NOT(ISNA(VLOOKUP(E4452,E$1:E4451,1,FALSE()))),"OLD",IF(AND(E4452&lt;&gt;"",E4452&lt;&gt;"!!!"),"NEW","")))</f>
        <v> </v>
      </c>
      <c r="G4452" s="24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5" t="str">
        <f>IF(J4452&lt;&gt;1,"",IF(I4452="SBJ","CB","?"))</f>
        <v> </v>
      </c>
      <c r="I4452" s="26" t="str">
        <f>IF(OR(E4452="",E4452="!!!",F4452="NEW"),"",INDEX(B4451:B$2,-1+SUMPRODUCT(MAX(ROW(E4451:E$2)*(E4452=E4451:E$2)))))</f>
        <v> </v>
      </c>
      <c r="J4452" s="26" t="str">
        <f>IF(OR(E4452="",E4452="!!!",F4452="NEW"),"",COUNTBLANK(OFFSET(A$1,,,SUMPRODUCT(MAX(ROW(E$2:E4452)*(E4452=E$2:E4452)))))-COUNTBLANK(OFFSET(A$1,,,SUMPRODUCT(MAX(ROW(E$1:E4451)*(E2=E$1:E4451))))))</f>
        <v> </v>
      </c>
      <c r="K4452" s="26" t="str">
        <f>IF(OR(E4452="",E4452="!!!",F4452="NEW"),"",INDEX(J$1:J4451,SUMPRODUCT(MAX(ROW(E$1:E4451)*(E4452=E$1:E4451)))))</f>
        <v> </v>
      </c>
      <c r="L4452" s="27"/>
    </row>
    <row r="4453" spans="1:12">
      <c r="A4453" s="20" t="s">
        <v>1886</v>
      </c>
      <c r="E4453" s="22">
        <f>IF(D4453="?OLD","!!!","")</f>
        <v/>
      </c>
      <c r="F4453" s="23" t="str">
        <f>IF(OR(E4453="",E4453="!!!"),"",IF(NOT(ISNA(VLOOKUP(E4453,E$1:E4452,1,FALSE()))),"OLD",IF(AND(E4453&lt;&gt;"",E4453&lt;&gt;"!!!"),"NEW","")))</f>
        <v> </v>
      </c>
      <c r="G4453" s="24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5" t="str">
        <f>IF(J4453&lt;&gt;1,"",IF(I4453="SBJ","CB","?"))</f>
        <v> </v>
      </c>
      <c r="I4453" s="26" t="str">
        <f>IF(OR(E4453="",E4453="!!!",F4453="NEW"),"",INDEX(B4452:B$2,-1+SUMPRODUCT(MAX(ROW(E4452:E$2)*(E4453=E4452:E$2)))))</f>
        <v> </v>
      </c>
      <c r="J4453" s="26" t="str">
        <f>IF(OR(E4453="",E4453="!!!",F4453="NEW"),"",COUNTBLANK(OFFSET(A$1,,,SUMPRODUCT(MAX(ROW(E$2:E4453)*(E4453=E$2:E4453)))))-COUNTBLANK(OFFSET(A$1,,,SUMPRODUCT(MAX(ROW(E$1:E4452)*(E2=E$1:E4452))))))</f>
        <v> </v>
      </c>
      <c r="K4453" s="26" t="str">
        <f>IF(OR(E4453="",E4453="!!!",F4453="NEW"),"",INDEX(J$1:J4452,SUMPRODUCT(MAX(ROW(E$1:E4452)*(E4453=E$1:E4452)))))</f>
        <v> </v>
      </c>
      <c r="L4453" s="27"/>
    </row>
    <row r="4454" spans="1:12">
      <c r="A4454" s="20" t="s">
        <v>1243</v>
      </c>
      <c r="B4454" s="21" t="s">
        <v>959</v>
      </c>
      <c r="C4454" s="21" t="s">
        <v>1044</v>
      </c>
      <c r="D4454" s="21" t="s">
        <v>950</v>
      </c>
      <c r="E4454" s="22">
        <f>IF(D4454="?OLD","!!!","")</f>
        <v/>
      </c>
      <c r="F4454" s="23" t="str">
        <f>IF(OR(E4454="",E4454="!!!"),"",IF(NOT(ISNA(VLOOKUP(E4454,E$1:E4453,1,FALSE()))),"OLD",IF(AND(E4454&lt;&gt;"",E4454&lt;&gt;"!!!"),"NEW","")))</f>
        <v> </v>
      </c>
      <c r="G4454" s="24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5" t="str">
        <f>IF(J4454&lt;&gt;1,"",IF(I4454="SBJ","CB","?"))</f>
        <v> </v>
      </c>
      <c r="I4454" s="26" t="str">
        <f>IF(OR(E4454="",E4454="!!!",F4454="NEW"),"",INDEX(B4453:B$2,-1+SUMPRODUCT(MAX(ROW(E4453:E$2)*(E4454=E4453:E$2)))))</f>
        <v> </v>
      </c>
      <c r="J4454" s="26" t="str">
        <f>IF(OR(E4454="",E4454="!!!",F4454="NEW"),"",COUNTBLANK(OFFSET(A$1,,,SUMPRODUCT(MAX(ROW(E$2:E4454)*(E4454=E$2:E4454)))))-COUNTBLANK(OFFSET(A$1,,,SUMPRODUCT(MAX(ROW(E$1:E4453)*(E2=E$1:E4453))))))</f>
        <v> </v>
      </c>
      <c r="K4454" s="26" t="str">
        <f>IF(OR(E4454="",E4454="!!!",F4454="NEW"),"",INDEX(J$1:J4453,SUMPRODUCT(MAX(ROW(E$1:E4453)*(E4454=E$1:E4453)))))</f>
        <v> </v>
      </c>
      <c r="L4454" s="27"/>
    </row>
    <row r="4455" spans="1:12">
      <c r="A4455" s="20" t="s">
        <v>984</v>
      </c>
      <c r="E4455" s="22">
        <f>IF(D4455="?OLD","!!!","")</f>
        <v/>
      </c>
      <c r="F4455" s="23" t="str">
        <f>IF(OR(E4455="",E4455="!!!"),"",IF(NOT(ISNA(VLOOKUP(E4455,E$1:E4454,1,FALSE()))),"OLD",IF(AND(E4455&lt;&gt;"",E4455&lt;&gt;"!!!"),"NEW","")))</f>
        <v> </v>
      </c>
      <c r="G4455" s="24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5" t="str">
        <f>IF(J4455&lt;&gt;1,"",IF(I4455="SBJ","CB","?"))</f>
        <v> </v>
      </c>
      <c r="I4455" s="26" t="str">
        <f>IF(OR(E4455="",E4455="!!!",F4455="NEW"),"",INDEX(B4454:B$2,-1+SUMPRODUCT(MAX(ROW(E4454:E$2)*(E4455=E4454:E$2)))))</f>
        <v> </v>
      </c>
      <c r="J4455" s="26" t="str">
        <f>IF(OR(E4455="",E4455="!!!",F4455="NEW"),"",COUNTBLANK(OFFSET(A$1,,,SUMPRODUCT(MAX(ROW(E$2:E4455)*(E4455=E$2:E4455)))))-COUNTBLANK(OFFSET(A$1,,,SUMPRODUCT(MAX(ROW(E$1:E4454)*(E2=E$1:E4454))))))</f>
        <v> </v>
      </c>
      <c r="K4455" s="26" t="str">
        <f>IF(OR(E4455="",E4455="!!!",F4455="NEW"),"",INDEX(J$1:J4454,SUMPRODUCT(MAX(ROW(E$1:E4454)*(E4455=E$1:E4454)))))</f>
        <v> </v>
      </c>
      <c r="L4455" s="27"/>
    </row>
    <row r="4456" spans="1:12">
      <c r="A4456" s="20"/>
    </row>
    <row r="4457" spans="1:12">
      <c r="A4457" s="20" t="s">
        <v>2161</v>
      </c>
    </row>
    <row r="4458" spans="1:12">
      <c r="A4458" s="20" t="s">
        <v>1217</v>
      </c>
      <c r="E4458" s="22">
        <f>IF(D4458="?OLD","!!!","")</f>
        <v/>
      </c>
      <c r="F4458" s="23" t="str">
        <f>IF(OR(E4458="",E4458="!!!"),"",IF(NOT(ISNA(VLOOKUP(E4458,E$1:E4457,1,FALSE()))),"OLD",IF(AND(E4458&lt;&gt;"",E4458&lt;&gt;"!!!"),"NEW","")))</f>
        <v> </v>
      </c>
      <c r="G4458" s="24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5" t="str">
        <f>IF(J4458&lt;&gt;1,"",IF(I4458="SBJ","CB","?"))</f>
        <v> </v>
      </c>
      <c r="I4458" s="26" t="str">
        <f>IF(OR(E4458="",E4458="!!!",F4458="NEW"),"",INDEX(B4457:B$2,-1+SUMPRODUCT(MAX(ROW(E4457:E$2)*(E4458=E4457:E$2)))))</f>
        <v> </v>
      </c>
      <c r="J4458" s="26" t="str">
        <f>IF(OR(E4458="",E4458="!!!",F4458="NEW"),"",COUNTBLANK(OFFSET(A$1,,,SUMPRODUCT(MAX(ROW(E$2:E4458)*(E4458=E$2:E4458)))))-COUNTBLANK(OFFSET(A$1,,,SUMPRODUCT(MAX(ROW(E$1:E4457)*(E2=E$1:E4457))))))</f>
        <v> </v>
      </c>
      <c r="K4458" s="26" t="str">
        <f>IF(OR(E4458="",E4458="!!!",F4458="NEW"),"",INDEX(J$1:J4457,SUMPRODUCT(MAX(ROW(E$1:E4457)*(E4458=E$1:E4457)))))</f>
        <v> </v>
      </c>
      <c r="L4458" s="27"/>
    </row>
    <row r="4459" spans="1:12">
      <c r="A4459" s="20" t="s">
        <v>1072</v>
      </c>
      <c r="E4459" s="22">
        <f>IF(D4459="?OLD","!!!","")</f>
        <v/>
      </c>
      <c r="F4459" s="23" t="str">
        <f>IF(OR(E4459="",E4459="!!!"),"",IF(NOT(ISNA(VLOOKUP(E4459,E$1:E4458,1,FALSE()))),"OLD",IF(AND(E4459&lt;&gt;"",E4459&lt;&gt;"!!!"),"NEW","")))</f>
        <v> </v>
      </c>
      <c r="G4459" s="24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5" t="str">
        <f>IF(J4459&lt;&gt;1,"",IF(I4459="SBJ","CB","?"))</f>
        <v> </v>
      </c>
      <c r="I4459" s="26" t="str">
        <f>IF(OR(E4459="",E4459="!!!",F4459="NEW"),"",INDEX(B4458:B$2,-1+SUMPRODUCT(MAX(ROW(E4458:E$2)*(E4459=E4458:E$2)))))</f>
        <v> </v>
      </c>
      <c r="J4459" s="26" t="str">
        <f>IF(OR(E4459="",E4459="!!!",F4459="NEW"),"",COUNTBLANK(OFFSET(A$1,,,SUMPRODUCT(MAX(ROW(E$2:E4459)*(E4459=E$2:E4459)))))-COUNTBLANK(OFFSET(A$1,,,SUMPRODUCT(MAX(ROW(E$1:E4458)*(E2=E$1:E4458))))))</f>
        <v> </v>
      </c>
      <c r="K4459" s="26" t="str">
        <f>IF(OR(E4459="",E4459="!!!",F4459="NEW"),"",INDEX(J$1:J4458,SUMPRODUCT(MAX(ROW(E$1:E4458)*(E4459=E$1:E4458)))))</f>
        <v> </v>
      </c>
      <c r="L4459" s="27"/>
    </row>
    <row r="4460" spans="1:12">
      <c r="A4460" s="20" t="s">
        <v>1098</v>
      </c>
      <c r="B4460" s="21" t="s">
        <v>948</v>
      </c>
      <c r="C4460" s="21" t="s">
        <v>1008</v>
      </c>
      <c r="D4460" s="21" t="s">
        <v>950</v>
      </c>
      <c r="E4460" s="22">
        <f>IF(D4460="?OLD","!!!","")</f>
        <v/>
      </c>
      <c r="F4460" s="23" t="str">
        <f>IF(OR(E4460="",E4460="!!!"),"",IF(NOT(ISNA(VLOOKUP(E4460,E$1:E4459,1,FALSE()))),"OLD",IF(AND(E4460&lt;&gt;"",E4460&lt;&gt;"!!!"),"NEW","")))</f>
        <v> </v>
      </c>
      <c r="G4460" s="24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5" t="str">
        <f>IF(J4460&lt;&gt;1,"",IF(I4460="SBJ","CB","?"))</f>
        <v> </v>
      </c>
      <c r="I4460" s="26" t="str">
        <f>IF(OR(E4460="",E4460="!!!",F4460="NEW"),"",INDEX(B4459:B$2,-1+SUMPRODUCT(MAX(ROW(E4459:E$2)*(E4460=E4459:E$2)))))</f>
        <v> </v>
      </c>
      <c r="J4460" s="26" t="str">
        <f>IF(OR(E4460="",E4460="!!!",F4460="NEW"),"",COUNTBLANK(OFFSET(A$1,,,SUMPRODUCT(MAX(ROW(E$2:E4460)*(E4460=E$2:E4460)))))-COUNTBLANK(OFFSET(A$1,,,SUMPRODUCT(MAX(ROW(E$1:E4459)*(E2=E$1:E4459))))))</f>
        <v> </v>
      </c>
      <c r="K4460" s="26" t="str">
        <f>IF(OR(E4460="",E4460="!!!",F4460="NEW"),"",INDEX(J$1:J4459,SUMPRODUCT(MAX(ROW(E$1:E4459)*(E4460=E$1:E4459)))))</f>
        <v> </v>
      </c>
      <c r="L4460" s="27"/>
    </row>
    <row r="4461" spans="1:12">
      <c r="A4461" s="20" t="s">
        <v>965</v>
      </c>
      <c r="B4461" s="21" t="s">
        <v>975</v>
      </c>
      <c r="E4461" s="22">
        <f>IF(D4461="?OLD","!!!","")</f>
        <v/>
      </c>
      <c r="F4461" s="23" t="str">
        <f>IF(OR(E4461="",E4461="!!!"),"",IF(NOT(ISNA(VLOOKUP(E4461,E$1:E4460,1,FALSE()))),"OLD",IF(AND(E4461&lt;&gt;"",E4461&lt;&gt;"!!!"),"NEW","")))</f>
        <v> </v>
      </c>
      <c r="G4461" s="24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5" t="str">
        <f>IF(J4461&lt;&gt;1,"",IF(I4461="SBJ","CB","?"))</f>
        <v> </v>
      </c>
      <c r="I4461" s="26" t="str">
        <f>IF(OR(E4461="",E4461="!!!",F4461="NEW"),"",INDEX(B4460:B$2,-1+SUMPRODUCT(MAX(ROW(E4460:E$2)*(E4461=E4460:E$2)))))</f>
        <v> </v>
      </c>
      <c r="J4461" s="26" t="str">
        <f>IF(OR(E4461="",E4461="!!!",F4461="NEW"),"",COUNTBLANK(OFFSET(A$1,,,SUMPRODUCT(MAX(ROW(E$2:E4461)*(E4461=E$2:E4461)))))-COUNTBLANK(OFFSET(A$1,,,SUMPRODUCT(MAX(ROW(E$1:E4460)*(E2=E$1:E4460))))))</f>
        <v> </v>
      </c>
      <c r="K4461" s="26" t="str">
        <f>IF(OR(E4461="",E4461="!!!",F4461="NEW"),"",INDEX(J$1:J4460,SUMPRODUCT(MAX(ROW(E$1:E4460)*(E4461=E$1:E4460)))))</f>
        <v> </v>
      </c>
      <c r="L4461" s="27"/>
    </row>
    <row r="4462" spans="1:12">
      <c r="A4462" s="20" t="s">
        <v>1076</v>
      </c>
      <c r="E4462" s="22">
        <f>IF(D4462="?OLD","!!!","")</f>
        <v/>
      </c>
      <c r="F4462" s="23" t="str">
        <f>IF(OR(E4462="",E4462="!!!"),"",IF(NOT(ISNA(VLOOKUP(E4462,E$1:E4461,1,FALSE()))),"OLD",IF(AND(E4462&lt;&gt;"",E4462&lt;&gt;"!!!"),"NEW","")))</f>
        <v> </v>
      </c>
      <c r="G4462" s="24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5" t="str">
        <f>IF(J4462&lt;&gt;1,"",IF(I4462="SBJ","CB","?"))</f>
        <v> </v>
      </c>
      <c r="I4462" s="26" t="str">
        <f>IF(OR(E4462="",E4462="!!!",F4462="NEW"),"",INDEX(B4461:B$2,-1+SUMPRODUCT(MAX(ROW(E4461:E$2)*(E4462=E4461:E$2)))))</f>
        <v> </v>
      </c>
      <c r="J4462" s="26" t="str">
        <f>IF(OR(E4462="",E4462="!!!",F4462="NEW"),"",COUNTBLANK(OFFSET(A$1,,,SUMPRODUCT(MAX(ROW(E$2:E4462)*(E4462=E$2:E4462)))))-COUNTBLANK(OFFSET(A$1,,,SUMPRODUCT(MAX(ROW(E$1:E4461)*(E2=E$1:E4461))))))</f>
        <v> </v>
      </c>
      <c r="K4462" s="26" t="str">
        <f>IF(OR(E4462="",E4462="!!!",F4462="NEW"),"",INDEX(J$1:J4461,SUMPRODUCT(MAX(ROW(E$1:E4461)*(E4462=E$1:E4461)))))</f>
        <v> </v>
      </c>
      <c r="L4462" s="27"/>
    </row>
    <row r="4463" spans="1:12">
      <c r="A4463" s="20" t="s">
        <v>1021</v>
      </c>
      <c r="E4463" s="22">
        <f>IF(D4463="?OLD","!!!","")</f>
        <v/>
      </c>
      <c r="F4463" s="23" t="str">
        <f>IF(OR(E4463="",E4463="!!!"),"",IF(NOT(ISNA(VLOOKUP(E4463,E$1:E4462,1,FALSE()))),"OLD",IF(AND(E4463&lt;&gt;"",E4463&lt;&gt;"!!!"),"NEW","")))</f>
        <v> </v>
      </c>
      <c r="G4463" s="24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5" t="str">
        <f>IF(J4463&lt;&gt;1,"",IF(I4463="SBJ","CB","?"))</f>
        <v> </v>
      </c>
      <c r="I4463" s="26" t="str">
        <f>IF(OR(E4463="",E4463="!!!",F4463="NEW"),"",INDEX(B4462:B$2,-1+SUMPRODUCT(MAX(ROW(E4462:E$2)*(E4463=E4462:E$2)))))</f>
        <v> </v>
      </c>
      <c r="J4463" s="26" t="str">
        <f>IF(OR(E4463="",E4463="!!!",F4463="NEW"),"",COUNTBLANK(OFFSET(A$1,,,SUMPRODUCT(MAX(ROW(E$2:E4463)*(E4463=E$2:E4463)))))-COUNTBLANK(OFFSET(A$1,,,SUMPRODUCT(MAX(ROW(E$1:E4462)*(E2=E$1:E4462))))))</f>
        <v> </v>
      </c>
      <c r="K4463" s="26" t="str">
        <f>IF(OR(E4463="",E4463="!!!",F4463="NEW"),"",INDEX(J$1:J4462,SUMPRODUCT(MAX(ROW(E$1:E4462)*(E4463=E$1:E4462)))))</f>
        <v> </v>
      </c>
      <c r="L4463" s="27"/>
    </row>
    <row r="4464" spans="1:12">
      <c r="A4464" s="20" t="s">
        <v>1093</v>
      </c>
      <c r="E4464" s="22">
        <f>IF(D4464="?OLD","!!!","")</f>
        <v/>
      </c>
      <c r="F4464" s="23" t="str">
        <f>IF(OR(E4464="",E4464="!!!"),"",IF(NOT(ISNA(VLOOKUP(E4464,E$1:E4463,1,FALSE()))),"OLD",IF(AND(E4464&lt;&gt;"",E4464&lt;&gt;"!!!"),"NEW","")))</f>
        <v> </v>
      </c>
      <c r="G4464" s="24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5" t="str">
        <f>IF(J4464&lt;&gt;1,"",IF(I4464="SBJ","CB","?"))</f>
        <v> </v>
      </c>
      <c r="I4464" s="26" t="str">
        <f>IF(OR(E4464="",E4464="!!!",F4464="NEW"),"",INDEX(B4463:B$2,-1+SUMPRODUCT(MAX(ROW(E4463:E$2)*(E4464=E4463:E$2)))))</f>
        <v> </v>
      </c>
      <c r="J4464" s="26" t="str">
        <f>IF(OR(E4464="",E4464="!!!",F4464="NEW"),"",COUNTBLANK(OFFSET(A$1,,,SUMPRODUCT(MAX(ROW(E$2:E4464)*(E4464=E$2:E4464)))))-COUNTBLANK(OFFSET(A$1,,,SUMPRODUCT(MAX(ROW(E$1:E4463)*(E2=E$1:E4463))))))</f>
        <v> </v>
      </c>
      <c r="K4464" s="26" t="str">
        <f>IF(OR(E4464="",E4464="!!!",F4464="NEW"),"",INDEX(J$1:J4463,SUMPRODUCT(MAX(ROW(E$1:E4463)*(E4464=E$1:E4463)))))</f>
        <v> </v>
      </c>
      <c r="L4464" s="27"/>
    </row>
    <row r="4465" spans="1:12">
      <c r="A4465" s="20" t="s">
        <v>2096</v>
      </c>
      <c r="B4465" s="21" t="s">
        <v>1031</v>
      </c>
      <c r="C4465" s="21" t="s">
        <v>1032</v>
      </c>
      <c r="D4465" s="21" t="s">
        <v>950</v>
      </c>
      <c r="E4465" s="22">
        <f>IF(D4465="?OLD","!!!","")</f>
        <v/>
      </c>
      <c r="F4465" s="23" t="str">
        <f>IF(OR(E4465="",E4465="!!!"),"",IF(NOT(ISNA(VLOOKUP(E4465,E$1:E4464,1,FALSE()))),"OLD",IF(AND(E4465&lt;&gt;"",E4465&lt;&gt;"!!!"),"NEW","")))</f>
        <v> </v>
      </c>
      <c r="G4465" s="24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5" t="str">
        <f>IF(J4465&lt;&gt;1,"",IF(I4465="SBJ","CB","?"))</f>
        <v> </v>
      </c>
      <c r="I4465" s="26" t="str">
        <f>IF(OR(E4465="",E4465="!!!",F4465="NEW"),"",INDEX(B4464:B$2,-1+SUMPRODUCT(MAX(ROW(E4464:E$2)*(E4465=E4464:E$2)))))</f>
        <v> </v>
      </c>
      <c r="J4465" s="26" t="str">
        <f>IF(OR(E4465="",E4465="!!!",F4465="NEW"),"",COUNTBLANK(OFFSET(A$1,,,SUMPRODUCT(MAX(ROW(E$2:E4465)*(E4465=E$2:E4465)))))-COUNTBLANK(OFFSET(A$1,,,SUMPRODUCT(MAX(ROW(E$1:E4464)*(E2=E$1:E4464))))))</f>
        <v> </v>
      </c>
      <c r="K4465" s="26" t="str">
        <f>IF(OR(E4465="",E4465="!!!",F4465="NEW"),"",INDEX(J$1:J4464,SUMPRODUCT(MAX(ROW(E$1:E4464)*(E4465=E$1:E4464)))))</f>
        <v> </v>
      </c>
      <c r="L4465" s="27"/>
    </row>
    <row r="4466" spans="1:12">
      <c r="A4466" s="20" t="s">
        <v>1000</v>
      </c>
      <c r="E4466" s="22">
        <f>IF(D4466="?OLD","!!!","")</f>
        <v/>
      </c>
      <c r="F4466" s="23" t="str">
        <f>IF(OR(E4466="",E4466="!!!"),"",IF(NOT(ISNA(VLOOKUP(E4466,E$1:E4465,1,FALSE()))),"OLD",IF(AND(E4466&lt;&gt;"",E4466&lt;&gt;"!!!"),"NEW","")))</f>
        <v> </v>
      </c>
      <c r="G4466" s="24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5" t="str">
        <f>IF(J4466&lt;&gt;1,"",IF(I4466="SBJ","CB","?"))</f>
        <v> </v>
      </c>
      <c r="I4466" s="26" t="str">
        <f>IF(OR(E4466="",E4466="!!!",F4466="NEW"),"",INDEX(B4465:B$2,-1+SUMPRODUCT(MAX(ROW(E4465:E$2)*(E4466=E4465:E$2)))))</f>
        <v> </v>
      </c>
      <c r="J4466" s="26" t="str">
        <f>IF(OR(E4466="",E4466="!!!",F4466="NEW"),"",COUNTBLANK(OFFSET(A$1,,,SUMPRODUCT(MAX(ROW(E$2:E4466)*(E4466=E$2:E4466)))))-COUNTBLANK(OFFSET(A$1,,,SUMPRODUCT(MAX(ROW(E$1:E4465)*(E2=E$1:E4465))))))</f>
        <v> </v>
      </c>
      <c r="K4466" s="26" t="str">
        <f>IF(OR(E4466="",E4466="!!!",F4466="NEW"),"",INDEX(J$1:J4465,SUMPRODUCT(MAX(ROW(E$1:E4465)*(E4466=E$1:E4465)))))</f>
        <v> </v>
      </c>
      <c r="L4466" s="27"/>
    </row>
    <row r="4467" spans="1:12">
      <c r="A4467" s="20" t="s">
        <v>1001</v>
      </c>
      <c r="E4467" s="22">
        <f>IF(D4467="?OLD","!!!","")</f>
        <v/>
      </c>
      <c r="F4467" s="23" t="str">
        <f>IF(OR(E4467="",E4467="!!!"),"",IF(NOT(ISNA(VLOOKUP(E4467,E$1:E4466,1,FALSE()))),"OLD",IF(AND(E4467&lt;&gt;"",E4467&lt;&gt;"!!!"),"NEW","")))</f>
        <v> </v>
      </c>
      <c r="G4467" s="24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5" t="str">
        <f>IF(J4467&lt;&gt;1,"",IF(I4467="SBJ","CB","?"))</f>
        <v> </v>
      </c>
      <c r="I4467" s="26" t="str">
        <f>IF(OR(E4467="",E4467="!!!",F4467="NEW"),"",INDEX(B4466:B$2,-1+SUMPRODUCT(MAX(ROW(E4466:E$2)*(E4467=E4466:E$2)))))</f>
        <v> </v>
      </c>
      <c r="J4467" s="26" t="str">
        <f>IF(OR(E4467="",E4467="!!!",F4467="NEW"),"",COUNTBLANK(OFFSET(A$1,,,SUMPRODUCT(MAX(ROW(E$2:E4467)*(E4467=E$2:E4467)))))-COUNTBLANK(OFFSET(A$1,,,SUMPRODUCT(MAX(ROW(E$1:E4466)*(E2=E$1:E4466))))))</f>
        <v> </v>
      </c>
      <c r="K4467" s="26" t="str">
        <f>IF(OR(E4467="",E4467="!!!",F4467="NEW"),"",INDEX(J$1:J4466,SUMPRODUCT(MAX(ROW(E$1:E4466)*(E4467=E$1:E4466)))))</f>
        <v> </v>
      </c>
      <c r="L4467" s="27"/>
    </row>
    <row r="4468" spans="1:12">
      <c r="A4468" s="20" t="s">
        <v>1104</v>
      </c>
      <c r="E4468" s="22">
        <f>IF(D4468="?OLD","!!!","")</f>
        <v/>
      </c>
      <c r="F4468" s="23" t="str">
        <f>IF(OR(E4468="",E4468="!!!"),"",IF(NOT(ISNA(VLOOKUP(E4468,E$1:E4467,1,FALSE()))),"OLD",IF(AND(E4468&lt;&gt;"",E4468&lt;&gt;"!!!"),"NEW","")))</f>
        <v> </v>
      </c>
      <c r="G4468" s="24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5" t="str">
        <f>IF(J4468&lt;&gt;1,"",IF(I4468="SBJ","CB","?"))</f>
        <v> </v>
      </c>
      <c r="I4468" s="26" t="str">
        <f>IF(OR(E4468="",E4468="!!!",F4468="NEW"),"",INDEX(B4467:B$2,-1+SUMPRODUCT(MAX(ROW(E4467:E$2)*(E4468=E4467:E$2)))))</f>
        <v> </v>
      </c>
      <c r="J4468" s="26" t="str">
        <f>IF(OR(E4468="",E4468="!!!",F4468="NEW"),"",COUNTBLANK(OFFSET(A$1,,,SUMPRODUCT(MAX(ROW(E$2:E4468)*(E4468=E$2:E4468)))))-COUNTBLANK(OFFSET(A$1,,,SUMPRODUCT(MAX(ROW(E$1:E4467)*(E2=E$1:E4467))))))</f>
        <v> </v>
      </c>
      <c r="K4468" s="26" t="str">
        <f>IF(OR(E4468="",E4468="!!!",F4468="NEW"),"",INDEX(J$1:J4467,SUMPRODUCT(MAX(ROW(E$1:E4467)*(E4468=E$1:E4467)))))</f>
        <v> </v>
      </c>
      <c r="L4468" s="27"/>
    </row>
    <row r="4469" spans="1:12">
      <c r="A4469" s="20" t="s">
        <v>965</v>
      </c>
      <c r="E4469" s="22">
        <f>IF(D4469="?OLD","!!!","")</f>
        <v/>
      </c>
      <c r="F4469" s="23" t="str">
        <f>IF(OR(E4469="",E4469="!!!"),"",IF(NOT(ISNA(VLOOKUP(E4469,E$1:E4468,1,FALSE()))),"OLD",IF(AND(E4469&lt;&gt;"",E4469&lt;&gt;"!!!"),"NEW","")))</f>
        <v> </v>
      </c>
      <c r="G4469" s="24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5" t="str">
        <f>IF(J4469&lt;&gt;1,"",IF(I4469="SBJ","CB","?"))</f>
        <v> </v>
      </c>
      <c r="I4469" s="26" t="str">
        <f>IF(OR(E4469="",E4469="!!!",F4469="NEW"),"",INDEX(B4468:B$2,-1+SUMPRODUCT(MAX(ROW(E4468:E$2)*(E4469=E4468:E$2)))))</f>
        <v> </v>
      </c>
      <c r="J4469" s="26" t="str">
        <f>IF(OR(E4469="",E4469="!!!",F4469="NEW"),"",COUNTBLANK(OFFSET(A$1,,,SUMPRODUCT(MAX(ROW(E$2:E4469)*(E4469=E$2:E4469)))))-COUNTBLANK(OFFSET(A$1,,,SUMPRODUCT(MAX(ROW(E$1:E4468)*(E2=E$1:E4468))))))</f>
        <v> </v>
      </c>
      <c r="K4469" s="26" t="str">
        <f>IF(OR(E4469="",E4469="!!!",F4469="NEW"),"",INDEX(J$1:J4468,SUMPRODUCT(MAX(ROW(E$1:E4468)*(E4469=E$1:E4468)))))</f>
        <v> </v>
      </c>
      <c r="L4469" s="27"/>
    </row>
    <row r="4470" spans="1:12">
      <c r="A4470" s="20" t="s">
        <v>1072</v>
      </c>
      <c r="E4470" s="22">
        <f>IF(D4470="?OLD","!!!","")</f>
        <v/>
      </c>
      <c r="F4470" s="23" t="str">
        <f>IF(OR(E4470="",E4470="!!!"),"",IF(NOT(ISNA(VLOOKUP(E4470,E$1:E4469,1,FALSE()))),"OLD",IF(AND(E4470&lt;&gt;"",E4470&lt;&gt;"!!!"),"NEW","")))</f>
        <v> </v>
      </c>
      <c r="G4470" s="24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5" t="str">
        <f>IF(J4470&lt;&gt;1,"",IF(I4470="SBJ","CB","?"))</f>
        <v> </v>
      </c>
      <c r="I4470" s="26" t="str">
        <f>IF(OR(E4470="",E4470="!!!",F4470="NEW"),"",INDEX(B4469:B$2,-1+SUMPRODUCT(MAX(ROW(E4469:E$2)*(E4470=E4469:E$2)))))</f>
        <v> </v>
      </c>
      <c r="J4470" s="26" t="str">
        <f>IF(OR(E4470="",E4470="!!!",F4470="NEW"),"",COUNTBLANK(OFFSET(A$1,,,SUMPRODUCT(MAX(ROW(E$2:E4470)*(E4470=E$2:E4470)))))-COUNTBLANK(OFFSET(A$1,,,SUMPRODUCT(MAX(ROW(E$1:E4469)*(E2=E$1:E4469))))))</f>
        <v> </v>
      </c>
      <c r="K4470" s="26" t="str">
        <f>IF(OR(E4470="",E4470="!!!",F4470="NEW"),"",INDEX(J$1:J4469,SUMPRODUCT(MAX(ROW(E$1:E4469)*(E4470=E$1:E4469)))))</f>
        <v> </v>
      </c>
      <c r="L4470" s="27"/>
    </row>
    <row r="4471" spans="1:12">
      <c r="A4471" s="20" t="s">
        <v>502</v>
      </c>
      <c r="E4471" s="22">
        <f>IF(D4471="?OLD","!!!","")</f>
        <v/>
      </c>
      <c r="F4471" s="23" t="str">
        <f>IF(OR(E4471="",E4471="!!!"),"",IF(NOT(ISNA(VLOOKUP(E4471,E$1:E4470,1,FALSE()))),"OLD",IF(AND(E4471&lt;&gt;"",E4471&lt;&gt;"!!!"),"NEW","")))</f>
        <v> </v>
      </c>
      <c r="G4471" s="24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5" t="str">
        <f>IF(J4471&lt;&gt;1,"",IF(I4471="SBJ","CB","?"))</f>
        <v> </v>
      </c>
      <c r="I4471" s="26" t="str">
        <f>IF(OR(E4471="",E4471="!!!",F4471="NEW"),"",INDEX(B4470:B$2,-1+SUMPRODUCT(MAX(ROW(E4470:E$2)*(E4471=E4470:E$2)))))</f>
        <v> </v>
      </c>
      <c r="J4471" s="26" t="str">
        <f>IF(OR(E4471="",E4471="!!!",F4471="NEW"),"",COUNTBLANK(OFFSET(A$1,,,SUMPRODUCT(MAX(ROW(E$2:E4471)*(E4471=E$2:E4471)))))-COUNTBLANK(OFFSET(A$1,,,SUMPRODUCT(MAX(ROW(E$1:E4470)*(E2=E$1:E4470))))))</f>
        <v> </v>
      </c>
      <c r="K4471" s="26" t="str">
        <f>IF(OR(E4471="",E4471="!!!",F4471="NEW"),"",INDEX(J$1:J4470,SUMPRODUCT(MAX(ROW(E$1:E4470)*(E4471=E$1:E4470)))))</f>
        <v> </v>
      </c>
      <c r="L4471" s="27"/>
    </row>
    <row r="4472" spans="1:12">
      <c r="A4472" s="20" t="s">
        <v>1000</v>
      </c>
      <c r="E4472" s="22">
        <f>IF(D4472="?OLD","!!!","")</f>
        <v/>
      </c>
      <c r="F4472" s="23" t="str">
        <f>IF(OR(E4472="",E4472="!!!"),"",IF(NOT(ISNA(VLOOKUP(E4472,E$1:E4471,1,FALSE()))),"OLD",IF(AND(E4472&lt;&gt;"",E4472&lt;&gt;"!!!"),"NEW","")))</f>
        <v> </v>
      </c>
      <c r="G4472" s="24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5" t="str">
        <f>IF(J4472&lt;&gt;1,"",IF(I4472="SBJ","CB","?"))</f>
        <v> </v>
      </c>
      <c r="I4472" s="26" t="str">
        <f>IF(OR(E4472="",E4472="!!!",F4472="NEW"),"",INDEX(B4471:B$2,-1+SUMPRODUCT(MAX(ROW(E4471:E$2)*(E4472=E4471:E$2)))))</f>
        <v> </v>
      </c>
      <c r="J4472" s="26" t="str">
        <f>IF(OR(E4472="",E4472="!!!",F4472="NEW"),"",COUNTBLANK(OFFSET(A$1,,,SUMPRODUCT(MAX(ROW(E$2:E4472)*(E4472=E$2:E4472)))))-COUNTBLANK(OFFSET(A$1,,,SUMPRODUCT(MAX(ROW(E$1:E4471)*(E2=E$1:E4471))))))</f>
        <v> </v>
      </c>
      <c r="K4472" s="26" t="str">
        <f>IF(OR(E4472="",E4472="!!!",F4472="NEW"),"",INDEX(J$1:J4471,SUMPRODUCT(MAX(ROW(E$1:E4471)*(E4472=E$1:E4471)))))</f>
        <v> </v>
      </c>
      <c r="L4472" s="27"/>
    </row>
    <row r="4473" spans="1:12">
      <c r="A4473" s="20" t="s">
        <v>995</v>
      </c>
      <c r="E4473" s="22">
        <f>IF(D4473="?OLD","!!!","")</f>
        <v/>
      </c>
      <c r="F4473" s="23" t="str">
        <f>IF(OR(E4473="",E4473="!!!"),"",IF(NOT(ISNA(VLOOKUP(E4473,E$1:E4472,1,FALSE()))),"OLD",IF(AND(E4473&lt;&gt;"",E4473&lt;&gt;"!!!"),"NEW","")))</f>
        <v> </v>
      </c>
      <c r="G4473" s="24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5" t="str">
        <f>IF(J4473&lt;&gt;1,"",IF(I4473="SBJ","CB","?"))</f>
        <v> </v>
      </c>
      <c r="I4473" s="26" t="str">
        <f>IF(OR(E4473="",E4473="!!!",F4473="NEW"),"",INDEX(B4472:B$2,-1+SUMPRODUCT(MAX(ROW(E4472:E$2)*(E4473=E4472:E$2)))))</f>
        <v> </v>
      </c>
      <c r="J4473" s="26" t="str">
        <f>IF(OR(E4473="",E4473="!!!",F4473="NEW"),"",COUNTBLANK(OFFSET(A$1,,,SUMPRODUCT(MAX(ROW(E$2:E4473)*(E4473=E$2:E4473)))))-COUNTBLANK(OFFSET(A$1,,,SUMPRODUCT(MAX(ROW(E$1:E4472)*(E2=E$1:E4472))))))</f>
        <v> </v>
      </c>
      <c r="K4473" s="26" t="str">
        <f>IF(OR(E4473="",E4473="!!!",F4473="NEW"),"",INDEX(J$1:J4472,SUMPRODUCT(MAX(ROW(E$1:E4472)*(E4473=E$1:E4472)))))</f>
        <v> </v>
      </c>
      <c r="L4473" s="27"/>
    </row>
    <row r="4474" spans="1:12">
      <c r="A4474" s="20" t="s">
        <v>1093</v>
      </c>
      <c r="E4474" s="22">
        <f>IF(D4474="?OLD","!!!","")</f>
        <v/>
      </c>
      <c r="F4474" s="23" t="str">
        <f>IF(OR(E4474="",E4474="!!!"),"",IF(NOT(ISNA(VLOOKUP(E4474,E$1:E4473,1,FALSE()))),"OLD",IF(AND(E4474&lt;&gt;"",E4474&lt;&gt;"!!!"),"NEW","")))</f>
        <v> </v>
      </c>
      <c r="G4474" s="24" t="str">
        <f>IF(OR(E4474="",E4474="!!!"),"",IF(OR(J4474=0,AND(J4474=1,K4474=1),AND(J4474=1,I4474="SBJ"),AND(J4474=1,I4474=0)),"?IN_FOCUS",IF(J4474&lt;=2,"?ACTIVATED",IF(J4474&lt;&gt;"","?FAMILIAR",IF(F4474="NEW",IF(ISNA(VLOOKUP(E4474,#REF!,1,FALSE())),"?TYPE_IDENTIFIABLE","?REFERENTIAL"),"_")))))</f>
        <v> </v>
      </c>
      <c r="H4474" s="25" t="str">
        <f>IF(J4474&lt;&gt;1,"",IF(I4474="SBJ","CB","?"))</f>
        <v> </v>
      </c>
      <c r="I4474" s="26" t="str">
        <f>IF(OR(E4474="",E4474="!!!",F4474="NEW"),"",INDEX(B4473:B$2,-1+SUMPRODUCT(MAX(ROW(E4473:E$2)*(E4474=E4473:E$2)))))</f>
        <v> </v>
      </c>
      <c r="J4474" s="26" t="str">
        <f>IF(OR(E4474="",E4474="!!!",F4474="NEW"),"",COUNTBLANK(OFFSET(A$1,,,SUMPRODUCT(MAX(ROW(E$2:E4474)*(E4474=E$2:E4474)))))-COUNTBLANK(OFFSET(A$1,,,SUMPRODUCT(MAX(ROW(E$1:E4473)*(E2=E$1:E4473))))))</f>
        <v> </v>
      </c>
      <c r="K4474" s="26" t="str">
        <f>IF(OR(E4474="",E4474="!!!",F4474="NEW"),"",INDEX(J$1:J4473,SUMPRODUCT(MAX(ROW(E$1:E4473)*(E4474=E$1:E4473)))))</f>
        <v> </v>
      </c>
      <c r="L4474" s="27"/>
    </row>
    <row r="4475" spans="1:12">
      <c r="A4475" s="20" t="s">
        <v>2096</v>
      </c>
      <c r="B4475" s="21" t="s">
        <v>966</v>
      </c>
      <c r="C4475" s="21" t="s">
        <v>1032</v>
      </c>
      <c r="D4475" s="21" t="s">
        <v>950</v>
      </c>
      <c r="E4475" s="22">
        <f>IF(D4475="?OLD","!!!","")</f>
        <v/>
      </c>
      <c r="F4475" s="23" t="str">
        <f>IF(OR(E4475="",E4475="!!!"),"",IF(NOT(ISNA(VLOOKUP(E4475,E$1:E4474,1,FALSE()))),"OLD",IF(AND(E4475&lt;&gt;"",E4475&lt;&gt;"!!!"),"NEW","")))</f>
        <v> </v>
      </c>
      <c r="G4475" s="24" t="str">
        <f>IF(OR(E4475="",E4475="!!!"),"",IF(OR(J4475=0,AND(J4475=1,K4475=1),AND(J4475=1,I4475="SBJ"),AND(J4475=1,I4475=0)),"?IN_FOCUS",IF(J4475&lt;=2,"?ACTIVATED",IF(J4475&lt;&gt;"","?FAMILIAR",IF(F4475="NEW",IF(ISNA(VLOOKUP(E4475,#REF!,1,FALSE())),"?TYPE_IDENTIFIABLE","?REFERENTIAL"),"_")))))</f>
        <v> </v>
      </c>
      <c r="H4475" s="25" t="str">
        <f>IF(J4475&lt;&gt;1,"",IF(I4475="SBJ","CB","?"))</f>
        <v> </v>
      </c>
      <c r="I4475" s="26" t="str">
        <f>IF(OR(E4475="",E4475="!!!",F4475="NEW"),"",INDEX(B4474:B$2,-1+SUMPRODUCT(MAX(ROW(E4474:E$2)*(E4475=E4474:E$2)))))</f>
        <v> </v>
      </c>
      <c r="J4475" s="26" t="str">
        <f>IF(OR(E4475="",E4475="!!!",F4475="NEW"),"",COUNTBLANK(OFFSET(A$1,,,SUMPRODUCT(MAX(ROW(E$2:E4475)*(E4475=E$2:E4475)))))-COUNTBLANK(OFFSET(A$1,,,SUMPRODUCT(MAX(ROW(E$1:E4474)*(E2=E$1:E4474))))))</f>
        <v> </v>
      </c>
      <c r="K4475" s="26" t="str">
        <f>IF(OR(E4475="",E4475="!!!",F4475="NEW"),"",INDEX(J$1:J4474,SUMPRODUCT(MAX(ROW(E$1:E4474)*(E4475=E$1:E4474)))))</f>
        <v> </v>
      </c>
      <c r="L4475" s="27"/>
    </row>
    <row r="4476" spans="1:12">
      <c r="A4476" s="20" t="s">
        <v>1250</v>
      </c>
      <c r="E4476" s="22">
        <f>IF(D4476="?OLD","!!!","")</f>
        <v/>
      </c>
      <c r="F4476" s="23" t="str">
        <f>IF(OR(E4476="",E4476="!!!"),"",IF(NOT(ISNA(VLOOKUP(E4476,E$1:E4475,1,FALSE()))),"OLD",IF(AND(E4476&lt;&gt;"",E4476&lt;&gt;"!!!"),"NEW","")))</f>
        <v> </v>
      </c>
      <c r="G4476" s="24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5" t="str">
        <f>IF(J4476&lt;&gt;1,"",IF(I4476="SBJ","CB","?"))</f>
        <v> </v>
      </c>
      <c r="I4476" s="26" t="str">
        <f>IF(OR(E4476="",E4476="!!!",F4476="NEW"),"",INDEX(B4475:B$2,-1+SUMPRODUCT(MAX(ROW(E4475:E$2)*(E4476=E4475:E$2)))))</f>
        <v> </v>
      </c>
      <c r="J4476" s="26" t="str">
        <f>IF(OR(E4476="",E4476="!!!",F4476="NEW"),"",COUNTBLANK(OFFSET(A$1,,,SUMPRODUCT(MAX(ROW(E$2:E4476)*(E4476=E$2:E4476)))))-COUNTBLANK(OFFSET(A$1,,,SUMPRODUCT(MAX(ROW(E$1:E4475)*(E2=E$1:E4475))))))</f>
        <v> </v>
      </c>
      <c r="K4476" s="26" t="str">
        <f>IF(OR(E4476="",E4476="!!!",F4476="NEW"),"",INDEX(J$1:J4475,SUMPRODUCT(MAX(ROW(E$1:E4475)*(E4476=E$1:E4475)))))</f>
        <v> </v>
      </c>
      <c r="L4476" s="27"/>
    </row>
    <row r="4477" spans="1:12">
      <c r="A4477" s="20" t="s">
        <v>2162</v>
      </c>
      <c r="E4477" s="22">
        <f>IF(D4477="?OLD","!!!","")</f>
        <v/>
      </c>
      <c r="F4477" s="23" t="str">
        <f>IF(OR(E4477="",E4477="!!!"),"",IF(NOT(ISNA(VLOOKUP(E4477,E$1:E4476,1,FALSE()))),"OLD",IF(AND(E4477&lt;&gt;"",E4477&lt;&gt;"!!!"),"NEW","")))</f>
        <v> </v>
      </c>
      <c r="G4477" s="24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5" t="str">
        <f>IF(J4477&lt;&gt;1,"",IF(I4477="SBJ","CB","?"))</f>
        <v> </v>
      </c>
      <c r="I4477" s="26" t="str">
        <f>IF(OR(E4477="",E4477="!!!",F4477="NEW"),"",INDEX(B4476:B$2,-1+SUMPRODUCT(MAX(ROW(E4476:E$2)*(E4477=E4476:E$2)))))</f>
        <v> </v>
      </c>
      <c r="J4477" s="26" t="str">
        <f>IF(OR(E4477="",E4477="!!!",F4477="NEW"),"",COUNTBLANK(OFFSET(A$1,,,SUMPRODUCT(MAX(ROW(E$2:E4477)*(E4477=E$2:E4477)))))-COUNTBLANK(OFFSET(A$1,,,SUMPRODUCT(MAX(ROW(E$1:E4476)*(E2=E$1:E4476))))))</f>
        <v> </v>
      </c>
      <c r="K4477" s="26" t="str">
        <f>IF(OR(E4477="",E4477="!!!",F4477="NEW"),"",INDEX(J$1:J4476,SUMPRODUCT(MAX(ROW(E$1:E4476)*(E4477=E$1:E4476)))))</f>
        <v> </v>
      </c>
      <c r="L4477" s="27"/>
    </row>
    <row r="4478" spans="1:12">
      <c r="A4478" s="20" t="s">
        <v>1006</v>
      </c>
      <c r="E4478" s="22">
        <f>IF(D4478="?OLD","!!!","")</f>
        <v/>
      </c>
      <c r="F4478" s="23" t="str">
        <f>IF(OR(E4478="",E4478="!!!"),"",IF(NOT(ISNA(VLOOKUP(E4478,E$1:E4477,1,FALSE()))),"OLD",IF(AND(E4478&lt;&gt;"",E4478&lt;&gt;"!!!"),"NEW","")))</f>
        <v> </v>
      </c>
      <c r="G4478" s="24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5" t="str">
        <f>IF(J4478&lt;&gt;1,"",IF(I4478="SBJ","CB","?"))</f>
        <v> </v>
      </c>
      <c r="I4478" s="26" t="str">
        <f>IF(OR(E4478="",E4478="!!!",F4478="NEW"),"",INDEX(B4477:B$2,-1+SUMPRODUCT(MAX(ROW(E4477:E$2)*(E4478=E4477:E$2)))))</f>
        <v> </v>
      </c>
      <c r="J4478" s="26" t="str">
        <f>IF(OR(E4478="",E4478="!!!",F4478="NEW"),"",COUNTBLANK(OFFSET(A$1,,,SUMPRODUCT(MAX(ROW(E$2:E4478)*(E4478=E$2:E4478)))))-COUNTBLANK(OFFSET(A$1,,,SUMPRODUCT(MAX(ROW(E$1:E4477)*(E2=E$1:E4477))))))</f>
        <v> </v>
      </c>
      <c r="K4478" s="26" t="str">
        <f>IF(OR(E4478="",E4478="!!!",F4478="NEW"),"",INDEX(J$1:J4477,SUMPRODUCT(MAX(ROW(E$1:E4477)*(E4478=E$1:E4477)))))</f>
        <v> </v>
      </c>
      <c r="L4478" s="27"/>
    </row>
    <row r="4479" spans="1:12">
      <c r="A4479" s="20" t="s">
        <v>2163</v>
      </c>
      <c r="B4479" s="21" t="s">
        <v>1031</v>
      </c>
      <c r="C4479" s="21" t="s">
        <v>976</v>
      </c>
      <c r="D4479" s="21" t="s">
        <v>950</v>
      </c>
      <c r="E4479" s="22">
        <f>IF(D4479="?OLD","!!!","")</f>
        <v/>
      </c>
      <c r="F4479" s="23" t="str">
        <f>IF(OR(E4479="",E4479="!!!"),"",IF(NOT(ISNA(VLOOKUP(E4479,E$1:E4478,1,FALSE()))),"OLD",IF(AND(E4479&lt;&gt;"",E4479&lt;&gt;"!!!"),"NEW","")))</f>
        <v> </v>
      </c>
      <c r="G4479" s="24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5" t="str">
        <f>IF(J4479&lt;&gt;1,"",IF(I4479="SBJ","CB","?"))</f>
        <v> </v>
      </c>
      <c r="I4479" s="26" t="str">
        <f>IF(OR(E4479="",E4479="!!!",F4479="NEW"),"",INDEX(B4478:B$2,-1+SUMPRODUCT(MAX(ROW(E4478:E$2)*(E4479=E4478:E$2)))))</f>
        <v> </v>
      </c>
      <c r="J4479" s="26" t="str">
        <f>IF(OR(E4479="",E4479="!!!",F4479="NEW"),"",COUNTBLANK(OFFSET(A$1,,,SUMPRODUCT(MAX(ROW(E$2:E4479)*(E4479=E$2:E4479)))))-COUNTBLANK(OFFSET(A$1,,,SUMPRODUCT(MAX(ROW(E$1:E4478)*(E2=E$1:E4478))))))</f>
        <v> </v>
      </c>
      <c r="K4479" s="26" t="str">
        <f>IF(OR(E4479="",E4479="!!!",F4479="NEW"),"",INDEX(J$1:J4478,SUMPRODUCT(MAX(ROW(E$1:E4478)*(E4479=E$1:E4478)))))</f>
        <v> </v>
      </c>
      <c r="L4479" s="27"/>
    </row>
    <row r="4480" spans="1:12">
      <c r="A4480" s="20" t="s">
        <v>977</v>
      </c>
      <c r="E4480" s="22">
        <f>IF(D4480="?OLD","!!!","")</f>
        <v/>
      </c>
      <c r="F4480" s="23" t="str">
        <f>IF(OR(E4480="",E4480="!!!"),"",IF(NOT(ISNA(VLOOKUP(E4480,E$1:E4479,1,FALSE()))),"OLD",IF(AND(E4480&lt;&gt;"",E4480&lt;&gt;"!!!"),"NEW","")))</f>
        <v> </v>
      </c>
      <c r="G4480" s="24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5" t="str">
        <f>IF(J4480&lt;&gt;1,"",IF(I4480="SBJ","CB","?"))</f>
        <v> </v>
      </c>
      <c r="I4480" s="26" t="str">
        <f>IF(OR(E4480="",E4480="!!!",F4480="NEW"),"",INDEX(B4479:B$2,-1+SUMPRODUCT(MAX(ROW(E4479:E$2)*(E4480=E4479:E$2)))))</f>
        <v> </v>
      </c>
      <c r="J4480" s="26" t="str">
        <f>IF(OR(E4480="",E4480="!!!",F4480="NEW"),"",COUNTBLANK(OFFSET(A$1,,,SUMPRODUCT(MAX(ROW(E$2:E4480)*(E4480=E$2:E4480)))))-COUNTBLANK(OFFSET(A$1,,,SUMPRODUCT(MAX(ROW(E$1:E4479)*(E2=E$1:E4479))))))</f>
        <v> </v>
      </c>
      <c r="K4480" s="26" t="str">
        <f>IF(OR(E4480="",E4480="!!!",F4480="NEW"),"",INDEX(J$1:J4479,SUMPRODUCT(MAX(ROW(E$1:E4479)*(E4480=E$1:E4479)))))</f>
        <v> </v>
      </c>
      <c r="L4480" s="27"/>
    </row>
    <row r="4481" spans="1:12">
      <c r="A4481" s="20" t="s">
        <v>1006</v>
      </c>
      <c r="E4481" s="22">
        <f>IF(D4481="?OLD","!!!","")</f>
        <v/>
      </c>
      <c r="F4481" s="23" t="str">
        <f>IF(OR(E4481="",E4481="!!!"),"",IF(NOT(ISNA(VLOOKUP(E4481,E$1:E4480,1,FALSE()))),"OLD",IF(AND(E4481&lt;&gt;"",E4481&lt;&gt;"!!!"),"NEW","")))</f>
        <v> </v>
      </c>
      <c r="G4481" s="24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5" t="str">
        <f>IF(J4481&lt;&gt;1,"",IF(I4481="SBJ","CB","?"))</f>
        <v> </v>
      </c>
      <c r="I4481" s="26" t="str">
        <f>IF(OR(E4481="",E4481="!!!",F4481="NEW"),"",INDEX(B4480:B$2,-1+SUMPRODUCT(MAX(ROW(E4480:E$2)*(E4481=E4480:E$2)))))</f>
        <v> </v>
      </c>
      <c r="J4481" s="26" t="str">
        <f>IF(OR(E4481="",E4481="!!!",F4481="NEW"),"",COUNTBLANK(OFFSET(A$1,,,SUMPRODUCT(MAX(ROW(E$2:E4481)*(E4481=E$2:E4481)))))-COUNTBLANK(OFFSET(A$1,,,SUMPRODUCT(MAX(ROW(E$1:E4480)*(E2=E$1:E4480))))))</f>
        <v> </v>
      </c>
      <c r="K4481" s="26" t="str">
        <f>IF(OR(E4481="",E4481="!!!",F4481="NEW"),"",INDEX(J$1:J4480,SUMPRODUCT(MAX(ROW(E$1:E4480)*(E4481=E$1:E4480)))))</f>
        <v> </v>
      </c>
      <c r="L4481" s="27"/>
    </row>
    <row r="4482" spans="1:12">
      <c r="A4482" s="20" t="s">
        <v>1146</v>
      </c>
      <c r="B4482" s="21" t="s">
        <v>982</v>
      </c>
      <c r="C4482" s="21" t="s">
        <v>1029</v>
      </c>
      <c r="D4482" s="21" t="s">
        <v>950</v>
      </c>
      <c r="E4482" s="22">
        <f>IF(D4482="?OLD","!!!","")</f>
        <v/>
      </c>
      <c r="F4482" s="23" t="str">
        <f>IF(OR(E4482="",E4482="!!!"),"",IF(NOT(ISNA(VLOOKUP(E4482,E$1:E4481,1,FALSE()))),"OLD",IF(AND(E4482&lt;&gt;"",E4482&lt;&gt;"!!!"),"NEW","")))</f>
        <v> </v>
      </c>
      <c r="G4482" s="24" t="str">
        <f>IF(OR(E4482="",E4482="!!!"),"",IF(OR(J4482=0,AND(J4482=1,K4482=1),AND(J4482=1,I4482="SBJ"),AND(J4482=1,I4482=0)),"?IN_FOCUS",IF(J4482&lt;=2,"?ACTIVATED",IF(J4482&lt;&gt;"","?FAMILIAR",IF(F4482="NEW",IF(ISNA(VLOOKUP(E4482,#REF!,1,FALSE())),"?TYPE_IDENTIFIABLE","?REFERENTIAL"),"_")))))</f>
        <v> </v>
      </c>
      <c r="H4482" s="25" t="str">
        <f>IF(J4482&lt;&gt;1,"",IF(I4482="SBJ","CB","?"))</f>
        <v> </v>
      </c>
      <c r="I4482" s="26" t="str">
        <f>IF(OR(E4482="",E4482="!!!",F4482="NEW"),"",INDEX(B4481:B$2,-1+SUMPRODUCT(MAX(ROW(E4481:E$2)*(E4482=E4481:E$2)))))</f>
        <v> </v>
      </c>
      <c r="J4482" s="26" t="str">
        <f>IF(OR(E4482="",E4482="!!!",F4482="NEW"),"",COUNTBLANK(OFFSET(A$1,,,SUMPRODUCT(MAX(ROW(E$2:E4482)*(E4482=E$2:E4482)))))-COUNTBLANK(OFFSET(A$1,,,SUMPRODUCT(MAX(ROW(E$1:E4481)*(E2=E$1:E4481))))))</f>
        <v> </v>
      </c>
      <c r="K4482" s="26" t="str">
        <f>IF(OR(E4482="",E4482="!!!",F4482="NEW"),"",INDEX(J$1:J4481,SUMPRODUCT(MAX(ROW(E$1:E4481)*(E4482=E$1:E4481)))))</f>
        <v> </v>
      </c>
      <c r="L4482" s="27"/>
    </row>
    <row r="4483" spans="1:12">
      <c r="A4483" s="20" t="s">
        <v>2164</v>
      </c>
      <c r="B4483" s="21" t="s">
        <v>980</v>
      </c>
      <c r="C4483" s="21" t="s">
        <v>1032</v>
      </c>
      <c r="D4483" s="21" t="s">
        <v>950</v>
      </c>
      <c r="E4483" s="22">
        <f>IF(D4483="?OLD","!!!","")</f>
        <v/>
      </c>
      <c r="F4483" s="23" t="str">
        <f>IF(OR(E4483="",E4483="!!!"),"",IF(NOT(ISNA(VLOOKUP(E4483,E$1:E4482,1,FALSE()))),"OLD",IF(AND(E4483&lt;&gt;"",E4483&lt;&gt;"!!!"),"NEW","")))</f>
        <v> </v>
      </c>
      <c r="G4483" s="24" t="str">
        <f>IF(OR(E4483="",E4483="!!!"),"",IF(OR(J4483=0,AND(J4483=1,K4483=1),AND(J4483=1,I4483="SBJ"),AND(J4483=1,I4483=0)),"?IN_FOCUS",IF(J4483&lt;=2,"?ACTIVATED",IF(J4483&lt;&gt;"","?FAMILIAR",IF(F4483="NEW",IF(ISNA(VLOOKUP(E4483,#REF!,1,FALSE())),"?TYPE_IDENTIFIABLE","?REFERENTIAL"),"_")))))</f>
        <v> </v>
      </c>
      <c r="H4483" s="25" t="str">
        <f>IF(J4483&lt;&gt;1,"",IF(I4483="SBJ","CB","?"))</f>
        <v> </v>
      </c>
      <c r="I4483" s="26" t="str">
        <f>IF(OR(E4483="",E4483="!!!",F4483="NEW"),"",INDEX(B4482:B$2,-1+SUMPRODUCT(MAX(ROW(E4482:E$2)*(E4483=E4482:E$2)))))</f>
        <v> </v>
      </c>
      <c r="J4483" s="26" t="str">
        <f>IF(OR(E4483="",E4483="!!!",F4483="NEW"),"",COUNTBLANK(OFFSET(A$1,,,SUMPRODUCT(MAX(ROW(E$2:E4483)*(E4483=E$2:E4483)))))-COUNTBLANK(OFFSET(A$1,,,SUMPRODUCT(MAX(ROW(E$1:E4482)*(E2=E$1:E4482))))))</f>
        <v> </v>
      </c>
      <c r="K4483" s="26" t="str">
        <f>IF(OR(E4483="",E4483="!!!",F4483="NEW"),"",INDEX(J$1:J4482,SUMPRODUCT(MAX(ROW(E$1:E4482)*(E4483=E$1:E4482)))))</f>
        <v> </v>
      </c>
      <c r="L4483" s="27"/>
    </row>
    <row r="4484" spans="1:12">
      <c r="A4484" s="20" t="s">
        <v>984</v>
      </c>
      <c r="E4484" s="22">
        <f>IF(D4484="?OLD","!!!","")</f>
        <v/>
      </c>
      <c r="F4484" s="23" t="str">
        <f>IF(OR(E4484="",E4484="!!!"),"",IF(NOT(ISNA(VLOOKUP(E4484,E$1:E4483,1,FALSE()))),"OLD",IF(AND(E4484&lt;&gt;"",E4484&lt;&gt;"!!!"),"NEW","")))</f>
        <v> </v>
      </c>
      <c r="G4484" s="24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5" t="str">
        <f>IF(J4484&lt;&gt;1,"",IF(I4484="SBJ","CB","?"))</f>
        <v> </v>
      </c>
      <c r="I4484" s="26" t="str">
        <f>IF(OR(E4484="",E4484="!!!",F4484="NEW"),"",INDEX(B4483:B$2,-1+SUMPRODUCT(MAX(ROW(E4483:E$2)*(E4484=E4483:E$2)))))</f>
        <v> </v>
      </c>
      <c r="J4484" s="26" t="str">
        <f>IF(OR(E4484="",E4484="!!!",F4484="NEW"),"",COUNTBLANK(OFFSET(A$1,,,SUMPRODUCT(MAX(ROW(E$2:E4484)*(E4484=E$2:E4484)))))-COUNTBLANK(OFFSET(A$1,,,SUMPRODUCT(MAX(ROW(E$1:E4483)*(E2=E$1:E4483))))))</f>
        <v> </v>
      </c>
      <c r="K4484" s="26" t="str">
        <f>IF(OR(E4484="",E4484="!!!",F4484="NEW"),"",INDEX(J$1:J4483,SUMPRODUCT(MAX(ROW(E$1:E4483)*(E4484=E$1:E4483)))))</f>
        <v> </v>
      </c>
      <c r="L4484" s="27"/>
    </row>
    <row r="4485" spans="1:12">
      <c r="A4485" s="20"/>
    </row>
    <row r="4486" spans="1:12">
      <c r="A4486" s="20" t="s">
        <v>2165</v>
      </c>
    </row>
    <row r="4487" spans="1:12">
      <c r="A4487" s="20" t="s">
        <v>1242</v>
      </c>
      <c r="E4487" s="22">
        <f>IF(D4487="?OLD","!!!","")</f>
        <v/>
      </c>
      <c r="F4487" s="23" t="str">
        <f>IF(OR(E4487="",E4487="!!!"),"",IF(NOT(ISNA(VLOOKUP(E4487,E$1:E4486,1,FALSE()))),"OLD",IF(AND(E4487&lt;&gt;"",E4487&lt;&gt;"!!!"),"NEW","")))</f>
        <v> </v>
      </c>
      <c r="G4487" s="24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5" t="str">
        <f>IF(J4487&lt;&gt;1,"",IF(I4487="SBJ","CB","?"))</f>
        <v> </v>
      </c>
      <c r="I4487" s="26" t="str">
        <f>IF(OR(E4487="",E4487="!!!",F4487="NEW"),"",INDEX(B4486:B$2,-1+SUMPRODUCT(MAX(ROW(E4486:E$2)*(E4487=E4486:E$2)))))</f>
        <v> </v>
      </c>
      <c r="J4487" s="26" t="str">
        <f>IF(OR(E4487="",E4487="!!!",F4487="NEW"),"",COUNTBLANK(OFFSET(A$1,,,SUMPRODUCT(MAX(ROW(E$2:E4487)*(E4487=E$2:E4487)))))-COUNTBLANK(OFFSET(A$1,,,SUMPRODUCT(MAX(ROW(E$1:E4486)*(E2=E$1:E4486))))))</f>
        <v> </v>
      </c>
      <c r="K4487" s="26" t="str">
        <f>IF(OR(E4487="",E4487="!!!",F4487="NEW"),"",INDEX(J$1:J4486,SUMPRODUCT(MAX(ROW(E$1:E4486)*(E4487=E$1:E4486)))))</f>
        <v> </v>
      </c>
      <c r="L4487" s="27"/>
    </row>
    <row r="4488" spans="1:12">
      <c r="A4488" s="20" t="s">
        <v>1064</v>
      </c>
      <c r="E4488" s="22">
        <f>IF(D4488="?OLD","!!!","")</f>
        <v/>
      </c>
      <c r="F4488" s="23" t="str">
        <f>IF(OR(E4488="",E4488="!!!"),"",IF(NOT(ISNA(VLOOKUP(E4488,E$1:E4487,1,FALSE()))),"OLD",IF(AND(E4488&lt;&gt;"",E4488&lt;&gt;"!!!"),"NEW","")))</f>
        <v> </v>
      </c>
      <c r="G4488" s="24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5" t="str">
        <f>IF(J4488&lt;&gt;1,"",IF(I4488="SBJ","CB","?"))</f>
        <v> </v>
      </c>
      <c r="I4488" s="26" t="str">
        <f>IF(OR(E4488="",E4488="!!!",F4488="NEW"),"",INDEX(B4487:B$2,-1+SUMPRODUCT(MAX(ROW(E4487:E$2)*(E4488=E4487:E$2)))))</f>
        <v> </v>
      </c>
      <c r="J4488" s="26" t="str">
        <f>IF(OR(E4488="",E4488="!!!",F4488="NEW"),"",COUNTBLANK(OFFSET(A$1,,,SUMPRODUCT(MAX(ROW(E$2:E4488)*(E4488=E$2:E4488)))))-COUNTBLANK(OFFSET(A$1,,,SUMPRODUCT(MAX(ROW(E$1:E4487)*(E2=E$1:E4487))))))</f>
        <v> </v>
      </c>
      <c r="K4488" s="26" t="str">
        <f>IF(OR(E4488="",E4488="!!!",F4488="NEW"),"",INDEX(J$1:J4487,SUMPRODUCT(MAX(ROW(E$1:E4487)*(E4488=E$1:E4487)))))</f>
        <v> </v>
      </c>
      <c r="L4488" s="27"/>
    </row>
    <row r="4489" spans="1:12">
      <c r="A4489" s="20" t="s">
        <v>1093</v>
      </c>
      <c r="E4489" s="22">
        <f>IF(D4489="?OLD","!!!","")</f>
        <v/>
      </c>
      <c r="F4489" s="23" t="str">
        <f>IF(OR(E4489="",E4489="!!!"),"",IF(NOT(ISNA(VLOOKUP(E4489,E$1:E4488,1,FALSE()))),"OLD",IF(AND(E4489&lt;&gt;"",E4489&lt;&gt;"!!!"),"NEW","")))</f>
        <v> </v>
      </c>
      <c r="G4489" s="24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5" t="str">
        <f>IF(J4489&lt;&gt;1,"",IF(I4489="SBJ","CB","?"))</f>
        <v> </v>
      </c>
      <c r="I4489" s="26" t="str">
        <f>IF(OR(E4489="",E4489="!!!",F4489="NEW"),"",INDEX(B4488:B$2,-1+SUMPRODUCT(MAX(ROW(E4488:E$2)*(E4489=E4488:E$2)))))</f>
        <v> </v>
      </c>
      <c r="J4489" s="26" t="str">
        <f>IF(OR(E4489="",E4489="!!!",F4489="NEW"),"",COUNTBLANK(OFFSET(A$1,,,SUMPRODUCT(MAX(ROW(E$2:E4489)*(E4489=E$2:E4489)))))-COUNTBLANK(OFFSET(A$1,,,SUMPRODUCT(MAX(ROW(E$1:E4488)*(E2=E$1:E4488))))))</f>
        <v> </v>
      </c>
      <c r="K4489" s="26" t="str">
        <f>IF(OR(E4489="",E4489="!!!",F4489="NEW"),"",INDEX(J$1:J4488,SUMPRODUCT(MAX(ROW(E$1:E4488)*(E4489=E$1:E4488)))))</f>
        <v> </v>
      </c>
      <c r="L4489" s="27"/>
    </row>
    <row r="4490" spans="1:12">
      <c r="A4490" s="20" t="s">
        <v>1094</v>
      </c>
      <c r="B4490" s="21" t="s">
        <v>1143</v>
      </c>
      <c r="C4490" s="21" t="s">
        <v>1032</v>
      </c>
      <c r="D4490" s="21" t="s">
        <v>950</v>
      </c>
      <c r="E4490" s="22">
        <f>IF(D4490="?OLD","!!!","")</f>
        <v/>
      </c>
      <c r="F4490" s="23" t="str">
        <f>IF(OR(E4490="",E4490="!!!"),"",IF(NOT(ISNA(VLOOKUP(E4490,E$1:E4489,1,FALSE()))),"OLD",IF(AND(E4490&lt;&gt;"",E4490&lt;&gt;"!!!"),"NEW","")))</f>
        <v> </v>
      </c>
      <c r="G4490" s="24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5" t="str">
        <f>IF(J4490&lt;&gt;1,"",IF(I4490="SBJ","CB","?"))</f>
        <v> </v>
      </c>
      <c r="I4490" s="26" t="str">
        <f>IF(OR(E4490="",E4490="!!!",F4490="NEW"),"",INDEX(B4489:B$2,-1+SUMPRODUCT(MAX(ROW(E4489:E$2)*(E4490=E4489:E$2)))))</f>
        <v> </v>
      </c>
      <c r="J4490" s="26" t="str">
        <f>IF(OR(E4490="",E4490="!!!",F4490="NEW"),"",COUNTBLANK(OFFSET(A$1,,,SUMPRODUCT(MAX(ROW(E$2:E4490)*(E4490=E$2:E4490)))))-COUNTBLANK(OFFSET(A$1,,,SUMPRODUCT(MAX(ROW(E$1:E4489)*(E2=E$1:E4489))))))</f>
        <v> </v>
      </c>
      <c r="K4490" s="26" t="str">
        <f>IF(OR(E4490="",E4490="!!!",F4490="NEW"),"",INDEX(J$1:J4489,SUMPRODUCT(MAX(ROW(E$1:E4489)*(E4490=E$1:E4489)))))</f>
        <v> </v>
      </c>
      <c r="L4490" s="27"/>
    </row>
    <row r="4491" spans="1:12">
      <c r="A4491" s="20" t="s">
        <v>2166</v>
      </c>
      <c r="E4491" s="22">
        <f>IF(D4491="?OLD","!!!","")</f>
        <v/>
      </c>
      <c r="F4491" s="23" t="str">
        <f>IF(OR(E4491="",E4491="!!!"),"",IF(NOT(ISNA(VLOOKUP(E4491,E$1:E4490,1,FALSE()))),"OLD",IF(AND(E4491&lt;&gt;"",E4491&lt;&gt;"!!!"),"NEW","")))</f>
        <v> </v>
      </c>
      <c r="G4491" s="24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5" t="str">
        <f>IF(J4491&lt;&gt;1,"",IF(I4491="SBJ","CB","?"))</f>
        <v> </v>
      </c>
      <c r="I4491" s="26" t="str">
        <f>IF(OR(E4491="",E4491="!!!",F4491="NEW"),"",INDEX(B4490:B$2,-1+SUMPRODUCT(MAX(ROW(E4490:E$2)*(E4491=E4490:E$2)))))</f>
        <v> </v>
      </c>
      <c r="J4491" s="26" t="str">
        <f>IF(OR(E4491="",E4491="!!!",F4491="NEW"),"",COUNTBLANK(OFFSET(A$1,,,SUMPRODUCT(MAX(ROW(E$2:E4491)*(E4491=E$2:E4491)))))-COUNTBLANK(OFFSET(A$1,,,SUMPRODUCT(MAX(ROW(E$1:E4490)*(E2=E$1:E4490))))))</f>
        <v> </v>
      </c>
      <c r="K4491" s="26" t="str">
        <f>IF(OR(E4491="",E4491="!!!",F4491="NEW"),"",INDEX(J$1:J4490,SUMPRODUCT(MAX(ROW(E$1:E4490)*(E4491=E$1:E4490)))))</f>
        <v> </v>
      </c>
      <c r="L4491" s="27"/>
    </row>
    <row r="4492" spans="1:12">
      <c r="A4492" s="20" t="s">
        <v>1022</v>
      </c>
      <c r="E4492" s="22">
        <f>IF(D4492="?OLD","!!!","")</f>
        <v/>
      </c>
      <c r="F4492" s="23" t="str">
        <f>IF(OR(E4492="",E4492="!!!"),"",IF(NOT(ISNA(VLOOKUP(E4492,E$1:E4491,1,FALSE()))),"OLD",IF(AND(E4492&lt;&gt;"",E4492&lt;&gt;"!!!"),"NEW","")))</f>
        <v> </v>
      </c>
      <c r="G4492" s="24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5" t="str">
        <f>IF(J4492&lt;&gt;1,"",IF(I4492="SBJ","CB","?"))</f>
        <v> </v>
      </c>
      <c r="I4492" s="26" t="str">
        <f>IF(OR(E4492="",E4492="!!!",F4492="NEW"),"",INDEX(B4491:B$2,-1+SUMPRODUCT(MAX(ROW(E4491:E$2)*(E4492=E4491:E$2)))))</f>
        <v> </v>
      </c>
      <c r="J4492" s="26" t="str">
        <f>IF(OR(E4492="",E4492="!!!",F4492="NEW"),"",COUNTBLANK(OFFSET(A$1,,,SUMPRODUCT(MAX(ROW(E$2:E4492)*(E4492=E$2:E4492)))))-COUNTBLANK(OFFSET(A$1,,,SUMPRODUCT(MAX(ROW(E$1:E4491)*(E2=E$1:E4491))))))</f>
        <v> </v>
      </c>
      <c r="K4492" s="26" t="str">
        <f>IF(OR(E4492="",E4492="!!!",F4492="NEW"),"",INDEX(J$1:J4491,SUMPRODUCT(MAX(ROW(E$1:E4491)*(E4492=E$1:E4491)))))</f>
        <v> </v>
      </c>
      <c r="L4492" s="27"/>
    </row>
    <row r="4493" spans="1:12">
      <c r="A4493" s="20" t="s">
        <v>1575</v>
      </c>
      <c r="E4493" s="22">
        <f>IF(D4493="?OLD","!!!","")</f>
        <v/>
      </c>
      <c r="F4493" s="23" t="str">
        <f>IF(OR(E4493="",E4493="!!!"),"",IF(NOT(ISNA(VLOOKUP(E4493,E$1:E4492,1,FALSE()))),"OLD",IF(AND(E4493&lt;&gt;"",E4493&lt;&gt;"!!!"),"NEW","")))</f>
        <v> </v>
      </c>
      <c r="G4493" s="24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5" t="str">
        <f>IF(J4493&lt;&gt;1,"",IF(I4493="SBJ","CB","?"))</f>
        <v> </v>
      </c>
      <c r="I4493" s="26" t="str">
        <f>IF(OR(E4493="",E4493="!!!",F4493="NEW"),"",INDEX(B4492:B$2,-1+SUMPRODUCT(MAX(ROW(E4492:E$2)*(E4493=E4492:E$2)))))</f>
        <v> </v>
      </c>
      <c r="J4493" s="26" t="str">
        <f>IF(OR(E4493="",E4493="!!!",F4493="NEW"),"",COUNTBLANK(OFFSET(A$1,,,SUMPRODUCT(MAX(ROW(E$2:E4493)*(E4493=E$2:E4493)))))-COUNTBLANK(OFFSET(A$1,,,SUMPRODUCT(MAX(ROW(E$1:E4492)*(E2=E$1:E4492))))))</f>
        <v> </v>
      </c>
      <c r="K4493" s="26" t="str">
        <f>IF(OR(E4493="",E4493="!!!",F4493="NEW"),"",INDEX(J$1:J4492,SUMPRODUCT(MAX(ROW(E$1:E4492)*(E4493=E$1:E4492)))))</f>
        <v> </v>
      </c>
      <c r="L4493" s="27"/>
    </row>
    <row r="4494" spans="1:12">
      <c r="A4494" s="20" t="s">
        <v>1140</v>
      </c>
      <c r="B4494" s="21" t="s">
        <v>975</v>
      </c>
      <c r="C4494" s="21" t="s">
        <v>976</v>
      </c>
      <c r="D4494" s="21" t="s">
        <v>950</v>
      </c>
      <c r="E4494" s="22">
        <f>IF(D4494="?OLD","!!!","")</f>
        <v/>
      </c>
      <c r="F4494" s="23" t="str">
        <f>IF(OR(E4494="",E4494="!!!"),"",IF(NOT(ISNA(VLOOKUP(E4494,E$1:E4493,1,FALSE()))),"OLD",IF(AND(E4494&lt;&gt;"",E4494&lt;&gt;"!!!"),"NEW","")))</f>
        <v> </v>
      </c>
      <c r="G4494" s="24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5" t="str">
        <f>IF(J4494&lt;&gt;1,"",IF(I4494="SBJ","CB","?"))</f>
        <v> </v>
      </c>
      <c r="I4494" s="26" t="str">
        <f>IF(OR(E4494="",E4494="!!!",F4494="NEW"),"",INDEX(B4493:B$2,-1+SUMPRODUCT(MAX(ROW(E4493:E$2)*(E4494=E4493:E$2)))))</f>
        <v> </v>
      </c>
      <c r="J4494" s="26" t="str">
        <f>IF(OR(E4494="",E4494="!!!",F4494="NEW"),"",COUNTBLANK(OFFSET(A$1,,,SUMPRODUCT(MAX(ROW(E$2:E4494)*(E4494=E$2:E4494)))))-COUNTBLANK(OFFSET(A$1,,,SUMPRODUCT(MAX(ROW(E$1:E4493)*(E2=E$1:E4493))))))</f>
        <v> </v>
      </c>
      <c r="K4494" s="26" t="str">
        <f>IF(OR(E4494="",E4494="!!!",F4494="NEW"),"",INDEX(J$1:J4493,SUMPRODUCT(MAX(ROW(E$1:E4493)*(E4494=E$1:E4493)))))</f>
        <v> </v>
      </c>
      <c r="L4494" s="27"/>
    </row>
    <row r="4495" spans="1:12">
      <c r="A4495" s="20" t="s">
        <v>977</v>
      </c>
      <c r="E4495" s="22">
        <f>IF(D4495="?OLD","!!!","")</f>
        <v/>
      </c>
      <c r="F4495" s="23" t="str">
        <f>IF(OR(E4495="",E4495="!!!"),"",IF(NOT(ISNA(VLOOKUP(E4495,E$1:E4494,1,FALSE()))),"OLD",IF(AND(E4495&lt;&gt;"",E4495&lt;&gt;"!!!"),"NEW","")))</f>
        <v> </v>
      </c>
      <c r="G4495" s="24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5" t="str">
        <f>IF(J4495&lt;&gt;1,"",IF(I4495="SBJ","CB","?"))</f>
        <v> </v>
      </c>
      <c r="I4495" s="26" t="str">
        <f>IF(OR(E4495="",E4495="!!!",F4495="NEW"),"",INDEX(B4494:B$2,-1+SUMPRODUCT(MAX(ROW(E4494:E$2)*(E4495=E4494:E$2)))))</f>
        <v> </v>
      </c>
      <c r="J4495" s="26" t="str">
        <f>IF(OR(E4495="",E4495="!!!",F4495="NEW"),"",COUNTBLANK(OFFSET(A$1,,,SUMPRODUCT(MAX(ROW(E$2:E4495)*(E4495=E$2:E4495)))))-COUNTBLANK(OFFSET(A$1,,,SUMPRODUCT(MAX(ROW(E$1:E4494)*(E2=E$1:E4494))))))</f>
        <v> </v>
      </c>
      <c r="K4495" s="26" t="str">
        <f>IF(OR(E4495="",E4495="!!!",F4495="NEW"),"",INDEX(J$1:J4494,SUMPRODUCT(MAX(ROW(E$1:E4494)*(E4495=E$1:E4494)))))</f>
        <v> </v>
      </c>
      <c r="L4495" s="27"/>
    </row>
    <row r="4496" spans="1:12">
      <c r="A4496" s="20" t="s">
        <v>1006</v>
      </c>
      <c r="E4496" s="22">
        <f>IF(D4496="?OLD","!!!","")</f>
        <v/>
      </c>
      <c r="F4496" s="23" t="str">
        <f>IF(OR(E4496="",E4496="!!!"),"",IF(NOT(ISNA(VLOOKUP(E4496,E$1:E4495,1,FALSE()))),"OLD",IF(AND(E4496&lt;&gt;"",E4496&lt;&gt;"!!!"),"NEW","")))</f>
        <v> </v>
      </c>
      <c r="G4496" s="24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5" t="str">
        <f>IF(J4496&lt;&gt;1,"",IF(I4496="SBJ","CB","?"))</f>
        <v> </v>
      </c>
      <c r="I4496" s="26" t="str">
        <f>IF(OR(E4496="",E4496="!!!",F4496="NEW"),"",INDEX(B4495:B$2,-1+SUMPRODUCT(MAX(ROW(E4495:E$2)*(E4496=E4495:E$2)))))</f>
        <v> </v>
      </c>
      <c r="J4496" s="26" t="str">
        <f>IF(OR(E4496="",E4496="!!!",F4496="NEW"),"",COUNTBLANK(OFFSET(A$1,,,SUMPRODUCT(MAX(ROW(E$2:E4496)*(E4496=E$2:E4496)))))-COUNTBLANK(OFFSET(A$1,,,SUMPRODUCT(MAX(ROW(E$1:E4495)*(E2=E$1:E4495))))))</f>
        <v> </v>
      </c>
      <c r="K4496" s="26" t="str">
        <f>IF(OR(E4496="",E4496="!!!",F4496="NEW"),"",INDEX(J$1:J4495,SUMPRODUCT(MAX(ROW(E$1:E4495)*(E4496=E$1:E4495)))))</f>
        <v> </v>
      </c>
      <c r="L4496" s="27"/>
    </row>
    <row r="4497" spans="1:12">
      <c r="A4497" s="20" t="s">
        <v>1049</v>
      </c>
      <c r="B4497" s="21" t="s">
        <v>980</v>
      </c>
      <c r="C4497" s="21" t="s">
        <v>1032</v>
      </c>
      <c r="D4497" s="21" t="s">
        <v>950</v>
      </c>
      <c r="E4497" s="22">
        <f>IF(D4497="?OLD","!!!","")</f>
        <v/>
      </c>
      <c r="F4497" s="23" t="str">
        <f>IF(OR(E4497="",E4497="!!!"),"",IF(NOT(ISNA(VLOOKUP(E4497,E$1:E4496,1,FALSE()))),"OLD",IF(AND(E4497&lt;&gt;"",E4497&lt;&gt;"!!!"),"NEW","")))</f>
        <v> </v>
      </c>
      <c r="G4497" s="24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5" t="str">
        <f>IF(J4497&lt;&gt;1,"",IF(I4497="SBJ","CB","?"))</f>
        <v> </v>
      </c>
      <c r="I4497" s="26" t="str">
        <f>IF(OR(E4497="",E4497="!!!",F4497="NEW"),"",INDEX(B4496:B$2,-1+SUMPRODUCT(MAX(ROW(E4496:E$2)*(E4497=E4496:E$2)))))</f>
        <v> </v>
      </c>
      <c r="J4497" s="26" t="str">
        <f>IF(OR(E4497="",E4497="!!!",F4497="NEW"),"",COUNTBLANK(OFFSET(A$1,,,SUMPRODUCT(MAX(ROW(E$2:E4497)*(E4497=E$2:E4497)))))-COUNTBLANK(OFFSET(A$1,,,SUMPRODUCT(MAX(ROW(E$1:E4496)*(E2=E$1:E4496))))))</f>
        <v> </v>
      </c>
      <c r="K4497" s="26" t="str">
        <f>IF(OR(E4497="",E4497="!!!",F4497="NEW"),"",INDEX(J$1:J4496,SUMPRODUCT(MAX(ROW(E$1:E4496)*(E4497=E$1:E4496)))))</f>
        <v> </v>
      </c>
      <c r="L4497" s="27"/>
    </row>
    <row r="4498" spans="1:12">
      <c r="A4498" s="20" t="s">
        <v>1000</v>
      </c>
      <c r="E4498" s="22">
        <f>IF(D4498="?OLD","!!!","")</f>
        <v/>
      </c>
      <c r="F4498" s="23" t="str">
        <f>IF(OR(E4498="",E4498="!!!"),"",IF(NOT(ISNA(VLOOKUP(E4498,E$1:E4497,1,FALSE()))),"OLD",IF(AND(E4498&lt;&gt;"",E4498&lt;&gt;"!!!"),"NEW","")))</f>
        <v> </v>
      </c>
      <c r="G4498" s="24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5" t="str">
        <f>IF(J4498&lt;&gt;1,"",IF(I4498="SBJ","CB","?"))</f>
        <v> </v>
      </c>
      <c r="I4498" s="26" t="str">
        <f>IF(OR(E4498="",E4498="!!!",F4498="NEW"),"",INDEX(B4497:B$2,-1+SUMPRODUCT(MAX(ROW(E4497:E$2)*(E4498=E4497:E$2)))))</f>
        <v> </v>
      </c>
      <c r="J4498" s="26" t="str">
        <f>IF(OR(E4498="",E4498="!!!",F4498="NEW"),"",COUNTBLANK(OFFSET(A$1,,,SUMPRODUCT(MAX(ROW(E$2:E4498)*(E4498=E$2:E4498)))))-COUNTBLANK(OFFSET(A$1,,,SUMPRODUCT(MAX(ROW(E$1:E4497)*(E2=E$1:E4497))))))</f>
        <v> </v>
      </c>
      <c r="K4498" s="26" t="str">
        <f>IF(OR(E4498="",E4498="!!!",F4498="NEW"),"",INDEX(J$1:J4497,SUMPRODUCT(MAX(ROW(E$1:E4497)*(E4498=E$1:E4497)))))</f>
        <v> </v>
      </c>
      <c r="L4498" s="27"/>
    </row>
    <row r="4499" spans="1:12">
      <c r="A4499" s="20" t="s">
        <v>1064</v>
      </c>
      <c r="E4499" s="22">
        <f>IF(D4499="?OLD","!!!","")</f>
        <v/>
      </c>
      <c r="F4499" s="23" t="str">
        <f>IF(OR(E4499="",E4499="!!!"),"",IF(NOT(ISNA(VLOOKUP(E4499,E$1:E4498,1,FALSE()))),"OLD",IF(AND(E4499&lt;&gt;"",E4499&lt;&gt;"!!!"),"NEW","")))</f>
        <v> </v>
      </c>
      <c r="G4499" s="24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5" t="str">
        <f>IF(J4499&lt;&gt;1,"",IF(I4499="SBJ","CB","?"))</f>
        <v> </v>
      </c>
      <c r="I4499" s="26" t="str">
        <f>IF(OR(E4499="",E4499="!!!",F4499="NEW"),"",INDEX(B4498:B$2,-1+SUMPRODUCT(MAX(ROW(E4498:E$2)*(E4499=E4498:E$2)))))</f>
        <v> </v>
      </c>
      <c r="J4499" s="26" t="str">
        <f>IF(OR(E4499="",E4499="!!!",F4499="NEW"),"",COUNTBLANK(OFFSET(A$1,,,SUMPRODUCT(MAX(ROW(E$2:E4499)*(E4499=E$2:E4499)))))-COUNTBLANK(OFFSET(A$1,,,SUMPRODUCT(MAX(ROW(E$1:E4498)*(E2=E$1:E4498))))))</f>
        <v> </v>
      </c>
      <c r="K4499" s="26" t="str">
        <f>IF(OR(E4499="",E4499="!!!",F4499="NEW"),"",INDEX(J$1:J4498,SUMPRODUCT(MAX(ROW(E$1:E4498)*(E4499=E$1:E4498)))))</f>
        <v> </v>
      </c>
      <c r="L4499" s="27"/>
    </row>
    <row r="4500" spans="1:12">
      <c r="A4500" s="20" t="s">
        <v>1047</v>
      </c>
      <c r="E4500" s="22">
        <f>IF(D4500="?OLD","!!!","")</f>
        <v/>
      </c>
      <c r="F4500" s="23" t="str">
        <f>IF(OR(E4500="",E4500="!!!"),"",IF(NOT(ISNA(VLOOKUP(E4500,E$1:E4499,1,FALSE()))),"OLD",IF(AND(E4500&lt;&gt;"",E4500&lt;&gt;"!!!"),"NEW","")))</f>
        <v> </v>
      </c>
      <c r="G4500" s="24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5" t="str">
        <f>IF(J4500&lt;&gt;1,"",IF(I4500="SBJ","CB","?"))</f>
        <v> </v>
      </c>
      <c r="I4500" s="26" t="str">
        <f>IF(OR(E4500="",E4500="!!!",F4500="NEW"),"",INDEX(B4499:B$2,-1+SUMPRODUCT(MAX(ROW(E4499:E$2)*(E4500=E4499:E$2)))))</f>
        <v> </v>
      </c>
      <c r="J4500" s="26" t="str">
        <f>IF(OR(E4500="",E4500="!!!",F4500="NEW"),"",COUNTBLANK(OFFSET(A$1,,,SUMPRODUCT(MAX(ROW(E$2:E4500)*(E4500=E$2:E4500)))))-COUNTBLANK(OFFSET(A$1,,,SUMPRODUCT(MAX(ROW(E$1:E4499)*(E2=E$1:E4499))))))</f>
        <v> </v>
      </c>
      <c r="K4500" s="26" t="str">
        <f>IF(OR(E4500="",E4500="!!!",F4500="NEW"),"",INDEX(J$1:J4499,SUMPRODUCT(MAX(ROW(E$1:E4499)*(E4500=E$1:E4499)))))</f>
        <v> </v>
      </c>
      <c r="L4500" s="27"/>
    </row>
    <row r="4501" spans="1:12">
      <c r="A4501" s="20" t="s">
        <v>1077</v>
      </c>
      <c r="E4501" s="22">
        <f>IF(D4501="?OLD","!!!","")</f>
        <v/>
      </c>
      <c r="F4501" s="23" t="str">
        <f>IF(OR(E4501="",E4501="!!!"),"",IF(NOT(ISNA(VLOOKUP(E4501,E$1:E4500,1,FALSE()))),"OLD",IF(AND(E4501&lt;&gt;"",E4501&lt;&gt;"!!!"),"NEW","")))</f>
        <v> </v>
      </c>
      <c r="G4501" s="24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5" t="str">
        <f>IF(J4501&lt;&gt;1,"",IF(I4501="SBJ","CB","?"))</f>
        <v> </v>
      </c>
      <c r="I4501" s="26" t="str">
        <f>IF(OR(E4501="",E4501="!!!",F4501="NEW"),"",INDEX(B4500:B$2,-1+SUMPRODUCT(MAX(ROW(E4500:E$2)*(E4501=E4500:E$2)))))</f>
        <v> </v>
      </c>
      <c r="J4501" s="26" t="str">
        <f>IF(OR(E4501="",E4501="!!!",F4501="NEW"),"",COUNTBLANK(OFFSET(A$1,,,SUMPRODUCT(MAX(ROW(E$2:E4501)*(E4501=E$2:E4501)))))-COUNTBLANK(OFFSET(A$1,,,SUMPRODUCT(MAX(ROW(E$1:E4500)*(E2=E$1:E4500))))))</f>
        <v> </v>
      </c>
      <c r="K4501" s="26" t="str">
        <f>IF(OR(E4501="",E4501="!!!",F4501="NEW"),"",INDEX(J$1:J4500,SUMPRODUCT(MAX(ROW(E$1:E4500)*(E4501=E$1:E4500)))))</f>
        <v> </v>
      </c>
      <c r="L4501" s="27"/>
    </row>
    <row r="4502" spans="1:12">
      <c r="A4502" s="20" t="s">
        <v>2130</v>
      </c>
      <c r="B4502" s="21" t="s">
        <v>1040</v>
      </c>
      <c r="C4502" s="21" t="s">
        <v>1051</v>
      </c>
      <c r="E4502" s="22">
        <f>IF(D4502="?OLD","!!!","")</f>
        <v/>
      </c>
      <c r="F4502" s="23" t="str">
        <f>IF(OR(E4502="",E4502="!!!"),"",IF(NOT(ISNA(VLOOKUP(E4502,E$1:E4501,1,FALSE()))),"OLD",IF(AND(E4502&lt;&gt;"",E4502&lt;&gt;"!!!"),"NEW","")))</f>
        <v> </v>
      </c>
      <c r="G4502" s="24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5" t="str">
        <f>IF(J4502&lt;&gt;1,"",IF(I4502="SBJ","CB","?"))</f>
        <v> </v>
      </c>
      <c r="I4502" s="26" t="str">
        <f>IF(OR(E4502="",E4502="!!!",F4502="NEW"),"",INDEX(B4501:B$2,-1+SUMPRODUCT(MAX(ROW(E4501:E$2)*(E4502=E4501:E$2)))))</f>
        <v> </v>
      </c>
      <c r="J4502" s="26" t="str">
        <f>IF(OR(E4502="",E4502="!!!",F4502="NEW"),"",COUNTBLANK(OFFSET(A$1,,,SUMPRODUCT(MAX(ROW(E$2:E4502)*(E4502=E$2:E4502)))))-COUNTBLANK(OFFSET(A$1,,,SUMPRODUCT(MAX(ROW(E$1:E4501)*(E2=E$1:E4501))))))</f>
        <v> </v>
      </c>
      <c r="K4502" s="26" t="str">
        <f>IF(OR(E4502="",E4502="!!!",F4502="NEW"),"",INDEX(J$1:J4501,SUMPRODUCT(MAX(ROW(E$1:E4501)*(E4502=E$1:E4501)))))</f>
        <v> </v>
      </c>
      <c r="L4502" s="27"/>
    </row>
    <row r="4503" spans="1:12">
      <c r="A4503" s="20" t="s">
        <v>1000</v>
      </c>
      <c r="E4503" s="22">
        <f>IF(D4503="?OLD","!!!","")</f>
        <v/>
      </c>
      <c r="F4503" s="23" t="str">
        <f>IF(OR(E4503="",E4503="!!!"),"",IF(NOT(ISNA(VLOOKUP(E4503,E$1:E4502,1,FALSE()))),"OLD",IF(AND(E4503&lt;&gt;"",E4503&lt;&gt;"!!!"),"NEW","")))</f>
        <v> </v>
      </c>
      <c r="G4503" s="24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5" t="str">
        <f>IF(J4503&lt;&gt;1,"",IF(I4503="SBJ","CB","?"))</f>
        <v> </v>
      </c>
      <c r="I4503" s="26" t="str">
        <f>IF(OR(E4503="",E4503="!!!",F4503="NEW"),"",INDEX(B4502:B$2,-1+SUMPRODUCT(MAX(ROW(E4502:E$2)*(E4503=E4502:E$2)))))</f>
        <v> </v>
      </c>
      <c r="J4503" s="26" t="str">
        <f>IF(OR(E4503="",E4503="!!!",F4503="NEW"),"",COUNTBLANK(OFFSET(A$1,,,SUMPRODUCT(MAX(ROW(E$2:E4503)*(E4503=E$2:E4503)))))-COUNTBLANK(OFFSET(A$1,,,SUMPRODUCT(MAX(ROW(E$1:E4502)*(E2=E$1:E4502))))))</f>
        <v> </v>
      </c>
      <c r="K4503" s="26" t="str">
        <f>IF(OR(E4503="",E4503="!!!",F4503="NEW"),"",INDEX(J$1:J4502,SUMPRODUCT(MAX(ROW(E$1:E4502)*(E4503=E$1:E4502)))))</f>
        <v> </v>
      </c>
      <c r="L4503" s="27"/>
    </row>
    <row r="4504" spans="1:12">
      <c r="A4504" s="20" t="s">
        <v>1001</v>
      </c>
      <c r="E4504" s="22">
        <f>IF(D4504="?OLD","!!!","")</f>
        <v/>
      </c>
      <c r="F4504" s="23" t="str">
        <f>IF(OR(E4504="",E4504="!!!"),"",IF(NOT(ISNA(VLOOKUP(E4504,E$1:E4503,1,FALSE()))),"OLD",IF(AND(E4504&lt;&gt;"",E4504&lt;&gt;"!!!"),"NEW","")))</f>
        <v> </v>
      </c>
      <c r="G4504" s="24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5" t="str">
        <f>IF(J4504&lt;&gt;1,"",IF(I4504="SBJ","CB","?"))</f>
        <v> </v>
      </c>
      <c r="I4504" s="26" t="str">
        <f>IF(OR(E4504="",E4504="!!!",F4504="NEW"),"",INDEX(B4503:B$2,-1+SUMPRODUCT(MAX(ROW(E4503:E$2)*(E4504=E4503:E$2)))))</f>
        <v> </v>
      </c>
      <c r="J4504" s="26" t="str">
        <f>IF(OR(E4504="",E4504="!!!",F4504="NEW"),"",COUNTBLANK(OFFSET(A$1,,,SUMPRODUCT(MAX(ROW(E$2:E4504)*(E4504=E$2:E4504)))))-COUNTBLANK(OFFSET(A$1,,,SUMPRODUCT(MAX(ROW(E$1:E4503)*(E2=E$1:E4503))))))</f>
        <v> </v>
      </c>
      <c r="K4504" s="26" t="str">
        <f>IF(OR(E4504="",E4504="!!!",F4504="NEW"),"",INDEX(J$1:J4503,SUMPRODUCT(MAX(ROW(E$1:E4503)*(E4504=E$1:E4503)))))</f>
        <v> </v>
      </c>
      <c r="L4504" s="27"/>
    </row>
    <row r="4505" spans="1:12">
      <c r="A4505" s="20" t="s">
        <v>1104</v>
      </c>
      <c r="E4505" s="22">
        <f>IF(D4505="?OLD","!!!","")</f>
        <v/>
      </c>
      <c r="F4505" s="23" t="str">
        <f>IF(OR(E4505="",E4505="!!!"),"",IF(NOT(ISNA(VLOOKUP(E4505,E$1:E4504,1,FALSE()))),"OLD",IF(AND(E4505&lt;&gt;"",E4505&lt;&gt;"!!!"),"NEW","")))</f>
        <v> </v>
      </c>
      <c r="G4505" s="24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5" t="str">
        <f>IF(J4505&lt;&gt;1,"",IF(I4505="SBJ","CB","?"))</f>
        <v> </v>
      </c>
      <c r="I4505" s="26" t="str">
        <f>IF(OR(E4505="",E4505="!!!",F4505="NEW"),"",INDEX(B4504:B$2,-1+SUMPRODUCT(MAX(ROW(E4504:E$2)*(E4505=E4504:E$2)))))</f>
        <v> </v>
      </c>
      <c r="J4505" s="26" t="str">
        <f>IF(OR(E4505="",E4505="!!!",F4505="NEW"),"",COUNTBLANK(OFFSET(A$1,,,SUMPRODUCT(MAX(ROW(E$2:E4505)*(E4505=E$2:E4505)))))-COUNTBLANK(OFFSET(A$1,,,SUMPRODUCT(MAX(ROW(E$1:E4504)*(E2=E$1:E4504))))))</f>
        <v> </v>
      </c>
      <c r="K4505" s="26" t="str">
        <f>IF(OR(E4505="",E4505="!!!",F4505="NEW"),"",INDEX(J$1:J4504,SUMPRODUCT(MAX(ROW(E$1:E4504)*(E4505=E$1:E4504)))))</f>
        <v> </v>
      </c>
      <c r="L4505" s="27"/>
    </row>
    <row r="4506" spans="1:12">
      <c r="A4506" s="20" t="s">
        <v>965</v>
      </c>
      <c r="E4506" s="22">
        <f>IF(D4506="?OLD","!!!","")</f>
        <v/>
      </c>
      <c r="F4506" s="23" t="str">
        <f>IF(OR(E4506="",E4506="!!!"),"",IF(NOT(ISNA(VLOOKUP(E4506,E$1:E4505,1,FALSE()))),"OLD",IF(AND(E4506&lt;&gt;"",E4506&lt;&gt;"!!!"),"NEW","")))</f>
        <v> </v>
      </c>
      <c r="G4506" s="24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5" t="str">
        <f>IF(J4506&lt;&gt;1,"",IF(I4506="SBJ","CB","?"))</f>
        <v> </v>
      </c>
      <c r="I4506" s="26" t="str">
        <f>IF(OR(E4506="",E4506="!!!",F4506="NEW"),"",INDEX(B4505:B$2,-1+SUMPRODUCT(MAX(ROW(E4505:E$2)*(E4506=E4505:E$2)))))</f>
        <v> </v>
      </c>
      <c r="J4506" s="26" t="str">
        <f>IF(OR(E4506="",E4506="!!!",F4506="NEW"),"",COUNTBLANK(OFFSET(A$1,,,SUMPRODUCT(MAX(ROW(E$2:E4506)*(E4506=E$2:E4506)))))-COUNTBLANK(OFFSET(A$1,,,SUMPRODUCT(MAX(ROW(E$1:E4505)*(E2=E$1:E4505))))))</f>
        <v> </v>
      </c>
      <c r="K4506" s="26" t="str">
        <f>IF(OR(E4506="",E4506="!!!",F4506="NEW"),"",INDEX(J$1:J4505,SUMPRODUCT(MAX(ROW(E$1:E4505)*(E4506=E$1:E4505)))))</f>
        <v> </v>
      </c>
      <c r="L4506" s="27"/>
    </row>
    <row r="4507" spans="1:12">
      <c r="A4507" s="20" t="s">
        <v>1470</v>
      </c>
      <c r="E4507" s="22">
        <f>IF(D4507="?OLD","!!!","")</f>
        <v/>
      </c>
      <c r="F4507" s="23" t="str">
        <f>IF(OR(E4507="",E4507="!!!"),"",IF(NOT(ISNA(VLOOKUP(E4507,E$1:E4506,1,FALSE()))),"OLD",IF(AND(E4507&lt;&gt;"",E4507&lt;&gt;"!!!"),"NEW","")))</f>
        <v> </v>
      </c>
      <c r="G4507" s="24" t="str">
        <f>IF(OR(E4507="",E4507="!!!"),"",IF(OR(J4507=0,AND(J4507=1,K4507=1),AND(J4507=1,I4507="SBJ"),AND(J4507=1,I4507=0)),"?IN_FOCUS",IF(J4507&lt;=2,"?ACTIVATED",IF(J4507&lt;&gt;"","?FAMILIAR",IF(F4507="NEW",IF(ISNA(VLOOKUP(E4507,#REF!,1,FALSE())),"?TYPE_IDENTIFIABLE","?REFERENTIAL"),"_")))))</f>
        <v> </v>
      </c>
      <c r="H4507" s="25" t="str">
        <f>IF(J4507&lt;&gt;1,"",IF(I4507="SBJ","CB","?"))</f>
        <v> </v>
      </c>
      <c r="I4507" s="26" t="str">
        <f>IF(OR(E4507="",E4507="!!!",F4507="NEW"),"",INDEX(B4506:B$2,-1+SUMPRODUCT(MAX(ROW(E4506:E$2)*(E4507=E4506:E$2)))))</f>
        <v> </v>
      </c>
      <c r="J4507" s="26" t="str">
        <f>IF(OR(E4507="",E4507="!!!",F4507="NEW"),"",COUNTBLANK(OFFSET(A$1,,,SUMPRODUCT(MAX(ROW(E$2:E4507)*(E4507=E$2:E4507)))))-COUNTBLANK(OFFSET(A$1,,,SUMPRODUCT(MAX(ROW(E$1:E4506)*(E2=E$1:E4506))))))</f>
        <v> </v>
      </c>
      <c r="K4507" s="26" t="str">
        <f>IF(OR(E4507="",E4507="!!!",F4507="NEW"),"",INDEX(J$1:J4506,SUMPRODUCT(MAX(ROW(E$1:E4506)*(E4507=E$1:E4506)))))</f>
        <v> </v>
      </c>
      <c r="L4507" s="27"/>
    </row>
    <row r="4508" spans="1:12">
      <c r="A4508" s="20" t="s">
        <v>965</v>
      </c>
      <c r="E4508" s="22">
        <f>IF(D4508="?OLD","!!!","")</f>
        <v/>
      </c>
      <c r="F4508" s="23" t="str">
        <f>IF(OR(E4508="",E4508="!!!"),"",IF(NOT(ISNA(VLOOKUP(E4508,E$1:E4507,1,FALSE()))),"OLD",IF(AND(E4508&lt;&gt;"",E4508&lt;&gt;"!!!"),"NEW","")))</f>
        <v> </v>
      </c>
      <c r="G4508" s="24" t="str">
        <f>IF(OR(E4508="",E4508="!!!"),"",IF(OR(J4508=0,AND(J4508=1,K4508=1),AND(J4508=1,I4508="SBJ"),AND(J4508=1,I4508=0)),"?IN_FOCUS",IF(J4508&lt;=2,"?ACTIVATED",IF(J4508&lt;&gt;"","?FAMILIAR",IF(F4508="NEW",IF(ISNA(VLOOKUP(E4508,#REF!,1,FALSE())),"?TYPE_IDENTIFIABLE","?REFERENTIAL"),"_")))))</f>
        <v> </v>
      </c>
      <c r="H4508" s="25" t="str">
        <f>IF(J4508&lt;&gt;1,"",IF(I4508="SBJ","CB","?"))</f>
        <v> </v>
      </c>
      <c r="I4508" s="26" t="str">
        <f>IF(OR(E4508="",E4508="!!!",F4508="NEW"),"",INDEX(B4507:B$2,-1+SUMPRODUCT(MAX(ROW(E4507:E$2)*(E4508=E4507:E$2)))))</f>
        <v> </v>
      </c>
      <c r="J4508" s="26" t="str">
        <f>IF(OR(E4508="",E4508="!!!",F4508="NEW"),"",COUNTBLANK(OFFSET(A$1,,,SUMPRODUCT(MAX(ROW(E$2:E4508)*(E4508=E$2:E4508)))))-COUNTBLANK(OFFSET(A$1,,,SUMPRODUCT(MAX(ROW(E$1:E4507)*(E2=E$1:E4507))))))</f>
        <v> </v>
      </c>
      <c r="K4508" s="26" t="str">
        <f>IF(OR(E4508="",E4508="!!!",F4508="NEW"),"",INDEX(J$1:J4507,SUMPRODUCT(MAX(ROW(E$1:E4507)*(E4508=E$1:E4507)))))</f>
        <v> </v>
      </c>
      <c r="L4508" s="27"/>
    </row>
    <row r="4509" spans="1:12">
      <c r="A4509" s="20" t="s">
        <v>2167</v>
      </c>
      <c r="E4509" s="22">
        <f>IF(D4509="?OLD","!!!","")</f>
        <v/>
      </c>
      <c r="F4509" s="23" t="str">
        <f>IF(OR(E4509="",E4509="!!!"),"",IF(NOT(ISNA(VLOOKUP(E4509,E$1:E4508,1,FALSE()))),"OLD",IF(AND(E4509&lt;&gt;"",E4509&lt;&gt;"!!!"),"NEW","")))</f>
        <v> </v>
      </c>
      <c r="G4509" s="24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5" t="str">
        <f>IF(J4509&lt;&gt;1,"",IF(I4509="SBJ","CB","?"))</f>
        <v> </v>
      </c>
      <c r="I4509" s="26" t="str">
        <f>IF(OR(E4509="",E4509="!!!",F4509="NEW"),"",INDEX(B4508:B$2,-1+SUMPRODUCT(MAX(ROW(E4508:E$2)*(E4509=E4508:E$2)))))</f>
        <v> </v>
      </c>
      <c r="J4509" s="26" t="str">
        <f>IF(OR(E4509="",E4509="!!!",F4509="NEW"),"",COUNTBLANK(OFFSET(A$1,,,SUMPRODUCT(MAX(ROW(E$2:E4509)*(E4509=E$2:E4509)))))-COUNTBLANK(OFFSET(A$1,,,SUMPRODUCT(MAX(ROW(E$1:E4508)*(E2=E$1:E4508))))))</f>
        <v> </v>
      </c>
      <c r="K4509" s="26" t="str">
        <f>IF(OR(E4509="",E4509="!!!",F4509="NEW"),"",INDEX(J$1:J4508,SUMPRODUCT(MAX(ROW(E$1:E4508)*(E4509=E$1:E4508)))))</f>
        <v> </v>
      </c>
      <c r="L4509" s="27"/>
    </row>
    <row r="4510" spans="1:12">
      <c r="A4510" s="20" t="s">
        <v>998</v>
      </c>
      <c r="E4510" s="22">
        <f>IF(D4510="?OLD","!!!","")</f>
        <v/>
      </c>
      <c r="F4510" s="23" t="str">
        <f>IF(OR(E4510="",E4510="!!!"),"",IF(NOT(ISNA(VLOOKUP(E4510,E$1:E4509,1,FALSE()))),"OLD",IF(AND(E4510&lt;&gt;"",E4510&lt;&gt;"!!!"),"NEW","")))</f>
        <v> </v>
      </c>
      <c r="G4510" s="24" t="str">
        <f>IF(OR(E4510="",E4510="!!!"),"",IF(OR(J4510=0,AND(J4510=1,K4510=1),AND(J4510=1,I4510="SBJ"),AND(J4510=1,I4510=0)),"?IN_FOCUS",IF(J4510&lt;=2,"?ACTIVATED",IF(J4510&lt;&gt;"","?FAMILIAR",IF(F4510="NEW",IF(ISNA(VLOOKUP(E4510,#REF!,1,FALSE())),"?TYPE_IDENTIFIABLE","?REFERENTIAL"),"_")))))</f>
        <v> </v>
      </c>
      <c r="H4510" s="25" t="str">
        <f>IF(J4510&lt;&gt;1,"",IF(I4510="SBJ","CB","?"))</f>
        <v> </v>
      </c>
      <c r="I4510" s="26" t="str">
        <f>IF(OR(E4510="",E4510="!!!",F4510="NEW"),"",INDEX(B4509:B$2,-1+SUMPRODUCT(MAX(ROW(E4509:E$2)*(E4510=E4509:E$2)))))</f>
        <v> </v>
      </c>
      <c r="J4510" s="26" t="str">
        <f>IF(OR(E4510="",E4510="!!!",F4510="NEW"),"",COUNTBLANK(OFFSET(A$1,,,SUMPRODUCT(MAX(ROW(E$2:E4510)*(E4510=E$2:E4510)))))-COUNTBLANK(OFFSET(A$1,,,SUMPRODUCT(MAX(ROW(E$1:E4509)*(E2=E$1:E4509))))))</f>
        <v> </v>
      </c>
      <c r="K4510" s="26" t="str">
        <f>IF(OR(E4510="",E4510="!!!",F4510="NEW"),"",INDEX(J$1:J4509,SUMPRODUCT(MAX(ROW(E$1:E4509)*(E4510=E$1:E4509)))))</f>
        <v> </v>
      </c>
      <c r="L4510" s="27"/>
    </row>
    <row r="4511" spans="1:12">
      <c r="A4511" s="20" t="s">
        <v>977</v>
      </c>
      <c r="E4511" s="22">
        <f>IF(D4511="?OLD","!!!","")</f>
        <v/>
      </c>
      <c r="F4511" s="23" t="str">
        <f>IF(OR(E4511="",E4511="!!!"),"",IF(NOT(ISNA(VLOOKUP(E4511,E$1:E4510,1,FALSE()))),"OLD",IF(AND(E4511&lt;&gt;"",E4511&lt;&gt;"!!!"),"NEW","")))</f>
        <v> </v>
      </c>
      <c r="G4511" s="24" t="str">
        <f>IF(OR(E4511="",E4511="!!!"),"",IF(OR(J4511=0,AND(J4511=1,K4511=1),AND(J4511=1,I4511="SBJ"),AND(J4511=1,I4511=0)),"?IN_FOCUS",IF(J4511&lt;=2,"?ACTIVATED",IF(J4511&lt;&gt;"","?FAMILIAR",IF(F4511="NEW",IF(ISNA(VLOOKUP(E4511,#REF!,1,FALSE())),"?TYPE_IDENTIFIABLE","?REFERENTIAL"),"_")))))</f>
        <v> </v>
      </c>
      <c r="H4511" s="25" t="str">
        <f>IF(J4511&lt;&gt;1,"",IF(I4511="SBJ","CB","?"))</f>
        <v> </v>
      </c>
      <c r="I4511" s="26" t="str">
        <f>IF(OR(E4511="",E4511="!!!",F4511="NEW"),"",INDEX(B4510:B$2,-1+SUMPRODUCT(MAX(ROW(E4510:E$2)*(E4511=E4510:E$2)))))</f>
        <v> </v>
      </c>
      <c r="J4511" s="26" t="str">
        <f>IF(OR(E4511="",E4511="!!!",F4511="NEW"),"",COUNTBLANK(OFFSET(A$1,,,SUMPRODUCT(MAX(ROW(E$2:E4511)*(E4511=E$2:E4511)))))-COUNTBLANK(OFFSET(A$1,,,SUMPRODUCT(MAX(ROW(E$1:E4510)*(E2=E$1:E4510))))))</f>
        <v> </v>
      </c>
      <c r="K4511" s="26" t="str">
        <f>IF(OR(E4511="",E4511="!!!",F4511="NEW"),"",INDEX(J$1:J4510,SUMPRODUCT(MAX(ROW(E$1:E4510)*(E4511=E$1:E4510)))))</f>
        <v> </v>
      </c>
      <c r="L4511" s="27"/>
    </row>
    <row r="4512" spans="1:12">
      <c r="A4512" s="20" t="s">
        <v>1006</v>
      </c>
      <c r="B4512" s="21" t="s">
        <v>1010</v>
      </c>
      <c r="C4512" s="21" t="s">
        <v>1008</v>
      </c>
      <c r="D4512" s="21" t="s">
        <v>950</v>
      </c>
      <c r="E4512" s="22">
        <f>IF(D4512="?OLD","!!!","")</f>
        <v/>
      </c>
      <c r="F4512" s="23" t="str">
        <f>IF(OR(E4512="",E4512="!!!"),"",IF(NOT(ISNA(VLOOKUP(E4512,E$1:E4511,1,FALSE()))),"OLD",IF(AND(E4512&lt;&gt;"",E4512&lt;&gt;"!!!"),"NEW","")))</f>
        <v> </v>
      </c>
      <c r="G4512" s="24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5" t="str">
        <f>IF(J4512&lt;&gt;1,"",IF(I4512="SBJ","CB","?"))</f>
        <v> </v>
      </c>
      <c r="I4512" s="26" t="str">
        <f>IF(OR(E4512="",E4512="!!!",F4512="NEW"),"",INDEX(B4511:B$2,-1+SUMPRODUCT(MAX(ROW(E4511:E$2)*(E4512=E4511:E$2)))))</f>
        <v> </v>
      </c>
      <c r="J4512" s="26" t="str">
        <f>IF(OR(E4512="",E4512="!!!",F4512="NEW"),"",COUNTBLANK(OFFSET(A$1,,,SUMPRODUCT(MAX(ROW(E$2:E4512)*(E4512=E$2:E4512)))))-COUNTBLANK(OFFSET(A$1,,,SUMPRODUCT(MAX(ROW(E$1:E4511)*(E2=E$1:E4511))))))</f>
        <v> </v>
      </c>
      <c r="K4512" s="26" t="str">
        <f>IF(OR(E4512="",E4512="!!!",F4512="NEW"),"",INDEX(J$1:J4511,SUMPRODUCT(MAX(ROW(E$1:E4511)*(E4512=E$1:E4511)))))</f>
        <v> </v>
      </c>
      <c r="L4512" s="27"/>
    </row>
    <row r="4513" spans="1:12">
      <c r="A4513" s="20" t="s">
        <v>965</v>
      </c>
      <c r="B4513" s="21" t="s">
        <v>1053</v>
      </c>
      <c r="E4513" s="22">
        <f>IF(D4513="?OLD","!!!","")</f>
        <v/>
      </c>
      <c r="F4513" s="23" t="str">
        <f>IF(OR(E4513="",E4513="!!!"),"",IF(NOT(ISNA(VLOOKUP(E4513,E$1:E4512,1,FALSE()))),"OLD",IF(AND(E4513&lt;&gt;"",E4513&lt;&gt;"!!!"),"NEW","")))</f>
        <v> </v>
      </c>
      <c r="G4513" s="24" t="str">
        <f>IF(OR(E4513="",E4513="!!!"),"",IF(OR(J4513=0,AND(J4513=1,K4513=1),AND(J4513=1,I4513="SBJ"),AND(J4513=1,I4513=0)),"?IN_FOCUS",IF(J4513&lt;=2,"?ACTIVATED",IF(J4513&lt;&gt;"","?FAMILIAR",IF(F4513="NEW",IF(ISNA(VLOOKUP(E4513,#REF!,1,FALSE())),"?TYPE_IDENTIFIABLE","?REFERENTIAL"),"_")))))</f>
        <v> </v>
      </c>
      <c r="H4513" s="25" t="str">
        <f>IF(J4513&lt;&gt;1,"",IF(I4513="SBJ","CB","?"))</f>
        <v> </v>
      </c>
      <c r="I4513" s="26" t="str">
        <f>IF(OR(E4513="",E4513="!!!",F4513="NEW"),"",INDEX(B4512:B$2,-1+SUMPRODUCT(MAX(ROW(E4512:E$2)*(E4513=E4512:E$2)))))</f>
        <v> </v>
      </c>
      <c r="J4513" s="26" t="str">
        <f>IF(OR(E4513="",E4513="!!!",F4513="NEW"),"",COUNTBLANK(OFFSET(A$1,,,SUMPRODUCT(MAX(ROW(E$2:E4513)*(E4513=E$2:E4513)))))-COUNTBLANK(OFFSET(A$1,,,SUMPRODUCT(MAX(ROW(E$1:E4512)*(E2=E$1:E4512))))))</f>
        <v> </v>
      </c>
      <c r="K4513" s="26" t="str">
        <f>IF(OR(E4513="",E4513="!!!",F4513="NEW"),"",INDEX(J$1:J4512,SUMPRODUCT(MAX(ROW(E$1:E4512)*(E4513=E$1:E4512)))))</f>
        <v> </v>
      </c>
      <c r="L4513" s="27"/>
    </row>
    <row r="4514" spans="1:12">
      <c r="A4514" s="20" t="s">
        <v>1117</v>
      </c>
      <c r="E4514" s="22">
        <f>IF(D4514="?OLD","!!!","")</f>
        <v/>
      </c>
      <c r="F4514" s="23" t="str">
        <f>IF(OR(E4514="",E4514="!!!"),"",IF(NOT(ISNA(VLOOKUP(E4514,E$1:E4513,1,FALSE()))),"OLD",IF(AND(E4514&lt;&gt;"",E4514&lt;&gt;"!!!"),"NEW","")))</f>
        <v> </v>
      </c>
      <c r="G4514" s="24" t="str">
        <f>IF(OR(E4514="",E4514="!!!"),"",IF(OR(J4514=0,AND(J4514=1,K4514=1),AND(J4514=1,I4514="SBJ"),AND(J4514=1,I4514=0)),"?IN_FOCUS",IF(J4514&lt;=2,"?ACTIVATED",IF(J4514&lt;&gt;"","?FAMILIAR",IF(F4514="NEW",IF(ISNA(VLOOKUP(E4514,#REF!,1,FALSE())),"?TYPE_IDENTIFIABLE","?REFERENTIAL"),"_")))))</f>
        <v> </v>
      </c>
      <c r="H4514" s="25" t="str">
        <f>IF(J4514&lt;&gt;1,"",IF(I4514="SBJ","CB","?"))</f>
        <v> </v>
      </c>
      <c r="I4514" s="26" t="str">
        <f>IF(OR(E4514="",E4514="!!!",F4514="NEW"),"",INDEX(B4513:B$2,-1+SUMPRODUCT(MAX(ROW(E4513:E$2)*(E4514=E4513:E$2)))))</f>
        <v> </v>
      </c>
      <c r="J4514" s="26" t="str">
        <f>IF(OR(E4514="",E4514="!!!",F4514="NEW"),"",COUNTBLANK(OFFSET(A$1,,,SUMPRODUCT(MAX(ROW(E$2:E4514)*(E4514=E$2:E4514)))))-COUNTBLANK(OFFSET(A$1,,,SUMPRODUCT(MAX(ROW(E$1:E4513)*(E2=E$1:E4513))))))</f>
        <v> </v>
      </c>
      <c r="K4514" s="26" t="str">
        <f>IF(OR(E4514="",E4514="!!!",F4514="NEW"),"",INDEX(J$1:J4513,SUMPRODUCT(MAX(ROW(E$1:E4513)*(E4514=E$1:E4513)))))</f>
        <v> </v>
      </c>
      <c r="L4514" s="27"/>
    </row>
    <row r="4515" spans="1:12">
      <c r="A4515" s="20" t="s">
        <v>1022</v>
      </c>
      <c r="E4515" s="22">
        <f>IF(D4515="?OLD","!!!","")</f>
        <v/>
      </c>
      <c r="F4515" s="23" t="str">
        <f>IF(OR(E4515="",E4515="!!!"),"",IF(NOT(ISNA(VLOOKUP(E4515,E$1:E4514,1,FALSE()))),"OLD",IF(AND(E4515&lt;&gt;"",E4515&lt;&gt;"!!!"),"NEW","")))</f>
        <v> </v>
      </c>
      <c r="G4515" s="24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5" t="str">
        <f>IF(J4515&lt;&gt;1,"",IF(I4515="SBJ","CB","?"))</f>
        <v> </v>
      </c>
      <c r="I4515" s="26" t="str">
        <f>IF(OR(E4515="",E4515="!!!",F4515="NEW"),"",INDEX(B4514:B$2,-1+SUMPRODUCT(MAX(ROW(E4514:E$2)*(E4515=E4514:E$2)))))</f>
        <v> </v>
      </c>
      <c r="J4515" s="26" t="str">
        <f>IF(OR(E4515="",E4515="!!!",F4515="NEW"),"",COUNTBLANK(OFFSET(A$1,,,SUMPRODUCT(MAX(ROW(E$2:E4515)*(E4515=E$2:E4515)))))-COUNTBLANK(OFFSET(A$1,,,SUMPRODUCT(MAX(ROW(E$1:E4514)*(E2=E$1:E4514))))))</f>
        <v> </v>
      </c>
      <c r="K4515" s="26" t="str">
        <f>IF(OR(E4515="",E4515="!!!",F4515="NEW"),"",INDEX(J$1:J4514,SUMPRODUCT(MAX(ROW(E$1:E4514)*(E4515=E$1:E4514)))))</f>
        <v> </v>
      </c>
      <c r="L4515" s="27"/>
    </row>
    <row r="4516" spans="1:12">
      <c r="A4516" s="20" t="s">
        <v>116</v>
      </c>
      <c r="E4516" s="22">
        <f>IF(D4516="?OLD","!!!","")</f>
        <v/>
      </c>
      <c r="F4516" s="23" t="str">
        <f>IF(OR(E4516="",E4516="!!!"),"",IF(NOT(ISNA(VLOOKUP(E4516,E$1:E4515,1,FALSE()))),"OLD",IF(AND(E4516&lt;&gt;"",E4516&lt;&gt;"!!!"),"NEW","")))</f>
        <v> </v>
      </c>
      <c r="G4516" s="24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5" t="str">
        <f>IF(J4516&lt;&gt;1,"",IF(I4516="SBJ","CB","?"))</f>
        <v> </v>
      </c>
      <c r="I4516" s="26" t="str">
        <f>IF(OR(E4516="",E4516="!!!",F4516="NEW"),"",INDEX(B4515:B$2,-1+SUMPRODUCT(MAX(ROW(E4515:E$2)*(E4516=E4515:E$2)))))</f>
        <v> </v>
      </c>
      <c r="J4516" s="26" t="str">
        <f>IF(OR(E4516="",E4516="!!!",F4516="NEW"),"",COUNTBLANK(OFFSET(A$1,,,SUMPRODUCT(MAX(ROW(E$2:E4516)*(E4516=E$2:E4516)))))-COUNTBLANK(OFFSET(A$1,,,SUMPRODUCT(MAX(ROW(E$1:E4515)*(E2=E$1:E4515))))))</f>
        <v> </v>
      </c>
      <c r="K4516" s="26" t="str">
        <f>IF(OR(E4516="",E4516="!!!",F4516="NEW"),"",INDEX(J$1:J4515,SUMPRODUCT(MAX(ROW(E$1:E4515)*(E4516=E$1:E4515)))))</f>
        <v> </v>
      </c>
      <c r="L4516" s="27"/>
    </row>
    <row r="4517" spans="1:12">
      <c r="A4517" s="20" t="s">
        <v>984</v>
      </c>
      <c r="E4517" s="22">
        <f>IF(D4517="?OLD","!!!","")</f>
        <v/>
      </c>
      <c r="F4517" s="23" t="str">
        <f>IF(OR(E4517="",E4517="!!!"),"",IF(NOT(ISNA(VLOOKUP(E4517,E$1:E4516,1,FALSE()))),"OLD",IF(AND(E4517&lt;&gt;"",E4517&lt;&gt;"!!!"),"NEW","")))</f>
        <v> </v>
      </c>
      <c r="G4517" s="24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5" t="str">
        <f>IF(J4517&lt;&gt;1,"",IF(I4517="SBJ","CB","?"))</f>
        <v> </v>
      </c>
      <c r="I4517" s="26" t="str">
        <f>IF(OR(E4517="",E4517="!!!",F4517="NEW"),"",INDEX(B4516:B$2,-1+SUMPRODUCT(MAX(ROW(E4516:E$2)*(E4517=E4516:E$2)))))</f>
        <v> </v>
      </c>
      <c r="J4517" s="26" t="str">
        <f>IF(OR(E4517="",E4517="!!!",F4517="NEW"),"",COUNTBLANK(OFFSET(A$1,,,SUMPRODUCT(MAX(ROW(E$2:E4517)*(E4517=E$2:E4517)))))-COUNTBLANK(OFFSET(A$1,,,SUMPRODUCT(MAX(ROW(E$1:E4516)*(E2=E$1:E4516))))))</f>
        <v> </v>
      </c>
      <c r="K4517" s="26" t="str">
        <f>IF(OR(E4517="",E4517="!!!",F4517="NEW"),"",INDEX(J$1:J4516,SUMPRODUCT(MAX(ROW(E$1:E4516)*(E4517=E$1:E4516)))))</f>
        <v> </v>
      </c>
      <c r="L4517" s="27"/>
    </row>
    <row r="4518" spans="1:12">
      <c r="A4518" s="20"/>
    </row>
    <row r="4519" spans="1:12">
      <c r="A4519" s="20" t="s">
        <v>2168</v>
      </c>
    </row>
    <row r="4520" spans="1:12">
      <c r="A4520" s="20" t="s">
        <v>1016</v>
      </c>
      <c r="B4520" s="21" t="s">
        <v>948</v>
      </c>
      <c r="C4520" s="21" t="s">
        <v>949</v>
      </c>
      <c r="D4520" s="21" t="s">
        <v>950</v>
      </c>
      <c r="E4520" s="22">
        <f>IF(D4520="?OLD","!!!","")</f>
        <v/>
      </c>
      <c r="F4520" s="23" t="str">
        <f>IF(OR(E4520="",E4520="!!!"),"",IF(NOT(ISNA(VLOOKUP(E4520,E$1:E4519,1,FALSE()))),"OLD",IF(AND(E4520&lt;&gt;"",E4520&lt;&gt;"!!!"),"NEW","")))</f>
        <v> </v>
      </c>
      <c r="G4520" s="24" t="str">
        <f>IF(OR(E4520="",E4520="!!!"),"",IF(OR(J4520=0,AND(J4520=1,K4520=1),AND(J4520=1,I4520="SBJ"),AND(J4520=1,I4520=0)),"?IN_FOCUS",IF(J4520&lt;=2,"?ACTIVATED",IF(J4520&lt;&gt;"","?FAMILIAR",IF(F4520="NEW",IF(ISNA(VLOOKUP(E4520,#REF!,1,FALSE())),"?TYPE_IDENTIFIABLE","?REFERENTIAL"),"_")))))</f>
        <v> </v>
      </c>
      <c r="H4520" s="25" t="str">
        <f>IF(J4520&lt;&gt;1,"",IF(I4520="SBJ","CB","?"))</f>
        <v> </v>
      </c>
      <c r="I4520" s="26" t="str">
        <f>IF(OR(E4520="",E4520="!!!",F4520="NEW"),"",INDEX(B4519:B$2,-1+SUMPRODUCT(MAX(ROW(E4519:E$2)*(E4520=E4519:E$2)))))</f>
        <v> </v>
      </c>
      <c r="J4520" s="26" t="str">
        <f>IF(OR(E4520="",E4520="!!!",F4520="NEW"),"",COUNTBLANK(OFFSET(A$1,,,SUMPRODUCT(MAX(ROW(E$2:E4520)*(E4520=E$2:E4520)))))-COUNTBLANK(OFFSET(A$1,,,SUMPRODUCT(MAX(ROW(E$1:E4519)*(E2=E$1:E4519))))))</f>
        <v> </v>
      </c>
      <c r="K4520" s="26" t="str">
        <f>IF(OR(E4520="",E4520="!!!",F4520="NEW"),"",INDEX(J$1:J4519,SUMPRODUCT(MAX(ROW(E$1:E4519)*(E4520=E$1:E4519)))))</f>
        <v> </v>
      </c>
      <c r="L4520" s="27"/>
    </row>
    <row r="4521" spans="1:12">
      <c r="A4521" s="20" t="s">
        <v>952</v>
      </c>
      <c r="E4521" s="22">
        <f>IF(D4521="?OLD","!!!","")</f>
        <v/>
      </c>
      <c r="F4521" s="23" t="str">
        <f>IF(OR(E4521="",E4521="!!!"),"",IF(NOT(ISNA(VLOOKUP(E4521,E$1:E4520,1,FALSE()))),"OLD",IF(AND(E4521&lt;&gt;"",E4521&lt;&gt;"!!!"),"NEW","")))</f>
        <v> </v>
      </c>
      <c r="G4521" s="24" t="str">
        <f>IF(OR(E4521="",E4521="!!!"),"",IF(OR(J4521=0,AND(J4521=1,K4521=1),AND(J4521=1,I4521="SBJ"),AND(J4521=1,I4521=0)),"?IN_FOCUS",IF(J4521&lt;=2,"?ACTIVATED",IF(J4521&lt;&gt;"","?FAMILIAR",IF(F4521="NEW",IF(ISNA(VLOOKUP(E4521,#REF!,1,FALSE())),"?TYPE_IDENTIFIABLE","?REFERENTIAL"),"_")))))</f>
        <v> </v>
      </c>
      <c r="H4521" s="25" t="str">
        <f>IF(J4521&lt;&gt;1,"",IF(I4521="SBJ","CB","?"))</f>
        <v> </v>
      </c>
      <c r="I4521" s="26" t="str">
        <f>IF(OR(E4521="",E4521="!!!",F4521="NEW"),"",INDEX(B4520:B$2,-1+SUMPRODUCT(MAX(ROW(E4520:E$2)*(E4521=E4520:E$2)))))</f>
        <v> </v>
      </c>
      <c r="J4521" s="26" t="str">
        <f>IF(OR(E4521="",E4521="!!!",F4521="NEW"),"",COUNTBLANK(OFFSET(A$1,,,SUMPRODUCT(MAX(ROW(E$2:E4521)*(E4521=E$2:E4521)))))-COUNTBLANK(OFFSET(A$1,,,SUMPRODUCT(MAX(ROW(E$1:E4520)*(E2=E$1:E4520))))))</f>
        <v> </v>
      </c>
      <c r="K4521" s="26" t="str">
        <f>IF(OR(E4521="",E4521="!!!",F4521="NEW"),"",INDEX(J$1:J4520,SUMPRODUCT(MAX(ROW(E$1:E4520)*(E4521=E$1:E4520)))))</f>
        <v> </v>
      </c>
      <c r="L4521" s="27"/>
    </row>
    <row r="4522" spans="1:12">
      <c r="A4522" s="20" t="s">
        <v>1705</v>
      </c>
      <c r="E4522" s="22">
        <f>IF(D4522="?OLD","!!!","")</f>
        <v/>
      </c>
      <c r="F4522" s="23" t="str">
        <f>IF(OR(E4522="",E4522="!!!"),"",IF(NOT(ISNA(VLOOKUP(E4522,E$1:E4521,1,FALSE()))),"OLD",IF(AND(E4522&lt;&gt;"",E4522&lt;&gt;"!!!"),"NEW","")))</f>
        <v> </v>
      </c>
      <c r="G4522" s="24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5" t="str">
        <f>IF(J4522&lt;&gt;1,"",IF(I4522="SBJ","CB","?"))</f>
        <v> </v>
      </c>
      <c r="I4522" s="26" t="str">
        <f>IF(OR(E4522="",E4522="!!!",F4522="NEW"),"",INDEX(B4521:B$2,-1+SUMPRODUCT(MAX(ROW(E4521:E$2)*(E4522=E4521:E$2)))))</f>
        <v> </v>
      </c>
      <c r="J4522" s="26" t="str">
        <f>IF(OR(E4522="",E4522="!!!",F4522="NEW"),"",COUNTBLANK(OFFSET(A$1,,,SUMPRODUCT(MAX(ROW(E$2:E4522)*(E4522=E$2:E4522)))))-COUNTBLANK(OFFSET(A$1,,,SUMPRODUCT(MAX(ROW(E$1:E4521)*(E2=E$1:E4521))))))</f>
        <v> </v>
      </c>
      <c r="K4522" s="26" t="str">
        <f>IF(OR(E4522="",E4522="!!!",F4522="NEW"),"",INDEX(J$1:J4521,SUMPRODUCT(MAX(ROW(E$1:E4521)*(E4522=E$1:E4521)))))</f>
        <v> </v>
      </c>
      <c r="L4522" s="27"/>
    </row>
    <row r="4523" spans="1:12">
      <c r="A4523" s="20" t="s">
        <v>2169</v>
      </c>
      <c r="E4523" s="22">
        <f>IF(D4523="?OLD","!!!","")</f>
        <v/>
      </c>
      <c r="F4523" s="23" t="str">
        <f>IF(OR(E4523="",E4523="!!!"),"",IF(NOT(ISNA(VLOOKUP(E4523,E$1:E4522,1,FALSE()))),"OLD",IF(AND(E4523&lt;&gt;"",E4523&lt;&gt;"!!!"),"NEW","")))</f>
        <v> </v>
      </c>
      <c r="G4523" s="24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5" t="str">
        <f>IF(J4523&lt;&gt;1,"",IF(I4523="SBJ","CB","?"))</f>
        <v> </v>
      </c>
      <c r="I4523" s="26" t="str">
        <f>IF(OR(E4523="",E4523="!!!",F4523="NEW"),"",INDEX(B4522:B$2,-1+SUMPRODUCT(MAX(ROW(E4522:E$2)*(E4523=E4522:E$2)))))</f>
        <v> </v>
      </c>
      <c r="J4523" s="26" t="str">
        <f>IF(OR(E4523="",E4523="!!!",F4523="NEW"),"",COUNTBLANK(OFFSET(A$1,,,SUMPRODUCT(MAX(ROW(E$2:E4523)*(E4523=E$2:E4523)))))-COUNTBLANK(OFFSET(A$1,,,SUMPRODUCT(MAX(ROW(E$1:E4522)*(E2=E$1:E4522))))))</f>
        <v> </v>
      </c>
      <c r="K4523" s="26" t="str">
        <f>IF(OR(E4523="",E4523="!!!",F4523="NEW"),"",INDEX(J$1:J4522,SUMPRODUCT(MAX(ROW(E$1:E4522)*(E4523=E$1:E4522)))))</f>
        <v> </v>
      </c>
      <c r="L4523" s="27"/>
    </row>
    <row r="4524" spans="1:12">
      <c r="A4524" s="20" t="s">
        <v>2170</v>
      </c>
      <c r="B4524" s="21" t="s">
        <v>1005</v>
      </c>
      <c r="C4524" s="21" t="s">
        <v>976</v>
      </c>
      <c r="D4524" s="21" t="s">
        <v>950</v>
      </c>
      <c r="E4524" s="22">
        <f>IF(D4524="?OLD","!!!","")</f>
        <v/>
      </c>
      <c r="F4524" s="23" t="str">
        <f>IF(OR(E4524="",E4524="!!!"),"",IF(NOT(ISNA(VLOOKUP(E4524,E$1:E4523,1,FALSE()))),"OLD",IF(AND(E4524&lt;&gt;"",E4524&lt;&gt;"!!!"),"NEW","")))</f>
        <v> </v>
      </c>
      <c r="G4524" s="24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5" t="str">
        <f>IF(J4524&lt;&gt;1,"",IF(I4524="SBJ","CB","?"))</f>
        <v> </v>
      </c>
      <c r="I4524" s="26" t="str">
        <f>IF(OR(E4524="",E4524="!!!",F4524="NEW"),"",INDEX(B4523:B$2,-1+SUMPRODUCT(MAX(ROW(E4523:E$2)*(E4524=E4523:E$2)))))</f>
        <v> </v>
      </c>
      <c r="J4524" s="26" t="str">
        <f>IF(OR(E4524="",E4524="!!!",F4524="NEW"),"",COUNTBLANK(OFFSET(A$1,,,SUMPRODUCT(MAX(ROW(E$2:E4524)*(E4524=E$2:E4524)))))-COUNTBLANK(OFFSET(A$1,,,SUMPRODUCT(MAX(ROW(E$1:E4523)*(E2=E$1:E4523))))))</f>
        <v> </v>
      </c>
      <c r="K4524" s="26" t="str">
        <f>IF(OR(E4524="",E4524="!!!",F4524="NEW"),"",INDEX(J$1:J4523,SUMPRODUCT(MAX(ROW(E$1:E4523)*(E4524=E$1:E4523)))))</f>
        <v> </v>
      </c>
      <c r="L4524" s="27"/>
    </row>
    <row r="4525" spans="1:12">
      <c r="A4525" s="20" t="s">
        <v>1168</v>
      </c>
      <c r="E4525" s="22">
        <f>IF(D4525="?OLD","!!!","")</f>
        <v/>
      </c>
      <c r="F4525" s="23" t="str">
        <f>IF(OR(E4525="",E4525="!!!"),"",IF(NOT(ISNA(VLOOKUP(E4525,E$1:E4524,1,FALSE()))),"OLD",IF(AND(E4525&lt;&gt;"",E4525&lt;&gt;"!!!"),"NEW","")))</f>
        <v> </v>
      </c>
      <c r="G4525" s="24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5" t="str">
        <f>IF(J4525&lt;&gt;1,"",IF(I4525="SBJ","CB","?"))</f>
        <v> </v>
      </c>
      <c r="I4525" s="26" t="str">
        <f>IF(OR(E4525="",E4525="!!!",F4525="NEW"),"",INDEX(B4524:B$2,-1+SUMPRODUCT(MAX(ROW(E4524:E$2)*(E4525=E4524:E$2)))))</f>
        <v> </v>
      </c>
      <c r="J4525" s="26" t="str">
        <f>IF(OR(E4525="",E4525="!!!",F4525="NEW"),"",COUNTBLANK(OFFSET(A$1,,,SUMPRODUCT(MAX(ROW(E$2:E4525)*(E4525=E$2:E4525)))))-COUNTBLANK(OFFSET(A$1,,,SUMPRODUCT(MAX(ROW(E$1:E4524)*(E2=E$1:E4524))))))</f>
        <v> </v>
      </c>
      <c r="K4525" s="26" t="str">
        <f>IF(OR(E4525="",E4525="!!!",F4525="NEW"),"",INDEX(J$1:J4524,SUMPRODUCT(MAX(ROW(E$1:E4524)*(E4525=E$1:E4524)))))</f>
        <v> </v>
      </c>
      <c r="L4525" s="27"/>
    </row>
    <row r="4526" spans="1:12">
      <c r="A4526" s="20" t="s">
        <v>1376</v>
      </c>
      <c r="E4526" s="22">
        <f>IF(D4526="?OLD","!!!","")</f>
        <v/>
      </c>
      <c r="F4526" s="23" t="str">
        <f>IF(OR(E4526="",E4526="!!!"),"",IF(NOT(ISNA(VLOOKUP(E4526,E$1:E4525,1,FALSE()))),"OLD",IF(AND(E4526&lt;&gt;"",E4526&lt;&gt;"!!!"),"NEW","")))</f>
        <v> </v>
      </c>
      <c r="G4526" s="24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5" t="str">
        <f>IF(J4526&lt;&gt;1,"",IF(I4526="SBJ","CB","?"))</f>
        <v> </v>
      </c>
      <c r="I4526" s="26" t="str">
        <f>IF(OR(E4526="",E4526="!!!",F4526="NEW"),"",INDEX(B4525:B$2,-1+SUMPRODUCT(MAX(ROW(E4525:E$2)*(E4526=E4525:E$2)))))</f>
        <v> </v>
      </c>
      <c r="J4526" s="26" t="str">
        <f>IF(OR(E4526="",E4526="!!!",F4526="NEW"),"",COUNTBLANK(OFFSET(A$1,,,SUMPRODUCT(MAX(ROW(E$2:E4526)*(E4526=E$2:E4526)))))-COUNTBLANK(OFFSET(A$1,,,SUMPRODUCT(MAX(ROW(E$1:E4525)*(E2=E$1:E4525))))))</f>
        <v> </v>
      </c>
      <c r="K4526" s="26" t="str">
        <f>IF(OR(E4526="",E4526="!!!",F4526="NEW"),"",INDEX(J$1:J4525,SUMPRODUCT(MAX(ROW(E$1:E4525)*(E4526=E$1:E4525)))))</f>
        <v> </v>
      </c>
      <c r="L4526" s="27"/>
    </row>
    <row r="4527" spans="1:12">
      <c r="A4527" s="20" t="s">
        <v>1094</v>
      </c>
      <c r="B4527" s="21" t="s">
        <v>982</v>
      </c>
      <c r="C4527" s="21" t="s">
        <v>1051</v>
      </c>
      <c r="E4527" s="22">
        <f>IF(D4527="?OLD","!!!","")</f>
        <v/>
      </c>
      <c r="F4527" s="23" t="str">
        <f>IF(OR(E4527="",E4527="!!!"),"",IF(NOT(ISNA(VLOOKUP(E4527,E$1:E4526,1,FALSE()))),"OLD",IF(AND(E4527&lt;&gt;"",E4527&lt;&gt;"!!!"),"NEW","")))</f>
        <v> </v>
      </c>
      <c r="G4527" s="24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5" t="str">
        <f>IF(J4527&lt;&gt;1,"",IF(I4527="SBJ","CB","?"))</f>
        <v> </v>
      </c>
      <c r="I4527" s="26" t="str">
        <f>IF(OR(E4527="",E4527="!!!",F4527="NEW"),"",INDEX(B4526:B$2,-1+SUMPRODUCT(MAX(ROW(E4526:E$2)*(E4527=E4526:E$2)))))</f>
        <v> </v>
      </c>
      <c r="J4527" s="26" t="str">
        <f>IF(OR(E4527="",E4527="!!!",F4527="NEW"),"",COUNTBLANK(OFFSET(A$1,,,SUMPRODUCT(MAX(ROW(E$2:E4527)*(E4527=E$2:E4527)))))-COUNTBLANK(OFFSET(A$1,,,SUMPRODUCT(MAX(ROW(E$1:E4526)*(E2=E$1:E4526))))))</f>
        <v> </v>
      </c>
      <c r="K4527" s="26" t="str">
        <f>IF(OR(E4527="",E4527="!!!",F4527="NEW"),"",INDEX(J$1:J4526,SUMPRODUCT(MAX(ROW(E$1:E4526)*(E4527=E$1:E4526)))))</f>
        <v> </v>
      </c>
      <c r="L4527" s="27"/>
    </row>
    <row r="4528" spans="1:12">
      <c r="A4528" s="20" t="s">
        <v>1000</v>
      </c>
      <c r="E4528" s="22">
        <f>IF(D4528="?OLD","!!!","")</f>
        <v/>
      </c>
      <c r="F4528" s="23" t="str">
        <f>IF(OR(E4528="",E4528="!!!"),"",IF(NOT(ISNA(VLOOKUP(E4528,E$1:E4527,1,FALSE()))),"OLD",IF(AND(E4528&lt;&gt;"",E4528&lt;&gt;"!!!"),"NEW","")))</f>
        <v> </v>
      </c>
      <c r="G4528" s="24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5" t="str">
        <f>IF(J4528&lt;&gt;1,"",IF(I4528="SBJ","CB","?"))</f>
        <v> </v>
      </c>
      <c r="I4528" s="26" t="str">
        <f>IF(OR(E4528="",E4528="!!!",F4528="NEW"),"",INDEX(B4527:B$2,-1+SUMPRODUCT(MAX(ROW(E4527:E$2)*(E4528=E4527:E$2)))))</f>
        <v> </v>
      </c>
      <c r="J4528" s="26" t="str">
        <f>IF(OR(E4528="",E4528="!!!",F4528="NEW"),"",COUNTBLANK(OFFSET(A$1,,,SUMPRODUCT(MAX(ROW(E$2:E4528)*(E4528=E$2:E4528)))))-COUNTBLANK(OFFSET(A$1,,,SUMPRODUCT(MAX(ROW(E$1:E4527)*(E2=E$1:E4527))))))</f>
        <v> </v>
      </c>
      <c r="K4528" s="26" t="str">
        <f>IF(OR(E4528="",E4528="!!!",F4528="NEW"),"",INDEX(J$1:J4527,SUMPRODUCT(MAX(ROW(E$1:E4527)*(E4528=E$1:E4527)))))</f>
        <v> </v>
      </c>
      <c r="L4528" s="27"/>
    </row>
    <row r="4529" spans="1:12">
      <c r="A4529" s="20" t="s">
        <v>2171</v>
      </c>
      <c r="E4529" s="22">
        <f>IF(D4529="?OLD","!!!","")</f>
        <v/>
      </c>
      <c r="F4529" s="23" t="str">
        <f>IF(OR(E4529="",E4529="!!!"),"",IF(NOT(ISNA(VLOOKUP(E4529,E$1:E4528,1,FALSE()))),"OLD",IF(AND(E4529&lt;&gt;"",E4529&lt;&gt;"!!!"),"NEW","")))</f>
        <v> </v>
      </c>
      <c r="G4529" s="24" t="str">
        <f>IF(OR(E4529="",E4529="!!!"),"",IF(OR(J4529=0,AND(J4529=1,K4529=1),AND(J4529=1,I4529="SBJ"),AND(J4529=1,I4529=0)),"?IN_FOCUS",IF(J4529&lt;=2,"?ACTIVATED",IF(J4529&lt;&gt;"","?FAMILIAR",IF(F4529="NEW",IF(ISNA(VLOOKUP(E4529,#REF!,1,FALSE())),"?TYPE_IDENTIFIABLE","?REFERENTIAL"),"_")))))</f>
        <v> </v>
      </c>
      <c r="H4529" s="25" t="str">
        <f>IF(J4529&lt;&gt;1,"",IF(I4529="SBJ","CB","?"))</f>
        <v> </v>
      </c>
      <c r="I4529" s="26" t="str">
        <f>IF(OR(E4529="",E4529="!!!",F4529="NEW"),"",INDEX(B4528:B$2,-1+SUMPRODUCT(MAX(ROW(E4528:E$2)*(E4529=E4528:E$2)))))</f>
        <v> </v>
      </c>
      <c r="J4529" s="26" t="str">
        <f>IF(OR(E4529="",E4529="!!!",F4529="NEW"),"",COUNTBLANK(OFFSET(A$1,,,SUMPRODUCT(MAX(ROW(E$2:E4529)*(E4529=E$2:E4529)))))-COUNTBLANK(OFFSET(A$1,,,SUMPRODUCT(MAX(ROW(E$1:E4528)*(E2=E$1:E4528))))))</f>
        <v> </v>
      </c>
      <c r="K4529" s="26" t="str">
        <f>IF(OR(E4529="",E4529="!!!",F4529="NEW"),"",INDEX(J$1:J4528,SUMPRODUCT(MAX(ROW(E$1:E4528)*(E4529=E$1:E4528)))))</f>
        <v> </v>
      </c>
      <c r="L4529" s="27"/>
    </row>
    <row r="4530" spans="1:12">
      <c r="A4530" s="20" t="s">
        <v>1096</v>
      </c>
      <c r="E4530" s="22">
        <f>IF(D4530="?OLD","!!!","")</f>
        <v/>
      </c>
      <c r="F4530" s="23" t="str">
        <f>IF(OR(E4530="",E4530="!!!"),"",IF(NOT(ISNA(VLOOKUP(E4530,E$1:E4529,1,FALSE()))),"OLD",IF(AND(E4530&lt;&gt;"",E4530&lt;&gt;"!!!"),"NEW","")))</f>
        <v> </v>
      </c>
      <c r="G4530" s="24" t="str">
        <f>IF(OR(E4530="",E4530="!!!"),"",IF(OR(J4530=0,AND(J4530=1,K4530=1),AND(J4530=1,I4530="SBJ"),AND(J4530=1,I4530=0)),"?IN_FOCUS",IF(J4530&lt;=2,"?ACTIVATED",IF(J4530&lt;&gt;"","?FAMILIAR",IF(F4530="NEW",IF(ISNA(VLOOKUP(E4530,#REF!,1,FALSE())),"?TYPE_IDENTIFIABLE","?REFERENTIAL"),"_")))))</f>
        <v> </v>
      </c>
      <c r="H4530" s="25" t="str">
        <f>IF(J4530&lt;&gt;1,"",IF(I4530="SBJ","CB","?"))</f>
        <v> </v>
      </c>
      <c r="I4530" s="26" t="str">
        <f>IF(OR(E4530="",E4530="!!!",F4530="NEW"),"",INDEX(B4529:B$2,-1+SUMPRODUCT(MAX(ROW(E4529:E$2)*(E4530=E4529:E$2)))))</f>
        <v> </v>
      </c>
      <c r="J4530" s="26" t="str">
        <f>IF(OR(E4530="",E4530="!!!",F4530="NEW"),"",COUNTBLANK(OFFSET(A$1,,,SUMPRODUCT(MAX(ROW(E$2:E4530)*(E4530=E$2:E4530)))))-COUNTBLANK(OFFSET(A$1,,,SUMPRODUCT(MAX(ROW(E$1:E4529)*(E2=E$1:E4529))))))</f>
        <v> </v>
      </c>
      <c r="K4530" s="26" t="str">
        <f>IF(OR(E4530="",E4530="!!!",F4530="NEW"),"",INDEX(J$1:J4529,SUMPRODUCT(MAX(ROW(E$1:E4529)*(E4530=E$1:E4529)))))</f>
        <v> </v>
      </c>
      <c r="L4530" s="27"/>
    </row>
    <row r="4531" spans="1:12">
      <c r="A4531" s="20" t="s">
        <v>952</v>
      </c>
      <c r="E4531" s="22">
        <f>IF(D4531="?OLD","!!!","")</f>
        <v/>
      </c>
      <c r="F4531" s="23" t="str">
        <f>IF(OR(E4531="",E4531="!!!"),"",IF(NOT(ISNA(VLOOKUP(E4531,E$1:E4530,1,FALSE()))),"OLD",IF(AND(E4531&lt;&gt;"",E4531&lt;&gt;"!!!"),"NEW","")))</f>
        <v> </v>
      </c>
      <c r="G4531" s="24" t="str">
        <f>IF(OR(E4531="",E4531="!!!"),"",IF(OR(J4531=0,AND(J4531=1,K4531=1),AND(J4531=1,I4531="SBJ"),AND(J4531=1,I4531=0)),"?IN_FOCUS",IF(J4531&lt;=2,"?ACTIVATED",IF(J4531&lt;&gt;"","?FAMILIAR",IF(F4531="NEW",IF(ISNA(VLOOKUP(E4531,#REF!,1,FALSE())),"?TYPE_IDENTIFIABLE","?REFERENTIAL"),"_")))))</f>
        <v> </v>
      </c>
      <c r="H4531" s="25" t="str">
        <f>IF(J4531&lt;&gt;1,"",IF(I4531="SBJ","CB","?"))</f>
        <v> </v>
      </c>
      <c r="I4531" s="26" t="str">
        <f>IF(OR(E4531="",E4531="!!!",F4531="NEW"),"",INDEX(B4530:B$2,-1+SUMPRODUCT(MAX(ROW(E4530:E$2)*(E4531=E4530:E$2)))))</f>
        <v> </v>
      </c>
      <c r="J4531" s="26" t="str">
        <f>IF(OR(E4531="",E4531="!!!",F4531="NEW"),"",COUNTBLANK(OFFSET(A$1,,,SUMPRODUCT(MAX(ROW(E$2:E4531)*(E4531=E$2:E4531)))))-COUNTBLANK(OFFSET(A$1,,,SUMPRODUCT(MAX(ROW(E$1:E4530)*(E2=E$1:E4530))))))</f>
        <v> </v>
      </c>
      <c r="K4531" s="26" t="str">
        <f>IF(OR(E4531="",E4531="!!!",F4531="NEW"),"",INDEX(J$1:J4530,SUMPRODUCT(MAX(ROW(E$1:E4530)*(E4531=E$1:E4530)))))</f>
        <v> </v>
      </c>
      <c r="L4531" s="27"/>
    </row>
    <row r="4532" spans="1:12">
      <c r="A4532" s="20"/>
    </row>
    <row r="4533" spans="1:12">
      <c r="A4533" s="20" t="s">
        <v>2172</v>
      </c>
    </row>
    <row r="4534" spans="1:12">
      <c r="A4534" s="20" t="s">
        <v>2173</v>
      </c>
      <c r="B4534" s="21" t="s">
        <v>948</v>
      </c>
      <c r="C4534" s="21" t="s">
        <v>1148</v>
      </c>
      <c r="E4534" s="22">
        <f>IF(D4534="?OLD","!!!","")</f>
        <v/>
      </c>
      <c r="F4534" s="23" t="str">
        <f>IF(OR(E4534="",E4534="!!!"),"",IF(NOT(ISNA(VLOOKUP(E4534,E$1:E4533,1,FALSE()))),"OLD",IF(AND(E4534&lt;&gt;"",E4534&lt;&gt;"!!!"),"NEW","")))</f>
        <v> </v>
      </c>
      <c r="G4534" s="24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5" t="str">
        <f>IF(J4534&lt;&gt;1,"",IF(I4534="SBJ","CB","?"))</f>
        <v> </v>
      </c>
      <c r="I4534" s="26" t="str">
        <f>IF(OR(E4534="",E4534="!!!",F4534="NEW"),"",INDEX(B4533:B$2,-1+SUMPRODUCT(MAX(ROW(E4533:E$2)*(E4534=E4533:E$2)))))</f>
        <v> </v>
      </c>
      <c r="J4534" s="26" t="str">
        <f>IF(OR(E4534="",E4534="!!!",F4534="NEW"),"",COUNTBLANK(OFFSET(A$1,,,SUMPRODUCT(MAX(ROW(E$2:E4534)*(E4534=E$2:E4534)))))-COUNTBLANK(OFFSET(A$1,,,SUMPRODUCT(MAX(ROW(E$1:E4533)*(E2=E$1:E4533))))))</f>
        <v> </v>
      </c>
      <c r="K4534" s="26" t="str">
        <f>IF(OR(E4534="",E4534="!!!",F4534="NEW"),"",INDEX(J$1:J4533,SUMPRODUCT(MAX(ROW(E$1:E4533)*(E4534=E$1:E4533)))))</f>
        <v> </v>
      </c>
      <c r="L4534" s="27"/>
    </row>
    <row r="4535" spans="1:12">
      <c r="A4535" s="20" t="s">
        <v>849</v>
      </c>
      <c r="B4535" s="21" t="s">
        <v>948</v>
      </c>
      <c r="C4535" s="21" t="s">
        <v>976</v>
      </c>
      <c r="D4535" s="21" t="s">
        <v>950</v>
      </c>
      <c r="E4535" s="22">
        <f>IF(D4535="?OLD","!!!","")</f>
        <v/>
      </c>
      <c r="F4535" s="23" t="str">
        <f>IF(OR(E4535="",E4535="!!!"),"",IF(NOT(ISNA(VLOOKUP(E4535,E$1:E4534,1,FALSE()))),"OLD",IF(AND(E4535&lt;&gt;"",E4535&lt;&gt;"!!!"),"NEW","")))</f>
        <v> </v>
      </c>
      <c r="G4535" s="24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5" t="str">
        <f>IF(J4535&lt;&gt;1,"",IF(I4535="SBJ","CB","?"))</f>
        <v> </v>
      </c>
      <c r="I4535" s="26" t="str">
        <f>IF(OR(E4535="",E4535="!!!",F4535="NEW"),"",INDEX(B4534:B$2,-1+SUMPRODUCT(MAX(ROW(E4534:E$2)*(E4535=E4534:E$2)))))</f>
        <v> </v>
      </c>
      <c r="J4535" s="26" t="str">
        <f>IF(OR(E4535="",E4535="!!!",F4535="NEW"),"",COUNTBLANK(OFFSET(A$1,,,SUMPRODUCT(MAX(ROW(E$2:E4535)*(E4535=E$2:E4535)))))-COUNTBLANK(OFFSET(A$1,,,SUMPRODUCT(MAX(ROW(E$1:E4534)*(E2=E$1:E4534))))))</f>
        <v> </v>
      </c>
      <c r="K4535" s="26" t="str">
        <f>IF(OR(E4535="",E4535="!!!",F4535="NEW"),"",INDEX(J$1:J4534,SUMPRODUCT(MAX(ROW(E$1:E4534)*(E4535=E$1:E4534)))))</f>
        <v> </v>
      </c>
      <c r="L4535" s="27"/>
    </row>
    <row r="4536" spans="1:12">
      <c r="A4536" s="20" t="s">
        <v>977</v>
      </c>
      <c r="E4536" s="22">
        <f>IF(D4536="?OLD","!!!","")</f>
        <v/>
      </c>
      <c r="F4536" s="23" t="str">
        <f>IF(OR(E4536="",E4536="!!!"),"",IF(NOT(ISNA(VLOOKUP(E4536,E$1:E4535,1,FALSE()))),"OLD",IF(AND(E4536&lt;&gt;"",E4536&lt;&gt;"!!!"),"NEW","")))</f>
        <v> </v>
      </c>
      <c r="G4536" s="24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5" t="str">
        <f>IF(J4536&lt;&gt;1,"",IF(I4536="SBJ","CB","?"))</f>
        <v> </v>
      </c>
      <c r="I4536" s="26" t="str">
        <f>IF(OR(E4536="",E4536="!!!",F4536="NEW"),"",INDEX(B4535:B$2,-1+SUMPRODUCT(MAX(ROW(E4535:E$2)*(E4536=E4535:E$2)))))</f>
        <v> </v>
      </c>
      <c r="J4536" s="26" t="str">
        <f>IF(OR(E4536="",E4536="!!!",F4536="NEW"),"",COUNTBLANK(OFFSET(A$1,,,SUMPRODUCT(MAX(ROW(E$2:E4536)*(E4536=E$2:E4536)))))-COUNTBLANK(OFFSET(A$1,,,SUMPRODUCT(MAX(ROW(E$1:E4535)*(E2=E$1:E4535))))))</f>
        <v> </v>
      </c>
      <c r="K4536" s="26" t="str">
        <f>IF(OR(E4536="",E4536="!!!",F4536="NEW"),"",INDEX(J$1:J4535,SUMPRODUCT(MAX(ROW(E$1:E4535)*(E4536=E$1:E4535)))))</f>
        <v> </v>
      </c>
      <c r="L4536" s="27"/>
    </row>
    <row r="4537" spans="1:12">
      <c r="A4537" s="20" t="s">
        <v>2174</v>
      </c>
      <c r="B4537" s="21" t="s">
        <v>948</v>
      </c>
      <c r="C4537" s="21" t="s">
        <v>983</v>
      </c>
      <c r="E4537" s="22">
        <f>IF(D4537="?OLD","!!!","")</f>
        <v/>
      </c>
      <c r="F4537" s="23" t="str">
        <f>IF(OR(E4537="",E4537="!!!"),"",IF(NOT(ISNA(VLOOKUP(E4537,E$1:E4536,1,FALSE()))),"OLD",IF(AND(E4537&lt;&gt;"",E4537&lt;&gt;"!!!"),"NEW","")))</f>
        <v> </v>
      </c>
      <c r="G4537" s="24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5" t="str">
        <f>IF(J4537&lt;&gt;1,"",IF(I4537="SBJ","CB","?"))</f>
        <v> </v>
      </c>
      <c r="I4537" s="26" t="str">
        <f>IF(OR(E4537="",E4537="!!!",F4537="NEW"),"",INDEX(B4536:B$2,-1+SUMPRODUCT(MAX(ROW(E4536:E$2)*(E4537=E4536:E$2)))))</f>
        <v> </v>
      </c>
      <c r="J4537" s="26" t="str">
        <f>IF(OR(E4537="",E4537="!!!",F4537="NEW"),"",COUNTBLANK(OFFSET(A$1,,,SUMPRODUCT(MAX(ROW(E$2:E4537)*(E4537=E$2:E4537)))))-COUNTBLANK(OFFSET(A$1,,,SUMPRODUCT(MAX(ROW(E$1:E4536)*(E2=E$1:E4536))))))</f>
        <v> </v>
      </c>
      <c r="K4537" s="26" t="str">
        <f>IF(OR(E4537="",E4537="!!!",F4537="NEW"),"",INDEX(J$1:J4536,SUMPRODUCT(MAX(ROW(E$1:E4536)*(E4537=E$1:E4536)))))</f>
        <v> </v>
      </c>
      <c r="L4537" s="27"/>
    </row>
    <row r="4538" spans="1:12">
      <c r="A4538" s="20" t="s">
        <v>1000</v>
      </c>
      <c r="E4538" s="22">
        <f>IF(D4538="?OLD","!!!","")</f>
        <v/>
      </c>
      <c r="F4538" s="23" t="str">
        <f>IF(OR(E4538="",E4538="!!!"),"",IF(NOT(ISNA(VLOOKUP(E4538,E$1:E4537,1,FALSE()))),"OLD",IF(AND(E4538&lt;&gt;"",E4538&lt;&gt;"!!!"),"NEW","")))</f>
        <v> </v>
      </c>
      <c r="G4538" s="24" t="str">
        <f>IF(OR(E4538="",E4538="!!!"),"",IF(OR(J4538=0,AND(J4538=1,K4538=1),AND(J4538=1,I4538="SBJ"),AND(J4538=1,I4538=0)),"?IN_FOCUS",IF(J4538&lt;=2,"?ACTIVATED",IF(J4538&lt;&gt;"","?FAMILIAR",IF(F4538="NEW",IF(ISNA(VLOOKUP(E4538,#REF!,1,FALSE())),"?TYPE_IDENTIFIABLE","?REFERENTIAL"),"_")))))</f>
        <v> </v>
      </c>
      <c r="H4538" s="25" t="str">
        <f>IF(J4538&lt;&gt;1,"",IF(I4538="SBJ","CB","?"))</f>
        <v> </v>
      </c>
      <c r="I4538" s="26" t="str">
        <f>IF(OR(E4538="",E4538="!!!",F4538="NEW"),"",INDEX(B4537:B$2,-1+SUMPRODUCT(MAX(ROW(E4537:E$2)*(E4538=E4537:E$2)))))</f>
        <v> </v>
      </c>
      <c r="J4538" s="26" t="str">
        <f>IF(OR(E4538="",E4538="!!!",F4538="NEW"),"",COUNTBLANK(OFFSET(A$1,,,SUMPRODUCT(MAX(ROW(E$2:E4538)*(E4538=E$2:E4538)))))-COUNTBLANK(OFFSET(A$1,,,SUMPRODUCT(MAX(ROW(E$1:E4537)*(E2=E$1:E4537))))))</f>
        <v> </v>
      </c>
      <c r="K4538" s="26" t="str">
        <f>IF(OR(E4538="",E4538="!!!",F4538="NEW"),"",INDEX(J$1:J4537,SUMPRODUCT(MAX(ROW(E$1:E4537)*(E4538=E$1:E4537)))))</f>
        <v> </v>
      </c>
      <c r="L4538" s="27"/>
    </row>
    <row r="4539" spans="1:12">
      <c r="A4539" s="20" t="s">
        <v>1213</v>
      </c>
      <c r="B4539" s="21" t="s">
        <v>1143</v>
      </c>
      <c r="C4539" s="21" t="s">
        <v>1148</v>
      </c>
      <c r="E4539" s="22">
        <f>IF(D4539="?OLD","!!!","")</f>
        <v/>
      </c>
      <c r="F4539" s="23" t="str">
        <f>IF(OR(E4539="",E4539="!!!"),"",IF(NOT(ISNA(VLOOKUP(E4539,E$1:E4538,1,FALSE()))),"OLD",IF(AND(E4539&lt;&gt;"",E4539&lt;&gt;"!!!"),"NEW","")))</f>
        <v> </v>
      </c>
      <c r="G4539" s="24" t="str">
        <f>IF(OR(E4539="",E4539="!!!"),"",IF(OR(J4539=0,AND(J4539=1,K4539=1),AND(J4539=1,I4539="SBJ"),AND(J4539=1,I4539=0)),"?IN_FOCUS",IF(J4539&lt;=2,"?ACTIVATED",IF(J4539&lt;&gt;"","?FAMILIAR",IF(F4539="NEW",IF(ISNA(VLOOKUP(E4539,#REF!,1,FALSE())),"?TYPE_IDENTIFIABLE","?REFERENTIAL"),"_")))))</f>
        <v> </v>
      </c>
      <c r="H4539" s="25" t="str">
        <f>IF(J4539&lt;&gt;1,"",IF(I4539="SBJ","CB","?"))</f>
        <v> </v>
      </c>
      <c r="I4539" s="26" t="str">
        <f>IF(OR(E4539="",E4539="!!!",F4539="NEW"),"",INDEX(B4538:B$2,-1+SUMPRODUCT(MAX(ROW(E4538:E$2)*(E4539=E4538:E$2)))))</f>
        <v> </v>
      </c>
      <c r="J4539" s="26" t="str">
        <f>IF(OR(E4539="",E4539="!!!",F4539="NEW"),"",COUNTBLANK(OFFSET(A$1,,,SUMPRODUCT(MAX(ROW(E$2:E4539)*(E4539=E$2:E4539)))))-COUNTBLANK(OFFSET(A$1,,,SUMPRODUCT(MAX(ROW(E$1:E4538)*(E2=E$1:E4538))))))</f>
        <v> </v>
      </c>
      <c r="K4539" s="26" t="str">
        <f>IF(OR(E4539="",E4539="!!!",F4539="NEW"),"",INDEX(J$1:J4538,SUMPRODUCT(MAX(ROW(E$1:E4538)*(E4539=E$1:E4538)))))</f>
        <v> </v>
      </c>
      <c r="L4539" s="27"/>
    </row>
    <row r="4540" spans="1:12">
      <c r="A4540" s="20" t="s">
        <v>1197</v>
      </c>
      <c r="E4540" s="22">
        <f>IF(D4540="?OLD","!!!","")</f>
        <v/>
      </c>
      <c r="F4540" s="23" t="str">
        <f>IF(OR(E4540="",E4540="!!!"),"",IF(NOT(ISNA(VLOOKUP(E4540,E$1:E4539,1,FALSE()))),"OLD",IF(AND(E4540&lt;&gt;"",E4540&lt;&gt;"!!!"),"NEW","")))</f>
        <v> </v>
      </c>
      <c r="G4540" s="24" t="str">
        <f>IF(OR(E4540="",E4540="!!!"),"",IF(OR(J4540=0,AND(J4540=1,K4540=1),AND(J4540=1,I4540="SBJ"),AND(J4540=1,I4540=0)),"?IN_FOCUS",IF(J4540&lt;=2,"?ACTIVATED",IF(J4540&lt;&gt;"","?FAMILIAR",IF(F4540="NEW",IF(ISNA(VLOOKUP(E4540,#REF!,1,FALSE())),"?TYPE_IDENTIFIABLE","?REFERENTIAL"),"_")))))</f>
        <v> </v>
      </c>
      <c r="H4540" s="25" t="str">
        <f>IF(J4540&lt;&gt;1,"",IF(I4540="SBJ","CB","?"))</f>
        <v> </v>
      </c>
      <c r="I4540" s="26" t="str">
        <f>IF(OR(E4540="",E4540="!!!",F4540="NEW"),"",INDEX(B4539:B$2,-1+SUMPRODUCT(MAX(ROW(E4539:E$2)*(E4540=E4539:E$2)))))</f>
        <v> </v>
      </c>
      <c r="J4540" s="26" t="str">
        <f>IF(OR(E4540="",E4540="!!!",F4540="NEW"),"",COUNTBLANK(OFFSET(A$1,,,SUMPRODUCT(MAX(ROW(E$2:E4540)*(E4540=E$2:E4540)))))-COUNTBLANK(OFFSET(A$1,,,SUMPRODUCT(MAX(ROW(E$1:E4539)*(E2=E$1:E4539))))))</f>
        <v> </v>
      </c>
      <c r="K4540" s="26" t="str">
        <f>IF(OR(E4540="",E4540="!!!",F4540="NEW"),"",INDEX(J$1:J4539,SUMPRODUCT(MAX(ROW(E$1:E4539)*(E4540=E$1:E4539)))))</f>
        <v> </v>
      </c>
      <c r="L4540" s="27"/>
    </row>
    <row r="4541" spans="1:12">
      <c r="A4541" s="20" t="s">
        <v>1022</v>
      </c>
      <c r="E4541" s="22">
        <f>IF(D4541="?OLD","!!!","")</f>
        <v/>
      </c>
      <c r="F4541" s="23" t="str">
        <f>IF(OR(E4541="",E4541="!!!"),"",IF(NOT(ISNA(VLOOKUP(E4541,E$1:E4540,1,FALSE()))),"OLD",IF(AND(E4541&lt;&gt;"",E4541&lt;&gt;"!!!"),"NEW","")))</f>
        <v> </v>
      </c>
      <c r="G4541" s="24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5" t="str">
        <f>IF(J4541&lt;&gt;1,"",IF(I4541="SBJ","CB","?"))</f>
        <v> </v>
      </c>
      <c r="I4541" s="26" t="str">
        <f>IF(OR(E4541="",E4541="!!!",F4541="NEW"),"",INDEX(B4540:B$2,-1+SUMPRODUCT(MAX(ROW(E4540:E$2)*(E4541=E4540:E$2)))))</f>
        <v> </v>
      </c>
      <c r="J4541" s="26" t="str">
        <f>IF(OR(E4541="",E4541="!!!",F4541="NEW"),"",COUNTBLANK(OFFSET(A$1,,,SUMPRODUCT(MAX(ROW(E$2:E4541)*(E4541=E$2:E4541)))))-COUNTBLANK(OFFSET(A$1,,,SUMPRODUCT(MAX(ROW(E$1:E4540)*(E2=E$1:E4540))))))</f>
        <v> </v>
      </c>
      <c r="K4541" s="26" t="str">
        <f>IF(OR(E4541="",E4541="!!!",F4541="NEW"),"",INDEX(J$1:J4540,SUMPRODUCT(MAX(ROW(E$1:E4540)*(E4541=E$1:E4540)))))</f>
        <v> </v>
      </c>
      <c r="L4541" s="27"/>
    </row>
    <row r="4542" spans="1:12">
      <c r="A4542" s="20" t="s">
        <v>2175</v>
      </c>
      <c r="B4542" s="21" t="s">
        <v>948</v>
      </c>
      <c r="C4542" s="21" t="s">
        <v>976</v>
      </c>
      <c r="D4542" s="21" t="s">
        <v>950</v>
      </c>
      <c r="E4542" s="22">
        <f>IF(D4542="?OLD","!!!","")</f>
        <v/>
      </c>
      <c r="F4542" s="23" t="str">
        <f>IF(OR(E4542="",E4542="!!!"),"",IF(NOT(ISNA(VLOOKUP(E4542,E$1:E4541,1,FALSE()))),"OLD",IF(AND(E4542&lt;&gt;"",E4542&lt;&gt;"!!!"),"NEW","")))</f>
        <v> </v>
      </c>
      <c r="G4542" s="24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5" t="str">
        <f>IF(J4542&lt;&gt;1,"",IF(I4542="SBJ","CB","?"))</f>
        <v> </v>
      </c>
      <c r="I4542" s="26" t="str">
        <f>IF(OR(E4542="",E4542="!!!",F4542="NEW"),"",INDEX(B4541:B$2,-1+SUMPRODUCT(MAX(ROW(E4541:E$2)*(E4542=E4541:E$2)))))</f>
        <v> </v>
      </c>
      <c r="J4542" s="26" t="str">
        <f>IF(OR(E4542="",E4542="!!!",F4542="NEW"),"",COUNTBLANK(OFFSET(A$1,,,SUMPRODUCT(MAX(ROW(E$2:E4542)*(E4542=E$2:E4542)))))-COUNTBLANK(OFFSET(A$1,,,SUMPRODUCT(MAX(ROW(E$1:E4541)*(E2=E$1:E4541))))))</f>
        <v> </v>
      </c>
      <c r="K4542" s="26" t="str">
        <f>IF(OR(E4542="",E4542="!!!",F4542="NEW"),"",INDEX(J$1:J4541,SUMPRODUCT(MAX(ROW(E$1:E4541)*(E4542=E$1:E4541)))))</f>
        <v> </v>
      </c>
      <c r="L4542" s="27"/>
    </row>
    <row r="4543" spans="1:12">
      <c r="A4543" s="20" t="s">
        <v>977</v>
      </c>
      <c r="E4543" s="22">
        <f>IF(D4543="?OLD","!!!","")</f>
        <v/>
      </c>
      <c r="F4543" s="23" t="str">
        <f>IF(OR(E4543="",E4543="!!!"),"",IF(NOT(ISNA(VLOOKUP(E4543,E$1:E4542,1,FALSE()))),"OLD",IF(AND(E4543&lt;&gt;"",E4543&lt;&gt;"!!!"),"NEW","")))</f>
        <v> </v>
      </c>
      <c r="G4543" s="24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5" t="str">
        <f>IF(J4543&lt;&gt;1,"",IF(I4543="SBJ","CB","?"))</f>
        <v> </v>
      </c>
      <c r="I4543" s="26" t="str">
        <f>IF(OR(E4543="",E4543="!!!",F4543="NEW"),"",INDEX(B4542:B$2,-1+SUMPRODUCT(MAX(ROW(E4542:E$2)*(E4543=E4542:E$2)))))</f>
        <v> </v>
      </c>
      <c r="J4543" s="26" t="str">
        <f>IF(OR(E4543="",E4543="!!!",F4543="NEW"),"",COUNTBLANK(OFFSET(A$1,,,SUMPRODUCT(MAX(ROW(E$2:E4543)*(E4543=E$2:E4543)))))-COUNTBLANK(OFFSET(A$1,,,SUMPRODUCT(MAX(ROW(E$1:E4542)*(E2=E$1:E4542))))))</f>
        <v> </v>
      </c>
      <c r="K4543" s="26" t="str">
        <f>IF(OR(E4543="",E4543="!!!",F4543="NEW"),"",INDEX(J$1:J4542,SUMPRODUCT(MAX(ROW(E$1:E4542)*(E4543=E$1:E4542)))))</f>
        <v> </v>
      </c>
      <c r="L4543" s="27"/>
    </row>
    <row r="4544" spans="1:12">
      <c r="A4544" s="20" t="s">
        <v>2174</v>
      </c>
      <c r="B4544" s="21" t="s">
        <v>1031</v>
      </c>
      <c r="C4544" s="21" t="s">
        <v>983</v>
      </c>
      <c r="E4544" s="22">
        <f>IF(D4544="?OLD","!!!","")</f>
        <v/>
      </c>
      <c r="F4544" s="23" t="str">
        <f>IF(OR(E4544="",E4544="!!!"),"",IF(NOT(ISNA(VLOOKUP(E4544,E$1:E4543,1,FALSE()))),"OLD",IF(AND(E4544&lt;&gt;"",E4544&lt;&gt;"!!!"),"NEW","")))</f>
        <v> </v>
      </c>
      <c r="G4544" s="24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5" t="str">
        <f>IF(J4544&lt;&gt;1,"",IF(I4544="SBJ","CB","?"))</f>
        <v> </v>
      </c>
      <c r="I4544" s="26" t="str">
        <f>IF(OR(E4544="",E4544="!!!",F4544="NEW"),"",INDEX(B4543:B$2,-1+SUMPRODUCT(MAX(ROW(E4543:E$2)*(E4544=E4543:E$2)))))</f>
        <v> </v>
      </c>
      <c r="J4544" s="26" t="str">
        <f>IF(OR(E4544="",E4544="!!!",F4544="NEW"),"",COUNTBLANK(OFFSET(A$1,,,SUMPRODUCT(MAX(ROW(E$2:E4544)*(E4544=E$2:E4544)))))-COUNTBLANK(OFFSET(A$1,,,SUMPRODUCT(MAX(ROW(E$1:E4543)*(E2=E$1:E4543))))))</f>
        <v> </v>
      </c>
      <c r="K4544" s="26" t="str">
        <f>IF(OR(E4544="",E4544="!!!",F4544="NEW"),"",INDEX(J$1:J4543,SUMPRODUCT(MAX(ROW(E$1:E4543)*(E4544=E$1:E4543)))))</f>
        <v> </v>
      </c>
      <c r="L4544" s="27"/>
    </row>
    <row r="4545" spans="1:12">
      <c r="A4545" s="20" t="s">
        <v>965</v>
      </c>
      <c r="B4545" s="21" t="s">
        <v>1080</v>
      </c>
      <c r="E4545" s="22">
        <f>IF(D4545="?OLD","!!!","")</f>
        <v/>
      </c>
      <c r="F4545" s="23" t="str">
        <f>IF(OR(E4545="",E4545="!!!"),"",IF(NOT(ISNA(VLOOKUP(E4545,E$1:E4544,1,FALSE()))),"OLD",IF(AND(E4545&lt;&gt;"",E4545&lt;&gt;"!!!"),"NEW","")))</f>
        <v> </v>
      </c>
      <c r="G4545" s="24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5" t="str">
        <f>IF(J4545&lt;&gt;1,"",IF(I4545="SBJ","CB","?"))</f>
        <v> </v>
      </c>
      <c r="I4545" s="26" t="str">
        <f>IF(OR(E4545="",E4545="!!!",F4545="NEW"),"",INDEX(B4544:B$2,-1+SUMPRODUCT(MAX(ROW(E4544:E$2)*(E4545=E4544:E$2)))))</f>
        <v> </v>
      </c>
      <c r="J4545" s="26" t="str">
        <f>IF(OR(E4545="",E4545="!!!",F4545="NEW"),"",COUNTBLANK(OFFSET(A$1,,,SUMPRODUCT(MAX(ROW(E$2:E4545)*(E4545=E$2:E4545)))))-COUNTBLANK(OFFSET(A$1,,,SUMPRODUCT(MAX(ROW(E$1:E4544)*(E2=E$1:E4544))))))</f>
        <v> </v>
      </c>
      <c r="K4545" s="26" t="str">
        <f>IF(OR(E4545="",E4545="!!!",F4545="NEW"),"",INDEX(J$1:J4544,SUMPRODUCT(MAX(ROW(E$1:E4544)*(E4545=E$1:E4544)))))</f>
        <v> </v>
      </c>
      <c r="L4545" s="27"/>
    </row>
    <row r="4546" spans="1:12">
      <c r="A4546" s="20" t="s">
        <v>1518</v>
      </c>
      <c r="E4546" s="22">
        <f>IF(D4546="?OLD","!!!","")</f>
        <v/>
      </c>
      <c r="F4546" s="23" t="str">
        <f>IF(OR(E4546="",E4546="!!!"),"",IF(NOT(ISNA(VLOOKUP(E4546,E$1:E4545,1,FALSE()))),"OLD",IF(AND(E4546&lt;&gt;"",E4546&lt;&gt;"!!!"),"NEW","")))</f>
        <v> </v>
      </c>
      <c r="G4546" s="24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5" t="str">
        <f>IF(J4546&lt;&gt;1,"",IF(I4546="SBJ","CB","?"))</f>
        <v> </v>
      </c>
      <c r="I4546" s="26" t="str">
        <f>IF(OR(E4546="",E4546="!!!",F4546="NEW"),"",INDEX(B4545:B$2,-1+SUMPRODUCT(MAX(ROW(E4545:E$2)*(E4546=E4545:E$2)))))</f>
        <v> </v>
      </c>
      <c r="J4546" s="26" t="str">
        <f>IF(OR(E4546="",E4546="!!!",F4546="NEW"),"",COUNTBLANK(OFFSET(A$1,,,SUMPRODUCT(MAX(ROW(E$2:E4546)*(E4546=E$2:E4546)))))-COUNTBLANK(OFFSET(A$1,,,SUMPRODUCT(MAX(ROW(E$1:E4545)*(E2=E$1:E4545))))))</f>
        <v> </v>
      </c>
      <c r="K4546" s="26" t="str">
        <f>IF(OR(E4546="",E4546="!!!",F4546="NEW"),"",INDEX(J$1:J4545,SUMPRODUCT(MAX(ROW(E$1:E4545)*(E4546=E$1:E4545)))))</f>
        <v> </v>
      </c>
      <c r="L4546" s="27"/>
    </row>
    <row r="4547" spans="1:12">
      <c r="A4547" s="20" t="s">
        <v>1006</v>
      </c>
      <c r="B4547" s="21" t="s">
        <v>1082</v>
      </c>
      <c r="C4547" s="21" t="s">
        <v>960</v>
      </c>
      <c r="D4547" s="21" t="s">
        <v>950</v>
      </c>
      <c r="E4547" s="22">
        <f>IF(D4547="?OLD","!!!","")</f>
        <v/>
      </c>
      <c r="F4547" s="23" t="str">
        <f>IF(OR(E4547="",E4547="!!!"),"",IF(NOT(ISNA(VLOOKUP(E4547,E$1:E4546,1,FALSE()))),"OLD",IF(AND(E4547&lt;&gt;"",E4547&lt;&gt;"!!!"),"NEW","")))</f>
        <v> </v>
      </c>
      <c r="G4547" s="24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5" t="str">
        <f>IF(J4547&lt;&gt;1,"",IF(I4547="SBJ","CB","?"))</f>
        <v> </v>
      </c>
      <c r="I4547" s="26" t="str">
        <f>IF(OR(E4547="",E4547="!!!",F4547="NEW"),"",INDEX(B4546:B$2,-1+SUMPRODUCT(MAX(ROW(E4546:E$2)*(E4547=E4546:E$2)))))</f>
        <v> </v>
      </c>
      <c r="J4547" s="26" t="str">
        <f>IF(OR(E4547="",E4547="!!!",F4547="NEW"),"",COUNTBLANK(OFFSET(A$1,,,SUMPRODUCT(MAX(ROW(E$2:E4547)*(E4547=E$2:E4547)))))-COUNTBLANK(OFFSET(A$1,,,SUMPRODUCT(MAX(ROW(E$1:E4546)*(E2=E$1:E4546))))))</f>
        <v> </v>
      </c>
      <c r="K4547" s="26" t="str">
        <f>IF(OR(E4547="",E4547="!!!",F4547="NEW"),"",INDEX(J$1:J4546,SUMPRODUCT(MAX(ROW(E$1:E4546)*(E4547=E$1:E4546)))))</f>
        <v> </v>
      </c>
      <c r="L4547" s="27"/>
    </row>
    <row r="4548" spans="1:12">
      <c r="A4548" s="20" t="s">
        <v>2176</v>
      </c>
      <c r="E4548" s="22">
        <f>IF(D4548="?OLD","!!!","")</f>
        <v/>
      </c>
      <c r="F4548" s="23" t="str">
        <f>IF(OR(E4548="",E4548="!!!"),"",IF(NOT(ISNA(VLOOKUP(E4548,E$1:E4547,1,FALSE()))),"OLD",IF(AND(E4548&lt;&gt;"",E4548&lt;&gt;"!!!"),"NEW","")))</f>
        <v> </v>
      </c>
      <c r="G4548" s="24" t="str">
        <f>IF(OR(E4548="",E4548="!!!"),"",IF(OR(J4548=0,AND(J4548=1,K4548=1),AND(J4548=1,I4548="SBJ"),AND(J4548=1,I4548=0)),"?IN_FOCUS",IF(J4548&lt;=2,"?ACTIVATED",IF(J4548&lt;&gt;"","?FAMILIAR",IF(F4548="NEW",IF(ISNA(VLOOKUP(E4548,#REF!,1,FALSE())),"?TYPE_IDENTIFIABLE","?REFERENTIAL"),"_")))))</f>
        <v> </v>
      </c>
      <c r="H4548" s="25" t="str">
        <f>IF(J4548&lt;&gt;1,"",IF(I4548="SBJ","CB","?"))</f>
        <v> </v>
      </c>
      <c r="I4548" s="26" t="str">
        <f>IF(OR(E4548="",E4548="!!!",F4548="NEW"),"",INDEX(B4547:B$2,-1+SUMPRODUCT(MAX(ROW(E4547:E$2)*(E4548=E4547:E$2)))))</f>
        <v> </v>
      </c>
      <c r="J4548" s="26" t="str">
        <f>IF(OR(E4548="",E4548="!!!",F4548="NEW"),"",COUNTBLANK(OFFSET(A$1,,,SUMPRODUCT(MAX(ROW(E$2:E4548)*(E4548=E$2:E4548)))))-COUNTBLANK(OFFSET(A$1,,,SUMPRODUCT(MAX(ROW(E$1:E4547)*(E2=E$1:E4547))))))</f>
        <v> </v>
      </c>
      <c r="K4548" s="26" t="str">
        <f>IF(OR(E4548="",E4548="!!!",F4548="NEW"),"",INDEX(J$1:J4547,SUMPRODUCT(MAX(ROW(E$1:E4547)*(E4548=E$1:E4547)))))</f>
        <v> </v>
      </c>
      <c r="L4548" s="27"/>
    </row>
    <row r="4549" spans="1:12">
      <c r="A4549" s="20" t="s">
        <v>1068</v>
      </c>
      <c r="E4549" s="22">
        <f>IF(D4549="?OLD","!!!","")</f>
        <v/>
      </c>
      <c r="F4549" s="23" t="str">
        <f>IF(OR(E4549="",E4549="!!!"),"",IF(NOT(ISNA(VLOOKUP(E4549,E$1:E4548,1,FALSE()))),"OLD",IF(AND(E4549&lt;&gt;"",E4549&lt;&gt;"!!!"),"NEW","")))</f>
        <v> </v>
      </c>
      <c r="G4549" s="24" t="str">
        <f>IF(OR(E4549="",E4549="!!!"),"",IF(OR(J4549=0,AND(J4549=1,K4549=1),AND(J4549=1,I4549="SBJ"),AND(J4549=1,I4549=0)),"?IN_FOCUS",IF(J4549&lt;=2,"?ACTIVATED",IF(J4549&lt;&gt;"","?FAMILIAR",IF(F4549="NEW",IF(ISNA(VLOOKUP(E4549,#REF!,1,FALSE())),"?TYPE_IDENTIFIABLE","?REFERENTIAL"),"_")))))</f>
        <v> </v>
      </c>
      <c r="H4549" s="25" t="str">
        <f>IF(J4549&lt;&gt;1,"",IF(I4549="SBJ","CB","?"))</f>
        <v> </v>
      </c>
      <c r="I4549" s="26" t="str">
        <f>IF(OR(E4549="",E4549="!!!",F4549="NEW"),"",INDEX(B4548:B$2,-1+SUMPRODUCT(MAX(ROW(E4548:E$2)*(E4549=E4548:E$2)))))</f>
        <v> </v>
      </c>
      <c r="J4549" s="26" t="str">
        <f>IF(OR(E4549="",E4549="!!!",F4549="NEW"),"",COUNTBLANK(OFFSET(A$1,,,SUMPRODUCT(MAX(ROW(E$2:E4549)*(E4549=E$2:E4549)))))-COUNTBLANK(OFFSET(A$1,,,SUMPRODUCT(MAX(ROW(E$1:E4548)*(E2=E$1:E4548))))))</f>
        <v> </v>
      </c>
      <c r="K4549" s="26" t="str">
        <f>IF(OR(E4549="",E4549="!!!",F4549="NEW"),"",INDEX(J$1:J4548,SUMPRODUCT(MAX(ROW(E$1:E4548)*(E4549=E$1:E4548)))))</f>
        <v> </v>
      </c>
      <c r="L4549" s="27"/>
    </row>
    <row r="4550" spans="1:12">
      <c r="A4550" s="20"/>
    </row>
    <row r="4551" spans="1:12">
      <c r="A4551" s="20" t="s">
        <v>2177</v>
      </c>
    </row>
    <row r="4552" spans="1:12">
      <c r="A4552" s="20" t="s">
        <v>2178</v>
      </c>
      <c r="B4552" s="21" t="s">
        <v>948</v>
      </c>
      <c r="C4552" s="21" t="s">
        <v>976</v>
      </c>
      <c r="D4552" s="21" t="s">
        <v>950</v>
      </c>
      <c r="E4552" s="22">
        <f>IF(D4552="?OLD","!!!","")</f>
        <v/>
      </c>
      <c r="F4552" s="23" t="str">
        <f>IF(OR(E4552="",E4552="!!!"),"",IF(NOT(ISNA(VLOOKUP(E4552,E$1:E4551,1,FALSE()))),"OLD",IF(AND(E4552&lt;&gt;"",E4552&lt;&gt;"!!!"),"NEW","")))</f>
        <v> </v>
      </c>
      <c r="G4552" s="24" t="str">
        <f>IF(OR(E4552="",E4552="!!!"),"",IF(OR(J4552=0,AND(J4552=1,K4552=1),AND(J4552=1,I4552="SBJ"),AND(J4552=1,I4552=0)),"?IN_FOCUS",IF(J4552&lt;=2,"?ACTIVATED",IF(J4552&lt;&gt;"","?FAMILIAR",IF(F4552="NEW",IF(ISNA(VLOOKUP(E4552,#REF!,1,FALSE())),"?TYPE_IDENTIFIABLE","?REFERENTIAL"),"_")))))</f>
        <v> </v>
      </c>
      <c r="H4552" s="25" t="str">
        <f>IF(J4552&lt;&gt;1,"",IF(I4552="SBJ","CB","?"))</f>
        <v> </v>
      </c>
      <c r="I4552" s="26" t="str">
        <f>IF(OR(E4552="",E4552="!!!",F4552="NEW"),"",INDEX(B4551:B$2,-1+SUMPRODUCT(MAX(ROW(E4551:E$2)*(E4552=E4551:E$2)))))</f>
        <v> </v>
      </c>
      <c r="J4552" s="26" t="str">
        <f>IF(OR(E4552="",E4552="!!!",F4552="NEW"),"",COUNTBLANK(OFFSET(A$1,,,SUMPRODUCT(MAX(ROW(E$2:E4552)*(E4552=E$2:E4552)))))-COUNTBLANK(OFFSET(A$1,,,SUMPRODUCT(MAX(ROW(E$1:E4551)*(E2=E$1:E4551))))))</f>
        <v> </v>
      </c>
      <c r="K4552" s="26" t="str">
        <f>IF(OR(E4552="",E4552="!!!",F4552="NEW"),"",INDEX(J$1:J4551,SUMPRODUCT(MAX(ROW(E$1:E4551)*(E4552=E$1:E4551)))))</f>
        <v> </v>
      </c>
      <c r="L4552" s="27"/>
    </row>
    <row r="4553" spans="1:12">
      <c r="A4553" s="20" t="s">
        <v>1034</v>
      </c>
      <c r="E4553" s="22">
        <f>IF(D4553="?OLD","!!!","")</f>
        <v/>
      </c>
      <c r="F4553" s="23" t="str">
        <f>IF(OR(E4553="",E4553="!!!"),"",IF(NOT(ISNA(VLOOKUP(E4553,E$1:E4552,1,FALSE()))),"OLD",IF(AND(E4553&lt;&gt;"",E4553&lt;&gt;"!!!"),"NEW","")))</f>
        <v> </v>
      </c>
      <c r="G4553" s="24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5" t="str">
        <f>IF(J4553&lt;&gt;1,"",IF(I4553="SBJ","CB","?"))</f>
        <v> </v>
      </c>
      <c r="I4553" s="26" t="str">
        <f>IF(OR(E4553="",E4553="!!!",F4553="NEW"),"",INDEX(B4552:B$2,-1+SUMPRODUCT(MAX(ROW(E4552:E$2)*(E4553=E4552:E$2)))))</f>
        <v> </v>
      </c>
      <c r="J4553" s="26" t="str">
        <f>IF(OR(E4553="",E4553="!!!",F4553="NEW"),"",COUNTBLANK(OFFSET(A$1,,,SUMPRODUCT(MAX(ROW(E$2:E4553)*(E4553=E$2:E4553)))))-COUNTBLANK(OFFSET(A$1,,,SUMPRODUCT(MAX(ROW(E$1:E4552)*(E2=E$1:E4552))))))</f>
        <v> </v>
      </c>
      <c r="K4553" s="26" t="str">
        <f>IF(OR(E4553="",E4553="!!!",F4553="NEW"),"",INDEX(J$1:J4552,SUMPRODUCT(MAX(ROW(E$1:E4552)*(E4553=E$1:E4552)))))</f>
        <v> </v>
      </c>
      <c r="L4553" s="27"/>
    </row>
    <row r="4554" spans="1:12">
      <c r="A4554" s="20" t="s">
        <v>2179</v>
      </c>
      <c r="B4554" s="21" t="s">
        <v>948</v>
      </c>
      <c r="C4554" s="21" t="s">
        <v>949</v>
      </c>
      <c r="D4554" s="21" t="s">
        <v>950</v>
      </c>
      <c r="E4554" s="22">
        <f>IF(D4554="?OLD","!!!","")</f>
        <v/>
      </c>
      <c r="F4554" s="23" t="str">
        <f>IF(OR(E4554="",E4554="!!!"),"",IF(NOT(ISNA(VLOOKUP(E4554,E$1:E4553,1,FALSE()))),"OLD",IF(AND(E4554&lt;&gt;"",E4554&lt;&gt;"!!!"),"NEW","")))</f>
        <v> </v>
      </c>
      <c r="G4554" s="24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5" t="str">
        <f>IF(J4554&lt;&gt;1,"",IF(I4554="SBJ","CB","?"))</f>
        <v> </v>
      </c>
      <c r="I4554" s="26" t="str">
        <f>IF(OR(E4554="",E4554="!!!",F4554="NEW"),"",INDEX(B4553:B$2,-1+SUMPRODUCT(MAX(ROW(E4553:E$2)*(E4554=E4553:E$2)))))</f>
        <v> </v>
      </c>
      <c r="J4554" s="26" t="str">
        <f>IF(OR(E4554="",E4554="!!!",F4554="NEW"),"",COUNTBLANK(OFFSET(A$1,,,SUMPRODUCT(MAX(ROW(E$2:E4554)*(E4554=E$2:E4554)))))-COUNTBLANK(OFFSET(A$1,,,SUMPRODUCT(MAX(ROW(E$1:E4553)*(E2=E$1:E4553))))))</f>
        <v> </v>
      </c>
      <c r="K4554" s="26" t="str">
        <f>IF(OR(E4554="",E4554="!!!",F4554="NEW"),"",INDEX(J$1:J4553,SUMPRODUCT(MAX(ROW(E$1:E4553)*(E4554=E$1:E4553)))))</f>
        <v> </v>
      </c>
      <c r="L4554" s="27"/>
    </row>
    <row r="4555" spans="1:12">
      <c r="A4555" s="20"/>
    </row>
    <row r="4556" spans="1:12">
      <c r="A4556" s="20" t="s">
        <v>953</v>
      </c>
      <c r="E4556" s="22">
        <f>IF(D4556="?OLD","!!!","")</f>
        <v/>
      </c>
      <c r="F4556" s="23" t="str">
        <f>IF(OR(E4556="",E4556="!!!"),"",IF(NOT(ISNA(VLOOKUP(E4556,E$1:E4555,1,FALSE()))),"OLD",IF(AND(E4556&lt;&gt;"",E4556&lt;&gt;"!!!"),"NEW","")))</f>
        <v> </v>
      </c>
      <c r="G4556" s="24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5" t="str">
        <f>IF(J4556&lt;&gt;1,"",IF(I4556="SBJ","CB","?"))</f>
        <v> </v>
      </c>
      <c r="I4556" s="26" t="str">
        <f>IF(OR(E4556="",E4556="!!!",F4556="NEW"),"",INDEX(B4555:B$2,-1+SUMPRODUCT(MAX(ROW(E4555:E$2)*(E4556=E4555:E$2)))))</f>
        <v> </v>
      </c>
      <c r="J4556" s="26" t="str">
        <f>IF(OR(E4556="",E4556="!!!",F4556="NEW"),"",COUNTBLANK(OFFSET(A$1,,,SUMPRODUCT(MAX(ROW(E$2:E4556)*(E4556=E$2:E4556)))))-COUNTBLANK(OFFSET(A$1,,,SUMPRODUCT(MAX(ROW(E$1:E4555)*(E2=E$1:E4555))))))</f>
        <v> </v>
      </c>
      <c r="K4556" s="26" t="str">
        <f>IF(OR(E4556="",E4556="!!!",F4556="NEW"),"",INDEX(J$1:J4555,SUMPRODUCT(MAX(ROW(E$1:E4555)*(E4556=E$1:E4555)))))</f>
        <v> </v>
      </c>
      <c r="L4556" s="27"/>
    </row>
    <row r="4557" spans="1:12">
      <c r="A4557" s="20" t="s">
        <v>2180</v>
      </c>
    </row>
    <row r="4558" spans="1:12">
      <c r="A4558" s="20" t="s">
        <v>2181</v>
      </c>
      <c r="B4558" s="21" t="s">
        <v>956</v>
      </c>
      <c r="C4558" s="21" t="s">
        <v>949</v>
      </c>
      <c r="D4558" s="21" t="s">
        <v>950</v>
      </c>
      <c r="E4558" s="22">
        <f>IF(D4558="?OLD","!!!","")</f>
        <v/>
      </c>
      <c r="F4558" s="23" t="str">
        <f>IF(OR(E4558="",E4558="!!!"),"",IF(NOT(ISNA(VLOOKUP(E4558,E$1:E4557,1,FALSE()))),"OLD",IF(AND(E4558&lt;&gt;"",E4558&lt;&gt;"!!!"),"NEW","")))</f>
        <v> </v>
      </c>
      <c r="G4558" s="24" t="str">
        <f>IF(OR(E4558="",E4558="!!!"),"",IF(OR(J4558=0,AND(J4558=1,K4558=1),AND(J4558=1,I4558="SBJ"),AND(J4558=1,I4558=0)),"?IN_FOCUS",IF(J4558&lt;=2,"?ACTIVATED",IF(J4558&lt;&gt;"","?FAMILIAR",IF(F4558="NEW",IF(ISNA(VLOOKUP(E4558,#REF!,1,FALSE())),"?TYPE_IDENTIFIABLE","?REFERENTIAL"),"_")))))</f>
        <v> </v>
      </c>
      <c r="H4558" s="25" t="str">
        <f>IF(J4558&lt;&gt;1,"",IF(I4558="SBJ","CB","?"))</f>
        <v> </v>
      </c>
      <c r="I4558" s="26" t="str">
        <f>IF(OR(E4558="",E4558="!!!",F4558="NEW"),"",INDEX(B4557:B$2,-1+SUMPRODUCT(MAX(ROW(E4557:E$2)*(E4558=E4557:E$2)))))</f>
        <v> </v>
      </c>
      <c r="J4558" s="26" t="str">
        <f>IF(OR(E4558="",E4558="!!!",F4558="NEW"),"",COUNTBLANK(OFFSET(A$1,,,SUMPRODUCT(MAX(ROW(E$2:E4558)*(E4558=E$2:E4558)))))-COUNTBLANK(OFFSET(A$1,,,SUMPRODUCT(MAX(ROW(E$1:E4557)*(E2=E$1:E4557))))))</f>
        <v> </v>
      </c>
      <c r="K4558" s="26" t="str">
        <f>IF(OR(E4558="",E4558="!!!",F4558="NEW"),"",INDEX(J$1:J4557,SUMPRODUCT(MAX(ROW(E$1:E4557)*(E4558=E$1:E4557)))))</f>
        <v> </v>
      </c>
      <c r="L4558" s="27"/>
    </row>
    <row r="4559" spans="1:12">
      <c r="A4559" s="20" t="s">
        <v>2182</v>
      </c>
      <c r="E4559" s="22">
        <f>IF(D4559="?OLD","!!!","")</f>
        <v/>
      </c>
      <c r="F4559" s="23" t="str">
        <f>IF(OR(E4559="",E4559="!!!"),"",IF(NOT(ISNA(VLOOKUP(E4559,E$1:E4558,1,FALSE()))),"OLD",IF(AND(E4559&lt;&gt;"",E4559&lt;&gt;"!!!"),"NEW","")))</f>
        <v> </v>
      </c>
      <c r="G4559" s="24" t="str">
        <f>IF(OR(E4559="",E4559="!!!"),"",IF(OR(J4559=0,AND(J4559=1,K4559=1),AND(J4559=1,I4559="SBJ"),AND(J4559=1,I4559=0)),"?IN_FOCUS",IF(J4559&lt;=2,"?ACTIVATED",IF(J4559&lt;&gt;"","?FAMILIAR",IF(F4559="NEW",IF(ISNA(VLOOKUP(E4559,#REF!,1,FALSE())),"?TYPE_IDENTIFIABLE","?REFERENTIAL"),"_")))))</f>
        <v> </v>
      </c>
      <c r="H4559" s="25" t="str">
        <f>IF(J4559&lt;&gt;1,"",IF(I4559="SBJ","CB","?"))</f>
        <v> </v>
      </c>
      <c r="I4559" s="26" t="str">
        <f>IF(OR(E4559="",E4559="!!!",F4559="NEW"),"",INDEX(B4558:B$2,-1+SUMPRODUCT(MAX(ROW(E4558:E$2)*(E4559=E4558:E$2)))))</f>
        <v> </v>
      </c>
      <c r="J4559" s="26" t="str">
        <f>IF(OR(E4559="",E4559="!!!",F4559="NEW"),"",COUNTBLANK(OFFSET(A$1,,,SUMPRODUCT(MAX(ROW(E$2:E4559)*(E4559=E$2:E4559)))))-COUNTBLANK(OFFSET(A$1,,,SUMPRODUCT(MAX(ROW(E$1:E4558)*(E2=E$1:E4558))))))</f>
        <v> </v>
      </c>
      <c r="K4559" s="26" t="str">
        <f>IF(OR(E4559="",E4559="!!!",F4559="NEW"),"",INDEX(J$1:J4558,SUMPRODUCT(MAX(ROW(E$1:E4558)*(E4559=E$1:E4558)))))</f>
        <v> </v>
      </c>
      <c r="L4559" s="27"/>
    </row>
    <row r="4560" spans="1:12">
      <c r="A4560" s="20" t="s">
        <v>1022</v>
      </c>
      <c r="E4560" s="22">
        <f>IF(D4560="?OLD","!!!","")</f>
        <v/>
      </c>
      <c r="F4560" s="23" t="str">
        <f>IF(OR(E4560="",E4560="!!!"),"",IF(NOT(ISNA(VLOOKUP(E4560,E$1:E4559,1,FALSE()))),"OLD",IF(AND(E4560&lt;&gt;"",E4560&lt;&gt;"!!!"),"NEW","")))</f>
        <v> </v>
      </c>
      <c r="G4560" s="24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5" t="str">
        <f>IF(J4560&lt;&gt;1,"",IF(I4560="SBJ","CB","?"))</f>
        <v> </v>
      </c>
      <c r="I4560" s="26" t="str">
        <f>IF(OR(E4560="",E4560="!!!",F4560="NEW"),"",INDEX(B4559:B$2,-1+SUMPRODUCT(MAX(ROW(E4559:E$2)*(E4560=E4559:E$2)))))</f>
        <v> </v>
      </c>
      <c r="J4560" s="26" t="str">
        <f>IF(OR(E4560="",E4560="!!!",F4560="NEW"),"",COUNTBLANK(OFFSET(A$1,,,SUMPRODUCT(MAX(ROW(E$2:E4560)*(E4560=E$2:E4560)))))-COUNTBLANK(OFFSET(A$1,,,SUMPRODUCT(MAX(ROW(E$1:E4559)*(E2=E$1:E4559))))))</f>
        <v> </v>
      </c>
      <c r="K4560" s="26" t="str">
        <f>IF(OR(E4560="",E4560="!!!",F4560="NEW"),"",INDEX(J$1:J4559,SUMPRODUCT(MAX(ROW(E$1:E4559)*(E4560=E$1:E4559)))))</f>
        <v> </v>
      </c>
      <c r="L4560" s="27"/>
    </row>
    <row r="4561" spans="1:12">
      <c r="A4561" s="20" t="s">
        <v>2183</v>
      </c>
      <c r="B4561" s="21" t="s">
        <v>959</v>
      </c>
      <c r="C4561" s="21" t="s">
        <v>1032</v>
      </c>
      <c r="D4561" s="21" t="s">
        <v>950</v>
      </c>
      <c r="E4561" s="22">
        <f>IF(D4561="?OLD","!!!","")</f>
        <v/>
      </c>
      <c r="F4561" s="23" t="str">
        <f>IF(OR(E4561="",E4561="!!!"),"",IF(NOT(ISNA(VLOOKUP(E4561,E$1:E4560,1,FALSE()))),"OLD",IF(AND(E4561&lt;&gt;"",E4561&lt;&gt;"!!!"),"NEW","")))</f>
        <v> </v>
      </c>
      <c r="G4561" s="24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5" t="str">
        <f>IF(J4561&lt;&gt;1,"",IF(I4561="SBJ","CB","?"))</f>
        <v> </v>
      </c>
      <c r="I4561" s="26" t="str">
        <f>IF(OR(E4561="",E4561="!!!",F4561="NEW"),"",INDEX(B4560:B$2,-1+SUMPRODUCT(MAX(ROW(E4560:E$2)*(E4561=E4560:E$2)))))</f>
        <v> </v>
      </c>
      <c r="J4561" s="26" t="str">
        <f>IF(OR(E4561="",E4561="!!!",F4561="NEW"),"",COUNTBLANK(OFFSET(A$1,,,SUMPRODUCT(MAX(ROW(E$2:E4561)*(E4561=E$2:E4561)))))-COUNTBLANK(OFFSET(A$1,,,SUMPRODUCT(MAX(ROW(E$1:E4560)*(E2=E$1:E4560))))))</f>
        <v> </v>
      </c>
      <c r="K4561" s="26" t="str">
        <f>IF(OR(E4561="",E4561="!!!",F4561="NEW"),"",INDEX(J$1:J4560,SUMPRODUCT(MAX(ROW(E$1:E4560)*(E4561=E$1:E4560)))))</f>
        <v> </v>
      </c>
      <c r="L4561" s="27"/>
    </row>
    <row r="4562" spans="1:12">
      <c r="A4562" s="20" t="s">
        <v>1000</v>
      </c>
      <c r="E4562" s="22">
        <f>IF(D4562="?OLD","!!!","")</f>
        <v/>
      </c>
      <c r="F4562" s="23" t="str">
        <f>IF(OR(E4562="",E4562="!!!"),"",IF(NOT(ISNA(VLOOKUP(E4562,E$1:E4561,1,FALSE()))),"OLD",IF(AND(E4562&lt;&gt;"",E4562&lt;&gt;"!!!"),"NEW","")))</f>
        <v> </v>
      </c>
      <c r="G4562" s="24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5" t="str">
        <f>IF(J4562&lt;&gt;1,"",IF(I4562="SBJ","CB","?"))</f>
        <v> </v>
      </c>
      <c r="I4562" s="26" t="str">
        <f>IF(OR(E4562="",E4562="!!!",F4562="NEW"),"",INDEX(B4561:B$2,-1+SUMPRODUCT(MAX(ROW(E4561:E$2)*(E4562=E4561:E$2)))))</f>
        <v> </v>
      </c>
      <c r="J4562" s="26" t="str">
        <f>IF(OR(E4562="",E4562="!!!",F4562="NEW"),"",COUNTBLANK(OFFSET(A$1,,,SUMPRODUCT(MAX(ROW(E$2:E4562)*(E4562=E$2:E4562)))))-COUNTBLANK(OFFSET(A$1,,,SUMPRODUCT(MAX(ROW(E$1:E4561)*(E2=E$1:E4561))))))</f>
        <v> </v>
      </c>
      <c r="K4562" s="26" t="str">
        <f>IF(OR(E4562="",E4562="!!!",F4562="NEW"),"",INDEX(J$1:J4561,SUMPRODUCT(MAX(ROW(E$1:E4561)*(E4562=E$1:E4561)))))</f>
        <v> </v>
      </c>
      <c r="L4562" s="27"/>
    </row>
    <row r="4563" spans="1:12">
      <c r="A4563" s="20" t="s">
        <v>1001</v>
      </c>
      <c r="E4563" s="22">
        <f>IF(D4563="?OLD","!!!","")</f>
        <v/>
      </c>
      <c r="F4563" s="23" t="str">
        <f>IF(OR(E4563="",E4563="!!!"),"",IF(NOT(ISNA(VLOOKUP(E4563,E$1:E4562,1,FALSE()))),"OLD",IF(AND(E4563&lt;&gt;"",E4563&lt;&gt;"!!!"),"NEW","")))</f>
        <v> </v>
      </c>
      <c r="G4563" s="24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5" t="str">
        <f>IF(J4563&lt;&gt;1,"",IF(I4563="SBJ","CB","?"))</f>
        <v> </v>
      </c>
      <c r="I4563" s="26" t="str">
        <f>IF(OR(E4563="",E4563="!!!",F4563="NEW"),"",INDEX(B4562:B$2,-1+SUMPRODUCT(MAX(ROW(E4562:E$2)*(E4563=E4562:E$2)))))</f>
        <v> </v>
      </c>
      <c r="J4563" s="26" t="str">
        <f>IF(OR(E4563="",E4563="!!!",F4563="NEW"),"",COUNTBLANK(OFFSET(A$1,,,SUMPRODUCT(MAX(ROW(E$2:E4563)*(E4563=E$2:E4563)))))-COUNTBLANK(OFFSET(A$1,,,SUMPRODUCT(MAX(ROW(E$1:E4562)*(E2=E$1:E4562))))))</f>
        <v> </v>
      </c>
      <c r="K4563" s="26" t="str">
        <f>IF(OR(E4563="",E4563="!!!",F4563="NEW"),"",INDEX(J$1:J4562,SUMPRODUCT(MAX(ROW(E$1:E4562)*(E4563=E$1:E4562)))))</f>
        <v> </v>
      </c>
      <c r="L4563" s="27"/>
    </row>
    <row r="4564" spans="1:12">
      <c r="A4564" s="20" t="s">
        <v>1663</v>
      </c>
      <c r="E4564" s="22">
        <f>IF(D4564="?OLD","!!!","")</f>
        <v/>
      </c>
      <c r="F4564" s="23" t="str">
        <f>IF(OR(E4564="",E4564="!!!"),"",IF(NOT(ISNA(VLOOKUP(E4564,E$1:E4563,1,FALSE()))),"OLD",IF(AND(E4564&lt;&gt;"",E4564&lt;&gt;"!!!"),"NEW","")))</f>
        <v> </v>
      </c>
      <c r="G4564" s="24" t="str">
        <f>IF(OR(E4564="",E4564="!!!"),"",IF(OR(J4564=0,AND(J4564=1,K4564=1),AND(J4564=1,I4564="SBJ"),AND(J4564=1,I4564=0)),"?IN_FOCUS",IF(J4564&lt;=2,"?ACTIVATED",IF(J4564&lt;&gt;"","?FAMILIAR",IF(F4564="NEW",IF(ISNA(VLOOKUP(E4564,#REF!,1,FALSE())),"?TYPE_IDENTIFIABLE","?REFERENTIAL"),"_")))))</f>
        <v> </v>
      </c>
      <c r="H4564" s="25" t="str">
        <f>IF(J4564&lt;&gt;1,"",IF(I4564="SBJ","CB","?"))</f>
        <v> </v>
      </c>
      <c r="I4564" s="26" t="str">
        <f>IF(OR(E4564="",E4564="!!!",F4564="NEW"),"",INDEX(B4563:B$2,-1+SUMPRODUCT(MAX(ROW(E4563:E$2)*(E4564=E4563:E$2)))))</f>
        <v> </v>
      </c>
      <c r="J4564" s="26" t="str">
        <f>IF(OR(E4564="",E4564="!!!",F4564="NEW"),"",COUNTBLANK(OFFSET(A$1,,,SUMPRODUCT(MAX(ROW(E$2:E4564)*(E4564=E$2:E4564)))))-COUNTBLANK(OFFSET(A$1,,,SUMPRODUCT(MAX(ROW(E$1:E4563)*(E2=E$1:E4563))))))</f>
        <v> </v>
      </c>
      <c r="K4564" s="26" t="str">
        <f>IF(OR(E4564="",E4564="!!!",F4564="NEW"),"",INDEX(J$1:J4563,SUMPRODUCT(MAX(ROW(E$1:E4563)*(E4564=E$1:E4563)))))</f>
        <v> </v>
      </c>
      <c r="L4564" s="27"/>
    </row>
    <row r="4565" spans="1:12">
      <c r="A4565" s="20" t="s">
        <v>1094</v>
      </c>
      <c r="B4565" s="21" t="s">
        <v>1143</v>
      </c>
      <c r="C4565" s="21" t="s">
        <v>976</v>
      </c>
      <c r="D4565" s="21" t="s">
        <v>950</v>
      </c>
      <c r="E4565" s="22">
        <f>IF(D4565="?OLD","!!!","")</f>
        <v/>
      </c>
      <c r="F4565" s="23" t="str">
        <f>IF(OR(E4565="",E4565="!!!"),"",IF(NOT(ISNA(VLOOKUP(E4565,E$1:E4564,1,FALSE()))),"OLD",IF(AND(E4565&lt;&gt;"",E4565&lt;&gt;"!!!"),"NEW","")))</f>
        <v> </v>
      </c>
      <c r="G4565" s="24" t="str">
        <f>IF(OR(E4565="",E4565="!!!"),"",IF(OR(J4565=0,AND(J4565=1,K4565=1),AND(J4565=1,I4565="SBJ"),AND(J4565=1,I4565=0)),"?IN_FOCUS",IF(J4565&lt;=2,"?ACTIVATED",IF(J4565&lt;&gt;"","?FAMILIAR",IF(F4565="NEW",IF(ISNA(VLOOKUP(E4565,#REF!,1,FALSE())),"?TYPE_IDENTIFIABLE","?REFERENTIAL"),"_")))))</f>
        <v> </v>
      </c>
      <c r="H4565" s="25" t="str">
        <f>IF(J4565&lt;&gt;1,"",IF(I4565="SBJ","CB","?"))</f>
        <v> </v>
      </c>
      <c r="I4565" s="26" t="str">
        <f>IF(OR(E4565="",E4565="!!!",F4565="NEW"),"",INDEX(B4564:B$2,-1+SUMPRODUCT(MAX(ROW(E4564:E$2)*(E4565=E4564:E$2)))))</f>
        <v> </v>
      </c>
      <c r="J4565" s="26" t="str">
        <f>IF(OR(E4565="",E4565="!!!",F4565="NEW"),"",COUNTBLANK(OFFSET(A$1,,,SUMPRODUCT(MAX(ROW(E$2:E4565)*(E4565=E$2:E4565)))))-COUNTBLANK(OFFSET(A$1,,,SUMPRODUCT(MAX(ROW(E$1:E4564)*(E2=E$1:E4564))))))</f>
        <v> </v>
      </c>
      <c r="K4565" s="26" t="str">
        <f>IF(OR(E4565="",E4565="!!!",F4565="NEW"),"",INDEX(J$1:J4564,SUMPRODUCT(MAX(ROW(E$1:E4564)*(E4565=E$1:E4564)))))</f>
        <v> </v>
      </c>
      <c r="L4565" s="27"/>
    </row>
    <row r="4566" spans="1:12">
      <c r="A4566" s="20" t="s">
        <v>977</v>
      </c>
      <c r="E4566" s="22">
        <f>IF(D4566="?OLD","!!!","")</f>
        <v/>
      </c>
      <c r="F4566" s="23" t="str">
        <f>IF(OR(E4566="",E4566="!!!"),"",IF(NOT(ISNA(VLOOKUP(E4566,E$1:E4565,1,FALSE()))),"OLD",IF(AND(E4566&lt;&gt;"",E4566&lt;&gt;"!!!"),"NEW","")))</f>
        <v> </v>
      </c>
      <c r="G4566" s="24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5" t="str">
        <f>IF(J4566&lt;&gt;1,"",IF(I4566="SBJ","CB","?"))</f>
        <v> </v>
      </c>
      <c r="I4566" s="26" t="str">
        <f>IF(OR(E4566="",E4566="!!!",F4566="NEW"),"",INDEX(B4565:B$2,-1+SUMPRODUCT(MAX(ROW(E4565:E$2)*(E4566=E4565:E$2)))))</f>
        <v> </v>
      </c>
      <c r="J4566" s="26" t="str">
        <f>IF(OR(E4566="",E4566="!!!",F4566="NEW"),"",COUNTBLANK(OFFSET(A$1,,,SUMPRODUCT(MAX(ROW(E$2:E4566)*(E4566=E$2:E4566)))))-COUNTBLANK(OFFSET(A$1,,,SUMPRODUCT(MAX(ROW(E$1:E4565)*(E2=E$1:E4565))))))</f>
        <v> </v>
      </c>
      <c r="K4566" s="26" t="str">
        <f>IF(OR(E4566="",E4566="!!!",F4566="NEW"),"",INDEX(J$1:J4565,SUMPRODUCT(MAX(ROW(E$1:E4565)*(E4566=E$1:E4565)))))</f>
        <v> </v>
      </c>
      <c r="L4566" s="27"/>
    </row>
    <row r="4567" spans="1:12">
      <c r="A4567" s="20" t="s">
        <v>1038</v>
      </c>
      <c r="E4567" s="22">
        <f>IF(D4567="?OLD","!!!","")</f>
        <v/>
      </c>
      <c r="F4567" s="23" t="str">
        <f>IF(OR(E4567="",E4567="!!!"),"",IF(NOT(ISNA(VLOOKUP(E4567,E$1:E4566,1,FALSE()))),"OLD",IF(AND(E4567&lt;&gt;"",E4567&lt;&gt;"!!!"),"NEW","")))</f>
        <v> </v>
      </c>
      <c r="G4567" s="24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5" t="str">
        <f>IF(J4567&lt;&gt;1,"",IF(I4567="SBJ","CB","?"))</f>
        <v> </v>
      </c>
      <c r="I4567" s="26" t="str">
        <f>IF(OR(E4567="",E4567="!!!",F4567="NEW"),"",INDEX(B4566:B$2,-1+SUMPRODUCT(MAX(ROW(E4566:E$2)*(E4567=E4566:E$2)))))</f>
        <v> </v>
      </c>
      <c r="J4567" s="26" t="str">
        <f>IF(OR(E4567="",E4567="!!!",F4567="NEW"),"",COUNTBLANK(OFFSET(A$1,,,SUMPRODUCT(MAX(ROW(E$2:E4567)*(E4567=E$2:E4567)))))-COUNTBLANK(OFFSET(A$1,,,SUMPRODUCT(MAX(ROW(E$1:E4566)*(E2=E$1:E4566))))))</f>
        <v> </v>
      </c>
      <c r="K4567" s="26" t="str">
        <f>IF(OR(E4567="",E4567="!!!",F4567="NEW"),"",INDEX(J$1:J4566,SUMPRODUCT(MAX(ROW(E$1:E4566)*(E4567=E$1:E4566)))))</f>
        <v> </v>
      </c>
      <c r="L4567" s="27"/>
    </row>
    <row r="4568" spans="1:12">
      <c r="A4568" s="20" t="s">
        <v>962</v>
      </c>
      <c r="E4568" s="22">
        <f>IF(D4568="?OLD","!!!","")</f>
        <v/>
      </c>
      <c r="F4568" s="23" t="str">
        <f>IF(OR(E4568="",E4568="!!!"),"",IF(NOT(ISNA(VLOOKUP(E4568,E$1:E4567,1,FALSE()))),"OLD",IF(AND(E4568&lt;&gt;"",E4568&lt;&gt;"!!!"),"NEW","")))</f>
        <v> </v>
      </c>
      <c r="G4568" s="24" t="str">
        <f>IF(OR(E4568="",E4568="!!!"),"",IF(OR(J4568=0,AND(J4568=1,K4568=1),AND(J4568=1,I4568="SBJ"),AND(J4568=1,I4568=0)),"?IN_FOCUS",IF(J4568&lt;=2,"?ACTIVATED",IF(J4568&lt;&gt;"","?FAMILIAR",IF(F4568="NEW",IF(ISNA(VLOOKUP(E4568,#REF!,1,FALSE())),"?TYPE_IDENTIFIABLE","?REFERENTIAL"),"_")))))</f>
        <v> </v>
      </c>
      <c r="H4568" s="25" t="str">
        <f>IF(J4568&lt;&gt;1,"",IF(I4568="SBJ","CB","?"))</f>
        <v> </v>
      </c>
      <c r="I4568" s="26" t="str">
        <f>IF(OR(E4568="",E4568="!!!",F4568="NEW"),"",INDEX(B4567:B$2,-1+SUMPRODUCT(MAX(ROW(E4567:E$2)*(E4568=E4567:E$2)))))</f>
        <v> </v>
      </c>
      <c r="J4568" s="26" t="str">
        <f>IF(OR(E4568="",E4568="!!!",F4568="NEW"),"",COUNTBLANK(OFFSET(A$1,,,SUMPRODUCT(MAX(ROW(E$2:E4568)*(E4568=E$2:E4568)))))-COUNTBLANK(OFFSET(A$1,,,SUMPRODUCT(MAX(ROW(E$1:E4567)*(E2=E$1:E4567))))))</f>
        <v> </v>
      </c>
      <c r="K4568" s="26" t="str">
        <f>IF(OR(E4568="",E4568="!!!",F4568="NEW"),"",INDEX(J$1:J4567,SUMPRODUCT(MAX(ROW(E$1:E4567)*(E4568=E$1:E4567)))))</f>
        <v> </v>
      </c>
      <c r="L4568" s="27"/>
    </row>
    <row r="4569" spans="1:12">
      <c r="A4569" s="20" t="s">
        <v>2184</v>
      </c>
      <c r="B4569" s="21" t="s">
        <v>980</v>
      </c>
      <c r="C4569" s="21" t="s">
        <v>1032</v>
      </c>
      <c r="D4569" s="21" t="s">
        <v>950</v>
      </c>
      <c r="E4569" s="22">
        <f>IF(D4569="?OLD","!!!","")</f>
        <v/>
      </c>
      <c r="F4569" s="23" t="str">
        <f>IF(OR(E4569="",E4569="!!!"),"",IF(NOT(ISNA(VLOOKUP(E4569,E$1:E4568,1,FALSE()))),"OLD",IF(AND(E4569&lt;&gt;"",E4569&lt;&gt;"!!!"),"NEW","")))</f>
        <v> </v>
      </c>
      <c r="G4569" s="24" t="str">
        <f>IF(OR(E4569="",E4569="!!!"),"",IF(OR(J4569=0,AND(J4569=1,K4569=1),AND(J4569=1,I4569="SBJ"),AND(J4569=1,I4569=0)),"?IN_FOCUS",IF(J4569&lt;=2,"?ACTIVATED",IF(J4569&lt;&gt;"","?FAMILIAR",IF(F4569="NEW",IF(ISNA(VLOOKUP(E4569,#REF!,1,FALSE())),"?TYPE_IDENTIFIABLE","?REFERENTIAL"),"_")))))</f>
        <v> </v>
      </c>
      <c r="H4569" s="25" t="str">
        <f>IF(J4569&lt;&gt;1,"",IF(I4569="SBJ","CB","?"))</f>
        <v> </v>
      </c>
      <c r="I4569" s="26" t="str">
        <f>IF(OR(E4569="",E4569="!!!",F4569="NEW"),"",INDEX(B4568:B$2,-1+SUMPRODUCT(MAX(ROW(E4568:E$2)*(E4569=E4568:E$2)))))</f>
        <v> </v>
      </c>
      <c r="J4569" s="26" t="str">
        <f>IF(OR(E4569="",E4569="!!!",F4569="NEW"),"",COUNTBLANK(OFFSET(A$1,,,SUMPRODUCT(MAX(ROW(E$2:E4569)*(E4569=E$2:E4569)))))-COUNTBLANK(OFFSET(A$1,,,SUMPRODUCT(MAX(ROW(E$1:E4568)*(E2=E$1:E4568))))))</f>
        <v> </v>
      </c>
      <c r="K4569" s="26" t="str">
        <f>IF(OR(E4569="",E4569="!!!",F4569="NEW"),"",INDEX(J$1:J4568,SUMPRODUCT(MAX(ROW(E$1:E4568)*(E4569=E$1:E4568)))))</f>
        <v> </v>
      </c>
      <c r="L4569" s="27"/>
    </row>
    <row r="4570" spans="1:12">
      <c r="A4570" s="20" t="s">
        <v>962</v>
      </c>
      <c r="E4570" s="22">
        <f>IF(D4570="?OLD","!!!","")</f>
        <v/>
      </c>
      <c r="F4570" s="23" t="str">
        <f>IF(OR(E4570="",E4570="!!!"),"",IF(NOT(ISNA(VLOOKUP(E4570,E$1:E4569,1,FALSE()))),"OLD",IF(AND(E4570&lt;&gt;"",E4570&lt;&gt;"!!!"),"NEW","")))</f>
        <v> </v>
      </c>
      <c r="G4570" s="24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5" t="str">
        <f>IF(J4570&lt;&gt;1,"",IF(I4570="SBJ","CB","?"))</f>
        <v> </v>
      </c>
      <c r="I4570" s="26" t="str">
        <f>IF(OR(E4570="",E4570="!!!",F4570="NEW"),"",INDEX(B4569:B$2,-1+SUMPRODUCT(MAX(ROW(E4569:E$2)*(E4570=E4569:E$2)))))</f>
        <v> </v>
      </c>
      <c r="J4570" s="26" t="str">
        <f>IF(OR(E4570="",E4570="!!!",F4570="NEW"),"",COUNTBLANK(OFFSET(A$1,,,SUMPRODUCT(MAX(ROW(E$2:E4570)*(E4570=E$2:E4570)))))-COUNTBLANK(OFFSET(A$1,,,SUMPRODUCT(MAX(ROW(E$1:E4569)*(E2=E$1:E4569))))))</f>
        <v> </v>
      </c>
      <c r="K4570" s="26" t="str">
        <f>IF(OR(E4570="",E4570="!!!",F4570="NEW"),"",INDEX(J$1:J4569,SUMPRODUCT(MAX(ROW(E$1:E4569)*(E4570=E$1:E4569)))))</f>
        <v> </v>
      </c>
      <c r="L4570" s="27"/>
    </row>
    <row r="4571" spans="1:12">
      <c r="A4571" s="20" t="s">
        <v>2185</v>
      </c>
      <c r="E4571" s="22">
        <f>IF(D4571="?OLD","!!!","")</f>
        <v/>
      </c>
      <c r="F4571" s="23" t="str">
        <f>IF(OR(E4571="",E4571="!!!"),"",IF(NOT(ISNA(VLOOKUP(E4571,E$1:E4570,1,FALSE()))),"OLD",IF(AND(E4571&lt;&gt;"",E4571&lt;&gt;"!!!"),"NEW","")))</f>
        <v> </v>
      </c>
      <c r="G4571" s="24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5" t="str">
        <f>IF(J4571&lt;&gt;1,"",IF(I4571="SBJ","CB","?"))</f>
        <v> </v>
      </c>
      <c r="I4571" s="26" t="str">
        <f>IF(OR(E4571="",E4571="!!!",F4571="NEW"),"",INDEX(B4570:B$2,-1+SUMPRODUCT(MAX(ROW(E4570:E$2)*(E4571=E4570:E$2)))))</f>
        <v> </v>
      </c>
      <c r="J4571" s="26" t="str">
        <f>IF(OR(E4571="",E4571="!!!",F4571="NEW"),"",COUNTBLANK(OFFSET(A$1,,,SUMPRODUCT(MAX(ROW(E$2:E4571)*(E4571=E$2:E4571)))))-COUNTBLANK(OFFSET(A$1,,,SUMPRODUCT(MAX(ROW(E$1:E4570)*(E2=E$1:E4570))))))</f>
        <v> </v>
      </c>
      <c r="K4571" s="26" t="str">
        <f>IF(OR(E4571="",E4571="!!!",F4571="NEW"),"",INDEX(J$1:J4570,SUMPRODUCT(MAX(ROW(E$1:E4570)*(E4571=E$1:E4570)))))</f>
        <v> </v>
      </c>
      <c r="L4571" s="27"/>
    </row>
    <row r="4572" spans="1:12">
      <c r="A4572" s="20" t="s">
        <v>1006</v>
      </c>
      <c r="E4572" s="22">
        <f>IF(D4572="?OLD","!!!","")</f>
        <v/>
      </c>
      <c r="F4572" s="23" t="str">
        <f>IF(OR(E4572="",E4572="!!!"),"",IF(NOT(ISNA(VLOOKUP(E4572,E$1:E4571,1,FALSE()))),"OLD",IF(AND(E4572&lt;&gt;"",E4572&lt;&gt;"!!!"),"NEW","")))</f>
        <v> </v>
      </c>
      <c r="G4572" s="24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5" t="str">
        <f>IF(J4572&lt;&gt;1,"",IF(I4572="SBJ","CB","?"))</f>
        <v> </v>
      </c>
      <c r="I4572" s="26" t="str">
        <f>IF(OR(E4572="",E4572="!!!",F4572="NEW"),"",INDEX(B4571:B$2,-1+SUMPRODUCT(MAX(ROW(E4571:E$2)*(E4572=E4571:E$2)))))</f>
        <v> </v>
      </c>
      <c r="J4572" s="26" t="str">
        <f>IF(OR(E4572="",E4572="!!!",F4572="NEW"),"",COUNTBLANK(OFFSET(A$1,,,SUMPRODUCT(MAX(ROW(E$2:E4572)*(E4572=E$2:E4572)))))-COUNTBLANK(OFFSET(A$1,,,SUMPRODUCT(MAX(ROW(E$1:E4571)*(E2=E$1:E4571))))))</f>
        <v> </v>
      </c>
      <c r="K4572" s="26" t="str">
        <f>IF(OR(E4572="",E4572="!!!",F4572="NEW"),"",INDEX(J$1:J4571,SUMPRODUCT(MAX(ROW(E$1:E4571)*(E4572=E$1:E4571)))))</f>
        <v> </v>
      </c>
      <c r="L4572" s="27"/>
    </row>
    <row r="4573" spans="1:12">
      <c r="A4573" s="20" t="s">
        <v>1097</v>
      </c>
      <c r="B4573" s="21" t="s">
        <v>975</v>
      </c>
      <c r="C4573" s="21" t="s">
        <v>1008</v>
      </c>
      <c r="D4573" s="21" t="s">
        <v>950</v>
      </c>
      <c r="E4573" s="22">
        <f>IF(D4573="?OLD","!!!","")</f>
        <v/>
      </c>
      <c r="F4573" s="23" t="str">
        <f>IF(OR(E4573="",E4573="!!!"),"",IF(NOT(ISNA(VLOOKUP(E4573,E$1:E4572,1,FALSE()))),"OLD",IF(AND(E4573&lt;&gt;"",E4573&lt;&gt;"!!!"),"NEW","")))</f>
        <v> </v>
      </c>
      <c r="G4573" s="24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5" t="str">
        <f>IF(J4573&lt;&gt;1,"",IF(I4573="SBJ","CB","?"))</f>
        <v> </v>
      </c>
      <c r="I4573" s="26" t="str">
        <f>IF(OR(E4573="",E4573="!!!",F4573="NEW"),"",INDEX(B4572:B$2,-1+SUMPRODUCT(MAX(ROW(E4572:E$2)*(E4573=E4572:E$2)))))</f>
        <v> </v>
      </c>
      <c r="J4573" s="26" t="str">
        <f>IF(OR(E4573="",E4573="!!!",F4573="NEW"),"",COUNTBLANK(OFFSET(A$1,,,SUMPRODUCT(MAX(ROW(E$2:E4573)*(E4573=E$2:E4573)))))-COUNTBLANK(OFFSET(A$1,,,SUMPRODUCT(MAX(ROW(E$1:E4572)*(E2=E$1:E4572))))))</f>
        <v> </v>
      </c>
      <c r="K4573" s="26" t="str">
        <f>IF(OR(E4573="",E4573="!!!",F4573="NEW"),"",INDEX(J$1:J4572,SUMPRODUCT(MAX(ROW(E$1:E4572)*(E4573=E$1:E4572)))))</f>
        <v> </v>
      </c>
      <c r="L4573" s="27"/>
    </row>
    <row r="4574" spans="1:12">
      <c r="A4574" s="20" t="s">
        <v>984</v>
      </c>
      <c r="E4574" s="22">
        <f>IF(D4574="?OLD","!!!","")</f>
        <v/>
      </c>
      <c r="F4574" s="23" t="str">
        <f>IF(OR(E4574="",E4574="!!!"),"",IF(NOT(ISNA(VLOOKUP(E4574,E$1:E4573,1,FALSE()))),"OLD",IF(AND(E4574&lt;&gt;"",E4574&lt;&gt;"!!!"),"NEW","")))</f>
        <v> </v>
      </c>
      <c r="G4574" s="24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5" t="str">
        <f>IF(J4574&lt;&gt;1,"",IF(I4574="SBJ","CB","?"))</f>
        <v> </v>
      </c>
      <c r="I4574" s="26" t="str">
        <f>IF(OR(E4574="",E4574="!!!",F4574="NEW"),"",INDEX(B4573:B$2,-1+SUMPRODUCT(MAX(ROW(E4573:E$2)*(E4574=E4573:E$2)))))</f>
        <v> </v>
      </c>
      <c r="J4574" s="26" t="str">
        <f>IF(OR(E4574="",E4574="!!!",F4574="NEW"),"",COUNTBLANK(OFFSET(A$1,,,SUMPRODUCT(MAX(ROW(E$2:E4574)*(E4574=E$2:E4574)))))-COUNTBLANK(OFFSET(A$1,,,SUMPRODUCT(MAX(ROW(E$1:E4573)*(E2=E$1:E4573))))))</f>
        <v> </v>
      </c>
      <c r="K4574" s="26" t="str">
        <f>IF(OR(E4574="",E4574="!!!",F4574="NEW"),"",INDEX(J$1:J4573,SUMPRODUCT(MAX(ROW(E$1:E4573)*(E4574=E$1:E4573)))))</f>
        <v> </v>
      </c>
      <c r="L4574" s="27"/>
    </row>
    <row r="4575" spans="1:12">
      <c r="A4575" s="20"/>
    </row>
    <row r="4576" spans="1:12">
      <c r="A4576" s="20" t="s">
        <v>2186</v>
      </c>
    </row>
    <row r="4577" spans="1:12">
      <c r="A4577" s="20" t="s">
        <v>2187</v>
      </c>
      <c r="B4577" s="21" t="s">
        <v>956</v>
      </c>
      <c r="C4577" s="21" t="s">
        <v>949</v>
      </c>
      <c r="D4577" s="21" t="s">
        <v>950</v>
      </c>
      <c r="E4577" s="22">
        <f>IF(D4577="?OLD","!!!","")</f>
        <v/>
      </c>
      <c r="F4577" s="23" t="str">
        <f>IF(OR(E4577="",E4577="!!!"),"",IF(NOT(ISNA(VLOOKUP(E4577,E$1:E4576,1,FALSE()))),"OLD",IF(AND(E4577&lt;&gt;"",E4577&lt;&gt;"!!!"),"NEW","")))</f>
        <v> </v>
      </c>
      <c r="G4577" s="24" t="str">
        <f>IF(OR(E4577="",E4577="!!!"),"",IF(OR(J4577=0,AND(J4577=1,K4577=1),AND(J4577=1,I4577="SBJ"),AND(J4577=1,I4577=0)),"?IN_FOCUS",IF(J4577&lt;=2,"?ACTIVATED",IF(J4577&lt;&gt;"","?FAMILIAR",IF(F4577="NEW",IF(ISNA(VLOOKUP(E4577,#REF!,1,FALSE())),"?TYPE_IDENTIFIABLE","?REFERENTIAL"),"_")))))</f>
        <v> </v>
      </c>
      <c r="H4577" s="25" t="str">
        <f>IF(J4577&lt;&gt;1,"",IF(I4577="SBJ","CB","?"))</f>
        <v> </v>
      </c>
      <c r="I4577" s="26" t="str">
        <f>IF(OR(E4577="",E4577="!!!",F4577="NEW"),"",INDEX(B4576:B$2,-1+SUMPRODUCT(MAX(ROW(E4576:E$2)*(E4577=E4576:E$2)))))</f>
        <v> </v>
      </c>
      <c r="J4577" s="26" t="str">
        <f>IF(OR(E4577="",E4577="!!!",F4577="NEW"),"",COUNTBLANK(OFFSET(A$1,,,SUMPRODUCT(MAX(ROW(E$2:E4577)*(E4577=E$2:E4577)))))-COUNTBLANK(OFFSET(A$1,,,SUMPRODUCT(MAX(ROW(E$1:E4576)*(E2=E$1:E4576))))))</f>
        <v> </v>
      </c>
      <c r="K4577" s="26" t="str">
        <f>IF(OR(E4577="",E4577="!!!",F4577="NEW"),"",INDEX(J$1:J4576,SUMPRODUCT(MAX(ROW(E$1:E4576)*(E4577=E$1:E4576)))))</f>
        <v> </v>
      </c>
      <c r="L4577" s="27"/>
    </row>
    <row r="4578" spans="1:12">
      <c r="A4578" s="20" t="s">
        <v>2188</v>
      </c>
      <c r="B4578" s="21" t="s">
        <v>1031</v>
      </c>
      <c r="C4578" s="21" t="s">
        <v>949</v>
      </c>
      <c r="D4578" s="21" t="s">
        <v>950</v>
      </c>
      <c r="E4578" s="22">
        <f>IF(D4578="?OLD","!!!","")</f>
        <v/>
      </c>
      <c r="F4578" s="23" t="str">
        <f>IF(OR(E4578="",E4578="!!!"),"",IF(NOT(ISNA(VLOOKUP(E4578,E$1:E4577,1,FALSE()))),"OLD",IF(AND(E4578&lt;&gt;"",E4578&lt;&gt;"!!!"),"NEW","")))</f>
        <v> </v>
      </c>
      <c r="G4578" s="24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5" t="str">
        <f>IF(J4578&lt;&gt;1,"",IF(I4578="SBJ","CB","?"))</f>
        <v> </v>
      </c>
      <c r="I4578" s="26" t="str">
        <f>IF(OR(E4578="",E4578="!!!",F4578="NEW"),"",INDEX(B4577:B$2,-1+SUMPRODUCT(MAX(ROW(E4577:E$2)*(E4578=E4577:E$2)))))</f>
        <v> </v>
      </c>
      <c r="J4578" s="26" t="str">
        <f>IF(OR(E4578="",E4578="!!!",F4578="NEW"),"",COUNTBLANK(OFFSET(A$1,,,SUMPRODUCT(MAX(ROW(E$2:E4578)*(E4578=E$2:E4578)))))-COUNTBLANK(OFFSET(A$1,,,SUMPRODUCT(MAX(ROW(E$1:E4577)*(E2=E$1:E4577))))))</f>
        <v> </v>
      </c>
      <c r="K4578" s="26" t="str">
        <f>IF(OR(E4578="",E4578="!!!",F4578="NEW"),"",INDEX(J$1:J4577,SUMPRODUCT(MAX(ROW(E$1:E4577)*(E4578=E$1:E4577)))))</f>
        <v> </v>
      </c>
      <c r="L4578" s="27"/>
    </row>
    <row r="4579" spans="1:12">
      <c r="A4579" s="20" t="s">
        <v>1001</v>
      </c>
      <c r="E4579" s="22">
        <f>IF(D4579="?OLD","!!!","")</f>
        <v/>
      </c>
      <c r="F4579" s="23" t="str">
        <f>IF(OR(E4579="",E4579="!!!"),"",IF(NOT(ISNA(VLOOKUP(E4579,E$1:E4578,1,FALSE()))),"OLD",IF(AND(E4579&lt;&gt;"",E4579&lt;&gt;"!!!"),"NEW","")))</f>
        <v> </v>
      </c>
      <c r="G4579" s="24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5" t="str">
        <f>IF(J4579&lt;&gt;1,"",IF(I4579="SBJ","CB","?"))</f>
        <v> </v>
      </c>
      <c r="I4579" s="26" t="str">
        <f>IF(OR(E4579="",E4579="!!!",F4579="NEW"),"",INDEX(B4578:B$2,-1+SUMPRODUCT(MAX(ROW(E4578:E$2)*(E4579=E4578:E$2)))))</f>
        <v> </v>
      </c>
      <c r="J4579" s="26" t="str">
        <f>IF(OR(E4579="",E4579="!!!",F4579="NEW"),"",COUNTBLANK(OFFSET(A$1,,,SUMPRODUCT(MAX(ROW(E$2:E4579)*(E4579=E$2:E4579)))))-COUNTBLANK(OFFSET(A$1,,,SUMPRODUCT(MAX(ROW(E$1:E4578)*(E2=E$1:E4578))))))</f>
        <v> </v>
      </c>
      <c r="K4579" s="26" t="str">
        <f>IF(OR(E4579="",E4579="!!!",F4579="NEW"),"",INDEX(J$1:J4578,SUMPRODUCT(MAX(ROW(E$1:E4578)*(E4579=E$1:E4578)))))</f>
        <v> </v>
      </c>
      <c r="L4579" s="27"/>
    </row>
    <row r="4580" spans="1:12">
      <c r="A4580" s="20" t="s">
        <v>2189</v>
      </c>
      <c r="B4580" s="21" t="s">
        <v>1031</v>
      </c>
      <c r="C4580" s="21" t="s">
        <v>949</v>
      </c>
      <c r="D4580" s="21" t="s">
        <v>950</v>
      </c>
      <c r="E4580" s="22">
        <f>IF(D4580="?OLD","!!!","")</f>
        <v/>
      </c>
      <c r="F4580" s="23" t="str">
        <f>IF(OR(E4580="",E4580="!!!"),"",IF(NOT(ISNA(VLOOKUP(E4580,E$1:E4579,1,FALSE()))),"OLD",IF(AND(E4580&lt;&gt;"",E4580&lt;&gt;"!!!"),"NEW","")))</f>
        <v> </v>
      </c>
      <c r="G4580" s="24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5" t="str">
        <f>IF(J4580&lt;&gt;1,"",IF(I4580="SBJ","CB","?"))</f>
        <v> </v>
      </c>
      <c r="I4580" s="26" t="str">
        <f>IF(OR(E4580="",E4580="!!!",F4580="NEW"),"",INDEX(B4579:B$2,-1+SUMPRODUCT(MAX(ROW(E4579:E$2)*(E4580=E4579:E$2)))))</f>
        <v> </v>
      </c>
      <c r="J4580" s="26" t="str">
        <f>IF(OR(E4580="",E4580="!!!",F4580="NEW"),"",COUNTBLANK(OFFSET(A$1,,,SUMPRODUCT(MAX(ROW(E$2:E4580)*(E4580=E$2:E4580)))))-COUNTBLANK(OFFSET(A$1,,,SUMPRODUCT(MAX(ROW(E$1:E4579)*(E2=E$1:E4579))))))</f>
        <v> </v>
      </c>
      <c r="K4580" s="26" t="str">
        <f>IF(OR(E4580="",E4580="!!!",F4580="NEW"),"",INDEX(J$1:J4579,SUMPRODUCT(MAX(ROW(E$1:E4579)*(E4580=E$1:E4579)))))</f>
        <v> </v>
      </c>
      <c r="L4580" s="27"/>
    </row>
    <row r="4581" spans="1:12">
      <c r="A4581" s="20" t="s">
        <v>2190</v>
      </c>
      <c r="B4581" s="21" t="s">
        <v>980</v>
      </c>
      <c r="C4581" s="21" t="s">
        <v>949</v>
      </c>
      <c r="D4581" s="21" t="s">
        <v>950</v>
      </c>
      <c r="E4581" s="22">
        <f>IF(D4581="?OLD","!!!","")</f>
        <v/>
      </c>
      <c r="F4581" s="23" t="str">
        <f>IF(OR(E4581="",E4581="!!!"),"",IF(NOT(ISNA(VLOOKUP(E4581,E$1:E4580,1,FALSE()))),"OLD",IF(AND(E4581&lt;&gt;"",E4581&lt;&gt;"!!!"),"NEW","")))</f>
        <v> </v>
      </c>
      <c r="G4581" s="24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5" t="str">
        <f>IF(J4581&lt;&gt;1,"",IF(I4581="SBJ","CB","?"))</f>
        <v> </v>
      </c>
      <c r="I4581" s="26" t="str">
        <f>IF(OR(E4581="",E4581="!!!",F4581="NEW"),"",INDEX(B4580:B$2,-1+SUMPRODUCT(MAX(ROW(E4580:E$2)*(E4581=E4580:E$2)))))</f>
        <v> </v>
      </c>
      <c r="J4581" s="26" t="str">
        <f>IF(OR(E4581="",E4581="!!!",F4581="NEW"),"",COUNTBLANK(OFFSET(A$1,,,SUMPRODUCT(MAX(ROW(E$2:E4581)*(E4581=E$2:E4581)))))-COUNTBLANK(OFFSET(A$1,,,SUMPRODUCT(MAX(ROW(E$1:E4580)*(E2=E$1:E4580))))))</f>
        <v> </v>
      </c>
      <c r="K4581" s="26" t="str">
        <f>IF(OR(E4581="",E4581="!!!",F4581="NEW"),"",INDEX(J$1:J4580,SUMPRODUCT(MAX(ROW(E$1:E4580)*(E4581=E$1:E4580)))))</f>
        <v> </v>
      </c>
      <c r="L4581" s="27"/>
    </row>
    <row r="4582" spans="1:12">
      <c r="A4582" s="20" t="s">
        <v>2182</v>
      </c>
      <c r="E4582" s="22">
        <f>IF(D4582="?OLD","!!!","")</f>
        <v/>
      </c>
      <c r="F4582" s="23" t="str">
        <f>IF(OR(E4582="",E4582="!!!"),"",IF(NOT(ISNA(VLOOKUP(E4582,E$1:E4581,1,FALSE()))),"OLD",IF(AND(E4582&lt;&gt;"",E4582&lt;&gt;"!!!"),"NEW","")))</f>
        <v> </v>
      </c>
      <c r="G4582" s="24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5" t="str">
        <f>IF(J4582&lt;&gt;1,"",IF(I4582="SBJ","CB","?"))</f>
        <v> </v>
      </c>
      <c r="I4582" s="26" t="str">
        <f>IF(OR(E4582="",E4582="!!!",F4582="NEW"),"",INDEX(B4581:B$2,-1+SUMPRODUCT(MAX(ROW(E4581:E$2)*(E4582=E4581:E$2)))))</f>
        <v> </v>
      </c>
      <c r="J4582" s="26" t="str">
        <f>IF(OR(E4582="",E4582="!!!",F4582="NEW"),"",COUNTBLANK(OFFSET(A$1,,,SUMPRODUCT(MAX(ROW(E$2:E4582)*(E4582=E$2:E4582)))))-COUNTBLANK(OFFSET(A$1,,,SUMPRODUCT(MAX(ROW(E$1:E4581)*(E2=E$1:E4581))))))</f>
        <v> </v>
      </c>
      <c r="K4582" s="26" t="str">
        <f>IF(OR(E4582="",E4582="!!!",F4582="NEW"),"",INDEX(J$1:J4581,SUMPRODUCT(MAX(ROW(E$1:E4581)*(E4582=E$1:E4581)))))</f>
        <v> </v>
      </c>
      <c r="L4582" s="27"/>
    </row>
    <row r="4583" spans="1:12">
      <c r="A4583" s="20" t="s">
        <v>1022</v>
      </c>
      <c r="E4583" s="22">
        <f>IF(D4583="?OLD","!!!","")</f>
        <v/>
      </c>
      <c r="F4583" s="23" t="str">
        <f>IF(OR(E4583="",E4583="!!!"),"",IF(NOT(ISNA(VLOOKUP(E4583,E$1:E4582,1,FALSE()))),"OLD",IF(AND(E4583&lt;&gt;"",E4583&lt;&gt;"!!!"),"NEW","")))</f>
        <v> </v>
      </c>
      <c r="G4583" s="24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5" t="str">
        <f>IF(J4583&lt;&gt;1,"",IF(I4583="SBJ","CB","?"))</f>
        <v> </v>
      </c>
      <c r="I4583" s="26" t="str">
        <f>IF(OR(E4583="",E4583="!!!",F4583="NEW"),"",INDEX(B4582:B$2,-1+SUMPRODUCT(MAX(ROW(E4582:E$2)*(E4583=E4582:E$2)))))</f>
        <v> </v>
      </c>
      <c r="J4583" s="26" t="str">
        <f>IF(OR(E4583="",E4583="!!!",F4583="NEW"),"",COUNTBLANK(OFFSET(A$1,,,SUMPRODUCT(MAX(ROW(E$2:E4583)*(E4583=E$2:E4583)))))-COUNTBLANK(OFFSET(A$1,,,SUMPRODUCT(MAX(ROW(E$1:E4582)*(E2=E$1:E4582))))))</f>
        <v> </v>
      </c>
      <c r="K4583" s="26" t="str">
        <f>IF(OR(E4583="",E4583="!!!",F4583="NEW"),"",INDEX(J$1:J4582,SUMPRODUCT(MAX(ROW(E$1:E4582)*(E4583=E$1:E4582)))))</f>
        <v> </v>
      </c>
      <c r="L4583" s="27"/>
    </row>
    <row r="4584" spans="1:12">
      <c r="A4584" s="20" t="s">
        <v>2191</v>
      </c>
      <c r="B4584" s="21" t="s">
        <v>959</v>
      </c>
      <c r="C4584" s="21" t="s">
        <v>1032</v>
      </c>
      <c r="D4584" s="21" t="s">
        <v>950</v>
      </c>
      <c r="E4584" s="22">
        <f>IF(D4584="?OLD","!!!","")</f>
        <v/>
      </c>
      <c r="F4584" s="23" t="str">
        <f>IF(OR(E4584="",E4584="!!!"),"",IF(NOT(ISNA(VLOOKUP(E4584,E$1:E4583,1,FALSE()))),"OLD",IF(AND(E4584&lt;&gt;"",E4584&lt;&gt;"!!!"),"NEW","")))</f>
        <v> </v>
      </c>
      <c r="G4584" s="24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5" t="str">
        <f>IF(J4584&lt;&gt;1,"",IF(I4584="SBJ","CB","?"))</f>
        <v> </v>
      </c>
      <c r="I4584" s="26" t="str">
        <f>IF(OR(E4584="",E4584="!!!",F4584="NEW"),"",INDEX(B4583:B$2,-1+SUMPRODUCT(MAX(ROW(E4583:E$2)*(E4584=E4583:E$2)))))</f>
        <v> </v>
      </c>
      <c r="J4584" s="26" t="str">
        <f>IF(OR(E4584="",E4584="!!!",F4584="NEW"),"",COUNTBLANK(OFFSET(A$1,,,SUMPRODUCT(MAX(ROW(E$2:E4584)*(E4584=E$2:E4584)))))-COUNTBLANK(OFFSET(A$1,,,SUMPRODUCT(MAX(ROW(E$1:E4583)*(E2=E$1:E4583))))))</f>
        <v> </v>
      </c>
      <c r="K4584" s="26" t="str">
        <f>IF(OR(E4584="",E4584="!!!",F4584="NEW"),"",INDEX(J$1:J4583,SUMPRODUCT(MAX(ROW(E$1:E4583)*(E4584=E$1:E4583)))))</f>
        <v> </v>
      </c>
      <c r="L4584" s="27"/>
    </row>
    <row r="4585" spans="1:12">
      <c r="A4585" s="20" t="s">
        <v>984</v>
      </c>
      <c r="E4585" s="22">
        <f>IF(D4585="?OLD","!!!","")</f>
        <v/>
      </c>
      <c r="F4585" s="23" t="str">
        <f>IF(OR(E4585="",E4585="!!!"),"",IF(NOT(ISNA(VLOOKUP(E4585,E$1:E4584,1,FALSE()))),"OLD",IF(AND(E4585&lt;&gt;"",E4585&lt;&gt;"!!!"),"NEW","")))</f>
        <v> </v>
      </c>
      <c r="G4585" s="24" t="str">
        <f>IF(OR(E4585="",E4585="!!!"),"",IF(OR(J4585=0,AND(J4585=1,K4585=1),AND(J4585=1,I4585="SBJ"),AND(J4585=1,I4585=0)),"?IN_FOCUS",IF(J4585&lt;=2,"?ACTIVATED",IF(J4585&lt;&gt;"","?FAMILIAR",IF(F4585="NEW",IF(ISNA(VLOOKUP(E4585,#REF!,1,FALSE())),"?TYPE_IDENTIFIABLE","?REFERENTIAL"),"_")))))</f>
        <v> </v>
      </c>
      <c r="H4585" s="25" t="str">
        <f>IF(J4585&lt;&gt;1,"",IF(I4585="SBJ","CB","?"))</f>
        <v> </v>
      </c>
      <c r="I4585" s="26" t="str">
        <f>IF(OR(E4585="",E4585="!!!",F4585="NEW"),"",INDEX(B4584:B$2,-1+SUMPRODUCT(MAX(ROW(E4584:E$2)*(E4585=E4584:E$2)))))</f>
        <v> </v>
      </c>
      <c r="J4585" s="26" t="str">
        <f>IF(OR(E4585="",E4585="!!!",F4585="NEW"),"",COUNTBLANK(OFFSET(A$1,,,SUMPRODUCT(MAX(ROW(E$2:E4585)*(E4585=E$2:E4585)))))-COUNTBLANK(OFFSET(A$1,,,SUMPRODUCT(MAX(ROW(E$1:E4584)*(E2=E$1:E4584))))))</f>
        <v> </v>
      </c>
      <c r="K4585" s="26" t="str">
        <f>IF(OR(E4585="",E4585="!!!",F4585="NEW"),"",INDEX(J$1:J4584,SUMPRODUCT(MAX(ROW(E$1:E4584)*(E4585=E$1:E4584)))))</f>
        <v> </v>
      </c>
      <c r="L4585" s="27"/>
    </row>
    <row r="4586" spans="1:12">
      <c r="A4586" s="20"/>
    </row>
    <row r="4587" spans="1:12">
      <c r="A4587" s="20" t="s">
        <v>2192</v>
      </c>
    </row>
    <row r="4588" spans="1:12">
      <c r="A4588" s="20" t="s">
        <v>2173</v>
      </c>
      <c r="E4588" s="22">
        <f>IF(D4588="?OLD","!!!","")</f>
        <v/>
      </c>
      <c r="F4588" s="23" t="str">
        <f>IF(OR(E4588="",E4588="!!!"),"",IF(NOT(ISNA(VLOOKUP(E4588,E$1:E4587,1,FALSE()))),"OLD",IF(AND(E4588&lt;&gt;"",E4588&lt;&gt;"!!!"),"NEW","")))</f>
        <v> </v>
      </c>
      <c r="G4588" s="24" t="str">
        <f>IF(OR(E4588="",E4588="!!!"),"",IF(OR(J4588=0,AND(J4588=1,K4588=1),AND(J4588=1,I4588="SBJ"),AND(J4588=1,I4588=0)),"?IN_FOCUS",IF(J4588&lt;=2,"?ACTIVATED",IF(J4588&lt;&gt;"","?FAMILIAR",IF(F4588="NEW",IF(ISNA(VLOOKUP(E4588,#REF!,1,FALSE())),"?TYPE_IDENTIFIABLE","?REFERENTIAL"),"_")))))</f>
        <v> </v>
      </c>
      <c r="H4588" s="25" t="str">
        <f>IF(J4588&lt;&gt;1,"",IF(I4588="SBJ","CB","?"))</f>
        <v> </v>
      </c>
      <c r="I4588" s="26" t="str">
        <f>IF(OR(E4588="",E4588="!!!",F4588="NEW"),"",INDEX(B4587:B$2,-1+SUMPRODUCT(MAX(ROW(E4587:E$2)*(E4588=E4587:E$2)))))</f>
        <v> </v>
      </c>
      <c r="J4588" s="26" t="str">
        <f>IF(OR(E4588="",E4588="!!!",F4588="NEW"),"",COUNTBLANK(OFFSET(A$1,,,SUMPRODUCT(MAX(ROW(E$2:E4588)*(E4588=E$2:E4588)))))-COUNTBLANK(OFFSET(A$1,,,SUMPRODUCT(MAX(ROW(E$1:E4587)*(E2=E$1:E4587))))))</f>
        <v> </v>
      </c>
      <c r="K4588" s="26" t="str">
        <f>IF(OR(E4588="",E4588="!!!",F4588="NEW"),"",INDEX(J$1:J4587,SUMPRODUCT(MAX(ROW(E$1:E4587)*(E4588=E$1:E4587)))))</f>
        <v> </v>
      </c>
      <c r="L4588" s="27"/>
    </row>
    <row r="4589" spans="1:12">
      <c r="A4589" s="20" t="s">
        <v>2175</v>
      </c>
      <c r="B4589" s="21" t="s">
        <v>956</v>
      </c>
      <c r="C4589" s="21" t="s">
        <v>976</v>
      </c>
      <c r="D4589" s="21" t="s">
        <v>950</v>
      </c>
      <c r="E4589" s="22">
        <f>IF(D4589="?OLD","!!!","")</f>
        <v/>
      </c>
      <c r="F4589" s="23" t="str">
        <f>IF(OR(E4589="",E4589="!!!"),"",IF(NOT(ISNA(VLOOKUP(E4589,E$1:E4588,1,FALSE()))),"OLD",IF(AND(E4589&lt;&gt;"",E4589&lt;&gt;"!!!"),"NEW","")))</f>
        <v> </v>
      </c>
      <c r="G4589" s="24" t="str">
        <f>IF(OR(E4589="",E4589="!!!"),"",IF(OR(J4589=0,AND(J4589=1,K4589=1),AND(J4589=1,I4589="SBJ"),AND(J4589=1,I4589=0)),"?IN_FOCUS",IF(J4589&lt;=2,"?ACTIVATED",IF(J4589&lt;&gt;"","?FAMILIAR",IF(F4589="NEW",IF(ISNA(VLOOKUP(E4589,#REF!,1,FALSE())),"?TYPE_IDENTIFIABLE","?REFERENTIAL"),"_")))))</f>
        <v> </v>
      </c>
      <c r="H4589" s="25" t="str">
        <f>IF(J4589&lt;&gt;1,"",IF(I4589="SBJ","CB","?"))</f>
        <v> </v>
      </c>
      <c r="I4589" s="26" t="str">
        <f>IF(OR(E4589="",E4589="!!!",F4589="NEW"),"",INDEX(B4588:B$2,-1+SUMPRODUCT(MAX(ROW(E4588:E$2)*(E4589=E4588:E$2)))))</f>
        <v> </v>
      </c>
      <c r="J4589" s="26" t="str">
        <f>IF(OR(E4589="",E4589="!!!",F4589="NEW"),"",COUNTBLANK(OFFSET(A$1,,,SUMPRODUCT(MAX(ROW(E$2:E4589)*(E4589=E$2:E4589)))))-COUNTBLANK(OFFSET(A$1,,,SUMPRODUCT(MAX(ROW(E$1:E4588)*(E2=E$1:E4588))))))</f>
        <v> </v>
      </c>
      <c r="K4589" s="26" t="str">
        <f>IF(OR(E4589="",E4589="!!!",F4589="NEW"),"",INDEX(J$1:J4588,SUMPRODUCT(MAX(ROW(E$1:E4588)*(E4589=E$1:E4588)))))</f>
        <v> </v>
      </c>
      <c r="L4589" s="27"/>
    </row>
    <row r="4590" spans="1:12">
      <c r="A4590" s="20" t="s">
        <v>977</v>
      </c>
      <c r="E4590" s="22">
        <f>IF(D4590="?OLD","!!!","")</f>
        <v/>
      </c>
      <c r="F4590" s="23" t="str">
        <f>IF(OR(E4590="",E4590="!!!"),"",IF(NOT(ISNA(VLOOKUP(E4590,E$1:E4589,1,FALSE()))),"OLD",IF(AND(E4590&lt;&gt;"",E4590&lt;&gt;"!!!"),"NEW","")))</f>
        <v> </v>
      </c>
      <c r="G4590" s="24" t="str">
        <f>IF(OR(E4590="",E4590="!!!"),"",IF(OR(J4590=0,AND(J4590=1,K4590=1),AND(J4590=1,I4590="SBJ"),AND(J4590=1,I4590=0)),"?IN_FOCUS",IF(J4590&lt;=2,"?ACTIVATED",IF(J4590&lt;&gt;"","?FAMILIAR",IF(F4590="NEW",IF(ISNA(VLOOKUP(E4590,#REF!,1,FALSE())),"?TYPE_IDENTIFIABLE","?REFERENTIAL"),"_")))))</f>
        <v> </v>
      </c>
      <c r="H4590" s="25" t="str">
        <f>IF(J4590&lt;&gt;1,"",IF(I4590="SBJ","CB","?"))</f>
        <v> </v>
      </c>
      <c r="I4590" s="26" t="str">
        <f>IF(OR(E4590="",E4590="!!!",F4590="NEW"),"",INDEX(B4589:B$2,-1+SUMPRODUCT(MAX(ROW(E4589:E$2)*(E4590=E4589:E$2)))))</f>
        <v> </v>
      </c>
      <c r="J4590" s="26" t="str">
        <f>IF(OR(E4590="",E4590="!!!",F4590="NEW"),"",COUNTBLANK(OFFSET(A$1,,,SUMPRODUCT(MAX(ROW(E$2:E4590)*(E4590=E$2:E4590)))))-COUNTBLANK(OFFSET(A$1,,,SUMPRODUCT(MAX(ROW(E$1:E4589)*(E2=E$1:E4589))))))</f>
        <v> </v>
      </c>
      <c r="K4590" s="26" t="str">
        <f>IF(OR(E4590="",E4590="!!!",F4590="NEW"),"",INDEX(J$1:J4589,SUMPRODUCT(MAX(ROW(E$1:E4589)*(E4590=E$1:E4589)))))</f>
        <v> </v>
      </c>
      <c r="L4590" s="27"/>
    </row>
    <row r="4591" spans="1:12">
      <c r="A4591" s="20" t="s">
        <v>2174</v>
      </c>
      <c r="B4591" s="21" t="s">
        <v>1031</v>
      </c>
      <c r="C4591" s="21" t="s">
        <v>983</v>
      </c>
      <c r="E4591" s="22">
        <f>IF(D4591="?OLD","!!!","")</f>
        <v/>
      </c>
      <c r="F4591" s="23" t="str">
        <f>IF(OR(E4591="",E4591="!!!"),"",IF(NOT(ISNA(VLOOKUP(E4591,E$1:E4590,1,FALSE()))),"OLD",IF(AND(E4591&lt;&gt;"",E4591&lt;&gt;"!!!"),"NEW","")))</f>
        <v> </v>
      </c>
      <c r="G4591" s="24" t="str">
        <f>IF(OR(E4591="",E4591="!!!"),"",IF(OR(J4591=0,AND(J4591=1,K4591=1),AND(J4591=1,I4591="SBJ"),AND(J4591=1,I4591=0)),"?IN_FOCUS",IF(J4591&lt;=2,"?ACTIVATED",IF(J4591&lt;&gt;"","?FAMILIAR",IF(F4591="NEW",IF(ISNA(VLOOKUP(E4591,#REF!,1,FALSE())),"?TYPE_IDENTIFIABLE","?REFERENTIAL"),"_")))))</f>
        <v> </v>
      </c>
      <c r="H4591" s="25" t="str">
        <f>IF(J4591&lt;&gt;1,"",IF(I4591="SBJ","CB","?"))</f>
        <v> </v>
      </c>
      <c r="I4591" s="26" t="str">
        <f>IF(OR(E4591="",E4591="!!!",F4591="NEW"),"",INDEX(B4590:B$2,-1+SUMPRODUCT(MAX(ROW(E4590:E$2)*(E4591=E4590:E$2)))))</f>
        <v> </v>
      </c>
      <c r="J4591" s="26" t="str">
        <f>IF(OR(E4591="",E4591="!!!",F4591="NEW"),"",COUNTBLANK(OFFSET(A$1,,,SUMPRODUCT(MAX(ROW(E$2:E4591)*(E4591=E$2:E4591)))))-COUNTBLANK(OFFSET(A$1,,,SUMPRODUCT(MAX(ROW(E$1:E4590)*(E2=E$1:E4590))))))</f>
        <v> </v>
      </c>
      <c r="K4591" s="26" t="str">
        <f>IF(OR(E4591="",E4591="!!!",F4591="NEW"),"",INDEX(J$1:J4590,SUMPRODUCT(MAX(ROW(E$1:E4590)*(E4591=E$1:E4590)))))</f>
        <v> </v>
      </c>
      <c r="L4591" s="27"/>
    </row>
    <row r="4592" spans="1:12">
      <c r="A4592" s="20" t="s">
        <v>1000</v>
      </c>
      <c r="E4592" s="22">
        <f>IF(D4592="?OLD","!!!","")</f>
        <v/>
      </c>
      <c r="F4592" s="23" t="str">
        <f>IF(OR(E4592="",E4592="!!!"),"",IF(NOT(ISNA(VLOOKUP(E4592,E$1:E4591,1,FALSE()))),"OLD",IF(AND(E4592&lt;&gt;"",E4592&lt;&gt;"!!!"),"NEW","")))</f>
        <v> </v>
      </c>
      <c r="G4592" s="24" t="str">
        <f>IF(OR(E4592="",E4592="!!!"),"",IF(OR(J4592=0,AND(J4592=1,K4592=1),AND(J4592=1,I4592="SBJ"),AND(J4592=1,I4592=0)),"?IN_FOCUS",IF(J4592&lt;=2,"?ACTIVATED",IF(J4592&lt;&gt;"","?FAMILIAR",IF(F4592="NEW",IF(ISNA(VLOOKUP(E4592,#REF!,1,FALSE())),"?TYPE_IDENTIFIABLE","?REFERENTIAL"),"_")))))</f>
        <v> </v>
      </c>
      <c r="H4592" s="25" t="str">
        <f>IF(J4592&lt;&gt;1,"",IF(I4592="SBJ","CB","?"))</f>
        <v> </v>
      </c>
      <c r="I4592" s="26" t="str">
        <f>IF(OR(E4592="",E4592="!!!",F4592="NEW"),"",INDEX(B4591:B$2,-1+SUMPRODUCT(MAX(ROW(E4591:E$2)*(E4592=E4591:E$2)))))</f>
        <v> </v>
      </c>
      <c r="J4592" s="26" t="str">
        <f>IF(OR(E4592="",E4592="!!!",F4592="NEW"),"",COUNTBLANK(OFFSET(A$1,,,SUMPRODUCT(MAX(ROW(E$2:E4592)*(E4592=E$2:E4592)))))-COUNTBLANK(OFFSET(A$1,,,SUMPRODUCT(MAX(ROW(E$1:E4591)*(E2=E$1:E4591))))))</f>
        <v> </v>
      </c>
      <c r="K4592" s="26" t="str">
        <f>IF(OR(E4592="",E4592="!!!",F4592="NEW"),"",INDEX(J$1:J4591,SUMPRODUCT(MAX(ROW(E$1:E4591)*(E4592=E$1:E4591)))))</f>
        <v> </v>
      </c>
      <c r="L4592" s="27"/>
    </row>
    <row r="4593" spans="1:12">
      <c r="A4593" s="20" t="s">
        <v>1022</v>
      </c>
      <c r="E4593" s="22">
        <f>IF(D4593="?OLD","!!!","")</f>
        <v/>
      </c>
      <c r="F4593" s="23" t="str">
        <f>IF(OR(E4593="",E4593="!!!"),"",IF(NOT(ISNA(VLOOKUP(E4593,E$1:E4592,1,FALSE()))),"OLD",IF(AND(E4593&lt;&gt;"",E4593&lt;&gt;"!!!"),"NEW","")))</f>
        <v> </v>
      </c>
      <c r="G4593" s="24" t="str">
        <f>IF(OR(E4593="",E4593="!!!"),"",IF(OR(J4593=0,AND(J4593=1,K4593=1),AND(J4593=1,I4593="SBJ"),AND(J4593=1,I4593=0)),"?IN_FOCUS",IF(J4593&lt;=2,"?ACTIVATED",IF(J4593&lt;&gt;"","?FAMILIAR",IF(F4593="NEW",IF(ISNA(VLOOKUP(E4593,#REF!,1,FALSE())),"?TYPE_IDENTIFIABLE","?REFERENTIAL"),"_")))))</f>
        <v> </v>
      </c>
      <c r="H4593" s="25" t="str">
        <f>IF(J4593&lt;&gt;1,"",IF(I4593="SBJ","CB","?"))</f>
        <v> </v>
      </c>
      <c r="I4593" s="26" t="str">
        <f>IF(OR(E4593="",E4593="!!!",F4593="NEW"),"",INDEX(B4592:B$2,-1+SUMPRODUCT(MAX(ROW(E4592:E$2)*(E4593=E4592:E$2)))))</f>
        <v> </v>
      </c>
      <c r="J4593" s="26" t="str">
        <f>IF(OR(E4593="",E4593="!!!",F4593="NEW"),"",COUNTBLANK(OFFSET(A$1,,,SUMPRODUCT(MAX(ROW(E$2:E4593)*(E4593=E$2:E4593)))))-COUNTBLANK(OFFSET(A$1,,,SUMPRODUCT(MAX(ROW(E$1:E4592)*(E2=E$1:E4592))))))</f>
        <v> </v>
      </c>
      <c r="K4593" s="26" t="str">
        <f>IF(OR(E4593="",E4593="!!!",F4593="NEW"),"",INDEX(J$1:J4592,SUMPRODUCT(MAX(ROW(E$1:E4592)*(E4593=E$1:E4592)))))</f>
        <v> </v>
      </c>
      <c r="L4593" s="27"/>
    </row>
    <row r="4594" spans="1:12">
      <c r="A4594" s="20" t="s">
        <v>1006</v>
      </c>
      <c r="E4594" s="22">
        <f>IF(D4594="?OLD","!!!","")</f>
        <v/>
      </c>
      <c r="F4594" s="23" t="str">
        <f>IF(OR(E4594="",E4594="!!!"),"",IF(NOT(ISNA(VLOOKUP(E4594,E$1:E4593,1,FALSE()))),"OLD",IF(AND(E4594&lt;&gt;"",E4594&lt;&gt;"!!!"),"NEW","")))</f>
        <v> </v>
      </c>
      <c r="G4594" s="24" t="str">
        <f>IF(OR(E4594="",E4594="!!!"),"",IF(OR(J4594=0,AND(J4594=1,K4594=1),AND(J4594=1,I4594="SBJ"),AND(J4594=1,I4594=0)),"?IN_FOCUS",IF(J4594&lt;=2,"?ACTIVATED",IF(J4594&lt;&gt;"","?FAMILIAR",IF(F4594="NEW",IF(ISNA(VLOOKUP(E4594,#REF!,1,FALSE())),"?TYPE_IDENTIFIABLE","?REFERENTIAL"),"_")))))</f>
        <v> </v>
      </c>
      <c r="H4594" s="25" t="str">
        <f>IF(J4594&lt;&gt;1,"",IF(I4594="SBJ","CB","?"))</f>
        <v> </v>
      </c>
      <c r="I4594" s="26" t="str">
        <f>IF(OR(E4594="",E4594="!!!",F4594="NEW"),"",INDEX(B4593:B$2,-1+SUMPRODUCT(MAX(ROW(E4593:E$2)*(E4594=E4593:E$2)))))</f>
        <v> </v>
      </c>
      <c r="J4594" s="26" t="str">
        <f>IF(OR(E4594="",E4594="!!!",F4594="NEW"),"",COUNTBLANK(OFFSET(A$1,,,SUMPRODUCT(MAX(ROW(E$2:E4594)*(E4594=E$2:E4594)))))-COUNTBLANK(OFFSET(A$1,,,SUMPRODUCT(MAX(ROW(E$1:E4593)*(E2=E$1:E4593))))))</f>
        <v> </v>
      </c>
      <c r="K4594" s="26" t="str">
        <f>IF(OR(E4594="",E4594="!!!",F4594="NEW"),"",INDEX(J$1:J4593,SUMPRODUCT(MAX(ROW(E$1:E4593)*(E4594=E$1:E4593)))))</f>
        <v> </v>
      </c>
      <c r="L4594" s="27"/>
    </row>
    <row r="4595" spans="1:12">
      <c r="A4595" s="20" t="s">
        <v>2193</v>
      </c>
      <c r="E4595" s="22">
        <f>IF(D4595="?OLD","!!!","")</f>
        <v/>
      </c>
      <c r="F4595" s="23" t="str">
        <f>IF(OR(E4595="",E4595="!!!"),"",IF(NOT(ISNA(VLOOKUP(E4595,E$1:E4594,1,FALSE()))),"OLD",IF(AND(E4595&lt;&gt;"",E4595&lt;&gt;"!!!"),"NEW","")))</f>
        <v> </v>
      </c>
      <c r="G4595" s="24" t="str">
        <f>IF(OR(E4595="",E4595="!!!"),"",IF(OR(J4595=0,AND(J4595=1,K4595=1),AND(J4595=1,I4595="SBJ"),AND(J4595=1,I4595=0)),"?IN_FOCUS",IF(J4595&lt;=2,"?ACTIVATED",IF(J4595&lt;&gt;"","?FAMILIAR",IF(F4595="NEW",IF(ISNA(VLOOKUP(E4595,#REF!,1,FALSE())),"?TYPE_IDENTIFIABLE","?REFERENTIAL"),"_")))))</f>
        <v> </v>
      </c>
      <c r="H4595" s="25" t="str">
        <f>IF(J4595&lt;&gt;1,"",IF(I4595="SBJ","CB","?"))</f>
        <v> </v>
      </c>
      <c r="I4595" s="26" t="str">
        <f>IF(OR(E4595="",E4595="!!!",F4595="NEW"),"",INDEX(B4594:B$2,-1+SUMPRODUCT(MAX(ROW(E4594:E$2)*(E4595=E4594:E$2)))))</f>
        <v> </v>
      </c>
      <c r="J4595" s="26" t="str">
        <f>IF(OR(E4595="",E4595="!!!",F4595="NEW"),"",COUNTBLANK(OFFSET(A$1,,,SUMPRODUCT(MAX(ROW(E$2:E4595)*(E4595=E$2:E4595)))))-COUNTBLANK(OFFSET(A$1,,,SUMPRODUCT(MAX(ROW(E$1:E4594)*(E2=E$1:E4594))))))</f>
        <v> </v>
      </c>
      <c r="K4595" s="26" t="str">
        <f>IF(OR(E4595="",E4595="!!!",F4595="NEW"),"",INDEX(J$1:J4594,SUMPRODUCT(MAX(ROW(E$1:E4594)*(E4595=E$1:E4594)))))</f>
        <v> </v>
      </c>
      <c r="L4595" s="27"/>
    </row>
    <row r="4596" spans="1:12">
      <c r="A4596" s="20" t="s">
        <v>1041</v>
      </c>
      <c r="E4596" s="22">
        <f>IF(D4596="?OLD","!!!","")</f>
        <v/>
      </c>
      <c r="F4596" s="23" t="str">
        <f>IF(OR(E4596="",E4596="!!!"),"",IF(NOT(ISNA(VLOOKUP(E4596,E$1:E4595,1,FALSE()))),"OLD",IF(AND(E4596&lt;&gt;"",E4596&lt;&gt;"!!!"),"NEW","")))</f>
        <v> </v>
      </c>
      <c r="G4596" s="24" t="str">
        <f>IF(OR(E4596="",E4596="!!!"),"",IF(OR(J4596=0,AND(J4596=1,K4596=1),AND(J4596=1,I4596="SBJ"),AND(J4596=1,I4596=0)),"?IN_FOCUS",IF(J4596&lt;=2,"?ACTIVATED",IF(J4596&lt;&gt;"","?FAMILIAR",IF(F4596="NEW",IF(ISNA(VLOOKUP(E4596,#REF!,1,FALSE())),"?TYPE_IDENTIFIABLE","?REFERENTIAL"),"_")))))</f>
        <v> </v>
      </c>
      <c r="H4596" s="25" t="str">
        <f>IF(J4596&lt;&gt;1,"",IF(I4596="SBJ","CB","?"))</f>
        <v> </v>
      </c>
      <c r="I4596" s="26" t="str">
        <f>IF(OR(E4596="",E4596="!!!",F4596="NEW"),"",INDEX(B4595:B$2,-1+SUMPRODUCT(MAX(ROW(E4595:E$2)*(E4596=E4595:E$2)))))</f>
        <v> </v>
      </c>
      <c r="J4596" s="26" t="str">
        <f>IF(OR(E4596="",E4596="!!!",F4596="NEW"),"",COUNTBLANK(OFFSET(A$1,,,SUMPRODUCT(MAX(ROW(E$2:E4596)*(E4596=E$2:E4596)))))-COUNTBLANK(OFFSET(A$1,,,SUMPRODUCT(MAX(ROW(E$1:E4595)*(E2=E$1:E4595))))))</f>
        <v> </v>
      </c>
      <c r="K4596" s="26" t="str">
        <f>IF(OR(E4596="",E4596="!!!",F4596="NEW"),"",INDEX(J$1:J4595,SUMPRODUCT(MAX(ROW(E$1:E4595)*(E4596=E$1:E4595)))))</f>
        <v> </v>
      </c>
      <c r="L4596" s="27"/>
    </row>
    <row r="4597" spans="1:12">
      <c r="A4597" s="20" t="s">
        <v>2194</v>
      </c>
      <c r="B4597" s="21" t="s">
        <v>975</v>
      </c>
      <c r="C4597" s="21" t="s">
        <v>1044</v>
      </c>
      <c r="D4597" s="21" t="s">
        <v>950</v>
      </c>
      <c r="E4597" s="22">
        <f>IF(D4597="?OLD","!!!","")</f>
        <v/>
      </c>
      <c r="F4597" s="23" t="str">
        <f>IF(OR(E4597="",E4597="!!!"),"",IF(NOT(ISNA(VLOOKUP(E4597,E$1:E4596,1,FALSE()))),"OLD",IF(AND(E4597&lt;&gt;"",E4597&lt;&gt;"!!!"),"NEW","")))</f>
        <v> </v>
      </c>
      <c r="G4597" s="24" t="str">
        <f>IF(OR(E4597="",E4597="!!!"),"",IF(OR(J4597=0,AND(J4597=1,K4597=1),AND(J4597=1,I4597="SBJ"),AND(J4597=1,I4597=0)),"?IN_FOCUS",IF(J4597&lt;=2,"?ACTIVATED",IF(J4597&lt;&gt;"","?FAMILIAR",IF(F4597="NEW",IF(ISNA(VLOOKUP(E4597,#REF!,1,FALSE())),"?TYPE_IDENTIFIABLE","?REFERENTIAL"),"_")))))</f>
        <v> </v>
      </c>
      <c r="H4597" s="25" t="str">
        <f>IF(J4597&lt;&gt;1,"",IF(I4597="SBJ","CB","?"))</f>
        <v> </v>
      </c>
      <c r="I4597" s="26" t="str">
        <f>IF(OR(E4597="",E4597="!!!",F4597="NEW"),"",INDEX(B4596:B$2,-1+SUMPRODUCT(MAX(ROW(E4596:E$2)*(E4597=E4596:E$2)))))</f>
        <v> </v>
      </c>
      <c r="J4597" s="26" t="str">
        <f>IF(OR(E4597="",E4597="!!!",F4597="NEW"),"",COUNTBLANK(OFFSET(A$1,,,SUMPRODUCT(MAX(ROW(E$2:E4597)*(E4597=E$2:E4597)))))-COUNTBLANK(OFFSET(A$1,,,SUMPRODUCT(MAX(ROW(E$1:E4596)*(E2=E$1:E4596))))))</f>
        <v> </v>
      </c>
      <c r="K4597" s="26" t="str">
        <f>IF(OR(E4597="",E4597="!!!",F4597="NEW"),"",INDEX(J$1:J4596,SUMPRODUCT(MAX(ROW(E$1:E4596)*(E4597=E$1:E4596)))))</f>
        <v> </v>
      </c>
      <c r="L4597" s="27"/>
    </row>
    <row r="4598" spans="1:12">
      <c r="A4598" s="20" t="s">
        <v>1000</v>
      </c>
      <c r="E4598" s="22">
        <f>IF(D4598="?OLD","!!!","")</f>
        <v/>
      </c>
      <c r="F4598" s="23" t="str">
        <f>IF(OR(E4598="",E4598="!!!"),"",IF(NOT(ISNA(VLOOKUP(E4598,E$1:E4597,1,FALSE()))),"OLD",IF(AND(E4598&lt;&gt;"",E4598&lt;&gt;"!!!"),"NEW","")))</f>
        <v> </v>
      </c>
      <c r="G4598" s="24" t="str">
        <f>IF(OR(E4598="",E4598="!!!"),"",IF(OR(J4598=0,AND(J4598=1,K4598=1),AND(J4598=1,I4598="SBJ"),AND(J4598=1,I4598=0)),"?IN_FOCUS",IF(J4598&lt;=2,"?ACTIVATED",IF(J4598&lt;&gt;"","?FAMILIAR",IF(F4598="NEW",IF(ISNA(VLOOKUP(E4598,#REF!,1,FALSE())),"?TYPE_IDENTIFIABLE","?REFERENTIAL"),"_")))))</f>
        <v> </v>
      </c>
      <c r="H4598" s="25" t="str">
        <f>IF(J4598&lt;&gt;1,"",IF(I4598="SBJ","CB","?"))</f>
        <v> </v>
      </c>
      <c r="I4598" s="26" t="str">
        <f>IF(OR(E4598="",E4598="!!!",F4598="NEW"),"",INDEX(B4597:B$2,-1+SUMPRODUCT(MAX(ROW(E4597:E$2)*(E4598=E4597:E$2)))))</f>
        <v> </v>
      </c>
      <c r="J4598" s="26" t="str">
        <f>IF(OR(E4598="",E4598="!!!",F4598="NEW"),"",COUNTBLANK(OFFSET(A$1,,,SUMPRODUCT(MAX(ROW(E$2:E4598)*(E4598=E$2:E4598)))))-COUNTBLANK(OFFSET(A$1,,,SUMPRODUCT(MAX(ROW(E$1:E4597)*(E2=E$1:E4597))))))</f>
        <v> </v>
      </c>
      <c r="K4598" s="26" t="str">
        <f>IF(OR(E4598="",E4598="!!!",F4598="NEW"),"",INDEX(J$1:J4597,SUMPRODUCT(MAX(ROW(E$1:E4597)*(E4598=E$1:E4597)))))</f>
        <v> </v>
      </c>
      <c r="L4598" s="27"/>
    </row>
    <row r="4599" spans="1:12">
      <c r="A4599" s="20" t="s">
        <v>1194</v>
      </c>
      <c r="B4599" s="21" t="s">
        <v>959</v>
      </c>
      <c r="C4599" s="21" t="s">
        <v>960</v>
      </c>
      <c r="D4599" s="21" t="s">
        <v>950</v>
      </c>
      <c r="E4599" s="22">
        <f>IF(D4599="?OLD","!!!","")</f>
        <v/>
      </c>
      <c r="F4599" s="23" t="str">
        <f>IF(OR(E4599="",E4599="!!!"),"",IF(NOT(ISNA(VLOOKUP(E4599,E$1:E4598,1,FALSE()))),"OLD",IF(AND(E4599&lt;&gt;"",E4599&lt;&gt;"!!!"),"NEW","")))</f>
        <v> </v>
      </c>
      <c r="G4599" s="24" t="str">
        <f>IF(OR(E4599="",E4599="!!!"),"",IF(OR(J4599=0,AND(J4599=1,K4599=1),AND(J4599=1,I4599="SBJ"),AND(J4599=1,I4599=0)),"?IN_FOCUS",IF(J4599&lt;=2,"?ACTIVATED",IF(J4599&lt;&gt;"","?FAMILIAR",IF(F4599="NEW",IF(ISNA(VLOOKUP(E4599,#REF!,1,FALSE())),"?TYPE_IDENTIFIABLE","?REFERENTIAL"),"_")))))</f>
        <v> </v>
      </c>
      <c r="H4599" s="25" t="str">
        <f>IF(J4599&lt;&gt;1,"",IF(I4599="SBJ","CB","?"))</f>
        <v> </v>
      </c>
      <c r="I4599" s="26" t="str">
        <f>IF(OR(E4599="",E4599="!!!",F4599="NEW"),"",INDEX(B4598:B$2,-1+SUMPRODUCT(MAX(ROW(E4598:E$2)*(E4599=E4598:E$2)))))</f>
        <v> </v>
      </c>
      <c r="J4599" s="26" t="str">
        <f>IF(OR(E4599="",E4599="!!!",F4599="NEW"),"",COUNTBLANK(OFFSET(A$1,,,SUMPRODUCT(MAX(ROW(E$2:E4599)*(E4599=E$2:E4599)))))-COUNTBLANK(OFFSET(A$1,,,SUMPRODUCT(MAX(ROW(E$1:E4598)*(E2=E$1:E4598))))))</f>
        <v> </v>
      </c>
      <c r="K4599" s="26" t="str">
        <f>IF(OR(E4599="",E4599="!!!",F4599="NEW"),"",INDEX(J$1:J4598,SUMPRODUCT(MAX(ROW(E$1:E4598)*(E4599=E$1:E4598)))))</f>
        <v> </v>
      </c>
      <c r="L4599" s="27"/>
    </row>
    <row r="4600" spans="1:12">
      <c r="A4600" s="20" t="s">
        <v>2195</v>
      </c>
      <c r="E4600" s="22">
        <f>IF(D4600="?OLD","!!!","")</f>
        <v/>
      </c>
      <c r="F4600" s="23" t="str">
        <f>IF(OR(E4600="",E4600="!!!"),"",IF(NOT(ISNA(VLOOKUP(E4600,E$1:E4599,1,FALSE()))),"OLD",IF(AND(E4600&lt;&gt;"",E4600&lt;&gt;"!!!"),"NEW","")))</f>
        <v> </v>
      </c>
      <c r="G4600" s="24" t="str">
        <f>IF(OR(E4600="",E4600="!!!"),"",IF(OR(J4600=0,AND(J4600=1,K4600=1),AND(J4600=1,I4600="SBJ"),AND(J4600=1,I4600=0)),"?IN_FOCUS",IF(J4600&lt;=2,"?ACTIVATED",IF(J4600&lt;&gt;"","?FAMILIAR",IF(F4600="NEW",IF(ISNA(VLOOKUP(E4600,#REF!,1,FALSE())),"?TYPE_IDENTIFIABLE","?REFERENTIAL"),"_")))))</f>
        <v> </v>
      </c>
      <c r="H4600" s="25" t="str">
        <f>IF(J4600&lt;&gt;1,"",IF(I4600="SBJ","CB","?"))</f>
        <v> </v>
      </c>
      <c r="I4600" s="26" t="str">
        <f>IF(OR(E4600="",E4600="!!!",F4600="NEW"),"",INDEX(B4599:B$2,-1+SUMPRODUCT(MAX(ROW(E4599:E$2)*(E4600=E4599:E$2)))))</f>
        <v> </v>
      </c>
      <c r="J4600" s="26" t="str">
        <f>IF(OR(E4600="",E4600="!!!",F4600="NEW"),"",COUNTBLANK(OFFSET(A$1,,,SUMPRODUCT(MAX(ROW(E$2:E4600)*(E4600=E$2:E4600)))))-COUNTBLANK(OFFSET(A$1,,,SUMPRODUCT(MAX(ROW(E$1:E4599)*(E2=E$1:E4599))))))</f>
        <v> </v>
      </c>
      <c r="K4600" s="26" t="str">
        <f>IF(OR(E4600="",E4600="!!!",F4600="NEW"),"",INDEX(J$1:J4599,SUMPRODUCT(MAX(ROW(E$1:E4599)*(E4600=E$1:E4599)))))</f>
        <v> </v>
      </c>
      <c r="L4600" s="27"/>
    </row>
    <row r="4601" spans="1:12">
      <c r="A4601" s="20" t="s">
        <v>143</v>
      </c>
      <c r="E4601" s="22">
        <f>IF(D4601="?OLD","!!!","")</f>
        <v/>
      </c>
      <c r="F4601" s="23" t="str">
        <f>IF(OR(E4601="",E4601="!!!"),"",IF(NOT(ISNA(VLOOKUP(E4601,E$1:E4600,1,FALSE()))),"OLD",IF(AND(E4601&lt;&gt;"",E4601&lt;&gt;"!!!"),"NEW","")))</f>
        <v> </v>
      </c>
      <c r="G4601" s="24" t="str">
        <f>IF(OR(E4601="",E4601="!!!"),"",IF(OR(J4601=0,AND(J4601=1,K4601=1),AND(J4601=1,I4601="SBJ"),AND(J4601=1,I4601=0)),"?IN_FOCUS",IF(J4601&lt;=2,"?ACTIVATED",IF(J4601&lt;&gt;"","?FAMILIAR",IF(F4601="NEW",IF(ISNA(VLOOKUP(E4601,#REF!,1,FALSE())),"?TYPE_IDENTIFIABLE","?REFERENTIAL"),"_")))))</f>
        <v> </v>
      </c>
      <c r="H4601" s="25" t="str">
        <f>IF(J4601&lt;&gt;1,"",IF(I4601="SBJ","CB","?"))</f>
        <v> </v>
      </c>
      <c r="I4601" s="26" t="str">
        <f>IF(OR(E4601="",E4601="!!!",F4601="NEW"),"",INDEX(B4600:B$2,-1+SUMPRODUCT(MAX(ROW(E4600:E$2)*(E4601=E4600:E$2)))))</f>
        <v> </v>
      </c>
      <c r="J4601" s="26" t="str">
        <f>IF(OR(E4601="",E4601="!!!",F4601="NEW"),"",COUNTBLANK(OFFSET(A$1,,,SUMPRODUCT(MAX(ROW(E$2:E4601)*(E4601=E$2:E4601)))))-COUNTBLANK(OFFSET(A$1,,,SUMPRODUCT(MAX(ROW(E$1:E4600)*(E2=E$1:E4600))))))</f>
        <v> </v>
      </c>
      <c r="K4601" s="26" t="str">
        <f>IF(OR(E4601="",E4601="!!!",F4601="NEW"),"",INDEX(J$1:J4600,SUMPRODUCT(MAX(ROW(E$1:E4600)*(E4601=E$1:E4600)))))</f>
        <v> </v>
      </c>
      <c r="L4601" s="27"/>
    </row>
    <row r="4602" spans="1:12">
      <c r="A4602" s="20" t="s">
        <v>1021</v>
      </c>
      <c r="E4602" s="22">
        <f>IF(D4602="?OLD","!!!","")</f>
        <v/>
      </c>
      <c r="F4602" s="23" t="str">
        <f>IF(OR(E4602="",E4602="!!!"),"",IF(NOT(ISNA(VLOOKUP(E4602,E$1:E4601,1,FALSE()))),"OLD",IF(AND(E4602&lt;&gt;"",E4602&lt;&gt;"!!!"),"NEW","")))</f>
        <v> </v>
      </c>
      <c r="G4602" s="24" t="str">
        <f>IF(OR(E4602="",E4602="!!!"),"",IF(OR(J4602=0,AND(J4602=1,K4602=1),AND(J4602=1,I4602="SBJ"),AND(J4602=1,I4602=0)),"?IN_FOCUS",IF(J4602&lt;=2,"?ACTIVATED",IF(J4602&lt;&gt;"","?FAMILIAR",IF(F4602="NEW",IF(ISNA(VLOOKUP(E4602,#REF!,1,FALSE())),"?TYPE_IDENTIFIABLE","?REFERENTIAL"),"_")))))</f>
        <v> </v>
      </c>
      <c r="H4602" s="25" t="str">
        <f>IF(J4602&lt;&gt;1,"",IF(I4602="SBJ","CB","?"))</f>
        <v> </v>
      </c>
      <c r="I4602" s="26" t="str">
        <f>IF(OR(E4602="",E4602="!!!",F4602="NEW"),"",INDEX(B4601:B$2,-1+SUMPRODUCT(MAX(ROW(E4601:E$2)*(E4602=E4601:E$2)))))</f>
        <v> </v>
      </c>
      <c r="J4602" s="26" t="str">
        <f>IF(OR(E4602="",E4602="!!!",F4602="NEW"),"",COUNTBLANK(OFFSET(A$1,,,SUMPRODUCT(MAX(ROW(E$2:E4602)*(E4602=E$2:E4602)))))-COUNTBLANK(OFFSET(A$1,,,SUMPRODUCT(MAX(ROW(E$1:E4601)*(E2=E$1:E4601))))))</f>
        <v> </v>
      </c>
      <c r="K4602" s="26" t="str">
        <f>IF(OR(E4602="",E4602="!!!",F4602="NEW"),"",INDEX(J$1:J4601,SUMPRODUCT(MAX(ROW(E$1:E4601)*(E4602=E$1:E4601)))))</f>
        <v> </v>
      </c>
      <c r="L4602" s="27"/>
    </row>
    <row r="4603" spans="1:12">
      <c r="A4603" s="20" t="s">
        <v>1006</v>
      </c>
      <c r="E4603" s="22">
        <f>IF(D4603="?OLD","!!!","")</f>
        <v/>
      </c>
      <c r="F4603" s="23" t="str">
        <f>IF(OR(E4603="",E4603="!!!"),"",IF(NOT(ISNA(VLOOKUP(E4603,E$1:E4602,1,FALSE()))),"OLD",IF(AND(E4603&lt;&gt;"",E4603&lt;&gt;"!!!"),"NEW","")))</f>
        <v> </v>
      </c>
      <c r="G4603" s="24" t="str">
        <f>IF(OR(E4603="",E4603="!!!"),"",IF(OR(J4603=0,AND(J4603=1,K4603=1),AND(J4603=1,I4603="SBJ"),AND(J4603=1,I4603=0)),"?IN_FOCUS",IF(J4603&lt;=2,"?ACTIVATED",IF(J4603&lt;&gt;"","?FAMILIAR",IF(F4603="NEW",IF(ISNA(VLOOKUP(E4603,#REF!,1,FALSE())),"?TYPE_IDENTIFIABLE","?REFERENTIAL"),"_")))))</f>
        <v> </v>
      </c>
      <c r="H4603" s="25" t="str">
        <f>IF(J4603&lt;&gt;1,"",IF(I4603="SBJ","CB","?"))</f>
        <v> </v>
      </c>
      <c r="I4603" s="26" t="str">
        <f>IF(OR(E4603="",E4603="!!!",F4603="NEW"),"",INDEX(B4602:B$2,-1+SUMPRODUCT(MAX(ROW(E4602:E$2)*(E4603=E4602:E$2)))))</f>
        <v> </v>
      </c>
      <c r="J4603" s="26" t="str">
        <f>IF(OR(E4603="",E4603="!!!",F4603="NEW"),"",COUNTBLANK(OFFSET(A$1,,,SUMPRODUCT(MAX(ROW(E$2:E4603)*(E4603=E$2:E4603)))))-COUNTBLANK(OFFSET(A$1,,,SUMPRODUCT(MAX(ROW(E$1:E4602)*(E2=E$1:E4602))))))</f>
        <v> </v>
      </c>
      <c r="K4603" s="26" t="str">
        <f>IF(OR(E4603="",E4603="!!!",F4603="NEW"),"",INDEX(J$1:J4602,SUMPRODUCT(MAX(ROW(E$1:E4602)*(E4603=E$1:E4602)))))</f>
        <v> </v>
      </c>
      <c r="L4603" s="27"/>
    </row>
    <row r="4604" spans="1:12">
      <c r="A4604" s="20" t="s">
        <v>1060</v>
      </c>
      <c r="B4604" s="21" t="s">
        <v>975</v>
      </c>
      <c r="C4604" s="21" t="s">
        <v>1032</v>
      </c>
      <c r="D4604" s="21" t="s">
        <v>950</v>
      </c>
      <c r="E4604" s="22">
        <f>IF(D4604="?OLD","!!!","")</f>
        <v/>
      </c>
      <c r="F4604" s="23" t="str">
        <f>IF(OR(E4604="",E4604="!!!"),"",IF(NOT(ISNA(VLOOKUP(E4604,E$1:E4603,1,FALSE()))),"OLD",IF(AND(E4604&lt;&gt;"",E4604&lt;&gt;"!!!"),"NEW","")))</f>
        <v> </v>
      </c>
      <c r="G4604" s="24" t="str">
        <f>IF(OR(E4604="",E4604="!!!"),"",IF(OR(J4604=0,AND(J4604=1,K4604=1),AND(J4604=1,I4604="SBJ"),AND(J4604=1,I4604=0)),"?IN_FOCUS",IF(J4604&lt;=2,"?ACTIVATED",IF(J4604&lt;&gt;"","?FAMILIAR",IF(F4604="NEW",IF(ISNA(VLOOKUP(E4604,#REF!,1,FALSE())),"?TYPE_IDENTIFIABLE","?REFERENTIAL"),"_")))))</f>
        <v> </v>
      </c>
      <c r="H4604" s="25" t="str">
        <f>IF(J4604&lt;&gt;1,"",IF(I4604="SBJ","CB","?"))</f>
        <v> </v>
      </c>
      <c r="I4604" s="26" t="str">
        <f>IF(OR(E4604="",E4604="!!!",F4604="NEW"),"",INDEX(B4603:B$2,-1+SUMPRODUCT(MAX(ROW(E4603:E$2)*(E4604=E4603:E$2)))))</f>
        <v> </v>
      </c>
      <c r="J4604" s="26" t="str">
        <f>IF(OR(E4604="",E4604="!!!",F4604="NEW"),"",COUNTBLANK(OFFSET(A$1,,,SUMPRODUCT(MAX(ROW(E$2:E4604)*(E4604=E$2:E4604)))))-COUNTBLANK(OFFSET(A$1,,,SUMPRODUCT(MAX(ROW(E$1:E4603)*(E2=E$1:E4603))))))</f>
        <v> </v>
      </c>
      <c r="K4604" s="26" t="str">
        <f>IF(OR(E4604="",E4604="!!!",F4604="NEW"),"",INDEX(J$1:J4603,SUMPRODUCT(MAX(ROW(E$1:E4603)*(E4604=E$1:E4603)))))</f>
        <v> </v>
      </c>
      <c r="L4604" s="27"/>
    </row>
    <row r="4605" spans="1:12">
      <c r="A4605" s="20" t="s">
        <v>1001</v>
      </c>
      <c r="E4605" s="22">
        <f>IF(D4605="?OLD","!!!","")</f>
        <v/>
      </c>
      <c r="F4605" s="23" t="str">
        <f>IF(OR(E4605="",E4605="!!!"),"",IF(NOT(ISNA(VLOOKUP(E4605,E$1:E4604,1,FALSE()))),"OLD",IF(AND(E4605&lt;&gt;"",E4605&lt;&gt;"!!!"),"NEW","")))</f>
        <v> </v>
      </c>
      <c r="G4605" s="24" t="str">
        <f>IF(OR(E4605="",E4605="!!!"),"",IF(OR(J4605=0,AND(J4605=1,K4605=1),AND(J4605=1,I4605="SBJ"),AND(J4605=1,I4605=0)),"?IN_FOCUS",IF(J4605&lt;=2,"?ACTIVATED",IF(J4605&lt;&gt;"","?FAMILIAR",IF(F4605="NEW",IF(ISNA(VLOOKUP(E4605,#REF!,1,FALSE())),"?TYPE_IDENTIFIABLE","?REFERENTIAL"),"_")))))</f>
        <v> </v>
      </c>
      <c r="H4605" s="25" t="str">
        <f>IF(J4605&lt;&gt;1,"",IF(I4605="SBJ","CB","?"))</f>
        <v> </v>
      </c>
      <c r="I4605" s="26" t="str">
        <f>IF(OR(E4605="",E4605="!!!",F4605="NEW"),"",INDEX(B4604:B$2,-1+SUMPRODUCT(MAX(ROW(E4604:E$2)*(E4605=E4604:E$2)))))</f>
        <v> </v>
      </c>
      <c r="J4605" s="26" t="str">
        <f>IF(OR(E4605="",E4605="!!!",F4605="NEW"),"",COUNTBLANK(OFFSET(A$1,,,SUMPRODUCT(MAX(ROW(E$2:E4605)*(E4605=E$2:E4605)))))-COUNTBLANK(OFFSET(A$1,,,SUMPRODUCT(MAX(ROW(E$1:E4604)*(E2=E$1:E4604))))))</f>
        <v> </v>
      </c>
      <c r="K4605" s="26" t="str">
        <f>IF(OR(E4605="",E4605="!!!",F4605="NEW"),"",INDEX(J$1:J4604,SUMPRODUCT(MAX(ROW(E$1:E4604)*(E4605=E$1:E4604)))))</f>
        <v> </v>
      </c>
      <c r="L4605" s="27"/>
    </row>
    <row r="4606" spans="1:12">
      <c r="A4606" s="20" t="s">
        <v>1022</v>
      </c>
      <c r="E4606" s="22">
        <f>IF(D4606="?OLD","!!!","")</f>
        <v/>
      </c>
      <c r="F4606" s="23" t="str">
        <f>IF(OR(E4606="",E4606="!!!"),"",IF(NOT(ISNA(VLOOKUP(E4606,E$1:E4605,1,FALSE()))),"OLD",IF(AND(E4606&lt;&gt;"",E4606&lt;&gt;"!!!"),"NEW","")))</f>
        <v> </v>
      </c>
      <c r="G4606" s="24" t="str">
        <f>IF(OR(E4606="",E4606="!!!"),"",IF(OR(J4606=0,AND(J4606=1,K4606=1),AND(J4606=1,I4606="SBJ"),AND(J4606=1,I4606=0)),"?IN_FOCUS",IF(J4606&lt;=2,"?ACTIVATED",IF(J4606&lt;&gt;"","?FAMILIAR",IF(F4606="NEW",IF(ISNA(VLOOKUP(E4606,#REF!,1,FALSE())),"?TYPE_IDENTIFIABLE","?REFERENTIAL"),"_")))))</f>
        <v> </v>
      </c>
      <c r="H4606" s="25" t="str">
        <f>IF(J4606&lt;&gt;1,"",IF(I4606="SBJ","CB","?"))</f>
        <v> </v>
      </c>
      <c r="I4606" s="26" t="str">
        <f>IF(OR(E4606="",E4606="!!!",F4606="NEW"),"",INDEX(B4605:B$2,-1+SUMPRODUCT(MAX(ROW(E4605:E$2)*(E4606=E4605:E$2)))))</f>
        <v> </v>
      </c>
      <c r="J4606" s="26" t="str">
        <f>IF(OR(E4606="",E4606="!!!",F4606="NEW"),"",COUNTBLANK(OFFSET(A$1,,,SUMPRODUCT(MAX(ROW(E$2:E4606)*(E4606=E$2:E4606)))))-COUNTBLANK(OFFSET(A$1,,,SUMPRODUCT(MAX(ROW(E$1:E4605)*(E2=E$1:E4605))))))</f>
        <v> </v>
      </c>
      <c r="K4606" s="26" t="str">
        <f>IF(OR(E4606="",E4606="!!!",F4606="NEW"),"",INDEX(J$1:J4605,SUMPRODUCT(MAX(ROW(E$1:E4605)*(E4606=E$1:E4605)))))</f>
        <v> </v>
      </c>
      <c r="L4606" s="27"/>
    </row>
    <row r="4607" spans="1:12">
      <c r="A4607" s="20" t="s">
        <v>1006</v>
      </c>
      <c r="E4607" s="22">
        <f>IF(D4607="?OLD","!!!","")</f>
        <v/>
      </c>
      <c r="F4607" s="23" t="str">
        <f>IF(OR(E4607="",E4607="!!!"),"",IF(NOT(ISNA(VLOOKUP(E4607,E$1:E4606,1,FALSE()))),"OLD",IF(AND(E4607&lt;&gt;"",E4607&lt;&gt;"!!!"),"NEW","")))</f>
        <v> </v>
      </c>
      <c r="G4607" s="24" t="str">
        <f>IF(OR(E4607="",E4607="!!!"),"",IF(OR(J4607=0,AND(J4607=1,K4607=1),AND(J4607=1,I4607="SBJ"),AND(J4607=1,I4607=0)),"?IN_FOCUS",IF(J4607&lt;=2,"?ACTIVATED",IF(J4607&lt;&gt;"","?FAMILIAR",IF(F4607="NEW",IF(ISNA(VLOOKUP(E4607,#REF!,1,FALSE())),"?TYPE_IDENTIFIABLE","?REFERENTIAL"),"_")))))</f>
        <v> </v>
      </c>
      <c r="H4607" s="25" t="str">
        <f>IF(J4607&lt;&gt;1,"",IF(I4607="SBJ","CB","?"))</f>
        <v> </v>
      </c>
      <c r="I4607" s="26" t="str">
        <f>IF(OR(E4607="",E4607="!!!",F4607="NEW"),"",INDEX(B4606:B$2,-1+SUMPRODUCT(MAX(ROW(E4606:E$2)*(E4607=E4606:E$2)))))</f>
        <v> </v>
      </c>
      <c r="J4607" s="26" t="str">
        <f>IF(OR(E4607="",E4607="!!!",F4607="NEW"),"",COUNTBLANK(OFFSET(A$1,,,SUMPRODUCT(MAX(ROW(E$2:E4607)*(E4607=E$2:E4607)))))-COUNTBLANK(OFFSET(A$1,,,SUMPRODUCT(MAX(ROW(E$1:E4606)*(E2=E$1:E4606))))))</f>
        <v> </v>
      </c>
      <c r="K4607" s="26" t="str">
        <f>IF(OR(E4607="",E4607="!!!",F4607="NEW"),"",INDEX(J$1:J4606,SUMPRODUCT(MAX(ROW(E$1:E4606)*(E4607=E$1:E4606)))))</f>
        <v> </v>
      </c>
      <c r="L4607" s="27"/>
    </row>
    <row r="4608" spans="1:12">
      <c r="A4608" s="20" t="s">
        <v>1097</v>
      </c>
      <c r="E4608" s="22">
        <f>IF(D4608="?OLD","!!!","")</f>
        <v/>
      </c>
      <c r="F4608" s="23" t="str">
        <f>IF(OR(E4608="",E4608="!!!"),"",IF(NOT(ISNA(VLOOKUP(E4608,E$1:E4607,1,FALSE()))),"OLD",IF(AND(E4608&lt;&gt;"",E4608&lt;&gt;"!!!"),"NEW","")))</f>
        <v> </v>
      </c>
      <c r="G4608" s="24" t="str">
        <f>IF(OR(E4608="",E4608="!!!"),"",IF(OR(J4608=0,AND(J4608=1,K4608=1),AND(J4608=1,I4608="SBJ"),AND(J4608=1,I4608=0)),"?IN_FOCUS",IF(J4608&lt;=2,"?ACTIVATED",IF(J4608&lt;&gt;"","?FAMILIAR",IF(F4608="NEW",IF(ISNA(VLOOKUP(E4608,#REF!,1,FALSE())),"?TYPE_IDENTIFIABLE","?REFERENTIAL"),"_")))))</f>
        <v> </v>
      </c>
      <c r="H4608" s="25" t="str">
        <f>IF(J4608&lt;&gt;1,"",IF(I4608="SBJ","CB","?"))</f>
        <v> </v>
      </c>
      <c r="I4608" s="26" t="str">
        <f>IF(OR(E4608="",E4608="!!!",F4608="NEW"),"",INDEX(B4607:B$2,-1+SUMPRODUCT(MAX(ROW(E4607:E$2)*(E4608=E4607:E$2)))))</f>
        <v> </v>
      </c>
      <c r="J4608" s="26" t="str">
        <f>IF(OR(E4608="",E4608="!!!",F4608="NEW"),"",COUNTBLANK(OFFSET(A$1,,,SUMPRODUCT(MAX(ROW(E$2:E4608)*(E4608=E$2:E4608)))))-COUNTBLANK(OFFSET(A$1,,,SUMPRODUCT(MAX(ROW(E$1:E4607)*(E2=E$1:E4607))))))</f>
        <v> </v>
      </c>
      <c r="K4608" s="26" t="str">
        <f>IF(OR(E4608="",E4608="!!!",F4608="NEW"),"",INDEX(J$1:J4607,SUMPRODUCT(MAX(ROW(E$1:E4607)*(E4608=E$1:E4607)))))</f>
        <v> </v>
      </c>
      <c r="L4608" s="27"/>
    </row>
    <row r="4609" spans="1:12">
      <c r="A4609" s="20" t="s">
        <v>1049</v>
      </c>
      <c r="B4609" s="21" t="s">
        <v>980</v>
      </c>
      <c r="C4609" s="21" t="s">
        <v>1032</v>
      </c>
      <c r="D4609" s="21" t="s">
        <v>950</v>
      </c>
      <c r="E4609" s="22">
        <f>IF(D4609="?OLD","!!!","")</f>
        <v/>
      </c>
      <c r="F4609" s="23" t="str">
        <f>IF(OR(E4609="",E4609="!!!"),"",IF(NOT(ISNA(VLOOKUP(E4609,E$1:E4608,1,FALSE()))),"OLD",IF(AND(E4609&lt;&gt;"",E4609&lt;&gt;"!!!"),"NEW","")))</f>
        <v> </v>
      </c>
      <c r="G4609" s="24" t="str">
        <f>IF(OR(E4609="",E4609="!!!"),"",IF(OR(J4609=0,AND(J4609=1,K4609=1),AND(J4609=1,I4609="SBJ"),AND(J4609=1,I4609=0)),"?IN_FOCUS",IF(J4609&lt;=2,"?ACTIVATED",IF(J4609&lt;&gt;"","?FAMILIAR",IF(F4609="NEW",IF(ISNA(VLOOKUP(E4609,#REF!,1,FALSE())),"?TYPE_IDENTIFIABLE","?REFERENTIAL"),"_")))))</f>
        <v> </v>
      </c>
      <c r="H4609" s="25" t="str">
        <f>IF(J4609&lt;&gt;1,"",IF(I4609="SBJ","CB","?"))</f>
        <v> </v>
      </c>
      <c r="I4609" s="26" t="str">
        <f>IF(OR(E4609="",E4609="!!!",F4609="NEW"),"",INDEX(B4608:B$2,-1+SUMPRODUCT(MAX(ROW(E4608:E$2)*(E4609=E4608:E$2)))))</f>
        <v> </v>
      </c>
      <c r="J4609" s="26" t="str">
        <f>IF(OR(E4609="",E4609="!!!",F4609="NEW"),"",COUNTBLANK(OFFSET(A$1,,,SUMPRODUCT(MAX(ROW(E$2:E4609)*(E4609=E$2:E4609)))))-COUNTBLANK(OFFSET(A$1,,,SUMPRODUCT(MAX(ROW(E$1:E4608)*(E2=E$1:E4608))))))</f>
        <v> </v>
      </c>
      <c r="K4609" s="26" t="str">
        <f>IF(OR(E4609="",E4609="!!!",F4609="NEW"),"",INDEX(J$1:J4608,SUMPRODUCT(MAX(ROW(E$1:E4608)*(E4609=E$1:E4608)))))</f>
        <v> </v>
      </c>
      <c r="L4609" s="27"/>
    </row>
    <row r="4610" spans="1:12">
      <c r="A4610" s="20" t="s">
        <v>1555</v>
      </c>
      <c r="E4610" s="22">
        <f>IF(D4610="?OLD","!!!","")</f>
        <v/>
      </c>
      <c r="F4610" s="23" t="str">
        <f>IF(OR(E4610="",E4610="!!!"),"",IF(NOT(ISNA(VLOOKUP(E4610,E$1:E4609,1,FALSE()))),"OLD",IF(AND(E4610&lt;&gt;"",E4610&lt;&gt;"!!!"),"NEW","")))</f>
        <v> </v>
      </c>
      <c r="G4610" s="24" t="str">
        <f>IF(OR(E4610="",E4610="!!!"),"",IF(OR(J4610=0,AND(J4610=1,K4610=1),AND(J4610=1,I4610="SBJ"),AND(J4610=1,I4610=0)),"?IN_FOCUS",IF(J4610&lt;=2,"?ACTIVATED",IF(J4610&lt;&gt;"","?FAMILIAR",IF(F4610="NEW",IF(ISNA(VLOOKUP(E4610,#REF!,1,FALSE())),"?TYPE_IDENTIFIABLE","?REFERENTIAL"),"_")))))</f>
        <v> </v>
      </c>
      <c r="H4610" s="25" t="str">
        <f>IF(J4610&lt;&gt;1,"",IF(I4610="SBJ","CB","?"))</f>
        <v> </v>
      </c>
      <c r="I4610" s="26" t="str">
        <f>IF(OR(E4610="",E4610="!!!",F4610="NEW"),"",INDEX(B4609:B$2,-1+SUMPRODUCT(MAX(ROW(E4609:E$2)*(E4610=E4609:E$2)))))</f>
        <v> </v>
      </c>
      <c r="J4610" s="26" t="str">
        <f>IF(OR(E4610="",E4610="!!!",F4610="NEW"),"",COUNTBLANK(OFFSET(A$1,,,SUMPRODUCT(MAX(ROW(E$2:E4610)*(E4610=E$2:E4610)))))-COUNTBLANK(OFFSET(A$1,,,SUMPRODUCT(MAX(ROW(E$1:E4609)*(E2=E$1:E4609))))))</f>
        <v> </v>
      </c>
      <c r="K4610" s="26" t="str">
        <f>IF(OR(E4610="",E4610="!!!",F4610="NEW"),"",INDEX(J$1:J4609,SUMPRODUCT(MAX(ROW(E$1:E4609)*(E4610=E$1:E4609)))))</f>
        <v> </v>
      </c>
      <c r="L4610" s="27"/>
    </row>
    <row r="4611" spans="1:12">
      <c r="A4611" s="20" t="s">
        <v>1006</v>
      </c>
      <c r="E4611" s="22">
        <f>IF(D4611="?OLD","!!!","")</f>
        <v/>
      </c>
      <c r="F4611" s="23" t="str">
        <f>IF(OR(E4611="",E4611="!!!"),"",IF(NOT(ISNA(VLOOKUP(E4611,E$1:E4610,1,FALSE()))),"OLD",IF(AND(E4611&lt;&gt;"",E4611&lt;&gt;"!!!"),"NEW","")))</f>
        <v> </v>
      </c>
      <c r="G4611" s="24" t="str">
        <f>IF(OR(E4611="",E4611="!!!"),"",IF(OR(J4611=0,AND(J4611=1,K4611=1),AND(J4611=1,I4611="SBJ"),AND(J4611=1,I4611=0)),"?IN_FOCUS",IF(J4611&lt;=2,"?ACTIVATED",IF(J4611&lt;&gt;"","?FAMILIAR",IF(F4611="NEW",IF(ISNA(VLOOKUP(E4611,#REF!,1,FALSE())),"?TYPE_IDENTIFIABLE","?REFERENTIAL"),"_")))))</f>
        <v> </v>
      </c>
      <c r="H4611" s="25" t="str">
        <f>IF(J4611&lt;&gt;1,"",IF(I4611="SBJ","CB","?"))</f>
        <v> </v>
      </c>
      <c r="I4611" s="26" t="str">
        <f>IF(OR(E4611="",E4611="!!!",F4611="NEW"),"",INDEX(B4610:B$2,-1+SUMPRODUCT(MAX(ROW(E4610:E$2)*(E4611=E4610:E$2)))))</f>
        <v> </v>
      </c>
      <c r="J4611" s="26" t="str">
        <f>IF(OR(E4611="",E4611="!!!",F4611="NEW"),"",COUNTBLANK(OFFSET(A$1,,,SUMPRODUCT(MAX(ROW(E$2:E4611)*(E4611=E$2:E4611)))))-COUNTBLANK(OFFSET(A$1,,,SUMPRODUCT(MAX(ROW(E$1:E4610)*(E2=E$1:E4610))))))</f>
        <v> </v>
      </c>
      <c r="K4611" s="26" t="str">
        <f>IF(OR(E4611="",E4611="!!!",F4611="NEW"),"",INDEX(J$1:J4610,SUMPRODUCT(MAX(ROW(E$1:E4610)*(E4611=E$1:E4610)))))</f>
        <v> </v>
      </c>
      <c r="L4611" s="27"/>
    </row>
    <row r="4612" spans="1:12">
      <c r="A4612" s="20" t="s">
        <v>2196</v>
      </c>
      <c r="B4612" s="21" t="s">
        <v>1005</v>
      </c>
      <c r="C4612" s="21" t="s">
        <v>1032</v>
      </c>
      <c r="D4612" s="21" t="s">
        <v>950</v>
      </c>
      <c r="E4612" s="22">
        <f>IF(D4612="?OLD","!!!","")</f>
        <v/>
      </c>
      <c r="F4612" s="23" t="str">
        <f>IF(OR(E4612="",E4612="!!!"),"",IF(NOT(ISNA(VLOOKUP(E4612,E$1:E4611,1,FALSE()))),"OLD",IF(AND(E4612&lt;&gt;"",E4612&lt;&gt;"!!!"),"NEW","")))</f>
        <v> </v>
      </c>
      <c r="G4612" s="24" t="str">
        <f>IF(OR(E4612="",E4612="!!!"),"",IF(OR(J4612=0,AND(J4612=1,K4612=1),AND(J4612=1,I4612="SBJ"),AND(J4612=1,I4612=0)),"?IN_FOCUS",IF(J4612&lt;=2,"?ACTIVATED",IF(J4612&lt;&gt;"","?FAMILIAR",IF(F4612="NEW",IF(ISNA(VLOOKUP(E4612,#REF!,1,FALSE())),"?TYPE_IDENTIFIABLE","?REFERENTIAL"),"_")))))</f>
        <v> </v>
      </c>
      <c r="H4612" s="25" t="str">
        <f>IF(J4612&lt;&gt;1,"",IF(I4612="SBJ","CB","?"))</f>
        <v> </v>
      </c>
      <c r="I4612" s="26" t="str">
        <f>IF(OR(E4612="",E4612="!!!",F4612="NEW"),"",INDEX(B4611:B$2,-1+SUMPRODUCT(MAX(ROW(E4611:E$2)*(E4612=E4611:E$2)))))</f>
        <v> </v>
      </c>
      <c r="J4612" s="26" t="str">
        <f>IF(OR(E4612="",E4612="!!!",F4612="NEW"),"",COUNTBLANK(OFFSET(A$1,,,SUMPRODUCT(MAX(ROW(E$2:E4612)*(E4612=E$2:E4612)))))-COUNTBLANK(OFFSET(A$1,,,SUMPRODUCT(MAX(ROW(E$1:E4611)*(E2=E$1:E4611))))))</f>
        <v> </v>
      </c>
      <c r="K4612" s="26" t="str">
        <f>IF(OR(E4612="",E4612="!!!",F4612="NEW"),"",INDEX(J$1:J4611,SUMPRODUCT(MAX(ROW(E$1:E4611)*(E4612=E$1:E4611)))))</f>
        <v> </v>
      </c>
      <c r="L4612" s="27"/>
    </row>
    <row r="4613" spans="1:12">
      <c r="A4613" s="20" t="s">
        <v>1068</v>
      </c>
      <c r="E4613" s="22">
        <f>IF(D4613="?OLD","!!!","")</f>
        <v/>
      </c>
      <c r="F4613" s="23" t="str">
        <f>IF(OR(E4613="",E4613="!!!"),"",IF(NOT(ISNA(VLOOKUP(E4613,E$1:E4612,1,FALSE()))),"OLD",IF(AND(E4613&lt;&gt;"",E4613&lt;&gt;"!!!"),"NEW","")))</f>
        <v> </v>
      </c>
      <c r="G4613" s="24" t="str">
        <f>IF(OR(E4613="",E4613="!!!"),"",IF(OR(J4613=0,AND(J4613=1,K4613=1),AND(J4613=1,I4613="SBJ"),AND(J4613=1,I4613=0)),"?IN_FOCUS",IF(J4613&lt;=2,"?ACTIVATED",IF(J4613&lt;&gt;"","?FAMILIAR",IF(F4613="NEW",IF(ISNA(VLOOKUP(E4613,#REF!,1,FALSE())),"?TYPE_IDENTIFIABLE","?REFERENTIAL"),"_")))))</f>
        <v> </v>
      </c>
      <c r="H4613" s="25" t="str">
        <f>IF(J4613&lt;&gt;1,"",IF(I4613="SBJ","CB","?"))</f>
        <v> </v>
      </c>
      <c r="I4613" s="26" t="str">
        <f>IF(OR(E4613="",E4613="!!!",F4613="NEW"),"",INDEX(B4612:B$2,-1+SUMPRODUCT(MAX(ROW(E4612:E$2)*(E4613=E4612:E$2)))))</f>
        <v> </v>
      </c>
      <c r="J4613" s="26" t="str">
        <f>IF(OR(E4613="",E4613="!!!",F4613="NEW"),"",COUNTBLANK(OFFSET(A$1,,,SUMPRODUCT(MAX(ROW(E$2:E4613)*(E4613=E$2:E4613)))))-COUNTBLANK(OFFSET(A$1,,,SUMPRODUCT(MAX(ROW(E$1:E4612)*(E2=E$1:E4612))))))</f>
        <v> </v>
      </c>
      <c r="K4613" s="26" t="str">
        <f>IF(OR(E4613="",E4613="!!!",F4613="NEW"),"",INDEX(J$1:J4612,SUMPRODUCT(MAX(ROW(E$1:E4612)*(E4613=E$1:E4612)))))</f>
        <v> </v>
      </c>
      <c r="L4613" s="27"/>
    </row>
    <row r="4614" spans="1:12">
      <c r="A4614" s="20"/>
    </row>
    <row r="4615" spans="1:12">
      <c r="A4615" s="20" t="s">
        <v>2197</v>
      </c>
    </row>
    <row r="4616" spans="1:12">
      <c r="A4616" s="20" t="s">
        <v>1070</v>
      </c>
      <c r="B4616" s="21" t="s">
        <v>948</v>
      </c>
      <c r="C4616" s="21" t="s">
        <v>983</v>
      </c>
      <c r="E4616" s="22">
        <f>IF(D4616="?OLD","!!!","")</f>
        <v/>
      </c>
      <c r="F4616" s="23" t="str">
        <f>IF(OR(E4616="",E4616="!!!"),"",IF(NOT(ISNA(VLOOKUP(E4616,E$1:E4615,1,FALSE()))),"OLD",IF(AND(E4616&lt;&gt;"",E4616&lt;&gt;"!!!"),"NEW","")))</f>
        <v> </v>
      </c>
      <c r="G4616" s="24" t="str">
        <f>IF(OR(E4616="",E4616="!!!"),"",IF(OR(J4616=0,AND(J4616=1,K4616=1),AND(J4616=1,I4616="SBJ"),AND(J4616=1,I4616=0)),"?IN_FOCUS",IF(J4616&lt;=2,"?ACTIVATED",IF(J4616&lt;&gt;"","?FAMILIAR",IF(F4616="NEW",IF(ISNA(VLOOKUP(E4616,#REF!,1,FALSE())),"?TYPE_IDENTIFIABLE","?REFERENTIAL"),"_")))))</f>
        <v> </v>
      </c>
      <c r="H4616" s="25" t="str">
        <f>IF(J4616&lt;&gt;1,"",IF(I4616="SBJ","CB","?"))</f>
        <v> </v>
      </c>
      <c r="I4616" s="26" t="str">
        <f>IF(OR(E4616="",E4616="!!!",F4616="NEW"),"",INDEX(B4615:B$2,-1+SUMPRODUCT(MAX(ROW(E4615:E$2)*(E4616=E4615:E$2)))))</f>
        <v> </v>
      </c>
      <c r="J4616" s="26" t="str">
        <f>IF(OR(E4616="",E4616="!!!",F4616="NEW"),"",COUNTBLANK(OFFSET(A$1,,,SUMPRODUCT(MAX(ROW(E$2:E4616)*(E4616=E$2:E4616)))))-COUNTBLANK(OFFSET(A$1,,,SUMPRODUCT(MAX(ROW(E$1:E4615)*(E2=E$1:E4615))))))</f>
        <v> </v>
      </c>
      <c r="K4616" s="26" t="str">
        <f>IF(OR(E4616="",E4616="!!!",F4616="NEW"),"",INDEX(J$1:J4615,SUMPRODUCT(MAX(ROW(E$1:E4615)*(E4616=E$1:E4615)))))</f>
        <v> </v>
      </c>
      <c r="L4616" s="27"/>
    </row>
    <row r="4617" spans="1:12">
      <c r="A4617" s="20" t="s">
        <v>952</v>
      </c>
      <c r="E4617" s="22">
        <f>IF(D4617="?OLD","!!!","")</f>
        <v/>
      </c>
      <c r="F4617" s="23" t="str">
        <f>IF(OR(E4617="",E4617="!!!"),"",IF(NOT(ISNA(VLOOKUP(E4617,E$1:E4616,1,FALSE()))),"OLD",IF(AND(E4617&lt;&gt;"",E4617&lt;&gt;"!!!"),"NEW","")))</f>
        <v> </v>
      </c>
      <c r="G4617" s="24" t="str">
        <f>IF(OR(E4617="",E4617="!!!"),"",IF(OR(J4617=0,AND(J4617=1,K4617=1),AND(J4617=1,I4617="SBJ"),AND(J4617=1,I4617=0)),"?IN_FOCUS",IF(J4617&lt;=2,"?ACTIVATED",IF(J4617&lt;&gt;"","?FAMILIAR",IF(F4617="NEW",IF(ISNA(VLOOKUP(E4617,#REF!,1,FALSE())),"?TYPE_IDENTIFIABLE","?REFERENTIAL"),"_")))))</f>
        <v> </v>
      </c>
      <c r="H4617" s="25" t="str">
        <f>IF(J4617&lt;&gt;1,"",IF(I4617="SBJ","CB","?"))</f>
        <v> </v>
      </c>
      <c r="I4617" s="26" t="str">
        <f>IF(OR(E4617="",E4617="!!!",F4617="NEW"),"",INDEX(B4616:B$2,-1+SUMPRODUCT(MAX(ROW(E4616:E$2)*(E4617=E4616:E$2)))))</f>
        <v> </v>
      </c>
      <c r="J4617" s="26" t="str">
        <f>IF(OR(E4617="",E4617="!!!",F4617="NEW"),"",COUNTBLANK(OFFSET(A$1,,,SUMPRODUCT(MAX(ROW(E$2:E4617)*(E4617=E$2:E4617)))))-COUNTBLANK(OFFSET(A$1,,,SUMPRODUCT(MAX(ROW(E$1:E4616)*(E2=E$1:E4616))))))</f>
        <v> </v>
      </c>
      <c r="K4617" s="26" t="str">
        <f>IF(OR(E4617="",E4617="!!!",F4617="NEW"),"",INDEX(J$1:J4616,SUMPRODUCT(MAX(ROW(E$1:E4616)*(E4617=E$1:E4616)))))</f>
        <v> </v>
      </c>
      <c r="L4617" s="27"/>
    </row>
    <row r="4618" spans="1:12">
      <c r="A4618" s="20" t="s">
        <v>1253</v>
      </c>
      <c r="E4618" s="22">
        <f>IF(D4618="?OLD","!!!","")</f>
        <v/>
      </c>
      <c r="F4618" s="23" t="str">
        <f>IF(OR(E4618="",E4618="!!!"),"",IF(NOT(ISNA(VLOOKUP(E4618,E$1:E4617,1,FALSE()))),"OLD",IF(AND(E4618&lt;&gt;"",E4618&lt;&gt;"!!!"),"NEW","")))</f>
        <v> </v>
      </c>
      <c r="G4618" s="24" t="str">
        <f>IF(OR(E4618="",E4618="!!!"),"",IF(OR(J4618=0,AND(J4618=1,K4618=1),AND(J4618=1,I4618="SBJ"),AND(J4618=1,I4618=0)),"?IN_FOCUS",IF(J4618&lt;=2,"?ACTIVATED",IF(J4618&lt;&gt;"","?FAMILIAR",IF(F4618="NEW",IF(ISNA(VLOOKUP(E4618,#REF!,1,FALSE())),"?TYPE_IDENTIFIABLE","?REFERENTIAL"),"_")))))</f>
        <v> </v>
      </c>
      <c r="H4618" s="25" t="str">
        <f>IF(J4618&lt;&gt;1,"",IF(I4618="SBJ","CB","?"))</f>
        <v> </v>
      </c>
      <c r="I4618" s="26" t="str">
        <f>IF(OR(E4618="",E4618="!!!",F4618="NEW"),"",INDEX(B4617:B$2,-1+SUMPRODUCT(MAX(ROW(E4617:E$2)*(E4618=E4617:E$2)))))</f>
        <v> </v>
      </c>
      <c r="J4618" s="26" t="str">
        <f>IF(OR(E4618="",E4618="!!!",F4618="NEW"),"",COUNTBLANK(OFFSET(A$1,,,SUMPRODUCT(MAX(ROW(E$2:E4618)*(E4618=E$2:E4618)))))-COUNTBLANK(OFFSET(A$1,,,SUMPRODUCT(MAX(ROW(E$1:E4617)*(E2=E$1:E4617))))))</f>
        <v> </v>
      </c>
      <c r="K4618" s="26" t="str">
        <f>IF(OR(E4618="",E4618="!!!",F4618="NEW"),"",INDEX(J$1:J4617,SUMPRODUCT(MAX(ROW(E$1:E4617)*(E4618=E$1:E4617)))))</f>
        <v> </v>
      </c>
      <c r="L4618" s="27"/>
    </row>
    <row r="4619" spans="1:12">
      <c r="A4619" s="20" t="s">
        <v>965</v>
      </c>
      <c r="E4619" s="22">
        <f>IF(D4619="?OLD","!!!","")</f>
        <v/>
      </c>
      <c r="F4619" s="23" t="str">
        <f>IF(OR(E4619="",E4619="!!!"),"",IF(NOT(ISNA(VLOOKUP(E4619,E$1:E4618,1,FALSE()))),"OLD",IF(AND(E4619&lt;&gt;"",E4619&lt;&gt;"!!!"),"NEW","")))</f>
        <v> </v>
      </c>
      <c r="G4619" s="24" t="str">
        <f>IF(OR(E4619="",E4619="!!!"),"",IF(OR(J4619=0,AND(J4619=1,K4619=1),AND(J4619=1,I4619="SBJ"),AND(J4619=1,I4619=0)),"?IN_FOCUS",IF(J4619&lt;=2,"?ACTIVATED",IF(J4619&lt;&gt;"","?FAMILIAR",IF(F4619="NEW",IF(ISNA(VLOOKUP(E4619,#REF!,1,FALSE())),"?TYPE_IDENTIFIABLE","?REFERENTIAL"),"_")))))</f>
        <v> </v>
      </c>
      <c r="H4619" s="25" t="str">
        <f>IF(J4619&lt;&gt;1,"",IF(I4619="SBJ","CB","?"))</f>
        <v> </v>
      </c>
      <c r="I4619" s="26" t="str">
        <f>IF(OR(E4619="",E4619="!!!",F4619="NEW"),"",INDEX(B4618:B$2,-1+SUMPRODUCT(MAX(ROW(E4618:E$2)*(E4619=E4618:E$2)))))</f>
        <v> </v>
      </c>
      <c r="J4619" s="26" t="str">
        <f>IF(OR(E4619="",E4619="!!!",F4619="NEW"),"",COUNTBLANK(OFFSET(A$1,,,SUMPRODUCT(MAX(ROW(E$2:E4619)*(E4619=E$2:E4619)))))-COUNTBLANK(OFFSET(A$1,,,SUMPRODUCT(MAX(ROW(E$1:E4618)*(E2=E$1:E4618))))))</f>
        <v> </v>
      </c>
      <c r="K4619" s="26" t="str">
        <f>IF(OR(E4619="",E4619="!!!",F4619="NEW"),"",INDEX(J$1:J4618,SUMPRODUCT(MAX(ROW(E$1:E4618)*(E4619=E$1:E4618)))))</f>
        <v> </v>
      </c>
      <c r="L4619" s="27"/>
    </row>
    <row r="4620" spans="1:12">
      <c r="A4620" s="20" t="s">
        <v>1006</v>
      </c>
      <c r="E4620" s="22">
        <f>IF(D4620="?OLD","!!!","")</f>
        <v/>
      </c>
      <c r="F4620" s="23" t="str">
        <f>IF(OR(E4620="",E4620="!!!"),"",IF(NOT(ISNA(VLOOKUP(E4620,E$1:E4619,1,FALSE()))),"OLD",IF(AND(E4620&lt;&gt;"",E4620&lt;&gt;"!!!"),"NEW","")))</f>
        <v> </v>
      </c>
      <c r="G4620" s="24" t="str">
        <f>IF(OR(E4620="",E4620="!!!"),"",IF(OR(J4620=0,AND(J4620=1,K4620=1),AND(J4620=1,I4620="SBJ"),AND(J4620=1,I4620=0)),"?IN_FOCUS",IF(J4620&lt;=2,"?ACTIVATED",IF(J4620&lt;&gt;"","?FAMILIAR",IF(F4620="NEW",IF(ISNA(VLOOKUP(E4620,#REF!,1,FALSE())),"?TYPE_IDENTIFIABLE","?REFERENTIAL"),"_")))))</f>
        <v> </v>
      </c>
      <c r="H4620" s="25" t="str">
        <f>IF(J4620&lt;&gt;1,"",IF(I4620="SBJ","CB","?"))</f>
        <v> </v>
      </c>
      <c r="I4620" s="26" t="str">
        <f>IF(OR(E4620="",E4620="!!!",F4620="NEW"),"",INDEX(B4619:B$2,-1+SUMPRODUCT(MAX(ROW(E4619:E$2)*(E4620=E4619:E$2)))))</f>
        <v> </v>
      </c>
      <c r="J4620" s="26" t="str">
        <f>IF(OR(E4620="",E4620="!!!",F4620="NEW"),"",COUNTBLANK(OFFSET(A$1,,,SUMPRODUCT(MAX(ROW(E$2:E4620)*(E4620=E$2:E4620)))))-COUNTBLANK(OFFSET(A$1,,,SUMPRODUCT(MAX(ROW(E$1:E4619)*(E2=E$1:E4619))))))</f>
        <v> </v>
      </c>
      <c r="K4620" s="26" t="str">
        <f>IF(OR(E4620="",E4620="!!!",F4620="NEW"),"",INDEX(J$1:J4619,SUMPRODUCT(MAX(ROW(E$1:E4619)*(E4620=E$1:E4619)))))</f>
        <v> </v>
      </c>
      <c r="L4620" s="27"/>
    </row>
    <row r="4621" spans="1:12">
      <c r="A4621" s="20" t="s">
        <v>998</v>
      </c>
      <c r="E4621" s="22">
        <f>IF(D4621="?OLD","!!!","")</f>
        <v/>
      </c>
      <c r="F4621" s="23" t="str">
        <f>IF(OR(E4621="",E4621="!!!"),"",IF(NOT(ISNA(VLOOKUP(E4621,E$1:E4620,1,FALSE()))),"OLD",IF(AND(E4621&lt;&gt;"",E4621&lt;&gt;"!!!"),"NEW","")))</f>
        <v> </v>
      </c>
      <c r="G4621" s="24" t="str">
        <f>IF(OR(E4621="",E4621="!!!"),"",IF(OR(J4621=0,AND(J4621=1,K4621=1),AND(J4621=1,I4621="SBJ"),AND(J4621=1,I4621=0)),"?IN_FOCUS",IF(J4621&lt;=2,"?ACTIVATED",IF(J4621&lt;&gt;"","?FAMILIAR",IF(F4621="NEW",IF(ISNA(VLOOKUP(E4621,#REF!,1,FALSE())),"?TYPE_IDENTIFIABLE","?REFERENTIAL"),"_")))))</f>
        <v> </v>
      </c>
      <c r="H4621" s="25" t="str">
        <f>IF(J4621&lt;&gt;1,"",IF(I4621="SBJ","CB","?"))</f>
        <v> </v>
      </c>
      <c r="I4621" s="26" t="str">
        <f>IF(OR(E4621="",E4621="!!!",F4621="NEW"),"",INDEX(B4620:B$2,-1+SUMPRODUCT(MAX(ROW(E4620:E$2)*(E4621=E4620:E$2)))))</f>
        <v> </v>
      </c>
      <c r="J4621" s="26" t="str">
        <f>IF(OR(E4621="",E4621="!!!",F4621="NEW"),"",COUNTBLANK(OFFSET(A$1,,,SUMPRODUCT(MAX(ROW(E$2:E4621)*(E4621=E$2:E4621)))))-COUNTBLANK(OFFSET(A$1,,,SUMPRODUCT(MAX(ROW(E$1:E4620)*(E2=E$1:E4620))))))</f>
        <v> </v>
      </c>
      <c r="K4621" s="26" t="str">
        <f>IF(OR(E4621="",E4621="!!!",F4621="NEW"),"",INDEX(J$1:J4620,SUMPRODUCT(MAX(ROW(E$1:E4620)*(E4621=E$1:E4620)))))</f>
        <v> </v>
      </c>
      <c r="L4621" s="27"/>
    </row>
    <row r="4622" spans="1:12">
      <c r="A4622" s="20" t="s">
        <v>1211</v>
      </c>
      <c r="E4622" s="22">
        <f>IF(D4622="?OLD","!!!","")</f>
        <v/>
      </c>
      <c r="F4622" s="23" t="str">
        <f>IF(OR(E4622="",E4622="!!!"),"",IF(NOT(ISNA(VLOOKUP(E4622,E$1:E4621,1,FALSE()))),"OLD",IF(AND(E4622&lt;&gt;"",E4622&lt;&gt;"!!!"),"NEW","")))</f>
        <v> </v>
      </c>
      <c r="G4622" s="24" t="str">
        <f>IF(OR(E4622="",E4622="!!!"),"",IF(OR(J4622=0,AND(J4622=1,K4622=1),AND(J4622=1,I4622="SBJ"),AND(J4622=1,I4622=0)),"?IN_FOCUS",IF(J4622&lt;=2,"?ACTIVATED",IF(J4622&lt;&gt;"","?FAMILIAR",IF(F4622="NEW",IF(ISNA(VLOOKUP(E4622,#REF!,1,FALSE())),"?TYPE_IDENTIFIABLE","?REFERENTIAL"),"_")))))</f>
        <v> </v>
      </c>
      <c r="H4622" s="25" t="str">
        <f>IF(J4622&lt;&gt;1,"",IF(I4622="SBJ","CB","?"))</f>
        <v> </v>
      </c>
      <c r="I4622" s="26" t="str">
        <f>IF(OR(E4622="",E4622="!!!",F4622="NEW"),"",INDEX(B4621:B$2,-1+SUMPRODUCT(MAX(ROW(E4621:E$2)*(E4622=E4621:E$2)))))</f>
        <v> </v>
      </c>
      <c r="J4622" s="26" t="str">
        <f>IF(OR(E4622="",E4622="!!!",F4622="NEW"),"",COUNTBLANK(OFFSET(A$1,,,SUMPRODUCT(MAX(ROW(E$2:E4622)*(E4622=E$2:E4622)))))-COUNTBLANK(OFFSET(A$1,,,SUMPRODUCT(MAX(ROW(E$1:E4621)*(E2=E$1:E4621))))))</f>
        <v> </v>
      </c>
      <c r="K4622" s="26" t="str">
        <f>IF(OR(E4622="",E4622="!!!",F4622="NEW"),"",INDEX(J$1:J4621,SUMPRODUCT(MAX(ROW(E$1:E4621)*(E4622=E$1:E4621)))))</f>
        <v> </v>
      </c>
      <c r="L4622" s="27"/>
    </row>
    <row r="4623" spans="1:12">
      <c r="A4623" s="20" t="s">
        <v>991</v>
      </c>
      <c r="E4623" s="22">
        <f>IF(D4623="?OLD","!!!","")</f>
        <v/>
      </c>
      <c r="F4623" s="23" t="str">
        <f>IF(OR(E4623="",E4623="!!!"),"",IF(NOT(ISNA(VLOOKUP(E4623,E$1:E4622,1,FALSE()))),"OLD",IF(AND(E4623&lt;&gt;"",E4623&lt;&gt;"!!!"),"NEW","")))</f>
        <v> </v>
      </c>
      <c r="G4623" s="24" t="str">
        <f>IF(OR(E4623="",E4623="!!!"),"",IF(OR(J4623=0,AND(J4623=1,K4623=1),AND(J4623=1,I4623="SBJ"),AND(J4623=1,I4623=0)),"?IN_FOCUS",IF(J4623&lt;=2,"?ACTIVATED",IF(J4623&lt;&gt;"","?FAMILIAR",IF(F4623="NEW",IF(ISNA(VLOOKUP(E4623,#REF!,1,FALSE())),"?TYPE_IDENTIFIABLE","?REFERENTIAL"),"_")))))</f>
        <v> </v>
      </c>
      <c r="H4623" s="25" t="str">
        <f>IF(J4623&lt;&gt;1,"",IF(I4623="SBJ","CB","?"))</f>
        <v> </v>
      </c>
      <c r="I4623" s="26" t="str">
        <f>IF(OR(E4623="",E4623="!!!",F4623="NEW"),"",INDEX(B4622:B$2,-1+SUMPRODUCT(MAX(ROW(E4622:E$2)*(E4623=E4622:E$2)))))</f>
        <v> </v>
      </c>
      <c r="J4623" s="26" t="str">
        <f>IF(OR(E4623="",E4623="!!!",F4623="NEW"),"",COUNTBLANK(OFFSET(A$1,,,SUMPRODUCT(MAX(ROW(E$2:E4623)*(E4623=E$2:E4623)))))-COUNTBLANK(OFFSET(A$1,,,SUMPRODUCT(MAX(ROW(E$1:E4622)*(E2=E$1:E4622))))))</f>
        <v> </v>
      </c>
      <c r="K4623" s="26" t="str">
        <f>IF(OR(E4623="",E4623="!!!",F4623="NEW"),"",INDEX(J$1:J4622,SUMPRODUCT(MAX(ROW(E$1:E4622)*(E4623=E$1:E4622)))))</f>
        <v> </v>
      </c>
      <c r="L4623" s="27"/>
    </row>
    <row r="4624" spans="1:12">
      <c r="A4624" s="20"/>
    </row>
    <row r="4625" spans="1:12">
      <c r="A4625" s="20" t="s">
        <v>2198</v>
      </c>
    </row>
    <row r="4626" spans="1:12">
      <c r="A4626" s="20" t="s">
        <v>2199</v>
      </c>
      <c r="E4626" s="22">
        <f>IF(D4626="?OLD","!!!","")</f>
        <v/>
      </c>
      <c r="F4626" s="23" t="str">
        <f>IF(OR(E4626="",E4626="!!!"),"",IF(NOT(ISNA(VLOOKUP(E4626,E$1:E4625,1,FALSE()))),"OLD",IF(AND(E4626&lt;&gt;"",E4626&lt;&gt;"!!!"),"NEW","")))</f>
        <v> </v>
      </c>
      <c r="G4626" s="24" t="str">
        <f>IF(OR(E4626="",E4626="!!!"),"",IF(OR(J4626=0,AND(J4626=1,K4626=1),AND(J4626=1,I4626="SBJ"),AND(J4626=1,I4626=0)),"?IN_FOCUS",IF(J4626&lt;=2,"?ACTIVATED",IF(J4626&lt;&gt;"","?FAMILIAR",IF(F4626="NEW",IF(ISNA(VLOOKUP(E4626,#REF!,1,FALSE())),"?TYPE_IDENTIFIABLE","?REFERENTIAL"),"_")))))</f>
        <v> </v>
      </c>
      <c r="H4626" s="25" t="str">
        <f>IF(J4626&lt;&gt;1,"",IF(I4626="SBJ","CB","?"))</f>
        <v> </v>
      </c>
      <c r="I4626" s="26" t="str">
        <f>IF(OR(E4626="",E4626="!!!",F4626="NEW"),"",INDEX(B4625:B$2,-1+SUMPRODUCT(MAX(ROW(E4625:E$2)*(E4626=E4625:E$2)))))</f>
        <v> </v>
      </c>
      <c r="J4626" s="26" t="str">
        <f>IF(OR(E4626="",E4626="!!!",F4626="NEW"),"",COUNTBLANK(OFFSET(A$1,,,SUMPRODUCT(MAX(ROW(E$2:E4626)*(E4626=E$2:E4626)))))-COUNTBLANK(OFFSET(A$1,,,SUMPRODUCT(MAX(ROW(E$1:E4625)*(E2=E$1:E4625))))))</f>
        <v> </v>
      </c>
      <c r="K4626" s="26" t="str">
        <f>IF(OR(E4626="",E4626="!!!",F4626="NEW"),"",INDEX(J$1:J4625,SUMPRODUCT(MAX(ROW(E$1:E4625)*(E4626=E$1:E4625)))))</f>
        <v> </v>
      </c>
      <c r="L4626" s="27"/>
    </row>
    <row r="4627" spans="1:12">
      <c r="A4627" s="20" t="s">
        <v>1019</v>
      </c>
      <c r="E4627" s="22">
        <f>IF(D4627="?OLD","!!!","")</f>
        <v/>
      </c>
      <c r="F4627" s="23" t="str">
        <f>IF(OR(E4627="",E4627="!!!"),"",IF(NOT(ISNA(VLOOKUP(E4627,E$1:E4626,1,FALSE()))),"OLD",IF(AND(E4627&lt;&gt;"",E4627&lt;&gt;"!!!"),"NEW","")))</f>
        <v> </v>
      </c>
      <c r="G4627" s="24" t="str">
        <f>IF(OR(E4627="",E4627="!!!"),"",IF(OR(J4627=0,AND(J4627=1,K4627=1),AND(J4627=1,I4627="SBJ"),AND(J4627=1,I4627=0)),"?IN_FOCUS",IF(J4627&lt;=2,"?ACTIVATED",IF(J4627&lt;&gt;"","?FAMILIAR",IF(F4627="NEW",IF(ISNA(VLOOKUP(E4627,#REF!,1,FALSE())),"?TYPE_IDENTIFIABLE","?REFERENTIAL"),"_")))))</f>
        <v> </v>
      </c>
      <c r="H4627" s="25" t="str">
        <f>IF(J4627&lt;&gt;1,"",IF(I4627="SBJ","CB","?"))</f>
        <v> </v>
      </c>
      <c r="I4627" s="26" t="str">
        <f>IF(OR(E4627="",E4627="!!!",F4627="NEW"),"",INDEX(B4626:B$2,-1+SUMPRODUCT(MAX(ROW(E4626:E$2)*(E4627=E4626:E$2)))))</f>
        <v> </v>
      </c>
      <c r="J4627" s="26" t="str">
        <f>IF(OR(E4627="",E4627="!!!",F4627="NEW"),"",COUNTBLANK(OFFSET(A$1,,,SUMPRODUCT(MAX(ROW(E$2:E4627)*(E4627=E$2:E4627)))))-COUNTBLANK(OFFSET(A$1,,,SUMPRODUCT(MAX(ROW(E$1:E4626)*(E2=E$1:E4626))))))</f>
        <v> </v>
      </c>
      <c r="K4627" s="26" t="str">
        <f>IF(OR(E4627="",E4627="!!!",F4627="NEW"),"",INDEX(J$1:J4626,SUMPRODUCT(MAX(ROW(E$1:E4626)*(E4627=E$1:E4626)))))</f>
        <v> </v>
      </c>
      <c r="L4627" s="27"/>
    </row>
    <row r="4628" spans="1:12">
      <c r="A4628" s="20" t="s">
        <v>2200</v>
      </c>
      <c r="B4628" s="21" t="s">
        <v>959</v>
      </c>
      <c r="C4628" s="21" t="s">
        <v>976</v>
      </c>
      <c r="D4628" s="21" t="s">
        <v>950</v>
      </c>
      <c r="E4628" s="22">
        <f>IF(D4628="?OLD","!!!","")</f>
        <v/>
      </c>
      <c r="F4628" s="23" t="str">
        <f>IF(OR(E4628="",E4628="!!!"),"",IF(NOT(ISNA(VLOOKUP(E4628,E$1:E4627,1,FALSE()))),"OLD",IF(AND(E4628&lt;&gt;"",E4628&lt;&gt;"!!!"),"NEW","")))</f>
        <v> </v>
      </c>
      <c r="G4628" s="24" t="str">
        <f>IF(OR(E4628="",E4628="!!!"),"",IF(OR(J4628=0,AND(J4628=1,K4628=1),AND(J4628=1,I4628="SBJ"),AND(J4628=1,I4628=0)),"?IN_FOCUS",IF(J4628&lt;=2,"?ACTIVATED",IF(J4628&lt;&gt;"","?FAMILIAR",IF(F4628="NEW",IF(ISNA(VLOOKUP(E4628,#REF!,1,FALSE())),"?TYPE_IDENTIFIABLE","?REFERENTIAL"),"_")))))</f>
        <v> </v>
      </c>
      <c r="H4628" s="25" t="str">
        <f>IF(J4628&lt;&gt;1,"",IF(I4628="SBJ","CB","?"))</f>
        <v> </v>
      </c>
      <c r="I4628" s="26" t="str">
        <f>IF(OR(E4628="",E4628="!!!",F4628="NEW"),"",INDEX(B4627:B$2,-1+SUMPRODUCT(MAX(ROW(E4627:E$2)*(E4628=E4627:E$2)))))</f>
        <v> </v>
      </c>
      <c r="J4628" s="26" t="str">
        <f>IF(OR(E4628="",E4628="!!!",F4628="NEW"),"",COUNTBLANK(OFFSET(A$1,,,SUMPRODUCT(MAX(ROW(E$2:E4628)*(E4628=E$2:E4628)))))-COUNTBLANK(OFFSET(A$1,,,SUMPRODUCT(MAX(ROW(E$1:E4627)*(E2=E$1:E4627))))))</f>
        <v> </v>
      </c>
      <c r="K4628" s="26" t="str">
        <f>IF(OR(E4628="",E4628="!!!",F4628="NEW"),"",INDEX(J$1:J4627,SUMPRODUCT(MAX(ROW(E$1:E4627)*(E4628=E$1:E4627)))))</f>
        <v> </v>
      </c>
      <c r="L4628" s="27"/>
    </row>
    <row r="4629" spans="1:12">
      <c r="A4629" s="20" t="s">
        <v>977</v>
      </c>
      <c r="E4629" s="22">
        <f>IF(D4629="?OLD","!!!","")</f>
        <v/>
      </c>
      <c r="F4629" s="23" t="str">
        <f>IF(OR(E4629="",E4629="!!!"),"",IF(NOT(ISNA(VLOOKUP(E4629,E$1:E4628,1,FALSE()))),"OLD",IF(AND(E4629&lt;&gt;"",E4629&lt;&gt;"!!!"),"NEW","")))</f>
        <v> </v>
      </c>
      <c r="G4629" s="24" t="str">
        <f>IF(OR(E4629="",E4629="!!!"),"",IF(OR(J4629=0,AND(J4629=1,K4629=1),AND(J4629=1,I4629="SBJ"),AND(J4629=1,I4629=0)),"?IN_FOCUS",IF(J4629&lt;=2,"?ACTIVATED",IF(J4629&lt;&gt;"","?FAMILIAR",IF(F4629="NEW",IF(ISNA(VLOOKUP(E4629,#REF!,1,FALSE())),"?TYPE_IDENTIFIABLE","?REFERENTIAL"),"_")))))</f>
        <v> </v>
      </c>
      <c r="H4629" s="25" t="str">
        <f>IF(J4629&lt;&gt;1,"",IF(I4629="SBJ","CB","?"))</f>
        <v> </v>
      </c>
      <c r="I4629" s="26" t="str">
        <f>IF(OR(E4629="",E4629="!!!",F4629="NEW"),"",INDEX(B4628:B$2,-1+SUMPRODUCT(MAX(ROW(E4628:E$2)*(E4629=E4628:E$2)))))</f>
        <v> </v>
      </c>
      <c r="J4629" s="26" t="str">
        <f>IF(OR(E4629="",E4629="!!!",F4629="NEW"),"",COUNTBLANK(OFFSET(A$1,,,SUMPRODUCT(MAX(ROW(E$2:E4629)*(E4629=E$2:E4629)))))-COUNTBLANK(OFFSET(A$1,,,SUMPRODUCT(MAX(ROW(E$1:E4628)*(E2=E$1:E4628))))))</f>
        <v> </v>
      </c>
      <c r="K4629" s="26" t="str">
        <f>IF(OR(E4629="",E4629="!!!",F4629="NEW"),"",INDEX(J$1:J4628,SUMPRODUCT(MAX(ROW(E$1:E4628)*(E4629=E$1:E4628)))))</f>
        <v> </v>
      </c>
      <c r="L4629" s="27"/>
    </row>
    <row r="4630" spans="1:12">
      <c r="A4630" s="20" t="s">
        <v>2096</v>
      </c>
      <c r="B4630" s="21" t="s">
        <v>1031</v>
      </c>
      <c r="C4630" s="21" t="s">
        <v>983</v>
      </c>
      <c r="E4630" s="22">
        <f>IF(D4630="?OLD","!!!","")</f>
        <v/>
      </c>
      <c r="F4630" s="23" t="str">
        <f>IF(OR(E4630="",E4630="!!!"),"",IF(NOT(ISNA(VLOOKUP(E4630,E$1:E4629,1,FALSE()))),"OLD",IF(AND(E4630&lt;&gt;"",E4630&lt;&gt;"!!!"),"NEW","")))</f>
        <v> </v>
      </c>
      <c r="G4630" s="24" t="str">
        <f>IF(OR(E4630="",E4630="!!!"),"",IF(OR(J4630=0,AND(J4630=1,K4630=1),AND(J4630=1,I4630="SBJ"),AND(J4630=1,I4630=0)),"?IN_FOCUS",IF(J4630&lt;=2,"?ACTIVATED",IF(J4630&lt;&gt;"","?FAMILIAR",IF(F4630="NEW",IF(ISNA(VLOOKUP(E4630,#REF!,1,FALSE())),"?TYPE_IDENTIFIABLE","?REFERENTIAL"),"_")))))</f>
        <v> </v>
      </c>
      <c r="H4630" s="25" t="str">
        <f>IF(J4630&lt;&gt;1,"",IF(I4630="SBJ","CB","?"))</f>
        <v> </v>
      </c>
      <c r="I4630" s="26" t="str">
        <f>IF(OR(E4630="",E4630="!!!",F4630="NEW"),"",INDEX(B4629:B$2,-1+SUMPRODUCT(MAX(ROW(E4629:E$2)*(E4630=E4629:E$2)))))</f>
        <v> </v>
      </c>
      <c r="J4630" s="26" t="str">
        <f>IF(OR(E4630="",E4630="!!!",F4630="NEW"),"",COUNTBLANK(OFFSET(A$1,,,SUMPRODUCT(MAX(ROW(E$2:E4630)*(E4630=E$2:E4630)))))-COUNTBLANK(OFFSET(A$1,,,SUMPRODUCT(MAX(ROW(E$1:E4629)*(E2=E$1:E4629))))))</f>
        <v> </v>
      </c>
      <c r="K4630" s="26" t="str">
        <f>IF(OR(E4630="",E4630="!!!",F4630="NEW"),"",INDEX(J$1:J4629,SUMPRODUCT(MAX(ROW(E$1:E4629)*(E4630=E$1:E4629)))))</f>
        <v> </v>
      </c>
      <c r="L4630" s="27"/>
    </row>
    <row r="4631" spans="1:12">
      <c r="A4631" s="20" t="s">
        <v>1001</v>
      </c>
      <c r="E4631" s="22">
        <f>IF(D4631="?OLD","!!!","")</f>
        <v/>
      </c>
      <c r="F4631" s="23" t="str">
        <f>IF(OR(E4631="",E4631="!!!"),"",IF(NOT(ISNA(VLOOKUP(E4631,E$1:E4630,1,FALSE()))),"OLD",IF(AND(E4631&lt;&gt;"",E4631&lt;&gt;"!!!"),"NEW","")))</f>
        <v> </v>
      </c>
      <c r="G4631" s="24" t="str">
        <f>IF(OR(E4631="",E4631="!!!"),"",IF(OR(J4631=0,AND(J4631=1,K4631=1),AND(J4631=1,I4631="SBJ"),AND(J4631=1,I4631=0)),"?IN_FOCUS",IF(J4631&lt;=2,"?ACTIVATED",IF(J4631&lt;&gt;"","?FAMILIAR",IF(F4631="NEW",IF(ISNA(VLOOKUP(E4631,#REF!,1,FALSE())),"?TYPE_IDENTIFIABLE","?REFERENTIAL"),"_")))))</f>
        <v> </v>
      </c>
      <c r="H4631" s="25" t="str">
        <f>IF(J4631&lt;&gt;1,"",IF(I4631="SBJ","CB","?"))</f>
        <v> </v>
      </c>
      <c r="I4631" s="26" t="str">
        <f>IF(OR(E4631="",E4631="!!!",F4631="NEW"),"",INDEX(B4630:B$2,-1+SUMPRODUCT(MAX(ROW(E4630:E$2)*(E4631=E4630:E$2)))))</f>
        <v> </v>
      </c>
      <c r="J4631" s="26" t="str">
        <f>IF(OR(E4631="",E4631="!!!",F4631="NEW"),"",COUNTBLANK(OFFSET(A$1,,,SUMPRODUCT(MAX(ROW(E$2:E4631)*(E4631=E$2:E4631)))))-COUNTBLANK(OFFSET(A$1,,,SUMPRODUCT(MAX(ROW(E$1:E4630)*(E2=E$1:E4630))))))</f>
        <v> </v>
      </c>
      <c r="K4631" s="26" t="str">
        <f>IF(OR(E4631="",E4631="!!!",F4631="NEW"),"",INDEX(J$1:J4630,SUMPRODUCT(MAX(ROW(E$1:E4630)*(E4631=E$1:E4630)))))</f>
        <v> </v>
      </c>
      <c r="L4631" s="27"/>
    </row>
    <row r="4632" spans="1:12">
      <c r="A4632" s="20" t="s">
        <v>1643</v>
      </c>
      <c r="E4632" s="22">
        <f>IF(D4632="?OLD","!!!","")</f>
        <v/>
      </c>
      <c r="F4632" s="23" t="str">
        <f>IF(OR(E4632="",E4632="!!!"),"",IF(NOT(ISNA(VLOOKUP(E4632,E$1:E4631,1,FALSE()))),"OLD",IF(AND(E4632&lt;&gt;"",E4632&lt;&gt;"!!!"),"NEW","")))</f>
        <v> </v>
      </c>
      <c r="G4632" s="24" t="str">
        <f>IF(OR(E4632="",E4632="!!!"),"",IF(OR(J4632=0,AND(J4632=1,K4632=1),AND(J4632=1,I4632="SBJ"),AND(J4632=1,I4632=0)),"?IN_FOCUS",IF(J4632&lt;=2,"?ACTIVATED",IF(J4632&lt;&gt;"","?FAMILIAR",IF(F4632="NEW",IF(ISNA(VLOOKUP(E4632,#REF!,1,FALSE())),"?TYPE_IDENTIFIABLE","?REFERENTIAL"),"_")))))</f>
        <v> </v>
      </c>
      <c r="H4632" s="25" t="str">
        <f>IF(J4632&lt;&gt;1,"",IF(I4632="SBJ","CB","?"))</f>
        <v> </v>
      </c>
      <c r="I4632" s="26" t="str">
        <f>IF(OR(E4632="",E4632="!!!",F4632="NEW"),"",INDEX(B4631:B$2,-1+SUMPRODUCT(MAX(ROW(E4631:E$2)*(E4632=E4631:E$2)))))</f>
        <v> </v>
      </c>
      <c r="J4632" s="26" t="str">
        <f>IF(OR(E4632="",E4632="!!!",F4632="NEW"),"",COUNTBLANK(OFFSET(A$1,,,SUMPRODUCT(MAX(ROW(E$2:E4632)*(E4632=E$2:E4632)))))-COUNTBLANK(OFFSET(A$1,,,SUMPRODUCT(MAX(ROW(E$1:E4631)*(E2=E$1:E4631))))))</f>
        <v> </v>
      </c>
      <c r="K4632" s="26" t="str">
        <f>IF(OR(E4632="",E4632="!!!",F4632="NEW"),"",INDEX(J$1:J4631,SUMPRODUCT(MAX(ROW(E$1:E4631)*(E4632=E$1:E4631)))))</f>
        <v> </v>
      </c>
      <c r="L4632" s="27"/>
    </row>
    <row r="4633" spans="1:12">
      <c r="A4633" s="20" t="s">
        <v>965</v>
      </c>
      <c r="E4633" s="22">
        <f>IF(D4633="?OLD","!!!","")</f>
        <v/>
      </c>
      <c r="F4633" s="23" t="str">
        <f>IF(OR(E4633="",E4633="!!!"),"",IF(NOT(ISNA(VLOOKUP(E4633,E$1:E4632,1,FALSE()))),"OLD",IF(AND(E4633&lt;&gt;"",E4633&lt;&gt;"!!!"),"NEW","")))</f>
        <v> </v>
      </c>
      <c r="G4633" s="24" t="str">
        <f>IF(OR(E4633="",E4633="!!!"),"",IF(OR(J4633=0,AND(J4633=1,K4633=1),AND(J4633=1,I4633="SBJ"),AND(J4633=1,I4633=0)),"?IN_FOCUS",IF(J4633&lt;=2,"?ACTIVATED",IF(J4633&lt;&gt;"","?FAMILIAR",IF(F4633="NEW",IF(ISNA(VLOOKUP(E4633,#REF!,1,FALSE())),"?TYPE_IDENTIFIABLE","?REFERENTIAL"),"_")))))</f>
        <v> </v>
      </c>
      <c r="H4633" s="25" t="str">
        <f>IF(J4633&lt;&gt;1,"",IF(I4633="SBJ","CB","?"))</f>
        <v> </v>
      </c>
      <c r="I4633" s="26" t="str">
        <f>IF(OR(E4633="",E4633="!!!",F4633="NEW"),"",INDEX(B4632:B$2,-1+SUMPRODUCT(MAX(ROW(E4632:E$2)*(E4633=E4632:E$2)))))</f>
        <v> </v>
      </c>
      <c r="J4633" s="26" t="str">
        <f>IF(OR(E4633="",E4633="!!!",F4633="NEW"),"",COUNTBLANK(OFFSET(A$1,,,SUMPRODUCT(MAX(ROW(E$2:E4633)*(E4633=E$2:E4633)))))-COUNTBLANK(OFFSET(A$1,,,SUMPRODUCT(MAX(ROW(E$1:E4632)*(E2=E$1:E4632))))))</f>
        <v> </v>
      </c>
      <c r="K4633" s="26" t="str">
        <f>IF(OR(E4633="",E4633="!!!",F4633="NEW"),"",INDEX(J$1:J4632,SUMPRODUCT(MAX(ROW(E$1:E4632)*(E4633=E$1:E4632)))))</f>
        <v> </v>
      </c>
      <c r="L4633" s="27"/>
    </row>
    <row r="4634" spans="1:12">
      <c r="A4634" s="20" t="s">
        <v>972</v>
      </c>
      <c r="E4634" s="22">
        <f>IF(D4634="?OLD","!!!","")</f>
        <v/>
      </c>
      <c r="F4634" s="23" t="str">
        <f>IF(OR(E4634="",E4634="!!!"),"",IF(NOT(ISNA(VLOOKUP(E4634,E$1:E4633,1,FALSE()))),"OLD",IF(AND(E4634&lt;&gt;"",E4634&lt;&gt;"!!!"),"NEW","")))</f>
        <v> </v>
      </c>
      <c r="G4634" s="24" t="str">
        <f>IF(OR(E4634="",E4634="!!!"),"",IF(OR(J4634=0,AND(J4634=1,K4634=1),AND(J4634=1,I4634="SBJ"),AND(J4634=1,I4634=0)),"?IN_FOCUS",IF(J4634&lt;=2,"?ACTIVATED",IF(J4634&lt;&gt;"","?FAMILIAR",IF(F4634="NEW",IF(ISNA(VLOOKUP(E4634,#REF!,1,FALSE())),"?TYPE_IDENTIFIABLE","?REFERENTIAL"),"_")))))</f>
        <v> </v>
      </c>
      <c r="H4634" s="25" t="str">
        <f>IF(J4634&lt;&gt;1,"",IF(I4634="SBJ","CB","?"))</f>
        <v> </v>
      </c>
      <c r="I4634" s="26" t="str">
        <f>IF(OR(E4634="",E4634="!!!",F4634="NEW"),"",INDEX(B4633:B$2,-1+SUMPRODUCT(MAX(ROW(E4633:E$2)*(E4634=E4633:E$2)))))</f>
        <v> </v>
      </c>
      <c r="J4634" s="26" t="str">
        <f>IF(OR(E4634="",E4634="!!!",F4634="NEW"),"",COUNTBLANK(OFFSET(A$1,,,SUMPRODUCT(MAX(ROW(E$2:E4634)*(E4634=E$2:E4634)))))-COUNTBLANK(OFFSET(A$1,,,SUMPRODUCT(MAX(ROW(E$1:E4633)*(E2=E$1:E4633))))))</f>
        <v> </v>
      </c>
      <c r="K4634" s="26" t="str">
        <f>IF(OR(E4634="",E4634="!!!",F4634="NEW"),"",INDEX(J$1:J4633,SUMPRODUCT(MAX(ROW(E$1:E4633)*(E4634=E$1:E4633)))))</f>
        <v> </v>
      </c>
      <c r="L4634" s="27"/>
    </row>
    <row r="4635" spans="1:12">
      <c r="A4635" s="20" t="s">
        <v>2201</v>
      </c>
      <c r="E4635" s="22">
        <f>IF(D4635="?OLD","!!!","")</f>
        <v/>
      </c>
      <c r="F4635" s="23" t="str">
        <f>IF(OR(E4635="",E4635="!!!"),"",IF(NOT(ISNA(VLOOKUP(E4635,E$1:E4634,1,FALSE()))),"OLD",IF(AND(E4635&lt;&gt;"",E4635&lt;&gt;"!!!"),"NEW","")))</f>
        <v> </v>
      </c>
      <c r="G4635" s="24" t="str">
        <f>IF(OR(E4635="",E4635="!!!"),"",IF(OR(J4635=0,AND(J4635=1,K4635=1),AND(J4635=1,I4635="SBJ"),AND(J4635=1,I4635=0)),"?IN_FOCUS",IF(J4635&lt;=2,"?ACTIVATED",IF(J4635&lt;&gt;"","?FAMILIAR",IF(F4635="NEW",IF(ISNA(VLOOKUP(E4635,#REF!,1,FALSE())),"?TYPE_IDENTIFIABLE","?REFERENTIAL"),"_")))))</f>
        <v> </v>
      </c>
      <c r="H4635" s="25" t="str">
        <f>IF(J4635&lt;&gt;1,"",IF(I4635="SBJ","CB","?"))</f>
        <v> </v>
      </c>
      <c r="I4635" s="26" t="str">
        <f>IF(OR(E4635="",E4635="!!!",F4635="NEW"),"",INDEX(B4634:B$2,-1+SUMPRODUCT(MAX(ROW(E4634:E$2)*(E4635=E4634:E$2)))))</f>
        <v> </v>
      </c>
      <c r="J4635" s="26" t="str">
        <f>IF(OR(E4635="",E4635="!!!",F4635="NEW"),"",COUNTBLANK(OFFSET(A$1,,,SUMPRODUCT(MAX(ROW(E$2:E4635)*(E4635=E$2:E4635)))))-COUNTBLANK(OFFSET(A$1,,,SUMPRODUCT(MAX(ROW(E$1:E4634)*(E2=E$1:E4634))))))</f>
        <v> </v>
      </c>
      <c r="K4635" s="26" t="str">
        <f>IF(OR(E4635="",E4635="!!!",F4635="NEW"),"",INDEX(J$1:J4634,SUMPRODUCT(MAX(ROW(E$1:E4634)*(E4635=E$1:E4634)))))</f>
        <v> </v>
      </c>
      <c r="L4635" s="27"/>
    </row>
    <row r="4636" spans="1:12">
      <c r="A4636" s="20" t="s">
        <v>1022</v>
      </c>
      <c r="E4636" s="22">
        <f>IF(D4636="?OLD","!!!","")</f>
        <v/>
      </c>
      <c r="F4636" s="23" t="str">
        <f>IF(OR(E4636="",E4636="!!!"),"",IF(NOT(ISNA(VLOOKUP(E4636,E$1:E4635,1,FALSE()))),"OLD",IF(AND(E4636&lt;&gt;"",E4636&lt;&gt;"!!!"),"NEW","")))</f>
        <v> </v>
      </c>
      <c r="G4636" s="24" t="str">
        <f>IF(OR(E4636="",E4636="!!!"),"",IF(OR(J4636=0,AND(J4636=1,K4636=1),AND(J4636=1,I4636="SBJ"),AND(J4636=1,I4636=0)),"?IN_FOCUS",IF(J4636&lt;=2,"?ACTIVATED",IF(J4636&lt;&gt;"","?FAMILIAR",IF(F4636="NEW",IF(ISNA(VLOOKUP(E4636,#REF!,1,FALSE())),"?TYPE_IDENTIFIABLE","?REFERENTIAL"),"_")))))</f>
        <v> </v>
      </c>
      <c r="H4636" s="25" t="str">
        <f>IF(J4636&lt;&gt;1,"",IF(I4636="SBJ","CB","?"))</f>
        <v> </v>
      </c>
      <c r="I4636" s="26" t="str">
        <f>IF(OR(E4636="",E4636="!!!",F4636="NEW"),"",INDEX(B4635:B$2,-1+SUMPRODUCT(MAX(ROW(E4635:E$2)*(E4636=E4635:E$2)))))</f>
        <v> </v>
      </c>
      <c r="J4636" s="26" t="str">
        <f>IF(OR(E4636="",E4636="!!!",F4636="NEW"),"",COUNTBLANK(OFFSET(A$1,,,SUMPRODUCT(MAX(ROW(E$2:E4636)*(E4636=E$2:E4636)))))-COUNTBLANK(OFFSET(A$1,,,SUMPRODUCT(MAX(ROW(E$1:E4635)*(E2=E$1:E4635))))))</f>
        <v> </v>
      </c>
      <c r="K4636" s="26" t="str">
        <f>IF(OR(E4636="",E4636="!!!",F4636="NEW"),"",INDEX(J$1:J4635,SUMPRODUCT(MAX(ROW(E$1:E4635)*(E4636=E$1:E4635)))))</f>
        <v> </v>
      </c>
      <c r="L4636" s="27"/>
    </row>
    <row r="4637" spans="1:12">
      <c r="A4637" s="20" t="s">
        <v>264</v>
      </c>
      <c r="E4637" s="22">
        <f>IF(D4637="?OLD","!!!","")</f>
        <v/>
      </c>
      <c r="F4637" s="23" t="str">
        <f>IF(OR(E4637="",E4637="!!!"),"",IF(NOT(ISNA(VLOOKUP(E4637,E$1:E4636,1,FALSE()))),"OLD",IF(AND(E4637&lt;&gt;"",E4637&lt;&gt;"!!!"),"NEW","")))</f>
        <v> </v>
      </c>
      <c r="G4637" s="24" t="str">
        <f>IF(OR(E4637="",E4637="!!!"),"",IF(OR(J4637=0,AND(J4637=1,K4637=1),AND(J4637=1,I4637="SBJ"),AND(J4637=1,I4637=0)),"?IN_FOCUS",IF(J4637&lt;=2,"?ACTIVATED",IF(J4637&lt;&gt;"","?FAMILIAR",IF(F4637="NEW",IF(ISNA(VLOOKUP(E4637,#REF!,1,FALSE())),"?TYPE_IDENTIFIABLE","?REFERENTIAL"),"_")))))</f>
        <v> </v>
      </c>
      <c r="H4637" s="25" t="str">
        <f>IF(J4637&lt;&gt;1,"",IF(I4637="SBJ","CB","?"))</f>
        <v> </v>
      </c>
      <c r="I4637" s="26" t="str">
        <f>IF(OR(E4637="",E4637="!!!",F4637="NEW"),"",INDEX(B4636:B$2,-1+SUMPRODUCT(MAX(ROW(E4636:E$2)*(E4637=E4636:E$2)))))</f>
        <v> </v>
      </c>
      <c r="J4637" s="26" t="str">
        <f>IF(OR(E4637="",E4637="!!!",F4637="NEW"),"",COUNTBLANK(OFFSET(A$1,,,SUMPRODUCT(MAX(ROW(E$2:E4637)*(E4637=E$2:E4637)))))-COUNTBLANK(OFFSET(A$1,,,SUMPRODUCT(MAX(ROW(E$1:E4636)*(E2=E$1:E4636))))))</f>
        <v> </v>
      </c>
      <c r="K4637" s="26" t="str">
        <f>IF(OR(E4637="",E4637="!!!",F4637="NEW"),"",INDEX(J$1:J4636,SUMPRODUCT(MAX(ROW(E$1:E4636)*(E4637=E$1:E4636)))))</f>
        <v> </v>
      </c>
      <c r="L4637" s="27"/>
    </row>
    <row r="4638" spans="1:12">
      <c r="A4638" s="20" t="s">
        <v>2202</v>
      </c>
      <c r="B4638" s="21" t="s">
        <v>1082</v>
      </c>
      <c r="C4638" s="21" t="s">
        <v>983</v>
      </c>
      <c r="E4638" s="22">
        <f>IF(D4638="?OLD","!!!","")</f>
        <v/>
      </c>
      <c r="F4638" s="23" t="str">
        <f>IF(OR(E4638="",E4638="!!!"),"",IF(NOT(ISNA(VLOOKUP(E4638,E$1:E4637,1,FALSE()))),"OLD",IF(AND(E4638&lt;&gt;"",E4638&lt;&gt;"!!!"),"NEW","")))</f>
        <v> </v>
      </c>
      <c r="G4638" s="24" t="str">
        <f>IF(OR(E4638="",E4638="!!!"),"",IF(OR(J4638=0,AND(J4638=1,K4638=1),AND(J4638=1,I4638="SBJ"),AND(J4638=1,I4638=0)),"?IN_FOCUS",IF(J4638&lt;=2,"?ACTIVATED",IF(J4638&lt;&gt;"","?FAMILIAR",IF(F4638="NEW",IF(ISNA(VLOOKUP(E4638,#REF!,1,FALSE())),"?TYPE_IDENTIFIABLE","?REFERENTIAL"),"_")))))</f>
        <v> </v>
      </c>
      <c r="H4638" s="25" t="str">
        <f>IF(J4638&lt;&gt;1,"",IF(I4638="SBJ","CB","?"))</f>
        <v> </v>
      </c>
      <c r="I4638" s="26" t="str">
        <f>IF(OR(E4638="",E4638="!!!",F4638="NEW"),"",INDEX(B4637:B$2,-1+SUMPRODUCT(MAX(ROW(E4637:E$2)*(E4638=E4637:E$2)))))</f>
        <v> </v>
      </c>
      <c r="J4638" s="26" t="str">
        <f>IF(OR(E4638="",E4638="!!!",F4638="NEW"),"",COUNTBLANK(OFFSET(A$1,,,SUMPRODUCT(MAX(ROW(E$2:E4638)*(E4638=E$2:E4638)))))-COUNTBLANK(OFFSET(A$1,,,SUMPRODUCT(MAX(ROW(E$1:E4637)*(E2=E$1:E4637))))))</f>
        <v> </v>
      </c>
      <c r="K4638" s="26" t="str">
        <f>IF(OR(E4638="",E4638="!!!",F4638="NEW"),"",INDEX(J$1:J4637,SUMPRODUCT(MAX(ROW(E$1:E4637)*(E4638=E$1:E4637)))))</f>
        <v> </v>
      </c>
      <c r="L4638" s="27"/>
    </row>
    <row r="4639" spans="1:12">
      <c r="A4639" s="20" t="s">
        <v>984</v>
      </c>
      <c r="E4639" s="22">
        <f>IF(D4639="?OLD","!!!","")</f>
        <v/>
      </c>
      <c r="F4639" s="23" t="str">
        <f>IF(OR(E4639="",E4639="!!!"),"",IF(NOT(ISNA(VLOOKUP(E4639,E$1:E4638,1,FALSE()))),"OLD",IF(AND(E4639&lt;&gt;"",E4639&lt;&gt;"!!!"),"NEW","")))</f>
        <v> </v>
      </c>
      <c r="G4639" s="24" t="str">
        <f>IF(OR(E4639="",E4639="!!!"),"",IF(OR(J4639=0,AND(J4639=1,K4639=1),AND(J4639=1,I4639="SBJ"),AND(J4639=1,I4639=0)),"?IN_FOCUS",IF(J4639&lt;=2,"?ACTIVATED",IF(J4639&lt;&gt;"","?FAMILIAR",IF(F4639="NEW",IF(ISNA(VLOOKUP(E4639,#REF!,1,FALSE())),"?TYPE_IDENTIFIABLE","?REFERENTIAL"),"_")))))</f>
        <v> </v>
      </c>
      <c r="H4639" s="25" t="str">
        <f>IF(J4639&lt;&gt;1,"",IF(I4639="SBJ","CB","?"))</f>
        <v> </v>
      </c>
      <c r="I4639" s="26" t="str">
        <f>IF(OR(E4639="",E4639="!!!",F4639="NEW"),"",INDEX(B4638:B$2,-1+SUMPRODUCT(MAX(ROW(E4638:E$2)*(E4639=E4638:E$2)))))</f>
        <v> </v>
      </c>
      <c r="J4639" s="26" t="str">
        <f>IF(OR(E4639="",E4639="!!!",F4639="NEW"),"",COUNTBLANK(OFFSET(A$1,,,SUMPRODUCT(MAX(ROW(E$2:E4639)*(E4639=E$2:E4639)))))-COUNTBLANK(OFFSET(A$1,,,SUMPRODUCT(MAX(ROW(E$1:E4638)*(E2=E$1:E4638))))))</f>
        <v> </v>
      </c>
      <c r="K4639" s="26" t="str">
        <f>IF(OR(E4639="",E4639="!!!",F4639="NEW"),"",INDEX(J$1:J4638,SUMPRODUCT(MAX(ROW(E$1:E4638)*(E4639=E$1:E4638)))))</f>
        <v> </v>
      </c>
      <c r="L4639" s="27"/>
    </row>
    <row r="4640" spans="1:12">
      <c r="A4640" s="20"/>
    </row>
    <row r="4641" spans="1:12">
      <c r="A4641" s="20" t="s">
        <v>2203</v>
      </c>
    </row>
    <row r="4642" spans="1:12">
      <c r="A4642" s="20" t="s">
        <v>2204</v>
      </c>
      <c r="E4642" s="22">
        <f>IF(D4642="?OLD","!!!","")</f>
        <v/>
      </c>
      <c r="F4642" s="23" t="str">
        <f>IF(OR(E4642="",E4642="!!!"),"",IF(NOT(ISNA(VLOOKUP(E4642,E$1:E4641,1,FALSE()))),"OLD",IF(AND(E4642&lt;&gt;"",E4642&lt;&gt;"!!!"),"NEW","")))</f>
        <v> </v>
      </c>
      <c r="G4642" s="24" t="str">
        <f>IF(OR(E4642="",E4642="!!!"),"",IF(OR(J4642=0,AND(J4642=1,K4642=1),AND(J4642=1,I4642="SBJ"),AND(J4642=1,I4642=0)),"?IN_FOCUS",IF(J4642&lt;=2,"?ACTIVATED",IF(J4642&lt;&gt;"","?FAMILIAR",IF(F4642="NEW",IF(ISNA(VLOOKUP(E4642,#REF!,1,FALSE())),"?TYPE_IDENTIFIABLE","?REFERENTIAL"),"_")))))</f>
        <v> </v>
      </c>
      <c r="H4642" s="25" t="str">
        <f>IF(J4642&lt;&gt;1,"",IF(I4642="SBJ","CB","?"))</f>
        <v> </v>
      </c>
      <c r="I4642" s="26" t="str">
        <f>IF(OR(E4642="",E4642="!!!",F4642="NEW"),"",INDEX(B4641:B$2,-1+SUMPRODUCT(MAX(ROW(E4641:E$2)*(E4642=E4641:E$2)))))</f>
        <v> </v>
      </c>
      <c r="J4642" s="26" t="str">
        <f>IF(OR(E4642="",E4642="!!!",F4642="NEW"),"",COUNTBLANK(OFFSET(A$1,,,SUMPRODUCT(MAX(ROW(E$2:E4642)*(E4642=E$2:E4642)))))-COUNTBLANK(OFFSET(A$1,,,SUMPRODUCT(MAX(ROW(E$1:E4641)*(E2=E$1:E4641))))))</f>
        <v> </v>
      </c>
      <c r="K4642" s="26" t="str">
        <f>IF(OR(E4642="",E4642="!!!",F4642="NEW"),"",INDEX(J$1:J4641,SUMPRODUCT(MAX(ROW(E$1:E4641)*(E4642=E$1:E4641)))))</f>
        <v> </v>
      </c>
      <c r="L4642" s="27"/>
    </row>
    <row r="4643" spans="1:12">
      <c r="A4643" s="20" t="s">
        <v>1019</v>
      </c>
      <c r="E4643" s="22">
        <f>IF(D4643="?OLD","!!!","")</f>
        <v/>
      </c>
      <c r="F4643" s="23" t="str">
        <f>IF(OR(E4643="",E4643="!!!"),"",IF(NOT(ISNA(VLOOKUP(E4643,E$1:E4642,1,FALSE()))),"OLD",IF(AND(E4643&lt;&gt;"",E4643&lt;&gt;"!!!"),"NEW","")))</f>
        <v> </v>
      </c>
      <c r="G4643" s="24" t="str">
        <f>IF(OR(E4643="",E4643="!!!"),"",IF(OR(J4643=0,AND(J4643=1,K4643=1),AND(J4643=1,I4643="SBJ"),AND(J4643=1,I4643=0)),"?IN_FOCUS",IF(J4643&lt;=2,"?ACTIVATED",IF(J4643&lt;&gt;"","?FAMILIAR",IF(F4643="NEW",IF(ISNA(VLOOKUP(E4643,#REF!,1,FALSE())),"?TYPE_IDENTIFIABLE","?REFERENTIAL"),"_")))))</f>
        <v> </v>
      </c>
      <c r="H4643" s="25" t="str">
        <f>IF(J4643&lt;&gt;1,"",IF(I4643="SBJ","CB","?"))</f>
        <v> </v>
      </c>
      <c r="I4643" s="26" t="str">
        <f>IF(OR(E4643="",E4643="!!!",F4643="NEW"),"",INDEX(B4642:B$2,-1+SUMPRODUCT(MAX(ROW(E4642:E$2)*(E4643=E4642:E$2)))))</f>
        <v> </v>
      </c>
      <c r="J4643" s="26" t="str">
        <f>IF(OR(E4643="",E4643="!!!",F4643="NEW"),"",COUNTBLANK(OFFSET(A$1,,,SUMPRODUCT(MAX(ROW(E$2:E4643)*(E4643=E$2:E4643)))))-COUNTBLANK(OFFSET(A$1,,,SUMPRODUCT(MAX(ROW(E$1:E4642)*(E2=E$1:E4642))))))</f>
        <v> </v>
      </c>
      <c r="K4643" s="26" t="str">
        <f>IF(OR(E4643="",E4643="!!!",F4643="NEW"),"",INDEX(J$1:J4642,SUMPRODUCT(MAX(ROW(E$1:E4642)*(E4643=E$1:E4642)))))</f>
        <v> </v>
      </c>
      <c r="L4643" s="27"/>
    </row>
    <row r="4644" spans="1:12">
      <c r="A4644" s="20" t="s">
        <v>2205</v>
      </c>
      <c r="B4644" s="21" t="s">
        <v>959</v>
      </c>
      <c r="C4644" s="21" t="s">
        <v>976</v>
      </c>
      <c r="D4644" s="21" t="s">
        <v>950</v>
      </c>
      <c r="E4644" s="22">
        <f>IF(D4644="?OLD","!!!","")</f>
        <v/>
      </c>
      <c r="F4644" s="23" t="str">
        <f>IF(OR(E4644="",E4644="!!!"),"",IF(NOT(ISNA(VLOOKUP(E4644,E$1:E4643,1,FALSE()))),"OLD",IF(AND(E4644&lt;&gt;"",E4644&lt;&gt;"!!!"),"NEW","")))</f>
        <v> </v>
      </c>
      <c r="G4644" s="24" t="str">
        <f>IF(OR(E4644="",E4644="!!!"),"",IF(OR(J4644=0,AND(J4644=1,K4644=1),AND(J4644=1,I4644="SBJ"),AND(J4644=1,I4644=0)),"?IN_FOCUS",IF(J4644&lt;=2,"?ACTIVATED",IF(J4644&lt;&gt;"","?FAMILIAR",IF(F4644="NEW",IF(ISNA(VLOOKUP(E4644,#REF!,1,FALSE())),"?TYPE_IDENTIFIABLE","?REFERENTIAL"),"_")))))</f>
        <v> </v>
      </c>
      <c r="H4644" s="25" t="str">
        <f>IF(J4644&lt;&gt;1,"",IF(I4644="SBJ","CB","?"))</f>
        <v> </v>
      </c>
      <c r="I4644" s="26" t="str">
        <f>IF(OR(E4644="",E4644="!!!",F4644="NEW"),"",INDEX(B4643:B$2,-1+SUMPRODUCT(MAX(ROW(E4643:E$2)*(E4644=E4643:E$2)))))</f>
        <v> </v>
      </c>
      <c r="J4644" s="26" t="str">
        <f>IF(OR(E4644="",E4644="!!!",F4644="NEW"),"",COUNTBLANK(OFFSET(A$1,,,SUMPRODUCT(MAX(ROW(E$2:E4644)*(E4644=E$2:E4644)))))-COUNTBLANK(OFFSET(A$1,,,SUMPRODUCT(MAX(ROW(E$1:E4643)*(E2=E$1:E4643))))))</f>
        <v> </v>
      </c>
      <c r="K4644" s="26" t="str">
        <f>IF(OR(E4644="",E4644="!!!",F4644="NEW"),"",INDEX(J$1:J4643,SUMPRODUCT(MAX(ROW(E$1:E4643)*(E4644=E$1:E4643)))))</f>
        <v> </v>
      </c>
      <c r="L4644" s="27"/>
    </row>
    <row r="4645" spans="1:12">
      <c r="A4645" s="20" t="s">
        <v>1077</v>
      </c>
      <c r="E4645" s="22">
        <f>IF(D4645="?OLD","!!!","")</f>
        <v/>
      </c>
      <c r="F4645" s="23" t="str">
        <f>IF(OR(E4645="",E4645="!!!"),"",IF(NOT(ISNA(VLOOKUP(E4645,E$1:E4644,1,FALSE()))),"OLD",IF(AND(E4645&lt;&gt;"",E4645&lt;&gt;"!!!"),"NEW","")))</f>
        <v> </v>
      </c>
      <c r="G4645" s="24" t="str">
        <f>IF(OR(E4645="",E4645="!!!"),"",IF(OR(J4645=0,AND(J4645=1,K4645=1),AND(J4645=1,I4645="SBJ"),AND(J4645=1,I4645=0)),"?IN_FOCUS",IF(J4645&lt;=2,"?ACTIVATED",IF(J4645&lt;&gt;"","?FAMILIAR",IF(F4645="NEW",IF(ISNA(VLOOKUP(E4645,#REF!,1,FALSE())),"?TYPE_IDENTIFIABLE","?REFERENTIAL"),"_")))))</f>
        <v> </v>
      </c>
      <c r="H4645" s="25" t="str">
        <f>IF(J4645&lt;&gt;1,"",IF(I4645="SBJ","CB","?"))</f>
        <v> </v>
      </c>
      <c r="I4645" s="26" t="str">
        <f>IF(OR(E4645="",E4645="!!!",F4645="NEW"),"",INDEX(B4644:B$2,-1+SUMPRODUCT(MAX(ROW(E4644:E$2)*(E4645=E4644:E$2)))))</f>
        <v> </v>
      </c>
      <c r="J4645" s="26" t="str">
        <f>IF(OR(E4645="",E4645="!!!",F4645="NEW"),"",COUNTBLANK(OFFSET(A$1,,,SUMPRODUCT(MAX(ROW(E$2:E4645)*(E4645=E$2:E4645)))))-COUNTBLANK(OFFSET(A$1,,,SUMPRODUCT(MAX(ROW(E$1:E4644)*(E2=E$1:E4644))))))</f>
        <v> </v>
      </c>
      <c r="K4645" s="26" t="str">
        <f>IF(OR(E4645="",E4645="!!!",F4645="NEW"),"",INDEX(J$1:J4644,SUMPRODUCT(MAX(ROW(E$1:E4644)*(E4645=E$1:E4644)))))</f>
        <v> </v>
      </c>
      <c r="L4645" s="27"/>
    </row>
    <row r="4646" spans="1:12">
      <c r="A4646" s="20" t="s">
        <v>2206</v>
      </c>
      <c r="E4646" s="22">
        <f>IF(D4646="?OLD","!!!","")</f>
        <v/>
      </c>
      <c r="F4646" s="23" t="str">
        <f>IF(OR(E4646="",E4646="!!!"),"",IF(NOT(ISNA(VLOOKUP(E4646,E$1:E4645,1,FALSE()))),"OLD",IF(AND(E4646&lt;&gt;"",E4646&lt;&gt;"!!!"),"NEW","")))</f>
        <v> </v>
      </c>
      <c r="G4646" s="24" t="str">
        <f>IF(OR(E4646="",E4646="!!!"),"",IF(OR(J4646=0,AND(J4646=1,K4646=1),AND(J4646=1,I4646="SBJ"),AND(J4646=1,I4646=0)),"?IN_FOCUS",IF(J4646&lt;=2,"?ACTIVATED",IF(J4646&lt;&gt;"","?FAMILIAR",IF(F4646="NEW",IF(ISNA(VLOOKUP(E4646,#REF!,1,FALSE())),"?TYPE_IDENTIFIABLE","?REFERENTIAL"),"_")))))</f>
        <v> </v>
      </c>
      <c r="H4646" s="25" t="str">
        <f>IF(J4646&lt;&gt;1,"",IF(I4646="SBJ","CB","?"))</f>
        <v> </v>
      </c>
      <c r="I4646" s="26" t="str">
        <f>IF(OR(E4646="",E4646="!!!",F4646="NEW"),"",INDEX(B4645:B$2,-1+SUMPRODUCT(MAX(ROW(E4645:E$2)*(E4646=E4645:E$2)))))</f>
        <v> </v>
      </c>
      <c r="J4646" s="26" t="str">
        <f>IF(OR(E4646="",E4646="!!!",F4646="NEW"),"",COUNTBLANK(OFFSET(A$1,,,SUMPRODUCT(MAX(ROW(E$2:E4646)*(E4646=E$2:E4646)))))-COUNTBLANK(OFFSET(A$1,,,SUMPRODUCT(MAX(ROW(E$1:E4645)*(E2=E$1:E4645))))))</f>
        <v> </v>
      </c>
      <c r="K4646" s="26" t="str">
        <f>IF(OR(E4646="",E4646="!!!",F4646="NEW"),"",INDEX(J$1:J4645,SUMPRODUCT(MAX(ROW(E$1:E4645)*(E4646=E$1:E4645)))))</f>
        <v> </v>
      </c>
      <c r="L4646" s="27"/>
    </row>
    <row r="4647" spans="1:12">
      <c r="A4647" s="20" t="s">
        <v>977</v>
      </c>
      <c r="E4647" s="22">
        <f>IF(D4647="?OLD","!!!","")</f>
        <v/>
      </c>
      <c r="F4647" s="23" t="str">
        <f>IF(OR(E4647="",E4647="!!!"),"",IF(NOT(ISNA(VLOOKUP(E4647,E$1:E4646,1,FALSE()))),"OLD",IF(AND(E4647&lt;&gt;"",E4647&lt;&gt;"!!!"),"NEW","")))</f>
        <v> </v>
      </c>
      <c r="G4647" s="24" t="str">
        <f>IF(OR(E4647="",E4647="!!!"),"",IF(OR(J4647=0,AND(J4647=1,K4647=1),AND(J4647=1,I4647="SBJ"),AND(J4647=1,I4647=0)),"?IN_FOCUS",IF(J4647&lt;=2,"?ACTIVATED",IF(J4647&lt;&gt;"","?FAMILIAR",IF(F4647="NEW",IF(ISNA(VLOOKUP(E4647,#REF!,1,FALSE())),"?TYPE_IDENTIFIABLE","?REFERENTIAL"),"_")))))</f>
        <v> </v>
      </c>
      <c r="H4647" s="25" t="str">
        <f>IF(J4647&lt;&gt;1,"",IF(I4647="SBJ","CB","?"))</f>
        <v> </v>
      </c>
      <c r="I4647" s="26" t="str">
        <f>IF(OR(E4647="",E4647="!!!",F4647="NEW"),"",INDEX(B4646:B$2,-1+SUMPRODUCT(MAX(ROW(E4646:E$2)*(E4647=E4646:E$2)))))</f>
        <v> </v>
      </c>
      <c r="J4647" s="26" t="str">
        <f>IF(OR(E4647="",E4647="!!!",F4647="NEW"),"",COUNTBLANK(OFFSET(A$1,,,SUMPRODUCT(MAX(ROW(E$2:E4647)*(E4647=E$2:E4647)))))-COUNTBLANK(OFFSET(A$1,,,SUMPRODUCT(MAX(ROW(E$1:E4646)*(E2=E$1:E4646))))))</f>
        <v> </v>
      </c>
      <c r="K4647" s="26" t="str">
        <f>IF(OR(E4647="",E4647="!!!",F4647="NEW"),"",INDEX(J$1:J4646,SUMPRODUCT(MAX(ROW(E$1:E4646)*(E4647=E$1:E4646)))))</f>
        <v> </v>
      </c>
      <c r="L4647" s="27"/>
    </row>
    <row r="4648" spans="1:12">
      <c r="A4648" s="20" t="s">
        <v>2096</v>
      </c>
      <c r="B4648" s="21" t="s">
        <v>1031</v>
      </c>
      <c r="C4648" s="21" t="s">
        <v>983</v>
      </c>
      <c r="E4648" s="22">
        <f>IF(D4648="?OLD","!!!","")</f>
        <v/>
      </c>
      <c r="F4648" s="23" t="str">
        <f>IF(OR(E4648="",E4648="!!!"),"",IF(NOT(ISNA(VLOOKUP(E4648,E$1:E4647,1,FALSE()))),"OLD",IF(AND(E4648&lt;&gt;"",E4648&lt;&gt;"!!!"),"NEW","")))</f>
        <v> </v>
      </c>
      <c r="G4648" s="24" t="str">
        <f>IF(OR(E4648="",E4648="!!!"),"",IF(OR(J4648=0,AND(J4648=1,K4648=1),AND(J4648=1,I4648="SBJ"),AND(J4648=1,I4648=0)),"?IN_FOCUS",IF(J4648&lt;=2,"?ACTIVATED",IF(J4648&lt;&gt;"","?FAMILIAR",IF(F4648="NEW",IF(ISNA(VLOOKUP(E4648,#REF!,1,FALSE())),"?TYPE_IDENTIFIABLE","?REFERENTIAL"),"_")))))</f>
        <v> </v>
      </c>
      <c r="H4648" s="25" t="str">
        <f>IF(J4648&lt;&gt;1,"",IF(I4648="SBJ","CB","?"))</f>
        <v> </v>
      </c>
      <c r="I4648" s="26" t="str">
        <f>IF(OR(E4648="",E4648="!!!",F4648="NEW"),"",INDEX(B4647:B$2,-1+SUMPRODUCT(MAX(ROW(E4647:E$2)*(E4648=E4647:E$2)))))</f>
        <v> </v>
      </c>
      <c r="J4648" s="26" t="str">
        <f>IF(OR(E4648="",E4648="!!!",F4648="NEW"),"",COUNTBLANK(OFFSET(A$1,,,SUMPRODUCT(MAX(ROW(E$2:E4648)*(E4648=E$2:E4648)))))-COUNTBLANK(OFFSET(A$1,,,SUMPRODUCT(MAX(ROW(E$1:E4647)*(E2=E$1:E4647))))))</f>
        <v> </v>
      </c>
      <c r="K4648" s="26" t="str">
        <f>IF(OR(E4648="",E4648="!!!",F4648="NEW"),"",INDEX(J$1:J4647,SUMPRODUCT(MAX(ROW(E$1:E4647)*(E4648=E$1:E4647)))))</f>
        <v> </v>
      </c>
      <c r="L4648" s="27"/>
    </row>
    <row r="4649" spans="1:12">
      <c r="A4649" s="20" t="s">
        <v>984</v>
      </c>
      <c r="E4649" s="22">
        <f>IF(D4649="?OLD","!!!","")</f>
        <v/>
      </c>
      <c r="F4649" s="23" t="str">
        <f>IF(OR(E4649="",E4649="!!!"),"",IF(NOT(ISNA(VLOOKUP(E4649,E$1:E4648,1,FALSE()))),"OLD",IF(AND(E4649&lt;&gt;"",E4649&lt;&gt;"!!!"),"NEW","")))</f>
        <v> </v>
      </c>
      <c r="G4649" s="24" t="str">
        <f>IF(OR(E4649="",E4649="!!!"),"",IF(OR(J4649=0,AND(J4649=1,K4649=1),AND(J4649=1,I4649="SBJ"),AND(J4649=1,I4649=0)),"?IN_FOCUS",IF(J4649&lt;=2,"?ACTIVATED",IF(J4649&lt;&gt;"","?FAMILIAR",IF(F4649="NEW",IF(ISNA(VLOOKUP(E4649,#REF!,1,FALSE())),"?TYPE_IDENTIFIABLE","?REFERENTIAL"),"_")))))</f>
        <v> </v>
      </c>
      <c r="H4649" s="25" t="str">
        <f>IF(J4649&lt;&gt;1,"",IF(I4649="SBJ","CB","?"))</f>
        <v> </v>
      </c>
      <c r="I4649" s="26" t="str">
        <f>IF(OR(E4649="",E4649="!!!",F4649="NEW"),"",INDEX(B4648:B$2,-1+SUMPRODUCT(MAX(ROW(E4648:E$2)*(E4649=E4648:E$2)))))</f>
        <v> </v>
      </c>
      <c r="J4649" s="26" t="str">
        <f>IF(OR(E4649="",E4649="!!!",F4649="NEW"),"",COUNTBLANK(OFFSET(A$1,,,SUMPRODUCT(MAX(ROW(E$2:E4649)*(E4649=E$2:E4649)))))-COUNTBLANK(OFFSET(A$1,,,SUMPRODUCT(MAX(ROW(E$1:E4648)*(E2=E$1:E4648))))))</f>
        <v> </v>
      </c>
      <c r="K4649" s="26" t="str">
        <f>IF(OR(E4649="",E4649="!!!",F4649="NEW"),"",INDEX(J$1:J4648,SUMPRODUCT(MAX(ROW(E$1:E4648)*(E4649=E$1:E4648)))))</f>
        <v> </v>
      </c>
      <c r="L4649" s="27"/>
    </row>
    <row r="4650" spans="1:12">
      <c r="A4650" s="20"/>
    </row>
    <row r="4651" spans="1:12">
      <c r="A4651" s="20" t="s">
        <v>2207</v>
      </c>
    </row>
    <row r="4652" spans="1:12">
      <c r="A4652" s="20" t="s">
        <v>2173</v>
      </c>
      <c r="E4652" s="22">
        <f>IF(D4652="?OLD","!!!","")</f>
        <v/>
      </c>
      <c r="F4652" s="23" t="str">
        <f>IF(OR(E4652="",E4652="!!!"),"",IF(NOT(ISNA(VLOOKUP(E4652,E$1:E4651,1,FALSE()))),"OLD",IF(AND(E4652&lt;&gt;"",E4652&lt;&gt;"!!!"),"NEW","")))</f>
        <v> </v>
      </c>
      <c r="G4652" s="24" t="str">
        <f>IF(OR(E4652="",E4652="!!!"),"",IF(OR(J4652=0,AND(J4652=1,K4652=1),AND(J4652=1,I4652="SBJ"),AND(J4652=1,I4652=0)),"?IN_FOCUS",IF(J4652&lt;=2,"?ACTIVATED",IF(J4652&lt;&gt;"","?FAMILIAR",IF(F4652="NEW",IF(ISNA(VLOOKUP(E4652,#REF!,1,FALSE())),"?TYPE_IDENTIFIABLE","?REFERENTIAL"),"_")))))</f>
        <v> </v>
      </c>
      <c r="H4652" s="25" t="str">
        <f>IF(J4652&lt;&gt;1,"",IF(I4652="SBJ","CB","?"))</f>
        <v> </v>
      </c>
      <c r="I4652" s="26" t="str">
        <f>IF(OR(E4652="",E4652="!!!",F4652="NEW"),"",INDEX(B4651:B$2,-1+SUMPRODUCT(MAX(ROW(E4651:E$2)*(E4652=E4651:E$2)))))</f>
        <v> </v>
      </c>
      <c r="J4652" s="26" t="str">
        <f>IF(OR(E4652="",E4652="!!!",F4652="NEW"),"",COUNTBLANK(OFFSET(A$1,,,SUMPRODUCT(MAX(ROW(E$2:E4652)*(E4652=E$2:E4652)))))-COUNTBLANK(OFFSET(A$1,,,SUMPRODUCT(MAX(ROW(E$1:E4651)*(E2=E$1:E4651))))))</f>
        <v> </v>
      </c>
      <c r="K4652" s="26" t="str">
        <f>IF(OR(E4652="",E4652="!!!",F4652="NEW"),"",INDEX(J$1:J4651,SUMPRODUCT(MAX(ROW(E$1:E4651)*(E4652=E$1:E4651)))))</f>
        <v> </v>
      </c>
      <c r="L4652" s="27"/>
    </row>
    <row r="4653" spans="1:12">
      <c r="A4653" s="20" t="s">
        <v>2208</v>
      </c>
      <c r="E4653" s="22">
        <f>IF(D4653="?OLD","!!!","")</f>
        <v/>
      </c>
      <c r="F4653" s="23" t="str">
        <f>IF(OR(E4653="",E4653="!!!"),"",IF(NOT(ISNA(VLOOKUP(E4653,E$1:E4652,1,FALSE()))),"OLD",IF(AND(E4653&lt;&gt;"",E4653&lt;&gt;"!!!"),"NEW","")))</f>
        <v> </v>
      </c>
      <c r="G4653" s="24" t="str">
        <f>IF(OR(E4653="",E4653="!!!"),"",IF(OR(J4653=0,AND(J4653=1,K4653=1),AND(J4653=1,I4653="SBJ"),AND(J4653=1,I4653=0)),"?IN_FOCUS",IF(J4653&lt;=2,"?ACTIVATED",IF(J4653&lt;&gt;"","?FAMILIAR",IF(F4653="NEW",IF(ISNA(VLOOKUP(E4653,#REF!,1,FALSE())),"?TYPE_IDENTIFIABLE","?REFERENTIAL"),"_")))))</f>
        <v> </v>
      </c>
      <c r="H4653" s="25" t="str">
        <f>IF(J4653&lt;&gt;1,"",IF(I4653="SBJ","CB","?"))</f>
        <v> </v>
      </c>
      <c r="I4653" s="26" t="str">
        <f>IF(OR(E4653="",E4653="!!!",F4653="NEW"),"",INDEX(B4652:B$2,-1+SUMPRODUCT(MAX(ROW(E4652:E$2)*(E4653=E4652:E$2)))))</f>
        <v> </v>
      </c>
      <c r="J4653" s="26" t="str">
        <f>IF(OR(E4653="",E4653="!!!",F4653="NEW"),"",COUNTBLANK(OFFSET(A$1,,,SUMPRODUCT(MAX(ROW(E$2:E4653)*(E4653=E$2:E4653)))))-COUNTBLANK(OFFSET(A$1,,,SUMPRODUCT(MAX(ROW(E$1:E4652)*(E2=E$1:E4652))))))</f>
        <v> </v>
      </c>
      <c r="K4653" s="26" t="str">
        <f>IF(OR(E4653="",E4653="!!!",F4653="NEW"),"",INDEX(J$1:J4652,SUMPRODUCT(MAX(ROW(E$1:E4652)*(E4653=E$1:E4652)))))</f>
        <v> </v>
      </c>
      <c r="L4653" s="27"/>
    </row>
    <row r="4654" spans="1:12">
      <c r="A4654" s="20" t="s">
        <v>977</v>
      </c>
      <c r="E4654" s="22">
        <f>IF(D4654="?OLD","!!!","")</f>
        <v/>
      </c>
      <c r="F4654" s="23" t="str">
        <f>IF(OR(E4654="",E4654="!!!"),"",IF(NOT(ISNA(VLOOKUP(E4654,E$1:E4653,1,FALSE()))),"OLD",IF(AND(E4654&lt;&gt;"",E4654&lt;&gt;"!!!"),"NEW","")))</f>
        <v> </v>
      </c>
      <c r="G4654" s="24" t="str">
        <f>IF(OR(E4654="",E4654="!!!"),"",IF(OR(J4654=0,AND(J4654=1,K4654=1),AND(J4654=1,I4654="SBJ"),AND(J4654=1,I4654=0)),"?IN_FOCUS",IF(J4654&lt;=2,"?ACTIVATED",IF(J4654&lt;&gt;"","?FAMILIAR",IF(F4654="NEW",IF(ISNA(VLOOKUP(E4654,#REF!,1,FALSE())),"?TYPE_IDENTIFIABLE","?REFERENTIAL"),"_")))))</f>
        <v> </v>
      </c>
      <c r="H4654" s="25" t="str">
        <f>IF(J4654&lt;&gt;1,"",IF(I4654="SBJ","CB","?"))</f>
        <v> </v>
      </c>
      <c r="I4654" s="26" t="str">
        <f>IF(OR(E4654="",E4654="!!!",F4654="NEW"),"",INDEX(B4653:B$2,-1+SUMPRODUCT(MAX(ROW(E4653:E$2)*(E4654=E4653:E$2)))))</f>
        <v> </v>
      </c>
      <c r="J4654" s="26" t="str">
        <f>IF(OR(E4654="",E4654="!!!",F4654="NEW"),"",COUNTBLANK(OFFSET(A$1,,,SUMPRODUCT(MAX(ROW(E$2:E4654)*(E4654=E$2:E4654)))))-COUNTBLANK(OFFSET(A$1,,,SUMPRODUCT(MAX(ROW(E$1:E4653)*(E2=E$1:E4653))))))</f>
        <v> </v>
      </c>
      <c r="K4654" s="26" t="str">
        <f>IF(OR(E4654="",E4654="!!!",F4654="NEW"),"",INDEX(J$1:J4653,SUMPRODUCT(MAX(ROW(E$1:E4653)*(E4654=E$1:E4653)))))</f>
        <v> </v>
      </c>
      <c r="L4654" s="27"/>
    </row>
    <row r="4655" spans="1:12">
      <c r="A4655" s="20" t="s">
        <v>2209</v>
      </c>
      <c r="E4655" s="22">
        <f>IF(D4655="?OLD","!!!","")</f>
        <v/>
      </c>
      <c r="F4655" s="23" t="str">
        <f>IF(OR(E4655="",E4655="!!!"),"",IF(NOT(ISNA(VLOOKUP(E4655,E$1:E4654,1,FALSE()))),"OLD",IF(AND(E4655&lt;&gt;"",E4655&lt;&gt;"!!!"),"NEW","")))</f>
        <v> </v>
      </c>
      <c r="G4655" s="24" t="str">
        <f>IF(OR(E4655="",E4655="!!!"),"",IF(OR(J4655=0,AND(J4655=1,K4655=1),AND(J4655=1,I4655="SBJ"),AND(J4655=1,I4655=0)),"?IN_FOCUS",IF(J4655&lt;=2,"?ACTIVATED",IF(J4655&lt;&gt;"","?FAMILIAR",IF(F4655="NEW",IF(ISNA(VLOOKUP(E4655,#REF!,1,FALSE())),"?TYPE_IDENTIFIABLE","?REFERENTIAL"),"_")))))</f>
        <v> </v>
      </c>
      <c r="H4655" s="25" t="str">
        <f>IF(J4655&lt;&gt;1,"",IF(I4655="SBJ","CB","?"))</f>
        <v> </v>
      </c>
      <c r="I4655" s="26" t="str">
        <f>IF(OR(E4655="",E4655="!!!",F4655="NEW"),"",INDEX(B4654:B$2,-1+SUMPRODUCT(MAX(ROW(E4654:E$2)*(E4655=E4654:E$2)))))</f>
        <v> </v>
      </c>
      <c r="J4655" s="26" t="str">
        <f>IF(OR(E4655="",E4655="!!!",F4655="NEW"),"",COUNTBLANK(OFFSET(A$1,,,SUMPRODUCT(MAX(ROW(E$2:E4655)*(E4655=E$2:E4655)))))-COUNTBLANK(OFFSET(A$1,,,SUMPRODUCT(MAX(ROW(E$1:E4654)*(E2=E$1:E4654))))))</f>
        <v> </v>
      </c>
      <c r="K4655" s="26" t="str">
        <f>IF(OR(E4655="",E4655="!!!",F4655="NEW"),"",INDEX(J$1:J4654,SUMPRODUCT(MAX(ROW(E$1:E4654)*(E4655=E$1:E4654)))))</f>
        <v> </v>
      </c>
      <c r="L4655" s="27"/>
    </row>
    <row r="4656" spans="1:12">
      <c r="A4656" s="20" t="s">
        <v>2210</v>
      </c>
      <c r="E4656" s="22">
        <f>IF(D4656="?OLD","!!!","")</f>
        <v/>
      </c>
      <c r="F4656" s="23" t="str">
        <f>IF(OR(E4656="",E4656="!!!"),"",IF(NOT(ISNA(VLOOKUP(E4656,E$1:E4655,1,FALSE()))),"OLD",IF(AND(E4656&lt;&gt;"",E4656&lt;&gt;"!!!"),"NEW","")))</f>
        <v> </v>
      </c>
      <c r="G4656" s="24" t="str">
        <f>IF(OR(E4656="",E4656="!!!"),"",IF(OR(J4656=0,AND(J4656=1,K4656=1),AND(J4656=1,I4656="SBJ"),AND(J4656=1,I4656=0)),"?IN_FOCUS",IF(J4656&lt;=2,"?ACTIVATED",IF(J4656&lt;&gt;"","?FAMILIAR",IF(F4656="NEW",IF(ISNA(VLOOKUP(E4656,#REF!,1,FALSE())),"?TYPE_IDENTIFIABLE","?REFERENTIAL"),"_")))))</f>
        <v> </v>
      </c>
      <c r="H4656" s="25" t="str">
        <f>IF(J4656&lt;&gt;1,"",IF(I4656="SBJ","CB","?"))</f>
        <v> </v>
      </c>
      <c r="I4656" s="26" t="str">
        <f>IF(OR(E4656="",E4656="!!!",F4656="NEW"),"",INDEX(B4655:B$2,-1+SUMPRODUCT(MAX(ROW(E4655:E$2)*(E4656=E4655:E$2)))))</f>
        <v> </v>
      </c>
      <c r="J4656" s="26" t="str">
        <f>IF(OR(E4656="",E4656="!!!",F4656="NEW"),"",COUNTBLANK(OFFSET(A$1,,,SUMPRODUCT(MAX(ROW(E$2:E4656)*(E4656=E$2:E4656)))))-COUNTBLANK(OFFSET(A$1,,,SUMPRODUCT(MAX(ROW(E$1:E4655)*(E2=E$1:E4655))))))</f>
        <v> </v>
      </c>
      <c r="K4656" s="26" t="str">
        <f>IF(OR(E4656="",E4656="!!!",F4656="NEW"),"",INDEX(J$1:J4655,SUMPRODUCT(MAX(ROW(E$1:E4655)*(E4656=E$1:E4655)))))</f>
        <v> </v>
      </c>
      <c r="L4656" s="27"/>
    </row>
    <row r="4657" spans="1:12">
      <c r="A4657" s="20" t="s">
        <v>1068</v>
      </c>
      <c r="E4657" s="22">
        <f>IF(D4657="?OLD","!!!","")</f>
        <v/>
      </c>
      <c r="F4657" s="23" t="str">
        <f>IF(OR(E4657="",E4657="!!!"),"",IF(NOT(ISNA(VLOOKUP(E4657,E$1:E4656,1,FALSE()))),"OLD",IF(AND(E4657&lt;&gt;"",E4657&lt;&gt;"!!!"),"NEW","")))</f>
        <v> </v>
      </c>
      <c r="G4657" s="24" t="str">
        <f>IF(OR(E4657="",E4657="!!!"),"",IF(OR(J4657=0,AND(J4657=1,K4657=1),AND(J4657=1,I4657="SBJ"),AND(J4657=1,I4657=0)),"?IN_FOCUS",IF(J4657&lt;=2,"?ACTIVATED",IF(J4657&lt;&gt;"","?FAMILIAR",IF(F4657="NEW",IF(ISNA(VLOOKUP(E4657,#REF!,1,FALSE())),"?TYPE_IDENTIFIABLE","?REFERENTIAL"),"_")))))</f>
        <v> </v>
      </c>
      <c r="H4657" s="25" t="str">
        <f>IF(J4657&lt;&gt;1,"",IF(I4657="SBJ","CB","?"))</f>
        <v> </v>
      </c>
      <c r="I4657" s="26" t="str">
        <f>IF(OR(E4657="",E4657="!!!",F4657="NEW"),"",INDEX(B4656:B$2,-1+SUMPRODUCT(MAX(ROW(E4656:E$2)*(E4657=E4656:E$2)))))</f>
        <v> </v>
      </c>
      <c r="J4657" s="26" t="str">
        <f>IF(OR(E4657="",E4657="!!!",F4657="NEW"),"",COUNTBLANK(OFFSET(A$1,,,SUMPRODUCT(MAX(ROW(E$2:E4657)*(E4657=E$2:E4657)))))-COUNTBLANK(OFFSET(A$1,,,SUMPRODUCT(MAX(ROW(E$1:E4656)*(E2=E$1:E4656))))))</f>
        <v> </v>
      </c>
      <c r="K4657" s="26" t="str">
        <f>IF(OR(E4657="",E4657="!!!",F4657="NEW"),"",INDEX(J$1:J4656,SUMPRODUCT(MAX(ROW(E$1:E4656)*(E4657=E$1:E4656)))))</f>
        <v> </v>
      </c>
      <c r="L4657" s="27"/>
    </row>
    <row r="4658" spans="1:12">
      <c r="A4658" s="20"/>
    </row>
    <row r="4659" spans="1:12">
      <c r="A4659" s="20" t="s">
        <v>2211</v>
      </c>
    </row>
    <row r="4660" spans="1:12">
      <c r="A4660" s="20" t="s">
        <v>2173</v>
      </c>
      <c r="E4660" s="22">
        <f>IF(D4660="?OLD","!!!","")</f>
        <v/>
      </c>
      <c r="F4660" s="23" t="str">
        <f>IF(OR(E4660="",E4660="!!!"),"",IF(NOT(ISNA(VLOOKUP(E4660,E$1:E4659,1,FALSE()))),"OLD",IF(AND(E4660&lt;&gt;"",E4660&lt;&gt;"!!!"),"NEW","")))</f>
        <v> </v>
      </c>
      <c r="G4660" s="24" t="str">
        <f>IF(OR(E4660="",E4660="!!!"),"",IF(OR(J4660=0,AND(J4660=1,K4660=1),AND(J4660=1,I4660="SBJ"),AND(J4660=1,I4660=0)),"?IN_FOCUS",IF(J4660&lt;=2,"?ACTIVATED",IF(J4660&lt;&gt;"","?FAMILIAR",IF(F4660="NEW",IF(ISNA(VLOOKUP(E4660,#REF!,1,FALSE())),"?TYPE_IDENTIFIABLE","?REFERENTIAL"),"_")))))</f>
        <v> </v>
      </c>
      <c r="H4660" s="25" t="str">
        <f>IF(J4660&lt;&gt;1,"",IF(I4660="SBJ","CB","?"))</f>
        <v> </v>
      </c>
      <c r="I4660" s="26" t="str">
        <f>IF(OR(E4660="",E4660="!!!",F4660="NEW"),"",INDEX(B4659:B$2,-1+SUMPRODUCT(MAX(ROW(E4659:E$2)*(E4660=E4659:E$2)))))</f>
        <v> </v>
      </c>
      <c r="J4660" s="26" t="str">
        <f>IF(OR(E4660="",E4660="!!!",F4660="NEW"),"",COUNTBLANK(OFFSET(A$1,,,SUMPRODUCT(MAX(ROW(E$2:E4660)*(E4660=E$2:E4660)))))-COUNTBLANK(OFFSET(A$1,,,SUMPRODUCT(MAX(ROW(E$1:E4659)*(E2=E$1:E4659))))))</f>
        <v> </v>
      </c>
      <c r="K4660" s="26" t="str">
        <f>IF(OR(E4660="",E4660="!!!",F4660="NEW"),"",INDEX(J$1:J4659,SUMPRODUCT(MAX(ROW(E$1:E4659)*(E4660=E$1:E4659)))))</f>
        <v> </v>
      </c>
      <c r="L4660" s="27"/>
    </row>
    <row r="4661" spans="1:12">
      <c r="A4661" s="20" t="s">
        <v>2208</v>
      </c>
      <c r="E4661" s="22">
        <f>IF(D4661="?OLD","!!!","")</f>
        <v/>
      </c>
      <c r="F4661" s="23" t="str">
        <f>IF(OR(E4661="",E4661="!!!"),"",IF(NOT(ISNA(VLOOKUP(E4661,E$1:E4660,1,FALSE()))),"OLD",IF(AND(E4661&lt;&gt;"",E4661&lt;&gt;"!!!"),"NEW","")))</f>
        <v> </v>
      </c>
      <c r="G4661" s="24" t="str">
        <f>IF(OR(E4661="",E4661="!!!"),"",IF(OR(J4661=0,AND(J4661=1,K4661=1),AND(J4661=1,I4661="SBJ"),AND(J4661=1,I4661=0)),"?IN_FOCUS",IF(J4661&lt;=2,"?ACTIVATED",IF(J4661&lt;&gt;"","?FAMILIAR",IF(F4661="NEW",IF(ISNA(VLOOKUP(E4661,#REF!,1,FALSE())),"?TYPE_IDENTIFIABLE","?REFERENTIAL"),"_")))))</f>
        <v> </v>
      </c>
      <c r="H4661" s="25" t="str">
        <f>IF(J4661&lt;&gt;1,"",IF(I4661="SBJ","CB","?"))</f>
        <v> </v>
      </c>
      <c r="I4661" s="26" t="str">
        <f>IF(OR(E4661="",E4661="!!!",F4661="NEW"),"",INDEX(B4660:B$2,-1+SUMPRODUCT(MAX(ROW(E4660:E$2)*(E4661=E4660:E$2)))))</f>
        <v> </v>
      </c>
      <c r="J4661" s="26" t="str">
        <f>IF(OR(E4661="",E4661="!!!",F4661="NEW"),"",COUNTBLANK(OFFSET(A$1,,,SUMPRODUCT(MAX(ROW(E$2:E4661)*(E4661=E$2:E4661)))))-COUNTBLANK(OFFSET(A$1,,,SUMPRODUCT(MAX(ROW(E$1:E4660)*(E2=E$1:E4660))))))</f>
        <v> </v>
      </c>
      <c r="K4661" s="26" t="str">
        <f>IF(OR(E4661="",E4661="!!!",F4661="NEW"),"",INDEX(J$1:J4660,SUMPRODUCT(MAX(ROW(E$1:E4660)*(E4661=E$1:E4660)))))</f>
        <v> </v>
      </c>
      <c r="L4661" s="27"/>
    </row>
    <row r="4662" spans="1:12">
      <c r="A4662" s="20" t="s">
        <v>977</v>
      </c>
      <c r="E4662" s="22">
        <f>IF(D4662="?OLD","!!!","")</f>
        <v/>
      </c>
      <c r="F4662" s="23" t="str">
        <f>IF(OR(E4662="",E4662="!!!"),"",IF(NOT(ISNA(VLOOKUP(E4662,E$1:E4661,1,FALSE()))),"OLD",IF(AND(E4662&lt;&gt;"",E4662&lt;&gt;"!!!"),"NEW","")))</f>
        <v> </v>
      </c>
      <c r="G4662" s="24" t="str">
        <f>IF(OR(E4662="",E4662="!!!"),"",IF(OR(J4662=0,AND(J4662=1,K4662=1),AND(J4662=1,I4662="SBJ"),AND(J4662=1,I4662=0)),"?IN_FOCUS",IF(J4662&lt;=2,"?ACTIVATED",IF(J4662&lt;&gt;"","?FAMILIAR",IF(F4662="NEW",IF(ISNA(VLOOKUP(E4662,#REF!,1,FALSE())),"?TYPE_IDENTIFIABLE","?REFERENTIAL"),"_")))))</f>
        <v> </v>
      </c>
      <c r="H4662" s="25" t="str">
        <f>IF(J4662&lt;&gt;1,"",IF(I4662="SBJ","CB","?"))</f>
        <v> </v>
      </c>
      <c r="I4662" s="26" t="str">
        <f>IF(OR(E4662="",E4662="!!!",F4662="NEW"),"",INDEX(B4661:B$2,-1+SUMPRODUCT(MAX(ROW(E4661:E$2)*(E4662=E4661:E$2)))))</f>
        <v> </v>
      </c>
      <c r="J4662" s="26" t="str">
        <f>IF(OR(E4662="",E4662="!!!",F4662="NEW"),"",COUNTBLANK(OFFSET(A$1,,,SUMPRODUCT(MAX(ROW(E$2:E4662)*(E4662=E$2:E4662)))))-COUNTBLANK(OFFSET(A$1,,,SUMPRODUCT(MAX(ROW(E$1:E4661)*(E2=E$1:E4661))))))</f>
        <v> </v>
      </c>
      <c r="K4662" s="26" t="str">
        <f>IF(OR(E4662="",E4662="!!!",F4662="NEW"),"",INDEX(J$1:J4661,SUMPRODUCT(MAX(ROW(E$1:E4661)*(E4662=E$1:E4661)))))</f>
        <v> </v>
      </c>
      <c r="L4662" s="27"/>
    </row>
    <row r="4663" spans="1:12">
      <c r="A4663" s="20" t="s">
        <v>2210</v>
      </c>
      <c r="E4663" s="22">
        <f>IF(D4663="?OLD","!!!","")</f>
        <v/>
      </c>
      <c r="F4663" s="23" t="str">
        <f>IF(OR(E4663="",E4663="!!!"),"",IF(NOT(ISNA(VLOOKUP(E4663,E$1:E4662,1,FALSE()))),"OLD",IF(AND(E4663&lt;&gt;"",E4663&lt;&gt;"!!!"),"NEW","")))</f>
        <v> </v>
      </c>
      <c r="G4663" s="24" t="str">
        <f>IF(OR(E4663="",E4663="!!!"),"",IF(OR(J4663=0,AND(J4663=1,K4663=1),AND(J4663=1,I4663="SBJ"),AND(J4663=1,I4663=0)),"?IN_FOCUS",IF(J4663&lt;=2,"?ACTIVATED",IF(J4663&lt;&gt;"","?FAMILIAR",IF(F4663="NEW",IF(ISNA(VLOOKUP(E4663,#REF!,1,FALSE())),"?TYPE_IDENTIFIABLE","?REFERENTIAL"),"_")))))</f>
        <v> </v>
      </c>
      <c r="H4663" s="25" t="str">
        <f>IF(J4663&lt;&gt;1,"",IF(I4663="SBJ","CB","?"))</f>
        <v> </v>
      </c>
      <c r="I4663" s="26" t="str">
        <f>IF(OR(E4663="",E4663="!!!",F4663="NEW"),"",INDEX(B4662:B$2,-1+SUMPRODUCT(MAX(ROW(E4662:E$2)*(E4663=E4662:E$2)))))</f>
        <v> </v>
      </c>
      <c r="J4663" s="26" t="str">
        <f>IF(OR(E4663="",E4663="!!!",F4663="NEW"),"",COUNTBLANK(OFFSET(A$1,,,SUMPRODUCT(MAX(ROW(E$2:E4663)*(E4663=E$2:E4663)))))-COUNTBLANK(OFFSET(A$1,,,SUMPRODUCT(MAX(ROW(E$1:E4662)*(E2=E$1:E4662))))))</f>
        <v> </v>
      </c>
      <c r="K4663" s="26" t="str">
        <f>IF(OR(E4663="",E4663="!!!",F4663="NEW"),"",INDEX(J$1:J4662,SUMPRODUCT(MAX(ROW(E$1:E4662)*(E4663=E$1:E4662)))))</f>
        <v> </v>
      </c>
      <c r="L4663" s="27"/>
    </row>
    <row r="4664" spans="1:12">
      <c r="A4664" s="20" t="s">
        <v>1000</v>
      </c>
      <c r="E4664" s="22">
        <f>IF(D4664="?OLD","!!!","")</f>
        <v/>
      </c>
      <c r="F4664" s="23" t="str">
        <f>IF(OR(E4664="",E4664="!!!"),"",IF(NOT(ISNA(VLOOKUP(E4664,E$1:E4663,1,FALSE()))),"OLD",IF(AND(E4664&lt;&gt;"",E4664&lt;&gt;"!!!"),"NEW","")))</f>
        <v> </v>
      </c>
      <c r="G4664" s="24" t="str">
        <f>IF(OR(E4664="",E4664="!!!"),"",IF(OR(J4664=0,AND(J4664=1,K4664=1),AND(J4664=1,I4664="SBJ"),AND(J4664=1,I4664=0)),"?IN_FOCUS",IF(J4664&lt;=2,"?ACTIVATED",IF(J4664&lt;&gt;"","?FAMILIAR",IF(F4664="NEW",IF(ISNA(VLOOKUP(E4664,#REF!,1,FALSE())),"?TYPE_IDENTIFIABLE","?REFERENTIAL"),"_")))))</f>
        <v> </v>
      </c>
      <c r="H4664" s="25" t="str">
        <f>IF(J4664&lt;&gt;1,"",IF(I4664="SBJ","CB","?"))</f>
        <v> </v>
      </c>
      <c r="I4664" s="26" t="str">
        <f>IF(OR(E4664="",E4664="!!!",F4664="NEW"),"",INDEX(B4663:B$2,-1+SUMPRODUCT(MAX(ROW(E4663:E$2)*(E4664=E4663:E$2)))))</f>
        <v> </v>
      </c>
      <c r="J4664" s="26" t="str">
        <f>IF(OR(E4664="",E4664="!!!",F4664="NEW"),"",COUNTBLANK(OFFSET(A$1,,,SUMPRODUCT(MAX(ROW(E$2:E4664)*(E4664=E$2:E4664)))))-COUNTBLANK(OFFSET(A$1,,,SUMPRODUCT(MAX(ROW(E$1:E4663)*(E2=E$1:E4663))))))</f>
        <v> </v>
      </c>
      <c r="K4664" s="26" t="str">
        <f>IF(OR(E4664="",E4664="!!!",F4664="NEW"),"",INDEX(J$1:J4663,SUMPRODUCT(MAX(ROW(E$1:E4663)*(E4664=E$1:E4663)))))</f>
        <v> </v>
      </c>
      <c r="L4664" s="27"/>
    </row>
    <row r="4665" spans="1:12">
      <c r="A4665" s="20" t="s">
        <v>2212</v>
      </c>
      <c r="E4665" s="22">
        <f>IF(D4665="?OLD","!!!","")</f>
        <v/>
      </c>
      <c r="F4665" s="23" t="str">
        <f>IF(OR(E4665="",E4665="!!!"),"",IF(NOT(ISNA(VLOOKUP(E4665,E$1:E4664,1,FALSE()))),"OLD",IF(AND(E4665&lt;&gt;"",E4665&lt;&gt;"!!!"),"NEW","")))</f>
        <v> </v>
      </c>
      <c r="G4665" s="24" t="str">
        <f>IF(OR(E4665="",E4665="!!!"),"",IF(OR(J4665=0,AND(J4665=1,K4665=1),AND(J4665=1,I4665="SBJ"),AND(J4665=1,I4665=0)),"?IN_FOCUS",IF(J4665&lt;=2,"?ACTIVATED",IF(J4665&lt;&gt;"","?FAMILIAR",IF(F4665="NEW",IF(ISNA(VLOOKUP(E4665,#REF!,1,FALSE())),"?TYPE_IDENTIFIABLE","?REFERENTIAL"),"_")))))</f>
        <v> </v>
      </c>
      <c r="H4665" s="25" t="str">
        <f>IF(J4665&lt;&gt;1,"",IF(I4665="SBJ","CB","?"))</f>
        <v> </v>
      </c>
      <c r="I4665" s="26" t="str">
        <f>IF(OR(E4665="",E4665="!!!",F4665="NEW"),"",INDEX(B4664:B$2,-1+SUMPRODUCT(MAX(ROW(E4664:E$2)*(E4665=E4664:E$2)))))</f>
        <v> </v>
      </c>
      <c r="J4665" s="26" t="str">
        <f>IF(OR(E4665="",E4665="!!!",F4665="NEW"),"",COUNTBLANK(OFFSET(A$1,,,SUMPRODUCT(MAX(ROW(E$2:E4665)*(E4665=E$2:E4665)))))-COUNTBLANK(OFFSET(A$1,,,SUMPRODUCT(MAX(ROW(E$1:E4664)*(E2=E$1:E4664))))))</f>
        <v> </v>
      </c>
      <c r="K4665" s="26" t="str">
        <f>IF(OR(E4665="",E4665="!!!",F4665="NEW"),"",INDEX(J$1:J4664,SUMPRODUCT(MAX(ROW(E$1:E4664)*(E4665=E$1:E4664)))))</f>
        <v> </v>
      </c>
      <c r="L4665" s="27"/>
    </row>
    <row r="4666" spans="1:12">
      <c r="A4666" s="20" t="s">
        <v>1880</v>
      </c>
      <c r="B4666" s="21" t="s">
        <v>956</v>
      </c>
      <c r="C4666" s="21" t="s">
        <v>960</v>
      </c>
      <c r="D4666" s="21" t="s">
        <v>950</v>
      </c>
      <c r="E4666" s="22">
        <f>IF(D4666="?OLD","!!!","")</f>
        <v/>
      </c>
      <c r="F4666" s="23" t="str">
        <f>IF(OR(E4666="",E4666="!!!"),"",IF(NOT(ISNA(VLOOKUP(E4666,E$1:E4665,1,FALSE()))),"OLD",IF(AND(E4666&lt;&gt;"",E4666&lt;&gt;"!!!"),"NEW","")))</f>
        <v> </v>
      </c>
      <c r="G4666" s="24" t="str">
        <f>IF(OR(E4666="",E4666="!!!"),"",IF(OR(J4666=0,AND(J4666=1,K4666=1),AND(J4666=1,I4666="SBJ"),AND(J4666=1,I4666=0)),"?IN_FOCUS",IF(J4666&lt;=2,"?ACTIVATED",IF(J4666&lt;&gt;"","?FAMILIAR",IF(F4666="NEW",IF(ISNA(VLOOKUP(E4666,#REF!,1,FALSE())),"?TYPE_IDENTIFIABLE","?REFERENTIAL"),"_")))))</f>
        <v> </v>
      </c>
      <c r="H4666" s="25" t="str">
        <f>IF(J4666&lt;&gt;1,"",IF(I4666="SBJ","CB","?"))</f>
        <v> </v>
      </c>
      <c r="I4666" s="26" t="str">
        <f>IF(OR(E4666="",E4666="!!!",F4666="NEW"),"",INDEX(B4665:B$2,-1+SUMPRODUCT(MAX(ROW(E4665:E$2)*(E4666=E4665:E$2)))))</f>
        <v> </v>
      </c>
      <c r="J4666" s="26" t="str">
        <f>IF(OR(E4666="",E4666="!!!",F4666="NEW"),"",COUNTBLANK(OFFSET(A$1,,,SUMPRODUCT(MAX(ROW(E$2:E4666)*(E4666=E$2:E4666)))))-COUNTBLANK(OFFSET(A$1,,,SUMPRODUCT(MAX(ROW(E$1:E4665)*(E2=E$1:E4665))))))</f>
        <v> </v>
      </c>
      <c r="K4666" s="26" t="str">
        <f>IF(OR(E4666="",E4666="!!!",F4666="NEW"),"",INDEX(J$1:J4665,SUMPRODUCT(MAX(ROW(E$1:E4665)*(E4666=E$1:E4665)))))</f>
        <v> </v>
      </c>
      <c r="L4666" s="27"/>
    </row>
    <row r="4667" spans="1:12">
      <c r="A4667" s="20" t="s">
        <v>1068</v>
      </c>
      <c r="E4667" s="22">
        <f>IF(D4667="?OLD","!!!","")</f>
        <v/>
      </c>
      <c r="F4667" s="23" t="str">
        <f>IF(OR(E4667="",E4667="!!!"),"",IF(NOT(ISNA(VLOOKUP(E4667,E$1:E4666,1,FALSE()))),"OLD",IF(AND(E4667&lt;&gt;"",E4667&lt;&gt;"!!!"),"NEW","")))</f>
        <v> </v>
      </c>
      <c r="G4667" s="24" t="str">
        <f>IF(OR(E4667="",E4667="!!!"),"",IF(OR(J4667=0,AND(J4667=1,K4667=1),AND(J4667=1,I4667="SBJ"),AND(J4667=1,I4667=0)),"?IN_FOCUS",IF(J4667&lt;=2,"?ACTIVATED",IF(J4667&lt;&gt;"","?FAMILIAR",IF(F4667="NEW",IF(ISNA(VLOOKUP(E4667,#REF!,1,FALSE())),"?TYPE_IDENTIFIABLE","?REFERENTIAL"),"_")))))</f>
        <v> </v>
      </c>
      <c r="H4667" s="25" t="str">
        <f>IF(J4667&lt;&gt;1,"",IF(I4667="SBJ","CB","?"))</f>
        <v> </v>
      </c>
      <c r="I4667" s="26" t="str">
        <f>IF(OR(E4667="",E4667="!!!",F4667="NEW"),"",INDEX(B4666:B$2,-1+SUMPRODUCT(MAX(ROW(E4666:E$2)*(E4667=E4666:E$2)))))</f>
        <v> </v>
      </c>
      <c r="J4667" s="26" t="str">
        <f>IF(OR(E4667="",E4667="!!!",F4667="NEW"),"",COUNTBLANK(OFFSET(A$1,,,SUMPRODUCT(MAX(ROW(E$2:E4667)*(E4667=E$2:E4667)))))-COUNTBLANK(OFFSET(A$1,,,SUMPRODUCT(MAX(ROW(E$1:E4666)*(E2=E$1:E4666))))))</f>
        <v> </v>
      </c>
      <c r="K4667" s="26" t="str">
        <f>IF(OR(E4667="",E4667="!!!",F4667="NEW"),"",INDEX(J$1:J4666,SUMPRODUCT(MAX(ROW(E$1:E4666)*(E4667=E$1:E4666)))))</f>
        <v> </v>
      </c>
      <c r="L4667" s="27"/>
    </row>
    <row r="4668" spans="1:12">
      <c r="A4668" s="20"/>
    </row>
    <row r="4669" spans="1:12">
      <c r="A4669" s="20" t="s">
        <v>2213</v>
      </c>
    </row>
    <row r="4670" spans="1:12">
      <c r="A4670" s="20" t="s">
        <v>1092</v>
      </c>
      <c r="E4670" s="22">
        <f>IF(D4670="?OLD","!!!","")</f>
        <v/>
      </c>
      <c r="F4670" s="23" t="str">
        <f>IF(OR(E4670="",E4670="!!!"),"",IF(NOT(ISNA(VLOOKUP(E4670,E$1:E4669,1,FALSE()))),"OLD",IF(AND(E4670&lt;&gt;"",E4670&lt;&gt;"!!!"),"NEW","")))</f>
        <v> </v>
      </c>
      <c r="G4670" s="24" t="str">
        <f>IF(OR(E4670="",E4670="!!!"),"",IF(OR(J4670=0,AND(J4670=1,K4670=1),AND(J4670=1,I4670="SBJ"),AND(J4670=1,I4670=0)),"?IN_FOCUS",IF(J4670&lt;=2,"?ACTIVATED",IF(J4670&lt;&gt;"","?FAMILIAR",IF(F4670="NEW",IF(ISNA(VLOOKUP(E4670,#REF!,1,FALSE())),"?TYPE_IDENTIFIABLE","?REFERENTIAL"),"_")))))</f>
        <v> </v>
      </c>
      <c r="H4670" s="25" t="str">
        <f>IF(J4670&lt;&gt;1,"",IF(I4670="SBJ","CB","?"))</f>
        <v> </v>
      </c>
      <c r="I4670" s="26" t="str">
        <f>IF(OR(E4670="",E4670="!!!",F4670="NEW"),"",INDEX(B4669:B$2,-1+SUMPRODUCT(MAX(ROW(E4669:E$2)*(E4670=E4669:E$2)))))</f>
        <v> </v>
      </c>
      <c r="J4670" s="26" t="str">
        <f>IF(OR(E4670="",E4670="!!!",F4670="NEW"),"",COUNTBLANK(OFFSET(A$1,,,SUMPRODUCT(MAX(ROW(E$2:E4670)*(E4670=E$2:E4670)))))-COUNTBLANK(OFFSET(A$1,,,SUMPRODUCT(MAX(ROW(E$1:E4669)*(E2=E$1:E4669))))))</f>
        <v> </v>
      </c>
      <c r="K4670" s="26" t="str">
        <f>IF(OR(E4670="",E4670="!!!",F4670="NEW"),"",INDEX(J$1:J4669,SUMPRODUCT(MAX(ROW(E$1:E4669)*(E4670=E$1:E4669)))))</f>
        <v> </v>
      </c>
      <c r="L4670" s="27"/>
    </row>
    <row r="4671" spans="1:12">
      <c r="A4671" s="20" t="s">
        <v>1000</v>
      </c>
      <c r="E4671" s="22">
        <f>IF(D4671="?OLD","!!!","")</f>
        <v/>
      </c>
      <c r="F4671" s="23" t="str">
        <f>IF(OR(E4671="",E4671="!!!"),"",IF(NOT(ISNA(VLOOKUP(E4671,E$1:E4670,1,FALSE()))),"OLD",IF(AND(E4671&lt;&gt;"",E4671&lt;&gt;"!!!"),"NEW","")))</f>
        <v> </v>
      </c>
      <c r="G4671" s="24" t="str">
        <f>IF(OR(E4671="",E4671="!!!"),"",IF(OR(J4671=0,AND(J4671=1,K4671=1),AND(J4671=1,I4671="SBJ"),AND(J4671=1,I4671=0)),"?IN_FOCUS",IF(J4671&lt;=2,"?ACTIVATED",IF(J4671&lt;&gt;"","?FAMILIAR",IF(F4671="NEW",IF(ISNA(VLOOKUP(E4671,#REF!,1,FALSE())),"?TYPE_IDENTIFIABLE","?REFERENTIAL"),"_")))))</f>
        <v> </v>
      </c>
      <c r="H4671" s="25" t="str">
        <f>IF(J4671&lt;&gt;1,"",IF(I4671="SBJ","CB","?"))</f>
        <v> </v>
      </c>
      <c r="I4671" s="26" t="str">
        <f>IF(OR(E4671="",E4671="!!!",F4671="NEW"),"",INDEX(B4670:B$2,-1+SUMPRODUCT(MAX(ROW(E4670:E$2)*(E4671=E4670:E$2)))))</f>
        <v> </v>
      </c>
      <c r="J4671" s="26" t="str">
        <f>IF(OR(E4671="",E4671="!!!",F4671="NEW"),"",COUNTBLANK(OFFSET(A$1,,,SUMPRODUCT(MAX(ROW(E$2:E4671)*(E4671=E$2:E4671)))))-COUNTBLANK(OFFSET(A$1,,,SUMPRODUCT(MAX(ROW(E$1:E4670)*(E2=E$1:E4670))))))</f>
        <v> </v>
      </c>
      <c r="K4671" s="26" t="str">
        <f>IF(OR(E4671="",E4671="!!!",F4671="NEW"),"",INDEX(J$1:J4670,SUMPRODUCT(MAX(ROW(E$1:E4670)*(E4671=E$1:E4670)))))</f>
        <v> </v>
      </c>
      <c r="L4671" s="27"/>
    </row>
    <row r="4672" spans="1:12">
      <c r="A4672" s="20" t="s">
        <v>2214</v>
      </c>
      <c r="E4672" s="22">
        <f>IF(D4672="?OLD","!!!","")</f>
        <v/>
      </c>
      <c r="F4672" s="23" t="str">
        <f>IF(OR(E4672="",E4672="!!!"),"",IF(NOT(ISNA(VLOOKUP(E4672,E$1:E4671,1,FALSE()))),"OLD",IF(AND(E4672&lt;&gt;"",E4672&lt;&gt;"!!!"),"NEW","")))</f>
        <v> </v>
      </c>
      <c r="G4672" s="24" t="str">
        <f>IF(OR(E4672="",E4672="!!!"),"",IF(OR(J4672=0,AND(J4672=1,K4672=1),AND(J4672=1,I4672="SBJ"),AND(J4672=1,I4672=0)),"?IN_FOCUS",IF(J4672&lt;=2,"?ACTIVATED",IF(J4672&lt;&gt;"","?FAMILIAR",IF(F4672="NEW",IF(ISNA(VLOOKUP(E4672,#REF!,1,FALSE())),"?TYPE_IDENTIFIABLE","?REFERENTIAL"),"_")))))</f>
        <v> </v>
      </c>
      <c r="H4672" s="25" t="str">
        <f>IF(J4672&lt;&gt;1,"",IF(I4672="SBJ","CB","?"))</f>
        <v> </v>
      </c>
      <c r="I4672" s="26" t="str">
        <f>IF(OR(E4672="",E4672="!!!",F4672="NEW"),"",INDEX(B4671:B$2,-1+SUMPRODUCT(MAX(ROW(E4671:E$2)*(E4672=E4671:E$2)))))</f>
        <v> </v>
      </c>
      <c r="J4672" s="26" t="str">
        <f>IF(OR(E4672="",E4672="!!!",F4672="NEW"),"",COUNTBLANK(OFFSET(A$1,,,SUMPRODUCT(MAX(ROW(E$2:E4672)*(E4672=E$2:E4672)))))-COUNTBLANK(OFFSET(A$1,,,SUMPRODUCT(MAX(ROW(E$1:E4671)*(E2=E$1:E4671))))))</f>
        <v> </v>
      </c>
      <c r="K4672" s="26" t="str">
        <f>IF(OR(E4672="",E4672="!!!",F4672="NEW"),"",INDEX(J$1:J4671,SUMPRODUCT(MAX(ROW(E$1:E4671)*(E4672=E$1:E4671)))))</f>
        <v> </v>
      </c>
      <c r="L4672" s="27"/>
    </row>
    <row r="4673" spans="1:12">
      <c r="A4673" s="20" t="s">
        <v>1000</v>
      </c>
      <c r="E4673" s="22">
        <f>IF(D4673="?OLD","!!!","")</f>
        <v/>
      </c>
      <c r="F4673" s="23" t="str">
        <f>IF(OR(E4673="",E4673="!!!"),"",IF(NOT(ISNA(VLOOKUP(E4673,E$1:E4672,1,FALSE()))),"OLD",IF(AND(E4673&lt;&gt;"",E4673&lt;&gt;"!!!"),"NEW","")))</f>
        <v> </v>
      </c>
      <c r="G4673" s="24" t="str">
        <f>IF(OR(E4673="",E4673="!!!"),"",IF(OR(J4673=0,AND(J4673=1,K4673=1),AND(J4673=1,I4673="SBJ"),AND(J4673=1,I4673=0)),"?IN_FOCUS",IF(J4673&lt;=2,"?ACTIVATED",IF(J4673&lt;&gt;"","?FAMILIAR",IF(F4673="NEW",IF(ISNA(VLOOKUP(E4673,#REF!,1,FALSE())),"?TYPE_IDENTIFIABLE","?REFERENTIAL"),"_")))))</f>
        <v> </v>
      </c>
      <c r="H4673" s="25" t="str">
        <f>IF(J4673&lt;&gt;1,"",IF(I4673="SBJ","CB","?"))</f>
        <v> </v>
      </c>
      <c r="I4673" s="26" t="str">
        <f>IF(OR(E4673="",E4673="!!!",F4673="NEW"),"",INDEX(B4672:B$2,-1+SUMPRODUCT(MAX(ROW(E4672:E$2)*(E4673=E4672:E$2)))))</f>
        <v> </v>
      </c>
      <c r="J4673" s="26" t="str">
        <f>IF(OR(E4673="",E4673="!!!",F4673="NEW"),"",COUNTBLANK(OFFSET(A$1,,,SUMPRODUCT(MAX(ROW(E$2:E4673)*(E4673=E$2:E4673)))))-COUNTBLANK(OFFSET(A$1,,,SUMPRODUCT(MAX(ROW(E$1:E4672)*(E2=E$1:E4672))))))</f>
        <v> </v>
      </c>
      <c r="K4673" s="26" t="str">
        <f>IF(OR(E4673="",E4673="!!!",F4673="NEW"),"",INDEX(J$1:J4672,SUMPRODUCT(MAX(ROW(E$1:E4672)*(E4673=E$1:E4672)))))</f>
        <v> </v>
      </c>
      <c r="L4673" s="27"/>
    </row>
    <row r="4674" spans="1:12">
      <c r="A4674" s="20" t="s">
        <v>1141</v>
      </c>
      <c r="E4674" s="22">
        <f>IF(D4674="?OLD","!!!","")</f>
        <v/>
      </c>
      <c r="F4674" s="23" t="str">
        <f>IF(OR(E4674="",E4674="!!!"),"",IF(NOT(ISNA(VLOOKUP(E4674,E$1:E4673,1,FALSE()))),"OLD",IF(AND(E4674&lt;&gt;"",E4674&lt;&gt;"!!!"),"NEW","")))</f>
        <v> </v>
      </c>
      <c r="G4674" s="24" t="str">
        <f>IF(OR(E4674="",E4674="!!!"),"",IF(OR(J4674=0,AND(J4674=1,K4674=1),AND(J4674=1,I4674="SBJ"),AND(J4674=1,I4674=0)),"?IN_FOCUS",IF(J4674&lt;=2,"?ACTIVATED",IF(J4674&lt;&gt;"","?FAMILIAR",IF(F4674="NEW",IF(ISNA(VLOOKUP(E4674,#REF!,1,FALSE())),"?TYPE_IDENTIFIABLE","?REFERENTIAL"),"_")))))</f>
        <v> </v>
      </c>
      <c r="H4674" s="25" t="str">
        <f>IF(J4674&lt;&gt;1,"",IF(I4674="SBJ","CB","?"))</f>
        <v> </v>
      </c>
      <c r="I4674" s="26" t="str">
        <f>IF(OR(E4674="",E4674="!!!",F4674="NEW"),"",INDEX(B4673:B$2,-1+SUMPRODUCT(MAX(ROW(E4673:E$2)*(E4674=E4673:E$2)))))</f>
        <v> </v>
      </c>
      <c r="J4674" s="26" t="str">
        <f>IF(OR(E4674="",E4674="!!!",F4674="NEW"),"",COUNTBLANK(OFFSET(A$1,,,SUMPRODUCT(MAX(ROW(E$2:E4674)*(E4674=E$2:E4674)))))-COUNTBLANK(OFFSET(A$1,,,SUMPRODUCT(MAX(ROW(E$1:E4673)*(E2=E$1:E4673))))))</f>
        <v> </v>
      </c>
      <c r="K4674" s="26" t="str">
        <f>IF(OR(E4674="",E4674="!!!",F4674="NEW"),"",INDEX(J$1:J4673,SUMPRODUCT(MAX(ROW(E$1:E4673)*(E4674=E$1:E4673)))))</f>
        <v> </v>
      </c>
      <c r="L4674" s="27"/>
    </row>
    <row r="4675" spans="1:12">
      <c r="A4675" s="20" t="s">
        <v>2215</v>
      </c>
      <c r="E4675" s="22">
        <f>IF(D4675="?OLD","!!!","")</f>
        <v/>
      </c>
      <c r="F4675" s="23" t="str">
        <f>IF(OR(E4675="",E4675="!!!"),"",IF(NOT(ISNA(VLOOKUP(E4675,E$1:E4674,1,FALSE()))),"OLD",IF(AND(E4675&lt;&gt;"",E4675&lt;&gt;"!!!"),"NEW","")))</f>
        <v> </v>
      </c>
      <c r="G4675" s="24" t="str">
        <f>IF(OR(E4675="",E4675="!!!"),"",IF(OR(J4675=0,AND(J4675=1,K4675=1),AND(J4675=1,I4675="SBJ"),AND(J4675=1,I4675=0)),"?IN_FOCUS",IF(J4675&lt;=2,"?ACTIVATED",IF(J4675&lt;&gt;"","?FAMILIAR",IF(F4675="NEW",IF(ISNA(VLOOKUP(E4675,#REF!,1,FALSE())),"?TYPE_IDENTIFIABLE","?REFERENTIAL"),"_")))))</f>
        <v> </v>
      </c>
      <c r="H4675" s="25" t="str">
        <f>IF(J4675&lt;&gt;1,"",IF(I4675="SBJ","CB","?"))</f>
        <v> </v>
      </c>
      <c r="I4675" s="26" t="str">
        <f>IF(OR(E4675="",E4675="!!!",F4675="NEW"),"",INDEX(B4674:B$2,-1+SUMPRODUCT(MAX(ROW(E4674:E$2)*(E4675=E4674:E$2)))))</f>
        <v> </v>
      </c>
      <c r="J4675" s="26" t="str">
        <f>IF(OR(E4675="",E4675="!!!",F4675="NEW"),"",COUNTBLANK(OFFSET(A$1,,,SUMPRODUCT(MAX(ROW(E$2:E4675)*(E4675=E$2:E4675)))))-COUNTBLANK(OFFSET(A$1,,,SUMPRODUCT(MAX(ROW(E$1:E4674)*(E2=E$1:E4674))))))</f>
        <v> </v>
      </c>
      <c r="K4675" s="26" t="str">
        <f>IF(OR(E4675="",E4675="!!!",F4675="NEW"),"",INDEX(J$1:J4674,SUMPRODUCT(MAX(ROW(E$1:E4674)*(E4675=E$1:E4674)))))</f>
        <v> </v>
      </c>
      <c r="L4675" s="27"/>
    </row>
    <row r="4676" spans="1:12">
      <c r="A4676" s="20" t="s">
        <v>1006</v>
      </c>
      <c r="E4676" s="22">
        <f>IF(D4676="?OLD","!!!","")</f>
        <v/>
      </c>
      <c r="F4676" s="23" t="str">
        <f>IF(OR(E4676="",E4676="!!!"),"",IF(NOT(ISNA(VLOOKUP(E4676,E$1:E4675,1,FALSE()))),"OLD",IF(AND(E4676&lt;&gt;"",E4676&lt;&gt;"!!!"),"NEW","")))</f>
        <v> </v>
      </c>
      <c r="G4676" s="24" t="str">
        <f>IF(OR(E4676="",E4676="!!!"),"",IF(OR(J4676=0,AND(J4676=1,K4676=1),AND(J4676=1,I4676="SBJ"),AND(J4676=1,I4676=0)),"?IN_FOCUS",IF(J4676&lt;=2,"?ACTIVATED",IF(J4676&lt;&gt;"","?FAMILIAR",IF(F4676="NEW",IF(ISNA(VLOOKUP(E4676,#REF!,1,FALSE())),"?TYPE_IDENTIFIABLE","?REFERENTIAL"),"_")))))</f>
        <v> </v>
      </c>
      <c r="H4676" s="25" t="str">
        <f>IF(J4676&lt;&gt;1,"",IF(I4676="SBJ","CB","?"))</f>
        <v> </v>
      </c>
      <c r="I4676" s="26" t="str">
        <f>IF(OR(E4676="",E4676="!!!",F4676="NEW"),"",INDEX(B4675:B$2,-1+SUMPRODUCT(MAX(ROW(E4675:E$2)*(E4676=E4675:E$2)))))</f>
        <v> </v>
      </c>
      <c r="J4676" s="26" t="str">
        <f>IF(OR(E4676="",E4676="!!!",F4676="NEW"),"",COUNTBLANK(OFFSET(A$1,,,SUMPRODUCT(MAX(ROW(E$2:E4676)*(E4676=E$2:E4676)))))-COUNTBLANK(OFFSET(A$1,,,SUMPRODUCT(MAX(ROW(E$1:E4675)*(E2=E$1:E4675))))))</f>
        <v> </v>
      </c>
      <c r="K4676" s="26" t="str">
        <f>IF(OR(E4676="",E4676="!!!",F4676="NEW"),"",INDEX(J$1:J4675,SUMPRODUCT(MAX(ROW(E$1:E4675)*(E4676=E$1:E4675)))))</f>
        <v> </v>
      </c>
      <c r="L4676" s="27"/>
    </row>
    <row r="4677" spans="1:12">
      <c r="A4677" s="20" t="s">
        <v>1060</v>
      </c>
      <c r="B4677" s="21" t="s">
        <v>959</v>
      </c>
      <c r="C4677" s="21" t="s">
        <v>1032</v>
      </c>
      <c r="D4677" s="21" t="s">
        <v>950</v>
      </c>
      <c r="E4677" s="22">
        <f>IF(D4677="?OLD","!!!","")</f>
        <v/>
      </c>
      <c r="F4677" s="23" t="str">
        <f>IF(OR(E4677="",E4677="!!!"),"",IF(NOT(ISNA(VLOOKUP(E4677,E$1:E4676,1,FALSE()))),"OLD",IF(AND(E4677&lt;&gt;"",E4677&lt;&gt;"!!!"),"NEW","")))</f>
        <v> </v>
      </c>
      <c r="G4677" s="24" t="str">
        <f>IF(OR(E4677="",E4677="!!!"),"",IF(OR(J4677=0,AND(J4677=1,K4677=1),AND(J4677=1,I4677="SBJ"),AND(J4677=1,I4677=0)),"?IN_FOCUS",IF(J4677&lt;=2,"?ACTIVATED",IF(J4677&lt;&gt;"","?FAMILIAR",IF(F4677="NEW",IF(ISNA(VLOOKUP(E4677,#REF!,1,FALSE())),"?TYPE_IDENTIFIABLE","?REFERENTIAL"),"_")))))</f>
        <v> </v>
      </c>
      <c r="H4677" s="25" t="str">
        <f>IF(J4677&lt;&gt;1,"",IF(I4677="SBJ","CB","?"))</f>
        <v> </v>
      </c>
      <c r="I4677" s="26" t="str">
        <f>IF(OR(E4677="",E4677="!!!",F4677="NEW"),"",INDEX(B4676:B$2,-1+SUMPRODUCT(MAX(ROW(E4676:E$2)*(E4677=E4676:E$2)))))</f>
        <v> </v>
      </c>
      <c r="J4677" s="26" t="str">
        <f>IF(OR(E4677="",E4677="!!!",F4677="NEW"),"",COUNTBLANK(OFFSET(A$1,,,SUMPRODUCT(MAX(ROW(E$2:E4677)*(E4677=E$2:E4677)))))-COUNTBLANK(OFFSET(A$1,,,SUMPRODUCT(MAX(ROW(E$1:E4676)*(E2=E$1:E4676))))))</f>
        <v> </v>
      </c>
      <c r="K4677" s="26" t="str">
        <f>IF(OR(E4677="",E4677="!!!",F4677="NEW"),"",INDEX(J$1:J4676,SUMPRODUCT(MAX(ROW(E$1:E4676)*(E4677=E$1:E4676)))))</f>
        <v> </v>
      </c>
      <c r="L4677" s="27"/>
    </row>
    <row r="4678" spans="1:12">
      <c r="A4678" s="20" t="s">
        <v>984</v>
      </c>
      <c r="E4678" s="22">
        <f>IF(D4678="?OLD","!!!","")</f>
        <v/>
      </c>
      <c r="F4678" s="23" t="str">
        <f>IF(OR(E4678="",E4678="!!!"),"",IF(NOT(ISNA(VLOOKUP(E4678,E$1:E4677,1,FALSE()))),"OLD",IF(AND(E4678&lt;&gt;"",E4678&lt;&gt;"!!!"),"NEW","")))</f>
        <v> </v>
      </c>
      <c r="G4678" s="24" t="str">
        <f>IF(OR(E4678="",E4678="!!!"),"",IF(OR(J4678=0,AND(J4678=1,K4678=1),AND(J4678=1,I4678="SBJ"),AND(J4678=1,I4678=0)),"?IN_FOCUS",IF(J4678&lt;=2,"?ACTIVATED",IF(J4678&lt;&gt;"","?FAMILIAR",IF(F4678="NEW",IF(ISNA(VLOOKUP(E4678,#REF!,1,FALSE())),"?TYPE_IDENTIFIABLE","?REFERENTIAL"),"_")))))</f>
        <v> </v>
      </c>
      <c r="H4678" s="25" t="str">
        <f>IF(J4678&lt;&gt;1,"",IF(I4678="SBJ","CB","?"))</f>
        <v> </v>
      </c>
      <c r="I4678" s="26" t="str">
        <f>IF(OR(E4678="",E4678="!!!",F4678="NEW"),"",INDEX(B4677:B$2,-1+SUMPRODUCT(MAX(ROW(E4677:E$2)*(E4678=E4677:E$2)))))</f>
        <v> </v>
      </c>
      <c r="J4678" s="26" t="str">
        <f>IF(OR(E4678="",E4678="!!!",F4678="NEW"),"",COUNTBLANK(OFFSET(A$1,,,SUMPRODUCT(MAX(ROW(E$2:E4678)*(E4678=E$2:E4678)))))-COUNTBLANK(OFFSET(A$1,,,SUMPRODUCT(MAX(ROW(E$1:E4677)*(E2=E$1:E4677))))))</f>
        <v> </v>
      </c>
      <c r="K4678" s="26" t="str">
        <f>IF(OR(E4678="",E4678="!!!",F4678="NEW"),"",INDEX(J$1:J4677,SUMPRODUCT(MAX(ROW(E$1:E4677)*(E4678=E$1:E4677)))))</f>
        <v> </v>
      </c>
      <c r="L4678" s="27"/>
    </row>
    <row r="4679" spans="1:12">
      <c r="A4679" s="20"/>
    </row>
    <row r="4680" spans="1:12">
      <c r="A4680" s="20" t="s">
        <v>2216</v>
      </c>
    </row>
    <row r="4681" spans="1:12">
      <c r="A4681" s="20" t="s">
        <v>1092</v>
      </c>
      <c r="E4681" s="22">
        <f>IF(D4681="?OLD","!!!","")</f>
        <v/>
      </c>
      <c r="F4681" s="23" t="str">
        <f>IF(OR(E4681="",E4681="!!!"),"",IF(NOT(ISNA(VLOOKUP(E4681,E$1:E4680,1,FALSE()))),"OLD",IF(AND(E4681&lt;&gt;"",E4681&lt;&gt;"!!!"),"NEW","")))</f>
        <v> </v>
      </c>
      <c r="G4681" s="24" t="str">
        <f>IF(OR(E4681="",E4681="!!!"),"",IF(OR(J4681=0,AND(J4681=1,K4681=1),AND(J4681=1,I4681="SBJ"),AND(J4681=1,I4681=0)),"?IN_FOCUS",IF(J4681&lt;=2,"?ACTIVATED",IF(J4681&lt;&gt;"","?FAMILIAR",IF(F4681="NEW",IF(ISNA(VLOOKUP(E4681,#REF!,1,FALSE())),"?TYPE_IDENTIFIABLE","?REFERENTIAL"),"_")))))</f>
        <v> </v>
      </c>
      <c r="H4681" s="25" t="str">
        <f>IF(J4681&lt;&gt;1,"",IF(I4681="SBJ","CB","?"))</f>
        <v> </v>
      </c>
      <c r="I4681" s="26" t="str">
        <f>IF(OR(E4681="",E4681="!!!",F4681="NEW"),"",INDEX(B4680:B$2,-1+SUMPRODUCT(MAX(ROW(E4680:E$2)*(E4681=E4680:E$2)))))</f>
        <v> </v>
      </c>
      <c r="J4681" s="26" t="str">
        <f>IF(OR(E4681="",E4681="!!!",F4681="NEW"),"",COUNTBLANK(OFFSET(A$1,,,SUMPRODUCT(MAX(ROW(E$2:E4681)*(E4681=E$2:E4681)))))-COUNTBLANK(OFFSET(A$1,,,SUMPRODUCT(MAX(ROW(E$1:E4680)*(E2=E$1:E4680))))))</f>
        <v> </v>
      </c>
      <c r="K4681" s="26" t="str">
        <f>IF(OR(E4681="",E4681="!!!",F4681="NEW"),"",INDEX(J$1:J4680,SUMPRODUCT(MAX(ROW(E$1:E4680)*(E4681=E$1:E4680)))))</f>
        <v> </v>
      </c>
      <c r="L4681" s="27"/>
    </row>
    <row r="4682" spans="1:12">
      <c r="A4682" s="20" t="s">
        <v>1646</v>
      </c>
      <c r="E4682" s="22">
        <f>IF(D4682="?OLD","!!!","")</f>
        <v/>
      </c>
      <c r="F4682" s="23" t="str">
        <f>IF(OR(E4682="",E4682="!!!"),"",IF(NOT(ISNA(VLOOKUP(E4682,E$1:E4681,1,FALSE()))),"OLD",IF(AND(E4682&lt;&gt;"",E4682&lt;&gt;"!!!"),"NEW","")))</f>
        <v> </v>
      </c>
      <c r="G4682" s="24" t="str">
        <f>IF(OR(E4682="",E4682="!!!"),"",IF(OR(J4682=0,AND(J4682=1,K4682=1),AND(J4682=1,I4682="SBJ"),AND(J4682=1,I4682=0)),"?IN_FOCUS",IF(J4682&lt;=2,"?ACTIVATED",IF(J4682&lt;&gt;"","?FAMILIAR",IF(F4682="NEW",IF(ISNA(VLOOKUP(E4682,#REF!,1,FALSE())),"?TYPE_IDENTIFIABLE","?REFERENTIAL"),"_")))))</f>
        <v> </v>
      </c>
      <c r="H4682" s="25" t="str">
        <f>IF(J4682&lt;&gt;1,"",IF(I4682="SBJ","CB","?"))</f>
        <v> </v>
      </c>
      <c r="I4682" s="26" t="str">
        <f>IF(OR(E4682="",E4682="!!!",F4682="NEW"),"",INDEX(B4681:B$2,-1+SUMPRODUCT(MAX(ROW(E4681:E$2)*(E4682=E4681:E$2)))))</f>
        <v> </v>
      </c>
      <c r="J4682" s="26" t="str">
        <f>IF(OR(E4682="",E4682="!!!",F4682="NEW"),"",COUNTBLANK(OFFSET(A$1,,,SUMPRODUCT(MAX(ROW(E$2:E4682)*(E4682=E$2:E4682)))))-COUNTBLANK(OFFSET(A$1,,,SUMPRODUCT(MAX(ROW(E$1:E4681)*(E2=E$1:E4681))))))</f>
        <v> </v>
      </c>
      <c r="K4682" s="26" t="str">
        <f>IF(OR(E4682="",E4682="!!!",F4682="NEW"),"",INDEX(J$1:J4681,SUMPRODUCT(MAX(ROW(E$1:E4681)*(E4682=E$1:E4681)))))</f>
        <v> </v>
      </c>
      <c r="L4682" s="27"/>
    </row>
    <row r="4683" spans="1:12">
      <c r="A4683" s="20" t="s">
        <v>1104</v>
      </c>
      <c r="E4683" s="22">
        <f>IF(D4683="?OLD","!!!","")</f>
        <v/>
      </c>
      <c r="F4683" s="23" t="str">
        <f>IF(OR(E4683="",E4683="!!!"),"",IF(NOT(ISNA(VLOOKUP(E4683,E$1:E4682,1,FALSE()))),"OLD",IF(AND(E4683&lt;&gt;"",E4683&lt;&gt;"!!!"),"NEW","")))</f>
        <v> </v>
      </c>
      <c r="G4683" s="24" t="str">
        <f>IF(OR(E4683="",E4683="!!!"),"",IF(OR(J4683=0,AND(J4683=1,K4683=1),AND(J4683=1,I4683="SBJ"),AND(J4683=1,I4683=0)),"?IN_FOCUS",IF(J4683&lt;=2,"?ACTIVATED",IF(J4683&lt;&gt;"","?FAMILIAR",IF(F4683="NEW",IF(ISNA(VLOOKUP(E4683,#REF!,1,FALSE())),"?TYPE_IDENTIFIABLE","?REFERENTIAL"),"_")))))</f>
        <v> </v>
      </c>
      <c r="H4683" s="25" t="str">
        <f>IF(J4683&lt;&gt;1,"",IF(I4683="SBJ","CB","?"))</f>
        <v> </v>
      </c>
      <c r="I4683" s="26" t="str">
        <f>IF(OR(E4683="",E4683="!!!",F4683="NEW"),"",INDEX(B4682:B$2,-1+SUMPRODUCT(MAX(ROW(E4682:E$2)*(E4683=E4682:E$2)))))</f>
        <v> </v>
      </c>
      <c r="J4683" s="26" t="str">
        <f>IF(OR(E4683="",E4683="!!!",F4683="NEW"),"",COUNTBLANK(OFFSET(A$1,,,SUMPRODUCT(MAX(ROW(E$2:E4683)*(E4683=E$2:E4683)))))-COUNTBLANK(OFFSET(A$1,,,SUMPRODUCT(MAX(ROW(E$1:E4682)*(E2=E$1:E4682))))))</f>
        <v> </v>
      </c>
      <c r="K4683" s="26" t="str">
        <f>IF(OR(E4683="",E4683="!!!",F4683="NEW"),"",INDEX(J$1:J4682,SUMPRODUCT(MAX(ROW(E$1:E4682)*(E4683=E$1:E4682)))))</f>
        <v> </v>
      </c>
      <c r="L4683" s="27"/>
    </row>
    <row r="4684" spans="1:12">
      <c r="A4684" s="20" t="s">
        <v>965</v>
      </c>
      <c r="E4684" s="22">
        <f>IF(D4684="?OLD","!!!","")</f>
        <v/>
      </c>
      <c r="F4684" s="23" t="str">
        <f>IF(OR(E4684="",E4684="!!!"),"",IF(NOT(ISNA(VLOOKUP(E4684,E$1:E4683,1,FALSE()))),"OLD",IF(AND(E4684&lt;&gt;"",E4684&lt;&gt;"!!!"),"NEW","")))</f>
        <v> </v>
      </c>
      <c r="G4684" s="24" t="str">
        <f>IF(OR(E4684="",E4684="!!!"),"",IF(OR(J4684=0,AND(J4684=1,K4684=1),AND(J4684=1,I4684="SBJ"),AND(J4684=1,I4684=0)),"?IN_FOCUS",IF(J4684&lt;=2,"?ACTIVATED",IF(J4684&lt;&gt;"","?FAMILIAR",IF(F4684="NEW",IF(ISNA(VLOOKUP(E4684,#REF!,1,FALSE())),"?TYPE_IDENTIFIABLE","?REFERENTIAL"),"_")))))</f>
        <v> </v>
      </c>
      <c r="H4684" s="25" t="str">
        <f>IF(J4684&lt;&gt;1,"",IF(I4684="SBJ","CB","?"))</f>
        <v> </v>
      </c>
      <c r="I4684" s="26" t="str">
        <f>IF(OR(E4684="",E4684="!!!",F4684="NEW"),"",INDEX(B4683:B$2,-1+SUMPRODUCT(MAX(ROW(E4683:E$2)*(E4684=E4683:E$2)))))</f>
        <v> </v>
      </c>
      <c r="J4684" s="26" t="str">
        <f>IF(OR(E4684="",E4684="!!!",F4684="NEW"),"",COUNTBLANK(OFFSET(A$1,,,SUMPRODUCT(MAX(ROW(E$2:E4684)*(E4684=E$2:E4684)))))-COUNTBLANK(OFFSET(A$1,,,SUMPRODUCT(MAX(ROW(E$1:E4683)*(E2=E$1:E4683))))))</f>
        <v> </v>
      </c>
      <c r="K4684" s="26" t="str">
        <f>IF(OR(E4684="",E4684="!!!",F4684="NEW"),"",INDEX(J$1:J4683,SUMPRODUCT(MAX(ROW(E$1:E4683)*(E4684=E$1:E4683)))))</f>
        <v> </v>
      </c>
      <c r="L4684" s="27"/>
    </row>
    <row r="4685" spans="1:12">
      <c r="A4685" s="20" t="s">
        <v>958</v>
      </c>
      <c r="B4685" s="21" t="s">
        <v>975</v>
      </c>
      <c r="C4685" s="21" t="s">
        <v>960</v>
      </c>
      <c r="D4685" s="21" t="s">
        <v>950</v>
      </c>
      <c r="E4685" s="22">
        <f>IF(D4685="?OLD","!!!","")</f>
        <v/>
      </c>
      <c r="F4685" s="23" t="str">
        <f>IF(OR(E4685="",E4685="!!!"),"",IF(NOT(ISNA(VLOOKUP(E4685,E$1:E4684,1,FALSE()))),"OLD",IF(AND(E4685&lt;&gt;"",E4685&lt;&gt;"!!!"),"NEW","")))</f>
        <v> </v>
      </c>
      <c r="G4685" s="24" t="str">
        <f>IF(OR(E4685="",E4685="!!!"),"",IF(OR(J4685=0,AND(J4685=1,K4685=1),AND(J4685=1,I4685="SBJ"),AND(J4685=1,I4685=0)),"?IN_FOCUS",IF(J4685&lt;=2,"?ACTIVATED",IF(J4685&lt;&gt;"","?FAMILIAR",IF(F4685="NEW",IF(ISNA(VLOOKUP(E4685,#REF!,1,FALSE())),"?TYPE_IDENTIFIABLE","?REFERENTIAL"),"_")))))</f>
        <v> </v>
      </c>
      <c r="H4685" s="25" t="str">
        <f>IF(J4685&lt;&gt;1,"",IF(I4685="SBJ","CB","?"))</f>
        <v> </v>
      </c>
      <c r="I4685" s="26" t="str">
        <f>IF(OR(E4685="",E4685="!!!",F4685="NEW"),"",INDEX(B4684:B$2,-1+SUMPRODUCT(MAX(ROW(E4684:E$2)*(E4685=E4684:E$2)))))</f>
        <v> </v>
      </c>
      <c r="J4685" s="26" t="str">
        <f>IF(OR(E4685="",E4685="!!!",F4685="NEW"),"",COUNTBLANK(OFFSET(A$1,,,SUMPRODUCT(MAX(ROW(E$2:E4685)*(E4685=E$2:E4685)))))-COUNTBLANK(OFFSET(A$1,,,SUMPRODUCT(MAX(ROW(E$1:E4684)*(E2=E$1:E4684))))))</f>
        <v> </v>
      </c>
      <c r="K4685" s="26" t="str">
        <f>IF(OR(E4685="",E4685="!!!",F4685="NEW"),"",INDEX(J$1:J4684,SUMPRODUCT(MAX(ROW(E$1:E4684)*(E4685=E$1:E4684)))))</f>
        <v> </v>
      </c>
      <c r="L4685" s="27"/>
    </row>
    <row r="4686" spans="1:12">
      <c r="A4686" s="20" t="s">
        <v>2217</v>
      </c>
      <c r="E4686" s="22">
        <f>IF(D4686="?OLD","!!!","")</f>
        <v/>
      </c>
      <c r="F4686" s="23" t="str">
        <f>IF(OR(E4686="",E4686="!!!"),"",IF(NOT(ISNA(VLOOKUP(E4686,E$1:E4685,1,FALSE()))),"OLD",IF(AND(E4686&lt;&gt;"",E4686&lt;&gt;"!!!"),"NEW","")))</f>
        <v> </v>
      </c>
      <c r="G4686" s="24" t="str">
        <f>IF(OR(E4686="",E4686="!!!"),"",IF(OR(J4686=0,AND(J4686=1,K4686=1),AND(J4686=1,I4686="SBJ"),AND(J4686=1,I4686=0)),"?IN_FOCUS",IF(J4686&lt;=2,"?ACTIVATED",IF(J4686&lt;&gt;"","?FAMILIAR",IF(F4686="NEW",IF(ISNA(VLOOKUP(E4686,#REF!,1,FALSE())),"?TYPE_IDENTIFIABLE","?REFERENTIAL"),"_")))))</f>
        <v> </v>
      </c>
      <c r="H4686" s="25" t="str">
        <f>IF(J4686&lt;&gt;1,"",IF(I4686="SBJ","CB","?"))</f>
        <v> </v>
      </c>
      <c r="I4686" s="26" t="str">
        <f>IF(OR(E4686="",E4686="!!!",F4686="NEW"),"",INDEX(B4685:B$2,-1+SUMPRODUCT(MAX(ROW(E4685:E$2)*(E4686=E4685:E$2)))))</f>
        <v> </v>
      </c>
      <c r="J4686" s="26" t="str">
        <f>IF(OR(E4686="",E4686="!!!",F4686="NEW"),"",COUNTBLANK(OFFSET(A$1,,,SUMPRODUCT(MAX(ROW(E$2:E4686)*(E4686=E$2:E4686)))))-COUNTBLANK(OFFSET(A$1,,,SUMPRODUCT(MAX(ROW(E$1:E4685)*(E2=E$1:E4685))))))</f>
        <v> </v>
      </c>
      <c r="K4686" s="26" t="str">
        <f>IF(OR(E4686="",E4686="!!!",F4686="NEW"),"",INDEX(J$1:J4685,SUMPRODUCT(MAX(ROW(E$1:E4685)*(E4686=E$1:E4685)))))</f>
        <v> </v>
      </c>
      <c r="L4686" s="27"/>
    </row>
    <row r="4687" spans="1:12">
      <c r="A4687" s="20" t="s">
        <v>2218</v>
      </c>
      <c r="E4687" s="22">
        <f>IF(D4687="?OLD","!!!","")</f>
        <v/>
      </c>
      <c r="F4687" s="23" t="str">
        <f>IF(OR(E4687="",E4687="!!!"),"",IF(NOT(ISNA(VLOOKUP(E4687,E$1:E4686,1,FALSE()))),"OLD",IF(AND(E4687&lt;&gt;"",E4687&lt;&gt;"!!!"),"NEW","")))</f>
        <v> </v>
      </c>
      <c r="G4687" s="24" t="str">
        <f>IF(OR(E4687="",E4687="!!!"),"",IF(OR(J4687=0,AND(J4687=1,K4687=1),AND(J4687=1,I4687="SBJ"),AND(J4687=1,I4687=0)),"?IN_FOCUS",IF(J4687&lt;=2,"?ACTIVATED",IF(J4687&lt;&gt;"","?FAMILIAR",IF(F4687="NEW",IF(ISNA(VLOOKUP(E4687,#REF!,1,FALSE())),"?TYPE_IDENTIFIABLE","?REFERENTIAL"),"_")))))</f>
        <v> </v>
      </c>
      <c r="H4687" s="25" t="str">
        <f>IF(J4687&lt;&gt;1,"",IF(I4687="SBJ","CB","?"))</f>
        <v> </v>
      </c>
      <c r="I4687" s="26" t="str">
        <f>IF(OR(E4687="",E4687="!!!",F4687="NEW"),"",INDEX(B4686:B$2,-1+SUMPRODUCT(MAX(ROW(E4686:E$2)*(E4687=E4686:E$2)))))</f>
        <v> </v>
      </c>
      <c r="J4687" s="26" t="str">
        <f>IF(OR(E4687="",E4687="!!!",F4687="NEW"),"",COUNTBLANK(OFFSET(A$1,,,SUMPRODUCT(MAX(ROW(E$2:E4687)*(E4687=E$2:E4687)))))-COUNTBLANK(OFFSET(A$1,,,SUMPRODUCT(MAX(ROW(E$1:E4686)*(E2=E$1:E4686))))))</f>
        <v> </v>
      </c>
      <c r="K4687" s="26" t="str">
        <f>IF(OR(E4687="",E4687="!!!",F4687="NEW"),"",INDEX(J$1:J4686,SUMPRODUCT(MAX(ROW(E$1:E4686)*(E4687=E$1:E4686)))))</f>
        <v> </v>
      </c>
      <c r="L4687" s="27"/>
    </row>
    <row r="4688" spans="1:12">
      <c r="A4688" s="20" t="s">
        <v>1075</v>
      </c>
      <c r="E4688" s="22">
        <f>IF(D4688="?OLD","!!!","")</f>
        <v/>
      </c>
      <c r="F4688" s="23" t="str">
        <f>IF(OR(E4688="",E4688="!!!"),"",IF(NOT(ISNA(VLOOKUP(E4688,E$1:E4687,1,FALSE()))),"OLD",IF(AND(E4688&lt;&gt;"",E4688&lt;&gt;"!!!"),"NEW","")))</f>
        <v> </v>
      </c>
      <c r="G4688" s="24" t="str">
        <f>IF(OR(E4688="",E4688="!!!"),"",IF(OR(J4688=0,AND(J4688=1,K4688=1),AND(J4688=1,I4688="SBJ"),AND(J4688=1,I4688=0)),"?IN_FOCUS",IF(J4688&lt;=2,"?ACTIVATED",IF(J4688&lt;&gt;"","?FAMILIAR",IF(F4688="NEW",IF(ISNA(VLOOKUP(E4688,#REF!,1,FALSE())),"?TYPE_IDENTIFIABLE","?REFERENTIAL"),"_")))))</f>
        <v> </v>
      </c>
      <c r="H4688" s="25" t="str">
        <f>IF(J4688&lt;&gt;1,"",IF(I4688="SBJ","CB","?"))</f>
        <v> </v>
      </c>
      <c r="I4688" s="26" t="str">
        <f>IF(OR(E4688="",E4688="!!!",F4688="NEW"),"",INDEX(B4687:B$2,-1+SUMPRODUCT(MAX(ROW(E4687:E$2)*(E4688=E4687:E$2)))))</f>
        <v> </v>
      </c>
      <c r="J4688" s="26" t="str">
        <f>IF(OR(E4688="",E4688="!!!",F4688="NEW"),"",COUNTBLANK(OFFSET(A$1,,,SUMPRODUCT(MAX(ROW(E$2:E4688)*(E4688=E$2:E4688)))))-COUNTBLANK(OFFSET(A$1,,,SUMPRODUCT(MAX(ROW(E$1:E4687)*(E2=E$1:E4687))))))</f>
        <v> </v>
      </c>
      <c r="K4688" s="26" t="str">
        <f>IF(OR(E4688="",E4688="!!!",F4688="NEW"),"",INDEX(J$1:J4687,SUMPRODUCT(MAX(ROW(E$1:E4687)*(E4688=E$1:E4687)))))</f>
        <v> </v>
      </c>
      <c r="L4688" s="27"/>
    </row>
    <row r="4689" spans="1:12">
      <c r="A4689" s="20" t="s">
        <v>1098</v>
      </c>
      <c r="B4689" s="21" t="s">
        <v>1005</v>
      </c>
      <c r="C4689" s="21" t="s">
        <v>1008</v>
      </c>
      <c r="D4689" s="21" t="s">
        <v>950</v>
      </c>
      <c r="E4689" s="22">
        <f>IF(D4689="?OLD","!!!","")</f>
        <v/>
      </c>
      <c r="F4689" s="23" t="str">
        <f>IF(OR(E4689="",E4689="!!!"),"",IF(NOT(ISNA(VLOOKUP(E4689,E$1:E4688,1,FALSE()))),"OLD",IF(AND(E4689&lt;&gt;"",E4689&lt;&gt;"!!!"),"NEW","")))</f>
        <v> </v>
      </c>
      <c r="G4689" s="24" t="str">
        <f>IF(OR(E4689="",E4689="!!!"),"",IF(OR(J4689=0,AND(J4689=1,K4689=1),AND(J4689=1,I4689="SBJ"),AND(J4689=1,I4689=0)),"?IN_FOCUS",IF(J4689&lt;=2,"?ACTIVATED",IF(J4689&lt;&gt;"","?FAMILIAR",IF(F4689="NEW",IF(ISNA(VLOOKUP(E4689,#REF!,1,FALSE())),"?TYPE_IDENTIFIABLE","?REFERENTIAL"),"_")))))</f>
        <v> </v>
      </c>
      <c r="H4689" s="25" t="str">
        <f>IF(J4689&lt;&gt;1,"",IF(I4689="SBJ","CB","?"))</f>
        <v> </v>
      </c>
      <c r="I4689" s="26" t="str">
        <f>IF(OR(E4689="",E4689="!!!",F4689="NEW"),"",INDEX(B4688:B$2,-1+SUMPRODUCT(MAX(ROW(E4688:E$2)*(E4689=E4688:E$2)))))</f>
        <v> </v>
      </c>
      <c r="J4689" s="26" t="str">
        <f>IF(OR(E4689="",E4689="!!!",F4689="NEW"),"",COUNTBLANK(OFFSET(A$1,,,SUMPRODUCT(MAX(ROW(E$2:E4689)*(E4689=E$2:E4689)))))-COUNTBLANK(OFFSET(A$1,,,SUMPRODUCT(MAX(ROW(E$1:E4688)*(E2=E$1:E4688))))))</f>
        <v> </v>
      </c>
      <c r="K4689" s="26" t="str">
        <f>IF(OR(E4689="",E4689="!!!",F4689="NEW"),"",INDEX(J$1:J4688,SUMPRODUCT(MAX(ROW(E$1:E4688)*(E4689=E$1:E4688)))))</f>
        <v> </v>
      </c>
      <c r="L4689" s="27"/>
    </row>
    <row r="4690" spans="1:12">
      <c r="A4690" s="20" t="s">
        <v>1001</v>
      </c>
      <c r="E4690" s="22">
        <f>IF(D4690="?OLD","!!!","")</f>
        <v/>
      </c>
      <c r="F4690" s="23" t="str">
        <f>IF(OR(E4690="",E4690="!!!"),"",IF(NOT(ISNA(VLOOKUP(E4690,E$1:E4689,1,FALSE()))),"OLD",IF(AND(E4690&lt;&gt;"",E4690&lt;&gt;"!!!"),"NEW","")))</f>
        <v> </v>
      </c>
      <c r="G4690" s="24" t="str">
        <f>IF(OR(E4690="",E4690="!!!"),"",IF(OR(J4690=0,AND(J4690=1,K4690=1),AND(J4690=1,I4690="SBJ"),AND(J4690=1,I4690=0)),"?IN_FOCUS",IF(J4690&lt;=2,"?ACTIVATED",IF(J4690&lt;&gt;"","?FAMILIAR",IF(F4690="NEW",IF(ISNA(VLOOKUP(E4690,#REF!,1,FALSE())),"?TYPE_IDENTIFIABLE","?REFERENTIAL"),"_")))))</f>
        <v> </v>
      </c>
      <c r="H4690" s="25" t="str">
        <f>IF(J4690&lt;&gt;1,"",IF(I4690="SBJ","CB","?"))</f>
        <v> </v>
      </c>
      <c r="I4690" s="26" t="str">
        <f>IF(OR(E4690="",E4690="!!!",F4690="NEW"),"",INDEX(B4689:B$2,-1+SUMPRODUCT(MAX(ROW(E4689:E$2)*(E4690=E4689:E$2)))))</f>
        <v> </v>
      </c>
      <c r="J4690" s="26" t="str">
        <f>IF(OR(E4690="",E4690="!!!",F4690="NEW"),"",COUNTBLANK(OFFSET(A$1,,,SUMPRODUCT(MAX(ROW(E$2:E4690)*(E4690=E$2:E4690)))))-COUNTBLANK(OFFSET(A$1,,,SUMPRODUCT(MAX(ROW(E$1:E4689)*(E2=E$1:E4689))))))</f>
        <v> </v>
      </c>
      <c r="K4690" s="26" t="str">
        <f>IF(OR(E4690="",E4690="!!!",F4690="NEW"),"",INDEX(J$1:J4689,SUMPRODUCT(MAX(ROW(E$1:E4689)*(E4690=E$1:E4689)))))</f>
        <v> </v>
      </c>
      <c r="L4690" s="27"/>
    </row>
    <row r="4691" spans="1:12">
      <c r="A4691" s="20" t="s">
        <v>25</v>
      </c>
      <c r="E4691" s="22">
        <f>IF(D4691="?OLD","!!!","")</f>
        <v/>
      </c>
      <c r="F4691" s="23" t="str">
        <f>IF(OR(E4691="",E4691="!!!"),"",IF(NOT(ISNA(VLOOKUP(E4691,E$1:E4690,1,FALSE()))),"OLD",IF(AND(E4691&lt;&gt;"",E4691&lt;&gt;"!!!"),"NEW","")))</f>
        <v> </v>
      </c>
      <c r="G4691" s="24" t="str">
        <f>IF(OR(E4691="",E4691="!!!"),"",IF(OR(J4691=0,AND(J4691=1,K4691=1),AND(J4691=1,I4691="SBJ"),AND(J4691=1,I4691=0)),"?IN_FOCUS",IF(J4691&lt;=2,"?ACTIVATED",IF(J4691&lt;&gt;"","?FAMILIAR",IF(F4691="NEW",IF(ISNA(VLOOKUP(E4691,#REF!,1,FALSE())),"?TYPE_IDENTIFIABLE","?REFERENTIAL"),"_")))))</f>
        <v> </v>
      </c>
      <c r="H4691" s="25" t="str">
        <f>IF(J4691&lt;&gt;1,"",IF(I4691="SBJ","CB","?"))</f>
        <v> </v>
      </c>
      <c r="I4691" s="26" t="str">
        <f>IF(OR(E4691="",E4691="!!!",F4691="NEW"),"",INDEX(B4690:B$2,-1+SUMPRODUCT(MAX(ROW(E4690:E$2)*(E4691=E4690:E$2)))))</f>
        <v> </v>
      </c>
      <c r="J4691" s="26" t="str">
        <f>IF(OR(E4691="",E4691="!!!",F4691="NEW"),"",COUNTBLANK(OFFSET(A$1,,,SUMPRODUCT(MAX(ROW(E$2:E4691)*(E4691=E$2:E4691)))))-COUNTBLANK(OFFSET(A$1,,,SUMPRODUCT(MAX(ROW(E$1:E4690)*(E2=E$1:E4690))))))</f>
        <v> </v>
      </c>
      <c r="K4691" s="26" t="str">
        <f>IF(OR(E4691="",E4691="!!!",F4691="NEW"),"",INDEX(J$1:J4690,SUMPRODUCT(MAX(ROW(E$1:E4690)*(E4691=E$1:E4690)))))</f>
        <v> </v>
      </c>
      <c r="L4691" s="27"/>
    </row>
    <row r="4692" spans="1:12">
      <c r="A4692" s="20" t="s">
        <v>1000</v>
      </c>
      <c r="E4692" s="22">
        <f>IF(D4692="?OLD","!!!","")</f>
        <v/>
      </c>
      <c r="F4692" s="23" t="str">
        <f>IF(OR(E4692="",E4692="!!!"),"",IF(NOT(ISNA(VLOOKUP(E4692,E$1:E4691,1,FALSE()))),"OLD",IF(AND(E4692&lt;&gt;"",E4692&lt;&gt;"!!!"),"NEW","")))</f>
        <v> </v>
      </c>
      <c r="G4692" s="24" t="str">
        <f>IF(OR(E4692="",E4692="!!!"),"",IF(OR(J4692=0,AND(J4692=1,K4692=1),AND(J4692=1,I4692="SBJ"),AND(J4692=1,I4692=0)),"?IN_FOCUS",IF(J4692&lt;=2,"?ACTIVATED",IF(J4692&lt;&gt;"","?FAMILIAR",IF(F4692="NEW",IF(ISNA(VLOOKUP(E4692,#REF!,1,FALSE())),"?TYPE_IDENTIFIABLE","?REFERENTIAL"),"_")))))</f>
        <v> </v>
      </c>
      <c r="H4692" s="25" t="str">
        <f>IF(J4692&lt;&gt;1,"",IF(I4692="SBJ","CB","?"))</f>
        <v> </v>
      </c>
      <c r="I4692" s="26" t="str">
        <f>IF(OR(E4692="",E4692="!!!",F4692="NEW"),"",INDEX(B4691:B$2,-1+SUMPRODUCT(MAX(ROW(E4691:E$2)*(E4692=E4691:E$2)))))</f>
        <v> </v>
      </c>
      <c r="J4692" s="26" t="str">
        <f>IF(OR(E4692="",E4692="!!!",F4692="NEW"),"",COUNTBLANK(OFFSET(A$1,,,SUMPRODUCT(MAX(ROW(E$2:E4692)*(E4692=E$2:E4692)))))-COUNTBLANK(OFFSET(A$1,,,SUMPRODUCT(MAX(ROW(E$1:E4691)*(E2=E$1:E4691))))))</f>
        <v> </v>
      </c>
      <c r="K4692" s="26" t="str">
        <f>IF(OR(E4692="",E4692="!!!",F4692="NEW"),"",INDEX(J$1:J4691,SUMPRODUCT(MAX(ROW(E$1:E4691)*(E4692=E$1:E4691)))))</f>
        <v> </v>
      </c>
      <c r="L4692" s="27"/>
    </row>
    <row r="4693" spans="1:12">
      <c r="A4693" s="20" t="s">
        <v>1006</v>
      </c>
      <c r="B4693" s="21" t="s">
        <v>948</v>
      </c>
      <c r="C4693" s="21" t="s">
        <v>1008</v>
      </c>
      <c r="D4693" s="21" t="s">
        <v>950</v>
      </c>
      <c r="E4693" s="22">
        <f>IF(D4693="?OLD","!!!","")</f>
        <v/>
      </c>
      <c r="F4693" s="23" t="str">
        <f>IF(OR(E4693="",E4693="!!!"),"",IF(NOT(ISNA(VLOOKUP(E4693,E$1:E4692,1,FALSE()))),"OLD",IF(AND(E4693&lt;&gt;"",E4693&lt;&gt;"!!!"),"NEW","")))</f>
        <v> </v>
      </c>
      <c r="G4693" s="24" t="str">
        <f>IF(OR(E4693="",E4693="!!!"),"",IF(OR(J4693=0,AND(J4693=1,K4693=1),AND(J4693=1,I4693="SBJ"),AND(J4693=1,I4693=0)),"?IN_FOCUS",IF(J4693&lt;=2,"?ACTIVATED",IF(J4693&lt;&gt;"","?FAMILIAR",IF(F4693="NEW",IF(ISNA(VLOOKUP(E4693,#REF!,1,FALSE())),"?TYPE_IDENTIFIABLE","?REFERENTIAL"),"_")))))</f>
        <v> </v>
      </c>
      <c r="H4693" s="25" t="str">
        <f>IF(J4693&lt;&gt;1,"",IF(I4693="SBJ","CB","?"))</f>
        <v> </v>
      </c>
      <c r="I4693" s="26" t="str">
        <f>IF(OR(E4693="",E4693="!!!",F4693="NEW"),"",INDEX(B4692:B$2,-1+SUMPRODUCT(MAX(ROW(E4692:E$2)*(E4693=E4692:E$2)))))</f>
        <v> </v>
      </c>
      <c r="J4693" s="26" t="str">
        <f>IF(OR(E4693="",E4693="!!!",F4693="NEW"),"",COUNTBLANK(OFFSET(A$1,,,SUMPRODUCT(MAX(ROW(E$2:E4693)*(E4693=E$2:E4693)))))-COUNTBLANK(OFFSET(A$1,,,SUMPRODUCT(MAX(ROW(E$1:E4692)*(E2=E$1:E4692))))))</f>
        <v> </v>
      </c>
      <c r="K4693" s="26" t="str">
        <f>IF(OR(E4693="",E4693="!!!",F4693="NEW"),"",INDEX(J$1:J4692,SUMPRODUCT(MAX(ROW(E$1:E4692)*(E4693=E$1:E4692)))))</f>
        <v> </v>
      </c>
      <c r="L4693" s="27"/>
    </row>
    <row r="4694" spans="1:12">
      <c r="A4694" s="20" t="s">
        <v>965</v>
      </c>
      <c r="B4694" s="21" t="s">
        <v>966</v>
      </c>
      <c r="E4694" s="22">
        <f>IF(D4694="?OLD","!!!","")</f>
        <v/>
      </c>
      <c r="F4694" s="23" t="str">
        <f>IF(OR(E4694="",E4694="!!!"),"",IF(NOT(ISNA(VLOOKUP(E4694,E$1:E4693,1,FALSE()))),"OLD",IF(AND(E4694&lt;&gt;"",E4694&lt;&gt;"!!!"),"NEW","")))</f>
        <v> </v>
      </c>
      <c r="G4694" s="24" t="str">
        <f>IF(OR(E4694="",E4694="!!!"),"",IF(OR(J4694=0,AND(J4694=1,K4694=1),AND(J4694=1,I4694="SBJ"),AND(J4694=1,I4694=0)),"?IN_FOCUS",IF(J4694&lt;=2,"?ACTIVATED",IF(J4694&lt;&gt;"","?FAMILIAR",IF(F4694="NEW",IF(ISNA(VLOOKUP(E4694,#REF!,1,FALSE())),"?TYPE_IDENTIFIABLE","?REFERENTIAL"),"_")))))</f>
        <v> </v>
      </c>
      <c r="H4694" s="25" t="str">
        <f>IF(J4694&lt;&gt;1,"",IF(I4694="SBJ","CB","?"))</f>
        <v> </v>
      </c>
      <c r="I4694" s="26" t="str">
        <f>IF(OR(E4694="",E4694="!!!",F4694="NEW"),"",INDEX(B4693:B$2,-1+SUMPRODUCT(MAX(ROW(E4693:E$2)*(E4694=E4693:E$2)))))</f>
        <v> </v>
      </c>
      <c r="J4694" s="26" t="str">
        <f>IF(OR(E4694="",E4694="!!!",F4694="NEW"),"",COUNTBLANK(OFFSET(A$1,,,SUMPRODUCT(MAX(ROW(E$2:E4694)*(E4694=E$2:E4694)))))-COUNTBLANK(OFFSET(A$1,,,SUMPRODUCT(MAX(ROW(E$1:E4693)*(E2=E$1:E4693))))))</f>
        <v> </v>
      </c>
      <c r="K4694" s="26" t="str">
        <f>IF(OR(E4694="",E4694="!!!",F4694="NEW"),"",INDEX(J$1:J4693,SUMPRODUCT(MAX(ROW(E$1:E4693)*(E4694=E$1:E4693)))))</f>
        <v> </v>
      </c>
      <c r="L4694" s="27"/>
    </row>
    <row r="4695" spans="1:12">
      <c r="A4695" s="20" t="s">
        <v>1132</v>
      </c>
      <c r="E4695" s="22">
        <f>IF(D4695="?OLD","!!!","")</f>
        <v/>
      </c>
      <c r="F4695" s="23" t="str">
        <f>IF(OR(E4695="",E4695="!!!"),"",IF(NOT(ISNA(VLOOKUP(E4695,E$1:E4694,1,FALSE()))),"OLD",IF(AND(E4695&lt;&gt;"",E4695&lt;&gt;"!!!"),"NEW","")))</f>
        <v> </v>
      </c>
      <c r="G4695" s="24" t="str">
        <f>IF(OR(E4695="",E4695="!!!"),"",IF(OR(J4695=0,AND(J4695=1,K4695=1),AND(J4695=1,I4695="SBJ"),AND(J4695=1,I4695=0)),"?IN_FOCUS",IF(J4695&lt;=2,"?ACTIVATED",IF(J4695&lt;&gt;"","?FAMILIAR",IF(F4695="NEW",IF(ISNA(VLOOKUP(E4695,#REF!,1,FALSE())),"?TYPE_IDENTIFIABLE","?REFERENTIAL"),"_")))))</f>
        <v> </v>
      </c>
      <c r="H4695" s="25" t="str">
        <f>IF(J4695&lt;&gt;1,"",IF(I4695="SBJ","CB","?"))</f>
        <v> </v>
      </c>
      <c r="I4695" s="26" t="str">
        <f>IF(OR(E4695="",E4695="!!!",F4695="NEW"),"",INDEX(B4694:B$2,-1+SUMPRODUCT(MAX(ROW(E4694:E$2)*(E4695=E4694:E$2)))))</f>
        <v> </v>
      </c>
      <c r="J4695" s="26" t="str">
        <f>IF(OR(E4695="",E4695="!!!",F4695="NEW"),"",COUNTBLANK(OFFSET(A$1,,,SUMPRODUCT(MAX(ROW(E$2:E4695)*(E4695=E$2:E4695)))))-COUNTBLANK(OFFSET(A$1,,,SUMPRODUCT(MAX(ROW(E$1:E4694)*(E2=E$1:E4694))))))</f>
        <v> </v>
      </c>
      <c r="K4695" s="26" t="str">
        <f>IF(OR(E4695="",E4695="!!!",F4695="NEW"),"",INDEX(J$1:J4694,SUMPRODUCT(MAX(ROW(E$1:E4694)*(E4695=E$1:E4694)))))</f>
        <v> </v>
      </c>
      <c r="L4695" s="27"/>
    </row>
    <row r="4696" spans="1:12">
      <c r="A4696" s="20" t="s">
        <v>1886</v>
      </c>
      <c r="E4696" s="22">
        <f>IF(D4696="?OLD","!!!","")</f>
        <v/>
      </c>
      <c r="F4696" s="23" t="str">
        <f>IF(OR(E4696="",E4696="!!!"),"",IF(NOT(ISNA(VLOOKUP(E4696,E$1:E4695,1,FALSE()))),"OLD",IF(AND(E4696&lt;&gt;"",E4696&lt;&gt;"!!!"),"NEW","")))</f>
        <v> </v>
      </c>
      <c r="G4696" s="24" t="str">
        <f>IF(OR(E4696="",E4696="!!!"),"",IF(OR(J4696=0,AND(J4696=1,K4696=1),AND(J4696=1,I4696="SBJ"),AND(J4696=1,I4696=0)),"?IN_FOCUS",IF(J4696&lt;=2,"?ACTIVATED",IF(J4696&lt;&gt;"","?FAMILIAR",IF(F4696="NEW",IF(ISNA(VLOOKUP(E4696,#REF!,1,FALSE())),"?TYPE_IDENTIFIABLE","?REFERENTIAL"),"_")))))</f>
        <v> </v>
      </c>
      <c r="H4696" s="25" t="str">
        <f>IF(J4696&lt;&gt;1,"",IF(I4696="SBJ","CB","?"))</f>
        <v> </v>
      </c>
      <c r="I4696" s="26" t="str">
        <f>IF(OR(E4696="",E4696="!!!",F4696="NEW"),"",INDEX(B4695:B$2,-1+SUMPRODUCT(MAX(ROW(E4695:E$2)*(E4696=E4695:E$2)))))</f>
        <v> </v>
      </c>
      <c r="J4696" s="26" t="str">
        <f>IF(OR(E4696="",E4696="!!!",F4696="NEW"),"",COUNTBLANK(OFFSET(A$1,,,SUMPRODUCT(MAX(ROW(E$2:E4696)*(E4696=E$2:E4696)))))-COUNTBLANK(OFFSET(A$1,,,SUMPRODUCT(MAX(ROW(E$1:E4695)*(E2=E$1:E4695))))))</f>
        <v> </v>
      </c>
      <c r="K4696" s="26" t="str">
        <f>IF(OR(E4696="",E4696="!!!",F4696="NEW"),"",INDEX(J$1:J4695,SUMPRODUCT(MAX(ROW(E$1:E4695)*(E4696=E$1:E4695)))))</f>
        <v> </v>
      </c>
      <c r="L4696" s="27"/>
    </row>
    <row r="4697" spans="1:12">
      <c r="A4697" s="20" t="s">
        <v>1060</v>
      </c>
      <c r="B4697" s="21" t="s">
        <v>1031</v>
      </c>
      <c r="C4697" s="21" t="s">
        <v>1044</v>
      </c>
      <c r="D4697" s="21" t="s">
        <v>950</v>
      </c>
      <c r="E4697" s="22">
        <f>IF(D4697="?OLD","!!!","")</f>
        <v/>
      </c>
      <c r="F4697" s="23" t="str">
        <f>IF(OR(E4697="",E4697="!!!"),"",IF(NOT(ISNA(VLOOKUP(E4697,E$1:E4696,1,FALSE()))),"OLD",IF(AND(E4697&lt;&gt;"",E4697&lt;&gt;"!!!"),"NEW","")))</f>
        <v> </v>
      </c>
      <c r="G4697" s="24" t="str">
        <f>IF(OR(E4697="",E4697="!!!"),"",IF(OR(J4697=0,AND(J4697=1,K4697=1),AND(J4697=1,I4697="SBJ"),AND(J4697=1,I4697=0)),"?IN_FOCUS",IF(J4697&lt;=2,"?ACTIVATED",IF(J4697&lt;&gt;"","?FAMILIAR",IF(F4697="NEW",IF(ISNA(VLOOKUP(E4697,#REF!,1,FALSE())),"?TYPE_IDENTIFIABLE","?REFERENTIAL"),"_")))))</f>
        <v> </v>
      </c>
      <c r="H4697" s="25" t="str">
        <f>IF(J4697&lt;&gt;1,"",IF(I4697="SBJ","CB","?"))</f>
        <v> </v>
      </c>
      <c r="I4697" s="26" t="str">
        <f>IF(OR(E4697="",E4697="!!!",F4697="NEW"),"",INDEX(B4696:B$2,-1+SUMPRODUCT(MAX(ROW(E4696:E$2)*(E4697=E4696:E$2)))))</f>
        <v> </v>
      </c>
      <c r="J4697" s="26" t="str">
        <f>IF(OR(E4697="",E4697="!!!",F4697="NEW"),"",COUNTBLANK(OFFSET(A$1,,,SUMPRODUCT(MAX(ROW(E$2:E4697)*(E4697=E$2:E4697)))))-COUNTBLANK(OFFSET(A$1,,,SUMPRODUCT(MAX(ROW(E$1:E4696)*(E2=E$1:E4696))))))</f>
        <v> </v>
      </c>
      <c r="K4697" s="26" t="str">
        <f>IF(OR(E4697="",E4697="!!!",F4697="NEW"),"",INDEX(J$1:J4696,SUMPRODUCT(MAX(ROW(E$1:E4696)*(E4697=E$1:E4696)))))</f>
        <v> </v>
      </c>
      <c r="L4697" s="27"/>
    </row>
    <row r="4698" spans="1:12">
      <c r="A4698" s="20" t="s">
        <v>1001</v>
      </c>
      <c r="E4698" s="22">
        <f>IF(D4698="?OLD","!!!","")</f>
        <v/>
      </c>
      <c r="F4698" s="23" t="str">
        <f>IF(OR(E4698="",E4698="!!!"),"",IF(NOT(ISNA(VLOOKUP(E4698,E$1:E4697,1,FALSE()))),"OLD",IF(AND(E4698&lt;&gt;"",E4698&lt;&gt;"!!!"),"NEW","")))</f>
        <v> </v>
      </c>
      <c r="G4698" s="24" t="str">
        <f>IF(OR(E4698="",E4698="!!!"),"",IF(OR(J4698=0,AND(J4698=1,K4698=1),AND(J4698=1,I4698="SBJ"),AND(J4698=1,I4698=0)),"?IN_FOCUS",IF(J4698&lt;=2,"?ACTIVATED",IF(J4698&lt;&gt;"","?FAMILIAR",IF(F4698="NEW",IF(ISNA(VLOOKUP(E4698,#REF!,1,FALSE())),"?TYPE_IDENTIFIABLE","?REFERENTIAL"),"_")))))</f>
        <v> </v>
      </c>
      <c r="H4698" s="25" t="str">
        <f>IF(J4698&lt;&gt;1,"",IF(I4698="SBJ","CB","?"))</f>
        <v> </v>
      </c>
      <c r="I4698" s="26" t="str">
        <f>IF(OR(E4698="",E4698="!!!",F4698="NEW"),"",INDEX(B4697:B$2,-1+SUMPRODUCT(MAX(ROW(E4697:E$2)*(E4698=E4697:E$2)))))</f>
        <v> </v>
      </c>
      <c r="J4698" s="26" t="str">
        <f>IF(OR(E4698="",E4698="!!!",F4698="NEW"),"",COUNTBLANK(OFFSET(A$1,,,SUMPRODUCT(MAX(ROW(E$2:E4698)*(E4698=E$2:E4698)))))-COUNTBLANK(OFFSET(A$1,,,SUMPRODUCT(MAX(ROW(E$1:E4697)*(E2=E$1:E4697))))))</f>
        <v> </v>
      </c>
      <c r="K4698" s="26" t="str">
        <f>IF(OR(E4698="",E4698="!!!",F4698="NEW"),"",INDEX(J$1:J4697,SUMPRODUCT(MAX(ROW(E$1:E4697)*(E4698=E$1:E4697)))))</f>
        <v> </v>
      </c>
      <c r="L4698" s="27"/>
    </row>
    <row r="4699" spans="1:12">
      <c r="A4699" s="20" t="s">
        <v>1034</v>
      </c>
      <c r="E4699" s="22">
        <f>IF(D4699="?OLD","!!!","")</f>
        <v/>
      </c>
      <c r="F4699" s="23" t="str">
        <f>IF(OR(E4699="",E4699="!!!"),"",IF(NOT(ISNA(VLOOKUP(E4699,E$1:E4698,1,FALSE()))),"OLD",IF(AND(E4699&lt;&gt;"",E4699&lt;&gt;"!!!"),"NEW","")))</f>
        <v> </v>
      </c>
      <c r="G4699" s="24" t="str">
        <f>IF(OR(E4699="",E4699="!!!"),"",IF(OR(J4699=0,AND(J4699=1,K4699=1),AND(J4699=1,I4699="SBJ"),AND(J4699=1,I4699=0)),"?IN_FOCUS",IF(J4699&lt;=2,"?ACTIVATED",IF(J4699&lt;&gt;"","?FAMILIAR",IF(F4699="NEW",IF(ISNA(VLOOKUP(E4699,#REF!,1,FALSE())),"?TYPE_IDENTIFIABLE","?REFERENTIAL"),"_")))))</f>
        <v> </v>
      </c>
      <c r="H4699" s="25" t="str">
        <f>IF(J4699&lt;&gt;1,"",IF(I4699="SBJ","CB","?"))</f>
        <v> </v>
      </c>
      <c r="I4699" s="26" t="str">
        <f>IF(OR(E4699="",E4699="!!!",F4699="NEW"),"",INDEX(B4698:B$2,-1+SUMPRODUCT(MAX(ROW(E4698:E$2)*(E4699=E4698:E$2)))))</f>
        <v> </v>
      </c>
      <c r="J4699" s="26" t="str">
        <f>IF(OR(E4699="",E4699="!!!",F4699="NEW"),"",COUNTBLANK(OFFSET(A$1,,,SUMPRODUCT(MAX(ROW(E$2:E4699)*(E4699=E$2:E4699)))))-COUNTBLANK(OFFSET(A$1,,,SUMPRODUCT(MAX(ROW(E$1:E4698)*(E2=E$1:E4698))))))</f>
        <v> </v>
      </c>
      <c r="K4699" s="26" t="str">
        <f>IF(OR(E4699="",E4699="!!!",F4699="NEW"),"",INDEX(J$1:J4698,SUMPRODUCT(MAX(ROW(E$1:E4698)*(E4699=E$1:E4698)))))</f>
        <v> </v>
      </c>
      <c r="L4699" s="27"/>
    </row>
    <row r="4700" spans="1:12">
      <c r="A4700" s="20" t="s">
        <v>1006</v>
      </c>
      <c r="B4700" s="21" t="s">
        <v>975</v>
      </c>
      <c r="C4700" s="21" t="s">
        <v>960</v>
      </c>
      <c r="D4700" s="21" t="s">
        <v>950</v>
      </c>
      <c r="E4700" s="22">
        <f>IF(D4700="?OLD","!!!","")</f>
        <v/>
      </c>
      <c r="F4700" s="23" t="str">
        <f>IF(OR(E4700="",E4700="!!!"),"",IF(NOT(ISNA(VLOOKUP(E4700,E$1:E4699,1,FALSE()))),"OLD",IF(AND(E4700&lt;&gt;"",E4700&lt;&gt;"!!!"),"NEW","")))</f>
        <v> </v>
      </c>
      <c r="G4700" s="24" t="str">
        <f>IF(OR(E4700="",E4700="!!!"),"",IF(OR(J4700=0,AND(J4700=1,K4700=1),AND(J4700=1,I4700="SBJ"),AND(J4700=1,I4700=0)),"?IN_FOCUS",IF(J4700&lt;=2,"?ACTIVATED",IF(J4700&lt;&gt;"","?FAMILIAR",IF(F4700="NEW",IF(ISNA(VLOOKUP(E4700,#REF!,1,FALSE())),"?TYPE_IDENTIFIABLE","?REFERENTIAL"),"_")))))</f>
        <v> </v>
      </c>
      <c r="H4700" s="25" t="str">
        <f>IF(J4700&lt;&gt;1,"",IF(I4700="SBJ","CB","?"))</f>
        <v> </v>
      </c>
      <c r="I4700" s="26" t="str">
        <f>IF(OR(E4700="",E4700="!!!",F4700="NEW"),"",INDEX(B4699:B$2,-1+SUMPRODUCT(MAX(ROW(E4699:E$2)*(E4700=E4699:E$2)))))</f>
        <v> </v>
      </c>
      <c r="J4700" s="26" t="str">
        <f>IF(OR(E4700="",E4700="!!!",F4700="NEW"),"",COUNTBLANK(OFFSET(A$1,,,SUMPRODUCT(MAX(ROW(E$2:E4700)*(E4700=E$2:E4700)))))-COUNTBLANK(OFFSET(A$1,,,SUMPRODUCT(MAX(ROW(E$1:E4699)*(E2=E$1:E4699))))))</f>
        <v> </v>
      </c>
      <c r="K4700" s="26" t="str">
        <f>IF(OR(E4700="",E4700="!!!",F4700="NEW"),"",INDEX(J$1:J4699,SUMPRODUCT(MAX(ROW(E$1:E4699)*(E4700=E$1:E4699)))))</f>
        <v> </v>
      </c>
      <c r="L4700" s="27"/>
    </row>
    <row r="4701" spans="1:12">
      <c r="A4701" s="20" t="s">
        <v>2219</v>
      </c>
      <c r="E4701" s="22">
        <f>IF(D4701="?OLD","!!!","")</f>
        <v/>
      </c>
      <c r="F4701" s="23" t="str">
        <f>IF(OR(E4701="",E4701="!!!"),"",IF(NOT(ISNA(VLOOKUP(E4701,E$1:E4700,1,FALSE()))),"OLD",IF(AND(E4701&lt;&gt;"",E4701&lt;&gt;"!!!"),"NEW","")))</f>
        <v> </v>
      </c>
      <c r="G4701" s="24" t="str">
        <f>IF(OR(E4701="",E4701="!!!"),"",IF(OR(J4701=0,AND(J4701=1,K4701=1),AND(J4701=1,I4701="SBJ"),AND(J4701=1,I4701=0)),"?IN_FOCUS",IF(J4701&lt;=2,"?ACTIVATED",IF(J4701&lt;&gt;"","?FAMILIAR",IF(F4701="NEW",IF(ISNA(VLOOKUP(E4701,#REF!,1,FALSE())),"?TYPE_IDENTIFIABLE","?REFERENTIAL"),"_")))))</f>
        <v> </v>
      </c>
      <c r="H4701" s="25" t="str">
        <f>IF(J4701&lt;&gt;1,"",IF(I4701="SBJ","CB","?"))</f>
        <v> </v>
      </c>
      <c r="I4701" s="26" t="str">
        <f>IF(OR(E4701="",E4701="!!!",F4701="NEW"),"",INDEX(B4700:B$2,-1+SUMPRODUCT(MAX(ROW(E4700:E$2)*(E4701=E4700:E$2)))))</f>
        <v> </v>
      </c>
      <c r="J4701" s="26" t="str">
        <f>IF(OR(E4701="",E4701="!!!",F4701="NEW"),"",COUNTBLANK(OFFSET(A$1,,,SUMPRODUCT(MAX(ROW(E$2:E4701)*(E4701=E$2:E4701)))))-COUNTBLANK(OFFSET(A$1,,,SUMPRODUCT(MAX(ROW(E$1:E4700)*(E2=E$1:E4700))))))</f>
        <v> </v>
      </c>
      <c r="K4701" s="26" t="str">
        <f>IF(OR(E4701="",E4701="!!!",F4701="NEW"),"",INDEX(J$1:J4700,SUMPRODUCT(MAX(ROW(E$1:E4700)*(E4701=E$1:E4700)))))</f>
        <v> </v>
      </c>
      <c r="L4701" s="27"/>
    </row>
    <row r="4702" spans="1:12">
      <c r="A4702" s="20" t="s">
        <v>1000</v>
      </c>
      <c r="E4702" s="22">
        <f>IF(D4702="?OLD","!!!","")</f>
        <v/>
      </c>
      <c r="F4702" s="23" t="str">
        <f>IF(OR(E4702="",E4702="!!!"),"",IF(NOT(ISNA(VLOOKUP(E4702,E$1:E4701,1,FALSE()))),"OLD",IF(AND(E4702&lt;&gt;"",E4702&lt;&gt;"!!!"),"NEW","")))</f>
        <v> </v>
      </c>
      <c r="G4702" s="24" t="str">
        <f>IF(OR(E4702="",E4702="!!!"),"",IF(OR(J4702=0,AND(J4702=1,K4702=1),AND(J4702=1,I4702="SBJ"),AND(J4702=1,I4702=0)),"?IN_FOCUS",IF(J4702&lt;=2,"?ACTIVATED",IF(J4702&lt;&gt;"","?FAMILIAR",IF(F4702="NEW",IF(ISNA(VLOOKUP(E4702,#REF!,1,FALSE())),"?TYPE_IDENTIFIABLE","?REFERENTIAL"),"_")))))</f>
        <v> </v>
      </c>
      <c r="H4702" s="25" t="str">
        <f>IF(J4702&lt;&gt;1,"",IF(I4702="SBJ","CB","?"))</f>
        <v> </v>
      </c>
      <c r="I4702" s="26" t="str">
        <f>IF(OR(E4702="",E4702="!!!",F4702="NEW"),"",INDEX(B4701:B$2,-1+SUMPRODUCT(MAX(ROW(E4701:E$2)*(E4702=E4701:E$2)))))</f>
        <v> </v>
      </c>
      <c r="J4702" s="26" t="str">
        <f>IF(OR(E4702="",E4702="!!!",F4702="NEW"),"",COUNTBLANK(OFFSET(A$1,,,SUMPRODUCT(MAX(ROW(E$2:E4702)*(E4702=E$2:E4702)))))-COUNTBLANK(OFFSET(A$1,,,SUMPRODUCT(MAX(ROW(E$1:E4701)*(E2=E$1:E4701))))))</f>
        <v> </v>
      </c>
      <c r="K4702" s="26" t="str">
        <f>IF(OR(E4702="",E4702="!!!",F4702="NEW"),"",INDEX(J$1:J4701,SUMPRODUCT(MAX(ROW(E$1:E4701)*(E4702=E$1:E4701)))))</f>
        <v> </v>
      </c>
      <c r="L4702" s="27"/>
    </row>
    <row r="4703" spans="1:12">
      <c r="A4703" s="20" t="s">
        <v>1001</v>
      </c>
      <c r="E4703" s="22">
        <f>IF(D4703="?OLD","!!!","")</f>
        <v/>
      </c>
      <c r="F4703" s="23" t="str">
        <f>IF(OR(E4703="",E4703="!!!"),"",IF(NOT(ISNA(VLOOKUP(E4703,E$1:E4702,1,FALSE()))),"OLD",IF(AND(E4703&lt;&gt;"",E4703&lt;&gt;"!!!"),"NEW","")))</f>
        <v> </v>
      </c>
      <c r="G4703" s="24" t="str">
        <f>IF(OR(E4703="",E4703="!!!"),"",IF(OR(J4703=0,AND(J4703=1,K4703=1),AND(J4703=1,I4703="SBJ"),AND(J4703=1,I4703=0)),"?IN_FOCUS",IF(J4703&lt;=2,"?ACTIVATED",IF(J4703&lt;&gt;"","?FAMILIAR",IF(F4703="NEW",IF(ISNA(VLOOKUP(E4703,#REF!,1,FALSE())),"?TYPE_IDENTIFIABLE","?REFERENTIAL"),"_")))))</f>
        <v> </v>
      </c>
      <c r="H4703" s="25" t="str">
        <f>IF(J4703&lt;&gt;1,"",IF(I4703="SBJ","CB","?"))</f>
        <v> </v>
      </c>
      <c r="I4703" s="26" t="str">
        <f>IF(OR(E4703="",E4703="!!!",F4703="NEW"),"",INDEX(B4702:B$2,-1+SUMPRODUCT(MAX(ROW(E4702:E$2)*(E4703=E4702:E$2)))))</f>
        <v> </v>
      </c>
      <c r="J4703" s="26" t="str">
        <f>IF(OR(E4703="",E4703="!!!",F4703="NEW"),"",COUNTBLANK(OFFSET(A$1,,,SUMPRODUCT(MAX(ROW(E$2:E4703)*(E4703=E$2:E4703)))))-COUNTBLANK(OFFSET(A$1,,,SUMPRODUCT(MAX(ROW(E$1:E4702)*(E2=E$1:E4702))))))</f>
        <v> </v>
      </c>
      <c r="K4703" s="26" t="str">
        <f>IF(OR(E4703="",E4703="!!!",F4703="NEW"),"",INDEX(J$1:J4702,SUMPRODUCT(MAX(ROW(E$1:E4702)*(E4703=E$1:E4702)))))</f>
        <v> </v>
      </c>
      <c r="L4703" s="27"/>
    </row>
    <row r="4704" spans="1:12">
      <c r="A4704" s="20" t="s">
        <v>1034</v>
      </c>
      <c r="E4704" s="22">
        <f>IF(D4704="?OLD","!!!","")</f>
        <v/>
      </c>
      <c r="F4704" s="23" t="str">
        <f>IF(OR(E4704="",E4704="!!!"),"",IF(NOT(ISNA(VLOOKUP(E4704,E$1:E4703,1,FALSE()))),"OLD",IF(AND(E4704&lt;&gt;"",E4704&lt;&gt;"!!!"),"NEW","")))</f>
        <v> </v>
      </c>
      <c r="G4704" s="24" t="str">
        <f>IF(OR(E4704="",E4704="!!!"),"",IF(OR(J4704=0,AND(J4704=1,K4704=1),AND(J4704=1,I4704="SBJ"),AND(J4704=1,I4704=0)),"?IN_FOCUS",IF(J4704&lt;=2,"?ACTIVATED",IF(J4704&lt;&gt;"","?FAMILIAR",IF(F4704="NEW",IF(ISNA(VLOOKUP(E4704,#REF!,1,FALSE())),"?TYPE_IDENTIFIABLE","?REFERENTIAL"),"_")))))</f>
        <v> </v>
      </c>
      <c r="H4704" s="25" t="str">
        <f>IF(J4704&lt;&gt;1,"",IF(I4704="SBJ","CB","?"))</f>
        <v> </v>
      </c>
      <c r="I4704" s="26" t="str">
        <f>IF(OR(E4704="",E4704="!!!",F4704="NEW"),"",INDEX(B4703:B$2,-1+SUMPRODUCT(MAX(ROW(E4703:E$2)*(E4704=E4703:E$2)))))</f>
        <v> </v>
      </c>
      <c r="J4704" s="26" t="str">
        <f>IF(OR(E4704="",E4704="!!!",F4704="NEW"),"",COUNTBLANK(OFFSET(A$1,,,SUMPRODUCT(MAX(ROW(E$2:E4704)*(E4704=E$2:E4704)))))-COUNTBLANK(OFFSET(A$1,,,SUMPRODUCT(MAX(ROW(E$1:E4703)*(E2=E$1:E4703))))))</f>
        <v> </v>
      </c>
      <c r="K4704" s="26" t="str">
        <f>IF(OR(E4704="",E4704="!!!",F4704="NEW"),"",INDEX(J$1:J4703,SUMPRODUCT(MAX(ROW(E$1:E4703)*(E4704=E$1:E4703)))))</f>
        <v> </v>
      </c>
      <c r="L4704" s="27"/>
    </row>
    <row r="4705" spans="1:12">
      <c r="A4705" s="20" t="s">
        <v>2220</v>
      </c>
      <c r="E4705" s="22">
        <f>IF(D4705="?OLD","!!!","")</f>
        <v/>
      </c>
      <c r="F4705" s="23" t="str">
        <f>IF(OR(E4705="",E4705="!!!"),"",IF(NOT(ISNA(VLOOKUP(E4705,E$1:E4704,1,FALSE()))),"OLD",IF(AND(E4705&lt;&gt;"",E4705&lt;&gt;"!!!"),"NEW","")))</f>
        <v> </v>
      </c>
      <c r="G4705" s="24" t="str">
        <f>IF(OR(E4705="",E4705="!!!"),"",IF(OR(J4705=0,AND(J4705=1,K4705=1),AND(J4705=1,I4705="SBJ"),AND(J4705=1,I4705=0)),"?IN_FOCUS",IF(J4705&lt;=2,"?ACTIVATED",IF(J4705&lt;&gt;"","?FAMILIAR",IF(F4705="NEW",IF(ISNA(VLOOKUP(E4705,#REF!,1,FALSE())),"?TYPE_IDENTIFIABLE","?REFERENTIAL"),"_")))))</f>
        <v> </v>
      </c>
      <c r="H4705" s="25" t="str">
        <f>IF(J4705&lt;&gt;1,"",IF(I4705="SBJ","CB","?"))</f>
        <v> </v>
      </c>
      <c r="I4705" s="26" t="str">
        <f>IF(OR(E4705="",E4705="!!!",F4705="NEW"),"",INDEX(B4704:B$2,-1+SUMPRODUCT(MAX(ROW(E4704:E$2)*(E4705=E4704:E$2)))))</f>
        <v> </v>
      </c>
      <c r="J4705" s="26" t="str">
        <f>IF(OR(E4705="",E4705="!!!",F4705="NEW"),"",COUNTBLANK(OFFSET(A$1,,,SUMPRODUCT(MAX(ROW(E$2:E4705)*(E4705=E$2:E4705)))))-COUNTBLANK(OFFSET(A$1,,,SUMPRODUCT(MAX(ROW(E$1:E4704)*(E2=E$1:E4704))))))</f>
        <v> </v>
      </c>
      <c r="K4705" s="26" t="str">
        <f>IF(OR(E4705="",E4705="!!!",F4705="NEW"),"",INDEX(J$1:J4704,SUMPRODUCT(MAX(ROW(E$1:E4704)*(E4705=E$1:E4704)))))</f>
        <v> </v>
      </c>
      <c r="L4705" s="27"/>
    </row>
    <row r="4706" spans="1:12">
      <c r="A4706" s="20" t="s">
        <v>1022</v>
      </c>
      <c r="E4706" s="22">
        <f>IF(D4706="?OLD","!!!","")</f>
        <v/>
      </c>
      <c r="F4706" s="23" t="str">
        <f>IF(OR(E4706="",E4706="!!!"),"",IF(NOT(ISNA(VLOOKUP(E4706,E$1:E4705,1,FALSE()))),"OLD",IF(AND(E4706&lt;&gt;"",E4706&lt;&gt;"!!!"),"NEW","")))</f>
        <v> </v>
      </c>
      <c r="G4706" s="24" t="str">
        <f>IF(OR(E4706="",E4706="!!!"),"",IF(OR(J4706=0,AND(J4706=1,K4706=1),AND(J4706=1,I4706="SBJ"),AND(J4706=1,I4706=0)),"?IN_FOCUS",IF(J4706&lt;=2,"?ACTIVATED",IF(J4706&lt;&gt;"","?FAMILIAR",IF(F4706="NEW",IF(ISNA(VLOOKUP(E4706,#REF!,1,FALSE())),"?TYPE_IDENTIFIABLE","?REFERENTIAL"),"_")))))</f>
        <v> </v>
      </c>
      <c r="H4706" s="25" t="str">
        <f>IF(J4706&lt;&gt;1,"",IF(I4706="SBJ","CB","?"))</f>
        <v> </v>
      </c>
      <c r="I4706" s="26" t="str">
        <f>IF(OR(E4706="",E4706="!!!",F4706="NEW"),"",INDEX(B4705:B$2,-1+SUMPRODUCT(MAX(ROW(E4705:E$2)*(E4706=E4705:E$2)))))</f>
        <v> </v>
      </c>
      <c r="J4706" s="26" t="str">
        <f>IF(OR(E4706="",E4706="!!!",F4706="NEW"),"",COUNTBLANK(OFFSET(A$1,,,SUMPRODUCT(MAX(ROW(E$2:E4706)*(E4706=E$2:E4706)))))-COUNTBLANK(OFFSET(A$1,,,SUMPRODUCT(MAX(ROW(E$1:E4705)*(E2=E$1:E4705))))))</f>
        <v> </v>
      </c>
      <c r="K4706" s="26" t="str">
        <f>IF(OR(E4706="",E4706="!!!",F4706="NEW"),"",INDEX(J$1:J4705,SUMPRODUCT(MAX(ROW(E$1:E4705)*(E4706=E$1:E4705)))))</f>
        <v> </v>
      </c>
      <c r="L4706" s="27"/>
    </row>
    <row r="4707" spans="1:12">
      <c r="A4707" s="20" t="s">
        <v>1078</v>
      </c>
      <c r="B4707" s="21" t="s">
        <v>982</v>
      </c>
      <c r="C4707" s="21" t="s">
        <v>1029</v>
      </c>
      <c r="D4707" s="21" t="s">
        <v>950</v>
      </c>
      <c r="E4707" s="22">
        <f>IF(D4707="?OLD","!!!","")</f>
        <v/>
      </c>
      <c r="F4707" s="23" t="str">
        <f>IF(OR(E4707="",E4707="!!!"),"",IF(NOT(ISNA(VLOOKUP(E4707,E$1:E4706,1,FALSE()))),"OLD",IF(AND(E4707&lt;&gt;"",E4707&lt;&gt;"!!!"),"NEW","")))</f>
        <v> </v>
      </c>
      <c r="G4707" s="24" t="str">
        <f>IF(OR(E4707="",E4707="!!!"),"",IF(OR(J4707=0,AND(J4707=1,K4707=1),AND(J4707=1,I4707="SBJ"),AND(J4707=1,I4707=0)),"?IN_FOCUS",IF(J4707&lt;=2,"?ACTIVATED",IF(J4707&lt;&gt;"","?FAMILIAR",IF(F4707="NEW",IF(ISNA(VLOOKUP(E4707,#REF!,1,FALSE())),"?TYPE_IDENTIFIABLE","?REFERENTIAL"),"_")))))</f>
        <v> </v>
      </c>
      <c r="H4707" s="25" t="str">
        <f>IF(J4707&lt;&gt;1,"",IF(I4707="SBJ","CB","?"))</f>
        <v> </v>
      </c>
      <c r="I4707" s="26" t="str">
        <f>IF(OR(E4707="",E4707="!!!",F4707="NEW"),"",INDEX(B4706:B$2,-1+SUMPRODUCT(MAX(ROW(E4706:E$2)*(E4707=E4706:E$2)))))</f>
        <v> </v>
      </c>
      <c r="J4707" s="26" t="str">
        <f>IF(OR(E4707="",E4707="!!!",F4707="NEW"),"",COUNTBLANK(OFFSET(A$1,,,SUMPRODUCT(MAX(ROW(E$2:E4707)*(E4707=E$2:E4707)))))-COUNTBLANK(OFFSET(A$1,,,SUMPRODUCT(MAX(ROW(E$1:E4706)*(E2=E$1:E4706))))))</f>
        <v> </v>
      </c>
      <c r="K4707" s="26" t="str">
        <f>IF(OR(E4707="",E4707="!!!",F4707="NEW"),"",INDEX(J$1:J4706,SUMPRODUCT(MAX(ROW(E$1:E4706)*(E4707=E$1:E4706)))))</f>
        <v> </v>
      </c>
      <c r="L4707" s="27"/>
    </row>
    <row r="4708" spans="1:12">
      <c r="A4708" s="20" t="s">
        <v>2221</v>
      </c>
      <c r="B4708" s="21" t="s">
        <v>1005</v>
      </c>
      <c r="C4708" s="21" t="s">
        <v>1032</v>
      </c>
      <c r="D4708" s="21" t="s">
        <v>950</v>
      </c>
      <c r="E4708" s="22">
        <f>IF(D4708="?OLD","!!!","")</f>
        <v/>
      </c>
      <c r="F4708" s="23" t="str">
        <f>IF(OR(E4708="",E4708="!!!"),"",IF(NOT(ISNA(VLOOKUP(E4708,E$1:E4707,1,FALSE()))),"OLD",IF(AND(E4708&lt;&gt;"",E4708&lt;&gt;"!!!"),"NEW","")))</f>
        <v> </v>
      </c>
      <c r="G4708" s="24" t="str">
        <f>IF(OR(E4708="",E4708="!!!"),"",IF(OR(J4708=0,AND(J4708=1,K4708=1),AND(J4708=1,I4708="SBJ"),AND(J4708=1,I4708=0)),"?IN_FOCUS",IF(J4708&lt;=2,"?ACTIVATED",IF(J4708&lt;&gt;"","?FAMILIAR",IF(F4708="NEW",IF(ISNA(VLOOKUP(E4708,#REF!,1,FALSE())),"?TYPE_IDENTIFIABLE","?REFERENTIAL"),"_")))))</f>
        <v> </v>
      </c>
      <c r="H4708" s="25" t="str">
        <f>IF(J4708&lt;&gt;1,"",IF(I4708="SBJ","CB","?"))</f>
        <v> </v>
      </c>
      <c r="I4708" s="26" t="str">
        <f>IF(OR(E4708="",E4708="!!!",F4708="NEW"),"",INDEX(B4707:B$2,-1+SUMPRODUCT(MAX(ROW(E4707:E$2)*(E4708=E4707:E$2)))))</f>
        <v> </v>
      </c>
      <c r="J4708" s="26" t="str">
        <f>IF(OR(E4708="",E4708="!!!",F4708="NEW"),"",COUNTBLANK(OFFSET(A$1,,,SUMPRODUCT(MAX(ROW(E$2:E4708)*(E4708=E$2:E4708)))))-COUNTBLANK(OFFSET(A$1,,,SUMPRODUCT(MAX(ROW(E$1:E4707)*(E2=E$1:E4707))))))</f>
        <v> </v>
      </c>
      <c r="K4708" s="26" t="str">
        <f>IF(OR(E4708="",E4708="!!!",F4708="NEW"),"",INDEX(J$1:J4707,SUMPRODUCT(MAX(ROW(E$1:E4707)*(E4708=E$1:E4707)))))</f>
        <v> </v>
      </c>
      <c r="L4708" s="27"/>
    </row>
    <row r="4709" spans="1:12">
      <c r="A4709" s="20" t="s">
        <v>1000</v>
      </c>
      <c r="E4709" s="22">
        <f>IF(D4709="?OLD","!!!","")</f>
        <v/>
      </c>
      <c r="F4709" s="23" t="str">
        <f>IF(OR(E4709="",E4709="!!!"),"",IF(NOT(ISNA(VLOOKUP(E4709,E$1:E4708,1,FALSE()))),"OLD",IF(AND(E4709&lt;&gt;"",E4709&lt;&gt;"!!!"),"NEW","")))</f>
        <v> </v>
      </c>
      <c r="G4709" s="24" t="str">
        <f>IF(OR(E4709="",E4709="!!!"),"",IF(OR(J4709=0,AND(J4709=1,K4709=1),AND(J4709=1,I4709="SBJ"),AND(J4709=1,I4709=0)),"?IN_FOCUS",IF(J4709&lt;=2,"?ACTIVATED",IF(J4709&lt;&gt;"","?FAMILIAR",IF(F4709="NEW",IF(ISNA(VLOOKUP(E4709,#REF!,1,FALSE())),"?TYPE_IDENTIFIABLE","?REFERENTIAL"),"_")))))</f>
        <v> </v>
      </c>
      <c r="H4709" s="25" t="str">
        <f>IF(J4709&lt;&gt;1,"",IF(I4709="SBJ","CB","?"))</f>
        <v> </v>
      </c>
      <c r="I4709" s="26" t="str">
        <f>IF(OR(E4709="",E4709="!!!",F4709="NEW"),"",INDEX(B4708:B$2,-1+SUMPRODUCT(MAX(ROW(E4708:E$2)*(E4709=E4708:E$2)))))</f>
        <v> </v>
      </c>
      <c r="J4709" s="26" t="str">
        <f>IF(OR(E4709="",E4709="!!!",F4709="NEW"),"",COUNTBLANK(OFFSET(A$1,,,SUMPRODUCT(MAX(ROW(E$2:E4709)*(E4709=E$2:E4709)))))-COUNTBLANK(OFFSET(A$1,,,SUMPRODUCT(MAX(ROW(E$1:E4708)*(E2=E$1:E4708))))))</f>
        <v> </v>
      </c>
      <c r="K4709" s="26" t="str">
        <f>IF(OR(E4709="",E4709="!!!",F4709="NEW"),"",INDEX(J$1:J4708,SUMPRODUCT(MAX(ROW(E$1:E4708)*(E4709=E$1:E4708)))))</f>
        <v> </v>
      </c>
      <c r="L4709" s="27"/>
    </row>
    <row r="4710" spans="1:12">
      <c r="A4710" s="20" t="s">
        <v>1022</v>
      </c>
      <c r="E4710" s="22">
        <f>IF(D4710="?OLD","!!!","")</f>
        <v/>
      </c>
      <c r="F4710" s="23" t="str">
        <f>IF(OR(E4710="",E4710="!!!"),"",IF(NOT(ISNA(VLOOKUP(E4710,E$1:E4709,1,FALSE()))),"OLD",IF(AND(E4710&lt;&gt;"",E4710&lt;&gt;"!!!"),"NEW","")))</f>
        <v> </v>
      </c>
      <c r="G4710" s="24" t="str">
        <f>IF(OR(E4710="",E4710="!!!"),"",IF(OR(J4710=0,AND(J4710=1,K4710=1),AND(J4710=1,I4710="SBJ"),AND(J4710=1,I4710=0)),"?IN_FOCUS",IF(J4710&lt;=2,"?ACTIVATED",IF(J4710&lt;&gt;"","?FAMILIAR",IF(F4710="NEW",IF(ISNA(VLOOKUP(E4710,#REF!,1,FALSE())),"?TYPE_IDENTIFIABLE","?REFERENTIAL"),"_")))))</f>
        <v> </v>
      </c>
      <c r="H4710" s="25" t="str">
        <f>IF(J4710&lt;&gt;1,"",IF(I4710="SBJ","CB","?"))</f>
        <v> </v>
      </c>
      <c r="I4710" s="26" t="str">
        <f>IF(OR(E4710="",E4710="!!!",F4710="NEW"),"",INDEX(B4709:B$2,-1+SUMPRODUCT(MAX(ROW(E4709:E$2)*(E4710=E4709:E$2)))))</f>
        <v> </v>
      </c>
      <c r="J4710" s="26" t="str">
        <f>IF(OR(E4710="",E4710="!!!",F4710="NEW"),"",COUNTBLANK(OFFSET(A$1,,,SUMPRODUCT(MAX(ROW(E$2:E4710)*(E4710=E$2:E4710)))))-COUNTBLANK(OFFSET(A$1,,,SUMPRODUCT(MAX(ROW(E$1:E4709)*(E2=E$1:E4709))))))</f>
        <v> </v>
      </c>
      <c r="K4710" s="26" t="str">
        <f>IF(OR(E4710="",E4710="!!!",F4710="NEW"),"",INDEX(J$1:J4709,SUMPRODUCT(MAX(ROW(E$1:E4709)*(E4710=E$1:E4709)))))</f>
        <v> </v>
      </c>
      <c r="L4710" s="27"/>
    </row>
    <row r="4711" spans="1:12">
      <c r="A4711" s="20" t="s">
        <v>1078</v>
      </c>
      <c r="B4711" s="21" t="s">
        <v>1031</v>
      </c>
      <c r="C4711" s="21" t="s">
        <v>1029</v>
      </c>
      <c r="D4711" s="21" t="s">
        <v>950</v>
      </c>
      <c r="E4711" s="22">
        <f>IF(D4711="?OLD","!!!","")</f>
        <v/>
      </c>
      <c r="F4711" s="23" t="str">
        <f>IF(OR(E4711="",E4711="!!!"),"",IF(NOT(ISNA(VLOOKUP(E4711,E$1:E4710,1,FALSE()))),"OLD",IF(AND(E4711&lt;&gt;"",E4711&lt;&gt;"!!!"),"NEW","")))</f>
        <v> </v>
      </c>
      <c r="G4711" s="24" t="str">
        <f>IF(OR(E4711="",E4711="!!!"),"",IF(OR(J4711=0,AND(J4711=1,K4711=1),AND(J4711=1,I4711="SBJ"),AND(J4711=1,I4711=0)),"?IN_FOCUS",IF(J4711&lt;=2,"?ACTIVATED",IF(J4711&lt;&gt;"","?FAMILIAR",IF(F4711="NEW",IF(ISNA(VLOOKUP(E4711,#REF!,1,FALSE())),"?TYPE_IDENTIFIABLE","?REFERENTIAL"),"_")))))</f>
        <v> </v>
      </c>
      <c r="H4711" s="25" t="str">
        <f>IF(J4711&lt;&gt;1,"",IF(I4711="SBJ","CB","?"))</f>
        <v> </v>
      </c>
      <c r="I4711" s="26" t="str">
        <f>IF(OR(E4711="",E4711="!!!",F4711="NEW"),"",INDEX(B4710:B$2,-1+SUMPRODUCT(MAX(ROW(E4710:E$2)*(E4711=E4710:E$2)))))</f>
        <v> </v>
      </c>
      <c r="J4711" s="26" t="str">
        <f>IF(OR(E4711="",E4711="!!!",F4711="NEW"),"",COUNTBLANK(OFFSET(A$1,,,SUMPRODUCT(MAX(ROW(E$2:E4711)*(E4711=E$2:E4711)))))-COUNTBLANK(OFFSET(A$1,,,SUMPRODUCT(MAX(ROW(E$1:E4710)*(E2=E$1:E4710))))))</f>
        <v> </v>
      </c>
      <c r="K4711" s="26" t="str">
        <f>IF(OR(E4711="",E4711="!!!",F4711="NEW"),"",INDEX(J$1:J4710,SUMPRODUCT(MAX(ROW(E$1:E4710)*(E4711=E$1:E4710)))))</f>
        <v> </v>
      </c>
      <c r="L4711" s="27"/>
    </row>
    <row r="4712" spans="1:12">
      <c r="A4712" s="20" t="s">
        <v>2221</v>
      </c>
      <c r="B4712" s="21" t="s">
        <v>959</v>
      </c>
      <c r="C4712" s="21" t="s">
        <v>1032</v>
      </c>
      <c r="D4712" s="21" t="s">
        <v>950</v>
      </c>
      <c r="E4712" s="22">
        <f>IF(D4712="?OLD","!!!","")</f>
        <v/>
      </c>
      <c r="F4712" s="23" t="str">
        <f>IF(OR(E4712="",E4712="!!!"),"",IF(NOT(ISNA(VLOOKUP(E4712,E$1:E4711,1,FALSE()))),"OLD",IF(AND(E4712&lt;&gt;"",E4712&lt;&gt;"!!!"),"NEW","")))</f>
        <v> </v>
      </c>
      <c r="G4712" s="24" t="str">
        <f>IF(OR(E4712="",E4712="!!!"),"",IF(OR(J4712=0,AND(J4712=1,K4712=1),AND(J4712=1,I4712="SBJ"),AND(J4712=1,I4712=0)),"?IN_FOCUS",IF(J4712&lt;=2,"?ACTIVATED",IF(J4712&lt;&gt;"","?FAMILIAR",IF(F4712="NEW",IF(ISNA(VLOOKUP(E4712,#REF!,1,FALSE())),"?TYPE_IDENTIFIABLE","?REFERENTIAL"),"_")))))</f>
        <v> </v>
      </c>
      <c r="H4712" s="25" t="str">
        <f>IF(J4712&lt;&gt;1,"",IF(I4712="SBJ","CB","?"))</f>
        <v> </v>
      </c>
      <c r="I4712" s="26" t="str">
        <f>IF(OR(E4712="",E4712="!!!",F4712="NEW"),"",INDEX(B4711:B$2,-1+SUMPRODUCT(MAX(ROW(E4711:E$2)*(E4712=E4711:E$2)))))</f>
        <v> </v>
      </c>
      <c r="J4712" s="26" t="str">
        <f>IF(OR(E4712="",E4712="!!!",F4712="NEW"),"",COUNTBLANK(OFFSET(A$1,,,SUMPRODUCT(MAX(ROW(E$2:E4712)*(E4712=E$2:E4712)))))-COUNTBLANK(OFFSET(A$1,,,SUMPRODUCT(MAX(ROW(E$1:E4711)*(E2=E$1:E4711))))))</f>
        <v> </v>
      </c>
      <c r="K4712" s="26" t="str">
        <f>IF(OR(E4712="",E4712="!!!",F4712="NEW"),"",INDEX(J$1:J4711,SUMPRODUCT(MAX(ROW(E$1:E4711)*(E4712=E$1:E4711)))))</f>
        <v> </v>
      </c>
      <c r="L4712" s="27"/>
    </row>
    <row r="4713" spans="1:12">
      <c r="A4713" s="20" t="s">
        <v>1022</v>
      </c>
      <c r="E4713" s="22">
        <f>IF(D4713="?OLD","!!!","")</f>
        <v/>
      </c>
      <c r="F4713" s="23" t="str">
        <f>IF(OR(E4713="",E4713="!!!"),"",IF(NOT(ISNA(VLOOKUP(E4713,E$1:E4712,1,FALSE()))),"OLD",IF(AND(E4713&lt;&gt;"",E4713&lt;&gt;"!!!"),"NEW","")))</f>
        <v> </v>
      </c>
      <c r="G4713" s="24" t="str">
        <f>IF(OR(E4713="",E4713="!!!"),"",IF(OR(J4713=0,AND(J4713=1,K4713=1),AND(J4713=1,I4713="SBJ"),AND(J4713=1,I4713=0)),"?IN_FOCUS",IF(J4713&lt;=2,"?ACTIVATED",IF(J4713&lt;&gt;"","?FAMILIAR",IF(F4713="NEW",IF(ISNA(VLOOKUP(E4713,#REF!,1,FALSE())),"?TYPE_IDENTIFIABLE","?REFERENTIAL"),"_")))))</f>
        <v> </v>
      </c>
      <c r="H4713" s="25" t="str">
        <f>IF(J4713&lt;&gt;1,"",IF(I4713="SBJ","CB","?"))</f>
        <v> </v>
      </c>
      <c r="I4713" s="26" t="str">
        <f>IF(OR(E4713="",E4713="!!!",F4713="NEW"),"",INDEX(B4712:B$2,-1+SUMPRODUCT(MAX(ROW(E4712:E$2)*(E4713=E4712:E$2)))))</f>
        <v> </v>
      </c>
      <c r="J4713" s="26" t="str">
        <f>IF(OR(E4713="",E4713="!!!",F4713="NEW"),"",COUNTBLANK(OFFSET(A$1,,,SUMPRODUCT(MAX(ROW(E$2:E4713)*(E4713=E$2:E4713)))))-COUNTBLANK(OFFSET(A$1,,,SUMPRODUCT(MAX(ROW(E$1:E4712)*(E2=E$1:E4712))))))</f>
        <v> </v>
      </c>
      <c r="K4713" s="26" t="str">
        <f>IF(OR(E4713="",E4713="!!!",F4713="NEW"),"",INDEX(J$1:J4712,SUMPRODUCT(MAX(ROW(E$1:E4712)*(E4713=E$1:E4712)))))</f>
        <v> </v>
      </c>
      <c r="L4713" s="27"/>
    </row>
    <row r="4714" spans="1:12">
      <c r="A4714" s="20" t="s">
        <v>2218</v>
      </c>
      <c r="E4714" s="22">
        <f>IF(D4714="?OLD","!!!","")</f>
        <v/>
      </c>
      <c r="F4714" s="23" t="str">
        <f>IF(OR(E4714="",E4714="!!!"),"",IF(NOT(ISNA(VLOOKUP(E4714,E$1:E4713,1,FALSE()))),"OLD",IF(AND(E4714&lt;&gt;"",E4714&lt;&gt;"!!!"),"NEW","")))</f>
        <v> </v>
      </c>
      <c r="G4714" s="24" t="str">
        <f>IF(OR(E4714="",E4714="!!!"),"",IF(OR(J4714=0,AND(J4714=1,K4714=1),AND(J4714=1,I4714="SBJ"),AND(J4714=1,I4714=0)),"?IN_FOCUS",IF(J4714&lt;=2,"?ACTIVATED",IF(J4714&lt;&gt;"","?FAMILIAR",IF(F4714="NEW",IF(ISNA(VLOOKUP(E4714,#REF!,1,FALSE())),"?TYPE_IDENTIFIABLE","?REFERENTIAL"),"_")))))</f>
        <v> </v>
      </c>
      <c r="H4714" s="25" t="str">
        <f>IF(J4714&lt;&gt;1,"",IF(I4714="SBJ","CB","?"))</f>
        <v> </v>
      </c>
      <c r="I4714" s="26" t="str">
        <f>IF(OR(E4714="",E4714="!!!",F4714="NEW"),"",INDEX(B4713:B$2,-1+SUMPRODUCT(MAX(ROW(E4713:E$2)*(E4714=E4713:E$2)))))</f>
        <v> </v>
      </c>
      <c r="J4714" s="26" t="str">
        <f>IF(OR(E4714="",E4714="!!!",F4714="NEW"),"",COUNTBLANK(OFFSET(A$1,,,SUMPRODUCT(MAX(ROW(E$2:E4714)*(E4714=E$2:E4714)))))-COUNTBLANK(OFFSET(A$1,,,SUMPRODUCT(MAX(ROW(E$1:E4713)*(E2=E$1:E4713))))))</f>
        <v> </v>
      </c>
      <c r="K4714" s="26" t="str">
        <f>IF(OR(E4714="",E4714="!!!",F4714="NEW"),"",INDEX(J$1:J4713,SUMPRODUCT(MAX(ROW(E$1:E4713)*(E4714=E$1:E4713)))))</f>
        <v> </v>
      </c>
      <c r="L4714" s="27"/>
    </row>
    <row r="4715" spans="1:12">
      <c r="A4715" s="20" t="s">
        <v>1180</v>
      </c>
      <c r="E4715" s="22">
        <f>IF(D4715="?OLD","!!!","")</f>
        <v/>
      </c>
      <c r="F4715" s="23" t="str">
        <f>IF(OR(E4715="",E4715="!!!"),"",IF(NOT(ISNA(VLOOKUP(E4715,E$1:E4714,1,FALSE()))),"OLD",IF(AND(E4715&lt;&gt;"",E4715&lt;&gt;"!!!"),"NEW","")))</f>
        <v> </v>
      </c>
      <c r="G4715" s="24" t="str">
        <f>IF(OR(E4715="",E4715="!!!"),"",IF(OR(J4715=0,AND(J4715=1,K4715=1),AND(J4715=1,I4715="SBJ"),AND(J4715=1,I4715=0)),"?IN_FOCUS",IF(J4715&lt;=2,"?ACTIVATED",IF(J4715&lt;&gt;"","?FAMILIAR",IF(F4715="NEW",IF(ISNA(VLOOKUP(E4715,#REF!,1,FALSE())),"?TYPE_IDENTIFIABLE","?REFERENTIAL"),"_")))))</f>
        <v> </v>
      </c>
      <c r="H4715" s="25" t="str">
        <f>IF(J4715&lt;&gt;1,"",IF(I4715="SBJ","CB","?"))</f>
        <v> </v>
      </c>
      <c r="I4715" s="26" t="str">
        <f>IF(OR(E4715="",E4715="!!!",F4715="NEW"),"",INDEX(B4714:B$2,-1+SUMPRODUCT(MAX(ROW(E4714:E$2)*(E4715=E4714:E$2)))))</f>
        <v> </v>
      </c>
      <c r="J4715" s="26" t="str">
        <f>IF(OR(E4715="",E4715="!!!",F4715="NEW"),"",COUNTBLANK(OFFSET(A$1,,,SUMPRODUCT(MAX(ROW(E$2:E4715)*(E4715=E$2:E4715)))))-COUNTBLANK(OFFSET(A$1,,,SUMPRODUCT(MAX(ROW(E$1:E4714)*(E2=E$1:E4714))))))</f>
        <v> </v>
      </c>
      <c r="K4715" s="26" t="str">
        <f>IF(OR(E4715="",E4715="!!!",F4715="NEW"),"",INDEX(J$1:J4714,SUMPRODUCT(MAX(ROW(E$1:E4714)*(E4715=E$1:E4714)))))</f>
        <v> </v>
      </c>
      <c r="L4715" s="27"/>
    </row>
    <row r="4716" spans="1:12">
      <c r="A4716" s="20" t="s">
        <v>1115</v>
      </c>
      <c r="E4716" s="22">
        <f>IF(D4716="?OLD","!!!","")</f>
        <v/>
      </c>
      <c r="F4716" s="23" t="str">
        <f>IF(OR(E4716="",E4716="!!!"),"",IF(NOT(ISNA(VLOOKUP(E4716,E$1:E4715,1,FALSE()))),"OLD",IF(AND(E4716&lt;&gt;"",E4716&lt;&gt;"!!!"),"NEW","")))</f>
        <v> </v>
      </c>
      <c r="G4716" s="24" t="str">
        <f>IF(OR(E4716="",E4716="!!!"),"",IF(OR(J4716=0,AND(J4716=1,K4716=1),AND(J4716=1,I4716="SBJ"),AND(J4716=1,I4716=0)),"?IN_FOCUS",IF(J4716&lt;=2,"?ACTIVATED",IF(J4716&lt;&gt;"","?FAMILIAR",IF(F4716="NEW",IF(ISNA(VLOOKUP(E4716,#REF!,1,FALSE())),"?TYPE_IDENTIFIABLE","?REFERENTIAL"),"_")))))</f>
        <v> </v>
      </c>
      <c r="H4716" s="25" t="str">
        <f>IF(J4716&lt;&gt;1,"",IF(I4716="SBJ","CB","?"))</f>
        <v> </v>
      </c>
      <c r="I4716" s="26" t="str">
        <f>IF(OR(E4716="",E4716="!!!",F4716="NEW"),"",INDEX(B4715:B$2,-1+SUMPRODUCT(MAX(ROW(E4715:E$2)*(E4716=E4715:E$2)))))</f>
        <v> </v>
      </c>
      <c r="J4716" s="26" t="str">
        <f>IF(OR(E4716="",E4716="!!!",F4716="NEW"),"",COUNTBLANK(OFFSET(A$1,,,SUMPRODUCT(MAX(ROW(E$2:E4716)*(E4716=E$2:E4716)))))-COUNTBLANK(OFFSET(A$1,,,SUMPRODUCT(MAX(ROW(E$1:E4715)*(E2=E$1:E4715))))))</f>
        <v> </v>
      </c>
      <c r="K4716" s="26" t="str">
        <f>IF(OR(E4716="",E4716="!!!",F4716="NEW"),"",INDEX(J$1:J4715,SUMPRODUCT(MAX(ROW(E$1:E4715)*(E4716=E$1:E4715)))))</f>
        <v> </v>
      </c>
      <c r="L4716" s="27"/>
    </row>
    <row r="4717" spans="1:12">
      <c r="A4717" s="20" t="s">
        <v>1075</v>
      </c>
      <c r="E4717" s="22">
        <f>IF(D4717="?OLD","!!!","")</f>
        <v/>
      </c>
      <c r="F4717" s="23" t="str">
        <f>IF(OR(E4717="",E4717="!!!"),"",IF(NOT(ISNA(VLOOKUP(E4717,E$1:E4716,1,FALSE()))),"OLD",IF(AND(E4717&lt;&gt;"",E4717&lt;&gt;"!!!"),"NEW","")))</f>
        <v> </v>
      </c>
      <c r="G4717" s="24" t="str">
        <f>IF(OR(E4717="",E4717="!!!"),"",IF(OR(J4717=0,AND(J4717=1,K4717=1),AND(J4717=1,I4717="SBJ"),AND(J4717=1,I4717=0)),"?IN_FOCUS",IF(J4717&lt;=2,"?ACTIVATED",IF(J4717&lt;&gt;"","?FAMILIAR",IF(F4717="NEW",IF(ISNA(VLOOKUP(E4717,#REF!,1,FALSE())),"?TYPE_IDENTIFIABLE","?REFERENTIAL"),"_")))))</f>
        <v> </v>
      </c>
      <c r="H4717" s="25" t="str">
        <f>IF(J4717&lt;&gt;1,"",IF(I4717="SBJ","CB","?"))</f>
        <v> </v>
      </c>
      <c r="I4717" s="26" t="str">
        <f>IF(OR(E4717="",E4717="!!!",F4717="NEW"),"",INDEX(B4716:B$2,-1+SUMPRODUCT(MAX(ROW(E4716:E$2)*(E4717=E4716:E$2)))))</f>
        <v> </v>
      </c>
      <c r="J4717" s="26" t="str">
        <f>IF(OR(E4717="",E4717="!!!",F4717="NEW"),"",COUNTBLANK(OFFSET(A$1,,,SUMPRODUCT(MAX(ROW(E$2:E4717)*(E4717=E$2:E4717)))))-COUNTBLANK(OFFSET(A$1,,,SUMPRODUCT(MAX(ROW(E$1:E4716)*(E2=E$1:E4716))))))</f>
        <v> </v>
      </c>
      <c r="K4717" s="26" t="str">
        <f>IF(OR(E4717="",E4717="!!!",F4717="NEW"),"",INDEX(J$1:J4716,SUMPRODUCT(MAX(ROW(E$1:E4716)*(E4717=E$1:E4716)))))</f>
        <v> </v>
      </c>
      <c r="L4717" s="27"/>
    </row>
    <row r="4718" spans="1:12">
      <c r="A4718" s="20" t="s">
        <v>1098</v>
      </c>
      <c r="B4718" s="21" t="s">
        <v>975</v>
      </c>
      <c r="C4718" s="21" t="s">
        <v>1008</v>
      </c>
      <c r="D4718" s="21" t="s">
        <v>950</v>
      </c>
      <c r="E4718" s="22">
        <f>IF(D4718="?OLD","!!!","")</f>
        <v/>
      </c>
      <c r="F4718" s="23" t="str">
        <f>IF(OR(E4718="",E4718="!!!"),"",IF(NOT(ISNA(VLOOKUP(E4718,E$1:E4717,1,FALSE()))),"OLD",IF(AND(E4718&lt;&gt;"",E4718&lt;&gt;"!!!"),"NEW","")))</f>
        <v> </v>
      </c>
      <c r="G4718" s="24" t="str">
        <f>IF(OR(E4718="",E4718="!!!"),"",IF(OR(J4718=0,AND(J4718=1,K4718=1),AND(J4718=1,I4718="SBJ"),AND(J4718=1,I4718=0)),"?IN_FOCUS",IF(J4718&lt;=2,"?ACTIVATED",IF(J4718&lt;&gt;"","?FAMILIAR",IF(F4718="NEW",IF(ISNA(VLOOKUP(E4718,#REF!,1,FALSE())),"?TYPE_IDENTIFIABLE","?REFERENTIAL"),"_")))))</f>
        <v> </v>
      </c>
      <c r="H4718" s="25" t="str">
        <f>IF(J4718&lt;&gt;1,"",IF(I4718="SBJ","CB","?"))</f>
        <v> </v>
      </c>
      <c r="I4718" s="26" t="str">
        <f>IF(OR(E4718="",E4718="!!!",F4718="NEW"),"",INDEX(B4717:B$2,-1+SUMPRODUCT(MAX(ROW(E4717:E$2)*(E4718=E4717:E$2)))))</f>
        <v> </v>
      </c>
      <c r="J4718" s="26" t="str">
        <f>IF(OR(E4718="",E4718="!!!",F4718="NEW"),"",COUNTBLANK(OFFSET(A$1,,,SUMPRODUCT(MAX(ROW(E$2:E4718)*(E4718=E$2:E4718)))))-COUNTBLANK(OFFSET(A$1,,,SUMPRODUCT(MAX(ROW(E$1:E4717)*(E2=E$1:E4717))))))</f>
        <v> </v>
      </c>
      <c r="K4718" s="26" t="str">
        <f>IF(OR(E4718="",E4718="!!!",F4718="NEW"),"",INDEX(J$1:J4717,SUMPRODUCT(MAX(ROW(E$1:E4717)*(E4718=E$1:E4717)))))</f>
        <v> </v>
      </c>
      <c r="L4718" s="27"/>
    </row>
    <row r="4719" spans="1:12">
      <c r="A4719" s="20" t="s">
        <v>1001</v>
      </c>
      <c r="E4719" s="22">
        <f>IF(D4719="?OLD","!!!","")</f>
        <v/>
      </c>
      <c r="F4719" s="23" t="str">
        <f>IF(OR(E4719="",E4719="!!!"),"",IF(NOT(ISNA(VLOOKUP(E4719,E$1:E4718,1,FALSE()))),"OLD",IF(AND(E4719&lt;&gt;"",E4719&lt;&gt;"!!!"),"NEW","")))</f>
        <v> </v>
      </c>
      <c r="G4719" s="24" t="str">
        <f>IF(OR(E4719="",E4719="!!!"),"",IF(OR(J4719=0,AND(J4719=1,K4719=1),AND(J4719=1,I4719="SBJ"),AND(J4719=1,I4719=0)),"?IN_FOCUS",IF(J4719&lt;=2,"?ACTIVATED",IF(J4719&lt;&gt;"","?FAMILIAR",IF(F4719="NEW",IF(ISNA(VLOOKUP(E4719,#REF!,1,FALSE())),"?TYPE_IDENTIFIABLE","?REFERENTIAL"),"_")))))</f>
        <v> </v>
      </c>
      <c r="H4719" s="25" t="str">
        <f>IF(J4719&lt;&gt;1,"",IF(I4719="SBJ","CB","?"))</f>
        <v> </v>
      </c>
      <c r="I4719" s="26" t="str">
        <f>IF(OR(E4719="",E4719="!!!",F4719="NEW"),"",INDEX(B4718:B$2,-1+SUMPRODUCT(MAX(ROW(E4718:E$2)*(E4719=E4718:E$2)))))</f>
        <v> </v>
      </c>
      <c r="J4719" s="26" t="str">
        <f>IF(OR(E4719="",E4719="!!!",F4719="NEW"),"",COUNTBLANK(OFFSET(A$1,,,SUMPRODUCT(MAX(ROW(E$2:E4719)*(E4719=E$2:E4719)))))-COUNTBLANK(OFFSET(A$1,,,SUMPRODUCT(MAX(ROW(E$1:E4718)*(E2=E$1:E4718))))))</f>
        <v> </v>
      </c>
      <c r="K4719" s="26" t="str">
        <f>IF(OR(E4719="",E4719="!!!",F4719="NEW"),"",INDEX(J$1:J4718,SUMPRODUCT(MAX(ROW(E$1:E4718)*(E4719=E$1:E4718)))))</f>
        <v> </v>
      </c>
      <c r="L4719" s="27"/>
    </row>
    <row r="4720" spans="1:12">
      <c r="A4720" s="20" t="s">
        <v>769</v>
      </c>
      <c r="E4720" s="22">
        <f>IF(D4720="?OLD","!!!","")</f>
        <v/>
      </c>
      <c r="F4720" s="23" t="str">
        <f>IF(OR(E4720="",E4720="!!!"),"",IF(NOT(ISNA(VLOOKUP(E4720,E$1:E4719,1,FALSE()))),"OLD",IF(AND(E4720&lt;&gt;"",E4720&lt;&gt;"!!!"),"NEW","")))</f>
        <v> </v>
      </c>
      <c r="G4720" s="24" t="str">
        <f>IF(OR(E4720="",E4720="!!!"),"",IF(OR(J4720=0,AND(J4720=1,K4720=1),AND(J4720=1,I4720="SBJ"),AND(J4720=1,I4720=0)),"?IN_FOCUS",IF(J4720&lt;=2,"?ACTIVATED",IF(J4720&lt;&gt;"","?FAMILIAR",IF(F4720="NEW",IF(ISNA(VLOOKUP(E4720,#REF!,1,FALSE())),"?TYPE_IDENTIFIABLE","?REFERENTIAL"),"_")))))</f>
        <v> </v>
      </c>
      <c r="H4720" s="25" t="str">
        <f>IF(J4720&lt;&gt;1,"",IF(I4720="SBJ","CB","?"))</f>
        <v> </v>
      </c>
      <c r="I4720" s="26" t="str">
        <f>IF(OR(E4720="",E4720="!!!",F4720="NEW"),"",INDEX(B4719:B$2,-1+SUMPRODUCT(MAX(ROW(E4719:E$2)*(E4720=E4719:E$2)))))</f>
        <v> </v>
      </c>
      <c r="J4720" s="26" t="str">
        <f>IF(OR(E4720="",E4720="!!!",F4720="NEW"),"",COUNTBLANK(OFFSET(A$1,,,SUMPRODUCT(MAX(ROW(E$2:E4720)*(E4720=E$2:E4720)))))-COUNTBLANK(OFFSET(A$1,,,SUMPRODUCT(MAX(ROW(E$1:E4719)*(E2=E$1:E4719))))))</f>
        <v> </v>
      </c>
      <c r="K4720" s="26" t="str">
        <f>IF(OR(E4720="",E4720="!!!",F4720="NEW"),"",INDEX(J$1:J4719,SUMPRODUCT(MAX(ROW(E$1:E4719)*(E4720=E$1:E4719)))))</f>
        <v> </v>
      </c>
      <c r="L4720" s="27"/>
    </row>
    <row r="4721" spans="1:12">
      <c r="A4721" s="20" t="s">
        <v>1098</v>
      </c>
      <c r="B4721" s="21" t="s">
        <v>1005</v>
      </c>
      <c r="C4721" s="21" t="s">
        <v>1008</v>
      </c>
      <c r="D4721" s="21" t="s">
        <v>950</v>
      </c>
      <c r="E4721" s="22">
        <f>IF(D4721="?OLD","!!!","")</f>
        <v/>
      </c>
      <c r="F4721" s="23" t="str">
        <f>IF(OR(E4721="",E4721="!!!"),"",IF(NOT(ISNA(VLOOKUP(E4721,E$1:E4720,1,FALSE()))),"OLD",IF(AND(E4721&lt;&gt;"",E4721&lt;&gt;"!!!"),"NEW","")))</f>
        <v> </v>
      </c>
      <c r="G4721" s="24" t="str">
        <f>IF(OR(E4721="",E4721="!!!"),"",IF(OR(J4721=0,AND(J4721=1,K4721=1),AND(J4721=1,I4721="SBJ"),AND(J4721=1,I4721=0)),"?IN_FOCUS",IF(J4721&lt;=2,"?ACTIVATED",IF(J4721&lt;&gt;"","?FAMILIAR",IF(F4721="NEW",IF(ISNA(VLOOKUP(E4721,#REF!,1,FALSE())),"?TYPE_IDENTIFIABLE","?REFERENTIAL"),"_")))))</f>
        <v> </v>
      </c>
      <c r="H4721" s="25" t="str">
        <f>IF(J4721&lt;&gt;1,"",IF(I4721="SBJ","CB","?"))</f>
        <v> </v>
      </c>
      <c r="I4721" s="26" t="str">
        <f>IF(OR(E4721="",E4721="!!!",F4721="NEW"),"",INDEX(B4720:B$2,-1+SUMPRODUCT(MAX(ROW(E4720:E$2)*(E4721=E4720:E$2)))))</f>
        <v> </v>
      </c>
      <c r="J4721" s="26" t="str">
        <f>IF(OR(E4721="",E4721="!!!",F4721="NEW"),"",COUNTBLANK(OFFSET(A$1,,,SUMPRODUCT(MAX(ROW(E$2:E4721)*(E4721=E$2:E4721)))))-COUNTBLANK(OFFSET(A$1,,,SUMPRODUCT(MAX(ROW(E$1:E4720)*(E2=E$1:E4720))))))</f>
        <v> </v>
      </c>
      <c r="K4721" s="26" t="str">
        <f>IF(OR(E4721="",E4721="!!!",F4721="NEW"),"",INDEX(J$1:J4720,SUMPRODUCT(MAX(ROW(E$1:E4720)*(E4721=E$1:E4720)))))</f>
        <v> </v>
      </c>
      <c r="L4721" s="27"/>
    </row>
    <row r="4722" spans="1:12">
      <c r="A4722" s="20" t="s">
        <v>1022</v>
      </c>
      <c r="E4722" s="22">
        <f>IF(D4722="?OLD","!!!","")</f>
        <v/>
      </c>
      <c r="F4722" s="23" t="str">
        <f>IF(OR(E4722="",E4722="!!!"),"",IF(NOT(ISNA(VLOOKUP(E4722,E$1:E4721,1,FALSE()))),"OLD",IF(AND(E4722&lt;&gt;"",E4722&lt;&gt;"!!!"),"NEW","")))</f>
        <v> </v>
      </c>
      <c r="G4722" s="24" t="str">
        <f>IF(OR(E4722="",E4722="!!!"),"",IF(OR(J4722=0,AND(J4722=1,K4722=1),AND(J4722=1,I4722="SBJ"),AND(J4722=1,I4722=0)),"?IN_FOCUS",IF(J4722&lt;=2,"?ACTIVATED",IF(J4722&lt;&gt;"","?FAMILIAR",IF(F4722="NEW",IF(ISNA(VLOOKUP(E4722,#REF!,1,FALSE())),"?TYPE_IDENTIFIABLE","?REFERENTIAL"),"_")))))</f>
        <v> </v>
      </c>
      <c r="H4722" s="25" t="str">
        <f>IF(J4722&lt;&gt;1,"",IF(I4722="SBJ","CB","?"))</f>
        <v> </v>
      </c>
      <c r="I4722" s="26" t="str">
        <f>IF(OR(E4722="",E4722="!!!",F4722="NEW"),"",INDEX(B4721:B$2,-1+SUMPRODUCT(MAX(ROW(E4721:E$2)*(E4722=E4721:E$2)))))</f>
        <v> </v>
      </c>
      <c r="J4722" s="26" t="str">
        <f>IF(OR(E4722="",E4722="!!!",F4722="NEW"),"",COUNTBLANK(OFFSET(A$1,,,SUMPRODUCT(MAX(ROW(E$2:E4722)*(E4722=E$2:E4722)))))-COUNTBLANK(OFFSET(A$1,,,SUMPRODUCT(MAX(ROW(E$1:E4721)*(E2=E$1:E4721))))))</f>
        <v> </v>
      </c>
      <c r="K4722" s="26" t="str">
        <f>IF(OR(E4722="",E4722="!!!",F4722="NEW"),"",INDEX(J$1:J4721,SUMPRODUCT(MAX(ROW(E$1:E4721)*(E4722=E$1:E4721)))))</f>
        <v> </v>
      </c>
      <c r="L4722" s="27"/>
    </row>
    <row r="4723" spans="1:12">
      <c r="A4723" s="20" t="s">
        <v>961</v>
      </c>
      <c r="E4723" s="22">
        <f>IF(D4723="?OLD","!!!","")</f>
        <v/>
      </c>
      <c r="F4723" s="23" t="str">
        <f>IF(OR(E4723="",E4723="!!!"),"",IF(NOT(ISNA(VLOOKUP(E4723,E$1:E4722,1,FALSE()))),"OLD",IF(AND(E4723&lt;&gt;"",E4723&lt;&gt;"!!!"),"NEW","")))</f>
        <v> </v>
      </c>
      <c r="G4723" s="24" t="str">
        <f>IF(OR(E4723="",E4723="!!!"),"",IF(OR(J4723=0,AND(J4723=1,K4723=1),AND(J4723=1,I4723="SBJ"),AND(J4723=1,I4723=0)),"?IN_FOCUS",IF(J4723&lt;=2,"?ACTIVATED",IF(J4723&lt;&gt;"","?FAMILIAR",IF(F4723="NEW",IF(ISNA(VLOOKUP(E4723,#REF!,1,FALSE())),"?TYPE_IDENTIFIABLE","?REFERENTIAL"),"_")))))</f>
        <v> </v>
      </c>
      <c r="H4723" s="25" t="str">
        <f>IF(J4723&lt;&gt;1,"",IF(I4723="SBJ","CB","?"))</f>
        <v> </v>
      </c>
      <c r="I4723" s="26" t="str">
        <f>IF(OR(E4723="",E4723="!!!",F4723="NEW"),"",INDEX(B4722:B$2,-1+SUMPRODUCT(MAX(ROW(E4722:E$2)*(E4723=E4722:E$2)))))</f>
        <v> </v>
      </c>
      <c r="J4723" s="26" t="str">
        <f>IF(OR(E4723="",E4723="!!!",F4723="NEW"),"",COUNTBLANK(OFFSET(A$1,,,SUMPRODUCT(MAX(ROW(E$2:E4723)*(E4723=E$2:E4723)))))-COUNTBLANK(OFFSET(A$1,,,SUMPRODUCT(MAX(ROW(E$1:E4722)*(E2=E$1:E4722))))))</f>
        <v> </v>
      </c>
      <c r="K4723" s="26" t="str">
        <f>IF(OR(E4723="",E4723="!!!",F4723="NEW"),"",INDEX(J$1:J4722,SUMPRODUCT(MAX(ROW(E$1:E4722)*(E4723=E$1:E4722)))))</f>
        <v> </v>
      </c>
      <c r="L4723" s="27"/>
    </row>
    <row r="4724" spans="1:12">
      <c r="A4724" s="20" t="s">
        <v>1366</v>
      </c>
      <c r="B4724" s="21" t="s">
        <v>1005</v>
      </c>
      <c r="C4724" s="21" t="s">
        <v>964</v>
      </c>
      <c r="E4724" s="22">
        <f>IF(D4724="?OLD","!!!","")</f>
        <v/>
      </c>
      <c r="F4724" s="23" t="str">
        <f>IF(OR(E4724="",E4724="!!!"),"",IF(NOT(ISNA(VLOOKUP(E4724,E$1:E4723,1,FALSE()))),"OLD",IF(AND(E4724&lt;&gt;"",E4724&lt;&gt;"!!!"),"NEW","")))</f>
        <v> </v>
      </c>
      <c r="G4724" s="24" t="str">
        <f>IF(OR(E4724="",E4724="!!!"),"",IF(OR(J4724=0,AND(J4724=1,K4724=1),AND(J4724=1,I4724="SBJ"),AND(J4724=1,I4724=0)),"?IN_FOCUS",IF(J4724&lt;=2,"?ACTIVATED",IF(J4724&lt;&gt;"","?FAMILIAR",IF(F4724="NEW",IF(ISNA(VLOOKUP(E4724,#REF!,1,FALSE())),"?TYPE_IDENTIFIABLE","?REFERENTIAL"),"_")))))</f>
        <v> </v>
      </c>
      <c r="H4724" s="25" t="str">
        <f>IF(J4724&lt;&gt;1,"",IF(I4724="SBJ","CB","?"))</f>
        <v> </v>
      </c>
      <c r="I4724" s="26" t="str">
        <f>IF(OR(E4724="",E4724="!!!",F4724="NEW"),"",INDEX(B4723:B$2,-1+SUMPRODUCT(MAX(ROW(E4723:E$2)*(E4724=E4723:E$2)))))</f>
        <v> </v>
      </c>
      <c r="J4724" s="26" t="str">
        <f>IF(OR(E4724="",E4724="!!!",F4724="NEW"),"",COUNTBLANK(OFFSET(A$1,,,SUMPRODUCT(MAX(ROW(E$2:E4724)*(E4724=E$2:E4724)))))-COUNTBLANK(OFFSET(A$1,,,SUMPRODUCT(MAX(ROW(E$1:E4723)*(E2=E$1:E4723))))))</f>
        <v> </v>
      </c>
      <c r="K4724" s="26" t="str">
        <f>IF(OR(E4724="",E4724="!!!",F4724="NEW"),"",INDEX(J$1:J4723,SUMPRODUCT(MAX(ROW(E$1:E4723)*(E4724=E$1:E4723)))))</f>
        <v> </v>
      </c>
      <c r="L4724" s="27"/>
    </row>
    <row r="4725" spans="1:12">
      <c r="A4725" s="20" t="s">
        <v>1097</v>
      </c>
      <c r="E4725" s="22">
        <f>IF(D4725="?OLD","!!!","")</f>
        <v/>
      </c>
      <c r="F4725" s="23" t="str">
        <f>IF(OR(E4725="",E4725="!!!"),"",IF(NOT(ISNA(VLOOKUP(E4725,E$1:E4724,1,FALSE()))),"OLD",IF(AND(E4725&lt;&gt;"",E4725&lt;&gt;"!!!"),"NEW","")))</f>
        <v> </v>
      </c>
      <c r="G4725" s="24" t="str">
        <f>IF(OR(E4725="",E4725="!!!"),"",IF(OR(J4725=0,AND(J4725=1,K4725=1),AND(J4725=1,I4725="SBJ"),AND(J4725=1,I4725=0)),"?IN_FOCUS",IF(J4725&lt;=2,"?ACTIVATED",IF(J4725&lt;&gt;"","?FAMILIAR",IF(F4725="NEW",IF(ISNA(VLOOKUP(E4725,#REF!,1,FALSE())),"?TYPE_IDENTIFIABLE","?REFERENTIAL"),"_")))))</f>
        <v> </v>
      </c>
      <c r="H4725" s="25" t="str">
        <f>IF(J4725&lt;&gt;1,"",IF(I4725="SBJ","CB","?"))</f>
        <v> </v>
      </c>
      <c r="I4725" s="26" t="str">
        <f>IF(OR(E4725="",E4725="!!!",F4725="NEW"),"",INDEX(B4724:B$2,-1+SUMPRODUCT(MAX(ROW(E4724:E$2)*(E4725=E4724:E$2)))))</f>
        <v> </v>
      </c>
      <c r="J4725" s="26" t="str">
        <f>IF(OR(E4725="",E4725="!!!",F4725="NEW"),"",COUNTBLANK(OFFSET(A$1,,,SUMPRODUCT(MAX(ROW(E$2:E4725)*(E4725=E$2:E4725)))))-COUNTBLANK(OFFSET(A$1,,,SUMPRODUCT(MAX(ROW(E$1:E4724)*(E2=E$1:E4724))))))</f>
        <v> </v>
      </c>
      <c r="K4725" s="26" t="str">
        <f>IF(OR(E4725="",E4725="!!!",F4725="NEW"),"",INDEX(J$1:J4724,SUMPRODUCT(MAX(ROW(E$1:E4724)*(E4725=E$1:E4724)))))</f>
        <v> </v>
      </c>
      <c r="L4725" s="27"/>
    </row>
    <row r="4726" spans="1:12">
      <c r="A4726" s="20" t="s">
        <v>2222</v>
      </c>
      <c r="E4726" s="22">
        <f>IF(D4726="?OLD","!!!","")</f>
        <v/>
      </c>
      <c r="F4726" s="23" t="str">
        <f>IF(OR(E4726="",E4726="!!!"),"",IF(NOT(ISNA(VLOOKUP(E4726,E$1:E4725,1,FALSE()))),"OLD",IF(AND(E4726&lt;&gt;"",E4726&lt;&gt;"!!!"),"NEW","")))</f>
        <v> </v>
      </c>
      <c r="G4726" s="24" t="str">
        <f>IF(OR(E4726="",E4726="!!!"),"",IF(OR(J4726=0,AND(J4726=1,K4726=1),AND(J4726=1,I4726="SBJ"),AND(J4726=1,I4726=0)),"?IN_FOCUS",IF(J4726&lt;=2,"?ACTIVATED",IF(J4726&lt;&gt;"","?FAMILIAR",IF(F4726="NEW",IF(ISNA(VLOOKUP(E4726,#REF!,1,FALSE())),"?TYPE_IDENTIFIABLE","?REFERENTIAL"),"_")))))</f>
        <v> </v>
      </c>
      <c r="H4726" s="25" t="str">
        <f>IF(J4726&lt;&gt;1,"",IF(I4726="SBJ","CB","?"))</f>
        <v> </v>
      </c>
      <c r="I4726" s="26" t="str">
        <f>IF(OR(E4726="",E4726="!!!",F4726="NEW"),"",INDEX(B4725:B$2,-1+SUMPRODUCT(MAX(ROW(E4725:E$2)*(E4726=E4725:E$2)))))</f>
        <v> </v>
      </c>
      <c r="J4726" s="26" t="str">
        <f>IF(OR(E4726="",E4726="!!!",F4726="NEW"),"",COUNTBLANK(OFFSET(A$1,,,SUMPRODUCT(MAX(ROW(E$2:E4726)*(E4726=E$2:E4726)))))-COUNTBLANK(OFFSET(A$1,,,SUMPRODUCT(MAX(ROW(E$1:E4725)*(E2=E$1:E4725))))))</f>
        <v> </v>
      </c>
      <c r="K4726" s="26" t="str">
        <f>IF(OR(E4726="",E4726="!!!",F4726="NEW"),"",INDEX(J$1:J4725,SUMPRODUCT(MAX(ROW(E$1:E4725)*(E4726=E$1:E4725)))))</f>
        <v> </v>
      </c>
      <c r="L4726" s="27"/>
    </row>
    <row r="4727" spans="1:12">
      <c r="A4727" s="20" t="s">
        <v>1068</v>
      </c>
      <c r="E4727" s="22">
        <f>IF(D4727="?OLD","!!!","")</f>
        <v/>
      </c>
      <c r="F4727" s="23" t="str">
        <f>IF(OR(E4727="",E4727="!!!"),"",IF(NOT(ISNA(VLOOKUP(E4727,E$1:E4726,1,FALSE()))),"OLD",IF(AND(E4727&lt;&gt;"",E4727&lt;&gt;"!!!"),"NEW","")))</f>
        <v> </v>
      </c>
      <c r="G4727" s="24" t="str">
        <f>IF(OR(E4727="",E4727="!!!"),"",IF(OR(J4727=0,AND(J4727=1,K4727=1),AND(J4727=1,I4727="SBJ"),AND(J4727=1,I4727=0)),"?IN_FOCUS",IF(J4727&lt;=2,"?ACTIVATED",IF(J4727&lt;&gt;"","?FAMILIAR",IF(F4727="NEW",IF(ISNA(VLOOKUP(E4727,#REF!,1,FALSE())),"?TYPE_IDENTIFIABLE","?REFERENTIAL"),"_")))))</f>
        <v> </v>
      </c>
      <c r="H4727" s="25" t="str">
        <f>IF(J4727&lt;&gt;1,"",IF(I4727="SBJ","CB","?"))</f>
        <v> </v>
      </c>
      <c r="I4727" s="26" t="str">
        <f>IF(OR(E4727="",E4727="!!!",F4727="NEW"),"",INDEX(B4726:B$2,-1+SUMPRODUCT(MAX(ROW(E4726:E$2)*(E4727=E4726:E$2)))))</f>
        <v> </v>
      </c>
      <c r="J4727" s="26" t="str">
        <f>IF(OR(E4727="",E4727="!!!",F4727="NEW"),"",COUNTBLANK(OFFSET(A$1,,,SUMPRODUCT(MAX(ROW(E$2:E4727)*(E4727=E$2:E4727)))))-COUNTBLANK(OFFSET(A$1,,,SUMPRODUCT(MAX(ROW(E$1:E4726)*(E2=E$1:E4726))))))</f>
        <v> </v>
      </c>
      <c r="K4727" s="26" t="str">
        <f>IF(OR(E4727="",E4727="!!!",F4727="NEW"),"",INDEX(J$1:J4726,SUMPRODUCT(MAX(ROW(E$1:E4726)*(E4727=E$1:E4726)))))</f>
        <v> </v>
      </c>
      <c r="L4727" s="27"/>
    </row>
    <row r="4728" spans="1:12">
      <c r="A4728" s="20"/>
    </row>
    <row r="4729" spans="1:12">
      <c r="A4729" s="20" t="s">
        <v>2223</v>
      </c>
    </row>
    <row r="4730" spans="1:12">
      <c r="A4730" s="20" t="s">
        <v>1092</v>
      </c>
      <c r="E4730" s="22">
        <f>IF(D4730="?OLD","!!!","")</f>
        <v/>
      </c>
      <c r="F4730" s="23" t="str">
        <f>IF(OR(E4730="",E4730="!!!"),"",IF(NOT(ISNA(VLOOKUP(E4730,E$1:E4729,1,FALSE()))),"OLD",IF(AND(E4730&lt;&gt;"",E4730&lt;&gt;"!!!"),"NEW","")))</f>
        <v> </v>
      </c>
      <c r="G4730" s="24" t="str">
        <f>IF(OR(E4730="",E4730="!!!"),"",IF(OR(J4730=0,AND(J4730=1,K4730=1),AND(J4730=1,I4730="SBJ"),AND(J4730=1,I4730=0)),"?IN_FOCUS",IF(J4730&lt;=2,"?ACTIVATED",IF(J4730&lt;&gt;"","?FAMILIAR",IF(F4730="NEW",IF(ISNA(VLOOKUP(E4730,#REF!,1,FALSE())),"?TYPE_IDENTIFIABLE","?REFERENTIAL"),"_")))))</f>
        <v> </v>
      </c>
      <c r="H4730" s="25" t="str">
        <f>IF(J4730&lt;&gt;1,"",IF(I4730="SBJ","CB","?"))</f>
        <v> </v>
      </c>
      <c r="I4730" s="26" t="str">
        <f>IF(OR(E4730="",E4730="!!!",F4730="NEW"),"",INDEX(B4729:B$2,-1+SUMPRODUCT(MAX(ROW(E4729:E$2)*(E4730=E4729:E$2)))))</f>
        <v> </v>
      </c>
      <c r="J4730" s="26" t="str">
        <f>IF(OR(E4730="",E4730="!!!",F4730="NEW"),"",COUNTBLANK(OFFSET(A$1,,,SUMPRODUCT(MAX(ROW(E$2:E4730)*(E4730=E$2:E4730)))))-COUNTBLANK(OFFSET(A$1,,,SUMPRODUCT(MAX(ROW(E$1:E4729)*(E2=E$1:E4729))))))</f>
        <v> </v>
      </c>
      <c r="K4730" s="26" t="str">
        <f>IF(OR(E4730="",E4730="!!!",F4730="NEW"),"",INDEX(J$1:J4729,SUMPRODUCT(MAX(ROW(E$1:E4729)*(E4730=E$1:E4729)))))</f>
        <v> </v>
      </c>
      <c r="L4730" s="27"/>
    </row>
    <row r="4731" spans="1:12">
      <c r="A4731" s="20" t="s">
        <v>2224</v>
      </c>
      <c r="E4731" s="22">
        <f>IF(D4731="?OLD","!!!","")</f>
        <v/>
      </c>
      <c r="F4731" s="23" t="str">
        <f>IF(OR(E4731="",E4731="!!!"),"",IF(NOT(ISNA(VLOOKUP(E4731,E$1:E4730,1,FALSE()))),"OLD",IF(AND(E4731&lt;&gt;"",E4731&lt;&gt;"!!!"),"NEW","")))</f>
        <v> </v>
      </c>
      <c r="G4731" s="24" t="str">
        <f>IF(OR(E4731="",E4731="!!!"),"",IF(OR(J4731=0,AND(J4731=1,K4731=1),AND(J4731=1,I4731="SBJ"),AND(J4731=1,I4731=0)),"?IN_FOCUS",IF(J4731&lt;=2,"?ACTIVATED",IF(J4731&lt;&gt;"","?FAMILIAR",IF(F4731="NEW",IF(ISNA(VLOOKUP(E4731,#REF!,1,FALSE())),"?TYPE_IDENTIFIABLE","?REFERENTIAL"),"_")))))</f>
        <v> </v>
      </c>
      <c r="H4731" s="25" t="str">
        <f>IF(J4731&lt;&gt;1,"",IF(I4731="SBJ","CB","?"))</f>
        <v> </v>
      </c>
      <c r="I4731" s="26" t="str">
        <f>IF(OR(E4731="",E4731="!!!",F4731="NEW"),"",INDEX(B4730:B$2,-1+SUMPRODUCT(MAX(ROW(E4730:E$2)*(E4731=E4730:E$2)))))</f>
        <v> </v>
      </c>
      <c r="J4731" s="26" t="str">
        <f>IF(OR(E4731="",E4731="!!!",F4731="NEW"),"",COUNTBLANK(OFFSET(A$1,,,SUMPRODUCT(MAX(ROW(E$2:E4731)*(E4731=E$2:E4731)))))-COUNTBLANK(OFFSET(A$1,,,SUMPRODUCT(MAX(ROW(E$1:E4730)*(E2=E$1:E4730))))))</f>
        <v> </v>
      </c>
      <c r="K4731" s="26" t="str">
        <f>IF(OR(E4731="",E4731="!!!",F4731="NEW"),"",INDEX(J$1:J4730,SUMPRODUCT(MAX(ROW(E$1:E4730)*(E4731=E$1:E4730)))))</f>
        <v> </v>
      </c>
      <c r="L4731" s="27"/>
    </row>
    <row r="4732" spans="1:12">
      <c r="A4732" s="20" t="s">
        <v>1003</v>
      </c>
      <c r="E4732" s="22">
        <f>IF(D4732="?OLD","!!!","")</f>
        <v/>
      </c>
      <c r="F4732" s="23" t="str">
        <f>IF(OR(E4732="",E4732="!!!"),"",IF(NOT(ISNA(VLOOKUP(E4732,E$1:E4731,1,FALSE()))),"OLD",IF(AND(E4732&lt;&gt;"",E4732&lt;&gt;"!!!"),"NEW","")))</f>
        <v> </v>
      </c>
      <c r="G4732" s="24" t="str">
        <f>IF(OR(E4732="",E4732="!!!"),"",IF(OR(J4732=0,AND(J4732=1,K4732=1),AND(J4732=1,I4732="SBJ"),AND(J4732=1,I4732=0)),"?IN_FOCUS",IF(J4732&lt;=2,"?ACTIVATED",IF(J4732&lt;&gt;"","?FAMILIAR",IF(F4732="NEW",IF(ISNA(VLOOKUP(E4732,#REF!,1,FALSE())),"?TYPE_IDENTIFIABLE","?REFERENTIAL"),"_")))))</f>
        <v> </v>
      </c>
      <c r="H4732" s="25" t="str">
        <f>IF(J4732&lt;&gt;1,"",IF(I4732="SBJ","CB","?"))</f>
        <v> </v>
      </c>
      <c r="I4732" s="26" t="str">
        <f>IF(OR(E4732="",E4732="!!!",F4732="NEW"),"",INDEX(B4731:B$2,-1+SUMPRODUCT(MAX(ROW(E4731:E$2)*(E4732=E4731:E$2)))))</f>
        <v> </v>
      </c>
      <c r="J4732" s="26" t="str">
        <f>IF(OR(E4732="",E4732="!!!",F4732="NEW"),"",COUNTBLANK(OFFSET(A$1,,,SUMPRODUCT(MAX(ROW(E$2:E4732)*(E4732=E$2:E4732)))))-COUNTBLANK(OFFSET(A$1,,,SUMPRODUCT(MAX(ROW(E$1:E4731)*(E2=E$1:E4731))))))</f>
        <v> </v>
      </c>
      <c r="K4732" s="26" t="str">
        <f>IF(OR(E4732="",E4732="!!!",F4732="NEW"),"",INDEX(J$1:J4731,SUMPRODUCT(MAX(ROW(E$1:E4731)*(E4732=E$1:E4731)))))</f>
        <v> </v>
      </c>
      <c r="L4732" s="27"/>
    </row>
    <row r="4733" spans="1:12">
      <c r="A4733" s="20" t="s">
        <v>1655</v>
      </c>
      <c r="E4733" s="22">
        <f>IF(D4733="?OLD","!!!","")</f>
        <v/>
      </c>
      <c r="F4733" s="23" t="str">
        <f>IF(OR(E4733="",E4733="!!!"),"",IF(NOT(ISNA(VLOOKUP(E4733,E$1:E4732,1,FALSE()))),"OLD",IF(AND(E4733&lt;&gt;"",E4733&lt;&gt;"!!!"),"NEW","")))</f>
        <v> </v>
      </c>
      <c r="G4733" s="24" t="str">
        <f>IF(OR(E4733="",E4733="!!!"),"",IF(OR(J4733=0,AND(J4733=1,K4733=1),AND(J4733=1,I4733="SBJ"),AND(J4733=1,I4733=0)),"?IN_FOCUS",IF(J4733&lt;=2,"?ACTIVATED",IF(J4733&lt;&gt;"","?FAMILIAR",IF(F4733="NEW",IF(ISNA(VLOOKUP(E4733,#REF!,1,FALSE())),"?TYPE_IDENTIFIABLE","?REFERENTIAL"),"_")))))</f>
        <v> </v>
      </c>
      <c r="H4733" s="25" t="str">
        <f>IF(J4733&lt;&gt;1,"",IF(I4733="SBJ","CB","?"))</f>
        <v> </v>
      </c>
      <c r="I4733" s="26" t="str">
        <f>IF(OR(E4733="",E4733="!!!",F4733="NEW"),"",INDEX(B4732:B$2,-1+SUMPRODUCT(MAX(ROW(E4732:E$2)*(E4733=E4732:E$2)))))</f>
        <v> </v>
      </c>
      <c r="J4733" s="26" t="str">
        <f>IF(OR(E4733="",E4733="!!!",F4733="NEW"),"",COUNTBLANK(OFFSET(A$1,,,SUMPRODUCT(MAX(ROW(E$2:E4733)*(E4733=E$2:E4733)))))-COUNTBLANK(OFFSET(A$1,,,SUMPRODUCT(MAX(ROW(E$1:E4732)*(E2=E$1:E4732))))))</f>
        <v> </v>
      </c>
      <c r="K4733" s="26" t="str">
        <f>IF(OR(E4733="",E4733="!!!",F4733="NEW"),"",INDEX(J$1:J4732,SUMPRODUCT(MAX(ROW(E$1:E4732)*(E4733=E$1:E4732)))))</f>
        <v> </v>
      </c>
      <c r="L4733" s="27"/>
    </row>
    <row r="4734" spans="1:12">
      <c r="A4734" s="20" t="s">
        <v>1022</v>
      </c>
      <c r="E4734" s="22">
        <f>IF(D4734="?OLD","!!!","")</f>
        <v/>
      </c>
      <c r="F4734" s="23" t="str">
        <f>IF(OR(E4734="",E4734="!!!"),"",IF(NOT(ISNA(VLOOKUP(E4734,E$1:E4733,1,FALSE()))),"OLD",IF(AND(E4734&lt;&gt;"",E4734&lt;&gt;"!!!"),"NEW","")))</f>
        <v> </v>
      </c>
      <c r="G4734" s="24" t="str">
        <f>IF(OR(E4734="",E4734="!!!"),"",IF(OR(J4734=0,AND(J4734=1,K4734=1),AND(J4734=1,I4734="SBJ"),AND(J4734=1,I4734=0)),"?IN_FOCUS",IF(J4734&lt;=2,"?ACTIVATED",IF(J4734&lt;&gt;"","?FAMILIAR",IF(F4734="NEW",IF(ISNA(VLOOKUP(E4734,#REF!,1,FALSE())),"?TYPE_IDENTIFIABLE","?REFERENTIAL"),"_")))))</f>
        <v> </v>
      </c>
      <c r="H4734" s="25" t="str">
        <f>IF(J4734&lt;&gt;1,"",IF(I4734="SBJ","CB","?"))</f>
        <v> </v>
      </c>
      <c r="I4734" s="26" t="str">
        <f>IF(OR(E4734="",E4734="!!!",F4734="NEW"),"",INDEX(B4733:B$2,-1+SUMPRODUCT(MAX(ROW(E4733:E$2)*(E4734=E4733:E$2)))))</f>
        <v> </v>
      </c>
      <c r="J4734" s="26" t="str">
        <f>IF(OR(E4734="",E4734="!!!",F4734="NEW"),"",COUNTBLANK(OFFSET(A$1,,,SUMPRODUCT(MAX(ROW(E$2:E4734)*(E4734=E$2:E4734)))))-COUNTBLANK(OFFSET(A$1,,,SUMPRODUCT(MAX(ROW(E$1:E4733)*(E2=E$1:E4733))))))</f>
        <v> </v>
      </c>
      <c r="K4734" s="26" t="str">
        <f>IF(OR(E4734="",E4734="!!!",F4734="NEW"),"",INDEX(J$1:J4733,SUMPRODUCT(MAX(ROW(E$1:E4733)*(E4734=E$1:E4733)))))</f>
        <v> </v>
      </c>
      <c r="L4734" s="27"/>
    </row>
    <row r="4735" spans="1:12">
      <c r="A4735" s="20" t="s">
        <v>2183</v>
      </c>
      <c r="B4735" s="21" t="s">
        <v>956</v>
      </c>
      <c r="C4735" s="21" t="s">
        <v>1032</v>
      </c>
      <c r="D4735" s="21" t="s">
        <v>950</v>
      </c>
      <c r="E4735" s="22">
        <f>IF(D4735="?OLD","!!!","")</f>
        <v/>
      </c>
      <c r="F4735" s="23" t="str">
        <f>IF(OR(E4735="",E4735="!!!"),"",IF(NOT(ISNA(VLOOKUP(E4735,E$1:E4734,1,FALSE()))),"OLD",IF(AND(E4735&lt;&gt;"",E4735&lt;&gt;"!!!"),"NEW","")))</f>
        <v> </v>
      </c>
      <c r="G4735" s="24" t="str">
        <f>IF(OR(E4735="",E4735="!!!"),"",IF(OR(J4735=0,AND(J4735=1,K4735=1),AND(J4735=1,I4735="SBJ"),AND(J4735=1,I4735=0)),"?IN_FOCUS",IF(J4735&lt;=2,"?ACTIVATED",IF(J4735&lt;&gt;"","?FAMILIAR",IF(F4735="NEW",IF(ISNA(VLOOKUP(E4735,#REF!,1,FALSE())),"?TYPE_IDENTIFIABLE","?REFERENTIAL"),"_")))))</f>
        <v> </v>
      </c>
      <c r="H4735" s="25" t="str">
        <f>IF(J4735&lt;&gt;1,"",IF(I4735="SBJ","CB","?"))</f>
        <v> </v>
      </c>
      <c r="I4735" s="26" t="str">
        <f>IF(OR(E4735="",E4735="!!!",F4735="NEW"),"",INDEX(B4734:B$2,-1+SUMPRODUCT(MAX(ROW(E4734:E$2)*(E4735=E4734:E$2)))))</f>
        <v> </v>
      </c>
      <c r="J4735" s="26" t="str">
        <f>IF(OR(E4735="",E4735="!!!",F4735="NEW"),"",COUNTBLANK(OFFSET(A$1,,,SUMPRODUCT(MAX(ROW(E$2:E4735)*(E4735=E$2:E4735)))))-COUNTBLANK(OFFSET(A$1,,,SUMPRODUCT(MAX(ROW(E$1:E4734)*(E2=E$1:E4734))))))</f>
        <v> </v>
      </c>
      <c r="K4735" s="26" t="str">
        <f>IF(OR(E4735="",E4735="!!!",F4735="NEW"),"",INDEX(J$1:J4734,SUMPRODUCT(MAX(ROW(E$1:E4734)*(E4735=E$1:E4734)))))</f>
        <v> </v>
      </c>
      <c r="L4735" s="27"/>
    </row>
    <row r="4736" spans="1:12">
      <c r="A4736" s="20" t="s">
        <v>1000</v>
      </c>
      <c r="E4736" s="22">
        <f>IF(D4736="?OLD","!!!","")</f>
        <v/>
      </c>
      <c r="F4736" s="23" t="str">
        <f>IF(OR(E4736="",E4736="!!!"),"",IF(NOT(ISNA(VLOOKUP(E4736,E$1:E4735,1,FALSE()))),"OLD",IF(AND(E4736&lt;&gt;"",E4736&lt;&gt;"!!!"),"NEW","")))</f>
        <v> </v>
      </c>
      <c r="G4736" s="24" t="str">
        <f>IF(OR(E4736="",E4736="!!!"),"",IF(OR(J4736=0,AND(J4736=1,K4736=1),AND(J4736=1,I4736="SBJ"),AND(J4736=1,I4736=0)),"?IN_FOCUS",IF(J4736&lt;=2,"?ACTIVATED",IF(J4736&lt;&gt;"","?FAMILIAR",IF(F4736="NEW",IF(ISNA(VLOOKUP(E4736,#REF!,1,FALSE())),"?TYPE_IDENTIFIABLE","?REFERENTIAL"),"_")))))</f>
        <v> </v>
      </c>
      <c r="H4736" s="25" t="str">
        <f>IF(J4736&lt;&gt;1,"",IF(I4736="SBJ","CB","?"))</f>
        <v> </v>
      </c>
      <c r="I4736" s="26" t="str">
        <f>IF(OR(E4736="",E4736="!!!",F4736="NEW"),"",INDEX(B4735:B$2,-1+SUMPRODUCT(MAX(ROW(E4735:E$2)*(E4736=E4735:E$2)))))</f>
        <v> </v>
      </c>
      <c r="J4736" s="26" t="str">
        <f>IF(OR(E4736="",E4736="!!!",F4736="NEW"),"",COUNTBLANK(OFFSET(A$1,,,SUMPRODUCT(MAX(ROW(E$2:E4736)*(E4736=E$2:E4736)))))-COUNTBLANK(OFFSET(A$1,,,SUMPRODUCT(MAX(ROW(E$1:E4735)*(E2=E$1:E4735))))))</f>
        <v> </v>
      </c>
      <c r="K4736" s="26" t="str">
        <f>IF(OR(E4736="",E4736="!!!",F4736="NEW"),"",INDEX(J$1:J4735,SUMPRODUCT(MAX(ROW(E$1:E4735)*(E4736=E$1:E4735)))))</f>
        <v> </v>
      </c>
      <c r="L4736" s="27"/>
    </row>
    <row r="4737" spans="1:12">
      <c r="A4737" s="20" t="s">
        <v>1003</v>
      </c>
      <c r="E4737" s="22">
        <f>IF(D4737="?OLD","!!!","")</f>
        <v/>
      </c>
      <c r="F4737" s="23" t="str">
        <f>IF(OR(E4737="",E4737="!!!"),"",IF(NOT(ISNA(VLOOKUP(E4737,E$1:E4736,1,FALSE()))),"OLD",IF(AND(E4737&lt;&gt;"",E4737&lt;&gt;"!!!"),"NEW","")))</f>
        <v> </v>
      </c>
      <c r="G4737" s="24" t="str">
        <f>IF(OR(E4737="",E4737="!!!"),"",IF(OR(J4737=0,AND(J4737=1,K4737=1),AND(J4737=1,I4737="SBJ"),AND(J4737=1,I4737=0)),"?IN_FOCUS",IF(J4737&lt;=2,"?ACTIVATED",IF(J4737&lt;&gt;"","?FAMILIAR",IF(F4737="NEW",IF(ISNA(VLOOKUP(E4737,#REF!,1,FALSE())),"?TYPE_IDENTIFIABLE","?REFERENTIAL"),"_")))))</f>
        <v> </v>
      </c>
      <c r="H4737" s="25" t="str">
        <f>IF(J4737&lt;&gt;1,"",IF(I4737="SBJ","CB","?"))</f>
        <v> </v>
      </c>
      <c r="I4737" s="26" t="str">
        <f>IF(OR(E4737="",E4737="!!!",F4737="NEW"),"",INDEX(B4736:B$2,-1+SUMPRODUCT(MAX(ROW(E4736:E$2)*(E4737=E4736:E$2)))))</f>
        <v> </v>
      </c>
      <c r="J4737" s="26" t="str">
        <f>IF(OR(E4737="",E4737="!!!",F4737="NEW"),"",COUNTBLANK(OFFSET(A$1,,,SUMPRODUCT(MAX(ROW(E$2:E4737)*(E4737=E$2:E4737)))))-COUNTBLANK(OFFSET(A$1,,,SUMPRODUCT(MAX(ROW(E$1:E4736)*(E2=E$1:E4736))))))</f>
        <v> </v>
      </c>
      <c r="K4737" s="26" t="str">
        <f>IF(OR(E4737="",E4737="!!!",F4737="NEW"),"",INDEX(J$1:J4736,SUMPRODUCT(MAX(ROW(E$1:E4736)*(E4737=E$1:E4736)))))</f>
        <v> </v>
      </c>
      <c r="L4737" s="27"/>
    </row>
    <row r="4738" spans="1:12">
      <c r="A4738" s="20" t="s">
        <v>1655</v>
      </c>
      <c r="E4738" s="22">
        <f>IF(D4738="?OLD","!!!","")</f>
        <v/>
      </c>
      <c r="F4738" s="23" t="str">
        <f>IF(OR(E4738="",E4738="!!!"),"",IF(NOT(ISNA(VLOOKUP(E4738,E$1:E4737,1,FALSE()))),"OLD",IF(AND(E4738&lt;&gt;"",E4738&lt;&gt;"!!!"),"NEW","")))</f>
        <v> </v>
      </c>
      <c r="G4738" s="24" t="str">
        <f>IF(OR(E4738="",E4738="!!!"),"",IF(OR(J4738=0,AND(J4738=1,K4738=1),AND(J4738=1,I4738="SBJ"),AND(J4738=1,I4738=0)),"?IN_FOCUS",IF(J4738&lt;=2,"?ACTIVATED",IF(J4738&lt;&gt;"","?FAMILIAR",IF(F4738="NEW",IF(ISNA(VLOOKUP(E4738,#REF!,1,FALSE())),"?TYPE_IDENTIFIABLE","?REFERENTIAL"),"_")))))</f>
        <v> </v>
      </c>
      <c r="H4738" s="25" t="str">
        <f>IF(J4738&lt;&gt;1,"",IF(I4738="SBJ","CB","?"))</f>
        <v> </v>
      </c>
      <c r="I4738" s="26" t="str">
        <f>IF(OR(E4738="",E4738="!!!",F4738="NEW"),"",INDEX(B4737:B$2,-1+SUMPRODUCT(MAX(ROW(E4737:E$2)*(E4738=E4737:E$2)))))</f>
        <v> </v>
      </c>
      <c r="J4738" s="26" t="str">
        <f>IF(OR(E4738="",E4738="!!!",F4738="NEW"),"",COUNTBLANK(OFFSET(A$1,,,SUMPRODUCT(MAX(ROW(E$2:E4738)*(E4738=E$2:E4738)))))-COUNTBLANK(OFFSET(A$1,,,SUMPRODUCT(MAX(ROW(E$1:E4737)*(E2=E$1:E4737))))))</f>
        <v> </v>
      </c>
      <c r="K4738" s="26" t="str">
        <f>IF(OR(E4738="",E4738="!!!",F4738="NEW"),"",INDEX(J$1:J4737,SUMPRODUCT(MAX(ROW(E$1:E4737)*(E4738=E$1:E4737)))))</f>
        <v> </v>
      </c>
      <c r="L4738" s="27"/>
    </row>
    <row r="4739" spans="1:12">
      <c r="A4739" s="20" t="s">
        <v>1231</v>
      </c>
      <c r="E4739" s="22">
        <f>IF(D4739="?OLD","!!!","")</f>
        <v/>
      </c>
      <c r="F4739" s="23" t="str">
        <f>IF(OR(E4739="",E4739="!!!"),"",IF(NOT(ISNA(VLOOKUP(E4739,E$1:E4738,1,FALSE()))),"OLD",IF(AND(E4739&lt;&gt;"",E4739&lt;&gt;"!!!"),"NEW","")))</f>
        <v> </v>
      </c>
      <c r="G4739" s="24" t="str">
        <f>IF(OR(E4739="",E4739="!!!"),"",IF(OR(J4739=0,AND(J4739=1,K4739=1),AND(J4739=1,I4739="SBJ"),AND(J4739=1,I4739=0)),"?IN_FOCUS",IF(J4739&lt;=2,"?ACTIVATED",IF(J4739&lt;&gt;"","?FAMILIAR",IF(F4739="NEW",IF(ISNA(VLOOKUP(E4739,#REF!,1,FALSE())),"?TYPE_IDENTIFIABLE","?REFERENTIAL"),"_")))))</f>
        <v> </v>
      </c>
      <c r="H4739" s="25" t="str">
        <f>IF(J4739&lt;&gt;1,"",IF(I4739="SBJ","CB","?"))</f>
        <v> </v>
      </c>
      <c r="I4739" s="26" t="str">
        <f>IF(OR(E4739="",E4739="!!!",F4739="NEW"),"",INDEX(B4738:B$2,-1+SUMPRODUCT(MAX(ROW(E4738:E$2)*(E4739=E4738:E$2)))))</f>
        <v> </v>
      </c>
      <c r="J4739" s="26" t="str">
        <f>IF(OR(E4739="",E4739="!!!",F4739="NEW"),"",COUNTBLANK(OFFSET(A$1,,,SUMPRODUCT(MAX(ROW(E$2:E4739)*(E4739=E$2:E4739)))))-COUNTBLANK(OFFSET(A$1,,,SUMPRODUCT(MAX(ROW(E$1:E4738)*(E2=E$1:E4738))))))</f>
        <v> </v>
      </c>
      <c r="K4739" s="26" t="str">
        <f>IF(OR(E4739="",E4739="!!!",F4739="NEW"),"",INDEX(J$1:J4738,SUMPRODUCT(MAX(ROW(E$1:E4738)*(E4739=E$1:E4738)))))</f>
        <v> </v>
      </c>
      <c r="L4739" s="27"/>
    </row>
    <row r="4740" spans="1:12">
      <c r="A4740" s="20" t="s">
        <v>1066</v>
      </c>
      <c r="E4740" s="22">
        <f>IF(D4740="?OLD","!!!","")</f>
        <v/>
      </c>
      <c r="F4740" s="23" t="str">
        <f>IF(OR(E4740="",E4740="!!!"),"",IF(NOT(ISNA(VLOOKUP(E4740,E$1:E4739,1,FALSE()))),"OLD",IF(AND(E4740&lt;&gt;"",E4740&lt;&gt;"!!!"),"NEW","")))</f>
        <v> </v>
      </c>
      <c r="G4740" s="24" t="str">
        <f>IF(OR(E4740="",E4740="!!!"),"",IF(OR(J4740=0,AND(J4740=1,K4740=1),AND(J4740=1,I4740="SBJ"),AND(J4740=1,I4740=0)),"?IN_FOCUS",IF(J4740&lt;=2,"?ACTIVATED",IF(J4740&lt;&gt;"","?FAMILIAR",IF(F4740="NEW",IF(ISNA(VLOOKUP(E4740,#REF!,1,FALSE())),"?TYPE_IDENTIFIABLE","?REFERENTIAL"),"_")))))</f>
        <v> </v>
      </c>
      <c r="H4740" s="25" t="str">
        <f>IF(J4740&lt;&gt;1,"",IF(I4740="SBJ","CB","?"))</f>
        <v> </v>
      </c>
      <c r="I4740" s="26" t="str">
        <f>IF(OR(E4740="",E4740="!!!",F4740="NEW"),"",INDEX(B4739:B$2,-1+SUMPRODUCT(MAX(ROW(E4739:E$2)*(E4740=E4739:E$2)))))</f>
        <v> </v>
      </c>
      <c r="J4740" s="26" t="str">
        <f>IF(OR(E4740="",E4740="!!!",F4740="NEW"),"",COUNTBLANK(OFFSET(A$1,,,SUMPRODUCT(MAX(ROW(E$2:E4740)*(E4740=E$2:E4740)))))-COUNTBLANK(OFFSET(A$1,,,SUMPRODUCT(MAX(ROW(E$1:E4739)*(E2=E$1:E4739))))))</f>
        <v> </v>
      </c>
      <c r="K4740" s="26" t="str">
        <f>IF(OR(E4740="",E4740="!!!",F4740="NEW"),"",INDEX(J$1:J4739,SUMPRODUCT(MAX(ROW(E$1:E4739)*(E4740=E$1:E4739)))))</f>
        <v> </v>
      </c>
      <c r="L4740" s="27"/>
    </row>
    <row r="4741" spans="1:12">
      <c r="A4741" s="20" t="s">
        <v>1093</v>
      </c>
      <c r="E4741" s="22">
        <f>IF(D4741="?OLD","!!!","")</f>
        <v/>
      </c>
      <c r="F4741" s="23" t="str">
        <f>IF(OR(E4741="",E4741="!!!"),"",IF(NOT(ISNA(VLOOKUP(E4741,E$1:E4740,1,FALSE()))),"OLD",IF(AND(E4741&lt;&gt;"",E4741&lt;&gt;"!!!"),"NEW","")))</f>
        <v> </v>
      </c>
      <c r="G4741" s="24" t="str">
        <f>IF(OR(E4741="",E4741="!!!"),"",IF(OR(J4741=0,AND(J4741=1,K4741=1),AND(J4741=1,I4741="SBJ"),AND(J4741=1,I4741=0)),"?IN_FOCUS",IF(J4741&lt;=2,"?ACTIVATED",IF(J4741&lt;&gt;"","?FAMILIAR",IF(F4741="NEW",IF(ISNA(VLOOKUP(E4741,#REF!,1,FALSE())),"?TYPE_IDENTIFIABLE","?REFERENTIAL"),"_")))))</f>
        <v> </v>
      </c>
      <c r="H4741" s="25" t="str">
        <f>IF(J4741&lt;&gt;1,"",IF(I4741="SBJ","CB","?"))</f>
        <v> </v>
      </c>
      <c r="I4741" s="26" t="str">
        <f>IF(OR(E4741="",E4741="!!!",F4741="NEW"),"",INDEX(B4740:B$2,-1+SUMPRODUCT(MAX(ROW(E4740:E$2)*(E4741=E4740:E$2)))))</f>
        <v> </v>
      </c>
      <c r="J4741" s="26" t="str">
        <f>IF(OR(E4741="",E4741="!!!",F4741="NEW"),"",COUNTBLANK(OFFSET(A$1,,,SUMPRODUCT(MAX(ROW(E$2:E4741)*(E4741=E$2:E4741)))))-COUNTBLANK(OFFSET(A$1,,,SUMPRODUCT(MAX(ROW(E$1:E4740)*(E2=E$1:E4740))))))</f>
        <v> </v>
      </c>
      <c r="K4741" s="26" t="str">
        <f>IF(OR(E4741="",E4741="!!!",F4741="NEW"),"",INDEX(J$1:J4740,SUMPRODUCT(MAX(ROW(E$1:E4740)*(E4741=E$1:E4740)))))</f>
        <v> </v>
      </c>
      <c r="L4741" s="27"/>
    </row>
    <row r="4742" spans="1:12">
      <c r="A4742" s="20" t="s">
        <v>1232</v>
      </c>
      <c r="B4742" s="21" t="s">
        <v>948</v>
      </c>
      <c r="C4742" s="21" t="s">
        <v>1032</v>
      </c>
      <c r="D4742" s="21" t="s">
        <v>950</v>
      </c>
      <c r="E4742" s="22">
        <f>IF(D4742="?OLD","!!!","")</f>
        <v/>
      </c>
      <c r="F4742" s="23" t="str">
        <f>IF(OR(E4742="",E4742="!!!"),"",IF(NOT(ISNA(VLOOKUP(E4742,E$1:E4741,1,FALSE()))),"OLD",IF(AND(E4742&lt;&gt;"",E4742&lt;&gt;"!!!"),"NEW","")))</f>
        <v> </v>
      </c>
      <c r="G4742" s="24" t="str">
        <f>IF(OR(E4742="",E4742="!!!"),"",IF(OR(J4742=0,AND(J4742=1,K4742=1),AND(J4742=1,I4742="SBJ"),AND(J4742=1,I4742=0)),"?IN_FOCUS",IF(J4742&lt;=2,"?ACTIVATED",IF(J4742&lt;&gt;"","?FAMILIAR",IF(F4742="NEW",IF(ISNA(VLOOKUP(E4742,#REF!,1,FALSE())),"?TYPE_IDENTIFIABLE","?REFERENTIAL"),"_")))))</f>
        <v> </v>
      </c>
      <c r="H4742" s="25" t="str">
        <f>IF(J4742&lt;&gt;1,"",IF(I4742="SBJ","CB","?"))</f>
        <v> </v>
      </c>
      <c r="I4742" s="26" t="str">
        <f>IF(OR(E4742="",E4742="!!!",F4742="NEW"),"",INDEX(B4741:B$2,-1+SUMPRODUCT(MAX(ROW(E4741:E$2)*(E4742=E4741:E$2)))))</f>
        <v> </v>
      </c>
      <c r="J4742" s="26" t="str">
        <f>IF(OR(E4742="",E4742="!!!",F4742="NEW"),"",COUNTBLANK(OFFSET(A$1,,,SUMPRODUCT(MAX(ROW(E$2:E4742)*(E4742=E$2:E4742)))))-COUNTBLANK(OFFSET(A$1,,,SUMPRODUCT(MAX(ROW(E$1:E4741)*(E2=E$1:E4741))))))</f>
        <v> </v>
      </c>
      <c r="K4742" s="26" t="str">
        <f>IF(OR(E4742="",E4742="!!!",F4742="NEW"),"",INDEX(J$1:J4741,SUMPRODUCT(MAX(ROW(E$1:E4741)*(E4742=E$1:E4741)))))</f>
        <v> </v>
      </c>
      <c r="L4742" s="27"/>
    </row>
    <row r="4743" spans="1:12">
      <c r="A4743" s="20" t="s">
        <v>1075</v>
      </c>
      <c r="E4743" s="22">
        <f>IF(D4743="?OLD","!!!","")</f>
        <v/>
      </c>
      <c r="F4743" s="23" t="str">
        <f>IF(OR(E4743="",E4743="!!!"),"",IF(NOT(ISNA(VLOOKUP(E4743,E$1:E4742,1,FALSE()))),"OLD",IF(AND(E4743&lt;&gt;"",E4743&lt;&gt;"!!!"),"NEW","")))</f>
        <v> </v>
      </c>
      <c r="G4743" s="24" t="str">
        <f>IF(OR(E4743="",E4743="!!!"),"",IF(OR(J4743=0,AND(J4743=1,K4743=1),AND(J4743=1,I4743="SBJ"),AND(J4743=1,I4743=0)),"?IN_FOCUS",IF(J4743&lt;=2,"?ACTIVATED",IF(J4743&lt;&gt;"","?FAMILIAR",IF(F4743="NEW",IF(ISNA(VLOOKUP(E4743,#REF!,1,FALSE())),"?TYPE_IDENTIFIABLE","?REFERENTIAL"),"_")))))</f>
        <v> </v>
      </c>
      <c r="H4743" s="25" t="str">
        <f>IF(J4743&lt;&gt;1,"",IF(I4743="SBJ","CB","?"))</f>
        <v> </v>
      </c>
      <c r="I4743" s="26" t="str">
        <f>IF(OR(E4743="",E4743="!!!",F4743="NEW"),"",INDEX(B4742:B$2,-1+SUMPRODUCT(MAX(ROW(E4742:E$2)*(E4743=E4742:E$2)))))</f>
        <v> </v>
      </c>
      <c r="J4743" s="26" t="str">
        <f>IF(OR(E4743="",E4743="!!!",F4743="NEW"),"",COUNTBLANK(OFFSET(A$1,,,SUMPRODUCT(MAX(ROW(E$2:E4743)*(E4743=E$2:E4743)))))-COUNTBLANK(OFFSET(A$1,,,SUMPRODUCT(MAX(ROW(E$1:E4742)*(E2=E$1:E4742))))))</f>
        <v> </v>
      </c>
      <c r="K4743" s="26" t="str">
        <f>IF(OR(E4743="",E4743="!!!",F4743="NEW"),"",INDEX(J$1:J4742,SUMPRODUCT(MAX(ROW(E$1:E4742)*(E4743=E$1:E4742)))))</f>
        <v> </v>
      </c>
      <c r="L4743" s="27"/>
    </row>
    <row r="4744" spans="1:12">
      <c r="A4744" s="20" t="s">
        <v>965</v>
      </c>
      <c r="E4744" s="22">
        <f>IF(D4744="?OLD","!!!","")</f>
        <v/>
      </c>
      <c r="F4744" s="23" t="str">
        <f>IF(OR(E4744="",E4744="!!!"),"",IF(NOT(ISNA(VLOOKUP(E4744,E$1:E4743,1,FALSE()))),"OLD",IF(AND(E4744&lt;&gt;"",E4744&lt;&gt;"!!!"),"NEW","")))</f>
        <v> </v>
      </c>
      <c r="G4744" s="24" t="str">
        <f>IF(OR(E4744="",E4744="!!!"),"",IF(OR(J4744=0,AND(J4744=1,K4744=1),AND(J4744=1,I4744="SBJ"),AND(J4744=1,I4744=0)),"?IN_FOCUS",IF(J4744&lt;=2,"?ACTIVATED",IF(J4744&lt;&gt;"","?FAMILIAR",IF(F4744="NEW",IF(ISNA(VLOOKUP(E4744,#REF!,1,FALSE())),"?TYPE_IDENTIFIABLE","?REFERENTIAL"),"_")))))</f>
        <v> </v>
      </c>
      <c r="H4744" s="25" t="str">
        <f>IF(J4744&lt;&gt;1,"",IF(I4744="SBJ","CB","?"))</f>
        <v> </v>
      </c>
      <c r="I4744" s="26" t="str">
        <f>IF(OR(E4744="",E4744="!!!",F4744="NEW"),"",INDEX(B4743:B$2,-1+SUMPRODUCT(MAX(ROW(E4743:E$2)*(E4744=E4743:E$2)))))</f>
        <v> </v>
      </c>
      <c r="J4744" s="26" t="str">
        <f>IF(OR(E4744="",E4744="!!!",F4744="NEW"),"",COUNTBLANK(OFFSET(A$1,,,SUMPRODUCT(MAX(ROW(E$2:E4744)*(E4744=E$2:E4744)))))-COUNTBLANK(OFFSET(A$1,,,SUMPRODUCT(MAX(ROW(E$1:E4743)*(E2=E$1:E4743))))))</f>
        <v> </v>
      </c>
      <c r="K4744" s="26" t="str">
        <f>IF(OR(E4744="",E4744="!!!",F4744="NEW"),"",INDEX(J$1:J4743,SUMPRODUCT(MAX(ROW(E$1:E4743)*(E4744=E$1:E4743)))))</f>
        <v> </v>
      </c>
      <c r="L4744" s="27"/>
    </row>
    <row r="4745" spans="1:12">
      <c r="A4745" s="20" t="s">
        <v>1093</v>
      </c>
      <c r="E4745" s="22">
        <f>IF(D4745="?OLD","!!!","")</f>
        <v/>
      </c>
      <c r="F4745" s="23" t="str">
        <f>IF(OR(E4745="",E4745="!!!"),"",IF(NOT(ISNA(VLOOKUP(E4745,E$1:E4744,1,FALSE()))),"OLD",IF(AND(E4745&lt;&gt;"",E4745&lt;&gt;"!!!"),"NEW","")))</f>
        <v> </v>
      </c>
      <c r="G4745" s="24" t="str">
        <f>IF(OR(E4745="",E4745="!!!"),"",IF(OR(J4745=0,AND(J4745=1,K4745=1),AND(J4745=1,I4745="SBJ"),AND(J4745=1,I4745=0)),"?IN_FOCUS",IF(J4745&lt;=2,"?ACTIVATED",IF(J4745&lt;&gt;"","?FAMILIAR",IF(F4745="NEW",IF(ISNA(VLOOKUP(E4745,#REF!,1,FALSE())),"?TYPE_IDENTIFIABLE","?REFERENTIAL"),"_")))))</f>
        <v> </v>
      </c>
      <c r="H4745" s="25" t="str">
        <f>IF(J4745&lt;&gt;1,"",IF(I4745="SBJ","CB","?"))</f>
        <v> </v>
      </c>
      <c r="I4745" s="26" t="str">
        <f>IF(OR(E4745="",E4745="!!!",F4745="NEW"),"",INDEX(B4744:B$2,-1+SUMPRODUCT(MAX(ROW(E4744:E$2)*(E4745=E4744:E$2)))))</f>
        <v> </v>
      </c>
      <c r="J4745" s="26" t="str">
        <f>IF(OR(E4745="",E4745="!!!",F4745="NEW"),"",COUNTBLANK(OFFSET(A$1,,,SUMPRODUCT(MAX(ROW(E$2:E4745)*(E4745=E$2:E4745)))))-COUNTBLANK(OFFSET(A$1,,,SUMPRODUCT(MAX(ROW(E$1:E4744)*(E2=E$1:E4744))))))</f>
        <v> </v>
      </c>
      <c r="K4745" s="26" t="str">
        <f>IF(OR(E4745="",E4745="!!!",F4745="NEW"),"",INDEX(J$1:J4744,SUMPRODUCT(MAX(ROW(E$1:E4744)*(E4745=E$1:E4744)))))</f>
        <v> </v>
      </c>
      <c r="L4745" s="27"/>
    </row>
    <row r="4746" spans="1:12">
      <c r="A4746" s="20" t="s">
        <v>1094</v>
      </c>
      <c r="B4746" s="21" t="s">
        <v>966</v>
      </c>
      <c r="C4746" s="21" t="s">
        <v>1032</v>
      </c>
      <c r="D4746" s="21" t="s">
        <v>950</v>
      </c>
      <c r="E4746" s="22">
        <f>IF(D4746="?OLD","!!!","")</f>
        <v/>
      </c>
      <c r="F4746" s="23" t="str">
        <f>IF(OR(E4746="",E4746="!!!"),"",IF(NOT(ISNA(VLOOKUP(E4746,E$1:E4745,1,FALSE()))),"OLD",IF(AND(E4746&lt;&gt;"",E4746&lt;&gt;"!!!"),"NEW","")))</f>
        <v> </v>
      </c>
      <c r="G4746" s="24" t="str">
        <f>IF(OR(E4746="",E4746="!!!"),"",IF(OR(J4746=0,AND(J4746=1,K4746=1),AND(J4746=1,I4746="SBJ"),AND(J4746=1,I4746=0)),"?IN_FOCUS",IF(J4746&lt;=2,"?ACTIVATED",IF(J4746&lt;&gt;"","?FAMILIAR",IF(F4746="NEW",IF(ISNA(VLOOKUP(E4746,#REF!,1,FALSE())),"?TYPE_IDENTIFIABLE","?REFERENTIAL"),"_")))))</f>
        <v> </v>
      </c>
      <c r="H4746" s="25" t="str">
        <f>IF(J4746&lt;&gt;1,"",IF(I4746="SBJ","CB","?"))</f>
        <v> </v>
      </c>
      <c r="I4746" s="26" t="str">
        <f>IF(OR(E4746="",E4746="!!!",F4746="NEW"),"",INDEX(B4745:B$2,-1+SUMPRODUCT(MAX(ROW(E4745:E$2)*(E4746=E4745:E$2)))))</f>
        <v> </v>
      </c>
      <c r="J4746" s="26" t="str">
        <f>IF(OR(E4746="",E4746="!!!",F4746="NEW"),"",COUNTBLANK(OFFSET(A$1,,,SUMPRODUCT(MAX(ROW(E$2:E4746)*(E4746=E$2:E4746)))))-COUNTBLANK(OFFSET(A$1,,,SUMPRODUCT(MAX(ROW(E$1:E4745)*(E2=E$1:E4745))))))</f>
        <v> </v>
      </c>
      <c r="K4746" s="26" t="str">
        <f>IF(OR(E4746="",E4746="!!!",F4746="NEW"),"",INDEX(J$1:J4745,SUMPRODUCT(MAX(ROW(E$1:E4745)*(E4746=E$1:E4745)))))</f>
        <v> </v>
      </c>
      <c r="L4746" s="27"/>
    </row>
    <row r="4747" spans="1:12">
      <c r="A4747" s="20" t="s">
        <v>1452</v>
      </c>
      <c r="E4747" s="22">
        <f>IF(D4747="?OLD","!!!","")</f>
        <v/>
      </c>
      <c r="F4747" s="23" t="str">
        <f>IF(OR(E4747="",E4747="!!!"),"",IF(NOT(ISNA(VLOOKUP(E4747,E$1:E4746,1,FALSE()))),"OLD",IF(AND(E4747&lt;&gt;"",E4747&lt;&gt;"!!!"),"NEW","")))</f>
        <v> </v>
      </c>
      <c r="G4747" s="24" t="str">
        <f>IF(OR(E4747="",E4747="!!!"),"",IF(OR(J4747=0,AND(J4747=1,K4747=1),AND(J4747=1,I4747="SBJ"),AND(J4747=1,I4747=0)),"?IN_FOCUS",IF(J4747&lt;=2,"?ACTIVATED",IF(J4747&lt;&gt;"","?FAMILIAR",IF(F4747="NEW",IF(ISNA(VLOOKUP(E4747,#REF!,1,FALSE())),"?TYPE_IDENTIFIABLE","?REFERENTIAL"),"_")))))</f>
        <v> </v>
      </c>
      <c r="H4747" s="25" t="str">
        <f>IF(J4747&lt;&gt;1,"",IF(I4747="SBJ","CB","?"))</f>
        <v> </v>
      </c>
      <c r="I4747" s="26" t="str">
        <f>IF(OR(E4747="",E4747="!!!",F4747="NEW"),"",INDEX(B4746:B$2,-1+SUMPRODUCT(MAX(ROW(E4746:E$2)*(E4747=E4746:E$2)))))</f>
        <v> </v>
      </c>
      <c r="J4747" s="26" t="str">
        <f>IF(OR(E4747="",E4747="!!!",F4747="NEW"),"",COUNTBLANK(OFFSET(A$1,,,SUMPRODUCT(MAX(ROW(E$2:E4747)*(E4747=E$2:E4747)))))-COUNTBLANK(OFFSET(A$1,,,SUMPRODUCT(MAX(ROW(E$1:E4746)*(E2=E$1:E4746))))))</f>
        <v> </v>
      </c>
      <c r="K4747" s="26" t="str">
        <f>IF(OR(E4747="",E4747="!!!",F4747="NEW"),"",INDEX(J$1:J4746,SUMPRODUCT(MAX(ROW(E$1:E4746)*(E4747=E$1:E4746)))))</f>
        <v> </v>
      </c>
      <c r="L4747" s="27"/>
    </row>
    <row r="4748" spans="1:12">
      <c r="A4748" s="20" t="s">
        <v>972</v>
      </c>
      <c r="E4748" s="22">
        <f>IF(D4748="?OLD","!!!","")</f>
        <v/>
      </c>
      <c r="F4748" s="23" t="str">
        <f>IF(OR(E4748="",E4748="!!!"),"",IF(NOT(ISNA(VLOOKUP(E4748,E$1:E4747,1,FALSE()))),"OLD",IF(AND(E4748&lt;&gt;"",E4748&lt;&gt;"!!!"),"NEW","")))</f>
        <v> </v>
      </c>
      <c r="G4748" s="24" t="str">
        <f>IF(OR(E4748="",E4748="!!!"),"",IF(OR(J4748=0,AND(J4748=1,K4748=1),AND(J4748=1,I4748="SBJ"),AND(J4748=1,I4748=0)),"?IN_FOCUS",IF(J4748&lt;=2,"?ACTIVATED",IF(J4748&lt;&gt;"","?FAMILIAR",IF(F4748="NEW",IF(ISNA(VLOOKUP(E4748,#REF!,1,FALSE())),"?TYPE_IDENTIFIABLE","?REFERENTIAL"),"_")))))</f>
        <v> </v>
      </c>
      <c r="H4748" s="25" t="str">
        <f>IF(J4748&lt;&gt;1,"",IF(I4748="SBJ","CB","?"))</f>
        <v> </v>
      </c>
      <c r="I4748" s="26" t="str">
        <f>IF(OR(E4748="",E4748="!!!",F4748="NEW"),"",INDEX(B4747:B$2,-1+SUMPRODUCT(MAX(ROW(E4747:E$2)*(E4748=E4747:E$2)))))</f>
        <v> </v>
      </c>
      <c r="J4748" s="26" t="str">
        <f>IF(OR(E4748="",E4748="!!!",F4748="NEW"),"",COUNTBLANK(OFFSET(A$1,,,SUMPRODUCT(MAX(ROW(E$2:E4748)*(E4748=E$2:E4748)))))-COUNTBLANK(OFFSET(A$1,,,SUMPRODUCT(MAX(ROW(E$1:E4747)*(E2=E$1:E4747))))))</f>
        <v> </v>
      </c>
      <c r="K4748" s="26" t="str">
        <f>IF(OR(E4748="",E4748="!!!",F4748="NEW"),"",INDEX(J$1:J4747,SUMPRODUCT(MAX(ROW(E$1:E4747)*(E4748=E$1:E4747)))))</f>
        <v> </v>
      </c>
      <c r="L4748" s="27"/>
    </row>
    <row r="4749" spans="1:12">
      <c r="A4749" s="20" t="s">
        <v>264</v>
      </c>
      <c r="E4749" s="22">
        <f>IF(D4749="?OLD","!!!","")</f>
        <v/>
      </c>
      <c r="F4749" s="23" t="str">
        <f>IF(OR(E4749="",E4749="!!!"),"",IF(NOT(ISNA(VLOOKUP(E4749,E$1:E4748,1,FALSE()))),"OLD",IF(AND(E4749&lt;&gt;"",E4749&lt;&gt;"!!!"),"NEW","")))</f>
        <v> </v>
      </c>
      <c r="G4749" s="24" t="str">
        <f>IF(OR(E4749="",E4749="!!!"),"",IF(OR(J4749=0,AND(J4749=1,K4749=1),AND(J4749=1,I4749="SBJ"),AND(J4749=1,I4749=0)),"?IN_FOCUS",IF(J4749&lt;=2,"?ACTIVATED",IF(J4749&lt;&gt;"","?FAMILIAR",IF(F4749="NEW",IF(ISNA(VLOOKUP(E4749,#REF!,1,FALSE())),"?TYPE_IDENTIFIABLE","?REFERENTIAL"),"_")))))</f>
        <v> </v>
      </c>
      <c r="H4749" s="25" t="str">
        <f>IF(J4749&lt;&gt;1,"",IF(I4749="SBJ","CB","?"))</f>
        <v> </v>
      </c>
      <c r="I4749" s="26" t="str">
        <f>IF(OR(E4749="",E4749="!!!",F4749="NEW"),"",INDEX(B4748:B$2,-1+SUMPRODUCT(MAX(ROW(E4748:E$2)*(E4749=E4748:E$2)))))</f>
        <v> </v>
      </c>
      <c r="J4749" s="26" t="str">
        <f>IF(OR(E4749="",E4749="!!!",F4749="NEW"),"",COUNTBLANK(OFFSET(A$1,,,SUMPRODUCT(MAX(ROW(E$2:E4749)*(E4749=E$2:E4749)))))-COUNTBLANK(OFFSET(A$1,,,SUMPRODUCT(MAX(ROW(E$1:E4748)*(E2=E$1:E4748))))))</f>
        <v> </v>
      </c>
      <c r="K4749" s="26" t="str">
        <f>IF(OR(E4749="",E4749="!!!",F4749="NEW"),"",INDEX(J$1:J4748,SUMPRODUCT(MAX(ROW(E$1:E4748)*(E4749=E$1:E4748)))))</f>
        <v> </v>
      </c>
      <c r="L4749" s="27"/>
    </row>
    <row r="4750" spans="1:12">
      <c r="A4750" s="20" t="s">
        <v>2225</v>
      </c>
      <c r="E4750" s="22">
        <f>IF(D4750="?OLD","!!!","")</f>
        <v/>
      </c>
      <c r="F4750" s="23" t="str">
        <f>IF(OR(E4750="",E4750="!!!"),"",IF(NOT(ISNA(VLOOKUP(E4750,E$1:E4749,1,FALSE()))),"OLD",IF(AND(E4750&lt;&gt;"",E4750&lt;&gt;"!!!"),"NEW","")))</f>
        <v> </v>
      </c>
      <c r="G4750" s="24" t="str">
        <f>IF(OR(E4750="",E4750="!!!"),"",IF(OR(J4750=0,AND(J4750=1,K4750=1),AND(J4750=1,I4750="SBJ"),AND(J4750=1,I4750=0)),"?IN_FOCUS",IF(J4750&lt;=2,"?ACTIVATED",IF(J4750&lt;&gt;"","?FAMILIAR",IF(F4750="NEW",IF(ISNA(VLOOKUP(E4750,#REF!,1,FALSE())),"?TYPE_IDENTIFIABLE","?REFERENTIAL"),"_")))))</f>
        <v> </v>
      </c>
      <c r="H4750" s="25" t="str">
        <f>IF(J4750&lt;&gt;1,"",IF(I4750="SBJ","CB","?"))</f>
        <v> </v>
      </c>
      <c r="I4750" s="26" t="str">
        <f>IF(OR(E4750="",E4750="!!!",F4750="NEW"),"",INDEX(B4749:B$2,-1+SUMPRODUCT(MAX(ROW(E4749:E$2)*(E4750=E4749:E$2)))))</f>
        <v> </v>
      </c>
      <c r="J4750" s="26" t="str">
        <f>IF(OR(E4750="",E4750="!!!",F4750="NEW"),"",COUNTBLANK(OFFSET(A$1,,,SUMPRODUCT(MAX(ROW(E$2:E4750)*(E4750=E$2:E4750)))))-COUNTBLANK(OFFSET(A$1,,,SUMPRODUCT(MAX(ROW(E$1:E4749)*(E2=E$1:E4749))))))</f>
        <v> </v>
      </c>
      <c r="K4750" s="26" t="str">
        <f>IF(OR(E4750="",E4750="!!!",F4750="NEW"),"",INDEX(J$1:J4749,SUMPRODUCT(MAX(ROW(E$1:E4749)*(E4750=E$1:E4749)))))</f>
        <v> </v>
      </c>
      <c r="L4750" s="27"/>
    </row>
    <row r="4751" spans="1:12">
      <c r="A4751" s="20" t="s">
        <v>1000</v>
      </c>
      <c r="E4751" s="22">
        <f>IF(D4751="?OLD","!!!","")</f>
        <v/>
      </c>
      <c r="F4751" s="23" t="str">
        <f>IF(OR(E4751="",E4751="!!!"),"",IF(NOT(ISNA(VLOOKUP(E4751,E$1:E4750,1,FALSE()))),"OLD",IF(AND(E4751&lt;&gt;"",E4751&lt;&gt;"!!!"),"NEW","")))</f>
        <v> </v>
      </c>
      <c r="G4751" s="24" t="str">
        <f>IF(OR(E4751="",E4751="!!!"),"",IF(OR(J4751=0,AND(J4751=1,K4751=1),AND(J4751=1,I4751="SBJ"),AND(J4751=1,I4751=0)),"?IN_FOCUS",IF(J4751&lt;=2,"?ACTIVATED",IF(J4751&lt;&gt;"","?FAMILIAR",IF(F4751="NEW",IF(ISNA(VLOOKUP(E4751,#REF!,1,FALSE())),"?TYPE_IDENTIFIABLE","?REFERENTIAL"),"_")))))</f>
        <v> </v>
      </c>
      <c r="H4751" s="25" t="str">
        <f>IF(J4751&lt;&gt;1,"",IF(I4751="SBJ","CB","?"))</f>
        <v> </v>
      </c>
      <c r="I4751" s="26" t="str">
        <f>IF(OR(E4751="",E4751="!!!",F4751="NEW"),"",INDEX(B4750:B$2,-1+SUMPRODUCT(MAX(ROW(E4750:E$2)*(E4751=E4750:E$2)))))</f>
        <v> </v>
      </c>
      <c r="J4751" s="26" t="str">
        <f>IF(OR(E4751="",E4751="!!!",F4751="NEW"),"",COUNTBLANK(OFFSET(A$1,,,SUMPRODUCT(MAX(ROW(E$2:E4751)*(E4751=E$2:E4751)))))-COUNTBLANK(OFFSET(A$1,,,SUMPRODUCT(MAX(ROW(E$1:E4750)*(E2=E$1:E4750))))))</f>
        <v> </v>
      </c>
      <c r="K4751" s="26" t="str">
        <f>IF(OR(E4751="",E4751="!!!",F4751="NEW"),"",INDEX(J$1:J4750,SUMPRODUCT(MAX(ROW(E$1:E4750)*(E4751=E$1:E4750)))))</f>
        <v> </v>
      </c>
      <c r="L4751" s="27"/>
    </row>
    <row r="4752" spans="1:12">
      <c r="A4752" s="20" t="s">
        <v>1618</v>
      </c>
      <c r="E4752" s="22">
        <f>IF(D4752="?OLD","!!!","")</f>
        <v/>
      </c>
      <c r="F4752" s="23" t="str">
        <f>IF(OR(E4752="",E4752="!!!"),"",IF(NOT(ISNA(VLOOKUP(E4752,E$1:E4751,1,FALSE()))),"OLD",IF(AND(E4752&lt;&gt;"",E4752&lt;&gt;"!!!"),"NEW","")))</f>
        <v> </v>
      </c>
      <c r="G4752" s="24" t="str">
        <f>IF(OR(E4752="",E4752="!!!"),"",IF(OR(J4752=0,AND(J4752=1,K4752=1),AND(J4752=1,I4752="SBJ"),AND(J4752=1,I4752=0)),"?IN_FOCUS",IF(J4752&lt;=2,"?ACTIVATED",IF(J4752&lt;&gt;"","?FAMILIAR",IF(F4752="NEW",IF(ISNA(VLOOKUP(E4752,#REF!,1,FALSE())),"?TYPE_IDENTIFIABLE","?REFERENTIAL"),"_")))))</f>
        <v> </v>
      </c>
      <c r="H4752" s="25" t="str">
        <f>IF(J4752&lt;&gt;1,"",IF(I4752="SBJ","CB","?"))</f>
        <v> </v>
      </c>
      <c r="I4752" s="26" t="str">
        <f>IF(OR(E4752="",E4752="!!!",F4752="NEW"),"",INDEX(B4751:B$2,-1+SUMPRODUCT(MAX(ROW(E4751:E$2)*(E4752=E4751:E$2)))))</f>
        <v> </v>
      </c>
      <c r="J4752" s="26" t="str">
        <f>IF(OR(E4752="",E4752="!!!",F4752="NEW"),"",COUNTBLANK(OFFSET(A$1,,,SUMPRODUCT(MAX(ROW(E$2:E4752)*(E4752=E$2:E4752)))))-COUNTBLANK(OFFSET(A$1,,,SUMPRODUCT(MAX(ROW(E$1:E4751)*(E2=E$1:E4751))))))</f>
        <v> </v>
      </c>
      <c r="K4752" s="26" t="str">
        <f>IF(OR(E4752="",E4752="!!!",F4752="NEW"),"",INDEX(J$1:J4751,SUMPRODUCT(MAX(ROW(E$1:E4751)*(E4752=E$1:E4751)))))</f>
        <v> </v>
      </c>
      <c r="L4752" s="27"/>
    </row>
    <row r="4753" spans="1:12">
      <c r="A4753" s="20" t="s">
        <v>1075</v>
      </c>
      <c r="E4753" s="22">
        <f>IF(D4753="?OLD","!!!","")</f>
        <v/>
      </c>
      <c r="F4753" s="23" t="str">
        <f>IF(OR(E4753="",E4753="!!!"),"",IF(NOT(ISNA(VLOOKUP(E4753,E$1:E4752,1,FALSE()))),"OLD",IF(AND(E4753&lt;&gt;"",E4753&lt;&gt;"!!!"),"NEW","")))</f>
        <v> </v>
      </c>
      <c r="G4753" s="24" t="str">
        <f>IF(OR(E4753="",E4753="!!!"),"",IF(OR(J4753=0,AND(J4753=1,K4753=1),AND(J4753=1,I4753="SBJ"),AND(J4753=1,I4753=0)),"?IN_FOCUS",IF(J4753&lt;=2,"?ACTIVATED",IF(J4753&lt;&gt;"","?FAMILIAR",IF(F4753="NEW",IF(ISNA(VLOOKUP(E4753,#REF!,1,FALSE())),"?TYPE_IDENTIFIABLE","?REFERENTIAL"),"_")))))</f>
        <v> </v>
      </c>
      <c r="H4753" s="25" t="str">
        <f>IF(J4753&lt;&gt;1,"",IF(I4753="SBJ","CB","?"))</f>
        <v> </v>
      </c>
      <c r="I4753" s="26" t="str">
        <f>IF(OR(E4753="",E4753="!!!",F4753="NEW"),"",INDEX(B4752:B$2,-1+SUMPRODUCT(MAX(ROW(E4752:E$2)*(E4753=E4752:E$2)))))</f>
        <v> </v>
      </c>
      <c r="J4753" s="26" t="str">
        <f>IF(OR(E4753="",E4753="!!!",F4753="NEW"),"",COUNTBLANK(OFFSET(A$1,,,SUMPRODUCT(MAX(ROW(E$2:E4753)*(E4753=E$2:E4753)))))-COUNTBLANK(OFFSET(A$1,,,SUMPRODUCT(MAX(ROW(E$1:E4752)*(E2=E$1:E4752))))))</f>
        <v> </v>
      </c>
      <c r="K4753" s="26" t="str">
        <f>IF(OR(E4753="",E4753="!!!",F4753="NEW"),"",INDEX(J$1:J4752,SUMPRODUCT(MAX(ROW(E$1:E4752)*(E4753=E$1:E4752)))))</f>
        <v> </v>
      </c>
      <c r="L4753" s="27"/>
    </row>
    <row r="4754" spans="1:12">
      <c r="A4754" s="20" t="s">
        <v>1232</v>
      </c>
      <c r="B4754" s="21" t="s">
        <v>980</v>
      </c>
      <c r="C4754" s="21" t="s">
        <v>983</v>
      </c>
      <c r="E4754" s="22">
        <f>IF(D4754="?OLD","!!!","")</f>
        <v/>
      </c>
      <c r="F4754" s="23" t="str">
        <f>IF(OR(E4754="",E4754="!!!"),"",IF(NOT(ISNA(VLOOKUP(E4754,E$1:E4753,1,FALSE()))),"OLD",IF(AND(E4754&lt;&gt;"",E4754&lt;&gt;"!!!"),"NEW","")))</f>
        <v> </v>
      </c>
      <c r="G4754" s="24" t="str">
        <f>IF(OR(E4754="",E4754="!!!"),"",IF(OR(J4754=0,AND(J4754=1,K4754=1),AND(J4754=1,I4754="SBJ"),AND(J4754=1,I4754=0)),"?IN_FOCUS",IF(J4754&lt;=2,"?ACTIVATED",IF(J4754&lt;&gt;"","?FAMILIAR",IF(F4754="NEW",IF(ISNA(VLOOKUP(E4754,#REF!,1,FALSE())),"?TYPE_IDENTIFIABLE","?REFERENTIAL"),"_")))))</f>
        <v> </v>
      </c>
      <c r="H4754" s="25" t="str">
        <f>IF(J4754&lt;&gt;1,"",IF(I4754="SBJ","CB","?"))</f>
        <v> </v>
      </c>
      <c r="I4754" s="26" t="str">
        <f>IF(OR(E4754="",E4754="!!!",F4754="NEW"),"",INDEX(B4753:B$2,-1+SUMPRODUCT(MAX(ROW(E4753:E$2)*(E4754=E4753:E$2)))))</f>
        <v> </v>
      </c>
      <c r="J4754" s="26" t="str">
        <f>IF(OR(E4754="",E4754="!!!",F4754="NEW"),"",COUNTBLANK(OFFSET(A$1,,,SUMPRODUCT(MAX(ROW(E$2:E4754)*(E4754=E$2:E4754)))))-COUNTBLANK(OFFSET(A$1,,,SUMPRODUCT(MAX(ROW(E$1:E4753)*(E2=E$1:E4753))))))</f>
        <v> </v>
      </c>
      <c r="K4754" s="26" t="str">
        <f>IF(OR(E4754="",E4754="!!!",F4754="NEW"),"",INDEX(J$1:J4753,SUMPRODUCT(MAX(ROW(E$1:E4753)*(E4754=E$1:E4753)))))</f>
        <v> </v>
      </c>
      <c r="L4754" s="27"/>
    </row>
    <row r="4755" spans="1:12">
      <c r="A4755" s="20" t="s">
        <v>1075</v>
      </c>
      <c r="E4755" s="22">
        <f>IF(D4755="?OLD","!!!","")</f>
        <v/>
      </c>
      <c r="F4755" s="23" t="str">
        <f>IF(OR(E4755="",E4755="!!!"),"",IF(NOT(ISNA(VLOOKUP(E4755,E$1:E4754,1,FALSE()))),"OLD",IF(AND(E4755&lt;&gt;"",E4755&lt;&gt;"!!!"),"NEW","")))</f>
        <v> </v>
      </c>
      <c r="G4755" s="24" t="str">
        <f>IF(OR(E4755="",E4755="!!!"),"",IF(OR(J4755=0,AND(J4755=1,K4755=1),AND(J4755=1,I4755="SBJ"),AND(J4755=1,I4755=0)),"?IN_FOCUS",IF(J4755&lt;=2,"?ACTIVATED",IF(J4755&lt;&gt;"","?FAMILIAR",IF(F4755="NEW",IF(ISNA(VLOOKUP(E4755,#REF!,1,FALSE())),"?TYPE_IDENTIFIABLE","?REFERENTIAL"),"_")))))</f>
        <v> </v>
      </c>
      <c r="H4755" s="25" t="str">
        <f>IF(J4755&lt;&gt;1,"",IF(I4755="SBJ","CB","?"))</f>
        <v> </v>
      </c>
      <c r="I4755" s="26" t="str">
        <f>IF(OR(E4755="",E4755="!!!",F4755="NEW"),"",INDEX(B4754:B$2,-1+SUMPRODUCT(MAX(ROW(E4754:E$2)*(E4755=E4754:E$2)))))</f>
        <v> </v>
      </c>
      <c r="J4755" s="26" t="str">
        <f>IF(OR(E4755="",E4755="!!!",F4755="NEW"),"",COUNTBLANK(OFFSET(A$1,,,SUMPRODUCT(MAX(ROW(E$2:E4755)*(E4755=E$2:E4755)))))-COUNTBLANK(OFFSET(A$1,,,SUMPRODUCT(MAX(ROW(E$1:E4754)*(E2=E$1:E4754))))))</f>
        <v> </v>
      </c>
      <c r="K4755" s="26" t="str">
        <f>IF(OR(E4755="",E4755="!!!",F4755="NEW"),"",INDEX(J$1:J4754,SUMPRODUCT(MAX(ROW(E$1:E4754)*(E4755=E$1:E4754)))))</f>
        <v> </v>
      </c>
      <c r="L4755" s="27"/>
    </row>
    <row r="4756" spans="1:12">
      <c r="A4756" s="20" t="s">
        <v>965</v>
      </c>
      <c r="B4756" s="21" t="s">
        <v>1053</v>
      </c>
      <c r="E4756" s="22">
        <f>IF(D4756="?OLD","!!!","")</f>
        <v/>
      </c>
      <c r="F4756" s="23" t="str">
        <f>IF(OR(E4756="",E4756="!!!"),"",IF(NOT(ISNA(VLOOKUP(E4756,E$1:E4755,1,FALSE()))),"OLD",IF(AND(E4756&lt;&gt;"",E4756&lt;&gt;"!!!"),"NEW","")))</f>
        <v> </v>
      </c>
      <c r="G4756" s="24" t="str">
        <f>IF(OR(E4756="",E4756="!!!"),"",IF(OR(J4756=0,AND(J4756=1,K4756=1),AND(J4756=1,I4756="SBJ"),AND(J4756=1,I4756=0)),"?IN_FOCUS",IF(J4756&lt;=2,"?ACTIVATED",IF(J4756&lt;&gt;"","?FAMILIAR",IF(F4756="NEW",IF(ISNA(VLOOKUP(E4756,#REF!,1,FALSE())),"?TYPE_IDENTIFIABLE","?REFERENTIAL"),"_")))))</f>
        <v> </v>
      </c>
      <c r="H4756" s="25" t="str">
        <f>IF(J4756&lt;&gt;1,"",IF(I4756="SBJ","CB","?"))</f>
        <v> </v>
      </c>
      <c r="I4756" s="26" t="str">
        <f>IF(OR(E4756="",E4756="!!!",F4756="NEW"),"",INDEX(B4755:B$2,-1+SUMPRODUCT(MAX(ROW(E4755:E$2)*(E4756=E4755:E$2)))))</f>
        <v> </v>
      </c>
      <c r="J4756" s="26" t="str">
        <f>IF(OR(E4756="",E4756="!!!",F4756="NEW"),"",COUNTBLANK(OFFSET(A$1,,,SUMPRODUCT(MAX(ROW(E$2:E4756)*(E4756=E$2:E4756)))))-COUNTBLANK(OFFSET(A$1,,,SUMPRODUCT(MAX(ROW(E$1:E4755)*(E2=E$1:E4755))))))</f>
        <v> </v>
      </c>
      <c r="K4756" s="26" t="str">
        <f>IF(OR(E4756="",E4756="!!!",F4756="NEW"),"",INDEX(J$1:J4755,SUMPRODUCT(MAX(ROW(E$1:E4755)*(E4756=E$1:E4755)))))</f>
        <v> </v>
      </c>
      <c r="L4756" s="27"/>
    </row>
    <row r="4757" spans="1:12">
      <c r="A4757" s="20" t="s">
        <v>1764</v>
      </c>
      <c r="B4757" s="21" t="s">
        <v>1043</v>
      </c>
      <c r="C4757" s="21" t="s">
        <v>1074</v>
      </c>
      <c r="E4757" s="22">
        <f>IF(D4757="?OLD","!!!","")</f>
        <v/>
      </c>
      <c r="F4757" s="23" t="str">
        <f>IF(OR(E4757="",E4757="!!!"),"",IF(NOT(ISNA(VLOOKUP(E4757,E$1:E4756,1,FALSE()))),"OLD",IF(AND(E4757&lt;&gt;"",E4757&lt;&gt;"!!!"),"NEW","")))</f>
        <v> </v>
      </c>
      <c r="G4757" s="24" t="str">
        <f>IF(OR(E4757="",E4757="!!!"),"",IF(OR(J4757=0,AND(J4757=1,K4757=1),AND(J4757=1,I4757="SBJ"),AND(J4757=1,I4757=0)),"?IN_FOCUS",IF(J4757&lt;=2,"?ACTIVATED",IF(J4757&lt;&gt;"","?FAMILIAR",IF(F4757="NEW",IF(ISNA(VLOOKUP(E4757,#REF!,1,FALSE())),"?TYPE_IDENTIFIABLE","?REFERENTIAL"),"_")))))</f>
        <v> </v>
      </c>
      <c r="H4757" s="25" t="str">
        <f>IF(J4757&lt;&gt;1,"",IF(I4757="SBJ","CB","?"))</f>
        <v> </v>
      </c>
      <c r="I4757" s="26" t="str">
        <f>IF(OR(E4757="",E4757="!!!",F4757="NEW"),"",INDEX(B4756:B$2,-1+SUMPRODUCT(MAX(ROW(E4756:E$2)*(E4757=E4756:E$2)))))</f>
        <v> </v>
      </c>
      <c r="J4757" s="26" t="str">
        <f>IF(OR(E4757="",E4757="!!!",F4757="NEW"),"",COUNTBLANK(OFFSET(A$1,,,SUMPRODUCT(MAX(ROW(E$2:E4757)*(E4757=E$2:E4757)))))-COUNTBLANK(OFFSET(A$1,,,SUMPRODUCT(MAX(ROW(E$1:E4756)*(E2=E$1:E4756))))))</f>
        <v> </v>
      </c>
      <c r="K4757" s="26" t="str">
        <f>IF(OR(E4757="",E4757="!!!",F4757="NEW"),"",INDEX(J$1:J4756,SUMPRODUCT(MAX(ROW(E$1:E4756)*(E4757=E$1:E4756)))))</f>
        <v> </v>
      </c>
      <c r="L4757" s="27"/>
    </row>
    <row r="4758" spans="1:12">
      <c r="A4758" s="20" t="s">
        <v>1065</v>
      </c>
      <c r="E4758" s="22">
        <f>IF(D4758="?OLD","!!!","")</f>
        <v/>
      </c>
      <c r="F4758" s="23" t="str">
        <f>IF(OR(E4758="",E4758="!!!"),"",IF(NOT(ISNA(VLOOKUP(E4758,E$1:E4757,1,FALSE()))),"OLD",IF(AND(E4758&lt;&gt;"",E4758&lt;&gt;"!!!"),"NEW","")))</f>
        <v> </v>
      </c>
      <c r="G4758" s="24" t="str">
        <f>IF(OR(E4758="",E4758="!!!"),"",IF(OR(J4758=0,AND(J4758=1,K4758=1),AND(J4758=1,I4758="SBJ"),AND(J4758=1,I4758=0)),"?IN_FOCUS",IF(J4758&lt;=2,"?ACTIVATED",IF(J4758&lt;&gt;"","?FAMILIAR",IF(F4758="NEW",IF(ISNA(VLOOKUP(E4758,#REF!,1,FALSE())),"?TYPE_IDENTIFIABLE","?REFERENTIAL"),"_")))))</f>
        <v> </v>
      </c>
      <c r="H4758" s="25" t="str">
        <f>IF(J4758&lt;&gt;1,"",IF(I4758="SBJ","CB","?"))</f>
        <v> </v>
      </c>
      <c r="I4758" s="26" t="str">
        <f>IF(OR(E4758="",E4758="!!!",F4758="NEW"),"",INDEX(B4757:B$2,-1+SUMPRODUCT(MAX(ROW(E4757:E$2)*(E4758=E4757:E$2)))))</f>
        <v> </v>
      </c>
      <c r="J4758" s="26" t="str">
        <f>IF(OR(E4758="",E4758="!!!",F4758="NEW"),"",COUNTBLANK(OFFSET(A$1,,,SUMPRODUCT(MAX(ROW(E$2:E4758)*(E4758=E$2:E4758)))))-COUNTBLANK(OFFSET(A$1,,,SUMPRODUCT(MAX(ROW(E$1:E4757)*(E2=E$1:E4757))))))</f>
        <v> </v>
      </c>
      <c r="K4758" s="26" t="str">
        <f>IF(OR(E4758="",E4758="!!!",F4758="NEW"),"",INDEX(J$1:J4757,SUMPRODUCT(MAX(ROW(E$1:E4757)*(E4758=E$1:E4757)))))</f>
        <v> </v>
      </c>
      <c r="L4758" s="27"/>
    </row>
    <row r="4759" spans="1:12">
      <c r="A4759" s="20" t="s">
        <v>1022</v>
      </c>
      <c r="E4759" s="22">
        <f>IF(D4759="?OLD","!!!","")</f>
        <v/>
      </c>
      <c r="F4759" s="23" t="str">
        <f>IF(OR(E4759="",E4759="!!!"),"",IF(NOT(ISNA(VLOOKUP(E4759,E$1:E4758,1,FALSE()))),"OLD",IF(AND(E4759&lt;&gt;"",E4759&lt;&gt;"!!!"),"NEW","")))</f>
        <v> </v>
      </c>
      <c r="G4759" s="24" t="str">
        <f>IF(OR(E4759="",E4759="!!!"),"",IF(OR(J4759=0,AND(J4759=1,K4759=1),AND(J4759=1,I4759="SBJ"),AND(J4759=1,I4759=0)),"?IN_FOCUS",IF(J4759&lt;=2,"?ACTIVATED",IF(J4759&lt;&gt;"","?FAMILIAR",IF(F4759="NEW",IF(ISNA(VLOOKUP(E4759,#REF!,1,FALSE())),"?TYPE_IDENTIFIABLE","?REFERENTIAL"),"_")))))</f>
        <v> </v>
      </c>
      <c r="H4759" s="25" t="str">
        <f>IF(J4759&lt;&gt;1,"",IF(I4759="SBJ","CB","?"))</f>
        <v> </v>
      </c>
      <c r="I4759" s="26" t="str">
        <f>IF(OR(E4759="",E4759="!!!",F4759="NEW"),"",INDEX(B4758:B$2,-1+SUMPRODUCT(MAX(ROW(E4758:E$2)*(E4759=E4758:E$2)))))</f>
        <v> </v>
      </c>
      <c r="J4759" s="26" t="str">
        <f>IF(OR(E4759="",E4759="!!!",F4759="NEW"),"",COUNTBLANK(OFFSET(A$1,,,SUMPRODUCT(MAX(ROW(E$2:E4759)*(E4759=E$2:E4759)))))-COUNTBLANK(OFFSET(A$1,,,SUMPRODUCT(MAX(ROW(E$1:E4758)*(E2=E$1:E4758))))))</f>
        <v> </v>
      </c>
      <c r="K4759" s="26" t="str">
        <f>IF(OR(E4759="",E4759="!!!",F4759="NEW"),"",INDEX(J$1:J4758,SUMPRODUCT(MAX(ROW(E$1:E4758)*(E4759=E$1:E4758)))))</f>
        <v> </v>
      </c>
      <c r="L4759" s="27"/>
    </row>
    <row r="4760" spans="1:12">
      <c r="A4760" s="20" t="s">
        <v>1618</v>
      </c>
      <c r="E4760" s="22">
        <f>IF(D4760="?OLD","!!!","")</f>
        <v/>
      </c>
      <c r="F4760" s="23" t="str">
        <f>IF(OR(E4760="",E4760="!!!"),"",IF(NOT(ISNA(VLOOKUP(E4760,E$1:E4759,1,FALSE()))),"OLD",IF(AND(E4760&lt;&gt;"",E4760&lt;&gt;"!!!"),"NEW","")))</f>
        <v> </v>
      </c>
      <c r="G4760" s="24" t="str">
        <f>IF(OR(E4760="",E4760="!!!"),"",IF(OR(J4760=0,AND(J4760=1,K4760=1),AND(J4760=1,I4760="SBJ"),AND(J4760=1,I4760=0)),"?IN_FOCUS",IF(J4760&lt;=2,"?ACTIVATED",IF(J4760&lt;&gt;"","?FAMILIAR",IF(F4760="NEW",IF(ISNA(VLOOKUP(E4760,#REF!,1,FALSE())),"?TYPE_IDENTIFIABLE","?REFERENTIAL"),"_")))))</f>
        <v> </v>
      </c>
      <c r="H4760" s="25" t="str">
        <f>IF(J4760&lt;&gt;1,"",IF(I4760="SBJ","CB","?"))</f>
        <v> </v>
      </c>
      <c r="I4760" s="26" t="str">
        <f>IF(OR(E4760="",E4760="!!!",F4760="NEW"),"",INDEX(B4759:B$2,-1+SUMPRODUCT(MAX(ROW(E4759:E$2)*(E4760=E4759:E$2)))))</f>
        <v> </v>
      </c>
      <c r="J4760" s="26" t="str">
        <f>IF(OR(E4760="",E4760="!!!",F4760="NEW"),"",COUNTBLANK(OFFSET(A$1,,,SUMPRODUCT(MAX(ROW(E$2:E4760)*(E4760=E$2:E4760)))))-COUNTBLANK(OFFSET(A$1,,,SUMPRODUCT(MAX(ROW(E$1:E4759)*(E2=E$1:E4759))))))</f>
        <v> </v>
      </c>
      <c r="K4760" s="26" t="str">
        <f>IF(OR(E4760="",E4760="!!!",F4760="NEW"),"",INDEX(J$1:J4759,SUMPRODUCT(MAX(ROW(E$1:E4759)*(E4760=E$1:E4759)))))</f>
        <v> </v>
      </c>
      <c r="L4760" s="27"/>
    </row>
    <row r="4761" spans="1:12">
      <c r="A4761" s="20" t="s">
        <v>1000</v>
      </c>
      <c r="E4761" s="22">
        <f>IF(D4761="?OLD","!!!","")</f>
        <v/>
      </c>
      <c r="F4761" s="23" t="str">
        <f>IF(OR(E4761="",E4761="!!!"),"",IF(NOT(ISNA(VLOOKUP(E4761,E$1:E4760,1,FALSE()))),"OLD",IF(AND(E4761&lt;&gt;"",E4761&lt;&gt;"!!!"),"NEW","")))</f>
        <v> </v>
      </c>
      <c r="G4761" s="24" t="str">
        <f>IF(OR(E4761="",E4761="!!!"),"",IF(OR(J4761=0,AND(J4761=1,K4761=1),AND(J4761=1,I4761="SBJ"),AND(J4761=1,I4761=0)),"?IN_FOCUS",IF(J4761&lt;=2,"?ACTIVATED",IF(J4761&lt;&gt;"","?FAMILIAR",IF(F4761="NEW",IF(ISNA(VLOOKUP(E4761,#REF!,1,FALSE())),"?TYPE_IDENTIFIABLE","?REFERENTIAL"),"_")))))</f>
        <v> </v>
      </c>
      <c r="H4761" s="25" t="str">
        <f>IF(J4761&lt;&gt;1,"",IF(I4761="SBJ","CB","?"))</f>
        <v> </v>
      </c>
      <c r="I4761" s="26" t="str">
        <f>IF(OR(E4761="",E4761="!!!",F4761="NEW"),"",INDEX(B4760:B$2,-1+SUMPRODUCT(MAX(ROW(E4760:E$2)*(E4761=E4760:E$2)))))</f>
        <v> </v>
      </c>
      <c r="J4761" s="26" t="str">
        <f>IF(OR(E4761="",E4761="!!!",F4761="NEW"),"",COUNTBLANK(OFFSET(A$1,,,SUMPRODUCT(MAX(ROW(E$2:E4761)*(E4761=E$2:E4761)))))-COUNTBLANK(OFFSET(A$1,,,SUMPRODUCT(MAX(ROW(E$1:E4760)*(E2=E$1:E4760))))))</f>
        <v> </v>
      </c>
      <c r="K4761" s="26" t="str">
        <f>IF(OR(E4761="",E4761="!!!",F4761="NEW"),"",INDEX(J$1:J4760,SUMPRODUCT(MAX(ROW(E$1:E4760)*(E4761=E$1:E4760)))))</f>
        <v> </v>
      </c>
      <c r="L4761" s="27"/>
    </row>
    <row r="4762" spans="1:12">
      <c r="A4762" s="20" t="s">
        <v>995</v>
      </c>
      <c r="E4762" s="22">
        <f>IF(D4762="?OLD","!!!","")</f>
        <v/>
      </c>
      <c r="F4762" s="23" t="str">
        <f>IF(OR(E4762="",E4762="!!!"),"",IF(NOT(ISNA(VLOOKUP(E4762,E$1:E4761,1,FALSE()))),"OLD",IF(AND(E4762&lt;&gt;"",E4762&lt;&gt;"!!!"),"NEW","")))</f>
        <v> </v>
      </c>
      <c r="G4762" s="24" t="str">
        <f>IF(OR(E4762="",E4762="!!!"),"",IF(OR(J4762=0,AND(J4762=1,K4762=1),AND(J4762=1,I4762="SBJ"),AND(J4762=1,I4762=0)),"?IN_FOCUS",IF(J4762&lt;=2,"?ACTIVATED",IF(J4762&lt;&gt;"","?FAMILIAR",IF(F4762="NEW",IF(ISNA(VLOOKUP(E4762,#REF!,1,FALSE())),"?TYPE_IDENTIFIABLE","?REFERENTIAL"),"_")))))</f>
        <v> </v>
      </c>
      <c r="H4762" s="25" t="str">
        <f>IF(J4762&lt;&gt;1,"",IF(I4762="SBJ","CB","?"))</f>
        <v> </v>
      </c>
      <c r="I4762" s="26" t="str">
        <f>IF(OR(E4762="",E4762="!!!",F4762="NEW"),"",INDEX(B4761:B$2,-1+SUMPRODUCT(MAX(ROW(E4761:E$2)*(E4762=E4761:E$2)))))</f>
        <v> </v>
      </c>
      <c r="J4762" s="26" t="str">
        <f>IF(OR(E4762="",E4762="!!!",F4762="NEW"),"",COUNTBLANK(OFFSET(A$1,,,SUMPRODUCT(MAX(ROW(E$2:E4762)*(E4762=E$2:E4762)))))-COUNTBLANK(OFFSET(A$1,,,SUMPRODUCT(MAX(ROW(E$1:E4761)*(E2=E$1:E4761))))))</f>
        <v> </v>
      </c>
      <c r="K4762" s="26" t="str">
        <f>IF(OR(E4762="",E4762="!!!",F4762="NEW"),"",INDEX(J$1:J4761,SUMPRODUCT(MAX(ROW(E$1:E4761)*(E4762=E$1:E4761)))))</f>
        <v> </v>
      </c>
      <c r="L4762" s="27"/>
    </row>
    <row r="4763" spans="1:12">
      <c r="A4763" s="20" t="s">
        <v>1072</v>
      </c>
      <c r="E4763" s="22">
        <f>IF(D4763="?OLD","!!!","")</f>
        <v/>
      </c>
      <c r="F4763" s="23" t="str">
        <f>IF(OR(E4763="",E4763="!!!"),"",IF(NOT(ISNA(VLOOKUP(E4763,E$1:E4762,1,FALSE()))),"OLD",IF(AND(E4763&lt;&gt;"",E4763&lt;&gt;"!!!"),"NEW","")))</f>
        <v> </v>
      </c>
      <c r="G4763" s="24" t="str">
        <f>IF(OR(E4763="",E4763="!!!"),"",IF(OR(J4763=0,AND(J4763=1,K4763=1),AND(J4763=1,I4763="SBJ"),AND(J4763=1,I4763=0)),"?IN_FOCUS",IF(J4763&lt;=2,"?ACTIVATED",IF(J4763&lt;&gt;"","?FAMILIAR",IF(F4763="NEW",IF(ISNA(VLOOKUP(E4763,#REF!,1,FALSE())),"?TYPE_IDENTIFIABLE","?REFERENTIAL"),"_")))))</f>
        <v> </v>
      </c>
      <c r="H4763" s="25" t="str">
        <f>IF(J4763&lt;&gt;1,"",IF(I4763="SBJ","CB","?"))</f>
        <v> </v>
      </c>
      <c r="I4763" s="26" t="str">
        <f>IF(OR(E4763="",E4763="!!!",F4763="NEW"),"",INDEX(B4762:B$2,-1+SUMPRODUCT(MAX(ROW(E4762:E$2)*(E4763=E4762:E$2)))))</f>
        <v> </v>
      </c>
      <c r="J4763" s="26" t="str">
        <f>IF(OR(E4763="",E4763="!!!",F4763="NEW"),"",COUNTBLANK(OFFSET(A$1,,,SUMPRODUCT(MAX(ROW(E$2:E4763)*(E4763=E$2:E4763)))))-COUNTBLANK(OFFSET(A$1,,,SUMPRODUCT(MAX(ROW(E$1:E4762)*(E2=E$1:E4762))))))</f>
        <v> </v>
      </c>
      <c r="K4763" s="26" t="str">
        <f>IF(OR(E4763="",E4763="!!!",F4763="NEW"),"",INDEX(J$1:J4762,SUMPRODUCT(MAX(ROW(E$1:E4762)*(E4763=E$1:E4762)))))</f>
        <v> </v>
      </c>
      <c r="L4763" s="27"/>
    </row>
    <row r="4764" spans="1:12">
      <c r="A4764" s="20" t="s">
        <v>1064</v>
      </c>
      <c r="E4764" s="22">
        <f>IF(D4764="?OLD","!!!","")</f>
        <v/>
      </c>
      <c r="F4764" s="23" t="str">
        <f>IF(OR(E4764="",E4764="!!!"),"",IF(NOT(ISNA(VLOOKUP(E4764,E$1:E4763,1,FALSE()))),"OLD",IF(AND(E4764&lt;&gt;"",E4764&lt;&gt;"!!!"),"NEW","")))</f>
        <v> </v>
      </c>
      <c r="G4764" s="24" t="str">
        <f>IF(OR(E4764="",E4764="!!!"),"",IF(OR(J4764=0,AND(J4764=1,K4764=1),AND(J4764=1,I4764="SBJ"),AND(J4764=1,I4764=0)),"?IN_FOCUS",IF(J4764&lt;=2,"?ACTIVATED",IF(J4764&lt;&gt;"","?FAMILIAR",IF(F4764="NEW",IF(ISNA(VLOOKUP(E4764,#REF!,1,FALSE())),"?TYPE_IDENTIFIABLE","?REFERENTIAL"),"_")))))</f>
        <v> </v>
      </c>
      <c r="H4764" s="25" t="str">
        <f>IF(J4764&lt;&gt;1,"",IF(I4764="SBJ","CB","?"))</f>
        <v> </v>
      </c>
      <c r="I4764" s="26" t="str">
        <f>IF(OR(E4764="",E4764="!!!",F4764="NEW"),"",INDEX(B4763:B$2,-1+SUMPRODUCT(MAX(ROW(E4763:E$2)*(E4764=E4763:E$2)))))</f>
        <v> </v>
      </c>
      <c r="J4764" s="26" t="str">
        <f>IF(OR(E4764="",E4764="!!!",F4764="NEW"),"",COUNTBLANK(OFFSET(A$1,,,SUMPRODUCT(MAX(ROW(E$2:E4764)*(E4764=E$2:E4764)))))-COUNTBLANK(OFFSET(A$1,,,SUMPRODUCT(MAX(ROW(E$1:E4763)*(E2=E$1:E4763))))))</f>
        <v> </v>
      </c>
      <c r="K4764" s="26" t="str">
        <f>IF(OR(E4764="",E4764="!!!",F4764="NEW"),"",INDEX(J$1:J4763,SUMPRODUCT(MAX(ROW(E$1:E4763)*(E4764=E$1:E4763)))))</f>
        <v> </v>
      </c>
      <c r="L4764" s="27"/>
    </row>
    <row r="4765" spans="1:12">
      <c r="A4765" s="20" t="s">
        <v>1065</v>
      </c>
      <c r="E4765" s="22">
        <f>IF(D4765="?OLD","!!!","")</f>
        <v/>
      </c>
      <c r="F4765" s="23" t="str">
        <f>IF(OR(E4765="",E4765="!!!"),"",IF(NOT(ISNA(VLOOKUP(E4765,E$1:E4764,1,FALSE()))),"OLD",IF(AND(E4765&lt;&gt;"",E4765&lt;&gt;"!!!"),"NEW","")))</f>
        <v> </v>
      </c>
      <c r="G4765" s="24" t="str">
        <f>IF(OR(E4765="",E4765="!!!"),"",IF(OR(J4765=0,AND(J4765=1,K4765=1),AND(J4765=1,I4765="SBJ"),AND(J4765=1,I4765=0)),"?IN_FOCUS",IF(J4765&lt;=2,"?ACTIVATED",IF(J4765&lt;&gt;"","?FAMILIAR",IF(F4765="NEW",IF(ISNA(VLOOKUP(E4765,#REF!,1,FALSE())),"?TYPE_IDENTIFIABLE","?REFERENTIAL"),"_")))))</f>
        <v> </v>
      </c>
      <c r="H4765" s="25" t="str">
        <f>IF(J4765&lt;&gt;1,"",IF(I4765="SBJ","CB","?"))</f>
        <v> </v>
      </c>
      <c r="I4765" s="26" t="str">
        <f>IF(OR(E4765="",E4765="!!!",F4765="NEW"),"",INDEX(B4764:B$2,-1+SUMPRODUCT(MAX(ROW(E4764:E$2)*(E4765=E4764:E$2)))))</f>
        <v> </v>
      </c>
      <c r="J4765" s="26" t="str">
        <f>IF(OR(E4765="",E4765="!!!",F4765="NEW"),"",COUNTBLANK(OFFSET(A$1,,,SUMPRODUCT(MAX(ROW(E$2:E4765)*(E4765=E$2:E4765)))))-COUNTBLANK(OFFSET(A$1,,,SUMPRODUCT(MAX(ROW(E$1:E4764)*(E2=E$1:E4764))))))</f>
        <v> </v>
      </c>
      <c r="K4765" s="26" t="str">
        <f>IF(OR(E4765="",E4765="!!!",F4765="NEW"),"",INDEX(J$1:J4764,SUMPRODUCT(MAX(ROW(E$1:E4764)*(E4765=E$1:E4764)))))</f>
        <v> </v>
      </c>
      <c r="L4765" s="27"/>
    </row>
    <row r="4766" spans="1:12">
      <c r="A4766" s="20" t="s">
        <v>1022</v>
      </c>
      <c r="E4766" s="22">
        <f>IF(D4766="?OLD","!!!","")</f>
        <v/>
      </c>
      <c r="F4766" s="23" t="str">
        <f>IF(OR(E4766="",E4766="!!!"),"",IF(NOT(ISNA(VLOOKUP(E4766,E$1:E4765,1,FALSE()))),"OLD",IF(AND(E4766&lt;&gt;"",E4766&lt;&gt;"!!!"),"NEW","")))</f>
        <v> </v>
      </c>
      <c r="G4766" s="24" t="str">
        <f>IF(OR(E4766="",E4766="!!!"),"",IF(OR(J4766=0,AND(J4766=1,K4766=1),AND(J4766=1,I4766="SBJ"),AND(J4766=1,I4766=0)),"?IN_FOCUS",IF(J4766&lt;=2,"?ACTIVATED",IF(J4766&lt;&gt;"","?FAMILIAR",IF(F4766="NEW",IF(ISNA(VLOOKUP(E4766,#REF!,1,FALSE())),"?TYPE_IDENTIFIABLE","?REFERENTIAL"),"_")))))</f>
        <v> </v>
      </c>
      <c r="H4766" s="25" t="str">
        <f>IF(J4766&lt;&gt;1,"",IF(I4766="SBJ","CB","?"))</f>
        <v> </v>
      </c>
      <c r="I4766" s="26" t="str">
        <f>IF(OR(E4766="",E4766="!!!",F4766="NEW"),"",INDEX(B4765:B$2,-1+SUMPRODUCT(MAX(ROW(E4765:E$2)*(E4766=E4765:E$2)))))</f>
        <v> </v>
      </c>
      <c r="J4766" s="26" t="str">
        <f>IF(OR(E4766="",E4766="!!!",F4766="NEW"),"",COUNTBLANK(OFFSET(A$1,,,SUMPRODUCT(MAX(ROW(E$2:E4766)*(E4766=E$2:E4766)))))-COUNTBLANK(OFFSET(A$1,,,SUMPRODUCT(MAX(ROW(E$1:E4765)*(E2=E$1:E4765))))))</f>
        <v> </v>
      </c>
      <c r="K4766" s="26" t="str">
        <f>IF(OR(E4766="",E4766="!!!",F4766="NEW"),"",INDEX(J$1:J4765,SUMPRODUCT(MAX(ROW(E$1:E4765)*(E4766=E$1:E4765)))))</f>
        <v> </v>
      </c>
      <c r="L4766" s="27"/>
    </row>
    <row r="4767" spans="1:12">
      <c r="A4767" s="20" t="s">
        <v>2028</v>
      </c>
      <c r="B4767" s="21" t="s">
        <v>1080</v>
      </c>
      <c r="C4767" s="21" t="s">
        <v>1032</v>
      </c>
      <c r="D4767" s="21" t="s">
        <v>950</v>
      </c>
      <c r="E4767" s="22">
        <f>IF(D4767="?OLD","!!!","")</f>
        <v/>
      </c>
      <c r="F4767" s="23" t="str">
        <f>IF(OR(E4767="",E4767="!!!"),"",IF(NOT(ISNA(VLOOKUP(E4767,E$1:E4766,1,FALSE()))),"OLD",IF(AND(E4767&lt;&gt;"",E4767&lt;&gt;"!!!"),"NEW","")))</f>
        <v> </v>
      </c>
      <c r="G4767" s="24" t="str">
        <f>IF(OR(E4767="",E4767="!!!"),"",IF(OR(J4767=0,AND(J4767=1,K4767=1),AND(J4767=1,I4767="SBJ"),AND(J4767=1,I4767=0)),"?IN_FOCUS",IF(J4767&lt;=2,"?ACTIVATED",IF(J4767&lt;&gt;"","?FAMILIAR",IF(F4767="NEW",IF(ISNA(VLOOKUP(E4767,#REF!,1,FALSE())),"?TYPE_IDENTIFIABLE","?REFERENTIAL"),"_")))))</f>
        <v> </v>
      </c>
      <c r="H4767" s="25" t="str">
        <f>IF(J4767&lt;&gt;1,"",IF(I4767="SBJ","CB","?"))</f>
        <v> </v>
      </c>
      <c r="I4767" s="26" t="str">
        <f>IF(OR(E4767="",E4767="!!!",F4767="NEW"),"",INDEX(B4766:B$2,-1+SUMPRODUCT(MAX(ROW(E4766:E$2)*(E4767=E4766:E$2)))))</f>
        <v> </v>
      </c>
      <c r="J4767" s="26" t="str">
        <f>IF(OR(E4767="",E4767="!!!",F4767="NEW"),"",COUNTBLANK(OFFSET(A$1,,,SUMPRODUCT(MAX(ROW(E$2:E4767)*(E4767=E$2:E4767)))))-COUNTBLANK(OFFSET(A$1,,,SUMPRODUCT(MAX(ROW(E$1:E4766)*(E2=E$1:E4766))))))</f>
        <v> </v>
      </c>
      <c r="K4767" s="26" t="str">
        <f>IF(OR(E4767="",E4767="!!!",F4767="NEW"),"",INDEX(J$1:J4766,SUMPRODUCT(MAX(ROW(E$1:E4766)*(E4767=E$1:E4766)))))</f>
        <v> </v>
      </c>
      <c r="L4767" s="27"/>
    </row>
    <row r="4768" spans="1:12">
      <c r="A4768" s="20" t="s">
        <v>1000</v>
      </c>
      <c r="E4768" s="22">
        <f>IF(D4768="?OLD","!!!","")</f>
        <v/>
      </c>
      <c r="F4768" s="23" t="str">
        <f>IF(OR(E4768="",E4768="!!!"),"",IF(NOT(ISNA(VLOOKUP(E4768,E$1:E4767,1,FALSE()))),"OLD",IF(AND(E4768&lt;&gt;"",E4768&lt;&gt;"!!!"),"NEW","")))</f>
        <v> </v>
      </c>
      <c r="G4768" s="24" t="str">
        <f>IF(OR(E4768="",E4768="!!!"),"",IF(OR(J4768=0,AND(J4768=1,K4768=1),AND(J4768=1,I4768="SBJ"),AND(J4768=1,I4768=0)),"?IN_FOCUS",IF(J4768&lt;=2,"?ACTIVATED",IF(J4768&lt;&gt;"","?FAMILIAR",IF(F4768="NEW",IF(ISNA(VLOOKUP(E4768,#REF!,1,FALSE())),"?TYPE_IDENTIFIABLE","?REFERENTIAL"),"_")))))</f>
        <v> </v>
      </c>
      <c r="H4768" s="25" t="str">
        <f>IF(J4768&lt;&gt;1,"",IF(I4768="SBJ","CB","?"))</f>
        <v> </v>
      </c>
      <c r="I4768" s="26" t="str">
        <f>IF(OR(E4768="",E4768="!!!",F4768="NEW"),"",INDEX(B4767:B$2,-1+SUMPRODUCT(MAX(ROW(E4767:E$2)*(E4768=E4767:E$2)))))</f>
        <v> </v>
      </c>
      <c r="J4768" s="26" t="str">
        <f>IF(OR(E4768="",E4768="!!!",F4768="NEW"),"",COUNTBLANK(OFFSET(A$1,,,SUMPRODUCT(MAX(ROW(E$2:E4768)*(E4768=E$2:E4768)))))-COUNTBLANK(OFFSET(A$1,,,SUMPRODUCT(MAX(ROW(E$1:E4767)*(E2=E$1:E4767))))))</f>
        <v> </v>
      </c>
      <c r="K4768" s="26" t="str">
        <f>IF(OR(E4768="",E4768="!!!",F4768="NEW"),"",INDEX(J$1:J4767,SUMPRODUCT(MAX(ROW(E$1:E4767)*(E4768=E$1:E4767)))))</f>
        <v> </v>
      </c>
      <c r="L4768" s="27"/>
    </row>
    <row r="4769" spans="1:12">
      <c r="A4769" s="20" t="s">
        <v>1001</v>
      </c>
      <c r="E4769" s="22">
        <f>IF(D4769="?OLD","!!!","")</f>
        <v/>
      </c>
      <c r="F4769" s="23" t="str">
        <f>IF(OR(E4769="",E4769="!!!"),"",IF(NOT(ISNA(VLOOKUP(E4769,E$1:E4768,1,FALSE()))),"OLD",IF(AND(E4769&lt;&gt;"",E4769&lt;&gt;"!!!"),"NEW","")))</f>
        <v> </v>
      </c>
      <c r="G4769" s="24" t="str">
        <f>IF(OR(E4769="",E4769="!!!"),"",IF(OR(J4769=0,AND(J4769=1,K4769=1),AND(J4769=1,I4769="SBJ"),AND(J4769=1,I4769=0)),"?IN_FOCUS",IF(J4769&lt;=2,"?ACTIVATED",IF(J4769&lt;&gt;"","?FAMILIAR",IF(F4769="NEW",IF(ISNA(VLOOKUP(E4769,#REF!,1,FALSE())),"?TYPE_IDENTIFIABLE","?REFERENTIAL"),"_")))))</f>
        <v> </v>
      </c>
      <c r="H4769" s="25" t="str">
        <f>IF(J4769&lt;&gt;1,"",IF(I4769="SBJ","CB","?"))</f>
        <v> </v>
      </c>
      <c r="I4769" s="26" t="str">
        <f>IF(OR(E4769="",E4769="!!!",F4769="NEW"),"",INDEX(B4768:B$2,-1+SUMPRODUCT(MAX(ROW(E4768:E$2)*(E4769=E4768:E$2)))))</f>
        <v> </v>
      </c>
      <c r="J4769" s="26" t="str">
        <f>IF(OR(E4769="",E4769="!!!",F4769="NEW"),"",COUNTBLANK(OFFSET(A$1,,,SUMPRODUCT(MAX(ROW(E$2:E4769)*(E4769=E$2:E4769)))))-COUNTBLANK(OFFSET(A$1,,,SUMPRODUCT(MAX(ROW(E$1:E4768)*(E2=E$1:E4768))))))</f>
        <v> </v>
      </c>
      <c r="K4769" s="26" t="str">
        <f>IF(OR(E4769="",E4769="!!!",F4769="NEW"),"",INDEX(J$1:J4768,SUMPRODUCT(MAX(ROW(E$1:E4768)*(E4769=E$1:E4768)))))</f>
        <v> </v>
      </c>
      <c r="L4769" s="27"/>
    </row>
    <row r="4770" spans="1:12">
      <c r="A4770" s="20" t="s">
        <v>728</v>
      </c>
      <c r="E4770" s="22">
        <f>IF(D4770="?OLD","!!!","")</f>
        <v/>
      </c>
      <c r="F4770" s="23" t="str">
        <f>IF(OR(E4770="",E4770="!!!"),"",IF(NOT(ISNA(VLOOKUP(E4770,E$1:E4769,1,FALSE()))),"OLD",IF(AND(E4770&lt;&gt;"",E4770&lt;&gt;"!!!"),"NEW","")))</f>
        <v> </v>
      </c>
      <c r="G4770" s="24" t="str">
        <f>IF(OR(E4770="",E4770="!!!"),"",IF(OR(J4770=0,AND(J4770=1,K4770=1),AND(J4770=1,I4770="SBJ"),AND(J4770=1,I4770=0)),"?IN_FOCUS",IF(J4770&lt;=2,"?ACTIVATED",IF(J4770&lt;&gt;"","?FAMILIAR",IF(F4770="NEW",IF(ISNA(VLOOKUP(E4770,#REF!,1,FALSE())),"?TYPE_IDENTIFIABLE","?REFERENTIAL"),"_")))))</f>
        <v> </v>
      </c>
      <c r="H4770" s="25" t="str">
        <f>IF(J4770&lt;&gt;1,"",IF(I4770="SBJ","CB","?"))</f>
        <v> </v>
      </c>
      <c r="I4770" s="26" t="str">
        <f>IF(OR(E4770="",E4770="!!!",F4770="NEW"),"",INDEX(B4769:B$2,-1+SUMPRODUCT(MAX(ROW(E4769:E$2)*(E4770=E4769:E$2)))))</f>
        <v> </v>
      </c>
      <c r="J4770" s="26" t="str">
        <f>IF(OR(E4770="",E4770="!!!",F4770="NEW"),"",COUNTBLANK(OFFSET(A$1,,,SUMPRODUCT(MAX(ROW(E$2:E4770)*(E4770=E$2:E4770)))))-COUNTBLANK(OFFSET(A$1,,,SUMPRODUCT(MAX(ROW(E$1:E4769)*(E2=E$1:E4769))))))</f>
        <v> </v>
      </c>
      <c r="K4770" s="26" t="str">
        <f>IF(OR(E4770="",E4770="!!!",F4770="NEW"),"",INDEX(J$1:J4769,SUMPRODUCT(MAX(ROW(E$1:E4769)*(E4770=E$1:E4769)))))</f>
        <v> </v>
      </c>
      <c r="L4770" s="27"/>
    </row>
    <row r="4771" spans="1:12">
      <c r="A4771" s="20" t="s">
        <v>283</v>
      </c>
      <c r="E4771" s="22">
        <f>IF(D4771="?OLD","!!!","")</f>
        <v/>
      </c>
      <c r="F4771" s="23" t="str">
        <f>IF(OR(E4771="",E4771="!!!"),"",IF(NOT(ISNA(VLOOKUP(E4771,E$1:E4770,1,FALSE()))),"OLD",IF(AND(E4771&lt;&gt;"",E4771&lt;&gt;"!!!"),"NEW","")))</f>
        <v> </v>
      </c>
      <c r="G4771" s="24" t="str">
        <f>IF(OR(E4771="",E4771="!!!"),"",IF(OR(J4771=0,AND(J4771=1,K4771=1),AND(J4771=1,I4771="SBJ"),AND(J4771=1,I4771=0)),"?IN_FOCUS",IF(J4771&lt;=2,"?ACTIVATED",IF(J4771&lt;&gt;"","?FAMILIAR",IF(F4771="NEW",IF(ISNA(VLOOKUP(E4771,#REF!,1,FALSE())),"?TYPE_IDENTIFIABLE","?REFERENTIAL"),"_")))))</f>
        <v> </v>
      </c>
      <c r="H4771" s="25" t="str">
        <f>IF(J4771&lt;&gt;1,"",IF(I4771="SBJ","CB","?"))</f>
        <v> </v>
      </c>
      <c r="I4771" s="26" t="str">
        <f>IF(OR(E4771="",E4771="!!!",F4771="NEW"),"",INDEX(B4770:B$2,-1+SUMPRODUCT(MAX(ROW(E4770:E$2)*(E4771=E4770:E$2)))))</f>
        <v> </v>
      </c>
      <c r="J4771" s="26" t="str">
        <f>IF(OR(E4771="",E4771="!!!",F4771="NEW"),"",COUNTBLANK(OFFSET(A$1,,,SUMPRODUCT(MAX(ROW(E$2:E4771)*(E4771=E$2:E4771)))))-COUNTBLANK(OFFSET(A$1,,,SUMPRODUCT(MAX(ROW(E$1:E4770)*(E2=E$1:E4770))))))</f>
        <v> </v>
      </c>
      <c r="K4771" s="26" t="str">
        <f>IF(OR(E4771="",E4771="!!!",F4771="NEW"),"",INDEX(J$1:J4770,SUMPRODUCT(MAX(ROW(E$1:E4770)*(E4771=E$1:E4770)))))</f>
        <v> </v>
      </c>
      <c r="L4771" s="27"/>
    </row>
    <row r="4772" spans="1:12">
      <c r="A4772" s="20" t="s">
        <v>1098</v>
      </c>
      <c r="B4772" s="21" t="s">
        <v>1053</v>
      </c>
      <c r="C4772" s="21" t="s">
        <v>1008</v>
      </c>
      <c r="D4772" s="21" t="s">
        <v>950</v>
      </c>
      <c r="E4772" s="22">
        <f>IF(D4772="?OLD","!!!","")</f>
        <v/>
      </c>
      <c r="F4772" s="23" t="str">
        <f>IF(OR(E4772="",E4772="!!!"),"",IF(NOT(ISNA(VLOOKUP(E4772,E$1:E4771,1,FALSE()))),"OLD",IF(AND(E4772&lt;&gt;"",E4772&lt;&gt;"!!!"),"NEW","")))</f>
        <v> </v>
      </c>
      <c r="G4772" s="24" t="str">
        <f>IF(OR(E4772="",E4772="!!!"),"",IF(OR(J4772=0,AND(J4772=1,K4772=1),AND(J4772=1,I4772="SBJ"),AND(J4772=1,I4772=0)),"?IN_FOCUS",IF(J4772&lt;=2,"?ACTIVATED",IF(J4772&lt;&gt;"","?FAMILIAR",IF(F4772="NEW",IF(ISNA(VLOOKUP(E4772,#REF!,1,FALSE())),"?TYPE_IDENTIFIABLE","?REFERENTIAL"),"_")))))</f>
        <v> </v>
      </c>
      <c r="H4772" s="25" t="str">
        <f>IF(J4772&lt;&gt;1,"",IF(I4772="SBJ","CB","?"))</f>
        <v> </v>
      </c>
      <c r="I4772" s="26" t="str">
        <f>IF(OR(E4772="",E4772="!!!",F4772="NEW"),"",INDEX(B4771:B$2,-1+SUMPRODUCT(MAX(ROW(E4771:E$2)*(E4772=E4771:E$2)))))</f>
        <v> </v>
      </c>
      <c r="J4772" s="26" t="str">
        <f>IF(OR(E4772="",E4772="!!!",F4772="NEW"),"",COUNTBLANK(OFFSET(A$1,,,SUMPRODUCT(MAX(ROW(E$2:E4772)*(E4772=E$2:E4772)))))-COUNTBLANK(OFFSET(A$1,,,SUMPRODUCT(MAX(ROW(E$1:E4771)*(E2=E$1:E4771))))))</f>
        <v> </v>
      </c>
      <c r="K4772" s="26" t="str">
        <f>IF(OR(E4772="",E4772="!!!",F4772="NEW"),"",INDEX(J$1:J4771,SUMPRODUCT(MAX(ROW(E$1:E4771)*(E4772=E$1:E4771)))))</f>
        <v> </v>
      </c>
      <c r="L4772" s="27"/>
    </row>
    <row r="4773" spans="1:12">
      <c r="A4773" s="20" t="s">
        <v>1000</v>
      </c>
      <c r="E4773" s="22">
        <f>IF(D4773="?OLD","!!!","")</f>
        <v/>
      </c>
      <c r="F4773" s="23" t="str">
        <f>IF(OR(E4773="",E4773="!!!"),"",IF(NOT(ISNA(VLOOKUP(E4773,E$1:E4772,1,FALSE()))),"OLD",IF(AND(E4773&lt;&gt;"",E4773&lt;&gt;"!!!"),"NEW","")))</f>
        <v> </v>
      </c>
      <c r="G4773" s="24" t="str">
        <f>IF(OR(E4773="",E4773="!!!"),"",IF(OR(J4773=0,AND(J4773=1,K4773=1),AND(J4773=1,I4773="SBJ"),AND(J4773=1,I4773=0)),"?IN_FOCUS",IF(J4773&lt;=2,"?ACTIVATED",IF(J4773&lt;&gt;"","?FAMILIAR",IF(F4773="NEW",IF(ISNA(VLOOKUP(E4773,#REF!,1,FALSE())),"?TYPE_IDENTIFIABLE","?REFERENTIAL"),"_")))))</f>
        <v> </v>
      </c>
      <c r="H4773" s="25" t="str">
        <f>IF(J4773&lt;&gt;1,"",IF(I4773="SBJ","CB","?"))</f>
        <v> </v>
      </c>
      <c r="I4773" s="26" t="str">
        <f>IF(OR(E4773="",E4773="!!!",F4773="NEW"),"",INDEX(B4772:B$2,-1+SUMPRODUCT(MAX(ROW(E4772:E$2)*(E4773=E4772:E$2)))))</f>
        <v> </v>
      </c>
      <c r="J4773" s="26" t="str">
        <f>IF(OR(E4773="",E4773="!!!",F4773="NEW"),"",COUNTBLANK(OFFSET(A$1,,,SUMPRODUCT(MAX(ROW(E$2:E4773)*(E4773=E$2:E4773)))))-COUNTBLANK(OFFSET(A$1,,,SUMPRODUCT(MAX(ROW(E$1:E4772)*(E2=E$1:E4772))))))</f>
        <v> </v>
      </c>
      <c r="K4773" s="26" t="str">
        <f>IF(OR(E4773="",E4773="!!!",F4773="NEW"),"",INDEX(J$1:J4772,SUMPRODUCT(MAX(ROW(E$1:E4772)*(E4773=E$1:E4772)))))</f>
        <v> </v>
      </c>
      <c r="L4773" s="27"/>
    </row>
    <row r="4774" spans="1:12">
      <c r="A4774" s="20" t="s">
        <v>2226</v>
      </c>
      <c r="E4774" s="22">
        <f>IF(D4774="?OLD","!!!","")</f>
        <v/>
      </c>
      <c r="F4774" s="23" t="str">
        <f>IF(OR(E4774="",E4774="!!!"),"",IF(NOT(ISNA(VLOOKUP(E4774,E$1:E4773,1,FALSE()))),"OLD",IF(AND(E4774&lt;&gt;"",E4774&lt;&gt;"!!!"),"NEW","")))</f>
        <v> </v>
      </c>
      <c r="G4774" s="24" t="str">
        <f>IF(OR(E4774="",E4774="!!!"),"",IF(OR(J4774=0,AND(J4774=1,K4774=1),AND(J4774=1,I4774="SBJ"),AND(J4774=1,I4774=0)),"?IN_FOCUS",IF(J4774&lt;=2,"?ACTIVATED",IF(J4774&lt;&gt;"","?FAMILIAR",IF(F4774="NEW",IF(ISNA(VLOOKUP(E4774,#REF!,1,FALSE())),"?TYPE_IDENTIFIABLE","?REFERENTIAL"),"_")))))</f>
        <v> </v>
      </c>
      <c r="H4774" s="25" t="str">
        <f>IF(J4774&lt;&gt;1,"",IF(I4774="SBJ","CB","?"))</f>
        <v> </v>
      </c>
      <c r="I4774" s="26" t="str">
        <f>IF(OR(E4774="",E4774="!!!",F4774="NEW"),"",INDEX(B4773:B$2,-1+SUMPRODUCT(MAX(ROW(E4773:E$2)*(E4774=E4773:E$2)))))</f>
        <v> </v>
      </c>
      <c r="J4774" s="26" t="str">
        <f>IF(OR(E4774="",E4774="!!!",F4774="NEW"),"",COUNTBLANK(OFFSET(A$1,,,SUMPRODUCT(MAX(ROW(E$2:E4774)*(E4774=E$2:E4774)))))-COUNTBLANK(OFFSET(A$1,,,SUMPRODUCT(MAX(ROW(E$1:E4773)*(E2=E$1:E4773))))))</f>
        <v> </v>
      </c>
      <c r="K4774" s="26" t="str">
        <f>IF(OR(E4774="",E4774="!!!",F4774="NEW"),"",INDEX(J$1:J4773,SUMPRODUCT(MAX(ROW(E$1:E4773)*(E4774=E$1:E4773)))))</f>
        <v> </v>
      </c>
      <c r="L4774" s="27"/>
    </row>
    <row r="4775" spans="1:12">
      <c r="A4775" s="20" t="s">
        <v>984</v>
      </c>
      <c r="E4775" s="22">
        <f>IF(D4775="?OLD","!!!","")</f>
        <v/>
      </c>
      <c r="F4775" s="23" t="str">
        <f>IF(OR(E4775="",E4775="!!!"),"",IF(NOT(ISNA(VLOOKUP(E4775,E$1:E4774,1,FALSE()))),"OLD",IF(AND(E4775&lt;&gt;"",E4775&lt;&gt;"!!!"),"NEW","")))</f>
        <v> </v>
      </c>
      <c r="G4775" s="24" t="str">
        <f>IF(OR(E4775="",E4775="!!!"),"",IF(OR(J4775=0,AND(J4775=1,K4775=1),AND(J4775=1,I4775="SBJ"),AND(J4775=1,I4775=0)),"?IN_FOCUS",IF(J4775&lt;=2,"?ACTIVATED",IF(J4775&lt;&gt;"","?FAMILIAR",IF(F4775="NEW",IF(ISNA(VLOOKUP(E4775,#REF!,1,FALSE())),"?TYPE_IDENTIFIABLE","?REFERENTIAL"),"_")))))</f>
        <v> </v>
      </c>
      <c r="H4775" s="25" t="str">
        <f>IF(J4775&lt;&gt;1,"",IF(I4775="SBJ","CB","?"))</f>
        <v> </v>
      </c>
      <c r="I4775" s="26" t="str">
        <f>IF(OR(E4775="",E4775="!!!",F4775="NEW"),"",INDEX(B4774:B$2,-1+SUMPRODUCT(MAX(ROW(E4774:E$2)*(E4775=E4774:E$2)))))</f>
        <v> </v>
      </c>
      <c r="J4775" s="26" t="str">
        <f>IF(OR(E4775="",E4775="!!!",F4775="NEW"),"",COUNTBLANK(OFFSET(A$1,,,SUMPRODUCT(MAX(ROW(E$2:E4775)*(E4775=E$2:E4775)))))-COUNTBLANK(OFFSET(A$1,,,SUMPRODUCT(MAX(ROW(E$1:E4774)*(E2=E$1:E4774))))))</f>
        <v> </v>
      </c>
      <c r="K4775" s="26" t="str">
        <f>IF(OR(E4775="",E4775="!!!",F4775="NEW"),"",INDEX(J$1:J4774,SUMPRODUCT(MAX(ROW(E$1:E4774)*(E4775=E$1:E4774)))))</f>
        <v> </v>
      </c>
      <c r="L4775" s="27"/>
    </row>
    <row r="4776" spans="1:12">
      <c r="A4776" s="20"/>
    </row>
    <row r="4777" spans="1:12">
      <c r="A4777" s="20" t="s">
        <v>2227</v>
      </c>
    </row>
    <row r="4778" spans="1:12">
      <c r="A4778" s="20" t="s">
        <v>2228</v>
      </c>
      <c r="B4778" s="21" t="s">
        <v>948</v>
      </c>
      <c r="C4778" s="21" t="s">
        <v>976</v>
      </c>
      <c r="D4778" s="21" t="s">
        <v>950</v>
      </c>
      <c r="E4778" s="22">
        <f>IF(D4778="?OLD","!!!","")</f>
        <v/>
      </c>
      <c r="F4778" s="23" t="str">
        <f>IF(OR(E4778="",E4778="!!!"),"",IF(NOT(ISNA(VLOOKUP(E4778,E$1:E4777,1,FALSE()))),"OLD",IF(AND(E4778&lt;&gt;"",E4778&lt;&gt;"!!!"),"NEW","")))</f>
        <v> </v>
      </c>
      <c r="G4778" s="24" t="str">
        <f>IF(OR(E4778="",E4778="!!!"),"",IF(OR(J4778=0,AND(J4778=1,K4778=1),AND(J4778=1,I4778="SBJ"),AND(J4778=1,I4778=0)),"?IN_FOCUS",IF(J4778&lt;=2,"?ACTIVATED",IF(J4778&lt;&gt;"","?FAMILIAR",IF(F4778="NEW",IF(ISNA(VLOOKUP(E4778,#REF!,1,FALSE())),"?TYPE_IDENTIFIABLE","?REFERENTIAL"),"_")))))</f>
        <v> </v>
      </c>
      <c r="H4778" s="25" t="str">
        <f>IF(J4778&lt;&gt;1,"",IF(I4778="SBJ","CB","?"))</f>
        <v> </v>
      </c>
      <c r="I4778" s="26" t="str">
        <f>IF(OR(E4778="",E4778="!!!",F4778="NEW"),"",INDEX(B4777:B$2,-1+SUMPRODUCT(MAX(ROW(E4777:E$2)*(E4778=E4777:E$2)))))</f>
        <v> </v>
      </c>
      <c r="J4778" s="26" t="str">
        <f>IF(OR(E4778="",E4778="!!!",F4778="NEW"),"",COUNTBLANK(OFFSET(A$1,,,SUMPRODUCT(MAX(ROW(E$2:E4778)*(E4778=E$2:E4778)))))-COUNTBLANK(OFFSET(A$1,,,SUMPRODUCT(MAX(ROW(E$1:E4777)*(E2=E$1:E4777))))))</f>
        <v> </v>
      </c>
      <c r="K4778" s="26" t="str">
        <f>IF(OR(E4778="",E4778="!!!",F4778="NEW"),"",INDEX(J$1:J4777,SUMPRODUCT(MAX(ROW(E$1:E4777)*(E4778=E$1:E4777)))))</f>
        <v> </v>
      </c>
      <c r="L4778" s="27"/>
    </row>
    <row r="4779" spans="1:12">
      <c r="A4779" s="20" t="s">
        <v>1075</v>
      </c>
      <c r="E4779" s="22">
        <f>IF(D4779="?OLD","!!!","")</f>
        <v/>
      </c>
      <c r="F4779" s="23" t="str">
        <f>IF(OR(E4779="",E4779="!!!"),"",IF(NOT(ISNA(VLOOKUP(E4779,E$1:E4778,1,FALSE()))),"OLD",IF(AND(E4779&lt;&gt;"",E4779&lt;&gt;"!!!"),"NEW","")))</f>
        <v> </v>
      </c>
      <c r="G4779" s="24" t="str">
        <f>IF(OR(E4779="",E4779="!!!"),"",IF(OR(J4779=0,AND(J4779=1,K4779=1),AND(J4779=1,I4779="SBJ"),AND(J4779=1,I4779=0)),"?IN_FOCUS",IF(J4779&lt;=2,"?ACTIVATED",IF(J4779&lt;&gt;"","?FAMILIAR",IF(F4779="NEW",IF(ISNA(VLOOKUP(E4779,#REF!,1,FALSE())),"?TYPE_IDENTIFIABLE","?REFERENTIAL"),"_")))))</f>
        <v> </v>
      </c>
      <c r="H4779" s="25" t="str">
        <f>IF(J4779&lt;&gt;1,"",IF(I4779="SBJ","CB","?"))</f>
        <v> </v>
      </c>
      <c r="I4779" s="26" t="str">
        <f>IF(OR(E4779="",E4779="!!!",F4779="NEW"),"",INDEX(B4778:B$2,-1+SUMPRODUCT(MAX(ROW(E4778:E$2)*(E4779=E4778:E$2)))))</f>
        <v> </v>
      </c>
      <c r="J4779" s="26" t="str">
        <f>IF(OR(E4779="",E4779="!!!",F4779="NEW"),"",COUNTBLANK(OFFSET(A$1,,,SUMPRODUCT(MAX(ROW(E$2:E4779)*(E4779=E$2:E4779)))))-COUNTBLANK(OFFSET(A$1,,,SUMPRODUCT(MAX(ROW(E$1:E4778)*(E2=E$1:E4778))))))</f>
        <v> </v>
      </c>
      <c r="K4779" s="26" t="str">
        <f>IF(OR(E4779="",E4779="!!!",F4779="NEW"),"",INDEX(J$1:J4778,SUMPRODUCT(MAX(ROW(E$1:E4778)*(E4779=E$1:E4778)))))</f>
        <v> </v>
      </c>
      <c r="L4779" s="27"/>
    </row>
    <row r="4780" spans="1:12">
      <c r="A4780" s="20" t="s">
        <v>1006</v>
      </c>
      <c r="E4780" s="22">
        <f>IF(D4780="?OLD","!!!","")</f>
        <v/>
      </c>
      <c r="F4780" s="23" t="str">
        <f>IF(OR(E4780="",E4780="!!!"),"",IF(NOT(ISNA(VLOOKUP(E4780,E$1:E4779,1,FALSE()))),"OLD",IF(AND(E4780&lt;&gt;"",E4780&lt;&gt;"!!!"),"NEW","")))</f>
        <v> </v>
      </c>
      <c r="G4780" s="24" t="str">
        <f>IF(OR(E4780="",E4780="!!!"),"",IF(OR(J4780=0,AND(J4780=1,K4780=1),AND(J4780=1,I4780="SBJ"),AND(J4780=1,I4780=0)),"?IN_FOCUS",IF(J4780&lt;=2,"?ACTIVATED",IF(J4780&lt;&gt;"","?FAMILIAR",IF(F4780="NEW",IF(ISNA(VLOOKUP(E4780,#REF!,1,FALSE())),"?TYPE_IDENTIFIABLE","?REFERENTIAL"),"_")))))</f>
        <v> </v>
      </c>
      <c r="H4780" s="25" t="str">
        <f>IF(J4780&lt;&gt;1,"",IF(I4780="SBJ","CB","?"))</f>
        <v> </v>
      </c>
      <c r="I4780" s="26" t="str">
        <f>IF(OR(E4780="",E4780="!!!",F4780="NEW"),"",INDEX(B4779:B$2,-1+SUMPRODUCT(MAX(ROW(E4779:E$2)*(E4780=E4779:E$2)))))</f>
        <v> </v>
      </c>
      <c r="J4780" s="26" t="str">
        <f>IF(OR(E4780="",E4780="!!!",F4780="NEW"),"",COUNTBLANK(OFFSET(A$1,,,SUMPRODUCT(MAX(ROW(E$2:E4780)*(E4780=E$2:E4780)))))-COUNTBLANK(OFFSET(A$1,,,SUMPRODUCT(MAX(ROW(E$1:E4779)*(E2=E$1:E4779))))))</f>
        <v> </v>
      </c>
      <c r="K4780" s="26" t="str">
        <f>IF(OR(E4780="",E4780="!!!",F4780="NEW"),"",INDEX(J$1:J4779,SUMPRODUCT(MAX(ROW(E$1:E4779)*(E4780=E$1:E4779)))))</f>
        <v> </v>
      </c>
      <c r="L4780" s="27"/>
    </row>
    <row r="4781" spans="1:12">
      <c r="A4781" s="20" t="s">
        <v>2229</v>
      </c>
      <c r="B4781" s="21" t="s">
        <v>948</v>
      </c>
      <c r="C4781" s="21" t="s">
        <v>949</v>
      </c>
      <c r="D4781" s="21" t="s">
        <v>950</v>
      </c>
      <c r="E4781" s="22">
        <f>IF(D4781="?OLD","!!!","")</f>
        <v/>
      </c>
      <c r="F4781" s="23" t="str">
        <f>IF(OR(E4781="",E4781="!!!"),"",IF(NOT(ISNA(VLOOKUP(E4781,E$1:E4780,1,FALSE()))),"OLD",IF(AND(E4781&lt;&gt;"",E4781&lt;&gt;"!!!"),"NEW","")))</f>
        <v> </v>
      </c>
      <c r="G4781" s="24" t="str">
        <f>IF(OR(E4781="",E4781="!!!"),"",IF(OR(J4781=0,AND(J4781=1,K4781=1),AND(J4781=1,I4781="SBJ"),AND(J4781=1,I4781=0)),"?IN_FOCUS",IF(J4781&lt;=2,"?ACTIVATED",IF(J4781&lt;&gt;"","?FAMILIAR",IF(F4781="NEW",IF(ISNA(VLOOKUP(E4781,#REF!,1,FALSE())),"?TYPE_IDENTIFIABLE","?REFERENTIAL"),"_")))))</f>
        <v> </v>
      </c>
      <c r="H4781" s="25" t="str">
        <f>IF(J4781&lt;&gt;1,"",IF(I4781="SBJ","CB","?"))</f>
        <v> </v>
      </c>
      <c r="I4781" s="26" t="str">
        <f>IF(OR(E4781="",E4781="!!!",F4781="NEW"),"",INDEX(B4780:B$2,-1+SUMPRODUCT(MAX(ROW(E4780:E$2)*(E4781=E4780:E$2)))))</f>
        <v> </v>
      </c>
      <c r="J4781" s="26" t="str">
        <f>IF(OR(E4781="",E4781="!!!",F4781="NEW"),"",COUNTBLANK(OFFSET(A$1,,,SUMPRODUCT(MAX(ROW(E$2:E4781)*(E4781=E$2:E4781)))))-COUNTBLANK(OFFSET(A$1,,,SUMPRODUCT(MAX(ROW(E$1:E4780)*(E2=E$1:E4780))))))</f>
        <v> </v>
      </c>
      <c r="K4781" s="26" t="str">
        <f>IF(OR(E4781="",E4781="!!!",F4781="NEW"),"",INDEX(J$1:J4780,SUMPRODUCT(MAX(ROW(E$1:E4780)*(E4781=E$1:E4780)))))</f>
        <v> </v>
      </c>
      <c r="L4781" s="27"/>
    </row>
    <row r="4782" spans="1:12">
      <c r="A4782" s="20" t="s">
        <v>984</v>
      </c>
      <c r="E4782" s="22">
        <f>IF(D4782="?OLD","!!!","")</f>
        <v/>
      </c>
      <c r="F4782" s="23" t="str">
        <f>IF(OR(E4782="",E4782="!!!"),"",IF(NOT(ISNA(VLOOKUP(E4782,E$1:E4781,1,FALSE()))),"OLD",IF(AND(E4782&lt;&gt;"",E4782&lt;&gt;"!!!"),"NEW","")))</f>
        <v> </v>
      </c>
      <c r="G4782" s="24" t="str">
        <f>IF(OR(E4782="",E4782="!!!"),"",IF(OR(J4782=0,AND(J4782=1,K4782=1),AND(J4782=1,I4782="SBJ"),AND(J4782=1,I4782=0)),"?IN_FOCUS",IF(J4782&lt;=2,"?ACTIVATED",IF(J4782&lt;&gt;"","?FAMILIAR",IF(F4782="NEW",IF(ISNA(VLOOKUP(E4782,#REF!,1,FALSE())),"?TYPE_IDENTIFIABLE","?REFERENTIAL"),"_")))))</f>
        <v> </v>
      </c>
      <c r="H4782" s="25" t="str">
        <f>IF(J4782&lt;&gt;1,"",IF(I4782="SBJ","CB","?"))</f>
        <v> </v>
      </c>
      <c r="I4782" s="26" t="str">
        <f>IF(OR(E4782="",E4782="!!!",F4782="NEW"),"",INDEX(B4781:B$2,-1+SUMPRODUCT(MAX(ROW(E4781:E$2)*(E4782=E4781:E$2)))))</f>
        <v> </v>
      </c>
      <c r="J4782" s="26" t="str">
        <f>IF(OR(E4782="",E4782="!!!",F4782="NEW"),"",COUNTBLANK(OFFSET(A$1,,,SUMPRODUCT(MAX(ROW(E$2:E4782)*(E4782=E$2:E4782)))))-COUNTBLANK(OFFSET(A$1,,,SUMPRODUCT(MAX(ROW(E$1:E4781)*(E2=E$1:E4781))))))</f>
        <v> </v>
      </c>
      <c r="K4782" s="26" t="str">
        <f>IF(OR(E4782="",E4782="!!!",F4782="NEW"),"",INDEX(J$1:J4781,SUMPRODUCT(MAX(ROW(E$1:E4781)*(E4782=E$1:E4781)))))</f>
        <v> </v>
      </c>
      <c r="L4782" s="27"/>
    </row>
    <row r="4783" spans="1:12">
      <c r="A4783" s="20"/>
    </row>
    <row r="4784" spans="1:12">
      <c r="A4784" s="20" t="s">
        <v>2230</v>
      </c>
    </row>
    <row r="4785" spans="1:12">
      <c r="A4785" s="20" t="s">
        <v>1489</v>
      </c>
      <c r="E4785" s="22">
        <f>IF(D4785="?OLD","!!!","")</f>
        <v/>
      </c>
      <c r="F4785" s="23" t="str">
        <f>IF(OR(E4785="",E4785="!!!"),"",IF(NOT(ISNA(VLOOKUP(E4785,E$1:E4784,1,FALSE()))),"OLD",IF(AND(E4785&lt;&gt;"",E4785&lt;&gt;"!!!"),"NEW","")))</f>
        <v> </v>
      </c>
      <c r="G4785" s="24" t="str">
        <f>IF(OR(E4785="",E4785="!!!"),"",IF(OR(J4785=0,AND(J4785=1,K4785=1),AND(J4785=1,I4785="SBJ"),AND(J4785=1,I4785=0)),"?IN_FOCUS",IF(J4785&lt;=2,"?ACTIVATED",IF(J4785&lt;&gt;"","?FAMILIAR",IF(F4785="NEW",IF(ISNA(VLOOKUP(E4785,#REF!,1,FALSE())),"?TYPE_IDENTIFIABLE","?REFERENTIAL"),"_")))))</f>
        <v> </v>
      </c>
      <c r="H4785" s="25" t="str">
        <f>IF(J4785&lt;&gt;1,"",IF(I4785="SBJ","CB","?"))</f>
        <v> </v>
      </c>
      <c r="I4785" s="26" t="str">
        <f>IF(OR(E4785="",E4785="!!!",F4785="NEW"),"",INDEX(B4784:B$2,-1+SUMPRODUCT(MAX(ROW(E4784:E$2)*(E4785=E4784:E$2)))))</f>
        <v> </v>
      </c>
      <c r="J4785" s="26" t="str">
        <f>IF(OR(E4785="",E4785="!!!",F4785="NEW"),"",COUNTBLANK(OFFSET(A$1,,,SUMPRODUCT(MAX(ROW(E$2:E4785)*(E4785=E$2:E4785)))))-COUNTBLANK(OFFSET(A$1,,,SUMPRODUCT(MAX(ROW(E$1:E4784)*(E2=E$1:E4784))))))</f>
        <v> </v>
      </c>
      <c r="K4785" s="26" t="str">
        <f>IF(OR(E4785="",E4785="!!!",F4785="NEW"),"",INDEX(J$1:J4784,SUMPRODUCT(MAX(ROW(E$1:E4784)*(E4785=E$1:E4784)))))</f>
        <v> </v>
      </c>
      <c r="L4785" s="27"/>
    </row>
    <row r="4786" spans="1:12">
      <c r="A4786" s="20" t="s">
        <v>958</v>
      </c>
      <c r="B4786" s="21" t="s">
        <v>975</v>
      </c>
      <c r="C4786" s="21" t="s">
        <v>960</v>
      </c>
      <c r="D4786" s="21" t="s">
        <v>950</v>
      </c>
      <c r="E4786" s="22">
        <f>IF(D4786="?OLD","!!!","")</f>
        <v/>
      </c>
      <c r="F4786" s="23" t="str">
        <f>IF(OR(E4786="",E4786="!!!"),"",IF(NOT(ISNA(VLOOKUP(E4786,E$1:E4785,1,FALSE()))),"OLD",IF(AND(E4786&lt;&gt;"",E4786&lt;&gt;"!!!"),"NEW","")))</f>
        <v> </v>
      </c>
      <c r="G4786" s="24" t="str">
        <f>IF(OR(E4786="",E4786="!!!"),"",IF(OR(J4786=0,AND(J4786=1,K4786=1),AND(J4786=1,I4786="SBJ"),AND(J4786=1,I4786=0)),"?IN_FOCUS",IF(J4786&lt;=2,"?ACTIVATED",IF(J4786&lt;&gt;"","?FAMILIAR",IF(F4786="NEW",IF(ISNA(VLOOKUP(E4786,#REF!,1,FALSE())),"?TYPE_IDENTIFIABLE","?REFERENTIAL"),"_")))))</f>
        <v> </v>
      </c>
      <c r="H4786" s="25" t="str">
        <f>IF(J4786&lt;&gt;1,"",IF(I4786="SBJ","CB","?"))</f>
        <v> </v>
      </c>
      <c r="I4786" s="26" t="str">
        <f>IF(OR(E4786="",E4786="!!!",F4786="NEW"),"",INDEX(B4785:B$2,-1+SUMPRODUCT(MAX(ROW(E4785:E$2)*(E4786=E4785:E$2)))))</f>
        <v> </v>
      </c>
      <c r="J4786" s="26" t="str">
        <f>IF(OR(E4786="",E4786="!!!",F4786="NEW"),"",COUNTBLANK(OFFSET(A$1,,,SUMPRODUCT(MAX(ROW(E$2:E4786)*(E4786=E$2:E4786)))))-COUNTBLANK(OFFSET(A$1,,,SUMPRODUCT(MAX(ROW(E$1:E4785)*(E2=E$1:E4785))))))</f>
        <v> </v>
      </c>
      <c r="K4786" s="26" t="str">
        <f>IF(OR(E4786="",E4786="!!!",F4786="NEW"),"",INDEX(J$1:J4785,SUMPRODUCT(MAX(ROW(E$1:E4785)*(E4786=E$1:E4785)))))</f>
        <v> </v>
      </c>
      <c r="L4786" s="27"/>
    </row>
    <row r="4787" spans="1:12">
      <c r="A4787" s="20" t="s">
        <v>2231</v>
      </c>
      <c r="E4787" s="22">
        <f>IF(D4787="?OLD","!!!","")</f>
        <v/>
      </c>
      <c r="F4787" s="23" t="str">
        <f>IF(OR(E4787="",E4787="!!!"),"",IF(NOT(ISNA(VLOOKUP(E4787,E$1:E4786,1,FALSE()))),"OLD",IF(AND(E4787&lt;&gt;"",E4787&lt;&gt;"!!!"),"NEW","")))</f>
        <v> </v>
      </c>
      <c r="G4787" s="24" t="str">
        <f>IF(OR(E4787="",E4787="!!!"),"",IF(OR(J4787=0,AND(J4787=1,K4787=1),AND(J4787=1,I4787="SBJ"),AND(J4787=1,I4787=0)),"?IN_FOCUS",IF(J4787&lt;=2,"?ACTIVATED",IF(J4787&lt;&gt;"","?FAMILIAR",IF(F4787="NEW",IF(ISNA(VLOOKUP(E4787,#REF!,1,FALSE())),"?TYPE_IDENTIFIABLE","?REFERENTIAL"),"_")))))</f>
        <v> </v>
      </c>
      <c r="H4787" s="25" t="str">
        <f>IF(J4787&lt;&gt;1,"",IF(I4787="SBJ","CB","?"))</f>
        <v> </v>
      </c>
      <c r="I4787" s="26" t="str">
        <f>IF(OR(E4787="",E4787="!!!",F4787="NEW"),"",INDEX(B4786:B$2,-1+SUMPRODUCT(MAX(ROW(E4786:E$2)*(E4787=E4786:E$2)))))</f>
        <v> </v>
      </c>
      <c r="J4787" s="26" t="str">
        <f>IF(OR(E4787="",E4787="!!!",F4787="NEW"),"",COUNTBLANK(OFFSET(A$1,,,SUMPRODUCT(MAX(ROW(E$2:E4787)*(E4787=E$2:E4787)))))-COUNTBLANK(OFFSET(A$1,,,SUMPRODUCT(MAX(ROW(E$1:E4786)*(E2=E$1:E4786))))))</f>
        <v> </v>
      </c>
      <c r="K4787" s="26" t="str">
        <f>IF(OR(E4787="",E4787="!!!",F4787="NEW"),"",INDEX(J$1:J4786,SUMPRODUCT(MAX(ROW(E$1:E4786)*(E4787=E$1:E4786)))))</f>
        <v> </v>
      </c>
      <c r="L4787" s="27"/>
    </row>
    <row r="4788" spans="1:12">
      <c r="A4788" s="20" t="s">
        <v>1207</v>
      </c>
      <c r="E4788" s="22">
        <f>IF(D4788="?OLD","!!!","")</f>
        <v/>
      </c>
      <c r="F4788" s="23" t="str">
        <f>IF(OR(E4788="",E4788="!!!"),"",IF(NOT(ISNA(VLOOKUP(E4788,E$1:E4787,1,FALSE()))),"OLD",IF(AND(E4788&lt;&gt;"",E4788&lt;&gt;"!!!"),"NEW","")))</f>
        <v> </v>
      </c>
      <c r="G4788" s="24" t="str">
        <f>IF(OR(E4788="",E4788="!!!"),"",IF(OR(J4788=0,AND(J4788=1,K4788=1),AND(J4788=1,I4788="SBJ"),AND(J4788=1,I4788=0)),"?IN_FOCUS",IF(J4788&lt;=2,"?ACTIVATED",IF(J4788&lt;&gt;"","?FAMILIAR",IF(F4788="NEW",IF(ISNA(VLOOKUP(E4788,#REF!,1,FALSE())),"?TYPE_IDENTIFIABLE","?REFERENTIAL"),"_")))))</f>
        <v> </v>
      </c>
      <c r="H4788" s="25" t="str">
        <f>IF(J4788&lt;&gt;1,"",IF(I4788="SBJ","CB","?"))</f>
        <v> </v>
      </c>
      <c r="I4788" s="26" t="str">
        <f>IF(OR(E4788="",E4788="!!!",F4788="NEW"),"",INDEX(B4787:B$2,-1+SUMPRODUCT(MAX(ROW(E4787:E$2)*(E4788=E4787:E$2)))))</f>
        <v> </v>
      </c>
      <c r="J4788" s="26" t="str">
        <f>IF(OR(E4788="",E4788="!!!",F4788="NEW"),"",COUNTBLANK(OFFSET(A$1,,,SUMPRODUCT(MAX(ROW(E$2:E4788)*(E4788=E$2:E4788)))))-COUNTBLANK(OFFSET(A$1,,,SUMPRODUCT(MAX(ROW(E$1:E4787)*(E2=E$1:E4787))))))</f>
        <v> </v>
      </c>
      <c r="K4788" s="26" t="str">
        <f>IF(OR(E4788="",E4788="!!!",F4788="NEW"),"",INDEX(J$1:J4787,SUMPRODUCT(MAX(ROW(E$1:E4787)*(E4788=E$1:E4787)))))</f>
        <v> </v>
      </c>
      <c r="L4788" s="27"/>
    </row>
    <row r="4789" spans="1:12">
      <c r="A4789" s="20" t="s">
        <v>1618</v>
      </c>
      <c r="E4789" s="22">
        <f>IF(D4789="?OLD","!!!","")</f>
        <v/>
      </c>
      <c r="F4789" s="23" t="str">
        <f>IF(OR(E4789="",E4789="!!!"),"",IF(NOT(ISNA(VLOOKUP(E4789,E$1:E4788,1,FALSE()))),"OLD",IF(AND(E4789&lt;&gt;"",E4789&lt;&gt;"!!!"),"NEW","")))</f>
        <v> </v>
      </c>
      <c r="G4789" s="24" t="str">
        <f>IF(OR(E4789="",E4789="!!!"),"",IF(OR(J4789=0,AND(J4789=1,K4789=1),AND(J4789=1,I4789="SBJ"),AND(J4789=1,I4789=0)),"?IN_FOCUS",IF(J4789&lt;=2,"?ACTIVATED",IF(J4789&lt;&gt;"","?FAMILIAR",IF(F4789="NEW",IF(ISNA(VLOOKUP(E4789,#REF!,1,FALSE())),"?TYPE_IDENTIFIABLE","?REFERENTIAL"),"_")))))</f>
        <v> </v>
      </c>
      <c r="H4789" s="25" t="str">
        <f>IF(J4789&lt;&gt;1,"",IF(I4789="SBJ","CB","?"))</f>
        <v> </v>
      </c>
      <c r="I4789" s="26" t="str">
        <f>IF(OR(E4789="",E4789="!!!",F4789="NEW"),"",INDEX(B4788:B$2,-1+SUMPRODUCT(MAX(ROW(E4788:E$2)*(E4789=E4788:E$2)))))</f>
        <v> </v>
      </c>
      <c r="J4789" s="26" t="str">
        <f>IF(OR(E4789="",E4789="!!!",F4789="NEW"),"",COUNTBLANK(OFFSET(A$1,,,SUMPRODUCT(MAX(ROW(E$2:E4789)*(E4789=E$2:E4789)))))-COUNTBLANK(OFFSET(A$1,,,SUMPRODUCT(MAX(ROW(E$1:E4788)*(E2=E$1:E4788))))))</f>
        <v> </v>
      </c>
      <c r="K4789" s="26" t="str">
        <f>IF(OR(E4789="",E4789="!!!",F4789="NEW"),"",INDEX(J$1:J4788,SUMPRODUCT(MAX(ROW(E$1:E4788)*(E4789=E$1:E4788)))))</f>
        <v> </v>
      </c>
      <c r="L4789" s="27"/>
    </row>
    <row r="4790" spans="1:12">
      <c r="A4790" s="20" t="s">
        <v>1075</v>
      </c>
      <c r="E4790" s="22">
        <f>IF(D4790="?OLD","!!!","")</f>
        <v/>
      </c>
      <c r="F4790" s="23" t="str">
        <f>IF(OR(E4790="",E4790="!!!"),"",IF(NOT(ISNA(VLOOKUP(E4790,E$1:E4789,1,FALSE()))),"OLD",IF(AND(E4790&lt;&gt;"",E4790&lt;&gt;"!!!"),"NEW","")))</f>
        <v> </v>
      </c>
      <c r="G4790" s="24" t="str">
        <f>IF(OR(E4790="",E4790="!!!"),"",IF(OR(J4790=0,AND(J4790=1,K4790=1),AND(J4790=1,I4790="SBJ"),AND(J4790=1,I4790=0)),"?IN_FOCUS",IF(J4790&lt;=2,"?ACTIVATED",IF(J4790&lt;&gt;"","?FAMILIAR",IF(F4790="NEW",IF(ISNA(VLOOKUP(E4790,#REF!,1,FALSE())),"?TYPE_IDENTIFIABLE","?REFERENTIAL"),"_")))))</f>
        <v> </v>
      </c>
      <c r="H4790" s="25" t="str">
        <f>IF(J4790&lt;&gt;1,"",IF(I4790="SBJ","CB","?"))</f>
        <v> </v>
      </c>
      <c r="I4790" s="26" t="str">
        <f>IF(OR(E4790="",E4790="!!!",F4790="NEW"),"",INDEX(B4789:B$2,-1+SUMPRODUCT(MAX(ROW(E4789:E$2)*(E4790=E4789:E$2)))))</f>
        <v> </v>
      </c>
      <c r="J4790" s="26" t="str">
        <f>IF(OR(E4790="",E4790="!!!",F4790="NEW"),"",COUNTBLANK(OFFSET(A$1,,,SUMPRODUCT(MAX(ROW(E$2:E4790)*(E4790=E$2:E4790)))))-COUNTBLANK(OFFSET(A$1,,,SUMPRODUCT(MAX(ROW(E$1:E4789)*(E2=E$1:E4789))))))</f>
        <v> </v>
      </c>
      <c r="K4790" s="26" t="str">
        <f>IF(OR(E4790="",E4790="!!!",F4790="NEW"),"",INDEX(J$1:J4789,SUMPRODUCT(MAX(ROW(E$1:E4789)*(E4790=E$1:E4789)))))</f>
        <v> </v>
      </c>
      <c r="L4790" s="27"/>
    </row>
    <row r="4791" spans="1:12">
      <c r="A4791" s="20" t="s">
        <v>1006</v>
      </c>
      <c r="E4791" s="22">
        <f>IF(D4791="?OLD","!!!","")</f>
        <v/>
      </c>
      <c r="F4791" s="23" t="str">
        <f>IF(OR(E4791="",E4791="!!!"),"",IF(NOT(ISNA(VLOOKUP(E4791,E$1:E4790,1,FALSE()))),"OLD",IF(AND(E4791&lt;&gt;"",E4791&lt;&gt;"!!!"),"NEW","")))</f>
        <v> </v>
      </c>
      <c r="G4791" s="24" t="str">
        <f>IF(OR(E4791="",E4791="!!!"),"",IF(OR(J4791=0,AND(J4791=1,K4791=1),AND(J4791=1,I4791="SBJ"),AND(J4791=1,I4791=0)),"?IN_FOCUS",IF(J4791&lt;=2,"?ACTIVATED",IF(J4791&lt;&gt;"","?FAMILIAR",IF(F4791="NEW",IF(ISNA(VLOOKUP(E4791,#REF!,1,FALSE())),"?TYPE_IDENTIFIABLE","?REFERENTIAL"),"_")))))</f>
        <v> </v>
      </c>
      <c r="H4791" s="25" t="str">
        <f>IF(J4791&lt;&gt;1,"",IF(I4791="SBJ","CB","?"))</f>
        <v> </v>
      </c>
      <c r="I4791" s="26" t="str">
        <f>IF(OR(E4791="",E4791="!!!",F4791="NEW"),"",INDEX(B4790:B$2,-1+SUMPRODUCT(MAX(ROW(E4790:E$2)*(E4791=E4790:E$2)))))</f>
        <v> </v>
      </c>
      <c r="J4791" s="26" t="str">
        <f>IF(OR(E4791="",E4791="!!!",F4791="NEW"),"",COUNTBLANK(OFFSET(A$1,,,SUMPRODUCT(MAX(ROW(E$2:E4791)*(E4791=E$2:E4791)))))-COUNTBLANK(OFFSET(A$1,,,SUMPRODUCT(MAX(ROW(E$1:E4790)*(E2=E$1:E4790))))))</f>
        <v> </v>
      </c>
      <c r="K4791" s="26" t="str">
        <f>IF(OR(E4791="",E4791="!!!",F4791="NEW"),"",INDEX(J$1:J4790,SUMPRODUCT(MAX(ROW(E$1:E4790)*(E4791=E$1:E4790)))))</f>
        <v> </v>
      </c>
      <c r="L4791" s="27"/>
    </row>
    <row r="4792" spans="1:12">
      <c r="A4792" s="20" t="s">
        <v>2229</v>
      </c>
      <c r="B4792" s="21" t="s">
        <v>980</v>
      </c>
      <c r="C4792" s="21" t="s">
        <v>949</v>
      </c>
      <c r="D4792" s="21" t="s">
        <v>950</v>
      </c>
      <c r="E4792" s="22">
        <f>IF(D4792="?OLD","!!!","")</f>
        <v/>
      </c>
      <c r="F4792" s="23" t="str">
        <f>IF(OR(E4792="",E4792="!!!"),"",IF(NOT(ISNA(VLOOKUP(E4792,E$1:E4791,1,FALSE()))),"OLD",IF(AND(E4792&lt;&gt;"",E4792&lt;&gt;"!!!"),"NEW","")))</f>
        <v> </v>
      </c>
      <c r="G4792" s="24" t="str">
        <f>IF(OR(E4792="",E4792="!!!"),"",IF(OR(J4792=0,AND(J4792=1,K4792=1),AND(J4792=1,I4792="SBJ"),AND(J4792=1,I4792=0)),"?IN_FOCUS",IF(J4792&lt;=2,"?ACTIVATED",IF(J4792&lt;&gt;"","?FAMILIAR",IF(F4792="NEW",IF(ISNA(VLOOKUP(E4792,#REF!,1,FALSE())),"?TYPE_IDENTIFIABLE","?REFERENTIAL"),"_")))))</f>
        <v> </v>
      </c>
      <c r="H4792" s="25" t="str">
        <f>IF(J4792&lt;&gt;1,"",IF(I4792="SBJ","CB","?"))</f>
        <v> </v>
      </c>
      <c r="I4792" s="26" t="str">
        <f>IF(OR(E4792="",E4792="!!!",F4792="NEW"),"",INDEX(B4791:B$2,-1+SUMPRODUCT(MAX(ROW(E4791:E$2)*(E4792=E4791:E$2)))))</f>
        <v> </v>
      </c>
      <c r="J4792" s="26" t="str">
        <f>IF(OR(E4792="",E4792="!!!",F4792="NEW"),"",COUNTBLANK(OFFSET(A$1,,,SUMPRODUCT(MAX(ROW(E$2:E4792)*(E4792=E$2:E4792)))))-COUNTBLANK(OFFSET(A$1,,,SUMPRODUCT(MAX(ROW(E$1:E4791)*(E2=E$1:E4791))))))</f>
        <v> </v>
      </c>
      <c r="K4792" s="26" t="str">
        <f>IF(OR(E4792="",E4792="!!!",F4792="NEW"),"",INDEX(J$1:J4791,SUMPRODUCT(MAX(ROW(E$1:E4791)*(E4792=E$1:E4791)))))</f>
        <v> </v>
      </c>
      <c r="L4792" s="27"/>
    </row>
    <row r="4793" spans="1:12">
      <c r="A4793" s="20" t="s">
        <v>984</v>
      </c>
      <c r="E4793" s="22">
        <f>IF(D4793="?OLD","!!!","")</f>
        <v/>
      </c>
      <c r="F4793" s="23" t="str">
        <f>IF(OR(E4793="",E4793="!!!"),"",IF(NOT(ISNA(VLOOKUP(E4793,E$1:E4792,1,FALSE()))),"OLD",IF(AND(E4793&lt;&gt;"",E4793&lt;&gt;"!!!"),"NEW","")))</f>
        <v> </v>
      </c>
      <c r="G4793" s="24" t="str">
        <f>IF(OR(E4793="",E4793="!!!"),"",IF(OR(J4793=0,AND(J4793=1,K4793=1),AND(J4793=1,I4793="SBJ"),AND(J4793=1,I4793=0)),"?IN_FOCUS",IF(J4793&lt;=2,"?ACTIVATED",IF(J4793&lt;&gt;"","?FAMILIAR",IF(F4793="NEW",IF(ISNA(VLOOKUP(E4793,#REF!,1,FALSE())),"?TYPE_IDENTIFIABLE","?REFERENTIAL"),"_")))))</f>
        <v> </v>
      </c>
      <c r="H4793" s="25" t="str">
        <f>IF(J4793&lt;&gt;1,"",IF(I4793="SBJ","CB","?"))</f>
        <v> </v>
      </c>
      <c r="I4793" s="26" t="str">
        <f>IF(OR(E4793="",E4793="!!!",F4793="NEW"),"",INDEX(B4792:B$2,-1+SUMPRODUCT(MAX(ROW(E4792:E$2)*(E4793=E4792:E$2)))))</f>
        <v> </v>
      </c>
      <c r="J4793" s="26" t="str">
        <f>IF(OR(E4793="",E4793="!!!",F4793="NEW"),"",COUNTBLANK(OFFSET(A$1,,,SUMPRODUCT(MAX(ROW(E$2:E4793)*(E4793=E$2:E4793)))))-COUNTBLANK(OFFSET(A$1,,,SUMPRODUCT(MAX(ROW(E$1:E4792)*(E2=E$1:E4792))))))</f>
        <v> </v>
      </c>
      <c r="K4793" s="26" t="str">
        <f>IF(OR(E4793="",E4793="!!!",F4793="NEW"),"",INDEX(J$1:J4792,SUMPRODUCT(MAX(ROW(E$1:E4792)*(E4793=E$1:E4792)))))</f>
        <v> </v>
      </c>
      <c r="L4793" s="27"/>
    </row>
    <row r="4794" spans="1:12">
      <c r="A4794" s="20"/>
    </row>
    <row r="4795" spans="1:12">
      <c r="A4795" s="20" t="s">
        <v>2232</v>
      </c>
    </row>
    <row r="4796" spans="1:12">
      <c r="A4796" s="20" t="s">
        <v>1130</v>
      </c>
      <c r="E4796" s="22">
        <f>IF(D4796="?OLD","!!!","")</f>
        <v/>
      </c>
      <c r="F4796" s="23" t="str">
        <f>IF(OR(E4796="",E4796="!!!"),"",IF(NOT(ISNA(VLOOKUP(E4796,E$1:E4795,1,FALSE()))),"OLD",IF(AND(E4796&lt;&gt;"",E4796&lt;&gt;"!!!"),"NEW","")))</f>
        <v> </v>
      </c>
      <c r="G4796" s="24" t="str">
        <f>IF(OR(E4796="",E4796="!!!"),"",IF(OR(J4796=0,AND(J4796=1,K4796=1),AND(J4796=1,I4796="SBJ"),AND(J4796=1,I4796=0)),"?IN_FOCUS",IF(J4796&lt;=2,"?ACTIVATED",IF(J4796&lt;&gt;"","?FAMILIAR",IF(F4796="NEW",IF(ISNA(VLOOKUP(E4796,#REF!,1,FALSE())),"?TYPE_IDENTIFIABLE","?REFERENTIAL"),"_")))))</f>
        <v> </v>
      </c>
      <c r="H4796" s="25" t="str">
        <f>IF(J4796&lt;&gt;1,"",IF(I4796="SBJ","CB","?"))</f>
        <v> </v>
      </c>
      <c r="I4796" s="26" t="str">
        <f>IF(OR(E4796="",E4796="!!!",F4796="NEW"),"",INDEX(B4795:B$2,-1+SUMPRODUCT(MAX(ROW(E4795:E$2)*(E4796=E4795:E$2)))))</f>
        <v> </v>
      </c>
      <c r="J4796" s="26" t="str">
        <f>IF(OR(E4796="",E4796="!!!",F4796="NEW"),"",COUNTBLANK(OFFSET(A$1,,,SUMPRODUCT(MAX(ROW(E$2:E4796)*(E4796=E$2:E4796)))))-COUNTBLANK(OFFSET(A$1,,,SUMPRODUCT(MAX(ROW(E$1:E4795)*(E2=E$1:E4795))))))</f>
        <v> </v>
      </c>
      <c r="K4796" s="26" t="str">
        <f>IF(OR(E4796="",E4796="!!!",F4796="NEW"),"",INDEX(J$1:J4795,SUMPRODUCT(MAX(ROW(E$1:E4795)*(E4796=E$1:E4795)))))</f>
        <v> </v>
      </c>
      <c r="L4796" s="27"/>
    </row>
    <row r="4797" spans="1:12">
      <c r="A4797" s="20" t="s">
        <v>1491</v>
      </c>
      <c r="E4797" s="22">
        <f>IF(D4797="?OLD","!!!","")</f>
        <v/>
      </c>
      <c r="F4797" s="23" t="str">
        <f>IF(OR(E4797="",E4797="!!!"),"",IF(NOT(ISNA(VLOOKUP(E4797,E$1:E4796,1,FALSE()))),"OLD",IF(AND(E4797&lt;&gt;"",E4797&lt;&gt;"!!!"),"NEW","")))</f>
        <v> </v>
      </c>
      <c r="G4797" s="24" t="str">
        <f>IF(OR(E4797="",E4797="!!!"),"",IF(OR(J4797=0,AND(J4797=1,K4797=1),AND(J4797=1,I4797="SBJ"),AND(J4797=1,I4797=0)),"?IN_FOCUS",IF(J4797&lt;=2,"?ACTIVATED",IF(J4797&lt;&gt;"","?FAMILIAR",IF(F4797="NEW",IF(ISNA(VLOOKUP(E4797,#REF!,1,FALSE())),"?TYPE_IDENTIFIABLE","?REFERENTIAL"),"_")))))</f>
        <v> </v>
      </c>
      <c r="H4797" s="25" t="str">
        <f>IF(J4797&lt;&gt;1,"",IF(I4797="SBJ","CB","?"))</f>
        <v> </v>
      </c>
      <c r="I4797" s="26" t="str">
        <f>IF(OR(E4797="",E4797="!!!",F4797="NEW"),"",INDEX(B4796:B$2,-1+SUMPRODUCT(MAX(ROW(E4796:E$2)*(E4797=E4796:E$2)))))</f>
        <v> </v>
      </c>
      <c r="J4797" s="26" t="str">
        <f>IF(OR(E4797="",E4797="!!!",F4797="NEW"),"",COUNTBLANK(OFFSET(A$1,,,SUMPRODUCT(MAX(ROW(E$2:E4797)*(E4797=E$2:E4797)))))-COUNTBLANK(OFFSET(A$1,,,SUMPRODUCT(MAX(ROW(E$1:E4796)*(E2=E$1:E4796))))))</f>
        <v> </v>
      </c>
      <c r="K4797" s="26" t="str">
        <f>IF(OR(E4797="",E4797="!!!",F4797="NEW"),"",INDEX(J$1:J4796,SUMPRODUCT(MAX(ROW(E$1:E4796)*(E4797=E$1:E4796)))))</f>
        <v> </v>
      </c>
      <c r="L4797" s="27"/>
    </row>
    <row r="4798" spans="1:12">
      <c r="A4798" s="20" t="s">
        <v>1022</v>
      </c>
      <c r="E4798" s="22">
        <f>IF(D4798="?OLD","!!!","")</f>
        <v/>
      </c>
      <c r="F4798" s="23" t="str">
        <f>IF(OR(E4798="",E4798="!!!"),"",IF(NOT(ISNA(VLOOKUP(E4798,E$1:E4797,1,FALSE()))),"OLD",IF(AND(E4798&lt;&gt;"",E4798&lt;&gt;"!!!"),"NEW","")))</f>
        <v> </v>
      </c>
      <c r="G4798" s="24" t="str">
        <f>IF(OR(E4798="",E4798="!!!"),"",IF(OR(J4798=0,AND(J4798=1,K4798=1),AND(J4798=1,I4798="SBJ"),AND(J4798=1,I4798=0)),"?IN_FOCUS",IF(J4798&lt;=2,"?ACTIVATED",IF(J4798&lt;&gt;"","?FAMILIAR",IF(F4798="NEW",IF(ISNA(VLOOKUP(E4798,#REF!,1,FALSE())),"?TYPE_IDENTIFIABLE","?REFERENTIAL"),"_")))))</f>
        <v> </v>
      </c>
      <c r="H4798" s="25" t="str">
        <f>IF(J4798&lt;&gt;1,"",IF(I4798="SBJ","CB","?"))</f>
        <v> </v>
      </c>
      <c r="I4798" s="26" t="str">
        <f>IF(OR(E4798="",E4798="!!!",F4798="NEW"),"",INDEX(B4797:B$2,-1+SUMPRODUCT(MAX(ROW(E4797:E$2)*(E4798=E4797:E$2)))))</f>
        <v> </v>
      </c>
      <c r="J4798" s="26" t="str">
        <f>IF(OR(E4798="",E4798="!!!",F4798="NEW"),"",COUNTBLANK(OFFSET(A$1,,,SUMPRODUCT(MAX(ROW(E$2:E4798)*(E4798=E$2:E4798)))))-COUNTBLANK(OFFSET(A$1,,,SUMPRODUCT(MAX(ROW(E$1:E4797)*(E2=E$1:E4797))))))</f>
        <v> </v>
      </c>
      <c r="K4798" s="26" t="str">
        <f>IF(OR(E4798="",E4798="!!!",F4798="NEW"),"",INDEX(J$1:J4797,SUMPRODUCT(MAX(ROW(E$1:E4797)*(E4798=E$1:E4797)))))</f>
        <v> </v>
      </c>
      <c r="L4798" s="27"/>
    </row>
    <row r="4799" spans="1:12">
      <c r="A4799" s="20" t="s">
        <v>120</v>
      </c>
      <c r="E4799" s="22">
        <f>IF(D4799="?OLD","!!!","")</f>
        <v/>
      </c>
      <c r="F4799" s="23" t="str">
        <f>IF(OR(E4799="",E4799="!!!"),"",IF(NOT(ISNA(VLOOKUP(E4799,E$1:E4798,1,FALSE()))),"OLD",IF(AND(E4799&lt;&gt;"",E4799&lt;&gt;"!!!"),"NEW","")))</f>
        <v> </v>
      </c>
      <c r="G4799" s="24" t="str">
        <f>IF(OR(E4799="",E4799="!!!"),"",IF(OR(J4799=0,AND(J4799=1,K4799=1),AND(J4799=1,I4799="SBJ"),AND(J4799=1,I4799=0)),"?IN_FOCUS",IF(J4799&lt;=2,"?ACTIVATED",IF(J4799&lt;&gt;"","?FAMILIAR",IF(F4799="NEW",IF(ISNA(VLOOKUP(E4799,#REF!,1,FALSE())),"?TYPE_IDENTIFIABLE","?REFERENTIAL"),"_")))))</f>
        <v> </v>
      </c>
      <c r="H4799" s="25" t="str">
        <f>IF(J4799&lt;&gt;1,"",IF(I4799="SBJ","CB","?"))</f>
        <v> </v>
      </c>
      <c r="I4799" s="26" t="str">
        <f>IF(OR(E4799="",E4799="!!!",F4799="NEW"),"",INDEX(B4798:B$2,-1+SUMPRODUCT(MAX(ROW(E4798:E$2)*(E4799=E4798:E$2)))))</f>
        <v> </v>
      </c>
      <c r="J4799" s="26" t="str">
        <f>IF(OR(E4799="",E4799="!!!",F4799="NEW"),"",COUNTBLANK(OFFSET(A$1,,,SUMPRODUCT(MAX(ROW(E$2:E4799)*(E4799=E$2:E4799)))))-COUNTBLANK(OFFSET(A$1,,,SUMPRODUCT(MAX(ROW(E$1:E4798)*(E2=E$1:E4798))))))</f>
        <v> </v>
      </c>
      <c r="K4799" s="26" t="str">
        <f>IF(OR(E4799="",E4799="!!!",F4799="NEW"),"",INDEX(J$1:J4798,SUMPRODUCT(MAX(ROW(E$1:E4798)*(E4799=E$1:E4798)))))</f>
        <v> </v>
      </c>
      <c r="L4799" s="27"/>
    </row>
    <row r="4800" spans="1:12">
      <c r="A4800" s="20" t="s">
        <v>1000</v>
      </c>
      <c r="E4800" s="22">
        <f>IF(D4800="?OLD","!!!","")</f>
        <v/>
      </c>
      <c r="F4800" s="23" t="str">
        <f>IF(OR(E4800="",E4800="!!!"),"",IF(NOT(ISNA(VLOOKUP(E4800,E$1:E4799,1,FALSE()))),"OLD",IF(AND(E4800&lt;&gt;"",E4800&lt;&gt;"!!!"),"NEW","")))</f>
        <v> </v>
      </c>
      <c r="G4800" s="24" t="str">
        <f>IF(OR(E4800="",E4800="!!!"),"",IF(OR(J4800=0,AND(J4800=1,K4800=1),AND(J4800=1,I4800="SBJ"),AND(J4800=1,I4800=0)),"?IN_FOCUS",IF(J4800&lt;=2,"?ACTIVATED",IF(J4800&lt;&gt;"","?FAMILIAR",IF(F4800="NEW",IF(ISNA(VLOOKUP(E4800,#REF!,1,FALSE())),"?TYPE_IDENTIFIABLE","?REFERENTIAL"),"_")))))</f>
        <v> </v>
      </c>
      <c r="H4800" s="25" t="str">
        <f>IF(J4800&lt;&gt;1,"",IF(I4800="SBJ","CB","?"))</f>
        <v> </v>
      </c>
      <c r="I4800" s="26" t="str">
        <f>IF(OR(E4800="",E4800="!!!",F4800="NEW"),"",INDEX(B4799:B$2,-1+SUMPRODUCT(MAX(ROW(E4799:E$2)*(E4800=E4799:E$2)))))</f>
        <v> </v>
      </c>
      <c r="J4800" s="26" t="str">
        <f>IF(OR(E4800="",E4800="!!!",F4800="NEW"),"",COUNTBLANK(OFFSET(A$1,,,SUMPRODUCT(MAX(ROW(E$2:E4800)*(E4800=E$2:E4800)))))-COUNTBLANK(OFFSET(A$1,,,SUMPRODUCT(MAX(ROW(E$1:E4799)*(E2=E$1:E4799))))))</f>
        <v> </v>
      </c>
      <c r="K4800" s="26" t="str">
        <f>IF(OR(E4800="",E4800="!!!",F4800="NEW"),"",INDEX(J$1:J4799,SUMPRODUCT(MAX(ROW(E$1:E4799)*(E4800=E$1:E4799)))))</f>
        <v> </v>
      </c>
      <c r="L4800" s="27"/>
    </row>
    <row r="4801" spans="1:12">
      <c r="A4801" s="20" t="s">
        <v>1210</v>
      </c>
      <c r="E4801" s="22">
        <f>IF(D4801="?OLD","!!!","")</f>
        <v/>
      </c>
      <c r="F4801" s="23" t="str">
        <f>IF(OR(E4801="",E4801="!!!"),"",IF(NOT(ISNA(VLOOKUP(E4801,E$1:E4800,1,FALSE()))),"OLD",IF(AND(E4801&lt;&gt;"",E4801&lt;&gt;"!!!"),"NEW","")))</f>
        <v> </v>
      </c>
      <c r="G4801" s="24" t="str">
        <f>IF(OR(E4801="",E4801="!!!"),"",IF(OR(J4801=0,AND(J4801=1,K4801=1),AND(J4801=1,I4801="SBJ"),AND(J4801=1,I4801=0)),"?IN_FOCUS",IF(J4801&lt;=2,"?ACTIVATED",IF(J4801&lt;&gt;"","?FAMILIAR",IF(F4801="NEW",IF(ISNA(VLOOKUP(E4801,#REF!,1,FALSE())),"?TYPE_IDENTIFIABLE","?REFERENTIAL"),"_")))))</f>
        <v> </v>
      </c>
      <c r="H4801" s="25" t="str">
        <f>IF(J4801&lt;&gt;1,"",IF(I4801="SBJ","CB","?"))</f>
        <v> </v>
      </c>
      <c r="I4801" s="26" t="str">
        <f>IF(OR(E4801="",E4801="!!!",F4801="NEW"),"",INDEX(B4800:B$2,-1+SUMPRODUCT(MAX(ROW(E4800:E$2)*(E4801=E4800:E$2)))))</f>
        <v> </v>
      </c>
      <c r="J4801" s="26" t="str">
        <f>IF(OR(E4801="",E4801="!!!",F4801="NEW"),"",COUNTBLANK(OFFSET(A$1,,,SUMPRODUCT(MAX(ROW(E$2:E4801)*(E4801=E$2:E4801)))))-COUNTBLANK(OFFSET(A$1,,,SUMPRODUCT(MAX(ROW(E$1:E4800)*(E2=E$1:E4800))))))</f>
        <v> </v>
      </c>
      <c r="K4801" s="26" t="str">
        <f>IF(OR(E4801="",E4801="!!!",F4801="NEW"),"",INDEX(J$1:J4800,SUMPRODUCT(MAX(ROW(E$1:E4800)*(E4801=E$1:E4800)))))</f>
        <v> </v>
      </c>
      <c r="L4801" s="27"/>
    </row>
    <row r="4802" spans="1:12">
      <c r="A4802" s="20" t="s">
        <v>961</v>
      </c>
      <c r="E4802" s="22">
        <f>IF(D4802="?OLD","!!!","")</f>
        <v/>
      </c>
      <c r="F4802" s="23" t="str">
        <f>IF(OR(E4802="",E4802="!!!"),"",IF(NOT(ISNA(VLOOKUP(E4802,E$1:E4801,1,FALSE()))),"OLD",IF(AND(E4802&lt;&gt;"",E4802&lt;&gt;"!!!"),"NEW","")))</f>
        <v> </v>
      </c>
      <c r="G4802" s="24" t="str">
        <f>IF(OR(E4802="",E4802="!!!"),"",IF(OR(J4802=0,AND(J4802=1,K4802=1),AND(J4802=1,I4802="SBJ"),AND(J4802=1,I4802=0)),"?IN_FOCUS",IF(J4802&lt;=2,"?ACTIVATED",IF(J4802&lt;&gt;"","?FAMILIAR",IF(F4802="NEW",IF(ISNA(VLOOKUP(E4802,#REF!,1,FALSE())),"?TYPE_IDENTIFIABLE","?REFERENTIAL"),"_")))))</f>
        <v> </v>
      </c>
      <c r="H4802" s="25" t="str">
        <f>IF(J4802&lt;&gt;1,"",IF(I4802="SBJ","CB","?"))</f>
        <v> </v>
      </c>
      <c r="I4802" s="26" t="str">
        <f>IF(OR(E4802="",E4802="!!!",F4802="NEW"),"",INDEX(B4801:B$2,-1+SUMPRODUCT(MAX(ROW(E4801:E$2)*(E4802=E4801:E$2)))))</f>
        <v> </v>
      </c>
      <c r="J4802" s="26" t="str">
        <f>IF(OR(E4802="",E4802="!!!",F4802="NEW"),"",COUNTBLANK(OFFSET(A$1,,,SUMPRODUCT(MAX(ROW(E$2:E4802)*(E4802=E$2:E4802)))))-COUNTBLANK(OFFSET(A$1,,,SUMPRODUCT(MAX(ROW(E$1:E4801)*(E2=E$1:E4801))))))</f>
        <v> </v>
      </c>
      <c r="K4802" s="26" t="str">
        <f>IF(OR(E4802="",E4802="!!!",F4802="NEW"),"",INDEX(J$1:J4801,SUMPRODUCT(MAX(ROW(E$1:E4801)*(E4802=E$1:E4801)))))</f>
        <v> </v>
      </c>
      <c r="L4802" s="27"/>
    </row>
    <row r="4803" spans="1:12">
      <c r="A4803" s="20" t="s">
        <v>1547</v>
      </c>
      <c r="E4803" s="22">
        <f>IF(D4803="?OLD","!!!","")</f>
        <v/>
      </c>
      <c r="F4803" s="23" t="str">
        <f>IF(OR(E4803="",E4803="!!!"),"",IF(NOT(ISNA(VLOOKUP(E4803,E$1:E4802,1,FALSE()))),"OLD",IF(AND(E4803&lt;&gt;"",E4803&lt;&gt;"!!!"),"NEW","")))</f>
        <v> </v>
      </c>
      <c r="G4803" s="24" t="str">
        <f>IF(OR(E4803="",E4803="!!!"),"",IF(OR(J4803=0,AND(J4803=1,K4803=1),AND(J4803=1,I4803="SBJ"),AND(J4803=1,I4803=0)),"?IN_FOCUS",IF(J4803&lt;=2,"?ACTIVATED",IF(J4803&lt;&gt;"","?FAMILIAR",IF(F4803="NEW",IF(ISNA(VLOOKUP(E4803,#REF!,1,FALSE())),"?TYPE_IDENTIFIABLE","?REFERENTIAL"),"_")))))</f>
        <v> </v>
      </c>
      <c r="H4803" s="25" t="str">
        <f>IF(J4803&lt;&gt;1,"",IF(I4803="SBJ","CB","?"))</f>
        <v> </v>
      </c>
      <c r="I4803" s="26" t="str">
        <f>IF(OR(E4803="",E4803="!!!",F4803="NEW"),"",INDEX(B4802:B$2,-1+SUMPRODUCT(MAX(ROW(E4802:E$2)*(E4803=E4802:E$2)))))</f>
        <v> </v>
      </c>
      <c r="J4803" s="26" t="str">
        <f>IF(OR(E4803="",E4803="!!!",F4803="NEW"),"",COUNTBLANK(OFFSET(A$1,,,SUMPRODUCT(MAX(ROW(E$2:E4803)*(E4803=E$2:E4803)))))-COUNTBLANK(OFFSET(A$1,,,SUMPRODUCT(MAX(ROW(E$1:E4802)*(E2=E$1:E4802))))))</f>
        <v> </v>
      </c>
      <c r="K4803" s="26" t="str">
        <f>IF(OR(E4803="",E4803="!!!",F4803="NEW"),"",INDEX(J$1:J4802,SUMPRODUCT(MAX(ROW(E$1:E4802)*(E4803=E$1:E4802)))))</f>
        <v> </v>
      </c>
      <c r="L4803" s="27"/>
    </row>
    <row r="4804" spans="1:12">
      <c r="A4804" s="20" t="s">
        <v>1473</v>
      </c>
      <c r="B4804" s="21" t="s">
        <v>948</v>
      </c>
      <c r="C4804" s="21" t="s">
        <v>964</v>
      </c>
      <c r="E4804" s="22">
        <f>IF(D4804="?OLD","!!!","")</f>
        <v/>
      </c>
      <c r="F4804" s="23" t="str">
        <f>IF(OR(E4804="",E4804="!!!"),"",IF(NOT(ISNA(VLOOKUP(E4804,E$1:E4803,1,FALSE()))),"OLD",IF(AND(E4804&lt;&gt;"",E4804&lt;&gt;"!!!"),"NEW","")))</f>
        <v> </v>
      </c>
      <c r="G4804" s="24" t="str">
        <f>IF(OR(E4804="",E4804="!!!"),"",IF(OR(J4804=0,AND(J4804=1,K4804=1),AND(J4804=1,I4804="SBJ"),AND(J4804=1,I4804=0)),"?IN_FOCUS",IF(J4804&lt;=2,"?ACTIVATED",IF(J4804&lt;&gt;"","?FAMILIAR",IF(F4804="NEW",IF(ISNA(VLOOKUP(E4804,#REF!,1,FALSE())),"?TYPE_IDENTIFIABLE","?REFERENTIAL"),"_")))))</f>
        <v> </v>
      </c>
      <c r="H4804" s="25" t="str">
        <f>IF(J4804&lt;&gt;1,"",IF(I4804="SBJ","CB","?"))</f>
        <v> </v>
      </c>
      <c r="I4804" s="26" t="str">
        <f>IF(OR(E4804="",E4804="!!!",F4804="NEW"),"",INDEX(B4803:B$2,-1+SUMPRODUCT(MAX(ROW(E4803:E$2)*(E4804=E4803:E$2)))))</f>
        <v> </v>
      </c>
      <c r="J4804" s="26" t="str">
        <f>IF(OR(E4804="",E4804="!!!",F4804="NEW"),"",COUNTBLANK(OFFSET(A$1,,,SUMPRODUCT(MAX(ROW(E$2:E4804)*(E4804=E$2:E4804)))))-COUNTBLANK(OFFSET(A$1,,,SUMPRODUCT(MAX(ROW(E$1:E4803)*(E2=E$1:E4803))))))</f>
        <v> </v>
      </c>
      <c r="K4804" s="26" t="str">
        <f>IF(OR(E4804="",E4804="!!!",F4804="NEW"),"",INDEX(J$1:J4803,SUMPRODUCT(MAX(ROW(E$1:E4803)*(E4804=E$1:E4803)))))</f>
        <v> </v>
      </c>
      <c r="L4804" s="27"/>
    </row>
    <row r="4805" spans="1:12">
      <c r="A4805" s="20" t="s">
        <v>1483</v>
      </c>
      <c r="E4805" s="22">
        <f>IF(D4805="?OLD","!!!","")</f>
        <v/>
      </c>
      <c r="F4805" s="23" t="str">
        <f>IF(OR(E4805="",E4805="!!!"),"",IF(NOT(ISNA(VLOOKUP(E4805,E$1:E4804,1,FALSE()))),"OLD",IF(AND(E4805&lt;&gt;"",E4805&lt;&gt;"!!!"),"NEW","")))</f>
        <v> </v>
      </c>
      <c r="G4805" s="24" t="str">
        <f>IF(OR(E4805="",E4805="!!!"),"",IF(OR(J4805=0,AND(J4805=1,K4805=1),AND(J4805=1,I4805="SBJ"),AND(J4805=1,I4805=0)),"?IN_FOCUS",IF(J4805&lt;=2,"?ACTIVATED",IF(J4805&lt;&gt;"","?FAMILIAR",IF(F4805="NEW",IF(ISNA(VLOOKUP(E4805,#REF!,1,FALSE())),"?TYPE_IDENTIFIABLE","?REFERENTIAL"),"_")))))</f>
        <v> </v>
      </c>
      <c r="H4805" s="25" t="str">
        <f>IF(J4805&lt;&gt;1,"",IF(I4805="SBJ","CB","?"))</f>
        <v> </v>
      </c>
      <c r="I4805" s="26" t="str">
        <f>IF(OR(E4805="",E4805="!!!",F4805="NEW"),"",INDEX(B4804:B$2,-1+SUMPRODUCT(MAX(ROW(E4804:E$2)*(E4805=E4804:E$2)))))</f>
        <v> </v>
      </c>
      <c r="J4805" s="26" t="str">
        <f>IF(OR(E4805="",E4805="!!!",F4805="NEW"),"",COUNTBLANK(OFFSET(A$1,,,SUMPRODUCT(MAX(ROW(E$2:E4805)*(E4805=E$2:E4805)))))-COUNTBLANK(OFFSET(A$1,,,SUMPRODUCT(MAX(ROW(E$1:E4804)*(E2=E$1:E4804))))))</f>
        <v> </v>
      </c>
      <c r="K4805" s="26" t="str">
        <f>IF(OR(E4805="",E4805="!!!",F4805="NEW"),"",INDEX(J$1:J4804,SUMPRODUCT(MAX(ROW(E$1:E4804)*(E4805=E$1:E4804)))))</f>
        <v> </v>
      </c>
      <c r="L4805" s="27"/>
    </row>
    <row r="4806" spans="1:12">
      <c r="A4806" s="20" t="s">
        <v>965</v>
      </c>
      <c r="B4806" s="21" t="s">
        <v>975</v>
      </c>
      <c r="E4806" s="22">
        <f>IF(D4806="?OLD","!!!","")</f>
        <v/>
      </c>
      <c r="F4806" s="23" t="str">
        <f>IF(OR(E4806="",E4806="!!!"),"",IF(NOT(ISNA(VLOOKUP(E4806,E$1:E4805,1,FALSE()))),"OLD",IF(AND(E4806&lt;&gt;"",E4806&lt;&gt;"!!!"),"NEW","")))</f>
        <v> </v>
      </c>
      <c r="G4806" s="24" t="str">
        <f>IF(OR(E4806="",E4806="!!!"),"",IF(OR(J4806=0,AND(J4806=1,K4806=1),AND(J4806=1,I4806="SBJ"),AND(J4806=1,I4806=0)),"?IN_FOCUS",IF(J4806&lt;=2,"?ACTIVATED",IF(J4806&lt;&gt;"","?FAMILIAR",IF(F4806="NEW",IF(ISNA(VLOOKUP(E4806,#REF!,1,FALSE())),"?TYPE_IDENTIFIABLE","?REFERENTIAL"),"_")))))</f>
        <v> </v>
      </c>
      <c r="H4806" s="25" t="str">
        <f>IF(J4806&lt;&gt;1,"",IF(I4806="SBJ","CB","?"))</f>
        <v> </v>
      </c>
      <c r="I4806" s="26" t="str">
        <f>IF(OR(E4806="",E4806="!!!",F4806="NEW"),"",INDEX(B4805:B$2,-1+SUMPRODUCT(MAX(ROW(E4805:E$2)*(E4806=E4805:E$2)))))</f>
        <v> </v>
      </c>
      <c r="J4806" s="26" t="str">
        <f>IF(OR(E4806="",E4806="!!!",F4806="NEW"),"",COUNTBLANK(OFFSET(A$1,,,SUMPRODUCT(MAX(ROW(E$2:E4806)*(E4806=E$2:E4806)))))-COUNTBLANK(OFFSET(A$1,,,SUMPRODUCT(MAX(ROW(E$1:E4805)*(E2=E$1:E4805))))))</f>
        <v> </v>
      </c>
      <c r="K4806" s="26" t="str">
        <f>IF(OR(E4806="",E4806="!!!",F4806="NEW"),"",INDEX(J$1:J4805,SUMPRODUCT(MAX(ROW(E$1:E4805)*(E4806=E$1:E4805)))))</f>
        <v> </v>
      </c>
      <c r="L4806" s="27"/>
    </row>
    <row r="4807" spans="1:12">
      <c r="A4807" s="20" t="s">
        <v>2233</v>
      </c>
      <c r="E4807" s="22">
        <f>IF(D4807="?OLD","!!!","")</f>
        <v/>
      </c>
      <c r="F4807" s="23" t="str">
        <f>IF(OR(E4807="",E4807="!!!"),"",IF(NOT(ISNA(VLOOKUP(E4807,E$1:E4806,1,FALSE()))),"OLD",IF(AND(E4807&lt;&gt;"",E4807&lt;&gt;"!!!"),"NEW","")))</f>
        <v> </v>
      </c>
      <c r="G4807" s="24" t="str">
        <f>IF(OR(E4807="",E4807="!!!"),"",IF(OR(J4807=0,AND(J4807=1,K4807=1),AND(J4807=1,I4807="SBJ"),AND(J4807=1,I4807=0)),"?IN_FOCUS",IF(J4807&lt;=2,"?ACTIVATED",IF(J4807&lt;&gt;"","?FAMILIAR",IF(F4807="NEW",IF(ISNA(VLOOKUP(E4807,#REF!,1,FALSE())),"?TYPE_IDENTIFIABLE","?REFERENTIAL"),"_")))))</f>
        <v> </v>
      </c>
      <c r="H4807" s="25" t="str">
        <f>IF(J4807&lt;&gt;1,"",IF(I4807="SBJ","CB","?"))</f>
        <v> </v>
      </c>
      <c r="I4807" s="26" t="str">
        <f>IF(OR(E4807="",E4807="!!!",F4807="NEW"),"",INDEX(B4806:B$2,-1+SUMPRODUCT(MAX(ROW(E4806:E$2)*(E4807=E4806:E$2)))))</f>
        <v> </v>
      </c>
      <c r="J4807" s="26" t="str">
        <f>IF(OR(E4807="",E4807="!!!",F4807="NEW"),"",COUNTBLANK(OFFSET(A$1,,,SUMPRODUCT(MAX(ROW(E$2:E4807)*(E4807=E$2:E4807)))))-COUNTBLANK(OFFSET(A$1,,,SUMPRODUCT(MAX(ROW(E$1:E4806)*(E2=E$1:E4806))))))</f>
        <v> </v>
      </c>
      <c r="K4807" s="26" t="str">
        <f>IF(OR(E4807="",E4807="!!!",F4807="NEW"),"",INDEX(J$1:J4806,SUMPRODUCT(MAX(ROW(E$1:E4806)*(E4807=E$1:E4806)))))</f>
        <v> </v>
      </c>
      <c r="L4807" s="27"/>
    </row>
    <row r="4808" spans="1:12">
      <c r="A4808" s="20" t="s">
        <v>984</v>
      </c>
      <c r="E4808" s="22">
        <f>IF(D4808="?OLD","!!!","")</f>
        <v/>
      </c>
      <c r="F4808" s="23" t="str">
        <f>IF(OR(E4808="",E4808="!!!"),"",IF(NOT(ISNA(VLOOKUP(E4808,E$1:E4807,1,FALSE()))),"OLD",IF(AND(E4808&lt;&gt;"",E4808&lt;&gt;"!!!"),"NEW","")))</f>
        <v> </v>
      </c>
      <c r="G4808" s="24" t="str">
        <f>IF(OR(E4808="",E4808="!!!"),"",IF(OR(J4808=0,AND(J4808=1,K4808=1),AND(J4808=1,I4808="SBJ"),AND(J4808=1,I4808=0)),"?IN_FOCUS",IF(J4808&lt;=2,"?ACTIVATED",IF(J4808&lt;&gt;"","?FAMILIAR",IF(F4808="NEW",IF(ISNA(VLOOKUP(E4808,#REF!,1,FALSE())),"?TYPE_IDENTIFIABLE","?REFERENTIAL"),"_")))))</f>
        <v> </v>
      </c>
      <c r="H4808" s="25" t="str">
        <f>IF(J4808&lt;&gt;1,"",IF(I4808="SBJ","CB","?"))</f>
        <v> </v>
      </c>
      <c r="I4808" s="26" t="str">
        <f>IF(OR(E4808="",E4808="!!!",F4808="NEW"),"",INDEX(B4807:B$2,-1+SUMPRODUCT(MAX(ROW(E4807:E$2)*(E4808=E4807:E$2)))))</f>
        <v> </v>
      </c>
      <c r="J4808" s="26" t="str">
        <f>IF(OR(E4808="",E4808="!!!",F4808="NEW"),"",COUNTBLANK(OFFSET(A$1,,,SUMPRODUCT(MAX(ROW(E$2:E4808)*(E4808=E$2:E4808)))))-COUNTBLANK(OFFSET(A$1,,,SUMPRODUCT(MAX(ROW(E$1:E4807)*(E2=E$1:E4807))))))</f>
        <v> </v>
      </c>
      <c r="K4808" s="26" t="str">
        <f>IF(OR(E4808="",E4808="!!!",F4808="NEW"),"",INDEX(J$1:J4807,SUMPRODUCT(MAX(ROW(E$1:E4807)*(E4808=E$1:E4807)))))</f>
        <v> </v>
      </c>
      <c r="L4808" s="27"/>
    </row>
    <row r="4809" spans="1:12">
      <c r="A4809" s="20"/>
    </row>
    <row r="4810" spans="1:12">
      <c r="A4810" s="20" t="s">
        <v>2234</v>
      </c>
    </row>
    <row r="4811" spans="1:12">
      <c r="A4811" s="20" t="s">
        <v>1217</v>
      </c>
      <c r="E4811" s="22">
        <f>IF(D4811="?OLD","!!!","")</f>
        <v/>
      </c>
      <c r="F4811" s="23" t="str">
        <f>IF(OR(E4811="",E4811="!!!"),"",IF(NOT(ISNA(VLOOKUP(E4811,E$1:E4810,1,FALSE()))),"OLD",IF(AND(E4811&lt;&gt;"",E4811&lt;&gt;"!!!"),"NEW","")))</f>
        <v> </v>
      </c>
      <c r="G4811" s="24" t="str">
        <f>IF(OR(E4811="",E4811="!!!"),"",IF(OR(J4811=0,AND(J4811=1,K4811=1),AND(J4811=1,I4811="SBJ"),AND(J4811=1,I4811=0)),"?IN_FOCUS",IF(J4811&lt;=2,"?ACTIVATED",IF(J4811&lt;&gt;"","?FAMILIAR",IF(F4811="NEW",IF(ISNA(VLOOKUP(E4811,#REF!,1,FALSE())),"?TYPE_IDENTIFIABLE","?REFERENTIAL"),"_")))))</f>
        <v> </v>
      </c>
      <c r="H4811" s="25" t="str">
        <f>IF(J4811&lt;&gt;1,"",IF(I4811="SBJ","CB","?"))</f>
        <v> </v>
      </c>
      <c r="I4811" s="26" t="str">
        <f>IF(OR(E4811="",E4811="!!!",F4811="NEW"),"",INDEX(B4810:B$2,-1+SUMPRODUCT(MAX(ROW(E4810:E$2)*(E4811=E4810:E$2)))))</f>
        <v> </v>
      </c>
      <c r="J4811" s="26" t="str">
        <f>IF(OR(E4811="",E4811="!!!",F4811="NEW"),"",COUNTBLANK(OFFSET(A$1,,,SUMPRODUCT(MAX(ROW(E$2:E4811)*(E4811=E$2:E4811)))))-COUNTBLANK(OFFSET(A$1,,,SUMPRODUCT(MAX(ROW(E$1:E4810)*(E2=E$1:E4810))))))</f>
        <v> </v>
      </c>
      <c r="K4811" s="26" t="str">
        <f>IF(OR(E4811="",E4811="!!!",F4811="NEW"),"",INDEX(J$1:J4810,SUMPRODUCT(MAX(ROW(E$1:E4810)*(E4811=E$1:E4810)))))</f>
        <v> </v>
      </c>
      <c r="L4811" s="27"/>
    </row>
    <row r="4812" spans="1:12">
      <c r="A4812" s="20" t="s">
        <v>1210</v>
      </c>
      <c r="E4812" s="22">
        <f>IF(D4812="?OLD","!!!","")</f>
        <v/>
      </c>
      <c r="F4812" s="23" t="str">
        <f>IF(OR(E4812="",E4812="!!!"),"",IF(NOT(ISNA(VLOOKUP(E4812,E$1:E4811,1,FALSE()))),"OLD",IF(AND(E4812&lt;&gt;"",E4812&lt;&gt;"!!!"),"NEW","")))</f>
        <v> </v>
      </c>
      <c r="G4812" s="24" t="str">
        <f>IF(OR(E4812="",E4812="!!!"),"",IF(OR(J4812=0,AND(J4812=1,K4812=1),AND(J4812=1,I4812="SBJ"),AND(J4812=1,I4812=0)),"?IN_FOCUS",IF(J4812&lt;=2,"?ACTIVATED",IF(J4812&lt;&gt;"","?FAMILIAR",IF(F4812="NEW",IF(ISNA(VLOOKUP(E4812,#REF!,1,FALSE())),"?TYPE_IDENTIFIABLE","?REFERENTIAL"),"_")))))</f>
        <v> </v>
      </c>
      <c r="H4812" s="25" t="str">
        <f>IF(J4812&lt;&gt;1,"",IF(I4812="SBJ","CB","?"))</f>
        <v> </v>
      </c>
      <c r="I4812" s="26" t="str">
        <f>IF(OR(E4812="",E4812="!!!",F4812="NEW"),"",INDEX(B4811:B$2,-1+SUMPRODUCT(MAX(ROW(E4811:E$2)*(E4812=E4811:E$2)))))</f>
        <v> </v>
      </c>
      <c r="J4812" s="26" t="str">
        <f>IF(OR(E4812="",E4812="!!!",F4812="NEW"),"",COUNTBLANK(OFFSET(A$1,,,SUMPRODUCT(MAX(ROW(E$2:E4812)*(E4812=E$2:E4812)))))-COUNTBLANK(OFFSET(A$1,,,SUMPRODUCT(MAX(ROW(E$1:E4811)*(E2=E$1:E4811))))))</f>
        <v> </v>
      </c>
      <c r="K4812" s="26" t="str">
        <f>IF(OR(E4812="",E4812="!!!",F4812="NEW"),"",INDEX(J$1:J4811,SUMPRODUCT(MAX(ROW(E$1:E4811)*(E4812=E$1:E4811)))))</f>
        <v> </v>
      </c>
      <c r="L4812" s="27"/>
    </row>
    <row r="4813" spans="1:12">
      <c r="A4813" s="20" t="s">
        <v>1075</v>
      </c>
      <c r="E4813" s="22">
        <f>IF(D4813="?OLD","!!!","")</f>
        <v/>
      </c>
      <c r="F4813" s="23" t="str">
        <f>IF(OR(E4813="",E4813="!!!"),"",IF(NOT(ISNA(VLOOKUP(E4813,E$1:E4812,1,FALSE()))),"OLD",IF(AND(E4813&lt;&gt;"",E4813&lt;&gt;"!!!"),"NEW","")))</f>
        <v> </v>
      </c>
      <c r="G4813" s="24" t="str">
        <f>IF(OR(E4813="",E4813="!!!"),"",IF(OR(J4813=0,AND(J4813=1,K4813=1),AND(J4813=1,I4813="SBJ"),AND(J4813=1,I4813=0)),"?IN_FOCUS",IF(J4813&lt;=2,"?ACTIVATED",IF(J4813&lt;&gt;"","?FAMILIAR",IF(F4813="NEW",IF(ISNA(VLOOKUP(E4813,#REF!,1,FALSE())),"?TYPE_IDENTIFIABLE","?REFERENTIAL"),"_")))))</f>
        <v> </v>
      </c>
      <c r="H4813" s="25" t="str">
        <f>IF(J4813&lt;&gt;1,"",IF(I4813="SBJ","CB","?"))</f>
        <v> </v>
      </c>
      <c r="I4813" s="26" t="str">
        <f>IF(OR(E4813="",E4813="!!!",F4813="NEW"),"",INDEX(B4812:B$2,-1+SUMPRODUCT(MAX(ROW(E4812:E$2)*(E4813=E4812:E$2)))))</f>
        <v> </v>
      </c>
      <c r="J4813" s="26" t="str">
        <f>IF(OR(E4813="",E4813="!!!",F4813="NEW"),"",COUNTBLANK(OFFSET(A$1,,,SUMPRODUCT(MAX(ROW(E$2:E4813)*(E4813=E$2:E4813)))))-COUNTBLANK(OFFSET(A$1,,,SUMPRODUCT(MAX(ROW(E$1:E4812)*(E2=E$1:E4812))))))</f>
        <v> </v>
      </c>
      <c r="K4813" s="26" t="str">
        <f>IF(OR(E4813="",E4813="!!!",F4813="NEW"),"",INDEX(J$1:J4812,SUMPRODUCT(MAX(ROW(E$1:E4812)*(E4813=E$1:E4812)))))</f>
        <v> </v>
      </c>
      <c r="L4813" s="27"/>
    </row>
    <row r="4814" spans="1:12">
      <c r="A4814" s="20" t="s">
        <v>1389</v>
      </c>
      <c r="B4814" s="21" t="s">
        <v>948</v>
      </c>
      <c r="C4814" s="21" t="s">
        <v>1008</v>
      </c>
      <c r="D4814" s="21" t="s">
        <v>950</v>
      </c>
      <c r="E4814" s="22">
        <f>IF(D4814="?OLD","!!!","")</f>
        <v/>
      </c>
      <c r="F4814" s="23" t="str">
        <f>IF(OR(E4814="",E4814="!!!"),"",IF(NOT(ISNA(VLOOKUP(E4814,E$1:E4813,1,FALSE()))),"OLD",IF(AND(E4814&lt;&gt;"",E4814&lt;&gt;"!!!"),"NEW","")))</f>
        <v> </v>
      </c>
      <c r="G4814" s="24" t="str">
        <f>IF(OR(E4814="",E4814="!!!"),"",IF(OR(J4814=0,AND(J4814=1,K4814=1),AND(J4814=1,I4814="SBJ"),AND(J4814=1,I4814=0)),"?IN_FOCUS",IF(J4814&lt;=2,"?ACTIVATED",IF(J4814&lt;&gt;"","?FAMILIAR",IF(F4814="NEW",IF(ISNA(VLOOKUP(E4814,#REF!,1,FALSE())),"?TYPE_IDENTIFIABLE","?REFERENTIAL"),"_")))))</f>
        <v> </v>
      </c>
      <c r="H4814" s="25" t="str">
        <f>IF(J4814&lt;&gt;1,"",IF(I4814="SBJ","CB","?"))</f>
        <v> </v>
      </c>
      <c r="I4814" s="26" t="str">
        <f>IF(OR(E4814="",E4814="!!!",F4814="NEW"),"",INDEX(B4813:B$2,-1+SUMPRODUCT(MAX(ROW(E4813:E$2)*(E4814=E4813:E$2)))))</f>
        <v> </v>
      </c>
      <c r="J4814" s="26" t="str">
        <f>IF(OR(E4814="",E4814="!!!",F4814="NEW"),"",COUNTBLANK(OFFSET(A$1,,,SUMPRODUCT(MAX(ROW(E$2:E4814)*(E4814=E$2:E4814)))))-COUNTBLANK(OFFSET(A$1,,,SUMPRODUCT(MAX(ROW(E$1:E4813)*(E2=E$1:E4813))))))</f>
        <v> </v>
      </c>
      <c r="K4814" s="26" t="str">
        <f>IF(OR(E4814="",E4814="!!!",F4814="NEW"),"",INDEX(J$1:J4813,SUMPRODUCT(MAX(ROW(E$1:E4813)*(E4814=E$1:E4813)))))</f>
        <v> </v>
      </c>
      <c r="L4814" s="27"/>
    </row>
    <row r="4815" spans="1:12">
      <c r="A4815" s="20" t="s">
        <v>965</v>
      </c>
      <c r="B4815" s="21" t="s">
        <v>966</v>
      </c>
      <c r="E4815" s="22">
        <f>IF(D4815="?OLD","!!!","")</f>
        <v/>
      </c>
      <c r="F4815" s="23" t="str">
        <f>IF(OR(E4815="",E4815="!!!"),"",IF(NOT(ISNA(VLOOKUP(E4815,E$1:E4814,1,FALSE()))),"OLD",IF(AND(E4815&lt;&gt;"",E4815&lt;&gt;"!!!"),"NEW","")))</f>
        <v> </v>
      </c>
      <c r="G4815" s="24" t="str">
        <f>IF(OR(E4815="",E4815="!!!"),"",IF(OR(J4815=0,AND(J4815=1,K4815=1),AND(J4815=1,I4815="SBJ"),AND(J4815=1,I4815=0)),"?IN_FOCUS",IF(J4815&lt;=2,"?ACTIVATED",IF(J4815&lt;&gt;"","?FAMILIAR",IF(F4815="NEW",IF(ISNA(VLOOKUP(E4815,#REF!,1,FALSE())),"?TYPE_IDENTIFIABLE","?REFERENTIAL"),"_")))))</f>
        <v> </v>
      </c>
      <c r="H4815" s="25" t="str">
        <f>IF(J4815&lt;&gt;1,"",IF(I4815="SBJ","CB","?"))</f>
        <v> </v>
      </c>
      <c r="I4815" s="26" t="str">
        <f>IF(OR(E4815="",E4815="!!!",F4815="NEW"),"",INDEX(B4814:B$2,-1+SUMPRODUCT(MAX(ROW(E4814:E$2)*(E4815=E4814:E$2)))))</f>
        <v> </v>
      </c>
      <c r="J4815" s="26" t="str">
        <f>IF(OR(E4815="",E4815="!!!",F4815="NEW"),"",COUNTBLANK(OFFSET(A$1,,,SUMPRODUCT(MAX(ROW(E$2:E4815)*(E4815=E$2:E4815)))))-COUNTBLANK(OFFSET(A$1,,,SUMPRODUCT(MAX(ROW(E$1:E4814)*(E2=E$1:E4814))))))</f>
        <v> </v>
      </c>
      <c r="K4815" s="26" t="str">
        <f>IF(OR(E4815="",E4815="!!!",F4815="NEW"),"",INDEX(J$1:J4814,SUMPRODUCT(MAX(ROW(E$1:E4814)*(E4815=E$1:E4814)))))</f>
        <v> </v>
      </c>
      <c r="L4815" s="27"/>
    </row>
    <row r="4816" spans="1:12">
      <c r="A4816" s="20" t="s">
        <v>2235</v>
      </c>
      <c r="E4816" s="22">
        <f>IF(D4816="?OLD","!!!","")</f>
        <v/>
      </c>
      <c r="F4816" s="23" t="str">
        <f>IF(OR(E4816="",E4816="!!!"),"",IF(NOT(ISNA(VLOOKUP(E4816,E$1:E4815,1,FALSE()))),"OLD",IF(AND(E4816&lt;&gt;"",E4816&lt;&gt;"!!!"),"NEW","")))</f>
        <v> </v>
      </c>
      <c r="G4816" s="24" t="str">
        <f>IF(OR(E4816="",E4816="!!!"),"",IF(OR(J4816=0,AND(J4816=1,K4816=1),AND(J4816=1,I4816="SBJ"),AND(J4816=1,I4816=0)),"?IN_FOCUS",IF(J4816&lt;=2,"?ACTIVATED",IF(J4816&lt;&gt;"","?FAMILIAR",IF(F4816="NEW",IF(ISNA(VLOOKUP(E4816,#REF!,1,FALSE())),"?TYPE_IDENTIFIABLE","?REFERENTIAL"),"_")))))</f>
        <v> </v>
      </c>
      <c r="H4816" s="25" t="str">
        <f>IF(J4816&lt;&gt;1,"",IF(I4816="SBJ","CB","?"))</f>
        <v> </v>
      </c>
      <c r="I4816" s="26" t="str">
        <f>IF(OR(E4816="",E4816="!!!",F4816="NEW"),"",INDEX(B4815:B$2,-1+SUMPRODUCT(MAX(ROW(E4815:E$2)*(E4816=E4815:E$2)))))</f>
        <v> </v>
      </c>
      <c r="J4816" s="26" t="str">
        <f>IF(OR(E4816="",E4816="!!!",F4816="NEW"),"",COUNTBLANK(OFFSET(A$1,,,SUMPRODUCT(MAX(ROW(E$2:E4816)*(E4816=E$2:E4816)))))-COUNTBLANK(OFFSET(A$1,,,SUMPRODUCT(MAX(ROW(E$1:E4815)*(E2=E$1:E4815))))))</f>
        <v> </v>
      </c>
      <c r="K4816" s="26" t="str">
        <f>IF(OR(E4816="",E4816="!!!",F4816="NEW"),"",INDEX(J$1:J4815,SUMPRODUCT(MAX(ROW(E$1:E4815)*(E4816=E$1:E4815)))))</f>
        <v> </v>
      </c>
      <c r="L4816" s="27"/>
    </row>
    <row r="4817" spans="1:12">
      <c r="A4817" s="20" t="s">
        <v>2236</v>
      </c>
      <c r="E4817" s="22">
        <f>IF(D4817="?OLD","!!!","")</f>
        <v/>
      </c>
      <c r="F4817" s="23" t="str">
        <f>IF(OR(E4817="",E4817="!!!"),"",IF(NOT(ISNA(VLOOKUP(E4817,E$1:E4816,1,FALSE()))),"OLD",IF(AND(E4817&lt;&gt;"",E4817&lt;&gt;"!!!"),"NEW","")))</f>
        <v> </v>
      </c>
      <c r="G4817" s="24" t="str">
        <f>IF(OR(E4817="",E4817="!!!"),"",IF(OR(J4817=0,AND(J4817=1,K4817=1),AND(J4817=1,I4817="SBJ"),AND(J4817=1,I4817=0)),"?IN_FOCUS",IF(J4817&lt;=2,"?ACTIVATED",IF(J4817&lt;&gt;"","?FAMILIAR",IF(F4817="NEW",IF(ISNA(VLOOKUP(E4817,#REF!,1,FALSE())),"?TYPE_IDENTIFIABLE","?REFERENTIAL"),"_")))))</f>
        <v> </v>
      </c>
      <c r="H4817" s="25" t="str">
        <f>IF(J4817&lt;&gt;1,"",IF(I4817="SBJ","CB","?"))</f>
        <v> </v>
      </c>
      <c r="I4817" s="26" t="str">
        <f>IF(OR(E4817="",E4817="!!!",F4817="NEW"),"",INDEX(B4816:B$2,-1+SUMPRODUCT(MAX(ROW(E4816:E$2)*(E4817=E4816:E$2)))))</f>
        <v> </v>
      </c>
      <c r="J4817" s="26" t="str">
        <f>IF(OR(E4817="",E4817="!!!",F4817="NEW"),"",COUNTBLANK(OFFSET(A$1,,,SUMPRODUCT(MAX(ROW(E$2:E4817)*(E4817=E$2:E4817)))))-COUNTBLANK(OFFSET(A$1,,,SUMPRODUCT(MAX(ROW(E$1:E4816)*(E2=E$1:E4816))))))</f>
        <v> </v>
      </c>
      <c r="K4817" s="26" t="str">
        <f>IF(OR(E4817="",E4817="!!!",F4817="NEW"),"",INDEX(J$1:J4816,SUMPRODUCT(MAX(ROW(E$1:E4816)*(E4817=E$1:E4816)))))</f>
        <v> </v>
      </c>
      <c r="L4817" s="27"/>
    </row>
    <row r="4818" spans="1:12">
      <c r="A4818" s="20" t="s">
        <v>1022</v>
      </c>
      <c r="E4818" s="22">
        <f>IF(D4818="?OLD","!!!","")</f>
        <v/>
      </c>
      <c r="F4818" s="23" t="str">
        <f>IF(OR(E4818="",E4818="!!!"),"",IF(NOT(ISNA(VLOOKUP(E4818,E$1:E4817,1,FALSE()))),"OLD",IF(AND(E4818&lt;&gt;"",E4818&lt;&gt;"!!!"),"NEW","")))</f>
        <v> </v>
      </c>
      <c r="G4818" s="24" t="str">
        <f>IF(OR(E4818="",E4818="!!!"),"",IF(OR(J4818=0,AND(J4818=1,K4818=1),AND(J4818=1,I4818="SBJ"),AND(J4818=1,I4818=0)),"?IN_FOCUS",IF(J4818&lt;=2,"?ACTIVATED",IF(J4818&lt;&gt;"","?FAMILIAR",IF(F4818="NEW",IF(ISNA(VLOOKUP(E4818,#REF!,1,FALSE())),"?TYPE_IDENTIFIABLE","?REFERENTIAL"),"_")))))</f>
        <v> </v>
      </c>
      <c r="H4818" s="25" t="str">
        <f>IF(J4818&lt;&gt;1,"",IF(I4818="SBJ","CB","?"))</f>
        <v> </v>
      </c>
      <c r="I4818" s="26" t="str">
        <f>IF(OR(E4818="",E4818="!!!",F4818="NEW"),"",INDEX(B4817:B$2,-1+SUMPRODUCT(MAX(ROW(E4817:E$2)*(E4818=E4817:E$2)))))</f>
        <v> </v>
      </c>
      <c r="J4818" s="26" t="str">
        <f>IF(OR(E4818="",E4818="!!!",F4818="NEW"),"",COUNTBLANK(OFFSET(A$1,,,SUMPRODUCT(MAX(ROW(E$2:E4818)*(E4818=E$2:E4818)))))-COUNTBLANK(OFFSET(A$1,,,SUMPRODUCT(MAX(ROW(E$1:E4817)*(E2=E$1:E4817))))))</f>
        <v> </v>
      </c>
      <c r="K4818" s="26" t="str">
        <f>IF(OR(E4818="",E4818="!!!",F4818="NEW"),"",INDEX(J$1:J4817,SUMPRODUCT(MAX(ROW(E$1:E4817)*(E4818=E$1:E4817)))))</f>
        <v> </v>
      </c>
      <c r="L4818" s="27"/>
    </row>
    <row r="4819" spans="1:12">
      <c r="A4819" s="20" t="s">
        <v>1618</v>
      </c>
      <c r="E4819" s="22">
        <f>IF(D4819="?OLD","!!!","")</f>
        <v/>
      </c>
      <c r="F4819" s="23" t="str">
        <f>IF(OR(E4819="",E4819="!!!"),"",IF(NOT(ISNA(VLOOKUP(E4819,E$1:E4818,1,FALSE()))),"OLD",IF(AND(E4819&lt;&gt;"",E4819&lt;&gt;"!!!"),"NEW","")))</f>
        <v> </v>
      </c>
      <c r="G4819" s="24" t="str">
        <f>IF(OR(E4819="",E4819="!!!"),"",IF(OR(J4819=0,AND(J4819=1,K4819=1),AND(J4819=1,I4819="SBJ"),AND(J4819=1,I4819=0)),"?IN_FOCUS",IF(J4819&lt;=2,"?ACTIVATED",IF(J4819&lt;&gt;"","?FAMILIAR",IF(F4819="NEW",IF(ISNA(VLOOKUP(E4819,#REF!,1,FALSE())),"?TYPE_IDENTIFIABLE","?REFERENTIAL"),"_")))))</f>
        <v> </v>
      </c>
      <c r="H4819" s="25" t="str">
        <f>IF(J4819&lt;&gt;1,"",IF(I4819="SBJ","CB","?"))</f>
        <v> </v>
      </c>
      <c r="I4819" s="26" t="str">
        <f>IF(OR(E4819="",E4819="!!!",F4819="NEW"),"",INDEX(B4818:B$2,-1+SUMPRODUCT(MAX(ROW(E4818:E$2)*(E4819=E4818:E$2)))))</f>
        <v> </v>
      </c>
      <c r="J4819" s="26" t="str">
        <f>IF(OR(E4819="",E4819="!!!",F4819="NEW"),"",COUNTBLANK(OFFSET(A$1,,,SUMPRODUCT(MAX(ROW(E$2:E4819)*(E4819=E$2:E4819)))))-COUNTBLANK(OFFSET(A$1,,,SUMPRODUCT(MAX(ROW(E$1:E4818)*(E2=E$1:E4818))))))</f>
        <v> </v>
      </c>
      <c r="K4819" s="26" t="str">
        <f>IF(OR(E4819="",E4819="!!!",F4819="NEW"),"",INDEX(J$1:J4818,SUMPRODUCT(MAX(ROW(E$1:E4818)*(E4819=E$1:E4818)))))</f>
        <v> </v>
      </c>
      <c r="L4819" s="27"/>
    </row>
    <row r="4820" spans="1:12">
      <c r="A4820" s="20" t="s">
        <v>984</v>
      </c>
      <c r="E4820" s="22">
        <f>IF(D4820="?OLD","!!!","")</f>
        <v/>
      </c>
      <c r="F4820" s="23" t="str">
        <f>IF(OR(E4820="",E4820="!!!"),"",IF(NOT(ISNA(VLOOKUP(E4820,E$1:E4819,1,FALSE()))),"OLD",IF(AND(E4820&lt;&gt;"",E4820&lt;&gt;"!!!"),"NEW","")))</f>
        <v> </v>
      </c>
      <c r="G4820" s="24" t="str">
        <f>IF(OR(E4820="",E4820="!!!"),"",IF(OR(J4820=0,AND(J4820=1,K4820=1),AND(J4820=1,I4820="SBJ"),AND(J4820=1,I4820=0)),"?IN_FOCUS",IF(J4820&lt;=2,"?ACTIVATED",IF(J4820&lt;&gt;"","?FAMILIAR",IF(F4820="NEW",IF(ISNA(VLOOKUP(E4820,#REF!,1,FALSE())),"?TYPE_IDENTIFIABLE","?REFERENTIAL"),"_")))))</f>
        <v> </v>
      </c>
      <c r="H4820" s="25" t="str">
        <f>IF(J4820&lt;&gt;1,"",IF(I4820="SBJ","CB","?"))</f>
        <v> </v>
      </c>
      <c r="I4820" s="26" t="str">
        <f>IF(OR(E4820="",E4820="!!!",F4820="NEW"),"",INDEX(B4819:B$2,-1+SUMPRODUCT(MAX(ROW(E4819:E$2)*(E4820=E4819:E$2)))))</f>
        <v> </v>
      </c>
      <c r="J4820" s="26" t="str">
        <f>IF(OR(E4820="",E4820="!!!",F4820="NEW"),"",COUNTBLANK(OFFSET(A$1,,,SUMPRODUCT(MAX(ROW(E$2:E4820)*(E4820=E$2:E4820)))))-COUNTBLANK(OFFSET(A$1,,,SUMPRODUCT(MAX(ROW(E$1:E4819)*(E2=E$1:E4819))))))</f>
        <v> </v>
      </c>
      <c r="K4820" s="26" t="str">
        <f>IF(OR(E4820="",E4820="!!!",F4820="NEW"),"",INDEX(J$1:J4819,SUMPRODUCT(MAX(ROW(E$1:E4819)*(E4820=E$1:E4819)))))</f>
        <v> </v>
      </c>
      <c r="L4820" s="27"/>
    </row>
    <row r="4821" spans="1:12">
      <c r="A4821" s="20"/>
    </row>
    <row r="4822" spans="1:12">
      <c r="A4822" s="20" t="s">
        <v>2237</v>
      </c>
    </row>
    <row r="4823" spans="1:12">
      <c r="A4823" s="20" t="s">
        <v>1092</v>
      </c>
      <c r="E4823" s="22">
        <f>IF(D4823="?OLD","!!!","")</f>
        <v/>
      </c>
      <c r="F4823" s="23" t="str">
        <f>IF(OR(E4823="",E4823="!!!"),"",IF(NOT(ISNA(VLOOKUP(E4823,E$1:E4822,1,FALSE()))),"OLD",IF(AND(E4823&lt;&gt;"",E4823&lt;&gt;"!!!"),"NEW","")))</f>
        <v> </v>
      </c>
      <c r="G4823" s="24" t="str">
        <f>IF(OR(E4823="",E4823="!!!"),"",IF(OR(J4823=0,AND(J4823=1,K4823=1),AND(J4823=1,I4823="SBJ"),AND(J4823=1,I4823=0)),"?IN_FOCUS",IF(J4823&lt;=2,"?ACTIVATED",IF(J4823&lt;&gt;"","?FAMILIAR",IF(F4823="NEW",IF(ISNA(VLOOKUP(E4823,#REF!,1,FALSE())),"?TYPE_IDENTIFIABLE","?REFERENTIAL"),"_")))))</f>
        <v> </v>
      </c>
      <c r="H4823" s="25" t="str">
        <f>IF(J4823&lt;&gt;1,"",IF(I4823="SBJ","CB","?"))</f>
        <v> </v>
      </c>
      <c r="I4823" s="26" t="str">
        <f>IF(OR(E4823="",E4823="!!!",F4823="NEW"),"",INDEX(B4822:B$2,-1+SUMPRODUCT(MAX(ROW(E4822:E$2)*(E4823=E4822:E$2)))))</f>
        <v> </v>
      </c>
      <c r="J4823" s="26" t="str">
        <f>IF(OR(E4823="",E4823="!!!",F4823="NEW"),"",COUNTBLANK(OFFSET(A$1,,,SUMPRODUCT(MAX(ROW(E$2:E4823)*(E4823=E$2:E4823)))))-COUNTBLANK(OFFSET(A$1,,,SUMPRODUCT(MAX(ROW(E$1:E4822)*(E2=E$1:E4822))))))</f>
        <v> </v>
      </c>
      <c r="K4823" s="26" t="str">
        <f>IF(OR(E4823="",E4823="!!!",F4823="NEW"),"",INDEX(J$1:J4822,SUMPRODUCT(MAX(ROW(E$1:E4822)*(E4823=E$1:E4822)))))</f>
        <v> </v>
      </c>
      <c r="L4823" s="27"/>
    </row>
    <row r="4824" spans="1:12">
      <c r="A4824" s="20" t="s">
        <v>2238</v>
      </c>
      <c r="E4824" s="22">
        <f>IF(D4824="?OLD","!!!","")</f>
        <v/>
      </c>
      <c r="F4824" s="23" t="str">
        <f>IF(OR(E4824="",E4824="!!!"),"",IF(NOT(ISNA(VLOOKUP(E4824,E$1:E4823,1,FALSE()))),"OLD",IF(AND(E4824&lt;&gt;"",E4824&lt;&gt;"!!!"),"NEW","")))</f>
        <v> </v>
      </c>
      <c r="G4824" s="24" t="str">
        <f>IF(OR(E4824="",E4824="!!!"),"",IF(OR(J4824=0,AND(J4824=1,K4824=1),AND(J4824=1,I4824="SBJ"),AND(J4824=1,I4824=0)),"?IN_FOCUS",IF(J4824&lt;=2,"?ACTIVATED",IF(J4824&lt;&gt;"","?FAMILIAR",IF(F4824="NEW",IF(ISNA(VLOOKUP(E4824,#REF!,1,FALSE())),"?TYPE_IDENTIFIABLE","?REFERENTIAL"),"_")))))</f>
        <v> </v>
      </c>
      <c r="H4824" s="25" t="str">
        <f>IF(J4824&lt;&gt;1,"",IF(I4824="SBJ","CB","?"))</f>
        <v> </v>
      </c>
      <c r="I4824" s="26" t="str">
        <f>IF(OR(E4824="",E4824="!!!",F4824="NEW"),"",INDEX(B4823:B$2,-1+SUMPRODUCT(MAX(ROW(E4823:E$2)*(E4824=E4823:E$2)))))</f>
        <v> </v>
      </c>
      <c r="J4824" s="26" t="str">
        <f>IF(OR(E4824="",E4824="!!!",F4824="NEW"),"",COUNTBLANK(OFFSET(A$1,,,SUMPRODUCT(MAX(ROW(E$2:E4824)*(E4824=E$2:E4824)))))-COUNTBLANK(OFFSET(A$1,,,SUMPRODUCT(MAX(ROW(E$1:E4823)*(E2=E$1:E4823))))))</f>
        <v> </v>
      </c>
      <c r="K4824" s="26" t="str">
        <f>IF(OR(E4824="",E4824="!!!",F4824="NEW"),"",INDEX(J$1:J4823,SUMPRODUCT(MAX(ROW(E$1:E4823)*(E4824=E$1:E4823)))))</f>
        <v> </v>
      </c>
      <c r="L4824" s="27"/>
    </row>
    <row r="4825" spans="1:12">
      <c r="A4825" s="20" t="s">
        <v>958</v>
      </c>
      <c r="B4825" s="21" t="s">
        <v>975</v>
      </c>
      <c r="C4825" s="21" t="s">
        <v>960</v>
      </c>
      <c r="D4825" s="21" t="s">
        <v>950</v>
      </c>
      <c r="E4825" s="22">
        <f>IF(D4825="?OLD","!!!","")</f>
        <v/>
      </c>
      <c r="F4825" s="23" t="str">
        <f>IF(OR(E4825="",E4825="!!!"),"",IF(NOT(ISNA(VLOOKUP(E4825,E$1:E4824,1,FALSE()))),"OLD",IF(AND(E4825&lt;&gt;"",E4825&lt;&gt;"!!!"),"NEW","")))</f>
        <v> </v>
      </c>
      <c r="G4825" s="24" t="str">
        <f>IF(OR(E4825="",E4825="!!!"),"",IF(OR(J4825=0,AND(J4825=1,K4825=1),AND(J4825=1,I4825="SBJ"),AND(J4825=1,I4825=0)),"?IN_FOCUS",IF(J4825&lt;=2,"?ACTIVATED",IF(J4825&lt;&gt;"","?FAMILIAR",IF(F4825="NEW",IF(ISNA(VLOOKUP(E4825,#REF!,1,FALSE())),"?TYPE_IDENTIFIABLE","?REFERENTIAL"),"_")))))</f>
        <v> </v>
      </c>
      <c r="H4825" s="25" t="str">
        <f>IF(J4825&lt;&gt;1,"",IF(I4825="SBJ","CB","?"))</f>
        <v> </v>
      </c>
      <c r="I4825" s="26" t="str">
        <f>IF(OR(E4825="",E4825="!!!",F4825="NEW"),"",INDEX(B4824:B$2,-1+SUMPRODUCT(MAX(ROW(E4824:E$2)*(E4825=E4824:E$2)))))</f>
        <v> </v>
      </c>
      <c r="J4825" s="26" t="str">
        <f>IF(OR(E4825="",E4825="!!!",F4825="NEW"),"",COUNTBLANK(OFFSET(A$1,,,SUMPRODUCT(MAX(ROW(E$2:E4825)*(E4825=E$2:E4825)))))-COUNTBLANK(OFFSET(A$1,,,SUMPRODUCT(MAX(ROW(E$1:E4824)*(E2=E$1:E4824))))))</f>
        <v> </v>
      </c>
      <c r="K4825" s="26" t="str">
        <f>IF(OR(E4825="",E4825="!!!",F4825="NEW"),"",INDEX(J$1:J4824,SUMPRODUCT(MAX(ROW(E$1:E4824)*(E4825=E$1:E4824)))))</f>
        <v> </v>
      </c>
      <c r="L4825" s="27"/>
    </row>
    <row r="4826" spans="1:12">
      <c r="A4826" s="20" t="s">
        <v>2231</v>
      </c>
      <c r="E4826" s="22">
        <f>IF(D4826="?OLD","!!!","")</f>
        <v/>
      </c>
      <c r="F4826" s="23" t="str">
        <f>IF(OR(E4826="",E4826="!!!"),"",IF(NOT(ISNA(VLOOKUP(E4826,E$1:E4825,1,FALSE()))),"OLD",IF(AND(E4826&lt;&gt;"",E4826&lt;&gt;"!!!"),"NEW","")))</f>
        <v> </v>
      </c>
      <c r="G4826" s="24" t="str">
        <f>IF(OR(E4826="",E4826="!!!"),"",IF(OR(J4826=0,AND(J4826=1,K4826=1),AND(J4826=1,I4826="SBJ"),AND(J4826=1,I4826=0)),"?IN_FOCUS",IF(J4826&lt;=2,"?ACTIVATED",IF(J4826&lt;&gt;"","?FAMILIAR",IF(F4826="NEW",IF(ISNA(VLOOKUP(E4826,#REF!,1,FALSE())),"?TYPE_IDENTIFIABLE","?REFERENTIAL"),"_")))))</f>
        <v> </v>
      </c>
      <c r="H4826" s="25" t="str">
        <f>IF(J4826&lt;&gt;1,"",IF(I4826="SBJ","CB","?"))</f>
        <v> </v>
      </c>
      <c r="I4826" s="26" t="str">
        <f>IF(OR(E4826="",E4826="!!!",F4826="NEW"),"",INDEX(B4825:B$2,-1+SUMPRODUCT(MAX(ROW(E4825:E$2)*(E4826=E4825:E$2)))))</f>
        <v> </v>
      </c>
      <c r="J4826" s="26" t="str">
        <f>IF(OR(E4826="",E4826="!!!",F4826="NEW"),"",COUNTBLANK(OFFSET(A$1,,,SUMPRODUCT(MAX(ROW(E$2:E4826)*(E4826=E$2:E4826)))))-COUNTBLANK(OFFSET(A$1,,,SUMPRODUCT(MAX(ROW(E$1:E4825)*(E2=E$1:E4825))))))</f>
        <v> </v>
      </c>
      <c r="K4826" s="26" t="str">
        <f>IF(OR(E4826="",E4826="!!!",F4826="NEW"),"",INDEX(J$1:J4825,SUMPRODUCT(MAX(ROW(E$1:E4825)*(E4826=E$1:E4825)))))</f>
        <v> </v>
      </c>
      <c r="L4826" s="27"/>
    </row>
    <row r="4827" spans="1:12">
      <c r="A4827" s="20" t="s">
        <v>1207</v>
      </c>
      <c r="E4827" s="22">
        <f>IF(D4827="?OLD","!!!","")</f>
        <v/>
      </c>
      <c r="F4827" s="23" t="str">
        <f>IF(OR(E4827="",E4827="!!!"),"",IF(NOT(ISNA(VLOOKUP(E4827,E$1:E4826,1,FALSE()))),"OLD",IF(AND(E4827&lt;&gt;"",E4827&lt;&gt;"!!!"),"NEW","")))</f>
        <v> </v>
      </c>
      <c r="G4827" s="24" t="str">
        <f>IF(OR(E4827="",E4827="!!!"),"",IF(OR(J4827=0,AND(J4827=1,K4827=1),AND(J4827=1,I4827="SBJ"),AND(J4827=1,I4827=0)),"?IN_FOCUS",IF(J4827&lt;=2,"?ACTIVATED",IF(J4827&lt;&gt;"","?FAMILIAR",IF(F4827="NEW",IF(ISNA(VLOOKUP(E4827,#REF!,1,FALSE())),"?TYPE_IDENTIFIABLE","?REFERENTIAL"),"_")))))</f>
        <v> </v>
      </c>
      <c r="H4827" s="25" t="str">
        <f>IF(J4827&lt;&gt;1,"",IF(I4827="SBJ","CB","?"))</f>
        <v> </v>
      </c>
      <c r="I4827" s="26" t="str">
        <f>IF(OR(E4827="",E4827="!!!",F4827="NEW"),"",INDEX(B4826:B$2,-1+SUMPRODUCT(MAX(ROW(E4826:E$2)*(E4827=E4826:E$2)))))</f>
        <v> </v>
      </c>
      <c r="J4827" s="26" t="str">
        <f>IF(OR(E4827="",E4827="!!!",F4827="NEW"),"",COUNTBLANK(OFFSET(A$1,,,SUMPRODUCT(MAX(ROW(E$2:E4827)*(E4827=E$2:E4827)))))-COUNTBLANK(OFFSET(A$1,,,SUMPRODUCT(MAX(ROW(E$1:E4826)*(E2=E$1:E4826))))))</f>
        <v> </v>
      </c>
      <c r="K4827" s="26" t="str">
        <f>IF(OR(E4827="",E4827="!!!",F4827="NEW"),"",INDEX(J$1:J4826,SUMPRODUCT(MAX(ROW(E$1:E4826)*(E4827=E$1:E4826)))))</f>
        <v> </v>
      </c>
      <c r="L4827" s="27"/>
    </row>
    <row r="4828" spans="1:12">
      <c r="A4828" s="20" t="s">
        <v>2239</v>
      </c>
      <c r="E4828" s="22">
        <f>IF(D4828="?OLD","!!!","")</f>
        <v/>
      </c>
      <c r="F4828" s="23" t="str">
        <f>IF(OR(E4828="",E4828="!!!"),"",IF(NOT(ISNA(VLOOKUP(E4828,E$1:E4827,1,FALSE()))),"OLD",IF(AND(E4828&lt;&gt;"",E4828&lt;&gt;"!!!"),"NEW","")))</f>
        <v> </v>
      </c>
      <c r="G4828" s="24" t="str">
        <f>IF(OR(E4828="",E4828="!!!"),"",IF(OR(J4828=0,AND(J4828=1,K4828=1),AND(J4828=1,I4828="SBJ"),AND(J4828=1,I4828=0)),"?IN_FOCUS",IF(J4828&lt;=2,"?ACTIVATED",IF(J4828&lt;&gt;"","?FAMILIAR",IF(F4828="NEW",IF(ISNA(VLOOKUP(E4828,#REF!,1,FALSE())),"?TYPE_IDENTIFIABLE","?REFERENTIAL"),"_")))))</f>
        <v> </v>
      </c>
      <c r="H4828" s="25" t="str">
        <f>IF(J4828&lt;&gt;1,"",IF(I4828="SBJ","CB","?"))</f>
        <v> </v>
      </c>
      <c r="I4828" s="26" t="str">
        <f>IF(OR(E4828="",E4828="!!!",F4828="NEW"),"",INDEX(B4827:B$2,-1+SUMPRODUCT(MAX(ROW(E4827:E$2)*(E4828=E4827:E$2)))))</f>
        <v> </v>
      </c>
      <c r="J4828" s="26" t="str">
        <f>IF(OR(E4828="",E4828="!!!",F4828="NEW"),"",COUNTBLANK(OFFSET(A$1,,,SUMPRODUCT(MAX(ROW(E$2:E4828)*(E4828=E$2:E4828)))))-COUNTBLANK(OFFSET(A$1,,,SUMPRODUCT(MAX(ROW(E$1:E4827)*(E2=E$1:E4827))))))</f>
        <v> </v>
      </c>
      <c r="K4828" s="26" t="str">
        <f>IF(OR(E4828="",E4828="!!!",F4828="NEW"),"",INDEX(J$1:J4827,SUMPRODUCT(MAX(ROW(E$1:E4827)*(E4828=E$1:E4827)))))</f>
        <v> </v>
      </c>
      <c r="L4828" s="27"/>
    </row>
    <row r="4829" spans="1:12">
      <c r="A4829" s="20" t="s">
        <v>1049</v>
      </c>
      <c r="B4829" s="21" t="s">
        <v>1005</v>
      </c>
      <c r="C4829" s="21" t="s">
        <v>983</v>
      </c>
      <c r="E4829" s="22">
        <f>IF(D4829="?OLD","!!!","")</f>
        <v/>
      </c>
      <c r="F4829" s="23" t="str">
        <f>IF(OR(E4829="",E4829="!!!"),"",IF(NOT(ISNA(VLOOKUP(E4829,E$1:E4828,1,FALSE()))),"OLD",IF(AND(E4829&lt;&gt;"",E4829&lt;&gt;"!!!"),"NEW","")))</f>
        <v> </v>
      </c>
      <c r="G4829" s="24" t="str">
        <f>IF(OR(E4829="",E4829="!!!"),"",IF(OR(J4829=0,AND(J4829=1,K4829=1),AND(J4829=1,I4829="SBJ"),AND(J4829=1,I4829=0)),"?IN_FOCUS",IF(J4829&lt;=2,"?ACTIVATED",IF(J4829&lt;&gt;"","?FAMILIAR",IF(F4829="NEW",IF(ISNA(VLOOKUP(E4829,#REF!,1,FALSE())),"?TYPE_IDENTIFIABLE","?REFERENTIAL"),"_")))))</f>
        <v> </v>
      </c>
      <c r="H4829" s="25" t="str">
        <f>IF(J4829&lt;&gt;1,"",IF(I4829="SBJ","CB","?"))</f>
        <v> </v>
      </c>
      <c r="I4829" s="26" t="str">
        <f>IF(OR(E4829="",E4829="!!!",F4829="NEW"),"",INDEX(B4828:B$2,-1+SUMPRODUCT(MAX(ROW(E4828:E$2)*(E4829=E4828:E$2)))))</f>
        <v> </v>
      </c>
      <c r="J4829" s="26" t="str">
        <f>IF(OR(E4829="",E4829="!!!",F4829="NEW"),"",COUNTBLANK(OFFSET(A$1,,,SUMPRODUCT(MAX(ROW(E$2:E4829)*(E4829=E$2:E4829)))))-COUNTBLANK(OFFSET(A$1,,,SUMPRODUCT(MAX(ROW(E$1:E4828)*(E2=E$1:E4828))))))</f>
        <v> </v>
      </c>
      <c r="K4829" s="26" t="str">
        <f>IF(OR(E4829="",E4829="!!!",F4829="NEW"),"",INDEX(J$1:J4828,SUMPRODUCT(MAX(ROW(E$1:E4828)*(E4829=E$1:E4828)))))</f>
        <v> </v>
      </c>
      <c r="L4829" s="27"/>
    </row>
    <row r="4830" spans="1:12">
      <c r="A4830" s="20" t="s">
        <v>1075</v>
      </c>
      <c r="E4830" s="22">
        <f>IF(D4830="?OLD","!!!","")</f>
        <v/>
      </c>
      <c r="F4830" s="23" t="str">
        <f>IF(OR(E4830="",E4830="!!!"),"",IF(NOT(ISNA(VLOOKUP(E4830,E$1:E4829,1,FALSE()))),"OLD",IF(AND(E4830&lt;&gt;"",E4830&lt;&gt;"!!!"),"NEW","")))</f>
        <v> </v>
      </c>
      <c r="G4830" s="24" t="str">
        <f>IF(OR(E4830="",E4830="!!!"),"",IF(OR(J4830=0,AND(J4830=1,K4830=1),AND(J4830=1,I4830="SBJ"),AND(J4830=1,I4830=0)),"?IN_FOCUS",IF(J4830&lt;=2,"?ACTIVATED",IF(J4830&lt;&gt;"","?FAMILIAR",IF(F4830="NEW",IF(ISNA(VLOOKUP(E4830,#REF!,1,FALSE())),"?TYPE_IDENTIFIABLE","?REFERENTIAL"),"_")))))</f>
        <v> </v>
      </c>
      <c r="H4830" s="25" t="str">
        <f>IF(J4830&lt;&gt;1,"",IF(I4830="SBJ","CB","?"))</f>
        <v> </v>
      </c>
      <c r="I4830" s="26" t="str">
        <f>IF(OR(E4830="",E4830="!!!",F4830="NEW"),"",INDEX(B4829:B$2,-1+SUMPRODUCT(MAX(ROW(E4829:E$2)*(E4830=E4829:E$2)))))</f>
        <v> </v>
      </c>
      <c r="J4830" s="26" t="str">
        <f>IF(OR(E4830="",E4830="!!!",F4830="NEW"),"",COUNTBLANK(OFFSET(A$1,,,SUMPRODUCT(MAX(ROW(E$2:E4830)*(E4830=E$2:E4830)))))-COUNTBLANK(OFFSET(A$1,,,SUMPRODUCT(MAX(ROW(E$1:E4829)*(E2=E$1:E4829))))))</f>
        <v> </v>
      </c>
      <c r="K4830" s="26" t="str">
        <f>IF(OR(E4830="",E4830="!!!",F4830="NEW"),"",INDEX(J$1:J4829,SUMPRODUCT(MAX(ROW(E$1:E4829)*(E4830=E$1:E4829)))))</f>
        <v> </v>
      </c>
      <c r="L4830" s="27"/>
    </row>
    <row r="4831" spans="1:12">
      <c r="A4831" s="20" t="s">
        <v>1389</v>
      </c>
      <c r="B4831" s="21" t="s">
        <v>980</v>
      </c>
      <c r="C4831" s="21" t="s">
        <v>1008</v>
      </c>
      <c r="D4831" s="21" t="s">
        <v>950</v>
      </c>
      <c r="E4831" s="22">
        <f>IF(D4831="?OLD","!!!","")</f>
        <v/>
      </c>
      <c r="F4831" s="23" t="str">
        <f>IF(OR(E4831="",E4831="!!!"),"",IF(NOT(ISNA(VLOOKUP(E4831,E$1:E4830,1,FALSE()))),"OLD",IF(AND(E4831&lt;&gt;"",E4831&lt;&gt;"!!!"),"NEW","")))</f>
        <v> </v>
      </c>
      <c r="G4831" s="24" t="str">
        <f>IF(OR(E4831="",E4831="!!!"),"",IF(OR(J4831=0,AND(J4831=1,K4831=1),AND(J4831=1,I4831="SBJ"),AND(J4831=1,I4831=0)),"?IN_FOCUS",IF(J4831&lt;=2,"?ACTIVATED",IF(J4831&lt;&gt;"","?FAMILIAR",IF(F4831="NEW",IF(ISNA(VLOOKUP(E4831,#REF!,1,FALSE())),"?TYPE_IDENTIFIABLE","?REFERENTIAL"),"_")))))</f>
        <v> </v>
      </c>
      <c r="H4831" s="25" t="str">
        <f>IF(J4831&lt;&gt;1,"",IF(I4831="SBJ","CB","?"))</f>
        <v> </v>
      </c>
      <c r="I4831" s="26" t="str">
        <f>IF(OR(E4831="",E4831="!!!",F4831="NEW"),"",INDEX(B4830:B$2,-1+SUMPRODUCT(MAX(ROW(E4830:E$2)*(E4831=E4830:E$2)))))</f>
        <v> </v>
      </c>
      <c r="J4831" s="26" t="str">
        <f>IF(OR(E4831="",E4831="!!!",F4831="NEW"),"",COUNTBLANK(OFFSET(A$1,,,SUMPRODUCT(MAX(ROW(E$2:E4831)*(E4831=E$2:E4831)))))-COUNTBLANK(OFFSET(A$1,,,SUMPRODUCT(MAX(ROW(E$1:E4830)*(E2=E$1:E4830))))))</f>
        <v> </v>
      </c>
      <c r="K4831" s="26" t="str">
        <f>IF(OR(E4831="",E4831="!!!",F4831="NEW"),"",INDEX(J$1:J4830,SUMPRODUCT(MAX(ROW(E$1:E4830)*(E4831=E$1:E4830)))))</f>
        <v> </v>
      </c>
      <c r="L4831" s="27"/>
    </row>
    <row r="4832" spans="1:12">
      <c r="A4832" s="20" t="s">
        <v>984</v>
      </c>
      <c r="E4832" s="22">
        <f>IF(D4832="?OLD","!!!","")</f>
        <v/>
      </c>
      <c r="F4832" s="23" t="str">
        <f>IF(OR(E4832="",E4832="!!!"),"",IF(NOT(ISNA(VLOOKUP(E4832,E$1:E4831,1,FALSE()))),"OLD",IF(AND(E4832&lt;&gt;"",E4832&lt;&gt;"!!!"),"NEW","")))</f>
        <v> </v>
      </c>
      <c r="G4832" s="24" t="str">
        <f>IF(OR(E4832="",E4832="!!!"),"",IF(OR(J4832=0,AND(J4832=1,K4832=1),AND(J4832=1,I4832="SBJ"),AND(J4832=1,I4832=0)),"?IN_FOCUS",IF(J4832&lt;=2,"?ACTIVATED",IF(J4832&lt;&gt;"","?FAMILIAR",IF(F4832="NEW",IF(ISNA(VLOOKUP(E4832,#REF!,1,FALSE())),"?TYPE_IDENTIFIABLE","?REFERENTIAL"),"_")))))</f>
        <v> </v>
      </c>
      <c r="H4832" s="25" t="str">
        <f>IF(J4832&lt;&gt;1,"",IF(I4832="SBJ","CB","?"))</f>
        <v> </v>
      </c>
      <c r="I4832" s="26" t="str">
        <f>IF(OR(E4832="",E4832="!!!",F4832="NEW"),"",INDEX(B4831:B$2,-1+SUMPRODUCT(MAX(ROW(E4831:E$2)*(E4832=E4831:E$2)))))</f>
        <v> </v>
      </c>
      <c r="J4832" s="26" t="str">
        <f>IF(OR(E4832="",E4832="!!!",F4832="NEW"),"",COUNTBLANK(OFFSET(A$1,,,SUMPRODUCT(MAX(ROW(E$2:E4832)*(E4832=E$2:E4832)))))-COUNTBLANK(OFFSET(A$1,,,SUMPRODUCT(MAX(ROW(E$1:E4831)*(E2=E$1:E4831))))))</f>
        <v> </v>
      </c>
      <c r="K4832" s="26" t="str">
        <f>IF(OR(E4832="",E4832="!!!",F4832="NEW"),"",INDEX(J$1:J4831,SUMPRODUCT(MAX(ROW(E$1:E4831)*(E4832=E$1:E4831)))))</f>
        <v> </v>
      </c>
      <c r="L4832" s="27"/>
    </row>
    <row r="4833" spans="1:12">
      <c r="A4833" s="20"/>
    </row>
    <row r="4834" spans="1:12">
      <c r="A4834" s="20" t="s">
        <v>2240</v>
      </c>
    </row>
    <row r="4835" spans="1:12">
      <c r="A4835" s="20" t="s">
        <v>2241</v>
      </c>
      <c r="E4835" s="22">
        <f>IF(D4835="?OLD","!!!","")</f>
        <v/>
      </c>
      <c r="F4835" s="23" t="str">
        <f>IF(OR(E4835="",E4835="!!!"),"",IF(NOT(ISNA(VLOOKUP(E4835,E$1:E4834,1,FALSE()))),"OLD",IF(AND(E4835&lt;&gt;"",E4835&lt;&gt;"!!!"),"NEW","")))</f>
        <v> </v>
      </c>
      <c r="G4835" s="24" t="str">
        <f>IF(OR(E4835="",E4835="!!!"),"",IF(OR(J4835=0,AND(J4835=1,K4835=1),AND(J4835=1,I4835="SBJ"),AND(J4835=1,I4835=0)),"?IN_FOCUS",IF(J4835&lt;=2,"?ACTIVATED",IF(J4835&lt;&gt;"","?FAMILIAR",IF(F4835="NEW",IF(ISNA(VLOOKUP(E4835,#REF!,1,FALSE())),"?TYPE_IDENTIFIABLE","?REFERENTIAL"),"_")))))</f>
        <v> </v>
      </c>
      <c r="H4835" s="25" t="str">
        <f>IF(J4835&lt;&gt;1,"",IF(I4835="SBJ","CB","?"))</f>
        <v> </v>
      </c>
      <c r="I4835" s="26" t="str">
        <f>IF(OR(E4835="",E4835="!!!",F4835="NEW"),"",INDEX(B4834:B$2,-1+SUMPRODUCT(MAX(ROW(E4834:E$2)*(E4835=E4834:E$2)))))</f>
        <v> </v>
      </c>
      <c r="J4835" s="26" t="str">
        <f>IF(OR(E4835="",E4835="!!!",F4835="NEW"),"",COUNTBLANK(OFFSET(A$1,,,SUMPRODUCT(MAX(ROW(E$2:E4835)*(E4835=E$2:E4835)))))-COUNTBLANK(OFFSET(A$1,,,SUMPRODUCT(MAX(ROW(E$1:E4834)*(E2=E$1:E4834))))))</f>
        <v> </v>
      </c>
      <c r="K4835" s="26" t="str">
        <f>IF(OR(E4835="",E4835="!!!",F4835="NEW"),"",INDEX(J$1:J4834,SUMPRODUCT(MAX(ROW(E$1:E4834)*(E4835=E$1:E4834)))))</f>
        <v> </v>
      </c>
      <c r="L4835" s="27"/>
    </row>
    <row r="4836" spans="1:12">
      <c r="A4836" s="20" t="s">
        <v>1019</v>
      </c>
      <c r="E4836" s="22">
        <f>IF(D4836="?OLD","!!!","")</f>
        <v/>
      </c>
      <c r="F4836" s="23" t="str">
        <f>IF(OR(E4836="",E4836="!!!"),"",IF(NOT(ISNA(VLOOKUP(E4836,E$1:E4835,1,FALSE()))),"OLD",IF(AND(E4836&lt;&gt;"",E4836&lt;&gt;"!!!"),"NEW","")))</f>
        <v> </v>
      </c>
      <c r="G4836" s="24" t="str">
        <f>IF(OR(E4836="",E4836="!!!"),"",IF(OR(J4836=0,AND(J4836=1,K4836=1),AND(J4836=1,I4836="SBJ"),AND(J4836=1,I4836=0)),"?IN_FOCUS",IF(J4836&lt;=2,"?ACTIVATED",IF(J4836&lt;&gt;"","?FAMILIAR",IF(F4836="NEW",IF(ISNA(VLOOKUP(E4836,#REF!,1,FALSE())),"?TYPE_IDENTIFIABLE","?REFERENTIAL"),"_")))))</f>
        <v> </v>
      </c>
      <c r="H4836" s="25" t="str">
        <f>IF(J4836&lt;&gt;1,"",IF(I4836="SBJ","CB","?"))</f>
        <v> </v>
      </c>
      <c r="I4836" s="26" t="str">
        <f>IF(OR(E4836="",E4836="!!!",F4836="NEW"),"",INDEX(B4835:B$2,-1+SUMPRODUCT(MAX(ROW(E4835:E$2)*(E4836=E4835:E$2)))))</f>
        <v> </v>
      </c>
      <c r="J4836" s="26" t="str">
        <f>IF(OR(E4836="",E4836="!!!",F4836="NEW"),"",COUNTBLANK(OFFSET(A$1,,,SUMPRODUCT(MAX(ROW(E$2:E4836)*(E4836=E$2:E4836)))))-COUNTBLANK(OFFSET(A$1,,,SUMPRODUCT(MAX(ROW(E$1:E4835)*(E2=E$1:E4835))))))</f>
        <v> </v>
      </c>
      <c r="K4836" s="26" t="str">
        <f>IF(OR(E4836="",E4836="!!!",F4836="NEW"),"",INDEX(J$1:J4835,SUMPRODUCT(MAX(ROW(E$1:E4835)*(E4836=E$1:E4835)))))</f>
        <v> </v>
      </c>
      <c r="L4836" s="27"/>
    </row>
    <row r="4837" spans="1:12">
      <c r="A4837" s="20" t="s">
        <v>2242</v>
      </c>
      <c r="B4837" s="21" t="s">
        <v>948</v>
      </c>
      <c r="C4837" s="21" t="s">
        <v>964</v>
      </c>
      <c r="E4837" s="22">
        <f>IF(D4837="?OLD","!!!","")</f>
        <v/>
      </c>
      <c r="F4837" s="23" t="str">
        <f>IF(OR(E4837="",E4837="!!!"),"",IF(NOT(ISNA(VLOOKUP(E4837,E$1:E4836,1,FALSE()))),"OLD",IF(AND(E4837&lt;&gt;"",E4837&lt;&gt;"!!!"),"NEW","")))</f>
        <v> </v>
      </c>
      <c r="G4837" s="24" t="str">
        <f>IF(OR(E4837="",E4837="!!!"),"",IF(OR(J4837=0,AND(J4837=1,K4837=1),AND(J4837=1,I4837="SBJ"),AND(J4837=1,I4837=0)),"?IN_FOCUS",IF(J4837&lt;=2,"?ACTIVATED",IF(J4837&lt;&gt;"","?FAMILIAR",IF(F4837="NEW",IF(ISNA(VLOOKUP(E4837,#REF!,1,FALSE())),"?TYPE_IDENTIFIABLE","?REFERENTIAL"),"_")))))</f>
        <v> </v>
      </c>
      <c r="H4837" s="25" t="str">
        <f>IF(J4837&lt;&gt;1,"",IF(I4837="SBJ","CB","?"))</f>
        <v> </v>
      </c>
      <c r="I4837" s="26" t="str">
        <f>IF(OR(E4837="",E4837="!!!",F4837="NEW"),"",INDEX(B4836:B$2,-1+SUMPRODUCT(MAX(ROW(E4836:E$2)*(E4837=E4836:E$2)))))</f>
        <v> </v>
      </c>
      <c r="J4837" s="26" t="str">
        <f>IF(OR(E4837="",E4837="!!!",F4837="NEW"),"",COUNTBLANK(OFFSET(A$1,,,SUMPRODUCT(MAX(ROW(E$2:E4837)*(E4837=E$2:E4837)))))-COUNTBLANK(OFFSET(A$1,,,SUMPRODUCT(MAX(ROW(E$1:E4836)*(E2=E$1:E4836))))))</f>
        <v> </v>
      </c>
      <c r="K4837" s="26" t="str">
        <f>IF(OR(E4837="",E4837="!!!",F4837="NEW"),"",INDEX(J$1:J4836,SUMPRODUCT(MAX(ROW(E$1:E4836)*(E4837=E$1:E4836)))))</f>
        <v> </v>
      </c>
      <c r="L4837" s="27"/>
    </row>
    <row r="4838" spans="1:12">
      <c r="A4838" s="20" t="s">
        <v>984</v>
      </c>
      <c r="E4838" s="22">
        <f>IF(D4838="?OLD","!!!","")</f>
        <v/>
      </c>
      <c r="F4838" s="23" t="str">
        <f>IF(OR(E4838="",E4838="!!!"),"",IF(NOT(ISNA(VLOOKUP(E4838,E$1:E4837,1,FALSE()))),"OLD",IF(AND(E4838&lt;&gt;"",E4838&lt;&gt;"!!!"),"NEW","")))</f>
        <v> </v>
      </c>
      <c r="G4838" s="24" t="str">
        <f>IF(OR(E4838="",E4838="!!!"),"",IF(OR(J4838=0,AND(J4838=1,K4838=1),AND(J4838=1,I4838="SBJ"),AND(J4838=1,I4838=0)),"?IN_FOCUS",IF(J4838&lt;=2,"?ACTIVATED",IF(J4838&lt;&gt;"","?FAMILIAR",IF(F4838="NEW",IF(ISNA(VLOOKUP(E4838,#REF!,1,FALSE())),"?TYPE_IDENTIFIABLE","?REFERENTIAL"),"_")))))</f>
        <v> </v>
      </c>
      <c r="H4838" s="25" t="str">
        <f>IF(J4838&lt;&gt;1,"",IF(I4838="SBJ","CB","?"))</f>
        <v> </v>
      </c>
      <c r="I4838" s="26" t="str">
        <f>IF(OR(E4838="",E4838="!!!",F4838="NEW"),"",INDEX(B4837:B$2,-1+SUMPRODUCT(MAX(ROW(E4837:E$2)*(E4838=E4837:E$2)))))</f>
        <v> </v>
      </c>
      <c r="J4838" s="26" t="str">
        <f>IF(OR(E4838="",E4838="!!!",F4838="NEW"),"",COUNTBLANK(OFFSET(A$1,,,SUMPRODUCT(MAX(ROW(E$2:E4838)*(E4838=E$2:E4838)))))-COUNTBLANK(OFFSET(A$1,,,SUMPRODUCT(MAX(ROW(E$1:E4837)*(E2=E$1:E4837))))))</f>
        <v> </v>
      </c>
      <c r="K4838" s="26" t="str">
        <f>IF(OR(E4838="",E4838="!!!",F4838="NEW"),"",INDEX(J$1:J4837,SUMPRODUCT(MAX(ROW(E$1:E4837)*(E4838=E$1:E4837)))))</f>
        <v> </v>
      </c>
      <c r="L4838" s="27"/>
    </row>
    <row r="4839" spans="1:12">
      <c r="A4839" s="20"/>
    </row>
    <row r="4840" spans="1:12">
      <c r="A4840" s="20" t="s">
        <v>2243</v>
      </c>
    </row>
    <row r="4841" spans="1:12">
      <c r="A4841" s="20" t="s">
        <v>2244</v>
      </c>
      <c r="E4841" s="22">
        <f>IF(D4841="?OLD","!!!","")</f>
        <v/>
      </c>
      <c r="F4841" s="23" t="str">
        <f>IF(OR(E4841="",E4841="!!!"),"",IF(NOT(ISNA(VLOOKUP(E4841,E$1:E4840,1,FALSE()))),"OLD",IF(AND(E4841&lt;&gt;"",E4841&lt;&gt;"!!!"),"NEW","")))</f>
        <v> </v>
      </c>
      <c r="G4841" s="24" t="str">
        <f>IF(OR(E4841="",E4841="!!!"),"",IF(OR(J4841=0,AND(J4841=1,K4841=1),AND(J4841=1,I4841="SBJ"),AND(J4841=1,I4841=0)),"?IN_FOCUS",IF(J4841&lt;=2,"?ACTIVATED",IF(J4841&lt;&gt;"","?FAMILIAR",IF(F4841="NEW",IF(ISNA(VLOOKUP(E4841,#REF!,1,FALSE())),"?TYPE_IDENTIFIABLE","?REFERENTIAL"),"_")))))</f>
        <v> </v>
      </c>
      <c r="H4841" s="25" t="str">
        <f>IF(J4841&lt;&gt;1,"",IF(I4841="SBJ","CB","?"))</f>
        <v> </v>
      </c>
      <c r="I4841" s="26" t="str">
        <f>IF(OR(E4841="",E4841="!!!",F4841="NEW"),"",INDEX(B4840:B$2,-1+SUMPRODUCT(MAX(ROW(E4840:E$2)*(E4841=E4840:E$2)))))</f>
        <v> </v>
      </c>
      <c r="J4841" s="26" t="str">
        <f>IF(OR(E4841="",E4841="!!!",F4841="NEW"),"",COUNTBLANK(OFFSET(A$1,,,SUMPRODUCT(MAX(ROW(E$2:E4841)*(E4841=E$2:E4841)))))-COUNTBLANK(OFFSET(A$1,,,SUMPRODUCT(MAX(ROW(E$1:E4840)*(E2=E$1:E4840))))))</f>
        <v> </v>
      </c>
      <c r="K4841" s="26" t="str">
        <f>IF(OR(E4841="",E4841="!!!",F4841="NEW"),"",INDEX(J$1:J4840,SUMPRODUCT(MAX(ROW(E$1:E4840)*(E4841=E$1:E4840)))))</f>
        <v> </v>
      </c>
      <c r="L4841" s="27"/>
    </row>
    <row r="4842" spans="1:12">
      <c r="A4842" s="20" t="s">
        <v>1006</v>
      </c>
      <c r="E4842" s="22">
        <f>IF(D4842="?OLD","!!!","")</f>
        <v/>
      </c>
      <c r="F4842" s="23" t="str">
        <f>IF(OR(E4842="",E4842="!!!"),"",IF(NOT(ISNA(VLOOKUP(E4842,E$1:E4841,1,FALSE()))),"OLD",IF(AND(E4842&lt;&gt;"",E4842&lt;&gt;"!!!"),"NEW","")))</f>
        <v> </v>
      </c>
      <c r="G4842" s="24" t="str">
        <f>IF(OR(E4842="",E4842="!!!"),"",IF(OR(J4842=0,AND(J4842=1,K4842=1),AND(J4842=1,I4842="SBJ"),AND(J4842=1,I4842=0)),"?IN_FOCUS",IF(J4842&lt;=2,"?ACTIVATED",IF(J4842&lt;&gt;"","?FAMILIAR",IF(F4842="NEW",IF(ISNA(VLOOKUP(E4842,#REF!,1,FALSE())),"?TYPE_IDENTIFIABLE","?REFERENTIAL"),"_")))))</f>
        <v> </v>
      </c>
      <c r="H4842" s="25" t="str">
        <f>IF(J4842&lt;&gt;1,"",IF(I4842="SBJ","CB","?"))</f>
        <v> </v>
      </c>
      <c r="I4842" s="26" t="str">
        <f>IF(OR(E4842="",E4842="!!!",F4842="NEW"),"",INDEX(B4841:B$2,-1+SUMPRODUCT(MAX(ROW(E4841:E$2)*(E4842=E4841:E$2)))))</f>
        <v> </v>
      </c>
      <c r="J4842" s="26" t="str">
        <f>IF(OR(E4842="",E4842="!!!",F4842="NEW"),"",COUNTBLANK(OFFSET(A$1,,,SUMPRODUCT(MAX(ROW(E$2:E4842)*(E4842=E$2:E4842)))))-COUNTBLANK(OFFSET(A$1,,,SUMPRODUCT(MAX(ROW(E$1:E4841)*(E2=E$1:E4841))))))</f>
        <v> </v>
      </c>
      <c r="K4842" s="26" t="str">
        <f>IF(OR(E4842="",E4842="!!!",F4842="NEW"),"",INDEX(J$1:J4841,SUMPRODUCT(MAX(ROW(E$1:E4841)*(E4842=E$1:E4841)))))</f>
        <v> </v>
      </c>
      <c r="L4842" s="27"/>
    </row>
    <row r="4843" spans="1:12">
      <c r="A4843" s="20" t="s">
        <v>1060</v>
      </c>
      <c r="B4843" s="21" t="s">
        <v>948</v>
      </c>
      <c r="C4843" s="21" t="s">
        <v>1032</v>
      </c>
      <c r="D4843" s="21" t="s">
        <v>950</v>
      </c>
      <c r="E4843" s="22">
        <f>IF(D4843="?OLD","!!!","")</f>
        <v/>
      </c>
      <c r="F4843" s="23" t="str">
        <f>IF(OR(E4843="",E4843="!!!"),"",IF(NOT(ISNA(VLOOKUP(E4843,E$1:E4842,1,FALSE()))),"OLD",IF(AND(E4843&lt;&gt;"",E4843&lt;&gt;"!!!"),"NEW","")))</f>
        <v> </v>
      </c>
      <c r="G4843" s="24" t="str">
        <f>IF(OR(E4843="",E4843="!!!"),"",IF(OR(J4843=0,AND(J4843=1,K4843=1),AND(J4843=1,I4843="SBJ"),AND(J4843=1,I4843=0)),"?IN_FOCUS",IF(J4843&lt;=2,"?ACTIVATED",IF(J4843&lt;&gt;"","?FAMILIAR",IF(F4843="NEW",IF(ISNA(VLOOKUP(E4843,#REF!,1,FALSE())),"?TYPE_IDENTIFIABLE","?REFERENTIAL"),"_")))))</f>
        <v> </v>
      </c>
      <c r="H4843" s="25" t="str">
        <f>IF(J4843&lt;&gt;1,"",IF(I4843="SBJ","CB","?"))</f>
        <v> </v>
      </c>
      <c r="I4843" s="26" t="str">
        <f>IF(OR(E4843="",E4843="!!!",F4843="NEW"),"",INDEX(B4842:B$2,-1+SUMPRODUCT(MAX(ROW(E4842:E$2)*(E4843=E4842:E$2)))))</f>
        <v> </v>
      </c>
      <c r="J4843" s="26" t="str">
        <f>IF(OR(E4843="",E4843="!!!",F4843="NEW"),"",COUNTBLANK(OFFSET(A$1,,,SUMPRODUCT(MAX(ROW(E$2:E4843)*(E4843=E$2:E4843)))))-COUNTBLANK(OFFSET(A$1,,,SUMPRODUCT(MAX(ROW(E$1:E4842)*(E2=E$1:E4842))))))</f>
        <v> </v>
      </c>
      <c r="K4843" s="26" t="str">
        <f>IF(OR(E4843="",E4843="!!!",F4843="NEW"),"",INDEX(J$1:J4842,SUMPRODUCT(MAX(ROW(E$1:E4842)*(E4843=E$1:E4842)))))</f>
        <v> </v>
      </c>
      <c r="L4843" s="27"/>
    </row>
    <row r="4844" spans="1:12">
      <c r="A4844" s="20" t="s">
        <v>1000</v>
      </c>
      <c r="E4844" s="22">
        <f>IF(D4844="?OLD","!!!","")</f>
        <v/>
      </c>
      <c r="F4844" s="23" t="str">
        <f>IF(OR(E4844="",E4844="!!!"),"",IF(NOT(ISNA(VLOOKUP(E4844,E$1:E4843,1,FALSE()))),"OLD",IF(AND(E4844&lt;&gt;"",E4844&lt;&gt;"!!!"),"NEW","")))</f>
        <v> </v>
      </c>
      <c r="G4844" s="24" t="str">
        <f>IF(OR(E4844="",E4844="!!!"),"",IF(OR(J4844=0,AND(J4844=1,K4844=1),AND(J4844=1,I4844="SBJ"),AND(J4844=1,I4844=0)),"?IN_FOCUS",IF(J4844&lt;=2,"?ACTIVATED",IF(J4844&lt;&gt;"","?FAMILIAR",IF(F4844="NEW",IF(ISNA(VLOOKUP(E4844,#REF!,1,FALSE())),"?TYPE_IDENTIFIABLE","?REFERENTIAL"),"_")))))</f>
        <v> </v>
      </c>
      <c r="H4844" s="25" t="str">
        <f>IF(J4844&lt;&gt;1,"",IF(I4844="SBJ","CB","?"))</f>
        <v> </v>
      </c>
      <c r="I4844" s="26" t="str">
        <f>IF(OR(E4844="",E4844="!!!",F4844="NEW"),"",INDEX(B4843:B$2,-1+SUMPRODUCT(MAX(ROW(E4843:E$2)*(E4844=E4843:E$2)))))</f>
        <v> </v>
      </c>
      <c r="J4844" s="26" t="str">
        <f>IF(OR(E4844="",E4844="!!!",F4844="NEW"),"",COUNTBLANK(OFFSET(A$1,,,SUMPRODUCT(MAX(ROW(E$2:E4844)*(E4844=E$2:E4844)))))-COUNTBLANK(OFFSET(A$1,,,SUMPRODUCT(MAX(ROW(E$1:E4843)*(E2=E$1:E4843))))))</f>
        <v> </v>
      </c>
      <c r="K4844" s="26" t="str">
        <f>IF(OR(E4844="",E4844="!!!",F4844="NEW"),"",INDEX(J$1:J4843,SUMPRODUCT(MAX(ROW(E$1:E4843)*(E4844=E$1:E4843)))))</f>
        <v> </v>
      </c>
      <c r="L4844" s="27"/>
    </row>
    <row r="4845" spans="1:12">
      <c r="A4845" s="20" t="s">
        <v>972</v>
      </c>
      <c r="E4845" s="22">
        <f>IF(D4845="?OLD","!!!","")</f>
        <v/>
      </c>
      <c r="F4845" s="23" t="str">
        <f>IF(OR(E4845="",E4845="!!!"),"",IF(NOT(ISNA(VLOOKUP(E4845,E$1:E4844,1,FALSE()))),"OLD",IF(AND(E4845&lt;&gt;"",E4845&lt;&gt;"!!!"),"NEW","")))</f>
        <v> </v>
      </c>
      <c r="G4845" s="24" t="str">
        <f>IF(OR(E4845="",E4845="!!!"),"",IF(OR(J4845=0,AND(J4845=1,K4845=1),AND(J4845=1,I4845="SBJ"),AND(J4845=1,I4845=0)),"?IN_FOCUS",IF(J4845&lt;=2,"?ACTIVATED",IF(J4845&lt;&gt;"","?FAMILIAR",IF(F4845="NEW",IF(ISNA(VLOOKUP(E4845,#REF!,1,FALSE())),"?TYPE_IDENTIFIABLE","?REFERENTIAL"),"_")))))</f>
        <v> </v>
      </c>
      <c r="H4845" s="25" t="str">
        <f>IF(J4845&lt;&gt;1,"",IF(I4845="SBJ","CB","?"))</f>
        <v> </v>
      </c>
      <c r="I4845" s="26" t="str">
        <f>IF(OR(E4845="",E4845="!!!",F4845="NEW"),"",INDEX(B4844:B$2,-1+SUMPRODUCT(MAX(ROW(E4844:E$2)*(E4845=E4844:E$2)))))</f>
        <v> </v>
      </c>
      <c r="J4845" s="26" t="str">
        <f>IF(OR(E4845="",E4845="!!!",F4845="NEW"),"",COUNTBLANK(OFFSET(A$1,,,SUMPRODUCT(MAX(ROW(E$2:E4845)*(E4845=E$2:E4845)))))-COUNTBLANK(OFFSET(A$1,,,SUMPRODUCT(MAX(ROW(E$1:E4844)*(E2=E$1:E4844))))))</f>
        <v> </v>
      </c>
      <c r="K4845" s="26" t="str">
        <f>IF(OR(E4845="",E4845="!!!",F4845="NEW"),"",INDEX(J$1:J4844,SUMPRODUCT(MAX(ROW(E$1:E4844)*(E4845=E$1:E4844)))))</f>
        <v> </v>
      </c>
      <c r="L4845" s="27"/>
    </row>
    <row r="4846" spans="1:12">
      <c r="A4846" s="20" t="s">
        <v>1210</v>
      </c>
      <c r="E4846" s="22">
        <f>IF(D4846="?OLD","!!!","")</f>
        <v/>
      </c>
      <c r="F4846" s="23" t="str">
        <f>IF(OR(E4846="",E4846="!!!"),"",IF(NOT(ISNA(VLOOKUP(E4846,E$1:E4845,1,FALSE()))),"OLD",IF(AND(E4846&lt;&gt;"",E4846&lt;&gt;"!!!"),"NEW","")))</f>
        <v> </v>
      </c>
      <c r="G4846" s="24" t="str">
        <f>IF(OR(E4846="",E4846="!!!"),"",IF(OR(J4846=0,AND(J4846=1,K4846=1),AND(J4846=1,I4846="SBJ"),AND(J4846=1,I4846=0)),"?IN_FOCUS",IF(J4846&lt;=2,"?ACTIVATED",IF(J4846&lt;&gt;"","?FAMILIAR",IF(F4846="NEW",IF(ISNA(VLOOKUP(E4846,#REF!,1,FALSE())),"?TYPE_IDENTIFIABLE","?REFERENTIAL"),"_")))))</f>
        <v> </v>
      </c>
      <c r="H4846" s="25" t="str">
        <f>IF(J4846&lt;&gt;1,"",IF(I4846="SBJ","CB","?"))</f>
        <v> </v>
      </c>
      <c r="I4846" s="26" t="str">
        <f>IF(OR(E4846="",E4846="!!!",F4846="NEW"),"",INDEX(B4845:B$2,-1+SUMPRODUCT(MAX(ROW(E4845:E$2)*(E4846=E4845:E$2)))))</f>
        <v> </v>
      </c>
      <c r="J4846" s="26" t="str">
        <f>IF(OR(E4846="",E4846="!!!",F4846="NEW"),"",COUNTBLANK(OFFSET(A$1,,,SUMPRODUCT(MAX(ROW(E$2:E4846)*(E4846=E$2:E4846)))))-COUNTBLANK(OFFSET(A$1,,,SUMPRODUCT(MAX(ROW(E$1:E4845)*(E2=E$1:E4845))))))</f>
        <v> </v>
      </c>
      <c r="K4846" s="26" t="str">
        <f>IF(OR(E4846="",E4846="!!!",F4846="NEW"),"",INDEX(J$1:J4845,SUMPRODUCT(MAX(ROW(E$1:E4845)*(E4846=E$1:E4845)))))</f>
        <v> </v>
      </c>
      <c r="L4846" s="27"/>
    </row>
    <row r="4847" spans="1:12">
      <c r="A4847" s="20" t="s">
        <v>1068</v>
      </c>
      <c r="E4847" s="22">
        <f>IF(D4847="?OLD","!!!","")</f>
        <v/>
      </c>
      <c r="F4847" s="23" t="str">
        <f>IF(OR(E4847="",E4847="!!!"),"",IF(NOT(ISNA(VLOOKUP(E4847,E$1:E4846,1,FALSE()))),"OLD",IF(AND(E4847&lt;&gt;"",E4847&lt;&gt;"!!!"),"NEW","")))</f>
        <v> </v>
      </c>
      <c r="G4847" s="24" t="str">
        <f>IF(OR(E4847="",E4847="!!!"),"",IF(OR(J4847=0,AND(J4847=1,K4847=1),AND(J4847=1,I4847="SBJ"),AND(J4847=1,I4847=0)),"?IN_FOCUS",IF(J4847&lt;=2,"?ACTIVATED",IF(J4847&lt;&gt;"","?FAMILIAR",IF(F4847="NEW",IF(ISNA(VLOOKUP(E4847,#REF!,1,FALSE())),"?TYPE_IDENTIFIABLE","?REFERENTIAL"),"_")))))</f>
        <v> </v>
      </c>
      <c r="H4847" s="25" t="str">
        <f>IF(J4847&lt;&gt;1,"",IF(I4847="SBJ","CB","?"))</f>
        <v> </v>
      </c>
      <c r="I4847" s="26" t="str">
        <f>IF(OR(E4847="",E4847="!!!",F4847="NEW"),"",INDEX(B4846:B$2,-1+SUMPRODUCT(MAX(ROW(E4846:E$2)*(E4847=E4846:E$2)))))</f>
        <v> </v>
      </c>
      <c r="J4847" s="26" t="str">
        <f>IF(OR(E4847="",E4847="!!!",F4847="NEW"),"",COUNTBLANK(OFFSET(A$1,,,SUMPRODUCT(MAX(ROW(E$2:E4847)*(E4847=E$2:E4847)))))-COUNTBLANK(OFFSET(A$1,,,SUMPRODUCT(MAX(ROW(E$1:E4846)*(E2=E$1:E4846))))))</f>
        <v> </v>
      </c>
      <c r="K4847" s="26" t="str">
        <f>IF(OR(E4847="",E4847="!!!",F4847="NEW"),"",INDEX(J$1:J4846,SUMPRODUCT(MAX(ROW(E$1:E4846)*(E4847=E$1:E4846)))))</f>
        <v> </v>
      </c>
      <c r="L4847" s="27"/>
    </row>
    <row r="4848" spans="1:12">
      <c r="A4848" s="20"/>
    </row>
    <row r="4849" spans="1:12">
      <c r="A4849" s="20" t="s">
        <v>2245</v>
      </c>
    </row>
    <row r="4850" spans="1:12">
      <c r="A4850" s="20" t="s">
        <v>2244</v>
      </c>
      <c r="E4850" s="22">
        <f>IF(D4850="?OLD","!!!","")</f>
        <v/>
      </c>
      <c r="F4850" s="23" t="str">
        <f>IF(OR(E4850="",E4850="!!!"),"",IF(NOT(ISNA(VLOOKUP(E4850,E$1:E4849,1,FALSE()))),"OLD",IF(AND(E4850&lt;&gt;"",E4850&lt;&gt;"!!!"),"NEW","")))</f>
        <v> </v>
      </c>
      <c r="G4850" s="24" t="str">
        <f>IF(OR(E4850="",E4850="!!!"),"",IF(OR(J4850=0,AND(J4850=1,K4850=1),AND(J4850=1,I4850="SBJ"),AND(J4850=1,I4850=0)),"?IN_FOCUS",IF(J4850&lt;=2,"?ACTIVATED",IF(J4850&lt;&gt;"","?FAMILIAR",IF(F4850="NEW",IF(ISNA(VLOOKUP(E4850,#REF!,1,FALSE())),"?TYPE_IDENTIFIABLE","?REFERENTIAL"),"_")))))</f>
        <v> </v>
      </c>
      <c r="H4850" s="25" t="str">
        <f>IF(J4850&lt;&gt;1,"",IF(I4850="SBJ","CB","?"))</f>
        <v> </v>
      </c>
      <c r="I4850" s="26" t="str">
        <f>IF(OR(E4850="",E4850="!!!",F4850="NEW"),"",INDEX(B4849:B$2,-1+SUMPRODUCT(MAX(ROW(E4849:E$2)*(E4850=E4849:E$2)))))</f>
        <v> </v>
      </c>
      <c r="J4850" s="26" t="str">
        <f>IF(OR(E4850="",E4850="!!!",F4850="NEW"),"",COUNTBLANK(OFFSET(A$1,,,SUMPRODUCT(MAX(ROW(E$2:E4850)*(E4850=E$2:E4850)))))-COUNTBLANK(OFFSET(A$1,,,SUMPRODUCT(MAX(ROW(E$1:E4849)*(E2=E$1:E4849))))))</f>
        <v> </v>
      </c>
      <c r="K4850" s="26" t="str">
        <f>IF(OR(E4850="",E4850="!!!",F4850="NEW"),"",INDEX(J$1:J4849,SUMPRODUCT(MAX(ROW(E$1:E4849)*(E4850=E$1:E4849)))))</f>
        <v> </v>
      </c>
      <c r="L4850" s="27"/>
    </row>
    <row r="4851" spans="1:12">
      <c r="A4851" s="20" t="s">
        <v>1019</v>
      </c>
      <c r="E4851" s="22">
        <f>IF(D4851="?OLD","!!!","")</f>
        <v/>
      </c>
      <c r="F4851" s="23" t="str">
        <f>IF(OR(E4851="",E4851="!!!"),"",IF(NOT(ISNA(VLOOKUP(E4851,E$1:E4850,1,FALSE()))),"OLD",IF(AND(E4851&lt;&gt;"",E4851&lt;&gt;"!!!"),"NEW","")))</f>
        <v> </v>
      </c>
      <c r="G4851" s="24" t="str">
        <f>IF(OR(E4851="",E4851="!!!"),"",IF(OR(J4851=0,AND(J4851=1,K4851=1),AND(J4851=1,I4851="SBJ"),AND(J4851=1,I4851=0)),"?IN_FOCUS",IF(J4851&lt;=2,"?ACTIVATED",IF(J4851&lt;&gt;"","?FAMILIAR",IF(F4851="NEW",IF(ISNA(VLOOKUP(E4851,#REF!,1,FALSE())),"?TYPE_IDENTIFIABLE","?REFERENTIAL"),"_")))))</f>
        <v> </v>
      </c>
      <c r="H4851" s="25" t="str">
        <f>IF(J4851&lt;&gt;1,"",IF(I4851="SBJ","CB","?"))</f>
        <v> </v>
      </c>
      <c r="I4851" s="26" t="str">
        <f>IF(OR(E4851="",E4851="!!!",F4851="NEW"),"",INDEX(B4850:B$2,-1+SUMPRODUCT(MAX(ROW(E4850:E$2)*(E4851=E4850:E$2)))))</f>
        <v> </v>
      </c>
      <c r="J4851" s="26" t="str">
        <f>IF(OR(E4851="",E4851="!!!",F4851="NEW"),"",COUNTBLANK(OFFSET(A$1,,,SUMPRODUCT(MAX(ROW(E$2:E4851)*(E4851=E$2:E4851)))))-COUNTBLANK(OFFSET(A$1,,,SUMPRODUCT(MAX(ROW(E$1:E4850)*(E2=E$1:E4850))))))</f>
        <v> </v>
      </c>
      <c r="K4851" s="26" t="str">
        <f>IF(OR(E4851="",E4851="!!!",F4851="NEW"),"",INDEX(J$1:J4850,SUMPRODUCT(MAX(ROW(E$1:E4850)*(E4851=E$1:E4850)))))</f>
        <v> </v>
      </c>
      <c r="L4851" s="27"/>
    </row>
    <row r="4852" spans="1:12">
      <c r="A4852" s="20" t="s">
        <v>1902</v>
      </c>
      <c r="E4852" s="22">
        <f>IF(D4852="?OLD","!!!","")</f>
        <v/>
      </c>
      <c r="F4852" s="23" t="str">
        <f>IF(OR(E4852="",E4852="!!!"),"",IF(NOT(ISNA(VLOOKUP(E4852,E$1:E4851,1,FALSE()))),"OLD",IF(AND(E4852&lt;&gt;"",E4852&lt;&gt;"!!!"),"NEW","")))</f>
        <v> </v>
      </c>
      <c r="G4852" s="24" t="str">
        <f>IF(OR(E4852="",E4852="!!!"),"",IF(OR(J4852=0,AND(J4852=1,K4852=1),AND(J4852=1,I4852="SBJ"),AND(J4852=1,I4852=0)),"?IN_FOCUS",IF(J4852&lt;=2,"?ACTIVATED",IF(J4852&lt;&gt;"","?FAMILIAR",IF(F4852="NEW",IF(ISNA(VLOOKUP(E4852,#REF!,1,FALSE())),"?TYPE_IDENTIFIABLE","?REFERENTIAL"),"_")))))</f>
        <v> </v>
      </c>
      <c r="H4852" s="25" t="str">
        <f>IF(J4852&lt;&gt;1,"",IF(I4852="SBJ","CB","?"))</f>
        <v> </v>
      </c>
      <c r="I4852" s="26" t="str">
        <f>IF(OR(E4852="",E4852="!!!",F4852="NEW"),"",INDEX(B4851:B$2,-1+SUMPRODUCT(MAX(ROW(E4851:E$2)*(E4852=E4851:E$2)))))</f>
        <v> </v>
      </c>
      <c r="J4852" s="26" t="str">
        <f>IF(OR(E4852="",E4852="!!!",F4852="NEW"),"",COUNTBLANK(OFFSET(A$1,,,SUMPRODUCT(MAX(ROW(E$2:E4852)*(E4852=E$2:E4852)))))-COUNTBLANK(OFFSET(A$1,,,SUMPRODUCT(MAX(ROW(E$1:E4851)*(E2=E$1:E4851))))))</f>
        <v> </v>
      </c>
      <c r="K4852" s="26" t="str">
        <f>IF(OR(E4852="",E4852="!!!",F4852="NEW"),"",INDEX(J$1:J4851,SUMPRODUCT(MAX(ROW(E$1:E4851)*(E4852=E$1:E4851)))))</f>
        <v> </v>
      </c>
      <c r="L4852" s="27"/>
    </row>
    <row r="4853" spans="1:12">
      <c r="A4853" s="20" t="s">
        <v>738</v>
      </c>
      <c r="B4853" s="21" t="s">
        <v>948</v>
      </c>
      <c r="C4853" s="21" t="s">
        <v>964</v>
      </c>
      <c r="E4853" s="22">
        <f>IF(D4853="?OLD","!!!","")</f>
        <v/>
      </c>
      <c r="F4853" s="23" t="str">
        <f>IF(OR(E4853="",E4853="!!!"),"",IF(NOT(ISNA(VLOOKUP(E4853,E$1:E4852,1,FALSE()))),"OLD",IF(AND(E4853&lt;&gt;"",E4853&lt;&gt;"!!!"),"NEW","")))</f>
        <v> </v>
      </c>
      <c r="G4853" s="24" t="str">
        <f>IF(OR(E4853="",E4853="!!!"),"",IF(OR(J4853=0,AND(J4853=1,K4853=1),AND(J4853=1,I4853="SBJ"),AND(J4853=1,I4853=0)),"?IN_FOCUS",IF(J4853&lt;=2,"?ACTIVATED",IF(J4853&lt;&gt;"","?FAMILIAR",IF(F4853="NEW",IF(ISNA(VLOOKUP(E4853,#REF!,1,FALSE())),"?TYPE_IDENTIFIABLE","?REFERENTIAL"),"_")))))</f>
        <v> </v>
      </c>
      <c r="H4853" s="25" t="str">
        <f>IF(J4853&lt;&gt;1,"",IF(I4853="SBJ","CB","?"))</f>
        <v> </v>
      </c>
      <c r="I4853" s="26" t="str">
        <f>IF(OR(E4853="",E4853="!!!",F4853="NEW"),"",INDEX(B4852:B$2,-1+SUMPRODUCT(MAX(ROW(E4852:E$2)*(E4853=E4852:E$2)))))</f>
        <v> </v>
      </c>
      <c r="J4853" s="26" t="str">
        <f>IF(OR(E4853="",E4853="!!!",F4853="NEW"),"",COUNTBLANK(OFFSET(A$1,,,SUMPRODUCT(MAX(ROW(E$2:E4853)*(E4853=E$2:E4853)))))-COUNTBLANK(OFFSET(A$1,,,SUMPRODUCT(MAX(ROW(E$1:E4852)*(E2=E$1:E4852))))))</f>
        <v> </v>
      </c>
      <c r="K4853" s="26" t="str">
        <f>IF(OR(E4853="",E4853="!!!",F4853="NEW"),"",INDEX(J$1:J4852,SUMPRODUCT(MAX(ROW(E$1:E4852)*(E4853=E$1:E4852)))))</f>
        <v> </v>
      </c>
      <c r="L4853" s="27"/>
    </row>
    <row r="4854" spans="1:12">
      <c r="A4854" s="20" t="s">
        <v>1075</v>
      </c>
      <c r="E4854" s="22">
        <f>IF(D4854="?OLD","!!!","")</f>
        <v/>
      </c>
      <c r="F4854" s="23" t="str">
        <f>IF(OR(E4854="",E4854="!!!"),"",IF(NOT(ISNA(VLOOKUP(E4854,E$1:E4853,1,FALSE()))),"OLD",IF(AND(E4854&lt;&gt;"",E4854&lt;&gt;"!!!"),"NEW","")))</f>
        <v> </v>
      </c>
      <c r="G4854" s="24" t="str">
        <f>IF(OR(E4854="",E4854="!!!"),"",IF(OR(J4854=0,AND(J4854=1,K4854=1),AND(J4854=1,I4854="SBJ"),AND(J4854=1,I4854=0)),"?IN_FOCUS",IF(J4854&lt;=2,"?ACTIVATED",IF(J4854&lt;&gt;"","?FAMILIAR",IF(F4854="NEW",IF(ISNA(VLOOKUP(E4854,#REF!,1,FALSE())),"?TYPE_IDENTIFIABLE","?REFERENTIAL"),"_")))))</f>
        <v> </v>
      </c>
      <c r="H4854" s="25" t="str">
        <f>IF(J4854&lt;&gt;1,"",IF(I4854="SBJ","CB","?"))</f>
        <v> </v>
      </c>
      <c r="I4854" s="26" t="str">
        <f>IF(OR(E4854="",E4854="!!!",F4854="NEW"),"",INDEX(B4853:B$2,-1+SUMPRODUCT(MAX(ROW(E4853:E$2)*(E4854=E4853:E$2)))))</f>
        <v> </v>
      </c>
      <c r="J4854" s="26" t="str">
        <f>IF(OR(E4854="",E4854="!!!",F4854="NEW"),"",COUNTBLANK(OFFSET(A$1,,,SUMPRODUCT(MAX(ROW(E$2:E4854)*(E4854=E$2:E4854)))))-COUNTBLANK(OFFSET(A$1,,,SUMPRODUCT(MAX(ROW(E$1:E4853)*(E2=E$1:E4853))))))</f>
        <v> </v>
      </c>
      <c r="K4854" s="26" t="str">
        <f>IF(OR(E4854="",E4854="!!!",F4854="NEW"),"",INDEX(J$1:J4853,SUMPRODUCT(MAX(ROW(E$1:E4853)*(E4854=E$1:E4853)))))</f>
        <v> </v>
      </c>
      <c r="L4854" s="27"/>
    </row>
    <row r="4855" spans="1:12">
      <c r="A4855" s="20" t="s">
        <v>965</v>
      </c>
      <c r="B4855" s="21" t="s">
        <v>1143</v>
      </c>
      <c r="E4855" s="22">
        <f>IF(D4855="?OLD","!!!","")</f>
        <v/>
      </c>
      <c r="F4855" s="23" t="str">
        <f>IF(OR(E4855="",E4855="!!!"),"",IF(NOT(ISNA(VLOOKUP(E4855,E$1:E4854,1,FALSE()))),"OLD",IF(AND(E4855&lt;&gt;"",E4855&lt;&gt;"!!!"),"NEW","")))</f>
        <v> </v>
      </c>
      <c r="G4855" s="24" t="str">
        <f>IF(OR(E4855="",E4855="!!!"),"",IF(OR(J4855=0,AND(J4855=1,K4855=1),AND(J4855=1,I4855="SBJ"),AND(J4855=1,I4855=0)),"?IN_FOCUS",IF(J4855&lt;=2,"?ACTIVATED",IF(J4855&lt;&gt;"","?FAMILIAR",IF(F4855="NEW",IF(ISNA(VLOOKUP(E4855,#REF!,1,FALSE())),"?TYPE_IDENTIFIABLE","?REFERENTIAL"),"_")))))</f>
        <v> </v>
      </c>
      <c r="H4855" s="25" t="str">
        <f>IF(J4855&lt;&gt;1,"",IF(I4855="SBJ","CB","?"))</f>
        <v> </v>
      </c>
      <c r="I4855" s="26" t="str">
        <f>IF(OR(E4855="",E4855="!!!",F4855="NEW"),"",INDEX(B4854:B$2,-1+SUMPRODUCT(MAX(ROW(E4854:E$2)*(E4855=E4854:E$2)))))</f>
        <v> </v>
      </c>
      <c r="J4855" s="26" t="str">
        <f>IF(OR(E4855="",E4855="!!!",F4855="NEW"),"",COUNTBLANK(OFFSET(A$1,,,SUMPRODUCT(MAX(ROW(E$2:E4855)*(E4855=E$2:E4855)))))-COUNTBLANK(OFFSET(A$1,,,SUMPRODUCT(MAX(ROW(E$1:E4854)*(E2=E$1:E4854))))))</f>
        <v> </v>
      </c>
      <c r="K4855" s="26" t="str">
        <f>IF(OR(E4855="",E4855="!!!",F4855="NEW"),"",INDEX(J$1:J4854,SUMPRODUCT(MAX(ROW(E$1:E4854)*(E4855=E$1:E4854)))))</f>
        <v> </v>
      </c>
      <c r="L4855" s="27"/>
    </row>
    <row r="4856" spans="1:12">
      <c r="A4856" s="20" t="s">
        <v>1618</v>
      </c>
      <c r="E4856" s="22">
        <f>IF(D4856="?OLD","!!!","")</f>
        <v/>
      </c>
      <c r="F4856" s="23" t="str">
        <f>IF(OR(E4856="",E4856="!!!"),"",IF(NOT(ISNA(VLOOKUP(E4856,E$1:E4855,1,FALSE()))),"OLD",IF(AND(E4856&lt;&gt;"",E4856&lt;&gt;"!!!"),"NEW","")))</f>
        <v> </v>
      </c>
      <c r="G4856" s="24" t="str">
        <f>IF(OR(E4856="",E4856="!!!"),"",IF(OR(J4856=0,AND(J4856=1,K4856=1),AND(J4856=1,I4856="SBJ"),AND(J4856=1,I4856=0)),"?IN_FOCUS",IF(J4856&lt;=2,"?ACTIVATED",IF(J4856&lt;&gt;"","?FAMILIAR",IF(F4856="NEW",IF(ISNA(VLOOKUP(E4856,#REF!,1,FALSE())),"?TYPE_IDENTIFIABLE","?REFERENTIAL"),"_")))))</f>
        <v> </v>
      </c>
      <c r="H4856" s="25" t="str">
        <f>IF(J4856&lt;&gt;1,"",IF(I4856="SBJ","CB","?"))</f>
        <v> </v>
      </c>
      <c r="I4856" s="26" t="str">
        <f>IF(OR(E4856="",E4856="!!!",F4856="NEW"),"",INDEX(B4855:B$2,-1+SUMPRODUCT(MAX(ROW(E4855:E$2)*(E4856=E4855:E$2)))))</f>
        <v> </v>
      </c>
      <c r="J4856" s="26" t="str">
        <f>IF(OR(E4856="",E4856="!!!",F4856="NEW"),"",COUNTBLANK(OFFSET(A$1,,,SUMPRODUCT(MAX(ROW(E$2:E4856)*(E4856=E$2:E4856)))))-COUNTBLANK(OFFSET(A$1,,,SUMPRODUCT(MAX(ROW(E$1:E4855)*(E2=E$1:E4855))))))</f>
        <v> </v>
      </c>
      <c r="K4856" s="26" t="str">
        <f>IF(OR(E4856="",E4856="!!!",F4856="NEW"),"",INDEX(J$1:J4855,SUMPRODUCT(MAX(ROW(E$1:E4855)*(E4856=E$1:E4855)))))</f>
        <v> </v>
      </c>
      <c r="L4856" s="27"/>
    </row>
    <row r="4857" spans="1:12">
      <c r="A4857" s="20" t="s">
        <v>984</v>
      </c>
      <c r="E4857" s="22">
        <f>IF(D4857="?OLD","!!!","")</f>
        <v/>
      </c>
      <c r="F4857" s="23" t="str">
        <f>IF(OR(E4857="",E4857="!!!"),"",IF(NOT(ISNA(VLOOKUP(E4857,E$1:E4856,1,FALSE()))),"OLD",IF(AND(E4857&lt;&gt;"",E4857&lt;&gt;"!!!"),"NEW","")))</f>
        <v> </v>
      </c>
      <c r="G4857" s="24" t="str">
        <f>IF(OR(E4857="",E4857="!!!"),"",IF(OR(J4857=0,AND(J4857=1,K4857=1),AND(J4857=1,I4857="SBJ"),AND(J4857=1,I4857=0)),"?IN_FOCUS",IF(J4857&lt;=2,"?ACTIVATED",IF(J4857&lt;&gt;"","?FAMILIAR",IF(F4857="NEW",IF(ISNA(VLOOKUP(E4857,#REF!,1,FALSE())),"?TYPE_IDENTIFIABLE","?REFERENTIAL"),"_")))))</f>
        <v> </v>
      </c>
      <c r="H4857" s="25" t="str">
        <f>IF(J4857&lt;&gt;1,"",IF(I4857="SBJ","CB","?"))</f>
        <v> </v>
      </c>
      <c r="I4857" s="26" t="str">
        <f>IF(OR(E4857="",E4857="!!!",F4857="NEW"),"",INDEX(B4856:B$2,-1+SUMPRODUCT(MAX(ROW(E4856:E$2)*(E4857=E4856:E$2)))))</f>
        <v> </v>
      </c>
      <c r="J4857" s="26" t="str">
        <f>IF(OR(E4857="",E4857="!!!",F4857="NEW"),"",COUNTBLANK(OFFSET(A$1,,,SUMPRODUCT(MAX(ROW(E$2:E4857)*(E4857=E$2:E4857)))))-COUNTBLANK(OFFSET(A$1,,,SUMPRODUCT(MAX(ROW(E$1:E4856)*(E2=E$1:E4856))))))</f>
        <v> </v>
      </c>
      <c r="K4857" s="26" t="str">
        <f>IF(OR(E4857="",E4857="!!!",F4857="NEW"),"",INDEX(J$1:J4856,SUMPRODUCT(MAX(ROW(E$1:E4856)*(E4857=E$1:E4856)))))</f>
        <v> </v>
      </c>
      <c r="L4857" s="27"/>
    </row>
    <row r="4858" spans="1:12">
      <c r="A4858" s="20"/>
    </row>
    <row r="4859" spans="1:12">
      <c r="A4859" s="20" t="s">
        <v>2246</v>
      </c>
    </row>
    <row r="4860" spans="1:12">
      <c r="A4860" s="20" t="s">
        <v>1016</v>
      </c>
      <c r="B4860" s="21" t="s">
        <v>956</v>
      </c>
      <c r="C4860" s="21" t="s">
        <v>949</v>
      </c>
      <c r="D4860" s="21" t="s">
        <v>950</v>
      </c>
      <c r="E4860" s="22">
        <f>IF(D4860="?OLD","!!!","")</f>
        <v/>
      </c>
      <c r="F4860" s="23" t="str">
        <f>IF(OR(E4860="",E4860="!!!"),"",IF(NOT(ISNA(VLOOKUP(E4860,E$1:E4859,1,FALSE()))),"OLD",IF(AND(E4860&lt;&gt;"",E4860&lt;&gt;"!!!"),"NEW","")))</f>
        <v> </v>
      </c>
      <c r="G4860" s="24" t="str">
        <f>IF(OR(E4860="",E4860="!!!"),"",IF(OR(J4860=0,AND(J4860=1,K4860=1),AND(J4860=1,I4860="SBJ"),AND(J4860=1,I4860=0)),"?IN_FOCUS",IF(J4860&lt;=2,"?ACTIVATED",IF(J4860&lt;&gt;"","?FAMILIAR",IF(F4860="NEW",IF(ISNA(VLOOKUP(E4860,#REF!,1,FALSE())),"?TYPE_IDENTIFIABLE","?REFERENTIAL"),"_")))))</f>
        <v> </v>
      </c>
      <c r="H4860" s="25" t="str">
        <f>IF(J4860&lt;&gt;1,"",IF(I4860="SBJ","CB","?"))</f>
        <v> </v>
      </c>
      <c r="I4860" s="26" t="str">
        <f>IF(OR(E4860="",E4860="!!!",F4860="NEW"),"",INDEX(B4859:B$2,-1+SUMPRODUCT(MAX(ROW(E4859:E$2)*(E4860=E4859:E$2)))))</f>
        <v> </v>
      </c>
      <c r="J4860" s="26" t="str">
        <f>IF(OR(E4860="",E4860="!!!",F4860="NEW"),"",COUNTBLANK(OFFSET(A$1,,,SUMPRODUCT(MAX(ROW(E$2:E4860)*(E4860=E$2:E4860)))))-COUNTBLANK(OFFSET(A$1,,,SUMPRODUCT(MAX(ROW(E$1:E4859)*(E2=E$1:E4859))))))</f>
        <v> </v>
      </c>
      <c r="K4860" s="26" t="str">
        <f>IF(OR(E4860="",E4860="!!!",F4860="NEW"),"",INDEX(J$1:J4859,SUMPRODUCT(MAX(ROW(E$1:E4859)*(E4860=E$1:E4859)))))</f>
        <v> </v>
      </c>
      <c r="L4860" s="27"/>
    </row>
    <row r="4861" spans="1:12">
      <c r="A4861" s="20" t="s">
        <v>952</v>
      </c>
      <c r="E4861" s="22">
        <f>IF(D4861="?OLD","!!!","")</f>
        <v/>
      </c>
      <c r="F4861" s="23" t="str">
        <f>IF(OR(E4861="",E4861="!!!"),"",IF(NOT(ISNA(VLOOKUP(E4861,E$1:E4860,1,FALSE()))),"OLD",IF(AND(E4861&lt;&gt;"",E4861&lt;&gt;"!!!"),"NEW","")))</f>
        <v> </v>
      </c>
      <c r="G4861" s="24" t="str">
        <f>IF(OR(E4861="",E4861="!!!"),"",IF(OR(J4861=0,AND(J4861=1,K4861=1),AND(J4861=1,I4861="SBJ"),AND(J4861=1,I4861=0)),"?IN_FOCUS",IF(J4861&lt;=2,"?ACTIVATED",IF(J4861&lt;&gt;"","?FAMILIAR",IF(F4861="NEW",IF(ISNA(VLOOKUP(E4861,#REF!,1,FALSE())),"?TYPE_IDENTIFIABLE","?REFERENTIAL"),"_")))))</f>
        <v> </v>
      </c>
      <c r="H4861" s="25" t="str">
        <f>IF(J4861&lt;&gt;1,"",IF(I4861="SBJ","CB","?"))</f>
        <v> </v>
      </c>
      <c r="I4861" s="26" t="str">
        <f>IF(OR(E4861="",E4861="!!!",F4861="NEW"),"",INDEX(B4860:B$2,-1+SUMPRODUCT(MAX(ROW(E4860:E$2)*(E4861=E4860:E$2)))))</f>
        <v> </v>
      </c>
      <c r="J4861" s="26" t="str">
        <f>IF(OR(E4861="",E4861="!!!",F4861="NEW"),"",COUNTBLANK(OFFSET(A$1,,,SUMPRODUCT(MAX(ROW(E$2:E4861)*(E4861=E$2:E4861)))))-COUNTBLANK(OFFSET(A$1,,,SUMPRODUCT(MAX(ROW(E$1:E4860)*(E2=E$1:E4860))))))</f>
        <v> </v>
      </c>
      <c r="K4861" s="26" t="str">
        <f>IF(OR(E4861="",E4861="!!!",F4861="NEW"),"",INDEX(J$1:J4860,SUMPRODUCT(MAX(ROW(E$1:E4860)*(E4861=E$1:E4860)))))</f>
        <v> </v>
      </c>
      <c r="L4861" s="27"/>
    </row>
    <row r="4862" spans="1:12">
      <c r="A4862" s="20" t="s">
        <v>1242</v>
      </c>
      <c r="E4862" s="22">
        <f>IF(D4862="?OLD","!!!","")</f>
        <v/>
      </c>
      <c r="F4862" s="23" t="str">
        <f>IF(OR(E4862="",E4862="!!!"),"",IF(NOT(ISNA(VLOOKUP(E4862,E$1:E4861,1,FALSE()))),"OLD",IF(AND(E4862&lt;&gt;"",E4862&lt;&gt;"!!!"),"NEW","")))</f>
        <v> </v>
      </c>
      <c r="G4862" s="24" t="str">
        <f>IF(OR(E4862="",E4862="!!!"),"",IF(OR(J4862=0,AND(J4862=1,K4862=1),AND(J4862=1,I4862="SBJ"),AND(J4862=1,I4862=0)),"?IN_FOCUS",IF(J4862&lt;=2,"?ACTIVATED",IF(J4862&lt;&gt;"","?FAMILIAR",IF(F4862="NEW",IF(ISNA(VLOOKUP(E4862,#REF!,1,FALSE())),"?TYPE_IDENTIFIABLE","?REFERENTIAL"),"_")))))</f>
        <v> </v>
      </c>
      <c r="H4862" s="25" t="str">
        <f>IF(J4862&lt;&gt;1,"",IF(I4862="SBJ","CB","?"))</f>
        <v> </v>
      </c>
      <c r="I4862" s="26" t="str">
        <f>IF(OR(E4862="",E4862="!!!",F4862="NEW"),"",INDEX(B4861:B$2,-1+SUMPRODUCT(MAX(ROW(E4861:E$2)*(E4862=E4861:E$2)))))</f>
        <v> </v>
      </c>
      <c r="J4862" s="26" t="str">
        <f>IF(OR(E4862="",E4862="!!!",F4862="NEW"),"",COUNTBLANK(OFFSET(A$1,,,SUMPRODUCT(MAX(ROW(E$2:E4862)*(E4862=E$2:E4862)))))-COUNTBLANK(OFFSET(A$1,,,SUMPRODUCT(MAX(ROW(E$1:E4861)*(E2=E$1:E4861))))))</f>
        <v> </v>
      </c>
      <c r="K4862" s="26" t="str">
        <f>IF(OR(E4862="",E4862="!!!",F4862="NEW"),"",INDEX(J$1:J4861,SUMPRODUCT(MAX(ROW(E$1:E4861)*(E4862=E$1:E4861)))))</f>
        <v> </v>
      </c>
      <c r="L4862" s="27"/>
    </row>
    <row r="4863" spans="1:12">
      <c r="A4863" s="20" t="s">
        <v>2247</v>
      </c>
      <c r="E4863" s="22">
        <f>IF(D4863="?OLD","!!!","")</f>
        <v/>
      </c>
      <c r="F4863" s="23" t="str">
        <f>IF(OR(E4863="",E4863="!!!"),"",IF(NOT(ISNA(VLOOKUP(E4863,E$1:E4862,1,FALSE()))),"OLD",IF(AND(E4863&lt;&gt;"",E4863&lt;&gt;"!!!"),"NEW","")))</f>
        <v> </v>
      </c>
      <c r="G4863" s="24" t="str">
        <f>IF(OR(E4863="",E4863="!!!"),"",IF(OR(J4863=0,AND(J4863=1,K4863=1),AND(J4863=1,I4863="SBJ"),AND(J4863=1,I4863=0)),"?IN_FOCUS",IF(J4863&lt;=2,"?ACTIVATED",IF(J4863&lt;&gt;"","?FAMILIAR",IF(F4863="NEW",IF(ISNA(VLOOKUP(E4863,#REF!,1,FALSE())),"?TYPE_IDENTIFIABLE","?REFERENTIAL"),"_")))))</f>
        <v> </v>
      </c>
      <c r="H4863" s="25" t="str">
        <f>IF(J4863&lt;&gt;1,"",IF(I4863="SBJ","CB","?"))</f>
        <v> </v>
      </c>
      <c r="I4863" s="26" t="str">
        <f>IF(OR(E4863="",E4863="!!!",F4863="NEW"),"",INDEX(B4862:B$2,-1+SUMPRODUCT(MAX(ROW(E4862:E$2)*(E4863=E4862:E$2)))))</f>
        <v> </v>
      </c>
      <c r="J4863" s="26" t="str">
        <f>IF(OR(E4863="",E4863="!!!",F4863="NEW"),"",COUNTBLANK(OFFSET(A$1,,,SUMPRODUCT(MAX(ROW(E$2:E4863)*(E4863=E$2:E4863)))))-COUNTBLANK(OFFSET(A$1,,,SUMPRODUCT(MAX(ROW(E$1:E4862)*(E2=E$1:E4862))))))</f>
        <v> </v>
      </c>
      <c r="K4863" s="26" t="str">
        <f>IF(OR(E4863="",E4863="!!!",F4863="NEW"),"",INDEX(J$1:J4862,SUMPRODUCT(MAX(ROW(E$1:E4862)*(E4863=E$1:E4862)))))</f>
        <v> </v>
      </c>
      <c r="L4863" s="27"/>
    </row>
    <row r="4864" spans="1:12">
      <c r="A4864" s="20" t="s">
        <v>1281</v>
      </c>
      <c r="E4864" s="22">
        <f>IF(D4864="?OLD","!!!","")</f>
        <v/>
      </c>
      <c r="F4864" s="23" t="str">
        <f>IF(OR(E4864="",E4864="!!!"),"",IF(NOT(ISNA(VLOOKUP(E4864,E$1:E4863,1,FALSE()))),"OLD",IF(AND(E4864&lt;&gt;"",E4864&lt;&gt;"!!!"),"NEW","")))</f>
        <v> </v>
      </c>
      <c r="G4864" s="24" t="str">
        <f>IF(OR(E4864="",E4864="!!!"),"",IF(OR(J4864=0,AND(J4864=1,K4864=1),AND(J4864=1,I4864="SBJ"),AND(J4864=1,I4864=0)),"?IN_FOCUS",IF(J4864&lt;=2,"?ACTIVATED",IF(J4864&lt;&gt;"","?FAMILIAR",IF(F4864="NEW",IF(ISNA(VLOOKUP(E4864,#REF!,1,FALSE())),"?TYPE_IDENTIFIABLE","?REFERENTIAL"),"_")))))</f>
        <v> </v>
      </c>
      <c r="H4864" s="25" t="str">
        <f>IF(J4864&lt;&gt;1,"",IF(I4864="SBJ","CB","?"))</f>
        <v> </v>
      </c>
      <c r="I4864" s="26" t="str">
        <f>IF(OR(E4864="",E4864="!!!",F4864="NEW"),"",INDEX(B4863:B$2,-1+SUMPRODUCT(MAX(ROW(E4863:E$2)*(E4864=E4863:E$2)))))</f>
        <v> </v>
      </c>
      <c r="J4864" s="26" t="str">
        <f>IF(OR(E4864="",E4864="!!!",F4864="NEW"),"",COUNTBLANK(OFFSET(A$1,,,SUMPRODUCT(MAX(ROW(E$2:E4864)*(E4864=E$2:E4864)))))-COUNTBLANK(OFFSET(A$1,,,SUMPRODUCT(MAX(ROW(E$1:E4863)*(E2=E$1:E4863))))))</f>
        <v> </v>
      </c>
      <c r="K4864" s="26" t="str">
        <f>IF(OR(E4864="",E4864="!!!",F4864="NEW"),"",INDEX(J$1:J4863,SUMPRODUCT(MAX(ROW(E$1:E4863)*(E4864=E$1:E4863)))))</f>
        <v> </v>
      </c>
      <c r="L4864" s="27"/>
    </row>
    <row r="4865" spans="1:12">
      <c r="A4865" s="20" t="s">
        <v>1632</v>
      </c>
      <c r="B4865" s="21" t="s">
        <v>975</v>
      </c>
      <c r="C4865" s="21" t="s">
        <v>960</v>
      </c>
      <c r="D4865" s="21" t="s">
        <v>950</v>
      </c>
      <c r="E4865" s="22">
        <f>IF(D4865="?OLD","!!!","")</f>
        <v/>
      </c>
      <c r="F4865" s="23" t="str">
        <f>IF(OR(E4865="",E4865="!!!"),"",IF(NOT(ISNA(VLOOKUP(E4865,E$1:E4864,1,FALSE()))),"OLD",IF(AND(E4865&lt;&gt;"",E4865&lt;&gt;"!!!"),"NEW","")))</f>
        <v> </v>
      </c>
      <c r="G4865" s="24" t="str">
        <f>IF(OR(E4865="",E4865="!!!"),"",IF(OR(J4865=0,AND(J4865=1,K4865=1),AND(J4865=1,I4865="SBJ"),AND(J4865=1,I4865=0)),"?IN_FOCUS",IF(J4865&lt;=2,"?ACTIVATED",IF(J4865&lt;&gt;"","?FAMILIAR",IF(F4865="NEW",IF(ISNA(VLOOKUP(E4865,#REF!,1,FALSE())),"?TYPE_IDENTIFIABLE","?REFERENTIAL"),"_")))))</f>
        <v> </v>
      </c>
      <c r="H4865" s="25" t="str">
        <f>IF(J4865&lt;&gt;1,"",IF(I4865="SBJ","CB","?"))</f>
        <v> </v>
      </c>
      <c r="I4865" s="26" t="str">
        <f>IF(OR(E4865="",E4865="!!!",F4865="NEW"),"",INDEX(B4864:B$2,-1+SUMPRODUCT(MAX(ROW(E4864:E$2)*(E4865=E4864:E$2)))))</f>
        <v> </v>
      </c>
      <c r="J4865" s="26" t="str">
        <f>IF(OR(E4865="",E4865="!!!",F4865="NEW"),"",COUNTBLANK(OFFSET(A$1,,,SUMPRODUCT(MAX(ROW(E$2:E4865)*(E4865=E$2:E4865)))))-COUNTBLANK(OFFSET(A$1,,,SUMPRODUCT(MAX(ROW(E$1:E4864)*(E2=E$1:E4864))))))</f>
        <v> </v>
      </c>
      <c r="K4865" s="26" t="str">
        <f>IF(OR(E4865="",E4865="!!!",F4865="NEW"),"",INDEX(J$1:J4864,SUMPRODUCT(MAX(ROW(E$1:E4864)*(E4865=E$1:E4864)))))</f>
        <v> </v>
      </c>
      <c r="L4865" s="27"/>
    </row>
    <row r="4866" spans="1:12">
      <c r="A4866" s="20" t="s">
        <v>1246</v>
      </c>
      <c r="E4866" s="22">
        <f>IF(D4866="?OLD","!!!","")</f>
        <v/>
      </c>
      <c r="F4866" s="23" t="str">
        <f>IF(OR(E4866="",E4866="!!!"),"",IF(NOT(ISNA(VLOOKUP(E4866,E$1:E4865,1,FALSE()))),"OLD",IF(AND(E4866&lt;&gt;"",E4866&lt;&gt;"!!!"),"NEW","")))</f>
        <v> </v>
      </c>
      <c r="G4866" s="24" t="str">
        <f>IF(OR(E4866="",E4866="!!!"),"",IF(OR(J4866=0,AND(J4866=1,K4866=1),AND(J4866=1,I4866="SBJ"),AND(J4866=1,I4866=0)),"?IN_FOCUS",IF(J4866&lt;=2,"?ACTIVATED",IF(J4866&lt;&gt;"","?FAMILIAR",IF(F4866="NEW",IF(ISNA(VLOOKUP(E4866,#REF!,1,FALSE())),"?TYPE_IDENTIFIABLE","?REFERENTIAL"),"_")))))</f>
        <v> </v>
      </c>
      <c r="H4866" s="25" t="str">
        <f>IF(J4866&lt;&gt;1,"",IF(I4866="SBJ","CB","?"))</f>
        <v> </v>
      </c>
      <c r="I4866" s="26" t="str">
        <f>IF(OR(E4866="",E4866="!!!",F4866="NEW"),"",INDEX(B4865:B$2,-1+SUMPRODUCT(MAX(ROW(E4865:E$2)*(E4866=E4865:E$2)))))</f>
        <v> </v>
      </c>
      <c r="J4866" s="26" t="str">
        <f>IF(OR(E4866="",E4866="!!!",F4866="NEW"),"",COUNTBLANK(OFFSET(A$1,,,SUMPRODUCT(MAX(ROW(E$2:E4866)*(E4866=E$2:E4866)))))-COUNTBLANK(OFFSET(A$1,,,SUMPRODUCT(MAX(ROW(E$1:E4865)*(E2=E$1:E4865))))))</f>
        <v> </v>
      </c>
      <c r="K4866" s="26" t="str">
        <f>IF(OR(E4866="",E4866="!!!",F4866="NEW"),"",INDEX(J$1:J4865,SUMPRODUCT(MAX(ROW(E$1:E4865)*(E4866=E$1:E4865)))))</f>
        <v> </v>
      </c>
      <c r="L4866" s="27"/>
    </row>
    <row r="4867" spans="1:12">
      <c r="A4867" s="20" t="s">
        <v>984</v>
      </c>
      <c r="E4867" s="22">
        <f>IF(D4867="?OLD","!!!","")</f>
        <v/>
      </c>
      <c r="F4867" s="23" t="str">
        <f>IF(OR(E4867="",E4867="!!!"),"",IF(NOT(ISNA(VLOOKUP(E4867,E$1:E4866,1,FALSE()))),"OLD",IF(AND(E4867&lt;&gt;"",E4867&lt;&gt;"!!!"),"NEW","")))</f>
        <v> </v>
      </c>
      <c r="G4867" s="24" t="str">
        <f>IF(OR(E4867="",E4867="!!!"),"",IF(OR(J4867=0,AND(J4867=1,K4867=1),AND(J4867=1,I4867="SBJ"),AND(J4867=1,I4867=0)),"?IN_FOCUS",IF(J4867&lt;=2,"?ACTIVATED",IF(J4867&lt;&gt;"","?FAMILIAR",IF(F4867="NEW",IF(ISNA(VLOOKUP(E4867,#REF!,1,FALSE())),"?TYPE_IDENTIFIABLE","?REFERENTIAL"),"_")))))</f>
        <v> </v>
      </c>
      <c r="H4867" s="25" t="str">
        <f>IF(J4867&lt;&gt;1,"",IF(I4867="SBJ","CB","?"))</f>
        <v> </v>
      </c>
      <c r="I4867" s="26" t="str">
        <f>IF(OR(E4867="",E4867="!!!",F4867="NEW"),"",INDEX(B4866:B$2,-1+SUMPRODUCT(MAX(ROW(E4866:E$2)*(E4867=E4866:E$2)))))</f>
        <v> </v>
      </c>
      <c r="J4867" s="26" t="str">
        <f>IF(OR(E4867="",E4867="!!!",F4867="NEW"),"",COUNTBLANK(OFFSET(A$1,,,SUMPRODUCT(MAX(ROW(E$2:E4867)*(E4867=E$2:E4867)))))-COUNTBLANK(OFFSET(A$1,,,SUMPRODUCT(MAX(ROW(E$1:E4866)*(E2=E$1:E4866))))))</f>
        <v> </v>
      </c>
      <c r="K4867" s="26" t="str">
        <f>IF(OR(E4867="",E4867="!!!",F4867="NEW"),"",INDEX(J$1:J4866,SUMPRODUCT(MAX(ROW(E$1:E4866)*(E4867=E$1:E4866)))))</f>
        <v> </v>
      </c>
      <c r="L4867" s="27"/>
    </row>
    <row r="4868" spans="1:12">
      <c r="A4868" s="20"/>
    </row>
    <row r="4869" spans="1:12">
      <c r="A4869" s="20" t="s">
        <v>2248</v>
      </c>
    </row>
    <row r="4870" spans="1:12">
      <c r="A4870" s="20" t="s">
        <v>1242</v>
      </c>
      <c r="E4870" s="22">
        <f>IF(D4870="?OLD","!!!","")</f>
        <v/>
      </c>
      <c r="F4870" s="23" t="str">
        <f>IF(OR(E4870="",E4870="!!!"),"",IF(NOT(ISNA(VLOOKUP(E4870,E$1:E4869,1,FALSE()))),"OLD",IF(AND(E4870&lt;&gt;"",E4870&lt;&gt;"!!!"),"NEW","")))</f>
        <v> </v>
      </c>
      <c r="G4870" s="24" t="str">
        <f>IF(OR(E4870="",E4870="!!!"),"",IF(OR(J4870=0,AND(J4870=1,K4870=1),AND(J4870=1,I4870="SBJ"),AND(J4870=1,I4870=0)),"?IN_FOCUS",IF(J4870&lt;=2,"?ACTIVATED",IF(J4870&lt;&gt;"","?FAMILIAR",IF(F4870="NEW",IF(ISNA(VLOOKUP(E4870,#REF!,1,FALSE())),"?TYPE_IDENTIFIABLE","?REFERENTIAL"),"_")))))</f>
        <v> </v>
      </c>
      <c r="H4870" s="25" t="str">
        <f>IF(J4870&lt;&gt;1,"",IF(I4870="SBJ","CB","?"))</f>
        <v> </v>
      </c>
      <c r="I4870" s="26" t="str">
        <f>IF(OR(E4870="",E4870="!!!",F4870="NEW"),"",INDEX(B4869:B$2,-1+SUMPRODUCT(MAX(ROW(E4869:E$2)*(E4870=E4869:E$2)))))</f>
        <v> </v>
      </c>
      <c r="J4870" s="26" t="str">
        <f>IF(OR(E4870="",E4870="!!!",F4870="NEW"),"",COUNTBLANK(OFFSET(A$1,,,SUMPRODUCT(MAX(ROW(E$2:E4870)*(E4870=E$2:E4870)))))-COUNTBLANK(OFFSET(A$1,,,SUMPRODUCT(MAX(ROW(E$1:E4869)*(E2=E$1:E4869))))))</f>
        <v> </v>
      </c>
      <c r="K4870" s="26" t="str">
        <f>IF(OR(E4870="",E4870="!!!",F4870="NEW"),"",INDEX(J$1:J4869,SUMPRODUCT(MAX(ROW(E$1:E4869)*(E4870=E$1:E4869)))))</f>
        <v> </v>
      </c>
      <c r="L4870" s="27"/>
    </row>
    <row r="4871" spans="1:12">
      <c r="A4871" s="20" t="s">
        <v>2247</v>
      </c>
      <c r="B4871" s="21" t="s">
        <v>948</v>
      </c>
      <c r="C4871" s="21" t="s">
        <v>983</v>
      </c>
      <c r="E4871" s="22">
        <f>IF(D4871="?OLD","!!!","")</f>
        <v/>
      </c>
      <c r="F4871" s="23" t="str">
        <f>IF(OR(E4871="",E4871="!!!"),"",IF(NOT(ISNA(VLOOKUP(E4871,E$1:E4870,1,FALSE()))),"OLD",IF(AND(E4871&lt;&gt;"",E4871&lt;&gt;"!!!"),"NEW","")))</f>
        <v> </v>
      </c>
      <c r="G4871" s="24" t="str">
        <f>IF(OR(E4871="",E4871="!!!"),"",IF(OR(J4871=0,AND(J4871=1,K4871=1),AND(J4871=1,I4871="SBJ"),AND(J4871=1,I4871=0)),"?IN_FOCUS",IF(J4871&lt;=2,"?ACTIVATED",IF(J4871&lt;&gt;"","?FAMILIAR",IF(F4871="NEW",IF(ISNA(VLOOKUP(E4871,#REF!,1,FALSE())),"?TYPE_IDENTIFIABLE","?REFERENTIAL"),"_")))))</f>
        <v> </v>
      </c>
      <c r="H4871" s="25" t="str">
        <f>IF(J4871&lt;&gt;1,"",IF(I4871="SBJ","CB","?"))</f>
        <v> </v>
      </c>
      <c r="I4871" s="26" t="str">
        <f>IF(OR(E4871="",E4871="!!!",F4871="NEW"),"",INDEX(B4870:B$2,-1+SUMPRODUCT(MAX(ROW(E4870:E$2)*(E4871=E4870:E$2)))))</f>
        <v> </v>
      </c>
      <c r="J4871" s="26" t="str">
        <f>IF(OR(E4871="",E4871="!!!",F4871="NEW"),"",COUNTBLANK(OFFSET(A$1,,,SUMPRODUCT(MAX(ROW(E$2:E4871)*(E4871=E$2:E4871)))))-COUNTBLANK(OFFSET(A$1,,,SUMPRODUCT(MAX(ROW(E$1:E4870)*(E2=E$1:E4870))))))</f>
        <v> </v>
      </c>
      <c r="K4871" s="26" t="str">
        <f>IF(OR(E4871="",E4871="!!!",F4871="NEW"),"",INDEX(J$1:J4870,SUMPRODUCT(MAX(ROW(E$1:E4870)*(E4871=E$1:E4870)))))</f>
        <v> </v>
      </c>
      <c r="L4871" s="27"/>
    </row>
    <row r="4872" spans="1:12">
      <c r="A4872" s="20" t="s">
        <v>1929</v>
      </c>
      <c r="E4872" s="22">
        <f>IF(D4872="?OLD","!!!","")</f>
        <v/>
      </c>
      <c r="F4872" s="23" t="str">
        <f>IF(OR(E4872="",E4872="!!!"),"",IF(NOT(ISNA(VLOOKUP(E4872,E$1:E4871,1,FALSE()))),"OLD",IF(AND(E4872&lt;&gt;"",E4872&lt;&gt;"!!!"),"NEW","")))</f>
        <v> </v>
      </c>
      <c r="G4872" s="24" t="str">
        <f>IF(OR(E4872="",E4872="!!!"),"",IF(OR(J4872=0,AND(J4872=1,K4872=1),AND(J4872=1,I4872="SBJ"),AND(J4872=1,I4872=0)),"?IN_FOCUS",IF(J4872&lt;=2,"?ACTIVATED",IF(J4872&lt;&gt;"","?FAMILIAR",IF(F4872="NEW",IF(ISNA(VLOOKUP(E4872,#REF!,1,FALSE())),"?TYPE_IDENTIFIABLE","?REFERENTIAL"),"_")))))</f>
        <v> </v>
      </c>
      <c r="H4872" s="25" t="str">
        <f>IF(J4872&lt;&gt;1,"",IF(I4872="SBJ","CB","?"))</f>
        <v> </v>
      </c>
      <c r="I4872" s="26" t="str">
        <f>IF(OR(E4872="",E4872="!!!",F4872="NEW"),"",INDEX(B4871:B$2,-1+SUMPRODUCT(MAX(ROW(E4871:E$2)*(E4872=E4871:E$2)))))</f>
        <v> </v>
      </c>
      <c r="J4872" s="26" t="str">
        <f>IF(OR(E4872="",E4872="!!!",F4872="NEW"),"",COUNTBLANK(OFFSET(A$1,,,SUMPRODUCT(MAX(ROW(E$2:E4872)*(E4872=E$2:E4872)))))-COUNTBLANK(OFFSET(A$1,,,SUMPRODUCT(MAX(ROW(E$1:E4871)*(E2=E$1:E4871))))))</f>
        <v> </v>
      </c>
      <c r="K4872" s="26" t="str">
        <f>IF(OR(E4872="",E4872="!!!",F4872="NEW"),"",INDEX(J$1:J4871,SUMPRODUCT(MAX(ROW(E$1:E4871)*(E4872=E$1:E4871)))))</f>
        <v> </v>
      </c>
      <c r="L4872" s="27"/>
    </row>
    <row r="4873" spans="1:12">
      <c r="A4873" s="20" t="s">
        <v>1632</v>
      </c>
      <c r="B4873" s="21" t="s">
        <v>956</v>
      </c>
      <c r="C4873" s="21" t="s">
        <v>960</v>
      </c>
      <c r="D4873" s="21" t="s">
        <v>950</v>
      </c>
      <c r="E4873" s="22">
        <f>IF(D4873="?OLD","!!!","")</f>
        <v/>
      </c>
      <c r="F4873" s="23" t="str">
        <f>IF(OR(E4873="",E4873="!!!"),"",IF(NOT(ISNA(VLOOKUP(E4873,E$1:E4872,1,FALSE()))),"OLD",IF(AND(E4873&lt;&gt;"",E4873&lt;&gt;"!!!"),"NEW","")))</f>
        <v> </v>
      </c>
      <c r="G4873" s="24" t="str">
        <f>IF(OR(E4873="",E4873="!!!"),"",IF(OR(J4873=0,AND(J4873=1,K4873=1),AND(J4873=1,I4873="SBJ"),AND(J4873=1,I4873=0)),"?IN_FOCUS",IF(J4873&lt;=2,"?ACTIVATED",IF(J4873&lt;&gt;"","?FAMILIAR",IF(F4873="NEW",IF(ISNA(VLOOKUP(E4873,#REF!,1,FALSE())),"?TYPE_IDENTIFIABLE","?REFERENTIAL"),"_")))))</f>
        <v> </v>
      </c>
      <c r="H4873" s="25" t="str">
        <f>IF(J4873&lt;&gt;1,"",IF(I4873="SBJ","CB","?"))</f>
        <v> </v>
      </c>
      <c r="I4873" s="26" t="str">
        <f>IF(OR(E4873="",E4873="!!!",F4873="NEW"),"",INDEX(B4872:B$2,-1+SUMPRODUCT(MAX(ROW(E4872:E$2)*(E4873=E4872:E$2)))))</f>
        <v> </v>
      </c>
      <c r="J4873" s="26" t="str">
        <f>IF(OR(E4873="",E4873="!!!",F4873="NEW"),"",COUNTBLANK(OFFSET(A$1,,,SUMPRODUCT(MAX(ROW(E$2:E4873)*(E4873=E$2:E4873)))))-COUNTBLANK(OFFSET(A$1,,,SUMPRODUCT(MAX(ROW(E$1:E4872)*(E2=E$1:E4872))))))</f>
        <v> </v>
      </c>
      <c r="K4873" s="26" t="str">
        <f>IF(OR(E4873="",E4873="!!!",F4873="NEW"),"",INDEX(J$1:J4872,SUMPRODUCT(MAX(ROW(E$1:E4872)*(E4873=E$1:E4872)))))</f>
        <v> </v>
      </c>
      <c r="L4873" s="27"/>
    </row>
    <row r="4874" spans="1:12">
      <c r="A4874" s="20" t="s">
        <v>1000</v>
      </c>
      <c r="E4874" s="22">
        <f>IF(D4874="?OLD","!!!","")</f>
        <v/>
      </c>
      <c r="F4874" s="23" t="str">
        <f>IF(OR(E4874="",E4874="!!!"),"",IF(NOT(ISNA(VLOOKUP(E4874,E$1:E4873,1,FALSE()))),"OLD",IF(AND(E4874&lt;&gt;"",E4874&lt;&gt;"!!!"),"NEW","")))</f>
        <v> </v>
      </c>
      <c r="G4874" s="24" t="str">
        <f>IF(OR(E4874="",E4874="!!!"),"",IF(OR(J4874=0,AND(J4874=1,K4874=1),AND(J4874=1,I4874="SBJ"),AND(J4874=1,I4874=0)),"?IN_FOCUS",IF(J4874&lt;=2,"?ACTIVATED",IF(J4874&lt;&gt;"","?FAMILIAR",IF(F4874="NEW",IF(ISNA(VLOOKUP(E4874,#REF!,1,FALSE())),"?TYPE_IDENTIFIABLE","?REFERENTIAL"),"_")))))</f>
        <v> </v>
      </c>
      <c r="H4874" s="25" t="str">
        <f>IF(J4874&lt;&gt;1,"",IF(I4874="SBJ","CB","?"))</f>
        <v> </v>
      </c>
      <c r="I4874" s="26" t="str">
        <f>IF(OR(E4874="",E4874="!!!",F4874="NEW"),"",INDEX(B4873:B$2,-1+SUMPRODUCT(MAX(ROW(E4873:E$2)*(E4874=E4873:E$2)))))</f>
        <v> </v>
      </c>
      <c r="J4874" s="26" t="str">
        <f>IF(OR(E4874="",E4874="!!!",F4874="NEW"),"",COUNTBLANK(OFFSET(A$1,,,SUMPRODUCT(MAX(ROW(E$2:E4874)*(E4874=E$2:E4874)))))-COUNTBLANK(OFFSET(A$1,,,SUMPRODUCT(MAX(ROW(E$1:E4873)*(E2=E$1:E4873))))))</f>
        <v> </v>
      </c>
      <c r="K4874" s="26" t="str">
        <f>IF(OR(E4874="",E4874="!!!",F4874="NEW"),"",INDEX(J$1:J4873,SUMPRODUCT(MAX(ROW(E$1:E4873)*(E4874=E$1:E4873)))))</f>
        <v> </v>
      </c>
      <c r="L4874" s="27"/>
    </row>
    <row r="4875" spans="1:12">
      <c r="A4875" s="20" t="s">
        <v>1001</v>
      </c>
      <c r="E4875" s="22">
        <f>IF(D4875="?OLD","!!!","")</f>
        <v/>
      </c>
      <c r="F4875" s="23" t="str">
        <f>IF(OR(E4875="",E4875="!!!"),"",IF(NOT(ISNA(VLOOKUP(E4875,E$1:E4874,1,FALSE()))),"OLD",IF(AND(E4875&lt;&gt;"",E4875&lt;&gt;"!!!"),"NEW","")))</f>
        <v> </v>
      </c>
      <c r="G4875" s="24" t="str">
        <f>IF(OR(E4875="",E4875="!!!"),"",IF(OR(J4875=0,AND(J4875=1,K4875=1),AND(J4875=1,I4875="SBJ"),AND(J4875=1,I4875=0)),"?IN_FOCUS",IF(J4875&lt;=2,"?ACTIVATED",IF(J4875&lt;&gt;"","?FAMILIAR",IF(F4875="NEW",IF(ISNA(VLOOKUP(E4875,#REF!,1,FALSE())),"?TYPE_IDENTIFIABLE","?REFERENTIAL"),"_")))))</f>
        <v> </v>
      </c>
      <c r="H4875" s="25" t="str">
        <f>IF(J4875&lt;&gt;1,"",IF(I4875="SBJ","CB","?"))</f>
        <v> </v>
      </c>
      <c r="I4875" s="26" t="str">
        <f>IF(OR(E4875="",E4875="!!!",F4875="NEW"),"",INDEX(B4874:B$2,-1+SUMPRODUCT(MAX(ROW(E4874:E$2)*(E4875=E4874:E$2)))))</f>
        <v> </v>
      </c>
      <c r="J4875" s="26" t="str">
        <f>IF(OR(E4875="",E4875="!!!",F4875="NEW"),"",COUNTBLANK(OFFSET(A$1,,,SUMPRODUCT(MAX(ROW(E$2:E4875)*(E4875=E$2:E4875)))))-COUNTBLANK(OFFSET(A$1,,,SUMPRODUCT(MAX(ROW(E$1:E4874)*(E2=E$1:E4874))))))</f>
        <v> </v>
      </c>
      <c r="K4875" s="26" t="str">
        <f>IF(OR(E4875="",E4875="!!!",F4875="NEW"),"",INDEX(J$1:J4874,SUMPRODUCT(MAX(ROW(E$1:E4874)*(E4875=E$1:E4874)))))</f>
        <v> </v>
      </c>
      <c r="L4875" s="27"/>
    </row>
    <row r="4876" spans="1:12">
      <c r="A4876" s="20" t="s">
        <v>961</v>
      </c>
      <c r="E4876" s="22">
        <f>IF(D4876="?OLD","!!!","")</f>
        <v/>
      </c>
      <c r="F4876" s="23" t="str">
        <f>IF(OR(E4876="",E4876="!!!"),"",IF(NOT(ISNA(VLOOKUP(E4876,E$1:E4875,1,FALSE()))),"OLD",IF(AND(E4876&lt;&gt;"",E4876&lt;&gt;"!!!"),"NEW","")))</f>
        <v> </v>
      </c>
      <c r="G4876" s="24" t="str">
        <f>IF(OR(E4876="",E4876="!!!"),"",IF(OR(J4876=0,AND(J4876=1,K4876=1),AND(J4876=1,I4876="SBJ"),AND(J4876=1,I4876=0)),"?IN_FOCUS",IF(J4876&lt;=2,"?ACTIVATED",IF(J4876&lt;&gt;"","?FAMILIAR",IF(F4876="NEW",IF(ISNA(VLOOKUP(E4876,#REF!,1,FALSE())),"?TYPE_IDENTIFIABLE","?REFERENTIAL"),"_")))))</f>
        <v> </v>
      </c>
      <c r="H4876" s="25" t="str">
        <f>IF(J4876&lt;&gt;1,"",IF(I4876="SBJ","CB","?"))</f>
        <v> </v>
      </c>
      <c r="I4876" s="26" t="str">
        <f>IF(OR(E4876="",E4876="!!!",F4876="NEW"),"",INDEX(B4875:B$2,-1+SUMPRODUCT(MAX(ROW(E4875:E$2)*(E4876=E4875:E$2)))))</f>
        <v> </v>
      </c>
      <c r="J4876" s="26" t="str">
        <f>IF(OR(E4876="",E4876="!!!",F4876="NEW"),"",COUNTBLANK(OFFSET(A$1,,,SUMPRODUCT(MAX(ROW(E$2:E4876)*(E4876=E$2:E4876)))))-COUNTBLANK(OFFSET(A$1,,,SUMPRODUCT(MAX(ROW(E$1:E4875)*(E2=E$1:E4875))))))</f>
        <v> </v>
      </c>
      <c r="K4876" s="26" t="str">
        <f>IF(OR(E4876="",E4876="!!!",F4876="NEW"),"",INDEX(J$1:J4875,SUMPRODUCT(MAX(ROW(E$1:E4875)*(E4876=E$1:E4875)))))</f>
        <v> </v>
      </c>
      <c r="L4876" s="27"/>
    </row>
    <row r="4877" spans="1:12">
      <c r="A4877" s="20" t="s">
        <v>2249</v>
      </c>
      <c r="B4877" s="21" t="s">
        <v>948</v>
      </c>
      <c r="C4877" s="21" t="s">
        <v>964</v>
      </c>
      <c r="E4877" s="22">
        <f>IF(D4877="?OLD","!!!","")</f>
        <v/>
      </c>
      <c r="F4877" s="23" t="str">
        <f>IF(OR(E4877="",E4877="!!!"),"",IF(NOT(ISNA(VLOOKUP(E4877,E$1:E4876,1,FALSE()))),"OLD",IF(AND(E4877&lt;&gt;"",E4877&lt;&gt;"!!!"),"NEW","")))</f>
        <v> </v>
      </c>
      <c r="G4877" s="24" t="str">
        <f>IF(OR(E4877="",E4877="!!!"),"",IF(OR(J4877=0,AND(J4877=1,K4877=1),AND(J4877=1,I4877="SBJ"),AND(J4877=1,I4877=0)),"?IN_FOCUS",IF(J4877&lt;=2,"?ACTIVATED",IF(J4877&lt;&gt;"","?FAMILIAR",IF(F4877="NEW",IF(ISNA(VLOOKUP(E4877,#REF!,1,FALSE())),"?TYPE_IDENTIFIABLE","?REFERENTIAL"),"_")))))</f>
        <v> </v>
      </c>
      <c r="H4877" s="25" t="str">
        <f>IF(J4877&lt;&gt;1,"",IF(I4877="SBJ","CB","?"))</f>
        <v> </v>
      </c>
      <c r="I4877" s="26" t="str">
        <f>IF(OR(E4877="",E4877="!!!",F4877="NEW"),"",INDEX(B4876:B$2,-1+SUMPRODUCT(MAX(ROW(E4876:E$2)*(E4877=E4876:E$2)))))</f>
        <v> </v>
      </c>
      <c r="J4877" s="26" t="str">
        <f>IF(OR(E4877="",E4877="!!!",F4877="NEW"),"",COUNTBLANK(OFFSET(A$1,,,SUMPRODUCT(MAX(ROW(E$2:E4877)*(E4877=E$2:E4877)))))-COUNTBLANK(OFFSET(A$1,,,SUMPRODUCT(MAX(ROW(E$1:E4876)*(E2=E$1:E4876))))))</f>
        <v> </v>
      </c>
      <c r="K4877" s="26" t="str">
        <f>IF(OR(E4877="",E4877="!!!",F4877="NEW"),"",INDEX(J$1:J4876,SUMPRODUCT(MAX(ROW(E$1:E4876)*(E4877=E$1:E4876)))))</f>
        <v> </v>
      </c>
      <c r="L4877" s="27"/>
    </row>
    <row r="4878" spans="1:12">
      <c r="A4878" s="20" t="s">
        <v>2250</v>
      </c>
      <c r="E4878" s="22">
        <f>IF(D4878="?OLD","!!!","")</f>
        <v/>
      </c>
      <c r="F4878" s="23" t="str">
        <f>IF(OR(E4878="",E4878="!!!"),"",IF(NOT(ISNA(VLOOKUP(E4878,E$1:E4877,1,FALSE()))),"OLD",IF(AND(E4878&lt;&gt;"",E4878&lt;&gt;"!!!"),"NEW","")))</f>
        <v> </v>
      </c>
      <c r="G4878" s="24" t="str">
        <f>IF(OR(E4878="",E4878="!!!"),"",IF(OR(J4878=0,AND(J4878=1,K4878=1),AND(J4878=1,I4878="SBJ"),AND(J4878=1,I4878=0)),"?IN_FOCUS",IF(J4878&lt;=2,"?ACTIVATED",IF(J4878&lt;&gt;"","?FAMILIAR",IF(F4878="NEW",IF(ISNA(VLOOKUP(E4878,#REF!,1,FALSE())),"?TYPE_IDENTIFIABLE","?REFERENTIAL"),"_")))))</f>
        <v> </v>
      </c>
      <c r="H4878" s="25" t="str">
        <f>IF(J4878&lt;&gt;1,"",IF(I4878="SBJ","CB","?"))</f>
        <v> </v>
      </c>
      <c r="I4878" s="26" t="str">
        <f>IF(OR(E4878="",E4878="!!!",F4878="NEW"),"",INDEX(B4877:B$2,-1+SUMPRODUCT(MAX(ROW(E4877:E$2)*(E4878=E4877:E$2)))))</f>
        <v> </v>
      </c>
      <c r="J4878" s="26" t="str">
        <f>IF(OR(E4878="",E4878="!!!",F4878="NEW"),"",COUNTBLANK(OFFSET(A$1,,,SUMPRODUCT(MAX(ROW(E$2:E4878)*(E4878=E$2:E4878)))))-COUNTBLANK(OFFSET(A$1,,,SUMPRODUCT(MAX(ROW(E$1:E4877)*(E2=E$1:E4877))))))</f>
        <v> </v>
      </c>
      <c r="K4878" s="26" t="str">
        <f>IF(OR(E4878="",E4878="!!!",F4878="NEW"),"",INDEX(J$1:J4877,SUMPRODUCT(MAX(ROW(E$1:E4877)*(E4878=E$1:E4877)))))</f>
        <v> </v>
      </c>
      <c r="L4878" s="27"/>
    </row>
    <row r="4879" spans="1:12">
      <c r="A4879" s="20" t="s">
        <v>958</v>
      </c>
      <c r="B4879" s="21" t="s">
        <v>975</v>
      </c>
      <c r="C4879" s="21" t="s">
        <v>960</v>
      </c>
      <c r="D4879" s="21" t="s">
        <v>950</v>
      </c>
      <c r="E4879" s="22">
        <f>IF(D4879="?OLD","!!!","")</f>
        <v/>
      </c>
      <c r="F4879" s="23" t="str">
        <f>IF(OR(E4879="",E4879="!!!"),"",IF(NOT(ISNA(VLOOKUP(E4879,E$1:E4878,1,FALSE()))),"OLD",IF(AND(E4879&lt;&gt;"",E4879&lt;&gt;"!!!"),"NEW","")))</f>
        <v> </v>
      </c>
      <c r="G4879" s="24" t="str">
        <f>IF(OR(E4879="",E4879="!!!"),"",IF(OR(J4879=0,AND(J4879=1,K4879=1),AND(J4879=1,I4879="SBJ"),AND(J4879=1,I4879=0)),"?IN_FOCUS",IF(J4879&lt;=2,"?ACTIVATED",IF(J4879&lt;&gt;"","?FAMILIAR",IF(F4879="NEW",IF(ISNA(VLOOKUP(E4879,#REF!,1,FALSE())),"?TYPE_IDENTIFIABLE","?REFERENTIAL"),"_")))))</f>
        <v> </v>
      </c>
      <c r="H4879" s="25" t="str">
        <f>IF(J4879&lt;&gt;1,"",IF(I4879="SBJ","CB","?"))</f>
        <v> </v>
      </c>
      <c r="I4879" s="26" t="str">
        <f>IF(OR(E4879="",E4879="!!!",F4879="NEW"),"",INDEX(B4878:B$2,-1+SUMPRODUCT(MAX(ROW(E4878:E$2)*(E4879=E4878:E$2)))))</f>
        <v> </v>
      </c>
      <c r="J4879" s="26" t="str">
        <f>IF(OR(E4879="",E4879="!!!",F4879="NEW"),"",COUNTBLANK(OFFSET(A$1,,,SUMPRODUCT(MAX(ROW(E$2:E4879)*(E4879=E$2:E4879)))))-COUNTBLANK(OFFSET(A$1,,,SUMPRODUCT(MAX(ROW(E$1:E4878)*(E2=E$1:E4878))))))</f>
        <v> </v>
      </c>
      <c r="K4879" s="26" t="str">
        <f>IF(OR(E4879="",E4879="!!!",F4879="NEW"),"",INDEX(J$1:J4878,SUMPRODUCT(MAX(ROW(E$1:E4878)*(E4879=E$1:E4878)))))</f>
        <v> </v>
      </c>
      <c r="L4879" s="27"/>
    </row>
    <row r="4880" spans="1:12">
      <c r="A4880" s="20" t="s">
        <v>1022</v>
      </c>
      <c r="E4880" s="22">
        <f>IF(D4880="?OLD","!!!","")</f>
        <v/>
      </c>
      <c r="F4880" s="23" t="str">
        <f>IF(OR(E4880="",E4880="!!!"),"",IF(NOT(ISNA(VLOOKUP(E4880,E$1:E4879,1,FALSE()))),"OLD",IF(AND(E4880&lt;&gt;"",E4880&lt;&gt;"!!!"),"NEW","")))</f>
        <v> </v>
      </c>
      <c r="G4880" s="24" t="str">
        <f>IF(OR(E4880="",E4880="!!!"),"",IF(OR(J4880=0,AND(J4880=1,K4880=1),AND(J4880=1,I4880="SBJ"),AND(J4880=1,I4880=0)),"?IN_FOCUS",IF(J4880&lt;=2,"?ACTIVATED",IF(J4880&lt;&gt;"","?FAMILIAR",IF(F4880="NEW",IF(ISNA(VLOOKUP(E4880,#REF!,1,FALSE())),"?TYPE_IDENTIFIABLE","?REFERENTIAL"),"_")))))</f>
        <v> </v>
      </c>
      <c r="H4880" s="25" t="str">
        <f>IF(J4880&lt;&gt;1,"",IF(I4880="SBJ","CB","?"))</f>
        <v> </v>
      </c>
      <c r="I4880" s="26" t="str">
        <f>IF(OR(E4880="",E4880="!!!",F4880="NEW"),"",INDEX(B4879:B$2,-1+SUMPRODUCT(MAX(ROW(E4879:E$2)*(E4880=E4879:E$2)))))</f>
        <v> </v>
      </c>
      <c r="J4880" s="26" t="str">
        <f>IF(OR(E4880="",E4880="!!!",F4880="NEW"),"",COUNTBLANK(OFFSET(A$1,,,SUMPRODUCT(MAX(ROW(E$2:E4880)*(E4880=E$2:E4880)))))-COUNTBLANK(OFFSET(A$1,,,SUMPRODUCT(MAX(ROW(E$1:E4879)*(E2=E$1:E4879))))))</f>
        <v> </v>
      </c>
      <c r="K4880" s="26" t="str">
        <f>IF(OR(E4880="",E4880="!!!",F4880="NEW"),"",INDEX(J$1:J4879,SUMPRODUCT(MAX(ROW(E$1:E4879)*(E4880=E$1:E4879)))))</f>
        <v> </v>
      </c>
      <c r="L4880" s="27"/>
    </row>
    <row r="4881" spans="1:12">
      <c r="A4881" s="20" t="s">
        <v>1041</v>
      </c>
      <c r="E4881" s="22">
        <f>IF(D4881="?OLD","!!!","")</f>
        <v/>
      </c>
      <c r="F4881" s="23" t="str">
        <f>IF(OR(E4881="",E4881="!!!"),"",IF(NOT(ISNA(VLOOKUP(E4881,E$1:E4880,1,FALSE()))),"OLD",IF(AND(E4881&lt;&gt;"",E4881&lt;&gt;"!!!"),"NEW","")))</f>
        <v> </v>
      </c>
      <c r="G4881" s="24" t="str">
        <f>IF(OR(E4881="",E4881="!!!"),"",IF(OR(J4881=0,AND(J4881=1,K4881=1),AND(J4881=1,I4881="SBJ"),AND(J4881=1,I4881=0)),"?IN_FOCUS",IF(J4881&lt;=2,"?ACTIVATED",IF(J4881&lt;&gt;"","?FAMILIAR",IF(F4881="NEW",IF(ISNA(VLOOKUP(E4881,#REF!,1,FALSE())),"?TYPE_IDENTIFIABLE","?REFERENTIAL"),"_")))))</f>
        <v> </v>
      </c>
      <c r="H4881" s="25" t="str">
        <f>IF(J4881&lt;&gt;1,"",IF(I4881="SBJ","CB","?"))</f>
        <v> </v>
      </c>
      <c r="I4881" s="26" t="str">
        <f>IF(OR(E4881="",E4881="!!!",F4881="NEW"),"",INDEX(B4880:B$2,-1+SUMPRODUCT(MAX(ROW(E4880:E$2)*(E4881=E4880:E$2)))))</f>
        <v> </v>
      </c>
      <c r="J4881" s="26" t="str">
        <f>IF(OR(E4881="",E4881="!!!",F4881="NEW"),"",COUNTBLANK(OFFSET(A$1,,,SUMPRODUCT(MAX(ROW(E$2:E4881)*(E4881=E$2:E4881)))))-COUNTBLANK(OFFSET(A$1,,,SUMPRODUCT(MAX(ROW(E$1:E4880)*(E2=E$1:E4880))))))</f>
        <v> </v>
      </c>
      <c r="K4881" s="26" t="str">
        <f>IF(OR(E4881="",E4881="!!!",F4881="NEW"),"",INDEX(J$1:J4880,SUMPRODUCT(MAX(ROW(E$1:E4880)*(E4881=E$1:E4880)))))</f>
        <v> </v>
      </c>
      <c r="L4881" s="27"/>
    </row>
    <row r="4882" spans="1:12">
      <c r="A4882" s="20" t="s">
        <v>2251</v>
      </c>
      <c r="B4882" s="21" t="s">
        <v>1031</v>
      </c>
      <c r="C4882" s="21" t="s">
        <v>1044</v>
      </c>
      <c r="D4882" s="21" t="s">
        <v>950</v>
      </c>
      <c r="E4882" s="22">
        <f>IF(D4882="?OLD","!!!","")</f>
        <v/>
      </c>
      <c r="F4882" s="23" t="str">
        <f>IF(OR(E4882="",E4882="!!!"),"",IF(NOT(ISNA(VLOOKUP(E4882,E$1:E4881,1,FALSE()))),"OLD",IF(AND(E4882&lt;&gt;"",E4882&lt;&gt;"!!!"),"NEW","")))</f>
        <v> </v>
      </c>
      <c r="G4882" s="24" t="str">
        <f>IF(OR(E4882="",E4882="!!!"),"",IF(OR(J4882=0,AND(J4882=1,K4882=1),AND(J4882=1,I4882="SBJ"),AND(J4882=1,I4882=0)),"?IN_FOCUS",IF(J4882&lt;=2,"?ACTIVATED",IF(J4882&lt;&gt;"","?FAMILIAR",IF(F4882="NEW",IF(ISNA(VLOOKUP(E4882,#REF!,1,FALSE())),"?TYPE_IDENTIFIABLE","?REFERENTIAL"),"_")))))</f>
        <v> </v>
      </c>
      <c r="H4882" s="25" t="str">
        <f>IF(J4882&lt;&gt;1,"",IF(I4882="SBJ","CB","?"))</f>
        <v> </v>
      </c>
      <c r="I4882" s="26" t="str">
        <f>IF(OR(E4882="",E4882="!!!",F4882="NEW"),"",INDEX(B4881:B$2,-1+SUMPRODUCT(MAX(ROW(E4881:E$2)*(E4882=E4881:E$2)))))</f>
        <v> </v>
      </c>
      <c r="J4882" s="26" t="str">
        <f>IF(OR(E4882="",E4882="!!!",F4882="NEW"),"",COUNTBLANK(OFFSET(A$1,,,SUMPRODUCT(MAX(ROW(E$2:E4882)*(E4882=E$2:E4882)))))-COUNTBLANK(OFFSET(A$1,,,SUMPRODUCT(MAX(ROW(E$1:E4881)*(E2=E$1:E4881))))))</f>
        <v> </v>
      </c>
      <c r="K4882" s="26" t="str">
        <f>IF(OR(E4882="",E4882="!!!",F4882="NEW"),"",INDEX(J$1:J4881,SUMPRODUCT(MAX(ROW(E$1:E4881)*(E4882=E$1:E4881)))))</f>
        <v> </v>
      </c>
      <c r="L4882" s="27"/>
    </row>
    <row r="4883" spans="1:12">
      <c r="A4883" s="20" t="s">
        <v>1168</v>
      </c>
      <c r="E4883" s="22">
        <f>IF(D4883="?OLD","!!!","")</f>
        <v/>
      </c>
      <c r="F4883" s="23" t="str">
        <f>IF(OR(E4883="",E4883="!!!"),"",IF(NOT(ISNA(VLOOKUP(E4883,E$1:E4882,1,FALSE()))),"OLD",IF(AND(E4883&lt;&gt;"",E4883&lt;&gt;"!!!"),"NEW","")))</f>
        <v> </v>
      </c>
      <c r="G4883" s="24" t="str">
        <f>IF(OR(E4883="",E4883="!!!"),"",IF(OR(J4883=0,AND(J4883=1,K4883=1),AND(J4883=1,I4883="SBJ"),AND(J4883=1,I4883=0)),"?IN_FOCUS",IF(J4883&lt;=2,"?ACTIVATED",IF(J4883&lt;&gt;"","?FAMILIAR",IF(F4883="NEW",IF(ISNA(VLOOKUP(E4883,#REF!,1,FALSE())),"?TYPE_IDENTIFIABLE","?REFERENTIAL"),"_")))))</f>
        <v> </v>
      </c>
      <c r="H4883" s="25" t="str">
        <f>IF(J4883&lt;&gt;1,"",IF(I4883="SBJ","CB","?"))</f>
        <v> </v>
      </c>
      <c r="I4883" s="26" t="str">
        <f>IF(OR(E4883="",E4883="!!!",F4883="NEW"),"",INDEX(B4882:B$2,-1+SUMPRODUCT(MAX(ROW(E4882:E$2)*(E4883=E4882:E$2)))))</f>
        <v> </v>
      </c>
      <c r="J4883" s="26" t="str">
        <f>IF(OR(E4883="",E4883="!!!",F4883="NEW"),"",COUNTBLANK(OFFSET(A$1,,,SUMPRODUCT(MAX(ROW(E$2:E4883)*(E4883=E$2:E4883)))))-COUNTBLANK(OFFSET(A$1,,,SUMPRODUCT(MAX(ROW(E$1:E4882)*(E2=E$1:E4882))))))</f>
        <v> </v>
      </c>
      <c r="K4883" s="26" t="str">
        <f>IF(OR(E4883="",E4883="!!!",F4883="NEW"),"",INDEX(J$1:J4882,SUMPRODUCT(MAX(ROW(E$1:E4882)*(E4883=E$1:E4882)))))</f>
        <v> </v>
      </c>
      <c r="L4883" s="27"/>
    </row>
    <row r="4884" spans="1:12">
      <c r="A4884" s="20" t="s">
        <v>1551</v>
      </c>
      <c r="B4884" s="21" t="s">
        <v>1031</v>
      </c>
      <c r="C4884" s="21" t="s">
        <v>960</v>
      </c>
      <c r="D4884" s="21" t="s">
        <v>950</v>
      </c>
      <c r="E4884" s="22">
        <f>IF(D4884="?OLD","!!!","")</f>
        <v/>
      </c>
      <c r="F4884" s="23" t="str">
        <f>IF(OR(E4884="",E4884="!!!"),"",IF(NOT(ISNA(VLOOKUP(E4884,E$1:E4883,1,FALSE()))),"OLD",IF(AND(E4884&lt;&gt;"",E4884&lt;&gt;"!!!"),"NEW","")))</f>
        <v> </v>
      </c>
      <c r="G4884" s="24" t="str">
        <f>IF(OR(E4884="",E4884="!!!"),"",IF(OR(J4884=0,AND(J4884=1,K4884=1),AND(J4884=1,I4884="SBJ"),AND(J4884=1,I4884=0)),"?IN_FOCUS",IF(J4884&lt;=2,"?ACTIVATED",IF(J4884&lt;&gt;"","?FAMILIAR",IF(F4884="NEW",IF(ISNA(VLOOKUP(E4884,#REF!,1,FALSE())),"?TYPE_IDENTIFIABLE","?REFERENTIAL"),"_")))))</f>
        <v> </v>
      </c>
      <c r="H4884" s="25" t="str">
        <f>IF(J4884&lt;&gt;1,"",IF(I4884="SBJ","CB","?"))</f>
        <v> </v>
      </c>
      <c r="I4884" s="26" t="str">
        <f>IF(OR(E4884="",E4884="!!!",F4884="NEW"),"",INDEX(B4883:B$2,-1+SUMPRODUCT(MAX(ROW(E4883:E$2)*(E4884=E4883:E$2)))))</f>
        <v> </v>
      </c>
      <c r="J4884" s="26" t="str">
        <f>IF(OR(E4884="",E4884="!!!",F4884="NEW"),"",COUNTBLANK(OFFSET(A$1,,,SUMPRODUCT(MAX(ROW(E$2:E4884)*(E4884=E$2:E4884)))))-COUNTBLANK(OFFSET(A$1,,,SUMPRODUCT(MAX(ROW(E$1:E4883)*(E2=E$1:E4883))))))</f>
        <v> </v>
      </c>
      <c r="K4884" s="26" t="str">
        <f>IF(OR(E4884="",E4884="!!!",F4884="NEW"),"",INDEX(J$1:J4883,SUMPRODUCT(MAX(ROW(E$1:E4883)*(E4884=E$1:E4883)))))</f>
        <v> </v>
      </c>
      <c r="L4884" s="27"/>
    </row>
    <row r="4885" spans="1:12">
      <c r="A4885" s="20" t="s">
        <v>984</v>
      </c>
      <c r="E4885" s="22">
        <f>IF(D4885="?OLD","!!!","")</f>
        <v/>
      </c>
      <c r="F4885" s="23" t="str">
        <f>IF(OR(E4885="",E4885="!!!"),"",IF(NOT(ISNA(VLOOKUP(E4885,E$1:E4884,1,FALSE()))),"OLD",IF(AND(E4885&lt;&gt;"",E4885&lt;&gt;"!!!"),"NEW","")))</f>
        <v> </v>
      </c>
      <c r="G4885" s="24" t="str">
        <f>IF(OR(E4885="",E4885="!!!"),"",IF(OR(J4885=0,AND(J4885=1,K4885=1),AND(J4885=1,I4885="SBJ"),AND(J4885=1,I4885=0)),"?IN_FOCUS",IF(J4885&lt;=2,"?ACTIVATED",IF(J4885&lt;&gt;"","?FAMILIAR",IF(F4885="NEW",IF(ISNA(VLOOKUP(E4885,#REF!,1,FALSE())),"?TYPE_IDENTIFIABLE","?REFERENTIAL"),"_")))))</f>
        <v> </v>
      </c>
      <c r="H4885" s="25" t="str">
        <f>IF(J4885&lt;&gt;1,"",IF(I4885="SBJ","CB","?"))</f>
        <v> </v>
      </c>
      <c r="I4885" s="26" t="str">
        <f>IF(OR(E4885="",E4885="!!!",F4885="NEW"),"",INDEX(B4884:B$2,-1+SUMPRODUCT(MAX(ROW(E4884:E$2)*(E4885=E4884:E$2)))))</f>
        <v> </v>
      </c>
      <c r="J4885" s="26" t="str">
        <f>IF(OR(E4885="",E4885="!!!",F4885="NEW"),"",COUNTBLANK(OFFSET(A$1,,,SUMPRODUCT(MAX(ROW(E$2:E4885)*(E4885=E$2:E4885)))))-COUNTBLANK(OFFSET(A$1,,,SUMPRODUCT(MAX(ROW(E$1:E4884)*(E2=E$1:E4884))))))</f>
        <v> </v>
      </c>
      <c r="K4885" s="26" t="str">
        <f>IF(OR(E4885="",E4885="!!!",F4885="NEW"),"",INDEX(J$1:J4884,SUMPRODUCT(MAX(ROW(E$1:E4884)*(E4885=E$1:E4884)))))</f>
        <v> </v>
      </c>
      <c r="L4885" s="27"/>
    </row>
    <row r="4886" spans="1:12">
      <c r="A4886" s="20"/>
    </row>
    <row r="4887" spans="1:12">
      <c r="A4887" s="20" t="s">
        <v>2252</v>
      </c>
    </row>
    <row r="4888" spans="1:12">
      <c r="A4888" s="20" t="s">
        <v>927</v>
      </c>
      <c r="E4888" s="22">
        <f>IF(D4888="?OLD","!!!","")</f>
        <v/>
      </c>
      <c r="F4888" s="23" t="str">
        <f>IF(OR(E4888="",E4888="!!!"),"",IF(NOT(ISNA(VLOOKUP(E4888,E$1:E4887,1,FALSE()))),"OLD",IF(AND(E4888&lt;&gt;"",E4888&lt;&gt;"!!!"),"NEW","")))</f>
        <v> </v>
      </c>
      <c r="G4888" s="24" t="str">
        <f>IF(OR(E4888="",E4888="!!!"),"",IF(OR(J4888=0,AND(J4888=1,K4888=1),AND(J4888=1,I4888="SBJ"),AND(J4888=1,I4888=0)),"?IN_FOCUS",IF(J4888&lt;=2,"?ACTIVATED",IF(J4888&lt;&gt;"","?FAMILIAR",IF(F4888="NEW",IF(ISNA(VLOOKUP(E4888,#REF!,1,FALSE())),"?TYPE_IDENTIFIABLE","?REFERENTIAL"),"_")))))</f>
        <v> </v>
      </c>
      <c r="H4888" s="25" t="str">
        <f>IF(J4888&lt;&gt;1,"",IF(I4888="SBJ","CB","?"))</f>
        <v> </v>
      </c>
      <c r="I4888" s="26" t="str">
        <f>IF(OR(E4888="",E4888="!!!",F4888="NEW"),"",INDEX(B4887:B$2,-1+SUMPRODUCT(MAX(ROW(E4887:E$2)*(E4888=E4887:E$2)))))</f>
        <v> </v>
      </c>
      <c r="J4888" s="26" t="str">
        <f>IF(OR(E4888="",E4888="!!!",F4888="NEW"),"",COUNTBLANK(OFFSET(A$1,,,SUMPRODUCT(MAX(ROW(E$2:E4888)*(E4888=E$2:E4888)))))-COUNTBLANK(OFFSET(A$1,,,SUMPRODUCT(MAX(ROW(E$1:E4887)*(E2=E$1:E4887))))))</f>
        <v> </v>
      </c>
      <c r="K4888" s="26" t="str">
        <f>IF(OR(E4888="",E4888="!!!",F4888="NEW"),"",INDEX(J$1:J4887,SUMPRODUCT(MAX(ROW(E$1:E4887)*(E4888=E$1:E4887)))))</f>
        <v> </v>
      </c>
      <c r="L4888" s="27"/>
    </row>
    <row r="4889" spans="1:12">
      <c r="A4889" s="20" t="s">
        <v>1000</v>
      </c>
      <c r="E4889" s="22">
        <f>IF(D4889="?OLD","!!!","")</f>
        <v/>
      </c>
      <c r="F4889" s="23" t="str">
        <f>IF(OR(E4889="",E4889="!!!"),"",IF(NOT(ISNA(VLOOKUP(E4889,E$1:E4888,1,FALSE()))),"OLD",IF(AND(E4889&lt;&gt;"",E4889&lt;&gt;"!!!"),"NEW","")))</f>
        <v> </v>
      </c>
      <c r="G4889" s="24" t="str">
        <f>IF(OR(E4889="",E4889="!!!"),"",IF(OR(J4889=0,AND(J4889=1,K4889=1),AND(J4889=1,I4889="SBJ"),AND(J4889=1,I4889=0)),"?IN_FOCUS",IF(J4889&lt;=2,"?ACTIVATED",IF(J4889&lt;&gt;"","?FAMILIAR",IF(F4889="NEW",IF(ISNA(VLOOKUP(E4889,#REF!,1,FALSE())),"?TYPE_IDENTIFIABLE","?REFERENTIAL"),"_")))))</f>
        <v> </v>
      </c>
      <c r="H4889" s="25" t="str">
        <f>IF(J4889&lt;&gt;1,"",IF(I4889="SBJ","CB","?"))</f>
        <v> </v>
      </c>
      <c r="I4889" s="26" t="str">
        <f>IF(OR(E4889="",E4889="!!!",F4889="NEW"),"",INDEX(B4888:B$2,-1+SUMPRODUCT(MAX(ROW(E4888:E$2)*(E4889=E4888:E$2)))))</f>
        <v> </v>
      </c>
      <c r="J4889" s="26" t="str">
        <f>IF(OR(E4889="",E4889="!!!",F4889="NEW"),"",COUNTBLANK(OFFSET(A$1,,,SUMPRODUCT(MAX(ROW(E$2:E4889)*(E4889=E$2:E4889)))))-COUNTBLANK(OFFSET(A$1,,,SUMPRODUCT(MAX(ROW(E$1:E4888)*(E2=E$1:E4888))))))</f>
        <v> </v>
      </c>
      <c r="K4889" s="26" t="str">
        <f>IF(OR(E4889="",E4889="!!!",F4889="NEW"),"",INDEX(J$1:J4888,SUMPRODUCT(MAX(ROW(E$1:E4888)*(E4889=E$1:E4888)))))</f>
        <v> </v>
      </c>
      <c r="L4889" s="27"/>
    </row>
    <row r="4890" spans="1:12">
      <c r="A4890" s="20" t="s">
        <v>955</v>
      </c>
      <c r="B4890" s="21" t="s">
        <v>959</v>
      </c>
      <c r="C4890" s="21" t="s">
        <v>949</v>
      </c>
      <c r="D4890" s="21" t="s">
        <v>950</v>
      </c>
      <c r="E4890" s="22">
        <f>IF(D4890="?OLD","!!!","")</f>
        <v/>
      </c>
      <c r="F4890" s="23" t="str">
        <f>IF(OR(E4890="",E4890="!!!"),"",IF(NOT(ISNA(VLOOKUP(E4890,E$1:E4889,1,FALSE()))),"OLD",IF(AND(E4890&lt;&gt;"",E4890&lt;&gt;"!!!"),"NEW","")))</f>
        <v> </v>
      </c>
      <c r="G4890" s="24" t="str">
        <f>IF(OR(E4890="",E4890="!!!"),"",IF(OR(J4890=0,AND(J4890=1,K4890=1),AND(J4890=1,I4890="SBJ"),AND(J4890=1,I4890=0)),"?IN_FOCUS",IF(J4890&lt;=2,"?ACTIVATED",IF(J4890&lt;&gt;"","?FAMILIAR",IF(F4890="NEW",IF(ISNA(VLOOKUP(E4890,#REF!,1,FALSE())),"?TYPE_IDENTIFIABLE","?REFERENTIAL"),"_")))))</f>
        <v> </v>
      </c>
      <c r="H4890" s="25" t="str">
        <f>IF(J4890&lt;&gt;1,"",IF(I4890="SBJ","CB","?"))</f>
        <v> </v>
      </c>
      <c r="I4890" s="26" t="str">
        <f>IF(OR(E4890="",E4890="!!!",F4890="NEW"),"",INDEX(B4889:B$2,-1+SUMPRODUCT(MAX(ROW(E4889:E$2)*(E4890=E4889:E$2)))))</f>
        <v> </v>
      </c>
      <c r="J4890" s="26" t="str">
        <f>IF(OR(E4890="",E4890="!!!",F4890="NEW"),"",COUNTBLANK(OFFSET(A$1,,,SUMPRODUCT(MAX(ROW(E$2:E4890)*(E4890=E$2:E4890)))))-COUNTBLANK(OFFSET(A$1,,,SUMPRODUCT(MAX(ROW(E$1:E4889)*(E2=E$1:E4889))))))</f>
        <v> </v>
      </c>
      <c r="K4890" s="26" t="str">
        <f>IF(OR(E4890="",E4890="!!!",F4890="NEW"),"",INDEX(J$1:J4889,SUMPRODUCT(MAX(ROW(E$1:E4889)*(E4890=E$1:E4889)))))</f>
        <v> </v>
      </c>
      <c r="L4890" s="27"/>
    </row>
    <row r="4891" spans="1:12">
      <c r="A4891" s="20" t="s">
        <v>984</v>
      </c>
      <c r="E4891" s="22">
        <f>IF(D4891="?OLD","!!!","")</f>
        <v/>
      </c>
      <c r="F4891" s="23" t="str">
        <f>IF(OR(E4891="",E4891="!!!"),"",IF(NOT(ISNA(VLOOKUP(E4891,E$1:E4890,1,FALSE()))),"OLD",IF(AND(E4891&lt;&gt;"",E4891&lt;&gt;"!!!"),"NEW","")))</f>
        <v> </v>
      </c>
      <c r="G4891" s="24" t="str">
        <f>IF(OR(E4891="",E4891="!!!"),"",IF(OR(J4891=0,AND(J4891=1,K4891=1),AND(J4891=1,I4891="SBJ"),AND(J4891=1,I4891=0)),"?IN_FOCUS",IF(J4891&lt;=2,"?ACTIVATED",IF(J4891&lt;&gt;"","?FAMILIAR",IF(F4891="NEW",IF(ISNA(VLOOKUP(E4891,#REF!,1,FALSE())),"?TYPE_IDENTIFIABLE","?REFERENTIAL"),"_")))))</f>
        <v> </v>
      </c>
      <c r="H4891" s="25" t="str">
        <f>IF(J4891&lt;&gt;1,"",IF(I4891="SBJ","CB","?"))</f>
        <v> </v>
      </c>
      <c r="I4891" s="26" t="str">
        <f>IF(OR(E4891="",E4891="!!!",F4891="NEW"),"",INDEX(B4890:B$2,-1+SUMPRODUCT(MAX(ROW(E4890:E$2)*(E4891=E4890:E$2)))))</f>
        <v> </v>
      </c>
      <c r="J4891" s="26" t="str">
        <f>IF(OR(E4891="",E4891="!!!",F4891="NEW"),"",COUNTBLANK(OFFSET(A$1,,,SUMPRODUCT(MAX(ROW(E$2:E4891)*(E4891=E$2:E4891)))))-COUNTBLANK(OFFSET(A$1,,,SUMPRODUCT(MAX(ROW(E$1:E4890)*(E2=E$1:E4890))))))</f>
        <v> </v>
      </c>
      <c r="K4891" s="26" t="str">
        <f>IF(OR(E4891="",E4891="!!!",F4891="NEW"),"",INDEX(J$1:J4890,SUMPRODUCT(MAX(ROW(E$1:E4890)*(E4891=E$1:E4890)))))</f>
        <v> </v>
      </c>
      <c r="L4891" s="27"/>
    </row>
    <row r="4892" spans="1:12">
      <c r="A4892" s="20"/>
    </row>
    <row r="4893" spans="1:12">
      <c r="A4893" s="20" t="s">
        <v>2253</v>
      </c>
    </row>
    <row r="4894" spans="1:12">
      <c r="A4894" s="20" t="s">
        <v>1070</v>
      </c>
      <c r="B4894" s="21" t="s">
        <v>948</v>
      </c>
      <c r="C4894" s="21" t="s">
        <v>983</v>
      </c>
      <c r="E4894" s="22">
        <f>IF(D4894="?OLD","!!!","")</f>
        <v/>
      </c>
      <c r="F4894" s="23" t="str">
        <f>IF(OR(E4894="",E4894="!!!"),"",IF(NOT(ISNA(VLOOKUP(E4894,E$1:E4893,1,FALSE()))),"OLD",IF(AND(E4894&lt;&gt;"",E4894&lt;&gt;"!!!"),"NEW","")))</f>
        <v> </v>
      </c>
      <c r="G4894" s="24" t="str">
        <f>IF(OR(E4894="",E4894="!!!"),"",IF(OR(J4894=0,AND(J4894=1,K4894=1),AND(J4894=1,I4894="SBJ"),AND(J4894=1,I4894=0)),"?IN_FOCUS",IF(J4894&lt;=2,"?ACTIVATED",IF(J4894&lt;&gt;"","?FAMILIAR",IF(F4894="NEW",IF(ISNA(VLOOKUP(E4894,#REF!,1,FALSE())),"?TYPE_IDENTIFIABLE","?REFERENTIAL"),"_")))))</f>
        <v> </v>
      </c>
      <c r="H4894" s="25" t="str">
        <f>IF(J4894&lt;&gt;1,"",IF(I4894="SBJ","CB","?"))</f>
        <v> </v>
      </c>
      <c r="I4894" s="26" t="str">
        <f>IF(OR(E4894="",E4894="!!!",F4894="NEW"),"",INDEX(B4893:B$2,-1+SUMPRODUCT(MAX(ROW(E4893:E$2)*(E4894=E4893:E$2)))))</f>
        <v> </v>
      </c>
      <c r="J4894" s="26" t="str">
        <f>IF(OR(E4894="",E4894="!!!",F4894="NEW"),"",COUNTBLANK(OFFSET(A$1,,,SUMPRODUCT(MAX(ROW(E$2:E4894)*(E4894=E$2:E4894)))))-COUNTBLANK(OFFSET(A$1,,,SUMPRODUCT(MAX(ROW(E$1:E4893)*(E2=E$1:E4893))))))</f>
        <v> </v>
      </c>
      <c r="K4894" s="26" t="str">
        <f>IF(OR(E4894="",E4894="!!!",F4894="NEW"),"",INDEX(J$1:J4893,SUMPRODUCT(MAX(ROW(E$1:E4893)*(E4894=E$1:E4893)))))</f>
        <v> </v>
      </c>
      <c r="L4894" s="27"/>
    </row>
    <row r="4895" spans="1:12">
      <c r="A4895" s="20" t="s">
        <v>952</v>
      </c>
      <c r="E4895" s="22">
        <f>IF(D4895="?OLD","!!!","")</f>
        <v/>
      </c>
      <c r="F4895" s="23" t="str">
        <f>IF(OR(E4895="",E4895="!!!"),"",IF(NOT(ISNA(VLOOKUP(E4895,E$1:E4894,1,FALSE()))),"OLD",IF(AND(E4895&lt;&gt;"",E4895&lt;&gt;"!!!"),"NEW","")))</f>
        <v> </v>
      </c>
      <c r="G4895" s="24" t="str">
        <f>IF(OR(E4895="",E4895="!!!"),"",IF(OR(J4895=0,AND(J4895=1,K4895=1),AND(J4895=1,I4895="SBJ"),AND(J4895=1,I4895=0)),"?IN_FOCUS",IF(J4895&lt;=2,"?ACTIVATED",IF(J4895&lt;&gt;"","?FAMILIAR",IF(F4895="NEW",IF(ISNA(VLOOKUP(E4895,#REF!,1,FALSE())),"?TYPE_IDENTIFIABLE","?REFERENTIAL"),"_")))))</f>
        <v> </v>
      </c>
      <c r="H4895" s="25" t="str">
        <f>IF(J4895&lt;&gt;1,"",IF(I4895="SBJ","CB","?"))</f>
        <v> </v>
      </c>
      <c r="I4895" s="26" t="str">
        <f>IF(OR(E4895="",E4895="!!!",F4895="NEW"),"",INDEX(B4894:B$2,-1+SUMPRODUCT(MAX(ROW(E4894:E$2)*(E4895=E4894:E$2)))))</f>
        <v> </v>
      </c>
      <c r="J4895" s="26" t="str">
        <f>IF(OR(E4895="",E4895="!!!",F4895="NEW"),"",COUNTBLANK(OFFSET(A$1,,,SUMPRODUCT(MAX(ROW(E$2:E4895)*(E4895=E$2:E4895)))))-COUNTBLANK(OFFSET(A$1,,,SUMPRODUCT(MAX(ROW(E$1:E4894)*(E2=E$1:E4894))))))</f>
        <v> </v>
      </c>
      <c r="K4895" s="26" t="str">
        <f>IF(OR(E4895="",E4895="!!!",F4895="NEW"),"",INDEX(J$1:J4894,SUMPRODUCT(MAX(ROW(E$1:E4894)*(E4895=E$1:E4894)))))</f>
        <v> </v>
      </c>
      <c r="L4895" s="27"/>
    </row>
    <row r="4896" spans="1:12">
      <c r="A4896" s="20" t="s">
        <v>927</v>
      </c>
      <c r="E4896" s="22">
        <f>IF(D4896="?OLD","!!!","")</f>
        <v/>
      </c>
      <c r="F4896" s="23" t="str">
        <f>IF(OR(E4896="",E4896="!!!"),"",IF(NOT(ISNA(VLOOKUP(E4896,E$1:E4895,1,FALSE()))),"OLD",IF(AND(E4896&lt;&gt;"",E4896&lt;&gt;"!!!"),"NEW","")))</f>
        <v> </v>
      </c>
      <c r="G4896" s="24" t="str">
        <f>IF(OR(E4896="",E4896="!!!"),"",IF(OR(J4896=0,AND(J4896=1,K4896=1),AND(J4896=1,I4896="SBJ"),AND(J4896=1,I4896=0)),"?IN_FOCUS",IF(J4896&lt;=2,"?ACTIVATED",IF(J4896&lt;&gt;"","?FAMILIAR",IF(F4896="NEW",IF(ISNA(VLOOKUP(E4896,#REF!,1,FALSE())),"?TYPE_IDENTIFIABLE","?REFERENTIAL"),"_")))))</f>
        <v> </v>
      </c>
      <c r="H4896" s="25" t="str">
        <f>IF(J4896&lt;&gt;1,"",IF(I4896="SBJ","CB","?"))</f>
        <v> </v>
      </c>
      <c r="I4896" s="26" t="str">
        <f>IF(OR(E4896="",E4896="!!!",F4896="NEW"),"",INDEX(B4895:B$2,-1+SUMPRODUCT(MAX(ROW(E4895:E$2)*(E4896=E4895:E$2)))))</f>
        <v> </v>
      </c>
      <c r="J4896" s="26" t="str">
        <f>IF(OR(E4896="",E4896="!!!",F4896="NEW"),"",COUNTBLANK(OFFSET(A$1,,,SUMPRODUCT(MAX(ROW(E$2:E4896)*(E4896=E$2:E4896)))))-COUNTBLANK(OFFSET(A$1,,,SUMPRODUCT(MAX(ROW(E$1:E4895)*(E2=E$1:E4895))))))</f>
        <v> </v>
      </c>
      <c r="K4896" s="26" t="str">
        <f>IF(OR(E4896="",E4896="!!!",F4896="NEW"),"",INDEX(J$1:J4895,SUMPRODUCT(MAX(ROW(E$1:E4895)*(E4896=E$1:E4895)))))</f>
        <v> </v>
      </c>
      <c r="L4896" s="27"/>
    </row>
    <row r="4897" spans="1:12">
      <c r="A4897" s="20" t="s">
        <v>984</v>
      </c>
      <c r="E4897" s="22">
        <f>IF(D4897="?OLD","!!!","")</f>
        <v/>
      </c>
      <c r="F4897" s="23" t="str">
        <f>IF(OR(E4897="",E4897="!!!"),"",IF(NOT(ISNA(VLOOKUP(E4897,E$1:E4896,1,FALSE()))),"OLD",IF(AND(E4897&lt;&gt;"",E4897&lt;&gt;"!!!"),"NEW","")))</f>
        <v> </v>
      </c>
      <c r="G4897" s="24" t="str">
        <f>IF(OR(E4897="",E4897="!!!"),"",IF(OR(J4897=0,AND(J4897=1,K4897=1),AND(J4897=1,I4897="SBJ"),AND(J4897=1,I4897=0)),"?IN_FOCUS",IF(J4897&lt;=2,"?ACTIVATED",IF(J4897&lt;&gt;"","?FAMILIAR",IF(F4897="NEW",IF(ISNA(VLOOKUP(E4897,#REF!,1,FALSE())),"?TYPE_IDENTIFIABLE","?REFERENTIAL"),"_")))))</f>
        <v> </v>
      </c>
      <c r="H4897" s="25" t="str">
        <f>IF(J4897&lt;&gt;1,"",IF(I4897="SBJ","CB","?"))</f>
        <v> </v>
      </c>
      <c r="I4897" s="26" t="str">
        <f>IF(OR(E4897="",E4897="!!!",F4897="NEW"),"",INDEX(B4896:B$2,-1+SUMPRODUCT(MAX(ROW(E4896:E$2)*(E4897=E4896:E$2)))))</f>
        <v> </v>
      </c>
      <c r="J4897" s="26" t="str">
        <f>IF(OR(E4897="",E4897="!!!",F4897="NEW"),"",COUNTBLANK(OFFSET(A$1,,,SUMPRODUCT(MAX(ROW(E$2:E4897)*(E4897=E$2:E4897)))))-COUNTBLANK(OFFSET(A$1,,,SUMPRODUCT(MAX(ROW(E$1:E4896)*(E2=E$1:E4896))))))</f>
        <v> </v>
      </c>
      <c r="K4897" s="26" t="str">
        <f>IF(OR(E4897="",E4897="!!!",F4897="NEW"),"",INDEX(J$1:J4896,SUMPRODUCT(MAX(ROW(E$1:E4896)*(E4897=E$1:E4896)))))</f>
        <v> </v>
      </c>
      <c r="L4897" s="27"/>
    </row>
    <row r="4898" spans="1:12">
      <c r="A4898" s="20"/>
    </row>
    <row r="4899" spans="1:12">
      <c r="A4899" s="20" t="s">
        <v>2254</v>
      </c>
    </row>
    <row r="4900" spans="1:12">
      <c r="A4900" s="20" t="s">
        <v>1016</v>
      </c>
      <c r="B4900" s="21" t="s">
        <v>948</v>
      </c>
      <c r="C4900" s="21" t="s">
        <v>983</v>
      </c>
      <c r="E4900" s="22">
        <f>IF(D4900="?OLD","!!!","")</f>
        <v/>
      </c>
      <c r="F4900" s="23" t="str">
        <f>IF(OR(E4900="",E4900="!!!"),"",IF(NOT(ISNA(VLOOKUP(E4900,E$1:E4899,1,FALSE()))),"OLD",IF(AND(E4900&lt;&gt;"",E4900&lt;&gt;"!!!"),"NEW","")))</f>
        <v> </v>
      </c>
      <c r="G4900" s="24" t="str">
        <f>IF(OR(E4900="",E4900="!!!"),"",IF(OR(J4900=0,AND(J4900=1,K4900=1),AND(J4900=1,I4900="SBJ"),AND(J4900=1,I4900=0)),"?IN_FOCUS",IF(J4900&lt;=2,"?ACTIVATED",IF(J4900&lt;&gt;"","?FAMILIAR",IF(F4900="NEW",IF(ISNA(VLOOKUP(E4900,#REF!,1,FALSE())),"?TYPE_IDENTIFIABLE","?REFERENTIAL"),"_")))))</f>
        <v> </v>
      </c>
      <c r="H4900" s="25" t="str">
        <f>IF(J4900&lt;&gt;1,"",IF(I4900="SBJ","CB","?"))</f>
        <v> </v>
      </c>
      <c r="I4900" s="26" t="str">
        <f>IF(OR(E4900="",E4900="!!!",F4900="NEW"),"",INDEX(B4899:B$2,-1+SUMPRODUCT(MAX(ROW(E4899:E$2)*(E4900=E4899:E$2)))))</f>
        <v> </v>
      </c>
      <c r="J4900" s="26" t="str">
        <f>IF(OR(E4900="",E4900="!!!",F4900="NEW"),"",COUNTBLANK(OFFSET(A$1,,,SUMPRODUCT(MAX(ROW(E$2:E4900)*(E4900=E$2:E4900)))))-COUNTBLANK(OFFSET(A$1,,,SUMPRODUCT(MAX(ROW(E$1:E4899)*(E2=E$1:E4899))))))</f>
        <v> </v>
      </c>
      <c r="K4900" s="26" t="str">
        <f>IF(OR(E4900="",E4900="!!!",F4900="NEW"),"",INDEX(J$1:J4899,SUMPRODUCT(MAX(ROW(E$1:E4899)*(E4900=E$1:E4899)))))</f>
        <v> </v>
      </c>
      <c r="L4900" s="27"/>
    </row>
    <row r="4901" spans="1:12">
      <c r="A4901" s="20" t="s">
        <v>952</v>
      </c>
      <c r="E4901" s="22">
        <f>IF(D4901="?OLD","!!!","")</f>
        <v/>
      </c>
      <c r="F4901" s="23" t="str">
        <f>IF(OR(E4901="",E4901="!!!"),"",IF(NOT(ISNA(VLOOKUP(E4901,E$1:E4900,1,FALSE()))),"OLD",IF(AND(E4901&lt;&gt;"",E4901&lt;&gt;"!!!"),"NEW","")))</f>
        <v> </v>
      </c>
      <c r="G4901" s="24" t="str">
        <f>IF(OR(E4901="",E4901="!!!"),"",IF(OR(J4901=0,AND(J4901=1,K4901=1),AND(J4901=1,I4901="SBJ"),AND(J4901=1,I4901=0)),"?IN_FOCUS",IF(J4901&lt;=2,"?ACTIVATED",IF(J4901&lt;&gt;"","?FAMILIAR",IF(F4901="NEW",IF(ISNA(VLOOKUP(E4901,#REF!,1,FALSE())),"?TYPE_IDENTIFIABLE","?REFERENTIAL"),"_")))))</f>
        <v> </v>
      </c>
      <c r="H4901" s="25" t="str">
        <f>IF(J4901&lt;&gt;1,"",IF(I4901="SBJ","CB","?"))</f>
        <v> </v>
      </c>
      <c r="I4901" s="26" t="str">
        <f>IF(OR(E4901="",E4901="!!!",F4901="NEW"),"",INDEX(B4900:B$2,-1+SUMPRODUCT(MAX(ROW(E4900:E$2)*(E4901=E4900:E$2)))))</f>
        <v> </v>
      </c>
      <c r="J4901" s="26" t="str">
        <f>IF(OR(E4901="",E4901="!!!",F4901="NEW"),"",COUNTBLANK(OFFSET(A$1,,,SUMPRODUCT(MAX(ROW(E$2:E4901)*(E4901=E$2:E4901)))))-COUNTBLANK(OFFSET(A$1,,,SUMPRODUCT(MAX(ROW(E$1:E4900)*(E2=E$1:E4900))))))</f>
        <v> </v>
      </c>
      <c r="K4901" s="26" t="str">
        <f>IF(OR(E4901="",E4901="!!!",F4901="NEW"),"",INDEX(J$1:J4900,SUMPRODUCT(MAX(ROW(E$1:E4900)*(E4901=E$1:E4900)))))</f>
        <v> </v>
      </c>
      <c r="L4901" s="27"/>
    </row>
    <row r="4902" spans="1:12">
      <c r="A4902" s="20" t="s">
        <v>955</v>
      </c>
      <c r="B4902" s="21" t="s">
        <v>948</v>
      </c>
      <c r="C4902" s="21" t="s">
        <v>949</v>
      </c>
      <c r="D4902" s="21" t="s">
        <v>950</v>
      </c>
      <c r="E4902" s="22">
        <f>IF(D4902="?OLD","!!!","")</f>
        <v/>
      </c>
      <c r="F4902" s="23" t="str">
        <f>IF(OR(E4902="",E4902="!!!"),"",IF(NOT(ISNA(VLOOKUP(E4902,E$1:E4901,1,FALSE()))),"OLD",IF(AND(E4902&lt;&gt;"",E4902&lt;&gt;"!!!"),"NEW","")))</f>
        <v> </v>
      </c>
      <c r="G4902" s="24" t="str">
        <f>IF(OR(E4902="",E4902="!!!"),"",IF(OR(J4902=0,AND(J4902=1,K4902=1),AND(J4902=1,I4902="SBJ"),AND(J4902=1,I4902=0)),"?IN_FOCUS",IF(J4902&lt;=2,"?ACTIVATED",IF(J4902&lt;&gt;"","?FAMILIAR",IF(F4902="NEW",IF(ISNA(VLOOKUP(E4902,#REF!,1,FALSE())),"?TYPE_IDENTIFIABLE","?REFERENTIAL"),"_")))))</f>
        <v> </v>
      </c>
      <c r="H4902" s="25" t="str">
        <f>IF(J4902&lt;&gt;1,"",IF(I4902="SBJ","CB","?"))</f>
        <v> </v>
      </c>
      <c r="I4902" s="26" t="str">
        <f>IF(OR(E4902="",E4902="!!!",F4902="NEW"),"",INDEX(B4901:B$2,-1+SUMPRODUCT(MAX(ROW(E4901:E$2)*(E4902=E4901:E$2)))))</f>
        <v> </v>
      </c>
      <c r="J4902" s="26" t="str">
        <f>IF(OR(E4902="",E4902="!!!",F4902="NEW"),"",COUNTBLANK(OFFSET(A$1,,,SUMPRODUCT(MAX(ROW(E$2:E4902)*(E4902=E$2:E4902)))))-COUNTBLANK(OFFSET(A$1,,,SUMPRODUCT(MAX(ROW(E$1:E4901)*(E2=E$1:E4901))))))</f>
        <v> </v>
      </c>
      <c r="K4902" s="26" t="str">
        <f>IF(OR(E4902="",E4902="!!!",F4902="NEW"),"",INDEX(J$1:J4901,SUMPRODUCT(MAX(ROW(E$1:E4901)*(E4902=E$1:E4901)))))</f>
        <v> </v>
      </c>
      <c r="L4902" s="27"/>
    </row>
    <row r="4903" spans="1:12">
      <c r="A4903" s="20" t="s">
        <v>1011</v>
      </c>
      <c r="B4903" s="21" t="s">
        <v>1031</v>
      </c>
      <c r="C4903" s="21" t="s">
        <v>949</v>
      </c>
      <c r="D4903" s="21" t="s">
        <v>950</v>
      </c>
      <c r="E4903" s="22">
        <f>IF(D4903="?OLD","!!!","")</f>
        <v/>
      </c>
      <c r="F4903" s="23" t="str">
        <f>IF(OR(E4903="",E4903="!!!"),"",IF(NOT(ISNA(VLOOKUP(E4903,E$1:E4902,1,FALSE()))),"OLD",IF(AND(E4903&lt;&gt;"",E4903&lt;&gt;"!!!"),"NEW","")))</f>
        <v> </v>
      </c>
      <c r="G4903" s="24" t="str">
        <f>IF(OR(E4903="",E4903="!!!"),"",IF(OR(J4903=0,AND(J4903=1,K4903=1),AND(J4903=1,I4903="SBJ"),AND(J4903=1,I4903=0)),"?IN_FOCUS",IF(J4903&lt;=2,"?ACTIVATED",IF(J4903&lt;&gt;"","?FAMILIAR",IF(F4903="NEW",IF(ISNA(VLOOKUP(E4903,#REF!,1,FALSE())),"?TYPE_IDENTIFIABLE","?REFERENTIAL"),"_")))))</f>
        <v> </v>
      </c>
      <c r="H4903" s="25" t="str">
        <f>IF(J4903&lt;&gt;1,"",IF(I4903="SBJ","CB","?"))</f>
        <v> </v>
      </c>
      <c r="I4903" s="26" t="str">
        <f>IF(OR(E4903="",E4903="!!!",F4903="NEW"),"",INDEX(B4902:B$2,-1+SUMPRODUCT(MAX(ROW(E4902:E$2)*(E4903=E4902:E$2)))))</f>
        <v> </v>
      </c>
      <c r="J4903" s="26" t="str">
        <f>IF(OR(E4903="",E4903="!!!",F4903="NEW"),"",COUNTBLANK(OFFSET(A$1,,,SUMPRODUCT(MAX(ROW(E$2:E4903)*(E4903=E$2:E4903)))))-COUNTBLANK(OFFSET(A$1,,,SUMPRODUCT(MAX(ROW(E$1:E4902)*(E2=E$1:E4902))))))</f>
        <v> </v>
      </c>
      <c r="K4903" s="26" t="str">
        <f>IF(OR(E4903="",E4903="!!!",F4903="NEW"),"",INDEX(J$1:J4902,SUMPRODUCT(MAX(ROW(E$1:E4902)*(E4903=E$1:E4902)))))</f>
        <v> </v>
      </c>
      <c r="L4903" s="27"/>
    </row>
    <row r="4904" spans="1:12">
      <c r="A4904" s="20" t="s">
        <v>984</v>
      </c>
      <c r="E4904" s="22">
        <f>IF(D4904="?OLD","!!!","")</f>
        <v/>
      </c>
      <c r="F4904" s="23" t="str">
        <f>IF(OR(E4904="",E4904="!!!"),"",IF(NOT(ISNA(VLOOKUP(E4904,E$1:E4903,1,FALSE()))),"OLD",IF(AND(E4904&lt;&gt;"",E4904&lt;&gt;"!!!"),"NEW","")))</f>
        <v> </v>
      </c>
      <c r="G4904" s="24" t="str">
        <f>IF(OR(E4904="",E4904="!!!"),"",IF(OR(J4904=0,AND(J4904=1,K4904=1),AND(J4904=1,I4904="SBJ"),AND(J4904=1,I4904=0)),"?IN_FOCUS",IF(J4904&lt;=2,"?ACTIVATED",IF(J4904&lt;&gt;"","?FAMILIAR",IF(F4904="NEW",IF(ISNA(VLOOKUP(E4904,#REF!,1,FALSE())),"?TYPE_IDENTIFIABLE","?REFERENTIAL"),"_")))))</f>
        <v> </v>
      </c>
      <c r="H4904" s="25" t="str">
        <f>IF(J4904&lt;&gt;1,"",IF(I4904="SBJ","CB","?"))</f>
        <v> </v>
      </c>
      <c r="I4904" s="26" t="str">
        <f>IF(OR(E4904="",E4904="!!!",F4904="NEW"),"",INDEX(B4903:B$2,-1+SUMPRODUCT(MAX(ROW(E4903:E$2)*(E4904=E4903:E$2)))))</f>
        <v> </v>
      </c>
      <c r="J4904" s="26" t="str">
        <f>IF(OR(E4904="",E4904="!!!",F4904="NEW"),"",COUNTBLANK(OFFSET(A$1,,,SUMPRODUCT(MAX(ROW(E$2:E4904)*(E4904=E$2:E4904)))))-COUNTBLANK(OFFSET(A$1,,,SUMPRODUCT(MAX(ROW(E$1:E4903)*(E2=E$1:E4903))))))</f>
        <v> </v>
      </c>
      <c r="K4904" s="26" t="str">
        <f>IF(OR(E4904="",E4904="!!!",F4904="NEW"),"",INDEX(J$1:J4903,SUMPRODUCT(MAX(ROW(E$1:E4903)*(E4904=E$1:E4903)))))</f>
        <v> </v>
      </c>
      <c r="L4904" s="27"/>
    </row>
    <row r="4905" spans="1:12">
      <c r="A490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2025-07-10T18:08:48Z</dcterms:created>
  <dcterms:modified xsi:type="dcterms:W3CDTF">2025-07-10T18:08:48Z</dcterms:modified>
</cp:coreProperties>
</file>