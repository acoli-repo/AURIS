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<sst xmlns="http://schemas.openxmlformats.org/spreadsheetml/2006/main" count="11704" uniqueCount="2743">
  <si>
    <t>ID</t>
  </si>
  <si>
    <t>PRED_ID</t>
  </si>
  <si>
    <t>MARKER_AUTO</t>
  </si>
  <si>
    <t>PREDICATE</t>
  </si>
  <si>
    <t>TEXT</t>
  </si>
  <si>
    <t>SENTENCE</t>
  </si>
  <si>
    <t>MARKER</t>
  </si>
  <si>
    <t>TARGET</t>
  </si>
  <si>
    <t>RELATION</t>
  </si>
  <si>
    <t>COMMENT</t>
  </si>
  <si>
    <t>1</t>
  </si>
  <si>
    <t>_</t>
  </si>
  <si>
    <t>sentir</t>
  </si>
  <si>
    <t>Senti um funeral no em o cérebro e carpideiras indo e vindo , indo e vindo — em procissão — até que senti como se os sentidos estivessem a explodir .</t>
  </si>
  <si>
    <t>file://conllu/pt/teddy-1323.conllu#s1_0</t>
  </si>
  <si>
    <t>2</t>
  </si>
  <si>
    <t>4</t>
  </si>
  <si>
    <t>estar (estar sentado)</t>
  </si>
  <si>
    <t>E quando todos estavam sentados , as exéquias , como um tambor continuaram a tocar — a tocar — até o meu espírito caísse em torpor .</t>
  </si>
  <si>
    <t>file://conllu/pt/teddy-1323.conllu#s2_0</t>
  </si>
  <si>
    <t>3</t>
  </si>
  <si>
    <t>levantar (levantar ouvir)</t>
  </si>
  <si>
    <t>Então ouvi-as ouvi as levantarem uma caixa e rangerem na em a minha alma com as mesmas botas de chumbo , de novo .</t>
  </si>
  <si>
    <t>file://conllu/pt/teddy-1323.conllu#s3_0</t>
  </si>
  <si>
    <t>começar</t>
  </si>
  <si>
    <t>Depois o espaço começou a tocar como se os céus fossem um sino , um ser , um simples ouvido .</t>
  </si>
  <si>
    <t>file://conllu/pt/teddy-1323.conllu#s4_0</t>
  </si>
  <si>
    <t>5</t>
  </si>
  <si>
    <t>eu</t>
  </si>
  <si>
    <t>E eu , e o silêncio , uma estranha raça naufragada , solitária , sem sentido .</t>
  </si>
  <si>
    <t>file://conllu/pt/teddy-1323.conllu#s5_0</t>
  </si>
  <si>
    <t>6</t>
  </si>
  <si>
    <t>quebrar</t>
  </si>
  <si>
    <t>Então quebrou-se quebrou se uma tábua na em a razão e eu caí , caí , caí e alcancei um mundo , em cada mergulho .</t>
  </si>
  <si>
    <t>file://conllu/pt/teddy-1323.conllu#s6_0</t>
  </si>
  <si>
    <t>7</t>
  </si>
  <si>
    <t>deixar</t>
  </si>
  <si>
    <t>E então deixei de ter conhecimento .</t>
  </si>
  <si>
    <t>file://conllu/pt/teddy-1323.conllu#s7_0</t>
  </si>
  <si>
    <t>8</t>
  </si>
  <si>
    <t>conhecer</t>
  </si>
  <si>
    <t>Conhecemos a depressão através de metáforas .</t>
  </si>
  <si>
    <t>file://conllu/pt/teddy-1323.conllu#s8_0</t>
  </si>
  <si>
    <t>9</t>
  </si>
  <si>
    <t>conseguir</t>
  </si>
  <si>
    <t>Emily Dickinson conseguiu transmiti-la transmiti la em linguagem .</t>
  </si>
  <si>
    <t>file://conllu/pt/teddy-1323.conllu#s9_0</t>
  </si>
  <si>
    <t>10</t>
  </si>
  <si>
    <t>Goya</t>
  </si>
  <si>
    <t>Goya numa em uma imagem .</t>
  </si>
  <si>
    <t>file://conllu/pt/teddy-1323.conllu#s10_0</t>
  </si>
  <si>
    <t>11</t>
  </si>
  <si>
    <t>ser (ser descrever)</t>
  </si>
  <si>
    <t>Metade da de a razão de ser da de a arte é descrever estes estados icónicos .</t>
  </si>
  <si>
    <t>file://conllu/pt/teddy-1323.conllu#s11_0</t>
  </si>
  <si>
    <t>12</t>
  </si>
  <si>
    <t>julgar</t>
  </si>
  <si>
    <t>Quanto a mim , sempre julguei ser uma pessoa dura , um dos de os que podia sobreviver se fosse enviado para um campo de concentração .</t>
  </si>
  <si>
    <t>file://conllu/pt/teddy-1323.conllu#s12_0</t>
  </si>
  <si>
    <t>13</t>
  </si>
  <si>
    <t>ter</t>
  </si>
  <si>
    <t>Em 1991 , tive uma série de perdas .</t>
  </si>
  <si>
    <t>file://conllu/pt/teddy-1323.conllu#s13_0</t>
  </si>
  <si>
    <t>14</t>
  </si>
  <si>
    <t>morrer</t>
  </si>
  <si>
    <t>A minha mãe morreu , uma relação que eu mantinha terminou , voltei para os Estados Unidos depois de uns anos no em o estrangeiro e passei incólume por todas estas experiências .</t>
  </si>
  <si>
    <t>file://conllu/pt/teddy-1323.conllu#s14_0</t>
  </si>
  <si>
    <t>15</t>
  </si>
  <si>
    <t>dar</t>
  </si>
  <si>
    <t>Mas em 1994 , três anos depois , dei comigo com mim desinteressado de quase tudo .</t>
  </si>
  <si>
    <t>file://conllu/pt/teddy-1323.conllu#s15_0</t>
  </si>
  <si>
    <t>16</t>
  </si>
  <si>
    <t>Porquê?</t>
  </si>
  <si>
    <t>saber (saber querer)</t>
  </si>
  <si>
    <t>Não queria fazer nada das de as coisas que anteriormente me interessavam , e não sabia porquê .</t>
  </si>
  <si>
    <t>file://conllu/pt/teddy-1323.conllu#s16_0</t>
  </si>
  <si>
    <t>17</t>
  </si>
  <si>
    <t>ser (ser felicidade)</t>
  </si>
  <si>
    <t>oposto de depressão não é felicidade , mas vitalidade .</t>
  </si>
  <si>
    <t>file://conllu/pt/teddy-1323.conllu#s17_0</t>
  </si>
  <si>
    <t>18</t>
  </si>
  <si>
    <t>foi (foi vitalidade)</t>
  </si>
  <si>
    <t>Foi a vitalidade que desapareceu em mim naquele em aquele momento .</t>
  </si>
  <si>
    <t>file://conllu/pt/teddy-1323.conllu#s18_0</t>
  </si>
  <si>
    <t>19</t>
  </si>
  <si>
    <t>parecia</t>
  </si>
  <si>
    <t>Tudo o que havia para fazer parecia-me parecia me dar demasiado trabalho .</t>
  </si>
  <si>
    <t>file://conllu/pt/teddy-1323.conllu#s19_0</t>
  </si>
  <si>
    <t>20</t>
  </si>
  <si>
    <t>chegar</t>
  </si>
  <si>
    <t>Chegava a casa , via a luz vermelha a piscar no em o gravador de chamadas e , em vez de ficar satisfeito por ouvir os meus amigos , eu pensava :</t>
  </si>
  <si>
    <t>file://conllu/pt/teddy-1323.conllu#s20_0</t>
  </si>
  <si>
    <t>21</t>
  </si>
  <si>
    <t>&amp;quot;</t>
  </si>
  <si>
    <t>&amp;quot; Tantas pessoas para que tenho de ligar &amp;quot; .</t>
  </si>
  <si>
    <t>file://conllu/pt/teddy-1323.conllu#s21_0</t>
  </si>
  <si>
    <t>22</t>
  </si>
  <si>
    <t>pensar (pensar decidir)</t>
  </si>
  <si>
    <t>Ou então decidia almoçar , mas depois pensava que tinha de tirar a comida e pô-la pô la num em um prato , cortar , mastigar e engolir .</t>
  </si>
  <si>
    <t>file://conllu/pt/teddy-1323.conllu#s22_0</t>
  </si>
  <si>
    <t>24</t>
  </si>
  <si>
    <t>ser</t>
  </si>
  <si>
    <t>Uma das de as coisas que frequentemente escapa na em a discussão sobre a depressão é que sabemos que é ridícula .</t>
  </si>
  <si>
    <t>file://conllu/pt/teddy-1323.conllu#s24_0</t>
  </si>
  <si>
    <t>25</t>
  </si>
  <si>
    <t>ser (ser ridículo)</t>
  </si>
  <si>
    <t>Sabemos que é ridícula enquanto a estamos a viver .</t>
  </si>
  <si>
    <t>file://conllu/pt/teddy-1323.conllu#s25_0</t>
  </si>
  <si>
    <t>26</t>
  </si>
  <si>
    <t>saber</t>
  </si>
  <si>
    <t>Sabemos que a maioria das de as pessoas consegue ouvir as suas mensagens , almoçar e organizar-se organizar se para tomar um duche e sair a porta da de a rua .</t>
  </si>
  <si>
    <t>file://conllu/pt/teddy-1323.conllu#s26_0</t>
  </si>
  <si>
    <t>27</t>
  </si>
  <si>
    <t>Sabemos que isso não é um grande feito e no em o entanto continuamos sob este poder da de a inércia e não conseguimos pensar em nenhuma forma de o contornar .</t>
  </si>
  <si>
    <t>file://conllu/pt/teddy-1323.conllu#s27_0</t>
  </si>
  <si>
    <t>28</t>
  </si>
  <si>
    <t>Então comecei a sentir que fazia cada vez menos , pensava cada vez menos e sentia cada vez menos .</t>
  </si>
  <si>
    <t>file://conllu/pt/teddy-1323.conllu#s28_0</t>
  </si>
  <si>
    <t>29</t>
  </si>
  <si>
    <t>ser (ser espécie)</t>
  </si>
  <si>
    <t>Era uma espécie de nulidade .</t>
  </si>
  <si>
    <t>file://conllu/pt/teddy-1323.conllu#s29_0</t>
  </si>
  <si>
    <t>30</t>
  </si>
  <si>
    <t>E então chegou a ansiedade .</t>
  </si>
  <si>
    <t>file://conllu/pt/teddy-1323.conllu#s30_0</t>
  </si>
  <si>
    <t>31</t>
  </si>
  <si>
    <t>dizer</t>
  </si>
  <si>
    <t>Se alguém me dissesse que eu ia estar deprimido no em o próximo mês , eu diria : &amp;quot; Desde que saiba que termina em novembro , eu aguento &amp;quot; .</t>
  </si>
  <si>
    <t>file://conllu/pt/teddy-1323.conllu#s31_0</t>
  </si>
  <si>
    <t>32</t>
  </si>
  <si>
    <t>disser</t>
  </si>
  <si>
    <t>Mas se me dissessem : &amp;quot; Tens de passar por uma ansiedade grave no em o próximo mês &amp;quot; , eu preferiria cortar os pulsos do de o que passar por isso .</t>
  </si>
  <si>
    <t>file://conllu/pt/teddy-1323.conllu#s32_0</t>
  </si>
  <si>
    <t>33</t>
  </si>
  <si>
    <t>ser (ser sentimento)</t>
  </si>
  <si>
    <t>Era um sentimento permanente como o sentimento que temos quando caminhamos e escorregamos ou tropeçamos e o chão escapa dos de os nossos pés .</t>
  </si>
  <si>
    <t>file://conllu/pt/teddy-1323.conllu#s33_0</t>
  </si>
  <si>
    <t>34</t>
  </si>
  <si>
    <t>durar</t>
  </si>
  <si>
    <t>Mas em vez de durar meio segundo , como é costume , durou seis meses .</t>
  </si>
  <si>
    <t>file://conllu/pt/teddy-1323.conllu#s34_0</t>
  </si>
  <si>
    <t>35</t>
  </si>
  <si>
    <t>ser (ser sensação)</t>
  </si>
  <si>
    <t>É a sensação de ter medo todo o tempo mas sem sequer saber o que se teme .</t>
  </si>
  <si>
    <t>file://conllu/pt/teddy-1323.conllu#s35_0</t>
  </si>
  <si>
    <t>36</t>
  </si>
  <si>
    <t>foi</t>
  </si>
  <si>
    <t>Foi nesse em esse momento que comecei a pensar que era demasiado doloroso estar vivo e que a única razão para não me suicidar era não magoar as outras pessoas .</t>
  </si>
  <si>
    <t>file://conllu/pt/teddy-1323.conllu#s36_0</t>
  </si>
  <si>
    <t>37</t>
  </si>
  <si>
    <t>acordar</t>
  </si>
  <si>
    <t>Finalmente um dia , acordei e pensei que talvez tivesse tido um AVC , porque estava na em a cama completamente paralisado , a olhar para o telefone , a pensar :</t>
  </si>
  <si>
    <t>file://conllu/pt/teddy-1323.conllu#s37_0</t>
  </si>
  <si>
    <t>38</t>
  </si>
  <si>
    <t>dever</t>
  </si>
  <si>
    <t>&amp;quot; Algo está mal e devia pedir ajuda &amp;quot; .</t>
  </si>
  <si>
    <t>file://conllu/pt/teddy-1323.conllu#s38_0</t>
  </si>
  <si>
    <t>39</t>
  </si>
  <si>
    <t>Ma não conseguia mexer o braço , pegar no em o telefone e marcar .</t>
  </si>
  <si>
    <t>file://conllu/pt/teddy-1323.conllu#s39_0</t>
  </si>
  <si>
    <t>40</t>
  </si>
  <si>
    <t>tocar</t>
  </si>
  <si>
    <t>Por fim , depois de quatro horas inteiras , deitado , a olhar para ele , o telefone tocou .</t>
  </si>
  <si>
    <t>file://conllu/pt/teddy-1323.conllu#s40_0</t>
  </si>
  <si>
    <t>41</t>
  </si>
  <si>
    <t>Não sei como , consegui atender .</t>
  </si>
  <si>
    <t>file://conllu/pt/teddy-1323.conllu#s41_0</t>
  </si>
  <si>
    <t>42</t>
  </si>
  <si>
    <t>ser (ser pai)</t>
  </si>
  <si>
    <t>Era o meu pai e eu disse :</t>
  </si>
  <si>
    <t>file://conllu/pt/teddy-1323.conllu#s42_0</t>
  </si>
  <si>
    <t>43</t>
  </si>
  <si>
    <t>estar (estar problema)</t>
  </si>
  <si>
    <t>&amp;quot; Estou com um problema grave .</t>
  </si>
  <si>
    <t>file://conllu/pt/teddy-1323.conllu#s43_0</t>
  </si>
  <si>
    <t>44</t>
  </si>
  <si>
    <t>precisar</t>
  </si>
  <si>
    <t>Precisamos de fazer qualquer coisa . &amp;quot;</t>
  </si>
  <si>
    <t>file://conllu/pt/teddy-1323.conllu#s44_0</t>
  </si>
  <si>
    <t>46</t>
  </si>
  <si>
    <t>Também comecei a dar conta desta de esta questão terrível :</t>
  </si>
  <si>
    <t>file://conllu/pt/teddy-1323.conllu#s46_0</t>
  </si>
  <si>
    <t>47</t>
  </si>
  <si>
    <t>ser (ser pessoa)</t>
  </si>
  <si>
    <t>Se eu não sou aquela pessoa dura que poderia sobreviver a um campo de concentração , então quem sou eu ?</t>
  </si>
  <si>
    <t>file://conllu/pt/teddy-1323.conllu#s47_0</t>
  </si>
  <si>
    <t>48</t>
  </si>
  <si>
    <t>estar</t>
  </si>
  <si>
    <t>Se tenho de tomar medicação , a medicação está a tornar-me tornar me mais &amp;quot;eu &amp;quot; ou a transformar-me transformar me noutra em outra pessoa ?</t>
  </si>
  <si>
    <t>file://conllu/pt/teddy-1323.conllu#s48_0</t>
  </si>
  <si>
    <t>49</t>
  </si>
  <si>
    <t>Como é que me sinto , se me está a transformar noutra em outra pessoa ?</t>
  </si>
  <si>
    <t>file://conllu/pt/teddy-1323.conllu#s49_0</t>
  </si>
  <si>
    <t>50</t>
  </si>
  <si>
    <t>Eu tive duas vantagens na em a minha luta .</t>
  </si>
  <si>
    <t>file://conllu/pt/teddy-1323.conllu#s50_0</t>
  </si>
  <si>
    <t>51</t>
  </si>
  <si>
    <t>primeiro</t>
  </si>
  <si>
    <t>A primeira é que eu sabia que , falando objetivamente , eu tinha uma vida boa , e se conseguisse ficar bem , havia algo no em o final do de o caminho que valia a pena viver .</t>
  </si>
  <si>
    <t>file://conllu/pt/teddy-1323.conllu#s51_0</t>
  </si>
  <si>
    <t>52</t>
  </si>
  <si>
    <t>A outra vantagem é que tinha acesso a um bom tratamento .</t>
  </si>
  <si>
    <t>file://conllu/pt/teddy-1323.conllu#s52_0</t>
  </si>
  <si>
    <t>53</t>
  </si>
  <si>
    <t>melhorar</t>
  </si>
  <si>
    <t>Apesar disso de isso , melhorei e tive uma recaída , melhorei e tive uma recaída , melhorei e tive uma recaída .</t>
  </si>
  <si>
    <t>file://conllu/pt/teddy-1323.conllu#s53_0</t>
  </si>
  <si>
    <t>54</t>
  </si>
  <si>
    <t>compreender</t>
  </si>
  <si>
    <t>Por fim compreendi que teria de ter medicação e terapia para sempre .</t>
  </si>
  <si>
    <t>file://conllu/pt/teddy-1323.conllu#s54_0</t>
  </si>
  <si>
    <t>55</t>
  </si>
  <si>
    <t>pensar</t>
  </si>
  <si>
    <t>E pensei :</t>
  </si>
  <si>
    <t>file://conllu/pt/teddy-1323.conllu#s55_0</t>
  </si>
  <si>
    <t>56</t>
  </si>
  <si>
    <t>ser (ser problema)</t>
  </si>
  <si>
    <t>&amp;quot; Isto é um problema químico ou um problema psicológico ?</t>
  </si>
  <si>
    <t>file://conllu/pt/teddy-1323.conllu#s56_0</t>
  </si>
  <si>
    <t>57</t>
  </si>
  <si>
    <t>necessitar</t>
  </si>
  <si>
    <t>&amp;quot; Necessita duma de uma cura química ou duma de uma cura filosófica ? &amp;quot;</t>
  </si>
  <si>
    <t>file://conllu/pt/teddy-1323.conllu#s57_0</t>
  </si>
  <si>
    <t>58</t>
  </si>
  <si>
    <t>Não consegui descobrir qual era o caso .</t>
  </si>
  <si>
    <t>file://conllu/pt/teddy-1323.conllu#s58_0</t>
  </si>
  <si>
    <t>59</t>
  </si>
  <si>
    <t>Depois compreendi que não temos conhecimentos suficientes em nenhuma destas de estas áreas para explicar as coisas completamente .</t>
  </si>
  <si>
    <t>file://conllu/pt/teddy-1323.conllu#s59_0</t>
  </si>
  <si>
    <t>60</t>
  </si>
  <si>
    <t>A cura química e a cura psicológica ambas têm um papel a desempenhar , e também descobri que a depressão era uma coisa que estava tão enraizada dentro de nós que não havia forma de a separar do de o nosso carácter e personalidade .</t>
  </si>
  <si>
    <t>file://conllu/pt/teddy-1323.conllu#s60_0</t>
  </si>
  <si>
    <t>61</t>
  </si>
  <si>
    <t>dizer (dizer querer)</t>
  </si>
  <si>
    <t>Quero dizer que os tratamentos que temos para a depressão são terríveis .</t>
  </si>
  <si>
    <t>file://conllu/pt/teddy-1323.conllu#s61_0</t>
  </si>
  <si>
    <t>62</t>
  </si>
  <si>
    <t>ser (ser eficaz)</t>
  </si>
  <si>
    <t>Não são muito eficazes .</t>
  </si>
  <si>
    <t>file://conllu/pt/teddy-1323.conllu#s62_0</t>
  </si>
  <si>
    <t>63</t>
  </si>
  <si>
    <t>ser (ser caro)</t>
  </si>
  <si>
    <t>São extremamente caros .</t>
  </si>
  <si>
    <t>file://conllu/pt/teddy-1323.conllu#s63_0</t>
  </si>
  <si>
    <t>64</t>
  </si>
  <si>
    <t>Têm inumeráveis efeitos secundários .</t>
  </si>
  <si>
    <t>file://conllu/pt/teddy-1323.conllu#s64_0</t>
  </si>
  <si>
    <t>65</t>
  </si>
  <si>
    <t>ser (ser desastre)</t>
  </si>
  <si>
    <t>São um desastre .</t>
  </si>
  <si>
    <t>file://conllu/pt/teddy-1323.conllu#s65_0</t>
  </si>
  <si>
    <t>66</t>
  </si>
  <si>
    <t>Mas sinto-me sinto me muito grato de viver hoje e não há 50 anos , quando não havia quase nada a fazer .</t>
  </si>
  <si>
    <t>file://conllu/pt/teddy-1323.conllu#s66_0</t>
  </si>
  <si>
    <t>67</t>
  </si>
  <si>
    <t>esperar</t>
  </si>
  <si>
    <t>Espero que daqui de aqui a 50 anos , as pessoas ouçam falar dos de os meus tratamentos e fiquem horrorizadas que alguém tenha aguentado uma ciência tão primitiva .</t>
  </si>
  <si>
    <t>file://conllu/pt/teddy-1323.conllu#s67_0</t>
  </si>
  <si>
    <t>68</t>
  </si>
  <si>
    <t>ser (ser falha)</t>
  </si>
  <si>
    <t>A depressão é a falha no em o amor .</t>
  </si>
  <si>
    <t>file://conllu/pt/teddy-1323.conllu#s68_0</t>
  </si>
  <si>
    <t>69</t>
  </si>
  <si>
    <t>casado</t>
  </si>
  <si>
    <t>Se estivessem casados com alguém e pensassem : &amp;quot; Se a minha mulher morrer , encontrarei outra &amp;quot; , não seria amor como o concebemos .</t>
  </si>
  <si>
    <t>file://conllu/pt/teddy-1323.conllu#s69_0</t>
  </si>
  <si>
    <t>70</t>
  </si>
  <si>
    <t>existir</t>
  </si>
  <si>
    <t>Não existe amor sem o sentimento de perda .</t>
  </si>
  <si>
    <t>file://conllu/pt/teddy-1323.conllu#s70_0</t>
  </si>
  <si>
    <t>71</t>
  </si>
  <si>
    <t>poder</t>
  </si>
  <si>
    <t>Esse espectro do de o desespero pode ser o motor da de a intimidade .</t>
  </si>
  <si>
    <t>file://conllu/pt/teddy-1323.conllu#s71_0</t>
  </si>
  <si>
    <t>72</t>
  </si>
  <si>
    <t>haver</t>
  </si>
  <si>
    <t>Há três coisas que as pessoas costumam confundir : depressão , mágoa e tristeza .</t>
  </si>
  <si>
    <t>file://conllu/pt/teddy-1323.conllu#s72_0</t>
  </si>
  <si>
    <t>73</t>
  </si>
  <si>
    <t>ser (ser reativo)</t>
  </si>
  <si>
    <t>A mágoa é explicitamente reativa .</t>
  </si>
  <si>
    <t>file://conllu/pt/teddy-1323.conllu#s73_0</t>
  </si>
  <si>
    <t>74</t>
  </si>
  <si>
    <t>Se perdemos alguém e nos em os sentimos muito infelizes , e depois , seis meses mais tarde , ainda estamos tristes , mas começamos a reagir um pouco melhor , provavelmente é mágoa .</t>
  </si>
  <si>
    <t>file://conllu/pt/teddy-1323.conllu#s74_0</t>
  </si>
  <si>
    <t>75</t>
  </si>
  <si>
    <t>acabar</t>
  </si>
  <si>
    <t>Provavelmente acaba por passar sozinha , seja como for .</t>
  </si>
  <si>
    <t>file://conllu/pt/teddy-1323.conllu#s75_0</t>
  </si>
  <si>
    <t>76</t>
  </si>
  <si>
    <t>ser (ser depressão)</t>
  </si>
  <si>
    <t>Se sofremos uma perda catastrófica e nos em os sentimos mal , e seis meses depois não conseguimos reagir nada , provavelmente é uma depressão despoletada pelas por as circunstâncias catastróficas .</t>
  </si>
  <si>
    <t>file://conllu/pt/teddy-1323.conllu#s76_0</t>
  </si>
  <si>
    <t>77</t>
  </si>
  <si>
    <t>A trajetória diz-nos diz nos muito .</t>
  </si>
  <si>
    <t>file://conllu/pt/teddy-1323.conllu#s77_0</t>
  </si>
  <si>
    <t>78</t>
  </si>
  <si>
    <t>ser (ser sentir pensar)</t>
  </si>
  <si>
    <t>As pessoas pensam que a depressão é apenas sentir-se sentir se triste .</t>
  </si>
  <si>
    <t>file://conllu/pt/teddy-1323.conllu#s78_0</t>
  </si>
  <si>
    <t>79</t>
  </si>
  <si>
    <t>ser (ser mais)</t>
  </si>
  <si>
    <t>É muito , muito mais do de o que muita tristeza muito mais do de o que mágoa por uma causa mais leve .</t>
  </si>
  <si>
    <t>file://conllu/pt/teddy-1323.conllu#s79_0</t>
  </si>
  <si>
    <t>80</t>
  </si>
  <si>
    <t>achar</t>
  </si>
  <si>
    <t>Quando me dispus a compreender a depressão e intervir junto de pessoas que tiveram essa experiência , achei que havia pessoas que , aparentemente , à a a primeira vista , estavam com uma depressão relativamente suave mas que , no em o entanto , estavam totalmente incapacitadas .</t>
  </si>
  <si>
    <t>file://conllu/pt/teddy-1323.conllu#s80_0</t>
  </si>
  <si>
    <t>81</t>
  </si>
  <si>
    <t>E havia outras pessoas que , segundo as suas descrições tinham tido uma depressão terrível mas que , no em o entanto , tinham tido uma boa vida nos em os intervalos entre os episódios depressivos .</t>
  </si>
  <si>
    <t>file://conllu/pt/teddy-1323.conllu#s81_0</t>
  </si>
  <si>
    <t>82</t>
  </si>
  <si>
    <t>descobrir</t>
  </si>
  <si>
    <t>E propus-me propus me descobrir o que é que faz com que algumas pessoas sejam mais resistentes que outras pessoas .</t>
  </si>
  <si>
    <t>file://conllu/pt/teddy-1323.conllu#s82_0</t>
  </si>
  <si>
    <t>83</t>
  </si>
  <si>
    <t>ser (ser qual)</t>
  </si>
  <si>
    <t>Quais são os mecanismos que permitem às a as pessoas sobreviver ?</t>
  </si>
  <si>
    <t>file://conllu/pt/teddy-1323.conllu#s83_0</t>
  </si>
  <si>
    <t>84</t>
  </si>
  <si>
    <t>Comecei a entrevistar pessoas , umas atrás de outras , que estavam a sofrer de depressão .</t>
  </si>
  <si>
    <t>file://conllu/pt/teddy-1323.conllu#s84_0</t>
  </si>
  <si>
    <t>85</t>
  </si>
  <si>
    <t>descrever</t>
  </si>
  <si>
    <t>Uma das de as primeiras pessoas que entrevistei descreveu a depressão como uma forma mais lenta de morrer .</t>
  </si>
  <si>
    <t>file://conllu/pt/teddy-1323.conllu#s85_0</t>
  </si>
  <si>
    <t>86</t>
  </si>
  <si>
    <t>ser (ser bom)</t>
  </si>
  <si>
    <t>Foi bom para mim ouvir isso no em o início porque recordou-me recordou me que uma forma lenta de morrer pode levar mesmo à a a morte .</t>
  </si>
  <si>
    <t>file://conllu/pt/teddy-1323.conllu#s86_0</t>
  </si>
  <si>
    <t>87</t>
  </si>
  <si>
    <t>Isto é uma questão grave , é a principal causa de incapacidade em todo o mundo e as pessoas morrem disso de isso todos os dias .</t>
  </si>
  <si>
    <t>file://conllu/pt/teddy-1323.conllu#s87_0</t>
  </si>
  <si>
    <t>88</t>
  </si>
  <si>
    <t>ser (ser amiga)</t>
  </si>
  <si>
    <t>Uma das de as pessoas com quem conversei quando eu estava a tentar compreender isto foi uma grande amiga que eu conhecia há muitos anos .</t>
  </si>
  <si>
    <t>file://conllu/pt/teddy-1323.conllu#s88_0</t>
  </si>
  <si>
    <t>89</t>
  </si>
  <si>
    <t>Tinha tido um episódio psicótico quando era caloira na em a faculdade .</t>
  </si>
  <si>
    <t>file://conllu/pt/teddy-1323.conllu#s89_0</t>
  </si>
  <si>
    <t>90</t>
  </si>
  <si>
    <t>cair</t>
  </si>
  <si>
    <t>Depois caiu numa em uma depressão horrível .</t>
  </si>
  <si>
    <t>file://conllu/pt/teddy-1323.conllu#s90_0</t>
  </si>
  <si>
    <t>91</t>
  </si>
  <si>
    <t>Ela tinha doença bipolar , ou psicose maníaco-depressiva , como era conhecida na em a altura .</t>
  </si>
  <si>
    <t>file://conllu/pt/teddy-1323.conllu#s91_0</t>
  </si>
  <si>
    <t>92</t>
  </si>
  <si>
    <t>Durante muitos anos , teve ótimos resultados com lítio .</t>
  </si>
  <si>
    <t>file://conllu/pt/teddy-1323.conllu#s92_0</t>
  </si>
  <si>
    <t>93</t>
  </si>
  <si>
    <t>retirar</t>
  </si>
  <si>
    <t>Depois retiraram-lhe retiraram lhe o lítio para ver como se saía sem ele , e ela teve outra psicose .</t>
  </si>
  <si>
    <t>file://conllu/pt/teddy-1323.conllu#s93_0</t>
  </si>
  <si>
    <t>94</t>
  </si>
  <si>
    <t>Mergulhar</t>
  </si>
  <si>
    <t>Mergulhou na em a pior depressão que eu já vira .</t>
  </si>
  <si>
    <t>file://conllu/pt/teddy-1323.conllu#s94_0</t>
  </si>
  <si>
    <t>95</t>
  </si>
  <si>
    <t>ficar</t>
  </si>
  <si>
    <t>Ficava sentada no em o apartamento dos de os pais , mais ou menos catatónica , essencialmente sem se mover , dia após dia , após dia .</t>
  </si>
  <si>
    <t>file://conllu/pt/teddy-1323.conllu#s95_0</t>
  </si>
  <si>
    <t>97</t>
  </si>
  <si>
    <t>chamar</t>
  </si>
  <si>
    <t>Ela é poeta e psicoterapeuta , chama-se chama se Maggie Robbins .</t>
  </si>
  <si>
    <t>file://conllu/pt/teddy-1323.conllu#s97_0</t>
  </si>
  <si>
    <t>98</t>
  </si>
  <si>
    <t>Quando a entrevistei , ela disse-me disse me :</t>
  </si>
  <si>
    <t>file://conllu/pt/teddy-1323.conllu#s98_0</t>
  </si>
  <si>
    <t>99</t>
  </si>
  <si>
    <t>&amp;quot; Eu estava a cantar ' Para onde foram todas as flores ? '</t>
  </si>
  <si>
    <t>file://conllu/pt/teddy-1323.conllu#s99_0</t>
  </si>
  <si>
    <t>100</t>
  </si>
  <si>
    <t>repetir</t>
  </si>
  <si>
    <t>&amp;quot; repetia vezes sem conta para ocupar o meu espírito .</t>
  </si>
  <si>
    <t>file://conllu/pt/teddy-1323.conllu#s100_0</t>
  </si>
  <si>
    <t>101</t>
  </si>
  <si>
    <t>cantavar</t>
  </si>
  <si>
    <t>&amp;quot; Cantava para apagar as coisas que a minha cabeça dizia :</t>
  </si>
  <si>
    <t>file://conllu/pt/teddy-1323.conllu#s101_0</t>
  </si>
  <si>
    <t>102</t>
  </si>
  <si>
    <t>tu</t>
  </si>
  <si>
    <t>&amp;quot; ' Tu não és nada .</t>
  </si>
  <si>
    <t>file://conllu/pt/teddy-1323.conllu#s102_0</t>
  </si>
  <si>
    <t>103</t>
  </si>
  <si>
    <t>tr</t>
  </si>
  <si>
    <t>Tu não és ninguém .</t>
  </si>
  <si>
    <t>file://conllu/pt/teddy-1323.conllu#s103_0</t>
  </si>
  <si>
    <t>104</t>
  </si>
  <si>
    <t>viver</t>
  </si>
  <si>
    <t>&amp;quot; Nem sequer mereces viver .'</t>
  </si>
  <si>
    <t>file://conllu/pt/teddy-1323.conllu#s104_0</t>
  </si>
  <si>
    <t>105</t>
  </si>
  <si>
    <t>Foi quando comecei a pensar em matar-me matar me . &amp;quot; Numa Em uma depressão , não pensamos que colocamos um véu cinzento e estamos a ver o mundo através da de a neblina de um mau humor .</t>
  </si>
  <si>
    <t>file://conllu/pt/teddy-1323.conllu#s105_0</t>
  </si>
  <si>
    <t>106</t>
  </si>
  <si>
    <t>Achamos que retiraram o véu , o véu da de a felicidade , e que agora é que estamos a ver verdadeiramente .</t>
  </si>
  <si>
    <t>file://conllu/pt/teddy-1323.conllu#s106_0</t>
  </si>
  <si>
    <t>107</t>
  </si>
  <si>
    <t>ser (ser fácil)</t>
  </si>
  <si>
    <t>É mais fácil ajudar esquizofrénicos que sentem que há algo estranho dentro deles de eles que precisa ser exorcizado .</t>
  </si>
  <si>
    <t>file://conllu/pt/teddy-1323.conllu#s107_0</t>
  </si>
  <si>
    <t>108</t>
  </si>
  <si>
    <t>ser (ser difícil)</t>
  </si>
  <si>
    <t>Mas é difícil com deprimidos , porque acreditamos que estamos a ver a verdade .</t>
  </si>
  <si>
    <t>file://conllu/pt/teddy-1323.conllu#s108_0</t>
  </si>
  <si>
    <t>109</t>
  </si>
  <si>
    <t>mente</t>
  </si>
  <si>
    <t>Mas a verdade mente .</t>
  </si>
  <si>
    <t>file://conllu/pt/teddy-1323.conllu#s109_0</t>
  </si>
  <si>
    <t>110</t>
  </si>
  <si>
    <t>Fiquei obcecado com esta frase :</t>
  </si>
  <si>
    <t>file://conllu/pt/teddy-1323.conllu#s110_0</t>
  </si>
  <si>
    <t>111</t>
  </si>
  <si>
    <t>&amp;quot; Mas a verdade mente . &amp;quot; Descobri , à a a medida que falava com pessoas deprimidas , que elas têm muitas perceções delirantes .</t>
  </si>
  <si>
    <t>file://conllu/pt/teddy-1323.conllu#s111_0</t>
  </si>
  <si>
    <t>112</t>
  </si>
  <si>
    <t>As pessoas dizem : &amp;quot; Ninguém me ama &amp;quot; .</t>
  </si>
  <si>
    <t>file://conllu/pt/teddy-1323.conllu#s112_0</t>
  </si>
  <si>
    <t>113</t>
  </si>
  <si>
    <t>E nós dizemos : &amp;quot; Eu amo-te amo te , a tua mulher ama-te ama te , a tua mãe ama-te ama te . &amp;quot; Podemos responder a essa muito rapidamente , pelo por o menos à a a maioria das de as pessoas .</t>
  </si>
  <si>
    <t>file://conllu/pt/teddy-1323.conllu#s113_0</t>
  </si>
  <si>
    <t>114</t>
  </si>
  <si>
    <t>Façar</t>
  </si>
  <si>
    <t>Mas as pessoas que estão deprimidas também dirão : &amp;quot; Façamos o que fizermos , acabamos todos por morrer . &amp;quot;</t>
  </si>
  <si>
    <t>file://conllu/pt/teddy-1323.conllu#s114_0</t>
  </si>
  <si>
    <t>115</t>
  </si>
  <si>
    <t>Ou dirão : &amp;quot; Não pode haver uma verdadeira comunhão entre dois seres humanos .</t>
  </si>
  <si>
    <t>file://conllu/pt/teddy-1323.conllu#s115_0</t>
  </si>
  <si>
    <t>116</t>
  </si>
  <si>
    <t>preso</t>
  </si>
  <si>
    <t>&amp;quot; Cada um de nós está preso no em o seu próprio corpo . &amp;quot;</t>
  </si>
  <si>
    <t>file://conllu/pt/teddy-1323.conllu#s116_0</t>
  </si>
  <si>
    <t>119</t>
  </si>
  <si>
    <t>convidar</t>
  </si>
  <si>
    <t>Houve um estudo de que eu gostei especialmente em que pessoas deprimidas e pessoas não-deprimidas foram convidadas a jogar um jogo vídeo durante uma hora .</t>
  </si>
  <si>
    <t>file://conllu/pt/teddy-1323.conllu#s119_0</t>
  </si>
  <si>
    <t>121</t>
  </si>
  <si>
    <t>ser (ser preciso)</t>
  </si>
  <si>
    <t>grupo de depressivos , geralmente , era preciso com uma margem de erro de cerca de 10 % .</t>
  </si>
  <si>
    <t>file://conllu/pt/teddy-1323.conllu#s121_0</t>
  </si>
  <si>
    <t>122</t>
  </si>
  <si>
    <t>avaliar</t>
  </si>
  <si>
    <t>As pessoas não-deprimidas avaliaram os monstrinhos em cerca de 15 a 20 vezes mais ... ... do de o que tinham matado na em a realidade .</t>
  </si>
  <si>
    <t>file://conllu/pt/teddy-1323.conllu#s122_0</t>
  </si>
  <si>
    <t>123</t>
  </si>
  <si>
    <t>escrever (escrever decidir)</t>
  </si>
  <si>
    <t>Quando eu decidi escrever sobre a minha depressão muita gente disse que devia ser muito difícil expor-me expor me assim , para que toda a gente soubesse .</t>
  </si>
  <si>
    <t>file://conllu/pt/teddy-1323.conllu#s123_0</t>
  </si>
  <si>
    <t>124</t>
  </si>
  <si>
    <t>falar (falar dizer)</t>
  </si>
  <si>
    <t>Diziam : &amp;quot; As pessoas falam contigo de forma diferente ? &amp;quot; E eu : &amp;quot; Sim , falam comigo com mim de forma diferente .</t>
  </si>
  <si>
    <t>file://conllu/pt/teddy-1323.conllu#s124_0</t>
  </si>
  <si>
    <t>125</t>
  </si>
  <si>
    <t>falar</t>
  </si>
  <si>
    <t>Falam comigo com mim de forma diferente quando começam a contar-me contar me as suas experiências , ou a experiência duma de uma irmã , ou a experiência dum de um amigo .</t>
  </si>
  <si>
    <t>file://conllu/pt/teddy-1323.conllu#s125_0</t>
  </si>
  <si>
    <t>126</t>
  </si>
  <si>
    <t>ser (ser diferente)</t>
  </si>
  <si>
    <t>As coisas são diferentes , porque agora eu sei que a depressão é um segredo de família que toda a gente tem .</t>
  </si>
  <si>
    <t>file://conllu/pt/teddy-1323.conllu#s126_0</t>
  </si>
  <si>
    <t>127</t>
  </si>
  <si>
    <t>Há uns anos , fui a uma conferência .</t>
  </si>
  <si>
    <t>file://conllu/pt/teddy-1323.conllu#s127_0</t>
  </si>
  <si>
    <t>129</t>
  </si>
  <si>
    <t>&amp;quot; Eu sofro de depressão e sinto-me sinto me um pouco envergonhada com isso .</t>
  </si>
  <si>
    <t>file://conllu/pt/teddy-1323.conllu#s129_0</t>
  </si>
  <si>
    <t>130</t>
  </si>
  <si>
    <t>tomar</t>
  </si>
  <si>
    <t>&amp;quot; Mas tenho tomado este medicamento , &amp;quot; e só queria perguntar-lhe perguntar lhe o que é que acha ? &amp;quot; Fiz o melhor que pude para dar-lhe dar lhe conselhos .</t>
  </si>
  <si>
    <t>file://conllu/pt/teddy-1323.conllu#s130_0</t>
  </si>
  <si>
    <t>131</t>
  </si>
  <si>
    <t>Depois ela disse :</t>
  </si>
  <si>
    <t>file://conllu/pt/teddy-1323.conllu#s131_0</t>
  </si>
  <si>
    <t>132</t>
  </si>
  <si>
    <t>entender</t>
  </si>
  <si>
    <t>&amp;quot; Sabe , o meu marido nunca entenderia isto .</t>
  </si>
  <si>
    <t>file://conllu/pt/teddy-1323.conllu#s132_0</t>
  </si>
  <si>
    <t>133</t>
  </si>
  <si>
    <t>ser (ser tipo)</t>
  </si>
  <si>
    <t>&amp;quot; Ele é o tipo de pessoa para quem isto não faria qualquer sentido , &amp;quot; Portanto , isto fica entre nós . &amp;quot; E eu disse : &amp;quot; Sim , tudo bem . &amp;quot;</t>
  </si>
  <si>
    <t>file://conllu/pt/teddy-1323.conllu#s133_0</t>
  </si>
  <si>
    <t>135</t>
  </si>
  <si>
    <t>Estou a tomar uns medicamentos e gostava de saber o que acha . &amp;quot; Andavam a esconder a mesma medicação em dois lugares diferentes , no em o mesmo quarto .</t>
  </si>
  <si>
    <t>file://conllu/pt/teddy-1323.conllu#s135_0</t>
  </si>
  <si>
    <t>136</t>
  </si>
  <si>
    <t>Eu disse que achava que a comunicação dentro do de o casamento podia estar a provocar alguns dos de os problemas deles de eles .</t>
  </si>
  <si>
    <t>file://conllu/pt/teddy-1323.conllu#s136_0</t>
  </si>
  <si>
    <t>137</t>
  </si>
  <si>
    <t>Mas também fiquei impressionado pela por a natureza pesada de um tal segredo mútuo .</t>
  </si>
  <si>
    <t>file://conllu/pt/teddy-1323.conllu#s137_0</t>
  </si>
  <si>
    <t>138</t>
  </si>
  <si>
    <t>ser (ser cansativo)</t>
  </si>
  <si>
    <t>A depressão é tão cansativa .</t>
  </si>
  <si>
    <t>file://conllu/pt/teddy-1323.conllu#s138_0</t>
  </si>
  <si>
    <t>139</t>
  </si>
  <si>
    <t>Absorvir</t>
  </si>
  <si>
    <t>Absorve tanto do de o nosso tempo e energia .</t>
  </si>
  <si>
    <t>file://conllu/pt/teddy-1323.conllu#s139_0</t>
  </si>
  <si>
    <t>140</t>
  </si>
  <si>
    <t>piorar</t>
  </si>
  <si>
    <t>silêncio sobre isso só piora a depressão .</t>
  </si>
  <si>
    <t>file://conllu/pt/teddy-1323.conllu#s140_0</t>
  </si>
  <si>
    <t>141</t>
  </si>
  <si>
    <t>Então comecei a pensar em todas as formas que as pessoas usam para melhorar .</t>
  </si>
  <si>
    <t>file://conllu/pt/teddy-1323.conllu#s141_0</t>
  </si>
  <si>
    <t>142</t>
  </si>
  <si>
    <t>Comecei como um médico conservador .</t>
  </si>
  <si>
    <t>file://conllu/pt/teddy-1323.conllu#s142_0</t>
  </si>
  <si>
    <t>143</t>
  </si>
  <si>
    <t>pensar (pensar saber)</t>
  </si>
  <si>
    <t>Pensei que havia alguns tipos de terapia que resultavam , sabia-se sabia se quais eram .</t>
  </si>
  <si>
    <t>file://conllu/pt/teddy-1323.conllu#s143_0</t>
  </si>
  <si>
    <t>144</t>
  </si>
  <si>
    <t>Havia medicação , Havia algumas psicoterapias , possivelmente havia tratamentos electroconvulsivos , e tudo o resto era absurdo .</t>
  </si>
  <si>
    <t>file://conllu/pt/teddy-1323.conllu#s144_0</t>
  </si>
  <si>
    <t>145</t>
  </si>
  <si>
    <t>Mas então descobri uma coisa .</t>
  </si>
  <si>
    <t>file://conllu/pt/teddy-1323.conllu#s145_0</t>
  </si>
  <si>
    <t>146</t>
  </si>
  <si>
    <t>Se temos cancro no em o cérebro , e dizemos que fazer o pino , durante 20 minutos , todas as manhãs , nos em os faz sentir melhor , podemos sentir-nos sentir nos melhor , mas continuamos com cancro no em o cérebro .</t>
  </si>
  <si>
    <t>file://conllu/pt/teddy-1323.conllu#s146_0</t>
  </si>
  <si>
    <t>147</t>
  </si>
  <si>
    <t>Provavelmente vamos morrer disso de isso .</t>
  </si>
  <si>
    <t>file://conllu/pt/teddy-1323.conllu#s147_0</t>
  </si>
  <si>
    <t>148</t>
  </si>
  <si>
    <t>Mas se temos uma depressão , e achamos que fazer o pino , durante 20 minutos todos os dias , nos em os faz sentir melhor , então funcionou .</t>
  </si>
  <si>
    <t>file://conllu/pt/teddy-1323.conllu#s148_0</t>
  </si>
  <si>
    <t>149</t>
  </si>
  <si>
    <t>ser (ser doença)</t>
  </si>
  <si>
    <t>Porque a depressão é uma doença de como nos em os sentimos .</t>
  </si>
  <si>
    <t>file://conllu/pt/teddy-1323.conllu#s149_0</t>
  </si>
  <si>
    <t>150</t>
  </si>
  <si>
    <t>Se nos em os sentimos melhor , é porque deixamos de estar deprimidos .</t>
  </si>
  <si>
    <t>file://conllu/pt/teddy-1323.conllu#s150_0</t>
  </si>
  <si>
    <t>151</t>
  </si>
  <si>
    <t>tornar</t>
  </si>
  <si>
    <t>Então tornei-me tornei me muito mais tolerante quanto ao a o vasto mundo dos de os tratamentos alternativos .</t>
  </si>
  <si>
    <t>file://conllu/pt/teddy-1323.conllu#s151_0</t>
  </si>
  <si>
    <t>152</t>
  </si>
  <si>
    <t>receber</t>
  </si>
  <si>
    <t>Recebo centenas de cartas de pessoas que escrevem a contar-me contar me o que resultou com elas .</t>
  </si>
  <si>
    <t>file://conllu/pt/teddy-1323.conllu#s152_0</t>
  </si>
  <si>
    <t>153</t>
  </si>
  <si>
    <t>perguntar</t>
  </si>
  <si>
    <t>Ainda hoje me perguntaram nos em os bastidores sobre meditação .</t>
  </si>
  <si>
    <t>file://conllu/pt/teddy-1323.conllu#s153_0</t>
  </si>
  <si>
    <t>154</t>
  </si>
  <si>
    <t>tentar</t>
  </si>
  <si>
    <t>De todas as cartas que recebi a minha preferida é de uma mulher que disse que tinha tentado terapia , tinha tentado medicação , tinha tentado quase tudo .</t>
  </si>
  <si>
    <t>file://conllu/pt/teddy-1323.conllu#s154_0</t>
  </si>
  <si>
    <t>155</t>
  </si>
  <si>
    <t>querer (querer encontrar)</t>
  </si>
  <si>
    <t>Tinha encontrado uma solução e queria que eu contasse a toda gente .</t>
  </si>
  <si>
    <t>file://conllu/pt/teddy-1323.conllu#s155_0</t>
  </si>
  <si>
    <t>156</t>
  </si>
  <si>
    <t>fazer</t>
  </si>
  <si>
    <t>Era fazer pequenos objetos de fios .</t>
  </si>
  <si>
    <t>file://conllu/pt/teddy-1323.conllu#s156_0</t>
  </si>
  <si>
    <t>157</t>
  </si>
  <si>
    <t>mandar</t>
  </si>
  <si>
    <t>Ela mandou-me mandou me uns quantos .</t>
  </si>
  <si>
    <t>file://conllu/pt/teddy-1323.conllu#s157_0</t>
  </si>
  <si>
    <t>158</t>
  </si>
  <si>
    <t>Mas não estou a usá-los usá los agora .</t>
  </si>
  <si>
    <t>file://conllu/pt/teddy-1323.conllu#s158_0</t>
  </si>
  <si>
    <t>161</t>
  </si>
  <si>
    <t>passar</t>
  </si>
  <si>
    <t>Passei por um exorcismo tribal no em o Senegal que envolvia muito sangue de carneiro e que eu não vou pormenorizar agora .</t>
  </si>
  <si>
    <t>file://conllu/pt/teddy-1323.conllu#s161_0</t>
  </si>
  <si>
    <t>162</t>
  </si>
  <si>
    <t>estiver (estiver Ruanda)</t>
  </si>
  <si>
    <t>Anos depois estive no em o Ruanda a trabalhar num em um projeto diferente , e descrevi a minha experiência a uma pessoa que disse :</t>
  </si>
  <si>
    <t>file://conllu/pt/teddy-1323.conllu#s162_0</t>
  </si>
  <si>
    <t>163</t>
  </si>
  <si>
    <t>Sabes</t>
  </si>
  <si>
    <t>&amp;quot; Sabes , isso foi na em a África Ocidental .</t>
  </si>
  <si>
    <t>file://conllu/pt/teddy-1323.conllu#s163_0</t>
  </si>
  <si>
    <t>164</t>
  </si>
  <si>
    <t>estar (estar África)</t>
  </si>
  <si>
    <t>Nós estamos na em a África Oriental .</t>
  </si>
  <si>
    <t>file://conllu/pt/teddy-1323.conllu#s164_0</t>
  </si>
  <si>
    <t>165</t>
  </si>
  <si>
    <t>&amp;quot; Os nossos rituais são diferentes .</t>
  </si>
  <si>
    <t>file://conllu/pt/teddy-1323.conllu#s165_0</t>
  </si>
  <si>
    <t>166</t>
  </si>
  <si>
    <t>&amp;quot; Mas temos rituais que têm algo em comum com o que descreves . &amp;quot;</t>
  </si>
  <si>
    <t>file://conllu/pt/teddy-1323.conllu#s166_0</t>
  </si>
  <si>
    <t>167</t>
  </si>
  <si>
    <t>E eu : &amp;quot; Oh . &amp;quot; E ele disse : &amp;quot; Sim , mas tivemos problemas com os trabalhadores ocidentais de saúde mental , &amp;quot; especialmente aqueles que vieram depois do de o genocídio . &amp;quot;</t>
  </si>
  <si>
    <t>file://conllu/pt/teddy-1323.conllu#s167_0</t>
  </si>
  <si>
    <t>168</t>
  </si>
  <si>
    <t>E eu disse : &amp;quot; Que tipo de problema tiveram ? &amp;quot;</t>
  </si>
  <si>
    <t>file://conllu/pt/teddy-1323.conllu#s168_0</t>
  </si>
  <si>
    <t>169</t>
  </si>
  <si>
    <t>E ele disse :</t>
  </si>
  <si>
    <t>file://conllu/pt/teddy-1323.conllu#s169_0</t>
  </si>
  <si>
    <t>170</t>
  </si>
  <si>
    <t>&amp;quot; Eles faziam uma coisa bizarra .</t>
  </si>
  <si>
    <t>file://conllu/pt/teddy-1323.conllu#s170_0</t>
  </si>
  <si>
    <t>171</t>
  </si>
  <si>
    <t>levar</t>
  </si>
  <si>
    <t>&amp;quot; Não levavam as pessoas para o sol &amp;quot; onde nos em os começamos a sentir melhor .</t>
  </si>
  <si>
    <t>file://conllu/pt/teddy-1323.conllu#s171_0</t>
  </si>
  <si>
    <t>172</t>
  </si>
  <si>
    <t>usar</t>
  </si>
  <si>
    <t>&amp;quot; Não usavam tambores nem música para fazer circular o sangue .</t>
  </si>
  <si>
    <t>file://conllu/pt/teddy-1323.conllu#s172_0</t>
  </si>
  <si>
    <t>173</t>
  </si>
  <si>
    <t>envolver</t>
  </si>
  <si>
    <t>&amp;quot; Não envolviam a comunidade .</t>
  </si>
  <si>
    <t>file://conllu/pt/teddy-1323.conllu#s173_0</t>
  </si>
  <si>
    <t>174</t>
  </si>
  <si>
    <t>exteriorizar</t>
  </si>
  <si>
    <t>&amp;quot; Não exteriorizavam a depressão como um espírito invasivo .</t>
  </si>
  <si>
    <t>file://conllu/pt/teddy-1323.conllu#s174_0</t>
  </si>
  <si>
    <t>175</t>
  </si>
  <si>
    <t>&amp;quot; Em vez disso de isso , levavam as pessoas &amp;quot; uma de cada vez para salas sujas &amp;quot; e elas tinham de falar durante uma hora &amp;quot; sobre as coisas más que lhes tinham acontecido . &amp;quot; ( Aplausos )</t>
  </si>
  <si>
    <t>file://conllu/pt/teddy-1323.conllu#s175_0</t>
  </si>
  <si>
    <t>176</t>
  </si>
  <si>
    <t>E disse :</t>
  </si>
  <si>
    <t>file://conllu/pt/teddy-1323.conllu#s176_0</t>
  </si>
  <si>
    <t>177</t>
  </si>
  <si>
    <t>&amp;quot; Tivemos que lhes pedir para saírem do de o país . &amp;quot; Agora , no em o outro extremo dos de os tratamentos alternativos , vou falar sobre Frank Russakoff .</t>
  </si>
  <si>
    <t>file://conllu/pt/teddy-1323.conllu#s177_0</t>
  </si>
  <si>
    <t>178</t>
  </si>
  <si>
    <t>Frank Russakoff tinha a pior depressão que eu talvez já tenha visto num em um homem .</t>
  </si>
  <si>
    <t>file://conllu/pt/teddy-1323.conllu#s178_0</t>
  </si>
  <si>
    <t>179</t>
  </si>
  <si>
    <t>estar (estar deprimido)</t>
  </si>
  <si>
    <t>Ele estava constantemente deprimido , quando o conheci , numa em uma altura em que fazia um tratamento de choques elétricos todos os meses .</t>
  </si>
  <si>
    <t>file://conllu/pt/teddy-1323.conllu#s179_0</t>
  </si>
  <si>
    <t>180</t>
  </si>
  <si>
    <t>Ficava meio desorientado durante uma semana .</t>
  </si>
  <si>
    <t>file://conllu/pt/teddy-1323.conllu#s180_0</t>
  </si>
  <si>
    <t>181</t>
  </si>
  <si>
    <t>Depois , sentia-se sentia se bem durante uma semana .</t>
  </si>
  <si>
    <t>file://conllu/pt/teddy-1323.conllu#s181_0</t>
  </si>
  <si>
    <t>182</t>
  </si>
  <si>
    <t>Depois , começava a piorar e fazia outro tratamento de eletrochoques .</t>
  </si>
  <si>
    <t>file://conllu/pt/teddy-1323.conllu#s182_0</t>
  </si>
  <si>
    <t>183</t>
  </si>
  <si>
    <t>Quando o conheci , disse-me disse me : &amp;quot; É insuportável passar as semanas assim .</t>
  </si>
  <si>
    <t>file://conllu/pt/teddy-1323.conllu#s183_0</t>
  </si>
  <si>
    <t>184</t>
  </si>
  <si>
    <t>&amp;quot; Não posso continuar neste em este caminho .</t>
  </si>
  <si>
    <t>file://conllu/pt/teddy-1323.conllu#s184_0</t>
  </si>
  <si>
    <t>185</t>
  </si>
  <si>
    <t>&amp;quot; Acho que descobri como acabar com isto se não melhorar .</t>
  </si>
  <si>
    <t>file://conllu/pt/teddy-1323.conllu#s185_0</t>
  </si>
  <si>
    <t>186</t>
  </si>
  <si>
    <t>ouvi</t>
  </si>
  <si>
    <t>&amp;quot; Ouvi falar de um protocolo no em o Mass General &amp;quot; para um procedimento chamado cingulotomia &amp;quot; que é uma cirurgia ao a o cérebro , &amp;quot; e acho que vou tentar . &amp;quot; Lembro-me Lembro me de ter ficado espantado por pensar que uma pessoa que claramente tinha tido tantas experiências más com tantos tratamentos diferentes ainda tinha algures dentro dela de ela otimismo suficiente para tentar mais um .</t>
  </si>
  <si>
    <t>file://conllu/pt/teddy-1323.conllu#s186_0</t>
  </si>
  <si>
    <t>187</t>
  </si>
  <si>
    <t>Ele fez a cingulotomia que correu incrivelmente bem .</t>
  </si>
  <si>
    <t>file://conllu/pt/teddy-1323.conllu#s187_0</t>
  </si>
  <si>
    <t>188</t>
  </si>
  <si>
    <t>ser (ser amigo)</t>
  </si>
  <si>
    <t>Ele agora é um amigo meu .</t>
  </si>
  <si>
    <t>file://conllu/pt/teddy-1323.conllu#s188_0</t>
  </si>
  <si>
    <t>189</t>
  </si>
  <si>
    <t>Tem uma esposa adorável e dois filhos lindos .</t>
  </si>
  <si>
    <t>file://conllu/pt/teddy-1323.conllu#s189_0</t>
  </si>
  <si>
    <t>191</t>
  </si>
  <si>
    <t>&amp;quot; meu pai mandou-me mandou me dois presentes este ano , &amp;quot; primeiro foi uma estante motorizada para CDs da de a The Sharper Image &amp;quot; de que eu não precisava .</t>
  </si>
  <si>
    <t>file://conllu/pt/teddy-1323.conllu#s191_0</t>
  </si>
  <si>
    <t>192</t>
  </si>
  <si>
    <t>Ofereceu-mar</t>
  </si>
  <si>
    <t>&amp;quot; Ofereceu-ma para comemorar eu estar a viver independente e ter um trabalho que eu adorava .</t>
  </si>
  <si>
    <t>file://conllu/pt/teddy-1323.conllu#s192_0</t>
  </si>
  <si>
    <t>193</t>
  </si>
  <si>
    <t>ser (ser retrato)</t>
  </si>
  <si>
    <t>outro presente foi um retrato da de a minha avó que se suicidou .</t>
  </si>
  <si>
    <t>file://conllu/pt/teddy-1323.conllu#s193_0</t>
  </si>
  <si>
    <t>194</t>
  </si>
  <si>
    <t>Quando o desembrulhei , comecei a chorar .</t>
  </si>
  <si>
    <t>file://conllu/pt/teddy-1323.conllu#s194_0</t>
  </si>
  <si>
    <t>195</t>
  </si>
  <si>
    <t>aproximar</t>
  </si>
  <si>
    <t>A minha mãe aproximou-se aproximou se e disse :</t>
  </si>
  <si>
    <t>file://conllu/pt/teddy-1323.conllu#s195_0</t>
  </si>
  <si>
    <t>196</t>
  </si>
  <si>
    <t>chorar</t>
  </si>
  <si>
    <t>' Estás a chorar por causa dum de um familiar que nunca conheceste ? '</t>
  </si>
  <si>
    <t>file://conllu/pt/teddy-1323.conllu#s196_0</t>
  </si>
  <si>
    <t>197</t>
  </si>
  <si>
    <t>responder</t>
  </si>
  <si>
    <t>E eu respondi : ' Ela tinha a mesma doença que eu ' .</t>
  </si>
  <si>
    <t>file://conllu/pt/teddy-1323.conllu#s197_0</t>
  </si>
  <si>
    <t>198</t>
  </si>
  <si>
    <t>escrever (escrever chorar)</t>
  </si>
  <si>
    <t>Estou a chorar agora enquanto te escrevo .</t>
  </si>
  <si>
    <t>file://conllu/pt/teddy-1323.conllu#s198_0</t>
  </si>
  <si>
    <t>199</t>
  </si>
  <si>
    <t>estar (estar triste)</t>
  </si>
  <si>
    <t>Não é que esteja triste , mas fico sentimental .</t>
  </si>
  <si>
    <t>file://conllu/pt/teddy-1323.conllu#s199_0</t>
  </si>
  <si>
    <t>200</t>
  </si>
  <si>
    <t>Talvez porque podia ter-me ter me matado mas os meus pais impediram-me impediram me , bem como os médicos e eu fiz a cirurgia .</t>
  </si>
  <si>
    <t>file://conllu/pt/teddy-1323.conllu#s200_0</t>
  </si>
  <si>
    <t>201</t>
  </si>
  <si>
    <t>grato</t>
  </si>
  <si>
    <t>Estou vivo e sinto-me sinto me grato .</t>
  </si>
  <si>
    <t>file://conllu/pt/teddy-1323.conllu#s201_0</t>
  </si>
  <si>
    <t>202</t>
  </si>
  <si>
    <t>Nós vivemos na em a altura certa , apesar de nem sempre nos em os parecer isso . &amp;quot; Fiquei surpreendido pelo por o facto de que a depressão é geralmente entendida como uma coisa moderna da de a classe média , ocidental .</t>
  </si>
  <si>
    <t>file://conllu/pt/teddy-1323.conllu#s202_0</t>
  </si>
  <si>
    <t>203</t>
  </si>
  <si>
    <t>investigar</t>
  </si>
  <si>
    <t>Fui investigar o que acontecia numa em uma série de outros contextos .</t>
  </si>
  <si>
    <t>file://conllu/pt/teddy-1323.conllu#s203_0</t>
  </si>
  <si>
    <t>204</t>
  </si>
  <si>
    <t>Uma das de as coisas que mais me interessava era a depressão entre os indigentes .</t>
  </si>
  <si>
    <t>file://conllu/pt/teddy-1323.conllu#s204_0</t>
  </si>
  <si>
    <t>205</t>
  </si>
  <si>
    <t>Tentei indagar o que é que se fazia pelas por as pessoas pobres com depressão .</t>
  </si>
  <si>
    <t>file://conllu/pt/teddy-1323.conllu#s205_0</t>
  </si>
  <si>
    <t>206</t>
  </si>
  <si>
    <t>Descobri que as pessoas pobres em norma não são tratadas de depressão .</t>
  </si>
  <si>
    <t>file://conllu/pt/teddy-1323.conllu#s206_0</t>
  </si>
  <si>
    <t>207</t>
  </si>
  <si>
    <t>ser (ser resultado)</t>
  </si>
  <si>
    <t>A depressão é o resultado duma de uma vulnerabilidade genética , que presumivelmente está distribuída por toda a população .</t>
  </si>
  <si>
    <t>file://conllu/pt/teddy-1323.conllu#s207_0</t>
  </si>
  <si>
    <t>208</t>
  </si>
  <si>
    <t>ser (ser grave)</t>
  </si>
  <si>
    <t>As circunstâncias que a provocam são provavelmente mais graves em pessoas que são pobres .</t>
  </si>
  <si>
    <t>file://conllu/pt/teddy-1323.conllu#s208_0</t>
  </si>
  <si>
    <t>209</t>
  </si>
  <si>
    <t>Porque é que?</t>
  </si>
  <si>
    <t>Mas acontece que , se temos uma vida boa , mas sentimo-nos sentimo nos mal o tempo todo , pensamos : &amp;quot; Porque é que me sinto assim ?</t>
  </si>
  <si>
    <t>file://conllu/pt/teddy-1323.conllu#s209_0</t>
  </si>
  <si>
    <t>210</t>
  </si>
  <si>
    <t>&amp;quot; Devo ter uma depressão . &amp;quot;</t>
  </si>
  <si>
    <t>file://conllu/pt/teddy-1323.conllu#s210_0</t>
  </si>
  <si>
    <t>211</t>
  </si>
  <si>
    <t>procurar</t>
  </si>
  <si>
    <t>E procuramos um tratamento .</t>
  </si>
  <si>
    <t>file://conllu/pt/teddy-1323.conllu#s211_0</t>
  </si>
  <si>
    <t>212</t>
  </si>
  <si>
    <t>Mas se temos uma vida horrível , e nos em os sentimos mal o tempo todo , comparamos a forma como nos em os sentimos com a nossa vida , e não ocorre pensar :</t>
  </si>
  <si>
    <t>file://conllu/pt/teddy-1323.conllu#s212_0</t>
  </si>
  <si>
    <t>213</t>
  </si>
  <si>
    <t>&amp;quot; Talvez haja um tratamento . &amp;quot;</t>
  </si>
  <si>
    <t>file://conllu/pt/teddy-1323.conllu#s213_0</t>
  </si>
  <si>
    <t>214</t>
  </si>
  <si>
    <t>Assim , temos neste em este país uma epidemia de depressão nas em as pessoas pobres que não está a ser detetada nem a ser tratada , nem a ser alvo de preocupações .</t>
  </si>
  <si>
    <t>file://conllu/pt/teddy-1323.conllu#s214_0</t>
  </si>
  <si>
    <t>215</t>
  </si>
  <si>
    <t>ser (ser tragédia)</t>
  </si>
  <si>
    <t>É uma tragédia de grande escala .</t>
  </si>
  <si>
    <t>file://conllu/pt/teddy-1323.conllu#s215_0</t>
  </si>
  <si>
    <t>216</t>
  </si>
  <si>
    <t>Encontrar</t>
  </si>
  <si>
    <t>Encontrei uma académica que estava a fazer um projeto de investigação nos em os bairros de lata em volta de D.C .</t>
  </si>
  <si>
    <t>file://conllu/pt/teddy-1323.conllu#s216_0</t>
  </si>
  <si>
    <t>217</t>
  </si>
  <si>
    <t>escolher</t>
  </si>
  <si>
    <t>Entre as mulheres que apareciam com outros problemas de saúde ela escolhia as que tinham depressão e submetia-as submetia as a um protocolo experimental de seis meses .</t>
  </si>
  <si>
    <t>file://conllu/pt/teddy-1323.conllu#s217_0</t>
  </si>
  <si>
    <t>219</t>
  </si>
  <si>
    <t>&amp;quot; Eu tinha trabalho , mas tive de o deixar &amp;quot; porque não conseguia sair de casa .</t>
  </si>
  <si>
    <t>file://conllu/pt/teddy-1323.conllu#s219_0</t>
  </si>
  <si>
    <t>220</t>
  </si>
  <si>
    <t>&amp;quot; Não tinha nada para dizer aos a os meus filhos .</t>
  </si>
  <si>
    <t>file://conllu/pt/teddy-1323.conllu#s220_0</t>
  </si>
  <si>
    <t>221</t>
  </si>
  <si>
    <t>&amp;quot; De manhã , mal podia esperar que eles saíssem , &amp;quot; para voltar para a cama e tapar a cabeça com os cobertores .</t>
  </si>
  <si>
    <t>file://conllu/pt/teddy-1323.conllu#s221_0</t>
  </si>
  <si>
    <t>222</t>
  </si>
  <si>
    <t>&amp;quot; Às A as três horas , quando eles voltam a casa , &amp;quot; chegam tão depressa .</t>
  </si>
  <si>
    <t>file://conllu/pt/teddy-1323.conllu#s222_0</t>
  </si>
  <si>
    <t>223</t>
  </si>
  <si>
    <t>&amp;quot; Tenho tomado um monte de Tylenol , &amp;quot; tudo o que me ajude a dormir mais .</t>
  </si>
  <si>
    <t>file://conllu/pt/teddy-1323.conllu#s223_0</t>
  </si>
  <si>
    <t>224</t>
  </si>
  <si>
    <t>&amp;quot; meu marido diz-me diz me que sou estúpida , que sou feia .</t>
  </si>
  <si>
    <t>file://conllu/pt/teddy-1323.conllu#s224_0</t>
  </si>
  <si>
    <t>225</t>
  </si>
  <si>
    <t>Quem?</t>
  </si>
  <si>
    <t>&amp;quot; Quem me dera poder parar este sofrimento . &amp;quot; Ela fez para o protocolo experimental .</t>
  </si>
  <si>
    <t>file://conllu/pt/teddy-1323.conllu#s225_0</t>
  </si>
  <si>
    <t>226</t>
  </si>
  <si>
    <t>Quando a entrevistei , seis meses depois , ela tinha aceite um trabalho a tomar conta de crianças para a Marinha dos de os EUA , tinha deixado o marido abusador e disse-me disse me :</t>
  </si>
  <si>
    <t>file://conllu/pt/teddy-1323.conllu#s226_0</t>
  </si>
  <si>
    <t>227</t>
  </si>
  <si>
    <t>estar (estar feliz)</t>
  </si>
  <si>
    <t>&amp;quot; Os meus filhos agora estão muito mais felizes . &amp;quot; &amp;quot; Na Em a minha nova casa há um quarto para os rapazes &amp;quot; e um quarto para as raparigas , &amp;quot; mas à a a noite , vêm todos para a minha cama .</t>
  </si>
  <si>
    <t>file://conllu/pt/teddy-1323.conllu#s227_0</t>
  </si>
  <si>
    <t>228</t>
  </si>
  <si>
    <t>&amp;quot; Fazemos os trabalhos de casa todos juntos e tudo .</t>
  </si>
  <si>
    <t>file://conllu/pt/teddy-1323.conllu#s228_0</t>
  </si>
  <si>
    <t>229</t>
  </si>
  <si>
    <t>querer (querer dizer querer)</t>
  </si>
  <si>
    <t>&amp;quot; Um deles de eles que ser pregador , outro quer ser bombeiro , &amp;quot; e uma das de as meninas diz que quer ser uma advogada .</t>
  </si>
  <si>
    <t>file://conllu/pt/teddy-1323.conllu#s229_0</t>
  </si>
  <si>
    <t>230</t>
  </si>
  <si>
    <t>&amp;quot; Eles já não choram como costumavam , &amp;quot; e já não brigam como costumavam .</t>
  </si>
  <si>
    <t>file://conllu/pt/teddy-1323.conllu#s230_0</t>
  </si>
  <si>
    <t>231</t>
  </si>
  <si>
    <t>ser (ser filho)</t>
  </si>
  <si>
    <t>&amp;quot; Tudo o que preciso agora são os meus filhos .</t>
  </si>
  <si>
    <t>file://conllu/pt/teddy-1323.conllu#s231_0</t>
  </si>
  <si>
    <t>232</t>
  </si>
  <si>
    <t>continuar</t>
  </si>
  <si>
    <t>&amp;quot; As coisas continuam a mudar , &amp;quot; a forma como me visto , como me sinto , como ajo .</t>
  </si>
  <si>
    <t>file://conllu/pt/teddy-1323.conllu#s232_0</t>
  </si>
  <si>
    <t>233</t>
  </si>
  <si>
    <t>&amp;quot; Posso sair sem sentir medo .</t>
  </si>
  <si>
    <t>file://conllu/pt/teddy-1323.conllu#s233_0</t>
  </si>
  <si>
    <t>234</t>
  </si>
  <si>
    <t>&amp;quot; Acho que esses maus sentimentos não vão voltar , &amp;quot; Se não fosse a Dra .</t>
  </si>
  <si>
    <t>file://conllu/pt/teddy-1323.conllu#s234_0</t>
  </si>
  <si>
    <t>235</t>
  </si>
  <si>
    <t>Miranda , &amp;quot; ainda estaria em casa com os cobertores por cima da de a cabeça , &amp;quot; se ainda estivesse viva .</t>
  </si>
  <si>
    <t>file://conllu/pt/teddy-1323.conllu#s235_0</t>
  </si>
  <si>
    <t>236</t>
  </si>
  <si>
    <t>pedir</t>
  </si>
  <si>
    <t>&amp;quot; Pedi ao a o Senhor para me enviar um anjo , &amp;quot;e Ele ouviu as minhas preces . &amp;quot;</t>
  </si>
  <si>
    <t>file://conllu/pt/teddy-1323.conllu#s236_0</t>
  </si>
  <si>
    <t>237</t>
  </si>
  <si>
    <t>Eu fiquei muito comovido com estas experiências e decidi que queria escrever acerca delas de elas não só no em o livro em que estava a trabalhar , mas também num em um artigo .</t>
  </si>
  <si>
    <t>file://conllu/pt/teddy-1323.conllu#s237_0</t>
  </si>
  <si>
    <t>238</t>
  </si>
  <si>
    <t>Consegui uma encomenda da de a New York Times Magazine para escrever sobre a depressão dos de os indigentes .</t>
  </si>
  <si>
    <t>file://conllu/pt/teddy-1323.conllu#s238_0</t>
  </si>
  <si>
    <t>239</t>
  </si>
  <si>
    <t>dizer (dizer chamar)</t>
  </si>
  <si>
    <t>Entreguei o meu artigo e a editora chamou-me chamou me e disse :</t>
  </si>
  <si>
    <t>file://conllu/pt/teddy-1323.conllu#s239_0</t>
  </si>
  <si>
    <t>240</t>
  </si>
  <si>
    <t>&amp;quot; Não podemos publicar isto . &amp;quot;</t>
  </si>
  <si>
    <t>file://conllu/pt/teddy-1323.conllu#s240_0</t>
  </si>
  <si>
    <t>241</t>
  </si>
  <si>
    <t>dizer (dizer dizer)</t>
  </si>
  <si>
    <t>E eu disse : &amp;quot; Porque não ? &amp;quot; E ela disse : &amp;quot; É demasiado rebuscado .</t>
  </si>
  <si>
    <t>file://conllu/pt/teddy-1323.conllu#s241_0</t>
  </si>
  <si>
    <t>242</t>
  </si>
  <si>
    <t>seguir</t>
  </si>
  <si>
    <t>&amp;quot; Estas pessoas que estão no em o fundo da de a escala social , &amp;quot; seguem uns meses de tratamento &amp;quot; e ficam preparadas para gerir a Morgan Stanley ?</t>
  </si>
  <si>
    <t>file://conllu/pt/teddy-1323.conllu#s242_0</t>
  </si>
  <si>
    <t>243</t>
  </si>
  <si>
    <t>ser (ser incrível)</t>
  </si>
  <si>
    <t>&amp;quot; É demasiado incrível .</t>
  </si>
  <si>
    <t>file://conllu/pt/teddy-1323.conllu#s243_0</t>
  </si>
  <si>
    <t>244</t>
  </si>
  <si>
    <t>falar (falar ouvir)</t>
  </si>
  <si>
    <t>&amp;quot; Eu nunca ouvi falar duma de uma coisa assim . &amp;quot;</t>
  </si>
  <si>
    <t>file://conllu/pt/teddy-1323.conllu#s244_0</t>
  </si>
  <si>
    <t>245</t>
  </si>
  <si>
    <t>E eu disse :</t>
  </si>
  <si>
    <t>file://conllu/pt/teddy-1323.conllu#s245_0</t>
  </si>
  <si>
    <t>246</t>
  </si>
  <si>
    <t>concordar</t>
  </si>
  <si>
    <t>&amp;quot; facto de nunca teres ouvido falar disto de isto &amp;quot; é um indicador que se trata duma de uma notícia. &amp;quot; &amp;quot; Vocês são uma revista de notícias . &amp;quot; Depois de uma certa negociação , eles concordaram .</t>
  </si>
  <si>
    <t>file://conllu/pt/teddy-1323.conllu#s246_0</t>
  </si>
  <si>
    <t>247</t>
  </si>
  <si>
    <t>Mas eu acho que o que eles disseram está relacionado , de forma estranha , com o desagrado que as pessoas ainda têm com a ideia de tratamento , a noção de que , se nós tratássemos um grande número de pessoas de comunidades indigentes isso seria uma exploração porque os estaríamos a mudar .</t>
  </si>
  <si>
    <t>file://conllu/pt/teddy-1323.conllu#s247_0</t>
  </si>
  <si>
    <t>248</t>
  </si>
  <si>
    <t>Há um falso imperativo moral que parece estar à a a nossa volta e que diz que o tratamento da de a depressão a medicação e o resto , são um artifício e que não é natural .</t>
  </si>
  <si>
    <t>file://conllu/pt/teddy-1323.conllu#s248_0</t>
  </si>
  <si>
    <t>249</t>
  </si>
  <si>
    <t>Eu acho que é um grande engano .</t>
  </si>
  <si>
    <t>file://conllu/pt/teddy-1323.conllu#s249_0</t>
  </si>
  <si>
    <t>250</t>
  </si>
  <si>
    <t>ser (ser natural)</t>
  </si>
  <si>
    <t>Seria natural que os dentes das de as pessoas caíssem , mas não há ninguém a protestar contra a pasta de dentes pelo por o menos ninguém que eu conheça .</t>
  </si>
  <si>
    <t>file://conllu/pt/teddy-1323.conllu#s250_0</t>
  </si>
  <si>
    <t>251</t>
  </si>
  <si>
    <t>As pessoas dizem : &amp;quot; A depressão não é uma coisa que as pessoas devem experimentar ?</t>
  </si>
  <si>
    <t>file://conllu/pt/teddy-1323.conllu#s251_0</t>
  </si>
  <si>
    <t>252</t>
  </si>
  <si>
    <t>evoluír</t>
  </si>
  <si>
    <t>&amp;quot; Não evoluímos para ter depressões ?</t>
  </si>
  <si>
    <t>file://conllu/pt/teddy-1323.conllu#s252_0</t>
  </si>
  <si>
    <t>253</t>
  </si>
  <si>
    <t>&amp;quot; Isso não faz parte da de a nossa personalidade ? &amp;quot;</t>
  </si>
  <si>
    <t>file://conllu/pt/teddy-1323.conllu#s253_0</t>
  </si>
  <si>
    <t>254</t>
  </si>
  <si>
    <t>respôr</t>
  </si>
  <si>
    <t>Eu respondo que a disposição é adaptativa .</t>
  </si>
  <si>
    <t>file://conllu/pt/teddy-1323.conllu#s254_0</t>
  </si>
  <si>
    <t>255</t>
  </si>
  <si>
    <t>ser (ser valioso)</t>
  </si>
  <si>
    <t>Ter a capacidade de estar triste e de ter medo de estar alegre e de ter prazer e de todos os outros sentimentos que temos , é incrivelmente valioso .</t>
  </si>
  <si>
    <t>file://conllu/pt/teddy-1323.conllu#s255_0</t>
  </si>
  <si>
    <t>256</t>
  </si>
  <si>
    <t>ser (ser coisa)</t>
  </si>
  <si>
    <t>Uma grande depressão é uma coisa que acontece quando esse sistema se avaria .</t>
  </si>
  <si>
    <t>file://conllu/pt/teddy-1323.conllu#s256_0</t>
  </si>
  <si>
    <t>257</t>
  </si>
  <si>
    <t>ser (ser deficiência)</t>
  </si>
  <si>
    <t>É uma deficiência de adaptação .</t>
  </si>
  <si>
    <t>file://conllu/pt/teddy-1323.conllu#s257_0</t>
  </si>
  <si>
    <t>258</t>
  </si>
  <si>
    <t>vir</t>
  </si>
  <si>
    <t>As pessoas vêm ter comigo com mim e dizem : &amp;quot; Acho que , se conseguir aguentar mais um ano , consigo com si superar isto . &amp;quot; Respondo sempre : &amp;quot; Pode ser que superes , mas nunca voltarás a ter 37 anos .</t>
  </si>
  <si>
    <t>file://conllu/pt/teddy-1323.conllu#s258_0</t>
  </si>
  <si>
    <t>259</t>
  </si>
  <si>
    <t>ser (ser curto)</t>
  </si>
  <si>
    <t>&amp;quot; A vida é curta , e preparas-te preparas te para abdicar de um ano inteiro .</t>
  </si>
  <si>
    <t>file://conllu/pt/teddy-1323.conllu#s259_0</t>
  </si>
  <si>
    <t>260</t>
  </si>
  <si>
    <t>&amp;quot; Pensa nisso em isso . &amp;quot; Há uma estranha pobreza na em a língua inglesa e em muitos outros idiomas , em que usamos a mesma palavra — depressão — para descrever como um miúdo se sente , quando chove no em o dia do de o seu aniversário , e para descrever como alguém se sente um minuto antes de se suicidar .</t>
  </si>
  <si>
    <t>file://conllu/pt/teddy-1323.conllu#s260_0</t>
  </si>
  <si>
    <t>261</t>
  </si>
  <si>
    <t>As pessoas dizem-me dizem me : &amp;quot; É um contínuo da de a tristeza normal ?</t>
  </si>
  <si>
    <t>file://conllu/pt/teddy-1323.conllu#s261_0</t>
  </si>
  <si>
    <t>262</t>
  </si>
  <si>
    <t>E eu digo :</t>
  </si>
  <si>
    <t>file://conllu/pt/teddy-1323.conllu#s262_0</t>
  </si>
  <si>
    <t>263</t>
  </si>
  <si>
    <t>ser (ser continuo)</t>
  </si>
  <si>
    <t>&amp;quot; De certa forma , é um continuo da de a tristeza normal . &amp;quot;</t>
  </si>
  <si>
    <t>file://conllu/pt/teddy-1323.conllu#s263_0</t>
  </si>
  <si>
    <t>264</t>
  </si>
  <si>
    <t>Há um certo grau de continuidade , mas na em a mesma medida que há continuidade entre ter uma vedação de ferro em volta da de a casa que fica com um ponto de ferrugem que temos de limar e retocar e o que acontece se abandonamos a casa durante 100 anos e a vedação enferrujar até ser apenas um monte de ferrugem laranja .</t>
  </si>
  <si>
    <t>file://conllu/pt/teddy-1323.conllu#s264_0</t>
  </si>
  <si>
    <t>265</t>
  </si>
  <si>
    <t>ser (ser laranja)</t>
  </si>
  <si>
    <t>É esse ponto laranja de ferrugem , esse problema da de a fuligem laranja , que nos em os propomos resolver .</t>
  </si>
  <si>
    <t>file://conllu/pt/teddy-1323.conllu#s265_0</t>
  </si>
  <si>
    <t>266</t>
  </si>
  <si>
    <t>Então as pessoas dizem : &amp;quot; Tomamos esses comprimidos da de a felicidade e sentimo-nos sentimo nos felizes ? &amp;quot;</t>
  </si>
  <si>
    <t>file://conllu/pt/teddy-1323.conllu#s266_0</t>
  </si>
  <si>
    <t>267</t>
  </si>
  <si>
    <t>ser (ser assim)</t>
  </si>
  <si>
    <t>Não é bem assim .</t>
  </si>
  <si>
    <t>file://conllu/pt/teddy-1323.conllu#s267_0</t>
  </si>
  <si>
    <t>268</t>
  </si>
  <si>
    <t>sentir (sentir sentir)</t>
  </si>
  <si>
    <t>Mas não me sinto triste por ter de almoçar , não me sinto triste por causa do de o meu atendedor de chamadas , e não me sinto triste por tomar um duche .</t>
  </si>
  <si>
    <t>file://conllu/pt/teddy-1323.conllu#s268_0</t>
  </si>
  <si>
    <t>271</t>
  </si>
  <si>
    <t>São essas as coisas que agora me entristecem .</t>
  </si>
  <si>
    <t>file://conllu/pt/teddy-1323.conllu#s271_0</t>
  </si>
  <si>
    <t>272</t>
  </si>
  <si>
    <t>E disse para mim mesmo :</t>
  </si>
  <si>
    <t>file://conllu/pt/teddy-1323.conllu#s272_0</t>
  </si>
  <si>
    <t>273</t>
  </si>
  <si>
    <t>Qual é a conclusão ?</t>
  </si>
  <si>
    <t>file://conllu/pt/teddy-1323.conllu#s273_0</t>
  </si>
  <si>
    <t>274</t>
  </si>
  <si>
    <t>Como conseguiram superar os que têm melhores vidas apesar de terem tido maiores depressões ?</t>
  </si>
  <si>
    <t>file://conllu/pt/teddy-1323.conllu#s274_0</t>
  </si>
  <si>
    <t>275</t>
  </si>
  <si>
    <t>Qual é o mecanismo de resistência ?</t>
  </si>
  <si>
    <t>file://conllu/pt/teddy-1323.conllu#s275_0</t>
  </si>
  <si>
    <t>277</t>
  </si>
  <si>
    <t>&amp;quot; Eu tive uma depressão há muito tempo .</t>
  </si>
  <si>
    <t>file://conllu/pt/teddy-1323.conllu#s277_0</t>
  </si>
  <si>
    <t>278</t>
  </si>
  <si>
    <t>quero</t>
  </si>
  <si>
    <t>&amp;quot; Nunca mais quero pensar nisso em isso .</t>
  </si>
  <si>
    <t>file://conllu/pt/teddy-1323.conllu#s278_0</t>
  </si>
  <si>
    <t>279</t>
  </si>
  <si>
    <t>&amp;quot; Não vou dar-lhe dar lhe mais atenção e vou continuar com aminha vida &amp;quot; , ironicamente , são as pessoas que estão mais escravizadas pelo por o que tiveram .</t>
  </si>
  <si>
    <t>file://conllu/pt/teddy-1323.conllu#s279_0</t>
  </si>
  <si>
    <t>280</t>
  </si>
  <si>
    <t>fortalecer</t>
  </si>
  <si>
    <t>Negar a depressão , fortalece-a fortalece a .</t>
  </si>
  <si>
    <t>file://conllu/pt/teddy-1323.conllu#s280_0</t>
  </si>
  <si>
    <t>281</t>
  </si>
  <si>
    <t>crescer</t>
  </si>
  <si>
    <t>Enquanto nos em os escondemos dela de ela , ela cresce .</t>
  </si>
  <si>
    <t>file://conllu/pt/teddy-1323.conllu#s281_0</t>
  </si>
  <si>
    <t>282</t>
  </si>
  <si>
    <t>ser (ser o)</t>
  </si>
  <si>
    <t>As pessoas que superam melhor são as que conseguem aceitar o facto de terem essa doença .</t>
  </si>
  <si>
    <t>file://conllu/pt/teddy-1323.conllu#s282_0</t>
  </si>
  <si>
    <t>283</t>
  </si>
  <si>
    <t>As que conseguem aceitar a sua depressão são as que atingem a resistência .</t>
  </si>
  <si>
    <t>file://conllu/pt/teddy-1323.conllu#s283_0</t>
  </si>
  <si>
    <t>284</t>
  </si>
  <si>
    <t>Frank Russakoff disse-me disse me : &amp;quot; Se tivesse que fazer tudo novamente , &amp;quot; suponho que não o faria assim , &amp;quot; Mas , estranhamente , estou grato pelo por o que passei .</t>
  </si>
  <si>
    <t>file://conllu/pt/teddy-1323.conllu#s284_0</t>
  </si>
  <si>
    <t>285</t>
  </si>
  <si>
    <t>&amp;quot; Sinto-me Sinto me feliz por ter estado no em o hospital 40 vezes .</t>
  </si>
  <si>
    <t>file://conllu/pt/teddy-1323.conllu#s285_0</t>
  </si>
  <si>
    <t>286</t>
  </si>
  <si>
    <t>ensinar</t>
  </si>
  <si>
    <t>&amp;quot; Ensinou-me Ensinou me muito sobre o amor .</t>
  </si>
  <si>
    <t>file://conllu/pt/teddy-1323.conllu#s286_0</t>
  </si>
  <si>
    <t>287</t>
  </si>
  <si>
    <t>&amp;quot; A minha relação com os meus pais e com os meus médicos &amp;quot; tem sido preciosa para mim e será sempre . &amp;quot; Maggie Robbins disse :</t>
  </si>
  <si>
    <t>file://conllu/pt/teddy-1323.conllu#s287_0</t>
  </si>
  <si>
    <t>288</t>
  </si>
  <si>
    <t>Costumar</t>
  </si>
  <si>
    <t>&amp;quot; Costumava ser voluntária numa em uma clínica de SIDA .</t>
  </si>
  <si>
    <t>file://conllu/pt/teddy-1323.conllu#s288_0</t>
  </si>
  <si>
    <t>289</t>
  </si>
  <si>
    <t>falar (falar falar)</t>
  </si>
  <si>
    <t>&amp;quot; Eu só falava , falava , falava .</t>
  </si>
  <si>
    <t>file://conllu/pt/teddy-1323.conllu#s289_0</t>
  </si>
  <si>
    <t>290</t>
  </si>
  <si>
    <t>ser (ser recetivo)</t>
  </si>
  <si>
    <t>&amp;quot; As pessoas com quem eu lidava &amp;quot; não eram muito recetivas e eu pensei : &amp;quot; 'Isto não é muito simpático nem útil da de a parte deles de eles .'</t>
  </si>
  <si>
    <t>file://conllu/pt/teddy-1323.conllu#s290_0</t>
  </si>
  <si>
    <t>291</t>
  </si>
  <si>
    <t>perceber</t>
  </si>
  <si>
    <t>&amp;quot; Então percebi que eles não fariam muito mais &amp;quot; do de o que aqueles primeiros minutos de conversa fiada .</t>
  </si>
  <si>
    <t>file://conllu/pt/teddy-1323.conllu#s291_0</t>
  </si>
  <si>
    <t>292</t>
  </si>
  <si>
    <t>&amp;quot; Simplesmente ia haver uma ocasião &amp;quot; em que eu não tinha SIDA e não estava a morrer , &amp;quot; mas podia aceitar o facto de que eles tinham SIDA e iam morrer .</t>
  </si>
  <si>
    <t>file://conllu/pt/teddy-1323.conllu#s292_0</t>
  </si>
  <si>
    <t>293</t>
  </si>
  <si>
    <t>ser (ser trunfo)</t>
  </si>
  <si>
    <t>&amp;quot; As nossas necessidades são o nosso maior trunfo .</t>
  </si>
  <si>
    <t>file://conllu/pt/teddy-1323.conllu#s293_0</t>
  </si>
  <si>
    <t>294</t>
  </si>
  <si>
    <t>acontecer</t>
  </si>
  <si>
    <t>&amp;quot; Acontece que aprendi a dar todas as coisas que preciso . &amp;quot; Valorizar a nossa depressão não impede uma recaída , mas pode alertar para uma recaída e até mesmo tornar a recaída em si mais fácil tolerar .</t>
  </si>
  <si>
    <t>file://conllu/pt/teddy-1323.conllu#s294_0</t>
  </si>
  <si>
    <t>295</t>
  </si>
  <si>
    <t>A questão não é tanto de encontrar grande significado e de concluir que a nossa depressão tem sido muito significativa .</t>
  </si>
  <si>
    <t>file://conllu/pt/teddy-1323.conllu#s295_0</t>
  </si>
  <si>
    <t>296</t>
  </si>
  <si>
    <t>É de procurar esse significado e , quando ela voltar , pensar :</t>
  </si>
  <si>
    <t>file://conllu/pt/teddy-1323.conllu#s296_0</t>
  </si>
  <si>
    <t>297</t>
  </si>
  <si>
    <t>ser (ser inferno)</t>
  </si>
  <si>
    <t>&amp;quot; Isto vai ser um inferno , Mas vou aprender algo com isso . &amp;quot;</t>
  </si>
  <si>
    <t>file://conllu/pt/teddy-1323.conllu#s297_0</t>
  </si>
  <si>
    <t>298</t>
  </si>
  <si>
    <t>Eu aprendi com a minha depressão quão grande pode ser uma emoção , Como pode ser mais real do de o que factos , e descobri que aquela experiência me permitiu experimentar emoções positivas de uma forma mais intensa e mais focada .</t>
  </si>
  <si>
    <t>file://conllu/pt/teddy-1323.conllu#s298_0</t>
  </si>
  <si>
    <t>299</t>
  </si>
  <si>
    <t>oposto da de a depressão não é felicidade , mas vitalidade .</t>
  </si>
  <si>
    <t>file://conllu/pt/teddy-1323.conllu#s299_0</t>
  </si>
  <si>
    <t>300</t>
  </si>
  <si>
    <t>ser (ser vital)</t>
  </si>
  <si>
    <t>Hoje em dia , a minha vida é vital , mesmo nos em os dias em que estou triste .</t>
  </si>
  <si>
    <t>file://conllu/pt/teddy-1323.conllu#s300_0</t>
  </si>
  <si>
    <t>301</t>
  </si>
  <si>
    <t>Senti aquele funeral no em o meu cérebro , e que estava junto do de o colosso na em a borda do de o mundo .</t>
  </si>
  <si>
    <t>file://conllu/pt/teddy-1323.conllu#s301_0</t>
  </si>
  <si>
    <t>302</t>
  </si>
  <si>
    <t>Descobri dentro de mim uma coisa a que chamaria alma que nunca tinha formulado até esse dia há 20 anos , quando o inferno veio fazer-me fazer me uma visita surpresa .</t>
  </si>
  <si>
    <t>file://conllu/pt/teddy-1323.conllu#s302_0</t>
  </si>
  <si>
    <t>303</t>
  </si>
  <si>
    <t>Acho que , apesar de odiar ter estado deprimido e de odiar vir a estar deprimido novamente , encontrei uma forma de gostar da de a minha depressão .</t>
  </si>
  <si>
    <t>file://conllu/pt/teddy-1323.conllu#s303_0</t>
  </si>
  <si>
    <t>304</t>
  </si>
  <si>
    <t>gosto</t>
  </si>
  <si>
    <t>Gosto dela de ela porque me obrigou a encontrar e a agarrar-me agarrar me à a a alegria .</t>
  </si>
  <si>
    <t>file://conllu/pt/teddy-1323.conllu#s304_0</t>
  </si>
  <si>
    <t>305</t>
  </si>
  <si>
    <t>Gosto dela de ela porque , em cada dia , decido , às a as vezes , corajosamente , outras vezes contra a razão do de o momento , decompor as razões para viver .</t>
  </si>
  <si>
    <t>file://conllu/pt/teddy-1323.conllu#s305_0</t>
  </si>
  <si>
    <t>306</t>
  </si>
  <si>
    <t>Acho que isso é um arrebatamento altamente privilegiado .</t>
  </si>
  <si>
    <t>file://conllu/pt/teddy-1323.conllu#s306_0</t>
  </si>
  <si>
    <t>307</t>
  </si>
  <si>
    <t>obrigar</t>
  </si>
  <si>
    <t>Obrigado .</t>
  </si>
  <si>
    <t>file://conllu/pt/teddy-1323.conllu#s307_0</t>
  </si>
  <si>
    <t>WORD</t>
  </si>
  <si>
    <t>GR</t>
  </si>
  <si>
    <t>NP_TYPE</t>
  </si>
  <si>
    <t>REF_AUTO</t>
  </si>
  <si>
    <t>COREF</t>
  </si>
  <si>
    <t>REF</t>
  </si>
  <si>
    <t>IS</t>
  </si>
  <si>
    <t>CB</t>
  </si>
  <si>
    <t>GR_ANTE</t>
  </si>
  <si>
    <t>REF_DIST</t>
  </si>
  <si>
    <t>REF_DIST_ANTE</t>
  </si>
  <si>
    <t># text = Senti um funeral no cérebro e carpideiras indo e vindo, indo e vindo — em procissão — até que senti como se os sentidos estivessem a explodir.</t>
  </si>
  <si>
    <t>Senti</t>
  </si>
  <si>
    <t>um</t>
  </si>
  <si>
    <t>funeral</t>
  </si>
  <si>
    <t>OBJ</t>
  </si>
  <si>
    <t>def-np.poss</t>
  </si>
  <si>
    <t>?OLD</t>
  </si>
  <si>
    <t>em</t>
  </si>
  <si>
    <t>o</t>
  </si>
  <si>
    <t>cérebro</t>
  </si>
  <si>
    <t>other_2</t>
  </si>
  <si>
    <t>def-np.the</t>
  </si>
  <si>
    <t>e</t>
  </si>
  <si>
    <t>carpideiras</t>
  </si>
  <si>
    <t>SBJ_2</t>
  </si>
  <si>
    <t>indef-np.bare</t>
  </si>
  <si>
    <t>indo</t>
  </si>
  <si>
    <t>vindo</t>
  </si>
  <si>
    <t>,</t>
  </si>
  <si>
    <t>—</t>
  </si>
  <si>
    <t>procissão</t>
  </si>
  <si>
    <t>other_4</t>
  </si>
  <si>
    <t>até</t>
  </si>
  <si>
    <t>que</t>
  </si>
  <si>
    <t>senti</t>
  </si>
  <si>
    <t>como</t>
  </si>
  <si>
    <t>se</t>
  </si>
  <si>
    <t>os</t>
  </si>
  <si>
    <t>sentidos</t>
  </si>
  <si>
    <t>SBJ_7</t>
  </si>
  <si>
    <t>estivessem</t>
  </si>
  <si>
    <t>a</t>
  </si>
  <si>
    <t>explodir</t>
  </si>
  <si>
    <t>.</t>
  </si>
  <si>
    <t># text = E quando todos estavam sentados, as exéquias, como um tambor continuaram a tocar — a tocar — até o meu espírito caísse em torpor.</t>
  </si>
  <si>
    <t>E</t>
  </si>
  <si>
    <t>quando</t>
  </si>
  <si>
    <t>todos</t>
  </si>
  <si>
    <t>SBJ</t>
  </si>
  <si>
    <t>pron</t>
  </si>
  <si>
    <t>estavam</t>
  </si>
  <si>
    <t>sentados</t>
  </si>
  <si>
    <t>as</t>
  </si>
  <si>
    <t>exéquias</t>
  </si>
  <si>
    <t>SBJ_3</t>
  </si>
  <si>
    <t>tambor</t>
  </si>
  <si>
    <t>indef-np.a</t>
  </si>
  <si>
    <t>continuaram</t>
  </si>
  <si>
    <t>meu</t>
  </si>
  <si>
    <t>other_6</t>
  </si>
  <si>
    <t>pron.ppos</t>
  </si>
  <si>
    <t>espírito</t>
  </si>
  <si>
    <t>other_5</t>
  </si>
  <si>
    <t>caísse</t>
  </si>
  <si>
    <t>torpor</t>
  </si>
  <si>
    <t># text = Então ouvi-as levantarem uma caixa e rangerem na minha alma com as mesmas botas de chumbo, de novo.</t>
  </si>
  <si>
    <t>Então</t>
  </si>
  <si>
    <t>OBJ_2</t>
  </si>
  <si>
    <t>pron.pper</t>
  </si>
  <si>
    <t>levantarem</t>
  </si>
  <si>
    <t>uma</t>
  </si>
  <si>
    <t>caixa</t>
  </si>
  <si>
    <t>rangerem</t>
  </si>
  <si>
    <t>minha</t>
  </si>
  <si>
    <t>alma</t>
  </si>
  <si>
    <t>OBJ_4</t>
  </si>
  <si>
    <t>com</t>
  </si>
  <si>
    <t>mesmas</t>
  </si>
  <si>
    <t>botas</t>
  </si>
  <si>
    <t>de</t>
  </si>
  <si>
    <t>chumbo</t>
  </si>
  <si>
    <t>novo</t>
  </si>
  <si>
    <t># text = Depois o espaço começou a tocar como se os céus fossem um sino, um ser, um simples ouvido.</t>
  </si>
  <si>
    <t>Depois</t>
  </si>
  <si>
    <t>espaço</t>
  </si>
  <si>
    <t>começou</t>
  </si>
  <si>
    <t>céus</t>
  </si>
  <si>
    <t>fossem</t>
  </si>
  <si>
    <t>sino</t>
  </si>
  <si>
    <t>other_3</t>
  </si>
  <si>
    <t>simples</t>
  </si>
  <si>
    <t>ouvido</t>
  </si>
  <si>
    <t># text = E eu, e o silêncio, uma estranha raça naufragada, solitária, sem sentido.</t>
  </si>
  <si>
    <t>other</t>
  </si>
  <si>
    <t>silêncio</t>
  </si>
  <si>
    <t>estranha</t>
  </si>
  <si>
    <t>raça</t>
  </si>
  <si>
    <t>naufragada</t>
  </si>
  <si>
    <t>solitária</t>
  </si>
  <si>
    <t>sem</t>
  </si>
  <si>
    <t>sentido</t>
  </si>
  <si>
    <t># text = Então quebrou-se uma tábua na razão e eu caí, caí, caí e alcancei um mundo, em cada mergulho.</t>
  </si>
  <si>
    <t>quebrou</t>
  </si>
  <si>
    <t>tábua</t>
  </si>
  <si>
    <t>razão</t>
  </si>
  <si>
    <t>caí</t>
  </si>
  <si>
    <t>alcancei</t>
  </si>
  <si>
    <t>mundo</t>
  </si>
  <si>
    <t>cada</t>
  </si>
  <si>
    <t>mergulho</t>
  </si>
  <si>
    <t>indef-np.quant</t>
  </si>
  <si>
    <t># text = E então deixei de ter conhecimento.</t>
  </si>
  <si>
    <t>então</t>
  </si>
  <si>
    <t>deixei</t>
  </si>
  <si>
    <t>conhecimento</t>
  </si>
  <si>
    <t># text = Conhecemos a depressão através de metáforas.</t>
  </si>
  <si>
    <t>Conhecemos</t>
  </si>
  <si>
    <t>depressão</t>
  </si>
  <si>
    <t>através</t>
  </si>
  <si>
    <t>metáforas</t>
  </si>
  <si>
    <t># text = Emily Dickinson conseguiu transmiti-la em linguagem.</t>
  </si>
  <si>
    <t>Emily</t>
  </si>
  <si>
    <t>ne</t>
  </si>
  <si>
    <t>Dickinson</t>
  </si>
  <si>
    <t>conseguiu</t>
  </si>
  <si>
    <t>transmiti</t>
  </si>
  <si>
    <t>la</t>
  </si>
  <si>
    <t>linguagem</t>
  </si>
  <si>
    <t># text = Goya numa imagem.</t>
  </si>
  <si>
    <t>imagem</t>
  </si>
  <si>
    <t># text = Metade da razão de ser da arte é descrever estes estados icónicos.</t>
  </si>
  <si>
    <t>Metade</t>
  </si>
  <si>
    <t>arte</t>
  </si>
  <si>
    <t>é</t>
  </si>
  <si>
    <t>estes</t>
  </si>
  <si>
    <t>estados</t>
  </si>
  <si>
    <t>def-np.dem</t>
  </si>
  <si>
    <t>icónicos</t>
  </si>
  <si>
    <t># text = Quanto a mim, sempre julguei ser uma pessoa dura, um dos que podia sobreviver se fosse enviado para um campo de concentração.</t>
  </si>
  <si>
    <t>Quanto</t>
  </si>
  <si>
    <t>mim</t>
  </si>
  <si>
    <t>sempre</t>
  </si>
  <si>
    <t>julguei</t>
  </si>
  <si>
    <t>pessoa</t>
  </si>
  <si>
    <t>dura</t>
  </si>
  <si>
    <t>pron.pds</t>
  </si>
  <si>
    <t>SBJ_6</t>
  </si>
  <si>
    <t>podia</t>
  </si>
  <si>
    <t>sobreviver</t>
  </si>
  <si>
    <t>fosse</t>
  </si>
  <si>
    <t>enviado</t>
  </si>
  <si>
    <t>para</t>
  </si>
  <si>
    <t>campo</t>
  </si>
  <si>
    <t>other_7</t>
  </si>
  <si>
    <t>concentração</t>
  </si>
  <si>
    <t>other_8</t>
  </si>
  <si>
    <t># text = Em 1991, tive uma série de perdas.</t>
  </si>
  <si>
    <t>Em</t>
  </si>
  <si>
    <t>1991</t>
  </si>
  <si>
    <t>tive</t>
  </si>
  <si>
    <t>série</t>
  </si>
  <si>
    <t>perdas</t>
  </si>
  <si>
    <t># text = A minha mãe morreu, uma relação que eu mantinha terminou, voltei para os Estados Unidos depois de uns anos no estrangeiro e passei incólume por todas estas experiências.</t>
  </si>
  <si>
    <t>A</t>
  </si>
  <si>
    <t>mãe</t>
  </si>
  <si>
    <t>morreu</t>
  </si>
  <si>
    <t>relação</t>
  </si>
  <si>
    <t>SBJ_4</t>
  </si>
  <si>
    <t>mantinha</t>
  </si>
  <si>
    <t>terminou</t>
  </si>
  <si>
    <t>voltei</t>
  </si>
  <si>
    <t>Estados</t>
  </si>
  <si>
    <t>Unidos</t>
  </si>
  <si>
    <t>depois</t>
  </si>
  <si>
    <t>uns</t>
  </si>
  <si>
    <t>anos</t>
  </si>
  <si>
    <t>estrangeiro</t>
  </si>
  <si>
    <t>passei</t>
  </si>
  <si>
    <t>incólume</t>
  </si>
  <si>
    <t>por</t>
  </si>
  <si>
    <t>todas</t>
  </si>
  <si>
    <t>estas</t>
  </si>
  <si>
    <t>experiências</t>
  </si>
  <si>
    <t># text = Mas em 1994, três anos depois, dei comigo desinteressado de quase tudo.</t>
  </si>
  <si>
    <t>Mas</t>
  </si>
  <si>
    <t>1994</t>
  </si>
  <si>
    <t>três</t>
  </si>
  <si>
    <t>dei</t>
  </si>
  <si>
    <t>desinteressado</t>
  </si>
  <si>
    <t>quase</t>
  </si>
  <si>
    <t>tudo</t>
  </si>
  <si>
    <t>pron.pind</t>
  </si>
  <si>
    <t># text = Não queria fazer nada das coisas que anteriormente me interessavam, e não sabia porquê.</t>
  </si>
  <si>
    <t>Não</t>
  </si>
  <si>
    <t>queria</t>
  </si>
  <si>
    <t>nada</t>
  </si>
  <si>
    <t>coisas</t>
  </si>
  <si>
    <t>SBJ_5</t>
  </si>
  <si>
    <t>anteriormente</t>
  </si>
  <si>
    <t>me</t>
  </si>
  <si>
    <t>OBJ_5</t>
  </si>
  <si>
    <t>interessavam</t>
  </si>
  <si>
    <t>não</t>
  </si>
  <si>
    <t>sabia</t>
  </si>
  <si>
    <t>porquê</t>
  </si>
  <si>
    <t># text = O oposto de depressão não é felicidade, mas vitalidade.</t>
  </si>
  <si>
    <t>oposto</t>
  </si>
  <si>
    <t>felicidade</t>
  </si>
  <si>
    <t>mas</t>
  </si>
  <si>
    <t>vitalidade</t>
  </si>
  <si>
    <t># text = Foi a vitalidade que desapareceu em mim naquele momento.</t>
  </si>
  <si>
    <t>Foi</t>
  </si>
  <si>
    <t>desapareceu</t>
  </si>
  <si>
    <t>aquele</t>
  </si>
  <si>
    <t>momento</t>
  </si>
  <si>
    <t># text = Tudo o que havia para fazer parecia-me dar demasiado trabalho.</t>
  </si>
  <si>
    <t>Tudo</t>
  </si>
  <si>
    <t>havia</t>
  </si>
  <si>
    <t>demasiado</t>
  </si>
  <si>
    <t>trabalho</t>
  </si>
  <si>
    <t># text = Chegava a casa, via a luz vermelha a piscar no gravador de chamadas e, em vez de ficar satisfeito por ouvir os meus amigos, eu pensava:</t>
  </si>
  <si>
    <t>Chegava</t>
  </si>
  <si>
    <t>casa</t>
  </si>
  <si>
    <t>via</t>
  </si>
  <si>
    <t>luz</t>
  </si>
  <si>
    <t>vermelha</t>
  </si>
  <si>
    <t>piscar</t>
  </si>
  <si>
    <t>gravador</t>
  </si>
  <si>
    <t>chamadas</t>
  </si>
  <si>
    <t>vez</t>
  </si>
  <si>
    <t>satisfeito</t>
  </si>
  <si>
    <t>ouvir</t>
  </si>
  <si>
    <t>meus</t>
  </si>
  <si>
    <t>amigos</t>
  </si>
  <si>
    <t>OBJ_6</t>
  </si>
  <si>
    <t>pensava</t>
  </si>
  <si>
    <t>:</t>
  </si>
  <si>
    <t>--</t>
  </si>
  <si>
    <t># text = "Tantas pessoas para que tenho de ligar".</t>
  </si>
  <si>
    <t>Tantas</t>
  </si>
  <si>
    <t>pessoas</t>
  </si>
  <si>
    <t>indef-np</t>
  </si>
  <si>
    <t>tenho</t>
  </si>
  <si>
    <t>ligar</t>
  </si>
  <si>
    <t>OBJ_3</t>
  </si>
  <si>
    <t># text = Ou então decidia almoçar, mas depois pensava que tinha de tirar a comida e pô-la num prato, cortar, mastigar e engolir.</t>
  </si>
  <si>
    <t>Ou</t>
  </si>
  <si>
    <t>decidia</t>
  </si>
  <si>
    <t>almoçar</t>
  </si>
  <si>
    <t>tinha</t>
  </si>
  <si>
    <t>tirar</t>
  </si>
  <si>
    <t>comida</t>
  </si>
  <si>
    <t>pô</t>
  </si>
  <si>
    <t>prato</t>
  </si>
  <si>
    <t>cortar</t>
  </si>
  <si>
    <t>mastigar</t>
  </si>
  <si>
    <t>engolir</t>
  </si>
  <si>
    <t># text = Sentia-me como se estivesse a carregar a Cruz.</t>
  </si>
  <si>
    <t>Sentia</t>
  </si>
  <si>
    <t>estivesse</t>
  </si>
  <si>
    <t>carregar</t>
  </si>
  <si>
    <t>Cruz</t>
  </si>
  <si>
    <t># text = Uma das coisas que frequentemente escapa na discussão sobre a depressão é que sabemos que é ridícula.</t>
  </si>
  <si>
    <t>Uma</t>
  </si>
  <si>
    <t>frequentemente</t>
  </si>
  <si>
    <t>escapa</t>
  </si>
  <si>
    <t>discussão</t>
  </si>
  <si>
    <t>sobre</t>
  </si>
  <si>
    <t>sabemos</t>
  </si>
  <si>
    <t>ridícula</t>
  </si>
  <si>
    <t># text = Sabemos que é ridícula enquanto a estamos a viver.</t>
  </si>
  <si>
    <t>Sabemos</t>
  </si>
  <si>
    <t>enquanto</t>
  </si>
  <si>
    <t>estamos</t>
  </si>
  <si>
    <t># text = Sabemos que a maioria das pessoas consegue ouvir as suas mensagens, almoçar e organizar-se para tomar um duche e sair a porta da rua.</t>
  </si>
  <si>
    <t>maioria</t>
  </si>
  <si>
    <t>consegue</t>
  </si>
  <si>
    <t>suas</t>
  </si>
  <si>
    <t>mensagens</t>
  </si>
  <si>
    <t>organizar</t>
  </si>
  <si>
    <t>duche</t>
  </si>
  <si>
    <t>sair</t>
  </si>
  <si>
    <t>porta</t>
  </si>
  <si>
    <t>rua</t>
  </si>
  <si>
    <t># text = Sabemos que isso não é um grande feito e no entanto continuamos sob este poder da inércia e não conseguimos pensar em nenhuma forma de o contornar.</t>
  </si>
  <si>
    <t>isso</t>
  </si>
  <si>
    <t>grande</t>
  </si>
  <si>
    <t>feito</t>
  </si>
  <si>
    <t>entanto</t>
  </si>
  <si>
    <t>continuamos</t>
  </si>
  <si>
    <t>sob</t>
  </si>
  <si>
    <t>este</t>
  </si>
  <si>
    <t>inércia</t>
  </si>
  <si>
    <t>conseguimos</t>
  </si>
  <si>
    <t>nenhuma</t>
  </si>
  <si>
    <t>forma</t>
  </si>
  <si>
    <t>contornar</t>
  </si>
  <si>
    <t># text = Então comecei a sentir que fazia cada vez menos, pensava cada vez menos e sentia cada vez menos.</t>
  </si>
  <si>
    <t>comecei</t>
  </si>
  <si>
    <t>fazia</t>
  </si>
  <si>
    <t>menos</t>
  </si>
  <si>
    <t>sentia</t>
  </si>
  <si>
    <t># text = Era uma espécie de nulidade.</t>
  </si>
  <si>
    <t>Era</t>
  </si>
  <si>
    <t>espécie</t>
  </si>
  <si>
    <t>nulidade</t>
  </si>
  <si>
    <t># text = E então chegou a ansiedade.</t>
  </si>
  <si>
    <t>chegou</t>
  </si>
  <si>
    <t>ansiedade</t>
  </si>
  <si>
    <t># text = Se alguém me dissesse que eu ia estar deprimido no próximo mês, eu diria: "Desde que saiba que termina em novembro, eu aguento".</t>
  </si>
  <si>
    <t>Se</t>
  </si>
  <si>
    <t>alguém</t>
  </si>
  <si>
    <t>dissesse</t>
  </si>
  <si>
    <t>ia</t>
  </si>
  <si>
    <t>deprimido</t>
  </si>
  <si>
    <t>próximo</t>
  </si>
  <si>
    <t>mês</t>
  </si>
  <si>
    <t>diria</t>
  </si>
  <si>
    <t>Desde</t>
  </si>
  <si>
    <t>saiba</t>
  </si>
  <si>
    <t>termina</t>
  </si>
  <si>
    <t>novembro</t>
  </si>
  <si>
    <t>aguento</t>
  </si>
  <si>
    <t># text = Mas se me dissessem: "Tens de passar por uma ansiedade grave no próximo mês", eu preferiria cortar os pulsos do que passar por isso.</t>
  </si>
  <si>
    <t>dissessem</t>
  </si>
  <si>
    <t>Tens</t>
  </si>
  <si>
    <t>grave</t>
  </si>
  <si>
    <t>preferiria</t>
  </si>
  <si>
    <t>pulsos</t>
  </si>
  <si>
    <t># text = Era um sentimento permanente como o sentimento que temos quando caminhamos e escorregamos ou tropeçamos e o chão escapa dos nossos pés.</t>
  </si>
  <si>
    <t>sentimento</t>
  </si>
  <si>
    <t>permanente</t>
  </si>
  <si>
    <t>temos</t>
  </si>
  <si>
    <t>caminhamos</t>
  </si>
  <si>
    <t>escorregamos</t>
  </si>
  <si>
    <t>ou</t>
  </si>
  <si>
    <t>tropeçamos</t>
  </si>
  <si>
    <t>chão</t>
  </si>
  <si>
    <t>nossos</t>
  </si>
  <si>
    <t>pés</t>
  </si>
  <si>
    <t># text = Mas em vez de durar meio segundo, como é costume, durou seis meses.</t>
  </si>
  <si>
    <t>meio</t>
  </si>
  <si>
    <t>segundo</t>
  </si>
  <si>
    <t>costume</t>
  </si>
  <si>
    <t>durou</t>
  </si>
  <si>
    <t>seis</t>
  </si>
  <si>
    <t>meses</t>
  </si>
  <si>
    <t># text = É a sensação de ter medo todo o tempo mas sem sequer saber o que se teme.</t>
  </si>
  <si>
    <t>É</t>
  </si>
  <si>
    <t>sensação</t>
  </si>
  <si>
    <t>medo</t>
  </si>
  <si>
    <t>todo</t>
  </si>
  <si>
    <t>tempo</t>
  </si>
  <si>
    <t>sequer</t>
  </si>
  <si>
    <t>teme</t>
  </si>
  <si>
    <t># text = Foi nesse momento que comecei a pensar que era demasiado doloroso estar vivo e que a única razão para não me suicidar era não magoar as outras pessoas.</t>
  </si>
  <si>
    <t>esse</t>
  </si>
  <si>
    <t>era</t>
  </si>
  <si>
    <t>doloroso</t>
  </si>
  <si>
    <t>vivo</t>
  </si>
  <si>
    <t>única</t>
  </si>
  <si>
    <t>OBJ_9</t>
  </si>
  <si>
    <t>suicidar</t>
  </si>
  <si>
    <t>magoar</t>
  </si>
  <si>
    <t>outras</t>
  </si>
  <si>
    <t>OBJ_7</t>
  </si>
  <si>
    <t># text = Finalmente um dia, acordei e pensei que talvez tivesse tido um AVC, porque estava na cama completamente paralisado, a olhar para o telefone, a pensar:</t>
  </si>
  <si>
    <t>Finalmente</t>
  </si>
  <si>
    <t>dia</t>
  </si>
  <si>
    <t>acordei</t>
  </si>
  <si>
    <t>pensei</t>
  </si>
  <si>
    <t>talvez</t>
  </si>
  <si>
    <t>tivesse</t>
  </si>
  <si>
    <t>tido</t>
  </si>
  <si>
    <t>AVC</t>
  </si>
  <si>
    <t>porque</t>
  </si>
  <si>
    <t>estava</t>
  </si>
  <si>
    <t>cama</t>
  </si>
  <si>
    <t>completamente</t>
  </si>
  <si>
    <t>paralisado</t>
  </si>
  <si>
    <t>olhar</t>
  </si>
  <si>
    <t>telefone</t>
  </si>
  <si>
    <t># text = \"Algo está mal e devia pedir ajuda\".</t>
  </si>
  <si>
    <t>Algo</t>
  </si>
  <si>
    <t>está</t>
  </si>
  <si>
    <t>mal</t>
  </si>
  <si>
    <t>devia</t>
  </si>
  <si>
    <t>ajuda</t>
  </si>
  <si>
    <t># text = Ma não conseguia mexer o braço, pegar no telefone e marcar.</t>
  </si>
  <si>
    <t>Ma</t>
  </si>
  <si>
    <t>conseguia</t>
  </si>
  <si>
    <t>mexer</t>
  </si>
  <si>
    <t>braço</t>
  </si>
  <si>
    <t>pegar</t>
  </si>
  <si>
    <t>marcar</t>
  </si>
  <si>
    <t># text = Por fim, depois de quatro horas inteiras, deitado, a olhar para ele, o telefone tocou.</t>
  </si>
  <si>
    <t>Por</t>
  </si>
  <si>
    <t>fim</t>
  </si>
  <si>
    <t>quatro</t>
  </si>
  <si>
    <t>horas</t>
  </si>
  <si>
    <t>inteiras</t>
  </si>
  <si>
    <t>deitado</t>
  </si>
  <si>
    <t>ele</t>
  </si>
  <si>
    <t>tocou</t>
  </si>
  <si>
    <t># text = Não sei como, consegui atender.</t>
  </si>
  <si>
    <t>sei</t>
  </si>
  <si>
    <t>consegui</t>
  </si>
  <si>
    <t>atender</t>
  </si>
  <si>
    <t># text = Era o meu pai e eu disse:</t>
  </si>
  <si>
    <t>pai</t>
  </si>
  <si>
    <t>disse</t>
  </si>
  <si>
    <t># text = \"Estou com um problema grave.</t>
  </si>
  <si>
    <t>Estou</t>
  </si>
  <si>
    <t>problema</t>
  </si>
  <si>
    <t># text = Precisamos de fazer qualquer coisa."</t>
  </si>
  <si>
    <t>Precisamos</t>
  </si>
  <si>
    <t>qualquer</t>
  </si>
  <si>
    <t>coisa</t>
  </si>
  <si>
    <t># text = No dia seguinte, comecei com a medicação e com a terapia.</t>
  </si>
  <si>
    <t>seguinte</t>
  </si>
  <si>
    <t>medicação</t>
  </si>
  <si>
    <t>terapia</t>
  </si>
  <si>
    <t># text = Também comecei a dar conta desta questão terrível:</t>
  </si>
  <si>
    <t>Também</t>
  </si>
  <si>
    <t>conta</t>
  </si>
  <si>
    <t>esta</t>
  </si>
  <si>
    <t>questão</t>
  </si>
  <si>
    <t>terrível</t>
  </si>
  <si>
    <t># text = Se eu não sou aquela pessoa dura que poderia sobreviver a um campo de concentração, então quem sou eu?</t>
  </si>
  <si>
    <t>sou</t>
  </si>
  <si>
    <t>aquela</t>
  </si>
  <si>
    <t>poderia</t>
  </si>
  <si>
    <t>quem</t>
  </si>
  <si>
    <t>?</t>
  </si>
  <si>
    <t># text = Se tenho de tomar medicação, a medicação está a tornar-me mais "eu" ou a transformar-me noutra pessoa?</t>
  </si>
  <si>
    <t>mais</t>
  </si>
  <si>
    <t>&amp;quot;eu</t>
  </si>
  <si>
    <t>transformar</t>
  </si>
  <si>
    <t>outra</t>
  </si>
  <si>
    <t># text = Como é que me sinto, se me está a transformar noutra pessoa?</t>
  </si>
  <si>
    <t>Como</t>
  </si>
  <si>
    <t>sinto</t>
  </si>
  <si>
    <t># text = Eu tive duas vantagens na minha luta.</t>
  </si>
  <si>
    <t>Eu</t>
  </si>
  <si>
    <t>duas</t>
  </si>
  <si>
    <t>vantagens</t>
  </si>
  <si>
    <t>luta</t>
  </si>
  <si>
    <t># text = A primeira é que eu sabia que, falando objetivamente, eu tinha uma vida boa, e se conseguisse ficar bem, havia algo no final do caminho que valia a pena viver.</t>
  </si>
  <si>
    <t>primeira</t>
  </si>
  <si>
    <t>falando</t>
  </si>
  <si>
    <t>objetivamente</t>
  </si>
  <si>
    <t>vida</t>
  </si>
  <si>
    <t>boa</t>
  </si>
  <si>
    <t>conseguisse</t>
  </si>
  <si>
    <t>bem</t>
  </si>
  <si>
    <t>algo</t>
  </si>
  <si>
    <t>final</t>
  </si>
  <si>
    <t>caminho</t>
  </si>
  <si>
    <t>valia</t>
  </si>
  <si>
    <t>pena</t>
  </si>
  <si>
    <t># text = A outra vantagem é que tinha acesso a um bom tratamento.</t>
  </si>
  <si>
    <t>vantagem</t>
  </si>
  <si>
    <t>acesso</t>
  </si>
  <si>
    <t>bom</t>
  </si>
  <si>
    <t>tratamento</t>
  </si>
  <si>
    <t># text = Apesar disso, melhorei e tive uma recaída, melhorei e tive uma recaída, melhorei e tive uma recaída.</t>
  </si>
  <si>
    <t>Apesar</t>
  </si>
  <si>
    <t>melhorei</t>
  </si>
  <si>
    <t>recaída</t>
  </si>
  <si>
    <t># text = Por fim compreendi que teria de ter medicação e terapia para sempre.</t>
  </si>
  <si>
    <t>compreendi</t>
  </si>
  <si>
    <t>teria</t>
  </si>
  <si>
    <t># text = E pensei:</t>
  </si>
  <si>
    <t># text = \"Isto é um problema químico ou um problema psicológico?</t>
  </si>
  <si>
    <t>Isto</t>
  </si>
  <si>
    <t>químico</t>
  </si>
  <si>
    <t>psicológico</t>
  </si>
  <si>
    <t># text = "Necessita duma cura química ou duma cura filosófica?"</t>
  </si>
  <si>
    <t>Necessita</t>
  </si>
  <si>
    <t>cura</t>
  </si>
  <si>
    <t>química</t>
  </si>
  <si>
    <t>filosófica</t>
  </si>
  <si>
    <t># text = Não consegui descobrir qual era o caso.</t>
  </si>
  <si>
    <t>qual</t>
  </si>
  <si>
    <t>pron.pint</t>
  </si>
  <si>
    <t>caso</t>
  </si>
  <si>
    <t># text = Depois compreendi que não temos conhecimentos suficientes em nenhuma destas áreas para explicar as coisas completamente.</t>
  </si>
  <si>
    <t>conhecimentos</t>
  </si>
  <si>
    <t>suficientes</t>
  </si>
  <si>
    <t>áreas</t>
  </si>
  <si>
    <t>explicar</t>
  </si>
  <si>
    <t># text = A cura química e a cura psicológica ambas têm um papel a desempenhar, e também descobri que a depressão era uma coisa que estava tão enraizada dentro de nós que não havia forma de a separar do nosso carácter e personalidade.</t>
  </si>
  <si>
    <t>psicológica</t>
  </si>
  <si>
    <t>ambas</t>
  </si>
  <si>
    <t>têm</t>
  </si>
  <si>
    <t>papel</t>
  </si>
  <si>
    <t>desempenhar</t>
  </si>
  <si>
    <t>também</t>
  </si>
  <si>
    <t>descobri</t>
  </si>
  <si>
    <t>tão</t>
  </si>
  <si>
    <t>enraizada</t>
  </si>
  <si>
    <t>dentro</t>
  </si>
  <si>
    <t>nós</t>
  </si>
  <si>
    <t>separar</t>
  </si>
  <si>
    <t>nosso</t>
  </si>
  <si>
    <t>other_10</t>
  </si>
  <si>
    <t>carácter</t>
  </si>
  <si>
    <t>personalidade</t>
  </si>
  <si>
    <t># text = Quero dizer que os tratamentos que temos para a depressão são terríveis.</t>
  </si>
  <si>
    <t>Quero</t>
  </si>
  <si>
    <t>tratamentos</t>
  </si>
  <si>
    <t>são</t>
  </si>
  <si>
    <t>terríveis</t>
  </si>
  <si>
    <t># text = Não são muito eficazes.</t>
  </si>
  <si>
    <t>muito</t>
  </si>
  <si>
    <t>eficazes</t>
  </si>
  <si>
    <t># text = São extremamente caros.</t>
  </si>
  <si>
    <t>São</t>
  </si>
  <si>
    <t>extremamente</t>
  </si>
  <si>
    <t>caros</t>
  </si>
  <si>
    <t># text = Têm inumeráveis efeitos secundários.</t>
  </si>
  <si>
    <t>Têm</t>
  </si>
  <si>
    <t>inumeráveis</t>
  </si>
  <si>
    <t>efeitos</t>
  </si>
  <si>
    <t>secundários</t>
  </si>
  <si>
    <t># text = São um desastre.</t>
  </si>
  <si>
    <t>desastre</t>
  </si>
  <si>
    <t># text = Mas sinto-me muito grato de viver hoje e não há 50 anos, quando não havia quase nada a fazer.</t>
  </si>
  <si>
    <t>hoje</t>
  </si>
  <si>
    <t>há</t>
  </si>
  <si>
    <t># text = Espero que daqui a 50 anos, as pessoas ouçam falar dos meus tratamentos e fiquem horrorizadas que alguém tenha aguentado uma ciência tão primitiva.</t>
  </si>
  <si>
    <t>Espero</t>
  </si>
  <si>
    <t>aqui</t>
  </si>
  <si>
    <t>ouçam</t>
  </si>
  <si>
    <t>fiquem</t>
  </si>
  <si>
    <t>horrorizadas</t>
  </si>
  <si>
    <t>tenha</t>
  </si>
  <si>
    <t>aguentado</t>
  </si>
  <si>
    <t>ciência</t>
  </si>
  <si>
    <t>primitiva</t>
  </si>
  <si>
    <t># text = A depressão é a falha no amor.</t>
  </si>
  <si>
    <t>falha</t>
  </si>
  <si>
    <t>amor</t>
  </si>
  <si>
    <t># text = Se estivessem casados com alguém e pensassem: "Se a minha mulher morrer, encontrarei outra", não seria amor como o concebemos.</t>
  </si>
  <si>
    <t>casados</t>
  </si>
  <si>
    <t>pensassem</t>
  </si>
  <si>
    <t>mulher</t>
  </si>
  <si>
    <t>encontrarei</t>
  </si>
  <si>
    <t>seria</t>
  </si>
  <si>
    <t>concebemos</t>
  </si>
  <si>
    <t># text = Não existe amor sem o sentimento de perda.</t>
  </si>
  <si>
    <t>existe</t>
  </si>
  <si>
    <t>perda</t>
  </si>
  <si>
    <t># text = Esse espectro do desespero pode ser o motor da intimidade.</t>
  </si>
  <si>
    <t>Esse</t>
  </si>
  <si>
    <t>espectro</t>
  </si>
  <si>
    <t>desespero</t>
  </si>
  <si>
    <t>pode</t>
  </si>
  <si>
    <t>motor</t>
  </si>
  <si>
    <t>intimidade</t>
  </si>
  <si>
    <t># text = Há três coisas que as pessoas costumam confundir: depressão, mágoa e tristeza.</t>
  </si>
  <si>
    <t>Há</t>
  </si>
  <si>
    <t>costumam</t>
  </si>
  <si>
    <t>confundir</t>
  </si>
  <si>
    <t>mágoa</t>
  </si>
  <si>
    <t>tristeza</t>
  </si>
  <si>
    <t># text = A mágoa é explicitamente reativa.</t>
  </si>
  <si>
    <t>explicitamente</t>
  </si>
  <si>
    <t>reativa</t>
  </si>
  <si>
    <t># text = Se perdemos alguém e nos sentimos muito infelizes, e depois, seis meses mais tarde, ainda estamos tristes, mas começamos a reagir um pouco melhor, provavelmente é mágoa.</t>
  </si>
  <si>
    <t>perdemos</t>
  </si>
  <si>
    <t>sentimos</t>
  </si>
  <si>
    <t>infelizes</t>
  </si>
  <si>
    <t>tarde</t>
  </si>
  <si>
    <t>ainda</t>
  </si>
  <si>
    <t>tristes</t>
  </si>
  <si>
    <t>começamos</t>
  </si>
  <si>
    <t>reagir</t>
  </si>
  <si>
    <t>pouco</t>
  </si>
  <si>
    <t>melhor</t>
  </si>
  <si>
    <t>provavelmente</t>
  </si>
  <si>
    <t># text = Provavelmente acaba por passar sozinha, seja como for.</t>
  </si>
  <si>
    <t>Provavelmente</t>
  </si>
  <si>
    <t>acaba</t>
  </si>
  <si>
    <t>sozinha</t>
  </si>
  <si>
    <t>seja</t>
  </si>
  <si>
    <t>for</t>
  </si>
  <si>
    <t># text = Se sofremos uma perda catastrófica e nos sentimos mal, e seis meses depois não conseguimos reagir nada, provavelmente é uma depressão despoletada pelas circunstâncias catastróficas.</t>
  </si>
  <si>
    <t>sofremos</t>
  </si>
  <si>
    <t>catastrófica</t>
  </si>
  <si>
    <t>despoletada</t>
  </si>
  <si>
    <t>circunstâncias</t>
  </si>
  <si>
    <t>catastróficas</t>
  </si>
  <si>
    <t># text = A trajetória diz-nos muito.</t>
  </si>
  <si>
    <t>trajetória</t>
  </si>
  <si>
    <t>diz</t>
  </si>
  <si>
    <t>nos</t>
  </si>
  <si>
    <t># text = As pessoas pensam que a depressão é apenas sentir-se triste.</t>
  </si>
  <si>
    <t>As</t>
  </si>
  <si>
    <t>pensam</t>
  </si>
  <si>
    <t>apenas</t>
  </si>
  <si>
    <t>triste</t>
  </si>
  <si>
    <t># text = É muito, muito mais do que muita tristeza muito mais do que mágoa por uma causa mais leve.</t>
  </si>
  <si>
    <t>muita</t>
  </si>
  <si>
    <t>causa</t>
  </si>
  <si>
    <t>leve</t>
  </si>
  <si>
    <t># text = Quando me dispus a compreender a depressão e intervir junto de pessoas que tiveram essa experiência, achei que havia pessoas que, aparentemente, à primeira vista, estavam com uma depressão relativamente suave mas que, no entanto, estavam totalmente incapacitadas.</t>
  </si>
  <si>
    <t>Quando</t>
  </si>
  <si>
    <t>dispus</t>
  </si>
  <si>
    <t>intervir</t>
  </si>
  <si>
    <t>junto</t>
  </si>
  <si>
    <t>SBJ_8</t>
  </si>
  <si>
    <t>tiveram</t>
  </si>
  <si>
    <t>essa</t>
  </si>
  <si>
    <t>experiência</t>
  </si>
  <si>
    <t>OBJ_8</t>
  </si>
  <si>
    <t>achei</t>
  </si>
  <si>
    <t>aparentemente</t>
  </si>
  <si>
    <t>vista</t>
  </si>
  <si>
    <t>relativamente</t>
  </si>
  <si>
    <t>suave</t>
  </si>
  <si>
    <t>totalmente</t>
  </si>
  <si>
    <t>incapacitadas</t>
  </si>
  <si>
    <t># text = E havia outras pessoas que, segundo as suas descrições tinham tido uma depressão terrível mas que, no entanto, tinham tido uma boa vida nos intervalos entre os episódios depressivos.</t>
  </si>
  <si>
    <t>descrições</t>
  </si>
  <si>
    <t>tinham</t>
  </si>
  <si>
    <t>intervalos</t>
  </si>
  <si>
    <t>entre</t>
  </si>
  <si>
    <t>episódios</t>
  </si>
  <si>
    <t>depressivos</t>
  </si>
  <si>
    <t># text = E propus-me descobrir o que é que faz com que algumas pessoas sejam mais resistentes que outras pessoas.</t>
  </si>
  <si>
    <t>propus</t>
  </si>
  <si>
    <t>faz</t>
  </si>
  <si>
    <t>algumas</t>
  </si>
  <si>
    <t>sejam</t>
  </si>
  <si>
    <t>resistentes</t>
  </si>
  <si>
    <t># text = Quais são os mecanismos que permitem às pessoas sobreviver?</t>
  </si>
  <si>
    <t>Quais</t>
  </si>
  <si>
    <t>mecanismos</t>
  </si>
  <si>
    <t>permitem</t>
  </si>
  <si>
    <t># text = Comecei a entrevistar pessoas, umas atrás de outras, que estavam a sofrer de depressão.</t>
  </si>
  <si>
    <t>Comecei</t>
  </si>
  <si>
    <t>entrevistar</t>
  </si>
  <si>
    <t>umas</t>
  </si>
  <si>
    <t>atrás</t>
  </si>
  <si>
    <t>sofrer</t>
  </si>
  <si>
    <t># text = Uma das primeiras pessoas que entrevistei descreveu a depressão como uma forma mais lenta de morrer.</t>
  </si>
  <si>
    <t>primeiras</t>
  </si>
  <si>
    <t>entrevistei</t>
  </si>
  <si>
    <t>descreveu</t>
  </si>
  <si>
    <t>lenta</t>
  </si>
  <si>
    <t># text = Foi bom para mim ouvir isso no início porque recordou-me que uma forma lenta de morrer pode levar mesmo à morte.</t>
  </si>
  <si>
    <t>início</t>
  </si>
  <si>
    <t>recordou</t>
  </si>
  <si>
    <t>mesmo</t>
  </si>
  <si>
    <t>morte</t>
  </si>
  <si>
    <t># text = Isto é uma questão grave, é a principal causa de incapacidade em todo o mundo e as pessoas morrem disso todos os dias.</t>
  </si>
  <si>
    <t>principal</t>
  </si>
  <si>
    <t>incapacidade</t>
  </si>
  <si>
    <t>morrem</t>
  </si>
  <si>
    <t>dias</t>
  </si>
  <si>
    <t># text = Uma das pessoas com quem conversei quando eu estava a tentar compreender isto foi uma grande amiga que eu conhecia há muitos anos.</t>
  </si>
  <si>
    <t>conversei</t>
  </si>
  <si>
    <t>isto</t>
  </si>
  <si>
    <t>amiga</t>
  </si>
  <si>
    <t>conhecia</t>
  </si>
  <si>
    <t>muitos</t>
  </si>
  <si>
    <t># text = Tinha tido um episódio psicótico quando era caloira na faculdade.</t>
  </si>
  <si>
    <t>Tinha</t>
  </si>
  <si>
    <t>episódio</t>
  </si>
  <si>
    <t>psicótico</t>
  </si>
  <si>
    <t>caloira</t>
  </si>
  <si>
    <t>faculdade</t>
  </si>
  <si>
    <t># text = Depois caiu numa depressão horrível.</t>
  </si>
  <si>
    <t>caiu</t>
  </si>
  <si>
    <t>horrível</t>
  </si>
  <si>
    <t># text = Ela tinha doença bipolar, ou psicose maníaco-depressiva, como era conhecida na altura.</t>
  </si>
  <si>
    <t>Ela</t>
  </si>
  <si>
    <t>doença</t>
  </si>
  <si>
    <t>bipolar</t>
  </si>
  <si>
    <t>psicose</t>
  </si>
  <si>
    <t>maníaco-depressiva</t>
  </si>
  <si>
    <t>conhecida</t>
  </si>
  <si>
    <t>altura</t>
  </si>
  <si>
    <t># text = Durante muitos anos, teve ótimos resultados com lítio.</t>
  </si>
  <si>
    <t>Durante</t>
  </si>
  <si>
    <t>teve</t>
  </si>
  <si>
    <t>ótimos</t>
  </si>
  <si>
    <t>resultados</t>
  </si>
  <si>
    <t>lítio</t>
  </si>
  <si>
    <t># text = Depois retiraram-lhe o lítio para ver como se saía sem ele, e ela teve outra psicose.</t>
  </si>
  <si>
    <t>retiraram</t>
  </si>
  <si>
    <t>lhe</t>
  </si>
  <si>
    <t>ver</t>
  </si>
  <si>
    <t>saía</t>
  </si>
  <si>
    <t>ela</t>
  </si>
  <si>
    <t># text = Mergulhou na pior depressão que eu já vira.</t>
  </si>
  <si>
    <t>Mergulhou</t>
  </si>
  <si>
    <t>pior</t>
  </si>
  <si>
    <t>já</t>
  </si>
  <si>
    <t>vira</t>
  </si>
  <si>
    <t># text = Ficava sentada no apartamento dos pais, mais ou menos catatónica, essencialmente sem se mover, dia após dia, após dia.</t>
  </si>
  <si>
    <t>Ficava</t>
  </si>
  <si>
    <t>sentada</t>
  </si>
  <si>
    <t>apartamento</t>
  </si>
  <si>
    <t>pais</t>
  </si>
  <si>
    <t>catatónica</t>
  </si>
  <si>
    <t>essencialmente</t>
  </si>
  <si>
    <t>mover</t>
  </si>
  <si>
    <t>após</t>
  </si>
  <si>
    <t># text = Entrevistei-a sobre essa experiência, uns anos mais tarde.</t>
  </si>
  <si>
    <t>Entrevistei</t>
  </si>
  <si>
    <t># text = Ela é poeta e psicoterapeuta, chama-se Maggie Robbins.</t>
  </si>
  <si>
    <t>poeta</t>
  </si>
  <si>
    <t>psicoterapeuta</t>
  </si>
  <si>
    <t>chama</t>
  </si>
  <si>
    <t>Maggie</t>
  </si>
  <si>
    <t>Robbins</t>
  </si>
  <si>
    <t># text = Quando a entrevistei, ela disse-me:</t>
  </si>
  <si>
    <t># text = "Eu estava a cantar 'Para onde foram todas as flores?'</t>
  </si>
  <si>
    <t>cantar</t>
  </si>
  <si>
    <t>'</t>
  </si>
  <si>
    <t>Para</t>
  </si>
  <si>
    <t>onde</t>
  </si>
  <si>
    <t>foram</t>
  </si>
  <si>
    <t>flores</t>
  </si>
  <si>
    <t># text = \"repetia vezes sem conta para ocupar o meu espírito.</t>
  </si>
  <si>
    <t>repetia</t>
  </si>
  <si>
    <t>vezes</t>
  </si>
  <si>
    <t>ocupar</t>
  </si>
  <si>
    <t># text = \"Cantava para apagar as coisas que a minha cabeça dizia:</t>
  </si>
  <si>
    <t>Cantava</t>
  </si>
  <si>
    <t>apagar</t>
  </si>
  <si>
    <t>cabeça</t>
  </si>
  <si>
    <t>dizia</t>
  </si>
  <si>
    <t># text = "'Tu não és nada.</t>
  </si>
  <si>
    <t>Tu</t>
  </si>
  <si>
    <t>és</t>
  </si>
  <si>
    <t># text = Tu não és ninguém.</t>
  </si>
  <si>
    <t>ninguém</t>
  </si>
  <si>
    <t># text = "Nem sequer mereces viver.'</t>
  </si>
  <si>
    <t>Nem</t>
  </si>
  <si>
    <t>mereces</t>
  </si>
  <si>
    <t>.'</t>
  </si>
  <si>
    <t># text = Foi quando comecei a pensar em matar-me.\" Numa depressão, não pensamos que colocamos um véu cinzento e estamos a ver o mundo através da neblina de um mau humor.</t>
  </si>
  <si>
    <t>matar</t>
  </si>
  <si>
    <t>pensamos</t>
  </si>
  <si>
    <t>colocamos</t>
  </si>
  <si>
    <t>véu</t>
  </si>
  <si>
    <t>cinzento</t>
  </si>
  <si>
    <t>neblina</t>
  </si>
  <si>
    <t>mau</t>
  </si>
  <si>
    <t>humor</t>
  </si>
  <si>
    <t># text = Achamos que retiraram o véu, o véu da felicidade, e que agora é que estamos a ver verdadeiramente.</t>
  </si>
  <si>
    <t>Achamos</t>
  </si>
  <si>
    <t>agora</t>
  </si>
  <si>
    <t>verdadeiramente</t>
  </si>
  <si>
    <t># text = É mais fácil ajudar esquizofrénicos que sentem que há algo estranho dentro deles que precisa ser exorcizado.</t>
  </si>
  <si>
    <t>fácil</t>
  </si>
  <si>
    <t>ajudar</t>
  </si>
  <si>
    <t>esquizofrénicos</t>
  </si>
  <si>
    <t>sentem</t>
  </si>
  <si>
    <t>estranho</t>
  </si>
  <si>
    <t>eles</t>
  </si>
  <si>
    <t>SBJ_9</t>
  </si>
  <si>
    <t>precisa</t>
  </si>
  <si>
    <t>exorcizado</t>
  </si>
  <si>
    <t># text = Mas é difícil com deprimidos, porque acreditamos que estamos a ver a verdade.</t>
  </si>
  <si>
    <t>difícil</t>
  </si>
  <si>
    <t>deprimidos</t>
  </si>
  <si>
    <t>acreditamos</t>
  </si>
  <si>
    <t>verdade</t>
  </si>
  <si>
    <t># text = Mas a verdade mente.</t>
  </si>
  <si>
    <t># text = Fiquei obcecado com esta frase:</t>
  </si>
  <si>
    <t>Fiquei</t>
  </si>
  <si>
    <t>obcecado</t>
  </si>
  <si>
    <t>frase</t>
  </si>
  <si>
    <t># text = \"Mas a verdade mente.\" Descobri , à medida que falava com pessoas deprimidas, que elas têm muitas perceções delirantes.</t>
  </si>
  <si>
    <t>Descobri</t>
  </si>
  <si>
    <t>medida</t>
  </si>
  <si>
    <t>falava</t>
  </si>
  <si>
    <t>deprimidas</t>
  </si>
  <si>
    <t>elas</t>
  </si>
  <si>
    <t>muitas</t>
  </si>
  <si>
    <t>perceções</t>
  </si>
  <si>
    <t>delirantes</t>
  </si>
  <si>
    <t># text = As pessoas dizem: "Ninguém me ama".</t>
  </si>
  <si>
    <t>dizem</t>
  </si>
  <si>
    <t>Ninguém</t>
  </si>
  <si>
    <t>ama</t>
  </si>
  <si>
    <t># text = E nós dizemos: "Eu amo-te, a tua mulher ama-te, a tua mãe ama-te." Podemos responder a essa muito rapidamente, pelo menos à maioria das pessoas.</t>
  </si>
  <si>
    <t>dizemos</t>
  </si>
  <si>
    <t>amo</t>
  </si>
  <si>
    <t>te</t>
  </si>
  <si>
    <t>tua</t>
  </si>
  <si>
    <t>Podemos</t>
  </si>
  <si>
    <t>rapidamente</t>
  </si>
  <si>
    <t># text = Mas as pessoas que estão deprimidas também dirão: \"Façamos o que fizermos, acabamos todos por morrer.\"</t>
  </si>
  <si>
    <t>estão</t>
  </si>
  <si>
    <t>dirão</t>
  </si>
  <si>
    <t>Façamos</t>
  </si>
  <si>
    <t>fizermos</t>
  </si>
  <si>
    <t>acabamos</t>
  </si>
  <si>
    <t># text = Ou dirão: "Não pode haver uma verdadeira comunhão entre dois seres humanos.</t>
  </si>
  <si>
    <t>verdadeira</t>
  </si>
  <si>
    <t>comunhão</t>
  </si>
  <si>
    <t>dois</t>
  </si>
  <si>
    <t>seres</t>
  </si>
  <si>
    <t>humanos</t>
  </si>
  <si>
    <t># text = \"Cada um de nós está preso no seu próprio corpo.\"</t>
  </si>
  <si>
    <t>Cada</t>
  </si>
  <si>
    <t>seu</t>
  </si>
  <si>
    <t>próprio</t>
  </si>
  <si>
    <t>corpo</t>
  </si>
  <si>
    <t># text = Ao que temos de responder: \"Isso é verdade, \"Mas acho que agora devemos concentrar-nos \"no que temos para o pequeno-almoço.\" (Risos)</t>
  </si>
  <si>
    <t>Isso</t>
  </si>
  <si>
    <t>acho</t>
  </si>
  <si>
    <t>devemos</t>
  </si>
  <si>
    <t>concentrar</t>
  </si>
  <si>
    <t>pequeno-almoço</t>
  </si>
  <si>
    <t>(</t>
  </si>
  <si>
    <t>Risos</t>
  </si>
  <si>
    <t>)</t>
  </si>
  <si>
    <t># text = Na maior parte das vezes, o que eles exprimem não é uma doença, mas uma visão, e chegamos a pensar que é extraordinário que a maioria de nós conheça estas questões existenciais e elas não nos perturbem muito.</t>
  </si>
  <si>
    <t>maior</t>
  </si>
  <si>
    <t>parte</t>
  </si>
  <si>
    <t>exprimem</t>
  </si>
  <si>
    <t>visão</t>
  </si>
  <si>
    <t>chegamos</t>
  </si>
  <si>
    <t>extraordinário</t>
  </si>
  <si>
    <t>conheça</t>
  </si>
  <si>
    <t>questões</t>
  </si>
  <si>
    <t>existenciais</t>
  </si>
  <si>
    <t>perturbem</t>
  </si>
  <si>
    <t># text = Houve um estudo de que eu gostei especialmente em que pessoas deprimidas e pessoas não-deprimidas foram convidadas a jogar um jogo vídeo durante uma hora.</t>
  </si>
  <si>
    <t>Houve</t>
  </si>
  <si>
    <t>estudo</t>
  </si>
  <si>
    <t>gostei</t>
  </si>
  <si>
    <t>especialmente</t>
  </si>
  <si>
    <t>não-deprimidas</t>
  </si>
  <si>
    <t>convidadas</t>
  </si>
  <si>
    <t>jogar</t>
  </si>
  <si>
    <t>jogo</t>
  </si>
  <si>
    <t>vídeo</t>
  </si>
  <si>
    <t>durante</t>
  </si>
  <si>
    <t>hora</t>
  </si>
  <si>
    <t># text = No final dessa hora, perguntaram-lhes quantos monstrinhos achavam que tinham matado.</t>
  </si>
  <si>
    <t>perguntaram</t>
  </si>
  <si>
    <t>lhes</t>
  </si>
  <si>
    <t>quantos</t>
  </si>
  <si>
    <t>monstrinhos</t>
  </si>
  <si>
    <t>achavam</t>
  </si>
  <si>
    <t>matado</t>
  </si>
  <si>
    <t># text = O grupo de depressivos, geralmente, era preciso com uma margem de erro de cerca de 10%.</t>
  </si>
  <si>
    <t>grupo</t>
  </si>
  <si>
    <t>geralmente</t>
  </si>
  <si>
    <t>preciso</t>
  </si>
  <si>
    <t>margem</t>
  </si>
  <si>
    <t>erro</t>
  </si>
  <si>
    <t>cerca</t>
  </si>
  <si>
    <t>%</t>
  </si>
  <si>
    <t># text = As pessoas não-deprimidas avaliaram os monstrinhos em cerca de 15 a 20 vezes mais... ... do que tinham matado na realidade.</t>
  </si>
  <si>
    <t>avaliaram</t>
  </si>
  <si>
    <t>...</t>
  </si>
  <si>
    <t>realidade</t>
  </si>
  <si>
    <t># text = Quando eu decidi escrever sobre a minha depressão muita gente disse que devia ser muito difícil expor-me assim, para que toda a gente soubesse.</t>
  </si>
  <si>
    <t>decidi</t>
  </si>
  <si>
    <t>escrever</t>
  </si>
  <si>
    <t>gente</t>
  </si>
  <si>
    <t>expor</t>
  </si>
  <si>
    <t>assim</t>
  </si>
  <si>
    <t>toda</t>
  </si>
  <si>
    <t>soubesse</t>
  </si>
  <si>
    <t># text = Diziam: "As pessoas falam contigo de forma diferente?" E eu: "Sim, falam comigo de forma diferente.</t>
  </si>
  <si>
    <t>Diziam</t>
  </si>
  <si>
    <t>falam</t>
  </si>
  <si>
    <t>contigo</t>
  </si>
  <si>
    <t>diferente</t>
  </si>
  <si>
    <t>Sim</t>
  </si>
  <si>
    <t># text = Falam comigo de forma diferente quando começam a contar-me as suas experiências, ou a experiência duma irmã, ou a experiência dum amigo.</t>
  </si>
  <si>
    <t>Falam</t>
  </si>
  <si>
    <t>começam</t>
  </si>
  <si>
    <t>contar</t>
  </si>
  <si>
    <t>irmã</t>
  </si>
  <si>
    <t>amigo</t>
  </si>
  <si>
    <t># text = As coisas são diferentes, porque agora eu sei que a depressão é um segredo de família que toda a gente tem.</t>
  </si>
  <si>
    <t>diferentes</t>
  </si>
  <si>
    <t>segredo</t>
  </si>
  <si>
    <t>família</t>
  </si>
  <si>
    <t>tem</t>
  </si>
  <si>
    <t># text = Há uns anos, fui a uma conferência.</t>
  </si>
  <si>
    <t>fui</t>
  </si>
  <si>
    <t>conferência</t>
  </si>
  <si>
    <t># text = Na sexta-feira da conferência de três dias, uma das participantes chamou-me à parte, e disse:</t>
  </si>
  <si>
    <t>sexta-feira</t>
  </si>
  <si>
    <t>participantes</t>
  </si>
  <si>
    <t>chamou</t>
  </si>
  <si>
    <t># text = \"Eu sofro de depressão e sinto-me um pouco envergonhada com isso.</t>
  </si>
  <si>
    <t>sofro</t>
  </si>
  <si>
    <t>envergonhada</t>
  </si>
  <si>
    <t># text = \"Mas tenho tomado este medicamento, \"e só queria perguntar-lhe o que é que acha?\" Fiz o melhor que pude para dar-lhe conselhos.</t>
  </si>
  <si>
    <t>tomado</t>
  </si>
  <si>
    <t>medicamento</t>
  </si>
  <si>
    <t>só</t>
  </si>
  <si>
    <t>acha</t>
  </si>
  <si>
    <t>Fiz</t>
  </si>
  <si>
    <t>pude</t>
  </si>
  <si>
    <t>conselhos</t>
  </si>
  <si>
    <t># text = Depois ela disse:</t>
  </si>
  <si>
    <t># text = \"Sabe, o meu marido nunca entenderia isto.</t>
  </si>
  <si>
    <t>Sabe</t>
  </si>
  <si>
    <t>marido</t>
  </si>
  <si>
    <t>nunca</t>
  </si>
  <si>
    <t>entenderia</t>
  </si>
  <si>
    <t># text = "Ele é o tipo de pessoa para quem isto não faria qualquer sentido, "Portanto, isto fica entre nós." E eu disse: "Sim, tudo bem."</t>
  </si>
  <si>
    <t>Ele</t>
  </si>
  <si>
    <t>tipo</t>
  </si>
  <si>
    <t>faria</t>
  </si>
  <si>
    <t>Portanto</t>
  </si>
  <si>
    <t>fica</t>
  </si>
  <si>
    <t># text = No domingo da mesma conferência, o marido dela chamou-me à parte e disse: "Se a minha mulher soubesse, "havia de achar que eu não era homem, não era nada, "mas eu tenho andado com uma depressão.</t>
  </si>
  <si>
    <t>domingo</t>
  </si>
  <si>
    <t>mesma</t>
  </si>
  <si>
    <t>homem</t>
  </si>
  <si>
    <t>andado</t>
  </si>
  <si>
    <t># text = Estou a tomar uns medicamentos e gostava de saber o que acha.\" Andavam a esconder a mesma medicação em dois lugares diferentes, no mesmo quarto.</t>
  </si>
  <si>
    <t>medicamentos</t>
  </si>
  <si>
    <t>gostava</t>
  </si>
  <si>
    <t>Andavam</t>
  </si>
  <si>
    <t>esconder</t>
  </si>
  <si>
    <t>lugares</t>
  </si>
  <si>
    <t>quarto</t>
  </si>
  <si>
    <t># text = Eu disse que achava que a comunicação dentro do casamento podia estar a provocar alguns dos problemas deles.</t>
  </si>
  <si>
    <t>achava</t>
  </si>
  <si>
    <t>comunicação</t>
  </si>
  <si>
    <t>casamento</t>
  </si>
  <si>
    <t>provocar</t>
  </si>
  <si>
    <t>alguns</t>
  </si>
  <si>
    <t>problemas</t>
  </si>
  <si>
    <t># text = Mas também fiquei impressionado pela natureza pesada de um tal segredo mútuo.</t>
  </si>
  <si>
    <t>fiquei</t>
  </si>
  <si>
    <t>impressionado</t>
  </si>
  <si>
    <t>natureza</t>
  </si>
  <si>
    <t>pesada</t>
  </si>
  <si>
    <t>tal</t>
  </si>
  <si>
    <t>mútuo</t>
  </si>
  <si>
    <t># text = A depressão é tão cansativa.</t>
  </si>
  <si>
    <t>cansativa</t>
  </si>
  <si>
    <t># text = Absorve tanto do nosso tempo e energia.</t>
  </si>
  <si>
    <t>Absorve</t>
  </si>
  <si>
    <t>tanto</t>
  </si>
  <si>
    <t>energia</t>
  </si>
  <si>
    <t># text = O silêncio sobre isso só piora a depressão.</t>
  </si>
  <si>
    <t>piora</t>
  </si>
  <si>
    <t># text = Então comecei a pensar em todas as formas que as pessoas usam para melhorar.</t>
  </si>
  <si>
    <t>formas</t>
  </si>
  <si>
    <t>usam</t>
  </si>
  <si>
    <t># text = Comecei como um médico conservador.</t>
  </si>
  <si>
    <t>médico</t>
  </si>
  <si>
    <t>conservador</t>
  </si>
  <si>
    <t># text = Pensei que havia alguns tipos de terapia que resultavam, sabia-se quais eram.</t>
  </si>
  <si>
    <t>Pensei</t>
  </si>
  <si>
    <t>tipos</t>
  </si>
  <si>
    <t>resultavam</t>
  </si>
  <si>
    <t>quais</t>
  </si>
  <si>
    <t>eram</t>
  </si>
  <si>
    <t># text = Havia medicação, Havia algumas psicoterapias, possivelmente havia tratamentos electroconvulsivos, e tudo o resto era absurdo.</t>
  </si>
  <si>
    <t>Havia</t>
  </si>
  <si>
    <t>psicoterapias</t>
  </si>
  <si>
    <t>possivelmente</t>
  </si>
  <si>
    <t>electroconvulsivos</t>
  </si>
  <si>
    <t>resto</t>
  </si>
  <si>
    <t>absurdo</t>
  </si>
  <si>
    <t># text = Mas então descobri uma coisa.</t>
  </si>
  <si>
    <t># text = Se temos cancro no cérebro, e dizemos que fazer o pino, durante 20 minutos, todas as manhãs, nos faz sentir melhor, podemos sentir-nos melhor, mas continuamos com cancro no cérebro.</t>
  </si>
  <si>
    <t>cancro</t>
  </si>
  <si>
    <t>pino</t>
  </si>
  <si>
    <t>minutos</t>
  </si>
  <si>
    <t>manhãs</t>
  </si>
  <si>
    <t>podemos</t>
  </si>
  <si>
    <t># text = Provavelmente vamos morrer disso.</t>
  </si>
  <si>
    <t>vamos</t>
  </si>
  <si>
    <t># text = Mas se temos uma depressão, e achamos que fazer o pino, durante 20 minutos todos os dias, nos faz sentir melhor, então funcionou.</t>
  </si>
  <si>
    <t>achamos</t>
  </si>
  <si>
    <t>funcionou</t>
  </si>
  <si>
    <t># text = Porque a depressão é uma doença de como nos sentimos.</t>
  </si>
  <si>
    <t>Porque</t>
  </si>
  <si>
    <t># text = Se nos sentimos melhor, é porque deixamos de estar deprimidos.</t>
  </si>
  <si>
    <t>deixamos</t>
  </si>
  <si>
    <t># text = Então tornei-me muito mais tolerante quanto ao vasto mundo dos tratamentos alternativos.</t>
  </si>
  <si>
    <t>tornei</t>
  </si>
  <si>
    <t>tolerante</t>
  </si>
  <si>
    <t>quanto</t>
  </si>
  <si>
    <t>vasto</t>
  </si>
  <si>
    <t>alternativos</t>
  </si>
  <si>
    <t># text = Recebo centenas de cartas de pessoas que escrevem a contar-me o que resultou com elas.</t>
  </si>
  <si>
    <t>Recebo</t>
  </si>
  <si>
    <t>centenas</t>
  </si>
  <si>
    <t>cartas</t>
  </si>
  <si>
    <t>escrevem</t>
  </si>
  <si>
    <t>resultou</t>
  </si>
  <si>
    <t># text = Ainda hoje me perguntaram nos bastidores sobre meditação.</t>
  </si>
  <si>
    <t>Ainda</t>
  </si>
  <si>
    <t>bastidores</t>
  </si>
  <si>
    <t>meditação</t>
  </si>
  <si>
    <t># text = De todas as cartas que recebi a minha preferida é de uma mulher que disse que tinha tentado terapia, tinha tentado medicação, tinha tentado quase tudo.</t>
  </si>
  <si>
    <t>De</t>
  </si>
  <si>
    <t>recebi</t>
  </si>
  <si>
    <t>preferida</t>
  </si>
  <si>
    <t>tentado</t>
  </si>
  <si>
    <t># text = Tinha encontrado uma solução e queria que eu contasse a toda gente.</t>
  </si>
  <si>
    <t>encontrado</t>
  </si>
  <si>
    <t>solução</t>
  </si>
  <si>
    <t>contasse</t>
  </si>
  <si>
    <t># text = Era fazer pequenos objetos de fios.</t>
  </si>
  <si>
    <t>pequenos</t>
  </si>
  <si>
    <t>objetos</t>
  </si>
  <si>
    <t>fios</t>
  </si>
  <si>
    <t># text = Ela mandou-me uns quantos.</t>
  </si>
  <si>
    <t>mandou</t>
  </si>
  <si>
    <t># text = Mas não estou a usá-los agora.</t>
  </si>
  <si>
    <t>estou</t>
  </si>
  <si>
    <t>usá</t>
  </si>
  <si>
    <t>los</t>
  </si>
  <si>
    <t># text = Sugeri-lhe que também devia procurar transtorno obsessivo-compulsivo no Manual de Doenças Mentais.</t>
  </si>
  <si>
    <t>Sugeri</t>
  </si>
  <si>
    <t>transtorno</t>
  </si>
  <si>
    <t>obsessivo-compulsivo</t>
  </si>
  <si>
    <t>Manual</t>
  </si>
  <si>
    <t>Doenças</t>
  </si>
  <si>
    <t>Mentais</t>
  </si>
  <si>
    <t># text = No entanto, quando investiguei os tratamentos alternativos, também ganhei perspetiva sobre outros tratamentos.</t>
  </si>
  <si>
    <t>investiguei</t>
  </si>
  <si>
    <t>ganhei</t>
  </si>
  <si>
    <t>perspetiva</t>
  </si>
  <si>
    <t>outros</t>
  </si>
  <si>
    <t># text = Passei por um exorcismo tribal no Senegal que envolvia muito sangue de carneiro e que eu não vou pormenorizar agora.</t>
  </si>
  <si>
    <t>Passei</t>
  </si>
  <si>
    <t>exorcismo</t>
  </si>
  <si>
    <t>tribal</t>
  </si>
  <si>
    <t>Senegal</t>
  </si>
  <si>
    <t>envolvia</t>
  </si>
  <si>
    <t>sangue</t>
  </si>
  <si>
    <t>carneiro</t>
  </si>
  <si>
    <t>vou</t>
  </si>
  <si>
    <t>pormenorizar</t>
  </si>
  <si>
    <t># text = Anos depois estive no Ruanda a trabalhar num projeto diferente, e descrevi a minha experiência a uma pessoa que disse:</t>
  </si>
  <si>
    <t>Anos</t>
  </si>
  <si>
    <t>estive</t>
  </si>
  <si>
    <t>Ruanda</t>
  </si>
  <si>
    <t>trabalhar</t>
  </si>
  <si>
    <t>projeto</t>
  </si>
  <si>
    <t>descrevi</t>
  </si>
  <si>
    <t># text = "Sabes, isso foi na África Ocidental.</t>
  </si>
  <si>
    <t>África</t>
  </si>
  <si>
    <t>Ocidental</t>
  </si>
  <si>
    <t># text = Nós estamos na África Oriental.</t>
  </si>
  <si>
    <t>Nós</t>
  </si>
  <si>
    <t>Oriental</t>
  </si>
  <si>
    <t># text = \"Os nossos rituais são diferentes.</t>
  </si>
  <si>
    <t>Os</t>
  </si>
  <si>
    <t>rituais</t>
  </si>
  <si>
    <t># text = \"Mas temos rituais que têm algo em comum com o que descreves.\"</t>
  </si>
  <si>
    <t>comum</t>
  </si>
  <si>
    <t>descreves</t>
  </si>
  <si>
    <t># text = E eu: "Oh." E ele disse: "Sim, mas tivemos problemas com os trabalhadores ocidentais de saúde mental, "especialmente aqueles que vieram depois do genocídio."</t>
  </si>
  <si>
    <t>Oh</t>
  </si>
  <si>
    <t>tivemos</t>
  </si>
  <si>
    <t>trabalhadores</t>
  </si>
  <si>
    <t>ocidentais</t>
  </si>
  <si>
    <t>saúde</t>
  </si>
  <si>
    <t>mental</t>
  </si>
  <si>
    <t>aqueles</t>
  </si>
  <si>
    <t>vieram</t>
  </si>
  <si>
    <t>genocídio</t>
  </si>
  <si>
    <t># text = E eu disse: "Que tipo de problema tiveram?"</t>
  </si>
  <si>
    <t>Que</t>
  </si>
  <si>
    <t># text = E ele disse:</t>
  </si>
  <si>
    <t># text = \"Eles faziam uma coisa bizarra.</t>
  </si>
  <si>
    <t>Eles</t>
  </si>
  <si>
    <t>faziam</t>
  </si>
  <si>
    <t>bizarra</t>
  </si>
  <si>
    <t># text = \"Não levavam as pessoas para o sol \"onde nos começamos a sentir melhor.</t>
  </si>
  <si>
    <t>levavam</t>
  </si>
  <si>
    <t>sol</t>
  </si>
  <si>
    <t># text = \"Não usavam tambores nem música para fazer circular o sangue.</t>
  </si>
  <si>
    <t>usavam</t>
  </si>
  <si>
    <t>tambores</t>
  </si>
  <si>
    <t>nem</t>
  </si>
  <si>
    <t>música</t>
  </si>
  <si>
    <t>circular</t>
  </si>
  <si>
    <t># text = \"Não envolviam a comunidade.</t>
  </si>
  <si>
    <t>envolviam</t>
  </si>
  <si>
    <t>comunidade</t>
  </si>
  <si>
    <t># text = "Não exteriorizavam a depressão como um espírito invasivo.</t>
  </si>
  <si>
    <t>exteriorizavam</t>
  </si>
  <si>
    <t>invasivo</t>
  </si>
  <si>
    <t># text = "Em vez disso, levavam as pessoas "uma de cada vez para salas sujas "e elas tinham de falar durante uma hora "sobre as coisas más que lhes tinham acontecido." (Aplausos)</t>
  </si>
  <si>
    <t>salas</t>
  </si>
  <si>
    <t>sujas</t>
  </si>
  <si>
    <t>más</t>
  </si>
  <si>
    <t>SBJ_10</t>
  </si>
  <si>
    <t>OBJ_10</t>
  </si>
  <si>
    <t>acontecido</t>
  </si>
  <si>
    <t>Aplausos</t>
  </si>
  <si>
    <t># text = E disse:</t>
  </si>
  <si>
    <t># text = "Tivemos que lhes pedir para saírem do país." Agora, no outro extremo dos tratamentos alternativos, vou falar sobre Frank Russakoff.</t>
  </si>
  <si>
    <t>Tivemos</t>
  </si>
  <si>
    <t>saírem</t>
  </si>
  <si>
    <t>país</t>
  </si>
  <si>
    <t>Agora</t>
  </si>
  <si>
    <t>outro</t>
  </si>
  <si>
    <t>extremo</t>
  </si>
  <si>
    <t>Frank</t>
  </si>
  <si>
    <t>Russakoff</t>
  </si>
  <si>
    <t># text = Frank Russakoff tinha a pior depressão que eu talvez já tenha visto num homem.</t>
  </si>
  <si>
    <t>visto</t>
  </si>
  <si>
    <t># text = Ele estava constantemente deprimido, quando o conheci, numa altura em que fazia um tratamento de choques elétricos todos os meses.</t>
  </si>
  <si>
    <t>constantemente</t>
  </si>
  <si>
    <t>conheci</t>
  </si>
  <si>
    <t>choques</t>
  </si>
  <si>
    <t>elétricos</t>
  </si>
  <si>
    <t># text = Ficava meio desorientado durante uma semana.</t>
  </si>
  <si>
    <t>desorientado</t>
  </si>
  <si>
    <t>semana</t>
  </si>
  <si>
    <t># text = Depois, sentia-se bem durante uma semana.</t>
  </si>
  <si>
    <t># text = Depois, começava a piorar e fazia outro tratamento de eletrochoques.</t>
  </si>
  <si>
    <t>começava</t>
  </si>
  <si>
    <t>eletrochoques</t>
  </si>
  <si>
    <t># text = Quando o conheci, disse-me: "É insuportável passar as semanas assim.</t>
  </si>
  <si>
    <t>insuportável</t>
  </si>
  <si>
    <t>semanas</t>
  </si>
  <si>
    <t># text = \"Não posso continuar neste caminho.</t>
  </si>
  <si>
    <t>posso</t>
  </si>
  <si>
    <t># text = "Acho que descobri como acabar com isto se não melhorar.</t>
  </si>
  <si>
    <t>Acho</t>
  </si>
  <si>
    <t># text = "Ouvi falar de um protocolo no Mass General "para um procedimento chamado cingulotomia "que é uma cirurgia ao cérebro, "e acho que vou tentar." Lembro-me de ter ficado espantado por pensar que uma pessoa que claramente tinha tido tantas experiências más com tantos tratamentos diferentes ainda tinha algures dentro dela otimismo suficiente para tentar mais um.</t>
  </si>
  <si>
    <t>Ouvi</t>
  </si>
  <si>
    <t>protocolo</t>
  </si>
  <si>
    <t>Mass</t>
  </si>
  <si>
    <t>General</t>
  </si>
  <si>
    <t>procedimento</t>
  </si>
  <si>
    <t>chamado</t>
  </si>
  <si>
    <t>cingulotomia</t>
  </si>
  <si>
    <t>cirurgia</t>
  </si>
  <si>
    <t>Lembro</t>
  </si>
  <si>
    <t>ficado</t>
  </si>
  <si>
    <t>espantado</t>
  </si>
  <si>
    <t>claramente</t>
  </si>
  <si>
    <t>tantas</t>
  </si>
  <si>
    <t>tantos</t>
  </si>
  <si>
    <t>other_11</t>
  </si>
  <si>
    <t>algures</t>
  </si>
  <si>
    <t>OBJ_11</t>
  </si>
  <si>
    <t>other_12</t>
  </si>
  <si>
    <t>otimismo</t>
  </si>
  <si>
    <t>SBJ_11</t>
  </si>
  <si>
    <t>suficiente</t>
  </si>
  <si>
    <t>OBJ_13</t>
  </si>
  <si>
    <t># text = Ele fez a cingulotomia que correu incrivelmente bem.</t>
  </si>
  <si>
    <t>fez</t>
  </si>
  <si>
    <t>correu</t>
  </si>
  <si>
    <t>incrivelmente</t>
  </si>
  <si>
    <t># text = Ele agora é um amigo meu.</t>
  </si>
  <si>
    <t># text = Tem uma esposa adorável e dois filhos lindos.</t>
  </si>
  <si>
    <t>Tem</t>
  </si>
  <si>
    <t>esposa</t>
  </si>
  <si>
    <t>adorável</t>
  </si>
  <si>
    <t>filhos</t>
  </si>
  <si>
    <t>lindos</t>
  </si>
  <si>
    <t># text = Escreveu-me uma carta no Natal depois da cirurgia e dizia:</t>
  </si>
  <si>
    <t>Escreveu</t>
  </si>
  <si>
    <t>carta</t>
  </si>
  <si>
    <t>Natal</t>
  </si>
  <si>
    <t># text = "O meu pai mandou-me dois presentes este ano, "O primeiro foi uma estante motorizada para CDs da The Sharper Image "de que eu não precisava.</t>
  </si>
  <si>
    <t>presentes</t>
  </si>
  <si>
    <t>ano</t>
  </si>
  <si>
    <t>estante</t>
  </si>
  <si>
    <t>motorizada</t>
  </si>
  <si>
    <t>CDs</t>
  </si>
  <si>
    <t>The</t>
  </si>
  <si>
    <t>Sharper</t>
  </si>
  <si>
    <t>Image</t>
  </si>
  <si>
    <t>precisava</t>
  </si>
  <si>
    <t># text = \"Ofereceu-ma para comemorar eu estar a viver independente e ter um trabalho que eu adorava.</t>
  </si>
  <si>
    <t>Ofereceu-ma</t>
  </si>
  <si>
    <t>comemorar</t>
  </si>
  <si>
    <t>independente</t>
  </si>
  <si>
    <t>adorava</t>
  </si>
  <si>
    <t># text = O outro presente foi um retrato da minha avó que se suicidou.</t>
  </si>
  <si>
    <t>presente</t>
  </si>
  <si>
    <t>retrato</t>
  </si>
  <si>
    <t>avó</t>
  </si>
  <si>
    <t>suicidou</t>
  </si>
  <si>
    <t># text = Quando o desembrulhei, comecei a chorar.</t>
  </si>
  <si>
    <t>desembrulhei</t>
  </si>
  <si>
    <t># text = A minha mãe aproximou-se e disse:</t>
  </si>
  <si>
    <t>aproximou</t>
  </si>
  <si>
    <t># text = 'Estás a chorar por causa dum familiar que nunca conheceste?'</t>
  </si>
  <si>
    <t>Estás</t>
  </si>
  <si>
    <t>familiar</t>
  </si>
  <si>
    <t>conheceste</t>
  </si>
  <si>
    <t># text = E eu respondi: 'Ela tinha a mesma doença que eu'.</t>
  </si>
  <si>
    <t>respondi</t>
  </si>
  <si>
    <t># text = Estou a chorar agora enquanto te escrevo.</t>
  </si>
  <si>
    <t>escrevo</t>
  </si>
  <si>
    <t># text = Não é que esteja triste, mas fico sentimental.</t>
  </si>
  <si>
    <t>esteja</t>
  </si>
  <si>
    <t>fico</t>
  </si>
  <si>
    <t>sentimental</t>
  </si>
  <si>
    <t># text = Talvez porque podia ter-me matado mas os meus pais impediram-me, bem como os médicos e eu fiz a cirurgia.</t>
  </si>
  <si>
    <t>Talvez</t>
  </si>
  <si>
    <t>impediram</t>
  </si>
  <si>
    <t>médicos</t>
  </si>
  <si>
    <t>fiz</t>
  </si>
  <si>
    <t># text = Estou vivo e sinto-me grato.</t>
  </si>
  <si>
    <t># text = Nós vivemos na altura certa, apesar de nem sempre nos parecer isso." Fiquei surpreendido pelo facto de que a depressão é geralmente entendida como uma coisa moderna da classe média, ocidental.</t>
  </si>
  <si>
    <t>vivemos</t>
  </si>
  <si>
    <t>certa</t>
  </si>
  <si>
    <t>apesar</t>
  </si>
  <si>
    <t>parecer</t>
  </si>
  <si>
    <t>surpreendido</t>
  </si>
  <si>
    <t>facto</t>
  </si>
  <si>
    <t>entendida</t>
  </si>
  <si>
    <t>moderna</t>
  </si>
  <si>
    <t>classe</t>
  </si>
  <si>
    <t>média</t>
  </si>
  <si>
    <t>ocidental</t>
  </si>
  <si>
    <t># text = Fui investigar o que acontecia numa série de outros contextos.</t>
  </si>
  <si>
    <t>Fui</t>
  </si>
  <si>
    <t>acontecia</t>
  </si>
  <si>
    <t>contextos</t>
  </si>
  <si>
    <t># text = Uma das coisas que mais me interessava era a depressão entre os indigentes.</t>
  </si>
  <si>
    <t>interessava</t>
  </si>
  <si>
    <t>indigentes</t>
  </si>
  <si>
    <t># text = Tentei indagar o que é que se fazia pelas pessoas pobres com depressão.</t>
  </si>
  <si>
    <t>Tentei</t>
  </si>
  <si>
    <t>indagar</t>
  </si>
  <si>
    <t>pobres</t>
  </si>
  <si>
    <t># text = Descobri que as pessoas pobres em norma não são tratadas de depressão.</t>
  </si>
  <si>
    <t>norma</t>
  </si>
  <si>
    <t>tratadas</t>
  </si>
  <si>
    <t># text = A depressão é o resultado duma vulnerabilidade genética, que presumivelmente está distribuída por toda a população.</t>
  </si>
  <si>
    <t>resultado</t>
  </si>
  <si>
    <t>vulnerabilidade</t>
  </si>
  <si>
    <t>genética</t>
  </si>
  <si>
    <t>presumivelmente</t>
  </si>
  <si>
    <t>distribuída</t>
  </si>
  <si>
    <t>população</t>
  </si>
  <si>
    <t># text = As circunstâncias que a provocam são provavelmente mais graves em pessoas que são pobres.</t>
  </si>
  <si>
    <t>provocam</t>
  </si>
  <si>
    <t>graves</t>
  </si>
  <si>
    <t># text = Mas acontece que, se temos uma vida boa, mas sentimo-nos mal o tempo todo, pensamos: \"Porque é que me sinto assim?</t>
  </si>
  <si>
    <t>acontece</t>
  </si>
  <si>
    <t>sentimo</t>
  </si>
  <si>
    <t># text = "Devo ter uma depressão."</t>
  </si>
  <si>
    <t>Devo</t>
  </si>
  <si>
    <t># text = E procuramos um tratamento.</t>
  </si>
  <si>
    <t>procuramos</t>
  </si>
  <si>
    <t># text = Mas se temos uma vida horrível, e nos sentimos mal o tempo todo, comparamos a forma como nos sentimos com a nossa vida, e não ocorre pensar:</t>
  </si>
  <si>
    <t>comparamos</t>
  </si>
  <si>
    <t>nossa</t>
  </si>
  <si>
    <t>ocorre</t>
  </si>
  <si>
    <t># text = \"Talvez haja um tratamento.\"</t>
  </si>
  <si>
    <t>haja</t>
  </si>
  <si>
    <t># text = Assim, temos neste país uma epidemia de depressão nas pessoas pobres que não está a ser detetada nem a ser tratada, nem a ser alvo de preocupações.</t>
  </si>
  <si>
    <t>Assim</t>
  </si>
  <si>
    <t>epidemia</t>
  </si>
  <si>
    <t>detetada</t>
  </si>
  <si>
    <t>tratada</t>
  </si>
  <si>
    <t>alvo</t>
  </si>
  <si>
    <t>preocupações</t>
  </si>
  <si>
    <t># text = É uma tragédia de grande escala.</t>
  </si>
  <si>
    <t>tragédia</t>
  </si>
  <si>
    <t>escala</t>
  </si>
  <si>
    <t># text = Encontrei uma académica que estava a fazer um projeto de investigação nos bairros de lata em volta de D.C.</t>
  </si>
  <si>
    <t>Encontrei</t>
  </si>
  <si>
    <t>académica</t>
  </si>
  <si>
    <t>investigação</t>
  </si>
  <si>
    <t>bairros</t>
  </si>
  <si>
    <t>lata</t>
  </si>
  <si>
    <t>volta</t>
  </si>
  <si>
    <t>D.C</t>
  </si>
  <si>
    <t># text = Entre as mulheres que apareciam com outros problemas de saúde ela escolhia as que tinham depressão e submetia-as a um protocolo experimental de seis meses.</t>
  </si>
  <si>
    <t>Entre</t>
  </si>
  <si>
    <t>mulheres</t>
  </si>
  <si>
    <t>apareciam</t>
  </si>
  <si>
    <t>escolhia</t>
  </si>
  <si>
    <t>submetia</t>
  </si>
  <si>
    <t>experimental</t>
  </si>
  <si>
    <t># text = Apareceu-me uma delas, a Lolly, — era uma mulher que tinha sete filhos — e disse-me nesse dia:</t>
  </si>
  <si>
    <t>Apareceu</t>
  </si>
  <si>
    <t>Lolly</t>
  </si>
  <si>
    <t>sete</t>
  </si>
  <si>
    <t># text = "Eu tinha trabalho, mas tive de o deixar "porque não conseguia sair de casa.</t>
  </si>
  <si>
    <t># text = "Não tinha nada para dizer aos meus filhos.</t>
  </si>
  <si>
    <t># text = \"De manhã, mal podia esperar que eles saíssem, \"para voltar para a cama e tapar a cabeça com os cobertores.</t>
  </si>
  <si>
    <t>manhã</t>
  </si>
  <si>
    <t>saíssem</t>
  </si>
  <si>
    <t>voltar</t>
  </si>
  <si>
    <t>tapar</t>
  </si>
  <si>
    <t>cobertores</t>
  </si>
  <si>
    <t># text = "Às três horas, quando eles voltam a casa, "chegam tão depressa.</t>
  </si>
  <si>
    <t>def-np.quant</t>
  </si>
  <si>
    <t>voltam</t>
  </si>
  <si>
    <t>chegam</t>
  </si>
  <si>
    <t>depressa</t>
  </si>
  <si>
    <t># text = "Tenho tomado um monte de Tylenol, "tudo o que me ajude a dormir mais.</t>
  </si>
  <si>
    <t>Tenho</t>
  </si>
  <si>
    <t>monte</t>
  </si>
  <si>
    <t>Tylenol</t>
  </si>
  <si>
    <t>ajude</t>
  </si>
  <si>
    <t>dormir</t>
  </si>
  <si>
    <t># text = "O meu marido diz-me que sou estúpida, que sou feia.</t>
  </si>
  <si>
    <t>estúpida</t>
  </si>
  <si>
    <t>feia</t>
  </si>
  <si>
    <t># text = \"Quem me dera poder parar este sofrimento.\" Ela fez para o protocolo experimental.</t>
  </si>
  <si>
    <t>Quem</t>
  </si>
  <si>
    <t>dera</t>
  </si>
  <si>
    <t>parar</t>
  </si>
  <si>
    <t>sofrimento</t>
  </si>
  <si>
    <t># text = Quando a entrevistei, seis meses depois, ela tinha aceite um trabalho a tomar conta de crianças para a Marinha dos EUA, tinha deixado o marido abusador e disse-me:</t>
  </si>
  <si>
    <t>aceite</t>
  </si>
  <si>
    <t>crianças</t>
  </si>
  <si>
    <t>Marinha</t>
  </si>
  <si>
    <t>EUA</t>
  </si>
  <si>
    <t>deixado</t>
  </si>
  <si>
    <t>abusador</t>
  </si>
  <si>
    <t># text = "Os meus filhos agora estão muito mais felizes." "Na minha nova casa há um quarto para os rapazes "e um quarto para as raparigas, "mas à noite, vêm todos para a minha cama.</t>
  </si>
  <si>
    <t>felizes</t>
  </si>
  <si>
    <t>nova</t>
  </si>
  <si>
    <t>rapazes</t>
  </si>
  <si>
    <t>raparigas</t>
  </si>
  <si>
    <t>noite</t>
  </si>
  <si>
    <t>vêm</t>
  </si>
  <si>
    <t># text = \"Fazemos os trabalhos de casa todos juntos e tudo.</t>
  </si>
  <si>
    <t>Fazemos</t>
  </si>
  <si>
    <t>trabalhos</t>
  </si>
  <si>
    <t>juntos</t>
  </si>
  <si>
    <t># text = \"Um deles que ser pregador, outro quer ser bombeiro, \"e uma das meninas diz que quer ser uma advogada.</t>
  </si>
  <si>
    <t>Um</t>
  </si>
  <si>
    <t>pregador</t>
  </si>
  <si>
    <t>quer</t>
  </si>
  <si>
    <t>bombeiro</t>
  </si>
  <si>
    <t>meninas</t>
  </si>
  <si>
    <t>advogada</t>
  </si>
  <si>
    <t># text = \"Eles já não choram como costumavam, \"e já não brigam como costumavam.</t>
  </si>
  <si>
    <t>choram</t>
  </si>
  <si>
    <t>costumavam</t>
  </si>
  <si>
    <t>brigam</t>
  </si>
  <si>
    <t># text = \"Tudo o que preciso agora são os meus filhos.</t>
  </si>
  <si>
    <t># text = "As coisas continuam a mudar, "a forma como me visto, como me sinto, como ajo.</t>
  </si>
  <si>
    <t>continuam</t>
  </si>
  <si>
    <t>mudar</t>
  </si>
  <si>
    <t>ajo</t>
  </si>
  <si>
    <t># text = "Posso sair sem sentir medo.</t>
  </si>
  <si>
    <t>Posso</t>
  </si>
  <si>
    <t># text = "Acho que esses maus sentimentos não vão voltar, "Se não fosse a Dra.</t>
  </si>
  <si>
    <t>esses</t>
  </si>
  <si>
    <t>maus</t>
  </si>
  <si>
    <t>sentimentos</t>
  </si>
  <si>
    <t>vão</t>
  </si>
  <si>
    <t>Dra</t>
  </si>
  <si>
    <t># text = Miranda, "ainda estaria em casa com os cobertores por cima da cabeça, "se ainda estivesse viva.</t>
  </si>
  <si>
    <t>Miranda</t>
  </si>
  <si>
    <t>estaria</t>
  </si>
  <si>
    <t>cima</t>
  </si>
  <si>
    <t>viva</t>
  </si>
  <si>
    <t># text = \"Pedi ao Senhor para me enviar um anjo, \"e Ele ouviu as minhas preces.\"</t>
  </si>
  <si>
    <t>Pedi</t>
  </si>
  <si>
    <t>Senhor</t>
  </si>
  <si>
    <t>enviar</t>
  </si>
  <si>
    <t>anjo</t>
  </si>
  <si>
    <t>&amp;quot;e</t>
  </si>
  <si>
    <t>ouviu</t>
  </si>
  <si>
    <t>minhas</t>
  </si>
  <si>
    <t>preces</t>
  </si>
  <si>
    <t># text = Eu fiquei muito comovido com estas experiências e decidi que queria escrever acerca delas não só no livro em que estava a trabalhar, mas também num artigo.</t>
  </si>
  <si>
    <t>comovido</t>
  </si>
  <si>
    <t>acerca</t>
  </si>
  <si>
    <t>livro</t>
  </si>
  <si>
    <t>artigo</t>
  </si>
  <si>
    <t>other_9</t>
  </si>
  <si>
    <t># text = Consegui uma encomenda da New York Times Magazine para escrever sobre a depressão dos indigentes.</t>
  </si>
  <si>
    <t>Consegui</t>
  </si>
  <si>
    <t>encomenda</t>
  </si>
  <si>
    <t>New</t>
  </si>
  <si>
    <t>York</t>
  </si>
  <si>
    <t>Times</t>
  </si>
  <si>
    <t>Magazine</t>
  </si>
  <si>
    <t># text = Entreguei o meu artigo e a editora chamou-me e disse:</t>
  </si>
  <si>
    <t>Entreguei</t>
  </si>
  <si>
    <t>editora</t>
  </si>
  <si>
    <t># text = "Não podemos publicar isto."</t>
  </si>
  <si>
    <t>publicar</t>
  </si>
  <si>
    <t># text = E eu disse: \"Porque não?\" E ela disse: \" É demasiado rebuscado.</t>
  </si>
  <si>
    <t>rebuscado</t>
  </si>
  <si>
    <t># text = \"Estas pessoas que estão no fundo da escala social, \"seguem uns meses de tratamento \"e ficam preparadas para gerir a Morgan Stanley?</t>
  </si>
  <si>
    <t>Estas</t>
  </si>
  <si>
    <t>fundo</t>
  </si>
  <si>
    <t>social</t>
  </si>
  <si>
    <t>seguem</t>
  </si>
  <si>
    <t>ficam</t>
  </si>
  <si>
    <t>preparadas</t>
  </si>
  <si>
    <t>gerir</t>
  </si>
  <si>
    <t>Morgan</t>
  </si>
  <si>
    <t>Stanley</t>
  </si>
  <si>
    <t># text = "É demasiado incrível.</t>
  </si>
  <si>
    <t>incrível</t>
  </si>
  <si>
    <t># text = "Eu nunca ouvi falar duma coisa assim."</t>
  </si>
  <si>
    <t># text = E eu disse:</t>
  </si>
  <si>
    <t># text = "O facto de nunca teres ouvido falar disto "é um indicador que se trata duma notícia." "Vocês são uma revista de notícias." Depois de uma certa negociação, eles concordaram.</t>
  </si>
  <si>
    <t>teres</t>
  </si>
  <si>
    <t>indicador</t>
  </si>
  <si>
    <t>trata</t>
  </si>
  <si>
    <t>notícia.</t>
  </si>
  <si>
    <t>Vocês</t>
  </si>
  <si>
    <t>revista</t>
  </si>
  <si>
    <t>notícias</t>
  </si>
  <si>
    <t>negociação</t>
  </si>
  <si>
    <t>concordaram</t>
  </si>
  <si>
    <t># text = Mas eu acho que o que eles disseram está relacionado, de forma estranha, com o desagrado que as pessoas ainda têm com a ideia de tratamento, a noção de que, se nós tratássemos um grande número de pessoas de comunidades indigentes isso seria uma exploração porque os estaríamos a mudar.</t>
  </si>
  <si>
    <t>disseram</t>
  </si>
  <si>
    <t>relacionado</t>
  </si>
  <si>
    <t>desagrado</t>
  </si>
  <si>
    <t>ideia</t>
  </si>
  <si>
    <t>noção</t>
  </si>
  <si>
    <t>tratássemos</t>
  </si>
  <si>
    <t>número</t>
  </si>
  <si>
    <t>comunidades</t>
  </si>
  <si>
    <t>exploração</t>
  </si>
  <si>
    <t>estaríamos</t>
  </si>
  <si>
    <t># text = Há um falso imperativo moral que parece estar à nossa volta e que diz que o tratamento da depressão a medicação e o resto, são um artifício e que não é natural.</t>
  </si>
  <si>
    <t>falso</t>
  </si>
  <si>
    <t>imperativo</t>
  </si>
  <si>
    <t>moral</t>
  </si>
  <si>
    <t>parece</t>
  </si>
  <si>
    <t>artifício</t>
  </si>
  <si>
    <t>natural</t>
  </si>
  <si>
    <t># text = Eu acho que é um grande engano.</t>
  </si>
  <si>
    <t>engano</t>
  </si>
  <si>
    <t># text = Seria natural que os dentes das pessoas caíssem, mas não há ninguém a protestar contra a pasta de dentes pelo menos ninguém que eu conheça.</t>
  </si>
  <si>
    <t>Seria</t>
  </si>
  <si>
    <t>dentes</t>
  </si>
  <si>
    <t>caíssem</t>
  </si>
  <si>
    <t>protestar</t>
  </si>
  <si>
    <t>contra</t>
  </si>
  <si>
    <t>pasta</t>
  </si>
  <si>
    <t># text = As pessoas dizem: \"A depressão não é uma coisa que as pessoas devem experimentar?</t>
  </si>
  <si>
    <t>devem</t>
  </si>
  <si>
    <t>experimentar</t>
  </si>
  <si>
    <t># text = \"Não evoluímos para ter depressões?</t>
  </si>
  <si>
    <t>evoluímos</t>
  </si>
  <si>
    <t>depressões</t>
  </si>
  <si>
    <t># text = \"Isso não faz parte da nossa personalidade?\"</t>
  </si>
  <si>
    <t># text = Eu respondo que a disposição é adaptativa.</t>
  </si>
  <si>
    <t>respondo</t>
  </si>
  <si>
    <t>disposição</t>
  </si>
  <si>
    <t>adaptativa</t>
  </si>
  <si>
    <t># text = Ter a capacidade de estar triste e de ter medo de estar alegre e de ter prazer e de todos os outros sentimentos que temos, é incrivelmente valioso.</t>
  </si>
  <si>
    <t>Ter</t>
  </si>
  <si>
    <t>capacidade</t>
  </si>
  <si>
    <t>alegre</t>
  </si>
  <si>
    <t>prazer</t>
  </si>
  <si>
    <t>valioso</t>
  </si>
  <si>
    <t># text = Uma grande depressão é uma coisa que acontece quando esse sistema se avaria.</t>
  </si>
  <si>
    <t>sistema</t>
  </si>
  <si>
    <t>avaria</t>
  </si>
  <si>
    <t># text = É uma deficiência de adaptação.</t>
  </si>
  <si>
    <t>deficiência</t>
  </si>
  <si>
    <t>adaptação</t>
  </si>
  <si>
    <t># text = As pessoas vêm ter comigo e dizem: \" Acho que, se conseguir aguentar mais um ano, consigo superar isto.\" Respondo sempre: \"Pode ser que superes, mas nunca voltarás a ter 37 anos.</t>
  </si>
  <si>
    <t>aguentar</t>
  </si>
  <si>
    <t>si</t>
  </si>
  <si>
    <t>superar</t>
  </si>
  <si>
    <t>Respondo</t>
  </si>
  <si>
    <t>Pode</t>
  </si>
  <si>
    <t>superes</t>
  </si>
  <si>
    <t>voltarás</t>
  </si>
  <si>
    <t># text = "A vida é curta, e preparas-te para abdicar de um ano inteiro.</t>
  </si>
  <si>
    <t>curta</t>
  </si>
  <si>
    <t>preparas</t>
  </si>
  <si>
    <t>abdicar</t>
  </si>
  <si>
    <t>inteiro</t>
  </si>
  <si>
    <t># text = "Pensa nisso." Há uma estranha pobreza na língua inglesa e em muitos outros idiomas, em que usamos a mesma palavra — depressão — para descrever como um miúdo se sente, quando chove no dia do seu aniversário, e para descrever como alguém se sente um minuto antes de se suicidar.</t>
  </si>
  <si>
    <t>Pensa</t>
  </si>
  <si>
    <t>pobreza</t>
  </si>
  <si>
    <t>língua</t>
  </si>
  <si>
    <t>inglesa</t>
  </si>
  <si>
    <t>idiomas</t>
  </si>
  <si>
    <t>usamos</t>
  </si>
  <si>
    <t>palavra</t>
  </si>
  <si>
    <t>miúdo</t>
  </si>
  <si>
    <t>sente</t>
  </si>
  <si>
    <t>chove</t>
  </si>
  <si>
    <t>aniversário</t>
  </si>
  <si>
    <t>minuto</t>
  </si>
  <si>
    <t>antes</t>
  </si>
  <si>
    <t># text = As pessoas dizem-me: \"É um contínuo da tristeza normal?</t>
  </si>
  <si>
    <t>contínuo</t>
  </si>
  <si>
    <t>normal</t>
  </si>
  <si>
    <t># text = E eu digo:</t>
  </si>
  <si>
    <t>digo</t>
  </si>
  <si>
    <t># text = \"De certa forma, é um continuo da tristeza normal.\"</t>
  </si>
  <si>
    <t>continuo</t>
  </si>
  <si>
    <t># text = Há um certo grau de continuidade, mas na mesma medida que há continuidade entre ter uma vedação de ferro em volta da casa que fica com um ponto de ferrugem que temos de limar e retocar e o que acontece se abandonamos a casa durante 100 anos e a vedação enferrujar até ser apenas um monte de ferrugem laranja.</t>
  </si>
  <si>
    <t>certo</t>
  </si>
  <si>
    <t>grau</t>
  </si>
  <si>
    <t>continuidade</t>
  </si>
  <si>
    <t>vedação</t>
  </si>
  <si>
    <t>ferro</t>
  </si>
  <si>
    <t>ponto</t>
  </si>
  <si>
    <t>ferrugem</t>
  </si>
  <si>
    <t>limar</t>
  </si>
  <si>
    <t>retocar</t>
  </si>
  <si>
    <t>abandonamos</t>
  </si>
  <si>
    <t>OBJ_12</t>
  </si>
  <si>
    <t>SBJ_13</t>
  </si>
  <si>
    <t>enferrujar</t>
  </si>
  <si>
    <t>other_13</t>
  </si>
  <si>
    <t>other_14</t>
  </si>
  <si>
    <t>laranja</t>
  </si>
  <si>
    <t># text = É esse ponto laranja de ferrugem, esse problema da fuligem laranja, que nos propomos resolver.</t>
  </si>
  <si>
    <t>fuligem</t>
  </si>
  <si>
    <t>propomos</t>
  </si>
  <si>
    <t>resolver</t>
  </si>
  <si>
    <t># text = Então as pessoas dizem: "Tomamos esses comprimidos da felicidade e sentimo-nos felizes?"</t>
  </si>
  <si>
    <t>Tomamos</t>
  </si>
  <si>
    <t>comprimidos</t>
  </si>
  <si>
    <t># text = Não é bem assim.</t>
  </si>
  <si>
    <t># text = Mas não me sinto triste por ter de almoçar, não me sinto triste por causa do meu atendedor de chamadas, e não me sinto triste por tomar um duche.</t>
  </si>
  <si>
    <t>atendedor</t>
  </si>
  <si>
    <t># text = Na verdade, acho que ainda me sinto mais triste porque consigo sentir tristeza sem sentir nulidade.</t>
  </si>
  <si>
    <t># text = Sinto-me triste com as desilusões profissionais, com as relações destroçadas,, com o aquecimento global.</t>
  </si>
  <si>
    <t>Sinto</t>
  </si>
  <si>
    <t>desilusões</t>
  </si>
  <si>
    <t>profissionais</t>
  </si>
  <si>
    <t>relações</t>
  </si>
  <si>
    <t>destroçadas</t>
  </si>
  <si>
    <t>aquecimento</t>
  </si>
  <si>
    <t>global</t>
  </si>
  <si>
    <t># text = São essas as coisas que agora me entristecem.</t>
  </si>
  <si>
    <t>essas</t>
  </si>
  <si>
    <t>entristecem</t>
  </si>
  <si>
    <t># text = E disse para mim mesmo:</t>
  </si>
  <si>
    <t># text = Qual é a conclusão?</t>
  </si>
  <si>
    <t>Qual</t>
  </si>
  <si>
    <t>conclusão</t>
  </si>
  <si>
    <t># text = Como conseguiram superar os que têm melhores vidas apesar de terem tido maiores depressões?</t>
  </si>
  <si>
    <t>conseguiram</t>
  </si>
  <si>
    <t>melhores</t>
  </si>
  <si>
    <t>vidas</t>
  </si>
  <si>
    <t>terem</t>
  </si>
  <si>
    <t>maiores</t>
  </si>
  <si>
    <t># text = Qual é o mecanismo de resistência?</t>
  </si>
  <si>
    <t>mecanismo</t>
  </si>
  <si>
    <t>resistência</t>
  </si>
  <si>
    <t># text = Ao longo do tempo, cheguei à conclusão que as pessoas que negavam a sua experiência e diziam:</t>
  </si>
  <si>
    <t>longo</t>
  </si>
  <si>
    <t>cheguei</t>
  </si>
  <si>
    <t>negavam</t>
  </si>
  <si>
    <t>sua</t>
  </si>
  <si>
    <t>diziam</t>
  </si>
  <si>
    <t># text = \"Eu tive uma depressão há muito tempo.</t>
  </si>
  <si>
    <t># text = "Nunca mais quero pensar nisso.</t>
  </si>
  <si>
    <t>Nunca</t>
  </si>
  <si>
    <t># text = \"Não vou dar-lhe mais atenção e vou continuar com aminha vida\", ironicamente, são as pessoas que estão mais escravizadas pelo que tiveram.</t>
  </si>
  <si>
    <t>atenção</t>
  </si>
  <si>
    <t>aminha</t>
  </si>
  <si>
    <t>ironicamente</t>
  </si>
  <si>
    <t>escravizadas</t>
  </si>
  <si>
    <t># text = Negar a depressão, fortalece-a.</t>
  </si>
  <si>
    <t>Negar</t>
  </si>
  <si>
    <t>fortalece</t>
  </si>
  <si>
    <t># text = Enquanto nos escondemos dela, ela cresce.</t>
  </si>
  <si>
    <t>Enquanto</t>
  </si>
  <si>
    <t>escondemos</t>
  </si>
  <si>
    <t>cresce</t>
  </si>
  <si>
    <t># text = As pessoas que superam melhor são as que conseguem aceitar o facto de terem essa doença.</t>
  </si>
  <si>
    <t>superam</t>
  </si>
  <si>
    <t>conseguem</t>
  </si>
  <si>
    <t>aceitar</t>
  </si>
  <si>
    <t># text = As que conseguem aceitar a sua depressão são as que atingem a resistência.</t>
  </si>
  <si>
    <t>atingem</t>
  </si>
  <si>
    <t># text = Frank Russakoff disse-me: \"Se tivesse que fazer tudo novamente, \"suponho que não o faria assim, \"Mas, estranhamente, estou grato pelo que passei.</t>
  </si>
  <si>
    <t>novamente</t>
  </si>
  <si>
    <t>suponho</t>
  </si>
  <si>
    <t>estranhamente</t>
  </si>
  <si>
    <t># text = \"Sinto-me feliz por ter estado no hospital 40 vezes.</t>
  </si>
  <si>
    <t>feliz</t>
  </si>
  <si>
    <t>estado</t>
  </si>
  <si>
    <t>hospital</t>
  </si>
  <si>
    <t># text = "Ensinou-me muito sobre o amor.</t>
  </si>
  <si>
    <t>Ensinou</t>
  </si>
  <si>
    <t># text = \"A minha relação com os meus pais e com os meus médicos \"tem sido preciosa para mim e será sempre.\" Maggie Robbins disse:</t>
  </si>
  <si>
    <t>sido</t>
  </si>
  <si>
    <t>preciosa</t>
  </si>
  <si>
    <t>será</t>
  </si>
  <si>
    <t># text = \"Costumava ser voluntária numa clínica de SIDA.</t>
  </si>
  <si>
    <t>Costumava</t>
  </si>
  <si>
    <t>voluntária</t>
  </si>
  <si>
    <t>clínica</t>
  </si>
  <si>
    <t>SIDA</t>
  </si>
  <si>
    <t># text = "Eu só falava, falava, falava.</t>
  </si>
  <si>
    <t># text = "As pessoas com quem eu lidava "não eram muito recetivas e eu pensei: "'Isto não é muito simpático nem útil da parte deles.'</t>
  </si>
  <si>
    <t>lidava</t>
  </si>
  <si>
    <t>recetivas</t>
  </si>
  <si>
    <t>'Isto</t>
  </si>
  <si>
    <t>simpático</t>
  </si>
  <si>
    <t>útil</t>
  </si>
  <si>
    <t># text = \"Então percebi que eles não fariam muito mais \"do que aqueles primeiros minutos de conversa fiada.</t>
  </si>
  <si>
    <t>percebi</t>
  </si>
  <si>
    <t>fariam</t>
  </si>
  <si>
    <t>primeiros</t>
  </si>
  <si>
    <t>conversa</t>
  </si>
  <si>
    <t>fiada</t>
  </si>
  <si>
    <t># text = \"Simplesmente ia haver uma ocasião \"em que eu não tinha SIDA e não estava a morrer, \"mas podia aceitar o facto de que eles tinham SIDA e iam morrer.</t>
  </si>
  <si>
    <t>Simplesmente</t>
  </si>
  <si>
    <t>ocasião</t>
  </si>
  <si>
    <t>iam</t>
  </si>
  <si>
    <t># text = "As nossas necessidades são o nosso maior trunfo.</t>
  </si>
  <si>
    <t>nossas</t>
  </si>
  <si>
    <t>necessidades</t>
  </si>
  <si>
    <t>trunfo</t>
  </si>
  <si>
    <t># text = "Acontece que aprendi a dar todas as coisas que preciso." Valorizar a nossa depressão não impede uma recaída, mas pode alertar para uma recaída e até mesmo tornar a recaída em si mais fácil tolerar.</t>
  </si>
  <si>
    <t>Acontece</t>
  </si>
  <si>
    <t>aprendi</t>
  </si>
  <si>
    <t>Valorizar</t>
  </si>
  <si>
    <t>impede</t>
  </si>
  <si>
    <t>alertar</t>
  </si>
  <si>
    <t>tolerar</t>
  </si>
  <si>
    <t># text = A questão não é tanto de encontrar grande significado e de concluir que a nossa depressão tem sido muito significativa.</t>
  </si>
  <si>
    <t>encontrar</t>
  </si>
  <si>
    <t>significado</t>
  </si>
  <si>
    <t>concluir</t>
  </si>
  <si>
    <t>significativa</t>
  </si>
  <si>
    <t># text = É de procurar esse significado e, quando ela voltar, pensar:</t>
  </si>
  <si>
    <t># text = "Isto vai ser um inferno, Mas vou aprender algo com isso."</t>
  </si>
  <si>
    <t>vai</t>
  </si>
  <si>
    <t>inferno</t>
  </si>
  <si>
    <t>aprender</t>
  </si>
  <si>
    <t># text = Eu aprendi com a minha depressão quão grande pode ser uma emoção, Como pode ser mais real do que factos, e descobri que aquela experiência me permitiu experimentar emoções positivas de uma forma mais intensa e mais focada.</t>
  </si>
  <si>
    <t>quão</t>
  </si>
  <si>
    <t>emoção</t>
  </si>
  <si>
    <t>real</t>
  </si>
  <si>
    <t>factos</t>
  </si>
  <si>
    <t>permitiu</t>
  </si>
  <si>
    <t>emoções</t>
  </si>
  <si>
    <t>positivas</t>
  </si>
  <si>
    <t>intensa</t>
  </si>
  <si>
    <t>focada</t>
  </si>
  <si>
    <t># text = O oposto da depressão não é felicidade, mas vitalidade.</t>
  </si>
  <si>
    <t># text = Hoje em dia, a minha vida é vital, mesmo nos dias em que estou triste.</t>
  </si>
  <si>
    <t>Hoje</t>
  </si>
  <si>
    <t>vital</t>
  </si>
  <si>
    <t># text = Senti aquele funeral no meu cérebro, e que estava junto do colosso na borda do mundo.</t>
  </si>
  <si>
    <t>colosso</t>
  </si>
  <si>
    <t>borda</t>
  </si>
  <si>
    <t># text = Descobri dentro de mim uma coisa a que chamaria alma que nunca tinha formulado até esse dia há 20 anos, quando o inferno veio fazer-me uma visita surpresa.</t>
  </si>
  <si>
    <t>chamaria</t>
  </si>
  <si>
    <t>formulado</t>
  </si>
  <si>
    <t>veio</t>
  </si>
  <si>
    <t>visita</t>
  </si>
  <si>
    <t>surpresa</t>
  </si>
  <si>
    <t># text = Acho que, apesar de odiar ter estado deprimido e de odiar vir a estar deprimido novamente, encontrei uma forma de gostar da minha depressão.</t>
  </si>
  <si>
    <t>odiar</t>
  </si>
  <si>
    <t>encontrei</t>
  </si>
  <si>
    <t>gostar</t>
  </si>
  <si>
    <t># text = Gosto dela porque me obrigou a encontrar e a agarrar-me à alegria.</t>
  </si>
  <si>
    <t>Gosto</t>
  </si>
  <si>
    <t>obrigou</t>
  </si>
  <si>
    <t>agarrar</t>
  </si>
  <si>
    <t>alegria</t>
  </si>
  <si>
    <t># text = Gosto dela porque, em cada dia, decido, às vezes, corajosamente, outras vezes contra a razão do momento, decompor as razões para viver.</t>
  </si>
  <si>
    <t>decido</t>
  </si>
  <si>
    <t>corajosamente</t>
  </si>
  <si>
    <t>decompor</t>
  </si>
  <si>
    <t>razões</t>
  </si>
  <si>
    <t># text = Acho que isso é um arrebatamento altamente privilegiado.</t>
  </si>
  <si>
    <t>arrebatamento</t>
  </si>
  <si>
    <t>altamente</t>
  </si>
  <si>
    <t>privilegiado</t>
  </si>
  <si>
    <t># text = Obrigado.</t>
  </si>
  <si>
    <t>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</si>
</sst>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20</v>
      </c>
      <c r="B4" s="6" t="s">
        <v>16</v>
      </c>
      <c r="C4" s="6" t="s">
        <v>11</v>
      </c>
      <c r="D4" s="7" t="s">
        <v>21</v>
      </c>
      <c r="E4" s="8" t="s">
        <v>22</v>
      </c>
      <c r="F4" s="6" t="s">
        <v>23</v>
      </c>
      <c r="G4" s="9">
        <f>IF(A4=1,"_",IF(C4="_","???",C4))</f>
        <v/>
      </c>
      <c r="H4" s="10" t="s">
        <v>11</v>
      </c>
      <c r="I4" s="11" t="s">
        <v>11</v>
      </c>
      <c r="J4" s="12"/>
    </row>
    <row r="5" spans="1:10" ht="60" customHeight="1">
      <c r="A5" s="6" t="s">
        <v>16</v>
      </c>
      <c r="B5" s="6" t="s">
        <v>16</v>
      </c>
      <c r="C5" s="6" t="s">
        <v>11</v>
      </c>
      <c r="D5" s="7" t="s">
        <v>24</v>
      </c>
      <c r="E5" s="8" t="s">
        <v>25</v>
      </c>
      <c r="F5" s="6" t="s">
        <v>26</v>
      </c>
      <c r="G5" s="9">
        <f>IF(A5=1,"_",IF(C5="_","???",C5))</f>
        <v/>
      </c>
      <c r="H5" s="10" t="s">
        <v>11</v>
      </c>
      <c r="I5" s="11" t="s">
        <v>11</v>
      </c>
      <c r="J5" s="12"/>
    </row>
    <row r="6" spans="1:10" ht="60" customHeight="1">
      <c r="A6" s="6" t="s">
        <v>27</v>
      </c>
      <c r="B6" s="6" t="s">
        <v>15</v>
      </c>
      <c r="C6" s="6" t="s">
        <v>11</v>
      </c>
      <c r="D6" s="7" t="s">
        <v>28</v>
      </c>
      <c r="E6" s="8" t="s">
        <v>29</v>
      </c>
      <c r="F6" s="6" t="s">
        <v>30</v>
      </c>
      <c r="G6" s="9">
        <f>IF(A6=1,"_",IF(C6="_","???",C6))</f>
        <v/>
      </c>
      <c r="H6" s="10" t="s">
        <v>11</v>
      </c>
      <c r="I6" s="11" t="s">
        <v>11</v>
      </c>
      <c r="J6" s="12"/>
    </row>
    <row r="7" spans="1:10" ht="60" customHeight="1">
      <c r="A7" s="6" t="s">
        <v>31</v>
      </c>
      <c r="B7" s="6" t="s">
        <v>15</v>
      </c>
      <c r="C7" s="6" t="s">
        <v>11</v>
      </c>
      <c r="D7" s="7" t="s">
        <v>32</v>
      </c>
      <c r="E7" s="8" t="s">
        <v>33</v>
      </c>
      <c r="F7" s="6" t="s">
        <v>34</v>
      </c>
      <c r="G7" s="9">
        <f>IF(A7=1,"_",IF(C7="_","???",C7))</f>
        <v/>
      </c>
      <c r="H7" s="10" t="s">
        <v>11</v>
      </c>
      <c r="I7" s="11" t="s">
        <v>11</v>
      </c>
      <c r="J7" s="12"/>
    </row>
    <row r="8" spans="1:10" ht="60" customHeight="1">
      <c r="A8" s="6" t="s">
        <v>35</v>
      </c>
      <c r="B8" s="6" t="s">
        <v>20</v>
      </c>
      <c r="C8" s="6" t="s">
        <v>11</v>
      </c>
      <c r="D8" s="7" t="s">
        <v>36</v>
      </c>
      <c r="E8" s="8" t="s">
        <v>37</v>
      </c>
      <c r="F8" s="6" t="s">
        <v>38</v>
      </c>
      <c r="G8" s="9">
        <f>IF(A8=1,"_",IF(C8="_","???",C8))</f>
        <v/>
      </c>
      <c r="H8" s="10" t="s">
        <v>11</v>
      </c>
      <c r="I8" s="11" t="s">
        <v>11</v>
      </c>
      <c r="J8" s="12"/>
    </row>
    <row r="9" spans="1:10" ht="60" customHeight="1">
      <c r="A9" s="6" t="s">
        <v>39</v>
      </c>
      <c r="B9" s="6" t="s">
        <v>10</v>
      </c>
      <c r="C9" s="6" t="s">
        <v>11</v>
      </c>
      <c r="D9" s="7" t="s">
        <v>40</v>
      </c>
      <c r="E9" s="8" t="s">
        <v>41</v>
      </c>
      <c r="F9" s="6" t="s">
        <v>42</v>
      </c>
      <c r="G9" s="9">
        <f>IF(A9=1,"_",IF(C9="_","???",C9))</f>
        <v/>
      </c>
      <c r="H9" s="10" t="s">
        <v>11</v>
      </c>
      <c r="I9" s="11" t="s">
        <v>11</v>
      </c>
      <c r="J9" s="12"/>
    </row>
    <row r="10" spans="1:10" ht="60" customHeight="1">
      <c r="A10" s="6" t="s">
        <v>43</v>
      </c>
      <c r="B10" s="6" t="s">
        <v>20</v>
      </c>
      <c r="C10" s="6" t="s">
        <v>11</v>
      </c>
      <c r="D10" s="7" t="s">
        <v>44</v>
      </c>
      <c r="E10" s="8" t="s">
        <v>45</v>
      </c>
      <c r="F10" s="6" t="s">
        <v>46</v>
      </c>
      <c r="G10" s="9">
        <f>IF(A10=1,"_",IF(C10="_","???",C10))</f>
        <v/>
      </c>
      <c r="H10" s="10" t="s">
        <v>11</v>
      </c>
      <c r="I10" s="11" t="s">
        <v>11</v>
      </c>
      <c r="J10" s="12"/>
    </row>
    <row r="11" spans="1:10" ht="60" customHeight="1">
      <c r="A11" s="6" t="s">
        <v>47</v>
      </c>
      <c r="B11" s="6" t="s">
        <v>10</v>
      </c>
      <c r="C11" s="6" t="s">
        <v>11</v>
      </c>
      <c r="D11" s="7" t="s">
        <v>48</v>
      </c>
      <c r="E11" s="8" t="s">
        <v>49</v>
      </c>
      <c r="F11" s="6" t="s">
        <v>50</v>
      </c>
      <c r="G11" s="9">
        <f>IF(A11=1,"_",IF(C11="_","???",C11))</f>
        <v/>
      </c>
      <c r="H11" s="10" t="s">
        <v>11</v>
      </c>
      <c r="I11" s="11" t="s">
        <v>11</v>
      </c>
      <c r="J11" s="12"/>
    </row>
    <row r="12" spans="1:10" ht="60" customHeight="1">
      <c r="A12" s="6" t="s">
        <v>51</v>
      </c>
      <c r="B12" s="6" t="s">
        <v>47</v>
      </c>
      <c r="C12" s="6" t="s">
        <v>11</v>
      </c>
      <c r="D12" s="7" t="s">
        <v>52</v>
      </c>
      <c r="E12" s="8" t="s">
        <v>53</v>
      </c>
      <c r="F12" s="6" t="s">
        <v>54</v>
      </c>
      <c r="G12" s="9">
        <f>IF(A12=1,"_",IF(C12="_","???",C12))</f>
        <v/>
      </c>
      <c r="H12" s="10" t="s">
        <v>11</v>
      </c>
      <c r="I12" s="11" t="s">
        <v>11</v>
      </c>
      <c r="J12" s="12"/>
    </row>
    <row r="13" spans="1:10" ht="60" customHeight="1">
      <c r="A13" s="6" t="s">
        <v>55</v>
      </c>
      <c r="B13" s="6" t="s">
        <v>31</v>
      </c>
      <c r="C13" s="6" t="s">
        <v>11</v>
      </c>
      <c r="D13" s="7" t="s">
        <v>56</v>
      </c>
      <c r="E13" s="8" t="s">
        <v>57</v>
      </c>
      <c r="F13" s="6" t="s">
        <v>58</v>
      </c>
      <c r="G13" s="9">
        <f>IF(A13=1,"_",IF(C13="_","???",C13))</f>
        <v/>
      </c>
      <c r="H13" s="10" t="s">
        <v>11</v>
      </c>
      <c r="I13" s="11" t="s">
        <v>11</v>
      </c>
      <c r="J13" s="12"/>
    </row>
    <row r="14" spans="1:10" ht="60" customHeight="1">
      <c r="A14" s="6" t="s">
        <v>59</v>
      </c>
      <c r="B14" s="6" t="s">
        <v>16</v>
      </c>
      <c r="C14" s="6" t="s">
        <v>11</v>
      </c>
      <c r="D14" s="7" t="s">
        <v>60</v>
      </c>
      <c r="E14" s="8" t="s">
        <v>61</v>
      </c>
      <c r="F14" s="6" t="s">
        <v>62</v>
      </c>
      <c r="G14" s="9">
        <f>IF(A14=1,"_",IF(C14="_","???",C14))</f>
        <v/>
      </c>
      <c r="H14" s="10" t="s">
        <v>11</v>
      </c>
      <c r="I14" s="11" t="s">
        <v>11</v>
      </c>
      <c r="J14" s="12"/>
    </row>
    <row r="15" spans="1:10" ht="60" customHeight="1">
      <c r="A15" s="6" t="s">
        <v>63</v>
      </c>
      <c r="B15" s="6" t="s">
        <v>16</v>
      </c>
      <c r="C15" s="6" t="s">
        <v>11</v>
      </c>
      <c r="D15" s="7" t="s">
        <v>64</v>
      </c>
      <c r="E15" s="8" t="s">
        <v>65</v>
      </c>
      <c r="F15" s="6" t="s">
        <v>66</v>
      </c>
      <c r="G15" s="9">
        <f>IF(A15=1,"_",IF(C15="_","???",C15))</f>
        <v/>
      </c>
      <c r="H15" s="10" t="s">
        <v>11</v>
      </c>
      <c r="I15" s="11" t="s">
        <v>11</v>
      </c>
      <c r="J15" s="12"/>
    </row>
    <row r="16" spans="1:10" ht="60" customHeight="1">
      <c r="A16" s="6" t="s">
        <v>67</v>
      </c>
      <c r="B16" s="6" t="s">
        <v>43</v>
      </c>
      <c r="C16" s="6" t="s">
        <v>11</v>
      </c>
      <c r="D16" s="7" t="s">
        <v>68</v>
      </c>
      <c r="E16" s="8" t="s">
        <v>69</v>
      </c>
      <c r="F16" s="6" t="s">
        <v>70</v>
      </c>
      <c r="G16" s="9">
        <f>IF(A16=1,"_",IF(C16="_","???",C16))</f>
        <v/>
      </c>
      <c r="H16" s="10" t="s">
        <v>11</v>
      </c>
      <c r="I16" s="11" t="s">
        <v>11</v>
      </c>
      <c r="J16" s="12"/>
    </row>
    <row r="17" spans="1:10" ht="60" customHeight="1">
      <c r="A17" s="6" t="s">
        <v>71</v>
      </c>
      <c r="B17" s="6" t="s">
        <v>67</v>
      </c>
      <c r="C17" s="6" t="s">
        <v>72</v>
      </c>
      <c r="D17" s="7" t="s">
        <v>73</v>
      </c>
      <c r="E17" s="8" t="s">
        <v>74</v>
      </c>
      <c r="F17" s="6" t="s">
        <v>75</v>
      </c>
      <c r="G17" s="9">
        <f>IF(A17=1,"_",IF(C17="_","???",C17))</f>
        <v/>
      </c>
      <c r="H17" s="10" t="s">
        <v>11</v>
      </c>
      <c r="I17" s="11" t="s">
        <v>11</v>
      </c>
      <c r="J17" s="12"/>
    </row>
    <row r="18" spans="1:10" ht="60" customHeight="1">
      <c r="A18" s="6" t="s">
        <v>76</v>
      </c>
      <c r="B18" s="6" t="s">
        <v>31</v>
      </c>
      <c r="C18" s="6" t="s">
        <v>11</v>
      </c>
      <c r="D18" s="7" t="s">
        <v>77</v>
      </c>
      <c r="E18" s="8" t="s">
        <v>78</v>
      </c>
      <c r="F18" s="6" t="s">
        <v>79</v>
      </c>
      <c r="G18" s="9">
        <f>IF(A18=1,"_",IF(C18="_","???",C18))</f>
        <v/>
      </c>
      <c r="H18" s="10" t="s">
        <v>11</v>
      </c>
      <c r="I18" s="11" t="s">
        <v>11</v>
      </c>
      <c r="J18" s="12"/>
    </row>
    <row r="19" spans="1:10" ht="60" customHeight="1">
      <c r="A19" s="6" t="s">
        <v>80</v>
      </c>
      <c r="B19" s="6" t="s">
        <v>10</v>
      </c>
      <c r="C19" s="6" t="s">
        <v>11</v>
      </c>
      <c r="D19" s="7" t="s">
        <v>81</v>
      </c>
      <c r="E19" s="8" t="s">
        <v>82</v>
      </c>
      <c r="F19" s="6" t="s">
        <v>83</v>
      </c>
      <c r="G19" s="9">
        <f>IF(A19=1,"_",IF(C19="_","???",C19))</f>
        <v/>
      </c>
      <c r="H19" s="10" t="s">
        <v>11</v>
      </c>
      <c r="I19" s="11" t="s">
        <v>11</v>
      </c>
      <c r="J19" s="12"/>
    </row>
    <row r="20" spans="1:10" ht="60" customHeight="1">
      <c r="A20" s="6" t="s">
        <v>84</v>
      </c>
      <c r="B20" s="6" t="s">
        <v>35</v>
      </c>
      <c r="C20" s="6" t="s">
        <v>11</v>
      </c>
      <c r="D20" s="7" t="s">
        <v>85</v>
      </c>
      <c r="E20" s="8" t="s">
        <v>86</v>
      </c>
      <c r="F20" s="6" t="s">
        <v>87</v>
      </c>
      <c r="G20" s="9">
        <f>IF(A20=1,"_",IF(C20="_","???",C20))</f>
        <v/>
      </c>
      <c r="H20" s="10" t="s">
        <v>11</v>
      </c>
      <c r="I20" s="11" t="s">
        <v>11</v>
      </c>
      <c r="J20" s="12"/>
    </row>
    <row r="21" spans="1:10" ht="60" customHeight="1">
      <c r="A21" s="6" t="s">
        <v>88</v>
      </c>
      <c r="B21" s="6" t="s">
        <v>10</v>
      </c>
      <c r="C21" s="6" t="s">
        <v>11</v>
      </c>
      <c r="D21" s="7" t="s">
        <v>89</v>
      </c>
      <c r="E21" s="8" t="s">
        <v>90</v>
      </c>
      <c r="F21" s="6" t="s">
        <v>91</v>
      </c>
      <c r="G21" s="9">
        <f>IF(A21=1,"_",IF(C21="_","???",C21))</f>
        <v/>
      </c>
      <c r="H21" s="10" t="s">
        <v>11</v>
      </c>
      <c r="I21" s="11" t="s">
        <v>11</v>
      </c>
      <c r="J21" s="12"/>
    </row>
    <row r="22" spans="1:10" ht="60" customHeight="1">
      <c r="A22" s="6" t="s">
        <v>92</v>
      </c>
      <c r="B22" s="6" t="s">
        <v>10</v>
      </c>
      <c r="C22" s="6" t="s">
        <v>11</v>
      </c>
      <c r="D22" s="7" t="s">
        <v>93</v>
      </c>
      <c r="E22" s="8" t="s">
        <v>94</v>
      </c>
      <c r="F22" s="6" t="s">
        <v>95</v>
      </c>
      <c r="G22" s="9">
        <f>IF(A22=1,"_",IF(C22="_","???",C22))</f>
        <v/>
      </c>
      <c r="H22" s="10" t="s">
        <v>11</v>
      </c>
      <c r="I22" s="11" t="s">
        <v>11</v>
      </c>
      <c r="J22" s="12"/>
    </row>
    <row r="23" spans="1:10" ht="60" customHeight="1">
      <c r="A23" s="6" t="s">
        <v>96</v>
      </c>
      <c r="B23" s="6" t="s">
        <v>39</v>
      </c>
      <c r="C23" s="6" t="s">
        <v>11</v>
      </c>
      <c r="D23" s="7" t="s">
        <v>97</v>
      </c>
      <c r="E23" s="8" t="s">
        <v>98</v>
      </c>
      <c r="F23" s="6" t="s">
        <v>99</v>
      </c>
      <c r="G23" s="9">
        <f>IF(A23=1,"_",IF(C23="_","???",C23))</f>
        <v/>
      </c>
      <c r="H23" s="10" t="s">
        <v>11</v>
      </c>
      <c r="I23" s="11" t="s">
        <v>11</v>
      </c>
      <c r="J23" s="12"/>
    </row>
    <row r="24" spans="1:10" ht="60" customHeight="1">
      <c r="A24" s="6" t="s">
        <v>100</v>
      </c>
      <c r="B24" s="6" t="s">
        <v>63</v>
      </c>
      <c r="C24" s="6" t="s">
        <v>11</v>
      </c>
      <c r="D24" s="7" t="s">
        <v>101</v>
      </c>
      <c r="E24" s="8" t="s">
        <v>102</v>
      </c>
      <c r="F24" s="6" t="s">
        <v>103</v>
      </c>
      <c r="G24" s="9">
        <f>IF(A24=1,"_",IF(C24="_","???",C24))</f>
        <v/>
      </c>
      <c r="H24" s="10" t="s">
        <v>11</v>
      </c>
      <c r="I24" s="11" t="s">
        <v>11</v>
      </c>
      <c r="J24" s="12"/>
    </row>
    <row r="25" spans="1:10" ht="60" customHeight="1">
      <c r="A25" s="6" t="s">
        <v>104</v>
      </c>
      <c r="B25" s="6" t="s">
        <v>20</v>
      </c>
      <c r="C25" s="6" t="s">
        <v>11</v>
      </c>
      <c r="D25" s="7" t="s">
        <v>105</v>
      </c>
      <c r="E25" s="8" t="s">
        <v>106</v>
      </c>
      <c r="F25" s="6" t="s">
        <v>107</v>
      </c>
      <c r="G25" s="9">
        <f>IF(A25=1,"_",IF(C25="_","???",C25))</f>
        <v/>
      </c>
      <c r="H25" s="10" t="s">
        <v>11</v>
      </c>
      <c r="I25" s="11" t="s">
        <v>11</v>
      </c>
      <c r="J25" s="12"/>
    </row>
    <row r="26" spans="1:10" ht="60" customHeight="1">
      <c r="A26" s="6" t="s">
        <v>108</v>
      </c>
      <c r="B26" s="6" t="s">
        <v>10</v>
      </c>
      <c r="C26" s="6" t="s">
        <v>11</v>
      </c>
      <c r="D26" s="7" t="s">
        <v>109</v>
      </c>
      <c r="E26" s="8" t="s">
        <v>110</v>
      </c>
      <c r="F26" s="6" t="s">
        <v>111</v>
      </c>
      <c r="G26" s="9">
        <f>IF(A26=1,"_",IF(C26="_","???",C26))</f>
        <v/>
      </c>
      <c r="H26" s="10" t="s">
        <v>11</v>
      </c>
      <c r="I26" s="11" t="s">
        <v>11</v>
      </c>
      <c r="J26" s="12"/>
    </row>
    <row r="27" spans="1:10" ht="60" customHeight="1">
      <c r="A27" s="6" t="s">
        <v>112</v>
      </c>
      <c r="B27" s="6" t="s">
        <v>10</v>
      </c>
      <c r="C27" s="6" t="s">
        <v>11</v>
      </c>
      <c r="D27" s="7" t="s">
        <v>109</v>
      </c>
      <c r="E27" s="8" t="s">
        <v>113</v>
      </c>
      <c r="F27" s="6" t="s">
        <v>114</v>
      </c>
      <c r="G27" s="9">
        <f>IF(A27=1,"_",IF(C27="_","???",C27))</f>
        <v/>
      </c>
      <c r="H27" s="10" t="s">
        <v>11</v>
      </c>
      <c r="I27" s="11" t="s">
        <v>11</v>
      </c>
      <c r="J27" s="12"/>
    </row>
    <row r="28" spans="1:10" ht="60" customHeight="1">
      <c r="A28" s="6" t="s">
        <v>115</v>
      </c>
      <c r="B28" s="6" t="s">
        <v>15</v>
      </c>
      <c r="C28" s="6" t="s">
        <v>11</v>
      </c>
      <c r="D28" s="7" t="s">
        <v>24</v>
      </c>
      <c r="E28" s="8" t="s">
        <v>116</v>
      </c>
      <c r="F28" s="6" t="s">
        <v>117</v>
      </c>
      <c r="G28" s="9">
        <f>IF(A28=1,"_",IF(C28="_","???",C28))</f>
        <v/>
      </c>
      <c r="H28" s="10" t="s">
        <v>11</v>
      </c>
      <c r="I28" s="11" t="s">
        <v>11</v>
      </c>
      <c r="J28" s="12"/>
    </row>
    <row r="29" spans="1:10" ht="60" customHeight="1">
      <c r="A29" s="6" t="s">
        <v>118</v>
      </c>
      <c r="B29" s="6" t="s">
        <v>10</v>
      </c>
      <c r="C29" s="6" t="s">
        <v>11</v>
      </c>
      <c r="D29" s="7" t="s">
        <v>119</v>
      </c>
      <c r="E29" s="8" t="s">
        <v>120</v>
      </c>
      <c r="F29" s="6" t="s">
        <v>121</v>
      </c>
      <c r="G29" s="9">
        <f>IF(A29=1,"_",IF(C29="_","???",C29))</f>
        <v/>
      </c>
      <c r="H29" s="10" t="s">
        <v>11</v>
      </c>
      <c r="I29" s="11" t="s">
        <v>11</v>
      </c>
      <c r="J29" s="12"/>
    </row>
    <row r="30" spans="1:10" ht="60" customHeight="1">
      <c r="A30" s="6" t="s">
        <v>122</v>
      </c>
      <c r="B30" s="6" t="s">
        <v>20</v>
      </c>
      <c r="C30" s="6" t="s">
        <v>11</v>
      </c>
      <c r="D30" s="7" t="s">
        <v>89</v>
      </c>
      <c r="E30" s="8" t="s">
        <v>123</v>
      </c>
      <c r="F30" s="6" t="s">
        <v>124</v>
      </c>
      <c r="G30" s="9">
        <f>IF(A30=1,"_",IF(C30="_","???",C30))</f>
        <v/>
      </c>
      <c r="H30" s="10" t="s">
        <v>11</v>
      </c>
      <c r="I30" s="11" t="s">
        <v>11</v>
      </c>
      <c r="J30" s="12"/>
    </row>
    <row r="31" spans="1:10" ht="60" customHeight="1">
      <c r="A31" s="6" t="s">
        <v>125</v>
      </c>
      <c r="B31" s="6" t="s">
        <v>71</v>
      </c>
      <c r="C31" s="6" t="s">
        <v>11</v>
      </c>
      <c r="D31" s="7" t="s">
        <v>126</v>
      </c>
      <c r="E31" s="8" t="s">
        <v>127</v>
      </c>
      <c r="F31" s="6" t="s">
        <v>128</v>
      </c>
      <c r="G31" s="9">
        <f>IF(A31=1,"_",IF(C31="_","???",C31))</f>
        <v/>
      </c>
      <c r="H31" s="10" t="s">
        <v>11</v>
      </c>
      <c r="I31" s="11" t="s">
        <v>11</v>
      </c>
      <c r="J31" s="12"/>
    </row>
    <row r="32" spans="1:10" ht="60" customHeight="1">
      <c r="A32" s="6" t="s">
        <v>129</v>
      </c>
      <c r="B32" s="6" t="s">
        <v>16</v>
      </c>
      <c r="C32" s="6" t="s">
        <v>11</v>
      </c>
      <c r="D32" s="7" t="s">
        <v>130</v>
      </c>
      <c r="E32" s="8" t="s">
        <v>131</v>
      </c>
      <c r="F32" s="6" t="s">
        <v>132</v>
      </c>
      <c r="G32" s="9">
        <f>IF(A32=1,"_",IF(C32="_","???",C32))</f>
        <v/>
      </c>
      <c r="H32" s="10" t="s">
        <v>11</v>
      </c>
      <c r="I32" s="11" t="s">
        <v>11</v>
      </c>
      <c r="J32" s="12"/>
    </row>
    <row r="33" spans="1:10" ht="60" customHeight="1">
      <c r="A33" s="6" t="s">
        <v>133</v>
      </c>
      <c r="B33" s="6" t="s">
        <v>10</v>
      </c>
      <c r="C33" s="6" t="s">
        <v>11</v>
      </c>
      <c r="D33" s="7" t="s">
        <v>134</v>
      </c>
      <c r="E33" s="8" t="s">
        <v>135</v>
      </c>
      <c r="F33" s="6" t="s">
        <v>136</v>
      </c>
      <c r="G33" s="9">
        <f>IF(A33=1,"_",IF(C33="_","???",C33))</f>
        <v/>
      </c>
      <c r="H33" s="10" t="s">
        <v>11</v>
      </c>
      <c r="I33" s="11" t="s">
        <v>11</v>
      </c>
      <c r="J33" s="12"/>
    </row>
    <row r="34" spans="1:10" ht="60" customHeight="1">
      <c r="A34" s="6" t="s">
        <v>137</v>
      </c>
      <c r="B34" s="6" t="s">
        <v>27</v>
      </c>
      <c r="C34" s="6" t="s">
        <v>11</v>
      </c>
      <c r="D34" s="7" t="s">
        <v>138</v>
      </c>
      <c r="E34" s="8" t="s">
        <v>139</v>
      </c>
      <c r="F34" s="6" t="s">
        <v>140</v>
      </c>
      <c r="G34" s="9">
        <f>IF(A34=1,"_",IF(C34="_","???",C34))</f>
        <v/>
      </c>
      <c r="H34" s="10" t="s">
        <v>11</v>
      </c>
      <c r="I34" s="11" t="s">
        <v>11</v>
      </c>
      <c r="J34" s="12"/>
    </row>
    <row r="35" spans="1:10" ht="60" customHeight="1">
      <c r="A35" s="6" t="s">
        <v>141</v>
      </c>
      <c r="B35" s="6" t="s">
        <v>10</v>
      </c>
      <c r="C35" s="6" t="s">
        <v>11</v>
      </c>
      <c r="D35" s="7" t="s">
        <v>142</v>
      </c>
      <c r="E35" s="8" t="s">
        <v>143</v>
      </c>
      <c r="F35" s="6" t="s">
        <v>144</v>
      </c>
      <c r="G35" s="9">
        <f>IF(A35=1,"_",IF(C35="_","???",C35))</f>
        <v/>
      </c>
      <c r="H35" s="10" t="s">
        <v>11</v>
      </c>
      <c r="I35" s="11" t="s">
        <v>11</v>
      </c>
      <c r="J35" s="12"/>
    </row>
    <row r="36" spans="1:10" ht="60" customHeight="1">
      <c r="A36" s="6" t="s">
        <v>145</v>
      </c>
      <c r="B36" s="6" t="s">
        <v>10</v>
      </c>
      <c r="C36" s="6" t="s">
        <v>11</v>
      </c>
      <c r="D36" s="7" t="s">
        <v>146</v>
      </c>
      <c r="E36" s="8" t="s">
        <v>147</v>
      </c>
      <c r="F36" s="6" t="s">
        <v>148</v>
      </c>
      <c r="G36" s="9">
        <f>IF(A36=1,"_",IF(C36="_","???",C36))</f>
        <v/>
      </c>
      <c r="H36" s="10" t="s">
        <v>11</v>
      </c>
      <c r="I36" s="11" t="s">
        <v>11</v>
      </c>
      <c r="J36" s="12"/>
    </row>
    <row r="37" spans="1:10" ht="60" customHeight="1">
      <c r="A37" s="6" t="s">
        <v>149</v>
      </c>
      <c r="B37" s="6" t="s">
        <v>27</v>
      </c>
      <c r="C37" s="6" t="s">
        <v>11</v>
      </c>
      <c r="D37" s="7" t="s">
        <v>150</v>
      </c>
      <c r="E37" s="8" t="s">
        <v>151</v>
      </c>
      <c r="F37" s="6" t="s">
        <v>152</v>
      </c>
      <c r="G37" s="9">
        <f>IF(A37=1,"_",IF(C37="_","???",C37))</f>
        <v/>
      </c>
      <c r="H37" s="10" t="s">
        <v>11</v>
      </c>
      <c r="I37" s="11" t="s">
        <v>11</v>
      </c>
      <c r="J37" s="12"/>
    </row>
    <row r="38" spans="1:10" ht="60" customHeight="1">
      <c r="A38" s="6" t="s">
        <v>153</v>
      </c>
      <c r="B38" s="6" t="s">
        <v>31</v>
      </c>
      <c r="C38" s="6" t="s">
        <v>11</v>
      </c>
      <c r="D38" s="7" t="s">
        <v>154</v>
      </c>
      <c r="E38" s="8" t="s">
        <v>155</v>
      </c>
      <c r="F38" s="6" t="s">
        <v>156</v>
      </c>
      <c r="G38" s="9">
        <f>IF(A38=1,"_",IF(C38="_","???",C38))</f>
        <v/>
      </c>
      <c r="H38" s="10" t="s">
        <v>11</v>
      </c>
      <c r="I38" s="11" t="s">
        <v>11</v>
      </c>
      <c r="J38" s="12"/>
    </row>
    <row r="39" spans="1:10" ht="60" customHeight="1">
      <c r="A39" s="6" t="s">
        <v>157</v>
      </c>
      <c r="B39" s="6" t="s">
        <v>20</v>
      </c>
      <c r="C39" s="6" t="s">
        <v>11</v>
      </c>
      <c r="D39" s="7" t="s">
        <v>44</v>
      </c>
      <c r="E39" s="8" t="s">
        <v>158</v>
      </c>
      <c r="F39" s="6" t="s">
        <v>159</v>
      </c>
      <c r="G39" s="9">
        <f>IF(A39=1,"_",IF(C39="_","???",C39))</f>
        <v/>
      </c>
      <c r="H39" s="10" t="s">
        <v>11</v>
      </c>
      <c r="I39" s="11" t="s">
        <v>11</v>
      </c>
      <c r="J39" s="12"/>
    </row>
    <row r="40" spans="1:10" ht="60" customHeight="1">
      <c r="A40" s="6" t="s">
        <v>160</v>
      </c>
      <c r="B40" s="6" t="s">
        <v>84</v>
      </c>
      <c r="C40" s="6" t="s">
        <v>11</v>
      </c>
      <c r="D40" s="7" t="s">
        <v>161</v>
      </c>
      <c r="E40" s="8" t="s">
        <v>162</v>
      </c>
      <c r="F40" s="6" t="s">
        <v>163</v>
      </c>
      <c r="G40" s="9">
        <f>IF(A40=1,"_",IF(C40="_","???",C40))</f>
        <v/>
      </c>
      <c r="H40" s="10" t="s">
        <v>11</v>
      </c>
      <c r="I40" s="11" t="s">
        <v>11</v>
      </c>
      <c r="J40" s="12"/>
    </row>
    <row r="41" spans="1:10" ht="60" customHeight="1">
      <c r="A41" s="6" t="s">
        <v>164</v>
      </c>
      <c r="B41" s="6" t="s">
        <v>15</v>
      </c>
      <c r="C41" s="6" t="s">
        <v>11</v>
      </c>
      <c r="D41" s="7" t="s">
        <v>109</v>
      </c>
      <c r="E41" s="8" t="s">
        <v>165</v>
      </c>
      <c r="F41" s="6" t="s">
        <v>166</v>
      </c>
      <c r="G41" s="9">
        <f>IF(A41=1,"_",IF(C41="_","???",C41))</f>
        <v/>
      </c>
      <c r="H41" s="10" t="s">
        <v>11</v>
      </c>
      <c r="I41" s="11" t="s">
        <v>11</v>
      </c>
      <c r="J41" s="12"/>
    </row>
    <row r="42" spans="1:10" ht="60" customHeight="1">
      <c r="A42" s="6" t="s">
        <v>167</v>
      </c>
      <c r="B42" s="6" t="s">
        <v>10</v>
      </c>
      <c r="C42" s="6" t="s">
        <v>11</v>
      </c>
      <c r="D42" s="7" t="s">
        <v>168</v>
      </c>
      <c r="E42" s="8" t="s">
        <v>169</v>
      </c>
      <c r="F42" s="6" t="s">
        <v>170</v>
      </c>
      <c r="G42" s="9">
        <f>IF(A42=1,"_",IF(C42="_","???",C42))</f>
        <v/>
      </c>
      <c r="H42" s="10" t="s">
        <v>11</v>
      </c>
      <c r="I42" s="11" t="s">
        <v>11</v>
      </c>
      <c r="J42" s="12"/>
    </row>
    <row r="43" spans="1:10" ht="60" customHeight="1">
      <c r="A43" s="6" t="s">
        <v>171</v>
      </c>
      <c r="B43" s="6" t="s">
        <v>15</v>
      </c>
      <c r="C43" s="6" t="s">
        <v>11</v>
      </c>
      <c r="D43" s="7" t="s">
        <v>172</v>
      </c>
      <c r="E43" s="8" t="s">
        <v>173</v>
      </c>
      <c r="F43" s="6" t="s">
        <v>174</v>
      </c>
      <c r="G43" s="9">
        <f>IF(A43=1,"_",IF(C43="_","???",C43))</f>
        <v/>
      </c>
      <c r="H43" s="10" t="s">
        <v>11</v>
      </c>
      <c r="I43" s="11" t="s">
        <v>11</v>
      </c>
      <c r="J43" s="12"/>
    </row>
    <row r="44" spans="1:10" ht="60" customHeight="1">
      <c r="A44" s="6" t="s">
        <v>175</v>
      </c>
      <c r="B44" s="6" t="s">
        <v>10</v>
      </c>
      <c r="C44" s="6" t="s">
        <v>11</v>
      </c>
      <c r="D44" s="7" t="s">
        <v>176</v>
      </c>
      <c r="E44" s="8" t="s">
        <v>177</v>
      </c>
      <c r="F44" s="6" t="s">
        <v>178</v>
      </c>
      <c r="G44" s="9">
        <f>IF(A44=1,"_",IF(C44="_","???",C44))</f>
        <v/>
      </c>
      <c r="H44" s="10" t="s">
        <v>11</v>
      </c>
      <c r="I44" s="11" t="s">
        <v>11</v>
      </c>
      <c r="J44" s="12"/>
    </row>
    <row r="45" spans="1:10" ht="60" customHeight="1">
      <c r="A45" s="6" t="s">
        <v>179</v>
      </c>
      <c r="B45" s="6" t="s">
        <v>15</v>
      </c>
      <c r="C45" s="6" t="s">
        <v>11</v>
      </c>
      <c r="D45" s="7" t="s">
        <v>24</v>
      </c>
      <c r="E45" s="8" t="s">
        <v>180</v>
      </c>
      <c r="F45" s="6" t="s">
        <v>181</v>
      </c>
      <c r="G45" s="9">
        <f>IF(A45=1,"_",IF(C45="_","???",C45))</f>
        <v/>
      </c>
      <c r="H45" s="10" t="s">
        <v>11</v>
      </c>
      <c r="I45" s="11" t="s">
        <v>11</v>
      </c>
      <c r="J45" s="12"/>
    </row>
    <row r="46" spans="1:10" ht="60" customHeight="1">
      <c r="A46" s="6" t="s">
        <v>182</v>
      </c>
      <c r="B46" s="6" t="s">
        <v>16</v>
      </c>
      <c r="C46" s="6" t="s">
        <v>11</v>
      </c>
      <c r="D46" s="7" t="s">
        <v>183</v>
      </c>
      <c r="E46" s="8" t="s">
        <v>184</v>
      </c>
      <c r="F46" s="6" t="s">
        <v>185</v>
      </c>
      <c r="G46" s="9">
        <f>IF(A46=1,"_",IF(C46="_","???",C46))</f>
        <v/>
      </c>
      <c r="H46" s="10" t="s">
        <v>11</v>
      </c>
      <c r="I46" s="11" t="s">
        <v>11</v>
      </c>
      <c r="J46" s="12"/>
    </row>
    <row r="47" spans="1:10" ht="60" customHeight="1">
      <c r="A47" s="6" t="s">
        <v>186</v>
      </c>
      <c r="B47" s="6" t="s">
        <v>43</v>
      </c>
      <c r="C47" s="6" t="s">
        <v>11</v>
      </c>
      <c r="D47" s="7" t="s">
        <v>187</v>
      </c>
      <c r="E47" s="8" t="s">
        <v>188</v>
      </c>
      <c r="F47" s="6" t="s">
        <v>189</v>
      </c>
      <c r="G47" s="9">
        <f>IF(A47=1,"_",IF(C47="_","???",C47))</f>
        <v/>
      </c>
      <c r="H47" s="10" t="s">
        <v>11</v>
      </c>
      <c r="I47" s="11" t="s">
        <v>11</v>
      </c>
      <c r="J47" s="12"/>
    </row>
    <row r="48" spans="1:10" ht="60" customHeight="1">
      <c r="A48" s="6" t="s">
        <v>190</v>
      </c>
      <c r="B48" s="6" t="s">
        <v>27</v>
      </c>
      <c r="C48" s="6" t="s">
        <v>11</v>
      </c>
      <c r="D48" s="7" t="s">
        <v>12</v>
      </c>
      <c r="E48" s="8" t="s">
        <v>191</v>
      </c>
      <c r="F48" s="6" t="s">
        <v>192</v>
      </c>
      <c r="G48" s="9">
        <f>IF(A48=1,"_",IF(C48="_","???",C48))</f>
        <v/>
      </c>
      <c r="H48" s="10" t="s">
        <v>11</v>
      </c>
      <c r="I48" s="11" t="s">
        <v>11</v>
      </c>
      <c r="J48" s="12"/>
    </row>
    <row r="49" spans="1:10" ht="60" customHeight="1">
      <c r="A49" s="6" t="s">
        <v>193</v>
      </c>
      <c r="B49" s="6" t="s">
        <v>15</v>
      </c>
      <c r="C49" s="6" t="s">
        <v>11</v>
      </c>
      <c r="D49" s="7" t="s">
        <v>60</v>
      </c>
      <c r="E49" s="8" t="s">
        <v>194</v>
      </c>
      <c r="F49" s="6" t="s">
        <v>195</v>
      </c>
      <c r="G49" s="9">
        <f>IF(A49=1,"_",IF(C49="_","???",C49))</f>
        <v/>
      </c>
      <c r="H49" s="10" t="s">
        <v>11</v>
      </c>
      <c r="I49" s="11" t="s">
        <v>11</v>
      </c>
      <c r="J49" s="12"/>
    </row>
    <row r="50" spans="1:10" ht="60" customHeight="1">
      <c r="A50" s="6" t="s">
        <v>196</v>
      </c>
      <c r="B50" s="6" t="s">
        <v>15</v>
      </c>
      <c r="C50" s="6" t="s">
        <v>11</v>
      </c>
      <c r="D50" s="7" t="s">
        <v>197</v>
      </c>
      <c r="E50" s="8" t="s">
        <v>198</v>
      </c>
      <c r="F50" s="6" t="s">
        <v>199</v>
      </c>
      <c r="G50" s="9">
        <f>IF(A50=1,"_",IF(C50="_","???",C50))</f>
        <v/>
      </c>
      <c r="H50" s="10" t="s">
        <v>11</v>
      </c>
      <c r="I50" s="11" t="s">
        <v>11</v>
      </c>
      <c r="J50" s="12"/>
    </row>
    <row r="51" spans="1:10" ht="60" customHeight="1">
      <c r="A51" s="6" t="s">
        <v>200</v>
      </c>
      <c r="B51" s="6" t="s">
        <v>31</v>
      </c>
      <c r="C51" s="6" t="s">
        <v>11</v>
      </c>
      <c r="D51" s="7" t="s">
        <v>60</v>
      </c>
      <c r="E51" s="8" t="s">
        <v>201</v>
      </c>
      <c r="F51" s="6" t="s">
        <v>202</v>
      </c>
      <c r="G51" s="9">
        <f>IF(A51=1,"_",IF(C51="_","???",C51))</f>
        <v/>
      </c>
      <c r="H51" s="10" t="s">
        <v>11</v>
      </c>
      <c r="I51" s="11" t="s">
        <v>11</v>
      </c>
      <c r="J51" s="12"/>
    </row>
    <row r="52" spans="1:10" ht="60" customHeight="1">
      <c r="A52" s="6" t="s">
        <v>203</v>
      </c>
      <c r="B52" s="6" t="s">
        <v>27</v>
      </c>
      <c r="C52" s="6" t="s">
        <v>11</v>
      </c>
      <c r="D52" s="7" t="s">
        <v>204</v>
      </c>
      <c r="E52" s="8" t="s">
        <v>205</v>
      </c>
      <c r="F52" s="6" t="s">
        <v>206</v>
      </c>
      <c r="G52" s="9">
        <f>IF(A52=1,"_",IF(C52="_","???",C52))</f>
        <v/>
      </c>
      <c r="H52" s="10" t="s">
        <v>11</v>
      </c>
      <c r="I52" s="11" t="s">
        <v>11</v>
      </c>
      <c r="J52" s="12"/>
    </row>
    <row r="53" spans="1:10" ht="60" customHeight="1">
      <c r="A53" s="6" t="s">
        <v>207</v>
      </c>
      <c r="B53" s="6" t="s">
        <v>20</v>
      </c>
      <c r="C53" s="6" t="s">
        <v>11</v>
      </c>
      <c r="D53" s="7" t="s">
        <v>208</v>
      </c>
      <c r="E53" s="8" t="s">
        <v>209</v>
      </c>
      <c r="F53" s="6" t="s">
        <v>210</v>
      </c>
      <c r="G53" s="9">
        <f>IF(A53=1,"_",IF(C53="_","???",C53))</f>
        <v/>
      </c>
      <c r="H53" s="10" t="s">
        <v>11</v>
      </c>
      <c r="I53" s="11" t="s">
        <v>11</v>
      </c>
      <c r="J53" s="12"/>
    </row>
    <row r="54" spans="1:10" ht="60" customHeight="1">
      <c r="A54" s="6" t="s">
        <v>211</v>
      </c>
      <c r="B54" s="6" t="s">
        <v>15</v>
      </c>
      <c r="C54" s="6" t="s">
        <v>11</v>
      </c>
      <c r="D54" s="7" t="s">
        <v>212</v>
      </c>
      <c r="E54" s="8" t="s">
        <v>213</v>
      </c>
      <c r="F54" s="6" t="s">
        <v>214</v>
      </c>
      <c r="G54" s="9">
        <f>IF(A54=1,"_",IF(C54="_","???",C54))</f>
        <v/>
      </c>
      <c r="H54" s="10" t="s">
        <v>11</v>
      </c>
      <c r="I54" s="11" t="s">
        <v>11</v>
      </c>
      <c r="J54" s="12"/>
    </row>
    <row r="55" spans="1:10" ht="60" customHeight="1">
      <c r="A55" s="6" t="s">
        <v>215</v>
      </c>
      <c r="B55" s="6" t="s">
        <v>20</v>
      </c>
      <c r="C55" s="6" t="s">
        <v>11</v>
      </c>
      <c r="D55" s="7" t="s">
        <v>216</v>
      </c>
      <c r="E55" s="8" t="s">
        <v>217</v>
      </c>
      <c r="F55" s="6" t="s">
        <v>218</v>
      </c>
      <c r="G55" s="9">
        <f>IF(A55=1,"_",IF(C55="_","???",C55))</f>
        <v/>
      </c>
      <c r="H55" s="10" t="s">
        <v>11</v>
      </c>
      <c r="I55" s="11" t="s">
        <v>11</v>
      </c>
      <c r="J55" s="12"/>
    </row>
    <row r="56" spans="1:10" ht="60" customHeight="1">
      <c r="A56" s="6" t="s">
        <v>219</v>
      </c>
      <c r="B56" s="6" t="s">
        <v>15</v>
      </c>
      <c r="C56" s="6" t="s">
        <v>11</v>
      </c>
      <c r="D56" s="7" t="s">
        <v>220</v>
      </c>
      <c r="E56" s="8" t="s">
        <v>221</v>
      </c>
      <c r="F56" s="6" t="s">
        <v>222</v>
      </c>
      <c r="G56" s="9">
        <f>IF(A56=1,"_",IF(C56="_","???",C56))</f>
        <v/>
      </c>
      <c r="H56" s="10" t="s">
        <v>11</v>
      </c>
      <c r="I56" s="11" t="s">
        <v>11</v>
      </c>
      <c r="J56" s="12"/>
    </row>
    <row r="57" spans="1:10" ht="60" customHeight="1">
      <c r="A57" s="6" t="s">
        <v>223</v>
      </c>
      <c r="B57" s="6" t="s">
        <v>15</v>
      </c>
      <c r="C57" s="6" t="s">
        <v>11</v>
      </c>
      <c r="D57" s="7" t="s">
        <v>44</v>
      </c>
      <c r="E57" s="8" t="s">
        <v>224</v>
      </c>
      <c r="F57" s="6" t="s">
        <v>225</v>
      </c>
      <c r="G57" s="9">
        <f>IF(A57=1,"_",IF(C57="_","???",C57))</f>
        <v/>
      </c>
      <c r="H57" s="10" t="s">
        <v>11</v>
      </c>
      <c r="I57" s="11" t="s">
        <v>11</v>
      </c>
      <c r="J57" s="12"/>
    </row>
    <row r="58" spans="1:10" ht="60" customHeight="1">
      <c r="A58" s="6" t="s">
        <v>226</v>
      </c>
      <c r="B58" s="6" t="s">
        <v>15</v>
      </c>
      <c r="C58" s="6" t="s">
        <v>11</v>
      </c>
      <c r="D58" s="7" t="s">
        <v>208</v>
      </c>
      <c r="E58" s="8" t="s">
        <v>227</v>
      </c>
      <c r="F58" s="6" t="s">
        <v>228</v>
      </c>
      <c r="G58" s="9">
        <f>IF(A58=1,"_",IF(C58="_","???",C58))</f>
        <v/>
      </c>
      <c r="H58" s="10" t="s">
        <v>11</v>
      </c>
      <c r="I58" s="11" t="s">
        <v>11</v>
      </c>
      <c r="J58" s="12"/>
    </row>
    <row r="59" spans="1:10" ht="60" customHeight="1">
      <c r="A59" s="6" t="s">
        <v>229</v>
      </c>
      <c r="B59" s="6" t="s">
        <v>43</v>
      </c>
      <c r="C59" s="6" t="s">
        <v>11</v>
      </c>
      <c r="D59" s="7" t="s">
        <v>60</v>
      </c>
      <c r="E59" s="8" t="s">
        <v>230</v>
      </c>
      <c r="F59" s="6" t="s">
        <v>231</v>
      </c>
      <c r="G59" s="9">
        <f>IF(A59=1,"_",IF(C59="_","???",C59))</f>
        <v/>
      </c>
      <c r="H59" s="10" t="s">
        <v>11</v>
      </c>
      <c r="I59" s="11" t="s">
        <v>11</v>
      </c>
      <c r="J59" s="12"/>
    </row>
    <row r="60" spans="1:10" ht="60" customHeight="1">
      <c r="A60" s="6" t="s">
        <v>232</v>
      </c>
      <c r="B60" s="6" t="s">
        <v>15</v>
      </c>
      <c r="C60" s="6" t="s">
        <v>11</v>
      </c>
      <c r="D60" s="7" t="s">
        <v>233</v>
      </c>
      <c r="E60" s="8" t="s">
        <v>234</v>
      </c>
      <c r="F60" s="6" t="s">
        <v>235</v>
      </c>
      <c r="G60" s="9">
        <f>IF(A60=1,"_",IF(C60="_","???",C60))</f>
        <v/>
      </c>
      <c r="H60" s="10" t="s">
        <v>11</v>
      </c>
      <c r="I60" s="11" t="s">
        <v>11</v>
      </c>
      <c r="J60" s="12"/>
    </row>
    <row r="61" spans="1:10" ht="60" customHeight="1">
      <c r="A61" s="6" t="s">
        <v>236</v>
      </c>
      <c r="B61" s="6" t="s">
        <v>15</v>
      </c>
      <c r="C61" s="6" t="s">
        <v>11</v>
      </c>
      <c r="D61" s="7" t="s">
        <v>237</v>
      </c>
      <c r="E61" s="8" t="s">
        <v>238</v>
      </c>
      <c r="F61" s="6" t="s">
        <v>239</v>
      </c>
      <c r="G61" s="9">
        <f>IF(A61=1,"_",IF(C61="_","???",C61))</f>
        <v/>
      </c>
      <c r="H61" s="10" t="s">
        <v>11</v>
      </c>
      <c r="I61" s="11" t="s">
        <v>11</v>
      </c>
      <c r="J61" s="12"/>
    </row>
    <row r="62" spans="1:10" ht="60" customHeight="1">
      <c r="A62" s="6" t="s">
        <v>240</v>
      </c>
      <c r="B62" s="6" t="s">
        <v>10</v>
      </c>
      <c r="C62" s="6" t="s">
        <v>11</v>
      </c>
      <c r="D62" s="7" t="s">
        <v>241</v>
      </c>
      <c r="E62" s="8" t="s">
        <v>242</v>
      </c>
      <c r="F62" s="6" t="s">
        <v>243</v>
      </c>
      <c r="G62" s="9">
        <f>IF(A62=1,"_",IF(C62="_","???",C62))</f>
        <v/>
      </c>
      <c r="H62" s="10" t="s">
        <v>11</v>
      </c>
      <c r="I62" s="11" t="s">
        <v>11</v>
      </c>
      <c r="J62" s="12"/>
    </row>
    <row r="63" spans="1:10" ht="60" customHeight="1">
      <c r="A63" s="6" t="s">
        <v>244</v>
      </c>
      <c r="B63" s="6" t="s">
        <v>10</v>
      </c>
      <c r="C63" s="6" t="s">
        <v>11</v>
      </c>
      <c r="D63" s="7" t="s">
        <v>60</v>
      </c>
      <c r="E63" s="8" t="s">
        <v>245</v>
      </c>
      <c r="F63" s="6" t="s">
        <v>246</v>
      </c>
      <c r="G63" s="9">
        <f>IF(A63=1,"_",IF(C63="_","???",C63))</f>
        <v/>
      </c>
      <c r="H63" s="10" t="s">
        <v>11</v>
      </c>
      <c r="I63" s="11" t="s">
        <v>11</v>
      </c>
      <c r="J63" s="12"/>
    </row>
    <row r="64" spans="1:10" ht="60" customHeight="1">
      <c r="A64" s="6" t="s">
        <v>247</v>
      </c>
      <c r="B64" s="6" t="s">
        <v>10</v>
      </c>
      <c r="C64" s="6" t="s">
        <v>11</v>
      </c>
      <c r="D64" s="7" t="s">
        <v>248</v>
      </c>
      <c r="E64" s="8" t="s">
        <v>249</v>
      </c>
      <c r="F64" s="6" t="s">
        <v>250</v>
      </c>
      <c r="G64" s="9">
        <f>IF(A64=1,"_",IF(C64="_","???",C64))</f>
        <v/>
      </c>
      <c r="H64" s="10" t="s">
        <v>11</v>
      </c>
      <c r="I64" s="11" t="s">
        <v>11</v>
      </c>
      <c r="J64" s="12"/>
    </row>
    <row r="65" spans="1:10" ht="60" customHeight="1">
      <c r="A65" s="6" t="s">
        <v>251</v>
      </c>
      <c r="B65" s="6" t="s">
        <v>15</v>
      </c>
      <c r="C65" s="6" t="s">
        <v>11</v>
      </c>
      <c r="D65" s="7" t="s">
        <v>12</v>
      </c>
      <c r="E65" s="8" t="s">
        <v>252</v>
      </c>
      <c r="F65" s="6" t="s">
        <v>253</v>
      </c>
      <c r="G65" s="9">
        <f>IF(A65=1,"_",IF(C65="_","???",C65))</f>
        <v/>
      </c>
      <c r="H65" s="10" t="s">
        <v>11</v>
      </c>
      <c r="I65" s="11" t="s">
        <v>11</v>
      </c>
      <c r="J65" s="12"/>
    </row>
    <row r="66" spans="1:10" ht="60" customHeight="1">
      <c r="A66" s="6" t="s">
        <v>254</v>
      </c>
      <c r="B66" s="6" t="s">
        <v>10</v>
      </c>
      <c r="C66" s="6" t="s">
        <v>11</v>
      </c>
      <c r="D66" s="7" t="s">
        <v>255</v>
      </c>
      <c r="E66" s="8" t="s">
        <v>256</v>
      </c>
      <c r="F66" s="6" t="s">
        <v>257</v>
      </c>
      <c r="G66" s="9">
        <f>IF(A66=1,"_",IF(C66="_","???",C66))</f>
        <v/>
      </c>
      <c r="H66" s="10" t="s">
        <v>11</v>
      </c>
      <c r="I66" s="11" t="s">
        <v>11</v>
      </c>
      <c r="J66" s="12"/>
    </row>
    <row r="67" spans="1:10" ht="60" customHeight="1">
      <c r="A67" s="6" t="s">
        <v>258</v>
      </c>
      <c r="B67" s="6" t="s">
        <v>20</v>
      </c>
      <c r="C67" s="6" t="s">
        <v>11</v>
      </c>
      <c r="D67" s="7" t="s">
        <v>259</v>
      </c>
      <c r="E67" s="8" t="s">
        <v>260</v>
      </c>
      <c r="F67" s="6" t="s">
        <v>261</v>
      </c>
      <c r="G67" s="9">
        <f>IF(A67=1,"_",IF(C67="_","???",C67))</f>
        <v/>
      </c>
      <c r="H67" s="10" t="s">
        <v>11</v>
      </c>
      <c r="I67" s="11" t="s">
        <v>11</v>
      </c>
      <c r="J67" s="12"/>
    </row>
    <row r="68" spans="1:10" ht="60" customHeight="1">
      <c r="A68" s="6" t="s">
        <v>262</v>
      </c>
      <c r="B68" s="6" t="s">
        <v>20</v>
      </c>
      <c r="C68" s="6" t="s">
        <v>11</v>
      </c>
      <c r="D68" s="7" t="s">
        <v>263</v>
      </c>
      <c r="E68" s="8" t="s">
        <v>264</v>
      </c>
      <c r="F68" s="6" t="s">
        <v>265</v>
      </c>
      <c r="G68" s="9">
        <f>IF(A68=1,"_",IF(C68="_","???",C68))</f>
        <v/>
      </c>
      <c r="H68" s="10" t="s">
        <v>11</v>
      </c>
      <c r="I68" s="11" t="s">
        <v>11</v>
      </c>
      <c r="J68" s="12"/>
    </row>
    <row r="69" spans="1:10" ht="60" customHeight="1">
      <c r="A69" s="6" t="s">
        <v>266</v>
      </c>
      <c r="B69" s="6" t="s">
        <v>15</v>
      </c>
      <c r="C69" s="6" t="s">
        <v>11</v>
      </c>
      <c r="D69" s="7" t="s">
        <v>267</v>
      </c>
      <c r="E69" s="8" t="s">
        <v>268</v>
      </c>
      <c r="F69" s="6" t="s">
        <v>269</v>
      </c>
      <c r="G69" s="9">
        <f>IF(A69=1,"_",IF(C69="_","???",C69))</f>
        <v/>
      </c>
      <c r="H69" s="10" t="s">
        <v>11</v>
      </c>
      <c r="I69" s="11" t="s">
        <v>11</v>
      </c>
      <c r="J69" s="12"/>
    </row>
    <row r="70" spans="1:10" ht="60" customHeight="1">
      <c r="A70" s="6" t="s">
        <v>270</v>
      </c>
      <c r="B70" s="6" t="s">
        <v>31</v>
      </c>
      <c r="C70" s="6" t="s">
        <v>11</v>
      </c>
      <c r="D70" s="7" t="s">
        <v>271</v>
      </c>
      <c r="E70" s="8" t="s">
        <v>272</v>
      </c>
      <c r="F70" s="6" t="s">
        <v>273</v>
      </c>
      <c r="G70" s="9">
        <f>IF(A70=1,"_",IF(C70="_","???",C70))</f>
        <v/>
      </c>
      <c r="H70" s="10" t="s">
        <v>11</v>
      </c>
      <c r="I70" s="11" t="s">
        <v>11</v>
      </c>
      <c r="J70" s="12"/>
    </row>
    <row r="71" spans="1:10" ht="60" customHeight="1">
      <c r="A71" s="6" t="s">
        <v>274</v>
      </c>
      <c r="B71" s="6" t="s">
        <v>10</v>
      </c>
      <c r="C71" s="6" t="s">
        <v>11</v>
      </c>
      <c r="D71" s="7" t="s">
        <v>275</v>
      </c>
      <c r="E71" s="8" t="s">
        <v>276</v>
      </c>
      <c r="F71" s="6" t="s">
        <v>277</v>
      </c>
      <c r="G71" s="9">
        <f>IF(A71=1,"_",IF(C71="_","???",C71))</f>
        <v/>
      </c>
      <c r="H71" s="10" t="s">
        <v>11</v>
      </c>
      <c r="I71" s="11" t="s">
        <v>11</v>
      </c>
      <c r="J71" s="12"/>
    </row>
    <row r="72" spans="1:10" ht="60" customHeight="1">
      <c r="A72" s="6" t="s">
        <v>278</v>
      </c>
      <c r="B72" s="6" t="s">
        <v>20</v>
      </c>
      <c r="C72" s="6" t="s">
        <v>11</v>
      </c>
      <c r="D72" s="7" t="s">
        <v>279</v>
      </c>
      <c r="E72" s="8" t="s">
        <v>280</v>
      </c>
      <c r="F72" s="6" t="s">
        <v>281</v>
      </c>
      <c r="G72" s="9">
        <f>IF(A72=1,"_",IF(C72="_","???",C72))</f>
        <v/>
      </c>
      <c r="H72" s="10" t="s">
        <v>11</v>
      </c>
      <c r="I72" s="11" t="s">
        <v>11</v>
      </c>
      <c r="J72" s="12"/>
    </row>
    <row r="73" spans="1:10" ht="60" customHeight="1">
      <c r="A73" s="6" t="s">
        <v>282</v>
      </c>
      <c r="B73" s="6" t="s">
        <v>88</v>
      </c>
      <c r="C73" s="6" t="s">
        <v>11</v>
      </c>
      <c r="D73" s="7" t="s">
        <v>187</v>
      </c>
      <c r="E73" s="8" t="s">
        <v>283</v>
      </c>
      <c r="F73" s="6" t="s">
        <v>284</v>
      </c>
      <c r="G73" s="9">
        <f>IF(A73=1,"_",IF(C73="_","???",C73))</f>
        <v/>
      </c>
      <c r="H73" s="10" t="s">
        <v>11</v>
      </c>
      <c r="I73" s="11" t="s">
        <v>11</v>
      </c>
      <c r="J73" s="12"/>
    </row>
    <row r="74" spans="1:10" ht="60" customHeight="1">
      <c r="A74" s="6" t="s">
        <v>285</v>
      </c>
      <c r="B74" s="6" t="s">
        <v>15</v>
      </c>
      <c r="C74" s="6" t="s">
        <v>11</v>
      </c>
      <c r="D74" s="7" t="s">
        <v>286</v>
      </c>
      <c r="E74" s="8" t="s">
        <v>287</v>
      </c>
      <c r="F74" s="6" t="s">
        <v>288</v>
      </c>
      <c r="G74" s="9">
        <f>IF(A74=1,"_",IF(C74="_","???",C74))</f>
        <v/>
      </c>
      <c r="H74" s="10" t="s">
        <v>11</v>
      </c>
      <c r="I74" s="11" t="s">
        <v>11</v>
      </c>
      <c r="J74" s="12"/>
    </row>
    <row r="75" spans="1:10" ht="60" customHeight="1">
      <c r="A75" s="6" t="s">
        <v>289</v>
      </c>
      <c r="B75" s="6" t="s">
        <v>96</v>
      </c>
      <c r="C75" s="6" t="s">
        <v>11</v>
      </c>
      <c r="D75" s="7" t="s">
        <v>290</v>
      </c>
      <c r="E75" s="8" t="s">
        <v>291</v>
      </c>
      <c r="F75" s="6" t="s">
        <v>292</v>
      </c>
      <c r="G75" s="9">
        <f>IF(A75=1,"_",IF(C75="_","???",C75))</f>
        <v/>
      </c>
      <c r="H75" s="10" t="s">
        <v>11</v>
      </c>
      <c r="I75" s="11" t="s">
        <v>11</v>
      </c>
      <c r="J75" s="12"/>
    </row>
    <row r="76" spans="1:10" ht="60" customHeight="1">
      <c r="A76" s="6" t="s">
        <v>293</v>
      </c>
      <c r="B76" s="6" t="s">
        <v>20</v>
      </c>
      <c r="C76" s="6" t="s">
        <v>11</v>
      </c>
      <c r="D76" s="7" t="s">
        <v>126</v>
      </c>
      <c r="E76" s="8" t="s">
        <v>294</v>
      </c>
      <c r="F76" s="6" t="s">
        <v>295</v>
      </c>
      <c r="G76" s="9">
        <f>IF(A76=1,"_",IF(C76="_","???",C76))</f>
        <v/>
      </c>
      <c r="H76" s="10" t="s">
        <v>11</v>
      </c>
      <c r="I76" s="11" t="s">
        <v>11</v>
      </c>
      <c r="J76" s="12"/>
    </row>
    <row r="77" spans="1:10" ht="60" customHeight="1">
      <c r="A77" s="6" t="s">
        <v>296</v>
      </c>
      <c r="B77" s="6" t="s">
        <v>35</v>
      </c>
      <c r="C77" s="6" t="s">
        <v>11</v>
      </c>
      <c r="D77" s="7" t="s">
        <v>297</v>
      </c>
      <c r="E77" s="8" t="s">
        <v>298</v>
      </c>
      <c r="F77" s="6" t="s">
        <v>299</v>
      </c>
      <c r="G77" s="9">
        <f>IF(A77=1,"_",IF(C77="_","???",C77))</f>
        <v/>
      </c>
      <c r="H77" s="10" t="s">
        <v>11</v>
      </c>
      <c r="I77" s="11" t="s">
        <v>11</v>
      </c>
      <c r="J77" s="12"/>
    </row>
    <row r="78" spans="1:10" ht="60" customHeight="1">
      <c r="A78" s="6" t="s">
        <v>300</v>
      </c>
      <c r="B78" s="6" t="s">
        <v>10</v>
      </c>
      <c r="C78" s="6" t="s">
        <v>11</v>
      </c>
      <c r="D78" s="7" t="s">
        <v>301</v>
      </c>
      <c r="E78" s="8" t="s">
        <v>302</v>
      </c>
      <c r="F78" s="6" t="s">
        <v>303</v>
      </c>
      <c r="G78" s="9">
        <f>IF(A78=1,"_",IF(C78="_","???",C78))</f>
        <v/>
      </c>
      <c r="H78" s="10" t="s">
        <v>11</v>
      </c>
      <c r="I78" s="11" t="s">
        <v>11</v>
      </c>
      <c r="J78" s="12"/>
    </row>
    <row r="79" spans="1:10" ht="60" customHeight="1">
      <c r="A79" s="6" t="s">
        <v>304</v>
      </c>
      <c r="B79" s="6" t="s">
        <v>80</v>
      </c>
      <c r="C79" s="6" t="s">
        <v>11</v>
      </c>
      <c r="D79" s="7" t="s">
        <v>305</v>
      </c>
      <c r="E79" s="8" t="s">
        <v>306</v>
      </c>
      <c r="F79" s="6" t="s">
        <v>307</v>
      </c>
      <c r="G79" s="9">
        <f>IF(A79=1,"_",IF(C79="_","???",C79))</f>
        <v/>
      </c>
      <c r="H79" s="10" t="s">
        <v>11</v>
      </c>
      <c r="I79" s="11" t="s">
        <v>11</v>
      </c>
      <c r="J79" s="12"/>
    </row>
    <row r="80" spans="1:10" ht="60" customHeight="1">
      <c r="A80" s="6" t="s">
        <v>308</v>
      </c>
      <c r="B80" s="6" t="s">
        <v>15</v>
      </c>
      <c r="C80" s="6" t="s">
        <v>11</v>
      </c>
      <c r="D80" s="7" t="s">
        <v>275</v>
      </c>
      <c r="E80" s="8" t="s">
        <v>309</v>
      </c>
      <c r="F80" s="6" t="s">
        <v>310</v>
      </c>
      <c r="G80" s="9">
        <f>IF(A80=1,"_",IF(C80="_","???",C80))</f>
        <v/>
      </c>
      <c r="H80" s="10" t="s">
        <v>11</v>
      </c>
      <c r="I80" s="11" t="s">
        <v>11</v>
      </c>
      <c r="J80" s="12"/>
    </row>
    <row r="81" spans="1:10" ht="60" customHeight="1">
      <c r="A81" s="6" t="s">
        <v>311</v>
      </c>
      <c r="B81" s="6" t="s">
        <v>16</v>
      </c>
      <c r="C81" s="6" t="s">
        <v>11</v>
      </c>
      <c r="D81" s="7" t="s">
        <v>312</v>
      </c>
      <c r="E81" s="8" t="s">
        <v>313</v>
      </c>
      <c r="F81" s="6" t="s">
        <v>314</v>
      </c>
      <c r="G81" s="9">
        <f>IF(A81=1,"_",IF(C81="_","???",C81))</f>
        <v/>
      </c>
      <c r="H81" s="10" t="s">
        <v>11</v>
      </c>
      <c r="I81" s="11" t="s">
        <v>11</v>
      </c>
      <c r="J81" s="12"/>
    </row>
    <row r="82" spans="1:10" ht="60" customHeight="1">
      <c r="A82" s="6" t="s">
        <v>315</v>
      </c>
      <c r="B82" s="6" t="s">
        <v>15</v>
      </c>
      <c r="C82" s="6" t="s">
        <v>11</v>
      </c>
      <c r="D82" s="7" t="s">
        <v>316</v>
      </c>
      <c r="E82" s="8" t="s">
        <v>317</v>
      </c>
      <c r="F82" s="6" t="s">
        <v>318</v>
      </c>
      <c r="G82" s="9">
        <f>IF(A82=1,"_",IF(C82="_","???",C82))</f>
        <v/>
      </c>
      <c r="H82" s="10" t="s">
        <v>11</v>
      </c>
      <c r="I82" s="11" t="s">
        <v>11</v>
      </c>
      <c r="J82" s="12"/>
    </row>
    <row r="83" spans="1:10" ht="60" customHeight="1">
      <c r="A83" s="6" t="s">
        <v>319</v>
      </c>
      <c r="B83" s="6" t="s">
        <v>10</v>
      </c>
      <c r="C83" s="6" t="s">
        <v>11</v>
      </c>
      <c r="D83" s="7" t="s">
        <v>24</v>
      </c>
      <c r="E83" s="8" t="s">
        <v>320</v>
      </c>
      <c r="F83" s="6" t="s">
        <v>321</v>
      </c>
      <c r="G83" s="9">
        <f>IF(A83=1,"_",IF(C83="_","???",C83))</f>
        <v/>
      </c>
      <c r="H83" s="10" t="s">
        <v>11</v>
      </c>
      <c r="I83" s="11" t="s">
        <v>11</v>
      </c>
      <c r="J83" s="12"/>
    </row>
    <row r="84" spans="1:10" ht="60" customHeight="1">
      <c r="A84" s="6" t="s">
        <v>322</v>
      </c>
      <c r="B84" s="6" t="s">
        <v>39</v>
      </c>
      <c r="C84" s="6" t="s">
        <v>11</v>
      </c>
      <c r="D84" s="7" t="s">
        <v>323</v>
      </c>
      <c r="E84" s="8" t="s">
        <v>324</v>
      </c>
      <c r="F84" s="6" t="s">
        <v>325</v>
      </c>
      <c r="G84" s="9">
        <f>IF(A84=1,"_",IF(C84="_","???",C84))</f>
        <v/>
      </c>
      <c r="H84" s="10" t="s">
        <v>11</v>
      </c>
      <c r="I84" s="11" t="s">
        <v>11</v>
      </c>
      <c r="J84" s="12"/>
    </row>
    <row r="85" spans="1:10" ht="60" customHeight="1">
      <c r="A85" s="6" t="s">
        <v>326</v>
      </c>
      <c r="B85" s="6" t="s">
        <v>10</v>
      </c>
      <c r="C85" s="6" t="s">
        <v>11</v>
      </c>
      <c r="D85" s="7" t="s">
        <v>327</v>
      </c>
      <c r="E85" s="8" t="s">
        <v>328</v>
      </c>
      <c r="F85" s="6" t="s">
        <v>329</v>
      </c>
      <c r="G85" s="9">
        <f>IF(A85=1,"_",IF(C85="_","???",C85))</f>
        <v/>
      </c>
      <c r="H85" s="10" t="s">
        <v>11</v>
      </c>
      <c r="I85" s="11" t="s">
        <v>11</v>
      </c>
      <c r="J85" s="12"/>
    </row>
    <row r="86" spans="1:10" ht="60" customHeight="1">
      <c r="A86" s="6" t="s">
        <v>330</v>
      </c>
      <c r="B86" s="6" t="s">
        <v>88</v>
      </c>
      <c r="C86" s="6" t="s">
        <v>11</v>
      </c>
      <c r="D86" s="7" t="s">
        <v>64</v>
      </c>
      <c r="E86" s="8" t="s">
        <v>331</v>
      </c>
      <c r="F86" s="6" t="s">
        <v>332</v>
      </c>
      <c r="G86" s="9">
        <f>IF(A86=1,"_",IF(C86="_","???",C86))</f>
        <v/>
      </c>
      <c r="H86" s="10" t="s">
        <v>11</v>
      </c>
      <c r="I86" s="11" t="s">
        <v>11</v>
      </c>
      <c r="J86" s="12"/>
    </row>
    <row r="87" spans="1:10" ht="60" customHeight="1">
      <c r="A87" s="6" t="s">
        <v>333</v>
      </c>
      <c r="B87" s="6" t="s">
        <v>67</v>
      </c>
      <c r="C87" s="6" t="s">
        <v>11</v>
      </c>
      <c r="D87" s="7" t="s">
        <v>334</v>
      </c>
      <c r="E87" s="8" t="s">
        <v>335</v>
      </c>
      <c r="F87" s="6" t="s">
        <v>336</v>
      </c>
      <c r="G87" s="9">
        <f>IF(A87=1,"_",IF(C87="_","???",C87))</f>
        <v/>
      </c>
      <c r="H87" s="10" t="s">
        <v>11</v>
      </c>
      <c r="I87" s="11" t="s">
        <v>11</v>
      </c>
      <c r="J87" s="12"/>
    </row>
    <row r="88" spans="1:10" ht="60" customHeight="1">
      <c r="A88" s="6" t="s">
        <v>337</v>
      </c>
      <c r="B88" s="6" t="s">
        <v>15</v>
      </c>
      <c r="C88" s="6" t="s">
        <v>11</v>
      </c>
      <c r="D88" s="7" t="s">
        <v>60</v>
      </c>
      <c r="E88" s="8" t="s">
        <v>338</v>
      </c>
      <c r="F88" s="6" t="s">
        <v>339</v>
      </c>
      <c r="G88" s="9">
        <f>IF(A88=1,"_",IF(C88="_","???",C88))</f>
        <v/>
      </c>
      <c r="H88" s="10" t="s">
        <v>11</v>
      </c>
      <c r="I88" s="11" t="s">
        <v>11</v>
      </c>
      <c r="J88" s="12"/>
    </row>
    <row r="89" spans="1:10" ht="60" customHeight="1">
      <c r="A89" s="6" t="s">
        <v>340</v>
      </c>
      <c r="B89" s="6" t="s">
        <v>15</v>
      </c>
      <c r="C89" s="6" t="s">
        <v>11</v>
      </c>
      <c r="D89" s="7" t="s">
        <v>341</v>
      </c>
      <c r="E89" s="8" t="s">
        <v>342</v>
      </c>
      <c r="F89" s="6" t="s">
        <v>343</v>
      </c>
      <c r="G89" s="9">
        <f>IF(A89=1,"_",IF(C89="_","???",C89))</f>
        <v/>
      </c>
      <c r="H89" s="10" t="s">
        <v>11</v>
      </c>
      <c r="I89" s="11" t="s">
        <v>11</v>
      </c>
      <c r="J89" s="12"/>
    </row>
    <row r="90" spans="1:10" ht="60" customHeight="1">
      <c r="A90" s="6" t="s">
        <v>344</v>
      </c>
      <c r="B90" s="6" t="s">
        <v>15</v>
      </c>
      <c r="C90" s="6" t="s">
        <v>11</v>
      </c>
      <c r="D90" s="7" t="s">
        <v>60</v>
      </c>
      <c r="E90" s="8" t="s">
        <v>345</v>
      </c>
      <c r="F90" s="6" t="s">
        <v>346</v>
      </c>
      <c r="G90" s="9">
        <f>IF(A90=1,"_",IF(C90="_","???",C90))</f>
        <v/>
      </c>
      <c r="H90" s="10" t="s">
        <v>11</v>
      </c>
      <c r="I90" s="11" t="s">
        <v>11</v>
      </c>
      <c r="J90" s="12"/>
    </row>
    <row r="91" spans="1:10" ht="60" customHeight="1">
      <c r="A91" s="6" t="s">
        <v>347</v>
      </c>
      <c r="B91" s="6" t="s">
        <v>27</v>
      </c>
      <c r="C91" s="6" t="s">
        <v>11</v>
      </c>
      <c r="D91" s="7" t="s">
        <v>60</v>
      </c>
      <c r="E91" s="8" t="s">
        <v>348</v>
      </c>
      <c r="F91" s="6" t="s">
        <v>349</v>
      </c>
      <c r="G91" s="9">
        <f>IF(A91=1,"_",IF(C91="_","???",C91))</f>
        <v/>
      </c>
      <c r="H91" s="10" t="s">
        <v>11</v>
      </c>
      <c r="I91" s="11" t="s">
        <v>11</v>
      </c>
      <c r="J91" s="12"/>
    </row>
    <row r="92" spans="1:10" ht="60" customHeight="1">
      <c r="A92" s="6" t="s">
        <v>350</v>
      </c>
      <c r="B92" s="6" t="s">
        <v>15</v>
      </c>
      <c r="C92" s="6" t="s">
        <v>11</v>
      </c>
      <c r="D92" s="7" t="s">
        <v>351</v>
      </c>
      <c r="E92" s="8" t="s">
        <v>352</v>
      </c>
      <c r="F92" s="6" t="s">
        <v>353</v>
      </c>
      <c r="G92" s="9">
        <f>IF(A92=1,"_",IF(C92="_","???",C92))</f>
        <v/>
      </c>
      <c r="H92" s="10" t="s">
        <v>11</v>
      </c>
      <c r="I92" s="11" t="s">
        <v>11</v>
      </c>
      <c r="J92" s="12"/>
    </row>
    <row r="93" spans="1:10" ht="60" customHeight="1">
      <c r="A93" s="6" t="s">
        <v>354</v>
      </c>
      <c r="B93" s="6" t="s">
        <v>10</v>
      </c>
      <c r="C93" s="6" t="s">
        <v>11</v>
      </c>
      <c r="D93" s="7" t="s">
        <v>355</v>
      </c>
      <c r="E93" s="8" t="s">
        <v>356</v>
      </c>
      <c r="F93" s="6" t="s">
        <v>357</v>
      </c>
      <c r="G93" s="9">
        <f>IF(A93=1,"_",IF(C93="_","???",C93))</f>
        <v/>
      </c>
      <c r="H93" s="10" t="s">
        <v>11</v>
      </c>
      <c r="I93" s="11" t="s">
        <v>11</v>
      </c>
      <c r="J93" s="12"/>
    </row>
    <row r="94" spans="1:10" ht="60" customHeight="1">
      <c r="A94" s="6" t="s">
        <v>358</v>
      </c>
      <c r="B94" s="6" t="s">
        <v>10</v>
      </c>
      <c r="C94" s="6" t="s">
        <v>11</v>
      </c>
      <c r="D94" s="7" t="s">
        <v>359</v>
      </c>
      <c r="E94" s="8" t="s">
        <v>360</v>
      </c>
      <c r="F94" s="6" t="s">
        <v>361</v>
      </c>
      <c r="G94" s="9">
        <f>IF(A94=1,"_",IF(C94="_","???",C94))</f>
        <v/>
      </c>
      <c r="H94" s="10" t="s">
        <v>11</v>
      </c>
      <c r="I94" s="11" t="s">
        <v>11</v>
      </c>
      <c r="J94" s="12"/>
    </row>
    <row r="95" spans="1:10" ht="60" customHeight="1">
      <c r="A95" s="6" t="s">
        <v>362</v>
      </c>
      <c r="B95" s="6" t="s">
        <v>35</v>
      </c>
      <c r="C95" s="6" t="s">
        <v>11</v>
      </c>
      <c r="D95" s="7" t="s">
        <v>363</v>
      </c>
      <c r="E95" s="8" t="s">
        <v>364</v>
      </c>
      <c r="F95" s="6" t="s">
        <v>365</v>
      </c>
      <c r="G95" s="9">
        <f>IF(A95=1,"_",IF(C95="_","???",C95))</f>
        <v/>
      </c>
      <c r="H95" s="10" t="s">
        <v>11</v>
      </c>
      <c r="I95" s="11" t="s">
        <v>11</v>
      </c>
      <c r="J95" s="12"/>
    </row>
    <row r="96" spans="1:10" ht="60" customHeight="1">
      <c r="A96" s="6" t="s">
        <v>366</v>
      </c>
      <c r="B96" s="6" t="s">
        <v>31</v>
      </c>
      <c r="C96" s="6" t="s">
        <v>11</v>
      </c>
      <c r="D96" s="7" t="s">
        <v>126</v>
      </c>
      <c r="E96" s="8" t="s">
        <v>367</v>
      </c>
      <c r="F96" s="6" t="s">
        <v>368</v>
      </c>
      <c r="G96" s="9">
        <f>IF(A96=1,"_",IF(C96="_","???",C96))</f>
        <v/>
      </c>
      <c r="H96" s="10" t="s">
        <v>11</v>
      </c>
      <c r="I96" s="11" t="s">
        <v>11</v>
      </c>
      <c r="J96" s="12"/>
    </row>
    <row r="97" spans="1:10" ht="60" customHeight="1">
      <c r="A97" s="6" t="s">
        <v>369</v>
      </c>
      <c r="B97" s="6" t="s">
        <v>20</v>
      </c>
      <c r="C97" s="6" t="s">
        <v>11</v>
      </c>
      <c r="D97" s="7" t="s">
        <v>187</v>
      </c>
      <c r="E97" s="8" t="s">
        <v>370</v>
      </c>
      <c r="F97" s="6" t="s">
        <v>371</v>
      </c>
      <c r="G97" s="9">
        <f>IF(A97=1,"_",IF(C97="_","???",C97))</f>
        <v/>
      </c>
      <c r="H97" s="10" t="s">
        <v>11</v>
      </c>
      <c r="I97" s="11" t="s">
        <v>11</v>
      </c>
      <c r="J97" s="12"/>
    </row>
    <row r="98" spans="1:10" ht="60" customHeight="1">
      <c r="A98" s="6" t="s">
        <v>372</v>
      </c>
      <c r="B98" s="6" t="s">
        <v>15</v>
      </c>
      <c r="C98" s="6" t="s">
        <v>11</v>
      </c>
      <c r="D98" s="7" t="s">
        <v>373</v>
      </c>
      <c r="E98" s="8" t="s">
        <v>374</v>
      </c>
      <c r="F98" s="6" t="s">
        <v>375</v>
      </c>
      <c r="G98" s="9">
        <f>IF(A98=1,"_",IF(C98="_","???",C98))</f>
        <v/>
      </c>
      <c r="H98" s="10" t="s">
        <v>11</v>
      </c>
      <c r="I98" s="11" t="s">
        <v>11</v>
      </c>
      <c r="J98" s="12"/>
    </row>
    <row r="99" spans="1:10" ht="60" customHeight="1">
      <c r="A99" s="6" t="s">
        <v>376</v>
      </c>
      <c r="B99" s="6" t="s">
        <v>15</v>
      </c>
      <c r="C99" s="6" t="s">
        <v>11</v>
      </c>
      <c r="D99" s="7" t="s">
        <v>377</v>
      </c>
      <c r="E99" s="8" t="s">
        <v>378</v>
      </c>
      <c r="F99" s="6" t="s">
        <v>379</v>
      </c>
      <c r="G99" s="9">
        <f>IF(A99=1,"_",IF(C99="_","???",C99))</f>
        <v/>
      </c>
      <c r="H99" s="10" t="s">
        <v>11</v>
      </c>
      <c r="I99" s="11" t="s">
        <v>11</v>
      </c>
      <c r="J99" s="12"/>
    </row>
    <row r="100" spans="1:10" ht="60" customHeight="1">
      <c r="A100" s="6" t="s">
        <v>380</v>
      </c>
      <c r="B100" s="6" t="s">
        <v>20</v>
      </c>
      <c r="C100" s="6" t="s">
        <v>11</v>
      </c>
      <c r="D100" s="7" t="s">
        <v>381</v>
      </c>
      <c r="E100" s="8" t="s">
        <v>382</v>
      </c>
      <c r="F100" s="6" t="s">
        <v>383</v>
      </c>
      <c r="G100" s="9">
        <f>IF(A100=1,"_",IF(C100="_","???",C100))</f>
        <v/>
      </c>
      <c r="H100" s="10" t="s">
        <v>11</v>
      </c>
      <c r="I100" s="11" t="s">
        <v>11</v>
      </c>
      <c r="J100" s="12"/>
    </row>
    <row r="101" spans="1:10" ht="60" customHeight="1">
      <c r="A101" s="6" t="s">
        <v>384</v>
      </c>
      <c r="B101" s="6" t="s">
        <v>10</v>
      </c>
      <c r="C101" s="6" t="s">
        <v>11</v>
      </c>
      <c r="D101" s="7" t="s">
        <v>385</v>
      </c>
      <c r="E101" s="8" t="s">
        <v>386</v>
      </c>
      <c r="F101" s="6" t="s">
        <v>387</v>
      </c>
      <c r="G101" s="9">
        <f>IF(A101=1,"_",IF(C101="_","???",C101))</f>
        <v/>
      </c>
      <c r="H101" s="10" t="s">
        <v>11</v>
      </c>
      <c r="I101" s="11" t="s">
        <v>11</v>
      </c>
      <c r="J101" s="12"/>
    </row>
    <row r="102" spans="1:10" ht="60" customHeight="1">
      <c r="A102" s="6" t="s">
        <v>388</v>
      </c>
      <c r="B102" s="6" t="s">
        <v>27</v>
      </c>
      <c r="C102" s="6" t="s">
        <v>11</v>
      </c>
      <c r="D102" s="7" t="s">
        <v>389</v>
      </c>
      <c r="E102" s="8" t="s">
        <v>390</v>
      </c>
      <c r="F102" s="6" t="s">
        <v>391</v>
      </c>
      <c r="G102" s="9">
        <f>IF(A102=1,"_",IF(C102="_","???",C102))</f>
        <v/>
      </c>
      <c r="H102" s="10" t="s">
        <v>11</v>
      </c>
      <c r="I102" s="11" t="s">
        <v>11</v>
      </c>
      <c r="J102" s="12"/>
    </row>
    <row r="103" spans="1:10" ht="60" customHeight="1">
      <c r="A103" s="6" t="s">
        <v>392</v>
      </c>
      <c r="B103" s="6" t="s">
        <v>20</v>
      </c>
      <c r="C103" s="6" t="s">
        <v>11</v>
      </c>
      <c r="D103" s="7" t="s">
        <v>24</v>
      </c>
      <c r="E103" s="8" t="s">
        <v>393</v>
      </c>
      <c r="F103" s="6" t="s">
        <v>394</v>
      </c>
      <c r="G103" s="9">
        <f>IF(A103=1,"_",IF(C103="_","???",C103))</f>
        <v/>
      </c>
      <c r="H103" s="10" t="s">
        <v>11</v>
      </c>
      <c r="I103" s="11" t="s">
        <v>11</v>
      </c>
      <c r="J103" s="12"/>
    </row>
    <row r="104" spans="1:10" ht="60" customHeight="1">
      <c r="A104" s="6" t="s">
        <v>395</v>
      </c>
      <c r="B104" s="6" t="s">
        <v>10</v>
      </c>
      <c r="C104" s="6" t="s">
        <v>11</v>
      </c>
      <c r="D104" s="7" t="s">
        <v>305</v>
      </c>
      <c r="E104" s="8" t="s">
        <v>396</v>
      </c>
      <c r="F104" s="6" t="s">
        <v>397</v>
      </c>
      <c r="G104" s="9">
        <f>IF(A104=1,"_",IF(C104="_","???",C104))</f>
        <v/>
      </c>
      <c r="H104" s="10" t="s">
        <v>11</v>
      </c>
      <c r="I104" s="11" t="s">
        <v>11</v>
      </c>
      <c r="J104" s="12"/>
    </row>
    <row r="105" spans="1:10" ht="60" customHeight="1">
      <c r="A105" s="6" t="s">
        <v>398</v>
      </c>
      <c r="B105" s="6" t="s">
        <v>10</v>
      </c>
      <c r="C105" s="6" t="s">
        <v>11</v>
      </c>
      <c r="D105" s="7" t="s">
        <v>399</v>
      </c>
      <c r="E105" s="8" t="s">
        <v>400</v>
      </c>
      <c r="F105" s="6" t="s">
        <v>401</v>
      </c>
      <c r="G105" s="9">
        <f>IF(A105=1,"_",IF(C105="_","???",C105))</f>
        <v/>
      </c>
      <c r="H105" s="10" t="s">
        <v>11</v>
      </c>
      <c r="I105" s="11" t="s">
        <v>11</v>
      </c>
      <c r="J105" s="12"/>
    </row>
    <row r="106" spans="1:10" ht="60" customHeight="1">
      <c r="A106" s="6" t="s">
        <v>402</v>
      </c>
      <c r="B106" s="6" t="s">
        <v>15</v>
      </c>
      <c r="C106" s="6" t="s">
        <v>11</v>
      </c>
      <c r="D106" s="7" t="s">
        <v>403</v>
      </c>
      <c r="E106" s="8" t="s">
        <v>404</v>
      </c>
      <c r="F106" s="6" t="s">
        <v>405</v>
      </c>
      <c r="G106" s="9">
        <f>IF(A106=1,"_",IF(C106="_","???",C106))</f>
        <v/>
      </c>
      <c r="H106" s="10" t="s">
        <v>11</v>
      </c>
      <c r="I106" s="11" t="s">
        <v>11</v>
      </c>
      <c r="J106" s="12"/>
    </row>
    <row r="107" spans="1:10" ht="60" customHeight="1">
      <c r="A107" s="6" t="s">
        <v>406</v>
      </c>
      <c r="B107" s="6" t="s">
        <v>16</v>
      </c>
      <c r="C107" s="6" t="s">
        <v>11</v>
      </c>
      <c r="D107" s="7" t="s">
        <v>407</v>
      </c>
      <c r="E107" s="8" t="s">
        <v>408</v>
      </c>
      <c r="F107" s="6" t="s">
        <v>409</v>
      </c>
      <c r="G107" s="9">
        <f>IF(A107=1,"_",IF(C107="_","???",C107))</f>
        <v/>
      </c>
      <c r="H107" s="10" t="s">
        <v>11</v>
      </c>
      <c r="I107" s="11" t="s">
        <v>11</v>
      </c>
      <c r="J107" s="12"/>
    </row>
    <row r="108" spans="1:10" ht="60" customHeight="1">
      <c r="A108" s="6" t="s">
        <v>410</v>
      </c>
      <c r="B108" s="6" t="s">
        <v>10</v>
      </c>
      <c r="C108" s="6" t="s">
        <v>11</v>
      </c>
      <c r="D108" s="7" t="s">
        <v>359</v>
      </c>
      <c r="E108" s="8" t="s">
        <v>411</v>
      </c>
      <c r="F108" s="6" t="s">
        <v>412</v>
      </c>
      <c r="G108" s="9">
        <f>IF(A108=1,"_",IF(C108="_","???",C108))</f>
        <v/>
      </c>
      <c r="H108" s="10" t="s">
        <v>11</v>
      </c>
      <c r="I108" s="11" t="s">
        <v>11</v>
      </c>
      <c r="J108" s="12"/>
    </row>
    <row r="109" spans="1:10" ht="60" customHeight="1">
      <c r="A109" s="6" t="s">
        <v>413</v>
      </c>
      <c r="B109" s="6" t="s">
        <v>27</v>
      </c>
      <c r="C109" s="6" t="s">
        <v>11</v>
      </c>
      <c r="D109" s="7" t="s">
        <v>407</v>
      </c>
      <c r="E109" s="8" t="s">
        <v>414</v>
      </c>
      <c r="F109" s="6" t="s">
        <v>415</v>
      </c>
      <c r="G109" s="9">
        <f>IF(A109=1,"_",IF(C109="_","???",C109))</f>
        <v/>
      </c>
      <c r="H109" s="10" t="s">
        <v>11</v>
      </c>
      <c r="I109" s="11" t="s">
        <v>11</v>
      </c>
      <c r="J109" s="12"/>
    </row>
    <row r="110" spans="1:10" ht="60" customHeight="1">
      <c r="A110" s="6" t="s">
        <v>416</v>
      </c>
      <c r="B110" s="6" t="s">
        <v>20</v>
      </c>
      <c r="C110" s="6" t="s">
        <v>11</v>
      </c>
      <c r="D110" s="7" t="s">
        <v>126</v>
      </c>
      <c r="E110" s="8" t="s">
        <v>417</v>
      </c>
      <c r="F110" s="6" t="s">
        <v>418</v>
      </c>
      <c r="G110" s="9">
        <f>IF(A110=1,"_",IF(C110="_","???",C110))</f>
        <v/>
      </c>
      <c r="H110" s="10" t="s">
        <v>11</v>
      </c>
      <c r="I110" s="11" t="s">
        <v>11</v>
      </c>
      <c r="J110" s="12"/>
    </row>
    <row r="111" spans="1:10" ht="60" customHeight="1">
      <c r="A111" s="6" t="s">
        <v>419</v>
      </c>
      <c r="B111" s="6" t="s">
        <v>20</v>
      </c>
      <c r="C111" s="6" t="s">
        <v>11</v>
      </c>
      <c r="D111" s="7" t="s">
        <v>126</v>
      </c>
      <c r="E111" s="8" t="s">
        <v>420</v>
      </c>
      <c r="F111" s="6" t="s">
        <v>421</v>
      </c>
      <c r="G111" s="9">
        <f>IF(A111=1,"_",IF(C111="_","???",C111))</f>
        <v/>
      </c>
      <c r="H111" s="10" t="s">
        <v>11</v>
      </c>
      <c r="I111" s="11" t="s">
        <v>11</v>
      </c>
      <c r="J111" s="12"/>
    </row>
    <row r="112" spans="1:10" ht="60" customHeight="1">
      <c r="A112" s="6" t="s">
        <v>422</v>
      </c>
      <c r="B112" s="6" t="s">
        <v>51</v>
      </c>
      <c r="C112" s="6" t="s">
        <v>11</v>
      </c>
      <c r="D112" s="7" t="s">
        <v>423</v>
      </c>
      <c r="E112" s="8" t="s">
        <v>424</v>
      </c>
      <c r="F112" s="6" t="s">
        <v>425</v>
      </c>
      <c r="G112" s="9">
        <f>IF(A112=1,"_",IF(C112="_","???",C112))</f>
        <v/>
      </c>
      <c r="H112" s="10" t="s">
        <v>11</v>
      </c>
      <c r="I112" s="11" t="s">
        <v>11</v>
      </c>
      <c r="J112" s="12"/>
    </row>
    <row r="113" spans="1:10" ht="60" customHeight="1">
      <c r="A113" s="6" t="s">
        <v>426</v>
      </c>
      <c r="B113" s="6" t="s">
        <v>31</v>
      </c>
      <c r="C113" s="6" t="s">
        <v>11</v>
      </c>
      <c r="D113" s="7" t="s">
        <v>271</v>
      </c>
      <c r="E113" s="8" t="s">
        <v>427</v>
      </c>
      <c r="F113" s="6" t="s">
        <v>428</v>
      </c>
      <c r="G113" s="9">
        <f>IF(A113=1,"_",IF(C113="_","???",C113))</f>
        <v/>
      </c>
      <c r="H113" s="10" t="s">
        <v>11</v>
      </c>
      <c r="I113" s="11" t="s">
        <v>11</v>
      </c>
      <c r="J113" s="12"/>
    </row>
    <row r="114" spans="1:10" ht="60" customHeight="1">
      <c r="A114" s="6" t="s">
        <v>429</v>
      </c>
      <c r="B114" s="6" t="s">
        <v>35</v>
      </c>
      <c r="C114" s="6" t="s">
        <v>11</v>
      </c>
      <c r="D114" s="7" t="s">
        <v>430</v>
      </c>
      <c r="E114" s="8" t="s">
        <v>431</v>
      </c>
      <c r="F114" s="6" t="s">
        <v>432</v>
      </c>
      <c r="G114" s="9">
        <f>IF(A114=1,"_",IF(C114="_","???",C114))</f>
        <v/>
      </c>
      <c r="H114" s="10" t="s">
        <v>11</v>
      </c>
      <c r="I114" s="11" t="s">
        <v>11</v>
      </c>
      <c r="J114" s="12"/>
    </row>
    <row r="115" spans="1:10" ht="60" customHeight="1">
      <c r="A115" s="6" t="s">
        <v>433</v>
      </c>
      <c r="B115" s="6" t="s">
        <v>76</v>
      </c>
      <c r="C115" s="6" t="s">
        <v>11</v>
      </c>
      <c r="D115" s="7" t="s">
        <v>434</v>
      </c>
      <c r="E115" s="8" t="s">
        <v>435</v>
      </c>
      <c r="F115" s="6" t="s">
        <v>436</v>
      </c>
      <c r="G115" s="9">
        <f>IF(A115=1,"_",IF(C115="_","???",C115))</f>
        <v/>
      </c>
      <c r="H115" s="10" t="s">
        <v>11</v>
      </c>
      <c r="I115" s="11" t="s">
        <v>11</v>
      </c>
      <c r="J115" s="12"/>
    </row>
    <row r="116" spans="1:10" ht="60" customHeight="1">
      <c r="A116" s="6" t="s">
        <v>437</v>
      </c>
      <c r="B116" s="6" t="s">
        <v>39</v>
      </c>
      <c r="C116" s="6" t="s">
        <v>11</v>
      </c>
      <c r="D116" s="7" t="s">
        <v>438</v>
      </c>
      <c r="E116" s="8" t="s">
        <v>439</v>
      </c>
      <c r="F116" s="6" t="s">
        <v>440</v>
      </c>
      <c r="G116" s="9">
        <f>IF(A116=1,"_",IF(C116="_","???",C116))</f>
        <v/>
      </c>
      <c r="H116" s="10" t="s">
        <v>11</v>
      </c>
      <c r="I116" s="11" t="s">
        <v>11</v>
      </c>
      <c r="J116" s="12"/>
    </row>
    <row r="117" spans="1:10" ht="60" customHeight="1">
      <c r="A117" s="6" t="s">
        <v>441</v>
      </c>
      <c r="B117" s="6" t="s">
        <v>16</v>
      </c>
      <c r="C117" s="6" t="s">
        <v>11</v>
      </c>
      <c r="D117" s="7" t="s">
        <v>442</v>
      </c>
      <c r="E117" s="8" t="s">
        <v>443</v>
      </c>
      <c r="F117" s="6" t="s">
        <v>444</v>
      </c>
      <c r="G117" s="9">
        <f>IF(A117=1,"_",IF(C117="_","???",C117))</f>
        <v/>
      </c>
      <c r="H117" s="10" t="s">
        <v>11</v>
      </c>
      <c r="I117" s="11" t="s">
        <v>11</v>
      </c>
      <c r="J117" s="12"/>
    </row>
    <row r="118" spans="1:10" ht="60" customHeight="1">
      <c r="A118" s="6" t="s">
        <v>445</v>
      </c>
      <c r="B118" s="6" t="s">
        <v>16</v>
      </c>
      <c r="C118" s="6" t="s">
        <v>11</v>
      </c>
      <c r="D118" s="7" t="s">
        <v>446</v>
      </c>
      <c r="E118" s="8" t="s">
        <v>447</v>
      </c>
      <c r="F118" s="6" t="s">
        <v>448</v>
      </c>
      <c r="G118" s="9">
        <f>IF(A118=1,"_",IF(C118="_","???",C118))</f>
        <v/>
      </c>
      <c r="H118" s="10" t="s">
        <v>11</v>
      </c>
      <c r="I118" s="11" t="s">
        <v>11</v>
      </c>
      <c r="J118" s="12"/>
    </row>
    <row r="119" spans="1:10" ht="60" customHeight="1">
      <c r="A119" s="6" t="s">
        <v>449</v>
      </c>
      <c r="B119" s="6" t="s">
        <v>31</v>
      </c>
      <c r="C119" s="6" t="s">
        <v>11</v>
      </c>
      <c r="D119" s="7" t="s">
        <v>450</v>
      </c>
      <c r="E119" s="8" t="s">
        <v>451</v>
      </c>
      <c r="F119" s="6" t="s">
        <v>452</v>
      </c>
      <c r="G119" s="9">
        <f>IF(A119=1,"_",IF(C119="_","???",C119))</f>
        <v/>
      </c>
      <c r="H119" s="10" t="s">
        <v>11</v>
      </c>
      <c r="I119" s="11" t="s">
        <v>11</v>
      </c>
      <c r="J119" s="12"/>
    </row>
    <row r="120" spans="1:10" ht="60" customHeight="1">
      <c r="A120" s="6" t="s">
        <v>453</v>
      </c>
      <c r="B120" s="6" t="s">
        <v>10</v>
      </c>
      <c r="C120" s="6" t="s">
        <v>11</v>
      </c>
      <c r="D120" s="7" t="s">
        <v>454</v>
      </c>
      <c r="E120" s="8" t="s">
        <v>455</v>
      </c>
      <c r="F120" s="6" t="s">
        <v>456</v>
      </c>
      <c r="G120" s="9">
        <f>IF(A120=1,"_",IF(C120="_","???",C120))</f>
        <v/>
      </c>
      <c r="H120" s="10" t="s">
        <v>11</v>
      </c>
      <c r="I120" s="11" t="s">
        <v>11</v>
      </c>
      <c r="J120" s="12"/>
    </row>
    <row r="121" spans="1:10" ht="60" customHeight="1">
      <c r="A121" s="6" t="s">
        <v>457</v>
      </c>
      <c r="B121" s="6" t="s">
        <v>20</v>
      </c>
      <c r="C121" s="6" t="s">
        <v>11</v>
      </c>
      <c r="D121" s="7" t="s">
        <v>458</v>
      </c>
      <c r="E121" s="8" t="s">
        <v>459</v>
      </c>
      <c r="F121" s="6" t="s">
        <v>460</v>
      </c>
      <c r="G121" s="9">
        <f>IF(A121=1,"_",IF(C121="_","???",C121))</f>
        <v/>
      </c>
      <c r="H121" s="10" t="s">
        <v>11</v>
      </c>
      <c r="I121" s="11" t="s">
        <v>11</v>
      </c>
      <c r="J121" s="12"/>
    </row>
    <row r="122" spans="1:10" ht="60" customHeight="1">
      <c r="A122" s="6" t="s">
        <v>461</v>
      </c>
      <c r="B122" s="6" t="s">
        <v>10</v>
      </c>
      <c r="C122" s="6" t="s">
        <v>11</v>
      </c>
      <c r="D122" s="7" t="s">
        <v>275</v>
      </c>
      <c r="E122" s="8" t="s">
        <v>462</v>
      </c>
      <c r="F122" s="6" t="s">
        <v>463</v>
      </c>
      <c r="G122" s="9">
        <f>IF(A122=1,"_",IF(C122="_","???",C122))</f>
        <v/>
      </c>
      <c r="H122" s="10" t="s">
        <v>11</v>
      </c>
      <c r="I122" s="11" t="s">
        <v>11</v>
      </c>
      <c r="J122" s="12"/>
    </row>
    <row r="123" spans="1:10" ht="60" customHeight="1">
      <c r="A123" s="6" t="s">
        <v>464</v>
      </c>
      <c r="B123" s="6" t="s">
        <v>15</v>
      </c>
      <c r="C123" s="6" t="s">
        <v>11</v>
      </c>
      <c r="D123" s="7" t="s">
        <v>28</v>
      </c>
      <c r="E123" s="8" t="s">
        <v>465</v>
      </c>
      <c r="F123" s="6" t="s">
        <v>466</v>
      </c>
      <c r="G123" s="9">
        <f>IF(A123=1,"_",IF(C123="_","???",C123))</f>
        <v/>
      </c>
      <c r="H123" s="10" t="s">
        <v>11</v>
      </c>
      <c r="I123" s="11" t="s">
        <v>11</v>
      </c>
      <c r="J123" s="12"/>
    </row>
    <row r="124" spans="1:10" ht="60" customHeight="1">
      <c r="A124" s="6" t="s">
        <v>467</v>
      </c>
      <c r="B124" s="6" t="s">
        <v>16</v>
      </c>
      <c r="C124" s="6" t="s">
        <v>11</v>
      </c>
      <c r="D124" s="7" t="s">
        <v>468</v>
      </c>
      <c r="E124" s="8" t="s">
        <v>469</v>
      </c>
      <c r="F124" s="6" t="s">
        <v>470</v>
      </c>
      <c r="G124" s="9">
        <f>IF(A124=1,"_",IF(C124="_","???",C124))</f>
        <v/>
      </c>
      <c r="H124" s="10" t="s">
        <v>11</v>
      </c>
      <c r="I124" s="11" t="s">
        <v>11</v>
      </c>
      <c r="J124" s="12"/>
    </row>
    <row r="125" spans="1:10" ht="60" customHeight="1">
      <c r="A125" s="6" t="s">
        <v>471</v>
      </c>
      <c r="B125" s="6" t="s">
        <v>20</v>
      </c>
      <c r="C125" s="6" t="s">
        <v>11</v>
      </c>
      <c r="D125" s="7" t="s">
        <v>126</v>
      </c>
      <c r="E125" s="8" t="s">
        <v>472</v>
      </c>
      <c r="F125" s="6" t="s">
        <v>473</v>
      </c>
      <c r="G125" s="9">
        <f>IF(A125=1,"_",IF(C125="_","???",C125))</f>
        <v/>
      </c>
      <c r="H125" s="10" t="s">
        <v>11</v>
      </c>
      <c r="I125" s="11" t="s">
        <v>11</v>
      </c>
      <c r="J125" s="12"/>
    </row>
    <row r="126" spans="1:10" ht="60" customHeight="1">
      <c r="A126" s="6" t="s">
        <v>474</v>
      </c>
      <c r="B126" s="6" t="s">
        <v>39</v>
      </c>
      <c r="C126" s="6" t="s">
        <v>11</v>
      </c>
      <c r="D126" s="7" t="s">
        <v>475</v>
      </c>
      <c r="E126" s="8" t="s">
        <v>476</v>
      </c>
      <c r="F126" s="6" t="s">
        <v>477</v>
      </c>
      <c r="G126" s="9">
        <f>IF(A126=1,"_",IF(C126="_","???",C126))</f>
        <v/>
      </c>
      <c r="H126" s="10" t="s">
        <v>11</v>
      </c>
      <c r="I126" s="11" t="s">
        <v>11</v>
      </c>
      <c r="J126" s="12"/>
    </row>
    <row r="127" spans="1:10" ht="60" customHeight="1">
      <c r="A127" s="6" t="s">
        <v>478</v>
      </c>
      <c r="B127" s="6" t="s">
        <v>20</v>
      </c>
      <c r="C127" s="6" t="s">
        <v>11</v>
      </c>
      <c r="D127" s="7" t="s">
        <v>479</v>
      </c>
      <c r="E127" s="8" t="s">
        <v>480</v>
      </c>
      <c r="F127" s="6" t="s">
        <v>481</v>
      </c>
      <c r="G127" s="9">
        <f>IF(A127=1,"_",IF(C127="_","???",C127))</f>
        <v/>
      </c>
      <c r="H127" s="10" t="s">
        <v>11</v>
      </c>
      <c r="I127" s="11" t="s">
        <v>11</v>
      </c>
      <c r="J127" s="12"/>
    </row>
    <row r="128" spans="1:10" ht="60" customHeight="1">
      <c r="A128" s="6" t="s">
        <v>482</v>
      </c>
      <c r="B128" s="6" t="s">
        <v>20</v>
      </c>
      <c r="C128" s="6" t="s">
        <v>11</v>
      </c>
      <c r="D128" s="7" t="s">
        <v>468</v>
      </c>
      <c r="E128" s="8" t="s">
        <v>483</v>
      </c>
      <c r="F128" s="6" t="s">
        <v>484</v>
      </c>
      <c r="G128" s="9">
        <f>IF(A128=1,"_",IF(C128="_","???",C128))</f>
        <v/>
      </c>
      <c r="H128" s="10" t="s">
        <v>11</v>
      </c>
      <c r="I128" s="11" t="s">
        <v>11</v>
      </c>
      <c r="J128" s="12"/>
    </row>
    <row r="129" spans="1:10" ht="60" customHeight="1">
      <c r="A129" s="6" t="s">
        <v>485</v>
      </c>
      <c r="B129" s="6" t="s">
        <v>15</v>
      </c>
      <c r="C129" s="6" t="s">
        <v>11</v>
      </c>
      <c r="D129" s="7" t="s">
        <v>126</v>
      </c>
      <c r="E129" s="8" t="s">
        <v>486</v>
      </c>
      <c r="F129" s="6" t="s">
        <v>487</v>
      </c>
      <c r="G129" s="9">
        <f>IF(A129=1,"_",IF(C129="_","???",C129))</f>
        <v/>
      </c>
      <c r="H129" s="10" t="s">
        <v>11</v>
      </c>
      <c r="I129" s="11" t="s">
        <v>11</v>
      </c>
      <c r="J129" s="12"/>
    </row>
    <row r="130" spans="1:10" ht="60" customHeight="1">
      <c r="A130" s="6" t="s">
        <v>488</v>
      </c>
      <c r="B130" s="6" t="s">
        <v>20</v>
      </c>
      <c r="C130" s="6" t="s">
        <v>11</v>
      </c>
      <c r="D130" s="7" t="s">
        <v>359</v>
      </c>
      <c r="E130" s="8" t="s">
        <v>489</v>
      </c>
      <c r="F130" s="6" t="s">
        <v>490</v>
      </c>
      <c r="G130" s="9">
        <f>IF(A130=1,"_",IF(C130="_","???",C130))</f>
        <v/>
      </c>
      <c r="H130" s="10" t="s">
        <v>11</v>
      </c>
      <c r="I130" s="11" t="s">
        <v>11</v>
      </c>
      <c r="J130" s="12"/>
    </row>
    <row r="131" spans="1:10" ht="60" customHeight="1">
      <c r="A131" s="6" t="s">
        <v>491</v>
      </c>
      <c r="B131" s="6" t="s">
        <v>20</v>
      </c>
      <c r="C131" s="6" t="s">
        <v>11</v>
      </c>
      <c r="D131" s="7" t="s">
        <v>492</v>
      </c>
      <c r="E131" s="8" t="s">
        <v>493</v>
      </c>
      <c r="F131" s="6" t="s">
        <v>494</v>
      </c>
      <c r="G131" s="9">
        <f>IF(A131=1,"_",IF(C131="_","???",C131))</f>
        <v/>
      </c>
      <c r="H131" s="10" t="s">
        <v>11</v>
      </c>
      <c r="I131" s="11" t="s">
        <v>11</v>
      </c>
      <c r="J131" s="12"/>
    </row>
    <row r="132" spans="1:10" ht="60" customHeight="1">
      <c r="A132" s="6" t="s">
        <v>495</v>
      </c>
      <c r="B132" s="6" t="s">
        <v>10</v>
      </c>
      <c r="C132" s="6" t="s">
        <v>11</v>
      </c>
      <c r="D132" s="7" t="s">
        <v>496</v>
      </c>
      <c r="E132" s="8" t="s">
        <v>497</v>
      </c>
      <c r="F132" s="6" t="s">
        <v>498</v>
      </c>
      <c r="G132" s="9">
        <f>IF(A132=1,"_",IF(C132="_","???",C132))</f>
        <v/>
      </c>
      <c r="H132" s="10" t="s">
        <v>11</v>
      </c>
      <c r="I132" s="11" t="s">
        <v>11</v>
      </c>
      <c r="J132" s="12"/>
    </row>
    <row r="133" spans="1:10" ht="60" customHeight="1">
      <c r="A133" s="6" t="s">
        <v>499</v>
      </c>
      <c r="B133" s="6" t="s">
        <v>31</v>
      </c>
      <c r="C133" s="6" t="s">
        <v>11</v>
      </c>
      <c r="D133" s="7" t="s">
        <v>500</v>
      </c>
      <c r="E133" s="8" t="s">
        <v>501</v>
      </c>
      <c r="F133" s="6" t="s">
        <v>502</v>
      </c>
      <c r="G133" s="9">
        <f>IF(A133=1,"_",IF(C133="_","???",C133))</f>
        <v/>
      </c>
      <c r="H133" s="10" t="s">
        <v>11</v>
      </c>
      <c r="I133" s="11" t="s">
        <v>11</v>
      </c>
      <c r="J133" s="12"/>
    </row>
    <row r="134" spans="1:10" ht="60" customHeight="1">
      <c r="A134" s="6" t="s">
        <v>503</v>
      </c>
      <c r="B134" s="6" t="s">
        <v>15</v>
      </c>
      <c r="C134" s="6" t="s">
        <v>11</v>
      </c>
      <c r="D134" s="7" t="s">
        <v>24</v>
      </c>
      <c r="E134" s="8" t="s">
        <v>504</v>
      </c>
      <c r="F134" s="6" t="s">
        <v>505</v>
      </c>
      <c r="G134" s="9">
        <f>IF(A134=1,"_",IF(C134="_","???",C134))</f>
        <v/>
      </c>
      <c r="H134" s="10" t="s">
        <v>11</v>
      </c>
      <c r="I134" s="11" t="s">
        <v>11</v>
      </c>
      <c r="J134" s="12"/>
    </row>
    <row r="135" spans="1:10" ht="60" customHeight="1">
      <c r="A135" s="6" t="s">
        <v>506</v>
      </c>
      <c r="B135" s="6" t="s">
        <v>10</v>
      </c>
      <c r="C135" s="6" t="s">
        <v>11</v>
      </c>
      <c r="D135" s="7" t="s">
        <v>24</v>
      </c>
      <c r="E135" s="8" t="s">
        <v>507</v>
      </c>
      <c r="F135" s="6" t="s">
        <v>508</v>
      </c>
      <c r="G135" s="9">
        <f>IF(A135=1,"_",IF(C135="_","???",C135))</f>
        <v/>
      </c>
      <c r="H135" s="10" t="s">
        <v>11</v>
      </c>
      <c r="I135" s="11" t="s">
        <v>11</v>
      </c>
      <c r="J135" s="12"/>
    </row>
    <row r="136" spans="1:10" ht="60" customHeight="1">
      <c r="A136" s="6" t="s">
        <v>509</v>
      </c>
      <c r="B136" s="6" t="s">
        <v>10</v>
      </c>
      <c r="C136" s="6" t="s">
        <v>11</v>
      </c>
      <c r="D136" s="7" t="s">
        <v>510</v>
      </c>
      <c r="E136" s="8" t="s">
        <v>511</v>
      </c>
      <c r="F136" s="6" t="s">
        <v>512</v>
      </c>
      <c r="G136" s="9">
        <f>IF(A136=1,"_",IF(C136="_","???",C136))</f>
        <v/>
      </c>
      <c r="H136" s="10" t="s">
        <v>11</v>
      </c>
      <c r="I136" s="11" t="s">
        <v>11</v>
      </c>
      <c r="J136" s="12"/>
    </row>
    <row r="137" spans="1:10" ht="60" customHeight="1">
      <c r="A137" s="6" t="s">
        <v>513</v>
      </c>
      <c r="B137" s="6" t="s">
        <v>10</v>
      </c>
      <c r="C137" s="6" t="s">
        <v>11</v>
      </c>
      <c r="D137" s="7" t="s">
        <v>275</v>
      </c>
      <c r="E137" s="8" t="s">
        <v>514</v>
      </c>
      <c r="F137" s="6" t="s">
        <v>515</v>
      </c>
      <c r="G137" s="9">
        <f>IF(A137=1,"_",IF(C137="_","???",C137))</f>
        <v/>
      </c>
      <c r="H137" s="10" t="s">
        <v>11</v>
      </c>
      <c r="I137" s="11" t="s">
        <v>11</v>
      </c>
      <c r="J137" s="12"/>
    </row>
    <row r="138" spans="1:10" ht="60" customHeight="1">
      <c r="A138" s="6" t="s">
        <v>516</v>
      </c>
      <c r="B138" s="6" t="s">
        <v>20</v>
      </c>
      <c r="C138" s="6" t="s">
        <v>11</v>
      </c>
      <c r="D138" s="7" t="s">
        <v>312</v>
      </c>
      <c r="E138" s="8" t="s">
        <v>517</v>
      </c>
      <c r="F138" s="6" t="s">
        <v>518</v>
      </c>
      <c r="G138" s="9">
        <f>IF(A138=1,"_",IF(C138="_","???",C138))</f>
        <v/>
      </c>
      <c r="H138" s="10" t="s">
        <v>11</v>
      </c>
      <c r="I138" s="11" t="s">
        <v>11</v>
      </c>
      <c r="J138" s="12"/>
    </row>
    <row r="139" spans="1:10" ht="60" customHeight="1">
      <c r="A139" s="6" t="s">
        <v>519</v>
      </c>
      <c r="B139" s="6" t="s">
        <v>118</v>
      </c>
      <c r="C139" s="6" t="s">
        <v>11</v>
      </c>
      <c r="D139" s="7" t="s">
        <v>271</v>
      </c>
      <c r="E139" s="8" t="s">
        <v>520</v>
      </c>
      <c r="F139" s="6" t="s">
        <v>521</v>
      </c>
      <c r="G139" s="9">
        <f>IF(A139=1,"_",IF(C139="_","???",C139))</f>
        <v/>
      </c>
      <c r="H139" s="10" t="s">
        <v>11</v>
      </c>
      <c r="I139" s="11" t="s">
        <v>11</v>
      </c>
      <c r="J139" s="12"/>
    </row>
    <row r="140" spans="1:10" ht="60" customHeight="1">
      <c r="A140" s="6" t="s">
        <v>522</v>
      </c>
      <c r="B140" s="6" t="s">
        <v>20</v>
      </c>
      <c r="C140" s="6" t="s">
        <v>11</v>
      </c>
      <c r="D140" s="7" t="s">
        <v>64</v>
      </c>
      <c r="E140" s="8" t="s">
        <v>523</v>
      </c>
      <c r="F140" s="6" t="s">
        <v>524</v>
      </c>
      <c r="G140" s="9">
        <f>IF(A140=1,"_",IF(C140="_","???",C140))</f>
        <v/>
      </c>
      <c r="H140" s="10" t="s">
        <v>11</v>
      </c>
      <c r="I140" s="11" t="s">
        <v>11</v>
      </c>
      <c r="J140" s="12"/>
    </row>
    <row r="141" spans="1:10" ht="60" customHeight="1">
      <c r="A141" s="6" t="s">
        <v>525</v>
      </c>
      <c r="B141" s="6" t="s">
        <v>20</v>
      </c>
      <c r="C141" s="6" t="s">
        <v>11</v>
      </c>
      <c r="D141" s="7" t="s">
        <v>60</v>
      </c>
      <c r="E141" s="8" t="s">
        <v>526</v>
      </c>
      <c r="F141" s="6" t="s">
        <v>527</v>
      </c>
      <c r="G141" s="9">
        <f>IF(A141=1,"_",IF(C141="_","???",C141))</f>
        <v/>
      </c>
      <c r="H141" s="10" t="s">
        <v>11</v>
      </c>
      <c r="I141" s="11" t="s">
        <v>11</v>
      </c>
      <c r="J141" s="12"/>
    </row>
    <row r="142" spans="1:10" ht="60" customHeight="1">
      <c r="A142" s="6" t="s">
        <v>528</v>
      </c>
      <c r="B142" s="6" t="s">
        <v>16</v>
      </c>
      <c r="C142" s="6" t="s">
        <v>11</v>
      </c>
      <c r="D142" s="7" t="s">
        <v>529</v>
      </c>
      <c r="E142" s="8" t="s">
        <v>530</v>
      </c>
      <c r="F142" s="6" t="s">
        <v>531</v>
      </c>
      <c r="G142" s="9">
        <f>IF(A142=1,"_",IF(C142="_","???",C142))</f>
        <v/>
      </c>
      <c r="H142" s="10" t="s">
        <v>11</v>
      </c>
      <c r="I142" s="11" t="s">
        <v>11</v>
      </c>
      <c r="J142" s="12"/>
    </row>
    <row r="143" spans="1:10" ht="60" customHeight="1">
      <c r="A143" s="6" t="s">
        <v>532</v>
      </c>
      <c r="B143" s="6" t="s">
        <v>35</v>
      </c>
      <c r="C143" s="6" t="s">
        <v>11</v>
      </c>
      <c r="D143" s="7" t="s">
        <v>101</v>
      </c>
      <c r="E143" s="8" t="s">
        <v>533</v>
      </c>
      <c r="F143" s="6" t="s">
        <v>534</v>
      </c>
      <c r="G143" s="9">
        <f>IF(A143=1,"_",IF(C143="_","???",C143))</f>
        <v/>
      </c>
      <c r="H143" s="10" t="s">
        <v>11</v>
      </c>
      <c r="I143" s="11" t="s">
        <v>11</v>
      </c>
      <c r="J143" s="12"/>
    </row>
    <row r="144" spans="1:10" ht="60" customHeight="1">
      <c r="A144" s="6" t="s">
        <v>535</v>
      </c>
      <c r="B144" s="6" t="s">
        <v>15</v>
      </c>
      <c r="C144" s="6" t="s">
        <v>11</v>
      </c>
      <c r="D144" s="7" t="s">
        <v>536</v>
      </c>
      <c r="E144" s="8" t="s">
        <v>537</v>
      </c>
      <c r="F144" s="6" t="s">
        <v>538</v>
      </c>
      <c r="G144" s="9">
        <f>IF(A144=1,"_",IF(C144="_","???",C144))</f>
        <v/>
      </c>
      <c r="H144" s="10" t="s">
        <v>11</v>
      </c>
      <c r="I144" s="11" t="s">
        <v>11</v>
      </c>
      <c r="J144" s="12"/>
    </row>
    <row r="145" spans="1:10" ht="60" customHeight="1">
      <c r="A145" s="6" t="s">
        <v>539</v>
      </c>
      <c r="B145" s="6" t="s">
        <v>10</v>
      </c>
      <c r="C145" s="6" t="s">
        <v>11</v>
      </c>
      <c r="D145" s="7" t="s">
        <v>540</v>
      </c>
      <c r="E145" s="8" t="s">
        <v>541</v>
      </c>
      <c r="F145" s="6" t="s">
        <v>542</v>
      </c>
      <c r="G145" s="9">
        <f>IF(A145=1,"_",IF(C145="_","???",C145))</f>
        <v/>
      </c>
      <c r="H145" s="10" t="s">
        <v>11</v>
      </c>
      <c r="I145" s="11" t="s">
        <v>11</v>
      </c>
      <c r="J145" s="12"/>
    </row>
    <row r="146" spans="1:10" ht="60" customHeight="1">
      <c r="A146" s="6" t="s">
        <v>543</v>
      </c>
      <c r="B146" s="6" t="s">
        <v>16</v>
      </c>
      <c r="C146" s="6" t="s">
        <v>11</v>
      </c>
      <c r="D146" s="7" t="s">
        <v>544</v>
      </c>
      <c r="E146" s="8" t="s">
        <v>545</v>
      </c>
      <c r="F146" s="6" t="s">
        <v>546</v>
      </c>
      <c r="G146" s="9">
        <f>IF(A146=1,"_",IF(C146="_","???",C146))</f>
        <v/>
      </c>
      <c r="H146" s="10" t="s">
        <v>11</v>
      </c>
      <c r="I146" s="11" t="s">
        <v>11</v>
      </c>
      <c r="J146" s="12"/>
    </row>
    <row r="147" spans="1:10" ht="60" customHeight="1">
      <c r="A147" s="6" t="s">
        <v>547</v>
      </c>
      <c r="B147" s="6" t="s">
        <v>108</v>
      </c>
      <c r="C147" s="6" t="s">
        <v>11</v>
      </c>
      <c r="D147" s="7" t="s">
        <v>548</v>
      </c>
      <c r="E147" s="8" t="s">
        <v>549</v>
      </c>
      <c r="F147" s="6" t="s">
        <v>550</v>
      </c>
      <c r="G147" s="9">
        <f>IF(A147=1,"_",IF(C147="_","???",C147))</f>
        <v/>
      </c>
      <c r="H147" s="10" t="s">
        <v>11</v>
      </c>
      <c r="I147" s="11" t="s">
        <v>11</v>
      </c>
      <c r="J147" s="12"/>
    </row>
    <row r="148" spans="1:10" ht="60" customHeight="1">
      <c r="A148" s="6" t="s">
        <v>551</v>
      </c>
      <c r="B148" s="6" t="s">
        <v>31</v>
      </c>
      <c r="C148" s="6" t="s">
        <v>11</v>
      </c>
      <c r="D148" s="7" t="s">
        <v>552</v>
      </c>
      <c r="E148" s="8" t="s">
        <v>553</v>
      </c>
      <c r="F148" s="6" t="s">
        <v>554</v>
      </c>
      <c r="G148" s="9">
        <f>IF(A148=1,"_",IF(C148="_","???",C148))</f>
        <v/>
      </c>
      <c r="H148" s="10" t="s">
        <v>11</v>
      </c>
      <c r="I148" s="11" t="s">
        <v>11</v>
      </c>
      <c r="J148" s="12"/>
    </row>
    <row r="149" spans="1:10" ht="60" customHeight="1">
      <c r="A149" s="6" t="s">
        <v>555</v>
      </c>
      <c r="B149" s="6" t="s">
        <v>15</v>
      </c>
      <c r="C149" s="6" t="s">
        <v>11</v>
      </c>
      <c r="D149" s="7" t="s">
        <v>556</v>
      </c>
      <c r="E149" s="8" t="s">
        <v>557</v>
      </c>
      <c r="F149" s="6" t="s">
        <v>558</v>
      </c>
      <c r="G149" s="9">
        <f>IF(A149=1,"_",IF(C149="_","???",C149))</f>
        <v/>
      </c>
      <c r="H149" s="10" t="s">
        <v>11</v>
      </c>
      <c r="I149" s="11" t="s">
        <v>11</v>
      </c>
      <c r="J149" s="12"/>
    </row>
    <row r="150" spans="1:10" ht="60" customHeight="1">
      <c r="A150" s="6" t="s">
        <v>559</v>
      </c>
      <c r="B150" s="6" t="s">
        <v>15</v>
      </c>
      <c r="C150" s="6" t="s">
        <v>11</v>
      </c>
      <c r="D150" s="7" t="s">
        <v>560</v>
      </c>
      <c r="E150" s="8" t="s">
        <v>561</v>
      </c>
      <c r="F150" s="6" t="s">
        <v>562</v>
      </c>
      <c r="G150" s="9">
        <f>IF(A150=1,"_",IF(C150="_","???",C150))</f>
        <v/>
      </c>
      <c r="H150" s="10" t="s">
        <v>11</v>
      </c>
      <c r="I150" s="11" t="s">
        <v>11</v>
      </c>
      <c r="J150" s="12"/>
    </row>
    <row r="151" spans="1:10" ht="60" customHeight="1">
      <c r="A151" s="6" t="s">
        <v>563</v>
      </c>
      <c r="B151" s="6" t="s">
        <v>20</v>
      </c>
      <c r="C151" s="6" t="s">
        <v>11</v>
      </c>
      <c r="D151" s="7" t="s">
        <v>187</v>
      </c>
      <c r="E151" s="8" t="s">
        <v>564</v>
      </c>
      <c r="F151" s="6" t="s">
        <v>565</v>
      </c>
      <c r="G151" s="9">
        <f>IF(A151=1,"_",IF(C151="_","???",C151))</f>
        <v/>
      </c>
      <c r="H151" s="10" t="s">
        <v>11</v>
      </c>
      <c r="I151" s="11" t="s">
        <v>11</v>
      </c>
      <c r="J151" s="12"/>
    </row>
    <row r="152" spans="1:10" ht="60" customHeight="1">
      <c r="A152" s="6" t="s">
        <v>566</v>
      </c>
      <c r="B152" s="6" t="s">
        <v>10</v>
      </c>
      <c r="C152" s="6" t="s">
        <v>11</v>
      </c>
      <c r="D152" s="7" t="s">
        <v>567</v>
      </c>
      <c r="E152" s="8" t="s">
        <v>568</v>
      </c>
      <c r="F152" s="6" t="s">
        <v>569</v>
      </c>
      <c r="G152" s="9">
        <f>IF(A152=1,"_",IF(C152="_","???",C152))</f>
        <v/>
      </c>
      <c r="H152" s="10" t="s">
        <v>11</v>
      </c>
      <c r="I152" s="11" t="s">
        <v>11</v>
      </c>
      <c r="J152" s="12"/>
    </row>
    <row r="153" spans="1:10" ht="60" customHeight="1">
      <c r="A153" s="6" t="s">
        <v>570</v>
      </c>
      <c r="B153" s="6" t="s">
        <v>20</v>
      </c>
      <c r="C153" s="6" t="s">
        <v>11</v>
      </c>
      <c r="D153" s="7" t="s">
        <v>571</v>
      </c>
      <c r="E153" s="8" t="s">
        <v>572</v>
      </c>
      <c r="F153" s="6" t="s">
        <v>573</v>
      </c>
      <c r="G153" s="9">
        <f>IF(A153=1,"_",IF(C153="_","???",C153))</f>
        <v/>
      </c>
      <c r="H153" s="10" t="s">
        <v>11</v>
      </c>
      <c r="I153" s="11" t="s">
        <v>11</v>
      </c>
      <c r="J153" s="12"/>
    </row>
    <row r="154" spans="1:10" ht="60" customHeight="1">
      <c r="A154" s="6" t="s">
        <v>574</v>
      </c>
      <c r="B154" s="6" t="s">
        <v>15</v>
      </c>
      <c r="C154" s="6" t="s">
        <v>11</v>
      </c>
      <c r="D154" s="7" t="s">
        <v>575</v>
      </c>
      <c r="E154" s="8" t="s">
        <v>576</v>
      </c>
      <c r="F154" s="6" t="s">
        <v>577</v>
      </c>
      <c r="G154" s="9">
        <f>IF(A154=1,"_",IF(C154="_","???",C154))</f>
        <v/>
      </c>
      <c r="H154" s="10" t="s">
        <v>11</v>
      </c>
      <c r="I154" s="11" t="s">
        <v>11</v>
      </c>
      <c r="J154" s="12"/>
    </row>
    <row r="155" spans="1:10" ht="60" customHeight="1">
      <c r="A155" s="6" t="s">
        <v>578</v>
      </c>
      <c r="B155" s="6" t="s">
        <v>15</v>
      </c>
      <c r="C155" s="6" t="s">
        <v>11</v>
      </c>
      <c r="D155" s="7" t="s">
        <v>579</v>
      </c>
      <c r="E155" s="8" t="s">
        <v>580</v>
      </c>
      <c r="F155" s="6" t="s">
        <v>581</v>
      </c>
      <c r="G155" s="9">
        <f>IF(A155=1,"_",IF(C155="_","???",C155))</f>
        <v/>
      </c>
      <c r="H155" s="10" t="s">
        <v>11</v>
      </c>
      <c r="I155" s="11" t="s">
        <v>11</v>
      </c>
      <c r="J155" s="12"/>
    </row>
    <row r="156" spans="1:10" ht="60" customHeight="1">
      <c r="A156" s="6" t="s">
        <v>582</v>
      </c>
      <c r="B156" s="6" t="s">
        <v>27</v>
      </c>
      <c r="C156" s="6" t="s">
        <v>11</v>
      </c>
      <c r="D156" s="7" t="s">
        <v>458</v>
      </c>
      <c r="E156" s="8" t="s">
        <v>583</v>
      </c>
      <c r="F156" s="6" t="s">
        <v>584</v>
      </c>
      <c r="G156" s="9">
        <f>IF(A156=1,"_",IF(C156="_","???",C156))</f>
        <v/>
      </c>
      <c r="H156" s="10" t="s">
        <v>11</v>
      </c>
      <c r="I156" s="11" t="s">
        <v>11</v>
      </c>
      <c r="J156" s="12"/>
    </row>
    <row r="157" spans="1:10" ht="60" customHeight="1">
      <c r="A157" s="6" t="s">
        <v>585</v>
      </c>
      <c r="B157" s="6" t="s">
        <v>20</v>
      </c>
      <c r="C157" s="6" t="s">
        <v>11</v>
      </c>
      <c r="D157" s="7" t="s">
        <v>60</v>
      </c>
      <c r="E157" s="8" t="s">
        <v>586</v>
      </c>
      <c r="F157" s="6" t="s">
        <v>587</v>
      </c>
      <c r="G157" s="9">
        <f>IF(A157=1,"_",IF(C157="_","???",C157))</f>
        <v/>
      </c>
      <c r="H157" s="10" t="s">
        <v>11</v>
      </c>
      <c r="I157" s="11" t="s">
        <v>11</v>
      </c>
      <c r="J157" s="12"/>
    </row>
    <row r="158" spans="1:10" ht="60" customHeight="1">
      <c r="A158" s="6" t="s">
        <v>588</v>
      </c>
      <c r="B158" s="6" t="s">
        <v>15</v>
      </c>
      <c r="C158" s="6" t="s">
        <v>11</v>
      </c>
      <c r="D158" s="7" t="s">
        <v>28</v>
      </c>
      <c r="E158" s="8" t="s">
        <v>589</v>
      </c>
      <c r="F158" s="6" t="s">
        <v>590</v>
      </c>
      <c r="G158" s="9">
        <f>IF(A158=1,"_",IF(C158="_","???",C158))</f>
        <v/>
      </c>
      <c r="H158" s="10" t="s">
        <v>11</v>
      </c>
      <c r="I158" s="11" t="s">
        <v>11</v>
      </c>
      <c r="J158" s="12"/>
    </row>
    <row r="159" spans="1:10" ht="60" customHeight="1">
      <c r="A159" s="6" t="s">
        <v>591</v>
      </c>
      <c r="B159" s="6" t="s">
        <v>20</v>
      </c>
      <c r="C159" s="6" t="s">
        <v>11</v>
      </c>
      <c r="D159" s="7" t="s">
        <v>126</v>
      </c>
      <c r="E159" s="8" t="s">
        <v>592</v>
      </c>
      <c r="F159" s="6" t="s">
        <v>593</v>
      </c>
      <c r="G159" s="9">
        <f>IF(A159=1,"_",IF(C159="_","???",C159))</f>
        <v/>
      </c>
      <c r="H159" s="10" t="s">
        <v>11</v>
      </c>
      <c r="I159" s="11" t="s">
        <v>11</v>
      </c>
      <c r="J159" s="12"/>
    </row>
    <row r="160" spans="1:10" ht="60" customHeight="1">
      <c r="A160" s="6" t="s">
        <v>594</v>
      </c>
      <c r="B160" s="6" t="s">
        <v>20</v>
      </c>
      <c r="C160" s="6" t="s">
        <v>11</v>
      </c>
      <c r="D160" s="7" t="s">
        <v>126</v>
      </c>
      <c r="E160" s="8" t="s">
        <v>595</v>
      </c>
      <c r="F160" s="6" t="s">
        <v>596</v>
      </c>
      <c r="G160" s="9">
        <f>IF(A160=1,"_",IF(C160="_","???",C160))</f>
        <v/>
      </c>
      <c r="H160" s="10" t="s">
        <v>11</v>
      </c>
      <c r="I160" s="11" t="s">
        <v>11</v>
      </c>
      <c r="J160" s="12"/>
    </row>
    <row r="161" spans="1:10" ht="60" customHeight="1">
      <c r="A161" s="6" t="s">
        <v>597</v>
      </c>
      <c r="B161" s="6" t="s">
        <v>20</v>
      </c>
      <c r="C161" s="6" t="s">
        <v>11</v>
      </c>
      <c r="D161" s="7" t="s">
        <v>556</v>
      </c>
      <c r="E161" s="8" t="s">
        <v>598</v>
      </c>
      <c r="F161" s="6" t="s">
        <v>599</v>
      </c>
      <c r="G161" s="9">
        <f>IF(A161=1,"_",IF(C161="_","???",C161))</f>
        <v/>
      </c>
      <c r="H161" s="10" t="s">
        <v>11</v>
      </c>
      <c r="I161" s="11" t="s">
        <v>11</v>
      </c>
      <c r="J161" s="12"/>
    </row>
    <row r="162" spans="1:10" ht="60" customHeight="1">
      <c r="A162" s="6" t="s">
        <v>600</v>
      </c>
      <c r="B162" s="6" t="s">
        <v>20</v>
      </c>
      <c r="C162" s="6" t="s">
        <v>11</v>
      </c>
      <c r="D162" s="7" t="s">
        <v>601</v>
      </c>
      <c r="E162" s="8" t="s">
        <v>602</v>
      </c>
      <c r="F162" s="6" t="s">
        <v>603</v>
      </c>
      <c r="G162" s="9">
        <f>IF(A162=1,"_",IF(C162="_","???",C162))</f>
        <v/>
      </c>
      <c r="H162" s="10" t="s">
        <v>11</v>
      </c>
      <c r="I162" s="11" t="s">
        <v>11</v>
      </c>
      <c r="J162" s="12"/>
    </row>
    <row r="163" spans="1:10" ht="60" customHeight="1">
      <c r="A163" s="6" t="s">
        <v>604</v>
      </c>
      <c r="B163" s="6" t="s">
        <v>20</v>
      </c>
      <c r="C163" s="6" t="s">
        <v>11</v>
      </c>
      <c r="D163" s="7" t="s">
        <v>605</v>
      </c>
      <c r="E163" s="8" t="s">
        <v>606</v>
      </c>
      <c r="F163" s="6" t="s">
        <v>607</v>
      </c>
      <c r="G163" s="9">
        <f>IF(A163=1,"_",IF(C163="_","???",C163))</f>
        <v/>
      </c>
      <c r="H163" s="10" t="s">
        <v>11</v>
      </c>
      <c r="I163" s="11" t="s">
        <v>11</v>
      </c>
      <c r="J163" s="12"/>
    </row>
    <row r="164" spans="1:10" ht="60" customHeight="1">
      <c r="A164" s="6" t="s">
        <v>608</v>
      </c>
      <c r="B164" s="6" t="s">
        <v>20</v>
      </c>
      <c r="C164" s="6" t="s">
        <v>11</v>
      </c>
      <c r="D164" s="7" t="s">
        <v>609</v>
      </c>
      <c r="E164" s="8" t="s">
        <v>610</v>
      </c>
      <c r="F164" s="6" t="s">
        <v>611</v>
      </c>
      <c r="G164" s="9">
        <f>IF(A164=1,"_",IF(C164="_","???",C164))</f>
        <v/>
      </c>
      <c r="H164" s="10" t="s">
        <v>11</v>
      </c>
      <c r="I164" s="11" t="s">
        <v>11</v>
      </c>
      <c r="J164" s="12"/>
    </row>
    <row r="165" spans="1:10" ht="60" customHeight="1">
      <c r="A165" s="6" t="s">
        <v>612</v>
      </c>
      <c r="B165" s="6" t="s">
        <v>20</v>
      </c>
      <c r="C165" s="6" t="s">
        <v>11</v>
      </c>
      <c r="D165" s="7" t="s">
        <v>613</v>
      </c>
      <c r="E165" s="8" t="s">
        <v>614</v>
      </c>
      <c r="F165" s="6" t="s">
        <v>615</v>
      </c>
      <c r="G165" s="9">
        <f>IF(A165=1,"_",IF(C165="_","???",C165))</f>
        <v/>
      </c>
      <c r="H165" s="10" t="s">
        <v>11</v>
      </c>
      <c r="I165" s="11" t="s">
        <v>11</v>
      </c>
      <c r="J165" s="12"/>
    </row>
    <row r="166" spans="1:10" ht="60" customHeight="1">
      <c r="A166" s="6" t="s">
        <v>616</v>
      </c>
      <c r="B166" s="6" t="s">
        <v>35</v>
      </c>
      <c r="C166" s="6" t="s">
        <v>11</v>
      </c>
      <c r="D166" s="7" t="s">
        <v>601</v>
      </c>
      <c r="E166" s="8" t="s">
        <v>617</v>
      </c>
      <c r="F166" s="6" t="s">
        <v>618</v>
      </c>
      <c r="G166" s="9">
        <f>IF(A166=1,"_",IF(C166="_","???",C166))</f>
        <v/>
      </c>
      <c r="H166" s="10" t="s">
        <v>11</v>
      </c>
      <c r="I166" s="11" t="s">
        <v>11</v>
      </c>
      <c r="J166" s="12"/>
    </row>
    <row r="167" spans="1:10" ht="60" customHeight="1">
      <c r="A167" s="6" t="s">
        <v>619</v>
      </c>
      <c r="B167" s="6" t="s">
        <v>15</v>
      </c>
      <c r="C167" s="6" t="s">
        <v>11</v>
      </c>
      <c r="D167" s="7" t="s">
        <v>126</v>
      </c>
      <c r="E167" s="8" t="s">
        <v>620</v>
      </c>
      <c r="F167" s="6" t="s">
        <v>621</v>
      </c>
      <c r="G167" s="9">
        <f>IF(A167=1,"_",IF(C167="_","???",C167))</f>
        <v/>
      </c>
      <c r="H167" s="10" t="s">
        <v>11</v>
      </c>
      <c r="I167" s="11" t="s">
        <v>11</v>
      </c>
      <c r="J167" s="12"/>
    </row>
    <row r="168" spans="1:10" ht="60" customHeight="1">
      <c r="A168" s="6" t="s">
        <v>622</v>
      </c>
      <c r="B168" s="6" t="s">
        <v>15</v>
      </c>
      <c r="C168" s="6" t="s">
        <v>11</v>
      </c>
      <c r="D168" s="7" t="s">
        <v>60</v>
      </c>
      <c r="E168" s="8" t="s">
        <v>623</v>
      </c>
      <c r="F168" s="6" t="s">
        <v>624</v>
      </c>
      <c r="G168" s="9">
        <f>IF(A168=1,"_",IF(C168="_","???",C168))</f>
        <v/>
      </c>
      <c r="H168" s="10" t="s">
        <v>11</v>
      </c>
      <c r="I168" s="11" t="s">
        <v>11</v>
      </c>
      <c r="J168" s="12"/>
    </row>
    <row r="169" spans="1:10" ht="60" customHeight="1">
      <c r="A169" s="6" t="s">
        <v>625</v>
      </c>
      <c r="B169" s="6" t="s">
        <v>20</v>
      </c>
      <c r="C169" s="6" t="s">
        <v>11</v>
      </c>
      <c r="D169" s="7" t="s">
        <v>60</v>
      </c>
      <c r="E169" s="8" t="s">
        <v>626</v>
      </c>
      <c r="F169" s="6" t="s">
        <v>627</v>
      </c>
      <c r="G169" s="9">
        <f>IF(A169=1,"_",IF(C169="_","???",C169))</f>
        <v/>
      </c>
      <c r="H169" s="10" t="s">
        <v>11</v>
      </c>
      <c r="I169" s="11" t="s">
        <v>11</v>
      </c>
      <c r="J169" s="12"/>
    </row>
    <row r="170" spans="1:10" ht="60" customHeight="1">
      <c r="A170" s="6" t="s">
        <v>628</v>
      </c>
      <c r="B170" s="6" t="s">
        <v>15</v>
      </c>
      <c r="C170" s="6" t="s">
        <v>11</v>
      </c>
      <c r="D170" s="7" t="s">
        <v>629</v>
      </c>
      <c r="E170" s="8" t="s">
        <v>630</v>
      </c>
      <c r="F170" s="6" t="s">
        <v>631</v>
      </c>
      <c r="G170" s="9">
        <f>IF(A170=1,"_",IF(C170="_","???",C170))</f>
        <v/>
      </c>
      <c r="H170" s="10" t="s">
        <v>11</v>
      </c>
      <c r="I170" s="11" t="s">
        <v>11</v>
      </c>
      <c r="J170" s="12"/>
    </row>
    <row r="171" spans="1:10" ht="60" customHeight="1">
      <c r="A171" s="6" t="s">
        <v>632</v>
      </c>
      <c r="B171" s="6" t="s">
        <v>10</v>
      </c>
      <c r="C171" s="6" t="s">
        <v>11</v>
      </c>
      <c r="D171" s="7" t="s">
        <v>359</v>
      </c>
      <c r="E171" s="8" t="s">
        <v>633</v>
      </c>
      <c r="F171" s="6" t="s">
        <v>634</v>
      </c>
      <c r="G171" s="9">
        <f>IF(A171=1,"_",IF(C171="_","???",C171))</f>
        <v/>
      </c>
      <c r="H171" s="10" t="s">
        <v>11</v>
      </c>
      <c r="I171" s="11" t="s">
        <v>11</v>
      </c>
      <c r="J171" s="12"/>
    </row>
    <row r="172" spans="1:10" ht="60" customHeight="1">
      <c r="A172" s="6" t="s">
        <v>635</v>
      </c>
      <c r="B172" s="6" t="s">
        <v>20</v>
      </c>
      <c r="C172" s="6" t="s">
        <v>11</v>
      </c>
      <c r="D172" s="7" t="s">
        <v>12</v>
      </c>
      <c r="E172" s="8" t="s">
        <v>636</v>
      </c>
      <c r="F172" s="6" t="s">
        <v>637</v>
      </c>
      <c r="G172" s="9">
        <f>IF(A172=1,"_",IF(C172="_","???",C172))</f>
        <v/>
      </c>
      <c r="H172" s="10" t="s">
        <v>11</v>
      </c>
      <c r="I172" s="11" t="s">
        <v>11</v>
      </c>
      <c r="J172" s="12"/>
    </row>
    <row r="173" spans="1:10" ht="60" customHeight="1">
      <c r="A173" s="6" t="s">
        <v>638</v>
      </c>
      <c r="B173" s="6" t="s">
        <v>20</v>
      </c>
      <c r="C173" s="6" t="s">
        <v>11</v>
      </c>
      <c r="D173" s="7" t="s">
        <v>24</v>
      </c>
      <c r="E173" s="8" t="s">
        <v>639</v>
      </c>
      <c r="F173" s="6" t="s">
        <v>640</v>
      </c>
      <c r="G173" s="9">
        <f>IF(A173=1,"_",IF(C173="_","???",C173))</f>
        <v/>
      </c>
      <c r="H173" s="10" t="s">
        <v>11</v>
      </c>
      <c r="I173" s="11" t="s">
        <v>11</v>
      </c>
      <c r="J173" s="12"/>
    </row>
    <row r="174" spans="1:10" ht="60" customHeight="1">
      <c r="A174" s="6" t="s">
        <v>641</v>
      </c>
      <c r="B174" s="6" t="s">
        <v>27</v>
      </c>
      <c r="C174" s="6" t="s">
        <v>11</v>
      </c>
      <c r="D174" s="7" t="s">
        <v>126</v>
      </c>
      <c r="E174" s="8" t="s">
        <v>642</v>
      </c>
      <c r="F174" s="6" t="s">
        <v>643</v>
      </c>
      <c r="G174" s="9">
        <f>IF(A174=1,"_",IF(C174="_","???",C174))</f>
        <v/>
      </c>
      <c r="H174" s="10" t="s">
        <v>11</v>
      </c>
      <c r="I174" s="11" t="s">
        <v>11</v>
      </c>
      <c r="J174" s="12"/>
    </row>
    <row r="175" spans="1:10" ht="60" customHeight="1">
      <c r="A175" s="6" t="s">
        <v>644</v>
      </c>
      <c r="B175" s="6" t="s">
        <v>20</v>
      </c>
      <c r="C175" s="6" t="s">
        <v>11</v>
      </c>
      <c r="D175" s="7" t="s">
        <v>271</v>
      </c>
      <c r="E175" s="8" t="s">
        <v>645</v>
      </c>
      <c r="F175" s="6" t="s">
        <v>646</v>
      </c>
      <c r="G175" s="9">
        <f>IF(A175=1,"_",IF(C175="_","???",C175))</f>
        <v/>
      </c>
      <c r="H175" s="10" t="s">
        <v>11</v>
      </c>
      <c r="I175" s="11" t="s">
        <v>11</v>
      </c>
      <c r="J175" s="12"/>
    </row>
    <row r="176" spans="1:10" ht="60" customHeight="1">
      <c r="A176" s="6" t="s">
        <v>647</v>
      </c>
      <c r="B176" s="6" t="s">
        <v>15</v>
      </c>
      <c r="C176" s="6" t="s">
        <v>11</v>
      </c>
      <c r="D176" s="7" t="s">
        <v>305</v>
      </c>
      <c r="E176" s="8" t="s">
        <v>648</v>
      </c>
      <c r="F176" s="6" t="s">
        <v>649</v>
      </c>
      <c r="G176" s="9">
        <f>IF(A176=1,"_",IF(C176="_","???",C176))</f>
        <v/>
      </c>
      <c r="H176" s="10" t="s">
        <v>11</v>
      </c>
      <c r="I176" s="11" t="s">
        <v>11</v>
      </c>
      <c r="J176" s="12"/>
    </row>
    <row r="177" spans="1:10" ht="60" customHeight="1">
      <c r="A177" s="6" t="s">
        <v>650</v>
      </c>
      <c r="B177" s="6" t="s">
        <v>15</v>
      </c>
      <c r="C177" s="6" t="s">
        <v>11</v>
      </c>
      <c r="D177" s="7" t="s">
        <v>651</v>
      </c>
      <c r="E177" s="8" t="s">
        <v>652</v>
      </c>
      <c r="F177" s="6" t="s">
        <v>653</v>
      </c>
      <c r="G177" s="9">
        <f>IF(A177=1,"_",IF(C177="_","???",C177))</f>
        <v/>
      </c>
      <c r="H177" s="10" t="s">
        <v>11</v>
      </c>
      <c r="I177" s="11" t="s">
        <v>11</v>
      </c>
      <c r="J177" s="12"/>
    </row>
    <row r="178" spans="1:10" ht="60" customHeight="1">
      <c r="A178" s="6" t="s">
        <v>654</v>
      </c>
      <c r="B178" s="6" t="s">
        <v>15</v>
      </c>
      <c r="C178" s="6" t="s">
        <v>11</v>
      </c>
      <c r="D178" s="7" t="s">
        <v>556</v>
      </c>
      <c r="E178" s="8" t="s">
        <v>655</v>
      </c>
      <c r="F178" s="6" t="s">
        <v>656</v>
      </c>
      <c r="G178" s="9">
        <f>IF(A178=1,"_",IF(C178="_","???",C178))</f>
        <v/>
      </c>
      <c r="H178" s="10" t="s">
        <v>11</v>
      </c>
      <c r="I178" s="11" t="s">
        <v>11</v>
      </c>
      <c r="J178" s="12"/>
    </row>
    <row r="179" spans="1:10" ht="60" customHeight="1">
      <c r="A179" s="6" t="s">
        <v>657</v>
      </c>
      <c r="B179" s="6" t="s">
        <v>20</v>
      </c>
      <c r="C179" s="6" t="s">
        <v>11</v>
      </c>
      <c r="D179" s="7" t="s">
        <v>658</v>
      </c>
      <c r="E179" s="8" t="s">
        <v>659</v>
      </c>
      <c r="F179" s="6" t="s">
        <v>660</v>
      </c>
      <c r="G179" s="9">
        <f>IF(A179=1,"_",IF(C179="_","???",C179))</f>
        <v/>
      </c>
      <c r="H179" s="10" t="s">
        <v>11</v>
      </c>
      <c r="I179" s="11" t="s">
        <v>11</v>
      </c>
      <c r="J179" s="12"/>
    </row>
    <row r="180" spans="1:10" ht="60" customHeight="1">
      <c r="A180" s="6" t="s">
        <v>661</v>
      </c>
      <c r="B180" s="6" t="s">
        <v>10</v>
      </c>
      <c r="C180" s="6" t="s">
        <v>11</v>
      </c>
      <c r="D180" s="7" t="s">
        <v>60</v>
      </c>
      <c r="E180" s="8" t="s">
        <v>662</v>
      </c>
      <c r="F180" s="6" t="s">
        <v>663</v>
      </c>
      <c r="G180" s="9">
        <f>IF(A180=1,"_",IF(C180="_","???",C180))</f>
        <v/>
      </c>
      <c r="H180" s="10" t="s">
        <v>11</v>
      </c>
      <c r="I180" s="11" t="s">
        <v>11</v>
      </c>
      <c r="J180" s="12"/>
    </row>
    <row r="181" spans="1:10" ht="60" customHeight="1">
      <c r="A181" s="6" t="s">
        <v>664</v>
      </c>
      <c r="B181" s="6" t="s">
        <v>27</v>
      </c>
      <c r="C181" s="6" t="s">
        <v>11</v>
      </c>
      <c r="D181" s="7" t="s">
        <v>560</v>
      </c>
      <c r="E181" s="8" t="s">
        <v>665</v>
      </c>
      <c r="F181" s="6" t="s">
        <v>666</v>
      </c>
      <c r="G181" s="9">
        <f>IF(A181=1,"_",IF(C181="_","???",C181))</f>
        <v/>
      </c>
      <c r="H181" s="10" t="s">
        <v>11</v>
      </c>
      <c r="I181" s="11" t="s">
        <v>11</v>
      </c>
      <c r="J181" s="12"/>
    </row>
    <row r="182" spans="1:10" ht="60" customHeight="1">
      <c r="A182" s="6" t="s">
        <v>667</v>
      </c>
      <c r="B182" s="6" t="s">
        <v>15</v>
      </c>
      <c r="C182" s="6" t="s">
        <v>11</v>
      </c>
      <c r="D182" s="7" t="s">
        <v>668</v>
      </c>
      <c r="E182" s="8" t="s">
        <v>669</v>
      </c>
      <c r="F182" s="6" t="s">
        <v>670</v>
      </c>
      <c r="G182" s="9">
        <f>IF(A182=1,"_",IF(C182="_","???",C182))</f>
        <v/>
      </c>
      <c r="H182" s="10" t="s">
        <v>11</v>
      </c>
      <c r="I182" s="11" t="s">
        <v>11</v>
      </c>
      <c r="J182" s="12"/>
    </row>
    <row r="183" spans="1:10" ht="60" customHeight="1">
      <c r="A183" s="6" t="s">
        <v>671</v>
      </c>
      <c r="B183" s="6" t="s">
        <v>16</v>
      </c>
      <c r="C183" s="6" t="s">
        <v>11</v>
      </c>
      <c r="D183" s="7" t="s">
        <v>672</v>
      </c>
      <c r="E183" s="8" t="s">
        <v>673</v>
      </c>
      <c r="F183" s="6" t="s">
        <v>674</v>
      </c>
      <c r="G183" s="9">
        <f>IF(A183=1,"_",IF(C183="_","???",C183))</f>
        <v/>
      </c>
      <c r="H183" s="10" t="s">
        <v>11</v>
      </c>
      <c r="I183" s="11" t="s">
        <v>11</v>
      </c>
      <c r="J183" s="12"/>
    </row>
    <row r="184" spans="1:10" ht="60" customHeight="1">
      <c r="A184" s="6" t="s">
        <v>675</v>
      </c>
      <c r="B184" s="6" t="s">
        <v>27</v>
      </c>
      <c r="C184" s="6" t="s">
        <v>11</v>
      </c>
      <c r="D184" s="7" t="s">
        <v>24</v>
      </c>
      <c r="E184" s="8" t="s">
        <v>676</v>
      </c>
      <c r="F184" s="6" t="s">
        <v>677</v>
      </c>
      <c r="G184" s="9">
        <f>IF(A184=1,"_",IF(C184="_","???",C184))</f>
        <v/>
      </c>
      <c r="H184" s="10" t="s">
        <v>11</v>
      </c>
      <c r="I184" s="11" t="s">
        <v>11</v>
      </c>
      <c r="J184" s="12"/>
    </row>
    <row r="185" spans="1:10" ht="60" customHeight="1">
      <c r="A185" s="6" t="s">
        <v>678</v>
      </c>
      <c r="B185" s="6" t="s">
        <v>16</v>
      </c>
      <c r="C185" s="6" t="s">
        <v>11</v>
      </c>
      <c r="D185" s="7" t="s">
        <v>679</v>
      </c>
      <c r="E185" s="8" t="s">
        <v>680</v>
      </c>
      <c r="F185" s="6" t="s">
        <v>681</v>
      </c>
      <c r="G185" s="9">
        <f>IF(A185=1,"_",IF(C185="_","???",C185))</f>
        <v/>
      </c>
      <c r="H185" s="10" t="s">
        <v>11</v>
      </c>
      <c r="I185" s="11" t="s">
        <v>11</v>
      </c>
      <c r="J185" s="12"/>
    </row>
    <row r="186" spans="1:10" ht="60" customHeight="1">
      <c r="A186" s="6" t="s">
        <v>682</v>
      </c>
      <c r="B186" s="6" t="s">
        <v>16</v>
      </c>
      <c r="C186" s="6" t="s">
        <v>11</v>
      </c>
      <c r="D186" s="7" t="s">
        <v>683</v>
      </c>
      <c r="E186" s="8" t="s">
        <v>684</v>
      </c>
      <c r="F186" s="6" t="s">
        <v>685</v>
      </c>
      <c r="G186" s="9">
        <f>IF(A186=1,"_",IF(C186="_","???",C186))</f>
        <v/>
      </c>
      <c r="H186" s="10" t="s">
        <v>11</v>
      </c>
      <c r="I186" s="11" t="s">
        <v>11</v>
      </c>
      <c r="J186" s="12"/>
    </row>
    <row r="187" spans="1:10" ht="60" customHeight="1">
      <c r="A187" s="6" t="s">
        <v>686</v>
      </c>
      <c r="B187" s="6" t="s">
        <v>20</v>
      </c>
      <c r="C187" s="6" t="s">
        <v>11</v>
      </c>
      <c r="D187" s="7" t="s">
        <v>687</v>
      </c>
      <c r="E187" s="8" t="s">
        <v>688</v>
      </c>
      <c r="F187" s="6" t="s">
        <v>689</v>
      </c>
      <c r="G187" s="9">
        <f>IF(A187=1,"_",IF(C187="_","???",C187))</f>
        <v/>
      </c>
      <c r="H187" s="10" t="s">
        <v>11</v>
      </c>
      <c r="I187" s="11" t="s">
        <v>11</v>
      </c>
      <c r="J187" s="12"/>
    </row>
    <row r="188" spans="1:10" ht="60" customHeight="1">
      <c r="A188" s="6" t="s">
        <v>690</v>
      </c>
      <c r="B188" s="6" t="s">
        <v>35</v>
      </c>
      <c r="C188" s="6" t="s">
        <v>11</v>
      </c>
      <c r="D188" s="7" t="s">
        <v>691</v>
      </c>
      <c r="E188" s="8" t="s">
        <v>692</v>
      </c>
      <c r="F188" s="6" t="s">
        <v>693</v>
      </c>
      <c r="G188" s="9">
        <f>IF(A188=1,"_",IF(C188="_","???",C188))</f>
        <v/>
      </c>
      <c r="H188" s="10" t="s">
        <v>11</v>
      </c>
      <c r="I188" s="11" t="s">
        <v>11</v>
      </c>
      <c r="J188" s="12"/>
    </row>
    <row r="189" spans="1:10" ht="60" customHeight="1">
      <c r="A189" s="6" t="s">
        <v>694</v>
      </c>
      <c r="B189" s="6" t="s">
        <v>16</v>
      </c>
      <c r="C189" s="6" t="s">
        <v>11</v>
      </c>
      <c r="D189" s="7" t="s">
        <v>695</v>
      </c>
      <c r="E189" s="8" t="s">
        <v>696</v>
      </c>
      <c r="F189" s="6" t="s">
        <v>697</v>
      </c>
      <c r="G189" s="9">
        <f>IF(A189=1,"_",IF(C189="_","???",C189))</f>
        <v/>
      </c>
      <c r="H189" s="10" t="s">
        <v>11</v>
      </c>
      <c r="I189" s="11" t="s">
        <v>11</v>
      </c>
      <c r="J189" s="12"/>
    </row>
    <row r="190" spans="1:10" ht="60" customHeight="1">
      <c r="A190" s="6" t="s">
        <v>698</v>
      </c>
      <c r="B190" s="6" t="s">
        <v>20</v>
      </c>
      <c r="C190" s="6" t="s">
        <v>11</v>
      </c>
      <c r="D190" s="7" t="s">
        <v>271</v>
      </c>
      <c r="E190" s="8" t="s">
        <v>699</v>
      </c>
      <c r="F190" s="6" t="s">
        <v>700</v>
      </c>
      <c r="G190" s="9">
        <f>IF(A190=1,"_",IF(C190="_","???",C190))</f>
        <v/>
      </c>
      <c r="H190" s="10" t="s">
        <v>11</v>
      </c>
      <c r="I190" s="11" t="s">
        <v>11</v>
      </c>
      <c r="J190" s="12"/>
    </row>
    <row r="191" spans="1:10" ht="60" customHeight="1">
      <c r="A191" s="6" t="s">
        <v>701</v>
      </c>
      <c r="B191" s="6" t="s">
        <v>31</v>
      </c>
      <c r="C191" s="6" t="s">
        <v>11</v>
      </c>
      <c r="D191" s="7" t="s">
        <v>702</v>
      </c>
      <c r="E191" s="8" t="s">
        <v>703</v>
      </c>
      <c r="F191" s="6" t="s">
        <v>704</v>
      </c>
      <c r="G191" s="9">
        <f>IF(A191=1,"_",IF(C191="_","???",C191))</f>
        <v/>
      </c>
      <c r="H191" s="10" t="s">
        <v>11</v>
      </c>
      <c r="I191" s="11" t="s">
        <v>11</v>
      </c>
      <c r="J191" s="12"/>
    </row>
    <row r="192" spans="1:10" ht="60" customHeight="1">
      <c r="A192" s="6" t="s">
        <v>705</v>
      </c>
      <c r="B192" s="6" t="s">
        <v>15</v>
      </c>
      <c r="C192" s="6" t="s">
        <v>11</v>
      </c>
      <c r="D192" s="7" t="s">
        <v>389</v>
      </c>
      <c r="E192" s="8" t="s">
        <v>706</v>
      </c>
      <c r="F192" s="6" t="s">
        <v>707</v>
      </c>
      <c r="G192" s="9">
        <f>IF(A192=1,"_",IF(C192="_","???",C192))</f>
        <v/>
      </c>
      <c r="H192" s="10" t="s">
        <v>11</v>
      </c>
      <c r="I192" s="11" t="s">
        <v>11</v>
      </c>
      <c r="J192" s="12"/>
    </row>
    <row r="193" spans="1:10" ht="60" customHeight="1">
      <c r="A193" s="6" t="s">
        <v>708</v>
      </c>
      <c r="B193" s="6" t="s">
        <v>15</v>
      </c>
      <c r="C193" s="6" t="s">
        <v>11</v>
      </c>
      <c r="D193" s="7" t="s">
        <v>709</v>
      </c>
      <c r="E193" s="8" t="s">
        <v>710</v>
      </c>
      <c r="F193" s="6" t="s">
        <v>711</v>
      </c>
      <c r="G193" s="9">
        <f>IF(A193=1,"_",IF(C193="_","???",C193))</f>
        <v/>
      </c>
      <c r="H193" s="10" t="s">
        <v>11</v>
      </c>
      <c r="I193" s="11" t="s">
        <v>11</v>
      </c>
      <c r="J193" s="12"/>
    </row>
    <row r="194" spans="1:10" ht="60" customHeight="1">
      <c r="A194" s="6" t="s">
        <v>712</v>
      </c>
      <c r="B194" s="6" t="s">
        <v>43</v>
      </c>
      <c r="C194" s="6" t="s">
        <v>11</v>
      </c>
      <c r="D194" s="7" t="s">
        <v>290</v>
      </c>
      <c r="E194" s="8" t="s">
        <v>713</v>
      </c>
      <c r="F194" s="6" t="s">
        <v>714</v>
      </c>
      <c r="G194" s="9">
        <f>IF(A194=1,"_",IF(C194="_","???",C194))</f>
        <v/>
      </c>
      <c r="H194" s="10" t="s">
        <v>11</v>
      </c>
      <c r="I194" s="11" t="s">
        <v>11</v>
      </c>
      <c r="J194" s="12"/>
    </row>
    <row r="195" spans="1:10" ht="60" customHeight="1">
      <c r="A195" s="6" t="s">
        <v>715</v>
      </c>
      <c r="B195" s="6" t="s">
        <v>10</v>
      </c>
      <c r="C195" s="6" t="s">
        <v>11</v>
      </c>
      <c r="D195" s="7" t="s">
        <v>548</v>
      </c>
      <c r="E195" s="8" t="s">
        <v>716</v>
      </c>
      <c r="F195" s="6" t="s">
        <v>717</v>
      </c>
      <c r="G195" s="9">
        <f>IF(A195=1,"_",IF(C195="_","???",C195))</f>
        <v/>
      </c>
      <c r="H195" s="10" t="s">
        <v>11</v>
      </c>
      <c r="I195" s="11" t="s">
        <v>11</v>
      </c>
      <c r="J195" s="12"/>
    </row>
    <row r="196" spans="1:10" ht="60" customHeight="1">
      <c r="A196" s="6" t="s">
        <v>718</v>
      </c>
      <c r="B196" s="6" t="s">
        <v>10</v>
      </c>
      <c r="C196" s="6" t="s">
        <v>11</v>
      </c>
      <c r="D196" s="7" t="s">
        <v>312</v>
      </c>
      <c r="E196" s="8" t="s">
        <v>719</v>
      </c>
      <c r="F196" s="6" t="s">
        <v>720</v>
      </c>
      <c r="G196" s="9">
        <f>IF(A196=1,"_",IF(C196="_","???",C196))</f>
        <v/>
      </c>
      <c r="H196" s="10" t="s">
        <v>11</v>
      </c>
      <c r="I196" s="11" t="s">
        <v>11</v>
      </c>
      <c r="J196" s="12"/>
    </row>
    <row r="197" spans="1:10" ht="60" customHeight="1">
      <c r="A197" s="6" t="s">
        <v>721</v>
      </c>
      <c r="B197" s="6" t="s">
        <v>20</v>
      </c>
      <c r="C197" s="6" t="s">
        <v>11</v>
      </c>
      <c r="D197" s="7" t="s">
        <v>722</v>
      </c>
      <c r="E197" s="8" t="s">
        <v>723</v>
      </c>
      <c r="F197" s="6" t="s">
        <v>724</v>
      </c>
      <c r="G197" s="9">
        <f>IF(A197=1,"_",IF(C197="_","???",C197))</f>
        <v/>
      </c>
      <c r="H197" s="10" t="s">
        <v>11</v>
      </c>
      <c r="I197" s="11" t="s">
        <v>11</v>
      </c>
      <c r="J197" s="12"/>
    </row>
    <row r="198" spans="1:10" ht="60" customHeight="1">
      <c r="A198" s="6" t="s">
        <v>725</v>
      </c>
      <c r="B198" s="6" t="s">
        <v>31</v>
      </c>
      <c r="C198" s="6" t="s">
        <v>11</v>
      </c>
      <c r="D198" s="7" t="s">
        <v>726</v>
      </c>
      <c r="E198" s="8" t="s">
        <v>727</v>
      </c>
      <c r="F198" s="6" t="s">
        <v>728</v>
      </c>
      <c r="G198" s="9">
        <f>IF(A198=1,"_",IF(C198="_","???",C198))</f>
        <v/>
      </c>
      <c r="H198" s="10" t="s">
        <v>11</v>
      </c>
      <c r="I198" s="11" t="s">
        <v>11</v>
      </c>
      <c r="J198" s="12"/>
    </row>
    <row r="199" spans="1:10" ht="60" customHeight="1">
      <c r="A199" s="6" t="s">
        <v>729</v>
      </c>
      <c r="B199" s="6" t="s">
        <v>108</v>
      </c>
      <c r="C199" s="6" t="s">
        <v>730</v>
      </c>
      <c r="D199" s="7" t="s">
        <v>12</v>
      </c>
      <c r="E199" s="8" t="s">
        <v>731</v>
      </c>
      <c r="F199" s="6" t="s">
        <v>732</v>
      </c>
      <c r="G199" s="9">
        <f>IF(A199=1,"_",IF(C199="_","???",C199))</f>
        <v/>
      </c>
      <c r="H199" s="10" t="s">
        <v>11</v>
      </c>
      <c r="I199" s="11" t="s">
        <v>11</v>
      </c>
      <c r="J199" s="12"/>
    </row>
    <row r="200" spans="1:10" ht="60" customHeight="1">
      <c r="A200" s="6" t="s">
        <v>733</v>
      </c>
      <c r="B200" s="6" t="s">
        <v>15</v>
      </c>
      <c r="C200" s="6" t="s">
        <v>11</v>
      </c>
      <c r="D200" s="7" t="s">
        <v>154</v>
      </c>
      <c r="E200" s="8" t="s">
        <v>734</v>
      </c>
      <c r="F200" s="6" t="s">
        <v>735</v>
      </c>
      <c r="G200" s="9">
        <f>IF(A200=1,"_",IF(C200="_","???",C200))</f>
        <v/>
      </c>
      <c r="H200" s="10" t="s">
        <v>11</v>
      </c>
      <c r="I200" s="11" t="s">
        <v>11</v>
      </c>
      <c r="J200" s="12"/>
    </row>
    <row r="201" spans="1:10" ht="60" customHeight="1">
      <c r="A201" s="6" t="s">
        <v>736</v>
      </c>
      <c r="B201" s="6" t="s">
        <v>15</v>
      </c>
      <c r="C201" s="6" t="s">
        <v>11</v>
      </c>
      <c r="D201" s="7" t="s">
        <v>737</v>
      </c>
      <c r="E201" s="8" t="s">
        <v>738</v>
      </c>
      <c r="F201" s="6" t="s">
        <v>739</v>
      </c>
      <c r="G201" s="9">
        <f>IF(A201=1,"_",IF(C201="_","???",C201))</f>
        <v/>
      </c>
      <c r="H201" s="10" t="s">
        <v>11</v>
      </c>
      <c r="I201" s="11" t="s">
        <v>11</v>
      </c>
      <c r="J201" s="12"/>
    </row>
    <row r="202" spans="1:10" ht="60" customHeight="1">
      <c r="A202" s="6" t="s">
        <v>740</v>
      </c>
      <c r="B202" s="6" t="s">
        <v>20</v>
      </c>
      <c r="C202" s="6" t="s">
        <v>11</v>
      </c>
      <c r="D202" s="7" t="s">
        <v>60</v>
      </c>
      <c r="E202" s="8" t="s">
        <v>741</v>
      </c>
      <c r="F202" s="6" t="s">
        <v>742</v>
      </c>
      <c r="G202" s="9">
        <f>IF(A202=1,"_",IF(C202="_","???",C202))</f>
        <v/>
      </c>
      <c r="H202" s="10" t="s">
        <v>11</v>
      </c>
      <c r="I202" s="11" t="s">
        <v>11</v>
      </c>
      <c r="J202" s="12"/>
    </row>
    <row r="203" spans="1:10" ht="60" customHeight="1">
      <c r="A203" s="6" t="s">
        <v>743</v>
      </c>
      <c r="B203" s="6" t="s">
        <v>20</v>
      </c>
      <c r="C203" s="6" t="s">
        <v>11</v>
      </c>
      <c r="D203" s="7" t="s">
        <v>275</v>
      </c>
      <c r="E203" s="8" t="s">
        <v>744</v>
      </c>
      <c r="F203" s="6" t="s">
        <v>745</v>
      </c>
      <c r="G203" s="9">
        <f>IF(A203=1,"_",IF(C203="_","???",C203))</f>
        <v/>
      </c>
      <c r="H203" s="10" t="s">
        <v>11</v>
      </c>
      <c r="I203" s="11" t="s">
        <v>11</v>
      </c>
      <c r="J203" s="12"/>
    </row>
    <row r="204" spans="1:10" ht="60" customHeight="1">
      <c r="A204" s="6" t="s">
        <v>746</v>
      </c>
      <c r="B204" s="6" t="s">
        <v>20</v>
      </c>
      <c r="C204" s="6" t="s">
        <v>11</v>
      </c>
      <c r="D204" s="7" t="s">
        <v>60</v>
      </c>
      <c r="E204" s="8" t="s">
        <v>747</v>
      </c>
      <c r="F204" s="6" t="s">
        <v>748</v>
      </c>
      <c r="G204" s="9">
        <f>IF(A204=1,"_",IF(C204="_","???",C204))</f>
        <v/>
      </c>
      <c r="H204" s="10" t="s">
        <v>11</v>
      </c>
      <c r="I204" s="11" t="s">
        <v>11</v>
      </c>
      <c r="J204" s="12"/>
    </row>
    <row r="205" spans="1:10" ht="60" customHeight="1">
      <c r="A205" s="6" t="s">
        <v>749</v>
      </c>
      <c r="B205" s="6" t="s">
        <v>10</v>
      </c>
      <c r="C205" s="6" t="s">
        <v>11</v>
      </c>
      <c r="D205" s="7" t="s">
        <v>750</v>
      </c>
      <c r="E205" s="8" t="s">
        <v>751</v>
      </c>
      <c r="F205" s="6" t="s">
        <v>752</v>
      </c>
      <c r="G205" s="9">
        <f>IF(A205=1,"_",IF(C205="_","???",C205))</f>
        <v/>
      </c>
      <c r="H205" s="10" t="s">
        <v>11</v>
      </c>
      <c r="I205" s="11" t="s">
        <v>11</v>
      </c>
      <c r="J205" s="12"/>
    </row>
    <row r="206" spans="1:10" ht="60" customHeight="1">
      <c r="A206" s="6" t="s">
        <v>753</v>
      </c>
      <c r="B206" s="6" t="s">
        <v>10</v>
      </c>
      <c r="C206" s="6" t="s">
        <v>11</v>
      </c>
      <c r="D206" s="7" t="s">
        <v>754</v>
      </c>
      <c r="E206" s="8" t="s">
        <v>755</v>
      </c>
      <c r="F206" s="6" t="s">
        <v>756</v>
      </c>
      <c r="G206" s="9">
        <f>IF(A206=1,"_",IF(C206="_","???",C206))</f>
        <v/>
      </c>
      <c r="H206" s="10" t="s">
        <v>11</v>
      </c>
      <c r="I206" s="11" t="s">
        <v>11</v>
      </c>
      <c r="J206" s="12"/>
    </row>
    <row r="207" spans="1:10" ht="60" customHeight="1">
      <c r="A207" s="6" t="s">
        <v>757</v>
      </c>
      <c r="B207" s="6" t="s">
        <v>55</v>
      </c>
      <c r="C207" s="6" t="s">
        <v>11</v>
      </c>
      <c r="D207" s="7" t="s">
        <v>758</v>
      </c>
      <c r="E207" s="8" t="s">
        <v>759</v>
      </c>
      <c r="F207" s="6" t="s">
        <v>760</v>
      </c>
      <c r="G207" s="9">
        <f>IF(A207=1,"_",IF(C207="_","???",C207))</f>
        <v/>
      </c>
      <c r="H207" s="10" t="s">
        <v>11</v>
      </c>
      <c r="I207" s="11" t="s">
        <v>11</v>
      </c>
      <c r="J207" s="12"/>
    </row>
    <row r="208" spans="1:10" ht="60" customHeight="1">
      <c r="A208" s="6" t="s">
        <v>761</v>
      </c>
      <c r="B208" s="6" t="s">
        <v>20</v>
      </c>
      <c r="C208" s="6" t="s">
        <v>11</v>
      </c>
      <c r="D208" s="7" t="s">
        <v>60</v>
      </c>
      <c r="E208" s="8" t="s">
        <v>762</v>
      </c>
      <c r="F208" s="6" t="s">
        <v>763</v>
      </c>
      <c r="G208" s="9">
        <f>IF(A208=1,"_",IF(C208="_","???",C208))</f>
        <v/>
      </c>
      <c r="H208" s="10" t="s">
        <v>11</v>
      </c>
      <c r="I208" s="11" t="s">
        <v>11</v>
      </c>
      <c r="J208" s="12"/>
    </row>
    <row r="209" spans="1:10" ht="60" customHeight="1">
      <c r="A209" s="6" t="s">
        <v>764</v>
      </c>
      <c r="B209" s="6" t="s">
        <v>20</v>
      </c>
      <c r="C209" s="6" t="s">
        <v>11</v>
      </c>
      <c r="D209" s="7" t="s">
        <v>60</v>
      </c>
      <c r="E209" s="8" t="s">
        <v>765</v>
      </c>
      <c r="F209" s="6" t="s">
        <v>766</v>
      </c>
      <c r="G209" s="9">
        <f>IF(A209=1,"_",IF(C209="_","???",C209))</f>
        <v/>
      </c>
      <c r="H209" s="10" t="s">
        <v>11</v>
      </c>
      <c r="I209" s="11" t="s">
        <v>11</v>
      </c>
      <c r="J209" s="12"/>
    </row>
    <row r="210" spans="1:10" ht="60" customHeight="1">
      <c r="A210" s="6" t="s">
        <v>767</v>
      </c>
      <c r="B210" s="6" t="s">
        <v>31</v>
      </c>
      <c r="C210" s="6" t="s">
        <v>11</v>
      </c>
      <c r="D210" s="7" t="s">
        <v>271</v>
      </c>
      <c r="E210" s="8" t="s">
        <v>768</v>
      </c>
      <c r="F210" s="6" t="s">
        <v>769</v>
      </c>
      <c r="G210" s="9">
        <f>IF(A210=1,"_",IF(C210="_","???",C210))</f>
        <v/>
      </c>
      <c r="H210" s="10" t="s">
        <v>11</v>
      </c>
      <c r="I210" s="11" t="s">
        <v>11</v>
      </c>
      <c r="J210" s="12"/>
    </row>
    <row r="211" spans="1:10" ht="60" customHeight="1">
      <c r="A211" s="6" t="s">
        <v>770</v>
      </c>
      <c r="B211" s="6" t="s">
        <v>63</v>
      </c>
      <c r="C211" s="6" t="s">
        <v>11</v>
      </c>
      <c r="D211" s="7" t="s">
        <v>89</v>
      </c>
      <c r="E211" s="8" t="s">
        <v>771</v>
      </c>
      <c r="F211" s="6" t="s">
        <v>772</v>
      </c>
      <c r="G211" s="9">
        <f>IF(A211=1,"_",IF(C211="_","???",C211))</f>
        <v/>
      </c>
      <c r="H211" s="10" t="s">
        <v>11</v>
      </c>
      <c r="I211" s="11" t="s">
        <v>11</v>
      </c>
      <c r="J211" s="12"/>
    </row>
    <row r="212" spans="1:10" ht="60" customHeight="1">
      <c r="A212" s="6" t="s">
        <v>773</v>
      </c>
      <c r="B212" s="6" t="s">
        <v>20</v>
      </c>
      <c r="C212" s="6" t="s">
        <v>11</v>
      </c>
      <c r="D212" s="7" t="s">
        <v>468</v>
      </c>
      <c r="E212" s="8" t="s">
        <v>774</v>
      </c>
      <c r="F212" s="6" t="s">
        <v>775</v>
      </c>
      <c r="G212" s="9">
        <f>IF(A212=1,"_",IF(C212="_","???",C212))</f>
        <v/>
      </c>
      <c r="H212" s="10" t="s">
        <v>11</v>
      </c>
      <c r="I212" s="11" t="s">
        <v>11</v>
      </c>
      <c r="J212" s="12"/>
    </row>
    <row r="213" spans="1:10" ht="60" customHeight="1">
      <c r="A213" s="6" t="s">
        <v>776</v>
      </c>
      <c r="B213" s="6" t="s">
        <v>27</v>
      </c>
      <c r="C213" s="6" t="s">
        <v>11</v>
      </c>
      <c r="D213" s="7" t="s">
        <v>126</v>
      </c>
      <c r="E213" s="8" t="s">
        <v>777</v>
      </c>
      <c r="F213" s="6" t="s">
        <v>778</v>
      </c>
      <c r="G213" s="9">
        <f>IF(A213=1,"_",IF(C213="_","???",C213))</f>
        <v/>
      </c>
      <c r="H213" s="10" t="s">
        <v>11</v>
      </c>
      <c r="I213" s="11" t="s">
        <v>11</v>
      </c>
      <c r="J213" s="12"/>
    </row>
    <row r="214" spans="1:10" ht="60" customHeight="1">
      <c r="A214" s="6" t="s">
        <v>779</v>
      </c>
      <c r="B214" s="6" t="s">
        <v>16</v>
      </c>
      <c r="C214" s="6" t="s">
        <v>780</v>
      </c>
      <c r="D214" s="7" t="s">
        <v>68</v>
      </c>
      <c r="E214" s="8" t="s">
        <v>781</v>
      </c>
      <c r="F214" s="6" t="s">
        <v>782</v>
      </c>
      <c r="G214" s="9">
        <f>IF(A214=1,"_",IF(C214="_","???",C214))</f>
        <v/>
      </c>
      <c r="H214" s="10" t="s">
        <v>11</v>
      </c>
      <c r="I214" s="11" t="s">
        <v>11</v>
      </c>
      <c r="J214" s="12"/>
    </row>
    <row r="215" spans="1:10" ht="60" customHeight="1">
      <c r="A215" s="6" t="s">
        <v>783</v>
      </c>
      <c r="B215" s="6" t="s">
        <v>112</v>
      </c>
      <c r="C215" s="6" t="s">
        <v>11</v>
      </c>
      <c r="D215" s="7" t="s">
        <v>36</v>
      </c>
      <c r="E215" s="8" t="s">
        <v>784</v>
      </c>
      <c r="F215" s="6" t="s">
        <v>785</v>
      </c>
      <c r="G215" s="9">
        <f>IF(A215=1,"_",IF(C215="_","???",C215))</f>
        <v/>
      </c>
      <c r="H215" s="10" t="s">
        <v>11</v>
      </c>
      <c r="I215" s="11" t="s">
        <v>11</v>
      </c>
      <c r="J215" s="12"/>
    </row>
    <row r="216" spans="1:10" ht="60" customHeight="1">
      <c r="A216" s="6" t="s">
        <v>786</v>
      </c>
      <c r="B216" s="6" t="s">
        <v>31</v>
      </c>
      <c r="C216" s="6" t="s">
        <v>11</v>
      </c>
      <c r="D216" s="7" t="s">
        <v>787</v>
      </c>
      <c r="E216" s="8" t="s">
        <v>788</v>
      </c>
      <c r="F216" s="6" t="s">
        <v>789</v>
      </c>
      <c r="G216" s="9">
        <f>IF(A216=1,"_",IF(C216="_","???",C216))</f>
        <v/>
      </c>
      <c r="H216" s="10" t="s">
        <v>11</v>
      </c>
      <c r="I216" s="11" t="s">
        <v>11</v>
      </c>
      <c r="J216" s="12"/>
    </row>
    <row r="217" spans="1:10" ht="60" customHeight="1">
      <c r="A217" s="6" t="s">
        <v>790</v>
      </c>
      <c r="B217" s="6" t="s">
        <v>15</v>
      </c>
      <c r="C217" s="6" t="s">
        <v>11</v>
      </c>
      <c r="D217" s="7" t="s">
        <v>556</v>
      </c>
      <c r="E217" s="8" t="s">
        <v>791</v>
      </c>
      <c r="F217" s="6" t="s">
        <v>792</v>
      </c>
      <c r="G217" s="9">
        <f>IF(A217=1,"_",IF(C217="_","???",C217))</f>
        <v/>
      </c>
      <c r="H217" s="10" t="s">
        <v>11</v>
      </c>
      <c r="I217" s="11" t="s">
        <v>11</v>
      </c>
      <c r="J217" s="12"/>
    </row>
    <row r="218" spans="1:10" ht="60" customHeight="1">
      <c r="A218" s="6" t="s">
        <v>793</v>
      </c>
      <c r="B218" s="6" t="s">
        <v>96</v>
      </c>
      <c r="C218" s="6" t="s">
        <v>11</v>
      </c>
      <c r="D218" s="7" t="s">
        <v>794</v>
      </c>
      <c r="E218" s="8" t="s">
        <v>795</v>
      </c>
      <c r="F218" s="6" t="s">
        <v>796</v>
      </c>
      <c r="G218" s="9">
        <f>IF(A218=1,"_",IF(C218="_","???",C218))</f>
        <v/>
      </c>
      <c r="H218" s="10" t="s">
        <v>11</v>
      </c>
      <c r="I218" s="11" t="s">
        <v>11</v>
      </c>
      <c r="J218" s="12"/>
    </row>
    <row r="219" spans="1:10" ht="60" customHeight="1">
      <c r="A219" s="6" t="s">
        <v>797</v>
      </c>
      <c r="B219" s="6" t="s">
        <v>10</v>
      </c>
      <c r="C219" s="6" t="s">
        <v>11</v>
      </c>
      <c r="D219" s="7" t="s">
        <v>93</v>
      </c>
      <c r="E219" s="8" t="s">
        <v>798</v>
      </c>
      <c r="F219" s="6" t="s">
        <v>799</v>
      </c>
      <c r="G219" s="9">
        <f>IF(A219=1,"_",IF(C219="_","???",C219))</f>
        <v/>
      </c>
      <c r="H219" s="10" t="s">
        <v>11</v>
      </c>
      <c r="I219" s="11" t="s">
        <v>11</v>
      </c>
      <c r="J219" s="12"/>
    </row>
    <row r="220" spans="1:10" ht="60" customHeight="1">
      <c r="A220" s="6" t="s">
        <v>800</v>
      </c>
      <c r="B220" s="6" t="s">
        <v>35</v>
      </c>
      <c r="C220" s="6" t="s">
        <v>11</v>
      </c>
      <c r="D220" s="7" t="s">
        <v>801</v>
      </c>
      <c r="E220" s="8" t="s">
        <v>802</v>
      </c>
      <c r="F220" s="6" t="s">
        <v>803</v>
      </c>
      <c r="G220" s="9">
        <f>IF(A220=1,"_",IF(C220="_","???",C220))</f>
        <v/>
      </c>
      <c r="H220" s="10" t="s">
        <v>11</v>
      </c>
      <c r="I220" s="11" t="s">
        <v>11</v>
      </c>
      <c r="J220" s="12"/>
    </row>
    <row r="221" spans="1:10" ht="60" customHeight="1">
      <c r="A221" s="6" t="s">
        <v>804</v>
      </c>
      <c r="B221" s="6" t="s">
        <v>16</v>
      </c>
      <c r="C221" s="6" t="s">
        <v>11</v>
      </c>
      <c r="D221" s="7" t="s">
        <v>805</v>
      </c>
      <c r="E221" s="8" t="s">
        <v>806</v>
      </c>
      <c r="F221" s="6" t="s">
        <v>807</v>
      </c>
      <c r="G221" s="9">
        <f>IF(A221=1,"_",IF(C221="_","???",C221))</f>
        <v/>
      </c>
      <c r="H221" s="10" t="s">
        <v>11</v>
      </c>
      <c r="I221" s="11" t="s">
        <v>11</v>
      </c>
      <c r="J221" s="12"/>
    </row>
    <row r="222" spans="1:10" ht="60" customHeight="1">
      <c r="A222" s="6" t="s">
        <v>808</v>
      </c>
      <c r="B222" s="6" t="s">
        <v>15</v>
      </c>
      <c r="C222" s="6" t="s">
        <v>11</v>
      </c>
      <c r="D222" s="7" t="s">
        <v>271</v>
      </c>
      <c r="E222" s="8" t="s">
        <v>809</v>
      </c>
      <c r="F222" s="6" t="s">
        <v>810</v>
      </c>
      <c r="G222" s="9">
        <f>IF(A222=1,"_",IF(C222="_","???",C222))</f>
        <v/>
      </c>
      <c r="H222" s="10" t="s">
        <v>11</v>
      </c>
      <c r="I222" s="11" t="s">
        <v>11</v>
      </c>
      <c r="J222" s="12"/>
    </row>
    <row r="223" spans="1:10" ht="60" customHeight="1">
      <c r="A223" s="6" t="s">
        <v>811</v>
      </c>
      <c r="B223" s="6" t="s">
        <v>15</v>
      </c>
      <c r="C223" s="6" t="s">
        <v>11</v>
      </c>
      <c r="D223" s="7" t="s">
        <v>305</v>
      </c>
      <c r="E223" s="8" t="s">
        <v>812</v>
      </c>
      <c r="F223" s="6" t="s">
        <v>813</v>
      </c>
      <c r="G223" s="9">
        <f>IF(A223=1,"_",IF(C223="_","???",C223))</f>
        <v/>
      </c>
      <c r="H223" s="10" t="s">
        <v>11</v>
      </c>
      <c r="I223" s="11" t="s">
        <v>11</v>
      </c>
      <c r="J223" s="12"/>
    </row>
    <row r="224" spans="1:10" ht="60" customHeight="1">
      <c r="A224" s="6" t="s">
        <v>814</v>
      </c>
      <c r="B224" s="6" t="s">
        <v>27</v>
      </c>
      <c r="C224" s="6" t="s">
        <v>11</v>
      </c>
      <c r="D224" s="7" t="s">
        <v>187</v>
      </c>
      <c r="E224" s="8" t="s">
        <v>815</v>
      </c>
      <c r="F224" s="6" t="s">
        <v>816</v>
      </c>
      <c r="G224" s="9">
        <f>IF(A224=1,"_",IF(C224="_","???",C224))</f>
        <v/>
      </c>
      <c r="H224" s="10" t="s">
        <v>11</v>
      </c>
      <c r="I224" s="11" t="s">
        <v>11</v>
      </c>
      <c r="J224" s="12"/>
    </row>
    <row r="225" spans="1:10" ht="60" customHeight="1">
      <c r="A225" s="6" t="s">
        <v>817</v>
      </c>
      <c r="B225" s="6" t="s">
        <v>15</v>
      </c>
      <c r="C225" s="6" t="s">
        <v>11</v>
      </c>
      <c r="D225" s="7" t="s">
        <v>818</v>
      </c>
      <c r="E225" s="8" t="s">
        <v>819</v>
      </c>
      <c r="F225" s="6" t="s">
        <v>820</v>
      </c>
      <c r="G225" s="9">
        <f>IF(A225=1,"_",IF(C225="_","???",C225))</f>
        <v/>
      </c>
      <c r="H225" s="10" t="s">
        <v>11</v>
      </c>
      <c r="I225" s="11" t="s">
        <v>11</v>
      </c>
      <c r="J225" s="12"/>
    </row>
    <row r="226" spans="1:10" ht="60" customHeight="1">
      <c r="A226" s="6" t="s">
        <v>821</v>
      </c>
      <c r="B226" s="6" t="s">
        <v>15</v>
      </c>
      <c r="C226" s="6" t="s">
        <v>11</v>
      </c>
      <c r="D226" s="7" t="s">
        <v>359</v>
      </c>
      <c r="E226" s="8" t="s">
        <v>822</v>
      </c>
      <c r="F226" s="6" t="s">
        <v>823</v>
      </c>
      <c r="G226" s="9">
        <f>IF(A226=1,"_",IF(C226="_","???",C226))</f>
        <v/>
      </c>
      <c r="H226" s="10" t="s">
        <v>11</v>
      </c>
      <c r="I226" s="11" t="s">
        <v>11</v>
      </c>
      <c r="J226" s="12"/>
    </row>
    <row r="227" spans="1:10" ht="60" customHeight="1">
      <c r="A227" s="6" t="s">
        <v>824</v>
      </c>
      <c r="B227" s="6" t="s">
        <v>10</v>
      </c>
      <c r="C227" s="6" t="s">
        <v>11</v>
      </c>
      <c r="D227" s="7" t="s">
        <v>44</v>
      </c>
      <c r="E227" s="8" t="s">
        <v>825</v>
      </c>
      <c r="F227" s="6" t="s">
        <v>826</v>
      </c>
      <c r="G227" s="9">
        <f>IF(A227=1,"_",IF(C227="_","???",C227))</f>
        <v/>
      </c>
      <c r="H227" s="10" t="s">
        <v>11</v>
      </c>
      <c r="I227" s="11" t="s">
        <v>11</v>
      </c>
      <c r="J227" s="12"/>
    </row>
    <row r="228" spans="1:10" ht="60" customHeight="1">
      <c r="A228" s="6" t="s">
        <v>827</v>
      </c>
      <c r="B228" s="6" t="s">
        <v>51</v>
      </c>
      <c r="C228" s="6" t="s">
        <v>11</v>
      </c>
      <c r="D228" s="7" t="s">
        <v>828</v>
      </c>
      <c r="E228" s="8" t="s">
        <v>829</v>
      </c>
      <c r="F228" s="6" t="s">
        <v>830</v>
      </c>
      <c r="G228" s="9">
        <f>IF(A228=1,"_",IF(C228="_","???",C228))</f>
        <v/>
      </c>
      <c r="H228" s="10" t="s">
        <v>11</v>
      </c>
      <c r="I228" s="11" t="s">
        <v>11</v>
      </c>
      <c r="J228" s="12"/>
    </row>
    <row r="229" spans="1:10" ht="60" customHeight="1">
      <c r="A229" s="6" t="s">
        <v>831</v>
      </c>
      <c r="B229" s="6" t="s">
        <v>20</v>
      </c>
      <c r="C229" s="6" t="s">
        <v>11</v>
      </c>
      <c r="D229" s="7" t="s">
        <v>271</v>
      </c>
      <c r="E229" s="8" t="s">
        <v>832</v>
      </c>
      <c r="F229" s="6" t="s">
        <v>833</v>
      </c>
      <c r="G229" s="9">
        <f>IF(A229=1,"_",IF(C229="_","???",C229))</f>
        <v/>
      </c>
      <c r="H229" s="10" t="s">
        <v>11</v>
      </c>
      <c r="I229" s="11" t="s">
        <v>11</v>
      </c>
      <c r="J229" s="12"/>
    </row>
    <row r="230" spans="1:10" ht="60" customHeight="1">
      <c r="A230" s="6" t="s">
        <v>834</v>
      </c>
      <c r="B230" s="6" t="s">
        <v>55</v>
      </c>
      <c r="C230" s="6" t="s">
        <v>11</v>
      </c>
      <c r="D230" s="7" t="s">
        <v>835</v>
      </c>
      <c r="E230" s="8" t="s">
        <v>836</v>
      </c>
      <c r="F230" s="6" t="s">
        <v>837</v>
      </c>
      <c r="G230" s="9">
        <f>IF(A230=1,"_",IF(C230="_","???",C230))</f>
        <v/>
      </c>
      <c r="H230" s="10" t="s">
        <v>11</v>
      </c>
      <c r="I230" s="11" t="s">
        <v>11</v>
      </c>
      <c r="J230" s="12"/>
    </row>
    <row r="231" spans="1:10" ht="60" customHeight="1">
      <c r="A231" s="6" t="s">
        <v>838</v>
      </c>
      <c r="B231" s="6" t="s">
        <v>67</v>
      </c>
      <c r="C231" s="6" t="s">
        <v>11</v>
      </c>
      <c r="D231" s="7" t="s">
        <v>839</v>
      </c>
      <c r="E231" s="8" t="s">
        <v>840</v>
      </c>
      <c r="F231" s="6" t="s">
        <v>841</v>
      </c>
      <c r="G231" s="9">
        <f>IF(A231=1,"_",IF(C231="_","???",C231))</f>
        <v/>
      </c>
      <c r="H231" s="10" t="s">
        <v>11</v>
      </c>
      <c r="I231" s="11" t="s">
        <v>11</v>
      </c>
      <c r="J231" s="12"/>
    </row>
    <row r="232" spans="1:10" ht="60" customHeight="1">
      <c r="A232" s="6" t="s">
        <v>842</v>
      </c>
      <c r="B232" s="6" t="s">
        <v>15</v>
      </c>
      <c r="C232" s="6" t="s">
        <v>11</v>
      </c>
      <c r="D232" s="7" t="s">
        <v>843</v>
      </c>
      <c r="E232" s="8" t="s">
        <v>844</v>
      </c>
      <c r="F232" s="6" t="s">
        <v>845</v>
      </c>
      <c r="G232" s="9">
        <f>IF(A232=1,"_",IF(C232="_","???",C232))</f>
        <v/>
      </c>
      <c r="H232" s="10" t="s">
        <v>11</v>
      </c>
      <c r="I232" s="11" t="s">
        <v>11</v>
      </c>
      <c r="J232" s="12"/>
    </row>
    <row r="233" spans="1:10" ht="60" customHeight="1">
      <c r="A233" s="6" t="s">
        <v>846</v>
      </c>
      <c r="B233" s="6" t="s">
        <v>27</v>
      </c>
      <c r="C233" s="6" t="s">
        <v>11</v>
      </c>
      <c r="D233" s="7" t="s">
        <v>847</v>
      </c>
      <c r="E233" s="8" t="s">
        <v>848</v>
      </c>
      <c r="F233" s="6" t="s">
        <v>849</v>
      </c>
      <c r="G233" s="9">
        <f>IF(A233=1,"_",IF(C233="_","???",C233))</f>
        <v/>
      </c>
      <c r="H233" s="10" t="s">
        <v>11</v>
      </c>
      <c r="I233" s="11" t="s">
        <v>11</v>
      </c>
      <c r="J233" s="12"/>
    </row>
    <row r="234" spans="1:10" ht="60" customHeight="1">
      <c r="A234" s="6" t="s">
        <v>850</v>
      </c>
      <c r="B234" s="6" t="s">
        <v>20</v>
      </c>
      <c r="C234" s="6" t="s">
        <v>11</v>
      </c>
      <c r="D234" s="7" t="s">
        <v>126</v>
      </c>
      <c r="E234" s="8" t="s">
        <v>851</v>
      </c>
      <c r="F234" s="6" t="s">
        <v>852</v>
      </c>
      <c r="G234" s="9">
        <f>IF(A234=1,"_",IF(C234="_","???",C234))</f>
        <v/>
      </c>
      <c r="H234" s="10" t="s">
        <v>11</v>
      </c>
      <c r="I234" s="11" t="s">
        <v>11</v>
      </c>
      <c r="J234" s="12"/>
    </row>
    <row r="235" spans="1:10" ht="60" customHeight="1">
      <c r="A235" s="6" t="s">
        <v>853</v>
      </c>
      <c r="B235" s="6" t="s">
        <v>153</v>
      </c>
      <c r="C235" s="6" t="s">
        <v>11</v>
      </c>
      <c r="D235" s="7" t="s">
        <v>854</v>
      </c>
      <c r="E235" s="8" t="s">
        <v>855</v>
      </c>
      <c r="F235" s="6" t="s">
        <v>856</v>
      </c>
      <c r="G235" s="9">
        <f>IF(A235=1,"_",IF(C235="_","???",C235))</f>
        <v/>
      </c>
      <c r="H235" s="10" t="s">
        <v>11</v>
      </c>
      <c r="I235" s="11" t="s">
        <v>11</v>
      </c>
      <c r="J235" s="12"/>
    </row>
    <row r="236" spans="1:10" ht="60" customHeight="1">
      <c r="A236" s="6" t="s">
        <v>857</v>
      </c>
      <c r="B236" s="6" t="s">
        <v>20</v>
      </c>
      <c r="C236" s="6" t="s">
        <v>11</v>
      </c>
      <c r="D236" s="7" t="s">
        <v>305</v>
      </c>
      <c r="E236" s="8" t="s">
        <v>858</v>
      </c>
      <c r="F236" s="6" t="s">
        <v>859</v>
      </c>
      <c r="G236" s="9">
        <f>IF(A236=1,"_",IF(C236="_","???",C236))</f>
        <v/>
      </c>
      <c r="H236" s="10" t="s">
        <v>11</v>
      </c>
      <c r="I236" s="11" t="s">
        <v>11</v>
      </c>
      <c r="J236" s="12"/>
    </row>
    <row r="237" spans="1:10" ht="60" customHeight="1">
      <c r="A237" s="6" t="s">
        <v>860</v>
      </c>
      <c r="B237" s="6" t="s">
        <v>10</v>
      </c>
      <c r="C237" s="6" t="s">
        <v>11</v>
      </c>
      <c r="D237" s="7" t="s">
        <v>275</v>
      </c>
      <c r="E237" s="8" t="s">
        <v>861</v>
      </c>
      <c r="F237" s="6" t="s">
        <v>862</v>
      </c>
      <c r="G237" s="9">
        <f>IF(A237=1,"_",IF(C237="_","???",C237))</f>
        <v/>
      </c>
      <c r="H237" s="10" t="s">
        <v>11</v>
      </c>
      <c r="I237" s="11" t="s">
        <v>11</v>
      </c>
      <c r="J237" s="12"/>
    </row>
    <row r="238" spans="1:10" ht="60" customHeight="1">
      <c r="A238" s="6" t="s">
        <v>863</v>
      </c>
      <c r="B238" s="6" t="s">
        <v>15</v>
      </c>
      <c r="C238" s="6" t="s">
        <v>11</v>
      </c>
      <c r="D238" s="7" t="s">
        <v>305</v>
      </c>
      <c r="E238" s="8" t="s">
        <v>864</v>
      </c>
      <c r="F238" s="6" t="s">
        <v>865</v>
      </c>
      <c r="G238" s="9">
        <f>IF(A238=1,"_",IF(C238="_","???",C238))</f>
        <v/>
      </c>
      <c r="H238" s="10" t="s">
        <v>11</v>
      </c>
      <c r="I238" s="11" t="s">
        <v>11</v>
      </c>
      <c r="J238" s="12"/>
    </row>
    <row r="239" spans="1:10" ht="60" customHeight="1">
      <c r="A239" s="6" t="s">
        <v>866</v>
      </c>
      <c r="B239" s="6" t="s">
        <v>10</v>
      </c>
      <c r="C239" s="6" t="s">
        <v>11</v>
      </c>
      <c r="D239" s="7" t="s">
        <v>867</v>
      </c>
      <c r="E239" s="8" t="s">
        <v>868</v>
      </c>
      <c r="F239" s="6" t="s">
        <v>869</v>
      </c>
      <c r="G239" s="9">
        <f>IF(A239=1,"_",IF(C239="_","???",C239))</f>
        <v/>
      </c>
      <c r="H239" s="10" t="s">
        <v>11</v>
      </c>
      <c r="I239" s="11" t="s">
        <v>11</v>
      </c>
      <c r="J239" s="12"/>
    </row>
    <row r="240" spans="1:10" ht="60" customHeight="1">
      <c r="A240" s="6" t="s">
        <v>870</v>
      </c>
      <c r="B240" s="6" t="s">
        <v>20</v>
      </c>
      <c r="C240" s="6" t="s">
        <v>11</v>
      </c>
      <c r="D240" s="7" t="s">
        <v>126</v>
      </c>
      <c r="E240" s="8" t="s">
        <v>871</v>
      </c>
      <c r="F240" s="6" t="s">
        <v>872</v>
      </c>
      <c r="G240" s="9">
        <f>IF(A240=1,"_",IF(C240="_","???",C240))</f>
        <v/>
      </c>
      <c r="H240" s="10" t="s">
        <v>11</v>
      </c>
      <c r="I240" s="11" t="s">
        <v>11</v>
      </c>
      <c r="J240" s="12"/>
    </row>
    <row r="241" spans="1:10" ht="60" customHeight="1">
      <c r="A241" s="6" t="s">
        <v>873</v>
      </c>
      <c r="B241" s="6" t="s">
        <v>20</v>
      </c>
      <c r="C241" s="6" t="s">
        <v>11</v>
      </c>
      <c r="D241" s="7" t="s">
        <v>874</v>
      </c>
      <c r="E241" s="8" t="s">
        <v>875</v>
      </c>
      <c r="F241" s="6" t="s">
        <v>876</v>
      </c>
      <c r="G241" s="9">
        <f>IF(A241=1,"_",IF(C241="_","???",C241))</f>
        <v/>
      </c>
      <c r="H241" s="10" t="s">
        <v>11</v>
      </c>
      <c r="I241" s="11" t="s">
        <v>11</v>
      </c>
      <c r="J241" s="12"/>
    </row>
    <row r="242" spans="1:10" ht="60" customHeight="1">
      <c r="A242" s="6" t="s">
        <v>877</v>
      </c>
      <c r="B242" s="6" t="s">
        <v>16</v>
      </c>
      <c r="C242" s="6" t="s">
        <v>11</v>
      </c>
      <c r="D242" s="7" t="s">
        <v>556</v>
      </c>
      <c r="E242" s="8" t="s">
        <v>878</v>
      </c>
      <c r="F242" s="6" t="s">
        <v>879</v>
      </c>
      <c r="G242" s="9">
        <f>IF(A242=1,"_",IF(C242="_","???",C242))</f>
        <v/>
      </c>
      <c r="H242" s="10" t="s">
        <v>11</v>
      </c>
      <c r="I242" s="11" t="s">
        <v>11</v>
      </c>
      <c r="J242" s="12"/>
    </row>
    <row r="243" spans="1:10" ht="60" customHeight="1">
      <c r="A243" s="6" t="s">
        <v>880</v>
      </c>
      <c r="B243" s="6" t="s">
        <v>15</v>
      </c>
      <c r="C243" s="6" t="s">
        <v>11</v>
      </c>
      <c r="D243" s="7" t="s">
        <v>881</v>
      </c>
      <c r="E243" s="8" t="s">
        <v>882</v>
      </c>
      <c r="F243" s="6" t="s">
        <v>883</v>
      </c>
      <c r="G243" s="9">
        <f>IF(A243=1,"_",IF(C243="_","???",C243))</f>
        <v/>
      </c>
      <c r="H243" s="10" t="s">
        <v>11</v>
      </c>
      <c r="I243" s="11" t="s">
        <v>11</v>
      </c>
      <c r="J243" s="12"/>
    </row>
    <row r="244" spans="1:10" ht="60" customHeight="1">
      <c r="A244" s="6" t="s">
        <v>884</v>
      </c>
      <c r="B244" s="6" t="s">
        <v>112</v>
      </c>
      <c r="C244" s="6" t="s">
        <v>11</v>
      </c>
      <c r="D244" s="7" t="s">
        <v>885</v>
      </c>
      <c r="E244" s="8" t="s">
        <v>886</v>
      </c>
      <c r="F244" s="6" t="s">
        <v>887</v>
      </c>
      <c r="G244" s="9">
        <f>IF(A244=1,"_",IF(C244="_","???",C244))</f>
        <v/>
      </c>
      <c r="H244" s="10" t="s">
        <v>11</v>
      </c>
      <c r="I244" s="11" t="s">
        <v>11</v>
      </c>
      <c r="J244" s="12"/>
    </row>
    <row r="245" spans="1:10" ht="60" customHeight="1">
      <c r="A245" s="6" t="s">
        <v>888</v>
      </c>
      <c r="B245" s="6" t="s">
        <v>16</v>
      </c>
      <c r="C245" s="6" t="s">
        <v>11</v>
      </c>
      <c r="D245" s="7" t="s">
        <v>889</v>
      </c>
      <c r="E245" s="8" t="s">
        <v>890</v>
      </c>
      <c r="F245" s="6" t="s">
        <v>891</v>
      </c>
      <c r="G245" s="9">
        <f>IF(A245=1,"_",IF(C245="_","???",C245))</f>
        <v/>
      </c>
      <c r="H245" s="10" t="s">
        <v>11</v>
      </c>
      <c r="I245" s="11" t="s">
        <v>11</v>
      </c>
      <c r="J245" s="12"/>
    </row>
    <row r="246" spans="1:10" ht="60" customHeight="1">
      <c r="A246" s="6" t="s">
        <v>892</v>
      </c>
      <c r="B246" s="6" t="s">
        <v>10</v>
      </c>
      <c r="C246" s="6" t="s">
        <v>11</v>
      </c>
      <c r="D246" s="7" t="s">
        <v>893</v>
      </c>
      <c r="E246" s="8" t="s">
        <v>894</v>
      </c>
      <c r="F246" s="6" t="s">
        <v>895</v>
      </c>
      <c r="G246" s="9">
        <f>IF(A246=1,"_",IF(C246="_","???",C246))</f>
        <v/>
      </c>
      <c r="H246" s="10" t="s">
        <v>11</v>
      </c>
      <c r="I246" s="11" t="s">
        <v>11</v>
      </c>
      <c r="J246" s="12"/>
    </row>
    <row r="247" spans="1:10" ht="60" customHeight="1">
      <c r="A247" s="6" t="s">
        <v>896</v>
      </c>
      <c r="B247" s="6" t="s">
        <v>20</v>
      </c>
      <c r="C247" s="6" t="s">
        <v>11</v>
      </c>
      <c r="D247" s="7" t="s">
        <v>897</v>
      </c>
      <c r="E247" s="8" t="s">
        <v>898</v>
      </c>
      <c r="F247" s="6" t="s">
        <v>899</v>
      </c>
      <c r="G247" s="9">
        <f>IF(A247=1,"_",IF(C247="_","???",C247))</f>
        <v/>
      </c>
      <c r="H247" s="10" t="s">
        <v>11</v>
      </c>
      <c r="I247" s="11" t="s">
        <v>11</v>
      </c>
      <c r="J247" s="12"/>
    </row>
    <row r="248" spans="1:10" ht="60" customHeight="1">
      <c r="A248" s="6" t="s">
        <v>900</v>
      </c>
      <c r="B248" s="6" t="s">
        <v>16</v>
      </c>
      <c r="C248" s="6" t="s">
        <v>11</v>
      </c>
      <c r="D248" s="7" t="s">
        <v>901</v>
      </c>
      <c r="E248" s="8" t="s">
        <v>902</v>
      </c>
      <c r="F248" s="6" t="s">
        <v>903</v>
      </c>
      <c r="G248" s="9">
        <f>IF(A248=1,"_",IF(C248="_","???",C248))</f>
        <v/>
      </c>
      <c r="H248" s="10" t="s">
        <v>11</v>
      </c>
      <c r="I248" s="11" t="s">
        <v>11</v>
      </c>
      <c r="J248" s="12"/>
    </row>
    <row r="249" spans="1:10" ht="60" customHeight="1">
      <c r="A249" s="6" t="s">
        <v>904</v>
      </c>
      <c r="B249" s="6" t="s">
        <v>15</v>
      </c>
      <c r="C249" s="6" t="s">
        <v>11</v>
      </c>
      <c r="D249" s="7" t="s">
        <v>212</v>
      </c>
      <c r="E249" s="8" t="s">
        <v>905</v>
      </c>
      <c r="F249" s="6" t="s">
        <v>906</v>
      </c>
      <c r="G249" s="9">
        <f>IF(A249=1,"_",IF(C249="_","???",C249))</f>
        <v/>
      </c>
      <c r="H249" s="10" t="s">
        <v>11</v>
      </c>
      <c r="I249" s="11" t="s">
        <v>11</v>
      </c>
      <c r="J249" s="12"/>
    </row>
    <row r="250" spans="1:10" ht="60" customHeight="1">
      <c r="A250" s="6" t="s">
        <v>907</v>
      </c>
      <c r="B250" s="6" t="s">
        <v>20</v>
      </c>
      <c r="C250" s="6" t="s">
        <v>11</v>
      </c>
      <c r="D250" s="7" t="s">
        <v>126</v>
      </c>
      <c r="E250" s="8" t="s">
        <v>908</v>
      </c>
      <c r="F250" s="6" t="s">
        <v>909</v>
      </c>
      <c r="G250" s="9">
        <f>IF(A250=1,"_",IF(C250="_","???",C250))</f>
        <v/>
      </c>
      <c r="H250" s="10" t="s">
        <v>11</v>
      </c>
      <c r="I250" s="11" t="s">
        <v>11</v>
      </c>
      <c r="J250" s="12"/>
    </row>
    <row r="251" spans="1:10" ht="60" customHeight="1">
      <c r="A251" s="6" t="s">
        <v>910</v>
      </c>
      <c r="B251" s="6" t="s">
        <v>20</v>
      </c>
      <c r="C251" s="6" t="s">
        <v>11</v>
      </c>
      <c r="D251" s="7" t="s">
        <v>126</v>
      </c>
      <c r="E251" s="8" t="s">
        <v>911</v>
      </c>
      <c r="F251" s="6" t="s">
        <v>912</v>
      </c>
      <c r="G251" s="9">
        <f>IF(A251=1,"_",IF(C251="_","???",C251))</f>
        <v/>
      </c>
      <c r="H251" s="10" t="s">
        <v>11</v>
      </c>
      <c r="I251" s="11" t="s">
        <v>11</v>
      </c>
      <c r="J251" s="12"/>
    </row>
    <row r="252" spans="1:10" ht="60" customHeight="1">
      <c r="A252" s="6" t="s">
        <v>913</v>
      </c>
      <c r="B252" s="6" t="s">
        <v>31</v>
      </c>
      <c r="C252" s="6" t="s">
        <v>11</v>
      </c>
      <c r="D252" s="7" t="s">
        <v>914</v>
      </c>
      <c r="E252" s="8" t="s">
        <v>915</v>
      </c>
      <c r="F252" s="6" t="s">
        <v>916</v>
      </c>
      <c r="G252" s="9">
        <f>IF(A252=1,"_",IF(C252="_","???",C252))</f>
        <v/>
      </c>
      <c r="H252" s="10" t="s">
        <v>11</v>
      </c>
      <c r="I252" s="11" t="s">
        <v>11</v>
      </c>
      <c r="J252" s="12"/>
    </row>
    <row r="253" spans="1:10" ht="60" customHeight="1">
      <c r="A253" s="6" t="s">
        <v>917</v>
      </c>
      <c r="B253" s="6" t="s">
        <v>10</v>
      </c>
      <c r="C253" s="6" t="s">
        <v>11</v>
      </c>
      <c r="D253" s="7" t="s">
        <v>275</v>
      </c>
      <c r="E253" s="8" t="s">
        <v>918</v>
      </c>
      <c r="F253" s="6" t="s">
        <v>919</v>
      </c>
      <c r="G253" s="9">
        <f>IF(A253=1,"_",IF(C253="_","???",C253))</f>
        <v/>
      </c>
      <c r="H253" s="10" t="s">
        <v>11</v>
      </c>
      <c r="I253" s="11" t="s">
        <v>11</v>
      </c>
      <c r="J253" s="12"/>
    </row>
    <row r="254" spans="1:10" ht="60" customHeight="1">
      <c r="A254" s="6" t="s">
        <v>920</v>
      </c>
      <c r="B254" s="6" t="s">
        <v>10</v>
      </c>
      <c r="C254" s="6" t="s">
        <v>11</v>
      </c>
      <c r="D254" s="7" t="s">
        <v>921</v>
      </c>
      <c r="E254" s="8" t="s">
        <v>922</v>
      </c>
      <c r="F254" s="6" t="s">
        <v>923</v>
      </c>
      <c r="G254" s="9">
        <f>IF(A254=1,"_",IF(C254="_","???",C254))</f>
        <v/>
      </c>
      <c r="H254" s="10" t="s">
        <v>11</v>
      </c>
      <c r="I254" s="11" t="s">
        <v>11</v>
      </c>
      <c r="J254" s="12"/>
    </row>
    <row r="255" spans="1:10" ht="60" customHeight="1">
      <c r="A255" s="6" t="s">
        <v>924</v>
      </c>
      <c r="B255" s="6" t="s">
        <v>16</v>
      </c>
      <c r="C255" s="6" t="s">
        <v>11</v>
      </c>
      <c r="D255" s="7" t="s">
        <v>126</v>
      </c>
      <c r="E255" s="8" t="s">
        <v>925</v>
      </c>
      <c r="F255" s="6" t="s">
        <v>926</v>
      </c>
      <c r="G255" s="9">
        <f>IF(A255=1,"_",IF(C255="_","???",C255))</f>
        <v/>
      </c>
      <c r="H255" s="10" t="s">
        <v>11</v>
      </c>
      <c r="I255" s="11" t="s">
        <v>11</v>
      </c>
      <c r="J255" s="12"/>
    </row>
    <row r="256" spans="1:10" ht="60" customHeight="1">
      <c r="A256" s="6" t="s">
        <v>927</v>
      </c>
      <c r="B256" s="6" t="s">
        <v>15</v>
      </c>
      <c r="C256" s="6" t="s">
        <v>11</v>
      </c>
      <c r="D256" s="7" t="s">
        <v>928</v>
      </c>
      <c r="E256" s="8" t="s">
        <v>929</v>
      </c>
      <c r="F256" s="6" t="s">
        <v>930</v>
      </c>
      <c r="G256" s="9">
        <f>IF(A256=1,"_",IF(C256="_","???",C256))</f>
        <v/>
      </c>
      <c r="H256" s="10" t="s">
        <v>11</v>
      </c>
      <c r="I256" s="11" t="s">
        <v>11</v>
      </c>
      <c r="J256" s="12"/>
    </row>
    <row r="257" spans="1:10" ht="60" customHeight="1">
      <c r="A257" s="6" t="s">
        <v>931</v>
      </c>
      <c r="B257" s="6" t="s">
        <v>59</v>
      </c>
      <c r="C257" s="6" t="s">
        <v>11</v>
      </c>
      <c r="D257" s="7" t="s">
        <v>932</v>
      </c>
      <c r="E257" s="8" t="s">
        <v>933</v>
      </c>
      <c r="F257" s="6" t="s">
        <v>934</v>
      </c>
      <c r="G257" s="9">
        <f>IF(A257=1,"_",IF(C257="_","???",C257))</f>
        <v/>
      </c>
      <c r="H257" s="10" t="s">
        <v>11</v>
      </c>
      <c r="I257" s="11" t="s">
        <v>11</v>
      </c>
      <c r="J257" s="12"/>
    </row>
    <row r="258" spans="1:10" ht="60" customHeight="1">
      <c r="A258" s="6" t="s">
        <v>935</v>
      </c>
      <c r="B258" s="6" t="s">
        <v>10</v>
      </c>
      <c r="C258" s="6" t="s">
        <v>11</v>
      </c>
      <c r="D258" s="7" t="s">
        <v>889</v>
      </c>
      <c r="E258" s="8" t="s">
        <v>936</v>
      </c>
      <c r="F258" s="6" t="s">
        <v>937</v>
      </c>
      <c r="G258" s="9">
        <f>IF(A258=1,"_",IF(C258="_","???",C258))</f>
        <v/>
      </c>
      <c r="H258" s="10" t="s">
        <v>11</v>
      </c>
      <c r="I258" s="11" t="s">
        <v>11</v>
      </c>
      <c r="J258" s="12"/>
    </row>
    <row r="259" spans="1:10" ht="60" customHeight="1">
      <c r="A259" s="6" t="s">
        <v>938</v>
      </c>
      <c r="B259" s="6" t="s">
        <v>15</v>
      </c>
      <c r="C259" s="6" t="s">
        <v>11</v>
      </c>
      <c r="D259" s="7" t="s">
        <v>126</v>
      </c>
      <c r="E259" s="8" t="s">
        <v>939</v>
      </c>
      <c r="F259" s="6" t="s">
        <v>940</v>
      </c>
      <c r="G259" s="9">
        <f>IF(A259=1,"_",IF(C259="_","???",C259))</f>
        <v/>
      </c>
      <c r="H259" s="10" t="s">
        <v>11</v>
      </c>
      <c r="I259" s="11" t="s">
        <v>11</v>
      </c>
      <c r="J259" s="12"/>
    </row>
    <row r="260" spans="1:10" ht="60" customHeight="1">
      <c r="A260" s="6" t="s">
        <v>941</v>
      </c>
      <c r="B260" s="6" t="s">
        <v>15</v>
      </c>
      <c r="C260" s="6" t="s">
        <v>11</v>
      </c>
      <c r="D260" s="7" t="s">
        <v>316</v>
      </c>
      <c r="E260" s="8" t="s">
        <v>942</v>
      </c>
      <c r="F260" s="6" t="s">
        <v>943</v>
      </c>
      <c r="G260" s="9">
        <f>IF(A260=1,"_",IF(C260="_","???",C260))</f>
        <v/>
      </c>
      <c r="H260" s="10" t="s">
        <v>11</v>
      </c>
      <c r="I260" s="11" t="s">
        <v>11</v>
      </c>
      <c r="J260" s="12"/>
    </row>
    <row r="261" spans="1:10" ht="60" customHeight="1">
      <c r="A261" s="6" t="s">
        <v>944</v>
      </c>
      <c r="B261" s="6" t="s">
        <v>15</v>
      </c>
      <c r="C261" s="6" t="s">
        <v>11</v>
      </c>
      <c r="D261" s="7" t="s">
        <v>44</v>
      </c>
      <c r="E261" s="8" t="s">
        <v>945</v>
      </c>
      <c r="F261" s="6" t="s">
        <v>946</v>
      </c>
      <c r="G261" s="9">
        <f>IF(A261=1,"_",IF(C261="_","???",C261))</f>
        <v/>
      </c>
      <c r="H261" s="10" t="s">
        <v>11</v>
      </c>
      <c r="I261" s="11" t="s">
        <v>11</v>
      </c>
      <c r="J261" s="12"/>
    </row>
    <row r="262" spans="1:10" ht="60" customHeight="1">
      <c r="A262" s="6" t="s">
        <v>947</v>
      </c>
      <c r="B262" s="6" t="s">
        <v>15</v>
      </c>
      <c r="C262" s="6" t="s">
        <v>11</v>
      </c>
      <c r="D262" s="7" t="s">
        <v>316</v>
      </c>
      <c r="E262" s="8" t="s">
        <v>948</v>
      </c>
      <c r="F262" s="6" t="s">
        <v>949</v>
      </c>
      <c r="G262" s="9">
        <f>IF(A262=1,"_",IF(C262="_","???",C262))</f>
        <v/>
      </c>
      <c r="H262" s="10" t="s">
        <v>11</v>
      </c>
      <c r="I262" s="11" t="s">
        <v>11</v>
      </c>
      <c r="J262" s="12"/>
    </row>
    <row r="263" spans="1:10" ht="60" customHeight="1">
      <c r="A263" s="6" t="s">
        <v>950</v>
      </c>
      <c r="B263" s="6" t="s">
        <v>20</v>
      </c>
      <c r="C263" s="6" t="s">
        <v>11</v>
      </c>
      <c r="D263" s="7" t="s">
        <v>60</v>
      </c>
      <c r="E263" s="8" t="s">
        <v>951</v>
      </c>
      <c r="F263" s="6" t="s">
        <v>952</v>
      </c>
      <c r="G263" s="9">
        <f>IF(A263=1,"_",IF(C263="_","???",C263))</f>
        <v/>
      </c>
      <c r="H263" s="10" t="s">
        <v>11</v>
      </c>
      <c r="I263" s="11" t="s">
        <v>11</v>
      </c>
      <c r="J263" s="12"/>
    </row>
    <row r="264" spans="1:10" ht="60" customHeight="1">
      <c r="A264" s="6" t="s">
        <v>953</v>
      </c>
      <c r="B264" s="6" t="s">
        <v>16</v>
      </c>
      <c r="C264" s="6" t="s">
        <v>11</v>
      </c>
      <c r="D264" s="7" t="s">
        <v>954</v>
      </c>
      <c r="E264" s="8" t="s">
        <v>955</v>
      </c>
      <c r="F264" s="6" t="s">
        <v>956</v>
      </c>
      <c r="G264" s="9">
        <f>IF(A264=1,"_",IF(C264="_","???",C264))</f>
        <v/>
      </c>
      <c r="H264" s="10" t="s">
        <v>11</v>
      </c>
      <c r="I264" s="11" t="s">
        <v>11</v>
      </c>
      <c r="J264" s="12"/>
    </row>
    <row r="265" spans="1:10" ht="60" customHeight="1">
      <c r="A265" s="6" t="s">
        <v>957</v>
      </c>
      <c r="B265" s="6" t="s">
        <v>115</v>
      </c>
      <c r="C265" s="6" t="s">
        <v>11</v>
      </c>
      <c r="D265" s="7" t="s">
        <v>60</v>
      </c>
      <c r="E265" s="8" t="s">
        <v>958</v>
      </c>
      <c r="F265" s="6" t="s">
        <v>959</v>
      </c>
      <c r="G265" s="9">
        <f>IF(A265=1,"_",IF(C265="_","???",C265))</f>
        <v/>
      </c>
      <c r="H265" s="10" t="s">
        <v>11</v>
      </c>
      <c r="I265" s="11" t="s">
        <v>11</v>
      </c>
      <c r="J265" s="12"/>
    </row>
    <row r="266" spans="1:10" ht="60" customHeight="1">
      <c r="A266" s="6" t="s">
        <v>960</v>
      </c>
      <c r="B266" s="6" t="s">
        <v>27</v>
      </c>
      <c r="C266" s="6" t="s">
        <v>11</v>
      </c>
      <c r="D266" s="7" t="s">
        <v>961</v>
      </c>
      <c r="E266" s="8" t="s">
        <v>962</v>
      </c>
      <c r="F266" s="6" t="s">
        <v>963</v>
      </c>
      <c r="G266" s="9">
        <f>IF(A266=1,"_",IF(C266="_","???",C266))</f>
        <v/>
      </c>
      <c r="H266" s="10" t="s">
        <v>11</v>
      </c>
      <c r="I266" s="11" t="s">
        <v>11</v>
      </c>
      <c r="J266" s="12"/>
    </row>
    <row r="267" spans="1:10" ht="60" customHeight="1">
      <c r="A267" s="6" t="s">
        <v>964</v>
      </c>
      <c r="B267" s="6" t="s">
        <v>43</v>
      </c>
      <c r="C267" s="6" t="s">
        <v>11</v>
      </c>
      <c r="D267" s="7" t="s">
        <v>965</v>
      </c>
      <c r="E267" s="8" t="s">
        <v>966</v>
      </c>
      <c r="F267" s="6" t="s">
        <v>967</v>
      </c>
      <c r="G267" s="9">
        <f>IF(A267=1,"_",IF(C267="_","???",C267))</f>
        <v/>
      </c>
      <c r="H267" s="10" t="s">
        <v>11</v>
      </c>
      <c r="I267" s="11" t="s">
        <v>11</v>
      </c>
      <c r="J267" s="12"/>
    </row>
    <row r="268" spans="1:10" ht="60" customHeight="1">
      <c r="A268" s="6" t="s">
        <v>968</v>
      </c>
      <c r="B268" s="6" t="s">
        <v>31</v>
      </c>
      <c r="C268" s="6" t="s">
        <v>11</v>
      </c>
      <c r="D268" s="7" t="s">
        <v>969</v>
      </c>
      <c r="E268" s="8" t="s">
        <v>970</v>
      </c>
      <c r="F268" s="6" t="s">
        <v>971</v>
      </c>
      <c r="G268" s="9">
        <f>IF(A268=1,"_",IF(C268="_","???",C268))</f>
        <v/>
      </c>
      <c r="H268" s="10" t="s">
        <v>11</v>
      </c>
      <c r="I268" s="11" t="s">
        <v>11</v>
      </c>
      <c r="J268" s="12"/>
    </row>
    <row r="269" spans="1:10" ht="60" customHeight="1">
      <c r="A269" s="6" t="s">
        <v>972</v>
      </c>
      <c r="B269" s="6" t="s">
        <v>39</v>
      </c>
      <c r="C269" s="6" t="s">
        <v>11</v>
      </c>
      <c r="D269" s="7" t="s">
        <v>969</v>
      </c>
      <c r="E269" s="8" t="s">
        <v>973</v>
      </c>
      <c r="F269" s="6" t="s">
        <v>974</v>
      </c>
      <c r="G269" s="9">
        <f>IF(A269=1,"_",IF(C269="_","???",C269))</f>
        <v/>
      </c>
      <c r="H269" s="10" t="s">
        <v>11</v>
      </c>
      <c r="I269" s="11" t="s">
        <v>11</v>
      </c>
      <c r="J269" s="12"/>
    </row>
    <row r="270" spans="1:10" ht="60" customHeight="1">
      <c r="A270" s="6" t="s">
        <v>975</v>
      </c>
      <c r="B270" s="6" t="s">
        <v>20</v>
      </c>
      <c r="C270" s="6" t="s">
        <v>11</v>
      </c>
      <c r="D270" s="7" t="s">
        <v>126</v>
      </c>
      <c r="E270" s="8" t="s">
        <v>976</v>
      </c>
      <c r="F270" s="6" t="s">
        <v>977</v>
      </c>
      <c r="G270" s="9">
        <f>IF(A270=1,"_",IF(C270="_","???",C270))</f>
        <v/>
      </c>
      <c r="H270" s="10" t="s">
        <v>11</v>
      </c>
      <c r="I270" s="11" t="s">
        <v>11</v>
      </c>
      <c r="J270" s="12"/>
    </row>
    <row r="271" spans="1:10" ht="60" customHeight="1">
      <c r="A271" s="6" t="s">
        <v>978</v>
      </c>
      <c r="B271" s="6" t="s">
        <v>15</v>
      </c>
      <c r="C271" s="6" t="s">
        <v>11</v>
      </c>
      <c r="D271" s="7" t="s">
        <v>12</v>
      </c>
      <c r="E271" s="8" t="s">
        <v>979</v>
      </c>
      <c r="F271" s="6" t="s">
        <v>980</v>
      </c>
      <c r="G271" s="9">
        <f>IF(A271=1,"_",IF(C271="_","???",C271))</f>
        <v/>
      </c>
      <c r="H271" s="10" t="s">
        <v>11</v>
      </c>
      <c r="I271" s="11" t="s">
        <v>11</v>
      </c>
      <c r="J271" s="12"/>
    </row>
    <row r="272" spans="1:10" ht="60" customHeight="1">
      <c r="A272" s="6" t="s">
        <v>981</v>
      </c>
      <c r="B272" s="6" t="s">
        <v>15</v>
      </c>
      <c r="C272" s="6" t="s">
        <v>11</v>
      </c>
      <c r="D272" s="7" t="s">
        <v>982</v>
      </c>
      <c r="E272" s="8" t="s">
        <v>983</v>
      </c>
      <c r="F272" s="6" t="s">
        <v>984</v>
      </c>
      <c r="G272" s="9">
        <f>IF(A272=1,"_",IF(C272="_","???",C272))</f>
        <v/>
      </c>
      <c r="H272" s="10" t="s">
        <v>11</v>
      </c>
      <c r="I272" s="11" t="s">
        <v>11</v>
      </c>
      <c r="J272" s="12"/>
    </row>
    <row r="273" spans="1:10" ht="60" customHeight="1">
      <c r="A273" s="6" t="s">
        <v>985</v>
      </c>
      <c r="B273" s="6" t="s">
        <v>112</v>
      </c>
      <c r="C273" s="6" t="s">
        <v>11</v>
      </c>
      <c r="D273" s="7" t="s">
        <v>126</v>
      </c>
      <c r="E273" s="8" t="s">
        <v>986</v>
      </c>
      <c r="F273" s="6" t="s">
        <v>987</v>
      </c>
      <c r="G273" s="9">
        <f>IF(A273=1,"_",IF(C273="_","???",C273))</f>
        <v/>
      </c>
      <c r="H273" s="10" t="s">
        <v>11</v>
      </c>
      <c r="I273" s="11" t="s">
        <v>11</v>
      </c>
      <c r="J273" s="12"/>
    </row>
    <row r="274" spans="1:10" ht="60" customHeight="1">
      <c r="A274" s="6" t="s">
        <v>988</v>
      </c>
      <c r="B274" s="6" t="s">
        <v>15</v>
      </c>
      <c r="C274" s="6" t="s">
        <v>11</v>
      </c>
      <c r="D274" s="7" t="s">
        <v>989</v>
      </c>
      <c r="E274" s="8" t="s">
        <v>990</v>
      </c>
      <c r="F274" s="6" t="s">
        <v>991</v>
      </c>
      <c r="G274" s="9">
        <f>IF(A274=1,"_",IF(C274="_","???",C274))</f>
        <v/>
      </c>
      <c r="H274" s="10" t="s">
        <v>11</v>
      </c>
      <c r="I274" s="11" t="s">
        <v>11</v>
      </c>
      <c r="J274" s="12"/>
    </row>
    <row r="275" spans="1:10" ht="60" customHeight="1">
      <c r="A275" s="6" t="s">
        <v>992</v>
      </c>
      <c r="B275" s="6" t="s">
        <v>31</v>
      </c>
      <c r="C275" s="6" t="s">
        <v>11</v>
      </c>
      <c r="D275" s="7" t="s">
        <v>993</v>
      </c>
      <c r="E275" s="8" t="s">
        <v>994</v>
      </c>
      <c r="F275" s="6" t="s">
        <v>995</v>
      </c>
      <c r="G275" s="9">
        <f>IF(A275=1,"_",IF(C275="_","???",C275))</f>
        <v/>
      </c>
      <c r="H275" s="10" t="s">
        <v>11</v>
      </c>
      <c r="I275" s="11" t="s">
        <v>11</v>
      </c>
      <c r="J275" s="12"/>
    </row>
    <row r="276" spans="1:10" ht="60" customHeight="1">
      <c r="A276" s="6" t="s">
        <v>996</v>
      </c>
      <c r="B276" s="6" t="s">
        <v>47</v>
      </c>
      <c r="C276" s="6" t="s">
        <v>11</v>
      </c>
      <c r="D276" s="7" t="s">
        <v>997</v>
      </c>
      <c r="E276" s="8" t="s">
        <v>998</v>
      </c>
      <c r="F276" s="6" t="s">
        <v>999</v>
      </c>
      <c r="G276" s="9">
        <f>IF(A276=1,"_",IF(C276="_","???",C276))</f>
        <v/>
      </c>
      <c r="H276" s="10" t="s">
        <v>11</v>
      </c>
      <c r="I276" s="11" t="s">
        <v>11</v>
      </c>
      <c r="J276" s="12"/>
    </row>
    <row r="277" spans="1:10" ht="60" customHeight="1">
      <c r="A277" s="6" t="s">
        <v>1000</v>
      </c>
      <c r="B277" s="6" t="s">
        <v>20</v>
      </c>
      <c r="C277" s="6" t="s">
        <v>11</v>
      </c>
      <c r="D277" s="7" t="s">
        <v>1001</v>
      </c>
      <c r="E277" s="8" t="s">
        <v>1002</v>
      </c>
      <c r="F277" s="6" t="s">
        <v>1003</v>
      </c>
      <c r="G277" s="9">
        <f>IF(A277=1,"_",IF(C277="_","???",C277))</f>
        <v/>
      </c>
      <c r="H277" s="10" t="s">
        <v>11</v>
      </c>
      <c r="I277" s="11" t="s">
        <v>11</v>
      </c>
      <c r="J277" s="12"/>
    </row>
    <row r="278" spans="1:10" ht="60" customHeight="1">
      <c r="A278" s="6" t="s">
        <v>1004</v>
      </c>
      <c r="B278" s="6" t="s">
        <v>16</v>
      </c>
      <c r="C278" s="6" t="s">
        <v>11</v>
      </c>
      <c r="D278" s="7" t="s">
        <v>275</v>
      </c>
      <c r="E278" s="8" t="s">
        <v>1005</v>
      </c>
      <c r="F278" s="6" t="s">
        <v>1006</v>
      </c>
      <c r="G278" s="9">
        <f>IF(A278=1,"_",IF(C278="_","???",C278))</f>
        <v/>
      </c>
      <c r="H278" s="10" t="s">
        <v>11</v>
      </c>
      <c r="I278" s="11" t="s">
        <v>11</v>
      </c>
      <c r="J278" s="12"/>
    </row>
    <row r="279" spans="1:10" ht="60" customHeight="1">
      <c r="A279" s="6" t="s">
        <v>1007</v>
      </c>
      <c r="B279" s="6" t="s">
        <v>27</v>
      </c>
      <c r="C279" s="6" t="s">
        <v>11</v>
      </c>
      <c r="D279" s="7" t="s">
        <v>1008</v>
      </c>
      <c r="E279" s="8" t="s">
        <v>1009</v>
      </c>
      <c r="F279" s="6" t="s">
        <v>1010</v>
      </c>
      <c r="G279" s="9">
        <f>IF(A279=1,"_",IF(C279="_","???",C279))</f>
        <v/>
      </c>
      <c r="H279" s="10" t="s">
        <v>11</v>
      </c>
      <c r="I279" s="11" t="s">
        <v>11</v>
      </c>
      <c r="J279" s="12"/>
    </row>
    <row r="280" spans="1:10" ht="60" customHeight="1">
      <c r="A280" s="6" t="s">
        <v>1011</v>
      </c>
      <c r="B280" s="6" t="s">
        <v>15</v>
      </c>
      <c r="C280" s="6" t="s">
        <v>11</v>
      </c>
      <c r="D280" s="7" t="s">
        <v>1012</v>
      </c>
      <c r="E280" s="8" t="s">
        <v>1013</v>
      </c>
      <c r="F280" s="6" t="s">
        <v>1014</v>
      </c>
      <c r="G280" s="9">
        <f>IF(A280=1,"_",IF(C280="_","???",C280))</f>
        <v/>
      </c>
      <c r="H280" s="10" t="s">
        <v>11</v>
      </c>
      <c r="I280" s="11" t="s">
        <v>11</v>
      </c>
      <c r="J280" s="12"/>
    </row>
    <row r="281" spans="1:10" ht="60" customHeight="1">
      <c r="A281" s="6" t="s">
        <v>1015</v>
      </c>
      <c r="B281" s="6" t="s">
        <v>16</v>
      </c>
      <c r="C281" s="6" t="s">
        <v>11</v>
      </c>
      <c r="D281" s="7" t="s">
        <v>101</v>
      </c>
      <c r="E281" s="8" t="s">
        <v>1016</v>
      </c>
      <c r="F281" s="6" t="s">
        <v>1017</v>
      </c>
      <c r="G281" s="9">
        <f>IF(A281=1,"_",IF(C281="_","???",C281))</f>
        <v/>
      </c>
      <c r="H281" s="10" t="s">
        <v>11</v>
      </c>
      <c r="I281" s="11" t="s">
        <v>11</v>
      </c>
      <c r="J281" s="12"/>
    </row>
    <row r="282" spans="1:10" ht="60" customHeight="1">
      <c r="A282" s="6" t="s">
        <v>1018</v>
      </c>
      <c r="B282" s="6" t="s">
        <v>20</v>
      </c>
      <c r="C282" s="6" t="s">
        <v>11</v>
      </c>
      <c r="D282" s="7" t="s">
        <v>737</v>
      </c>
      <c r="E282" s="8" t="s">
        <v>1019</v>
      </c>
      <c r="F282" s="6" t="s">
        <v>1020</v>
      </c>
      <c r="G282" s="9">
        <f>IF(A282=1,"_",IF(C282="_","???",C282))</f>
        <v/>
      </c>
      <c r="H282" s="10" t="s">
        <v>11</v>
      </c>
      <c r="I282" s="11" t="s">
        <v>11</v>
      </c>
      <c r="J282" s="12"/>
    </row>
    <row r="283" spans="1:10" ht="60" customHeight="1">
      <c r="A283" s="6" t="s">
        <v>1021</v>
      </c>
      <c r="B283" s="6" t="s">
        <v>16</v>
      </c>
      <c r="C283" s="6" t="s">
        <v>11</v>
      </c>
      <c r="D283" s="7" t="s">
        <v>1022</v>
      </c>
      <c r="E283" s="8" t="s">
        <v>1023</v>
      </c>
      <c r="F283" s="6" t="s">
        <v>1024</v>
      </c>
      <c r="G283" s="9">
        <f>IF(A283=1,"_",IF(C283="_","???",C283))</f>
        <v/>
      </c>
      <c r="H283" s="10" t="s">
        <v>11</v>
      </c>
      <c r="I283" s="11" t="s">
        <v>11</v>
      </c>
      <c r="J283" s="12"/>
    </row>
    <row r="284" spans="1:10" ht="60" customHeight="1">
      <c r="A284" s="6" t="s">
        <v>1025</v>
      </c>
      <c r="B284" s="6" t="s">
        <v>43</v>
      </c>
      <c r="C284" s="6" t="s">
        <v>11</v>
      </c>
      <c r="D284" s="7" t="s">
        <v>271</v>
      </c>
      <c r="E284" s="8" t="s">
        <v>1026</v>
      </c>
      <c r="F284" s="6" t="s">
        <v>1027</v>
      </c>
      <c r="G284" s="9">
        <f>IF(A284=1,"_",IF(C284="_","???",C284))</f>
        <v/>
      </c>
      <c r="H284" s="10" t="s">
        <v>11</v>
      </c>
      <c r="I284" s="11" t="s">
        <v>11</v>
      </c>
      <c r="J284" s="12"/>
    </row>
    <row r="285" spans="1:10" ht="60" customHeight="1">
      <c r="A285" s="6" t="s">
        <v>1028</v>
      </c>
      <c r="B285" s="6" t="s">
        <v>35</v>
      </c>
      <c r="C285" s="6" t="s">
        <v>11</v>
      </c>
      <c r="D285" s="7" t="s">
        <v>77</v>
      </c>
      <c r="E285" s="8" t="s">
        <v>1029</v>
      </c>
      <c r="F285" s="6" t="s">
        <v>1030</v>
      </c>
      <c r="G285" s="9">
        <f>IF(A285=1,"_",IF(C285="_","???",C285))</f>
        <v/>
      </c>
      <c r="H285" s="10" t="s">
        <v>11</v>
      </c>
      <c r="I285" s="11" t="s">
        <v>11</v>
      </c>
      <c r="J285" s="12"/>
    </row>
    <row r="286" spans="1:10" ht="60" customHeight="1">
      <c r="A286" s="6" t="s">
        <v>1031</v>
      </c>
      <c r="B286" s="6" t="s">
        <v>39</v>
      </c>
      <c r="C286" s="6" t="s">
        <v>11</v>
      </c>
      <c r="D286" s="7" t="s">
        <v>1032</v>
      </c>
      <c r="E286" s="8" t="s">
        <v>1033</v>
      </c>
      <c r="F286" s="6" t="s">
        <v>1034</v>
      </c>
      <c r="G286" s="9">
        <f>IF(A286=1,"_",IF(C286="_","???",C286))</f>
        <v/>
      </c>
      <c r="H286" s="10" t="s">
        <v>11</v>
      </c>
      <c r="I286" s="11" t="s">
        <v>11</v>
      </c>
      <c r="J286" s="12"/>
    </row>
    <row r="287" spans="1:10" ht="60" customHeight="1">
      <c r="A287" s="6" t="s">
        <v>1035</v>
      </c>
      <c r="B287" s="6" t="s">
        <v>10</v>
      </c>
      <c r="C287" s="6" t="s">
        <v>11</v>
      </c>
      <c r="D287" s="7" t="s">
        <v>12</v>
      </c>
      <c r="E287" s="8" t="s">
        <v>1036</v>
      </c>
      <c r="F287" s="6" t="s">
        <v>1037</v>
      </c>
      <c r="G287" s="9">
        <f>IF(A287=1,"_",IF(C287="_","???",C287))</f>
        <v/>
      </c>
      <c r="H287" s="10" t="s">
        <v>11</v>
      </c>
      <c r="I287" s="11" t="s">
        <v>11</v>
      </c>
      <c r="J287" s="12"/>
    </row>
    <row r="288" spans="1:10" ht="60" customHeight="1">
      <c r="A288" s="6" t="s">
        <v>1038</v>
      </c>
      <c r="B288" s="6" t="s">
        <v>10</v>
      </c>
      <c r="C288" s="6" t="s">
        <v>11</v>
      </c>
      <c r="D288" s="7" t="s">
        <v>312</v>
      </c>
      <c r="E288" s="8" t="s">
        <v>1039</v>
      </c>
      <c r="F288" s="6" t="s">
        <v>1040</v>
      </c>
      <c r="G288" s="9">
        <f>IF(A288=1,"_",IF(C288="_","???",C288))</f>
        <v/>
      </c>
      <c r="H288" s="10" t="s">
        <v>11</v>
      </c>
      <c r="I288" s="11" t="s">
        <v>11</v>
      </c>
      <c r="J288" s="12"/>
    </row>
    <row r="289" spans="1:10" ht="60" customHeight="1">
      <c r="A289" s="6" t="s">
        <v>1041</v>
      </c>
      <c r="B289" s="6" t="s">
        <v>10</v>
      </c>
      <c r="C289" s="6" t="s">
        <v>11</v>
      </c>
      <c r="D289" s="7" t="s">
        <v>305</v>
      </c>
      <c r="E289" s="8" t="s">
        <v>1042</v>
      </c>
      <c r="F289" s="6" t="s">
        <v>1043</v>
      </c>
      <c r="G289" s="9">
        <f>IF(A289=1,"_",IF(C289="_","???",C289))</f>
        <v/>
      </c>
      <c r="H289" s="10" t="s">
        <v>11</v>
      </c>
      <c r="I289" s="11" t="s">
        <v>11</v>
      </c>
      <c r="J289" s="12"/>
    </row>
    <row r="290" spans="1:10" ht="60" customHeight="1">
      <c r="A290" s="6" t="s">
        <v>1044</v>
      </c>
      <c r="B290" s="6" t="s">
        <v>10</v>
      </c>
      <c r="C290" s="6" t="s">
        <v>11</v>
      </c>
      <c r="D290" s="7" t="s">
        <v>1045</v>
      </c>
      <c r="E290" s="8" t="s">
        <v>1046</v>
      </c>
      <c r="F290" s="6" t="s">
        <v>1047</v>
      </c>
      <c r="G290" s="9">
        <f>IF(A290=1,"_",IF(C290="_","???",C290))</f>
        <v/>
      </c>
      <c r="H290" s="10" t="s">
        <v>11</v>
      </c>
      <c r="I290" s="11" t="s">
        <v>11</v>
      </c>
      <c r="J290" s="12"/>
    </row>
    <row r="291" spans="1:10" ht="60" customHeight="1">
      <c r="A291" s="6" t="s">
        <v>1048</v>
      </c>
      <c r="B291" s="6" t="s">
        <v>10</v>
      </c>
      <c r="C291" s="6" t="s">
        <v>11</v>
      </c>
      <c r="D291" s="7" t="s">
        <v>1045</v>
      </c>
      <c r="E291" s="8" t="s">
        <v>1049</v>
      </c>
      <c r="F291" s="6" t="s">
        <v>1050</v>
      </c>
      <c r="G291" s="9">
        <f>IF(A291=1,"_",IF(C291="_","???",C291))</f>
        <v/>
      </c>
      <c r="H291" s="10" t="s">
        <v>11</v>
      </c>
      <c r="I291" s="11" t="s">
        <v>11</v>
      </c>
      <c r="J291" s="12"/>
    </row>
    <row r="292" spans="1:10" ht="60" customHeight="1">
      <c r="A292" s="6" t="s">
        <v>1051</v>
      </c>
      <c r="B292" s="6" t="s">
        <v>10</v>
      </c>
      <c r="C292" s="6" t="s">
        <v>11</v>
      </c>
      <c r="D292" s="7" t="s">
        <v>305</v>
      </c>
      <c r="E292" s="8" t="s">
        <v>1052</v>
      </c>
      <c r="F292" s="6" t="s">
        <v>1053</v>
      </c>
      <c r="G292" s="9">
        <f>IF(A292=1,"_",IF(C292="_","???",C292))</f>
        <v/>
      </c>
      <c r="H292" s="10" t="s">
        <v>11</v>
      </c>
      <c r="I292" s="11" t="s">
        <v>11</v>
      </c>
      <c r="J292" s="12"/>
    </row>
    <row r="293" spans="1:10" ht="60" customHeight="1">
      <c r="A293" s="6" t="s">
        <v>1054</v>
      </c>
      <c r="B293" s="6" t="s">
        <v>10</v>
      </c>
      <c r="C293" s="6" t="s">
        <v>11</v>
      </c>
      <c r="D293" s="7" t="s">
        <v>1055</v>
      </c>
      <c r="E293" s="8" t="s">
        <v>1056</v>
      </c>
      <c r="F293" s="6" t="s">
        <v>1057</v>
      </c>
      <c r="G293" s="9">
        <f>IF(A293=1,"_",IF(C293="_","???",C293))</f>
        <v/>
      </c>
      <c r="H293" s="10" t="s">
        <v>11</v>
      </c>
      <c r="I293" s="11" t="s">
        <v>11</v>
      </c>
      <c r="J29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17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1058</v>
      </c>
      <c r="B1" s="13" t="s">
        <v>1059</v>
      </c>
      <c r="C1" s="13" t="s">
        <v>1060</v>
      </c>
      <c r="D1" s="13" t="s">
        <v>1061</v>
      </c>
      <c r="E1" s="14" t="s">
        <v>1062</v>
      </c>
      <c r="F1" s="15" t="s">
        <v>1063</v>
      </c>
      <c r="G1" s="16" t="s">
        <v>1064</v>
      </c>
      <c r="H1" s="17" t="s">
        <v>1065</v>
      </c>
      <c r="I1" s="18" t="s">
        <v>1066</v>
      </c>
      <c r="J1" s="18" t="s">
        <v>1067</v>
      </c>
      <c r="K1" s="18" t="s">
        <v>1068</v>
      </c>
      <c r="L1" s="19" t="s">
        <v>9</v>
      </c>
    </row>
    <row r="2" spans="1:12">
      <c r="A2" s="20" t="s">
        <v>1069</v>
      </c>
    </row>
    <row r="3" spans="1:12">
      <c r="A3" s="20" t="s">
        <v>1070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1071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1072</v>
      </c>
      <c r="B5" s="27" t="s">
        <v>1073</v>
      </c>
      <c r="C5" s="27" t="s">
        <v>1074</v>
      </c>
      <c r="D5" s="27" t="s">
        <v>1075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1076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1077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1078</v>
      </c>
      <c r="B8" s="27" t="s">
        <v>1079</v>
      </c>
      <c r="C8" s="27" t="s">
        <v>1080</v>
      </c>
      <c r="D8" s="27" t="s">
        <v>1075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1082</v>
      </c>
      <c r="B10" s="27" t="s">
        <v>1083</v>
      </c>
      <c r="C10" s="27" t="s">
        <v>1084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1085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1081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1086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1087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1085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1081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1086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1076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1089</v>
      </c>
      <c r="B20" s="27" t="s">
        <v>1090</v>
      </c>
      <c r="C20" s="27" t="s">
        <v>1084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1088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1091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1092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1093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1094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1095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1096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1097</v>
      </c>
      <c r="B28" s="27" t="s">
        <v>1098</v>
      </c>
      <c r="C28" s="27" t="s">
        <v>1080</v>
      </c>
      <c r="D28" s="27" t="s">
        <v>1075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1100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1101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1102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row>
    <row r="34" spans="1:12">
      <c r="A34" s="20" t="s">
        <v>1103</v>
      </c>
    </row>
    <row r="35" spans="1:12">
      <c r="A35" s="20" t="s">
        <v>1104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1105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1106</v>
      </c>
      <c r="B37" s="27" t="s">
        <v>1107</v>
      </c>
      <c r="C37" s="27" t="s">
        <v>1108</v>
      </c>
      <c r="D37" s="27" t="s">
        <v>1075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1109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1110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1087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1112</v>
      </c>
      <c r="B42" s="27" t="s">
        <v>1113</v>
      </c>
      <c r="C42" s="27" t="s">
        <v>1074</v>
      </c>
      <c r="D42" s="27" t="s">
        <v>1075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1087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1094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1071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1114</v>
      </c>
      <c r="B46" s="27" t="s">
        <v>1090</v>
      </c>
      <c r="C46" s="27" t="s">
        <v>1115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1100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1088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1100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1088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1091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1077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1117</v>
      </c>
      <c r="B56" s="27" t="s">
        <v>1118</v>
      </c>
      <c r="C56" s="27" t="s">
        <v>1119</v>
      </c>
      <c r="D56" s="27" t="s">
        <v>1075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1120</v>
      </c>
      <c r="B57" s="27" t="s">
        <v>1121</v>
      </c>
      <c r="C57" s="27" t="s">
        <v>1080</v>
      </c>
      <c r="D57" s="27" t="s">
        <v>1075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1122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1076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1123</v>
      </c>
      <c r="B60" s="27" t="s">
        <v>1121</v>
      </c>
      <c r="C60" s="27" t="s">
        <v>1084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1102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1124</v>
      </c>
    </row>
    <row r="64" spans="1:12">
      <c r="A64" s="20" t="s">
        <v>1125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651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1111</v>
      </c>
      <c r="B66" s="27" t="s">
        <v>1126</v>
      </c>
      <c r="C66" s="27" t="s">
        <v>1127</v>
      </c>
      <c r="D66" s="27" t="s">
        <v>1075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1128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1129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1130</v>
      </c>
      <c r="B69" s="27" t="s">
        <v>1079</v>
      </c>
      <c r="C69" s="27" t="s">
        <v>1115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1131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1076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1100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1132</v>
      </c>
      <c r="B74" s="27" t="s">
        <v>1121</v>
      </c>
      <c r="C74" s="27" t="s">
        <v>1119</v>
      </c>
      <c r="D74" s="27" t="s">
        <v>1075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1133</v>
      </c>
      <c r="B75" s="27" t="s">
        <v>1134</v>
      </c>
      <c r="C75" s="27" t="s">
        <v>1080</v>
      </c>
      <c r="D75" s="27" t="s">
        <v>1075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1135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1111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1136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1137</v>
      </c>
      <c r="B79" s="27" t="s">
        <v>1090</v>
      </c>
      <c r="C79" s="27" t="s">
        <v>1074</v>
      </c>
      <c r="D79" s="27" t="s">
        <v>1075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1138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1139</v>
      </c>
      <c r="B81" s="27" t="s">
        <v>1121</v>
      </c>
      <c r="C81" s="27" t="s">
        <v>1084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1087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1138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1140</v>
      </c>
      <c r="B84" s="27" t="s">
        <v>1121</v>
      </c>
      <c r="C84" s="27" t="s">
        <v>1084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1102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row>
    <row r="87" spans="1:12">
      <c r="A87" s="20" t="s">
        <v>1141</v>
      </c>
    </row>
    <row r="88" spans="1:12">
      <c r="A88" s="20" t="s">
        <v>1142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1143</v>
      </c>
      <c r="B90" s="27" t="s">
        <v>1083</v>
      </c>
      <c r="C90" s="27" t="s">
        <v>1080</v>
      </c>
      <c r="D90" s="27" t="s">
        <v>1075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1144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1100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161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1094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1095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1096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1145</v>
      </c>
      <c r="B97" s="27" t="s">
        <v>1113</v>
      </c>
      <c r="C97" s="27" t="s">
        <v>1080</v>
      </c>
      <c r="D97" s="27" t="s">
        <v>1075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1146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1071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1147</v>
      </c>
      <c r="B100" s="27" t="s">
        <v>1079</v>
      </c>
      <c r="C100" s="27" t="s">
        <v>1115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1087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1071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101</v>
      </c>
      <c r="B103" s="27" t="s">
        <v>1148</v>
      </c>
      <c r="C103" s="27" t="s">
        <v>1115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1087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1071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1149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1150</v>
      </c>
      <c r="B107" s="27" t="s">
        <v>1148</v>
      </c>
      <c r="C107" s="27" t="s">
        <v>1115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1102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row>
    <row r="110" spans="1:12">
      <c r="A110" s="20" t="s">
        <v>1151</v>
      </c>
    </row>
    <row r="111" spans="1:12">
      <c r="A111" s="20" t="s">
        <v>1104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v>
      </c>
      <c r="B112" s="27" t="s">
        <v>1152</v>
      </c>
      <c r="C112" s="27" t="s">
        <v>1127</v>
      </c>
      <c r="D112" s="27" t="s">
        <v>1075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1087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1081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1077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1153</v>
      </c>
      <c r="B116" s="27" t="s">
        <v>1152</v>
      </c>
      <c r="C116" s="27" t="s">
        <v>1080</v>
      </c>
      <c r="D116" s="27" t="s">
        <v>1075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1087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1129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1154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1155</v>
      </c>
      <c r="B120" s="27" t="s">
        <v>1152</v>
      </c>
      <c r="C120" s="27" t="s">
        <v>1115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1156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1087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1157</v>
      </c>
      <c r="B123" s="27" t="s">
        <v>1152</v>
      </c>
      <c r="C123" s="27" t="s">
        <v>1084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1087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1158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1159</v>
      </c>
      <c r="B126" s="27" t="s">
        <v>1152</v>
      </c>
      <c r="C126" s="27" t="s">
        <v>1084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1102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1160</v>
      </c>
    </row>
    <row r="130" spans="1:12">
      <c r="A130" s="20" t="s">
        <v>1125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1161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1095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1129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1162</v>
      </c>
      <c r="B134" s="27" t="s">
        <v>1107</v>
      </c>
      <c r="C134" s="27" t="s">
        <v>1074</v>
      </c>
      <c r="D134" s="27" t="s">
        <v>1075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1076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1100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1163</v>
      </c>
      <c r="B137" s="27" t="s">
        <v>1079</v>
      </c>
      <c r="C137" s="27" t="s">
        <v>1080</v>
      </c>
      <c r="D137" s="27" t="s">
        <v>1075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1081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28</v>
      </c>
      <c r="B139" s="27" t="s">
        <v>1083</v>
      </c>
      <c r="C139" s="27" t="s">
        <v>1127</v>
      </c>
      <c r="D139" s="27" t="s">
        <v>1075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1164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1087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1164</v>
      </c>
      <c r="B142" s="27" t="s">
        <v>1126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1087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1164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1081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1165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1071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1166</v>
      </c>
      <c r="B148" s="27" t="s">
        <v>1126</v>
      </c>
      <c r="C148" s="27" t="s">
        <v>1115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1076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1167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1168</v>
      </c>
      <c r="B152" s="27" t="s">
        <v>1152</v>
      </c>
      <c r="C152" s="27" t="s">
        <v>1169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1102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1170</v>
      </c>
    </row>
    <row r="156" spans="1:12">
      <c r="A156" s="20" t="s">
        <v>1104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1171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1172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1138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1173</v>
      </c>
      <c r="B161" s="27" t="s">
        <v>1126</v>
      </c>
      <c r="C161" s="27" t="s">
        <v>1084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1102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1174</v>
      </c>
    </row>
    <row r="165" spans="1:12">
      <c r="A165" s="20" t="s">
        <v>1175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1100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1176</v>
      </c>
      <c r="B167" s="27" t="s">
        <v>1073</v>
      </c>
      <c r="C167" s="27" t="s">
        <v>1080</v>
      </c>
      <c r="D167" s="27" t="s">
        <v>1075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1177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1138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1178</v>
      </c>
      <c r="B170" s="27" t="s">
        <v>1079</v>
      </c>
      <c r="C170" s="27" t="s">
        <v>1084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1102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row>
    <row r="173" spans="1:12">
      <c r="A173" s="20" t="s">
        <v>1179</v>
      </c>
    </row>
    <row r="174" spans="1:12">
      <c r="A174" s="20" t="s">
        <v>1180</v>
      </c>
      <c r="B174" s="27" t="s">
        <v>1107</v>
      </c>
      <c r="C174" s="27" t="s">
        <v>1181</v>
      </c>
      <c r="D174" s="27" t="s">
        <v>1075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1182</v>
      </c>
      <c r="B175" s="27" t="s">
        <v>1079</v>
      </c>
      <c r="C175" s="27" t="s">
        <v>1181</v>
      </c>
      <c r="D175" s="27" t="s">
        <v>1075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1183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1184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1185</v>
      </c>
      <c r="B178" s="27" t="s">
        <v>1126</v>
      </c>
      <c r="C178" s="27" t="s">
        <v>1127</v>
      </c>
      <c r="D178" s="27" t="s">
        <v>1075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1076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1186</v>
      </c>
      <c r="B180" s="27" t="s">
        <v>1079</v>
      </c>
      <c r="C180" s="27" t="s">
        <v>1084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1102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1187</v>
      </c>
    </row>
    <row r="184" spans="1:12">
      <c r="A184" s="20" t="s">
        <v>48</v>
      </c>
      <c r="B184" s="27" t="s">
        <v>1152</v>
      </c>
      <c r="C184" s="27" t="s">
        <v>1074</v>
      </c>
      <c r="D184" s="27" t="s">
        <v>1075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1076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1129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1188</v>
      </c>
      <c r="B187" s="27" t="s">
        <v>1152</v>
      </c>
      <c r="C187" s="27" t="s">
        <v>1115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1102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1189</v>
      </c>
    </row>
    <row r="191" spans="1:12">
      <c r="A191" s="20" t="s">
        <v>1190</v>
      </c>
      <c r="B191" s="27" t="s">
        <v>1107</v>
      </c>
      <c r="C191" s="27" t="s">
        <v>1074</v>
      </c>
      <c r="D191" s="27" t="s">
        <v>1075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1138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1100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1163</v>
      </c>
      <c r="B194" s="27" t="s">
        <v>1079</v>
      </c>
      <c r="C194" s="27" t="s">
        <v>1074</v>
      </c>
      <c r="D194" s="27" t="s">
        <v>1075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1138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1138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1100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1191</v>
      </c>
      <c r="B199" s="27" t="s">
        <v>1148</v>
      </c>
      <c r="C199" s="27" t="s">
        <v>1080</v>
      </c>
      <c r="D199" s="27" t="s">
        <v>1075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1192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323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1193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1194</v>
      </c>
      <c r="B203" s="27" t="s">
        <v>1073</v>
      </c>
      <c r="C203" s="27" t="s">
        <v>1195</v>
      </c>
      <c r="D203" s="27" t="s">
        <v>1075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1196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row>
    <row r="207" spans="1:12">
      <c r="A207" s="20" t="s">
        <v>1197</v>
      </c>
    </row>
    <row r="208" spans="1:12">
      <c r="A208" s="20" t="s">
        <v>1198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1100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1199</v>
      </c>
      <c r="B210" s="27" t="s">
        <v>1152</v>
      </c>
      <c r="C210" s="27" t="s">
        <v>1127</v>
      </c>
      <c r="D210" s="27" t="s">
        <v>1075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1087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1200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1201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1129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1202</v>
      </c>
      <c r="B216" s="27" t="s">
        <v>1073</v>
      </c>
      <c r="C216" s="27" t="s">
        <v>1115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1203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1087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1071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1138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1096</v>
      </c>
      <c r="B221" s="27" t="s">
        <v>1148</v>
      </c>
      <c r="C221" s="27" t="s">
        <v>1204</v>
      </c>
      <c r="D221" s="27" t="s">
        <v>1075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1092</v>
      </c>
      <c r="B222" s="27" t="s">
        <v>1205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1206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1207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1095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1208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1209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1210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1071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1211</v>
      </c>
      <c r="B230" s="27" t="s">
        <v>1212</v>
      </c>
      <c r="C230" s="27" t="s">
        <v>1074</v>
      </c>
      <c r="D230" s="27" t="s">
        <v>1075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1138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1213</v>
      </c>
      <c r="B232" s="27" t="s">
        <v>1214</v>
      </c>
      <c r="C232" s="27" t="s">
        <v>1084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1102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1215</v>
      </c>
    </row>
    <row r="236" spans="1:12">
      <c r="A236" s="20" t="s">
        <v>1216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1217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1087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1218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1129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1219</v>
      </c>
      <c r="B241" s="27" t="s">
        <v>1073</v>
      </c>
      <c r="C241" s="27" t="s">
        <v>1074</v>
      </c>
      <c r="D241" s="27" t="s">
        <v>1075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1138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1220</v>
      </c>
      <c r="B243" s="27" t="s">
        <v>1079</v>
      </c>
      <c r="C243" s="27" t="s">
        <v>1084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1102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1221</v>
      </c>
    </row>
    <row r="247" spans="1:12">
      <c r="A247" s="20" t="s">
        <v>1222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1132</v>
      </c>
      <c r="B248" s="27" t="s">
        <v>1079</v>
      </c>
      <c r="C248" s="27" t="s">
        <v>1119</v>
      </c>
      <c r="D248" s="27" t="s">
        <v>1075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1223</v>
      </c>
      <c r="B249" s="27" t="s">
        <v>1107</v>
      </c>
      <c r="C249" s="27" t="s">
        <v>1080</v>
      </c>
      <c r="D249" s="27" t="s">
        <v>1075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1224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1087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1129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1225</v>
      </c>
      <c r="B253" s="27" t="s">
        <v>1083</v>
      </c>
      <c r="C253" s="27" t="s">
        <v>1115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1092</v>
      </c>
      <c r="B254" s="27" t="s">
        <v>1134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28</v>
      </c>
      <c r="B255" s="27" t="s">
        <v>1226</v>
      </c>
      <c r="C255" s="27" t="s">
        <v>1127</v>
      </c>
      <c r="D255" s="27" t="s">
        <v>1075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1227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1228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1087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1229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1210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1096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1230</v>
      </c>
      <c r="B262" s="27" t="s">
        <v>1148</v>
      </c>
      <c r="C262" s="27" t="s">
        <v>1181</v>
      </c>
      <c r="D262" s="27" t="s">
        <v>1075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1231</v>
      </c>
      <c r="B263" s="27" t="s">
        <v>1090</v>
      </c>
      <c r="C263" s="27" t="s">
        <v>1181</v>
      </c>
      <c r="D263" s="27" t="s">
        <v>1075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1232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1138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1233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1234</v>
      </c>
      <c r="B267" s="27" t="s">
        <v>1090</v>
      </c>
      <c r="C267" s="27" t="s">
        <v>1074</v>
      </c>
      <c r="D267" s="27" t="s">
        <v>1075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1076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1077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1235</v>
      </c>
      <c r="B270" s="27" t="s">
        <v>1121</v>
      </c>
      <c r="C270" s="27" t="s">
        <v>1080</v>
      </c>
      <c r="D270" s="27" t="s">
        <v>1075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1081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1236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1237</v>
      </c>
      <c r="B273" s="27" t="s">
        <v>1134</v>
      </c>
      <c r="C273" s="27" t="s">
        <v>1127</v>
      </c>
      <c r="D273" s="27" t="s">
        <v>1075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1238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1239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1240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1241</v>
      </c>
      <c r="B277" s="27" t="s">
        <v>1134</v>
      </c>
      <c r="C277" s="27" t="s">
        <v>1195</v>
      </c>
      <c r="D277" s="27" t="s">
        <v>1075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1102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1242</v>
      </c>
    </row>
    <row r="281" spans="1:12">
      <c r="A281" s="20" t="s">
        <v>1243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1076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1244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1087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1245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1234</v>
      </c>
      <c r="B286" s="27" t="s">
        <v>1079</v>
      </c>
      <c r="C286" s="27" t="s">
        <v>1169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1232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1087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1246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1135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1199</v>
      </c>
      <c r="B291" s="27" t="s">
        <v>1073</v>
      </c>
      <c r="C291" s="27" t="s">
        <v>1127</v>
      </c>
      <c r="D291" s="27" t="s">
        <v>1075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1247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1138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1248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1249</v>
      </c>
      <c r="B295" s="27" t="s">
        <v>1079</v>
      </c>
      <c r="C295" s="27" t="s">
        <v>1250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1102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1251</v>
      </c>
    </row>
    <row r="299" spans="1:12">
      <c r="A299" s="20" t="s">
        <v>1252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1253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556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1254</v>
      </c>
      <c r="B302" s="27" t="s">
        <v>1126</v>
      </c>
      <c r="C302" s="27" t="s">
        <v>1250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1138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1111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1255</v>
      </c>
      <c r="B305" s="27" t="s">
        <v>1148</v>
      </c>
      <c r="C305" s="27" t="s">
        <v>1080</v>
      </c>
      <c r="D305" s="27" t="s">
        <v>1075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1092</v>
      </c>
      <c r="B306" s="27" t="s">
        <v>1256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1257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1258</v>
      </c>
      <c r="B308" s="27" t="s">
        <v>1259</v>
      </c>
      <c r="C308" s="27" t="s">
        <v>1127</v>
      </c>
      <c r="D308" s="27" t="s">
        <v>1075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1260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1087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1081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1261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1262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1263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1102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1264</v>
      </c>
    </row>
    <row r="318" spans="1:12">
      <c r="A318" s="20" t="s">
        <v>11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1265</v>
      </c>
      <c r="B319" s="27" t="s">
        <v>1107</v>
      </c>
      <c r="C319" s="27" t="s">
        <v>1074</v>
      </c>
      <c r="D319" s="27" t="s">
        <v>1075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1138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1176</v>
      </c>
      <c r="B321" s="27" t="s">
        <v>1079</v>
      </c>
      <c r="C321" s="27" t="s">
        <v>1084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1261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1192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1266</v>
      </c>
      <c r="B324" s="27" t="s">
        <v>1152</v>
      </c>
      <c r="C324" s="27" t="s">
        <v>1084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1087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1267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1268</v>
      </c>
      <c r="B327" s="27" t="s">
        <v>1152</v>
      </c>
      <c r="C327" s="27" t="s">
        <v>1084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1102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1269</v>
      </c>
    </row>
    <row r="331" spans="1:12">
      <c r="A331" s="20" t="s">
        <v>1270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1268</v>
      </c>
      <c r="B333" s="27" t="s">
        <v>1152</v>
      </c>
      <c r="C333" s="27" t="s">
        <v>1080</v>
      </c>
      <c r="D333" s="27" t="s">
        <v>1075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1092</v>
      </c>
      <c r="B334" s="27" t="s">
        <v>1083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1271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1076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1199</v>
      </c>
      <c r="B337" s="27" t="s">
        <v>1079</v>
      </c>
      <c r="C337" s="27" t="s">
        <v>1127</v>
      </c>
      <c r="D337" s="27" t="s">
        <v>1075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1076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1272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1273</v>
      </c>
      <c r="B340" s="27" t="s">
        <v>1079</v>
      </c>
      <c r="C340" s="27" t="s">
        <v>1195</v>
      </c>
      <c r="D340" s="27" t="s">
        <v>1075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1102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1274</v>
      </c>
    </row>
    <row r="344" spans="1:12">
      <c r="A344" s="20" t="s">
        <v>1275</v>
      </c>
      <c r="B344" s="27" t="s">
        <v>1083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1077</v>
      </c>
      <c r="B345" s="27" t="s">
        <v>1148</v>
      </c>
      <c r="C345" s="27" t="s">
        <v>1204</v>
      </c>
      <c r="D345" s="27" t="s">
        <v>1075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1092</v>
      </c>
      <c r="B346" s="27" t="s">
        <v>1256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1276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1210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1258</v>
      </c>
      <c r="B351" s="27" t="s">
        <v>1126</v>
      </c>
      <c r="C351" s="27" t="s">
        <v>1127</v>
      </c>
      <c r="D351" s="27" t="s">
        <v>1075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1277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1278</v>
      </c>
      <c r="B354" s="27" t="s">
        <v>1079</v>
      </c>
      <c r="C354" s="27" t="s">
        <v>1084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1102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1279</v>
      </c>
    </row>
    <row r="358" spans="1:12">
      <c r="A358" s="20" t="s">
        <v>1280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1100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1281</v>
      </c>
      <c r="B360" s="27" t="s">
        <v>1073</v>
      </c>
      <c r="C360" s="27" t="s">
        <v>1074</v>
      </c>
      <c r="D360" s="27" t="s">
        <v>1075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1087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1282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1100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1283</v>
      </c>
      <c r="B364" s="27" t="s">
        <v>1079</v>
      </c>
      <c r="C364" s="27" t="s">
        <v>1080</v>
      </c>
      <c r="D364" s="27" t="s">
        <v>1075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1284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1100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1285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1076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1077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1286</v>
      </c>
      <c r="B370" s="27" t="s">
        <v>1126</v>
      </c>
      <c r="C370" s="27" t="s">
        <v>1080</v>
      </c>
      <c r="D370" s="27" t="s">
        <v>1075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1138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1287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1081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1087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1076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1288</v>
      </c>
      <c r="B376" s="27" t="s">
        <v>1121</v>
      </c>
      <c r="C376" s="27" t="s">
        <v>1084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1138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359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1289</v>
      </c>
      <c r="B379" s="27" t="s">
        <v>1134</v>
      </c>
      <c r="C379" s="27" t="s">
        <v>1084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1238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1290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1096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1291</v>
      </c>
      <c r="B383" s="27" t="s">
        <v>1212</v>
      </c>
      <c r="C383" s="27" t="s">
        <v>1119</v>
      </c>
      <c r="D383" s="27" t="s">
        <v>1075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1292</v>
      </c>
      <c r="B384" s="27" t="s">
        <v>1293</v>
      </c>
      <c r="C384" s="27" t="s">
        <v>1080</v>
      </c>
      <c r="D384" s="27" t="s">
        <v>1075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1087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v>
      </c>
      <c r="B386" s="27" t="s">
        <v>1113</v>
      </c>
      <c r="C386" s="27" t="s">
        <v>1127</v>
      </c>
      <c r="D386" s="27" t="s">
        <v>1075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1294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1295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1296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1297</v>
      </c>
    </row>
    <row r="392" spans="1:12">
      <c r="A392" s="20" t="s">
        <v>93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1298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1299</v>
      </c>
      <c r="B394" s="27" t="s">
        <v>1113</v>
      </c>
      <c r="C394" s="27" t="s">
        <v>1300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1210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1092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1301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1138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1302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93</v>
      </c>
      <c r="B400" s="27" t="s">
        <v>1303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1102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1304</v>
      </c>
    </row>
    <row r="404" spans="1:12">
      <c r="A404" s="20" t="s">
        <v>1305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1171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1306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1307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1087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1267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1232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1294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1092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1308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1138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1309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1100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1310</v>
      </c>
      <c r="B417" s="27" t="s">
        <v>1134</v>
      </c>
      <c r="C417" s="27" t="s">
        <v>1080</v>
      </c>
      <c r="D417" s="27" t="s">
        <v>1075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1081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1311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1185</v>
      </c>
      <c r="B420" s="27" t="s">
        <v>1259</v>
      </c>
      <c r="C420" s="27" t="s">
        <v>1127</v>
      </c>
      <c r="D420" s="27" t="s">
        <v>1075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1076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1071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1312</v>
      </c>
      <c r="B423" s="27" t="s">
        <v>1090</v>
      </c>
      <c r="C423" s="27" t="s">
        <v>1115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1087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1313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1087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1314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1081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1315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1102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1316</v>
      </c>
    </row>
    <row r="433" spans="1:12">
      <c r="A433" s="20" t="s">
        <v>1317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1258</v>
      </c>
      <c r="B434" s="27" t="s">
        <v>1073</v>
      </c>
      <c r="C434" s="27" t="s">
        <v>1127</v>
      </c>
      <c r="D434" s="27" t="s">
        <v>1075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1094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1095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1318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1100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1319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1100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1320</v>
      </c>
      <c r="B441" s="27" t="s">
        <v>1126</v>
      </c>
      <c r="C441" s="27" t="s">
        <v>1181</v>
      </c>
      <c r="D441" s="27" t="s">
        <v>1075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1102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1321</v>
      </c>
    </row>
    <row r="445" spans="1:12">
      <c r="A445" s="20" t="s">
        <v>1322</v>
      </c>
      <c r="B445" s="27" t="s">
        <v>1107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1138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1111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1255</v>
      </c>
      <c r="B448" s="27" t="s">
        <v>1079</v>
      </c>
      <c r="C448" s="27" t="s">
        <v>1080</v>
      </c>
      <c r="D448" s="27" t="s">
        <v>1075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1092</v>
      </c>
      <c r="B449" s="27" t="s">
        <v>1226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1323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1324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1076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1100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1325</v>
      </c>
      <c r="B454" s="27" t="s">
        <v>1090</v>
      </c>
      <c r="C454" s="27" t="s">
        <v>1074</v>
      </c>
      <c r="D454" s="27" t="s">
        <v>1075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1326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1100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1176</v>
      </c>
      <c r="B457" s="27" t="s">
        <v>1121</v>
      </c>
      <c r="C457" s="27" t="s">
        <v>1080</v>
      </c>
      <c r="D457" s="27" t="s">
        <v>1075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1192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1092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1327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1092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1192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1328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1102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1329</v>
      </c>
    </row>
    <row r="467" spans="1:12">
      <c r="A467" s="20" t="s">
        <v>1330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1092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1192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1328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1331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1100</v>
      </c>
      <c r="B472" s="27" t="s">
        <v>1113</v>
      </c>
      <c r="C472" s="27" t="s">
        <v>1127</v>
      </c>
      <c r="D472" s="27" t="s">
        <v>1075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1332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1100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389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1102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1333</v>
      </c>
    </row>
    <row r="479" spans="1:12">
      <c r="A479" s="20" t="s">
        <v>1330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1092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1334</v>
      </c>
      <c r="B482" s="27" t="s">
        <v>1083</v>
      </c>
      <c r="C482" s="27" t="s">
        <v>1074</v>
      </c>
      <c r="D482" s="27" t="s">
        <v>1075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1138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1111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1299</v>
      </c>
      <c r="B485" s="27" t="s">
        <v>1148</v>
      </c>
      <c r="C485" s="27" t="s">
        <v>1080</v>
      </c>
      <c r="D485" s="27" t="s">
        <v>1075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1335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1290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1111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1336</v>
      </c>
      <c r="B489" s="27" t="s">
        <v>1090</v>
      </c>
      <c r="C489" s="27" t="s">
        <v>1119</v>
      </c>
      <c r="D489" s="27" t="s">
        <v>1075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1337</v>
      </c>
      <c r="B490" s="27" t="s">
        <v>1303</v>
      </c>
      <c r="C490" s="27" t="s">
        <v>1080</v>
      </c>
      <c r="D490" s="27" t="s">
        <v>1075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1087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1307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1081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1338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1095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1210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468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1071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1339</v>
      </c>
      <c r="B499" s="27" t="s">
        <v>1134</v>
      </c>
      <c r="C499" s="27" t="s">
        <v>1115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1081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1340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1100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1341</v>
      </c>
      <c r="B503" s="27" t="s">
        <v>1134</v>
      </c>
      <c r="C503" s="27" t="s">
        <v>1074</v>
      </c>
      <c r="D503" s="27" t="s">
        <v>1075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1138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1100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1342</v>
      </c>
      <c r="B506" s="27" t="s">
        <v>1121</v>
      </c>
      <c r="C506" s="27" t="s">
        <v>1080</v>
      </c>
      <c r="D506" s="27" t="s">
        <v>1075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1102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1343</v>
      </c>
    </row>
    <row r="510" spans="1:12">
      <c r="A510" s="20" t="s">
        <v>1330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1092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1344</v>
      </c>
      <c r="B512" s="27" t="s">
        <v>1083</v>
      </c>
      <c r="C512" s="27" t="s">
        <v>1204</v>
      </c>
      <c r="D512" s="27" t="s">
        <v>1075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1261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1192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1071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1345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1346</v>
      </c>
      <c r="B517" s="27" t="s">
        <v>1152</v>
      </c>
      <c r="C517" s="27" t="s">
        <v>1115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1081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1076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1077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1347</v>
      </c>
      <c r="B521" s="27" t="s">
        <v>1090</v>
      </c>
      <c r="C521" s="27" t="s">
        <v>1084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1348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1349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1350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271</v>
      </c>
      <c r="B525" s="27" t="s">
        <v>1303</v>
      </c>
      <c r="C525" s="27" t="s">
        <v>1195</v>
      </c>
      <c r="D525" s="27" t="s">
        <v>1075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1138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1100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1351</v>
      </c>
      <c r="B528" s="27" t="s">
        <v>1090</v>
      </c>
      <c r="C528" s="27" t="s">
        <v>1080</v>
      </c>
      <c r="D528" s="27" t="s">
        <v>1075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1081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1261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1352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1076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1353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1354</v>
      </c>
      <c r="B535" s="27" t="s">
        <v>1148</v>
      </c>
      <c r="C535" s="27" t="s">
        <v>1169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1138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1077</v>
      </c>
      <c r="B537" s="27" t="s">
        <v>1259</v>
      </c>
      <c r="C537" s="27" t="s">
        <v>1127</v>
      </c>
      <c r="D537" s="27" t="s">
        <v>1075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1355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1102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1356</v>
      </c>
    </row>
    <row r="542" spans="1:12">
      <c r="A542" s="20" t="s">
        <v>1125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1357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1100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1092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1358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1167</v>
      </c>
      <c r="B548" s="27" t="s">
        <v>1303</v>
      </c>
      <c r="C548" s="27" t="s">
        <v>1074</v>
      </c>
      <c r="D548" s="27" t="s">
        <v>1075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1288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1359</v>
      </c>
      <c r="B550" s="27" t="s">
        <v>1090</v>
      </c>
      <c r="C550" s="27" t="s">
        <v>1084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1087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1294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1167</v>
      </c>
      <c r="B553" s="27" t="s">
        <v>1148</v>
      </c>
      <c r="C553" s="27" t="s">
        <v>1074</v>
      </c>
      <c r="D553" s="27" t="s">
        <v>1075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1359</v>
      </c>
      <c r="B555" s="27" t="s">
        <v>1090</v>
      </c>
      <c r="C555" s="27" t="s">
        <v>1084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1081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1360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1167</v>
      </c>
      <c r="B558" s="27" t="s">
        <v>1148</v>
      </c>
      <c r="C558" s="27" t="s">
        <v>1108</v>
      </c>
      <c r="D558" s="27" t="s">
        <v>1075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1288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1359</v>
      </c>
      <c r="B560" s="27" t="s">
        <v>1090</v>
      </c>
      <c r="C560" s="27" t="s">
        <v>1084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1102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1361</v>
      </c>
    </row>
    <row r="564" spans="1:12">
      <c r="A564" s="20" t="s">
        <v>1362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1363</v>
      </c>
      <c r="B566" s="27" t="s">
        <v>1152</v>
      </c>
      <c r="C566" s="27" t="s">
        <v>1074</v>
      </c>
      <c r="D566" s="27" t="s">
        <v>1075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1138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1364</v>
      </c>
      <c r="B568" s="27" t="s">
        <v>1152</v>
      </c>
      <c r="C568" s="27" t="s">
        <v>1084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1102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row>
    <row r="571" spans="1:12">
      <c r="A571" s="20" t="s">
        <v>1365</v>
      </c>
    </row>
    <row r="572" spans="1:12">
      <c r="A572" s="20" t="s">
        <v>1104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1171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1366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1100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1367</v>
      </c>
      <c r="B576" s="27" t="s">
        <v>1073</v>
      </c>
      <c r="C576" s="27" t="s">
        <v>1080</v>
      </c>
      <c r="D576" s="27" t="s">
        <v>1075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1102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row>
    <row r="579" spans="1:12">
      <c r="A579" s="20" t="s">
        <v>1296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1368</v>
      </c>
    </row>
    <row r="581" spans="1:12">
      <c r="A581" s="20" t="s">
        <v>1369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1370</v>
      </c>
      <c r="B582" s="27" t="s">
        <v>1083</v>
      </c>
      <c r="C582" s="27" t="s">
        <v>1250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1258</v>
      </c>
      <c r="B583" s="27" t="s">
        <v>1126</v>
      </c>
      <c r="C583" s="27" t="s">
        <v>1127</v>
      </c>
      <c r="D583" s="27" t="s">
        <v>1075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1371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1092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28</v>
      </c>
      <c r="B586" s="27" t="s">
        <v>1113</v>
      </c>
      <c r="C586" s="27" t="s">
        <v>1127</v>
      </c>
      <c r="D586" s="27" t="s">
        <v>1075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1372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1373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1076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1077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1375</v>
      </c>
      <c r="B593" s="27" t="s">
        <v>1148</v>
      </c>
      <c r="C593" s="27" t="s">
        <v>1080</v>
      </c>
      <c r="D593" s="27" t="s">
        <v>1075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1087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28</v>
      </c>
      <c r="B595" s="27" t="s">
        <v>1107</v>
      </c>
      <c r="C595" s="27" t="s">
        <v>1127</v>
      </c>
      <c r="D595" s="27" t="s">
        <v>1075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1376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1295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1377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1092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1378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1092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1379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1076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1380</v>
      </c>
      <c r="B605" s="27" t="s">
        <v>1090</v>
      </c>
      <c r="C605" s="27" t="s">
        <v>1084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1087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28</v>
      </c>
      <c r="B607" s="27" t="s">
        <v>1083</v>
      </c>
      <c r="C607" s="27" t="s">
        <v>1127</v>
      </c>
      <c r="D607" s="27" t="s">
        <v>1075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1381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1102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1296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1382</v>
      </c>
    </row>
    <row r="614" spans="1:12">
      <c r="A614" s="20" t="s">
        <v>1243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1095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1258</v>
      </c>
      <c r="B616" s="27" t="s">
        <v>1073</v>
      </c>
      <c r="C616" s="27" t="s">
        <v>1127</v>
      </c>
      <c r="D616" s="27" t="s">
        <v>1075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1383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1295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1384</v>
      </c>
      <c r="B620" s="27" t="s">
        <v>1152</v>
      </c>
      <c r="C620" s="27" t="s">
        <v>1084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1138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567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1238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1129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1367</v>
      </c>
      <c r="B625" s="27" t="s">
        <v>1303</v>
      </c>
      <c r="C625" s="27" t="s">
        <v>1115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1385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1076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1077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1374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1375</v>
      </c>
      <c r="B630" s="27" t="s">
        <v>1148</v>
      </c>
      <c r="C630" s="27" t="s">
        <v>1080</v>
      </c>
      <c r="D630" s="27" t="s">
        <v>1075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1087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28</v>
      </c>
      <c r="B633" s="27" t="s">
        <v>1113</v>
      </c>
      <c r="C633" s="27" t="s">
        <v>1127</v>
      </c>
      <c r="D633" s="27" t="s">
        <v>1075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1386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1313</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1096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1387</v>
      </c>
      <c r="B637" s="27" t="s">
        <v>1134</v>
      </c>
      <c r="C637" s="27" t="s">
        <v>1080</v>
      </c>
      <c r="D637" s="27" t="s">
        <v>1075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1138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1077</v>
      </c>
      <c r="B639" s="27" t="s">
        <v>1212</v>
      </c>
      <c r="C639" s="27" t="s">
        <v>1204</v>
      </c>
      <c r="D639" s="27" t="s">
        <v>1075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1092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567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1238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1344</v>
      </c>
      <c r="B643" s="27" t="s">
        <v>1118</v>
      </c>
      <c r="C643" s="27" t="s">
        <v>1204</v>
      </c>
      <c r="D643" s="27" t="s">
        <v>1075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1102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row>
    <row r="646" spans="1:12">
      <c r="A646" s="20" t="s">
        <v>1388</v>
      </c>
    </row>
    <row r="647" spans="1:12">
      <c r="A647" s="20" t="s">
        <v>1362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1071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1389</v>
      </c>
      <c r="B649" s="27" t="s">
        <v>1152</v>
      </c>
      <c r="C649" s="27" t="s">
        <v>1074</v>
      </c>
      <c r="D649" s="27" t="s">
        <v>1075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1390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1094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1077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1389</v>
      </c>
      <c r="B653" s="27" t="s">
        <v>1152</v>
      </c>
      <c r="C653" s="27" t="s">
        <v>1080</v>
      </c>
      <c r="D653" s="27" t="s">
        <v>1075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1092</v>
      </c>
      <c r="B654" s="27" t="s">
        <v>1113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1391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1105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1392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1081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1393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1394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1395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1081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1077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1396</v>
      </c>
      <c r="B664" s="27" t="s">
        <v>1256</v>
      </c>
      <c r="C664" s="27" t="s">
        <v>1080</v>
      </c>
      <c r="D664" s="27" t="s">
        <v>1075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1324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1138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1096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1397</v>
      </c>
      <c r="B668" s="27" t="s">
        <v>1118</v>
      </c>
      <c r="C668" s="27" t="s">
        <v>1119</v>
      </c>
      <c r="D668" s="27" t="s">
        <v>1075</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1398</v>
      </c>
      <c r="B669" s="27" t="s">
        <v>1259</v>
      </c>
      <c r="C669" s="27" t="s">
        <v>1080</v>
      </c>
      <c r="D669" s="27" t="s">
        <v>1075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1102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1399</v>
      </c>
    </row>
    <row r="673" spans="1:12">
      <c r="A673" s="20" t="s">
        <v>1243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1076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1288</v>
      </c>
      <c r="B675" s="27" t="s">
        <v>1079</v>
      </c>
      <c r="C675" s="27" t="s">
        <v>1084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1138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138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1400</v>
      </c>
      <c r="B678" s="27" t="s">
        <v>1073</v>
      </c>
      <c r="C678" s="27" t="s">
        <v>1084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1401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1087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1094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1192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1402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1087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1403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1404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1405</v>
      </c>
      <c r="B687" s="27" t="s">
        <v>1148</v>
      </c>
      <c r="C687" s="27" t="s">
        <v>1169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1102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row>
    <row r="690" spans="1:12">
      <c r="A690" s="20" t="s">
        <v>1406</v>
      </c>
    </row>
    <row r="691" spans="1:12">
      <c r="A691" s="20" t="s">
        <v>1407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1100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1408</v>
      </c>
      <c r="B693" s="27" t="s">
        <v>1152</v>
      </c>
      <c r="C693" s="27" t="s">
        <v>1080</v>
      </c>
      <c r="D693" s="27" t="s">
        <v>1075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1138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60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1409</v>
      </c>
      <c r="B696" s="27" t="s">
        <v>1126</v>
      </c>
      <c r="C696" s="27" t="s">
        <v>1084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1410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1077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1411</v>
      </c>
      <c r="B699" s="27" t="s">
        <v>1126</v>
      </c>
      <c r="C699" s="27" t="s">
        <v>1080</v>
      </c>
      <c r="D699" s="27" t="s">
        <v>1075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1267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1158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1412</v>
      </c>
      <c r="B702" s="27" t="s">
        <v>1090</v>
      </c>
      <c r="C702" s="27" t="s">
        <v>1084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1077</v>
      </c>
      <c r="B704" s="27" t="s">
        <v>1148</v>
      </c>
      <c r="C704" s="27" t="s">
        <v>1204</v>
      </c>
      <c r="D704" s="27" t="s">
        <v>1075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1092</v>
      </c>
      <c r="B705" s="27" t="s">
        <v>1259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1095</v>
      </c>
      <c r="B706" s="27" t="s">
        <v>1256</v>
      </c>
      <c r="C706" s="27" t="s">
        <v>1127</v>
      </c>
      <c r="D706" s="27" t="s">
        <v>1075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1413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1102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row>
    <row r="710" spans="1:12">
      <c r="A710" s="20" t="s">
        <v>1414</v>
      </c>
    </row>
    <row r="711" spans="1:12">
      <c r="A711" s="20" t="s">
        <v>1270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1415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1273</v>
      </c>
      <c r="B714" s="27" t="s">
        <v>1152</v>
      </c>
      <c r="C714" s="27" t="s">
        <v>1195</v>
      </c>
      <c r="D714" s="27" t="s">
        <v>1075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1092</v>
      </c>
      <c r="B715" s="27" t="s">
        <v>1226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1357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1100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212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1092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1416</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1277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1417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187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1418</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1081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1092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1100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1419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1163</v>
      </c>
      <c r="B729" s="27" t="s">
        <v>1098</v>
      </c>
      <c r="C729" s="27" t="s">
        <v>1080</v>
      </c>
      <c r="D729" s="27" t="s">
        <v>1075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1210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1261</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1258</v>
      </c>
      <c r="B732" s="27" t="s">
        <v>1420</v>
      </c>
      <c r="C732" s="27" t="s">
        <v>1127</v>
      </c>
      <c r="D732" s="27" t="s">
        <v>1075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1421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1416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1261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1422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1111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1423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1299</v>
      </c>
      <c r="B739" s="27" t="s">
        <v>1424</v>
      </c>
      <c r="C739" s="27" t="s">
        <v>1080</v>
      </c>
      <c r="D739" s="27" t="s">
        <v>1075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1102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1425</v>
      </c>
    </row>
    <row r="743" spans="1:12">
      <c r="A743" s="20" t="s">
        <v>1426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1071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1427</v>
      </c>
      <c r="B745" s="27" t="s">
        <v>1152</v>
      </c>
      <c r="C745" s="27" t="s">
        <v>1169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1087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1428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1081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1429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1092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1430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1431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1432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1071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1433</v>
      </c>
      <c r="B755" s="27" t="s">
        <v>1126</v>
      </c>
      <c r="C755" s="27" t="s">
        <v>1181</v>
      </c>
      <c r="D755" s="27" t="s">
        <v>1075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1087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1434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1435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1076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1100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1436</v>
      </c>
      <c r="B761" s="27" t="s">
        <v>1152</v>
      </c>
      <c r="C761" s="27" t="s">
        <v>1080</v>
      </c>
      <c r="D761" s="27" t="s">
        <v>1075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1437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1438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1087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1100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1439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1210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1077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1440</v>
      </c>
      <c r="B769" s="27" t="s">
        <v>1148</v>
      </c>
      <c r="C769" s="27" t="s">
        <v>1080</v>
      </c>
      <c r="D769" s="27" t="s">
        <v>1075</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1087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1100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212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1295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1296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1441</v>
      </c>
    </row>
    <row r="777" spans="1:12">
      <c r="A777" s="20" t="s">
        <v>93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1442</v>
      </c>
      <c r="B778" s="27" t="s">
        <v>1113</v>
      </c>
      <c r="C778" s="27" t="s">
        <v>1250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1443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1444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1081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1445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818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1446</v>
      </c>
      <c r="B784" s="27" t="s">
        <v>1126</v>
      </c>
      <c r="C784" s="27" t="s">
        <v>1084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93</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1102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1447</v>
      </c>
    </row>
    <row r="789" spans="1:12">
      <c r="A789" s="20" t="s">
        <v>1448</v>
      </c>
      <c r="B789" s="27" t="s">
        <v>1107</v>
      </c>
      <c r="C789" s="27" t="s">
        <v>1181</v>
      </c>
      <c r="D789" s="27" t="s">
        <v>1075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1261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1449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1450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1077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1451</v>
      </c>
      <c r="B794" s="27" t="s">
        <v>1126</v>
      </c>
      <c r="C794" s="27" t="s">
        <v>1080</v>
      </c>
      <c r="D794" s="27" t="s">
        <v>1075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1087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1452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1076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1077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1440</v>
      </c>
      <c r="B799" s="27" t="s">
        <v>1303</v>
      </c>
      <c r="C799" s="27" t="s">
        <v>1080</v>
      </c>
      <c r="D799" s="27" t="s">
        <v>1075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1081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1453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1102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row>
    <row r="804" spans="1:12">
      <c r="A804" s="20" t="s">
        <v>1454</v>
      </c>
    </row>
    <row r="805" spans="1:12">
      <c r="A805" s="20" t="s">
        <v>1455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1456</v>
      </c>
      <c r="B806" s="27" t="s">
        <v>1079</v>
      </c>
      <c r="C806" s="27" t="s">
        <v>1084</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1087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1232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1138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1457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1458</v>
      </c>
      <c r="B811" s="27" t="s">
        <v>1079</v>
      </c>
      <c r="C811" s="27" t="s">
        <v>1169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1459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1460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1087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1100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1439</v>
      </c>
      <c r="B817" s="27" t="s">
        <v>1134</v>
      </c>
      <c r="C817" s="27" t="s">
        <v>1074</v>
      </c>
      <c r="D817" s="27" t="s">
        <v>1075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1210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1461</v>
      </c>
      <c r="B819" s="27" t="s">
        <v>1121</v>
      </c>
      <c r="C819" s="27" t="s">
        <v>1127</v>
      </c>
      <c r="D819" s="27" t="s">
        <v>1075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1087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1077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1440</v>
      </c>
      <c r="B822" s="27" t="s">
        <v>1107</v>
      </c>
      <c r="C822" s="27" t="s">
        <v>1080</v>
      </c>
      <c r="D822" s="27" t="s">
        <v>1075</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1462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1102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1463</v>
      </c>
    </row>
    <row r="827" spans="1:12">
      <c r="A827" s="20" t="s">
        <v>1252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1464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1094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1087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1465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1466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1102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1467</v>
      </c>
    </row>
    <row r="836" spans="1:12">
      <c r="A836" s="20" t="s">
        <v>1362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1077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1117</v>
      </c>
      <c r="B838" s="27" t="s">
        <v>1152</v>
      </c>
      <c r="C838" s="27" t="s">
        <v>1119</v>
      </c>
      <c r="D838" s="27" t="s">
        <v>1075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1468</v>
      </c>
      <c r="B839" s="27" t="s">
        <v>1152</v>
      </c>
      <c r="C839" s="27" t="s">
        <v>1080</v>
      </c>
      <c r="D839" s="27" t="s">
        <v>1075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1081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28</v>
      </c>
      <c r="B841" s="27" t="s">
        <v>1083</v>
      </c>
      <c r="C841" s="27" t="s">
        <v>1127</v>
      </c>
      <c r="D841" s="27" t="s">
        <v>1075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1469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1295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1296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1470</v>
      </c>
    </row>
    <row r="847" spans="1:12">
      <c r="A847" s="20" t="s">
        <v>93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1471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1135</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1071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1472</v>
      </c>
      <c r="B851" s="27" t="s">
        <v>1152</v>
      </c>
      <c r="C851" s="27" t="s">
        <v>1115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1385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1296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1473</v>
      </c>
    </row>
    <row r="857" spans="1:12">
      <c r="A857" s="20" t="s">
        <v>1474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1138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556</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1475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1476</v>
      </c>
      <c r="B861" s="27" t="s">
        <v>1126</v>
      </c>
      <c r="C861" s="27" t="s">
        <v>1300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1102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1477</v>
      </c>
    </row>
    <row r="866" spans="1:12">
      <c r="A866" s="20" t="s">
        <v>1216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1077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1427</v>
      </c>
      <c r="B868" s="27" t="s">
        <v>1152</v>
      </c>
      <c r="C868" s="27" t="s">
        <v>1080</v>
      </c>
      <c r="D868" s="27" t="s">
        <v>1075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1478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1087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1357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1135</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1479</v>
      </c>
      <c r="B874" s="27" t="s">
        <v>1073</v>
      </c>
      <c r="C874" s="27" t="s">
        <v>1080</v>
      </c>
      <c r="D874" s="27" t="s">
        <v>1075</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1081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1135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1100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1480</v>
      </c>
      <c r="B878" s="27" t="s">
        <v>1079</v>
      </c>
      <c r="C878" s="27" t="s">
        <v>1080</v>
      </c>
      <c r="D878" s="27" t="s">
        <v>1075</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1102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row>
    <row r="881" spans="1:12">
      <c r="A881" s="20" t="s">
        <v>1481</v>
      </c>
    </row>
    <row r="882" spans="1:12">
      <c r="A882" s="20" t="s">
        <v>1482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1357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1100</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1483</v>
      </c>
      <c r="B886" s="27" t="s">
        <v>1126</v>
      </c>
      <c r="C886" s="27" t="s">
        <v>1074</v>
      </c>
      <c r="D886" s="27" t="s">
        <v>1075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1138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1484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1485</v>
      </c>
      <c r="B889" s="27" t="s">
        <v>1148</v>
      </c>
      <c r="C889" s="27" t="s">
        <v>1195</v>
      </c>
      <c r="D889" s="27" t="s">
        <v>1075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1486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1295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row>
    <row r="893" spans="1:12">
      <c r="A893" s="20" t="s">
        <v>1487</v>
      </c>
    </row>
    <row r="894" spans="1:12">
      <c r="A894" s="20" t="s">
        <v>1369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28</v>
      </c>
      <c r="B895" s="27" t="s">
        <v>1107</v>
      </c>
      <c r="C895" s="27" t="s">
        <v>1127</v>
      </c>
      <c r="D895" s="27" t="s">
        <v>1075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1261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1488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1489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1202</v>
      </c>
      <c r="B899" s="27" t="s">
        <v>1152</v>
      </c>
      <c r="C899" s="27" t="s">
        <v>1195</v>
      </c>
      <c r="D899" s="27" t="s">
        <v>1075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1203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1092</v>
      </c>
      <c r="B901" s="27" t="s">
        <v>1113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1490</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1207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1100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1071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1211</v>
      </c>
      <c r="B906" s="27" t="s">
        <v>1148</v>
      </c>
      <c r="C906" s="27" t="s">
        <v>1074</v>
      </c>
      <c r="D906" s="27" t="s">
        <v>1075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1138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1213</v>
      </c>
      <c r="B908" s="27" t="s">
        <v>1090</v>
      </c>
      <c r="C908" s="27" t="s">
        <v>1084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1171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1491</v>
      </c>
      <c r="B911" s="27" t="s">
        <v>1226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1488</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28</v>
      </c>
      <c r="B913" s="27" t="s">
        <v>1148</v>
      </c>
      <c r="C913" s="27" t="s">
        <v>1127</v>
      </c>
      <c r="D913" s="27" t="s">
        <v>1075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1492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1296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1493</v>
      </c>
    </row>
    <row r="918" spans="1:12">
      <c r="A918" s="20" t="s">
        <v>1369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1301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1138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468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1479</v>
      </c>
      <c r="B922" s="27" t="s">
        <v>1134</v>
      </c>
      <c r="C922" s="27" t="s">
        <v>1084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1087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1100</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1479</v>
      </c>
      <c r="B925" s="27" t="s">
        <v>1083</v>
      </c>
      <c r="C925" s="27" t="s">
        <v>1080</v>
      </c>
      <c r="D925" s="27" t="s">
        <v>1075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1443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1100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536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1258</v>
      </c>
      <c r="B929" s="27" t="s">
        <v>1126</v>
      </c>
      <c r="C929" s="27" t="s">
        <v>1127</v>
      </c>
      <c r="D929" s="27" t="s">
        <v>1075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1494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1495</v>
      </c>
      <c r="B931" s="27" t="s">
        <v>1126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93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1394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1100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1496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1258</v>
      </c>
      <c r="B936" s="27" t="s">
        <v>1134</v>
      </c>
      <c r="C936" s="27" t="s">
        <v>1127</v>
      </c>
      <c r="D936" s="27" t="s">
        <v>1075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1076</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1497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1202</v>
      </c>
      <c r="B939" s="27" t="s">
        <v>1090</v>
      </c>
      <c r="C939" s="27" t="s">
        <v>1300</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1492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1498</v>
      </c>
    </row>
    <row r="943" spans="1:12">
      <c r="A943" s="20" t="s">
        <v>1499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1192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1092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1258</v>
      </c>
      <c r="B946" s="27" t="s">
        <v>1073</v>
      </c>
      <c r="C946" s="27" t="s">
        <v>1127</v>
      </c>
      <c r="D946" s="27" t="s">
        <v>1075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1500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1087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1095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1258</v>
      </c>
      <c r="B950" s="27" t="s">
        <v>1113</v>
      </c>
      <c r="C950" s="27" t="s">
        <v>1127</v>
      </c>
      <c r="D950" s="27" t="s">
        <v>1075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1443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1100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1496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1076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1497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1202</v>
      </c>
      <c r="B956" s="27" t="s">
        <v>1148</v>
      </c>
      <c r="C956" s="27" t="s">
        <v>1300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1492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1501</v>
      </c>
    </row>
    <row r="960" spans="1:12">
      <c r="A960" s="20" t="s">
        <v>1502</v>
      </c>
      <c r="B960" s="27" t="s">
        <v>1107</v>
      </c>
      <c r="C960" s="27" t="s">
        <v>1127</v>
      </c>
      <c r="D960" s="27" t="s">
        <v>1075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1218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1503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1504</v>
      </c>
      <c r="B963" s="27" t="s">
        <v>1073</v>
      </c>
      <c r="C963" s="27" t="s">
        <v>1169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1100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1132</v>
      </c>
      <c r="B966" s="27" t="s">
        <v>1079</v>
      </c>
      <c r="C966" s="27" t="s">
        <v>1119</v>
      </c>
      <c r="D966" s="27" t="s">
        <v>1075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1505</v>
      </c>
      <c r="B967" s="27" t="s">
        <v>1152</v>
      </c>
      <c r="C967" s="27" t="s">
        <v>1080</v>
      </c>
      <c r="D967" s="27" t="s">
        <v>1075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1102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row>
    <row r="970" spans="1:12">
      <c r="A970" s="20" t="s">
        <v>1506</v>
      </c>
    </row>
    <row r="971" spans="1:12">
      <c r="A971" s="20" t="s">
        <v>1222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1507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1192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1092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28</v>
      </c>
      <c r="B975" s="27" t="s">
        <v>1083</v>
      </c>
      <c r="C975" s="27" t="s">
        <v>1127</v>
      </c>
      <c r="D975" s="27" t="s">
        <v>1075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1262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1092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1087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1508</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1509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1087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v>
      </c>
      <c r="B982" s="27" t="s">
        <v>1113</v>
      </c>
      <c r="C982" s="27" t="s">
        <v>1127</v>
      </c>
      <c r="D982" s="27" t="s">
        <v>1075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1308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1129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1510</v>
      </c>
      <c r="B985" s="27" t="s">
        <v>1303</v>
      </c>
      <c r="C985" s="27" t="s">
        <v>1115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1511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1087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1081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1095</v>
      </c>
      <c r="B989" s="27" t="s">
        <v>1226</v>
      </c>
      <c r="C989" s="27" t="s">
        <v>1127</v>
      </c>
      <c r="D989" s="27" t="s">
        <v>1075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1512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359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1513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1087</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1276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1514</v>
      </c>
      <c r="B995" s="27" t="s">
        <v>1134</v>
      </c>
      <c r="C995" s="27" t="s">
        <v>1250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1076</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1077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1515</v>
      </c>
      <c r="B998" s="27" t="s">
        <v>1090</v>
      </c>
      <c r="C998" s="27" t="s">
        <v>1074</v>
      </c>
      <c r="D998" s="27" t="s">
        <v>1075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1138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1077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1516</v>
      </c>
      <c r="B1001" s="27" t="s">
        <v>1121</v>
      </c>
      <c r="C1001" s="27" t="s">
        <v>1080</v>
      </c>
      <c r="D1001" s="27" t="s">
        <v>1075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1092</v>
      </c>
      <c r="B1002" s="27" t="s">
        <v>1098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1517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1100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1518</v>
      </c>
      <c r="B1005" s="27" t="s">
        <v>1424</v>
      </c>
      <c r="C1005" s="27" t="s">
        <v>1080</v>
      </c>
      <c r="D1005" s="27" t="s">
        <v>1075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389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1102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1519</v>
      </c>
    </row>
    <row r="1010" spans="1:12">
      <c r="A1010" s="20" t="s">
        <v>1222</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1497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1520</v>
      </c>
      <c r="B1012" s="27" t="s">
        <v>1107</v>
      </c>
      <c r="C1012" s="27" t="s">
        <v>1080</v>
      </c>
      <c r="D1012" s="27" t="s">
        <v>1075</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1192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1092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1308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1521</v>
      </c>
      <c r="B1016" s="27" t="s">
        <v>1073</v>
      </c>
      <c r="C1016" s="27" t="s">
        <v>1074</v>
      </c>
      <c r="D1016" s="27" t="s">
        <v>1075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1100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1071</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1522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1523</v>
      </c>
      <c r="B1020" s="27" t="s">
        <v>1079</v>
      </c>
      <c r="C1020" s="27" t="s">
        <v>1115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1102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1524</v>
      </c>
    </row>
    <row r="1024" spans="1:12">
      <c r="A1024" s="20" t="s">
        <v>1525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1138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1344</v>
      </c>
      <c r="B1026" s="27" t="s">
        <v>1152</v>
      </c>
      <c r="C1026" s="27" t="s">
        <v>1204</v>
      </c>
      <c r="D1026" s="27" t="s">
        <v>1075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1087</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1526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1081</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1218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1129</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1527</v>
      </c>
      <c r="B1032" s="27" t="s">
        <v>1126</v>
      </c>
      <c r="C1032" s="27" t="s">
        <v>1115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1087</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1526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1081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1218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1129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1527</v>
      </c>
      <c r="B1038" s="27" t="s">
        <v>1126</v>
      </c>
      <c r="C1038" s="27" t="s">
        <v>1115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1526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1218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1129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1527</v>
      </c>
      <c r="B1044" s="27" t="s">
        <v>1126</v>
      </c>
      <c r="C1044" s="27" t="s">
        <v>1115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1102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row>
    <row r="1047" spans="1:12">
      <c r="A1047" s="20" t="s">
        <v>1528</v>
      </c>
    </row>
    <row r="1048" spans="1:12">
      <c r="A1048" s="20" t="s">
        <v>1455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1456</v>
      </c>
      <c r="B1049" s="27" t="s">
        <v>1152</v>
      </c>
      <c r="C1049" s="27" t="s">
        <v>1084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1529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1092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1530</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1138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1479</v>
      </c>
      <c r="B1055" s="27" t="s">
        <v>1303</v>
      </c>
      <c r="C1055" s="27" t="s">
        <v>1084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1081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1480</v>
      </c>
      <c r="B1057" s="27" t="s">
        <v>1090</v>
      </c>
      <c r="C1057" s="27" t="s">
        <v>1084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1210</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1200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1102</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row>
    <row r="1062" spans="1:12">
      <c r="A1062" s="20" t="s">
        <v>1531</v>
      </c>
    </row>
    <row r="1063" spans="1:12">
      <c r="A1063" s="20" t="s">
        <v>1104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1429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1295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1296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1532</v>
      </c>
    </row>
    <row r="1069" spans="1:12">
      <c r="A1069" s="20" t="s">
        <v>93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1533</v>
      </c>
      <c r="B1070" s="27" t="s">
        <v>1107</v>
      </c>
      <c r="C1070" s="27" t="s">
        <v>1204</v>
      </c>
      <c r="D1070" s="27" t="s">
        <v>1075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1192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1071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1472</v>
      </c>
      <c r="B1073" s="27" t="s">
        <v>1152</v>
      </c>
      <c r="C1073" s="27" t="s">
        <v>1115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1534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1394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1071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1472</v>
      </c>
      <c r="B1077" s="27" t="s">
        <v>1152</v>
      </c>
      <c r="C1077" s="27" t="s">
        <v>1115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1535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1492</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1296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1536</v>
      </c>
    </row>
    <row r="1083" spans="1:12">
      <c r="A1083" s="20" t="s">
        <v>93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1537</v>
      </c>
      <c r="B1084" s="27" t="s">
        <v>1152</v>
      </c>
      <c r="C1084" s="27" t="s">
        <v>1181</v>
      </c>
      <c r="D1084" s="27" t="s">
        <v>1075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1138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1129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1538</v>
      </c>
      <c r="B1087" s="27" t="s">
        <v>1152</v>
      </c>
      <c r="C1087" s="27" t="s">
        <v>1115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1539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1394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1138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1129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1538</v>
      </c>
      <c r="B1092" s="27" t="s">
        <v>1079</v>
      </c>
      <c r="C1092" s="27" t="s">
        <v>1115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1540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1492</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93</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1541</v>
      </c>
    </row>
    <row r="1098" spans="1:12">
      <c r="A1098" s="20" t="s">
        <v>1252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1465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312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1542</v>
      </c>
      <c r="B1101" s="27" t="s">
        <v>1113</v>
      </c>
      <c r="C1101" s="27" t="s">
        <v>1543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1416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1077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1544</v>
      </c>
      <c r="B1104" s="27" t="s">
        <v>1079</v>
      </c>
      <c r="C1104" s="27" t="s">
        <v>1080</v>
      </c>
      <c r="D1104" s="27" t="s">
        <v>1075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1102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row>
    <row r="1107" spans="1:12">
      <c r="A1107" s="20" t="s">
        <v>1545</v>
      </c>
    </row>
    <row r="1108" spans="1:12">
      <c r="A1108" s="20" t="s">
        <v>1142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1529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1092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1261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1391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1546</v>
      </c>
      <c r="B1113" s="27" t="s">
        <v>1126</v>
      </c>
      <c r="C1113" s="27" t="s">
        <v>1084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1547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1076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1353</v>
      </c>
      <c r="B1116" s="27" t="s">
        <v>1126</v>
      </c>
      <c r="C1116" s="27" t="s">
        <v>1250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1138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1240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1548</v>
      </c>
      <c r="B1119" s="27" t="s">
        <v>1148</v>
      </c>
      <c r="C1119" s="27" t="s">
        <v>1195</v>
      </c>
      <c r="D1119" s="27" t="s">
        <v>1075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1210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1549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1111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1255</v>
      </c>
      <c r="B1123" s="27" t="s">
        <v>1259</v>
      </c>
      <c r="C1123" s="27" t="s">
        <v>1080</v>
      </c>
      <c r="D1123" s="27" t="s">
        <v>1075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1437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1102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row>
    <row r="1127" spans="1:12">
      <c r="A1127" s="20" t="s">
        <v>1550</v>
      </c>
    </row>
    <row r="1128" spans="1:12">
      <c r="A1128" s="20" t="s">
        <v>1222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1538</v>
      </c>
      <c r="B1129" s="27" t="s">
        <v>1107</v>
      </c>
      <c r="C1129" s="27" t="s">
        <v>1080</v>
      </c>
      <c r="D1129" s="27" t="s">
        <v>1075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1539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1081</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1100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1538</v>
      </c>
      <c r="B1133" s="27" t="s">
        <v>1079</v>
      </c>
      <c r="C1133" s="27" t="s">
        <v>1080</v>
      </c>
      <c r="D1133" s="27" t="s">
        <v>1075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1551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1552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1553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1071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1554</v>
      </c>
      <c r="B1138" s="27" t="s">
        <v>1073</v>
      </c>
      <c r="C1138" s="27" t="s">
        <v>1115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1100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1555</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1087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1081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1556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1557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1092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1100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1176</v>
      </c>
      <c r="B1147" s="27" t="s">
        <v>1113</v>
      </c>
      <c r="C1147" s="27" t="s">
        <v>1080</v>
      </c>
      <c r="D1147" s="27" t="s">
        <v>1075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1416</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1129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1476</v>
      </c>
      <c r="B1150" s="27" t="s">
        <v>1079</v>
      </c>
      <c r="C1150" s="27" t="s">
        <v>1115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1092</v>
      </c>
      <c r="B1151" s="27" t="s">
        <v>1226</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1435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1558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1559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1560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1138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1561</v>
      </c>
      <c r="B1157" s="27" t="s">
        <v>1121</v>
      </c>
      <c r="C1157" s="27" t="s">
        <v>1127</v>
      </c>
      <c r="D1157" s="27" t="s">
        <v>1075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1092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1261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1276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1354</v>
      </c>
      <c r="B1161" s="27" t="s">
        <v>1424</v>
      </c>
      <c r="C1161" s="27" t="s">
        <v>1084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1100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1562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1138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1077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1563</v>
      </c>
      <c r="B1167" s="27" t="s">
        <v>1564</v>
      </c>
      <c r="C1167" s="27" t="s">
        <v>1119</v>
      </c>
      <c r="D1167" s="27" t="s">
        <v>1075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1565</v>
      </c>
      <c r="B1168" s="27" t="s">
        <v>1420</v>
      </c>
      <c r="C1168" s="27" t="s">
        <v>1080</v>
      </c>
      <c r="D1168" s="27" t="s">
        <v>1075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1081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1566</v>
      </c>
      <c r="B1170" s="27" t="s">
        <v>1564</v>
      </c>
      <c r="C1170" s="27" t="s">
        <v>1084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1102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1567</v>
      </c>
    </row>
    <row r="1174" spans="1:12">
      <c r="A1174" s="20" t="s">
        <v>1568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1092</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1096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1569</v>
      </c>
      <c r="B1178" s="27" t="s">
        <v>1113</v>
      </c>
      <c r="C1178" s="27" t="s">
        <v>1080</v>
      </c>
      <c r="D1178" s="27" t="s">
        <v>1075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1092</v>
      </c>
      <c r="B1179" s="27" t="s">
        <v>1256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1391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1210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1100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1176</v>
      </c>
      <c r="B1183" s="27" t="s">
        <v>1259</v>
      </c>
      <c r="C1183" s="27" t="s">
        <v>1080</v>
      </c>
      <c r="D1183" s="27" t="s">
        <v>1075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1570</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1571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1102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1572</v>
      </c>
    </row>
    <row r="1189" spans="1:12">
      <c r="A1189" s="20" t="s">
        <v>1252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1570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1573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1574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1102</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row>
    <row r="1195" spans="1:12">
      <c r="A1195" s="20" t="s">
        <v>1575</v>
      </c>
    </row>
    <row r="1196" spans="1:12">
      <c r="A1196" s="20" t="s">
        <v>1576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1577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1578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1102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1579</v>
      </c>
    </row>
    <row r="1202" spans="1:12">
      <c r="A1202" s="20" t="s">
        <v>1580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1581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1582</v>
      </c>
      <c r="B1204" s="27" t="s">
        <v>1073</v>
      </c>
      <c r="C1204" s="27" t="s">
        <v>1084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1583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1102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row>
    <row r="1208" spans="1:12">
      <c r="A1208" s="20" t="s">
        <v>1584</v>
      </c>
    </row>
    <row r="1209" spans="1:12">
      <c r="A1209" s="20" t="s">
        <v>1576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1071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1585</v>
      </c>
      <c r="B1211" s="27" t="s">
        <v>1152</v>
      </c>
      <c r="C1211" s="27" t="s">
        <v>1115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1102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1586</v>
      </c>
    </row>
    <row r="1215" spans="1:12">
      <c r="A1215" s="20" t="s">
        <v>1243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1500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1258</v>
      </c>
      <c r="B1217" s="27" t="s">
        <v>1073</v>
      </c>
      <c r="C1217" s="27" t="s">
        <v>1127</v>
      </c>
      <c r="D1217" s="27" t="s">
        <v>1075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1573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702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1138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389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1587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1081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1261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1588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193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1234</v>
      </c>
      <c r="B1227" s="27" t="s">
        <v>1134</v>
      </c>
      <c r="C1227" s="27" t="s">
        <v>1169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1105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1261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1276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1248</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1254</v>
      </c>
      <c r="B1233" s="27" t="s">
        <v>1259</v>
      </c>
      <c r="C1233" s="27" t="s">
        <v>1250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1100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556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1102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row>
    <row r="1238" spans="1:12">
      <c r="A1238" s="20" t="s">
        <v>1589</v>
      </c>
    </row>
    <row r="1239" spans="1:12">
      <c r="A1239" s="20" t="s">
        <v>1590</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1092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1138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1591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1100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193</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1234</v>
      </c>
      <c r="B1245" s="27" t="s">
        <v>1148</v>
      </c>
      <c r="C1245" s="27" t="s">
        <v>1169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1087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1111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1299</v>
      </c>
      <c r="B1248" s="27" t="s">
        <v>1083</v>
      </c>
      <c r="C1248" s="27" t="s">
        <v>1080</v>
      </c>
      <c r="D1248" s="27" t="s">
        <v>1075</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1592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454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1138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1096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1291</v>
      </c>
      <c r="B1253" s="27" t="s">
        <v>1090</v>
      </c>
      <c r="C1253" s="27" t="s">
        <v>1119</v>
      </c>
      <c r="D1253" s="27" t="s">
        <v>1075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1569</v>
      </c>
      <c r="B1254" s="27" t="s">
        <v>1303</v>
      </c>
      <c r="C1254" s="27" t="s">
        <v>1080</v>
      </c>
      <c r="D1254" s="27" t="s">
        <v>1075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1081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1593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1594</v>
      </c>
      <c r="B1257" s="27" t="s">
        <v>1126</v>
      </c>
      <c r="C1257" s="27" t="s">
        <v>1084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1092</v>
      </c>
      <c r="B1258" s="27" t="s">
        <v>1134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1370</v>
      </c>
      <c r="B1259" s="27" t="s">
        <v>1226</v>
      </c>
      <c r="C1259" s="27" t="s">
        <v>1250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1595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1596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1129</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1597</v>
      </c>
      <c r="B1263" s="27" t="s">
        <v>1134</v>
      </c>
      <c r="C1263" s="27" t="s">
        <v>1115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1558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1598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1102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1599</v>
      </c>
    </row>
    <row r="1269" spans="1:12">
      <c r="A1269" s="20" t="s">
        <v>1222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1176</v>
      </c>
      <c r="B1270" s="27" t="s">
        <v>1107</v>
      </c>
      <c r="C1270" s="27" t="s">
        <v>1080</v>
      </c>
      <c r="D1270" s="27" t="s">
        <v>1075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1192</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1100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1600</v>
      </c>
      <c r="B1273" s="27" t="s">
        <v>1152</v>
      </c>
      <c r="C1273" s="27" t="s">
        <v>1074</v>
      </c>
      <c r="D1273" s="27" t="s">
        <v>1075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1077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1601</v>
      </c>
      <c r="B1276" s="27" t="s">
        <v>1152</v>
      </c>
      <c r="C1276" s="27" t="s">
        <v>1080</v>
      </c>
      <c r="D1276" s="27" t="s">
        <v>1075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1102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row>
    <row r="1279" spans="1:12">
      <c r="A1279" s="20" t="s">
        <v>1296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1602</v>
      </c>
    </row>
    <row r="1281" spans="1:12">
      <c r="A1281" s="20" t="s">
        <v>1369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1099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1603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1135</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1370</v>
      </c>
      <c r="B1285" s="27" t="s">
        <v>1152</v>
      </c>
      <c r="C1285" s="27" t="s">
        <v>1250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1081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1604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1295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1369</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1100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1132</v>
      </c>
      <c r="B1292" s="27" t="s">
        <v>1090</v>
      </c>
      <c r="C1292" s="27" t="s">
        <v>1119</v>
      </c>
      <c r="D1292" s="27" t="s">
        <v>1075</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1605</v>
      </c>
      <c r="B1293" s="27" t="s">
        <v>1113</v>
      </c>
      <c r="C1293" s="27" t="s">
        <v>1080</v>
      </c>
      <c r="D1293" s="27" t="s">
        <v>1075</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64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1087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1606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1497</v>
      </c>
      <c r="B1297" s="27" t="s">
        <v>1126</v>
      </c>
      <c r="C1297" s="27" t="s">
        <v>1250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93</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1261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1607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1601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1094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1077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1608</v>
      </c>
      <c r="B1305" s="27" t="s">
        <v>1148</v>
      </c>
      <c r="C1305" s="27" t="s">
        <v>1080</v>
      </c>
      <c r="D1305" s="27" t="s">
        <v>1075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1102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row>
    <row r="1308" spans="1:12">
      <c r="A1308" s="20" t="s">
        <v>1609</v>
      </c>
    </row>
    <row r="1309" spans="1:12">
      <c r="A1309" s="20" t="s">
        <v>1252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1610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1601</v>
      </c>
      <c r="B1311" s="27" t="s">
        <v>1107</v>
      </c>
      <c r="C1311" s="27" t="s">
        <v>1074</v>
      </c>
      <c r="D1311" s="27" t="s">
        <v>1075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1158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1077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1389</v>
      </c>
      <c r="B1314" s="27" t="s">
        <v>1079</v>
      </c>
      <c r="C1314" s="27" t="s">
        <v>1074</v>
      </c>
      <c r="D1314" s="27" t="s">
        <v>1075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1138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1611</v>
      </c>
      <c r="B1316" s="27" t="s">
        <v>1148</v>
      </c>
      <c r="C1316" s="27" t="s">
        <v>1084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1102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row r="1319" spans="1:12">
      <c r="A1319" s="20" t="s">
        <v>1612</v>
      </c>
    </row>
    <row r="1320" spans="1:12">
      <c r="A1320" s="20" t="s">
        <v>1613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1614</v>
      </c>
      <c r="B1321" s="27" t="s">
        <v>1107</v>
      </c>
      <c r="C1321" s="27" t="s">
        <v>1195</v>
      </c>
      <c r="D1321" s="27" t="s">
        <v>1075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1138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1077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1615</v>
      </c>
      <c r="B1324" s="27" t="s">
        <v>1079</v>
      </c>
      <c r="C1324" s="27" t="s">
        <v>1080</v>
      </c>
      <c r="D1324" s="27" t="s">
        <v>1075</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1616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1077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1617</v>
      </c>
      <c r="B1328" s="27" t="s">
        <v>1152</v>
      </c>
      <c r="C1328" s="27" t="s">
        <v>1074</v>
      </c>
      <c r="D1328" s="27" t="s">
        <v>1075</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1138</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1100</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1618</v>
      </c>
      <c r="B1331" s="27" t="s">
        <v>1079</v>
      </c>
      <c r="C1331" s="27" t="s">
        <v>1080</v>
      </c>
      <c r="D1331" s="27" t="s">
        <v>1075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1102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row>
    <row r="1334" spans="1:12">
      <c r="A1334" s="20" t="s">
        <v>1619</v>
      </c>
    </row>
    <row r="1335" spans="1:12">
      <c r="A1335" s="20" t="s">
        <v>1620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1245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1255</v>
      </c>
      <c r="B1337" s="27" t="s">
        <v>1073</v>
      </c>
      <c r="C1337" s="27" t="s">
        <v>1169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1092</v>
      </c>
      <c r="B1338" s="27" t="s">
        <v>1303</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1111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1299</v>
      </c>
      <c r="B1340" s="27" t="s">
        <v>1113</v>
      </c>
      <c r="C1340" s="27" t="s">
        <v>1080</v>
      </c>
      <c r="D1340" s="27" t="s">
        <v>1075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1621</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1622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1295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1176</v>
      </c>
      <c r="B1344" s="27" t="s">
        <v>1079</v>
      </c>
      <c r="C1344" s="27" t="s">
        <v>1084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1087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1623</v>
      </c>
      <c r="B1346" s="27" t="s">
        <v>1148</v>
      </c>
      <c r="C1346" s="27" t="s">
        <v>1084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1081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1624</v>
      </c>
      <c r="B1348" s="27" t="s">
        <v>1148</v>
      </c>
      <c r="C1348" s="27" t="s">
        <v>1084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1102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row>
    <row r="1351" spans="1:12">
      <c r="A1351" s="20" t="s">
        <v>1625</v>
      </c>
    </row>
    <row r="1352" spans="1:12">
      <c r="A1352" s="20" t="s">
        <v>1222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1623</v>
      </c>
      <c r="B1353" s="27" t="s">
        <v>1107</v>
      </c>
      <c r="C1353" s="27" t="s">
        <v>1080</v>
      </c>
      <c r="D1353" s="27" t="s">
        <v>1075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1192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1626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1627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1102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row>
    <row r="1359" spans="1:12">
      <c r="A1359" s="20" t="s">
        <v>1628</v>
      </c>
    </row>
    <row r="1360" spans="1:12">
      <c r="A1360" s="20" t="s">
        <v>1369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1629</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1370</v>
      </c>
      <c r="B1362" s="27" t="s">
        <v>1126</v>
      </c>
      <c r="C1362" s="27" t="s">
        <v>1250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1081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1076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1096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1630</v>
      </c>
      <c r="B1366" s="27" t="s">
        <v>1148</v>
      </c>
      <c r="C1366" s="27" t="s">
        <v>1080</v>
      </c>
      <c r="D1366" s="27" t="s">
        <v>1075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1573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1631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1087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1081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1232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1087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1404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1405</v>
      </c>
      <c r="B1374" s="27" t="s">
        <v>1090</v>
      </c>
      <c r="C1374" s="27" t="s">
        <v>1169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1494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1632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1087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1633</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1332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1634</v>
      </c>
      <c r="B1380" s="27" t="s">
        <v>1073</v>
      </c>
      <c r="C1380" s="27" t="s">
        <v>1204</v>
      </c>
      <c r="D1380" s="27" t="s">
        <v>1075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1087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1267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1635</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1100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1636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1071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1637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1638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1087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1639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1192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1623</v>
      </c>
      <c r="B1392" s="27" t="s">
        <v>1126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1102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1640</v>
      </c>
    </row>
    <row r="1396" spans="1:12">
      <c r="A1396" s="20" t="s">
        <v>1641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1642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1238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567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1643</v>
      </c>
      <c r="B1400" s="27" t="s">
        <v>1126</v>
      </c>
      <c r="C1400" s="27" t="s">
        <v>1119</v>
      </c>
      <c r="D1400" s="27" t="s">
        <v>1075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1087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1644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1094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1645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1102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row>
    <row r="1407" spans="1:12">
      <c r="A1407" s="20" t="s">
        <v>1646</v>
      </c>
    </row>
    <row r="1408" spans="1:12">
      <c r="A1408" s="20" t="s">
        <v>1369</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1647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1129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1611</v>
      </c>
      <c r="B1411" s="27" t="s">
        <v>1126</v>
      </c>
      <c r="C1411" s="27" t="s">
        <v>1115</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1648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1081</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1076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1096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1630</v>
      </c>
      <c r="B1416" s="27" t="s">
        <v>1079</v>
      </c>
      <c r="C1416" s="27" t="s">
        <v>1080</v>
      </c>
      <c r="D1416" s="27" t="s">
        <v>1075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1444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1087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1081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1404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1405</v>
      </c>
      <c r="B1421" s="27" t="s">
        <v>1090</v>
      </c>
      <c r="C1421" s="27" t="s">
        <v>1169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1232</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1261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1352</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1636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1254</v>
      </c>
      <c r="B1426" s="27" t="s">
        <v>1134</v>
      </c>
      <c r="C1426" s="27" t="s">
        <v>1250</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1087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1639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1192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1129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1176</v>
      </c>
      <c r="B1431" s="27" t="s">
        <v>1152</v>
      </c>
      <c r="C1431" s="27" t="s">
        <v>1115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1649</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1238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1111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1650</v>
      </c>
      <c r="B1435" s="27" t="s">
        <v>1079</v>
      </c>
      <c r="C1435" s="27" t="s">
        <v>1080</v>
      </c>
      <c r="D1435" s="27" t="s">
        <v>1075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1651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1102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1652</v>
      </c>
    </row>
    <row r="1440" spans="1:12">
      <c r="A1440" s="20" t="s">
        <v>1222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1653</v>
      </c>
      <c r="B1441" s="27" t="s">
        <v>1107</v>
      </c>
      <c r="C1441" s="27" t="s">
        <v>1080</v>
      </c>
      <c r="D1441" s="27" t="s">
        <v>1075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1654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1655</v>
      </c>
      <c r="B1443" s="27" t="s">
        <v>1073</v>
      </c>
      <c r="C1443" s="27" t="s">
        <v>1127</v>
      </c>
      <c r="D1443" s="27" t="s">
        <v>1075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1573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1102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row>
    <row r="1447" spans="1:12">
      <c r="A1447" s="20" t="s">
        <v>1656</v>
      </c>
    </row>
    <row r="1448" spans="1:12">
      <c r="A1448" s="20" t="s">
        <v>1657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1299</v>
      </c>
      <c r="B1449" s="27" t="s">
        <v>1107</v>
      </c>
      <c r="C1449" s="27" t="s">
        <v>1080</v>
      </c>
      <c r="D1449" s="27" t="s">
        <v>1075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1658</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1092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1100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1176</v>
      </c>
      <c r="B1453" s="27" t="s">
        <v>1083</v>
      </c>
      <c r="C1453" s="27" t="s">
        <v>1080</v>
      </c>
      <c r="D1453" s="27" t="s">
        <v>1075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1192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1659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1095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1660</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1102</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row>
    <row r="1461" spans="1:12">
      <c r="A1461" s="20" t="s">
        <v>1661</v>
      </c>
    </row>
    <row r="1462" spans="1:12">
      <c r="A1462" s="20" t="s">
        <v>1407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1573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1087</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1573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1494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1077</v>
      </c>
      <c r="B1468" s="27" t="s">
        <v>1148</v>
      </c>
      <c r="C1468" s="27" t="s">
        <v>1204</v>
      </c>
      <c r="D1468" s="27" t="s">
        <v>1075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1092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1662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1624</v>
      </c>
      <c r="B1471" s="27" t="s">
        <v>1152</v>
      </c>
      <c r="C1471" s="27" t="s">
        <v>1300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1573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1494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1138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1077</v>
      </c>
      <c r="B1475" s="27" t="s">
        <v>1090</v>
      </c>
      <c r="C1475" s="27" t="s">
        <v>1204</v>
      </c>
      <c r="D1475" s="27" t="s">
        <v>1075</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1092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1623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1238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1129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1663</v>
      </c>
      <c r="B1480" s="27" t="s">
        <v>1148</v>
      </c>
      <c r="C1480" s="27" t="s">
        <v>1115</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1494</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1664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1102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row>
    <row r="1485" spans="1:12">
      <c r="A1485" s="20" t="s">
        <v>1665</v>
      </c>
    </row>
    <row r="1486" spans="1:12">
      <c r="A1486" s="20" t="s">
        <v>1666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1258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1667</v>
      </c>
      <c r="B1488" s="27" t="s">
        <v>1126</v>
      </c>
      <c r="C1488" s="27" t="s">
        <v>1084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1100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208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1100</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1176</v>
      </c>
      <c r="B1492" s="27" t="s">
        <v>1134</v>
      </c>
      <c r="C1492" s="27" t="s">
        <v>1080</v>
      </c>
      <c r="D1492" s="27" t="s">
        <v>1075</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1081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1668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1669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1138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1299</v>
      </c>
      <c r="B1497" s="27" t="s">
        <v>1118</v>
      </c>
      <c r="C1497" s="27" t="s">
        <v>1084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1092</v>
      </c>
      <c r="B1498" s="27" t="s">
        <v>1670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1671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1672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1673</v>
      </c>
      <c r="B1501" s="27" t="s">
        <v>1674</v>
      </c>
      <c r="C1501" s="27" t="s">
        <v>1195</v>
      </c>
      <c r="D1501" s="27" t="s">
        <v>1075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1675</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1092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1276</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1299</v>
      </c>
      <c r="B1506" s="27" t="s">
        <v>1126</v>
      </c>
      <c r="C1506" s="27" t="s">
        <v>1084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1092</v>
      </c>
      <c r="B1507" s="27" t="s">
        <v>1226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1087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1676</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1087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1100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1100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1507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1677</v>
      </c>
      <c r="B1514" s="27" t="s">
        <v>1121</v>
      </c>
      <c r="C1514" s="27" t="s">
        <v>1080</v>
      </c>
      <c r="D1514" s="27" t="s">
        <v>1075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1087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1109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1135</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1129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1176</v>
      </c>
      <c r="B1519" s="27" t="s">
        <v>1148</v>
      </c>
      <c r="C1519" s="27" t="s">
        <v>1115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1678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1679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1267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1092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1087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1076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1077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1347</v>
      </c>
      <c r="B1527" s="27" t="s">
        <v>1121</v>
      </c>
      <c r="C1527" s="27" t="s">
        <v>1084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1087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1109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1680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1681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1102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1682</v>
      </c>
    </row>
    <row r="1535" spans="1:12">
      <c r="A1535" s="20" t="s">
        <v>1104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1276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1423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1299</v>
      </c>
      <c r="B1538" s="27" t="s">
        <v>1073</v>
      </c>
      <c r="C1538" s="27" t="s">
        <v>1300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1092</v>
      </c>
      <c r="B1539" s="27" t="s">
        <v>1113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1087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1401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1111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1336</v>
      </c>
      <c r="B1543" s="27" t="s">
        <v>1090</v>
      </c>
      <c r="C1543" s="27" t="s">
        <v>1119</v>
      </c>
      <c r="D1543" s="27" t="s">
        <v>1075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1683</v>
      </c>
      <c r="B1544" s="27" t="s">
        <v>1148</v>
      </c>
      <c r="C1544" s="27" t="s">
        <v>1080</v>
      </c>
      <c r="D1544" s="27" t="s">
        <v>1075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1684</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1432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1129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1176</v>
      </c>
      <c r="B1548" s="27" t="s">
        <v>1303</v>
      </c>
      <c r="C1548" s="27" t="s">
        <v>1115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1486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1267</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1092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1087</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1076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1077</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1347</v>
      </c>
      <c r="B1555" s="27" t="s">
        <v>1121</v>
      </c>
      <c r="C1555" s="27" t="s">
        <v>1084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1087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1684</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1432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1129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1511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1510</v>
      </c>
      <c r="B1561" s="27" t="s">
        <v>1134</v>
      </c>
      <c r="C1561" s="27" t="s">
        <v>1115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1076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1096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1685</v>
      </c>
      <c r="B1564" s="27" t="s">
        <v>1090</v>
      </c>
      <c r="C1564" s="27" t="s">
        <v>1074</v>
      </c>
      <c r="D1564" s="27" t="s">
        <v>1075</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1686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1096</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1687</v>
      </c>
      <c r="B1567" s="27" t="s">
        <v>1121</v>
      </c>
      <c r="C1567" s="27" t="s">
        <v>1080</v>
      </c>
      <c r="D1567" s="27" t="s">
        <v>1075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1688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1102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1689</v>
      </c>
    </row>
    <row r="1572" spans="1:12">
      <c r="A1572" s="20" t="s">
        <v>1104</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1690</v>
      </c>
      <c r="B1573" s="27" t="s">
        <v>1107</v>
      </c>
      <c r="C1573" s="27" t="s">
        <v>1084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1258</v>
      </c>
      <c r="B1574" s="27" t="s">
        <v>1073</v>
      </c>
      <c r="C1574" s="27" t="s">
        <v>1127</v>
      </c>
      <c r="D1574" s="27" t="s">
        <v>1075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312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1077</v>
      </c>
      <c r="B1576" s="27" t="s">
        <v>1148</v>
      </c>
      <c r="C1576" s="27" t="s">
        <v>1204</v>
      </c>
      <c r="D1576" s="27" t="s">
        <v>1075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1092</v>
      </c>
      <c r="B1577" s="27" t="s">
        <v>1083</v>
      </c>
      <c r="C1577" s="27" t="s">
        <v>1543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1192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1092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1691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1135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1092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1692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1299</v>
      </c>
      <c r="B1584" s="27" t="s">
        <v>1113</v>
      </c>
      <c r="C1584" s="27" t="s">
        <v>1300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1693</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1494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1694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1092</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1423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1299</v>
      </c>
      <c r="B1590" s="27" t="s">
        <v>1148</v>
      </c>
      <c r="C1590" s="27" t="s">
        <v>1300</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1102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1695</v>
      </c>
    </row>
    <row r="1594" spans="1:12">
      <c r="A1594" s="20" t="s">
        <v>1696</v>
      </c>
      <c r="B1594" s="27" t="s">
        <v>1152</v>
      </c>
      <c r="C1594" s="27" t="s">
        <v>1543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1570</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1096</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1697</v>
      </c>
      <c r="B1597" s="27" t="s">
        <v>1107</v>
      </c>
      <c r="C1597" s="27" t="s">
        <v>1080</v>
      </c>
      <c r="D1597" s="27" t="s">
        <v>1075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1092</v>
      </c>
      <c r="B1598" s="27" t="s">
        <v>1113</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1698</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1100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1111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1299</v>
      </c>
      <c r="B1602" s="27" t="s">
        <v>1303</v>
      </c>
      <c r="C1602" s="27" t="s">
        <v>1080</v>
      </c>
      <c r="D1602" s="27" t="s">
        <v>1075</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1207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1492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row>
    <row r="1606" spans="1:12">
      <c r="A1606" s="20" t="s">
        <v>1699</v>
      </c>
    </row>
    <row r="1607" spans="1:12">
      <c r="A1607" s="20" t="s">
        <v>1700</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1100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1701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1299</v>
      </c>
      <c r="B1610" s="27" t="s">
        <v>1126</v>
      </c>
      <c r="C1610" s="27" t="s">
        <v>1084</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1702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1703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1138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1423</v>
      </c>
      <c r="B1615" s="27" t="s">
        <v>1148</v>
      </c>
      <c r="C1615" s="27" t="s">
        <v>1250</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1087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1092</v>
      </c>
      <c r="B1617" s="27" t="s">
        <v>1226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1109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1100</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1704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1138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1176</v>
      </c>
      <c r="B1622" s="27" t="s">
        <v>1134</v>
      </c>
      <c r="C1622" s="27" t="s">
        <v>1084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1102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row>
    <row r="1625" spans="1:12">
      <c r="A1625" s="20" t="s">
        <v>1705</v>
      </c>
    </row>
    <row r="1626" spans="1:12">
      <c r="A1626" s="20" t="s">
        <v>1322</v>
      </c>
      <c r="B1626" s="27" t="s">
        <v>1107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1138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1111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1706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1299</v>
      </c>
      <c r="B1630" s="27" t="s">
        <v>1079</v>
      </c>
      <c r="C1630" s="27" t="s">
        <v>1080</v>
      </c>
      <c r="D1630" s="27" t="s">
        <v>1075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1092</v>
      </c>
      <c r="B1631" s="27" t="s">
        <v>1226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1707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1708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1100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1176</v>
      </c>
      <c r="B1635" s="27" t="s">
        <v>1073</v>
      </c>
      <c r="C1635" s="27" t="s">
        <v>1080</v>
      </c>
      <c r="D1635" s="27" t="s">
        <v>1075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1094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1129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1354</v>
      </c>
      <c r="B1638" s="27" t="s">
        <v>1152</v>
      </c>
      <c r="C1638" s="27" t="s">
        <v>1115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1494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1709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1138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1102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1710</v>
      </c>
    </row>
    <row r="1646" spans="1:12">
      <c r="A1646" s="20" t="s">
        <v>1270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1522</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1210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1199</v>
      </c>
      <c r="B1649" s="27" t="s">
        <v>1083</v>
      </c>
      <c r="C1649" s="27" t="s">
        <v>1127</v>
      </c>
      <c r="D1649" s="27" t="s">
        <v>1075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1290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1344</v>
      </c>
      <c r="B1651" s="27" t="s">
        <v>1126</v>
      </c>
      <c r="C1651" s="27" t="s">
        <v>1204</v>
      </c>
      <c r="D1651" s="27" t="s">
        <v>1075</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1076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1077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1711</v>
      </c>
      <c r="B1654" s="27" t="s">
        <v>1079</v>
      </c>
      <c r="C1654" s="27" t="s">
        <v>1080</v>
      </c>
      <c r="D1654" s="27" t="s">
        <v>1075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1434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1712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1258</v>
      </c>
      <c r="B1657" s="27" t="s">
        <v>1126</v>
      </c>
      <c r="C1657" s="27" t="s">
        <v>1127</v>
      </c>
      <c r="D1657" s="27" t="s">
        <v>1075</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1092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1129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1354</v>
      </c>
      <c r="B1660" s="27" t="s">
        <v>1226</v>
      </c>
      <c r="C1660" s="27" t="s">
        <v>1115</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1709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1138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1616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601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1713</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1100</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1100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1714</v>
      </c>
      <c r="B1669" s="27" t="s">
        <v>1090</v>
      </c>
      <c r="C1669" s="27" t="s">
        <v>1080</v>
      </c>
      <c r="D1669" s="27" t="s">
        <v>1075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1102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1715</v>
      </c>
    </row>
    <row r="1673" spans="1:12">
      <c r="A1673" s="20" t="s">
        <v>1533</v>
      </c>
      <c r="B1673" s="27" t="s">
        <v>1083</v>
      </c>
      <c r="C1673" s="27" t="s">
        <v>1204</v>
      </c>
      <c r="D1673" s="27" t="s">
        <v>1075</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1192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1129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1485</v>
      </c>
      <c r="B1676" s="27" t="s">
        <v>1152</v>
      </c>
      <c r="C1676" s="27" t="s">
        <v>1115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1385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1087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1192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1100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1716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1663</v>
      </c>
      <c r="B1682" s="27" t="s">
        <v>1073</v>
      </c>
      <c r="C1682" s="27" t="s">
        <v>1074</v>
      </c>
      <c r="D1682" s="27" t="s">
        <v>1075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1138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1717</v>
      </c>
      <c r="B1684" s="27" t="s">
        <v>1079</v>
      </c>
      <c r="C1684" s="27" t="s">
        <v>1074</v>
      </c>
      <c r="D1684" s="27" t="s">
        <v>1075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1076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1410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1077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1166</v>
      </c>
      <c r="B1688" s="27" t="s">
        <v>1148</v>
      </c>
      <c r="C1688" s="27" t="s">
        <v>1080</v>
      </c>
      <c r="D1688" s="27" t="s">
        <v>1075</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1081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1111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1299</v>
      </c>
      <c r="B1691" s="27" t="s">
        <v>1107</v>
      </c>
      <c r="C1691" s="27" t="s">
        <v>1080</v>
      </c>
      <c r="D1691" s="27" t="s">
        <v>1075</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1718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1138</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1344</v>
      </c>
      <c r="B1694" s="27" t="s">
        <v>1079</v>
      </c>
      <c r="C1694" s="27" t="s">
        <v>1204</v>
      </c>
      <c r="D1694" s="27" t="s">
        <v>1075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1106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1096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1719</v>
      </c>
      <c r="B1697" s="27" t="s">
        <v>1073</v>
      </c>
      <c r="C1697" s="27" t="s">
        <v>1074</v>
      </c>
      <c r="D1697" s="27" t="s">
        <v>1075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1102</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row>
    <row r="1700" spans="1:12">
      <c r="A1700" s="20" t="s">
        <v>1720</v>
      </c>
    </row>
    <row r="1701" spans="1:12">
      <c r="A1701" s="20" t="s">
        <v>1322</v>
      </c>
      <c r="B1701" s="27" t="s">
        <v>1107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1138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1111</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1299</v>
      </c>
      <c r="B1704" s="27" t="s">
        <v>1079</v>
      </c>
      <c r="C1704" s="27" t="s">
        <v>1080</v>
      </c>
      <c r="D1704" s="27" t="s">
        <v>1075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1135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1491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1721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1105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28</v>
      </c>
      <c r="B1709" s="27" t="s">
        <v>1205</v>
      </c>
      <c r="C1709" s="27" t="s">
        <v>1127</v>
      </c>
      <c r="D1709" s="27" t="s">
        <v>1075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1435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1100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548</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208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1722</v>
      </c>
      <c r="B1714" s="27" t="s">
        <v>1424</v>
      </c>
      <c r="C1714" s="27" t="s">
        <v>1204</v>
      </c>
      <c r="D1714" s="27" t="s">
        <v>1075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146</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1129</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1345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1723</v>
      </c>
      <c r="B1718" s="27" t="s">
        <v>1152</v>
      </c>
      <c r="C1718" s="27" t="s">
        <v>1115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1092</v>
      </c>
      <c r="B1719" s="27" t="s">
        <v>1126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28</v>
      </c>
      <c r="B1720" s="27" t="s">
        <v>1083</v>
      </c>
      <c r="C1720" s="27" t="s">
        <v>1127</v>
      </c>
      <c r="D1720" s="27" t="s">
        <v>1075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1724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1588</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1725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1234</v>
      </c>
      <c r="B1724" s="27" t="s">
        <v>1079</v>
      </c>
      <c r="C1724" s="27" t="s">
        <v>1300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1102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1726</v>
      </c>
    </row>
    <row r="1728" spans="1:12">
      <c r="A1728" s="20" t="s">
        <v>1727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1432</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1071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1728</v>
      </c>
      <c r="B1731" s="27" t="s">
        <v>1073</v>
      </c>
      <c r="C1731" s="27" t="s">
        <v>1115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1729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1105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1416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1730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1076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1100</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1731</v>
      </c>
      <c r="B1738" s="27" t="s">
        <v>1079</v>
      </c>
      <c r="C1738" s="27" t="s">
        <v>1080</v>
      </c>
      <c r="D1738" s="27" t="s">
        <v>1075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1102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1732</v>
      </c>
    </row>
    <row r="1742" spans="1:12">
      <c r="A1742" s="20" t="s">
        <v>1142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1733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1076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1129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1176</v>
      </c>
      <c r="B1746" s="27" t="s">
        <v>1073</v>
      </c>
      <c r="C1746" s="27" t="s">
        <v>1115</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1734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1102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1735</v>
      </c>
    </row>
    <row r="1751" spans="1:12">
      <c r="A1751" s="20" t="s">
        <v>1736</v>
      </c>
      <c r="B1751" s="27" t="s">
        <v>1107</v>
      </c>
      <c r="C1751" s="27" t="s">
        <v>1127</v>
      </c>
      <c r="D1751" s="27" t="s">
        <v>1075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1308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1737</v>
      </c>
      <c r="B1753" s="27" t="s">
        <v>1073</v>
      </c>
      <c r="C1753" s="27" t="s">
        <v>1084</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1738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1087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1394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1739</v>
      </c>
      <c r="B1757" s="27" t="s">
        <v>1079</v>
      </c>
      <c r="C1757" s="27" t="s">
        <v>1084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1740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1087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1094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1416</v>
      </c>
      <c r="B1761" s="27" t="s">
        <v>1152</v>
      </c>
      <c r="C1761" s="27" t="s">
        <v>1084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1741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1076</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1100</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1742</v>
      </c>
      <c r="B1765" s="27" t="s">
        <v>1148</v>
      </c>
      <c r="C1765" s="27" t="s">
        <v>1080</v>
      </c>
      <c r="D1765" s="27" t="s">
        <v>1075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1102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row>
    <row r="1768" spans="1:12">
      <c r="A1768" s="20" t="s">
        <v>1743</v>
      </c>
    </row>
    <row r="1769" spans="1:12">
      <c r="A1769" s="20" t="s">
        <v>1744</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1725</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1234</v>
      </c>
      <c r="B1771" s="27" t="s">
        <v>1152</v>
      </c>
      <c r="C1771" s="27" t="s">
        <v>1300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1087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1745</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1746</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1747</v>
      </c>
      <c r="B1775" s="27" t="s">
        <v>1073</v>
      </c>
      <c r="C1775" s="27" t="s">
        <v>1074</v>
      </c>
      <c r="D1775" s="27" t="s">
        <v>1075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1135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1748</v>
      </c>
      <c r="B1777" s="27" t="s">
        <v>1079</v>
      </c>
      <c r="C1777" s="27" t="s">
        <v>1084</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1102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row>
    <row r="1780" spans="1:12">
      <c r="A1780" s="20" t="s">
        <v>1749</v>
      </c>
    </row>
    <row r="1781" spans="1:12">
      <c r="A1781" s="20" t="s">
        <v>1142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1750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1751</v>
      </c>
      <c r="B1783" s="27" t="s">
        <v>1073</v>
      </c>
      <c r="C1783" s="27" t="s">
        <v>1127</v>
      </c>
      <c r="D1783" s="27" t="s">
        <v>1075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1077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1748</v>
      </c>
      <c r="B1785" s="27" t="s">
        <v>1073</v>
      </c>
      <c r="C1785" s="27" t="s">
        <v>1080</v>
      </c>
      <c r="D1785" s="27" t="s">
        <v>1075</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1210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1752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1094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1095</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1753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1158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1461</v>
      </c>
      <c r="B1792" s="27" t="s">
        <v>1079</v>
      </c>
      <c r="C1792" s="27" t="s">
        <v>1127</v>
      </c>
      <c r="D1792" s="27" t="s">
        <v>1075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1081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1754</v>
      </c>
      <c r="B1795" s="27" t="s">
        <v>1113</v>
      </c>
      <c r="C1795" s="27" t="s">
        <v>1127</v>
      </c>
      <c r="D1795" s="27" t="s">
        <v>1075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1745</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1497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1739</v>
      </c>
      <c r="B1798" s="27" t="s">
        <v>1303</v>
      </c>
      <c r="C1798" s="27" t="s">
        <v>1300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1102</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row>
    <row r="1801" spans="1:12">
      <c r="A1801" s="20" t="s">
        <v>1755</v>
      </c>
    </row>
    <row r="1802" spans="1:12">
      <c r="A1802" s="20" t="s">
        <v>1756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1076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1100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1757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1176</v>
      </c>
      <c r="B1806" s="27" t="s">
        <v>1152</v>
      </c>
      <c r="C1806" s="27" t="s">
        <v>1080</v>
      </c>
      <c r="D1806" s="27" t="s">
        <v>1075</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1092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28</v>
      </c>
      <c r="B1808" s="27" t="s">
        <v>1083</v>
      </c>
      <c r="C1808" s="27" t="s">
        <v>1127</v>
      </c>
      <c r="D1808" s="27" t="s">
        <v>1075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1758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1759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1102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1760</v>
      </c>
    </row>
    <row r="1814" spans="1:12">
      <c r="A1814" s="20" t="s">
        <v>1761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1762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1076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1077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1763</v>
      </c>
      <c r="B1818" s="27" t="s">
        <v>1079</v>
      </c>
      <c r="C1818" s="27" t="s">
        <v>1074</v>
      </c>
      <c r="D1818" s="27" t="s">
        <v>1075</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1138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1096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1764</v>
      </c>
      <c r="B1821" s="27" t="s">
        <v>1148</v>
      </c>
      <c r="C1821" s="27" t="s">
        <v>1080</v>
      </c>
      <c r="D1821" s="27" t="s">
        <v>1075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1087</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1494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1394</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1359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1765</v>
      </c>
      <c r="B1826" s="27" t="s">
        <v>1079</v>
      </c>
      <c r="C1826" s="27" t="s">
        <v>1300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1087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1766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1158</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1095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1767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1087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1427</v>
      </c>
      <c r="B1833" s="27" t="s">
        <v>1079</v>
      </c>
      <c r="C1833" s="27" t="s">
        <v>1074</v>
      </c>
      <c r="D1833" s="27" t="s">
        <v>1075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1768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1427</v>
      </c>
      <c r="B1835" s="27" t="s">
        <v>1148</v>
      </c>
      <c r="C1835" s="27" t="s">
        <v>1084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1087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1768</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1427</v>
      </c>
      <c r="B1838" s="27" t="s">
        <v>1079</v>
      </c>
      <c r="C1838" s="27" t="s">
        <v>1084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1102</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1769</v>
      </c>
    </row>
    <row r="1842" spans="1:12">
      <c r="A1842" s="20" t="s">
        <v>1770</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1100</v>
      </c>
      <c r="B1843" s="27" t="s">
        <v>1073</v>
      </c>
      <c r="C1843" s="27" t="s">
        <v>1127</v>
      </c>
      <c r="D1843" s="27" t="s">
        <v>1075</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1326</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1672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1673</v>
      </c>
      <c r="B1846" s="27" t="s">
        <v>1152</v>
      </c>
      <c r="C1846" s="27" t="s">
        <v>1195</v>
      </c>
      <c r="D1846" s="27" t="s">
        <v>1075</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1233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1234</v>
      </c>
      <c r="B1849" s="27" t="s">
        <v>1079</v>
      </c>
      <c r="C1849" s="27" t="s">
        <v>1300</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1494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1632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1102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1771</v>
      </c>
    </row>
    <row r="1855" spans="1:12">
      <c r="A1855" s="20" t="s">
        <v>1736</v>
      </c>
      <c r="B1855" s="27" t="s">
        <v>1083</v>
      </c>
      <c r="C1855" s="27" t="s">
        <v>1127</v>
      </c>
      <c r="D1855" s="27" t="s">
        <v>1075</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1192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1772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1081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1773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1087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1774</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1095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1775</v>
      </c>
      <c r="B1863" s="27" t="s">
        <v>1107</v>
      </c>
      <c r="C1863" s="27" t="s">
        <v>1181</v>
      </c>
      <c r="D1863" s="27" t="s">
        <v>1075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1776</v>
      </c>
      <c r="B1864" s="27" t="s">
        <v>1079</v>
      </c>
      <c r="C1864" s="27" t="s">
        <v>1181</v>
      </c>
      <c r="D1864" s="27" t="s">
        <v>1075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row>
    <row r="1867" spans="1:12">
      <c r="A1867" s="20" t="s">
        <v>1777</v>
      </c>
    </row>
    <row r="1868" spans="1:12">
      <c r="A1868" s="20" t="s">
        <v>1666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1100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1707</v>
      </c>
      <c r="B1870" s="27" t="s">
        <v>1152</v>
      </c>
      <c r="C1870" s="27" t="s">
        <v>1080</v>
      </c>
      <c r="D1870" s="27" t="s">
        <v>1075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1087</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1754</v>
      </c>
      <c r="B1872" s="27" t="s">
        <v>1107</v>
      </c>
      <c r="C1872" s="27" t="s">
        <v>1127</v>
      </c>
      <c r="D1872" s="27" t="s">
        <v>1075</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1469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1258</v>
      </c>
      <c r="B1874" s="27" t="s">
        <v>1073</v>
      </c>
      <c r="C1874" s="27" t="s">
        <v>1127</v>
      </c>
      <c r="D1874" s="27" t="s">
        <v>1075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1295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1296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1778</v>
      </c>
    </row>
    <row r="1879" spans="1:12">
      <c r="A1879" s="20" t="s">
        <v>93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1502</v>
      </c>
      <c r="B1880" s="27" t="s">
        <v>1107</v>
      </c>
      <c r="C1880" s="27" t="s">
        <v>1127</v>
      </c>
      <c r="D1880" s="27" t="s">
        <v>1075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1435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1100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1779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1780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1781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1782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1783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1239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1111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1784</v>
      </c>
      <c r="B1890" s="27" t="s">
        <v>1126</v>
      </c>
      <c r="C1890" s="27" t="s">
        <v>1080</v>
      </c>
      <c r="D1890" s="27" t="s">
        <v>1075</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1492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1780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row>
    <row r="1894" spans="1:12">
      <c r="A1894" s="20" t="s">
        <v>1296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1785</v>
      </c>
    </row>
    <row r="1896" spans="1:12">
      <c r="A1896" s="20" t="s">
        <v>93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1786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1787</v>
      </c>
      <c r="B1898" s="27" t="s">
        <v>1152</v>
      </c>
      <c r="C1898" s="27" t="s">
        <v>1074</v>
      </c>
      <c r="D1898" s="27" t="s">
        <v>1075</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1158</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1483</v>
      </c>
      <c r="B1900" s="27" t="s">
        <v>1079</v>
      </c>
      <c r="C1900" s="27" t="s">
        <v>1084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1210</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1788</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1077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1117</v>
      </c>
      <c r="B1904" s="27" t="s">
        <v>1148</v>
      </c>
      <c r="C1904" s="27" t="s">
        <v>1119</v>
      </c>
      <c r="D1904" s="27" t="s">
        <v>1075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1120</v>
      </c>
      <c r="B1905" s="27" t="s">
        <v>1126</v>
      </c>
      <c r="C1905" s="27" t="s">
        <v>1080</v>
      </c>
      <c r="D1905" s="27" t="s">
        <v>1075</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1102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row>
    <row r="1908" spans="1:12">
      <c r="A1908" s="20" t="s">
        <v>1296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1789</v>
      </c>
    </row>
    <row r="1910" spans="1:12">
      <c r="A1910" s="20" t="s">
        <v>93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1790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1210</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1791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1111</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1255</v>
      </c>
      <c r="B1915" s="27" t="s">
        <v>1126</v>
      </c>
      <c r="C1915" s="27" t="s">
        <v>1080</v>
      </c>
      <c r="D1915" s="27" t="s">
        <v>1075</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1092</v>
      </c>
      <c r="B1916" s="27" t="s">
        <v>1134</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1100</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1132</v>
      </c>
      <c r="B1918" s="27" t="s">
        <v>1121</v>
      </c>
      <c r="C1918" s="27" t="s">
        <v>1119</v>
      </c>
      <c r="D1918" s="27" t="s">
        <v>1075</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1792</v>
      </c>
      <c r="B1919" s="27" t="s">
        <v>1226</v>
      </c>
      <c r="C1919" s="27" t="s">
        <v>1080</v>
      </c>
      <c r="D1919" s="27" t="s">
        <v>1075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1793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1295</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row>
    <row r="1923" spans="1:12">
      <c r="A1923" s="20" t="s">
        <v>1296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1794</v>
      </c>
    </row>
    <row r="1925" spans="1:12">
      <c r="A1925" s="20" t="s">
        <v>93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1780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1795</v>
      </c>
      <c r="B1927" s="27" t="s">
        <v>1152</v>
      </c>
      <c r="C1927" s="27" t="s">
        <v>1181</v>
      </c>
      <c r="D1927" s="27" t="s">
        <v>1075</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1261</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1796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1254</v>
      </c>
      <c r="B1930" s="27" t="s">
        <v>1152</v>
      </c>
      <c r="C1930" s="27" t="s">
        <v>1250</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1102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row>
    <row r="1933" spans="1:12">
      <c r="A1933" s="20" t="s">
        <v>1797</v>
      </c>
    </row>
    <row r="1934" spans="1:12">
      <c r="A1934" s="20" t="s">
        <v>1795</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1261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1796</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1798</v>
      </c>
      <c r="B1937" s="27" t="s">
        <v>1073</v>
      </c>
      <c r="C1937" s="27" t="s">
        <v>1250</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1102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row>
    <row r="1940" spans="1:12">
      <c r="A1940" s="20" t="s">
        <v>1296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1799</v>
      </c>
    </row>
    <row r="1942" spans="1:12">
      <c r="A1942" s="20" t="s">
        <v>93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1800</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1412</v>
      </c>
      <c r="B1944" s="27" t="s">
        <v>1152</v>
      </c>
      <c r="C1944" s="27" t="s">
        <v>1084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1801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389</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1802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row>
    <row r="1949" spans="1:12">
      <c r="A1949" s="20" t="s">
        <v>1296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1803</v>
      </c>
    </row>
    <row r="1951" spans="1:12">
      <c r="A1951" s="20" t="s">
        <v>1270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1105</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1357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1100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212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1076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1804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1258</v>
      </c>
      <c r="B1958" s="27" t="s">
        <v>1303</v>
      </c>
      <c r="C1958" s="27" t="s">
        <v>1127</v>
      </c>
      <c r="D1958" s="27" t="s">
        <v>1075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1102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1216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1129</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1176</v>
      </c>
      <c r="B1963" s="27" t="s">
        <v>1079</v>
      </c>
      <c r="C1963" s="27" t="s">
        <v>1115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1087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1261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1805</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1092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1806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1071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1807</v>
      </c>
      <c r="B1970" s="27" t="s">
        <v>1303</v>
      </c>
      <c r="C1970" s="27" t="s">
        <v>1115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1808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1081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1332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1100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1752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1077</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1166</v>
      </c>
      <c r="B1977" s="27" t="s">
        <v>1134</v>
      </c>
      <c r="C1977" s="27" t="s">
        <v>1080</v>
      </c>
      <c r="D1977" s="27" t="s">
        <v>1075</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1177</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1138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1100</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1809</v>
      </c>
      <c r="B1981" s="27" t="s">
        <v>1121</v>
      </c>
      <c r="C1981" s="27" t="s">
        <v>1074</v>
      </c>
      <c r="D1981" s="27" t="s">
        <v>1075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1138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1071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1810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1811</v>
      </c>
      <c r="B1985" s="27" t="s">
        <v>1118</v>
      </c>
      <c r="C1985" s="27" t="s">
        <v>1115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1102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row>
    <row r="1988" spans="1:12">
      <c r="A1988" s="20" t="s">
        <v>1812</v>
      </c>
    </row>
    <row r="1989" spans="1:12">
      <c r="A1989" s="20" t="s">
        <v>1813</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1092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1750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1077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1807</v>
      </c>
      <c r="B1993" s="27" t="s">
        <v>1126</v>
      </c>
      <c r="C1993" s="27" t="s">
        <v>1080</v>
      </c>
      <c r="D1993" s="27" t="s">
        <v>1075</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1087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1077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1807</v>
      </c>
      <c r="B1996" s="27" t="s">
        <v>1073</v>
      </c>
      <c r="C1996" s="27" t="s">
        <v>1074</v>
      </c>
      <c r="D1996" s="27" t="s">
        <v>1075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1138</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1100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1266</v>
      </c>
      <c r="B1999" s="27" t="s">
        <v>1079</v>
      </c>
      <c r="C1999" s="27" t="s">
        <v>1080</v>
      </c>
      <c r="D1999" s="27" t="s">
        <v>1075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1087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1081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1092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1814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1192</v>
      </c>
      <c r="B2004" s="27" t="s">
        <v>1113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1092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1332</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1100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1752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1815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1102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row>
    <row r="2012" spans="1:12">
      <c r="A2012" s="20" t="s">
        <v>1816</v>
      </c>
    </row>
    <row r="2013" spans="1:12">
      <c r="A2013" s="20" t="s">
        <v>1407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1494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1817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1818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1819</v>
      </c>
      <c r="B2017" s="27" t="s">
        <v>1126</v>
      </c>
      <c r="C2017" s="27" t="s">
        <v>1084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1092</v>
      </c>
      <c r="B2018" s="27" t="s">
        <v>1226</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1820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1092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1588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1514</v>
      </c>
      <c r="B2022" s="27" t="s">
        <v>1259</v>
      </c>
      <c r="C2022" s="27" t="s">
        <v>1250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1821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1560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1138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1822</v>
      </c>
      <c r="B2026" s="27" t="s">
        <v>1212</v>
      </c>
      <c r="C2026" s="27" t="s">
        <v>1127</v>
      </c>
      <c r="D2026" s="27" t="s">
        <v>1075</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1092</v>
      </c>
      <c r="B2027" s="27" t="s">
        <v>1823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1824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101</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1825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1102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row>
    <row r="2033" spans="1:12">
      <c r="A2033" s="20" t="s">
        <v>1826</v>
      </c>
    </row>
    <row r="2034" spans="1:12">
      <c r="A2034" s="20" t="s">
        <v>1243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1192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1827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1135</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1828</v>
      </c>
      <c r="B2038" s="27" t="s">
        <v>1152</v>
      </c>
      <c r="C2038" s="27" t="s">
        <v>1084</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1087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1434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1829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1092</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1332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1100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1752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1100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1830</v>
      </c>
      <c r="B2047" s="27" t="s">
        <v>1134</v>
      </c>
      <c r="C2047" s="27" t="s">
        <v>1080</v>
      </c>
      <c r="D2047" s="27" t="s">
        <v>1075</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1102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row>
    <row r="2050" spans="1:12">
      <c r="A2050" s="20" t="s">
        <v>1831</v>
      </c>
    </row>
    <row r="2051" spans="1:12">
      <c r="A2051" s="20" t="s">
        <v>1243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1100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1830</v>
      </c>
      <c r="B2053" s="27" t="s">
        <v>1107</v>
      </c>
      <c r="C2053" s="27" t="s">
        <v>1080</v>
      </c>
      <c r="D2053" s="27" t="s">
        <v>1075</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407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1102</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row>
    <row r="2057" spans="1:12">
      <c r="A2057" s="20" t="s">
        <v>1832</v>
      </c>
    </row>
    <row r="2058" spans="1:12">
      <c r="A2058" s="20" t="s">
        <v>1833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1834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1135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1484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1835</v>
      </c>
      <c r="B2062" s="27" t="s">
        <v>1079</v>
      </c>
      <c r="C2062" s="27" t="s">
        <v>1195</v>
      </c>
      <c r="D2062" s="27" t="s">
        <v>1075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1295</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row>
    <row r="2065" spans="1:12">
      <c r="A2065" s="20" t="s">
        <v>1296</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1836</v>
      </c>
    </row>
    <row r="2067" spans="1:12">
      <c r="A2067" s="20" t="s">
        <v>93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1243</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1100</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1830</v>
      </c>
      <c r="B2070" s="27" t="s">
        <v>1107</v>
      </c>
      <c r="C2070" s="27" t="s">
        <v>1080</v>
      </c>
      <c r="D2070" s="27" t="s">
        <v>1075</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407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1102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93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1837</v>
      </c>
      <c r="B2074" s="27" t="s">
        <v>1152</v>
      </c>
      <c r="C2074" s="27" t="s">
        <v>1181</v>
      </c>
      <c r="D2074" s="27" t="s">
        <v>1075</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1087</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1100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1100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1838</v>
      </c>
      <c r="B2078" s="27" t="s">
        <v>1079</v>
      </c>
      <c r="C2078" s="27" t="s">
        <v>1080</v>
      </c>
      <c r="D2078" s="27" t="s">
        <v>1075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1092</v>
      </c>
      <c r="B2079" s="27" t="s">
        <v>1226</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1839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1135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1299</v>
      </c>
      <c r="B2082" s="27" t="s">
        <v>1134</v>
      </c>
      <c r="C2082" s="27" t="s">
        <v>1084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1840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1092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1841</v>
      </c>
      <c r="B2086" s="27" t="s">
        <v>1205</v>
      </c>
      <c r="C2086" s="27" t="s">
        <v>1127</v>
      </c>
      <c r="D2086" s="27" t="s">
        <v>1075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1553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1842</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1843</v>
      </c>
      <c r="B2089" s="27" t="s">
        <v>1293</v>
      </c>
      <c r="C2089" s="27" t="s">
        <v>1300</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1844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1102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row>
    <row r="2093" spans="1:12">
      <c r="A2093" s="20" t="s">
        <v>1296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1845</v>
      </c>
    </row>
    <row r="2095" spans="1:12">
      <c r="A2095" s="20" t="s">
        <v>1657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1299</v>
      </c>
      <c r="B2096" s="27" t="s">
        <v>1107</v>
      </c>
      <c r="C2096" s="27" t="s">
        <v>1080</v>
      </c>
      <c r="D2096" s="27" t="s">
        <v>1075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1846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1295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93</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1847</v>
      </c>
      <c r="B2100" s="27" t="s">
        <v>1083</v>
      </c>
      <c r="C2100" s="27" t="s">
        <v>1250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1258</v>
      </c>
      <c r="B2101" s="27" t="s">
        <v>1126</v>
      </c>
      <c r="C2101" s="27" t="s">
        <v>1127</v>
      </c>
      <c r="D2101" s="27" t="s">
        <v>1075</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1848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1102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row>
    <row r="2106" spans="1:12">
      <c r="A2106" s="20" t="s">
        <v>1296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1849</v>
      </c>
    </row>
    <row r="2108" spans="1:12">
      <c r="A2108" s="20" t="s">
        <v>1104</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1561</v>
      </c>
      <c r="B2109" s="27" t="s">
        <v>1107</v>
      </c>
      <c r="C2109" s="27" t="s">
        <v>1127</v>
      </c>
      <c r="D2109" s="27" t="s">
        <v>1075</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1850</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1295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93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1502</v>
      </c>
      <c r="B2113" s="27" t="s">
        <v>1152</v>
      </c>
      <c r="C2113" s="27" t="s">
        <v>1127</v>
      </c>
      <c r="D2113" s="27" t="s">
        <v>1075</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1851</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1852</v>
      </c>
      <c r="B2115" s="27" t="s">
        <v>1148</v>
      </c>
      <c r="C2115" s="27" t="s">
        <v>1127</v>
      </c>
      <c r="D2115" s="27" t="s">
        <v>1075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1087</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1100</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1853</v>
      </c>
      <c r="B2118" s="27" t="s">
        <v>1113</v>
      </c>
      <c r="C2118" s="27" t="s">
        <v>1074</v>
      </c>
      <c r="D2118" s="27" t="s">
        <v>1075</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1605</v>
      </c>
      <c r="B2119" s="27" t="s">
        <v>1090</v>
      </c>
      <c r="C2119" s="27" t="s">
        <v>1084</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1848</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1852</v>
      </c>
      <c r="B2121" s="27" t="s">
        <v>1134</v>
      </c>
      <c r="C2121" s="27" t="s">
        <v>1127</v>
      </c>
      <c r="D2121" s="27" t="s">
        <v>1075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1087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1100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1853</v>
      </c>
      <c r="B2124" s="27" t="s">
        <v>1121</v>
      </c>
      <c r="C2124" s="27" t="s">
        <v>1080</v>
      </c>
      <c r="D2124" s="27" t="s">
        <v>1075</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1223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1848</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1852</v>
      </c>
      <c r="B2127" s="27" t="s">
        <v>1226</v>
      </c>
      <c r="C2127" s="27" t="s">
        <v>1127</v>
      </c>
      <c r="D2127" s="27" t="s">
        <v>1075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1102</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93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1854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687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1100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1672</v>
      </c>
      <c r="B2133" s="27" t="s">
        <v>1303</v>
      </c>
      <c r="C2133" s="27" t="s">
        <v>1080</v>
      </c>
      <c r="D2133" s="27" t="s">
        <v>1075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1573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1855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1238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1077</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1359</v>
      </c>
      <c r="B2139" s="27" t="s">
        <v>1148</v>
      </c>
      <c r="C2139" s="27" t="s">
        <v>1080</v>
      </c>
      <c r="D2139" s="27" t="s">
        <v>1075</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1100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1100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1334</v>
      </c>
      <c r="B2142" s="27" t="s">
        <v>1079</v>
      </c>
      <c r="C2142" s="27" t="s">
        <v>1074</v>
      </c>
      <c r="D2142" s="27" t="s">
        <v>1075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1138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1111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1299</v>
      </c>
      <c r="B2145" s="27" t="s">
        <v>1148</v>
      </c>
      <c r="C2145" s="27" t="s">
        <v>1080</v>
      </c>
      <c r="D2145" s="27" t="s">
        <v>1075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1102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row>
    <row r="2148" spans="1:12">
      <c r="A2148" s="20" t="s">
        <v>1296</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1856</v>
      </c>
    </row>
    <row r="2150" spans="1:12">
      <c r="A2150" s="20" t="s">
        <v>1243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1111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1299</v>
      </c>
      <c r="B2152" s="27" t="s">
        <v>1083</v>
      </c>
      <c r="C2152" s="27" t="s">
        <v>1080</v>
      </c>
      <c r="D2152" s="27" t="s">
        <v>1075</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1092</v>
      </c>
      <c r="B2153" s="27" t="s">
        <v>1226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1857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1840</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1556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1858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1295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93</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1859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1077</v>
      </c>
      <c r="B2161" s="27" t="s">
        <v>1152</v>
      </c>
      <c r="C2161" s="27" t="s">
        <v>1204</v>
      </c>
      <c r="D2161" s="27" t="s">
        <v>1075</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1092</v>
      </c>
      <c r="B2162" s="27" t="s">
        <v>1113</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1860</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1087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1861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1106</v>
      </c>
      <c r="B2166" s="27" t="s">
        <v>1303</v>
      </c>
      <c r="C2166" s="27" t="s">
        <v>1108</v>
      </c>
      <c r="D2166" s="27" t="s">
        <v>1075</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1238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1102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93</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1296</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1862</v>
      </c>
    </row>
    <row r="2174" spans="1:12">
      <c r="A2174" s="20" t="s">
        <v>1305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1858</v>
      </c>
      <c r="B2175" s="27" t="s">
        <v>1083</v>
      </c>
      <c r="C2175" s="27" t="s">
        <v>1084</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1295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93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1252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1616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275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1129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1863</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1864</v>
      </c>
      <c r="B2183" s="27" t="s">
        <v>1126</v>
      </c>
      <c r="C2183" s="27" t="s">
        <v>1074</v>
      </c>
      <c r="D2183" s="27" t="s">
        <v>1075</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1686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1865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1866</v>
      </c>
      <c r="B2186" s="27" t="s">
        <v>1148</v>
      </c>
      <c r="C2186" s="27" t="s">
        <v>1169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1867</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1102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1296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1868</v>
      </c>
    </row>
    <row r="2192" spans="1:12">
      <c r="A2192" s="20" t="s">
        <v>93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1869</v>
      </c>
      <c r="B2193" s="27" t="s">
        <v>1107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1071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1138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1561</v>
      </c>
      <c r="B2196" s="27" t="s">
        <v>1079</v>
      </c>
      <c r="C2196" s="27" t="s">
        <v>1127</v>
      </c>
      <c r="D2196" s="27" t="s">
        <v>1075</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1443</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430</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1076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1077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1870</v>
      </c>
      <c r="B2201" s="27" t="s">
        <v>1079</v>
      </c>
      <c r="C2201" s="27" t="s">
        <v>1119</v>
      </c>
      <c r="D2201" s="27" t="s">
        <v>1075</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1871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1872</v>
      </c>
      <c r="B2203" s="27" t="s">
        <v>1152</v>
      </c>
      <c r="C2203" s="27" t="s">
        <v>1080</v>
      </c>
      <c r="D2203" s="27" t="s">
        <v>1075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1102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row>
    <row r="2207" spans="1:12">
      <c r="A2207" s="20" t="s">
        <v>1296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1873</v>
      </c>
    </row>
    <row r="2209" spans="1:12">
      <c r="A2209" s="20" t="s">
        <v>1222</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1077</v>
      </c>
      <c r="B2210" s="27" t="s">
        <v>1152</v>
      </c>
      <c r="C2210" s="27" t="s">
        <v>1204</v>
      </c>
      <c r="D2210" s="27" t="s">
        <v>1075</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1092</v>
      </c>
      <c r="B2211" s="27" t="s">
        <v>1126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1391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1138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687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1295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1874</v>
      </c>
      <c r="B2217" s="27" t="s">
        <v>1083</v>
      </c>
      <c r="C2217" s="27" t="s">
        <v>1204</v>
      </c>
      <c r="D2217" s="27" t="s">
        <v>1075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1192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1830</v>
      </c>
      <c r="B2219" s="27" t="s">
        <v>1152</v>
      </c>
      <c r="C2219" s="27" t="s">
        <v>1084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1087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93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1243</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1875</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1092</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1814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1876</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1877</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1655</v>
      </c>
      <c r="B2228" s="27" t="s">
        <v>1259</v>
      </c>
      <c r="C2228" s="27" t="s">
        <v>1127</v>
      </c>
      <c r="D2228" s="27" t="s">
        <v>1075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93</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1076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1077</v>
      </c>
      <c r="B2231" s="27" t="s">
        <v>1212</v>
      </c>
      <c r="C2231" s="27" t="s">
        <v>1204</v>
      </c>
      <c r="D2231" s="27" t="s">
        <v>1075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1092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1391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1210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1077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1878</v>
      </c>
      <c r="B2236" s="27" t="s">
        <v>1293</v>
      </c>
      <c r="C2236" s="27" t="s">
        <v>1080</v>
      </c>
      <c r="D2236" s="27" t="s">
        <v>1075</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1102</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93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1879</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1880</v>
      </c>
      <c r="B2240" s="27" t="s">
        <v>1212</v>
      </c>
      <c r="C2240" s="27" t="s">
        <v>1084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1881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row>
    <row r="2243" spans="1:12">
      <c r="A2243" s="20" t="s">
        <v>1882</v>
      </c>
    </row>
    <row r="2244" spans="1:12">
      <c r="A2244" s="20" t="s">
        <v>1216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1100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1883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1884</v>
      </c>
      <c r="B2247" s="27" t="s">
        <v>1152</v>
      </c>
      <c r="C2247" s="27" t="s">
        <v>1080</v>
      </c>
      <c r="D2247" s="27" t="s">
        <v>1075</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1138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1111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1787</v>
      </c>
      <c r="B2250" s="27" t="s">
        <v>1079</v>
      </c>
      <c r="C2250" s="27" t="s">
        <v>1080</v>
      </c>
      <c r="D2250" s="27" t="s">
        <v>1075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1087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1077</v>
      </c>
      <c r="B2252" s="27" t="s">
        <v>1107</v>
      </c>
      <c r="C2252" s="27" t="s">
        <v>1204</v>
      </c>
      <c r="D2252" s="27" t="s">
        <v>1075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1092</v>
      </c>
      <c r="B2253" s="27" t="s">
        <v>1303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1822</v>
      </c>
      <c r="B2254" s="27" t="s">
        <v>1113</v>
      </c>
      <c r="C2254" s="27" t="s">
        <v>1127</v>
      </c>
      <c r="D2254" s="27" t="s">
        <v>1075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1885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1261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1192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1129</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1737</v>
      </c>
      <c r="B2259" s="27" t="s">
        <v>1152</v>
      </c>
      <c r="C2259" s="27" t="s">
        <v>1074</v>
      </c>
      <c r="D2259" s="27" t="s">
        <v>1075</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1087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1267</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1129</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1886</v>
      </c>
      <c r="B2263" s="27" t="s">
        <v>1152</v>
      </c>
      <c r="C2263" s="27" t="s">
        <v>1115</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1087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1081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1887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1100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212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1092</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1192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1888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1092</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1100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1334</v>
      </c>
      <c r="B2274" s="27" t="s">
        <v>1256</v>
      </c>
      <c r="C2274" s="27" t="s">
        <v>1074</v>
      </c>
      <c r="D2274" s="27" t="s">
        <v>1075</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1138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1561</v>
      </c>
      <c r="B2276" s="27" t="s">
        <v>1118</v>
      </c>
      <c r="C2276" s="27" t="s">
        <v>1127</v>
      </c>
      <c r="D2276" s="27" t="s">
        <v>1075</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1889</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1240</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1890</v>
      </c>
      <c r="B2279" s="27" t="s">
        <v>1259</v>
      </c>
      <c r="C2279" s="27" t="s">
        <v>1195</v>
      </c>
      <c r="D2279" s="27" t="s">
        <v>1075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1891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1081</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1841</v>
      </c>
      <c r="B2282" s="27" t="s">
        <v>1205</v>
      </c>
      <c r="C2282" s="27" t="s">
        <v>1127</v>
      </c>
      <c r="D2282" s="27" t="s">
        <v>1075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1261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1076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1096</v>
      </c>
      <c r="B2285" s="27" t="s">
        <v>1121</v>
      </c>
      <c r="C2285" s="27" t="s">
        <v>1204</v>
      </c>
      <c r="D2285" s="27" t="s">
        <v>1075</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1892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1573</v>
      </c>
      <c r="B2287" s="27" t="s">
        <v>1118</v>
      </c>
      <c r="C2287" s="27" t="s">
        <v>1250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1102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1893</v>
      </c>
    </row>
    <row r="2291" spans="1:12">
      <c r="A2291" s="20" t="s">
        <v>1894</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1071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1895</v>
      </c>
      <c r="B2293" s="27" t="s">
        <v>1126</v>
      </c>
      <c r="C2293" s="27" t="s">
        <v>1115</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1138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1092</v>
      </c>
      <c r="B2295" s="27" t="s">
        <v>1134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28</v>
      </c>
      <c r="B2296" s="27" t="s">
        <v>1226</v>
      </c>
      <c r="C2296" s="27" t="s">
        <v>1127</v>
      </c>
      <c r="D2296" s="27" t="s">
        <v>1075</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1896</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1897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1076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1092</v>
      </c>
      <c r="B2300" s="27" t="s">
        <v>1121</v>
      </c>
      <c r="C2300" s="27" t="s">
        <v>1543</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1299</v>
      </c>
      <c r="B2301" s="27" t="s">
        <v>1134</v>
      </c>
      <c r="C2301" s="27" t="s">
        <v>1300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1840</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1081</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1299</v>
      </c>
      <c r="B2304" s="27" t="s">
        <v>1121</v>
      </c>
      <c r="C2304" s="27" t="s">
        <v>1084</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1898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1783</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1899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1100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1900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1071</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1901</v>
      </c>
      <c r="B2311" s="27" t="s">
        <v>1126</v>
      </c>
      <c r="C2311" s="27" t="s">
        <v>1074</v>
      </c>
      <c r="D2311" s="27" t="s">
        <v>1075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1902</v>
      </c>
      <c r="B2312" s="27" t="s">
        <v>1148</v>
      </c>
      <c r="C2312" s="27" t="s">
        <v>1084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1903</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1129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1904</v>
      </c>
      <c r="B2315" s="27" t="s">
        <v>1079</v>
      </c>
      <c r="C2315" s="27" t="s">
        <v>1115</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1102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row>
    <row r="2318" spans="1:12">
      <c r="A2318" s="20" t="s">
        <v>1905</v>
      </c>
    </row>
    <row r="2319" spans="1:12">
      <c r="A2319" s="20" t="s">
        <v>1216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1077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1515</v>
      </c>
      <c r="B2321" s="27" t="s">
        <v>1152</v>
      </c>
      <c r="C2321" s="27" t="s">
        <v>1074</v>
      </c>
      <c r="D2321" s="27" t="s">
        <v>1075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1138</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1672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1904</v>
      </c>
      <c r="B2324" s="27" t="s">
        <v>1079</v>
      </c>
      <c r="C2324" s="27" t="s">
        <v>1195</v>
      </c>
      <c r="D2324" s="27" t="s">
        <v>1075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1087</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1906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1907</v>
      </c>
      <c r="B2327" s="27" t="s">
        <v>1073</v>
      </c>
      <c r="C2327" s="27" t="s">
        <v>1127</v>
      </c>
      <c r="D2327" s="27" t="s">
        <v>1075</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1908</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1909</v>
      </c>
      <c r="B2329" s="27" t="s">
        <v>1113</v>
      </c>
      <c r="C2329" s="27" t="s">
        <v>1084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1910</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1092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1684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1911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1102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1912</v>
      </c>
    </row>
    <row r="2337" spans="1:12">
      <c r="A2337" s="20" t="s">
        <v>11</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1913</v>
      </c>
      <c r="B2338" s="27" t="s">
        <v>1107</v>
      </c>
      <c r="C2338" s="27" t="s">
        <v>1074</v>
      </c>
      <c r="D2338" s="27" t="s">
        <v>1075</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1138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1688</v>
      </c>
      <c r="B2340" s="27" t="s">
        <v>1079</v>
      </c>
      <c r="C2340" s="27" t="s">
        <v>1084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1087</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1914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1087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1416</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1915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1135</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1129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1916</v>
      </c>
      <c r="B2348" s="27" t="s">
        <v>1152</v>
      </c>
      <c r="C2348" s="27" t="s">
        <v>1074</v>
      </c>
      <c r="D2348" s="27" t="s">
        <v>1075</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1138</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1917</v>
      </c>
      <c r="B2350" s="27" t="s">
        <v>1079</v>
      </c>
      <c r="C2350" s="27" t="s">
        <v>1084</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1138</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1918</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1138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47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1919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1102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row>
    <row r="2358" spans="1:12">
      <c r="A2358" s="20" t="s">
        <v>1920</v>
      </c>
    </row>
    <row r="2359" spans="1:12">
      <c r="A2359" s="20" t="s">
        <v>1657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1299</v>
      </c>
      <c r="B2360" s="27" t="s">
        <v>1107</v>
      </c>
      <c r="C2360" s="27" t="s">
        <v>1080</v>
      </c>
      <c r="D2360" s="27" t="s">
        <v>1075</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1898</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1921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1096</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1909</v>
      </c>
      <c r="B2364" s="27" t="s">
        <v>1073</v>
      </c>
      <c r="C2364" s="27" t="s">
        <v>1080</v>
      </c>
      <c r="D2364" s="27" t="s">
        <v>1075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1076</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1918</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1138</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1100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1787</v>
      </c>
      <c r="B2371" s="27" t="s">
        <v>1079</v>
      </c>
      <c r="C2371" s="27" t="s">
        <v>1169</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1494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1922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1922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1138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1077</v>
      </c>
      <c r="B2376" s="27" t="s">
        <v>1148</v>
      </c>
      <c r="C2376" s="27" t="s">
        <v>1204</v>
      </c>
      <c r="D2376" s="27" t="s">
        <v>1075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1092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1684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1911</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1076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1100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1923</v>
      </c>
      <c r="B2382" s="27" t="s">
        <v>1079</v>
      </c>
      <c r="C2382" s="27" t="s">
        <v>1080</v>
      </c>
      <c r="D2382" s="27" t="s">
        <v>1075</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1102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row>
    <row r="2385" spans="1:12">
      <c r="A2385" s="20" t="s">
        <v>1924</v>
      </c>
    </row>
    <row r="2386" spans="1:12">
      <c r="A2386" s="20" t="s">
        <v>1666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28</v>
      </c>
      <c r="B2387" s="27" t="s">
        <v>1107</v>
      </c>
      <c r="C2387" s="27" t="s">
        <v>1127</v>
      </c>
      <c r="D2387" s="27" t="s">
        <v>1075</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1925</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1926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1326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1100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1132</v>
      </c>
      <c r="B2392" s="27" t="s">
        <v>1148</v>
      </c>
      <c r="C2392" s="27" t="s">
        <v>1119</v>
      </c>
      <c r="D2392" s="27" t="s">
        <v>1075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1176</v>
      </c>
      <c r="B2393" s="27" t="s">
        <v>1126</v>
      </c>
      <c r="C2393" s="27" t="s">
        <v>1080</v>
      </c>
      <c r="D2393" s="27" t="s">
        <v>1075</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1662</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1927</v>
      </c>
      <c r="B2395" s="27" t="s">
        <v>1226</v>
      </c>
      <c r="C2395" s="27" t="s">
        <v>1250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1469</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1092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1445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101</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1573</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1827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1928</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1258</v>
      </c>
      <c r="B2403" s="27" t="s">
        <v>1293</v>
      </c>
      <c r="C2403" s="27" t="s">
        <v>1127</v>
      </c>
      <c r="D2403" s="27" t="s">
        <v>1075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1929</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1087</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1210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1092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1930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1100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1927</v>
      </c>
      <c r="B2410" s="27" t="s">
        <v>1098</v>
      </c>
      <c r="C2410" s="27" t="s">
        <v>1250</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1931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1102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1296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1932</v>
      </c>
    </row>
    <row r="2416" spans="1:12">
      <c r="A2416" s="20" t="s">
        <v>1933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1295</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1657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1299</v>
      </c>
      <c r="B2420" s="27" t="s">
        <v>1083</v>
      </c>
      <c r="C2420" s="27" t="s">
        <v>1080</v>
      </c>
      <c r="D2420" s="27" t="s">
        <v>1075</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1934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1935</v>
      </c>
      <c r="B2422" s="27" t="s">
        <v>1126</v>
      </c>
      <c r="C2422" s="27" t="s">
        <v>1074</v>
      </c>
      <c r="D2422" s="27" t="s">
        <v>1075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1138</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1354</v>
      </c>
      <c r="B2424" s="27" t="s">
        <v>1148</v>
      </c>
      <c r="C2424" s="27" t="s">
        <v>1084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1936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1492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1104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28</v>
      </c>
      <c r="B2429" s="27" t="s">
        <v>1083</v>
      </c>
      <c r="C2429" s="27" t="s">
        <v>1127</v>
      </c>
      <c r="D2429" s="27" t="s">
        <v>1075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1295</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1937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1087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1934</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1135</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1199</v>
      </c>
      <c r="B2436" s="27" t="s">
        <v>1126</v>
      </c>
      <c r="C2436" s="27" t="s">
        <v>1127</v>
      </c>
      <c r="D2436" s="27" t="s">
        <v>1075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1138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1354</v>
      </c>
      <c r="B2438" s="27" t="s">
        <v>1148</v>
      </c>
      <c r="C2438" s="27" t="s">
        <v>1084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1936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1102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row>
    <row r="2442" spans="1:12">
      <c r="A2442" s="20" t="s">
        <v>1938</v>
      </c>
    </row>
    <row r="2443" spans="1:12">
      <c r="A2443" s="20" t="s">
        <v>1939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1135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1199</v>
      </c>
      <c r="B2445" s="27" t="s">
        <v>1073</v>
      </c>
      <c r="C2445" s="27" t="s">
        <v>1127</v>
      </c>
      <c r="D2445" s="27" t="s">
        <v>1075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1138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1354</v>
      </c>
      <c r="B2447" s="27" t="s">
        <v>1079</v>
      </c>
      <c r="C2447" s="27" t="s">
        <v>1084</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1936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1105</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1940</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1100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1941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1258</v>
      </c>
      <c r="B2453" s="27" t="s">
        <v>1134</v>
      </c>
      <c r="C2453" s="27" t="s">
        <v>1127</v>
      </c>
      <c r="D2453" s="27" t="s">
        <v>1075</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1111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1336</v>
      </c>
      <c r="B2455" s="27" t="s">
        <v>1121</v>
      </c>
      <c r="C2455" s="27" t="s">
        <v>1119</v>
      </c>
      <c r="D2455" s="27" t="s">
        <v>1075</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1241</v>
      </c>
      <c r="B2456" s="27" t="s">
        <v>1226</v>
      </c>
      <c r="C2456" s="27" t="s">
        <v>1080</v>
      </c>
      <c r="D2456" s="27" t="s">
        <v>1075</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1087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1394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1100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1673</v>
      </c>
      <c r="B2460" s="27" t="s">
        <v>1121</v>
      </c>
      <c r="C2460" s="27" t="s">
        <v>1074</v>
      </c>
      <c r="D2460" s="27" t="s">
        <v>1075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1138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1129</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1942</v>
      </c>
      <c r="B2463" s="27" t="s">
        <v>1118</v>
      </c>
      <c r="C2463" s="27" t="s">
        <v>1115</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1087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1394</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1100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1673</v>
      </c>
      <c r="B2467" s="27" t="s">
        <v>1212</v>
      </c>
      <c r="C2467" s="27" t="s">
        <v>1074</v>
      </c>
      <c r="D2467" s="27" t="s">
        <v>1075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1138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1943</v>
      </c>
      <c r="B2470" s="27" t="s">
        <v>1214</v>
      </c>
      <c r="C2470" s="27" t="s">
        <v>1115</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1102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row>
    <row r="2473" spans="1:12">
      <c r="A2473" s="20" t="s">
        <v>1944</v>
      </c>
    </row>
    <row r="2474" spans="1:12">
      <c r="A2474" s="20" t="s">
        <v>1657</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1255</v>
      </c>
      <c r="B2475" s="27" t="s">
        <v>1107</v>
      </c>
      <c r="C2475" s="27" t="s">
        <v>1080</v>
      </c>
      <c r="D2475" s="27" t="s">
        <v>1075</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1570</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1945</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1087</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1434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1814</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28</v>
      </c>
      <c r="B2481" s="27" t="s">
        <v>1083</v>
      </c>
      <c r="C2481" s="27" t="s">
        <v>1127</v>
      </c>
      <c r="D2481" s="27" t="s">
        <v>1075</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1464</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1092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1100</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1176</v>
      </c>
      <c r="B2485" s="27" t="s">
        <v>1113</v>
      </c>
      <c r="C2485" s="27" t="s">
        <v>1080</v>
      </c>
      <c r="D2485" s="27" t="s">
        <v>1075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1192</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1071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1946</v>
      </c>
      <c r="B2488" s="27" t="s">
        <v>1079</v>
      </c>
      <c r="C2488" s="27" t="s">
        <v>1074</v>
      </c>
      <c r="D2488" s="27" t="s">
        <v>1075</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1138</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1947</v>
      </c>
      <c r="B2490" s="27" t="s">
        <v>1148</v>
      </c>
      <c r="C2490" s="27" t="s">
        <v>1084</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1092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1930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1100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1927</v>
      </c>
      <c r="B2494" s="27" t="s">
        <v>1226</v>
      </c>
      <c r="C2494" s="27" t="s">
        <v>1250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1948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1102</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row>
    <row r="2498" spans="1:12">
      <c r="A2498" s="20" t="s">
        <v>1949</v>
      </c>
    </row>
    <row r="2499" spans="1:12">
      <c r="A2499" s="20" t="s">
        <v>1620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1233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1234</v>
      </c>
      <c r="B2501" s="27" t="s">
        <v>1073</v>
      </c>
      <c r="C2501" s="27" t="s">
        <v>1300</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1087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1950</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1100</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1129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1951</v>
      </c>
      <c r="B2506" s="27" t="s">
        <v>1152</v>
      </c>
      <c r="C2506" s="27" t="s">
        <v>1115</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1102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1952</v>
      </c>
    </row>
    <row r="2510" spans="1:12">
      <c r="A2510" s="20" t="s">
        <v>1216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1100</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1953</v>
      </c>
      <c r="B2512" s="27" t="s">
        <v>1152</v>
      </c>
      <c r="C2512" s="27" t="s">
        <v>1074</v>
      </c>
      <c r="D2512" s="27" t="s">
        <v>1075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1138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1100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1951</v>
      </c>
      <c r="B2515" s="27" t="s">
        <v>1079</v>
      </c>
      <c r="C2515" s="27" t="s">
        <v>1074</v>
      </c>
      <c r="D2515" s="27" t="s">
        <v>1075</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1245</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1719</v>
      </c>
      <c r="B2518" s="27" t="s">
        <v>1148</v>
      </c>
      <c r="C2518" s="27" t="s">
        <v>1169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1087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1129</v>
      </c>
      <c r="B2520" s="27" t="s">
        <v>1107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1138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1111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1954</v>
      </c>
      <c r="B2523" s="27" t="s">
        <v>1079</v>
      </c>
      <c r="C2523" s="27" t="s">
        <v>1080</v>
      </c>
      <c r="D2523" s="27" t="s">
        <v>1075</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1955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1258</v>
      </c>
      <c r="B2525" s="27" t="s">
        <v>1073</v>
      </c>
      <c r="C2525" s="27" t="s">
        <v>1127</v>
      </c>
      <c r="D2525" s="27" t="s">
        <v>1075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1100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1100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1884</v>
      </c>
      <c r="B2528" s="27" t="s">
        <v>1152</v>
      </c>
      <c r="C2528" s="27" t="s">
        <v>1080</v>
      </c>
      <c r="D2528" s="27" t="s">
        <v>1075</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1087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1081</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1469</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1295</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row>
    <row r="2534" spans="1:12">
      <c r="A2534" s="20" t="s">
        <v>1296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1956</v>
      </c>
    </row>
    <row r="2536" spans="1:12">
      <c r="A2536" s="20" t="s">
        <v>93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1502</v>
      </c>
      <c r="B2537" s="27" t="s">
        <v>1152</v>
      </c>
      <c r="C2537" s="27" t="s">
        <v>1127</v>
      </c>
      <c r="D2537" s="27" t="s">
        <v>1075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1957</v>
      </c>
      <c r="B2538" s="27" t="s">
        <v>1152</v>
      </c>
      <c r="C2538" s="27" t="s">
        <v>1074</v>
      </c>
      <c r="D2538" s="27" t="s">
        <v>1075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1138</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1176</v>
      </c>
      <c r="B2540" s="27" t="s">
        <v>1079</v>
      </c>
      <c r="C2540" s="27" t="s">
        <v>1084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1081</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1500</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1258</v>
      </c>
      <c r="B2543" s="27" t="s">
        <v>1303</v>
      </c>
      <c r="C2543" s="27" t="s">
        <v>1127</v>
      </c>
      <c r="D2543" s="27" t="s">
        <v>1075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1071</v>
      </c>
      <c r="B2544" s="27" t="s">
        <v>1303</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1637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1958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1135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1344</v>
      </c>
      <c r="B2548" s="27" t="s">
        <v>1121</v>
      </c>
      <c r="C2548" s="27" t="s">
        <v>1204</v>
      </c>
      <c r="D2548" s="27" t="s">
        <v>1075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1102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row>
    <row r="2551" spans="1:12">
      <c r="A2551" s="20" t="s">
        <v>1296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1959</v>
      </c>
    </row>
    <row r="2553" spans="1:12">
      <c r="A2553" s="20" t="s">
        <v>93</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1243</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1301</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1960</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1350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1961</v>
      </c>
      <c r="B2558" s="27" t="s">
        <v>1073</v>
      </c>
      <c r="C2558" s="27" t="s">
        <v>1195</v>
      </c>
      <c r="D2558" s="27" t="s">
        <v>1075</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1087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93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1081</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1962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1253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544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1751</v>
      </c>
      <c r="B2565" s="27" t="s">
        <v>1303</v>
      </c>
      <c r="C2565" s="27" t="s">
        <v>1127</v>
      </c>
      <c r="D2565" s="27" t="s">
        <v>1075</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1077</v>
      </c>
      <c r="B2566" s="27" t="s">
        <v>1121</v>
      </c>
      <c r="C2566" s="27" t="s">
        <v>1204</v>
      </c>
      <c r="D2566" s="27" t="s">
        <v>1075</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1092</v>
      </c>
      <c r="B2567" s="27" t="s">
        <v>1226</v>
      </c>
      <c r="C2567" s="27" t="s">
        <v>1543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1192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1092</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1963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1492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93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1964</v>
      </c>
      <c r="B2573" s="27" t="s">
        <v>1073</v>
      </c>
      <c r="C2573" s="27" t="s">
        <v>1181</v>
      </c>
      <c r="D2573" s="27" t="s">
        <v>1075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1077</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1638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1092</v>
      </c>
      <c r="B2576" s="27" t="s">
        <v>1226</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1965</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1210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1751</v>
      </c>
      <c r="B2580" s="27" t="s">
        <v>1259</v>
      </c>
      <c r="C2580" s="27" t="s">
        <v>1127</v>
      </c>
      <c r="D2580" s="27" t="s">
        <v>1075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1966</v>
      </c>
      <c r="B2581" s="27" t="s">
        <v>1259</v>
      </c>
      <c r="C2581" s="27" t="s">
        <v>1084</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1102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row>
    <row r="2584" spans="1:12">
      <c r="A2584" s="20" t="s">
        <v>1967</v>
      </c>
    </row>
    <row r="2585" spans="1:12">
      <c r="A2585" s="20" t="s">
        <v>1142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1754</v>
      </c>
      <c r="B2586" s="27" t="s">
        <v>1107</v>
      </c>
      <c r="C2586" s="27" t="s">
        <v>1127</v>
      </c>
      <c r="D2586" s="27" t="s">
        <v>1075</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1469</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1295</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row>
    <row r="2590" spans="1:12">
      <c r="A2590" s="20" t="s">
        <v>1296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1968</v>
      </c>
    </row>
    <row r="2592" spans="1:12">
      <c r="A2592" s="20" t="s">
        <v>93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1969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1087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1077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1117</v>
      </c>
      <c r="B2596" s="27" t="s">
        <v>1079</v>
      </c>
      <c r="C2596" s="27" t="s">
        <v>1119</v>
      </c>
      <c r="D2596" s="27" t="s">
        <v>1075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1970</v>
      </c>
      <c r="B2597" s="27" t="s">
        <v>1107</v>
      </c>
      <c r="C2597" s="27" t="s">
        <v>1080</v>
      </c>
      <c r="D2597" s="27" t="s">
        <v>1075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1971</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1972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1722</v>
      </c>
      <c r="B2600" s="27" t="s">
        <v>1073</v>
      </c>
      <c r="C2600" s="27" t="s">
        <v>1204</v>
      </c>
      <c r="D2600" s="27" t="s">
        <v>1075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1102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row>
    <row r="2603" spans="1:12">
      <c r="A2603" s="20" t="s">
        <v>1296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1973</v>
      </c>
    </row>
    <row r="2605" spans="1:12">
      <c r="A2605" s="20" t="s">
        <v>93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1974</v>
      </c>
      <c r="B2606" s="27" t="s">
        <v>1107</v>
      </c>
      <c r="C2606" s="27" t="s">
        <v>1127</v>
      </c>
      <c r="D2606" s="27" t="s">
        <v>1075</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1192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1077</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1975</v>
      </c>
      <c r="B2609" s="27" t="s">
        <v>1152</v>
      </c>
      <c r="C2609" s="27" t="s">
        <v>1074</v>
      </c>
      <c r="D2609" s="27" t="s">
        <v>1075</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1138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1202</v>
      </c>
      <c r="B2611" s="27" t="s">
        <v>1152</v>
      </c>
      <c r="C2611" s="27" t="s">
        <v>1084</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1210</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1491</v>
      </c>
      <c r="B2613" s="27" t="s">
        <v>1113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1722</v>
      </c>
      <c r="B2614" s="27" t="s">
        <v>1113</v>
      </c>
      <c r="C2614" s="27" t="s">
        <v>1204</v>
      </c>
      <c r="D2614" s="27" t="s">
        <v>1075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1261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1976</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1475</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1159</v>
      </c>
      <c r="B2618" s="27" t="s">
        <v>1303</v>
      </c>
      <c r="C2618" s="27" t="s">
        <v>1300</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1087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93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1977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1087</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1722</v>
      </c>
      <c r="B2623" s="27" t="s">
        <v>1083</v>
      </c>
      <c r="C2623" s="27" t="s">
        <v>1204</v>
      </c>
      <c r="D2623" s="27" t="s">
        <v>1075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1978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1686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1561</v>
      </c>
      <c r="B2626" s="27" t="s">
        <v>1126</v>
      </c>
      <c r="C2626" s="27" t="s">
        <v>1127</v>
      </c>
      <c r="D2626" s="27" t="s">
        <v>1075</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1102</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93</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1104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28</v>
      </c>
      <c r="B2630" s="27" t="s">
        <v>1083</v>
      </c>
      <c r="C2630" s="27" t="s">
        <v>1127</v>
      </c>
      <c r="D2630" s="27" t="s">
        <v>1075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1469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1295</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93</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1937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1087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1249</v>
      </c>
      <c r="B2636" s="27" t="s">
        <v>1079</v>
      </c>
      <c r="C2636" s="27" t="s">
        <v>1250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1513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1102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row>
    <row r="2641" spans="1:12">
      <c r="A2641" s="20" t="s">
        <v>1296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1979</v>
      </c>
    </row>
    <row r="2643" spans="1:12">
      <c r="A2643" s="20" t="s">
        <v>1216</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1077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1980</v>
      </c>
      <c r="B2645" s="27" t="s">
        <v>1152</v>
      </c>
      <c r="C2645" s="27" t="s">
        <v>1074</v>
      </c>
      <c r="D2645" s="27" t="s">
        <v>1075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1138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1100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1981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1951</v>
      </c>
      <c r="B2649" s="27" t="s">
        <v>1079</v>
      </c>
      <c r="C2649" s="27" t="s">
        <v>1080</v>
      </c>
      <c r="D2649" s="27" t="s">
        <v>1075</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1087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1077</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1970</v>
      </c>
      <c r="B2652" s="27" t="s">
        <v>1107</v>
      </c>
      <c r="C2652" s="27" t="s">
        <v>1074</v>
      </c>
      <c r="D2652" s="27" t="s">
        <v>1075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1138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1754</v>
      </c>
      <c r="B2654" s="27" t="s">
        <v>1079</v>
      </c>
      <c r="C2654" s="27" t="s">
        <v>1127</v>
      </c>
      <c r="D2654" s="27" t="s">
        <v>1075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1955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1258</v>
      </c>
      <c r="B2656" s="27" t="s">
        <v>1073</v>
      </c>
      <c r="C2656" s="27" t="s">
        <v>1127</v>
      </c>
      <c r="D2656" s="27" t="s">
        <v>1075</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1100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1100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1884</v>
      </c>
      <c r="B2659" s="27" t="s">
        <v>1152</v>
      </c>
      <c r="C2659" s="27" t="s">
        <v>1080</v>
      </c>
      <c r="D2659" s="27" t="s">
        <v>1075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1081</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1469</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1295</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93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1369</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1100</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1132</v>
      </c>
      <c r="B2666" s="27" t="s">
        <v>1118</v>
      </c>
      <c r="C2666" s="27" t="s">
        <v>1119</v>
      </c>
      <c r="D2666" s="27" t="s">
        <v>1075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1605</v>
      </c>
      <c r="B2667" s="27" t="s">
        <v>1256</v>
      </c>
      <c r="C2667" s="27" t="s">
        <v>1080</v>
      </c>
      <c r="D2667" s="27" t="s">
        <v>1075</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1931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1087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93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1276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1138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305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1092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28</v>
      </c>
      <c r="B2675" s="27" t="s">
        <v>1256</v>
      </c>
      <c r="C2675" s="27" t="s">
        <v>1127</v>
      </c>
      <c r="D2675" s="27" t="s">
        <v>1075</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1261</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1416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1982</v>
      </c>
      <c r="B2678" s="27" t="s">
        <v>1090</v>
      </c>
      <c r="C2678" s="27" t="s">
        <v>1084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1087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1261</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1416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1254</v>
      </c>
      <c r="B2682" s="27" t="s">
        <v>1090</v>
      </c>
      <c r="C2682" s="27" t="s">
        <v>1250</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1087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93</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1267</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28</v>
      </c>
      <c r="B2686" s="27" t="s">
        <v>1205</v>
      </c>
      <c r="C2686" s="27" t="s">
        <v>1127</v>
      </c>
      <c r="D2686" s="27" t="s">
        <v>1075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1301</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1983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1135</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1129</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1176</v>
      </c>
      <c r="B2691" s="27" t="s">
        <v>1293</v>
      </c>
      <c r="C2691" s="27" t="s">
        <v>1115</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1102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row>
    <row r="2694" spans="1:12">
      <c r="A2694" s="20" t="s">
        <v>1296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1984</v>
      </c>
    </row>
    <row r="2696" spans="1:12">
      <c r="A2696" s="20" t="s">
        <v>1471</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1100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468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1233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1985</v>
      </c>
      <c r="B2700" s="27" t="s">
        <v>1073</v>
      </c>
      <c r="C2700" s="27" t="s">
        <v>1300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1081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1986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1138</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109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1077</v>
      </c>
      <c r="B2705" s="27" t="s">
        <v>1126</v>
      </c>
      <c r="C2705" s="27" t="s">
        <v>1204</v>
      </c>
      <c r="D2705" s="27" t="s">
        <v>1075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1092</v>
      </c>
      <c r="B2706" s="27" t="s">
        <v>1134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1963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1102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93</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1987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1100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1988</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1100</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1981</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1479</v>
      </c>
      <c r="B2715" s="27" t="s">
        <v>1303</v>
      </c>
      <c r="C2715" s="27" t="s">
        <v>1080</v>
      </c>
      <c r="D2715" s="27" t="s">
        <v>1075</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1076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1865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1989</v>
      </c>
      <c r="B2718" s="27" t="s">
        <v>1148</v>
      </c>
      <c r="C2718" s="27" t="s">
        <v>1169</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1945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1087</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1076</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1077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1713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1990</v>
      </c>
      <c r="B2724" s="27" t="s">
        <v>1148</v>
      </c>
      <c r="C2724" s="27" t="s">
        <v>1080</v>
      </c>
      <c r="D2724" s="27" t="s">
        <v>1075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1102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1991</v>
      </c>
    </row>
    <row r="2728" spans="1:12">
      <c r="A2728" s="20" t="s">
        <v>1502</v>
      </c>
      <c r="B2728" s="27" t="s">
        <v>1107</v>
      </c>
      <c r="C2728" s="27" t="s">
        <v>1127</v>
      </c>
      <c r="D2728" s="27" t="s">
        <v>1075</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1469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1092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1992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1092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1100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1993</v>
      </c>
      <c r="B2734" s="27" t="s">
        <v>1113</v>
      </c>
      <c r="C2734" s="27" t="s">
        <v>1080</v>
      </c>
      <c r="D2734" s="27" t="s">
        <v>1075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1560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1138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1077</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1994</v>
      </c>
      <c r="B2738" s="27" t="s">
        <v>1121</v>
      </c>
      <c r="C2738" s="27" t="s">
        <v>1080</v>
      </c>
      <c r="D2738" s="27" t="s">
        <v>1075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1206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187</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1100</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1995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1996</v>
      </c>
      <c r="B2743" s="27" t="s">
        <v>1259</v>
      </c>
      <c r="C2743" s="27" t="s">
        <v>1250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1138</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1096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1997</v>
      </c>
      <c r="B2746" s="27" t="s">
        <v>1118</v>
      </c>
      <c r="C2746" s="27" t="s">
        <v>1074</v>
      </c>
      <c r="D2746" s="27" t="s">
        <v>1075</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1138</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1822</v>
      </c>
      <c r="B2748" s="27" t="s">
        <v>1212</v>
      </c>
      <c r="C2748" s="27" t="s">
        <v>1127</v>
      </c>
      <c r="D2748" s="27" t="s">
        <v>1075</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1102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row>
    <row r="2751" spans="1:12">
      <c r="A2751" s="20" t="s">
        <v>1998</v>
      </c>
    </row>
    <row r="2752" spans="1:12">
      <c r="A2752" s="20" t="s">
        <v>1243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1556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1999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2000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1238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1100</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2001</v>
      </c>
      <c r="B2758" s="27" t="s">
        <v>1079</v>
      </c>
      <c r="C2758" s="27" t="s">
        <v>1074</v>
      </c>
      <c r="D2758" s="27" t="s">
        <v>1075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2002</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1138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1071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2003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1946</v>
      </c>
      <c r="B2763" s="27" t="s">
        <v>1148</v>
      </c>
      <c r="C2763" s="27" t="s">
        <v>1115</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2004</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1102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2005</v>
      </c>
    </row>
    <row r="2768" spans="1:12">
      <c r="A2768" s="20" t="s">
        <v>1222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1176</v>
      </c>
      <c r="B2769" s="27" t="s">
        <v>1107</v>
      </c>
      <c r="C2769" s="27" t="s">
        <v>1080</v>
      </c>
      <c r="D2769" s="27" t="s">
        <v>1075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1192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1558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2006</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1102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2007</v>
      </c>
    </row>
    <row r="2776" spans="1:12">
      <c r="A2776" s="20" t="s">
        <v>2008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2009</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1138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1077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1563</v>
      </c>
      <c r="B2780" s="27" t="s">
        <v>1079</v>
      </c>
      <c r="C2780" s="27" t="s">
        <v>1119</v>
      </c>
      <c r="D2780" s="27" t="s">
        <v>1075</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1411</v>
      </c>
      <c r="B2781" s="27" t="s">
        <v>1073</v>
      </c>
      <c r="C2781" s="27" t="s">
        <v>1080</v>
      </c>
      <c r="D2781" s="27" t="s">
        <v>1075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1081</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2010</v>
      </c>
      <c r="B2783" s="27" t="s">
        <v>1079</v>
      </c>
      <c r="C2783" s="27" t="s">
        <v>1084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1102</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2011</v>
      </c>
    </row>
    <row r="2787" spans="1:12">
      <c r="A2787" s="20" t="s">
        <v>11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1153</v>
      </c>
      <c r="B2788" s="27" t="s">
        <v>1107</v>
      </c>
      <c r="C2788" s="27" t="s">
        <v>1074</v>
      </c>
      <c r="D2788" s="27" t="s">
        <v>1075</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1326</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1344</v>
      </c>
      <c r="B2790" s="27" t="s">
        <v>1079</v>
      </c>
      <c r="C2790" s="27" t="s">
        <v>1204</v>
      </c>
      <c r="D2790" s="27" t="s">
        <v>1075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1962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2012</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1100</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1176</v>
      </c>
      <c r="B2794" s="27" t="s">
        <v>1073</v>
      </c>
      <c r="C2794" s="27" t="s">
        <v>1080</v>
      </c>
      <c r="D2794" s="27" t="s">
        <v>1075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1102</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2013</v>
      </c>
    </row>
    <row r="2798" spans="1:12">
      <c r="A2798" s="20" t="s">
        <v>1125</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1357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1100</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212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1076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1239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1111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2014</v>
      </c>
      <c r="B2805" s="27" t="s">
        <v>1126</v>
      </c>
      <c r="C2805" s="27" t="s">
        <v>1169</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1092</v>
      </c>
      <c r="B2806" s="27" t="s">
        <v>1134</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1111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1299</v>
      </c>
      <c r="B2808" s="27" t="s">
        <v>1226</v>
      </c>
      <c r="C2808" s="27" t="s">
        <v>1080</v>
      </c>
      <c r="D2808" s="27" t="s">
        <v>1075</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2015</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1210</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204</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1102</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row>
    <row r="2814" spans="1:12">
      <c r="A2814" s="20" t="s">
        <v>2016</v>
      </c>
    </row>
    <row r="2815" spans="1:12">
      <c r="A2815" s="20" t="s">
        <v>1700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1094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1071</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2017</v>
      </c>
      <c r="B2818" s="27" t="s">
        <v>1152</v>
      </c>
      <c r="C2818" s="27" t="s">
        <v>1115</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2018</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1102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row>
    <row r="2822" spans="1:12">
      <c r="A2822" s="20" t="s">
        <v>2019</v>
      </c>
    </row>
    <row r="2823" spans="1:12">
      <c r="A2823" s="20" t="s">
        <v>2020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1092</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1276</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1996</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2021</v>
      </c>
      <c r="B2827" s="27" t="s">
        <v>1303</v>
      </c>
      <c r="C2827" s="27" t="s">
        <v>1074</v>
      </c>
      <c r="D2827" s="27" t="s">
        <v>1075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1138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1480</v>
      </c>
      <c r="B2829" s="27" t="s">
        <v>1090</v>
      </c>
      <c r="C2829" s="27" t="s">
        <v>1084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1092</v>
      </c>
      <c r="B2830" s="27" t="s">
        <v>1256</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2022</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1087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1262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1095</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2023</v>
      </c>
      <c r="B2835" s="27" t="s">
        <v>1107</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2024</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row>
    <row r="2839" spans="1:12">
      <c r="A2839" s="20" t="s">
        <v>2025</v>
      </c>
    </row>
    <row r="2840" spans="1:12">
      <c r="A2840" s="20" t="s">
        <v>2026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1479</v>
      </c>
      <c r="B2841" s="27" t="s">
        <v>1073</v>
      </c>
      <c r="C2841" s="27" t="s">
        <v>1084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1087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2026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1692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2027</v>
      </c>
      <c r="B2845" s="27" t="s">
        <v>1126</v>
      </c>
      <c r="C2845" s="27" t="s">
        <v>1300</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1087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2028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1276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1569</v>
      </c>
      <c r="B2849" s="27" t="s">
        <v>1303</v>
      </c>
      <c r="C2849" s="27" t="s">
        <v>1084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2029</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1087</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1081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1249</v>
      </c>
      <c r="B2853" s="27" t="s">
        <v>1134</v>
      </c>
      <c r="C2853" s="27" t="s">
        <v>1250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1077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2030</v>
      </c>
      <c r="B2855" s="27" t="s">
        <v>1226</v>
      </c>
      <c r="C2855" s="27" t="s">
        <v>1080</v>
      </c>
      <c r="D2855" s="27" t="s">
        <v>1075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1416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2031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1102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row>
    <row r="2860" spans="1:12">
      <c r="A2860" s="20" t="s">
        <v>2032</v>
      </c>
    </row>
    <row r="2861" spans="1:12">
      <c r="A2861" s="20" t="s">
        <v>1243</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1171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1557</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1129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1476</v>
      </c>
      <c r="B2865" s="27" t="s">
        <v>1073</v>
      </c>
      <c r="C2865" s="27" t="s">
        <v>1115</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1102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2033</v>
      </c>
    </row>
    <row r="2869" spans="1:12">
      <c r="A2869" s="20" t="s">
        <v>1369</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1391</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2034</v>
      </c>
      <c r="B2871" s="27" t="s">
        <v>1303</v>
      </c>
      <c r="C2871" s="27" t="s">
        <v>1084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1076</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1077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1078</v>
      </c>
      <c r="B2874" s="27" t="s">
        <v>1148</v>
      </c>
      <c r="C2874" s="27" t="s">
        <v>1080</v>
      </c>
      <c r="D2874" s="27" t="s">
        <v>1075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1087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1081</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1850</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1092</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556</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1077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2035</v>
      </c>
      <c r="B2881" s="27" t="s">
        <v>1259</v>
      </c>
      <c r="C2881" s="27" t="s">
        <v>1080</v>
      </c>
      <c r="D2881" s="27" t="s">
        <v>1075</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1087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1903</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88</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2036</v>
      </c>
      <c r="B2885" s="27" t="s">
        <v>1121</v>
      </c>
      <c r="C2885" s="27" t="s">
        <v>1169</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1087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1239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1111</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2037</v>
      </c>
      <c r="B2889" s="27" t="s">
        <v>1256</v>
      </c>
      <c r="C2889" s="27" t="s">
        <v>1169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1087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1076</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1096</v>
      </c>
      <c r="B2892" s="27" t="s">
        <v>1212</v>
      </c>
      <c r="C2892" s="27" t="s">
        <v>1204</v>
      </c>
      <c r="D2892" s="27" t="s">
        <v>1075</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1691</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1638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1087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2038</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1655</v>
      </c>
      <c r="B2899" s="27" t="s">
        <v>1126</v>
      </c>
      <c r="C2899" s="27" t="s">
        <v>1127</v>
      </c>
      <c r="D2899" s="27" t="s">
        <v>1075</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1638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1087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1267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1348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1135</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2034</v>
      </c>
      <c r="B2905" s="27" t="s">
        <v>1259</v>
      </c>
      <c r="C2905" s="27" t="s">
        <v>1084</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1076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1077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1078</v>
      </c>
      <c r="B2908" s="27" t="s">
        <v>1121</v>
      </c>
      <c r="C2908" s="27" t="s">
        <v>1080</v>
      </c>
      <c r="D2908" s="27" t="s">
        <v>1075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1102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row>
    <row r="2911" spans="1:12">
      <c r="A2911" s="20" t="s">
        <v>2039</v>
      </c>
    </row>
    <row r="2912" spans="1:12">
      <c r="A2912" s="20" t="s">
        <v>1641</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2040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64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1138</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1344</v>
      </c>
      <c r="B2916" s="27" t="s">
        <v>1152</v>
      </c>
      <c r="C2916" s="27" t="s">
        <v>1204</v>
      </c>
      <c r="D2916" s="27" t="s">
        <v>1075</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row>
    <row r="2919" spans="1:12">
      <c r="A2919" s="20" t="s">
        <v>2041</v>
      </c>
    </row>
    <row r="2920" spans="1:12">
      <c r="A2920" s="20" t="s">
        <v>1243</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1095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1391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1129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1176</v>
      </c>
      <c r="B2924" s="27" t="s">
        <v>1073</v>
      </c>
      <c r="C2924" s="27" t="s">
        <v>1115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1087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1081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2042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1092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556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1077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2035</v>
      </c>
      <c r="B2931" s="27" t="s">
        <v>1303</v>
      </c>
      <c r="C2931" s="27" t="s">
        <v>1080</v>
      </c>
      <c r="D2931" s="27" t="s">
        <v>1075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1087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1903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88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2036</v>
      </c>
      <c r="B2935" s="27" t="s">
        <v>1090</v>
      </c>
      <c r="C2935" s="27" t="s">
        <v>1169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1106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1096</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1719</v>
      </c>
      <c r="B2938" s="27" t="s">
        <v>1148</v>
      </c>
      <c r="C2938" s="27" t="s">
        <v>1074</v>
      </c>
      <c r="D2938" s="27" t="s">
        <v>1075</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1087</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1076</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1096</v>
      </c>
      <c r="B2941" s="27" t="s">
        <v>1090</v>
      </c>
      <c r="C2941" s="27" t="s">
        <v>1204</v>
      </c>
      <c r="D2941" s="27" t="s">
        <v>1075</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1691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12</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1638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1087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1171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2043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1102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row>
    <row r="2950" spans="1:12">
      <c r="A2950" s="20" t="s">
        <v>2044</v>
      </c>
    </row>
    <row r="2951" spans="1:12">
      <c r="A2951" s="20" t="s">
        <v>2045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1100</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1176</v>
      </c>
      <c r="B2953" s="27" t="s">
        <v>1107</v>
      </c>
      <c r="C2953" s="27" t="s">
        <v>1080</v>
      </c>
      <c r="D2953" s="27" t="s">
        <v>1075</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1192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1129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1737</v>
      </c>
      <c r="B2956" s="27" t="s">
        <v>1152</v>
      </c>
      <c r="C2956" s="27" t="s">
        <v>1074</v>
      </c>
      <c r="D2956" s="27" t="s">
        <v>1075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1138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1094</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1076</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1096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1630</v>
      </c>
      <c r="B2961" s="27" t="s">
        <v>1152</v>
      </c>
      <c r="C2961" s="27" t="s">
        <v>1080</v>
      </c>
      <c r="D2961" s="27" t="s">
        <v>1075</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1102</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row>
    <row r="2964" spans="1:12">
      <c r="A2964" s="20" t="s">
        <v>2046</v>
      </c>
    </row>
    <row r="2965" spans="1:12">
      <c r="A2965" s="20" t="s">
        <v>1369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1076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1096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1630</v>
      </c>
      <c r="B2968" s="27" t="s">
        <v>1152</v>
      </c>
      <c r="C2968" s="27" t="s">
        <v>1080</v>
      </c>
      <c r="D2968" s="27" t="s">
        <v>1075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1638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1087</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1192</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1434</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2047</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1138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187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1828</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1102</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row>
    <row r="2979" spans="1:12">
      <c r="A2979" s="20" t="s">
        <v>2048</v>
      </c>
    </row>
    <row r="2980" spans="1:12">
      <c r="A2980" s="20" t="s">
        <v>1125</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2049</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1258</v>
      </c>
      <c r="B2982" s="27" t="s">
        <v>1073</v>
      </c>
      <c r="C2982" s="27" t="s">
        <v>1127</v>
      </c>
      <c r="D2982" s="27" t="s">
        <v>1075</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1573</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1494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2050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2051</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1100</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1077</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2052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1166</v>
      </c>
      <c r="B2990" s="27" t="s">
        <v>1079</v>
      </c>
      <c r="C2990" s="27" t="s">
        <v>1074</v>
      </c>
      <c r="D2990" s="27" t="s">
        <v>1075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1138</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1096</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1569</v>
      </c>
      <c r="B2993" s="27" t="s">
        <v>1148</v>
      </c>
      <c r="C2993" s="27" t="s">
        <v>1080</v>
      </c>
      <c r="D2993" s="27" t="s">
        <v>1075</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2053</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1102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2054</v>
      </c>
    </row>
    <row r="2998" spans="1:12">
      <c r="A2998" s="20" t="s">
        <v>2055</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2056</v>
      </c>
      <c r="B2999" s="27" t="s">
        <v>1073</v>
      </c>
      <c r="C2999" s="27" t="s">
        <v>1074</v>
      </c>
      <c r="D2999" s="27" t="s">
        <v>1075</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1138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2057</v>
      </c>
      <c r="B3001" s="27" t="s">
        <v>1079</v>
      </c>
      <c r="C3001" s="27" t="s">
        <v>1074</v>
      </c>
      <c r="D3001" s="27" t="s">
        <v>1075</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1138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1299</v>
      </c>
      <c r="B3003" s="27" t="s">
        <v>1148</v>
      </c>
      <c r="C3003" s="27" t="s">
        <v>1084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1092</v>
      </c>
      <c r="B3004" s="27" t="s">
        <v>1113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2058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1100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1941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1258</v>
      </c>
      <c r="B3008" s="27" t="s">
        <v>1134</v>
      </c>
      <c r="C3008" s="27" t="s">
        <v>1127</v>
      </c>
      <c r="D3008" s="27" t="s">
        <v>1075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1077</v>
      </c>
      <c r="B3009" s="27" t="s">
        <v>1090</v>
      </c>
      <c r="C3009" s="27" t="s">
        <v>1204</v>
      </c>
      <c r="D3009" s="27" t="s">
        <v>1075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1092</v>
      </c>
      <c r="B3010" s="27" t="s">
        <v>1205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2059</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1135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1841</v>
      </c>
      <c r="B3013" s="27" t="s">
        <v>1293</v>
      </c>
      <c r="C3013" s="27" t="s">
        <v>1127</v>
      </c>
      <c r="D3013" s="27" t="s">
        <v>1075</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1102</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row>
    <row r="3016" spans="1:12">
      <c r="A3016" s="20" t="s">
        <v>2060</v>
      </c>
    </row>
    <row r="3017" spans="1:12">
      <c r="A3017" s="20" t="s">
        <v>2061</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1587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1258</v>
      </c>
      <c r="B3019" s="27" t="s">
        <v>1073</v>
      </c>
      <c r="C3019" s="27" t="s">
        <v>1127</v>
      </c>
      <c r="D3019" s="27" t="s">
        <v>1075</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1906</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1076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1096</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2062</v>
      </c>
      <c r="B3023" s="27" t="s">
        <v>1152</v>
      </c>
      <c r="C3023" s="27" t="s">
        <v>1074</v>
      </c>
      <c r="D3023" s="27" t="s">
        <v>1075</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1326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2063</v>
      </c>
      <c r="B3025" s="27" t="s">
        <v>1079</v>
      </c>
      <c r="C3025" s="27" t="s">
        <v>1084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1102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row>
    <row r="3028" spans="1:12">
      <c r="A3028" s="20" t="s">
        <v>2064</v>
      </c>
    </row>
    <row r="3029" spans="1:12">
      <c r="A3029" s="20" t="s">
        <v>2065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1239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2057</v>
      </c>
      <c r="B3032" s="27" t="s">
        <v>1079</v>
      </c>
      <c r="C3032" s="27" t="s">
        <v>1169</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1092</v>
      </c>
      <c r="B3033" s="27" t="s">
        <v>1226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2066</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1100</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1132</v>
      </c>
      <c r="B3036" s="27" t="s">
        <v>1121</v>
      </c>
      <c r="C3036" s="27" t="s">
        <v>1119</v>
      </c>
      <c r="D3036" s="27" t="s">
        <v>1075</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2067</v>
      </c>
      <c r="B3037" s="27" t="s">
        <v>1134</v>
      </c>
      <c r="C3037" s="27" t="s">
        <v>1080</v>
      </c>
      <c r="D3037" s="27" t="s">
        <v>1075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1192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1138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1129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1605</v>
      </c>
      <c r="B3041" s="27" t="s">
        <v>1107</v>
      </c>
      <c r="C3041" s="27" t="s">
        <v>1074</v>
      </c>
      <c r="D3041" s="27" t="s">
        <v>1075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1092</v>
      </c>
      <c r="B3042" s="27" t="s">
        <v>1113</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1469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1092</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1308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2068</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1480</v>
      </c>
      <c r="B3047" s="27" t="s">
        <v>1256</v>
      </c>
      <c r="C3047" s="27" t="s">
        <v>1084</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1087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1308</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2068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1479</v>
      </c>
      <c r="B3051" s="27" t="s">
        <v>1259</v>
      </c>
      <c r="C3051" s="27" t="s">
        <v>1084</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1087</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1308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2068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1248</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1249</v>
      </c>
      <c r="B3056" s="27" t="s">
        <v>1073</v>
      </c>
      <c r="C3056" s="27" t="s">
        <v>1250</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1102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2069</v>
      </c>
    </row>
    <row r="3060" spans="1:12">
      <c r="A3060" s="20" t="s">
        <v>1727</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2070</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1129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2071</v>
      </c>
      <c r="B3063" s="27" t="s">
        <v>1073</v>
      </c>
      <c r="C3063" s="27" t="s">
        <v>1115</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1081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1253</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1092</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28</v>
      </c>
      <c r="B3067" s="27" t="s">
        <v>1113</v>
      </c>
      <c r="C3067" s="27" t="s">
        <v>1127</v>
      </c>
      <c r="D3067" s="27" t="s">
        <v>1075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2072</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1100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1930</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1927</v>
      </c>
      <c r="B3071" s="27" t="s">
        <v>1148</v>
      </c>
      <c r="C3071" s="27" t="s">
        <v>1169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1102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2073</v>
      </c>
    </row>
    <row r="3075" spans="1:12">
      <c r="A3075" s="20" t="s">
        <v>1362</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556</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2074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2075</v>
      </c>
      <c r="B3078" s="27" t="s">
        <v>1073</v>
      </c>
      <c r="C3078" s="27" t="s">
        <v>1074</v>
      </c>
      <c r="D3078" s="27" t="s">
        <v>1075</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1138</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2076</v>
      </c>
      <c r="B3080" s="27" t="s">
        <v>1079</v>
      </c>
      <c r="C3080" s="27" t="s">
        <v>1084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1102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row>
    <row r="3083" spans="1:12">
      <c r="A3083" s="20" t="s">
        <v>2077</v>
      </c>
    </row>
    <row r="3084" spans="1:12">
      <c r="A3084" s="20" t="s">
        <v>1736</v>
      </c>
      <c r="B3084" s="27" t="s">
        <v>1107</v>
      </c>
      <c r="C3084" s="27" t="s">
        <v>1127</v>
      </c>
      <c r="D3084" s="27" t="s">
        <v>1075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2078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1258</v>
      </c>
      <c r="B3086" s="27" t="s">
        <v>1073</v>
      </c>
      <c r="C3086" s="27" t="s">
        <v>1127</v>
      </c>
      <c r="D3086" s="27" t="s">
        <v>1075</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1233</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1908</v>
      </c>
      <c r="B3088" s="27" t="s">
        <v>1073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1102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row>
    <row r="3091" spans="1:12">
      <c r="A3091" s="20" t="s">
        <v>2079</v>
      </c>
    </row>
    <row r="3092" spans="1:12">
      <c r="A3092" s="20" t="s">
        <v>1243</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1261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2080</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2081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2082</v>
      </c>
      <c r="B3097" s="27" t="s">
        <v>1126</v>
      </c>
      <c r="C3097" s="27" t="s">
        <v>1127</v>
      </c>
      <c r="D3097" s="27" t="s">
        <v>1075</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1814</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1102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row>
    <row r="3101" spans="1:12">
      <c r="A3101" s="20" t="s">
        <v>2083</v>
      </c>
    </row>
    <row r="3102" spans="1:12">
      <c r="A3102" s="20" t="s">
        <v>2084</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1751</v>
      </c>
      <c r="B3103" s="27" t="s">
        <v>1073</v>
      </c>
      <c r="C3103" s="27" t="s">
        <v>1127</v>
      </c>
      <c r="D3103" s="27" t="s">
        <v>1075</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1092</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1556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1445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737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2085</v>
      </c>
      <c r="B3108" s="27" t="s">
        <v>1303</v>
      </c>
      <c r="C3108" s="27" t="s">
        <v>1084</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2086</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1076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1077</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2087</v>
      </c>
      <c r="B3112" s="27" t="s">
        <v>1148</v>
      </c>
      <c r="C3112" s="27" t="s">
        <v>1181</v>
      </c>
      <c r="D3112" s="27" t="s">
        <v>1075</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1138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2088</v>
      </c>
      <c r="B3114" s="27" t="s">
        <v>1090</v>
      </c>
      <c r="C3114" s="27" t="s">
        <v>1181</v>
      </c>
      <c r="D3114" s="27" t="s">
        <v>1075</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2089</v>
      </c>
      <c r="B3115" s="27" t="s">
        <v>1121</v>
      </c>
      <c r="C3115" s="27" t="s">
        <v>1181</v>
      </c>
      <c r="D3115" s="27" t="s">
        <v>1075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1102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row>
    <row r="3118" spans="1:12">
      <c r="A3118" s="20" t="s">
        <v>2090</v>
      </c>
    </row>
    <row r="3119" spans="1:12">
      <c r="A3119" s="20" t="s">
        <v>1216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1077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1347</v>
      </c>
      <c r="B3121" s="27" t="s">
        <v>1079</v>
      </c>
      <c r="C3121" s="27" t="s">
        <v>1084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1087</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1105</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2091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1096</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1569</v>
      </c>
      <c r="B3126" s="27" t="s">
        <v>1073</v>
      </c>
      <c r="C3126" s="27" t="s">
        <v>1080</v>
      </c>
      <c r="D3126" s="27" t="s">
        <v>1075</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2053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1087</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1556</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2092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2093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1326</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2094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1569</v>
      </c>
      <c r="B3134" s="27" t="s">
        <v>1079</v>
      </c>
      <c r="C3134" s="27" t="s">
        <v>1300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1102</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row>
    <row r="3137" spans="1:12">
      <c r="A3137" s="20" t="s">
        <v>2095</v>
      </c>
    </row>
    <row r="3138" spans="1:12">
      <c r="A3138" s="20" t="s">
        <v>2096</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1238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1071</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2097</v>
      </c>
      <c r="B3141" s="27" t="s">
        <v>1073</v>
      </c>
      <c r="C3141" s="27" t="s">
        <v>1074</v>
      </c>
      <c r="D3141" s="27" t="s">
        <v>1075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2098</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1076</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1077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2099</v>
      </c>
      <c r="B3145" s="27" t="s">
        <v>1079</v>
      </c>
      <c r="C3145" s="27" t="s">
        <v>1181</v>
      </c>
      <c r="D3145" s="27" t="s">
        <v>1075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1092</v>
      </c>
      <c r="B3146" s="27" t="s">
        <v>1226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2100</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1573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2101</v>
      </c>
      <c r="B3149" s="27" t="s">
        <v>1134</v>
      </c>
      <c r="C3149" s="27" t="s">
        <v>1074</v>
      </c>
      <c r="D3149" s="27" t="s">
        <v>1075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1138</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2102</v>
      </c>
      <c r="B3151" s="27" t="s">
        <v>1121</v>
      </c>
      <c r="C3151" s="27" t="s">
        <v>1084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1081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1092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28</v>
      </c>
      <c r="B3154" s="27" t="s">
        <v>1256</v>
      </c>
      <c r="C3154" s="27" t="s">
        <v>1127</v>
      </c>
      <c r="D3154" s="27" t="s">
        <v>1075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1261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2103</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2104</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1814</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1102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2105</v>
      </c>
    </row>
    <row r="3162" spans="1:12">
      <c r="A3162" s="20" t="s">
        <v>2106</v>
      </c>
      <c r="B3162" s="27" t="s">
        <v>1107</v>
      </c>
      <c r="C3162" s="27" t="s">
        <v>1084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1232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2107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1076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1077</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2108</v>
      </c>
      <c r="B3167" s="27" t="s">
        <v>1152</v>
      </c>
      <c r="C3167" s="27" t="s">
        <v>1181</v>
      </c>
      <c r="D3167" s="27" t="s">
        <v>1075</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1100</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2109</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1076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1071</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2110</v>
      </c>
      <c r="B3172" s="27" t="s">
        <v>1079</v>
      </c>
      <c r="C3172" s="27" t="s">
        <v>1115</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1936</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1087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1081</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2111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1100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1132</v>
      </c>
      <c r="B3178" s="27" t="s">
        <v>1148</v>
      </c>
      <c r="C3178" s="27" t="s">
        <v>1119</v>
      </c>
      <c r="D3178" s="27" t="s">
        <v>1075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1673</v>
      </c>
      <c r="B3179" s="27" t="s">
        <v>1126</v>
      </c>
      <c r="C3179" s="27" t="s">
        <v>1080</v>
      </c>
      <c r="D3179" s="27" t="s">
        <v>1075</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1100</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1129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1202</v>
      </c>
      <c r="B3182" s="27" t="s">
        <v>1126</v>
      </c>
      <c r="C3182" s="27" t="s">
        <v>1115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1092</v>
      </c>
      <c r="B3183" s="27" t="s">
        <v>1226</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1469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1295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row>
    <row r="3187" spans="1:12">
      <c r="A3187" s="20" t="s">
        <v>1296</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2112</v>
      </c>
    </row>
    <row r="3189" spans="1:12">
      <c r="A3189" s="20" t="s">
        <v>93</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575</v>
      </c>
      <c r="B3190" s="27" t="s">
        <v>1152</v>
      </c>
      <c r="C3190" s="27" t="s">
        <v>1181</v>
      </c>
      <c r="D3190" s="27" t="s">
        <v>1075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1087</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1344</v>
      </c>
      <c r="B3192" s="27" t="s">
        <v>1083</v>
      </c>
      <c r="C3192" s="27" t="s">
        <v>1204</v>
      </c>
      <c r="D3192" s="27" t="s">
        <v>1075</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146</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1076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1100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2113</v>
      </c>
      <c r="B3196" s="27" t="s">
        <v>1152</v>
      </c>
      <c r="C3196" s="27" t="s">
        <v>1181</v>
      </c>
      <c r="D3196" s="27" t="s">
        <v>1075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2114</v>
      </c>
      <c r="B3197" s="27" t="s">
        <v>1079</v>
      </c>
      <c r="C3197" s="27" t="s">
        <v>1181</v>
      </c>
      <c r="D3197" s="27" t="s">
        <v>1075</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1102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row>
    <row r="3200" spans="1:12">
      <c r="A3200" s="20" t="s">
        <v>2115</v>
      </c>
    </row>
    <row r="3201" spans="1:12">
      <c r="A3201" s="20" t="s">
        <v>2116</v>
      </c>
      <c r="B3201" s="27" t="s">
        <v>1107</v>
      </c>
      <c r="C3201" s="27" t="s">
        <v>1127</v>
      </c>
      <c r="D3201" s="27" t="s">
        <v>1075</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1332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1076</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1100</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2113</v>
      </c>
      <c r="B3205" s="27" t="s">
        <v>1152</v>
      </c>
      <c r="C3205" s="27" t="s">
        <v>1181</v>
      </c>
      <c r="D3205" s="27" t="s">
        <v>1075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2117</v>
      </c>
      <c r="B3206" s="27" t="s">
        <v>1152</v>
      </c>
      <c r="C3206" s="27" t="s">
        <v>1181</v>
      </c>
      <c r="D3206" s="27" t="s">
        <v>1075</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1102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row>
    <row r="3209" spans="1:12">
      <c r="A3209" s="20" t="s">
        <v>1296</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2118</v>
      </c>
    </row>
    <row r="3211" spans="1:12">
      <c r="A3211" s="20" t="s">
        <v>93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2119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1397</v>
      </c>
      <c r="B3213" s="27" t="s">
        <v>1079</v>
      </c>
      <c r="C3213" s="27" t="s">
        <v>1119</v>
      </c>
      <c r="D3213" s="27" t="s">
        <v>1075</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2120</v>
      </c>
      <c r="B3214" s="27" t="s">
        <v>1107</v>
      </c>
      <c r="C3214" s="27" t="s">
        <v>1080</v>
      </c>
      <c r="D3214" s="27" t="s">
        <v>1075</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1570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1945</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1102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1296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2121</v>
      </c>
    </row>
    <row r="3221" spans="1:12">
      <c r="A3221" s="20" t="s">
        <v>93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1243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1391</v>
      </c>
      <c r="B3223" s="27" t="s">
        <v>1152</v>
      </c>
      <c r="C3223" s="27" t="s">
        <v>1084</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2120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1092</v>
      </c>
      <c r="B3225" s="27" t="s">
        <v>1083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1553</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1514</v>
      </c>
      <c r="B3227" s="27" t="s">
        <v>1126</v>
      </c>
      <c r="C3227" s="27" t="s">
        <v>1250</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1076</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2122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1135</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1077</v>
      </c>
      <c r="B3231" s="27" t="s">
        <v>1148</v>
      </c>
      <c r="C3231" s="27" t="s">
        <v>1204</v>
      </c>
      <c r="D3231" s="27" t="s">
        <v>1075</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1092</v>
      </c>
      <c r="B3232" s="27" t="s">
        <v>1259</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2123</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1102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93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1296</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2124</v>
      </c>
    </row>
    <row r="3239" spans="1:12">
      <c r="A3239" s="20" t="s">
        <v>1104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28</v>
      </c>
      <c r="B3240" s="27" t="s">
        <v>1152</v>
      </c>
      <c r="C3240" s="27" t="s">
        <v>1127</v>
      </c>
      <c r="D3240" s="27" t="s">
        <v>1075</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1295</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93</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2125</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1102</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1104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1461</v>
      </c>
      <c r="B3247" s="27" t="s">
        <v>1113</v>
      </c>
      <c r="C3247" s="27" t="s">
        <v>1127</v>
      </c>
      <c r="D3247" s="27" t="s">
        <v>1075</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1469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1295</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1937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1087</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1267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2126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1997</v>
      </c>
      <c r="B3255" s="27" t="s">
        <v>1107</v>
      </c>
      <c r="C3255" s="27" t="s">
        <v>1074</v>
      </c>
      <c r="D3255" s="27" t="s">
        <v>1075</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1135</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1096</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2127</v>
      </c>
      <c r="B3258" s="27" t="s">
        <v>1079</v>
      </c>
      <c r="C3258" s="27" t="s">
        <v>1074</v>
      </c>
      <c r="D3258" s="27" t="s">
        <v>1075</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2128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1138</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2129</v>
      </c>
      <c r="B3261" s="27" t="s">
        <v>1148</v>
      </c>
      <c r="C3261" s="27" t="s">
        <v>1084</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2130</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1087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93</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1897</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2131</v>
      </c>
      <c r="B3266" s="27" t="s">
        <v>1079</v>
      </c>
      <c r="C3266" s="27" t="s">
        <v>1204</v>
      </c>
      <c r="D3266" s="27" t="s">
        <v>1075</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1092</v>
      </c>
      <c r="B3267" s="27" t="s">
        <v>1226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2132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1232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1138</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1077</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2133</v>
      </c>
      <c r="B3272" s="27" t="s">
        <v>1121</v>
      </c>
      <c r="C3272" s="27" t="s">
        <v>1080</v>
      </c>
      <c r="D3272" s="27" t="s">
        <v>1075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1102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93</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row>
    <row r="3276" spans="1:12">
      <c r="A3276" s="20" t="s">
        <v>1296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2134</v>
      </c>
    </row>
    <row r="3278" spans="1:12">
      <c r="A3278" s="20" t="s">
        <v>1104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28</v>
      </c>
      <c r="B3279" s="27" t="s">
        <v>1107</v>
      </c>
      <c r="C3279" s="27" t="s">
        <v>1127</v>
      </c>
      <c r="D3279" s="27" t="s">
        <v>1075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1469</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1295</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93</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2135</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1975</v>
      </c>
      <c r="B3284" s="27" t="s">
        <v>1083</v>
      </c>
      <c r="C3284" s="27" t="s">
        <v>1074</v>
      </c>
      <c r="D3284" s="27" t="s">
        <v>1075</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1138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1472</v>
      </c>
      <c r="B3286" s="27" t="s">
        <v>1148</v>
      </c>
      <c r="C3286" s="27" t="s">
        <v>1084</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1671</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1492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93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2136</v>
      </c>
    </row>
    <row r="3292" spans="1:12">
      <c r="A3292" s="20" t="s">
        <v>1104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1461</v>
      </c>
      <c r="B3293" s="27" t="s">
        <v>1107</v>
      </c>
      <c r="C3293" s="27" t="s">
        <v>1127</v>
      </c>
      <c r="D3293" s="27" t="s">
        <v>1075</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1469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1295</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1296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2137</v>
      </c>
    </row>
    <row r="3299" spans="1:12">
      <c r="A3299" s="20" t="s">
        <v>93</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2138</v>
      </c>
      <c r="B3300" s="27" t="s">
        <v>1107</v>
      </c>
      <c r="C3300" s="27" t="s">
        <v>1127</v>
      </c>
      <c r="D3300" s="27" t="s">
        <v>1075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2139</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1129</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1476</v>
      </c>
      <c r="B3303" s="27" t="s">
        <v>1073</v>
      </c>
      <c r="C3303" s="27" t="s">
        <v>1115</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2140</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1102</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row>
    <row r="3307" spans="1:12">
      <c r="A3307" s="20" t="s">
        <v>1296</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2141</v>
      </c>
    </row>
    <row r="3309" spans="1:12">
      <c r="A3309" s="20" t="s">
        <v>93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1252</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2142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1111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1299</v>
      </c>
      <c r="B3313" s="27" t="s">
        <v>1073</v>
      </c>
      <c r="C3313" s="27" t="s">
        <v>1080</v>
      </c>
      <c r="D3313" s="27" t="s">
        <v>1075</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1210</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1077</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2143</v>
      </c>
      <c r="B3316" s="27" t="s">
        <v>1152</v>
      </c>
      <c r="C3316" s="27" t="s">
        <v>1080</v>
      </c>
      <c r="D3316" s="27" t="s">
        <v>1075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93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1782</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1076</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1096</v>
      </c>
      <c r="B3320" s="27" t="s">
        <v>1148</v>
      </c>
      <c r="C3320" s="27" t="s">
        <v>1204</v>
      </c>
      <c r="D3320" s="27" t="s">
        <v>1075</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1635</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1100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1638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1102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row>
    <row r="3327" spans="1:12">
      <c r="A3327" s="20" t="s">
        <v>1296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2144</v>
      </c>
    </row>
    <row r="3329" spans="1:12">
      <c r="A3329" s="20" t="s">
        <v>93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1252</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2145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2146</v>
      </c>
      <c r="B3332" s="27" t="s">
        <v>1073</v>
      </c>
      <c r="C3332" s="27" t="s">
        <v>1084</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2147</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2148</v>
      </c>
      <c r="B3334" s="27" t="s">
        <v>1079</v>
      </c>
      <c r="C3334" s="27" t="s">
        <v>1084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1210</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556</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2149</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1077</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2101</v>
      </c>
      <c r="B3339" s="27" t="s">
        <v>1134</v>
      </c>
      <c r="C3339" s="27" t="s">
        <v>1080</v>
      </c>
      <c r="D3339" s="27" t="s">
        <v>1075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1102</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row>
    <row r="3342" spans="1:12">
      <c r="A3342" s="20" t="s">
        <v>1296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2150</v>
      </c>
    </row>
    <row r="3344" spans="1:12">
      <c r="A3344" s="20" t="s">
        <v>93</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1252</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2151</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1100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2152</v>
      </c>
      <c r="B3348" s="27" t="s">
        <v>1073</v>
      </c>
      <c r="C3348" s="27" t="s">
        <v>1080</v>
      </c>
      <c r="D3348" s="27" t="s">
        <v>1075</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1102</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row>
    <row r="3351" spans="1:12">
      <c r="A3351" s="20" t="s">
        <v>1296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2153</v>
      </c>
    </row>
    <row r="3353" spans="1:12">
      <c r="A3353" s="20" t="s">
        <v>93</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1252</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2154</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1100</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1176</v>
      </c>
      <c r="B3357" s="27" t="s">
        <v>1073</v>
      </c>
      <c r="C3357" s="27" t="s">
        <v>1080</v>
      </c>
      <c r="D3357" s="27" t="s">
        <v>1075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1094</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1071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1120</v>
      </c>
      <c r="B3360" s="27" t="s">
        <v>1152</v>
      </c>
      <c r="C3360" s="27" t="s">
        <v>1115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2155</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1102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row>
    <row r="3364" spans="1:12">
      <c r="A3364" s="20" t="s">
        <v>1296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2156</v>
      </c>
    </row>
    <row r="3366" spans="1:12">
      <c r="A3366" s="20" t="s">
        <v>93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1216</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1288</v>
      </c>
      <c r="B3368" s="27" t="s">
        <v>1152</v>
      </c>
      <c r="C3368" s="27" t="s">
        <v>1074</v>
      </c>
      <c r="D3368" s="27" t="s">
        <v>1075</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1138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1344</v>
      </c>
      <c r="B3370" s="27" t="s">
        <v>1079</v>
      </c>
      <c r="C3370" s="27" t="s">
        <v>1204</v>
      </c>
      <c r="D3370" s="27" t="s">
        <v>1075</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1087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2142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1111</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1299</v>
      </c>
      <c r="B3374" s="27" t="s">
        <v>1073</v>
      </c>
      <c r="C3374" s="27" t="s">
        <v>1074</v>
      </c>
      <c r="D3374" s="27" t="s">
        <v>1075</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93</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1129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1138</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1167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1288</v>
      </c>
      <c r="B3379" s="27" t="s">
        <v>1148</v>
      </c>
      <c r="C3379" s="27" t="s">
        <v>1074</v>
      </c>
      <c r="D3379" s="27" t="s">
        <v>1075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1210</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2157</v>
      </c>
      <c r="B3381" s="27" t="s">
        <v>1090</v>
      </c>
      <c r="C3381" s="27" t="s">
        <v>1084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2158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93</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1081</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1841</v>
      </c>
      <c r="B3385" s="27" t="s">
        <v>1098</v>
      </c>
      <c r="C3385" s="27" t="s">
        <v>1127</v>
      </c>
      <c r="D3385" s="27" t="s">
        <v>1075</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1684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1138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454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1903</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1129</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1904</v>
      </c>
      <c r="B3391" s="27" t="s">
        <v>1212</v>
      </c>
      <c r="C3391" s="27" t="s">
        <v>1074</v>
      </c>
      <c r="D3391" s="27" t="s">
        <v>1075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1326</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1111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1255</v>
      </c>
      <c r="B3395" s="27" t="s">
        <v>1214</v>
      </c>
      <c r="C3395" s="27" t="s">
        <v>1080</v>
      </c>
      <c r="D3395" s="27" t="s">
        <v>1075</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2159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1092</v>
      </c>
      <c r="B3397" s="27" t="s">
        <v>2160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1907</v>
      </c>
      <c r="B3398" s="27" t="s">
        <v>2161</v>
      </c>
      <c r="C3398" s="27" t="s">
        <v>1127</v>
      </c>
      <c r="D3398" s="27" t="s">
        <v>1075</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1684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2162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1102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93</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1879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2163</v>
      </c>
      <c r="B3404" s="27" t="s">
        <v>1214</v>
      </c>
      <c r="C3404" s="27" t="s">
        <v>1084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1881</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row>
    <row r="3407" spans="1:12">
      <c r="A3407" s="20" t="s">
        <v>2164</v>
      </c>
    </row>
    <row r="3408" spans="1:12">
      <c r="A3408" s="20" t="s">
        <v>1104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1469</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1295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row>
    <row r="3412" spans="1:12">
      <c r="A3412" s="20" t="s">
        <v>1296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2165</v>
      </c>
    </row>
    <row r="3414" spans="1:12">
      <c r="A3414" s="20" t="s">
        <v>93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2166</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1092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1907</v>
      </c>
      <c r="B3417" s="27" t="s">
        <v>1126</v>
      </c>
      <c r="C3417" s="27" t="s">
        <v>1127</v>
      </c>
      <c r="D3417" s="27" t="s">
        <v>1075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818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1210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2167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1138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1077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2168</v>
      </c>
      <c r="B3423" s="27" t="s">
        <v>1148</v>
      </c>
      <c r="C3423" s="27" t="s">
        <v>1080</v>
      </c>
      <c r="D3423" s="27" t="s">
        <v>1075</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1102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93</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2169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1087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1076</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1077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2170</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2171</v>
      </c>
      <c r="B3431" s="27" t="s">
        <v>1148</v>
      </c>
      <c r="C3431" s="27" t="s">
        <v>1074</v>
      </c>
      <c r="D3431" s="27" t="s">
        <v>1075</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1138</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1096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1569</v>
      </c>
      <c r="B3434" s="27" t="s">
        <v>1090</v>
      </c>
      <c r="C3434" s="27" t="s">
        <v>1080</v>
      </c>
      <c r="D3434" s="27" t="s">
        <v>1075</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2053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1087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2103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454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1326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2172</v>
      </c>
      <c r="B3440" s="27" t="s">
        <v>1126</v>
      </c>
      <c r="C3440" s="27" t="s">
        <v>1181</v>
      </c>
      <c r="D3440" s="27" t="s">
        <v>1075</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2173</v>
      </c>
      <c r="B3441" s="27" t="s">
        <v>1148</v>
      </c>
      <c r="C3441" s="27" t="s">
        <v>1181</v>
      </c>
      <c r="D3441" s="27" t="s">
        <v>1075</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1102</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row>
    <row r="3444" spans="1:12">
      <c r="A3444" s="20" t="s">
        <v>2174</v>
      </c>
    </row>
    <row r="3445" spans="1:12">
      <c r="A3445" s="20" t="s">
        <v>2172</v>
      </c>
      <c r="B3445" s="27" t="s">
        <v>1107</v>
      </c>
      <c r="C3445" s="27" t="s">
        <v>1181</v>
      </c>
      <c r="D3445" s="27" t="s">
        <v>1075</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2173</v>
      </c>
      <c r="B3446" s="27" t="s">
        <v>1079</v>
      </c>
      <c r="C3446" s="27" t="s">
        <v>1181</v>
      </c>
      <c r="D3446" s="27" t="s">
        <v>1075</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1308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1100</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1757</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1176</v>
      </c>
      <c r="B3450" s="27" t="s">
        <v>1073</v>
      </c>
      <c r="C3450" s="27" t="s">
        <v>1080</v>
      </c>
      <c r="D3450" s="27" t="s">
        <v>1075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1092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28</v>
      </c>
      <c r="B3452" s="27" t="s">
        <v>1083</v>
      </c>
      <c r="C3452" s="27" t="s">
        <v>1127</v>
      </c>
      <c r="D3452" s="27" t="s">
        <v>1075</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1430</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1758</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1595</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2175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1076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1071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1982</v>
      </c>
      <c r="B3459" s="27" t="s">
        <v>1079</v>
      </c>
      <c r="C3459" s="27" t="s">
        <v>1115</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1102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row>
    <row r="3462" spans="1:12">
      <c r="A3462" s="20" t="s">
        <v>2176</v>
      </c>
    </row>
    <row r="3463" spans="1:12">
      <c r="A3463" s="20" t="s">
        <v>1974</v>
      </c>
      <c r="B3463" s="27" t="s">
        <v>1107</v>
      </c>
      <c r="C3463" s="27" t="s">
        <v>1127</v>
      </c>
      <c r="D3463" s="27" t="s">
        <v>1075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1435</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2177</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1373</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1087</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1105</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1077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2178</v>
      </c>
      <c r="B3470" s="27" t="s">
        <v>1079</v>
      </c>
      <c r="C3470" s="27" t="s">
        <v>1074</v>
      </c>
      <c r="D3470" s="27" t="s">
        <v>1075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1087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1076</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1129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1742</v>
      </c>
      <c r="B3474" s="27" t="s">
        <v>1148</v>
      </c>
      <c r="C3474" s="27" t="s">
        <v>1115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1076</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1092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1358</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1071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1523</v>
      </c>
      <c r="B3479" s="27" t="s">
        <v>1259</v>
      </c>
      <c r="C3479" s="27" t="s">
        <v>1074</v>
      </c>
      <c r="D3479" s="27" t="s">
        <v>1075</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1138</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2179</v>
      </c>
      <c r="B3481" s="27" t="s">
        <v>1118</v>
      </c>
      <c r="C3481" s="27" t="s">
        <v>1084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2180</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1106</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1096</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1405</v>
      </c>
      <c r="B3485" s="27" t="s">
        <v>1118</v>
      </c>
      <c r="C3485" s="27" t="s">
        <v>1169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1102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2181</v>
      </c>
    </row>
    <row r="3489" spans="1:12">
      <c r="A3489" s="20" t="s">
        <v>1761</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1400</v>
      </c>
      <c r="B3490" s="27" t="s">
        <v>1073</v>
      </c>
      <c r="C3490" s="27" t="s">
        <v>1084</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2182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1903</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1129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2183</v>
      </c>
      <c r="B3494" s="27" t="s">
        <v>1148</v>
      </c>
      <c r="C3494" s="27" t="s">
        <v>1169</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1102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row>
    <row r="3497" spans="1:12">
      <c r="A3497" s="20" t="s">
        <v>2184</v>
      </c>
    </row>
    <row r="3498" spans="1:12">
      <c r="A3498" s="20" t="s">
        <v>1142</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1087</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1360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1095</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1513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1903</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1129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2183</v>
      </c>
      <c r="B3505" s="27" t="s">
        <v>1152</v>
      </c>
      <c r="C3505" s="27" t="s">
        <v>1169</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1102</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row>
    <row r="3508" spans="1:12">
      <c r="A3508" s="20" t="s">
        <v>2185</v>
      </c>
    </row>
    <row r="3509" spans="1:12">
      <c r="A3509" s="20" t="s">
        <v>1142</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1087</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2186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1100</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500</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1081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1358</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2170</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1523</v>
      </c>
      <c r="B3517" s="27" t="s">
        <v>1126</v>
      </c>
      <c r="C3517" s="27" t="s">
        <v>1074</v>
      </c>
      <c r="D3517" s="27" t="s">
        <v>1075</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1138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2187</v>
      </c>
      <c r="B3519" s="27" t="s">
        <v>1148</v>
      </c>
      <c r="C3519" s="27" t="s">
        <v>1084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1102</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1296</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2188</v>
      </c>
    </row>
    <row r="3524" spans="1:12">
      <c r="A3524" s="20" t="s">
        <v>1666</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1077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2178</v>
      </c>
      <c r="B3526" s="27" t="s">
        <v>1107</v>
      </c>
      <c r="C3526" s="27" t="s">
        <v>1080</v>
      </c>
      <c r="D3526" s="27" t="s">
        <v>1075</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1087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1469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1258</v>
      </c>
      <c r="B3529" s="27" t="s">
        <v>1073</v>
      </c>
      <c r="C3529" s="27" t="s">
        <v>1127</v>
      </c>
      <c r="D3529" s="27" t="s">
        <v>1075</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1295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93</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1407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2189</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567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1111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2190</v>
      </c>
      <c r="B3536" s="27" t="s">
        <v>1303</v>
      </c>
      <c r="C3536" s="27" t="s">
        <v>1080</v>
      </c>
      <c r="D3536" s="27" t="s">
        <v>1075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1929</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1102</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row>
    <row r="3540" spans="1:12">
      <c r="A3540" s="20" t="s">
        <v>1296</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2191</v>
      </c>
    </row>
    <row r="3542" spans="1:12">
      <c r="A3542" s="20" t="s">
        <v>93</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1252</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2192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805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1076</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1350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1516</v>
      </c>
      <c r="B3548" s="27" t="s">
        <v>1079</v>
      </c>
      <c r="C3548" s="27" t="s">
        <v>1195</v>
      </c>
      <c r="D3548" s="27" t="s">
        <v>1075</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1102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row>
    <row r="3551" spans="1:12">
      <c r="A3551" s="20" t="s">
        <v>1296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2193</v>
      </c>
    </row>
    <row r="3553" spans="1:12">
      <c r="A3553" s="20" t="s">
        <v>93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2194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1092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1557</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1094</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286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1135</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1722</v>
      </c>
      <c r="B3560" s="27" t="s">
        <v>1126</v>
      </c>
      <c r="C3560" s="27" t="s">
        <v>1204</v>
      </c>
      <c r="D3560" s="27" t="s">
        <v>1075</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1095</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1261</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204</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1102</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row>
    <row r="3566" spans="1:12">
      <c r="A3566" s="20" t="s">
        <v>1296</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2195</v>
      </c>
    </row>
    <row r="3568" spans="1:12">
      <c r="A3568" s="20" t="s">
        <v>93</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2196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454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1138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1071</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2197</v>
      </c>
      <c r="B3573" s="27" t="s">
        <v>1126</v>
      </c>
      <c r="C3573" s="27" t="s">
        <v>1074</v>
      </c>
      <c r="D3573" s="27" t="s">
        <v>1075</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1076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1077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2198</v>
      </c>
      <c r="B3576" s="27" t="s">
        <v>1148</v>
      </c>
      <c r="C3576" s="27" t="s">
        <v>1181</v>
      </c>
      <c r="D3576" s="27" t="s">
        <v>1075</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2199</v>
      </c>
      <c r="B3577" s="27" t="s">
        <v>1090</v>
      </c>
      <c r="C3577" s="27" t="s">
        <v>1181</v>
      </c>
      <c r="D3577" s="27" t="s">
        <v>1075</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93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1210</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1071</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2200</v>
      </c>
      <c r="B3581" s="27" t="s">
        <v>1148</v>
      </c>
      <c r="C3581" s="27" t="s">
        <v>1115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2201</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2202</v>
      </c>
      <c r="B3583" s="27" t="s">
        <v>1259</v>
      </c>
      <c r="C3583" s="27" t="s">
        <v>1084</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1092</v>
      </c>
      <c r="B3585" s="27" t="s">
        <v>1098</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1192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1129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2203</v>
      </c>
      <c r="B3588" s="27" t="s">
        <v>1118</v>
      </c>
      <c r="C3588" s="27" t="s">
        <v>1074</v>
      </c>
      <c r="D3588" s="27" t="s">
        <v>1075</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1100</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1077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1078</v>
      </c>
      <c r="B3591" s="27" t="s">
        <v>1212</v>
      </c>
      <c r="C3591" s="27" t="s">
        <v>1080</v>
      </c>
      <c r="D3591" s="27" t="s">
        <v>1075</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1087</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93</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1081</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1875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1092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2103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548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1102</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93</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2204</v>
      </c>
      <c r="B3601" s="27" t="s">
        <v>1126</v>
      </c>
      <c r="C3601" s="27" t="s">
        <v>1084</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1258</v>
      </c>
      <c r="B3602" s="27" t="s">
        <v>1303</v>
      </c>
      <c r="C3602" s="27" t="s">
        <v>1127</v>
      </c>
      <c r="D3602" s="27" t="s">
        <v>1075</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1138</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60</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2205</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2206</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1238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212</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1092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1129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1202</v>
      </c>
      <c r="B3611" s="27" t="s">
        <v>1674</v>
      </c>
      <c r="C3611" s="27" t="s">
        <v>1115</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1092</v>
      </c>
      <c r="B3612" s="27" t="s">
        <v>2160</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2207</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1308</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1432</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2208</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1241</v>
      </c>
      <c r="B3617" s="27" t="s">
        <v>2161</v>
      </c>
      <c r="C3617" s="27" t="s">
        <v>1300</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2159</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1135</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2209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1569</v>
      </c>
      <c r="B3621" s="27" t="s">
        <v>2210</v>
      </c>
      <c r="C3621" s="27" t="s">
        <v>1300</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1945</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1633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1308</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2211</v>
      </c>
      <c r="B3625" s="27" t="s">
        <v>2212</v>
      </c>
      <c r="C3625" s="27" t="s">
        <v>1084</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1560</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1138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1754</v>
      </c>
      <c r="B3628" s="27" t="s">
        <v>2213</v>
      </c>
      <c r="C3628" s="27" t="s">
        <v>1127</v>
      </c>
      <c r="D3628" s="27" t="s">
        <v>1075</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2214</v>
      </c>
      <c r="B3629" s="27" t="s">
        <v>2215</v>
      </c>
      <c r="C3629" s="27" t="s">
        <v>1084</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2216</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1210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548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1494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1071</v>
      </c>
      <c r="B3634" s="27" t="s">
        <v>2217</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1102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row>
    <row r="3637" spans="1:12">
      <c r="A3637" s="20" t="s">
        <v>2218</v>
      </c>
    </row>
    <row r="3638" spans="1:12">
      <c r="A3638" s="20" t="s">
        <v>1974</v>
      </c>
      <c r="B3638" s="27" t="s">
        <v>1107</v>
      </c>
      <c r="C3638" s="27" t="s">
        <v>1127</v>
      </c>
      <c r="D3638" s="27" t="s">
        <v>1075</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2219</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1100</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2202</v>
      </c>
      <c r="B3641" s="27" t="s">
        <v>1073</v>
      </c>
      <c r="C3641" s="27" t="s">
        <v>1080</v>
      </c>
      <c r="D3641" s="27" t="s">
        <v>1075</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1092</v>
      </c>
      <c r="B3642" s="27" t="s">
        <v>1113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2220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2221</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1513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1102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row>
    <row r="3648" spans="1:12">
      <c r="A3648" s="20" t="s">
        <v>2222</v>
      </c>
    </row>
    <row r="3649" spans="1:12">
      <c r="A3649" s="20" t="s">
        <v>1974</v>
      </c>
      <c r="B3649" s="27" t="s">
        <v>1107</v>
      </c>
      <c r="C3649" s="27" t="s">
        <v>1127</v>
      </c>
      <c r="D3649" s="27" t="s">
        <v>1075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1814</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1192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1071</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1943</v>
      </c>
      <c r="B3653" s="27" t="s">
        <v>1152</v>
      </c>
      <c r="C3653" s="27" t="s">
        <v>1115</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1117</v>
      </c>
      <c r="B3654" s="27" t="s">
        <v>1152</v>
      </c>
      <c r="C3654" s="27" t="s">
        <v>1119</v>
      </c>
      <c r="D3654" s="27" t="s">
        <v>1075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1102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row>
    <row r="3657" spans="1:12">
      <c r="A3657" s="20" t="s">
        <v>2223</v>
      </c>
    </row>
    <row r="3658" spans="1:12">
      <c r="A3658" s="20" t="s">
        <v>2224</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1129</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2225</v>
      </c>
      <c r="B3660" s="27" t="s">
        <v>1073</v>
      </c>
      <c r="C3660" s="27" t="s">
        <v>1115</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2226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1081</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1865</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2227</v>
      </c>
      <c r="B3664" s="27" t="s">
        <v>1079</v>
      </c>
      <c r="C3664" s="27" t="s">
        <v>1169</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2228</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1102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row>
    <row r="3668" spans="1:12">
      <c r="A3668" s="20" t="s">
        <v>2229</v>
      </c>
    </row>
    <row r="3669" spans="1:12">
      <c r="A3669" s="20" t="s">
        <v>2230</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1258</v>
      </c>
      <c r="B3670" s="27" t="s">
        <v>1073</v>
      </c>
      <c r="C3670" s="27" t="s">
        <v>1127</v>
      </c>
      <c r="D3670" s="27" t="s">
        <v>1075</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1129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2231</v>
      </c>
      <c r="B3672" s="27" t="s">
        <v>1073</v>
      </c>
      <c r="C3672" s="27" t="s">
        <v>1115</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1076</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1077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2232</v>
      </c>
      <c r="B3675" s="27" t="s">
        <v>1152</v>
      </c>
      <c r="C3675" s="27" t="s">
        <v>1181</v>
      </c>
      <c r="D3675" s="27" t="s">
        <v>1075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1232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1138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1100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2203</v>
      </c>
      <c r="B3679" s="27" t="s">
        <v>1079</v>
      </c>
      <c r="C3679" s="27" t="s">
        <v>1080</v>
      </c>
      <c r="D3679" s="27" t="s">
        <v>1075</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1081</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1793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1295</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row>
    <row r="3684" spans="1:12">
      <c r="A3684" s="20" t="s">
        <v>1296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2233</v>
      </c>
    </row>
    <row r="3686" spans="1:12">
      <c r="A3686" s="20" t="s">
        <v>93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11</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1117</v>
      </c>
      <c r="B3688" s="27" t="s">
        <v>1079</v>
      </c>
      <c r="C3688" s="27" t="s">
        <v>1119</v>
      </c>
      <c r="D3688" s="27" t="s">
        <v>1075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1468</v>
      </c>
      <c r="B3689" s="27" t="s">
        <v>1107</v>
      </c>
      <c r="C3689" s="27" t="s">
        <v>1080</v>
      </c>
      <c r="D3689" s="27" t="s">
        <v>1075</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2078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1258</v>
      </c>
      <c r="B3691" s="27" t="s">
        <v>1073</v>
      </c>
      <c r="C3691" s="27" t="s">
        <v>1127</v>
      </c>
      <c r="D3691" s="27" t="s">
        <v>1075</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1865</v>
      </c>
      <c r="B3692" s="27" t="s">
        <v>1073</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2234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1350</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2235</v>
      </c>
      <c r="B3695" s="27" t="s">
        <v>1079</v>
      </c>
      <c r="C3695" s="27" t="s">
        <v>1195</v>
      </c>
      <c r="D3695" s="27" t="s">
        <v>1075</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1087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93</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11</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197</v>
      </c>
      <c r="B3699" s="27" t="s">
        <v>1083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146</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1129</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2236</v>
      </c>
      <c r="B3702" s="27" t="s">
        <v>1152</v>
      </c>
      <c r="C3702" s="27" t="s">
        <v>1074</v>
      </c>
      <c r="D3702" s="27" t="s">
        <v>1075</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2237</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1210</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2238</v>
      </c>
      <c r="B3705" s="27" t="s">
        <v>1079</v>
      </c>
      <c r="C3705" s="27" t="s">
        <v>1181</v>
      </c>
      <c r="D3705" s="27" t="s">
        <v>1075</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1138</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1100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2239</v>
      </c>
      <c r="B3708" s="27" t="s">
        <v>1148</v>
      </c>
      <c r="C3708" s="27" t="s">
        <v>1181</v>
      </c>
      <c r="D3708" s="27" t="s">
        <v>1075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2240</v>
      </c>
      <c r="B3709" s="27" t="s">
        <v>1090</v>
      </c>
      <c r="C3709" s="27" t="s">
        <v>1181</v>
      </c>
      <c r="D3709" s="27" t="s">
        <v>1075</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2241</v>
      </c>
      <c r="B3710" s="27" t="s">
        <v>1090</v>
      </c>
      <c r="C3710" s="27" t="s">
        <v>1181</v>
      </c>
      <c r="D3710" s="27" t="s">
        <v>1075</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93</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1138</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1092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28</v>
      </c>
      <c r="B3714" s="27" t="s">
        <v>1256</v>
      </c>
      <c r="C3714" s="27" t="s">
        <v>1127</v>
      </c>
      <c r="D3714" s="27" t="s">
        <v>1075</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1261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2242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1102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row>
    <row r="3719" spans="1:12">
      <c r="A3719" s="20" t="s">
        <v>1296</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2243</v>
      </c>
    </row>
    <row r="3721" spans="1:12">
      <c r="A3721" s="20" t="s">
        <v>93</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2244</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1210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2245</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28</v>
      </c>
      <c r="B3725" s="27" t="s">
        <v>1126</v>
      </c>
      <c r="C3725" s="27" t="s">
        <v>1127</v>
      </c>
      <c r="D3725" s="27" t="s">
        <v>1075</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187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1100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389</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2246</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1081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60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1071</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1278</v>
      </c>
      <c r="B3733" s="27" t="s">
        <v>1293</v>
      </c>
      <c r="C3733" s="27" t="s">
        <v>1115</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1092</v>
      </c>
      <c r="B3734" s="27" t="s">
        <v>1674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28</v>
      </c>
      <c r="B3735" s="27" t="s">
        <v>1670</v>
      </c>
      <c r="C3735" s="27" t="s">
        <v>1127</v>
      </c>
      <c r="D3735" s="27" t="s">
        <v>1075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2247</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1102</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row>
    <row r="3739" spans="1:12">
      <c r="A3739" s="20" t="s">
        <v>2248</v>
      </c>
    </row>
    <row r="3740" spans="1:12">
      <c r="A3740" s="20" t="s">
        <v>11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2170</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2249</v>
      </c>
      <c r="B3742" s="27" t="s">
        <v>1107</v>
      </c>
      <c r="C3742" s="27" t="s">
        <v>1080</v>
      </c>
      <c r="D3742" s="27" t="s">
        <v>1075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146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1071</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2250</v>
      </c>
      <c r="B3745" s="27" t="s">
        <v>1152</v>
      </c>
      <c r="C3745" s="27" t="s">
        <v>1074</v>
      </c>
      <c r="D3745" s="27" t="s">
        <v>1075</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1138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1100</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1132</v>
      </c>
      <c r="B3748" s="27" t="s">
        <v>1079</v>
      </c>
      <c r="C3748" s="27" t="s">
        <v>1119</v>
      </c>
      <c r="D3748" s="27" t="s">
        <v>1075</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2251</v>
      </c>
      <c r="B3749" s="27" t="s">
        <v>1152</v>
      </c>
      <c r="C3749" s="27" t="s">
        <v>1080</v>
      </c>
      <c r="D3749" s="27" t="s">
        <v>1075</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1092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1095</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2252</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1102</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row>
    <row r="3755" spans="1:12">
      <c r="A3755" s="20" t="s">
        <v>2253</v>
      </c>
    </row>
    <row r="3756" spans="1:12">
      <c r="A3756" s="20" t="s">
        <v>1666</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1077</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2254</v>
      </c>
      <c r="B3758" s="27" t="s">
        <v>1083</v>
      </c>
      <c r="C3758" s="27" t="s">
        <v>1080</v>
      </c>
      <c r="D3758" s="27" t="s">
        <v>1075</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1087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1357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1100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683</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1102</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row>
    <row r="3765" spans="1:12">
      <c r="A3765" s="20" t="s">
        <v>2255</v>
      </c>
    </row>
    <row r="3766" spans="1:12">
      <c r="A3766" s="20" t="s">
        <v>1222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1132</v>
      </c>
      <c r="B3767" s="27" t="s">
        <v>1079</v>
      </c>
      <c r="C3767" s="27" t="s">
        <v>1119</v>
      </c>
      <c r="D3767" s="27" t="s">
        <v>1075</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1223</v>
      </c>
      <c r="B3768" s="27" t="s">
        <v>1107</v>
      </c>
      <c r="C3768" s="27" t="s">
        <v>1080</v>
      </c>
      <c r="D3768" s="27" t="s">
        <v>1075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2256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1095</v>
      </c>
      <c r="B3770" s="27" t="s">
        <v>1073</v>
      </c>
      <c r="C3770" s="27" t="s">
        <v>1127</v>
      </c>
      <c r="D3770" s="27" t="s">
        <v>1075</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1081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1469</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1295</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row>
    <row r="3775" spans="1:12">
      <c r="A3775" s="20" t="s">
        <v>2257</v>
      </c>
    </row>
    <row r="3776" spans="1:12">
      <c r="A3776" s="20" t="s">
        <v>1780</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2258</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1100</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683</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1238</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1663</v>
      </c>
      <c r="B3781" s="27" t="s">
        <v>1152</v>
      </c>
      <c r="C3781" s="27" t="s">
        <v>1074</v>
      </c>
      <c r="D3781" s="27" t="s">
        <v>1075</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1138</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1071</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2259</v>
      </c>
      <c r="B3784" s="27" t="s">
        <v>1079</v>
      </c>
      <c r="C3784" s="27" t="s">
        <v>1115</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1092</v>
      </c>
      <c r="B3785" s="27" t="s">
        <v>1226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1971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2260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1492</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1780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row>
    <row r="3791" spans="1:12">
      <c r="A3791" s="20" t="s">
        <v>2261</v>
      </c>
    </row>
    <row r="3792" spans="1:12">
      <c r="A3792" s="20" t="s">
        <v>1104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28</v>
      </c>
      <c r="B3793" s="27" t="s">
        <v>1107</v>
      </c>
      <c r="C3793" s="27" t="s">
        <v>1127</v>
      </c>
      <c r="D3793" s="27" t="s">
        <v>1075</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2262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1295</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1780</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1736</v>
      </c>
      <c r="B3797" s="27" t="s">
        <v>1083</v>
      </c>
      <c r="C3797" s="27" t="s">
        <v>1127</v>
      </c>
      <c r="D3797" s="27" t="s">
        <v>1075</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1308</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1100</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1981</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1737</v>
      </c>
      <c r="B3801" s="27" t="s">
        <v>1126</v>
      </c>
      <c r="C3801" s="27" t="s">
        <v>1080</v>
      </c>
      <c r="D3801" s="27" t="s">
        <v>1075</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1092</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28</v>
      </c>
      <c r="B3803" s="27" t="s">
        <v>1079</v>
      </c>
      <c r="C3803" s="27" t="s">
        <v>1127</v>
      </c>
      <c r="D3803" s="27" t="s">
        <v>1075</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1780</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1102</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row>
    <row r="3807" spans="1:12">
      <c r="A3807" s="20" t="s">
        <v>2263</v>
      </c>
    </row>
    <row r="3808" spans="1:12">
      <c r="A3808" s="20" t="s">
        <v>1471</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1100</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683</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1814</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1331</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1852</v>
      </c>
      <c r="B3813" s="27" t="s">
        <v>1126</v>
      </c>
      <c r="C3813" s="27" t="s">
        <v>1127</v>
      </c>
      <c r="D3813" s="27" t="s">
        <v>1075</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2264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1102</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row>
    <row r="3817" spans="1:12">
      <c r="A3817" s="20" t="s">
        <v>2265</v>
      </c>
    </row>
    <row r="3818" spans="1:12">
      <c r="A3818" s="20" t="s">
        <v>1252</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1192</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1092</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2266</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1660</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1087</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1267</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2267</v>
      </c>
      <c r="B3825" s="27" t="s">
        <v>1152</v>
      </c>
      <c r="C3825" s="27" t="s">
        <v>1084</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2268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1102</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row>
    <row r="3829" spans="1:12">
      <c r="A3829" s="20" t="s">
        <v>2269</v>
      </c>
    </row>
    <row r="3830" spans="1:12">
      <c r="A3830" s="20" t="s">
        <v>2270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1434</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1206</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60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1258</v>
      </c>
      <c r="B3834" s="27" t="s">
        <v>1126</v>
      </c>
      <c r="C3834" s="27" t="s">
        <v>1127</v>
      </c>
      <c r="D3834" s="27" t="s">
        <v>1075</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1911</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1267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1096</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1291</v>
      </c>
      <c r="B3838" s="27" t="s">
        <v>1090</v>
      </c>
      <c r="C3838" s="27" t="s">
        <v>1119</v>
      </c>
      <c r="D3838" s="27" t="s">
        <v>1075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1764</v>
      </c>
      <c r="B3839" s="27" t="s">
        <v>1113</v>
      </c>
      <c r="C3839" s="27" t="s">
        <v>1080</v>
      </c>
      <c r="D3839" s="27" t="s">
        <v>1075</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2271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1258</v>
      </c>
      <c r="B3841" s="27" t="s">
        <v>1303</v>
      </c>
      <c r="C3841" s="27" t="s">
        <v>1127</v>
      </c>
      <c r="D3841" s="27" t="s">
        <v>1075</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1087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1513</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1094</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1096</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2272</v>
      </c>
      <c r="B3846" s="27" t="s">
        <v>1148</v>
      </c>
      <c r="C3846" s="27" t="s">
        <v>1080</v>
      </c>
      <c r="D3846" s="27" t="s">
        <v>1075</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1081</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28</v>
      </c>
      <c r="B3848" s="27" t="s">
        <v>1113</v>
      </c>
      <c r="C3848" s="27" t="s">
        <v>1127</v>
      </c>
      <c r="D3848" s="27" t="s">
        <v>1075</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2273</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1100</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2203</v>
      </c>
      <c r="B3851" s="27" t="s">
        <v>1303</v>
      </c>
      <c r="C3851" s="27" t="s">
        <v>1080</v>
      </c>
      <c r="D3851" s="27" t="s">
        <v>1075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1102</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row>
    <row r="3854" spans="1:12">
      <c r="A3854" s="20" t="s">
        <v>2274</v>
      </c>
    </row>
    <row r="3855" spans="1:12">
      <c r="A3855" s="20" t="s">
        <v>1471</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1418</v>
      </c>
      <c r="B3856" s="27" t="s">
        <v>1107</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1081</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1500</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1258</v>
      </c>
      <c r="B3859" s="27" t="s">
        <v>1073</v>
      </c>
      <c r="C3859" s="27" t="s">
        <v>1127</v>
      </c>
      <c r="D3859" s="27" t="s">
        <v>1075</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702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1102</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row>
    <row r="3863" spans="1:12">
      <c r="A3863" s="20" t="s">
        <v>1296</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2275</v>
      </c>
    </row>
    <row r="3865" spans="1:12">
      <c r="A3865" s="20" t="s">
        <v>2116</v>
      </c>
      <c r="B3865" s="27" t="s">
        <v>1107</v>
      </c>
      <c r="C3865" s="27" t="s">
        <v>1127</v>
      </c>
      <c r="D3865" s="27" t="s">
        <v>1075</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2276</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1076</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1100</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1742</v>
      </c>
      <c r="B3869" s="27" t="s">
        <v>1152</v>
      </c>
      <c r="C3869" s="27" t="s">
        <v>1080</v>
      </c>
      <c r="D3869" s="27" t="s">
        <v>1075</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2277</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1087</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2278</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1138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2147</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1200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1076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1096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2279</v>
      </c>
      <c r="B3878" s="27" t="s">
        <v>1148</v>
      </c>
      <c r="C3878" s="27" t="s">
        <v>1080</v>
      </c>
      <c r="D3878" s="27" t="s">
        <v>1075</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1344</v>
      </c>
      <c r="B3879" s="27" t="s">
        <v>1090</v>
      </c>
      <c r="C3879" s="27" t="s">
        <v>1204</v>
      </c>
      <c r="D3879" s="27" t="s">
        <v>1075</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1102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93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1833</v>
      </c>
      <c r="B3882" s="27" t="s">
        <v>1205</v>
      </c>
      <c r="C3882" s="27" t="s">
        <v>1181</v>
      </c>
      <c r="D3882" s="27" t="s">
        <v>1075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2280</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1238</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1077</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2281</v>
      </c>
      <c r="B3886" s="27" t="s">
        <v>1118</v>
      </c>
      <c r="C3886" s="27" t="s">
        <v>1080</v>
      </c>
      <c r="D3886" s="27" t="s">
        <v>1075</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1138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1092</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1100</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1176</v>
      </c>
      <c r="B3890" s="27" t="s">
        <v>1670</v>
      </c>
      <c r="C3890" s="27" t="s">
        <v>1080</v>
      </c>
      <c r="D3890" s="27" t="s">
        <v>1075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1192</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1914</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2282</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1094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1129</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1476</v>
      </c>
      <c r="B3896" s="27" t="s">
        <v>1118</v>
      </c>
      <c r="C3896" s="27" t="s">
        <v>1074</v>
      </c>
      <c r="D3896" s="27" t="s">
        <v>1075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2283</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1138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1100</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2284</v>
      </c>
      <c r="B3900" s="27" t="s">
        <v>1212</v>
      </c>
      <c r="C3900" s="27" t="s">
        <v>1080</v>
      </c>
      <c r="D3900" s="27" t="s">
        <v>1075</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2285</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1087</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2286</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1102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row>
    <row r="3906" spans="1:12">
      <c r="A3906" s="20" t="s">
        <v>2287</v>
      </c>
    </row>
    <row r="3907" spans="1:12">
      <c r="A3907" s="20" t="s">
        <v>2288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709</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1077</v>
      </c>
      <c r="B3909" s="27" t="s">
        <v>1073</v>
      </c>
      <c r="C3909" s="27" t="s">
        <v>1204</v>
      </c>
      <c r="D3909" s="27" t="s">
        <v>1075</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1092</v>
      </c>
      <c r="B3910" s="27" t="s">
        <v>1303</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2289</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1076</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1129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1219</v>
      </c>
      <c r="B3914" s="27" t="s">
        <v>1148</v>
      </c>
      <c r="C3914" s="27" t="s">
        <v>1074</v>
      </c>
      <c r="D3914" s="27" t="s">
        <v>1075</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1138</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2094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2290</v>
      </c>
      <c r="B3917" s="27" t="s">
        <v>1090</v>
      </c>
      <c r="C3917" s="27" t="s">
        <v>1300</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1102</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row>
    <row r="3920" spans="1:12">
      <c r="A3920" s="20" t="s">
        <v>2291</v>
      </c>
    </row>
    <row r="3921" spans="1:12">
      <c r="A3921" s="20" t="s">
        <v>1322</v>
      </c>
      <c r="B3921" s="27" t="s">
        <v>1107</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1138</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1111</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1255</v>
      </c>
      <c r="B3924" s="27" t="s">
        <v>1079</v>
      </c>
      <c r="C3924" s="27" t="s">
        <v>1080</v>
      </c>
      <c r="D3924" s="27" t="s">
        <v>1075</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1092</v>
      </c>
      <c r="B3925" s="27" t="s">
        <v>1226</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1494</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1258</v>
      </c>
      <c r="B3927" s="27" t="s">
        <v>1134</v>
      </c>
      <c r="C3927" s="27" t="s">
        <v>1127</v>
      </c>
      <c r="D3927" s="27" t="s">
        <v>1075</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2292</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1416</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1100</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1176</v>
      </c>
      <c r="B3931" s="27" t="s">
        <v>1152</v>
      </c>
      <c r="C3931" s="27" t="s">
        <v>1074</v>
      </c>
      <c r="D3931" s="27" t="s">
        <v>1075</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1686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1096</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2293</v>
      </c>
      <c r="B3934" s="27" t="s">
        <v>1152</v>
      </c>
      <c r="C3934" s="27" t="s">
        <v>1080</v>
      </c>
      <c r="D3934" s="27" t="s">
        <v>1075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1102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row>
    <row r="3937" spans="1:12">
      <c r="A3937" s="20" t="s">
        <v>2294</v>
      </c>
    </row>
    <row r="3938" spans="1:12">
      <c r="A3938" s="20" t="s">
        <v>2295</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2296</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1077</v>
      </c>
      <c r="B3940" s="27" t="s">
        <v>1090</v>
      </c>
      <c r="C3940" s="27" t="s">
        <v>1204</v>
      </c>
      <c r="D3940" s="27" t="s">
        <v>1075</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1092</v>
      </c>
      <c r="B3941" s="27" t="s">
        <v>1113</v>
      </c>
      <c r="C3941" s="27" t="s">
        <v>1543</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1192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1092</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1095</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1358</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1238</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1111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1299</v>
      </c>
      <c r="B3948" s="27" t="s">
        <v>1148</v>
      </c>
      <c r="C3948" s="27" t="s">
        <v>1074</v>
      </c>
      <c r="D3948" s="27" t="s">
        <v>1075</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2297</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1135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1176</v>
      </c>
      <c r="B3951" s="27" t="s">
        <v>1090</v>
      </c>
      <c r="C3951" s="27" t="s">
        <v>1084</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1102</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row>
    <row r="3954" spans="1:12">
      <c r="A3954" s="20" t="s">
        <v>2298</v>
      </c>
    </row>
    <row r="3955" spans="1:12">
      <c r="A3955" s="20" t="s">
        <v>1837</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1092</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1111</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1299</v>
      </c>
      <c r="B3958" s="27" t="s">
        <v>1083</v>
      </c>
      <c r="C3958" s="27" t="s">
        <v>1074</v>
      </c>
      <c r="D3958" s="27" t="s">
        <v>1075</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2297</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1076</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2299</v>
      </c>
      <c r="B3961" s="27" t="s">
        <v>1148</v>
      </c>
      <c r="C3961" s="27" t="s">
        <v>1084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1261</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1570</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2300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1138</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1176</v>
      </c>
      <c r="B3966" s="27" t="s">
        <v>1126</v>
      </c>
      <c r="C3966" s="27" t="s">
        <v>1084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1102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row>
    <row r="3969" spans="1:12">
      <c r="A3969" s="20" t="s">
        <v>2301</v>
      </c>
    </row>
    <row r="3970" spans="1:12">
      <c r="A3970" s="20" t="s">
        <v>1222</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1176</v>
      </c>
      <c r="B3971" s="27" t="s">
        <v>1107</v>
      </c>
      <c r="C3971" s="27" t="s">
        <v>1080</v>
      </c>
      <c r="D3971" s="27" t="s">
        <v>1075</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1192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1077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2302</v>
      </c>
      <c r="B3974" s="27" t="s">
        <v>1152</v>
      </c>
      <c r="C3974" s="27" t="s">
        <v>1074</v>
      </c>
      <c r="D3974" s="27" t="s">
        <v>1075</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1138</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1129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2303</v>
      </c>
      <c r="B3977" s="27" t="s">
        <v>1152</v>
      </c>
      <c r="C3977" s="27" t="s">
        <v>1115</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2304</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1087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1092</v>
      </c>
      <c r="B3980" s="27" t="s">
        <v>1113</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2305</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1443</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2306</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1238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1930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1100</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2307</v>
      </c>
      <c r="B3987" s="27" t="s">
        <v>1148</v>
      </c>
      <c r="C3987" s="27" t="s">
        <v>1080</v>
      </c>
      <c r="D3987" s="27" t="s">
        <v>1075</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1102</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row>
    <row r="3990" spans="1:12">
      <c r="A3990" s="20" t="s">
        <v>2308</v>
      </c>
    </row>
    <row r="3991" spans="1:12">
      <c r="A3991" s="20" t="s">
        <v>1657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1650</v>
      </c>
      <c r="B3992" s="27" t="s">
        <v>1107</v>
      </c>
      <c r="C3992" s="27" t="s">
        <v>1080</v>
      </c>
      <c r="D3992" s="27" t="s">
        <v>1075</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1092</v>
      </c>
      <c r="B3993" s="27" t="s">
        <v>1113</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1100</v>
      </c>
      <c r="B3994" s="27" t="s">
        <v>1303</v>
      </c>
      <c r="C3994" s="27" t="s">
        <v>1127</v>
      </c>
      <c r="D3994" s="27" t="s">
        <v>1075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2309</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1570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1639</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1494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2310</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1076</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1299</v>
      </c>
      <c r="B4001" s="27" t="s">
        <v>1152</v>
      </c>
      <c r="C4001" s="27" t="s">
        <v>1084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1092</v>
      </c>
      <c r="B4002" s="27" t="s">
        <v>1113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1570</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2297</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1102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row>
    <row r="4007" spans="1:12">
      <c r="A4007" s="20" t="s">
        <v>1296</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2311</v>
      </c>
    </row>
    <row r="4009" spans="1:12">
      <c r="A4009" s="20" t="s">
        <v>1243</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2312</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1092</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1087</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1095</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1391</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1129</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1510</v>
      </c>
      <c r="B4016" s="27" t="s">
        <v>1303</v>
      </c>
      <c r="C4016" s="27" t="s">
        <v>1115</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1511</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1087</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1267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2313</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1655</v>
      </c>
      <c r="B4021" s="27" t="s">
        <v>1259</v>
      </c>
      <c r="C4021" s="27" t="s">
        <v>1127</v>
      </c>
      <c r="D4021" s="27" t="s">
        <v>1075</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1444</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1077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1411</v>
      </c>
      <c r="B4024" s="27" t="s">
        <v>1256</v>
      </c>
      <c r="C4024" s="27" t="s">
        <v>1080</v>
      </c>
      <c r="D4024" s="27" t="s">
        <v>1075</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1410</v>
      </c>
      <c r="B4025" s="27" t="s">
        <v>1118</v>
      </c>
      <c r="C4025" s="27" t="s">
        <v>1108</v>
      </c>
      <c r="D4025" s="27" t="s">
        <v>1075</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1087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1805</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1295</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93</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2045</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1192</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1092</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1258</v>
      </c>
      <c r="B4033" s="27" t="s">
        <v>1073</v>
      </c>
      <c r="C4033" s="27" t="s">
        <v>1127</v>
      </c>
      <c r="D4033" s="27" t="s">
        <v>1075</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1500</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1929</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1492</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row>
    <row r="4038" spans="1:12">
      <c r="A4038" s="20" t="s">
        <v>1296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2314</v>
      </c>
    </row>
    <row r="4040" spans="1:12">
      <c r="A4040" s="20" t="s">
        <v>93</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2315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60</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1129</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1176</v>
      </c>
      <c r="B4044" s="27" t="s">
        <v>1126</v>
      </c>
      <c r="C4044" s="27" t="s">
        <v>1115</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1102</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93</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row>
    <row r="4048" spans="1:12">
      <c r="A4048" s="20" t="s">
        <v>2316</v>
      </c>
    </row>
    <row r="4049" spans="1:12">
      <c r="A4049" s="20" t="s">
        <v>1104</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2317</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1071</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1523</v>
      </c>
      <c r="B4052" s="27" t="s">
        <v>1073</v>
      </c>
      <c r="C4052" s="27" t="s">
        <v>1115</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1102</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row>
    <row r="4055" spans="1:12">
      <c r="A4055" s="20" t="s">
        <v>2318</v>
      </c>
    </row>
    <row r="4056" spans="1:12">
      <c r="A4056" s="20" t="s">
        <v>1243</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1095</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1391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1129</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1510</v>
      </c>
      <c r="B4060" s="27" t="s">
        <v>1073</v>
      </c>
      <c r="C4060" s="27" t="s">
        <v>1115</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1734</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1087</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1081</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1076</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1096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1630</v>
      </c>
      <c r="B4066" s="27" t="s">
        <v>1152</v>
      </c>
      <c r="C4066" s="27" t="s">
        <v>1080</v>
      </c>
      <c r="D4066" s="27" t="s">
        <v>1075</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1444</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1077</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1411</v>
      </c>
      <c r="B4069" s="27" t="s">
        <v>1113</v>
      </c>
      <c r="C4069" s="27" t="s">
        <v>1080</v>
      </c>
      <c r="D4069" s="27" t="s">
        <v>1075</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1410</v>
      </c>
      <c r="B4070" s="27" t="s">
        <v>1303</v>
      </c>
      <c r="C4070" s="27" t="s">
        <v>1108</v>
      </c>
      <c r="D4070" s="27" t="s">
        <v>1075</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1087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2319</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1100</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1354</v>
      </c>
      <c r="B4074" s="27" t="s">
        <v>1303</v>
      </c>
      <c r="C4074" s="27" t="s">
        <v>1080</v>
      </c>
      <c r="D4074" s="27" t="s">
        <v>1075</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1094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1076</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1096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1630</v>
      </c>
      <c r="B4078" s="27" t="s">
        <v>1090</v>
      </c>
      <c r="C4078" s="27" t="s">
        <v>1074</v>
      </c>
      <c r="D4078" s="27" t="s">
        <v>1075</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1135</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1100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2320</v>
      </c>
      <c r="B4081" s="27" t="s">
        <v>1118</v>
      </c>
      <c r="C4081" s="27" t="s">
        <v>1119</v>
      </c>
      <c r="D4081" s="27" t="s">
        <v>1075</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1510</v>
      </c>
      <c r="B4082" s="27" t="s">
        <v>1121</v>
      </c>
      <c r="C4082" s="27" t="s">
        <v>1080</v>
      </c>
      <c r="D4082" s="27" t="s">
        <v>1075</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1087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1081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1261</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2321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212</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1295</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row>
    <row r="4090" spans="1:12">
      <c r="A4090" s="20" t="s">
        <v>1296</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2322</v>
      </c>
    </row>
    <row r="4092" spans="1:12">
      <c r="A4092" s="20" t="s">
        <v>93</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2270</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2323</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1071</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1523</v>
      </c>
      <c r="B4096" s="27" t="s">
        <v>1073</v>
      </c>
      <c r="C4096" s="27" t="s">
        <v>1115</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1102</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93</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row>
    <row r="4100" spans="1:12">
      <c r="A4100" s="20" t="s">
        <v>2324</v>
      </c>
    </row>
    <row r="4101" spans="1:12">
      <c r="A4101" s="20" t="s">
        <v>2325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1087</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1391</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1076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1350</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2168</v>
      </c>
      <c r="B4106" s="27" t="s">
        <v>1152</v>
      </c>
      <c r="C4106" s="27" t="s">
        <v>1195</v>
      </c>
      <c r="D4106" s="27" t="s">
        <v>1075</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1129</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2326</v>
      </c>
      <c r="B4108" s="27" t="s">
        <v>1073</v>
      </c>
      <c r="C4108" s="27" t="s">
        <v>1074</v>
      </c>
      <c r="D4108" s="27" t="s">
        <v>1075</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1138</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1176</v>
      </c>
      <c r="B4110" s="27" t="s">
        <v>1079</v>
      </c>
      <c r="C4110" s="27" t="s">
        <v>1084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1076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1111</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1299</v>
      </c>
      <c r="B4113" s="27" t="s">
        <v>1152</v>
      </c>
      <c r="C4113" s="27" t="s">
        <v>1080</v>
      </c>
      <c r="D4113" s="27" t="s">
        <v>1075</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2297</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1092</v>
      </c>
      <c r="B4115" s="27" t="s">
        <v>1226</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1261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1443</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1100</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101</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2327</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2147</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1100</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101</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2328</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1087</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2147</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1100</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101</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2329</v>
      </c>
      <c r="B4129" s="27" t="s">
        <v>1121</v>
      </c>
      <c r="C4129" s="27" t="s">
        <v>1074</v>
      </c>
      <c r="D4129" s="27" t="s">
        <v>1075</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1138</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2330</v>
      </c>
      <c r="B4131" s="27" t="s">
        <v>1118</v>
      </c>
      <c r="C4131" s="27" t="s">
        <v>1084</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1102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row>
    <row r="4134" spans="1:12">
      <c r="A4134" s="20" t="s">
        <v>2331</v>
      </c>
    </row>
    <row r="4135" spans="1:12">
      <c r="A4135" s="20" t="s">
        <v>1407</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1129</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2332</v>
      </c>
      <c r="B4137" s="27" t="s">
        <v>1152</v>
      </c>
      <c r="C4137" s="27" t="s">
        <v>1074</v>
      </c>
      <c r="D4137" s="27" t="s">
        <v>1075</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1138</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1345</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2333</v>
      </c>
      <c r="B4140" s="27" t="s">
        <v>1152</v>
      </c>
      <c r="C4140" s="27" t="s">
        <v>1084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1102</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row>
    <row r="4143" spans="1:12">
      <c r="A4143" s="20" t="s">
        <v>2334</v>
      </c>
    </row>
    <row r="4144" spans="1:12">
      <c r="A4144" s="20" t="s">
        <v>2335</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1129</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2336</v>
      </c>
      <c r="B4146" s="27" t="s">
        <v>1073</v>
      </c>
      <c r="C4146" s="27" t="s">
        <v>1115</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1092</v>
      </c>
      <c r="B4147" s="27" t="s">
        <v>1226</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1435</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1100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556</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1071</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2110</v>
      </c>
      <c r="B4152" s="27" t="s">
        <v>1134</v>
      </c>
      <c r="C4152" s="27" t="s">
        <v>1074</v>
      </c>
      <c r="D4152" s="27" t="s">
        <v>1075</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1138</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2337</v>
      </c>
      <c r="B4154" s="27" t="s">
        <v>1121</v>
      </c>
      <c r="C4154" s="27" t="s">
        <v>1084</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1076</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1096</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2338</v>
      </c>
      <c r="B4157" s="27" t="s">
        <v>1121</v>
      </c>
      <c r="C4157" s="27" t="s">
        <v>1074</v>
      </c>
      <c r="D4157" s="27" t="s">
        <v>1075</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1138</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2339</v>
      </c>
      <c r="B4159" s="27" t="s">
        <v>1118</v>
      </c>
      <c r="C4159" s="27" t="s">
        <v>1084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1076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2340</v>
      </c>
      <c r="B4161" s="27" t="s">
        <v>1121</v>
      </c>
      <c r="C4161" s="27" t="s">
        <v>1074</v>
      </c>
      <c r="D4161" s="27" t="s">
        <v>1075</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1138</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2341</v>
      </c>
      <c r="B4163" s="27" t="s">
        <v>1118</v>
      </c>
      <c r="C4163" s="27" t="s">
        <v>1181</v>
      </c>
      <c r="D4163" s="27" t="s">
        <v>1075</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1102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row>
    <row r="4166" spans="1:12">
      <c r="A4166" s="20" t="s">
        <v>2342</v>
      </c>
    </row>
    <row r="4167" spans="1:12">
      <c r="A4167" s="20" t="s">
        <v>2343</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1111</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2344</v>
      </c>
      <c r="B4169" s="27" t="s">
        <v>1152</v>
      </c>
      <c r="C4169" s="27" t="s">
        <v>1080</v>
      </c>
      <c r="D4169" s="27" t="s">
        <v>1075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1092</v>
      </c>
      <c r="B4170" s="27" t="s">
        <v>1113</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2345</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1135</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2094</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1997</v>
      </c>
      <c r="B4174" s="27" t="s">
        <v>1303</v>
      </c>
      <c r="C4174" s="27" t="s">
        <v>1074</v>
      </c>
      <c r="D4174" s="27" t="s">
        <v>1075</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1138</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2129</v>
      </c>
      <c r="B4176" s="27" t="s">
        <v>1090</v>
      </c>
      <c r="C4176" s="27" t="s">
        <v>1084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1754</v>
      </c>
      <c r="B4177" s="27" t="s">
        <v>1107</v>
      </c>
      <c r="C4177" s="27" t="s">
        <v>1127</v>
      </c>
      <c r="D4177" s="27" t="s">
        <v>1075</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2346</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1111</v>
      </c>
      <c r="B4179" s="27" t="s">
        <v>1073</v>
      </c>
      <c r="C4179" s="27" t="s">
        <v>1204</v>
      </c>
      <c r="D4179" s="27" t="s">
        <v>1075</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1092</v>
      </c>
      <c r="B4180" s="27" t="s">
        <v>1113</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1684</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1176</v>
      </c>
      <c r="B4182" s="27" t="s">
        <v>1303</v>
      </c>
      <c r="C4182" s="27" t="s">
        <v>1084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1081</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2347</v>
      </c>
      <c r="B4184" s="27" t="s">
        <v>1090</v>
      </c>
      <c r="C4184" s="27" t="s">
        <v>1084</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1111</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1100</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1071</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2197</v>
      </c>
      <c r="B4188" s="27" t="s">
        <v>1148</v>
      </c>
      <c r="C4188" s="27" t="s">
        <v>1074</v>
      </c>
      <c r="D4188" s="27" t="s">
        <v>1075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2348</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1138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1404</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1405</v>
      </c>
      <c r="B4192" s="27" t="s">
        <v>1090</v>
      </c>
      <c r="C4192" s="27" t="s">
        <v>1169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1102</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row>
    <row r="4195" spans="1:12">
      <c r="A4195" s="20" t="s">
        <v>2349</v>
      </c>
    </row>
    <row r="4196" spans="1:12">
      <c r="A4196" s="20" t="s">
        <v>2350</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1258</v>
      </c>
      <c r="B4197" s="27" t="s">
        <v>1073</v>
      </c>
      <c r="C4197" s="27" t="s">
        <v>1127</v>
      </c>
      <c r="D4197" s="27" t="s">
        <v>1075</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1129</v>
      </c>
      <c r="B4198" s="27" t="s">
        <v>1073</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1138</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1841</v>
      </c>
      <c r="B4200" s="27" t="s">
        <v>1079</v>
      </c>
      <c r="C4200" s="27" t="s">
        <v>1127</v>
      </c>
      <c r="D4200" s="27" t="s">
        <v>1075</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1087</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1100</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2351</v>
      </c>
      <c r="B4203" s="27" t="s">
        <v>1079</v>
      </c>
      <c r="C4203" s="27" t="s">
        <v>1181</v>
      </c>
      <c r="D4203" s="27" t="s">
        <v>1075</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1087</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1088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1416</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1129</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1605</v>
      </c>
      <c r="B4208" s="27" t="s">
        <v>1152</v>
      </c>
      <c r="C4208" s="27" t="s">
        <v>1115</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1092</v>
      </c>
      <c r="B4209" s="27" t="s">
        <v>1113</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1308</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2352</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2227</v>
      </c>
      <c r="B4212" s="27" t="s">
        <v>1303</v>
      </c>
      <c r="C4212" s="27" t="s">
        <v>1169</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1088</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1081</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1469</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1258</v>
      </c>
      <c r="B4216" s="27" t="s">
        <v>1126</v>
      </c>
      <c r="C4216" s="27" t="s">
        <v>1127</v>
      </c>
      <c r="D4216" s="27" t="s">
        <v>1075</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1076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1415</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1427</v>
      </c>
      <c r="B4219" s="27" t="s">
        <v>1079</v>
      </c>
      <c r="C4219" s="27" t="s">
        <v>1195</v>
      </c>
      <c r="D4219" s="27" t="s">
        <v>1075</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1295</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row>
    <row r="4222" spans="1:12">
      <c r="A4222" s="20" t="s">
        <v>1296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2353</v>
      </c>
    </row>
    <row r="4224" spans="1:12">
      <c r="A4224" s="20" t="s">
        <v>93</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1502</v>
      </c>
      <c r="B4225" s="27" t="s">
        <v>1107</v>
      </c>
      <c r="C4225" s="27" t="s">
        <v>1127</v>
      </c>
      <c r="D4225" s="27" t="s">
        <v>1075</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1308</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1278</v>
      </c>
      <c r="B4227" s="27" t="s">
        <v>1073</v>
      </c>
      <c r="C4227" s="27" t="s">
        <v>1084</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1087</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1267</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1218</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1138</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1077</v>
      </c>
      <c r="B4232" s="27" t="s">
        <v>1303</v>
      </c>
      <c r="C4232" s="27" t="s">
        <v>1127</v>
      </c>
      <c r="D4232" s="27" t="s">
        <v>1075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36</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93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1434</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1261</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1449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1340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1138</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1281</v>
      </c>
      <c r="B4240" s="27" t="s">
        <v>1121</v>
      </c>
      <c r="C4240" s="27" t="s">
        <v>1084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1102</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row>
    <row r="4243" spans="1:12">
      <c r="A4243" s="20" t="s">
        <v>1296</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2354</v>
      </c>
    </row>
    <row r="4245" spans="1:12">
      <c r="A4245" s="20" t="s">
        <v>93</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1252</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1308</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1254</v>
      </c>
      <c r="B4248" s="27" t="s">
        <v>1073</v>
      </c>
      <c r="C4248" s="27" t="s">
        <v>1250</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1210</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126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1100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1096</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1291</v>
      </c>
      <c r="B4253" s="27" t="s">
        <v>1148</v>
      </c>
      <c r="C4253" s="27" t="s">
        <v>1119</v>
      </c>
      <c r="D4253" s="27" t="s">
        <v>1075</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2227</v>
      </c>
      <c r="B4254" s="27" t="s">
        <v>1126</v>
      </c>
      <c r="C4254" s="27" t="s">
        <v>1080</v>
      </c>
      <c r="D4254" s="27" t="s">
        <v>1075</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1102</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row>
    <row r="4257" spans="1:12">
      <c r="A4257" s="20" t="s">
        <v>1296</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2355</v>
      </c>
    </row>
    <row r="4259" spans="1:12">
      <c r="A4259" s="20" t="s">
        <v>93</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2065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2356</v>
      </c>
      <c r="B4261" s="27" t="s">
        <v>1083</v>
      </c>
      <c r="C4261" s="27" t="s">
        <v>1084</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1087</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1444</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1206</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255</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1092</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1822</v>
      </c>
      <c r="B4267" s="27" t="s">
        <v>1113</v>
      </c>
      <c r="C4267" s="27" t="s">
        <v>1127</v>
      </c>
      <c r="D4267" s="27" t="s">
        <v>1075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2357</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1087</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93</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1210</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2358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1210</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1100</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1436</v>
      </c>
      <c r="B4275" s="27" t="s">
        <v>1090</v>
      </c>
      <c r="C4275" s="27" t="s">
        <v>1080</v>
      </c>
      <c r="D4275" s="27" t="s">
        <v>1075</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1081</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2359</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1100</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1792</v>
      </c>
      <c r="B4279" s="27" t="s">
        <v>1303</v>
      </c>
      <c r="C4279" s="27" t="s">
        <v>1080</v>
      </c>
      <c r="D4279" s="27" t="s">
        <v>1075</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1135</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1096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2360</v>
      </c>
      <c r="B4282" s="27" t="s">
        <v>1148</v>
      </c>
      <c r="C4282" s="27" t="s">
        <v>1080</v>
      </c>
      <c r="D4282" s="27" t="s">
        <v>1075</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1102</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row>
    <row r="4285" spans="1:12">
      <c r="A4285" s="20" t="s">
        <v>1296</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2361</v>
      </c>
    </row>
    <row r="4287" spans="1:12">
      <c r="A4287" s="20" t="s">
        <v>93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1222</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1111</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1245</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1458</v>
      </c>
      <c r="B4291" s="27" t="s">
        <v>1152</v>
      </c>
      <c r="C4291" s="27" t="s">
        <v>2362</v>
      </c>
      <c r="D4291" s="27" t="s">
        <v>1075</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1087</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1105</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1822</v>
      </c>
      <c r="B4294" s="27" t="s">
        <v>1083</v>
      </c>
      <c r="C4294" s="27" t="s">
        <v>1127</v>
      </c>
      <c r="D4294" s="27" t="s">
        <v>1075</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2363</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1100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1281</v>
      </c>
      <c r="B4297" s="27" t="s">
        <v>1126</v>
      </c>
      <c r="C4297" s="27" t="s">
        <v>1080</v>
      </c>
      <c r="D4297" s="27" t="s">
        <v>1075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1087</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2364</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1558</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2365</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1102</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row>
    <row r="4305" spans="1:12">
      <c r="A4305" s="20" t="s">
        <v>1296</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2366</v>
      </c>
    </row>
    <row r="4307" spans="1:12">
      <c r="A4307" s="20" t="s">
        <v>93</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2367</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1960</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1071</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2368</v>
      </c>
      <c r="B4311" s="27" t="s">
        <v>1073</v>
      </c>
      <c r="C4311" s="27" t="s">
        <v>1074</v>
      </c>
      <c r="D4311" s="27" t="s">
        <v>1075</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1138</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2369</v>
      </c>
      <c r="B4313" s="27" t="s">
        <v>1079</v>
      </c>
      <c r="C4313" s="27" t="s">
        <v>1181</v>
      </c>
      <c r="D4313" s="27" t="s">
        <v>1075</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1087</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93</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1249</v>
      </c>
      <c r="B4316" s="27" t="s">
        <v>1083</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1077</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1092</v>
      </c>
      <c r="B4318" s="27" t="s">
        <v>1148</v>
      </c>
      <c r="C4318" s="27" t="s">
        <v>1204</v>
      </c>
      <c r="D4318" s="27" t="s">
        <v>1075</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1258</v>
      </c>
      <c r="B4319" s="27" t="s">
        <v>1126</v>
      </c>
      <c r="C4319" s="27" t="s">
        <v>1127</v>
      </c>
      <c r="D4319" s="27" t="s">
        <v>1075</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2370</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1100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2371</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1494</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1102</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row>
    <row r="4326" spans="1:12">
      <c r="A4326" s="20" t="s">
        <v>1296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2372</v>
      </c>
    </row>
    <row r="4328" spans="1:12">
      <c r="A4328" s="20" t="s">
        <v>93</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11</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1117</v>
      </c>
      <c r="B4330" s="27" t="s">
        <v>1079</v>
      </c>
      <c r="C4330" s="27" t="s">
        <v>1119</v>
      </c>
      <c r="D4330" s="27" t="s">
        <v>1075</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1970</v>
      </c>
      <c r="B4331" s="27" t="s">
        <v>1107</v>
      </c>
      <c r="C4331" s="27" t="s">
        <v>1080</v>
      </c>
      <c r="D4331" s="27" t="s">
        <v>1075</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1654</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1258</v>
      </c>
      <c r="B4333" s="27" t="s">
        <v>1073</v>
      </c>
      <c r="C4333" s="27" t="s">
        <v>1127</v>
      </c>
      <c r="D4333" s="27" t="s">
        <v>1075</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1092</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1488</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2373</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1087</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1092</v>
      </c>
      <c r="B4338" s="27" t="s">
        <v>1083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1488</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2374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1102</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row>
    <row r="4343" spans="1:12">
      <c r="A4343" s="20" t="s">
        <v>1296</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2375</v>
      </c>
    </row>
    <row r="4345" spans="1:12">
      <c r="A4345" s="20" t="s">
        <v>93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2376</v>
      </c>
      <c r="B4346" s="27" t="s">
        <v>1107</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1258</v>
      </c>
      <c r="B4347" s="27" t="s">
        <v>1073</v>
      </c>
      <c r="C4347" s="27" t="s">
        <v>1127</v>
      </c>
      <c r="D4347" s="27" t="s">
        <v>1075</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2377</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271</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2378</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1350</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2379</v>
      </c>
      <c r="B4352" s="27" t="s">
        <v>1303</v>
      </c>
      <c r="C4352" s="27" t="s">
        <v>1195</v>
      </c>
      <c r="D4352" s="27" t="s">
        <v>1075</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1102</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93</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1736</v>
      </c>
      <c r="B4355" s="27" t="s">
        <v>1083</v>
      </c>
      <c r="C4355" s="27" t="s">
        <v>1127</v>
      </c>
      <c r="D4355" s="27" t="s">
        <v>1075</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2219</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1210</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1077</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2197</v>
      </c>
      <c r="B4359" s="27" t="s">
        <v>1126</v>
      </c>
      <c r="C4359" s="27" t="s">
        <v>1080</v>
      </c>
      <c r="D4359" s="27" t="s">
        <v>1075</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2348</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1102</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row>
    <row r="4363" spans="1:12">
      <c r="A4363" s="20" t="s">
        <v>2380</v>
      </c>
    </row>
    <row r="4364" spans="1:12">
      <c r="A4364" s="20" t="s">
        <v>1666</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1100</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1707</v>
      </c>
      <c r="B4366" s="27" t="s">
        <v>1107</v>
      </c>
      <c r="C4366" s="27" t="s">
        <v>1080</v>
      </c>
      <c r="D4366" s="27" t="s">
        <v>1075</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1087</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1404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1405</v>
      </c>
      <c r="B4369" s="27" t="s">
        <v>1079</v>
      </c>
      <c r="C4369" s="27" t="s">
        <v>1169</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1232</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1087</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1754</v>
      </c>
      <c r="B4372" s="27" t="s">
        <v>1113</v>
      </c>
      <c r="C4372" s="27" t="s">
        <v>1127</v>
      </c>
      <c r="D4372" s="27" t="s">
        <v>1075</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1308</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2381</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1071</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1278</v>
      </c>
      <c r="B4376" s="27" t="s">
        <v>1303</v>
      </c>
      <c r="C4376" s="27" t="s">
        <v>1115</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1100</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468</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1483</v>
      </c>
      <c r="B4379" s="27" t="s">
        <v>1259</v>
      </c>
      <c r="C4379" s="27" t="s">
        <v>1074</v>
      </c>
      <c r="D4379" s="27" t="s">
        <v>1075</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1138</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2382</v>
      </c>
      <c r="B4381" s="27" t="s">
        <v>1118</v>
      </c>
      <c r="C4381" s="27" t="s">
        <v>1084</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1210</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1100</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2383</v>
      </c>
      <c r="B4384" s="27" t="s">
        <v>1118</v>
      </c>
      <c r="C4384" s="27" t="s">
        <v>1181</v>
      </c>
      <c r="D4384" s="27" t="s">
        <v>1075</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1138</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1096</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2384</v>
      </c>
      <c r="B4387" s="27" t="s">
        <v>1212</v>
      </c>
      <c r="C4387" s="27" t="s">
        <v>1181</v>
      </c>
      <c r="D4387" s="27" t="s">
        <v>1075</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1087</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1308</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2385</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1077</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1970</v>
      </c>
      <c r="B4392" s="27" t="s">
        <v>1073</v>
      </c>
      <c r="C4392" s="27" t="s">
        <v>1080</v>
      </c>
      <c r="D4392" s="27" t="s">
        <v>1075</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2386</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1081</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1469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1258</v>
      </c>
      <c r="B4396" s="27" t="s">
        <v>1126</v>
      </c>
      <c r="C4396" s="27" t="s">
        <v>1127</v>
      </c>
      <c r="D4396" s="27" t="s">
        <v>1075</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1295</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1296</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2387</v>
      </c>
    </row>
    <row r="4401" spans="1:12">
      <c r="A4401" s="20" t="s">
        <v>93</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2119</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1291</v>
      </c>
      <c r="B4403" s="27" t="s">
        <v>1079</v>
      </c>
      <c r="C4403" s="27" t="s">
        <v>1119</v>
      </c>
      <c r="D4403" s="27" t="s">
        <v>1075</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2227</v>
      </c>
      <c r="B4404" s="27" t="s">
        <v>1107</v>
      </c>
      <c r="C4404" s="27" t="s">
        <v>1080</v>
      </c>
      <c r="D4404" s="27" t="s">
        <v>1075</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1814</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1857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1573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1494</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2388</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1102</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93</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93</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1216</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1100</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1132</v>
      </c>
      <c r="B4415" s="27" t="s">
        <v>1148</v>
      </c>
      <c r="C4415" s="27" t="s">
        <v>1119</v>
      </c>
      <c r="D4415" s="27" t="s">
        <v>1075</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2389</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1281</v>
      </c>
      <c r="B4417" s="27" t="s">
        <v>1079</v>
      </c>
      <c r="C4417" s="27" t="s">
        <v>1080</v>
      </c>
      <c r="D4417" s="27" t="s">
        <v>1075</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1588</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1071</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1990</v>
      </c>
      <c r="B4420" s="27" t="s">
        <v>1126</v>
      </c>
      <c r="C4420" s="27" t="s">
        <v>1115</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1210</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1096</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2390</v>
      </c>
      <c r="B4423" s="27" t="s">
        <v>1079</v>
      </c>
      <c r="C4423" s="27" t="s">
        <v>1080</v>
      </c>
      <c r="D4423" s="27" t="s">
        <v>1075</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93</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1081</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1071</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1990</v>
      </c>
      <c r="B4427" s="27" t="s">
        <v>1079</v>
      </c>
      <c r="C4427" s="27" t="s">
        <v>1074</v>
      </c>
      <c r="D4427" s="27" t="s">
        <v>1075</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1210</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1111</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2391</v>
      </c>
      <c r="B4430" s="27" t="s">
        <v>1148</v>
      </c>
      <c r="C4430" s="27" t="s">
        <v>1080</v>
      </c>
      <c r="D4430" s="27" t="s">
        <v>1075</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1087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93</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1267</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1100</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1100</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2392</v>
      </c>
      <c r="B4436" s="27" t="s">
        <v>1090</v>
      </c>
      <c r="C4436" s="27" t="s">
        <v>1080</v>
      </c>
      <c r="D4436" s="27" t="s">
        <v>1075</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1087</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2393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1106</v>
      </c>
      <c r="B4439" s="27" t="s">
        <v>1226</v>
      </c>
      <c r="C4439" s="27" t="s">
        <v>1108</v>
      </c>
      <c r="D4439" s="27" t="s">
        <v>1075</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1210</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1100</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1132</v>
      </c>
      <c r="B4442" s="27" t="s">
        <v>1118</v>
      </c>
      <c r="C4442" s="27" t="s">
        <v>1119</v>
      </c>
      <c r="D4442" s="27" t="s">
        <v>1075</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1436</v>
      </c>
      <c r="B4443" s="27" t="s">
        <v>1121</v>
      </c>
      <c r="C4443" s="27" t="s">
        <v>1080</v>
      </c>
      <c r="D4443" s="27" t="s">
        <v>1075</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1102</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row>
    <row r="4446" spans="1:12">
      <c r="A4446" s="20" t="s">
        <v>1296</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2394</v>
      </c>
    </row>
    <row r="4448" spans="1:12">
      <c r="A4448" s="20" t="s">
        <v>93</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2395</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1096</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2396</v>
      </c>
      <c r="B4451" s="27" t="s">
        <v>1073</v>
      </c>
      <c r="C4451" s="27" t="s">
        <v>1074</v>
      </c>
      <c r="D4451" s="27" t="s">
        <v>1075</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1138</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1281</v>
      </c>
      <c r="B4453" s="27" t="s">
        <v>1079</v>
      </c>
      <c r="C4453" s="27" t="s">
        <v>1169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1106</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2397</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1081</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1249</v>
      </c>
      <c r="B4457" s="27" t="s">
        <v>1090</v>
      </c>
      <c r="C4457" s="27" t="s">
        <v>1250</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1102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row>
    <row r="4460" spans="1:12">
      <c r="A4460" s="20" t="s">
        <v>1296</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2398</v>
      </c>
    </row>
    <row r="4462" spans="1:12">
      <c r="A4462" s="20" t="s">
        <v>93</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2399</v>
      </c>
      <c r="B4463" s="27" t="s">
        <v>1107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1138</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1822</v>
      </c>
      <c r="B4465" s="27" t="s">
        <v>1079</v>
      </c>
      <c r="C4465" s="27" t="s">
        <v>1127</v>
      </c>
      <c r="D4465" s="27" t="s">
        <v>1075</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1092</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101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2400</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1087</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2170</v>
      </c>
      <c r="B4470" s="27" t="s">
        <v>1107</v>
      </c>
      <c r="C4470" s="27" t="s">
        <v>1250</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2401</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101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2402</v>
      </c>
      <c r="B4473" s="27" t="s">
        <v>1083</v>
      </c>
      <c r="C4473" s="27" t="s">
        <v>1169</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1087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93</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1081</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1129</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1138</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1111</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2403</v>
      </c>
      <c r="B4480" s="27" t="s">
        <v>1090</v>
      </c>
      <c r="C4480" s="27" t="s">
        <v>1080</v>
      </c>
      <c r="D4480" s="27" t="s">
        <v>1075</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1654</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1092</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2401</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101</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1129</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2404</v>
      </c>
      <c r="B4486" s="27" t="s">
        <v>1148</v>
      </c>
      <c r="C4486" s="27" t="s">
        <v>1115</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1102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row>
    <row r="4489" spans="1:12">
      <c r="A4489" s="20" t="s">
        <v>1296</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2405</v>
      </c>
    </row>
    <row r="4491" spans="1:12">
      <c r="A4491" s="20" t="s">
        <v>93</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2138</v>
      </c>
      <c r="B4492" s="27" t="s">
        <v>1083</v>
      </c>
      <c r="C4492" s="27" t="s">
        <v>1127</v>
      </c>
      <c r="D4492" s="27" t="s">
        <v>1075</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1758</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1261</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2406</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1094</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2407</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1087</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93</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1081</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1758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1261</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2408</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1094</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2407</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1102</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row>
    <row r="4508" spans="1:12">
      <c r="A4508" s="20" t="s">
        <v>1296</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2409</v>
      </c>
    </row>
    <row r="4510" spans="1:12">
      <c r="A4510" s="20" t="s">
        <v>93</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1275</v>
      </c>
      <c r="B4511" s="27" t="s">
        <v>1107</v>
      </c>
      <c r="C4511" s="27" t="s">
        <v>1181</v>
      </c>
      <c r="D4511" s="27" t="s">
        <v>1075</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1077</v>
      </c>
      <c r="B4512" s="27" t="s">
        <v>1107</v>
      </c>
      <c r="C4512" s="27" t="s">
        <v>1204</v>
      </c>
      <c r="D4512" s="27" t="s">
        <v>1075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1092</v>
      </c>
      <c r="B4513" s="27" t="s">
        <v>1113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1915</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1814</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1570</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1096</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1291</v>
      </c>
      <c r="B4518" s="27" t="s">
        <v>1152</v>
      </c>
      <c r="C4518" s="27" t="s">
        <v>1119</v>
      </c>
      <c r="D4518" s="27" t="s">
        <v>1075</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2227</v>
      </c>
      <c r="B4519" s="27" t="s">
        <v>1152</v>
      </c>
      <c r="C4519" s="27" t="s">
        <v>1080</v>
      </c>
      <c r="D4519" s="27" t="s">
        <v>1075</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1102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row>
    <row r="4522" spans="1:12">
      <c r="A4522" s="20" t="s">
        <v>1296</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2410</v>
      </c>
    </row>
    <row r="4524" spans="1:12">
      <c r="A4524" s="20" t="s">
        <v>93</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1657</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1255</v>
      </c>
      <c r="B4526" s="27" t="s">
        <v>1107</v>
      </c>
      <c r="C4526" s="27" t="s">
        <v>1080</v>
      </c>
      <c r="D4526" s="27" t="s">
        <v>1075</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2411</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1100</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2412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1087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93</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1100</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1354</v>
      </c>
      <c r="B4533" s="27" t="s">
        <v>1126</v>
      </c>
      <c r="C4533" s="27" t="s">
        <v>1080</v>
      </c>
      <c r="D4533" s="27" t="s">
        <v>1075</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1094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1258</v>
      </c>
      <c r="B4535" s="27" t="s">
        <v>1090</v>
      </c>
      <c r="C4535" s="27" t="s">
        <v>1127</v>
      </c>
      <c r="D4535" s="27" t="s">
        <v>1075</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2175</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1087</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1094</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1258</v>
      </c>
      <c r="B4539" s="27" t="s">
        <v>1293</v>
      </c>
      <c r="C4539" s="27" t="s">
        <v>1127</v>
      </c>
      <c r="D4539" s="27" t="s">
        <v>1075</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1500</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1087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1094</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2413</v>
      </c>
      <c r="B4543" s="27" t="s">
        <v>1121</v>
      </c>
      <c r="C4543" s="27" t="s">
        <v>1084</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1102</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row>
    <row r="4546" spans="1:12">
      <c r="A4546" s="20" t="s">
        <v>1296</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2414</v>
      </c>
    </row>
    <row r="4548" spans="1:12">
      <c r="A4548" s="20" t="s">
        <v>93</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2415</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1340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1158</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12</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1409</v>
      </c>
      <c r="B4553" s="27" t="s">
        <v>1303</v>
      </c>
      <c r="C4553" s="27" t="s">
        <v>1084</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1102</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row>
    <row r="4556" spans="1:12">
      <c r="A4556" s="20" t="s">
        <v>1296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2416</v>
      </c>
    </row>
    <row r="4558" spans="1:12">
      <c r="A4558" s="20" t="s">
        <v>93</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2194</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1092</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2417</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2418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2419</v>
      </c>
      <c r="B4563" s="27" t="s">
        <v>1083</v>
      </c>
      <c r="C4563" s="27" t="s">
        <v>1195</v>
      </c>
      <c r="D4563" s="27" t="s">
        <v>1075</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1261</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2420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2358</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1087</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93</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1369</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1261</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1208</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1100</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2421</v>
      </c>
      <c r="B4573" s="27" t="s">
        <v>1079</v>
      </c>
      <c r="C4573" s="27" t="s">
        <v>1181</v>
      </c>
      <c r="D4573" s="27" t="s">
        <v>1075</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1102</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row>
    <row r="4576" spans="1:12">
      <c r="A4576" s="20" t="s">
        <v>1296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2422</v>
      </c>
    </row>
    <row r="4578" spans="1:12">
      <c r="A4578" s="20" t="s">
        <v>2423</v>
      </c>
      <c r="B4578" s="27" t="s">
        <v>1107</v>
      </c>
      <c r="C4578" s="27" t="s">
        <v>1181</v>
      </c>
      <c r="D4578" s="27" t="s">
        <v>1075</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1087</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93</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1633</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2424</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1076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1281</v>
      </c>
      <c r="B4584" s="27" t="s">
        <v>1152</v>
      </c>
      <c r="C4584" s="27" t="s">
        <v>1074</v>
      </c>
      <c r="D4584" s="27" t="s">
        <v>1075</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1135</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1096</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2360</v>
      </c>
      <c r="B4587" s="27" t="s">
        <v>1079</v>
      </c>
      <c r="C4587" s="27" t="s">
        <v>1074</v>
      </c>
      <c r="D4587" s="27" t="s">
        <v>1075</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1238</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2425</v>
      </c>
      <c r="B4589" s="27" t="s">
        <v>1148</v>
      </c>
      <c r="C4589" s="27" t="s">
        <v>1084</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1138</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1100</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1792</v>
      </c>
      <c r="B4592" s="27" t="s">
        <v>1148</v>
      </c>
      <c r="C4592" s="27" t="s">
        <v>1080</v>
      </c>
      <c r="D4592" s="27" t="s">
        <v>1075</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1087</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93</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1095</v>
      </c>
      <c r="B4595" s="27" t="s">
        <v>1256</v>
      </c>
      <c r="C4595" s="27" t="s">
        <v>1127</v>
      </c>
      <c r="D4595" s="27" t="s">
        <v>1075</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1633</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1318</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2426</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1102</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row>
    <row r="4601" spans="1:12">
      <c r="A4601" s="20" t="s">
        <v>1296</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2427</v>
      </c>
    </row>
    <row r="4603" spans="1:12">
      <c r="A4603" s="20" t="s">
        <v>93</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2428</v>
      </c>
      <c r="B4604" s="27" t="s">
        <v>1152</v>
      </c>
      <c r="C4604" s="27" t="s">
        <v>1181</v>
      </c>
      <c r="D4604" s="27" t="s">
        <v>1075</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1100</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1077</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2429</v>
      </c>
      <c r="B4607" s="27" t="s">
        <v>1152</v>
      </c>
      <c r="C4607" s="27" t="s">
        <v>1181</v>
      </c>
      <c r="D4607" s="27" t="s">
        <v>1075</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1210</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1258</v>
      </c>
      <c r="B4609" s="27" t="s">
        <v>1126</v>
      </c>
      <c r="C4609" s="27" t="s">
        <v>1127</v>
      </c>
      <c r="D4609" s="27" t="s">
        <v>1075</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2430</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1071</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2431</v>
      </c>
      <c r="B4612" s="27" t="s">
        <v>1126</v>
      </c>
      <c r="C4612" s="27" t="s">
        <v>1115</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1087</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2432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1974</v>
      </c>
      <c r="B4615" s="27" t="s">
        <v>1226</v>
      </c>
      <c r="C4615" s="27" t="s">
        <v>1127</v>
      </c>
      <c r="D4615" s="27" t="s">
        <v>1075</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2433</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1111</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2434</v>
      </c>
      <c r="B4618" s="27" t="s">
        <v>1121</v>
      </c>
      <c r="C4618" s="27" t="s">
        <v>1119</v>
      </c>
      <c r="D4618" s="27" t="s">
        <v>1075</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2435</v>
      </c>
      <c r="B4619" s="27" t="s">
        <v>1134</v>
      </c>
      <c r="C4619" s="27" t="s">
        <v>1080</v>
      </c>
      <c r="D4619" s="27" t="s">
        <v>1075</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1102</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93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row>
    <row r="4623" spans="1:12">
      <c r="A4623" s="20" t="s">
        <v>2436</v>
      </c>
    </row>
    <row r="4624" spans="1:12">
      <c r="A4624" s="20" t="s">
        <v>1502</v>
      </c>
      <c r="B4624" s="27" t="s">
        <v>1107</v>
      </c>
      <c r="C4624" s="27" t="s">
        <v>1127</v>
      </c>
      <c r="D4624" s="27" t="s">
        <v>1075</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1999</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1573</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2437</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1135</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1240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1241</v>
      </c>
      <c r="B4630" s="27" t="s">
        <v>1073</v>
      </c>
      <c r="C4630" s="27" t="s">
        <v>1195</v>
      </c>
      <c r="D4630" s="27" t="s">
        <v>1075</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1081</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1925</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1092</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1253</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1926</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2438</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1138</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1841</v>
      </c>
      <c r="B4638" s="27" t="s">
        <v>1121</v>
      </c>
      <c r="C4638" s="27" t="s">
        <v>1127</v>
      </c>
      <c r="D4638" s="27" t="s">
        <v>1075</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1261</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1962</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1076</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1077</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2439</v>
      </c>
      <c r="B4643" s="27" t="s">
        <v>1118</v>
      </c>
      <c r="C4643" s="27" t="s">
        <v>1080</v>
      </c>
      <c r="D4643" s="27" t="s">
        <v>1075</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1076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1092</v>
      </c>
      <c r="B4645" s="27" t="s">
        <v>1823</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1435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1100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2109</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1087</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1267</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1556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1076</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1071</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2440</v>
      </c>
      <c r="B4654" s="27" t="s">
        <v>2441</v>
      </c>
      <c r="C4654" s="27" t="s">
        <v>1115</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1102</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row>
    <row r="4657" spans="1:12">
      <c r="A4657" s="20" t="s">
        <v>2442</v>
      </c>
    </row>
    <row r="4658" spans="1:12">
      <c r="A4658" s="20" t="s">
        <v>2443</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1129</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2444</v>
      </c>
      <c r="B4660" s="27" t="s">
        <v>1073</v>
      </c>
      <c r="C4660" s="27" t="s">
        <v>1074</v>
      </c>
      <c r="D4660" s="27" t="s">
        <v>1075</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1138</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1100</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2445</v>
      </c>
      <c r="B4663" s="27" t="s">
        <v>1079</v>
      </c>
      <c r="C4663" s="27" t="s">
        <v>1181</v>
      </c>
      <c r="D4663" s="27" t="s">
        <v>1075</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2446</v>
      </c>
      <c r="B4664" s="27" t="s">
        <v>1148</v>
      </c>
      <c r="C4664" s="27" t="s">
        <v>1181</v>
      </c>
      <c r="D4664" s="27" t="s">
        <v>1075</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2447</v>
      </c>
      <c r="B4665" s="27" t="s">
        <v>1148</v>
      </c>
      <c r="C4665" s="27" t="s">
        <v>1181</v>
      </c>
      <c r="D4665" s="27" t="s">
        <v>1075</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2448</v>
      </c>
      <c r="B4666" s="27" t="s">
        <v>1148</v>
      </c>
      <c r="C4666" s="27" t="s">
        <v>1181</v>
      </c>
      <c r="D4666" s="27" t="s">
        <v>1075</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1210</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1926</v>
      </c>
      <c r="B4668" s="27" t="s">
        <v>1148</v>
      </c>
      <c r="C4668" s="27" t="s">
        <v>1181</v>
      </c>
      <c r="D4668" s="27" t="s">
        <v>1075</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1326</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1100</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1176</v>
      </c>
      <c r="B4671" s="27" t="s">
        <v>1090</v>
      </c>
      <c r="C4671" s="27" t="s">
        <v>1074</v>
      </c>
      <c r="D4671" s="27" t="s">
        <v>1075</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1138</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1096</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2293</v>
      </c>
      <c r="B4674" s="27" t="s">
        <v>1121</v>
      </c>
      <c r="C4674" s="27" t="s">
        <v>1080</v>
      </c>
      <c r="D4674" s="27" t="s">
        <v>1075</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1102</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row>
    <row r="4677" spans="1:12">
      <c r="A4677" s="20" t="s">
        <v>2449</v>
      </c>
    </row>
    <row r="4678" spans="1:12">
      <c r="A4678" s="20" t="s">
        <v>2450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1077</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1117</v>
      </c>
      <c r="B4680" s="27" t="s">
        <v>1148</v>
      </c>
      <c r="C4680" s="27" t="s">
        <v>1119</v>
      </c>
      <c r="D4680" s="27" t="s">
        <v>1075</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2440</v>
      </c>
      <c r="B4681" s="27" t="s">
        <v>1126</v>
      </c>
      <c r="C4681" s="27" t="s">
        <v>1080</v>
      </c>
      <c r="D4681" s="27" t="s">
        <v>1075</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1081</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1100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2451</v>
      </c>
      <c r="B4684" s="27" t="s">
        <v>1148</v>
      </c>
      <c r="C4684" s="27" t="s">
        <v>1080</v>
      </c>
      <c r="D4684" s="27" t="s">
        <v>1075</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1955</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1258</v>
      </c>
      <c r="B4686" s="27" t="s">
        <v>1073</v>
      </c>
      <c r="C4686" s="27" t="s">
        <v>1127</v>
      </c>
      <c r="D4686" s="27" t="s">
        <v>1075</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1081</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1469</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1295</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row>
    <row r="4691" spans="1:12">
      <c r="A4691" s="20" t="s">
        <v>1296</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2452</v>
      </c>
    </row>
    <row r="4693" spans="1:12">
      <c r="A4693" s="20" t="s">
        <v>93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1252</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2038</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2453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1722</v>
      </c>
      <c r="B4697" s="27" t="s">
        <v>1126</v>
      </c>
      <c r="C4697" s="27" t="s">
        <v>1204</v>
      </c>
      <c r="D4697" s="27" t="s">
        <v>1075</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1102</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93</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row>
    <row r="4701" spans="1:12">
      <c r="A4701" s="20" t="s">
        <v>1296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2454</v>
      </c>
    </row>
    <row r="4703" spans="1:12">
      <c r="A4703" s="20" t="s">
        <v>1104</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28</v>
      </c>
      <c r="B4704" s="27" t="s">
        <v>1107</v>
      </c>
      <c r="C4704" s="27" t="s">
        <v>1127</v>
      </c>
      <c r="D4704" s="27" t="s">
        <v>1075</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1469</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1295</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93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2045</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1261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1492</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93</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1104</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1754</v>
      </c>
      <c r="B4713" s="27" t="s">
        <v>1083</v>
      </c>
      <c r="C4713" s="27" t="s">
        <v>1127</v>
      </c>
      <c r="D4713" s="27" t="s">
        <v>1075</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1469</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1295</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93</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1407</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1277</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2455</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1102</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row>
    <row r="4722" spans="1:12">
      <c r="A4722" s="20" t="s">
        <v>1296</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2456</v>
      </c>
    </row>
    <row r="4724" spans="1:12">
      <c r="A4724" s="20" t="s">
        <v>93</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2457</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1299</v>
      </c>
      <c r="B4726" s="27" t="s">
        <v>1107</v>
      </c>
      <c r="C4726" s="27" t="s">
        <v>1195</v>
      </c>
      <c r="D4726" s="27" t="s">
        <v>1075</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1092</v>
      </c>
      <c r="B4727" s="27" t="s">
        <v>1113</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1857</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1076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1077</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2458</v>
      </c>
      <c r="B4731" s="27" t="s">
        <v>1079</v>
      </c>
      <c r="C4731" s="27" t="s">
        <v>1074</v>
      </c>
      <c r="D4731" s="27" t="s">
        <v>1075</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1138</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1100</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2333</v>
      </c>
      <c r="B4734" s="27" t="s">
        <v>1148</v>
      </c>
      <c r="C4734" s="27" t="s">
        <v>1080</v>
      </c>
      <c r="D4734" s="27" t="s">
        <v>1075</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2459</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1087</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93</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2460</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1233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1405</v>
      </c>
      <c r="B4740" s="27" t="s">
        <v>1073</v>
      </c>
      <c r="C4740" s="27" t="s">
        <v>1074</v>
      </c>
      <c r="D4740" s="27" t="s">
        <v>1075</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1138</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1523</v>
      </c>
      <c r="B4742" s="27" t="s">
        <v>1079</v>
      </c>
      <c r="C4742" s="27" t="s">
        <v>1084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93</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1081</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2461</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2462</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1210</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2463</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1100</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2464</v>
      </c>
      <c r="B4750" s="27" t="s">
        <v>1134</v>
      </c>
      <c r="C4750" s="27" t="s">
        <v>1181</v>
      </c>
      <c r="D4750" s="27" t="s">
        <v>1075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2465</v>
      </c>
      <c r="B4751" s="27" t="s">
        <v>1121</v>
      </c>
      <c r="C4751" s="27" t="s">
        <v>1181</v>
      </c>
      <c r="D4751" s="27" t="s">
        <v>1075</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1492</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row>
    <row r="4754" spans="1:12">
      <c r="A4754" s="20" t="s">
        <v>1296</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2466</v>
      </c>
    </row>
    <row r="4756" spans="1:12">
      <c r="A4756" s="20" t="s">
        <v>93</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1407</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1277</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2467</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1102</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row>
    <row r="4762" spans="1:12">
      <c r="A4762" s="20" t="s">
        <v>1296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2468</v>
      </c>
    </row>
    <row r="4764" spans="1:12">
      <c r="A4764" s="20" t="s">
        <v>93</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1502</v>
      </c>
      <c r="B4765" s="27" t="s">
        <v>1107</v>
      </c>
      <c r="C4765" s="27" t="s">
        <v>1127</v>
      </c>
      <c r="D4765" s="27" t="s">
        <v>1075</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1971</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651</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454</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1138</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1129</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1476</v>
      </c>
      <c r="B4771" s="27" t="s">
        <v>1126</v>
      </c>
      <c r="C4771" s="27" t="s">
        <v>1115</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1929</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1102</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93</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row>
    <row r="4776" spans="1:12">
      <c r="A4776" s="20" t="s">
        <v>2469</v>
      </c>
    </row>
    <row r="4777" spans="1:12">
      <c r="A4777" s="20" t="s">
        <v>1104</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28</v>
      </c>
      <c r="B4778" s="27" t="s">
        <v>1107</v>
      </c>
      <c r="C4778" s="27" t="s">
        <v>1127</v>
      </c>
      <c r="D4778" s="27" t="s">
        <v>1075</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1469</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1295</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row>
    <row r="4782" spans="1:12">
      <c r="A4782" s="20" t="s">
        <v>1296</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2470</v>
      </c>
    </row>
    <row r="4784" spans="1:12">
      <c r="A4784" s="20" t="s">
        <v>93</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11</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2281</v>
      </c>
      <c r="B4786" s="27" t="s">
        <v>1107</v>
      </c>
      <c r="C4786" s="27" t="s">
        <v>1080</v>
      </c>
      <c r="D4786" s="27" t="s">
        <v>1075</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1138</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1971</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2471</v>
      </c>
      <c r="B4789" s="27" t="s">
        <v>1083</v>
      </c>
      <c r="C4789" s="27" t="s">
        <v>1084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1150</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454</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1138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1722</v>
      </c>
      <c r="B4793" s="27" t="s">
        <v>1259</v>
      </c>
      <c r="C4793" s="27" t="s">
        <v>1204</v>
      </c>
      <c r="D4793" s="27" t="s">
        <v>1075</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93</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1192</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1071</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2472</v>
      </c>
      <c r="B4797" s="27" t="s">
        <v>1073</v>
      </c>
      <c r="C4797" s="27" t="s">
        <v>1115</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1092</v>
      </c>
      <c r="B4798" s="27" t="s">
        <v>1113</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1095</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2473</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1138</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1129</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2474</v>
      </c>
      <c r="B4803" s="27" t="s">
        <v>1303</v>
      </c>
      <c r="C4803" s="27" t="s">
        <v>1115</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93</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93</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2475</v>
      </c>
      <c r="B4806" s="27" t="s">
        <v>1256</v>
      </c>
      <c r="C4806" s="27" t="s">
        <v>1127</v>
      </c>
      <c r="D4806" s="27" t="s">
        <v>1075</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1570</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1129</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2476</v>
      </c>
      <c r="B4809" s="27" t="s">
        <v>1090</v>
      </c>
      <c r="C4809" s="27" t="s">
        <v>1074</v>
      </c>
      <c r="D4809" s="27" t="s">
        <v>1075</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1138</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2477</v>
      </c>
      <c r="B4811" s="27" t="s">
        <v>1121</v>
      </c>
      <c r="C4811" s="27" t="s">
        <v>1084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1102</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93</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1142</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1138</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1129</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2277</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2478</v>
      </c>
      <c r="B4818" s="27" t="s">
        <v>1152</v>
      </c>
      <c r="C4818" s="27" t="s">
        <v>1115</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1087</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1822</v>
      </c>
      <c r="B4820" s="27" t="s">
        <v>1107</v>
      </c>
      <c r="C4820" s="27" t="s">
        <v>1127</v>
      </c>
      <c r="D4820" s="27" t="s">
        <v>1075</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2479</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1102</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row>
    <row r="4824" spans="1:12">
      <c r="A4824" s="20" t="s">
        <v>2480</v>
      </c>
    </row>
    <row r="4825" spans="1:12">
      <c r="A4825" s="20" t="s">
        <v>1243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28</v>
      </c>
      <c r="B4826" s="27" t="s">
        <v>1107</v>
      </c>
      <c r="C4826" s="27" t="s">
        <v>1127</v>
      </c>
      <c r="D4826" s="27" t="s">
        <v>1075</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1875</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1092</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1077</v>
      </c>
      <c r="B4829" s="27" t="s">
        <v>1083</v>
      </c>
      <c r="C4829" s="27" t="s">
        <v>1204</v>
      </c>
      <c r="D4829" s="27" t="s">
        <v>1075</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1092</v>
      </c>
      <c r="B4830" s="27" t="s">
        <v>1134</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1822</v>
      </c>
      <c r="B4831" s="27" t="s">
        <v>1226</v>
      </c>
      <c r="C4831" s="27" t="s">
        <v>1127</v>
      </c>
      <c r="D4831" s="27" t="s">
        <v>1075</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2481</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1443</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2482</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1087</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1138</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1354</v>
      </c>
      <c r="B4837" s="27" t="s">
        <v>1079</v>
      </c>
      <c r="C4837" s="27" t="s">
        <v>1084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1154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1087</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1135</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1077</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2483</v>
      </c>
      <c r="B4842" s="27" t="s">
        <v>1126</v>
      </c>
      <c r="C4842" s="27" t="s">
        <v>1080</v>
      </c>
      <c r="D4842" s="27" t="s">
        <v>1075</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1092</v>
      </c>
      <c r="B4843" s="27" t="s">
        <v>1134</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1111</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1299</v>
      </c>
      <c r="B4845" s="27" t="s">
        <v>1226</v>
      </c>
      <c r="C4845" s="27" t="s">
        <v>1080</v>
      </c>
      <c r="D4845" s="27" t="s">
        <v>1075</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1633</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1553</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1135</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1100</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2484</v>
      </c>
      <c r="B4850" s="27" t="s">
        <v>1090</v>
      </c>
      <c r="C4850" s="27" t="s">
        <v>1074</v>
      </c>
      <c r="D4850" s="27" t="s">
        <v>1075</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1138</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1523</v>
      </c>
      <c r="B4852" s="27" t="s">
        <v>1121</v>
      </c>
      <c r="C4852" s="27" t="s">
        <v>1084</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1087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1100</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2485</v>
      </c>
      <c r="B4855" s="27" t="s">
        <v>1121</v>
      </c>
      <c r="C4855" s="27" t="s">
        <v>1080</v>
      </c>
      <c r="D4855" s="27" t="s">
        <v>1075</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1138</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1092</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1087</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1095</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1561</v>
      </c>
      <c r="B4860" s="27" t="s">
        <v>1098</v>
      </c>
      <c r="C4860" s="27" t="s">
        <v>1127</v>
      </c>
      <c r="D4860" s="27" t="s">
        <v>1075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2486</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1071</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1345</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2487</v>
      </c>
      <c r="B4864" s="27" t="s">
        <v>1424</v>
      </c>
      <c r="C4864" s="27" t="s">
        <v>1074</v>
      </c>
      <c r="D4864" s="27" t="s">
        <v>1075</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1138</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1299</v>
      </c>
      <c r="B4866" s="27" t="s">
        <v>1214</v>
      </c>
      <c r="C4866" s="27" t="s">
        <v>1074</v>
      </c>
      <c r="D4866" s="27" t="s">
        <v>1075</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1138</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2488</v>
      </c>
      <c r="B4868" s="27" t="s">
        <v>2441</v>
      </c>
      <c r="C4868" s="27" t="s">
        <v>1084</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2293</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1344</v>
      </c>
      <c r="B4870" s="27" t="s">
        <v>1670</v>
      </c>
      <c r="C4870" s="27" t="s">
        <v>1204</v>
      </c>
      <c r="D4870" s="27" t="s">
        <v>1075</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1607</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1129</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2489</v>
      </c>
      <c r="B4873" s="27" t="s">
        <v>1212</v>
      </c>
      <c r="C4873" s="27" t="s">
        <v>1115</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1434</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1096</v>
      </c>
      <c r="B4875" s="27" t="s">
        <v>1420</v>
      </c>
      <c r="C4875" s="27" t="s">
        <v>1127</v>
      </c>
      <c r="D4875" s="27" t="s">
        <v>1075</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2490</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1100</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2412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1102</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row>
    <row r="4881" spans="1:12">
      <c r="A4881" s="20" t="s">
        <v>2491</v>
      </c>
    </row>
    <row r="4882" spans="1:12">
      <c r="A4882" s="20" t="s">
        <v>1620</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1071</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2492</v>
      </c>
      <c r="B4884" s="27" t="s">
        <v>1073</v>
      </c>
      <c r="C4884" s="27" t="s">
        <v>1115</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2493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2494</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1092</v>
      </c>
      <c r="B4887" s="27" t="s">
        <v>1113</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2495</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187</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1100</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1100</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2320</v>
      </c>
      <c r="B4892" s="27" t="s">
        <v>1090</v>
      </c>
      <c r="C4892" s="27" t="s">
        <v>1119</v>
      </c>
      <c r="D4892" s="27" t="s">
        <v>1075</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2340</v>
      </c>
      <c r="B4893" s="27" t="s">
        <v>1148</v>
      </c>
      <c r="C4893" s="27" t="s">
        <v>1080</v>
      </c>
      <c r="D4893" s="27" t="s">
        <v>1075</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1081</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1092</v>
      </c>
      <c r="B4895" s="27" t="s">
        <v>1226</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1654</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1092</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1077</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1523</v>
      </c>
      <c r="B4899" s="27" t="s">
        <v>1256</v>
      </c>
      <c r="C4899" s="27" t="s">
        <v>1074</v>
      </c>
      <c r="D4899" s="27" t="s">
        <v>1075</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1138</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1100</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1176</v>
      </c>
      <c r="B4902" s="27" t="s">
        <v>1118</v>
      </c>
      <c r="C4902" s="27" t="s">
        <v>1080</v>
      </c>
      <c r="D4902" s="27" t="s">
        <v>1075</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1100</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1479</v>
      </c>
      <c r="B4904" s="27" t="s">
        <v>1212</v>
      </c>
      <c r="C4904" s="27" t="s">
        <v>1080</v>
      </c>
      <c r="D4904" s="27" t="s">
        <v>1075</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1081</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1077</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2030</v>
      </c>
      <c r="B4907" s="27" t="s">
        <v>1214</v>
      </c>
      <c r="C4907" s="27" t="s">
        <v>1080</v>
      </c>
      <c r="D4907" s="27" t="s">
        <v>1075</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1087</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1570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1071</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2496</v>
      </c>
      <c r="B4911" s="27" t="s">
        <v>1090</v>
      </c>
      <c r="C4911" s="27" t="s">
        <v>1115</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1081</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1092</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1261</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1192</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2497</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1102</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row>
    <row r="4919" spans="1:12">
      <c r="A4919" s="20" t="s">
        <v>2498</v>
      </c>
    </row>
    <row r="4920" spans="1:12">
      <c r="A4920" s="20" t="s">
        <v>1502</v>
      </c>
      <c r="B4920" s="27" t="s">
        <v>1107</v>
      </c>
      <c r="C4920" s="27" t="s">
        <v>1127</v>
      </c>
      <c r="D4920" s="27" t="s">
        <v>1075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1875</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1092</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1192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1071</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1345</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2499</v>
      </c>
      <c r="B4926" s="27" t="s">
        <v>1152</v>
      </c>
      <c r="C4926" s="27" t="s">
        <v>1115</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1102</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row>
    <row r="4929" spans="1:12">
      <c r="A4929" s="20" t="s">
        <v>2500</v>
      </c>
    </row>
    <row r="4930" spans="1:12">
      <c r="A4930" s="20" t="s">
        <v>2501</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2497</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1092</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1096</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2502</v>
      </c>
      <c r="B4934" s="27" t="s">
        <v>1083</v>
      </c>
      <c r="C4934" s="27" t="s">
        <v>1074</v>
      </c>
      <c r="D4934" s="27" t="s">
        <v>1075</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1138</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1111</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1299</v>
      </c>
      <c r="B4937" s="27" t="s">
        <v>1148</v>
      </c>
      <c r="C4937" s="27" t="s">
        <v>1080</v>
      </c>
      <c r="D4937" s="27" t="s">
        <v>1075</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2503</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1087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1267</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1261</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1588</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1798</v>
      </c>
      <c r="B4943" s="27" t="s">
        <v>1126</v>
      </c>
      <c r="C4943" s="27" t="s">
        <v>1250</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1100</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2504</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2505</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1100</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2506</v>
      </c>
      <c r="B4948" s="27" t="s">
        <v>1148</v>
      </c>
      <c r="C4948" s="27" t="s">
        <v>1074</v>
      </c>
      <c r="D4948" s="27" t="s">
        <v>1075</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1138</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2502</v>
      </c>
      <c r="B4950" s="27" t="s">
        <v>1090</v>
      </c>
      <c r="C4950" s="27" t="s">
        <v>1084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1238</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1077</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1359</v>
      </c>
      <c r="B4953" s="27" t="s">
        <v>1090</v>
      </c>
      <c r="C4953" s="27" t="s">
        <v>1080</v>
      </c>
      <c r="D4953" s="27" t="s">
        <v>1075</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1798</v>
      </c>
      <c r="B4954" s="27" t="s">
        <v>1303</v>
      </c>
      <c r="C4954" s="27" t="s">
        <v>1250</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1092</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28</v>
      </c>
      <c r="B4956" s="27" t="s">
        <v>1226</v>
      </c>
      <c r="C4956" s="27" t="s">
        <v>1127</v>
      </c>
      <c r="D4956" s="27" t="s">
        <v>1075</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1889</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1102</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row>
    <row r="4960" spans="1:12">
      <c r="A4960" s="20" t="s">
        <v>1296</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2507</v>
      </c>
    </row>
    <row r="4962" spans="1:12">
      <c r="A4962" s="20" t="s">
        <v>1657</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1299</v>
      </c>
      <c r="B4963" s="27" t="s">
        <v>1107</v>
      </c>
      <c r="C4963" s="27" t="s">
        <v>1080</v>
      </c>
      <c r="D4963" s="27" t="s">
        <v>1075</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1846</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1295</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93</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1222</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1176</v>
      </c>
      <c r="B4968" s="27" t="s">
        <v>1083</v>
      </c>
      <c r="C4968" s="27" t="s">
        <v>1080</v>
      </c>
      <c r="D4968" s="27" t="s">
        <v>1075</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1261</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1192</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1129</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1476</v>
      </c>
      <c r="B4972" s="27" t="s">
        <v>1073</v>
      </c>
      <c r="C4972" s="27" t="s">
        <v>1115</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1092</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1111</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1299</v>
      </c>
      <c r="B4975" s="27" t="s">
        <v>1113</v>
      </c>
      <c r="C4975" s="27" t="s">
        <v>1080</v>
      </c>
      <c r="D4975" s="27" t="s">
        <v>1075</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2508</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2509</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1492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row>
    <row r="4980" spans="1:12">
      <c r="A4980" s="20" t="s">
        <v>1296</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2510</v>
      </c>
    </row>
    <row r="4982" spans="1:12">
      <c r="A4982" s="20" t="s">
        <v>93</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1252</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2511</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1210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60</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2512</v>
      </c>
      <c r="B4987" s="27" t="s">
        <v>1126</v>
      </c>
      <c r="C4987" s="27" t="s">
        <v>1084</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1492</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row>
    <row r="4990" spans="1:12">
      <c r="A4990" s="20" t="s">
        <v>1296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2513</v>
      </c>
    </row>
    <row r="4992" spans="1:12">
      <c r="A4992" s="20" t="s">
        <v>93</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1874</v>
      </c>
      <c r="B4993" s="27" t="s">
        <v>1107</v>
      </c>
      <c r="C4993" s="27" t="s">
        <v>1204</v>
      </c>
      <c r="D4993" s="27" t="s">
        <v>1075</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1261</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1691</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1884</v>
      </c>
      <c r="B4996" s="27" t="s">
        <v>1073</v>
      </c>
      <c r="C4996" s="27" t="s">
        <v>1074</v>
      </c>
      <c r="D4996" s="27" t="s">
        <v>1075</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1138</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1100</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2320</v>
      </c>
      <c r="B4999" s="27" t="s">
        <v>1148</v>
      </c>
      <c r="C4999" s="27" t="s">
        <v>1119</v>
      </c>
      <c r="D4999" s="27" t="s">
        <v>1075</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1566</v>
      </c>
      <c r="B5000" s="27" t="s">
        <v>1079</v>
      </c>
      <c r="C5000" s="27" t="s">
        <v>1080</v>
      </c>
      <c r="D5000" s="27" t="s">
        <v>1075</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1492</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93</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row>
    <row r="5004" spans="1:12">
      <c r="A5004" s="20" t="s">
        <v>2514</v>
      </c>
    </row>
    <row r="5005" spans="1:12">
      <c r="A5005" s="20" t="s">
        <v>1502</v>
      </c>
      <c r="B5005" s="27" t="s">
        <v>1107</v>
      </c>
      <c r="C5005" s="27" t="s">
        <v>1127</v>
      </c>
      <c r="D5005" s="27" t="s">
        <v>1075</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2515</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1092</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1100</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2516</v>
      </c>
      <c r="B5009" s="27" t="s">
        <v>1083</v>
      </c>
      <c r="C5009" s="27" t="s">
        <v>1080</v>
      </c>
      <c r="D5009" s="27" t="s">
        <v>1075</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1192</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2517</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1102</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row>
    <row r="5014" spans="1:12">
      <c r="A5014" s="20" t="s">
        <v>2518</v>
      </c>
    </row>
    <row r="5015" spans="1:12">
      <c r="A5015" s="20" t="s">
        <v>2519</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1100</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2520</v>
      </c>
      <c r="B5017" s="27" t="s">
        <v>1107</v>
      </c>
      <c r="C5017" s="27" t="s">
        <v>1080</v>
      </c>
      <c r="D5017" s="27" t="s">
        <v>1075</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1138</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187</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1660</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1081</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1138</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60</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1409</v>
      </c>
      <c r="B5024" s="27" t="s">
        <v>1134</v>
      </c>
      <c r="C5024" s="27" t="s">
        <v>1084</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187</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2521</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1081</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1138</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60</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2522</v>
      </c>
      <c r="B5031" s="27" t="s">
        <v>1424</v>
      </c>
      <c r="C5031" s="27" t="s">
        <v>1084</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1081</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1138</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1106</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1096</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2094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2419</v>
      </c>
      <c r="B5037" s="27" t="s">
        <v>1214</v>
      </c>
      <c r="C5037" s="27" t="s">
        <v>1169</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1092</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1391</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1087</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1192</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2221</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2523</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1102</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row>
    <row r="5046" spans="1:12">
      <c r="A5046" s="20" t="s">
        <v>2524</v>
      </c>
    </row>
    <row r="5047" spans="1:12">
      <c r="A5047" s="20" t="s">
        <v>1322</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1345</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1176</v>
      </c>
      <c r="B5049" s="27" t="s">
        <v>1107</v>
      </c>
      <c r="C5049" s="27" t="s">
        <v>1115</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1192</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1129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1476</v>
      </c>
      <c r="B5052" s="27" t="s">
        <v>1152</v>
      </c>
      <c r="C5052" s="27" t="s">
        <v>1115</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1092</v>
      </c>
      <c r="B5053" s="27" t="s">
        <v>1083</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2312</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1105</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1415</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2525</v>
      </c>
      <c r="B5057" s="27" t="s">
        <v>1113</v>
      </c>
      <c r="C5057" s="27" t="s">
        <v>1195</v>
      </c>
      <c r="D5057" s="27" t="s">
        <v>1075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1095</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2526</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1102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row>
    <row r="5062" spans="1:12">
      <c r="A5062" s="20" t="s">
        <v>2527</v>
      </c>
    </row>
    <row r="5063" spans="1:12">
      <c r="A5063" s="20" t="s">
        <v>1407</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1129</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2528</v>
      </c>
      <c r="B5065" s="27" t="s">
        <v>1152</v>
      </c>
      <c r="C5065" s="27" t="s">
        <v>1074</v>
      </c>
      <c r="D5065" s="27" t="s">
        <v>1075</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1138</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2529</v>
      </c>
      <c r="B5067" s="27" t="s">
        <v>1152</v>
      </c>
      <c r="C5067" s="27" t="s">
        <v>1084</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1102</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row>
    <row r="5070" spans="1:12">
      <c r="A5070" s="20" t="s">
        <v>1296</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2530</v>
      </c>
    </row>
    <row r="5072" spans="1:12">
      <c r="A5072" s="20" t="s">
        <v>1657</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1299</v>
      </c>
      <c r="B5073" s="27" t="s">
        <v>1107</v>
      </c>
      <c r="C5073" s="27" t="s">
        <v>1080</v>
      </c>
      <c r="D5073" s="27" t="s">
        <v>1075</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2393</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60</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1135</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1199</v>
      </c>
      <c r="B5077" s="27" t="s">
        <v>1126</v>
      </c>
      <c r="C5077" s="27" t="s">
        <v>1127</v>
      </c>
      <c r="D5077" s="27" t="s">
        <v>1075</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1081</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1846</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1295</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93</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2194</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1092</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1087</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1095</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44</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2531</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1494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1071</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2235</v>
      </c>
      <c r="B5090" s="27" t="s">
        <v>1134</v>
      </c>
      <c r="C5090" s="27" t="s">
        <v>1169</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1087</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1135</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2532</v>
      </c>
      <c r="B5093" s="27" t="s">
        <v>1121</v>
      </c>
      <c r="C5093" s="27" t="s">
        <v>1127</v>
      </c>
      <c r="D5093" s="27" t="s">
        <v>1075</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2533</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1722</v>
      </c>
      <c r="B5095" s="27" t="s">
        <v>1259</v>
      </c>
      <c r="C5095" s="27" t="s">
        <v>1204</v>
      </c>
      <c r="D5095" s="27" t="s">
        <v>1075</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1102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93</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2534</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1200</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1295</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93</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2535</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101</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1092</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2536</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1087</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1267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1971</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2537</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1100</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60</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149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1234</v>
      </c>
      <c r="B5113" s="27" t="s">
        <v>1424</v>
      </c>
      <c r="C5113" s="27" t="s">
        <v>1169</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1102</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row>
    <row r="5116" spans="1:12">
      <c r="A5116" s="20" t="s">
        <v>1296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2538</v>
      </c>
    </row>
    <row r="5118" spans="1:12">
      <c r="A5118" s="20" t="s">
        <v>93</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1222</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1510</v>
      </c>
      <c r="B5120" s="27" t="s">
        <v>1107</v>
      </c>
      <c r="C5120" s="27" t="s">
        <v>1080</v>
      </c>
      <c r="D5120" s="27" t="s">
        <v>1075</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1192</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2539</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1087</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1081</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2540</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1852</v>
      </c>
      <c r="B5126" s="27" t="s">
        <v>1073</v>
      </c>
      <c r="C5126" s="27" t="s">
        <v>1127</v>
      </c>
      <c r="D5126" s="27" t="s">
        <v>1075</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1210</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2541</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1138</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1071</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2235</v>
      </c>
      <c r="B5131" s="27" t="s">
        <v>1303</v>
      </c>
      <c r="C5131" s="27" t="s">
        <v>1169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2542</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1102</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row>
    <row r="5135" spans="1:12">
      <c r="A5135" s="20" t="s">
        <v>1296</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2543</v>
      </c>
    </row>
    <row r="5137" spans="1:12">
      <c r="A5137" s="20" t="s">
        <v>93</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2544</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1076</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1344</v>
      </c>
      <c r="B5140" s="27" t="s">
        <v>1152</v>
      </c>
      <c r="C5140" s="27" t="s">
        <v>1204</v>
      </c>
      <c r="D5140" s="27" t="s">
        <v>1075</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1102</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93</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1620</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1129</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1154</v>
      </c>
      <c r="B5145" s="27" t="s">
        <v>1126</v>
      </c>
      <c r="C5145" s="27" t="s">
        <v>1115</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2545</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1076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1100</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2546</v>
      </c>
      <c r="B5149" s="27" t="s">
        <v>1079</v>
      </c>
      <c r="C5149" s="27" t="s">
        <v>1080</v>
      </c>
      <c r="D5149" s="27" t="s">
        <v>1075</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2547</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1081</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1076</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1725</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2094</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2548</v>
      </c>
      <c r="B5155" s="27" t="s">
        <v>1148</v>
      </c>
      <c r="C5155" s="27" t="s">
        <v>1300</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1087</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1076</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1092</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2549</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1100</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1981</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2550</v>
      </c>
      <c r="B5162" s="27" t="s">
        <v>1134</v>
      </c>
      <c r="C5162" s="27" t="s">
        <v>1080</v>
      </c>
      <c r="D5162" s="27" t="s">
        <v>1075</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1088</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1176</v>
      </c>
      <c r="B5164" s="27" t="s">
        <v>1121</v>
      </c>
      <c r="C5164" s="27" t="s">
        <v>1084</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1088</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1210</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323</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1094</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1071</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2551</v>
      </c>
      <c r="B5170" s="27" t="s">
        <v>1670</v>
      </c>
      <c r="C5170" s="27" t="s">
        <v>1115</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1095</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2552</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1087</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1105</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2553</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1076</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1077</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1427</v>
      </c>
      <c r="B5178" s="27" t="s">
        <v>1214</v>
      </c>
      <c r="C5178" s="27" t="s">
        <v>1074</v>
      </c>
      <c r="D5178" s="27" t="s">
        <v>1075</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1138</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1077</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1870</v>
      </c>
      <c r="B5181" s="27" t="s">
        <v>1564</v>
      </c>
      <c r="C5181" s="27" t="s">
        <v>1119</v>
      </c>
      <c r="D5181" s="27" t="s">
        <v>1075</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2554</v>
      </c>
      <c r="B5182" s="27" t="s">
        <v>2441</v>
      </c>
      <c r="C5182" s="27" t="s">
        <v>1080</v>
      </c>
      <c r="D5182" s="27" t="s">
        <v>1075</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1087</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1081</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1210</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323</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1094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1370</v>
      </c>
      <c r="B5188" s="27" t="s">
        <v>2160</v>
      </c>
      <c r="C5188" s="27" t="s">
        <v>1250</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1095</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2552</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1071</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2555</v>
      </c>
      <c r="B5192" s="27" t="s">
        <v>1564</v>
      </c>
      <c r="C5192" s="27" t="s">
        <v>1115</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2556</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1138</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1095</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1421</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1102</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row>
    <row r="5199" spans="1:12">
      <c r="A5199" s="20" t="s">
        <v>1296</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2557</v>
      </c>
    </row>
    <row r="5201" spans="1:12">
      <c r="A5201" s="20" t="s">
        <v>1657</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1299</v>
      </c>
      <c r="B5202" s="27" t="s">
        <v>1107</v>
      </c>
      <c r="C5202" s="27" t="s">
        <v>1080</v>
      </c>
      <c r="D5202" s="27" t="s">
        <v>1075</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1846</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1258</v>
      </c>
      <c r="B5204" s="27" t="s">
        <v>1073</v>
      </c>
      <c r="C5204" s="27" t="s">
        <v>1127</v>
      </c>
      <c r="D5204" s="27" t="s">
        <v>1075</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1295</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93</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1407</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1071</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2558</v>
      </c>
      <c r="B5209" s="27" t="s">
        <v>1152</v>
      </c>
      <c r="C5209" s="27" t="s">
        <v>1074</v>
      </c>
      <c r="D5209" s="27" t="s">
        <v>1075</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1138</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1100</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1624</v>
      </c>
      <c r="B5212" s="27" t="s">
        <v>1079</v>
      </c>
      <c r="C5212" s="27" t="s">
        <v>1080</v>
      </c>
      <c r="D5212" s="27" t="s">
        <v>1075</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2559</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1492</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row>
    <row r="5216" spans="1:12">
      <c r="A5216" s="20" t="s">
        <v>2560</v>
      </c>
    </row>
    <row r="5217" spans="1:12">
      <c r="A5217" s="20" t="s">
        <v>1104</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28</v>
      </c>
      <c r="B5218" s="27" t="s">
        <v>1107</v>
      </c>
      <c r="C5218" s="27" t="s">
        <v>1127</v>
      </c>
      <c r="D5218" s="27" t="s">
        <v>1075</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2561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1295</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row>
    <row r="5222" spans="1:12">
      <c r="A5222" s="20" t="s">
        <v>1296</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2562</v>
      </c>
    </row>
    <row r="5224" spans="1:12">
      <c r="A5224" s="20" t="s">
        <v>93</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2065</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2277</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1354</v>
      </c>
      <c r="B5227" s="27" t="s">
        <v>1152</v>
      </c>
      <c r="C5227" s="27" t="s">
        <v>1300</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1087</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1192</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1071</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2563</v>
      </c>
      <c r="B5231" s="27" t="s">
        <v>1152</v>
      </c>
      <c r="C5231" s="27" t="s">
        <v>1074</v>
      </c>
      <c r="D5231" s="27" t="s">
        <v>1075</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1138</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1100</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1624</v>
      </c>
      <c r="B5234" s="27" t="s">
        <v>1152</v>
      </c>
      <c r="C5234" s="27" t="s">
        <v>1080</v>
      </c>
      <c r="D5234" s="27" t="s">
        <v>1075</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2559</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1102</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93</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row>
    <row r="5239" spans="1:12">
      <c r="A5239" s="20" t="s">
        <v>2564</v>
      </c>
    </row>
    <row r="5240" spans="1:12">
      <c r="A5240" s="20" t="s">
        <v>1620</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1071</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2565</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2566</v>
      </c>
      <c r="B5243" s="27" t="s">
        <v>1073</v>
      </c>
      <c r="C5243" s="27" t="s">
        <v>1074</v>
      </c>
      <c r="D5243" s="27" t="s">
        <v>1075</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1138</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2567</v>
      </c>
      <c r="B5245" s="27" t="s">
        <v>1079</v>
      </c>
      <c r="C5245" s="27" t="s">
        <v>1084</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1087</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1267</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1076</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1100</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1981</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1838</v>
      </c>
      <c r="B5251" s="27" t="s">
        <v>1152</v>
      </c>
      <c r="C5251" s="27" t="s">
        <v>1080</v>
      </c>
      <c r="D5251" s="27" t="s">
        <v>1075</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1092</v>
      </c>
      <c r="B5252" s="27" t="s">
        <v>1113</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1588</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2567</v>
      </c>
      <c r="B5254" s="27" t="s">
        <v>1303</v>
      </c>
      <c r="C5254" s="27" t="s">
        <v>1084</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1686</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60</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1129</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2568</v>
      </c>
      <c r="B5258" s="27" t="s">
        <v>1259</v>
      </c>
      <c r="C5258" s="27" t="s">
        <v>1074</v>
      </c>
      <c r="D5258" s="27" t="s">
        <v>1075</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1138</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2569</v>
      </c>
      <c r="B5260" s="27" t="s">
        <v>1118</v>
      </c>
      <c r="C5260" s="27" t="s">
        <v>1084</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1076</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2340</v>
      </c>
      <c r="B5262" s="27" t="s">
        <v>1121</v>
      </c>
      <c r="C5262" s="27" t="s">
        <v>1074</v>
      </c>
      <c r="D5262" s="27" t="s">
        <v>1075</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1138</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1100</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1281</v>
      </c>
      <c r="B5265" s="27" t="s">
        <v>1118</v>
      </c>
      <c r="C5265" s="27" t="s">
        <v>1080</v>
      </c>
      <c r="D5265" s="27" t="s">
        <v>1075</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1092</v>
      </c>
      <c r="B5266" s="27" t="s">
        <v>1098</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1978</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1135</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1071</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2570</v>
      </c>
      <c r="B5270" s="27" t="s">
        <v>1212</v>
      </c>
      <c r="C5270" s="27" t="s">
        <v>1074</v>
      </c>
      <c r="D5270" s="27" t="s">
        <v>1075</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1138</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2571</v>
      </c>
      <c r="B5272" s="27" t="s">
        <v>1214</v>
      </c>
      <c r="C5272" s="27" t="s">
        <v>1084</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1092</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1391</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1138</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2572</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1081</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2573</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1081</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1077</v>
      </c>
      <c r="B5280" s="27" t="s">
        <v>2441</v>
      </c>
      <c r="C5280" s="27" t="s">
        <v>1204</v>
      </c>
      <c r="D5280" s="27" t="s">
        <v>1075</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1092</v>
      </c>
      <c r="B5281" s="27" t="s">
        <v>2215</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2312</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1095</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2574</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1100</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1281</v>
      </c>
      <c r="B5286" s="27" t="s">
        <v>2575</v>
      </c>
      <c r="C5286" s="27" t="s">
        <v>1080</v>
      </c>
      <c r="D5286" s="27" t="s">
        <v>1075</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1903</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372</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1234</v>
      </c>
      <c r="B5289" s="27" t="s">
        <v>2213</v>
      </c>
      <c r="C5289" s="27" t="s">
        <v>1169</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1081</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1100</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2568</v>
      </c>
      <c r="B5292" s="27" t="s">
        <v>2576</v>
      </c>
      <c r="C5292" s="27" t="s">
        <v>1080</v>
      </c>
      <c r="D5292" s="27" t="s">
        <v>1075</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2577</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1091</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101</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1659</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1071</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2368</v>
      </c>
      <c r="B5298" s="27" t="s">
        <v>2578</v>
      </c>
      <c r="C5298" s="27" t="s">
        <v>1074</v>
      </c>
      <c r="D5298" s="27" t="s">
        <v>1075</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1138</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2571</v>
      </c>
      <c r="B5300" s="27" t="s">
        <v>2579</v>
      </c>
      <c r="C5300" s="27" t="s">
        <v>1084</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2580</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1102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row>
    <row r="5304" spans="1:12">
      <c r="A5304" s="20" t="s">
        <v>2581</v>
      </c>
    </row>
    <row r="5305" spans="1:12">
      <c r="A5305" s="20" t="s">
        <v>1407</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1415</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2570</v>
      </c>
      <c r="B5307" s="27" t="s">
        <v>1107</v>
      </c>
      <c r="C5307" s="27" t="s">
        <v>1195</v>
      </c>
      <c r="D5307" s="27" t="s">
        <v>1075</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2580</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1138</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2571</v>
      </c>
      <c r="B5310" s="27" t="s">
        <v>1152</v>
      </c>
      <c r="C5310" s="27" t="s">
        <v>1084</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1087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1415</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1472</v>
      </c>
      <c r="B5313" s="27" t="s">
        <v>1073</v>
      </c>
      <c r="C5313" s="27" t="s">
        <v>1195</v>
      </c>
      <c r="D5313" s="27" t="s">
        <v>1075</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1138</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1100</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2582</v>
      </c>
      <c r="B5316" s="27" t="s">
        <v>1079</v>
      </c>
      <c r="C5316" s="27" t="s">
        <v>1080</v>
      </c>
      <c r="D5316" s="27" t="s">
        <v>1075</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2580</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1087</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1092</v>
      </c>
      <c r="B5319" s="27" t="s">
        <v>1226</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1076</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1096</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2583</v>
      </c>
      <c r="B5322" s="27" t="s">
        <v>1090</v>
      </c>
      <c r="C5322" s="27" t="s">
        <v>1080</v>
      </c>
      <c r="D5322" s="27" t="s">
        <v>1075</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2584</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1102</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row>
    <row r="5326" spans="1:12">
      <c r="A5326" s="20" t="s">
        <v>1296</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2585</v>
      </c>
    </row>
    <row r="5328" spans="1:12">
      <c r="A5328" s="20" t="s">
        <v>1125</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1111</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1299</v>
      </c>
      <c r="B5330" s="27" t="s">
        <v>1107</v>
      </c>
      <c r="C5330" s="27" t="s">
        <v>1080</v>
      </c>
      <c r="D5330" s="27" t="s">
        <v>1075</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1846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1295</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93</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2586</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2417</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2587</v>
      </c>
      <c r="B5336" s="27" t="s">
        <v>1126</v>
      </c>
      <c r="C5336" s="27" t="s">
        <v>1195</v>
      </c>
      <c r="D5336" s="27" t="s">
        <v>1075</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1138</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1100</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1266</v>
      </c>
      <c r="B5339" s="27" t="s">
        <v>1148</v>
      </c>
      <c r="C5339" s="27" t="s">
        <v>1080</v>
      </c>
      <c r="D5339" s="27" t="s">
        <v>1075</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1081</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2313</v>
      </c>
      <c r="B5341" s="27" t="s">
        <v>1148</v>
      </c>
      <c r="C5341" s="27" t="s">
        <v>1084</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1655</v>
      </c>
      <c r="B5342" s="27" t="s">
        <v>1090</v>
      </c>
      <c r="C5342" s="27" t="s">
        <v>1127</v>
      </c>
      <c r="D5342" s="27" t="s">
        <v>1075</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2388</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1492</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93</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row>
    <row r="5347" spans="1:12">
      <c r="A5347" s="20" t="s">
        <v>2588</v>
      </c>
    </row>
    <row r="5348" spans="1:12">
      <c r="A5348" s="20" t="s">
        <v>1252</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1192</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1513</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1929</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1102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row>
    <row r="5354" spans="1:12">
      <c r="A5354" s="20" t="s">
        <v>2589</v>
      </c>
    </row>
    <row r="5355" spans="1:12">
      <c r="A5355" s="20" t="s">
        <v>1243</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1261</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1258</v>
      </c>
      <c r="B5357" s="27" t="s">
        <v>1073</v>
      </c>
      <c r="C5357" s="27" t="s">
        <v>1127</v>
      </c>
      <c r="D5357" s="27" t="s">
        <v>1075</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1500</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1660</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1238</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60</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1138</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1307</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1087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1261</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1258</v>
      </c>
      <c r="B5366" s="27" t="s">
        <v>1126</v>
      </c>
      <c r="C5366" s="27" t="s">
        <v>1127</v>
      </c>
      <c r="D5366" s="27" t="s">
        <v>1075</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1500</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1660</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1238</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1663</v>
      </c>
      <c r="B5370" s="27" t="s">
        <v>1148</v>
      </c>
      <c r="C5370" s="27" t="s">
        <v>1074</v>
      </c>
      <c r="D5370" s="27" t="s">
        <v>1075</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1138</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1077</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1117</v>
      </c>
      <c r="B5373" s="27" t="s">
        <v>1121</v>
      </c>
      <c r="C5373" s="27" t="s">
        <v>1119</v>
      </c>
      <c r="D5373" s="27" t="s">
        <v>1075</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2590</v>
      </c>
      <c r="B5374" s="27" t="s">
        <v>1090</v>
      </c>
      <c r="C5374" s="27" t="s">
        <v>1074</v>
      </c>
      <c r="D5374" s="27" t="s">
        <v>1075</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1138</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1287</v>
      </c>
      <c r="B5376" s="27" t="s">
        <v>1121</v>
      </c>
      <c r="C5376" s="27" t="s">
        <v>1084</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1087</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1081</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1261</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1258</v>
      </c>
      <c r="B5380" s="27" t="s">
        <v>1424</v>
      </c>
      <c r="C5380" s="27" t="s">
        <v>1127</v>
      </c>
      <c r="D5380" s="27" t="s">
        <v>1075</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1500</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1660</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1238</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468</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1071</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1339</v>
      </c>
      <c r="B5386" s="27" t="s">
        <v>1420</v>
      </c>
      <c r="C5386" s="27" t="s">
        <v>1115</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1102</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row>
    <row r="5389" spans="1:12">
      <c r="A5389" s="20" t="s">
        <v>2591</v>
      </c>
    </row>
    <row r="5390" spans="1:12">
      <c r="A5390" s="20" t="s">
        <v>1216</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1100</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1830</v>
      </c>
      <c r="B5392" s="27" t="s">
        <v>1152</v>
      </c>
      <c r="C5392" s="27" t="s">
        <v>1080</v>
      </c>
      <c r="D5392" s="27" t="s">
        <v>1075</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1087</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1875</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1092</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1633</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1258</v>
      </c>
      <c r="B5397" s="27" t="s">
        <v>1126</v>
      </c>
      <c r="C5397" s="27" t="s">
        <v>1127</v>
      </c>
      <c r="D5397" s="27" t="s">
        <v>1075</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1500</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1494</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1660</v>
      </c>
      <c r="B5400" s="27" t="s">
        <v>1126</v>
      </c>
      <c r="C5400" s="27" t="s">
        <v>1300</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1434</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1135</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2532</v>
      </c>
      <c r="B5403" s="27" t="s">
        <v>1148</v>
      </c>
      <c r="C5403" s="27" t="s">
        <v>1127</v>
      </c>
      <c r="D5403" s="27" t="s">
        <v>1075</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1624</v>
      </c>
      <c r="B5405" s="27" t="s">
        <v>1303</v>
      </c>
      <c r="C5405" s="27" t="s">
        <v>1084</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1158</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12</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1364</v>
      </c>
      <c r="B5408" s="27" t="s">
        <v>1259</v>
      </c>
      <c r="C5408" s="27" t="s">
        <v>1084</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1102</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row>
    <row r="5411" spans="1:12">
      <c r="A5411" s="20" t="s">
        <v>2592</v>
      </c>
    </row>
    <row r="5412" spans="1:12">
      <c r="A5412" s="20" t="s">
        <v>2593</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1258</v>
      </c>
      <c r="B5413" s="27" t="s">
        <v>1126</v>
      </c>
      <c r="C5413" s="27" t="s">
        <v>1127</v>
      </c>
      <c r="D5413" s="27" t="s">
        <v>1075</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1660</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1135</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1111</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2594</v>
      </c>
      <c r="B5417" s="27" t="s">
        <v>1079</v>
      </c>
      <c r="C5417" s="27" t="s">
        <v>1080</v>
      </c>
      <c r="D5417" s="27" t="s">
        <v>1075</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2595</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1087</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1135</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1111</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2596</v>
      </c>
      <c r="B5422" s="27" t="s">
        <v>1148</v>
      </c>
      <c r="C5422" s="27" t="s">
        <v>1080</v>
      </c>
      <c r="D5422" s="27" t="s">
        <v>1075</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2597</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1087</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1087</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1135</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1077</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2598</v>
      </c>
      <c r="B5428" s="27" t="s">
        <v>1148</v>
      </c>
      <c r="C5428" s="27" t="s">
        <v>1080</v>
      </c>
      <c r="D5428" s="27" t="s">
        <v>1075</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2599</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1102</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row>
    <row r="5432" spans="1:12">
      <c r="A5432" s="20" t="s">
        <v>2600</v>
      </c>
    </row>
    <row r="5433" spans="1:12">
      <c r="A5433" s="20" t="s">
        <v>1576</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2601</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1111</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1255</v>
      </c>
      <c r="B5436" s="27" t="s">
        <v>1152</v>
      </c>
      <c r="C5436" s="27" t="s">
        <v>1195</v>
      </c>
      <c r="D5436" s="27" t="s">
        <v>1075</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1092</v>
      </c>
      <c r="B5437" s="27" t="s">
        <v>1083</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1814</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1258</v>
      </c>
      <c r="B5439" s="27" t="s">
        <v>1126</v>
      </c>
      <c r="C5439" s="27" t="s">
        <v>1127</v>
      </c>
      <c r="D5439" s="27" t="s">
        <v>1075</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2602</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1102</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row>
    <row r="5443" spans="1:12">
      <c r="A5443" s="20" t="s">
        <v>2603</v>
      </c>
    </row>
    <row r="5444" spans="1:12">
      <c r="A5444" s="20" t="s">
        <v>1104</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1469</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1210</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1199</v>
      </c>
      <c r="B5447" s="27" t="s">
        <v>1152</v>
      </c>
      <c r="C5447" s="27" t="s">
        <v>1127</v>
      </c>
      <c r="D5447" s="27" t="s">
        <v>1075</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1713</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1295</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row>
    <row r="5451" spans="1:12">
      <c r="A5451" s="20" t="s">
        <v>2604</v>
      </c>
    </row>
    <row r="5452" spans="1:12">
      <c r="A5452" s="20" t="s">
        <v>2605</v>
      </c>
      <c r="B5452" s="27" t="s">
        <v>1152</v>
      </c>
      <c r="C5452" s="27" t="s">
        <v>1543</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1192</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1100</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2606</v>
      </c>
      <c r="B5455" s="27" t="s">
        <v>1107</v>
      </c>
      <c r="C5455" s="27" t="s">
        <v>1080</v>
      </c>
      <c r="D5455" s="27" t="s">
        <v>1075</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1492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row>
    <row r="5458" spans="1:12">
      <c r="A5458" s="20" t="s">
        <v>2607</v>
      </c>
    </row>
    <row r="5459" spans="1:12">
      <c r="A5459" s="20" t="s">
        <v>1499</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2608</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2533</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1096</v>
      </c>
      <c r="B5462" s="27" t="s">
        <v>1126</v>
      </c>
      <c r="C5462" s="27" t="s">
        <v>1204</v>
      </c>
      <c r="D5462" s="27" t="s">
        <v>1075</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1092</v>
      </c>
      <c r="B5463" s="27" t="s">
        <v>1226</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1553</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2609</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2610</v>
      </c>
      <c r="B5466" s="27" t="s">
        <v>1134</v>
      </c>
      <c r="C5466" s="27" t="s">
        <v>1084</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2278</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1138</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2611</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1432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2612</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2512</v>
      </c>
      <c r="B5472" s="27" t="s">
        <v>1259</v>
      </c>
      <c r="C5472" s="27" t="s">
        <v>1084</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1492</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row>
    <row r="5475" spans="1:12">
      <c r="A5475" s="20" t="s">
        <v>2613</v>
      </c>
    </row>
    <row r="5476" spans="1:12">
      <c r="A5476" s="20" t="s">
        <v>2605</v>
      </c>
      <c r="B5476" s="27" t="s">
        <v>1152</v>
      </c>
      <c r="C5476" s="27" t="s">
        <v>1543</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1192</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1077</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2614</v>
      </c>
      <c r="B5479" s="27" t="s">
        <v>1107</v>
      </c>
      <c r="C5479" s="27" t="s">
        <v>1074</v>
      </c>
      <c r="D5479" s="27" t="s">
        <v>1075</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1138</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2615</v>
      </c>
      <c r="B5481" s="27" t="s">
        <v>1079</v>
      </c>
      <c r="C5481" s="27" t="s">
        <v>1084</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1492</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row>
    <row r="5484" spans="1:12">
      <c r="A5484" s="20" t="s">
        <v>2616</v>
      </c>
    </row>
    <row r="5485" spans="1:12">
      <c r="A5485" s="20" t="s">
        <v>1222</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1077</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2617</v>
      </c>
      <c r="B5487" s="27" t="s">
        <v>1152</v>
      </c>
      <c r="C5487" s="27" t="s">
        <v>1074</v>
      </c>
      <c r="D5487" s="27" t="s">
        <v>1075</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1138</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1077</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1411</v>
      </c>
      <c r="B5490" s="27" t="s">
        <v>1079</v>
      </c>
      <c r="C5490" s="27" t="s">
        <v>1080</v>
      </c>
      <c r="D5490" s="27" t="s">
        <v>1075</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1087</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2618</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1100</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1100</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2606</v>
      </c>
      <c r="B5495" s="27" t="s">
        <v>1152</v>
      </c>
      <c r="C5495" s="27" t="s">
        <v>1080</v>
      </c>
      <c r="D5495" s="27" t="s">
        <v>1075</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1092</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1111</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1299</v>
      </c>
      <c r="B5498" s="27" t="s">
        <v>1083</v>
      </c>
      <c r="C5498" s="27" t="s">
        <v>1080</v>
      </c>
      <c r="D5498" s="27" t="s">
        <v>1075</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1092</v>
      </c>
      <c r="B5499" s="27" t="s">
        <v>1226</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2619</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1100</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2620</v>
      </c>
      <c r="B5502" s="27" t="s">
        <v>1121</v>
      </c>
      <c r="C5502" s="27" t="s">
        <v>1119</v>
      </c>
      <c r="D5502" s="27" t="s">
        <v>1075</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1673</v>
      </c>
      <c r="B5503" s="27" t="s">
        <v>1134</v>
      </c>
      <c r="C5503" s="27" t="s">
        <v>1080</v>
      </c>
      <c r="D5503" s="27" t="s">
        <v>1075</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1081</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2621</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1295</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row>
    <row r="5508" spans="1:12">
      <c r="A5508" s="20" t="s">
        <v>1296</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2622</v>
      </c>
    </row>
    <row r="5510" spans="1:12">
      <c r="A5510" s="20" t="s">
        <v>93</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1502</v>
      </c>
      <c r="B5511" s="27" t="s">
        <v>1107</v>
      </c>
      <c r="C5511" s="27" t="s">
        <v>1127</v>
      </c>
      <c r="D5511" s="27" t="s">
        <v>1075</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1218</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1129</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1176</v>
      </c>
      <c r="B5514" s="27" t="s">
        <v>1073</v>
      </c>
      <c r="C5514" s="27" t="s">
        <v>1115</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1588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1573</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1411</v>
      </c>
      <c r="B5517" s="27" t="s">
        <v>1303</v>
      </c>
      <c r="C5517" s="27" t="s">
        <v>1300</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1102</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row>
    <row r="5520" spans="1:12">
      <c r="A5520" s="20" t="s">
        <v>1296</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2623</v>
      </c>
    </row>
    <row r="5522" spans="1:12">
      <c r="A5522" s="20" t="s">
        <v>93</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2624</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1494</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954</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212</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1076</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1344</v>
      </c>
      <c r="B5528" s="27" t="s">
        <v>1126</v>
      </c>
      <c r="C5528" s="27" t="s">
        <v>1204</v>
      </c>
      <c r="D5528" s="27" t="s">
        <v>1075</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1102</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row>
    <row r="5531" spans="1:12">
      <c r="A5531" s="20" t="s">
        <v>1296</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2625</v>
      </c>
    </row>
    <row r="5533" spans="1:12">
      <c r="A5533" s="20" t="s">
        <v>93</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1252</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2103</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68</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1751</v>
      </c>
      <c r="B5537" s="27" t="s">
        <v>1126</v>
      </c>
      <c r="C5537" s="27" t="s">
        <v>1127</v>
      </c>
      <c r="D5537" s="27" t="s">
        <v>1075</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1494</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2626</v>
      </c>
      <c r="B5539" s="27" t="s">
        <v>1126</v>
      </c>
      <c r="C5539" s="27" t="s">
        <v>1084</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1081</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t="s">
        <v>2103</v>
      </c>
      <c r="E5541" s="21">
        <f>IF(D5541="?OLD","!!!","")</f>
        <v/>
      </c>
      <c r="F5541" s="22" t="str">
        <f>IF(OR(E5541="",E5541="!!!"),"",IF(NOT(ISNA(VLOOKUP(E5541,E$1:E5540,1,FALSE()))),"OLD",IF(AND(E5541&lt;&gt;"",E5541&lt;&gt;"!!!"),"NEW","")))</f>
        <v> </v>
      </c>
      <c r="G5541" s="23" t="str">
        <f>IF(OR(E5541="",E5541="!!!"),"",IF(OR(J5541=0,AND(J5541=1,K5541=1),AND(J5541=1,I5541="SBJ"),AND(J5541=1,I5541=0)),"?IN_FOCUS",IF(J5541&lt;=2,"?ACTIVATED",IF(J5541&lt;&gt;"","?FAMILIAR",IF(F5541="NEW",IF(ISNA(VLOOKUP(E5541,#REF!,1,FALSE())),"?TYPE_IDENTIFIABLE","?REFERENTIAL"),"_")))))</f>
        <v> </v>
      </c>
      <c r="H5541" s="24" t="str">
        <f>IF(J5541&lt;&gt;1,"",IF(I5541="SBJ","CB","?"))</f>
        <v> </v>
      </c>
      <c r="I5541" s="25" t="str">
        <f>IF(OR(E5541="",E5541="!!!",F5541="NEW"),"",INDEX(B5540:B$2,-1+SUMPRODUCT(MAX(ROW(E5540:E$2)*(E5541=E5540:E$2)))))</f>
        <v> </v>
      </c>
      <c r="J5541" s="25" t="str">
        <f>IF(OR(E5541="",E5541="!!!",F5541="NEW"),"",COUNTBLANK(OFFSET(A$1,,,SUMPRODUCT(MAX(ROW(E$2:E5541)*(E5541=E$2:E5541)))))-COUNTBLANK(OFFSET(A$1,,,SUMPRODUCT(MAX(ROW(E$1:E5540)*(E2=E$1:E5540))))))</f>
        <v> </v>
      </c>
      <c r="K5541" s="25" t="str">
        <f>IF(OR(E5541="",E5541="!!!",F5541="NEW"),"",INDEX(J$1:J5540,SUMPRODUCT(MAX(ROW(E$1:E5540)*(E5541=E$1:E5540)))))</f>
        <v> </v>
      </c>
      <c r="L5541" s="26"/>
    </row>
    <row r="5542" spans="1:12">
      <c r="A5542" s="20" t="s">
        <v>805</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1135</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2627</v>
      </c>
      <c r="B5544" s="27" t="s">
        <v>1090</v>
      </c>
      <c r="C5544" s="27" t="s">
        <v>1119</v>
      </c>
      <c r="D5544" s="27" t="s">
        <v>1075</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1510</v>
      </c>
      <c r="B5545" s="27" t="s">
        <v>1148</v>
      </c>
      <c r="C5545" s="27" t="s">
        <v>1300</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93</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1087</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2628</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1087</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1570</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1111</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1299</v>
      </c>
      <c r="B5552" s="27" t="s">
        <v>1107</v>
      </c>
      <c r="C5552" s="27" t="s">
        <v>1080</v>
      </c>
      <c r="D5552" s="27" t="s">
        <v>1075</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1092</v>
      </c>
      <c r="B5553" s="27" t="s">
        <v>1113</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1857</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1494</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2629</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1238</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1077</v>
      </c>
      <c r="B5558" s="27" t="s">
        <v>1090</v>
      </c>
      <c r="C5558" s="27" t="s">
        <v>1204</v>
      </c>
      <c r="D5558" s="27" t="s">
        <v>1075</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1092</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1671</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1102</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row>
    <row r="5563" spans="1:12">
      <c r="A5563" s="20" t="s">
        <v>2630</v>
      </c>
    </row>
    <row r="5564" spans="1:12">
      <c r="A5564" s="20" t="s">
        <v>2631</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1100</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1176</v>
      </c>
      <c r="B5566" s="27" t="s">
        <v>1126</v>
      </c>
      <c r="C5566" s="27" t="s">
        <v>1080</v>
      </c>
      <c r="D5566" s="27" t="s">
        <v>1075</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1087</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2632</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1100</v>
      </c>
      <c r="B5569" s="27" t="s">
        <v>1073</v>
      </c>
      <c r="C5569" s="27" t="s">
        <v>1127</v>
      </c>
      <c r="D5569" s="27" t="s">
        <v>1075</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1102</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row>
    <row r="5572" spans="1:12">
      <c r="A5572" s="20" t="s">
        <v>2633</v>
      </c>
    </row>
    <row r="5573" spans="1:12">
      <c r="A5573" s="20" t="s">
        <v>2634</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1076</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1096</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2635</v>
      </c>
      <c r="B5576" s="27" t="s">
        <v>1152</v>
      </c>
      <c r="C5576" s="27" t="s">
        <v>1074</v>
      </c>
      <c r="D5576" s="27" t="s">
        <v>1075</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1138</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1754</v>
      </c>
      <c r="B5578" s="27" t="s">
        <v>1079</v>
      </c>
      <c r="C5578" s="27" t="s">
        <v>1127</v>
      </c>
      <c r="D5578" s="27" t="s">
        <v>1075</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1087</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1754</v>
      </c>
      <c r="B5580" s="27" t="s">
        <v>1107</v>
      </c>
      <c r="C5580" s="27" t="s">
        <v>1127</v>
      </c>
      <c r="D5580" s="27" t="s">
        <v>1075</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2636</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1102</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row>
    <row r="5584" spans="1:12">
      <c r="A5584" s="20" t="s">
        <v>2637</v>
      </c>
    </row>
    <row r="5585" spans="1:12">
      <c r="A5585" s="20" t="s">
        <v>1657</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1299</v>
      </c>
      <c r="B5586" s="27" t="s">
        <v>1107</v>
      </c>
      <c r="C5586" s="27" t="s">
        <v>1080</v>
      </c>
      <c r="D5586" s="27" t="s">
        <v>1075</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1092</v>
      </c>
      <c r="B5587" s="27" t="s">
        <v>1113</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2638</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1638</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1570</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1111</v>
      </c>
      <c r="B5591" s="27" t="s">
        <v>1152</v>
      </c>
      <c r="C5591" s="27" t="s">
        <v>1204</v>
      </c>
      <c r="D5591" s="27" t="s">
        <v>1075</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1092</v>
      </c>
      <c r="B5592" s="27" t="s">
        <v>1083</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2639</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2640</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1077</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2281</v>
      </c>
      <c r="B5596" s="27" t="s">
        <v>1303</v>
      </c>
      <c r="C5596" s="27" t="s">
        <v>1080</v>
      </c>
      <c r="D5596" s="27" t="s">
        <v>1075</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1138</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2611</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1672</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t="s">
        <v>1737</v>
      </c>
      <c r="B5600" s="27" t="s">
        <v>1259</v>
      </c>
      <c r="C5600" s="27" t="s">
        <v>1195</v>
      </c>
      <c r="D5600" s="27" t="s">
        <v>1075</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1102</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row>
    <row r="5603" spans="1:12">
      <c r="A5603" s="20" t="s">
        <v>2641</v>
      </c>
    </row>
    <row r="5604" spans="1:12">
      <c r="A5604" s="20" t="s">
        <v>1657</v>
      </c>
      <c r="B5604" s="27" t="s">
        <v>1107</v>
      </c>
      <c r="C5604" s="27" t="s">
        <v>1204</v>
      </c>
      <c r="D5604" s="27" t="s">
        <v>1075</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1092</v>
      </c>
      <c r="B5605" s="27" t="s">
        <v>1113</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2639</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2640</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1100</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2620</v>
      </c>
      <c r="B5609" s="27" t="s">
        <v>1121</v>
      </c>
      <c r="C5609" s="27" t="s">
        <v>1119</v>
      </c>
      <c r="D5609" s="27" t="s">
        <v>1075</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1176</v>
      </c>
      <c r="B5610" s="27" t="s">
        <v>1134</v>
      </c>
      <c r="C5610" s="27" t="s">
        <v>1080</v>
      </c>
      <c r="D5610" s="27" t="s">
        <v>1075</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1570</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1111</v>
      </c>
      <c r="B5612" s="27" t="s">
        <v>1152</v>
      </c>
      <c r="C5612" s="27" t="s">
        <v>1204</v>
      </c>
      <c r="D5612" s="27" t="s">
        <v>1075</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1092</v>
      </c>
      <c r="B5613" s="27" t="s">
        <v>1083</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2642</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1100</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2615</v>
      </c>
      <c r="B5616" s="27" t="s">
        <v>1126</v>
      </c>
      <c r="C5616" s="27" t="s">
        <v>1080</v>
      </c>
      <c r="D5616" s="27" t="s">
        <v>1075</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1102</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row>
    <row r="5619" spans="1:12">
      <c r="A5619" s="20" t="s">
        <v>1296</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2643</v>
      </c>
    </row>
    <row r="5621" spans="1:12">
      <c r="A5621" s="20" t="s">
        <v>2172</v>
      </c>
      <c r="B5621" s="27" t="s">
        <v>1107</v>
      </c>
      <c r="C5621" s="27" t="s">
        <v>1181</v>
      </c>
      <c r="D5621" s="27" t="s">
        <v>1075</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2173</v>
      </c>
      <c r="B5622" s="27" t="s">
        <v>1079</v>
      </c>
      <c r="C5622" s="27" t="s">
        <v>1181</v>
      </c>
      <c r="D5622" s="27" t="s">
        <v>1075</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1469</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1258</v>
      </c>
      <c r="B5624" s="27" t="s">
        <v>1073</v>
      </c>
      <c r="C5624" s="27" t="s">
        <v>1127</v>
      </c>
      <c r="D5624" s="27" t="s">
        <v>1075</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1295</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93</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1369</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1431</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1092</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556</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1249</v>
      </c>
      <c r="B5631" s="27" t="s">
        <v>1134</v>
      </c>
      <c r="C5631" s="27" t="s">
        <v>1250</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2644</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1087</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93</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2645</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1092</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t="s">
        <v>1261</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1077</v>
      </c>
      <c r="B5638" s="27" t="s">
        <v>1303</v>
      </c>
      <c r="C5638" s="27" t="s">
        <v>1127</v>
      </c>
      <c r="D5638" s="27" t="s">
        <v>1075</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1976</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1929</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1087</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93</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1243</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1087</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2646</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1087</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2080</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702</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1238</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1077</v>
      </c>
      <c r="B5650" s="27" t="s">
        <v>1118</v>
      </c>
      <c r="C5650" s="27" t="s">
        <v>1204</v>
      </c>
      <c r="D5650" s="27" t="s">
        <v>1075</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1092</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1236</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1102</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row>
    <row r="5655" spans="1:12">
      <c r="A5655" s="20" t="s">
        <v>1296</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2647</v>
      </c>
    </row>
    <row r="5657" spans="1:12">
      <c r="A5657" s="20" t="s">
        <v>93</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2593</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1258</v>
      </c>
      <c r="B5659" s="27" t="s">
        <v>1073</v>
      </c>
      <c r="C5659" s="27" t="s">
        <v>1127</v>
      </c>
      <c r="D5659" s="27" t="s">
        <v>1075</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2648</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1238</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60</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2649</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1076</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1077</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2650</v>
      </c>
      <c r="B5666" s="27" t="s">
        <v>1079</v>
      </c>
      <c r="C5666" s="27" t="s">
        <v>1074</v>
      </c>
      <c r="D5666" s="27" t="s">
        <v>1075</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160</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1787</v>
      </c>
      <c r="B5668" s="27" t="s">
        <v>1148</v>
      </c>
      <c r="C5668" s="27" t="s">
        <v>1169</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1102</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row>
    <row r="5671" spans="1:12">
      <c r="A5671" s="20" t="s">
        <v>1296</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2651</v>
      </c>
    </row>
    <row r="5673" spans="1:12">
      <c r="A5673" s="20" t="s">
        <v>93</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2652</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1258</v>
      </c>
      <c r="B5675" s="27" t="s">
        <v>1073</v>
      </c>
      <c r="C5675" s="27" t="s">
        <v>1127</v>
      </c>
      <c r="D5675" s="27" t="s">
        <v>1075</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1573</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1326</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1077</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1601</v>
      </c>
      <c r="B5679" s="27" t="s">
        <v>1152</v>
      </c>
      <c r="C5679" s="27" t="s">
        <v>1080</v>
      </c>
      <c r="D5679" s="27" t="s">
        <v>1075</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1102</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row>
    <row r="5682" spans="1:12">
      <c r="A5682" s="20" t="s">
        <v>1296</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2653</v>
      </c>
    </row>
    <row r="5684" spans="1:12">
      <c r="A5684" s="20" t="s">
        <v>93</v>
      </c>
      <c r="E5684" s="21">
        <f>IF(D5684="?OLD","!!!","")</f>
        <v/>
      </c>
      <c r="F5684" s="22" t="str">
        <f>IF(OR(E5684="",E5684="!!!"),"",IF(NOT(ISNA(VLOOKUP(E5684,E$1:E5683,1,FALSE()))),"OLD",IF(AND(E5684&lt;&gt;"",E5684&lt;&gt;"!!!"),"NEW","")))</f>
        <v> </v>
      </c>
      <c r="G5684" s="23" t="str">
        <f>IF(OR(E5684="",E5684="!!!"),"",IF(OR(J5684=0,AND(J5684=1,K5684=1),AND(J5684=1,I5684="SBJ"),AND(J5684=1,I5684=0)),"?IN_FOCUS",IF(J5684&lt;=2,"?ACTIVATED",IF(J5684&lt;&gt;"","?FAMILIAR",IF(F5684="NEW",IF(ISNA(VLOOKUP(E5684,#REF!,1,FALSE())),"?TYPE_IDENTIFIABLE","?REFERENTIAL"),"_")))))</f>
        <v> </v>
      </c>
      <c r="H5684" s="24" t="str">
        <f>IF(J5684&lt;&gt;1,"",IF(I5684="SBJ","CB","?"))</f>
        <v> </v>
      </c>
      <c r="I5684" s="25" t="str">
        <f>IF(OR(E5684="",E5684="!!!",F5684="NEW"),"",INDEX(B5683:B$2,-1+SUMPRODUCT(MAX(ROW(E5683:E$2)*(E5684=E5683:E$2)))))</f>
        <v> </v>
      </c>
      <c r="J5684" s="25" t="str">
        <f>IF(OR(E5684="",E5684="!!!",F5684="NEW"),"",COUNTBLANK(OFFSET(A$1,,,SUMPRODUCT(MAX(ROW(E$2:E5684)*(E5684=E$2:E5684)))))-COUNTBLANK(OFFSET(A$1,,,SUMPRODUCT(MAX(ROW(E$1:E5683)*(E2=E$1:E5683))))))</f>
        <v> </v>
      </c>
      <c r="K5684" s="25" t="str">
        <f>IF(OR(E5684="",E5684="!!!",F5684="NEW"),"",INDEX(J$1:J5683,SUMPRODUCT(MAX(ROW(E$1:E5683)*(E5684=E$1:E5683)))))</f>
        <v> </v>
      </c>
      <c r="L5684" s="26"/>
    </row>
    <row r="5685" spans="1:12">
      <c r="A5685" s="20" t="s">
        <v>1222</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t="s">
        <v>1132</v>
      </c>
      <c r="B5686" s="27" t="s">
        <v>1079</v>
      </c>
      <c r="C5686" s="27" t="s">
        <v>1119</v>
      </c>
      <c r="D5686" s="27" t="s">
        <v>1075</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1225</v>
      </c>
      <c r="B5687" s="27" t="s">
        <v>1073</v>
      </c>
      <c r="C5687" s="27" t="s">
        <v>1074</v>
      </c>
      <c r="D5687" s="27" t="s">
        <v>1075</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1135</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1096</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1291</v>
      </c>
      <c r="B5690" s="27" t="s">
        <v>1148</v>
      </c>
      <c r="C5690" s="27" t="s">
        <v>1119</v>
      </c>
      <c r="D5690" s="27" t="s">
        <v>1075</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1764</v>
      </c>
      <c r="B5691" s="27" t="s">
        <v>1079</v>
      </c>
      <c r="C5691" s="27" t="s">
        <v>1080</v>
      </c>
      <c r="D5691" s="27" t="s">
        <v>1075</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1081</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1135</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1096</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1291</v>
      </c>
      <c r="B5695" s="27" t="s">
        <v>1148</v>
      </c>
      <c r="C5695" s="27" t="s">
        <v>1119</v>
      </c>
      <c r="D5695" s="27" t="s">
        <v>1075</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2272</v>
      </c>
      <c r="B5696" s="27" t="s">
        <v>1079</v>
      </c>
      <c r="C5696" s="27" t="s">
        <v>1080</v>
      </c>
      <c r="D5696" s="27" t="s">
        <v>1075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93</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1948</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2654</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2655</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1210</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1199</v>
      </c>
      <c r="B5702" s="27" t="s">
        <v>1090</v>
      </c>
      <c r="C5702" s="27" t="s">
        <v>1127</v>
      </c>
      <c r="D5702" s="27" t="s">
        <v>1075</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1081</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2656</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1200</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1102</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93</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1775</v>
      </c>
      <c r="B5708" s="27" t="s">
        <v>1107</v>
      </c>
      <c r="C5708" s="27" t="s">
        <v>1181</v>
      </c>
      <c r="D5708" s="27" t="s">
        <v>1075</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1776</v>
      </c>
      <c r="B5709" s="27" t="s">
        <v>1079</v>
      </c>
      <c r="C5709" s="27" t="s">
        <v>1181</v>
      </c>
      <c r="D5709" s="27" t="s">
        <v>1075</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1469</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1295</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row>
    <row r="5713" spans="1:12">
      <c r="A5713" s="20" t="s">
        <v>1296</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2657</v>
      </c>
    </row>
    <row r="5715" spans="1:12">
      <c r="A5715" s="20" t="s">
        <v>93</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2658</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101</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2659</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1076</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1129</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2660</v>
      </c>
      <c r="B5721" s="27" t="s">
        <v>1079</v>
      </c>
      <c r="C5721" s="27" t="s">
        <v>1074</v>
      </c>
      <c r="D5721" s="27" t="s">
        <v>1075</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1138</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2661</v>
      </c>
      <c r="B5723" s="27" t="s">
        <v>1148</v>
      </c>
      <c r="C5723" s="27" t="s">
        <v>1084</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1102</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row>
    <row r="5726" spans="1:12">
      <c r="A5726" s="20" t="s">
        <v>1296</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2662</v>
      </c>
    </row>
    <row r="5728" spans="1:12">
      <c r="A5728" s="20" t="s">
        <v>93</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1502</v>
      </c>
      <c r="B5729" s="27" t="s">
        <v>1107</v>
      </c>
      <c r="C5729" s="27" t="s">
        <v>1127</v>
      </c>
      <c r="D5729" s="27" t="s">
        <v>1075</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1962</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1839</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1087</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1839</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1087</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1839</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1102</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row>
    <row r="5738" spans="1:12">
      <c r="A5738" s="20" t="s">
        <v>1296</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2663</v>
      </c>
    </row>
    <row r="5740" spans="1:12">
      <c r="A5740" s="20" t="s">
        <v>93</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1657</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1299</v>
      </c>
      <c r="B5742" s="27" t="s">
        <v>1107</v>
      </c>
      <c r="C5742" s="27" t="s">
        <v>1080</v>
      </c>
      <c r="D5742" s="27" t="s">
        <v>1075</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1135</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1491</v>
      </c>
      <c r="B5744" s="27" t="s">
        <v>1148</v>
      </c>
      <c r="C5744" s="27" t="s">
        <v>1543</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28</v>
      </c>
      <c r="B5745" s="27" t="s">
        <v>1113</v>
      </c>
      <c r="C5745" s="27" t="s">
        <v>1127</v>
      </c>
      <c r="D5745" s="27" t="s">
        <v>1075</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2664</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93</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1261</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2024</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1573</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2665</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1081</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28</v>
      </c>
      <c r="B5753" s="27" t="s">
        <v>1083</v>
      </c>
      <c r="C5753" s="27" t="s">
        <v>1127</v>
      </c>
      <c r="D5753" s="27" t="s">
        <v>1075</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1429</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1295</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93</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2666</v>
      </c>
      <c r="B5757" s="27" t="s">
        <v>1113</v>
      </c>
      <c r="C5757" s="27" t="s">
        <v>1204</v>
      </c>
      <c r="D5757" s="27" t="s">
        <v>1075</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1261</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1192</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1573</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2667</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2147</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2668</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1138</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1100</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1884</v>
      </c>
      <c r="B5766" s="27" t="s">
        <v>1148</v>
      </c>
      <c r="C5766" s="27" t="s">
        <v>1074</v>
      </c>
      <c r="D5766" s="27" t="s">
        <v>1075</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1138</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1822</v>
      </c>
      <c r="B5768" s="27" t="s">
        <v>1090</v>
      </c>
      <c r="C5768" s="27" t="s">
        <v>1127</v>
      </c>
      <c r="D5768" s="27" t="s">
        <v>1075</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1802</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row>
    <row r="5771" spans="1:12">
      <c r="A5771" s="20" t="s">
        <v>1296</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2669</v>
      </c>
    </row>
    <row r="5773" spans="1:12">
      <c r="A5773" s="20" t="s">
        <v>93</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1125</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2670</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1092</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1822</v>
      </c>
      <c r="B5777" s="27" t="s">
        <v>1083</v>
      </c>
      <c r="C5777" s="27" t="s">
        <v>1127</v>
      </c>
      <c r="D5777" s="27" t="s">
        <v>1075</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1261</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2671</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1573</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1494</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93</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1138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1077</v>
      </c>
      <c r="B5784" s="27" t="s">
        <v>1090</v>
      </c>
      <c r="C5784" s="27" t="s">
        <v>1204</v>
      </c>
      <c r="D5784" s="27" t="s">
        <v>1075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1092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2131</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2672</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2036</v>
      </c>
      <c r="B5788" s="27" t="s">
        <v>1079</v>
      </c>
      <c r="C5788" s="27" t="s">
        <v>1195</v>
      </c>
      <c r="D5788" s="27" t="s">
        <v>1075</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1138</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2673</v>
      </c>
      <c r="B5790" s="27" t="s">
        <v>1148</v>
      </c>
      <c r="C5790" s="27" t="s">
        <v>1084</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2674</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1102</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row>
    <row r="5794" spans="1:12">
      <c r="A5794" s="20" t="s">
        <v>1296</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2675</v>
      </c>
    </row>
    <row r="5796" spans="1:12">
      <c r="A5796" s="20" t="s">
        <v>93</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2676</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1372</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275</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1129</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2677</v>
      </c>
      <c r="B5801" s="27" t="s">
        <v>1073</v>
      </c>
      <c r="C5801" s="27" t="s">
        <v>1115</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93</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1076</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1092</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28</v>
      </c>
      <c r="B5805" s="27" t="s">
        <v>1113</v>
      </c>
      <c r="C5805" s="27" t="s">
        <v>1127</v>
      </c>
      <c r="D5805" s="27" t="s">
        <v>1075</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1261</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1308</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2661</v>
      </c>
      <c r="B5808" s="27" t="s">
        <v>1303</v>
      </c>
      <c r="C5808" s="27" t="s">
        <v>1084</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1081</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1261</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1435</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1100</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64</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1087</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93</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1267</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1206</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2640</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1077</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2281</v>
      </c>
      <c r="B5820" s="27" t="s">
        <v>1259</v>
      </c>
      <c r="C5820" s="27" t="s">
        <v>1080</v>
      </c>
      <c r="D5820" s="27" t="s">
        <v>1075</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1138</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1092</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1822</v>
      </c>
      <c r="B5823" s="27" t="s">
        <v>1098</v>
      </c>
      <c r="C5823" s="27" t="s">
        <v>1127</v>
      </c>
      <c r="D5823" s="27" t="s">
        <v>1075</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1684</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2661</v>
      </c>
      <c r="B5825" s="27" t="s">
        <v>1424</v>
      </c>
      <c r="C5825" s="27" t="s">
        <v>1084</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1081</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2678</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64</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t="s">
        <v>1102</v>
      </c>
      <c r="E5829" s="21">
        <f>IF(D5829="?OLD","!!!","")</f>
        <v/>
      </c>
      <c r="F5829" s="22" t="str">
        <f>IF(OR(E5829="",E5829="!!!"),"",IF(NOT(ISNA(VLOOKUP(E5829,E$1:E5828,1,FALSE()))),"OLD",IF(AND(E5829&lt;&gt;"",E5829&lt;&gt;"!!!"),"NEW","")))</f>
        <v> </v>
      </c>
      <c r="G5829" s="23" t="str">
        <f>IF(OR(E5829="",E5829="!!!"),"",IF(OR(J5829=0,AND(J5829=1,K5829=1),AND(J5829=1,I5829="SBJ"),AND(J5829=1,I5829=0)),"?IN_FOCUS",IF(J5829&lt;=2,"?ACTIVATED",IF(J5829&lt;&gt;"","?FAMILIAR",IF(F5829="NEW",IF(ISNA(VLOOKUP(E5829,#REF!,1,FALSE())),"?TYPE_IDENTIFIABLE","?REFERENTIAL"),"_")))))</f>
        <v> </v>
      </c>
      <c r="H5829" s="24" t="str">
        <f>IF(J5829&lt;&gt;1,"",IF(I5829="SBJ","CB","?"))</f>
        <v> </v>
      </c>
      <c r="I5829" s="25" t="str">
        <f>IF(OR(E5829="",E5829="!!!",F5829="NEW"),"",INDEX(B5828:B$2,-1+SUMPRODUCT(MAX(ROW(E5828:E$2)*(E5829=E5828:E$2)))))</f>
        <v> </v>
      </c>
      <c r="J5829" s="25" t="str">
        <f>IF(OR(E5829="",E5829="!!!",F5829="NEW"),"",COUNTBLANK(OFFSET(A$1,,,SUMPRODUCT(MAX(ROW(E$2:E5829)*(E5829=E$2:E5829)))))-COUNTBLANK(OFFSET(A$1,,,SUMPRODUCT(MAX(ROW(E$1:E5828)*(E2=E$1:E5828))))))</f>
        <v> </v>
      </c>
      <c r="K5829" s="25" t="str">
        <f>IF(OR(E5829="",E5829="!!!",F5829="NEW"),"",INDEX(J$1:J5828,SUMPRODUCT(MAX(ROW(E$1:E5828)*(E5829=E$1:E5828)))))</f>
        <v> </v>
      </c>
      <c r="L5829" s="26"/>
    </row>
    <row r="5830" spans="1:12">
      <c r="A5830" s="20"/>
    </row>
    <row r="5831" spans="1:12">
      <c r="A5831" s="20" t="s">
        <v>1296</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2679</v>
      </c>
    </row>
    <row r="5833" spans="1:12">
      <c r="A5833" s="20" t="s">
        <v>93</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1657</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2680</v>
      </c>
      <c r="B5835" s="27" t="s">
        <v>1079</v>
      </c>
      <c r="C5835" s="27" t="s">
        <v>1119</v>
      </c>
      <c r="D5835" s="27" t="s">
        <v>1075</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2681</v>
      </c>
      <c r="B5836" s="27" t="s">
        <v>1107</v>
      </c>
      <c r="C5836" s="27" t="s">
        <v>1080</v>
      </c>
      <c r="D5836" s="27" t="s">
        <v>1075</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1570</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1077</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1563</v>
      </c>
      <c r="B5839" s="27" t="s">
        <v>1152</v>
      </c>
      <c r="C5839" s="27" t="s">
        <v>1119</v>
      </c>
      <c r="D5839" s="27" t="s">
        <v>1075</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1883</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2682</v>
      </c>
      <c r="B5841" s="27" t="s">
        <v>1152</v>
      </c>
      <c r="C5841" s="27" t="s">
        <v>1080</v>
      </c>
      <c r="D5841" s="27" t="s">
        <v>1075</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1102</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row>
    <row r="5844" spans="1:12">
      <c r="A5844" s="20" t="s">
        <v>1296</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2683</v>
      </c>
    </row>
    <row r="5846" spans="1:12">
      <c r="A5846" s="20" t="s">
        <v>93</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2684</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1092</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2685</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1100</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68</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1239</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1111</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1255</v>
      </c>
      <c r="B5854" s="27" t="s">
        <v>1303</v>
      </c>
      <c r="C5854" s="27" t="s">
        <v>1169</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1092</v>
      </c>
      <c r="B5855" s="27" t="s">
        <v>1256</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1915</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1102</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93</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2686</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1100</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2320</v>
      </c>
      <c r="B5861" s="27" t="s">
        <v>1212</v>
      </c>
      <c r="C5861" s="27" t="s">
        <v>1119</v>
      </c>
      <c r="D5861" s="27" t="s">
        <v>1075</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1176</v>
      </c>
      <c r="B5862" s="27" t="s">
        <v>1293</v>
      </c>
      <c r="C5862" s="27" t="s">
        <v>1080</v>
      </c>
      <c r="D5862" s="27" t="s">
        <v>1075</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1261</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2687</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1129</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1527</v>
      </c>
      <c r="B5866" s="27" t="s">
        <v>1424</v>
      </c>
      <c r="C5866" s="27" t="s">
        <v>1115</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1087</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1267</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1616</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2688</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1210</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1129</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1527</v>
      </c>
      <c r="B5873" s="27" t="s">
        <v>1214</v>
      </c>
      <c r="C5873" s="27" t="s">
        <v>1115</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1081</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1091</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1713</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536</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1100</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1527</v>
      </c>
      <c r="B5879" s="27" t="s">
        <v>1420</v>
      </c>
      <c r="C5879" s="27" t="s">
        <v>1080</v>
      </c>
      <c r="D5879" s="27" t="s">
        <v>1075</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1076</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2532</v>
      </c>
      <c r="B5881" s="27" t="s">
        <v>1564</v>
      </c>
      <c r="C5881" s="27" t="s">
        <v>1127</v>
      </c>
      <c r="D5881" s="27" t="s">
        <v>1075</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1494</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1817</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2689</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1102</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row>
    <row r="5887" spans="1:12">
      <c r="A5887" s="20" t="s">
        <v>2690</v>
      </c>
    </row>
    <row r="5888" spans="1:12">
      <c r="A5888" s="20" t="s">
        <v>1222</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1485</v>
      </c>
      <c r="B5889" s="27" t="s">
        <v>1107</v>
      </c>
      <c r="C5889" s="27" t="s">
        <v>1080</v>
      </c>
      <c r="D5889" s="27" t="s">
        <v>1075</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1261</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1192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2009</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1138</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2691</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1345</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2692</v>
      </c>
      <c r="B5896" s="27" t="s">
        <v>1126</v>
      </c>
      <c r="C5896" s="27" t="s">
        <v>1084</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1081</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1138</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2693</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1092</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1100</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2320</v>
      </c>
      <c r="B5902" s="27" t="s">
        <v>1121</v>
      </c>
      <c r="C5902" s="27" t="s">
        <v>1119</v>
      </c>
      <c r="D5902" s="27" t="s">
        <v>1075</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1176</v>
      </c>
      <c r="B5903" s="27" t="s">
        <v>1226</v>
      </c>
      <c r="C5903" s="27" t="s">
        <v>1080</v>
      </c>
      <c r="D5903" s="27" t="s">
        <v>1075</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1948</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2654</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1573</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2694</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1102</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row>
    <row r="5910" spans="1:12">
      <c r="A5910" s="20" t="s">
        <v>2695</v>
      </c>
    </row>
    <row r="5911" spans="1:12">
      <c r="A5911" s="20" t="s">
        <v>1407</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1138</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737</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1415</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2692</v>
      </c>
      <c r="B5915" s="27" t="s">
        <v>1073</v>
      </c>
      <c r="C5915" s="27" t="s">
        <v>1195</v>
      </c>
      <c r="D5915" s="27" t="s">
        <v>1075</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1081</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1087</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1105</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1754</v>
      </c>
      <c r="B5919" s="27" t="s">
        <v>1113</v>
      </c>
      <c r="C5919" s="27" t="s">
        <v>1127</v>
      </c>
      <c r="D5919" s="27" t="s">
        <v>1075</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2358</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1087</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212</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1295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row>
    <row r="5925" spans="1:12">
      <c r="A5925" s="20" t="s">
        <v>1296</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2696</v>
      </c>
    </row>
    <row r="5927" spans="1:12">
      <c r="A5927" s="20" t="s">
        <v>93</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1533</v>
      </c>
      <c r="B5928" s="27" t="s">
        <v>1107</v>
      </c>
      <c r="C5928" s="27" t="s">
        <v>1204</v>
      </c>
      <c r="D5928" s="27" t="s">
        <v>1075</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2697</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101</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1071</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2698</v>
      </c>
      <c r="B5932" s="27" t="s">
        <v>1152</v>
      </c>
      <c r="C5932" s="27" t="s">
        <v>1115</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1087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1243</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2103</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2699</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1514</v>
      </c>
      <c r="B5937" s="27" t="s">
        <v>1126</v>
      </c>
      <c r="C5937" s="27" t="s">
        <v>1250</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1135</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1344</v>
      </c>
      <c r="B5939" s="27" t="s">
        <v>1079</v>
      </c>
      <c r="C5939" s="27" t="s">
        <v>1204</v>
      </c>
      <c r="D5939" s="27" t="s">
        <v>1075</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1102</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93</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row>
    <row r="5943" spans="1:12">
      <c r="A5943" s="20" t="s">
        <v>2700</v>
      </c>
    </row>
    <row r="5944" spans="1:12">
      <c r="A5944" s="20" t="s">
        <v>1502</v>
      </c>
      <c r="B5944" s="27" t="s">
        <v>1113</v>
      </c>
      <c r="C5944" s="27" t="s">
        <v>1127</v>
      </c>
      <c r="D5944" s="27" t="s">
        <v>1075</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2685</v>
      </c>
      <c r="B5945" s="27" t="s">
        <v>1083</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1135</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1100</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1132</v>
      </c>
      <c r="B5948" s="27" t="s">
        <v>1090</v>
      </c>
      <c r="C5948" s="27" t="s">
        <v>1119</v>
      </c>
      <c r="D5948" s="27" t="s">
        <v>1075</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1176</v>
      </c>
      <c r="B5949" s="27" t="s">
        <v>1303</v>
      </c>
      <c r="C5949" s="27" t="s">
        <v>1080</v>
      </c>
      <c r="D5949" s="27" t="s">
        <v>1075</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2701</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1345</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1616</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101</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1129</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2702</v>
      </c>
      <c r="B5955" s="27" t="s">
        <v>1152</v>
      </c>
      <c r="C5955" s="27" t="s">
        <v>1115</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1087</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1499</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1616</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101</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1494</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2703</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1138</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1077</v>
      </c>
      <c r="B5963" s="27" t="s">
        <v>1118</v>
      </c>
      <c r="C5963" s="27" t="s">
        <v>1204</v>
      </c>
      <c r="D5963" s="27" t="s">
        <v>1075</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1092</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2704</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1087</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1081</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1557</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1092</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1489</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1673</v>
      </c>
      <c r="B5971" s="27" t="s">
        <v>1205</v>
      </c>
      <c r="C5971" s="27" t="s">
        <v>1195</v>
      </c>
      <c r="D5971" s="27" t="s">
        <v>1075</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1258</v>
      </c>
      <c r="B5972" s="27" t="s">
        <v>1293</v>
      </c>
      <c r="C5972" s="27" t="s">
        <v>1127</v>
      </c>
      <c r="D5972" s="27" t="s">
        <v>1075</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2705</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2509</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2706</v>
      </c>
      <c r="B5975" s="27" t="s">
        <v>1424</v>
      </c>
      <c r="C5975" s="27" t="s">
        <v>1074</v>
      </c>
      <c r="D5975" s="27" t="s">
        <v>1075</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2707</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1138</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1129</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1354</v>
      </c>
      <c r="B5979" s="27" t="s">
        <v>1214</v>
      </c>
      <c r="C5979" s="27" t="s">
        <v>1115</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1494</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2708</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1081</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1494</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2709</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1102</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row>
    <row r="5987" spans="1:12">
      <c r="A5987" s="20" t="s">
        <v>2710</v>
      </c>
    </row>
    <row r="5988" spans="1:12">
      <c r="A5988" s="20" t="s">
        <v>11</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1265</v>
      </c>
      <c r="B5989" s="27" t="s">
        <v>1107</v>
      </c>
      <c r="C5989" s="27" t="s">
        <v>1074</v>
      </c>
      <c r="D5989" s="27" t="s">
        <v>1075</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t="s">
        <v>1138</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1100</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1176</v>
      </c>
      <c r="B5992" s="27" t="s">
        <v>1079</v>
      </c>
      <c r="C5992" s="27" t="s">
        <v>1080</v>
      </c>
      <c r="D5992" s="27" t="s">
        <v>1075</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1261</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1192</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1266</v>
      </c>
      <c r="B5995" s="27" t="s">
        <v>1152</v>
      </c>
      <c r="C5995" s="27" t="s">
        <v>1084</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1087</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1267</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1268</v>
      </c>
      <c r="B5998" s="27" t="s">
        <v>1152</v>
      </c>
      <c r="C5998" s="27" t="s">
        <v>1084</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1102</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row>
    <row r="6001" spans="1:12">
      <c r="A6001" s="20" t="s">
        <v>2711</v>
      </c>
    </row>
    <row r="6002" spans="1:12">
      <c r="A6002" s="20" t="s">
        <v>2712</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1076</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1427</v>
      </c>
      <c r="B6004" s="27" t="s">
        <v>1079</v>
      </c>
      <c r="C6004" s="27" t="s">
        <v>1084</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1087</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1100</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1132</v>
      </c>
      <c r="B6007" s="27" t="s">
        <v>1079</v>
      </c>
      <c r="C6007" s="27" t="s">
        <v>1119</v>
      </c>
      <c r="D6007" s="27" t="s">
        <v>1075</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1510</v>
      </c>
      <c r="B6008" s="27" t="s">
        <v>1107</v>
      </c>
      <c r="C6008" s="27" t="s">
        <v>1080</v>
      </c>
      <c r="D6008" s="27" t="s">
        <v>1075</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1192</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2713</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1087</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1713</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1076</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1096</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1719</v>
      </c>
      <c r="B6015" s="27" t="s">
        <v>1152</v>
      </c>
      <c r="C6015" s="27" t="s">
        <v>1080</v>
      </c>
      <c r="D6015" s="27" t="s">
        <v>1075</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1076</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1092</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2080</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1660</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1102</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row>
    <row r="6022" spans="1:12">
      <c r="A6022" s="20" t="s">
        <v>2714</v>
      </c>
    </row>
    <row r="6023" spans="1:12">
      <c r="A6023" s="20" t="s">
        <v>1070</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1272</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1072</v>
      </c>
      <c r="B6025" s="27" t="s">
        <v>1073</v>
      </c>
      <c r="C6025" s="27" t="s">
        <v>1195</v>
      </c>
      <c r="D6025" s="27" t="s">
        <v>1075</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1076</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1077</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1117</v>
      </c>
      <c r="B6028" s="27" t="s">
        <v>1079</v>
      </c>
      <c r="C6028" s="27" t="s">
        <v>1119</v>
      </c>
      <c r="D6028" s="27" t="s">
        <v>1075</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1078</v>
      </c>
      <c r="B6029" s="27" t="s">
        <v>1152</v>
      </c>
      <c r="C6029" s="27" t="s">
        <v>1080</v>
      </c>
      <c r="D6029" s="27" t="s">
        <v>1075</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1087</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1081</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1092</v>
      </c>
      <c r="B6032" s="27" t="s">
        <v>1083</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1435</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1669</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1138</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1077</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2715</v>
      </c>
      <c r="B6037" s="27" t="s">
        <v>1148</v>
      </c>
      <c r="C6037" s="27" t="s">
        <v>1080</v>
      </c>
      <c r="D6037" s="27" t="s">
        <v>1075</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1076</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1100</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2716</v>
      </c>
      <c r="B6040" s="27" t="s">
        <v>1079</v>
      </c>
      <c r="C6040" s="27" t="s">
        <v>1074</v>
      </c>
      <c r="D6040" s="27" t="s">
        <v>1075</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1138</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1077</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1166</v>
      </c>
      <c r="B6043" s="27" t="s">
        <v>1148</v>
      </c>
      <c r="C6043" s="27" t="s">
        <v>1080</v>
      </c>
      <c r="D6043" s="27" t="s">
        <v>1075</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1102</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row>
    <row r="6046" spans="1:12">
      <c r="A6046" s="20" t="s">
        <v>2717</v>
      </c>
    </row>
    <row r="6047" spans="1:12">
      <c r="A6047" s="20" t="s">
        <v>1837</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1560</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1138</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1199</v>
      </c>
      <c r="B6050" s="27" t="s">
        <v>1079</v>
      </c>
      <c r="C6050" s="27" t="s">
        <v>1127</v>
      </c>
      <c r="D6050" s="27" t="s">
        <v>1075</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1129</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1476</v>
      </c>
      <c r="B6052" s="27" t="s">
        <v>1073</v>
      </c>
      <c r="C6052" s="27" t="s">
        <v>1115</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1100</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1092</v>
      </c>
      <c r="B6054" s="27" t="s">
        <v>1113</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2718</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1133</v>
      </c>
      <c r="B6056" s="27" t="s">
        <v>1303</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1092</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1971</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1308</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2719</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1091</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1415</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1427</v>
      </c>
      <c r="B6063" s="27" t="s">
        <v>1090</v>
      </c>
      <c r="C6063" s="27" t="s">
        <v>1195</v>
      </c>
      <c r="D6063" s="27" t="s">
        <v>1075</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1588</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88</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1234</v>
      </c>
      <c r="B6066" s="27" t="s">
        <v>1259</v>
      </c>
      <c r="C6066" s="27" t="s">
        <v>1169</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1087</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1105</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1077</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2698</v>
      </c>
      <c r="B6070" s="27" t="s">
        <v>1226</v>
      </c>
      <c r="C6070" s="27" t="s">
        <v>1080</v>
      </c>
      <c r="D6070" s="27" t="s">
        <v>1075</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2720</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556</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1258</v>
      </c>
      <c r="B6073" s="27" t="s">
        <v>1259</v>
      </c>
      <c r="C6073" s="27" t="s">
        <v>1127</v>
      </c>
      <c r="D6073" s="27" t="s">
        <v>1075</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1129</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2721</v>
      </c>
      <c r="B6075" s="27" t="s">
        <v>1259</v>
      </c>
      <c r="C6075" s="27" t="s">
        <v>1115</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2722</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1102</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row>
    <row r="6079" spans="1:12">
      <c r="A6079" s="20" t="s">
        <v>2723</v>
      </c>
    </row>
    <row r="6080" spans="1:12">
      <c r="A6080" s="20" t="s">
        <v>2194</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1092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1087</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2278</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1138</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2724</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60</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2649</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1373</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1081</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1138</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2724</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897</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1100</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187</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1373</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2644</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t="s">
        <v>1087</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2725</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1129</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1354</v>
      </c>
      <c r="B6100" s="27" t="s">
        <v>1134</v>
      </c>
      <c r="C6100" s="27" t="s">
        <v>1115</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1138</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2726</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1138</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1100</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1132</v>
      </c>
      <c r="B6105" s="27" t="s">
        <v>1212</v>
      </c>
      <c r="C6105" s="27" t="s">
        <v>1119</v>
      </c>
      <c r="D6105" s="27" t="s">
        <v>1075</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1176</v>
      </c>
      <c r="B6106" s="27" t="s">
        <v>1293</v>
      </c>
      <c r="C6106" s="27" t="s">
        <v>1080</v>
      </c>
      <c r="D6106" s="27" t="s">
        <v>1075</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1102</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row>
    <row r="6109" spans="1:12">
      <c r="A6109" s="20" t="s">
        <v>2727</v>
      </c>
    </row>
    <row r="6110" spans="1:12">
      <c r="A6110" s="20" t="s">
        <v>2728</v>
      </c>
      <c r="B6110" s="27" t="s">
        <v>1152</v>
      </c>
      <c r="C6110" s="27" t="s">
        <v>1074</v>
      </c>
      <c r="D6110" s="27" t="s">
        <v>1075</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1138</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1754</v>
      </c>
      <c r="B6112" s="27" t="s">
        <v>1152</v>
      </c>
      <c r="C6112" s="27" t="s">
        <v>1127</v>
      </c>
      <c r="D6112" s="27" t="s">
        <v>1075</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1434</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1258</v>
      </c>
      <c r="B6114" s="27" t="s">
        <v>1126</v>
      </c>
      <c r="C6114" s="27" t="s">
        <v>1127</v>
      </c>
      <c r="D6114" s="27" t="s">
        <v>1075</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2729</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1100</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2691</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1081</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1100</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2730</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1258</v>
      </c>
      <c r="B6121" s="27" t="s">
        <v>1303</v>
      </c>
      <c r="C6121" s="27" t="s">
        <v>1127</v>
      </c>
      <c r="D6121" s="27" t="s">
        <v>1075</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1100</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1100</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2731</v>
      </c>
      <c r="B6124" s="27" t="s">
        <v>1148</v>
      </c>
      <c r="C6124" s="27" t="s">
        <v>1080</v>
      </c>
      <c r="D6124" s="27" t="s">
        <v>1075</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1102</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row>
    <row r="6127" spans="1:12">
      <c r="A6127" s="20" t="s">
        <v>2732</v>
      </c>
    </row>
    <row r="6128" spans="1:12">
      <c r="A6128" s="20" t="s">
        <v>2728</v>
      </c>
      <c r="B6128" s="27" t="s">
        <v>1152</v>
      </c>
      <c r="C6128" s="27" t="s">
        <v>1074</v>
      </c>
      <c r="D6128" s="27" t="s">
        <v>1075</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1138</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1754</v>
      </c>
      <c r="B6130" s="27" t="s">
        <v>1152</v>
      </c>
      <c r="C6130" s="27" t="s">
        <v>1127</v>
      </c>
      <c r="D6130" s="27" t="s">
        <v>1075</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1434</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1087</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1076</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1167</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1427</v>
      </c>
      <c r="B6135" s="27" t="s">
        <v>1079</v>
      </c>
      <c r="C6135" s="27" t="s">
        <v>1169</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1087</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2733</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t="s">
        <v>1087</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1100</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1111</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1787</v>
      </c>
      <c r="B6141" s="27" t="s">
        <v>1079</v>
      </c>
      <c r="C6141" s="27" t="s">
        <v>1080</v>
      </c>
      <c r="D6141" s="27" t="s">
        <v>1075</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1087</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2734</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1087</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1423</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1787</v>
      </c>
      <c r="B6146" s="27" t="s">
        <v>1152</v>
      </c>
      <c r="C6146" s="27" t="s">
        <v>1074</v>
      </c>
      <c r="D6146" s="27" t="s">
        <v>1075</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2505</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t="s">
        <v>1100</v>
      </c>
      <c r="E6148" s="21">
        <f>IF(D6148="?OLD","!!!","")</f>
        <v/>
      </c>
      <c r="F6148" s="22" t="str">
        <f>IF(OR(E6148="",E6148="!!!"),"",IF(NOT(ISNA(VLOOKUP(E6148,E$1:E6147,1,FALSE()))),"OLD",IF(AND(E6148&lt;&gt;"",E6148&lt;&gt;"!!!"),"NEW","")))</f>
        <v> </v>
      </c>
      <c r="G6148" s="23" t="str">
        <f>IF(OR(E6148="",E6148="!!!"),"",IF(OR(J6148=0,AND(J6148=1,K6148=1),AND(J6148=1,I6148="SBJ"),AND(J6148=1,I6148=0)),"?IN_FOCUS",IF(J6148&lt;=2,"?ACTIVATED",IF(J6148&lt;&gt;"","?FAMILIAR",IF(F6148="NEW",IF(ISNA(VLOOKUP(E6148,#REF!,1,FALSE())),"?TYPE_IDENTIFIABLE","?REFERENTIAL"),"_")))))</f>
        <v> </v>
      </c>
      <c r="H6148" s="24" t="str">
        <f>IF(J6148&lt;&gt;1,"",IF(I6148="SBJ","CB","?"))</f>
        <v> </v>
      </c>
      <c r="I6148" s="25" t="str">
        <f>IF(OR(E6148="",E6148="!!!",F6148="NEW"),"",INDEX(B6147:B$2,-1+SUMPRODUCT(MAX(ROW(E6147:E$2)*(E6148=E6147:E$2)))))</f>
        <v> </v>
      </c>
      <c r="J6148" s="25" t="str">
        <f>IF(OR(E6148="",E6148="!!!",F6148="NEW"),"",COUNTBLANK(OFFSET(A$1,,,SUMPRODUCT(MAX(ROW(E$2:E6148)*(E6148=E$2:E6148)))))-COUNTBLANK(OFFSET(A$1,,,SUMPRODUCT(MAX(ROW(E$1:E6147)*(E2=E$1:E6147))))))</f>
        <v> </v>
      </c>
      <c r="K6148" s="25" t="str">
        <f>IF(OR(E6148="",E6148="!!!",F6148="NEW"),"",INDEX(J$1:J6147,SUMPRODUCT(MAX(ROW(E$1:E6147)*(E6148=E$1:E6147)))))</f>
        <v> </v>
      </c>
      <c r="L6148" s="26"/>
    </row>
    <row r="6149" spans="1:12">
      <c r="A6149" s="20" t="s">
        <v>1163</v>
      </c>
      <c r="B6149" s="27" t="s">
        <v>1079</v>
      </c>
      <c r="C6149" s="27" t="s">
        <v>1074</v>
      </c>
      <c r="D6149" s="27" t="s">
        <v>1075</v>
      </c>
      <c r="E6149" s="21">
        <f>IF(D6149="?OLD","!!!","")</f>
        <v/>
      </c>
      <c r="F6149" s="22" t="str">
        <f>IF(OR(E6149="",E6149="!!!"),"",IF(NOT(ISNA(VLOOKUP(E6149,E$1:E6148,1,FALSE()))),"OLD",IF(AND(E6149&lt;&gt;"",E6149&lt;&gt;"!!!"),"NEW","")))</f>
        <v> </v>
      </c>
      <c r="G6149" s="23" t="str">
        <f>IF(OR(E6149="",E6149="!!!"),"",IF(OR(J6149=0,AND(J6149=1,K6149=1),AND(J6149=1,I6149="SBJ"),AND(J6149=1,I6149=0)),"?IN_FOCUS",IF(J6149&lt;=2,"?ACTIVATED",IF(J6149&lt;&gt;"","?FAMILIAR",IF(F6149="NEW",IF(ISNA(VLOOKUP(E6149,#REF!,1,FALSE())),"?TYPE_IDENTIFIABLE","?REFERENTIAL"),"_")))))</f>
        <v> </v>
      </c>
      <c r="H6149" s="24" t="str">
        <f>IF(J6149&lt;&gt;1,"",IF(I6149="SBJ","CB","?"))</f>
        <v> </v>
      </c>
      <c r="I6149" s="25" t="str">
        <f>IF(OR(E6149="",E6149="!!!",F6149="NEW"),"",INDEX(B6148:B$2,-1+SUMPRODUCT(MAX(ROW(E6148:E$2)*(E6149=E6148:E$2)))))</f>
        <v> </v>
      </c>
      <c r="J6149" s="25" t="str">
        <f>IF(OR(E6149="",E6149="!!!",F6149="NEW"),"",COUNTBLANK(OFFSET(A$1,,,SUMPRODUCT(MAX(ROW(E$2:E6149)*(E6149=E$2:E6149)))))-COUNTBLANK(OFFSET(A$1,,,SUMPRODUCT(MAX(ROW(E$1:E6148)*(E2=E$1:E6148))))))</f>
        <v> </v>
      </c>
      <c r="K6149" s="25" t="str">
        <f>IF(OR(E6149="",E6149="!!!",F6149="NEW"),"",INDEX(J$1:J6148,SUMPRODUCT(MAX(ROW(E$1:E6148)*(E6149=E$1:E6148)))))</f>
        <v> </v>
      </c>
      <c r="L6149" s="26"/>
    </row>
    <row r="6150" spans="1:12">
      <c r="A6150" s="20" t="s">
        <v>1138</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1077</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1273</v>
      </c>
      <c r="B6152" s="27" t="s">
        <v>1148</v>
      </c>
      <c r="C6152" s="27" t="s">
        <v>1080</v>
      </c>
      <c r="D6152" s="27" t="s">
        <v>1075</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1087</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2735</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1111</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t="s">
        <v>2736</v>
      </c>
      <c r="B6156" s="27" t="s">
        <v>1148</v>
      </c>
      <c r="C6156" s="27" t="s">
        <v>1080</v>
      </c>
      <c r="D6156" s="27" t="s">
        <v>1075</v>
      </c>
      <c r="E6156" s="21">
        <f>IF(D6156="?OLD","!!!","")</f>
        <v/>
      </c>
      <c r="F6156" s="22" t="str">
        <f>IF(OR(E6156="",E6156="!!!"),"",IF(NOT(ISNA(VLOOKUP(E6156,E$1:E6155,1,FALSE()))),"OLD",IF(AND(E6156&lt;&gt;"",E6156&lt;&gt;"!!!"),"NEW","")))</f>
        <v> </v>
      </c>
      <c r="G6156" s="23" t="str">
        <f>IF(OR(E6156="",E6156="!!!"),"",IF(OR(J6156=0,AND(J6156=1,K6156=1),AND(J6156=1,I6156="SBJ"),AND(J6156=1,I6156=0)),"?IN_FOCUS",IF(J6156&lt;=2,"?ACTIVATED",IF(J6156&lt;&gt;"","?FAMILIAR",IF(F6156="NEW",IF(ISNA(VLOOKUP(E6156,#REF!,1,FALSE())),"?TYPE_IDENTIFIABLE","?REFERENTIAL"),"_")))))</f>
        <v> </v>
      </c>
      <c r="H6156" s="24" t="str">
        <f>IF(J6156&lt;&gt;1,"",IF(I6156="SBJ","CB","?"))</f>
        <v> </v>
      </c>
      <c r="I6156" s="25" t="str">
        <f>IF(OR(E6156="",E6156="!!!",F6156="NEW"),"",INDEX(B6155:B$2,-1+SUMPRODUCT(MAX(ROW(E6155:E$2)*(E6156=E6155:E$2)))))</f>
        <v> </v>
      </c>
      <c r="J6156" s="25" t="str">
        <f>IF(OR(E6156="",E6156="!!!",F6156="NEW"),"",COUNTBLANK(OFFSET(A$1,,,SUMPRODUCT(MAX(ROW(E$2:E6156)*(E6156=E$2:E6156)))))-COUNTBLANK(OFFSET(A$1,,,SUMPRODUCT(MAX(ROW(E$1:E6155)*(E2=E$1:E6155))))))</f>
        <v> </v>
      </c>
      <c r="K6156" s="25" t="str">
        <f>IF(OR(E6156="",E6156="!!!",F6156="NEW"),"",INDEX(J$1:J6155,SUMPRODUCT(MAX(ROW(E$1:E6155)*(E6156=E$1:E6155)))))</f>
        <v> </v>
      </c>
      <c r="L6156" s="26"/>
    </row>
    <row r="6157" spans="1:12">
      <c r="A6157" s="20" t="s">
        <v>1210</v>
      </c>
      <c r="E6157" s="21">
        <f>IF(D6157="?OLD","!!!","")</f>
        <v/>
      </c>
      <c r="F6157" s="22" t="str">
        <f>IF(OR(E6157="",E6157="!!!"),"",IF(NOT(ISNA(VLOOKUP(E6157,E$1:E6156,1,FALSE()))),"OLD",IF(AND(E6157&lt;&gt;"",E6157&lt;&gt;"!!!"),"NEW","")))</f>
        <v> </v>
      </c>
      <c r="G6157" s="23" t="str">
        <f>IF(OR(E6157="",E6157="!!!"),"",IF(OR(J6157=0,AND(J6157=1,K6157=1),AND(J6157=1,I6157="SBJ"),AND(J6157=1,I6157=0)),"?IN_FOCUS",IF(J6157&lt;=2,"?ACTIVATED",IF(J6157&lt;&gt;"","?FAMILIAR",IF(F6157="NEW",IF(ISNA(VLOOKUP(E6157,#REF!,1,FALSE())),"?TYPE_IDENTIFIABLE","?REFERENTIAL"),"_")))))</f>
        <v> </v>
      </c>
      <c r="H6157" s="24" t="str">
        <f>IF(J6157&lt;&gt;1,"",IF(I6157="SBJ","CB","?"))</f>
        <v> </v>
      </c>
      <c r="I6157" s="25" t="str">
        <f>IF(OR(E6157="",E6157="!!!",F6157="NEW"),"",INDEX(B6156:B$2,-1+SUMPRODUCT(MAX(ROW(E6156:E$2)*(E6157=E6156:E$2)))))</f>
        <v> </v>
      </c>
      <c r="J6157" s="25" t="str">
        <f>IF(OR(E6157="",E6157="!!!",F6157="NEW"),"",COUNTBLANK(OFFSET(A$1,,,SUMPRODUCT(MAX(ROW(E$2:E6157)*(E6157=E$2:E6157)))))-COUNTBLANK(OFFSET(A$1,,,SUMPRODUCT(MAX(ROW(E$1:E6156)*(E2=E$1:E6156))))))</f>
        <v> </v>
      </c>
      <c r="K6157" s="25" t="str">
        <f>IF(OR(E6157="",E6157="!!!",F6157="NEW"),"",INDEX(J$1:J6156,SUMPRODUCT(MAX(ROW(E$1:E6156)*(E6157=E$1:E6156)))))</f>
        <v> </v>
      </c>
      <c r="L6157" s="26"/>
    </row>
    <row r="6158" spans="1:12">
      <c r="A6158" s="20" t="s">
        <v>389</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1102</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row>
    <row r="6161" spans="1:12">
      <c r="A6161" s="20" t="s">
        <v>2737</v>
      </c>
    </row>
    <row r="6162" spans="1:12">
      <c r="A6162" s="20" t="s">
        <v>2194</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t="s">
        <v>1092</v>
      </c>
      <c r="E6163" s="21">
        <f>IF(D6163="?OLD","!!!","")</f>
        <v/>
      </c>
      <c r="F6163" s="22" t="str">
        <f>IF(OR(E6163="",E6163="!!!"),"",IF(NOT(ISNA(VLOOKUP(E6163,E$1:E6162,1,FALSE()))),"OLD",IF(AND(E6163&lt;&gt;"",E6163&lt;&gt;"!!!"),"NEW","")))</f>
        <v> </v>
      </c>
      <c r="G6163" s="23" t="str">
        <f>IF(OR(E6163="",E6163="!!!"),"",IF(OR(J6163=0,AND(J6163=1,K6163=1),AND(J6163=1,I6163="SBJ"),AND(J6163=1,I6163=0)),"?IN_FOCUS",IF(J6163&lt;=2,"?ACTIVATED",IF(J6163&lt;&gt;"","?FAMILIAR",IF(F6163="NEW",IF(ISNA(VLOOKUP(E6163,#REF!,1,FALSE())),"?TYPE_IDENTIFIABLE","?REFERENTIAL"),"_")))))</f>
        <v> </v>
      </c>
      <c r="H6163" s="24" t="str">
        <f>IF(J6163&lt;&gt;1,"",IF(I6163="SBJ","CB","?"))</f>
        <v> </v>
      </c>
      <c r="I6163" s="25" t="str">
        <f>IF(OR(E6163="",E6163="!!!",F6163="NEW"),"",INDEX(B6162:B$2,-1+SUMPRODUCT(MAX(ROW(E6162:E$2)*(E6163=E6162:E$2)))))</f>
        <v> </v>
      </c>
      <c r="J6163" s="25" t="str">
        <f>IF(OR(E6163="",E6163="!!!",F6163="NEW"),"",COUNTBLANK(OFFSET(A$1,,,SUMPRODUCT(MAX(ROW(E$2:E6163)*(E6163=E$2:E6163)))))-COUNTBLANK(OFFSET(A$1,,,SUMPRODUCT(MAX(ROW(E$1:E6162)*(E2=E$1:E6162))))))</f>
        <v> </v>
      </c>
      <c r="K6163" s="25" t="str">
        <f>IF(OR(E6163="",E6163="!!!",F6163="NEW"),"",INDEX(J$1:J6162,SUMPRODUCT(MAX(ROW(E$1:E6162)*(E6163=E$1:E6162)))))</f>
        <v> </v>
      </c>
      <c r="L6163" s="26"/>
    </row>
    <row r="6164" spans="1:12">
      <c r="A6164" s="20" t="s">
        <v>1344</v>
      </c>
      <c r="B6164" s="27" t="s">
        <v>1083</v>
      </c>
      <c r="C6164" s="27" t="s">
        <v>1204</v>
      </c>
      <c r="D6164" s="27" t="s">
        <v>1075</v>
      </c>
      <c r="E6164" s="21">
        <f>IF(D6164="?OLD","!!!","")</f>
        <v/>
      </c>
      <c r="F6164" s="22" t="str">
        <f>IF(OR(E6164="",E6164="!!!"),"",IF(NOT(ISNA(VLOOKUP(E6164,E$1:E6163,1,FALSE()))),"OLD",IF(AND(E6164&lt;&gt;"",E6164&lt;&gt;"!!!"),"NEW","")))</f>
        <v> </v>
      </c>
      <c r="G6164" s="23" t="str">
        <f>IF(OR(E6164="",E6164="!!!"),"",IF(OR(J6164=0,AND(J6164=1,K6164=1),AND(J6164=1,I6164="SBJ"),AND(J6164=1,I6164=0)),"?IN_FOCUS",IF(J6164&lt;=2,"?ACTIVATED",IF(J6164&lt;&gt;"","?FAMILIAR",IF(F6164="NEW",IF(ISNA(VLOOKUP(E6164,#REF!,1,FALSE())),"?TYPE_IDENTIFIABLE","?REFERENTIAL"),"_")))))</f>
        <v> </v>
      </c>
      <c r="H6164" s="24" t="str">
        <f>IF(J6164&lt;&gt;1,"",IF(I6164="SBJ","CB","?"))</f>
        <v> </v>
      </c>
      <c r="I6164" s="25" t="str">
        <f>IF(OR(E6164="",E6164="!!!",F6164="NEW"),"",INDEX(B6163:B$2,-1+SUMPRODUCT(MAX(ROW(E6163:E$2)*(E6164=E6163:E$2)))))</f>
        <v> </v>
      </c>
      <c r="J6164" s="25" t="str">
        <f>IF(OR(E6164="",E6164="!!!",F6164="NEW"),"",COUNTBLANK(OFFSET(A$1,,,SUMPRODUCT(MAX(ROW(E$2:E6164)*(E6164=E$2:E6164)))))-COUNTBLANK(OFFSET(A$1,,,SUMPRODUCT(MAX(ROW(E$1:E6163)*(E2=E$1:E6163))))))</f>
        <v> </v>
      </c>
      <c r="K6164" s="25" t="str">
        <f>IF(OR(E6164="",E6164="!!!",F6164="NEW"),"",INDEX(J$1:J6163,SUMPRODUCT(MAX(ROW(E$1:E6163)*(E6164=E$1:E6163)))))</f>
        <v> </v>
      </c>
      <c r="L6164" s="26"/>
    </row>
    <row r="6165" spans="1:12">
      <c r="A6165" s="20" t="s">
        <v>1192</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1071</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2738</v>
      </c>
      <c r="B6167" s="27" t="s">
        <v>1152</v>
      </c>
      <c r="C6167" s="27" t="s">
        <v>1115</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2739</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2740</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1102</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row>
    <row r="6172" spans="1:12">
      <c r="A6172" s="20" t="s">
        <v>2741</v>
      </c>
    </row>
    <row r="6173" spans="1:12">
      <c r="A6173" s="20" t="s">
        <v>2742</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1102</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2024-12-05T18:02:19Z</dcterms:created>
  <dcterms:modified xsi:type="dcterms:W3CDTF">2024-12-05T18:02:19Z</dcterms:modified>
</cp:coreProperties>
</file>