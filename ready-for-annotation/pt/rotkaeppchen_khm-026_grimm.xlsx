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<sst xmlns="http://schemas.openxmlformats.org/spreadsheetml/2006/main" count="3331" uniqueCount="913">
  <si>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</si>
  <si>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</si>
  <si>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</si>
  <si>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</si>
  <si>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</si>
  <si>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</si>
  <si>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</si>
  <si>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</si>
  <si>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</si>
  <si>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</si>
  <si>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</si>
  <si>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</si>
  <si>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haver</t>
  </si>
  <si>
    <t>Houve , uma vez uma graciosa menina ; quem a via ficava logo gostando dela de ela , assim como ela gostava de todos ; particularmente , amava a avozinha , que não sabia o que dar e o que fazer pela por a netinha .</t>
  </si>
  <si>
    <t>file://conllu/pt/rotkaeppchen_khm-026_grimm.conllu#s1_0</t>
  </si>
  <si>
    <t>2</t>
  </si>
  <si>
    <t>4</t>
  </si>
  <si>
    <t>presentear</t>
  </si>
  <si>
    <t>Certa vez , presenteou-a presenteou a com um chapeuzinho de veludo vermelho e , porque lhe ficava muito bem , a menina não mais quis usar outro e acabou ficando com o apelido de Chapeuzinho Vermelho .</t>
  </si>
  <si>
    <t>file://conllu/pt/rotkaeppchen_khm-026_grimm.conllu#s2_0</t>
  </si>
  <si>
    <t>3</t>
  </si>
  <si>
    <t>9</t>
  </si>
  <si>
    <t>dizer (dizer chamar)</t>
  </si>
  <si>
    <t>Um dia , a mãe chamou-a chamou a e disse-lhe disse lhe : Vem cá , Chapeuzinho Vermelho ; aqui tens um pedaço de bolo e uma garrafa de vinho ; leva tudo para a vovó ; ela está doente e fraca e com isso se restabelecerá .</t>
  </si>
  <si>
    <t>file://conllu/pt/rotkaeppchen_khm-026_grimm.conllu#s3_0</t>
  </si>
  <si>
    <t>5</t>
  </si>
  <si>
    <t>entrar</t>
  </si>
  <si>
    <t>Quando entrares em seu quarto , não esqueças de dizer &amp;quot; bom-dia , vovó , &amp;quot; ao a o invés de mexericar pelos por os cantos .</t>
  </si>
  <si>
    <t>file://conllu/pt/rotkaeppchen_khm-026_grimm.conllu#s5_0</t>
  </si>
  <si>
    <t>6</t>
  </si>
  <si>
    <t>7</t>
  </si>
  <si>
    <t>dizer</t>
  </si>
  <si>
    <t>Farei tudo direitinho , disse Chapeuzinho Vermelho à a a mãe , e despediu-se despediu se .</t>
  </si>
  <si>
    <t>file://conllu/pt/rotkaeppchen_khm-026_grimm.conllu#s6_0</t>
  </si>
  <si>
    <t>morar</t>
  </si>
  <si>
    <t>A avó morava à a a beira da de a floresta , a uma meia hora mais ou menos de caminho da de a aldeia .</t>
  </si>
  <si>
    <t>file://conllu/pt/rotkaeppchen_khm-026_grimm.conllu#s7_0</t>
  </si>
  <si>
    <t>8</t>
  </si>
  <si>
    <t>25</t>
  </si>
  <si>
    <t>sentir (sentir saber encontrar)</t>
  </si>
  <si>
    <t>Quando Chapeuzinho Vermelho chegou à a a floresta , encontrou o lobo ; não sabendo , porém , que animal perverso era ele , não sentiu medo .</t>
  </si>
  <si>
    <t>file://conllu/pt/rotkaeppchen_khm-026_grimm.conllu#s8_0</t>
  </si>
  <si>
    <t>Bom dia , Chapeuzinho Vermelho , disse o lobo todo dengoso .</t>
  </si>
  <si>
    <t>file://conllu/pt/rotkaeppchen_khm-026_grimm.conllu#s9_0</t>
  </si>
  <si>
    <t>10</t>
  </si>
  <si>
    <t>obrigado</t>
  </si>
  <si>
    <t>Muito obrigada , lobo .</t>
  </si>
  <si>
    <t>file://conllu/pt/rotkaeppchen_khm-026_grimm.conllu#s10_0</t>
  </si>
  <si>
    <t>11</t>
  </si>
  <si>
    <t>val</t>
  </si>
  <si>
    <t>Aonde vais , assim tão cedo , Chapeuzinho Vermelho ?</t>
  </si>
  <si>
    <t>file://conllu/pt/rotkaeppchen_khm-026_grimm.conllu#s11_0</t>
  </si>
  <si>
    <t>12</t>
  </si>
  <si>
    <t>ir</t>
  </si>
  <si>
    <t>Vou à a a casa da de a vovó .</t>
  </si>
  <si>
    <t>file://conllu/pt/rotkaeppchen_khm-026_grimm.conllu#s12_0</t>
  </si>
  <si>
    <t>13</t>
  </si>
  <si>
    <t>levo</t>
  </si>
  <si>
    <t>E que levas aí nesse em esse cestinho ?</t>
  </si>
  <si>
    <t>file://conllu/pt/rotkaeppchen_khm-026_grimm.conllu#s13_0</t>
  </si>
  <si>
    <t>14</t>
  </si>
  <si>
    <t>levar</t>
  </si>
  <si>
    <t>Levo bolo e vinho .</t>
  </si>
  <si>
    <t>file://conllu/pt/rotkaeppchen_khm-026_grimm.conllu#s14_0</t>
  </si>
  <si>
    <t>15</t>
  </si>
  <si>
    <t>Assar</t>
  </si>
  <si>
    <t>Assamos o bolo ontem , assim a vovó , que está adoentada e muito fraca , ficará contente , tendo com que se fortificar .</t>
  </si>
  <si>
    <t>file://conllu/pt/rotkaeppchen_khm-026_grimm.conllu#s15_0</t>
  </si>
  <si>
    <t>16</t>
  </si>
  <si>
    <t>38</t>
  </si>
  <si>
    <t>achar</t>
  </si>
  <si>
    <t>Onde mora tua vovó , Chapeuzinho Vermelho ? Mora a um bom quarto de hora daqui de aqui , na em a floresta , debaixo de três grandes carvalhos ; a casa está cercada de nogueiras , acho que o sabes , disse Chapeuzinho Vermelho .</t>
  </si>
  <si>
    <t>file://conllu/pt/rotkaeppchen_khm-026_grimm.conllu#s16_0</t>
  </si>
  <si>
    <t>17</t>
  </si>
  <si>
    <t>pensar</t>
  </si>
  <si>
    <t>Enquanto isso , o lobo ia pensando : &amp;quot; Esta meninazinha delicada é um quitute delicioso , certamente mais apetitosa que a avó ; devo agir com esperteza para pegar as duas . &amp;quot; Andou um trecho de caminho ao a o lado de Chapeuzinho Vermelho e foi insinuando : Olha , Chapeuzinho Vermelho , que lindas flores !</t>
  </si>
  <si>
    <t>file://conllu/pt/rotkaeppchen_khm-026_grimm.conllu#s17_0</t>
  </si>
  <si>
    <t>18</t>
  </si>
  <si>
    <t>olhar</t>
  </si>
  <si>
    <t>Por quê não olhas ao a o redor de ti ?</t>
  </si>
  <si>
    <t>file://conllu/pt/rotkaeppchen_khm-026_grimm.conllu#s18_0</t>
  </si>
  <si>
    <t>19</t>
  </si>
  <si>
    <t>crer</t>
  </si>
  <si>
    <t>Creio que nem sequer ouves o canto mavioso dos de os pássaros !</t>
  </si>
  <si>
    <t>file://conllu/pt/rotkaeppchen_khm-026_grimm.conllu#s19_0</t>
  </si>
  <si>
    <t>20</t>
  </si>
  <si>
    <t>Andas</t>
  </si>
  <si>
    <t>Andas tão ensimesmada como se fosses para a escola , ao a o passo que é tão divertido tudo aqui na em a floresta !</t>
  </si>
  <si>
    <t>file://conllu/pt/rotkaeppchen_khm-026_grimm.conllu#s20_0</t>
  </si>
  <si>
    <t>21</t>
  </si>
  <si>
    <t>Chapeuzinho</t>
  </si>
  <si>
    <t>file://conllu/pt/rotkaeppchen_khm-026_grimm.conllu#s21_0</t>
  </si>
  <si>
    <t>22</t>
  </si>
  <si>
    <t>erguer</t>
  </si>
  <si>
    <t>Vermelho ergueu os olhos e , quando viu os raios do de o sol dançando por entre as árvores , e à a a sua volta a grande quantidade de lindas flores , pensou : &amp;quot; Se levar para a vovó um buquê viçoso , ela certamente ficará contente ; é tão cedo ainda que chegarei bem a tempo . &amp;quot;</t>
  </si>
  <si>
    <t>file://conllu/pt/rotkaeppchen_khm-026_grimm.conllu#s22_0</t>
  </si>
  <si>
    <t>23</t>
  </si>
  <si>
    <t>sair</t>
  </si>
  <si>
    <t>Saiu da de a estrada e penetrou na em a floresta em busca de flores .</t>
  </si>
  <si>
    <t>file://conllu/pt/rotkaeppchen_khm-026_grimm.conllu#s23_0</t>
  </si>
  <si>
    <t>24</t>
  </si>
  <si>
    <t>Tendo apanhado uma , achava que mais adiante encontraria outra mais bela e , assim , ia avançando e aprofundando-se aprofundando se cada vez mais pela por a floresta a dentro .</t>
  </si>
  <si>
    <t>file://conllu/pt/rotkaeppchen_khm-026_grimm.conllu#s24_0</t>
  </si>
  <si>
    <t>correr</t>
  </si>
  <si>
    <t>Enquanto isso , o lobo foi correndo à a a casa da de a vovó e bateu na em a porta .</t>
  </si>
  <si>
    <t>file://conllu/pt/rotkaeppchen_khm-026_grimm.conllu#s25_0</t>
  </si>
  <si>
    <t>26</t>
  </si>
  <si>
    <t>Quem?</t>
  </si>
  <si>
    <t>perguntar (perguntar bater)</t>
  </si>
  <si>
    <t>Quem está batendo ? perguntou a avó .</t>
  </si>
  <si>
    <t>file://conllu/pt/rotkaeppchen_khm-026_grimm.conllu#s26_0</t>
  </si>
  <si>
    <t>27</t>
  </si>
  <si>
    <t>abrir</t>
  </si>
  <si>
    <t>Sou eu , Chapeuzinho Vermelho , trago vinho e bolo , abre-me abre me .</t>
  </si>
  <si>
    <t>file://conllu/pt/rotkaeppchen_khm-026_grimm.conllu#s27_0</t>
  </si>
  <si>
    <t>28</t>
  </si>
  <si>
    <t>dizer (dizer levantar)</t>
  </si>
  <si>
    <t>Levanta a taramela , disse-lhe disse lhe a avó ; estou muito fraca e não posso levantar-me levantar me da de a cama .</t>
  </si>
  <si>
    <t>file://conllu/pt/rotkaeppchen_khm-026_grimm.conllu#s28_0</t>
  </si>
  <si>
    <t>29</t>
  </si>
  <si>
    <t>levantar</t>
  </si>
  <si>
    <t>lobo levantou a taramela , a porta escancarou-se escancarou se e , sem dizer palavra , precipitou-se precipitou se para a cama da de a avozinha e engoliu-a engoliu a .</t>
  </si>
  <si>
    <t>file://conllu/pt/rotkaeppchen_khm-026_grimm.conllu#s29_0</t>
  </si>
  <si>
    <t>30</t>
  </si>
  <si>
    <t>vestir</t>
  </si>
  <si>
    <t>Depois , vestiu a roupa e a touca dela de ela ; deitou-se deitou se na em a cama e fechou o cortinado .</t>
  </si>
  <si>
    <t>file://conllu/pt/rotkaeppchen_khm-026_grimm.conllu#s30_0</t>
  </si>
  <si>
    <t>31</t>
  </si>
  <si>
    <t>ficar</t>
  </si>
  <si>
    <t>Entretanto , Chapeuzinho Vermelho ficara correndo de um lado para outro a colher flores .</t>
  </si>
  <si>
    <t>file://conllu/pt/rotkaeppchen_khm-026_grimm.conllu#s31_0</t>
  </si>
  <si>
    <t>32</t>
  </si>
  <si>
    <t>lembrar</t>
  </si>
  <si>
    <t>Tendo colhido tantas que quase não podia carregar , lembrou-se lembrou se da de a avó e foi correndo para a casa dela de ela .</t>
  </si>
  <si>
    <t>file://conllu/pt/rotkaeppchen_khm-026_grimm.conllu#s32_0</t>
  </si>
  <si>
    <t>33</t>
  </si>
  <si>
    <t>admirar</t>
  </si>
  <si>
    <t>Lá chegando , admirou-se admirou se de estar a porta escancarada ; entrou e na em a sala teve uma impressão tão esquisita que pensou :</t>
  </si>
  <si>
    <t>file://conllu/pt/rotkaeppchen_khm-026_grimm.conllu#s33_0</t>
  </si>
  <si>
    <t>34</t>
  </si>
  <si>
    <t>ter</t>
  </si>
  <si>
    <t>&amp;quot;Oh , meu Deus , que medo tenho hoje !</t>
  </si>
  <si>
    <t>file://conllu/pt/rotkaeppchen_khm-026_grimm.conllu#s34_0</t>
  </si>
  <si>
    <t>37</t>
  </si>
  <si>
    <t>Oh</t>
  </si>
  <si>
    <t>Oh , vovó , que orelhas tão grandes tens !</t>
  </si>
  <si>
    <t>file://conllu/pt/rotkaeppchen_khm-026_grimm.conllu#s37_0</t>
  </si>
  <si>
    <t>ouvir</t>
  </si>
  <si>
    <t>São para melhor te ouvir .</t>
  </si>
  <si>
    <t>file://conllu/pt/rotkaeppchen_khm-026_grimm.conllu#s38_0</t>
  </si>
  <si>
    <t>39</t>
  </si>
  <si>
    <t>Oh , vovó , que olhos tão grandes tens São para melhor te ver .</t>
  </si>
  <si>
    <t>file://conllu/pt/rotkaeppchen_khm-026_grimm.conllu#s39_0</t>
  </si>
  <si>
    <t>40</t>
  </si>
  <si>
    <t>Oh , vovó , que mãos enormes tens !</t>
  </si>
  <si>
    <t>file://conllu/pt/rotkaeppchen_khm-026_grimm.conllu#s40_0</t>
  </si>
  <si>
    <t>41</t>
  </si>
  <si>
    <t>agarrar</t>
  </si>
  <si>
    <t>São para melhor te agarrar .</t>
  </si>
  <si>
    <t>file://conllu/pt/rotkaeppchen_khm-026_grimm.conllu#s41_0</t>
  </si>
  <si>
    <t>42</t>
  </si>
  <si>
    <t>vovó</t>
  </si>
  <si>
    <t>Mas vovó , que boca medonha tens! É para melhor te devorar .</t>
  </si>
  <si>
    <t>file://conllu/pt/rotkaeppchen_khm-026_grimm.conllu#s42_0</t>
  </si>
  <si>
    <t>43</t>
  </si>
  <si>
    <t>pular</t>
  </si>
  <si>
    <t>Dizendo isso , o lobo pulou da de a cama e engoliu a pobre Chapeuzinho Vermelho .</t>
  </si>
  <si>
    <t>file://conllu/pt/rotkaeppchen_khm-026_grimm.conllu#s43_0</t>
  </si>
  <si>
    <t>44</t>
  </si>
  <si>
    <t>voltar</t>
  </si>
  <si>
    <t>Tendo assim satisfeito o apetite , voltou para a cama , ferrou no em o sono e começou a roncar sonoramente .</t>
  </si>
  <si>
    <t>file://conllu/pt/rotkaeppchen_khm-026_grimm.conllu#s44_0</t>
  </si>
  <si>
    <t>45</t>
  </si>
  <si>
    <t>passar (passar pensar)</t>
  </si>
  <si>
    <t>Justamente , nesse em esse momento , ia passando em frente à a a casa o caçador , que ouvindo aquele ronco , pensou :</t>
  </si>
  <si>
    <t>file://conllu/pt/rotkaeppchen_khm-026_grimm.conllu#s45_0</t>
  </si>
  <si>
    <t>46</t>
  </si>
  <si>
    <t>velho</t>
  </si>
  <si>
    <t>&amp;quot; Como ronca a velha</t>
  </si>
  <si>
    <t>file://conllu/pt/rotkaeppchen_khm-026_grimm.conllu#s46_0</t>
  </si>
  <si>
    <t>47</t>
  </si>
  <si>
    <t>senhora</t>
  </si>
  <si>
    <t>Senhora !</t>
  </si>
  <si>
    <t>file://conllu/pt/rotkaeppchen_khm-026_grimm.conllu#s47_0</t>
  </si>
  <si>
    <t>48</t>
  </si>
  <si>
    <t>ver (ver dizer)</t>
  </si>
  <si>
    <t>É melhor dar uma olhadela a ver se está se sentindo mal . &amp;quot; Entrou no em o quarto e aproximou-se aproximou se da de a cama ; ao a o ver o lobo , disse : Eis-te Eis te aqui , velho impenitente !</t>
  </si>
  <si>
    <t>file://conllu/pt/rotkaeppchen_khm-026_grimm.conllu#s48_0</t>
  </si>
  <si>
    <t>49</t>
  </si>
  <si>
    <t>venho</t>
  </si>
  <si>
    <t>Há muito tempo , venho-te venho te procurando !</t>
  </si>
  <si>
    <t>file://conllu/pt/rotkaeppchen_khm-026_grimm.conllu#s49_0</t>
  </si>
  <si>
    <t>50</t>
  </si>
  <si>
    <t>lembrar (lembrar dar querer)</t>
  </si>
  <si>
    <t>Quis dar-lhe dar lhe um tiro , mas lembrou-se lembrou se de que o lobo poderia ter comido a avó e que talvez ainda fosse possível salvá-la salvá la ; então pegou uma tesoura e pôs-se pôs se a cortar lhe a barriga , cuidadosamente , enquanto ele dormia .</t>
  </si>
  <si>
    <t>file://conllu/pt/rotkaeppchen_khm-026_grimm.conllu#s50_0</t>
  </si>
  <si>
    <t>51</t>
  </si>
  <si>
    <t>vir</t>
  </si>
  <si>
    <t>Após o segundo corte , viu brilhar o chapeuzinho vermelho e , após mais outros cortes , a menina pulou para fora , gritando :</t>
  </si>
  <si>
    <t>file://conllu/pt/rotkaeppchen_khm-026_grimm.conllu#s51_0</t>
  </si>
  <si>
    <t>52</t>
  </si>
  <si>
    <t>ai</t>
  </si>
  <si>
    <t>Ai que medo eu tive !</t>
  </si>
  <si>
    <t>file://conllu/pt/rotkaeppchen_khm-026_grimm.conllu#s52_0</t>
  </si>
  <si>
    <t>53</t>
  </si>
  <si>
    <t>estar (estar escuro)</t>
  </si>
  <si>
    <t>Como estava escuro na em a barriga do de o lobo !</t>
  </si>
  <si>
    <t>file://conllu/pt/rotkaeppchen_khm-026_grimm.conllu#s53_0</t>
  </si>
  <si>
    <t>54</t>
  </si>
  <si>
    <t>Em seguida , saiu também a vovó , ainda com vida , embora respirando com dificuldade .</t>
  </si>
  <si>
    <t>file://conllu/pt/rotkaeppchen_khm-026_grimm.conllu#s54_0</t>
  </si>
  <si>
    <t>55</t>
  </si>
  <si>
    <t>E Chapeuzinho Vermelho correu a buscar grandes pedras e com elas encheram a barriga do de o lobo .</t>
  </si>
  <si>
    <t>file://conllu/pt/rotkaeppchen_khm-026_grimm.conllu#s55_0</t>
  </si>
  <si>
    <t>56</t>
  </si>
  <si>
    <t>pesar</t>
  </si>
  <si>
    <t>Quando este acordou e tentou fugir , as pedras pesavam tanto que deu um trambolhão e morreu .</t>
  </si>
  <si>
    <t>file://conllu/pt/rotkaeppchen_khm-026_grimm.conllu#s56_0</t>
  </si>
  <si>
    <t>57</t>
  </si>
  <si>
    <t>alegrarar</t>
  </si>
  <si>
    <t>Os três alegraram-se alegraram se , imensamente , com isso .</t>
  </si>
  <si>
    <t>file://conllu/pt/rotkaeppchen_khm-026_grimm.conllu#s57_0</t>
  </si>
  <si>
    <t>58</t>
  </si>
  <si>
    <t>esfolar</t>
  </si>
  <si>
    <t>caçador esfolou o lobo e levou a pele para casa ; a vovó comeu o bolo e bebeu o vinho trazidos por Chapeuzinho Vermelho e logo sentiu-se sentiu se completamente reanimada ; enquanto isso , Chapeuzinho Vermelho dizia de si para si :</t>
  </si>
  <si>
    <t>file://conllu/pt/rotkaeppchen_khm-026_grimm.conllu#s58_0</t>
  </si>
  <si>
    <t>59</t>
  </si>
  <si>
    <t>sairás</t>
  </si>
  <si>
    <t>&amp;quot; Nunca mais sairás da de a estrada para correr pela por a floresta , quando a mamãe to proibir ! &amp;quot;</t>
  </si>
  <si>
    <t>file://conllu/pt/rotkaeppchen_khm-026_grimm.conllu#s59_0</t>
  </si>
  <si>
    <t>60</t>
  </si>
  <si>
    <t>--------------------------------------------------------------------</t>
  </si>
  <si>
    <t>file://conllu/pt/rotkaeppchen_khm-026_grimm.conllu#s60_0</t>
  </si>
  <si>
    <t>61</t>
  </si>
  <si>
    <t>tentar (tentar contar)</t>
  </si>
  <si>
    <t>Contam mais , que , certa vez , Chapeuzinho Vermelho ia levando novamente um bolo para a vovozinha e outro lobo , surgindo à a a sua frente , tentou induzi-la induzi la a desviar-se desviar se do de o caminho .</t>
  </si>
  <si>
    <t>file://conllu/pt/rotkaeppchen_khm-026_grimm.conllu#s61_0</t>
  </si>
  <si>
    <t>62</t>
  </si>
  <si>
    <t>file://conllu/pt/rotkaeppchen_khm-026_grimm.conllu#s62_0</t>
  </si>
  <si>
    <t>63</t>
  </si>
  <si>
    <t>dar</t>
  </si>
  <si>
    <t>Vermelho , porém , não lhe deu ouvidos e seguiu o caminho bem direitinho , contando à a a avó que tinha encontrado o lobo , que este a cumprimentara , olhando-a olhando a com maus olhos .</t>
  </si>
  <si>
    <t>file://conllu/pt/rotkaeppchen_khm-026_grimm.conllu#s63_0</t>
  </si>
  <si>
    <t>64</t>
  </si>
  <si>
    <t>devorar</t>
  </si>
  <si>
    <t>Se não estivéssemos na em a estrada pública , certamente me teria devorado !</t>
  </si>
  <si>
    <t>file://conllu/pt/rotkaeppchen_khm-026_grimm.conllu#s64_0</t>
  </si>
  <si>
    <t>65</t>
  </si>
  <si>
    <t>fechar (fechar dizer)</t>
  </si>
  <si>
    <t>Entra depressa , disse a vovó ; fechemos bem a porta para que ele não entre aqui !</t>
  </si>
  <si>
    <t>file://conllu/pt/rotkaeppchen_khm-026_grimm.conllu#s65_0</t>
  </si>
  <si>
    <t>66</t>
  </si>
  <si>
    <t>dizer (dizer fechar)</t>
  </si>
  <si>
    <t>Com efeito , mal fecharam a porta , o lobo bateu , dizendo : Abre , vovó , sou Chapeuzinho Vermelho ; venho trazer-te trazer te o bolo .</t>
  </si>
  <si>
    <t>file://conllu/pt/rotkaeppchen_khm-026_grimm.conllu#s66_0</t>
  </si>
  <si>
    <t>67</t>
  </si>
  <si>
    <t>Mas as duas ficaram bem quietinhas , sem dizer palavra e não abriram .</t>
  </si>
  <si>
    <t>file://conllu/pt/rotkaeppchen_khm-026_grimm.conllu#s67_0</t>
  </si>
  <si>
    <t>68</t>
  </si>
  <si>
    <t>pôr</t>
  </si>
  <si>
    <t>Então o lobo pôs-se pôs se a girar em torno da de a casa e , por fim , pulou em cima do de o telhado e ficou esperando que Chapeuzinho Vermelho , à a a tarde , retomasse o caminho de volta para sua casa , aí então , ele a seguiria ocultamente para comê-la comê la no em o escuro .</t>
  </si>
  <si>
    <t>file://conllu/pt/rotkaeppchen_khm-026_grimm.conllu#s68_0</t>
  </si>
  <si>
    <t>69</t>
  </si>
  <si>
    <t>perceber</t>
  </si>
  <si>
    <t>A vovó , porém , que estava de atalaia , percebeu o que a fera estava tramando .</t>
  </si>
  <si>
    <t>file://conllu/pt/rotkaeppchen_khm-026_grimm.conllu#s69_0</t>
  </si>
  <si>
    <t>71</t>
  </si>
  <si>
    <t>file://conllu/pt/rotkaeppchen_khm-026_grimm.conllu#s71_0</t>
  </si>
  <si>
    <t>72</t>
  </si>
  <si>
    <t>buscar</t>
  </si>
  <si>
    <t>Vermelho foi buscar a água e encheu a gamela .</t>
  </si>
  <si>
    <t>file://conllu/pt/rotkaeppchen_khm-026_grimm.conllu#s72_0</t>
  </si>
  <si>
    <t>73</t>
  </si>
  <si>
    <t>subir</t>
  </si>
  <si>
    <t>Então o cheiro de salsicha subiu ao a o nariz do de o lobo , que se pôs a farejar e a espiar para baixo de onde provinha .</t>
  </si>
  <si>
    <t>file://conllu/pt/rotkaeppchen_khm-026_grimm.conllu#s73_0</t>
  </si>
  <si>
    <t>74</t>
  </si>
  <si>
    <t>espichar</t>
  </si>
  <si>
    <t>Mas tanto espichou o pescoço que perdeu o equilíbrio e começou a escorregar do de o telhado indo cair exatamente dentro da de a gamela , onde morreu afogado .</t>
  </si>
  <si>
    <t>file://conllu/pt/rotkaeppchen_khm-026_grimm.conllu#s74_0</t>
  </si>
  <si>
    <t>75</t>
  </si>
  <si>
    <t>poder</t>
  </si>
  <si>
    <t>Assim , Chapeuzinho Vermelho pôde voltar felizmente para casa e muito alegre , porque ninguém lhe fez o menor mal .</t>
  </si>
  <si>
    <t>file://conllu/pt/rotkaeppchen_khm-026_grimm.conllu#s75_0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</si>
  <si>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</si>
  <si>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</si>
  <si>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</si>
  <si>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</si>
  <si>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</si>
  <si>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</si>
  <si>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</si>
  <si>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</si>
  <si>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</si>
  <si>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</si>
  <si>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</si>
  <si>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Houve, uma vez uma graciosa menina; quem a via ficava logo gostando dela, assim como ela gostava de todos; particularmente, amava a avozinha, que não sabia o que dar e o que fazer pela netinha.</t>
  </si>
  <si>
    <t>Houve</t>
  </si>
  <si>
    <t>,</t>
  </si>
  <si>
    <t>uma</t>
  </si>
  <si>
    <t>vez</t>
  </si>
  <si>
    <t>other_2</t>
  </si>
  <si>
    <t>indef-np.a</t>
  </si>
  <si>
    <t>graciosa</t>
  </si>
  <si>
    <t>menina</t>
  </si>
  <si>
    <t>OBJ</t>
  </si>
  <si>
    <t>def-np.poss</t>
  </si>
  <si>
    <t>?OLD</t>
  </si>
  <si>
    <t>;</t>
  </si>
  <si>
    <t>quem</t>
  </si>
  <si>
    <t>OBJ_3</t>
  </si>
  <si>
    <t>a</t>
  </si>
  <si>
    <t>via</t>
  </si>
  <si>
    <t>SBJ_3</t>
  </si>
  <si>
    <t>def-np.the</t>
  </si>
  <si>
    <t>ficava</t>
  </si>
  <si>
    <t>logo</t>
  </si>
  <si>
    <t>gostando</t>
  </si>
  <si>
    <t>de</t>
  </si>
  <si>
    <t>ela</t>
  </si>
  <si>
    <t>OBJ_4</t>
  </si>
  <si>
    <t>pron.pper</t>
  </si>
  <si>
    <t>assim</t>
  </si>
  <si>
    <t>como</t>
  </si>
  <si>
    <t>SBJ_4</t>
  </si>
  <si>
    <t>gostava</t>
  </si>
  <si>
    <t>todos</t>
  </si>
  <si>
    <t>pron</t>
  </si>
  <si>
    <t>particularmente</t>
  </si>
  <si>
    <t>amava</t>
  </si>
  <si>
    <t>avozinha</t>
  </si>
  <si>
    <t>que</t>
  </si>
  <si>
    <t>SBJ_6</t>
  </si>
  <si>
    <t>não</t>
  </si>
  <si>
    <t>sabia</t>
  </si>
  <si>
    <t>o</t>
  </si>
  <si>
    <t>OBJ_6</t>
  </si>
  <si>
    <t>pron.pds</t>
  </si>
  <si>
    <t>e</t>
  </si>
  <si>
    <t>OBJ_8</t>
  </si>
  <si>
    <t>OBJ_10</t>
  </si>
  <si>
    <t>fazer</t>
  </si>
  <si>
    <t>por</t>
  </si>
  <si>
    <t>netinha</t>
  </si>
  <si>
    <t>other_10</t>
  </si>
  <si>
    <t>.</t>
  </si>
  <si>
    <t># text = Certa vez, presenteou-a com um chapeuzinho de veludo vermelho e, porque lhe ficava muito bem, a menina não mais quis usar outro e acabou ficando com o apelido de Chapeuzinho Vermelho.</t>
  </si>
  <si>
    <t>Certa</t>
  </si>
  <si>
    <t>SBJ</t>
  </si>
  <si>
    <t>indef-np</t>
  </si>
  <si>
    <t>presenteou</t>
  </si>
  <si>
    <t>com</t>
  </si>
  <si>
    <t>um</t>
  </si>
  <si>
    <t>chapeuzinho</t>
  </si>
  <si>
    <t>other</t>
  </si>
  <si>
    <t>veludo</t>
  </si>
  <si>
    <t>indef-np.bare</t>
  </si>
  <si>
    <t>vermelho</t>
  </si>
  <si>
    <t>porque</t>
  </si>
  <si>
    <t>lhe</t>
  </si>
  <si>
    <t>muito</t>
  </si>
  <si>
    <t>bem</t>
  </si>
  <si>
    <t>SBJ_2</t>
  </si>
  <si>
    <t>mais</t>
  </si>
  <si>
    <t>quis</t>
  </si>
  <si>
    <t>usar</t>
  </si>
  <si>
    <t>outro</t>
  </si>
  <si>
    <t>pron.pind</t>
  </si>
  <si>
    <t>acabou</t>
  </si>
  <si>
    <t>ficando</t>
  </si>
  <si>
    <t>apelido</t>
  </si>
  <si>
    <t>other_3</t>
  </si>
  <si>
    <t>other_4</t>
  </si>
  <si>
    <t>ne</t>
  </si>
  <si>
    <t>Vermelho</t>
  </si>
  <si>
    <t>other_5</t>
  </si>
  <si>
    <t># text = Um dia, a mãe chamou-a e disse-lhe: - Vem cá, Chapeuzinho Vermelho; aqui tens um pedaço de bolo e uma garrafa de vinho; leva tudo para a vovó; ela está doente e fraca e com isso se restabelecerá.</t>
  </si>
  <si>
    <t>Um</t>
  </si>
  <si>
    <t>dia</t>
  </si>
  <si>
    <t>indef-np.quant</t>
  </si>
  <si>
    <t>mãe</t>
  </si>
  <si>
    <t>chamou</t>
  </si>
  <si>
    <t>disse</t>
  </si>
  <si>
    <t>OBJ_2</t>
  </si>
  <si>
    <t>:</t>
  </si>
  <si>
    <t>Vem</t>
  </si>
  <si>
    <t>cá</t>
  </si>
  <si>
    <t>aqui</t>
  </si>
  <si>
    <t>tens</t>
  </si>
  <si>
    <t>pedaço</t>
  </si>
  <si>
    <t>bolo</t>
  </si>
  <si>
    <t>garrafa</t>
  </si>
  <si>
    <t>vinho</t>
  </si>
  <si>
    <t>other_6</t>
  </si>
  <si>
    <t>leva</t>
  </si>
  <si>
    <t>tudo</t>
  </si>
  <si>
    <t>para</t>
  </si>
  <si>
    <t>está</t>
  </si>
  <si>
    <t>doente</t>
  </si>
  <si>
    <t>fraca</t>
  </si>
  <si>
    <t>isso</t>
  </si>
  <si>
    <t>se</t>
  </si>
  <si>
    <t>restabelecerá</t>
  </si>
  <si>
    <t># text = Põe-te a caminho antes que o sol esquente muito e, quando fores, comporta-te direito; não saias do caminho, senão cais e quebras a garrafa e a vovó ficará sem nada.</t>
  </si>
  <si>
    <t>Põe</t>
  </si>
  <si>
    <t>te</t>
  </si>
  <si>
    <t>caminho</t>
  </si>
  <si>
    <t>antes</t>
  </si>
  <si>
    <t>sol</t>
  </si>
  <si>
    <t>esquente</t>
  </si>
  <si>
    <t>quando</t>
  </si>
  <si>
    <t>fores</t>
  </si>
  <si>
    <t>comporta</t>
  </si>
  <si>
    <t>direito</t>
  </si>
  <si>
    <t>saias</t>
  </si>
  <si>
    <t>senão</t>
  </si>
  <si>
    <t>cais</t>
  </si>
  <si>
    <t>quebras</t>
  </si>
  <si>
    <t>SBJ_8</t>
  </si>
  <si>
    <t>ficará</t>
  </si>
  <si>
    <t>sem</t>
  </si>
  <si>
    <t>nada</t>
  </si>
  <si>
    <t>other_8</t>
  </si>
  <si>
    <t>--</t>
  </si>
  <si>
    <t># text = Quando entrares em seu quarto, não esqueças de dizer \"bom-dia, vovó,\" ao invés de mexericar pelos cantos.</t>
  </si>
  <si>
    <t>Quando</t>
  </si>
  <si>
    <t>entrares</t>
  </si>
  <si>
    <t>em</t>
  </si>
  <si>
    <t>seu</t>
  </si>
  <si>
    <t>pron.ppos</t>
  </si>
  <si>
    <t>quarto</t>
  </si>
  <si>
    <t>esqueças</t>
  </si>
  <si>
    <t>&amp;quot;</t>
  </si>
  <si>
    <t>bom-dia</t>
  </si>
  <si>
    <t>invés</t>
  </si>
  <si>
    <t>mexericar</t>
  </si>
  <si>
    <t>os</t>
  </si>
  <si>
    <t>cantos</t>
  </si>
  <si>
    <t># text = - Farei tudo direitinho, - disse Chapeuzinho Vermelho à mãe, e despediu-se.</t>
  </si>
  <si>
    <t>Farei</t>
  </si>
  <si>
    <t>direitinho</t>
  </si>
  <si>
    <t>despediu</t>
  </si>
  <si>
    <t># text = A avó morava à beira da floresta, a uma meia hora mais ou menos de caminho da aldeia.</t>
  </si>
  <si>
    <t>A</t>
  </si>
  <si>
    <t>avó</t>
  </si>
  <si>
    <t>morava</t>
  </si>
  <si>
    <t>beira</t>
  </si>
  <si>
    <t>floresta</t>
  </si>
  <si>
    <t>meia</t>
  </si>
  <si>
    <t>hora</t>
  </si>
  <si>
    <t>ou</t>
  </si>
  <si>
    <t>menos</t>
  </si>
  <si>
    <t>aldeia</t>
  </si>
  <si>
    <t># text = Quando Chapeuzinho Vermelho chegou à floresta, encontrou o lobo; não sabendo, porém, que animal perverso era ele, não sentiu medo.</t>
  </si>
  <si>
    <t>chegou</t>
  </si>
  <si>
    <t>encontrou</t>
  </si>
  <si>
    <t>lobo</t>
  </si>
  <si>
    <t>sabendo</t>
  </si>
  <si>
    <t>porém</t>
  </si>
  <si>
    <t>animal</t>
  </si>
  <si>
    <t>perverso</t>
  </si>
  <si>
    <t>era</t>
  </si>
  <si>
    <t>ele</t>
  </si>
  <si>
    <t>sentiu</t>
  </si>
  <si>
    <t>medo</t>
  </si>
  <si>
    <t># text = - Bom dia, Chapeuzinho Vermelho, - disse o lobo todo dengoso.</t>
  </si>
  <si>
    <t>Bom</t>
  </si>
  <si>
    <t>todo</t>
  </si>
  <si>
    <t>dengoso</t>
  </si>
  <si>
    <t># text = - Muito obrigada, lobo.</t>
  </si>
  <si>
    <t>Muito</t>
  </si>
  <si>
    <t>obrigada</t>
  </si>
  <si>
    <t># text = - Aonde vais, assim tão cedo, Chapeuzinho Vermelho?</t>
  </si>
  <si>
    <t>Aonde</t>
  </si>
  <si>
    <t>vais</t>
  </si>
  <si>
    <t>tão</t>
  </si>
  <si>
    <t>cedo</t>
  </si>
  <si>
    <t>?</t>
  </si>
  <si>
    <t># text = - Vou à casa da vovó.</t>
  </si>
  <si>
    <t>Vou</t>
  </si>
  <si>
    <t>casa</t>
  </si>
  <si>
    <t># text = - E que levas aí nesse cestinho?</t>
  </si>
  <si>
    <t>E</t>
  </si>
  <si>
    <t>levas</t>
  </si>
  <si>
    <t>aí</t>
  </si>
  <si>
    <t>esse</t>
  </si>
  <si>
    <t>cestinho</t>
  </si>
  <si>
    <t>def-np.dem</t>
  </si>
  <si>
    <t># text = - Levo bolo e vinho.</t>
  </si>
  <si>
    <t>Levo</t>
  </si>
  <si>
    <t># text = Assamos o bolo ontem, assim a vovó, que está adoentada e muito fraca, ficará contente, tendo com que se fortificar.</t>
  </si>
  <si>
    <t>Assamos</t>
  </si>
  <si>
    <t>ontem</t>
  </si>
  <si>
    <t>adoentada</t>
  </si>
  <si>
    <t>contente</t>
  </si>
  <si>
    <t>tendo</t>
  </si>
  <si>
    <t>fortificar</t>
  </si>
  <si>
    <t># text = - Onde mora tua vovó, Chapeuzinho Vermelho? - Mora a um bom quarto de hora daqui, na floresta, debaixo de três grandes carvalhos; a casa está cercada de nogueiras, acho que o sabes, - disse Chapeuzinho Vermelho.</t>
  </si>
  <si>
    <t>Onde</t>
  </si>
  <si>
    <t>mora</t>
  </si>
  <si>
    <t>tua</t>
  </si>
  <si>
    <t>Mora</t>
  </si>
  <si>
    <t>bom</t>
  </si>
  <si>
    <t>other_7</t>
  </si>
  <si>
    <t>debaixo</t>
  </si>
  <si>
    <t>três</t>
  </si>
  <si>
    <t>grandes</t>
  </si>
  <si>
    <t>carvalhos</t>
  </si>
  <si>
    <t>SBJ_5</t>
  </si>
  <si>
    <t>cercada</t>
  </si>
  <si>
    <t>nogueiras</t>
  </si>
  <si>
    <t>acho</t>
  </si>
  <si>
    <t>sabes</t>
  </si>
  <si>
    <t># text = Enquanto isso, o lobo ia pensando: "Esta meninazinha delicada é um quitute delicioso, certamente mais apetitosa que a avó; devo agir com esperteza para pegar as duas." Andou um trecho de caminho ao lado de Chapeuzinho Vermelho e foi insinuando: - Olha, Chapeuzinho Vermelho, que lindas flores!</t>
  </si>
  <si>
    <t>Enquanto</t>
  </si>
  <si>
    <t>ia</t>
  </si>
  <si>
    <t>pensando</t>
  </si>
  <si>
    <t>Esta</t>
  </si>
  <si>
    <t>meninazinha</t>
  </si>
  <si>
    <t>delicada</t>
  </si>
  <si>
    <t>é</t>
  </si>
  <si>
    <t>quitute</t>
  </si>
  <si>
    <t>delicioso</t>
  </si>
  <si>
    <t>certamente</t>
  </si>
  <si>
    <t>apetitosa</t>
  </si>
  <si>
    <t>devo</t>
  </si>
  <si>
    <t>agir</t>
  </si>
  <si>
    <t>esperteza</t>
  </si>
  <si>
    <t>pegar</t>
  </si>
  <si>
    <t>as</t>
  </si>
  <si>
    <t>duas</t>
  </si>
  <si>
    <t>OBJ_5</t>
  </si>
  <si>
    <t>Andou</t>
  </si>
  <si>
    <t>trecho</t>
  </si>
  <si>
    <t>lado</t>
  </si>
  <si>
    <t>foi</t>
  </si>
  <si>
    <t>insinuando</t>
  </si>
  <si>
    <t>Olha</t>
  </si>
  <si>
    <t>lindas</t>
  </si>
  <si>
    <t>flores</t>
  </si>
  <si>
    <t>!</t>
  </si>
  <si>
    <t># text = Por quê não olhas ao redor de ti?</t>
  </si>
  <si>
    <t>Por</t>
  </si>
  <si>
    <t>quê</t>
  </si>
  <si>
    <t>olhas</t>
  </si>
  <si>
    <t>redor</t>
  </si>
  <si>
    <t>ti</t>
  </si>
  <si>
    <t># text = Creio que nem sequer ouves o canto mavioso dos pássaros!</t>
  </si>
  <si>
    <t>Creio</t>
  </si>
  <si>
    <t>nem</t>
  </si>
  <si>
    <t>sequer</t>
  </si>
  <si>
    <t>ouves</t>
  </si>
  <si>
    <t>canto</t>
  </si>
  <si>
    <t>mavioso</t>
  </si>
  <si>
    <t>pássaros</t>
  </si>
  <si>
    <t># text = Andas tão ensimesmada como se fosses para a escola, ao passo que é tão divertido tudo aqui na floresta!</t>
  </si>
  <si>
    <t>ensimesmada</t>
  </si>
  <si>
    <t>fosses</t>
  </si>
  <si>
    <t>escola</t>
  </si>
  <si>
    <t>passo</t>
  </si>
  <si>
    <t>divertido</t>
  </si>
  <si>
    <t># text = Chapeuzinho</t>
  </si>
  <si>
    <t># text = Vermelho ergueu os olhos e, quando viu os raios do sol dançando por entre as árvores, e à sua volta a grande quantidade de lindas flores, pensou: \"Se levar para a vovó um buquê viçoso, ela certamente ficará contente; é tão cedo ainda que chegarei bem a tempo.\"</t>
  </si>
  <si>
    <t>ergueu</t>
  </si>
  <si>
    <t>olhos</t>
  </si>
  <si>
    <t>viu</t>
  </si>
  <si>
    <t>raios</t>
  </si>
  <si>
    <t>dançando</t>
  </si>
  <si>
    <t>entre</t>
  </si>
  <si>
    <t>árvores</t>
  </si>
  <si>
    <t>sua</t>
  </si>
  <si>
    <t>volta</t>
  </si>
  <si>
    <t>grande</t>
  </si>
  <si>
    <t>quantidade</t>
  </si>
  <si>
    <t>pensou</t>
  </si>
  <si>
    <t>Se</t>
  </si>
  <si>
    <t>buquê</t>
  </si>
  <si>
    <t>viçoso</t>
  </si>
  <si>
    <t>ainda</t>
  </si>
  <si>
    <t>chegarei</t>
  </si>
  <si>
    <t>tempo</t>
  </si>
  <si>
    <t># text = Saiu da estrada e penetrou na floresta em busca de flores.</t>
  </si>
  <si>
    <t>Saiu</t>
  </si>
  <si>
    <t>estrada</t>
  </si>
  <si>
    <t>penetrou</t>
  </si>
  <si>
    <t>busca</t>
  </si>
  <si>
    <t># text = Tendo apanhado uma, achava que mais adiante encontraria outra mais bela e, assim, ia avançando e aprofundando-se cada vez mais pela floresta a dentro.</t>
  </si>
  <si>
    <t>Tendo</t>
  </si>
  <si>
    <t>apanhado</t>
  </si>
  <si>
    <t>achava</t>
  </si>
  <si>
    <t>adiante</t>
  </si>
  <si>
    <t>encontraria</t>
  </si>
  <si>
    <t>outra</t>
  </si>
  <si>
    <t>bela</t>
  </si>
  <si>
    <t>avançando</t>
  </si>
  <si>
    <t>aprofundando</t>
  </si>
  <si>
    <t>cada</t>
  </si>
  <si>
    <t>dentro</t>
  </si>
  <si>
    <t># text = Enquanto isso, o lobo foi correndo à casa da vovó e bateu na porta.</t>
  </si>
  <si>
    <t>correndo</t>
  </si>
  <si>
    <t>bateu</t>
  </si>
  <si>
    <t>porta</t>
  </si>
  <si>
    <t># text = - Quem está batendo? - perguntou a avó.</t>
  </si>
  <si>
    <t>Quem</t>
  </si>
  <si>
    <t>pron.pint</t>
  </si>
  <si>
    <t>batendo</t>
  </si>
  <si>
    <t>perguntou</t>
  </si>
  <si>
    <t># text = - Sou eu, Chapeuzinho Vermelho, trago vinho e bolo, abre-me.</t>
  </si>
  <si>
    <t>Sou</t>
  </si>
  <si>
    <t>eu</t>
  </si>
  <si>
    <t>trago</t>
  </si>
  <si>
    <t>abre</t>
  </si>
  <si>
    <t>me</t>
  </si>
  <si>
    <t># text = - Levanta a taramela, - disse-lhe a avó; - estou muito fraca e não posso levantar-me da cama.</t>
  </si>
  <si>
    <t>Levanta</t>
  </si>
  <si>
    <t>taramela</t>
  </si>
  <si>
    <t>estou</t>
  </si>
  <si>
    <t>posso</t>
  </si>
  <si>
    <t>cama</t>
  </si>
  <si>
    <t># text = O lobo levantou a taramela, a porta escancarou-se e, sem dizer palavra, precipitou-se para a cama da avozinha e engoliu-a.</t>
  </si>
  <si>
    <t>levantou</t>
  </si>
  <si>
    <t>escancarou</t>
  </si>
  <si>
    <t>palavra</t>
  </si>
  <si>
    <t>precipitou</t>
  </si>
  <si>
    <t>engoliu</t>
  </si>
  <si>
    <t># text = Depois, vestiu a roupa e a touca dela; deitou-se na cama e fechou o cortinado.</t>
  </si>
  <si>
    <t>Depois</t>
  </si>
  <si>
    <t>vestiu</t>
  </si>
  <si>
    <t>roupa</t>
  </si>
  <si>
    <t>touca</t>
  </si>
  <si>
    <t>deitou</t>
  </si>
  <si>
    <t>fechou</t>
  </si>
  <si>
    <t>cortinado</t>
  </si>
  <si>
    <t># text = Entretanto, Chapeuzinho Vermelho ficara correndo de um lado para outro a colher flores.</t>
  </si>
  <si>
    <t>Entretanto</t>
  </si>
  <si>
    <t>ficara</t>
  </si>
  <si>
    <t>colher</t>
  </si>
  <si>
    <t># text = Tendo colhido tantas que quase não podia carregar, lembrou-se da avó e foi correndo para a casa dela.</t>
  </si>
  <si>
    <t>colhido</t>
  </si>
  <si>
    <t>tantas</t>
  </si>
  <si>
    <t>quase</t>
  </si>
  <si>
    <t>podia</t>
  </si>
  <si>
    <t>carregar</t>
  </si>
  <si>
    <t>lembrou</t>
  </si>
  <si>
    <t># text = Lá chegando, admirou-se de estar a porta escancarada; entrou e na sala teve uma impressão tão esquisita que pensou:</t>
  </si>
  <si>
    <t>Lá</t>
  </si>
  <si>
    <t>chegando</t>
  </si>
  <si>
    <t>admirou</t>
  </si>
  <si>
    <t>estar</t>
  </si>
  <si>
    <t>escancarada</t>
  </si>
  <si>
    <t>entrou</t>
  </si>
  <si>
    <t>sala</t>
  </si>
  <si>
    <t>teve</t>
  </si>
  <si>
    <t>impressão</t>
  </si>
  <si>
    <t>esquisita</t>
  </si>
  <si>
    <t># text = \"Oh, meu Deus, que medo tenho hoje!</t>
  </si>
  <si>
    <t>&amp;quot;Oh</t>
  </si>
  <si>
    <t>meu</t>
  </si>
  <si>
    <t>Deus</t>
  </si>
  <si>
    <t>tenho</t>
  </si>
  <si>
    <t>hoje</t>
  </si>
  <si>
    <t># text = Das outras vezes, sentia-me tão bem aqui com a vovó!" Então disse alto: - Bom dia, vovó! - mas ninguém respondeu.</t>
  </si>
  <si>
    <t>De</t>
  </si>
  <si>
    <t>outras</t>
  </si>
  <si>
    <t>vezes</t>
  </si>
  <si>
    <t>sentia</t>
  </si>
  <si>
    <t>Então</t>
  </si>
  <si>
    <t>alto</t>
  </si>
  <si>
    <t>mas</t>
  </si>
  <si>
    <t>ninguém</t>
  </si>
  <si>
    <t>respondeu</t>
  </si>
  <si>
    <t># text = Acercou-se da cama e abriu o cortinado: a vovó estava deitada, com a touca caida no rosto e tinha um aspecto muito esquisito.</t>
  </si>
  <si>
    <t>Acercou</t>
  </si>
  <si>
    <t>abriu</t>
  </si>
  <si>
    <t>estava</t>
  </si>
  <si>
    <t>deitada</t>
  </si>
  <si>
    <t>caida</t>
  </si>
  <si>
    <t>rosto</t>
  </si>
  <si>
    <t>tinha</t>
  </si>
  <si>
    <t>aspecto</t>
  </si>
  <si>
    <t>esquisito</t>
  </si>
  <si>
    <t># text = - Oh, vovó, que orelhas tão grandes tens!</t>
  </si>
  <si>
    <t>orelhas</t>
  </si>
  <si>
    <t># text = - São para melhor te ouvir.</t>
  </si>
  <si>
    <t>São</t>
  </si>
  <si>
    <t>melhor</t>
  </si>
  <si>
    <t># text = - Oh, vovó, que olhos tão grandes tens - São para melhor te ver.</t>
  </si>
  <si>
    <t>ver</t>
  </si>
  <si>
    <t># text = - Oh, vovó, que mãos enormes tens!</t>
  </si>
  <si>
    <t>mãos</t>
  </si>
  <si>
    <t>enormes</t>
  </si>
  <si>
    <t># text = - São para melhor te agarrar.</t>
  </si>
  <si>
    <t># text = - Mas vovó, que boca medonha tens! - É para melhor te devorar.</t>
  </si>
  <si>
    <t>Mas</t>
  </si>
  <si>
    <t>boca</t>
  </si>
  <si>
    <t>medonha</t>
  </si>
  <si>
    <t>tens!</t>
  </si>
  <si>
    <t>É</t>
  </si>
  <si>
    <t># text = Dizendo isso, o lobo pulou da cama e engoliu a pobre Chapeuzinho Vermelho.</t>
  </si>
  <si>
    <t>Dizendo</t>
  </si>
  <si>
    <t>pulou</t>
  </si>
  <si>
    <t>pobre</t>
  </si>
  <si>
    <t># text = Tendo assim satisfeito o apetite, voltou para a cama, ferrou no sono e começou a roncar sonoramente.</t>
  </si>
  <si>
    <t>satisfeito</t>
  </si>
  <si>
    <t>apetite</t>
  </si>
  <si>
    <t>voltou</t>
  </si>
  <si>
    <t>ferrou</t>
  </si>
  <si>
    <t>sono</t>
  </si>
  <si>
    <t>começou</t>
  </si>
  <si>
    <t>roncar</t>
  </si>
  <si>
    <t>sonoramente</t>
  </si>
  <si>
    <t># text = Justamente, nesse momento, ia passando em frente à casa o caçador, que ouvindo aquele ronco, pensou:</t>
  </si>
  <si>
    <t>Justamente</t>
  </si>
  <si>
    <t>momento</t>
  </si>
  <si>
    <t>passando</t>
  </si>
  <si>
    <t>frente</t>
  </si>
  <si>
    <t>caçador</t>
  </si>
  <si>
    <t>ouvindo</t>
  </si>
  <si>
    <t>aquele</t>
  </si>
  <si>
    <t>ronco</t>
  </si>
  <si>
    <t># text = \"Como ronca a velha</t>
  </si>
  <si>
    <t>Como</t>
  </si>
  <si>
    <t>ronca</t>
  </si>
  <si>
    <t>velha</t>
  </si>
  <si>
    <t># text = Senhora!</t>
  </si>
  <si>
    <t>Senhora</t>
  </si>
  <si>
    <t># text = É melhor dar uma olhadela a ver se está se sentindo mal." Entrou no quarto e aproximou-se da cama; ao ver o lobo, disse: - Eis-te aqui, velho impenitente!</t>
  </si>
  <si>
    <t>olhadela</t>
  </si>
  <si>
    <t>sentindo</t>
  </si>
  <si>
    <t>mal</t>
  </si>
  <si>
    <t>Entrou</t>
  </si>
  <si>
    <t>aproximou</t>
  </si>
  <si>
    <t>Eis</t>
  </si>
  <si>
    <t>impenitente</t>
  </si>
  <si>
    <t># text = Há muito tempo, venho-te procurando!</t>
  </si>
  <si>
    <t>Há</t>
  </si>
  <si>
    <t>procurando</t>
  </si>
  <si>
    <t># text = Quis dar-lhe um tiro, mas lembrou-se de que o lobo poderia ter comido a avó e que talvez ainda fosse possível salvá-la; então pegou uma tesoura e pôs-se a cortar- lhe a barriga, cuidadosamente, enquanto ele dormia.</t>
  </si>
  <si>
    <t>Quis</t>
  </si>
  <si>
    <t>tiro</t>
  </si>
  <si>
    <t>poderia</t>
  </si>
  <si>
    <t>comido</t>
  </si>
  <si>
    <t>talvez</t>
  </si>
  <si>
    <t>fosse</t>
  </si>
  <si>
    <t>possível</t>
  </si>
  <si>
    <t>salvá</t>
  </si>
  <si>
    <t>la</t>
  </si>
  <si>
    <t>OBJ_7</t>
  </si>
  <si>
    <t>então</t>
  </si>
  <si>
    <t>pegou</t>
  </si>
  <si>
    <t>tesoura</t>
  </si>
  <si>
    <t>pôs</t>
  </si>
  <si>
    <t>cortar</t>
  </si>
  <si>
    <t>barriga</t>
  </si>
  <si>
    <t>cuidadosamente</t>
  </si>
  <si>
    <t>enquanto</t>
  </si>
  <si>
    <t>dormia</t>
  </si>
  <si>
    <t># text = Após o segundo corte, viu brilhar o chapeuzinho vermelho e, após mais outros cortes, a menina pulou para fora, gritando: -</t>
  </si>
  <si>
    <t>Após</t>
  </si>
  <si>
    <t>segundo</t>
  </si>
  <si>
    <t>corte</t>
  </si>
  <si>
    <t>brilhar</t>
  </si>
  <si>
    <t>após</t>
  </si>
  <si>
    <t>outros</t>
  </si>
  <si>
    <t>cortes</t>
  </si>
  <si>
    <t>fora</t>
  </si>
  <si>
    <t>gritando</t>
  </si>
  <si>
    <t># text = Ai que medo eu tive!</t>
  </si>
  <si>
    <t>Ai</t>
  </si>
  <si>
    <t>tive</t>
  </si>
  <si>
    <t># text = Como estava escuro na barriga do lobo!</t>
  </si>
  <si>
    <t>escuro</t>
  </si>
  <si>
    <t># text = Em seguida, saiu também a vovó, ainda com vida, embora respirando com dificuldade.</t>
  </si>
  <si>
    <t>Em</t>
  </si>
  <si>
    <t>seguida</t>
  </si>
  <si>
    <t>saiu</t>
  </si>
  <si>
    <t>também</t>
  </si>
  <si>
    <t>vida</t>
  </si>
  <si>
    <t>embora</t>
  </si>
  <si>
    <t>respirando</t>
  </si>
  <si>
    <t>dificuldade</t>
  </si>
  <si>
    <t># text = E Chapeuzinho Vermelho correu a buscar grandes pedras e com elas encheram a barriga do lobo.</t>
  </si>
  <si>
    <t>correu</t>
  </si>
  <si>
    <t>pedras</t>
  </si>
  <si>
    <t>elas</t>
  </si>
  <si>
    <t>encheram</t>
  </si>
  <si>
    <t># text = Quando este acordou e tentou fugir, as pedras pesavam tanto que deu um trambolhão e morreu.</t>
  </si>
  <si>
    <t>este</t>
  </si>
  <si>
    <t>acordou</t>
  </si>
  <si>
    <t>tentou</t>
  </si>
  <si>
    <t>fugir</t>
  </si>
  <si>
    <t>pesavam</t>
  </si>
  <si>
    <t>tanto</t>
  </si>
  <si>
    <t>deu</t>
  </si>
  <si>
    <t>trambolhão</t>
  </si>
  <si>
    <t>morreu</t>
  </si>
  <si>
    <t># text = Os três alegraram-se, imensamente, com isso.</t>
  </si>
  <si>
    <t>Os</t>
  </si>
  <si>
    <t>alegraram</t>
  </si>
  <si>
    <t>imensamente</t>
  </si>
  <si>
    <t># text = O caçador esfolou o lobo e levou a pele para casa; a vovó comeu o bolo e bebeu o vinho trazidos por Chapeuzinho Vermelho e logo sentiu-se completamente reanimada; enquanto isso, Chapeuzinho Vermelho dizia de si para si:</t>
  </si>
  <si>
    <t>esfolou</t>
  </si>
  <si>
    <t>levou</t>
  </si>
  <si>
    <t>pele</t>
  </si>
  <si>
    <t>comeu</t>
  </si>
  <si>
    <t>bebeu</t>
  </si>
  <si>
    <t>trazidos</t>
  </si>
  <si>
    <t>completamente</t>
  </si>
  <si>
    <t>reanimada</t>
  </si>
  <si>
    <t>dizia</t>
  </si>
  <si>
    <t>si</t>
  </si>
  <si>
    <t># text = "Nunca mais sairás da estrada para correr pela floresta, quando a mamãe to proibir!"</t>
  </si>
  <si>
    <t>Nunca</t>
  </si>
  <si>
    <t>mamãe</t>
  </si>
  <si>
    <t>to</t>
  </si>
  <si>
    <t>proibir</t>
  </si>
  <si>
    <t># text = ------------------------------------------------------------------------</t>
  </si>
  <si>
    <t># text = Contam mais, que, certa vez, Chapeuzinho Vermelho ia levando novamente um bolo para a vovozinha e outro lobo, surgindo à sua frente, tentou induzi-la a desviar-se do caminho.</t>
  </si>
  <si>
    <t>Contam</t>
  </si>
  <si>
    <t>certa</t>
  </si>
  <si>
    <t>levando</t>
  </si>
  <si>
    <t>novamente</t>
  </si>
  <si>
    <t>vovozinha</t>
  </si>
  <si>
    <t>surgindo</t>
  </si>
  <si>
    <t>induzi</t>
  </si>
  <si>
    <t>desviar</t>
  </si>
  <si>
    <t># text = Vermelho, porém, não lhe deu ouvidos e seguiu o caminho bem direitinho, contando à avó que tinha encontrado o lobo, que este a cumprimentara, olhando-a com maus olhos.</t>
  </si>
  <si>
    <t>ouvidos</t>
  </si>
  <si>
    <t>seguiu</t>
  </si>
  <si>
    <t>contando</t>
  </si>
  <si>
    <t>encontrado</t>
  </si>
  <si>
    <t>cumprimentara</t>
  </si>
  <si>
    <t>olhando</t>
  </si>
  <si>
    <t>maus</t>
  </si>
  <si>
    <t># text = - Se não estivéssemos na estrada pública, certamente me teria devorado!</t>
  </si>
  <si>
    <t>estivéssemos</t>
  </si>
  <si>
    <t>pública</t>
  </si>
  <si>
    <t>teria</t>
  </si>
  <si>
    <t>devorado</t>
  </si>
  <si>
    <t># text = - Entra depressa, - disse a vovó; - fechemos bem a porta para que ele não entre aqui!</t>
  </si>
  <si>
    <t>Entra</t>
  </si>
  <si>
    <t>depressa</t>
  </si>
  <si>
    <t>fechemos</t>
  </si>
  <si>
    <t># text = Com efeito, mal fecharam a porta, o lobo bateu, dizendo: - Abre, vovó, sou Chapeuzinho Vermelho; venho trazer-te o bolo.</t>
  </si>
  <si>
    <t>Com</t>
  </si>
  <si>
    <t>efeito</t>
  </si>
  <si>
    <t>fecharam</t>
  </si>
  <si>
    <t>dizendo</t>
  </si>
  <si>
    <t>Abre</t>
  </si>
  <si>
    <t>sou</t>
  </si>
  <si>
    <t>trazer</t>
  </si>
  <si>
    <t># text = Mas as duas ficaram bem quietinhas, sem dizer palavra e não abriram.</t>
  </si>
  <si>
    <t>ficaram</t>
  </si>
  <si>
    <t>quietinhas</t>
  </si>
  <si>
    <t>abriram</t>
  </si>
  <si>
    <t># text = Então o lobo pôs-se a girar em torno da casa e, por fim, pulou em cima do telhado e ficou esperando que Chapeuzinho Vermelho, à tarde, retomasse o caminho de volta para sua casa, aí então, ele a seguiria ocultamente para comê-la no escuro.</t>
  </si>
  <si>
    <t>girar</t>
  </si>
  <si>
    <t>torno</t>
  </si>
  <si>
    <t>fim</t>
  </si>
  <si>
    <t>cima</t>
  </si>
  <si>
    <t>telhado</t>
  </si>
  <si>
    <t>ficou</t>
  </si>
  <si>
    <t>esperando</t>
  </si>
  <si>
    <t>tarde</t>
  </si>
  <si>
    <t>retomasse</t>
  </si>
  <si>
    <t>seguiria</t>
  </si>
  <si>
    <t>ocultamente</t>
  </si>
  <si>
    <t>comê</t>
  </si>
  <si>
    <t># text = A vovó, porém, que estava de atalaia, percebeu o que a fera estava tramando.</t>
  </si>
  <si>
    <t>atalaia</t>
  </si>
  <si>
    <t>percebeu</t>
  </si>
  <si>
    <t>fera</t>
  </si>
  <si>
    <t>tramando</t>
  </si>
  <si>
    <t># text = Lembrou-se que, na frente da casa, havia uma gamela de pedra, e disse à menina: - Chapeuzinho, vai buscar o balde da água em que cozinhei ontem as salsichas e traz aqui, para esta gamela.</t>
  </si>
  <si>
    <t>Lembrou</t>
  </si>
  <si>
    <t>havia</t>
  </si>
  <si>
    <t>gamela</t>
  </si>
  <si>
    <t>pedra</t>
  </si>
  <si>
    <t>vai</t>
  </si>
  <si>
    <t>balde</t>
  </si>
  <si>
    <t>água</t>
  </si>
  <si>
    <t>cozinhei</t>
  </si>
  <si>
    <t>salsichas</t>
  </si>
  <si>
    <t>traz</t>
  </si>
  <si>
    <t>esta</t>
  </si>
  <si>
    <t># text = Vermelho foi buscar a água e encheu a gamela.</t>
  </si>
  <si>
    <t>encheu</t>
  </si>
  <si>
    <t># text = Então o cheiro de salsicha subiu ao nariz do lobo, que se pôs a farejar e a espiar para baixo de onde provinha.</t>
  </si>
  <si>
    <t>cheiro</t>
  </si>
  <si>
    <t>salsicha</t>
  </si>
  <si>
    <t>subiu</t>
  </si>
  <si>
    <t>nariz</t>
  </si>
  <si>
    <t>farejar</t>
  </si>
  <si>
    <t>espiar</t>
  </si>
  <si>
    <t>baixo</t>
  </si>
  <si>
    <t>onde</t>
  </si>
  <si>
    <t>provinha</t>
  </si>
  <si>
    <t># text = Mas tanto espichou o pescoço que perdeu o equilíbrio e começou a escorregar do telhado indo cair exatamente dentro da gamela, onde morreu afogado.</t>
  </si>
  <si>
    <t>espichou</t>
  </si>
  <si>
    <t>pescoço</t>
  </si>
  <si>
    <t>perdeu</t>
  </si>
  <si>
    <t>equilíbrio</t>
  </si>
  <si>
    <t>escorregar</t>
  </si>
  <si>
    <t>indo</t>
  </si>
  <si>
    <t>cair</t>
  </si>
  <si>
    <t>exatamente</t>
  </si>
  <si>
    <t>afogado</t>
  </si>
  <si>
    <t># text = Assim, Chapeuzinho Vermelho pôde voltar felizmente para casa e muito alegre, porque ninguém lhe fez o menor mal.</t>
  </si>
  <si>
    <t>Assim</t>
  </si>
  <si>
    <t>pôde</t>
  </si>
  <si>
    <t>felizmente</t>
  </si>
  <si>
    <t>alegre</t>
  </si>
  <si>
    <t>fez</t>
  </si>
  <si>
    <t>menor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</si>
</sst>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16</v>
      </c>
      <c r="C3" s="6" t="s">
        <v>11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20</v>
      </c>
      <c r="B4" s="6" t="s">
        <v>21</v>
      </c>
      <c r="C4" s="6" t="s">
        <v>11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25</v>
      </c>
      <c r="B5" s="6" t="s">
        <v>15</v>
      </c>
      <c r="C5" s="6" t="s">
        <v>11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29</v>
      </c>
      <c r="B6" s="6" t="s">
        <v>30</v>
      </c>
      <c r="C6" s="6" t="s">
        <v>11</v>
      </c>
      <c r="D6" s="7" t="s">
        <v>31</v>
      </c>
      <c r="E6" s="8" t="s">
        <v>32</v>
      </c>
      <c r="F6" s="6" t="s">
        <v>33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30</v>
      </c>
      <c r="B7" s="6" t="s">
        <v>20</v>
      </c>
      <c r="C7" s="6" t="s">
        <v>11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37</v>
      </c>
      <c r="B8" s="6" t="s">
        <v>38</v>
      </c>
      <c r="C8" s="6" t="s">
        <v>11</v>
      </c>
      <c r="D8" s="7" t="s">
        <v>39</v>
      </c>
      <c r="E8" s="8" t="s">
        <v>40</v>
      </c>
      <c r="F8" s="6" t="s">
        <v>41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21</v>
      </c>
      <c r="B9" s="6" t="s">
        <v>21</v>
      </c>
      <c r="C9" s="6" t="s">
        <v>11</v>
      </c>
      <c r="D9" s="7" t="s">
        <v>31</v>
      </c>
      <c r="E9" s="8" t="s">
        <v>42</v>
      </c>
      <c r="F9" s="6" t="s">
        <v>43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44</v>
      </c>
      <c r="B10" s="6" t="s">
        <v>20</v>
      </c>
      <c r="C10" s="6" t="s">
        <v>11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48</v>
      </c>
      <c r="B11" s="6" t="s">
        <v>20</v>
      </c>
      <c r="C11" s="6" t="s">
        <v>11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52</v>
      </c>
      <c r="B12" s="6" t="s">
        <v>15</v>
      </c>
      <c r="C12" s="6" t="s">
        <v>11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56</v>
      </c>
      <c r="B13" s="6" t="s">
        <v>16</v>
      </c>
      <c r="C13" s="6" t="s">
        <v>11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60</v>
      </c>
      <c r="B14" s="6" t="s">
        <v>15</v>
      </c>
      <c r="C14" s="6" t="s">
        <v>11</v>
      </c>
      <c r="D14" s="7" t="s">
        <v>61</v>
      </c>
      <c r="E14" s="8" t="s">
        <v>62</v>
      </c>
      <c r="F14" s="6" t="s">
        <v>63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64</v>
      </c>
      <c r="B15" s="6" t="s">
        <v>10</v>
      </c>
      <c r="C15" s="6" t="s">
        <v>11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68</v>
      </c>
      <c r="B16" s="6" t="s">
        <v>69</v>
      </c>
      <c r="C16" s="6" t="s">
        <v>11</v>
      </c>
      <c r="D16" s="7" t="s">
        <v>70</v>
      </c>
      <c r="E16" s="8" t="s">
        <v>71</v>
      </c>
      <c r="F16" s="6" t="s">
        <v>72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73</v>
      </c>
      <c r="B17" s="6" t="s">
        <v>30</v>
      </c>
      <c r="C17" s="6" t="s">
        <v>11</v>
      </c>
      <c r="D17" s="7" t="s">
        <v>74</v>
      </c>
      <c r="E17" s="8" t="s">
        <v>75</v>
      </c>
      <c r="F17" s="6" t="s">
        <v>76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77</v>
      </c>
      <c r="B18" s="6" t="s">
        <v>16</v>
      </c>
      <c r="C18" s="6" t="s">
        <v>11</v>
      </c>
      <c r="D18" s="7" t="s">
        <v>78</v>
      </c>
      <c r="E18" s="8" t="s">
        <v>79</v>
      </c>
      <c r="F18" s="6" t="s">
        <v>80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81</v>
      </c>
      <c r="B19" s="6" t="s">
        <v>10</v>
      </c>
      <c r="C19" s="6" t="s">
        <v>11</v>
      </c>
      <c r="D19" s="7" t="s">
        <v>82</v>
      </c>
      <c r="E19" s="8" t="s">
        <v>83</v>
      </c>
      <c r="F19" s="6" t="s">
        <v>84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85</v>
      </c>
      <c r="B20" s="6" t="s">
        <v>10</v>
      </c>
      <c r="C20" s="6" t="s">
        <v>11</v>
      </c>
      <c r="D20" s="7" t="s">
        <v>86</v>
      </c>
      <c r="E20" s="8" t="s">
        <v>87</v>
      </c>
      <c r="F20" s="6" t="s">
        <v>88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89</v>
      </c>
      <c r="B21" s="6" t="s">
        <v>10</v>
      </c>
      <c r="C21" s="6" t="s">
        <v>11</v>
      </c>
      <c r="D21" s="7" t="s">
        <v>90</v>
      </c>
      <c r="E21" s="8" t="s">
        <v>90</v>
      </c>
      <c r="F21" s="6" t="s">
        <v>91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92</v>
      </c>
      <c r="B22" s="6" t="s">
        <v>15</v>
      </c>
      <c r="C22" s="6" t="s">
        <v>11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96</v>
      </c>
      <c r="B23" s="6" t="s">
        <v>10</v>
      </c>
      <c r="C23" s="6" t="s">
        <v>11</v>
      </c>
      <c r="D23" s="7" t="s">
        <v>97</v>
      </c>
      <c r="E23" s="8" t="s">
        <v>98</v>
      </c>
      <c r="F23" s="6" t="s">
        <v>99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100</v>
      </c>
      <c r="B24" s="6" t="s">
        <v>25</v>
      </c>
      <c r="C24" s="6" t="s">
        <v>11</v>
      </c>
      <c r="D24" s="7" t="s">
        <v>70</v>
      </c>
      <c r="E24" s="8" t="s">
        <v>101</v>
      </c>
      <c r="F24" s="6" t="s">
        <v>102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38</v>
      </c>
      <c r="B25" s="6" t="s">
        <v>30</v>
      </c>
      <c r="C25" s="6" t="s">
        <v>11</v>
      </c>
      <c r="D25" s="7" t="s">
        <v>103</v>
      </c>
      <c r="E25" s="8" t="s">
        <v>104</v>
      </c>
      <c r="F25" s="6" t="s">
        <v>105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106</v>
      </c>
      <c r="B26" s="6" t="s">
        <v>30</v>
      </c>
      <c r="C26" s="6" t="s">
        <v>107</v>
      </c>
      <c r="D26" s="7" t="s">
        <v>108</v>
      </c>
      <c r="E26" s="8" t="s">
        <v>109</v>
      </c>
      <c r="F26" s="6" t="s">
        <v>110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111</v>
      </c>
      <c r="B27" s="6" t="s">
        <v>56</v>
      </c>
      <c r="C27" s="6" t="s">
        <v>11</v>
      </c>
      <c r="D27" s="7" t="s">
        <v>112</v>
      </c>
      <c r="E27" s="8" t="s">
        <v>113</v>
      </c>
      <c r="F27" s="6" t="s">
        <v>114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115</v>
      </c>
      <c r="B28" s="6" t="s">
        <v>30</v>
      </c>
      <c r="C28" s="6" t="s">
        <v>11</v>
      </c>
      <c r="D28" s="7" t="s">
        <v>116</v>
      </c>
      <c r="E28" s="8" t="s">
        <v>117</v>
      </c>
      <c r="F28" s="6" t="s">
        <v>118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119</v>
      </c>
      <c r="B29" s="6" t="s">
        <v>20</v>
      </c>
      <c r="C29" s="6" t="s">
        <v>11</v>
      </c>
      <c r="D29" s="7" t="s">
        <v>120</v>
      </c>
      <c r="E29" s="8" t="s">
        <v>121</v>
      </c>
      <c r="F29" s="6" t="s">
        <v>122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123</v>
      </c>
      <c r="B30" s="6" t="s">
        <v>20</v>
      </c>
      <c r="C30" s="6" t="s">
        <v>11</v>
      </c>
      <c r="D30" s="7" t="s">
        <v>124</v>
      </c>
      <c r="E30" s="8" t="s">
        <v>125</v>
      </c>
      <c r="F30" s="6" t="s">
        <v>126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127</v>
      </c>
      <c r="B31" s="6" t="s">
        <v>25</v>
      </c>
      <c r="C31" s="6" t="s">
        <v>11</v>
      </c>
      <c r="D31" s="7" t="s">
        <v>128</v>
      </c>
      <c r="E31" s="8" t="s">
        <v>129</v>
      </c>
      <c r="F31" s="6" t="s">
        <v>130</v>
      </c>
      <c r="G31" s="9">
        <f>IF(A31=1,"_",IF(C31="_","???",C31))</f>
        <v/>
      </c>
      <c r="H31" s="10" t="s">
        <v>11</v>
      </c>
      <c r="I31" s="11" t="s">
        <v>11</v>
      </c>
      <c r="J31" s="12"/>
    </row>
    <row r="32" spans="1:10" ht="60" customHeight="1">
      <c r="A32" s="6" t="s">
        <v>131</v>
      </c>
      <c r="B32" s="6" t="s">
        <v>44</v>
      </c>
      <c r="C32" s="6" t="s">
        <v>11</v>
      </c>
      <c r="D32" s="7" t="s">
        <v>132</v>
      </c>
      <c r="E32" s="8" t="s">
        <v>133</v>
      </c>
      <c r="F32" s="6" t="s">
        <v>134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135</v>
      </c>
      <c r="B33" s="6" t="s">
        <v>16</v>
      </c>
      <c r="C33" s="6" t="s">
        <v>11</v>
      </c>
      <c r="D33" s="7" t="s">
        <v>136</v>
      </c>
      <c r="E33" s="8" t="s">
        <v>137</v>
      </c>
      <c r="F33" s="6" t="s">
        <v>138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139</v>
      </c>
      <c r="B34" s="6" t="s">
        <v>37</v>
      </c>
      <c r="C34" s="6" t="s">
        <v>11</v>
      </c>
      <c r="D34" s="7" t="s">
        <v>140</v>
      </c>
      <c r="E34" s="8" t="s">
        <v>141</v>
      </c>
      <c r="F34" s="6" t="s">
        <v>142</v>
      </c>
      <c r="G34" s="9">
        <f>IF(A34=1,"_",IF(C34="_","???",C34))</f>
        <v/>
      </c>
      <c r="H34" s="10" t="s">
        <v>11</v>
      </c>
      <c r="I34" s="11" t="s">
        <v>11</v>
      </c>
      <c r="J34" s="12"/>
    </row>
    <row r="35" spans="1:10" ht="60" customHeight="1">
      <c r="A35" s="6" t="s">
        <v>143</v>
      </c>
      <c r="B35" s="6" t="s">
        <v>15</v>
      </c>
      <c r="C35" s="6" t="s">
        <v>11</v>
      </c>
      <c r="D35" s="7" t="s">
        <v>144</v>
      </c>
      <c r="E35" s="8" t="s">
        <v>145</v>
      </c>
      <c r="F35" s="6" t="s">
        <v>146</v>
      </c>
      <c r="G35" s="9">
        <f>IF(A35=1,"_",IF(C35="_","???",C35))</f>
        <v/>
      </c>
      <c r="H35" s="10" t="s">
        <v>11</v>
      </c>
      <c r="I35" s="11" t="s">
        <v>11</v>
      </c>
      <c r="J35" s="12"/>
    </row>
    <row r="36" spans="1:10" ht="60" customHeight="1">
      <c r="A36" s="6" t="s">
        <v>69</v>
      </c>
      <c r="B36" s="6" t="s">
        <v>29</v>
      </c>
      <c r="C36" s="6" t="s">
        <v>11</v>
      </c>
      <c r="D36" s="7" t="s">
        <v>147</v>
      </c>
      <c r="E36" s="8" t="s">
        <v>148</v>
      </c>
      <c r="F36" s="6" t="s">
        <v>149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150</v>
      </c>
      <c r="B37" s="6" t="s">
        <v>15</v>
      </c>
      <c r="C37" s="6" t="s">
        <v>11</v>
      </c>
      <c r="D37" s="7" t="s">
        <v>144</v>
      </c>
      <c r="E37" s="8" t="s">
        <v>151</v>
      </c>
      <c r="F37" s="6" t="s">
        <v>152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153</v>
      </c>
      <c r="B38" s="6" t="s">
        <v>15</v>
      </c>
      <c r="C38" s="6" t="s">
        <v>11</v>
      </c>
      <c r="D38" s="7" t="s">
        <v>144</v>
      </c>
      <c r="E38" s="8" t="s">
        <v>154</v>
      </c>
      <c r="F38" s="6" t="s">
        <v>155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156</v>
      </c>
      <c r="B39" s="6" t="s">
        <v>29</v>
      </c>
      <c r="C39" s="6" t="s">
        <v>11</v>
      </c>
      <c r="D39" s="7" t="s">
        <v>157</v>
      </c>
      <c r="E39" s="8" t="s">
        <v>158</v>
      </c>
      <c r="F39" s="6" t="s">
        <v>159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160</v>
      </c>
      <c r="B40" s="6" t="s">
        <v>20</v>
      </c>
      <c r="C40" s="6" t="s">
        <v>11</v>
      </c>
      <c r="D40" s="7" t="s">
        <v>161</v>
      </c>
      <c r="E40" s="8" t="s">
        <v>162</v>
      </c>
      <c r="F40" s="6" t="s">
        <v>163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164</v>
      </c>
      <c r="B41" s="6" t="s">
        <v>29</v>
      </c>
      <c r="C41" s="6" t="s">
        <v>11</v>
      </c>
      <c r="D41" s="7" t="s">
        <v>165</v>
      </c>
      <c r="E41" s="8" t="s">
        <v>166</v>
      </c>
      <c r="F41" s="6" t="s">
        <v>167</v>
      </c>
      <c r="G41" s="9">
        <f>IF(A41=1,"_",IF(C41="_","???",C41))</f>
        <v/>
      </c>
      <c r="H41" s="10" t="s">
        <v>11</v>
      </c>
      <c r="I41" s="11" t="s">
        <v>11</v>
      </c>
      <c r="J41" s="12"/>
    </row>
    <row r="42" spans="1:10" ht="60" customHeight="1">
      <c r="A42" s="6" t="s">
        <v>168</v>
      </c>
      <c r="B42" s="6" t="s">
        <v>30</v>
      </c>
      <c r="C42" s="6" t="s">
        <v>11</v>
      </c>
      <c r="D42" s="7" t="s">
        <v>169</v>
      </c>
      <c r="E42" s="8" t="s">
        <v>170</v>
      </c>
      <c r="F42" s="6" t="s">
        <v>171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172</v>
      </c>
      <c r="B43" s="6" t="s">
        <v>37</v>
      </c>
      <c r="C43" s="6" t="s">
        <v>11</v>
      </c>
      <c r="D43" s="7" t="s">
        <v>173</v>
      </c>
      <c r="E43" s="8" t="s">
        <v>174</v>
      </c>
      <c r="F43" s="6" t="s">
        <v>175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176</v>
      </c>
      <c r="B44" s="6" t="s">
        <v>25</v>
      </c>
      <c r="C44" s="6" t="s">
        <v>11</v>
      </c>
      <c r="D44" s="7" t="s">
        <v>177</v>
      </c>
      <c r="E44" s="8" t="s">
        <v>178</v>
      </c>
      <c r="F44" s="6" t="s">
        <v>179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180</v>
      </c>
      <c r="B45" s="6" t="s">
        <v>10</v>
      </c>
      <c r="C45" s="6" t="s">
        <v>11</v>
      </c>
      <c r="D45" s="7" t="s">
        <v>181</v>
      </c>
      <c r="E45" s="8" t="s">
        <v>182</v>
      </c>
      <c r="F45" s="6" t="s">
        <v>183</v>
      </c>
      <c r="G45" s="9">
        <f>IF(A45=1,"_",IF(C45="_","???",C45))</f>
        <v/>
      </c>
      <c r="H45" s="10" t="s">
        <v>11</v>
      </c>
      <c r="I45" s="11" t="s">
        <v>11</v>
      </c>
      <c r="J45" s="12"/>
    </row>
    <row r="46" spans="1:10" ht="60" customHeight="1">
      <c r="A46" s="6" t="s">
        <v>184</v>
      </c>
      <c r="B46" s="6" t="s">
        <v>115</v>
      </c>
      <c r="C46" s="6" t="s">
        <v>11</v>
      </c>
      <c r="D46" s="7" t="s">
        <v>185</v>
      </c>
      <c r="E46" s="8" t="s">
        <v>186</v>
      </c>
      <c r="F46" s="6" t="s">
        <v>187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188</v>
      </c>
      <c r="B47" s="6" t="s">
        <v>25</v>
      </c>
      <c r="C47" s="6" t="s">
        <v>11</v>
      </c>
      <c r="D47" s="7" t="s">
        <v>189</v>
      </c>
      <c r="E47" s="8" t="s">
        <v>190</v>
      </c>
      <c r="F47" s="6" t="s">
        <v>191</v>
      </c>
      <c r="G47" s="9">
        <f>IF(A47=1,"_",IF(C47="_","???",C47))</f>
        <v/>
      </c>
      <c r="H47" s="10" t="s">
        <v>11</v>
      </c>
      <c r="I47" s="11" t="s">
        <v>11</v>
      </c>
      <c r="J47" s="12"/>
    </row>
    <row r="48" spans="1:10" ht="60" customHeight="1">
      <c r="A48" s="6" t="s">
        <v>192</v>
      </c>
      <c r="B48" s="6" t="s">
        <v>37</v>
      </c>
      <c r="C48" s="6" t="s">
        <v>11</v>
      </c>
      <c r="D48" s="7" t="s">
        <v>193</v>
      </c>
      <c r="E48" s="8" t="s">
        <v>194</v>
      </c>
      <c r="F48" s="6" t="s">
        <v>195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196</v>
      </c>
      <c r="B49" s="6" t="s">
        <v>29</v>
      </c>
      <c r="C49" s="6" t="s">
        <v>11</v>
      </c>
      <c r="D49" s="7" t="s">
        <v>197</v>
      </c>
      <c r="E49" s="8" t="s">
        <v>198</v>
      </c>
      <c r="F49" s="6" t="s">
        <v>199</v>
      </c>
      <c r="G49" s="9">
        <f>IF(A49=1,"_",IF(C49="_","???",C49))</f>
        <v/>
      </c>
      <c r="H49" s="10" t="s">
        <v>11</v>
      </c>
      <c r="I49" s="11" t="s">
        <v>11</v>
      </c>
      <c r="J49" s="12"/>
    </row>
    <row r="50" spans="1:10" ht="60" customHeight="1">
      <c r="A50" s="6" t="s">
        <v>200</v>
      </c>
      <c r="B50" s="6" t="s">
        <v>10</v>
      </c>
      <c r="C50" s="6" t="s">
        <v>11</v>
      </c>
      <c r="D50" s="7" t="s">
        <v>201</v>
      </c>
      <c r="E50" s="8" t="s">
        <v>202</v>
      </c>
      <c r="F50" s="6" t="s">
        <v>203</v>
      </c>
      <c r="G50" s="9">
        <f>IF(A50=1,"_",IF(C50="_","???",C50))</f>
        <v/>
      </c>
      <c r="H50" s="10" t="s">
        <v>11</v>
      </c>
      <c r="I50" s="11" t="s">
        <v>11</v>
      </c>
      <c r="J50" s="12"/>
    </row>
    <row r="51" spans="1:10" ht="60" customHeight="1">
      <c r="A51" s="6" t="s">
        <v>204</v>
      </c>
      <c r="B51" s="6" t="s">
        <v>15</v>
      </c>
      <c r="C51" s="6" t="s">
        <v>11</v>
      </c>
      <c r="D51" s="7" t="s">
        <v>205</v>
      </c>
      <c r="E51" s="8" t="s">
        <v>206</v>
      </c>
      <c r="F51" s="6" t="s">
        <v>207</v>
      </c>
      <c r="G51" s="9">
        <f>IF(A51=1,"_",IF(C51="_","???",C51))</f>
        <v/>
      </c>
      <c r="H51" s="10" t="s">
        <v>11</v>
      </c>
      <c r="I51" s="11" t="s">
        <v>11</v>
      </c>
      <c r="J51" s="12"/>
    </row>
    <row r="52" spans="1:10" ht="60" customHeight="1">
      <c r="A52" s="6" t="s">
        <v>208</v>
      </c>
      <c r="B52" s="6" t="s">
        <v>16</v>
      </c>
      <c r="C52" s="6" t="s">
        <v>11</v>
      </c>
      <c r="D52" s="7" t="s">
        <v>97</v>
      </c>
      <c r="E52" s="8" t="s">
        <v>209</v>
      </c>
      <c r="F52" s="6" t="s">
        <v>210</v>
      </c>
      <c r="G52" s="9">
        <f>IF(A52=1,"_",IF(C52="_","???",C52))</f>
        <v/>
      </c>
      <c r="H52" s="10" t="s">
        <v>11</v>
      </c>
      <c r="I52" s="11" t="s">
        <v>11</v>
      </c>
      <c r="J52" s="12"/>
    </row>
    <row r="53" spans="1:10" ht="60" customHeight="1">
      <c r="A53" s="6" t="s">
        <v>211</v>
      </c>
      <c r="B53" s="6" t="s">
        <v>16</v>
      </c>
      <c r="C53" s="6" t="s">
        <v>11</v>
      </c>
      <c r="D53" s="7" t="s">
        <v>103</v>
      </c>
      <c r="E53" s="8" t="s">
        <v>212</v>
      </c>
      <c r="F53" s="6" t="s">
        <v>213</v>
      </c>
      <c r="G53" s="9">
        <f>IF(A53=1,"_",IF(C53="_","???",C53))</f>
        <v/>
      </c>
      <c r="H53" s="10" t="s">
        <v>11</v>
      </c>
      <c r="I53" s="11" t="s">
        <v>11</v>
      </c>
      <c r="J53" s="12"/>
    </row>
    <row r="54" spans="1:10" ht="60" customHeight="1">
      <c r="A54" s="6" t="s">
        <v>214</v>
      </c>
      <c r="B54" s="6" t="s">
        <v>44</v>
      </c>
      <c r="C54" s="6" t="s">
        <v>11</v>
      </c>
      <c r="D54" s="7" t="s">
        <v>215</v>
      </c>
      <c r="E54" s="8" t="s">
        <v>216</v>
      </c>
      <c r="F54" s="6" t="s">
        <v>217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218</v>
      </c>
      <c r="B55" s="6" t="s">
        <v>20</v>
      </c>
      <c r="C55" s="6" t="s">
        <v>11</v>
      </c>
      <c r="D55" s="7" t="s">
        <v>219</v>
      </c>
      <c r="E55" s="8" t="s">
        <v>220</v>
      </c>
      <c r="F55" s="6" t="s">
        <v>221</v>
      </c>
      <c r="G55" s="9">
        <f>IF(A55=1,"_",IF(C55="_","???",C55))</f>
        <v/>
      </c>
      <c r="H55" s="10" t="s">
        <v>11</v>
      </c>
      <c r="I55" s="11" t="s">
        <v>11</v>
      </c>
      <c r="J55" s="12"/>
    </row>
    <row r="56" spans="1:10" ht="60" customHeight="1">
      <c r="A56" s="6" t="s">
        <v>222</v>
      </c>
      <c r="B56" s="6" t="s">
        <v>20</v>
      </c>
      <c r="C56" s="6" t="s">
        <v>11</v>
      </c>
      <c r="D56" s="7" t="s">
        <v>223</v>
      </c>
      <c r="E56" s="8" t="s">
        <v>224</v>
      </c>
      <c r="F56" s="6" t="s">
        <v>225</v>
      </c>
      <c r="G56" s="9">
        <f>IF(A56=1,"_",IF(C56="_","???",C56))</f>
        <v/>
      </c>
      <c r="H56" s="10" t="s">
        <v>11</v>
      </c>
      <c r="I56" s="11" t="s">
        <v>11</v>
      </c>
      <c r="J56" s="12"/>
    </row>
    <row r="57" spans="1:10" ht="60" customHeight="1">
      <c r="A57" s="6" t="s">
        <v>226</v>
      </c>
      <c r="B57" s="6" t="s">
        <v>16</v>
      </c>
      <c r="C57" s="6" t="s">
        <v>11</v>
      </c>
      <c r="D57" s="7" t="s">
        <v>227</v>
      </c>
      <c r="E57" s="8" t="s">
        <v>228</v>
      </c>
      <c r="F57" s="6" t="s">
        <v>229</v>
      </c>
      <c r="G57" s="9">
        <f>IF(A57=1,"_",IF(C57="_","???",C57))</f>
        <v/>
      </c>
      <c r="H57" s="10" t="s">
        <v>11</v>
      </c>
      <c r="I57" s="11" t="s">
        <v>11</v>
      </c>
      <c r="J57" s="12"/>
    </row>
    <row r="58" spans="1:10" ht="60" customHeight="1">
      <c r="A58" s="6" t="s">
        <v>230</v>
      </c>
      <c r="B58" s="6" t="s">
        <v>15</v>
      </c>
      <c r="C58" s="6" t="s">
        <v>11</v>
      </c>
      <c r="D58" s="7" t="s">
        <v>231</v>
      </c>
      <c r="E58" s="8" t="s">
        <v>231</v>
      </c>
      <c r="F58" s="6" t="s">
        <v>232</v>
      </c>
      <c r="G58" s="9">
        <f>IF(A58=1,"_",IF(C58="_","???",C58))</f>
        <v/>
      </c>
      <c r="H58" s="10" t="s">
        <v>11</v>
      </c>
      <c r="I58" s="11" t="s">
        <v>11</v>
      </c>
      <c r="J58" s="12"/>
    </row>
    <row r="59" spans="1:10" ht="60" customHeight="1">
      <c r="A59" s="6" t="s">
        <v>233</v>
      </c>
      <c r="B59" s="6" t="s">
        <v>119</v>
      </c>
      <c r="C59" s="6" t="s">
        <v>11</v>
      </c>
      <c r="D59" s="7" t="s">
        <v>234</v>
      </c>
      <c r="E59" s="8" t="s">
        <v>235</v>
      </c>
      <c r="F59" s="6" t="s">
        <v>236</v>
      </c>
      <c r="G59" s="9">
        <f>IF(A59=1,"_",IF(C59="_","???",C59))</f>
        <v/>
      </c>
      <c r="H59" s="10" t="s">
        <v>11</v>
      </c>
      <c r="I59" s="11" t="s">
        <v>11</v>
      </c>
      <c r="J59" s="12"/>
    </row>
    <row r="60" spans="1:10" ht="60" customHeight="1">
      <c r="A60" s="6" t="s">
        <v>237</v>
      </c>
      <c r="B60" s="6" t="s">
        <v>10</v>
      </c>
      <c r="C60" s="6" t="s">
        <v>11</v>
      </c>
      <c r="D60" s="7" t="s">
        <v>90</v>
      </c>
      <c r="E60" s="8" t="s">
        <v>90</v>
      </c>
      <c r="F60" s="6" t="s">
        <v>238</v>
      </c>
      <c r="G60" s="9">
        <f>IF(A60=1,"_",IF(C60="_","???",C60))</f>
        <v/>
      </c>
      <c r="H60" s="10" t="s">
        <v>11</v>
      </c>
      <c r="I60" s="11" t="s">
        <v>11</v>
      </c>
      <c r="J60" s="12"/>
    </row>
    <row r="61" spans="1:10" ht="60" customHeight="1">
      <c r="A61" s="6" t="s">
        <v>239</v>
      </c>
      <c r="B61" s="6" t="s">
        <v>30</v>
      </c>
      <c r="C61" s="6" t="s">
        <v>11</v>
      </c>
      <c r="D61" s="7" t="s">
        <v>240</v>
      </c>
      <c r="E61" s="8" t="s">
        <v>241</v>
      </c>
      <c r="F61" s="6" t="s">
        <v>242</v>
      </c>
      <c r="G61" s="9">
        <f>IF(A61=1,"_",IF(C61="_","???",C61))</f>
        <v/>
      </c>
      <c r="H61" s="10" t="s">
        <v>11</v>
      </c>
      <c r="I61" s="11" t="s">
        <v>11</v>
      </c>
      <c r="J61" s="12"/>
    </row>
    <row r="62" spans="1:10" ht="60" customHeight="1">
      <c r="A62" s="6" t="s">
        <v>243</v>
      </c>
      <c r="B62" s="6" t="s">
        <v>56</v>
      </c>
      <c r="C62" s="6" t="s">
        <v>11</v>
      </c>
      <c r="D62" s="7" t="s">
        <v>244</v>
      </c>
      <c r="E62" s="8" t="s">
        <v>245</v>
      </c>
      <c r="F62" s="6" t="s">
        <v>246</v>
      </c>
      <c r="G62" s="9">
        <f>IF(A62=1,"_",IF(C62="_","???",C62))</f>
        <v/>
      </c>
      <c r="H62" s="10" t="s">
        <v>11</v>
      </c>
      <c r="I62" s="11" t="s">
        <v>11</v>
      </c>
      <c r="J62" s="12"/>
    </row>
    <row r="63" spans="1:10" ht="60" customHeight="1">
      <c r="A63" s="6" t="s">
        <v>247</v>
      </c>
      <c r="B63" s="6" t="s">
        <v>48</v>
      </c>
      <c r="C63" s="6" t="s">
        <v>11</v>
      </c>
      <c r="D63" s="7" t="s">
        <v>248</v>
      </c>
      <c r="E63" s="8" t="s">
        <v>249</v>
      </c>
      <c r="F63" s="6" t="s">
        <v>250</v>
      </c>
      <c r="G63" s="9">
        <f>IF(A63=1,"_",IF(C63="_","???",C63))</f>
        <v/>
      </c>
      <c r="H63" s="10" t="s">
        <v>11</v>
      </c>
      <c r="I63" s="11" t="s">
        <v>11</v>
      </c>
      <c r="J63" s="12"/>
    </row>
    <row r="64" spans="1:10" ht="60" customHeight="1">
      <c r="A64" s="6" t="s">
        <v>251</v>
      </c>
      <c r="B64" s="6" t="s">
        <v>56</v>
      </c>
      <c r="C64" s="6" t="s">
        <v>11</v>
      </c>
      <c r="D64" s="7" t="s">
        <v>252</v>
      </c>
      <c r="E64" s="8" t="s">
        <v>253</v>
      </c>
      <c r="F64" s="6" t="s">
        <v>254</v>
      </c>
      <c r="G64" s="9">
        <f>IF(A64=1,"_",IF(C64="_","???",C64))</f>
        <v/>
      </c>
      <c r="H64" s="10" t="s">
        <v>11</v>
      </c>
      <c r="I64" s="11" t="s">
        <v>11</v>
      </c>
      <c r="J64" s="12"/>
    </row>
    <row r="65" spans="1:10" ht="60" customHeight="1">
      <c r="A65" s="6" t="s">
        <v>255</v>
      </c>
      <c r="B65" s="6" t="s">
        <v>16</v>
      </c>
      <c r="C65" s="6" t="s">
        <v>11</v>
      </c>
      <c r="D65" s="7" t="s">
        <v>128</v>
      </c>
      <c r="E65" s="8" t="s">
        <v>256</v>
      </c>
      <c r="F65" s="6" t="s">
        <v>257</v>
      </c>
      <c r="G65" s="9">
        <f>IF(A65=1,"_",IF(C65="_","???",C65))</f>
        <v/>
      </c>
      <c r="H65" s="10" t="s">
        <v>11</v>
      </c>
      <c r="I65" s="11" t="s">
        <v>11</v>
      </c>
      <c r="J65" s="12"/>
    </row>
    <row r="66" spans="1:10" ht="60" customHeight="1">
      <c r="A66" s="6" t="s">
        <v>258</v>
      </c>
      <c r="B66" s="6" t="s">
        <v>16</v>
      </c>
      <c r="C66" s="6" t="s">
        <v>11</v>
      </c>
      <c r="D66" s="7" t="s">
        <v>259</v>
      </c>
      <c r="E66" s="8" t="s">
        <v>260</v>
      </c>
      <c r="F66" s="6" t="s">
        <v>261</v>
      </c>
      <c r="G66" s="9">
        <f>IF(A66=1,"_",IF(C66="_","???",C66))</f>
        <v/>
      </c>
      <c r="H66" s="10" t="s">
        <v>11</v>
      </c>
      <c r="I66" s="11" t="s">
        <v>11</v>
      </c>
      <c r="J66" s="12"/>
    </row>
    <row r="67" spans="1:10" ht="60" customHeight="1">
      <c r="A67" s="6" t="s">
        <v>262</v>
      </c>
      <c r="B67" s="6" t="s">
        <v>48</v>
      </c>
      <c r="C67" s="6" t="s">
        <v>11</v>
      </c>
      <c r="D67" s="7" t="s">
        <v>263</v>
      </c>
      <c r="E67" s="8" t="s">
        <v>264</v>
      </c>
      <c r="F67" s="6" t="s">
        <v>265</v>
      </c>
      <c r="G67" s="9">
        <f>IF(A67=1,"_",IF(C67="_","???",C67))</f>
        <v/>
      </c>
      <c r="H67" s="10" t="s">
        <v>11</v>
      </c>
      <c r="I67" s="11" t="s">
        <v>11</v>
      </c>
      <c r="J67" s="12"/>
    </row>
    <row r="68" spans="1:10" ht="60" customHeight="1">
      <c r="A68" s="6" t="s">
        <v>266</v>
      </c>
      <c r="B68" s="6" t="s">
        <v>10</v>
      </c>
      <c r="C68" s="6" t="s">
        <v>11</v>
      </c>
      <c r="D68" s="7" t="s">
        <v>90</v>
      </c>
      <c r="E68" s="8" t="s">
        <v>90</v>
      </c>
      <c r="F68" s="6" t="s">
        <v>267</v>
      </c>
      <c r="G68" s="9">
        <f>IF(A68=1,"_",IF(C68="_","???",C68))</f>
        <v/>
      </c>
      <c r="H68" s="10" t="s">
        <v>11</v>
      </c>
      <c r="I68" s="11" t="s">
        <v>11</v>
      </c>
      <c r="J68" s="12"/>
    </row>
    <row r="69" spans="1:10" ht="60" customHeight="1">
      <c r="A69" s="6" t="s">
        <v>268</v>
      </c>
      <c r="B69" s="6" t="s">
        <v>20</v>
      </c>
      <c r="C69" s="6" t="s">
        <v>11</v>
      </c>
      <c r="D69" s="7" t="s">
        <v>269</v>
      </c>
      <c r="E69" s="8" t="s">
        <v>270</v>
      </c>
      <c r="F69" s="6" t="s">
        <v>271</v>
      </c>
      <c r="G69" s="9">
        <f>IF(A69=1,"_",IF(C69="_","???",C69))</f>
        <v/>
      </c>
      <c r="H69" s="10" t="s">
        <v>11</v>
      </c>
      <c r="I69" s="11" t="s">
        <v>11</v>
      </c>
      <c r="J69" s="12"/>
    </row>
    <row r="70" spans="1:10" ht="60" customHeight="1">
      <c r="A70" s="6" t="s">
        <v>272</v>
      </c>
      <c r="B70" s="6" t="s">
        <v>29</v>
      </c>
      <c r="C70" s="6" t="s">
        <v>11</v>
      </c>
      <c r="D70" s="7" t="s">
        <v>273</v>
      </c>
      <c r="E70" s="8" t="s">
        <v>274</v>
      </c>
      <c r="F70" s="6" t="s">
        <v>275</v>
      </c>
      <c r="G70" s="9">
        <f>IF(A70=1,"_",IF(C70="_","???",C70))</f>
        <v/>
      </c>
      <c r="H70" s="10" t="s">
        <v>11</v>
      </c>
      <c r="I70" s="11" t="s">
        <v>11</v>
      </c>
      <c r="J70" s="12"/>
    </row>
    <row r="71" spans="1:10" ht="60" customHeight="1">
      <c r="A71" s="6" t="s">
        <v>276</v>
      </c>
      <c r="B71" s="6" t="s">
        <v>20</v>
      </c>
      <c r="C71" s="6" t="s">
        <v>11</v>
      </c>
      <c r="D71" s="7" t="s">
        <v>277</v>
      </c>
      <c r="E71" s="8" t="s">
        <v>278</v>
      </c>
      <c r="F71" s="6" t="s">
        <v>279</v>
      </c>
      <c r="G71" s="9">
        <f>IF(A71=1,"_",IF(C71="_","???",C71))</f>
        <v/>
      </c>
      <c r="H71" s="10" t="s">
        <v>11</v>
      </c>
      <c r="I71" s="11" t="s">
        <v>11</v>
      </c>
      <c r="J71" s="12"/>
    </row>
    <row r="72" spans="1:10" ht="60" customHeight="1">
      <c r="A72" s="6" t="s">
        <v>280</v>
      </c>
      <c r="B72" s="6" t="s">
        <v>25</v>
      </c>
      <c r="C72" s="6" t="s">
        <v>11</v>
      </c>
      <c r="D72" s="7" t="s">
        <v>281</v>
      </c>
      <c r="E72" s="8" t="s">
        <v>282</v>
      </c>
      <c r="F72" s="6" t="s">
        <v>283</v>
      </c>
      <c r="G72" s="9">
        <f>IF(A72=1,"_",IF(C72="_","???",C72))</f>
        <v/>
      </c>
      <c r="H72" s="10" t="s">
        <v>11</v>
      </c>
      <c r="I72" s="11" t="s">
        <v>11</v>
      </c>
      <c r="J7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284</v>
      </c>
      <c r="B1" s="13" t="s">
        <v>285</v>
      </c>
      <c r="C1" s="13" t="s">
        <v>286</v>
      </c>
      <c r="D1" s="13" t="s">
        <v>287</v>
      </c>
      <c r="E1" s="14" t="s">
        <v>288</v>
      </c>
      <c r="F1" s="15" t="s">
        <v>289</v>
      </c>
      <c r="G1" s="16" t="s">
        <v>290</v>
      </c>
      <c r="H1" s="17" t="s">
        <v>291</v>
      </c>
      <c r="I1" s="18" t="s">
        <v>292</v>
      </c>
      <c r="J1" s="18" t="s">
        <v>293</v>
      </c>
      <c r="K1" s="18" t="s">
        <v>294</v>
      </c>
      <c r="L1" s="19" t="s">
        <v>9</v>
      </c>
    </row>
    <row r="2" spans="1:12">
      <c r="A2" s="20" t="s">
        <v>295</v>
      </c>
    </row>
    <row r="3" spans="1:12">
      <c r="A3" s="20" t="s">
        <v>296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297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298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299</v>
      </c>
      <c r="B6" s="27" t="s">
        <v>300</v>
      </c>
      <c r="C6" s="27" t="s">
        <v>301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298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302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303</v>
      </c>
      <c r="B9" s="27" t="s">
        <v>304</v>
      </c>
      <c r="C9" s="27" t="s">
        <v>305</v>
      </c>
      <c r="D9" s="27" t="s">
        <v>306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307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308</v>
      </c>
      <c r="B11" s="27" t="s">
        <v>309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310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311</v>
      </c>
      <c r="B13" s="27" t="s">
        <v>312</v>
      </c>
      <c r="C13" s="27" t="s">
        <v>313</v>
      </c>
      <c r="D13" s="27" t="s">
        <v>306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314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315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316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317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318</v>
      </c>
      <c r="B18" s="27" t="s">
        <v>319</v>
      </c>
      <c r="C18" s="27" t="s">
        <v>320</v>
      </c>
      <c r="D18" s="27" t="s">
        <v>306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297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321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322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318</v>
      </c>
      <c r="B22" s="27" t="s">
        <v>323</v>
      </c>
      <c r="C22" s="27" t="s">
        <v>320</v>
      </c>
      <c r="D22" s="27" t="s">
        <v>306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324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317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325</v>
      </c>
      <c r="B25" s="27" t="s">
        <v>319</v>
      </c>
      <c r="C25" s="27" t="s">
        <v>326</v>
      </c>
      <c r="D25" s="27" t="s">
        <v>306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307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327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297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328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310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329</v>
      </c>
      <c r="B31" s="27" t="s">
        <v>319</v>
      </c>
      <c r="C31" s="27" t="s">
        <v>313</v>
      </c>
      <c r="D31" s="27" t="s">
        <v>306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297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330</v>
      </c>
      <c r="B33" s="27" t="s">
        <v>331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332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333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334</v>
      </c>
      <c r="B36" s="27" t="s">
        <v>335</v>
      </c>
      <c r="C36" s="27" t="s">
        <v>336</v>
      </c>
      <c r="D36" s="27" t="s">
        <v>306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330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240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337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334</v>
      </c>
      <c r="B40" s="27" t="s">
        <v>338</v>
      </c>
      <c r="C40" s="27" t="s">
        <v>336</v>
      </c>
      <c r="D40" s="27" t="s">
        <v>306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330</v>
      </c>
      <c r="B41" s="27" t="s">
        <v>339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340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341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310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342</v>
      </c>
      <c r="B45" s="27" t="s">
        <v>343</v>
      </c>
      <c r="C45" s="27" t="s">
        <v>313</v>
      </c>
      <c r="D45" s="27" t="s">
        <v>306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344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/>
    </row>
    <row r="48" spans="1:12">
      <c r="A48" s="20" t="s">
        <v>345</v>
      </c>
    </row>
    <row r="49" spans="1:12">
      <c r="A49" s="20" t="s">
        <v>346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299</v>
      </c>
      <c r="B50" s="27" t="s">
        <v>347</v>
      </c>
      <c r="C50" s="27" t="s">
        <v>348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297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349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310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350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351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352</v>
      </c>
      <c r="B56" s="27" t="s">
        <v>353</v>
      </c>
      <c r="C56" s="27" t="s">
        <v>305</v>
      </c>
      <c r="D56" s="27" t="s">
        <v>306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317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354</v>
      </c>
      <c r="B58" s="27" t="s">
        <v>300</v>
      </c>
      <c r="C58" s="27" t="s">
        <v>355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356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337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297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357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358</v>
      </c>
      <c r="B63" s="27" t="s">
        <v>309</v>
      </c>
      <c r="C63" s="27" t="s">
        <v>320</v>
      </c>
      <c r="D63" s="27" t="s">
        <v>306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314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359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360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297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310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303</v>
      </c>
      <c r="B69" s="27" t="s">
        <v>361</v>
      </c>
      <c r="C69" s="27" t="s">
        <v>313</v>
      </c>
      <c r="D69" s="27" t="s">
        <v>306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332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362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363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364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365</v>
      </c>
      <c r="B74" s="27" t="s">
        <v>309</v>
      </c>
      <c r="C74" s="27" t="s">
        <v>366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337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367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368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350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334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369</v>
      </c>
      <c r="B80" s="27" t="s">
        <v>370</v>
      </c>
      <c r="C80" s="27" t="s">
        <v>305</v>
      </c>
      <c r="D80" s="27" t="s">
        <v>306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317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90</v>
      </c>
      <c r="B82" s="27" t="s">
        <v>371</v>
      </c>
      <c r="C82" s="27" t="s">
        <v>372</v>
      </c>
      <c r="D82" s="27" t="s">
        <v>306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373</v>
      </c>
      <c r="B83" s="27" t="s">
        <v>374</v>
      </c>
      <c r="C83" s="27" t="s">
        <v>372</v>
      </c>
      <c r="D83" s="27" t="s">
        <v>306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344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/>
    </row>
    <row r="86" spans="1:12">
      <c r="A86" s="20" t="s">
        <v>375</v>
      </c>
    </row>
    <row r="87" spans="1:12">
      <c r="A87" s="20" t="s">
        <v>376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377</v>
      </c>
      <c r="B88" s="27" t="s">
        <v>353</v>
      </c>
      <c r="C88" s="27" t="s">
        <v>378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297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310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379</v>
      </c>
      <c r="B91" s="27" t="s">
        <v>347</v>
      </c>
      <c r="C91" s="27" t="s">
        <v>313</v>
      </c>
      <c r="D91" s="27" t="s">
        <v>306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380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310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337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381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358</v>
      </c>
      <c r="B96" s="27" t="s">
        <v>382</v>
      </c>
      <c r="C96" s="27" t="s">
        <v>320</v>
      </c>
      <c r="D96" s="27" t="s">
        <v>306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383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384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385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297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90</v>
      </c>
      <c r="B102" s="27" t="s">
        <v>312</v>
      </c>
      <c r="C102" s="27" t="s">
        <v>372</v>
      </c>
      <c r="D102" s="27" t="s">
        <v>306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373</v>
      </c>
      <c r="B103" s="27" t="s">
        <v>371</v>
      </c>
      <c r="C103" s="27" t="s">
        <v>372</v>
      </c>
      <c r="D103" s="27" t="s">
        <v>306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307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386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387</v>
      </c>
      <c r="B106" s="27" t="s">
        <v>312</v>
      </c>
      <c r="C106" s="27" t="s">
        <v>355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351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388</v>
      </c>
      <c r="B108" s="27" t="s">
        <v>319</v>
      </c>
      <c r="C108" s="27" t="s">
        <v>305</v>
      </c>
      <c r="D108" s="27" t="s">
        <v>306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317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389</v>
      </c>
      <c r="B110" s="27" t="s">
        <v>374</v>
      </c>
      <c r="C110" s="27" t="s">
        <v>355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337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298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390</v>
      </c>
      <c r="B113" s="27" t="s">
        <v>374</v>
      </c>
      <c r="C113" s="27" t="s">
        <v>305</v>
      </c>
      <c r="D113" s="27" t="s">
        <v>306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317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391</v>
      </c>
      <c r="B115" s="27" t="s">
        <v>392</v>
      </c>
      <c r="C115" s="27" t="s">
        <v>355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307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393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394</v>
      </c>
      <c r="B118" s="27" t="s">
        <v>309</v>
      </c>
      <c r="C118" s="27" t="s">
        <v>366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395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310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161</v>
      </c>
      <c r="B121" s="27" t="s">
        <v>370</v>
      </c>
      <c r="C121" s="27" t="s">
        <v>313</v>
      </c>
      <c r="D121" s="27" t="s">
        <v>306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307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318</v>
      </c>
      <c r="B123" s="27" t="s">
        <v>323</v>
      </c>
      <c r="C123" s="27" t="s">
        <v>320</v>
      </c>
      <c r="D123" s="27" t="s">
        <v>306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396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397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337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398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337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350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399</v>
      </c>
      <c r="B130" s="27" t="s">
        <v>374</v>
      </c>
      <c r="C130" s="27" t="s">
        <v>336</v>
      </c>
      <c r="D130" s="27" t="s">
        <v>306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400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401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344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/>
    </row>
    <row r="135" spans="1:12">
      <c r="A135" s="20" t="s">
        <v>402</v>
      </c>
    </row>
    <row r="136" spans="1:12">
      <c r="A136" s="20" t="s">
        <v>403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404</v>
      </c>
      <c r="B137" s="27" t="s">
        <v>304</v>
      </c>
      <c r="C137" s="27" t="s">
        <v>320</v>
      </c>
      <c r="D137" s="27" t="s">
        <v>306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310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405</v>
      </c>
      <c r="B139" s="27" t="s">
        <v>304</v>
      </c>
      <c r="C139" s="27" t="s">
        <v>355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406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330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334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407</v>
      </c>
      <c r="B143" s="27" t="s">
        <v>353</v>
      </c>
      <c r="C143" s="27" t="s">
        <v>313</v>
      </c>
      <c r="D143" s="27" t="s">
        <v>306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408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359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337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297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409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410</v>
      </c>
      <c r="B149" s="27" t="s">
        <v>371</v>
      </c>
      <c r="C149" s="27" t="s">
        <v>355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297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411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404</v>
      </c>
      <c r="B152" s="27" t="s">
        <v>319</v>
      </c>
      <c r="C152" s="27" t="s">
        <v>320</v>
      </c>
      <c r="D152" s="27" t="s">
        <v>306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412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307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332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413</v>
      </c>
      <c r="B156" s="27" t="s">
        <v>371</v>
      </c>
      <c r="C156" s="27" t="s">
        <v>305</v>
      </c>
      <c r="D156" s="27" t="s">
        <v>306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317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334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405</v>
      </c>
      <c r="B159" s="27" t="s">
        <v>374</v>
      </c>
      <c r="C159" s="27" t="s">
        <v>313</v>
      </c>
      <c r="D159" s="27" t="s">
        <v>306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297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414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415</v>
      </c>
      <c r="B162" s="27" t="s">
        <v>374</v>
      </c>
      <c r="C162" s="27" t="s">
        <v>355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337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416</v>
      </c>
      <c r="B164" s="27" t="s">
        <v>374</v>
      </c>
      <c r="C164" s="27" t="s">
        <v>355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310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390</v>
      </c>
      <c r="B166" s="27" t="s">
        <v>335</v>
      </c>
      <c r="C166" s="27" t="s">
        <v>313</v>
      </c>
      <c r="D166" s="27" t="s">
        <v>306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337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310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161</v>
      </c>
      <c r="B169" s="27" t="s">
        <v>417</v>
      </c>
      <c r="C169" s="27" t="s">
        <v>313</v>
      </c>
      <c r="D169" s="27" t="s">
        <v>306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418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419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420</v>
      </c>
      <c r="B172" s="27" t="s">
        <v>421</v>
      </c>
      <c r="C172" s="27" t="s">
        <v>366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344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/>
    </row>
    <row r="175" spans="1:12">
      <c r="A175" s="20" t="s">
        <v>422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423</v>
      </c>
    </row>
    <row r="177" spans="1:12">
      <c r="A177" s="20" t="s">
        <v>424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425</v>
      </c>
      <c r="B178" s="27" t="s">
        <v>353</v>
      </c>
      <c r="C178" s="27" t="s">
        <v>305</v>
      </c>
      <c r="D178" s="27" t="s">
        <v>306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426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427</v>
      </c>
      <c r="B180" s="27" t="s">
        <v>300</v>
      </c>
      <c r="C180" s="27" t="s">
        <v>428</v>
      </c>
      <c r="D180" s="27" t="s">
        <v>306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429</v>
      </c>
      <c r="B181" s="27" t="s">
        <v>353</v>
      </c>
      <c r="C181" s="27" t="s">
        <v>348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297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332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430</v>
      </c>
      <c r="B184" s="27" t="s">
        <v>353</v>
      </c>
      <c r="C184" s="27" t="s">
        <v>355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317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431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432</v>
      </c>
      <c r="B188" s="27" t="s">
        <v>309</v>
      </c>
      <c r="C188" s="27" t="s">
        <v>355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297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161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297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431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310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334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433</v>
      </c>
      <c r="B195" s="27" t="s">
        <v>309</v>
      </c>
      <c r="C195" s="27" t="s">
        <v>313</v>
      </c>
      <c r="D195" s="27" t="s">
        <v>306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317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434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341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435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436</v>
      </c>
      <c r="B200" s="27" t="s">
        <v>374</v>
      </c>
      <c r="C200" s="27" t="s">
        <v>313</v>
      </c>
      <c r="D200" s="27" t="s">
        <v>306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344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/>
    </row>
    <row r="203" spans="1:12">
      <c r="A203" s="20" t="s">
        <v>437</v>
      </c>
    </row>
    <row r="204" spans="1:12">
      <c r="A204" s="20" t="s">
        <v>11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438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394</v>
      </c>
      <c r="B206" s="27" t="s">
        <v>382</v>
      </c>
      <c r="C206" s="27" t="s">
        <v>366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439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297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381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90</v>
      </c>
      <c r="B211" s="27" t="s">
        <v>347</v>
      </c>
      <c r="C211" s="27" t="s">
        <v>372</v>
      </c>
      <c r="D211" s="27" t="s">
        <v>306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373</v>
      </c>
      <c r="B212" s="27" t="s">
        <v>300</v>
      </c>
      <c r="C212" s="27" t="s">
        <v>372</v>
      </c>
      <c r="D212" s="27" t="s">
        <v>306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310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310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379</v>
      </c>
      <c r="B215" s="27" t="s">
        <v>304</v>
      </c>
      <c r="C215" s="27" t="s">
        <v>313</v>
      </c>
      <c r="D215" s="27" t="s">
        <v>306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297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337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440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400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344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/>
    </row>
    <row r="222" spans="1:12">
      <c r="A222" s="20" t="s">
        <v>441</v>
      </c>
    </row>
    <row r="223" spans="1:12">
      <c r="A223" s="20" t="s">
        <v>442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443</v>
      </c>
      <c r="B224" s="27" t="s">
        <v>347</v>
      </c>
      <c r="C224" s="27" t="s">
        <v>313</v>
      </c>
      <c r="D224" s="27" t="s">
        <v>306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444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310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310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445</v>
      </c>
      <c r="B228" s="27" t="s">
        <v>353</v>
      </c>
      <c r="C228" s="27" t="s">
        <v>305</v>
      </c>
      <c r="D228" s="27" t="s">
        <v>306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317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310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446</v>
      </c>
      <c r="B231" s="27" t="s">
        <v>300</v>
      </c>
      <c r="C231" s="27" t="s">
        <v>313</v>
      </c>
      <c r="D231" s="27" t="s">
        <v>306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297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310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298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447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448</v>
      </c>
      <c r="B236" s="27" t="s">
        <v>353</v>
      </c>
      <c r="C236" s="27" t="s">
        <v>378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362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449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450</v>
      </c>
      <c r="B239" s="27" t="s">
        <v>300</v>
      </c>
      <c r="C239" s="27" t="s">
        <v>305</v>
      </c>
      <c r="D239" s="27" t="s">
        <v>306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317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405</v>
      </c>
      <c r="B241" s="27" t="s">
        <v>370</v>
      </c>
      <c r="C241" s="27" t="s">
        <v>305</v>
      </c>
      <c r="D241" s="27" t="s">
        <v>306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317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310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451</v>
      </c>
      <c r="B244" s="27" t="s">
        <v>371</v>
      </c>
      <c r="C244" s="27" t="s">
        <v>313</v>
      </c>
      <c r="D244" s="27" t="s">
        <v>306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344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/>
    </row>
    <row r="247" spans="1:12">
      <c r="A247" s="20" t="s">
        <v>452</v>
      </c>
    </row>
    <row r="248" spans="1:12">
      <c r="A248" s="20" t="s">
        <v>424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90</v>
      </c>
      <c r="B249" s="27" t="s">
        <v>361</v>
      </c>
      <c r="C249" s="27" t="s">
        <v>372</v>
      </c>
      <c r="D249" s="27" t="s">
        <v>306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373</v>
      </c>
      <c r="B250" s="27" t="s">
        <v>370</v>
      </c>
      <c r="C250" s="27" t="s">
        <v>372</v>
      </c>
      <c r="D250" s="27" t="s">
        <v>306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453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310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310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446</v>
      </c>
      <c r="B254" s="27" t="s">
        <v>300</v>
      </c>
      <c r="C254" s="27" t="s">
        <v>313</v>
      </c>
      <c r="D254" s="27" t="s">
        <v>306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297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454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334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455</v>
      </c>
      <c r="B258" s="27" t="s">
        <v>304</v>
      </c>
      <c r="C258" s="27" t="s">
        <v>313</v>
      </c>
      <c r="D258" s="27" t="s">
        <v>306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307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332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456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297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457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297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330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458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459</v>
      </c>
      <c r="B267" s="27" t="s">
        <v>323</v>
      </c>
      <c r="C267" s="27" t="s">
        <v>355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460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461</v>
      </c>
      <c r="B269" s="27" t="s">
        <v>370</v>
      </c>
      <c r="C269" s="27" t="s">
        <v>320</v>
      </c>
      <c r="D269" s="27" t="s">
        <v>306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297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332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462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463</v>
      </c>
      <c r="B273" s="27" t="s">
        <v>309</v>
      </c>
      <c r="C273" s="27" t="s">
        <v>355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344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/>
    </row>
    <row r="276" spans="1:12">
      <c r="A276" s="20" t="s">
        <v>464</v>
      </c>
    </row>
    <row r="277" spans="1:12">
      <c r="A277" s="20" t="s">
        <v>11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465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377</v>
      </c>
      <c r="B279" s="27" t="s">
        <v>353</v>
      </c>
      <c r="C279" s="27" t="s">
        <v>355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297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90</v>
      </c>
      <c r="B281" s="27" t="s">
        <v>300</v>
      </c>
      <c r="C281" s="27" t="s">
        <v>372</v>
      </c>
      <c r="D281" s="27" t="s">
        <v>306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373</v>
      </c>
      <c r="B282" s="27" t="s">
        <v>370</v>
      </c>
      <c r="C282" s="27" t="s">
        <v>372</v>
      </c>
      <c r="D282" s="27" t="s">
        <v>306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297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11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381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334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455</v>
      </c>
      <c r="B287" s="27" t="s">
        <v>347</v>
      </c>
      <c r="C287" s="27" t="s">
        <v>313</v>
      </c>
      <c r="D287" s="27" t="s">
        <v>306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466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467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344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/>
    </row>
    <row r="292" spans="1:12">
      <c r="A292" s="20" t="s">
        <v>468</v>
      </c>
    </row>
    <row r="293" spans="1:12">
      <c r="A293" s="20" t="s">
        <v>11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469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470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297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455</v>
      </c>
      <c r="B297" s="27" t="s">
        <v>304</v>
      </c>
      <c r="C297" s="27" t="s">
        <v>355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344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/>
    </row>
    <row r="300" spans="1:12">
      <c r="A300" s="20" t="s">
        <v>471</v>
      </c>
    </row>
    <row r="301" spans="1:12">
      <c r="A301" s="20" t="s">
        <v>11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472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473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297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321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474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475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297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90</v>
      </c>
      <c r="B309" s="27" t="s">
        <v>347</v>
      </c>
      <c r="C309" s="27" t="s">
        <v>372</v>
      </c>
      <c r="D309" s="27" t="s">
        <v>306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373</v>
      </c>
      <c r="B310" s="27" t="s">
        <v>300</v>
      </c>
      <c r="C310" s="27" t="s">
        <v>372</v>
      </c>
      <c r="D310" s="27" t="s">
        <v>306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476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/>
    </row>
    <row r="313" spans="1:12">
      <c r="A313" s="20" t="s">
        <v>477</v>
      </c>
    </row>
    <row r="314" spans="1:12">
      <c r="A314" s="20" t="s">
        <v>11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478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310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310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479</v>
      </c>
      <c r="B318" s="27" t="s">
        <v>304</v>
      </c>
      <c r="C318" s="27" t="s">
        <v>305</v>
      </c>
      <c r="D318" s="27" t="s">
        <v>306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317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310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161</v>
      </c>
      <c r="B321" s="27" t="s">
        <v>300</v>
      </c>
      <c r="C321" s="27" t="s">
        <v>313</v>
      </c>
      <c r="D321" s="27" t="s">
        <v>306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344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/>
    </row>
    <row r="324" spans="1:12">
      <c r="A324" s="20" t="s">
        <v>480</v>
      </c>
    </row>
    <row r="325" spans="1:12">
      <c r="A325" s="20" t="s">
        <v>11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481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330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482</v>
      </c>
      <c r="B328" s="27" t="s">
        <v>353</v>
      </c>
      <c r="C328" s="27" t="s">
        <v>305</v>
      </c>
      <c r="D328" s="27" t="s">
        <v>306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483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426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484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485</v>
      </c>
      <c r="B332" s="27" t="s">
        <v>353</v>
      </c>
      <c r="C332" s="27" t="s">
        <v>486</v>
      </c>
      <c r="D332" s="27" t="s">
        <v>306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476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/>
    </row>
    <row r="335" spans="1:12">
      <c r="A335" s="20" t="s">
        <v>487</v>
      </c>
    </row>
    <row r="336" spans="1:12">
      <c r="A336" s="20" t="s">
        <v>11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488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389</v>
      </c>
      <c r="B338" s="27" t="s">
        <v>304</v>
      </c>
      <c r="C338" s="27" t="s">
        <v>355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337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391</v>
      </c>
      <c r="B340" s="27" t="s">
        <v>300</v>
      </c>
      <c r="C340" s="27" t="s">
        <v>355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344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/>
    </row>
    <row r="343" spans="1:12">
      <c r="A343" s="20" t="s">
        <v>489</v>
      </c>
    </row>
    <row r="344" spans="1:12">
      <c r="A344" s="20" t="s">
        <v>490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334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389</v>
      </c>
      <c r="B346" s="27" t="s">
        <v>304</v>
      </c>
      <c r="C346" s="27" t="s">
        <v>313</v>
      </c>
      <c r="D346" s="27" t="s">
        <v>306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491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297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321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310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161</v>
      </c>
      <c r="B351" s="27" t="s">
        <v>304</v>
      </c>
      <c r="C351" s="27" t="s">
        <v>313</v>
      </c>
      <c r="D351" s="27" t="s">
        <v>306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297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330</v>
      </c>
      <c r="B353" s="27" t="s">
        <v>312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396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492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337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359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398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297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418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493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297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494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350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330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400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495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344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/>
    </row>
    <row r="370" spans="1:12">
      <c r="A370" s="20" t="s">
        <v>496</v>
      </c>
    </row>
    <row r="371" spans="1:12">
      <c r="A371" s="20" t="s">
        <v>11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497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498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499</v>
      </c>
      <c r="B374" s="27" t="s">
        <v>382</v>
      </c>
      <c r="C374" s="27" t="s">
        <v>355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161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297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90</v>
      </c>
      <c r="B377" s="27" t="s">
        <v>370</v>
      </c>
      <c r="C377" s="27" t="s">
        <v>372</v>
      </c>
      <c r="D377" s="27" t="s">
        <v>306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373</v>
      </c>
      <c r="B378" s="27" t="s">
        <v>371</v>
      </c>
      <c r="C378" s="27" t="s">
        <v>372</v>
      </c>
      <c r="D378" s="27" t="s">
        <v>306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476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500</v>
      </c>
      <c r="B381" s="27" t="s">
        <v>374</v>
      </c>
      <c r="C381" s="27" t="s">
        <v>305</v>
      </c>
      <c r="D381" s="27" t="s">
        <v>306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310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351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501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429</v>
      </c>
      <c r="B385" s="27" t="s">
        <v>392</v>
      </c>
      <c r="C385" s="27" t="s">
        <v>305</v>
      </c>
      <c r="D385" s="27" t="s">
        <v>306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317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448</v>
      </c>
      <c r="B387" s="27" t="s">
        <v>502</v>
      </c>
      <c r="C387" s="27" t="s">
        <v>355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317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386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297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426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310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446</v>
      </c>
      <c r="B393" s="27" t="s">
        <v>502</v>
      </c>
      <c r="C393" s="27" t="s">
        <v>313</v>
      </c>
      <c r="D393" s="27" t="s">
        <v>306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297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503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317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504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505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506</v>
      </c>
      <c r="B399" s="27" t="s">
        <v>421</v>
      </c>
      <c r="C399" s="27" t="s">
        <v>378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307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310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479</v>
      </c>
      <c r="B402" s="27" t="s">
        <v>507</v>
      </c>
      <c r="C402" s="27" t="s">
        <v>313</v>
      </c>
      <c r="D402" s="27" t="s">
        <v>306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396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508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317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509</v>
      </c>
      <c r="B406" s="27" t="s">
        <v>374</v>
      </c>
      <c r="C406" s="27" t="s">
        <v>355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297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510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330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334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511</v>
      </c>
      <c r="B411" s="27" t="s">
        <v>382</v>
      </c>
      <c r="C411" s="27" t="s">
        <v>313</v>
      </c>
      <c r="D411" s="27" t="s">
        <v>306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297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11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381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90</v>
      </c>
      <c r="B415" s="27" t="s">
        <v>361</v>
      </c>
      <c r="C415" s="27" t="s">
        <v>372</v>
      </c>
      <c r="D415" s="27" t="s">
        <v>306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373</v>
      </c>
      <c r="B416" s="27" t="s">
        <v>370</v>
      </c>
      <c r="C416" s="27" t="s">
        <v>372</v>
      </c>
      <c r="D416" s="27" t="s">
        <v>306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344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/>
    </row>
    <row r="419" spans="1:12">
      <c r="A419" s="20" t="s">
        <v>422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512</v>
      </c>
    </row>
    <row r="421" spans="1:12">
      <c r="A421" s="20" t="s">
        <v>513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399</v>
      </c>
      <c r="B422" s="27" t="s">
        <v>353</v>
      </c>
      <c r="C422" s="27" t="s">
        <v>336</v>
      </c>
      <c r="D422" s="27" t="s">
        <v>306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297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334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455</v>
      </c>
      <c r="B425" s="27" t="s">
        <v>347</v>
      </c>
      <c r="C425" s="27" t="s">
        <v>313</v>
      </c>
      <c r="D425" s="27" t="s">
        <v>306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514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515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383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431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516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517</v>
      </c>
      <c r="B431" s="27" t="s">
        <v>323</v>
      </c>
      <c r="C431" s="27" t="s">
        <v>486</v>
      </c>
      <c r="D431" s="27" t="s">
        <v>306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518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519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351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520</v>
      </c>
      <c r="B435" s="27" t="s">
        <v>312</v>
      </c>
      <c r="C435" s="27" t="s">
        <v>305</v>
      </c>
      <c r="D435" s="27" t="s">
        <v>306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521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297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522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362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523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330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310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443</v>
      </c>
      <c r="B443" s="27" t="s">
        <v>371</v>
      </c>
      <c r="C443" s="27" t="s">
        <v>313</v>
      </c>
      <c r="D443" s="27" t="s">
        <v>306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307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524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525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350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526</v>
      </c>
      <c r="B448" s="27" t="s">
        <v>309</v>
      </c>
      <c r="C448" s="27" t="s">
        <v>355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395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527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528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529</v>
      </c>
      <c r="B452" s="27" t="s">
        <v>530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344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431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531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351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532</v>
      </c>
      <c r="B457" s="27" t="s">
        <v>382</v>
      </c>
      <c r="C457" s="27" t="s">
        <v>305</v>
      </c>
      <c r="D457" s="27" t="s">
        <v>306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317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405</v>
      </c>
      <c r="B459" s="27" t="s">
        <v>370</v>
      </c>
      <c r="C459" s="27" t="s">
        <v>355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310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334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533</v>
      </c>
      <c r="B462" s="27" t="s">
        <v>300</v>
      </c>
      <c r="C462" s="27" t="s">
        <v>305</v>
      </c>
      <c r="D462" s="27" t="s">
        <v>306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317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90</v>
      </c>
      <c r="B464" s="27" t="s">
        <v>370</v>
      </c>
      <c r="C464" s="27" t="s">
        <v>372</v>
      </c>
      <c r="D464" s="27" t="s">
        <v>306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373</v>
      </c>
      <c r="B465" s="27" t="s">
        <v>371</v>
      </c>
      <c r="C465" s="27" t="s">
        <v>372</v>
      </c>
      <c r="D465" s="27" t="s">
        <v>306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337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534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535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383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11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536</v>
      </c>
      <c r="B471" s="27" t="s">
        <v>382</v>
      </c>
      <c r="C471" s="27" t="s">
        <v>372</v>
      </c>
      <c r="D471" s="27" t="s">
        <v>306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297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90</v>
      </c>
      <c r="B473" s="27" t="s">
        <v>370</v>
      </c>
      <c r="C473" s="27" t="s">
        <v>372</v>
      </c>
      <c r="D473" s="27" t="s">
        <v>306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373</v>
      </c>
      <c r="B474" s="27" t="s">
        <v>371</v>
      </c>
      <c r="C474" s="27" t="s">
        <v>372</v>
      </c>
      <c r="D474" s="27" t="s">
        <v>306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297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330</v>
      </c>
      <c r="B476" s="27" t="s">
        <v>507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537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538</v>
      </c>
      <c r="B478" s="27" t="s">
        <v>530</v>
      </c>
      <c r="C478" s="27" t="s">
        <v>355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539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/>
    </row>
    <row r="481" spans="1:12">
      <c r="A481" s="20" t="s">
        <v>540</v>
      </c>
    </row>
    <row r="482" spans="1:12">
      <c r="A482" s="20" t="s">
        <v>541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542</v>
      </c>
      <c r="B483" s="27" t="s">
        <v>353</v>
      </c>
      <c r="C483" s="27" t="s">
        <v>366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332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543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310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334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544</v>
      </c>
      <c r="B488" s="27" t="s">
        <v>353</v>
      </c>
      <c r="C488" s="27" t="s">
        <v>305</v>
      </c>
      <c r="D488" s="27" t="s">
        <v>306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317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545</v>
      </c>
      <c r="B490" s="27" t="s">
        <v>300</v>
      </c>
      <c r="C490" s="27" t="s">
        <v>320</v>
      </c>
      <c r="D490" s="27" t="s">
        <v>306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476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/>
    </row>
    <row r="493" spans="1:12">
      <c r="A493" s="20" t="s">
        <v>546</v>
      </c>
    </row>
    <row r="494" spans="1:12">
      <c r="A494" s="20" t="s">
        <v>547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330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548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549</v>
      </c>
      <c r="B497" s="27" t="s">
        <v>300</v>
      </c>
      <c r="C497" s="27" t="s">
        <v>355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550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334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551</v>
      </c>
      <c r="B500" s="27" t="s">
        <v>382</v>
      </c>
      <c r="C500" s="27" t="s">
        <v>305</v>
      </c>
      <c r="D500" s="27" t="s">
        <v>306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552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317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435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553</v>
      </c>
      <c r="B504" s="27" t="s">
        <v>370</v>
      </c>
      <c r="C504" s="27" t="s">
        <v>313</v>
      </c>
      <c r="D504" s="27" t="s">
        <v>306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539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/>
    </row>
    <row r="507" spans="1:12">
      <c r="A507" s="20" t="s">
        <v>554</v>
      </c>
    </row>
    <row r="508" spans="1:12">
      <c r="A508" s="20" t="s">
        <v>86</v>
      </c>
      <c r="B508" s="27" t="s">
        <v>353</v>
      </c>
      <c r="C508" s="27" t="s">
        <v>355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474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555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322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400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556</v>
      </c>
      <c r="B513" s="27" t="s">
        <v>300</v>
      </c>
      <c r="C513" s="27" t="s">
        <v>336</v>
      </c>
      <c r="D513" s="27" t="s">
        <v>306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395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310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557</v>
      </c>
      <c r="B516" s="27" t="s">
        <v>370</v>
      </c>
      <c r="C516" s="27" t="s">
        <v>313</v>
      </c>
      <c r="D516" s="27" t="s">
        <v>306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297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310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334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558</v>
      </c>
      <c r="B520" s="27" t="s">
        <v>370</v>
      </c>
      <c r="C520" s="27" t="s">
        <v>313</v>
      </c>
      <c r="D520" s="27" t="s">
        <v>306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330</v>
      </c>
      <c r="B521" s="27" t="s">
        <v>507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519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474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559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394</v>
      </c>
      <c r="B525" s="27" t="s">
        <v>507</v>
      </c>
      <c r="C525" s="27" t="s">
        <v>366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386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426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310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446</v>
      </c>
      <c r="B529" s="27" t="s">
        <v>392</v>
      </c>
      <c r="C529" s="27" t="s">
        <v>313</v>
      </c>
      <c r="D529" s="27" t="s">
        <v>306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539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/>
    </row>
    <row r="532" spans="1:12">
      <c r="A532" s="20" t="s">
        <v>560</v>
      </c>
    </row>
    <row r="533" spans="1:12">
      <c r="A533" s="20" t="s">
        <v>90</v>
      </c>
      <c r="B533" s="27" t="s">
        <v>353</v>
      </c>
      <c r="C533" s="27" t="s">
        <v>372</v>
      </c>
      <c r="D533" s="27" t="s">
        <v>306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/>
    </row>
    <row r="535" spans="1:12">
      <c r="A535" s="20" t="s">
        <v>422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561</v>
      </c>
    </row>
    <row r="537" spans="1:12">
      <c r="A537" s="20" t="s">
        <v>373</v>
      </c>
      <c r="B537" s="27" t="s">
        <v>347</v>
      </c>
      <c r="C537" s="27" t="s">
        <v>372</v>
      </c>
      <c r="D537" s="27" t="s">
        <v>306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562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435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563</v>
      </c>
      <c r="B540" s="27" t="s">
        <v>304</v>
      </c>
      <c r="C540" s="27" t="s">
        <v>313</v>
      </c>
      <c r="D540" s="27" t="s">
        <v>306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337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297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409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564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435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565</v>
      </c>
      <c r="B546" s="27" t="s">
        <v>382</v>
      </c>
      <c r="C546" s="27" t="s">
        <v>305</v>
      </c>
      <c r="D546" s="27" t="s">
        <v>306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317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334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407</v>
      </c>
      <c r="B549" s="27" t="s">
        <v>370</v>
      </c>
      <c r="C549" s="27" t="s">
        <v>313</v>
      </c>
      <c r="D549" s="27" t="s">
        <v>306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566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341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567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528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568</v>
      </c>
      <c r="B554" s="27" t="s">
        <v>370</v>
      </c>
      <c r="C554" s="27" t="s">
        <v>313</v>
      </c>
      <c r="D554" s="27" t="s">
        <v>306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297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337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310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310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569</v>
      </c>
      <c r="B559" s="27" t="s">
        <v>300</v>
      </c>
      <c r="C559" s="27" t="s">
        <v>428</v>
      </c>
      <c r="D559" s="27" t="s">
        <v>306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570</v>
      </c>
      <c r="B560" s="27" t="s">
        <v>353</v>
      </c>
      <c r="C560" s="27" t="s">
        <v>305</v>
      </c>
      <c r="D560" s="27" t="s">
        <v>306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310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571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572</v>
      </c>
      <c r="B563" s="27" t="s">
        <v>300</v>
      </c>
      <c r="C563" s="27" t="s">
        <v>305</v>
      </c>
      <c r="D563" s="27" t="s">
        <v>306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317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537</v>
      </c>
      <c r="B565" s="27" t="s">
        <v>370</v>
      </c>
      <c r="C565" s="27" t="s">
        <v>355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538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297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573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383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431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574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61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395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310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161</v>
      </c>
      <c r="B575" s="27" t="s">
        <v>370</v>
      </c>
      <c r="C575" s="27" t="s">
        <v>313</v>
      </c>
      <c r="D575" s="27" t="s">
        <v>306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351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575</v>
      </c>
      <c r="B577" s="27" t="s">
        <v>309</v>
      </c>
      <c r="C577" s="27" t="s">
        <v>301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576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297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318</v>
      </c>
      <c r="B580" s="27" t="s">
        <v>361</v>
      </c>
      <c r="C580" s="27" t="s">
        <v>320</v>
      </c>
      <c r="D580" s="27" t="s">
        <v>306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522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418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493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307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519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474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475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577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330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578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360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310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579</v>
      </c>
      <c r="B593" s="27" t="s">
        <v>370</v>
      </c>
      <c r="C593" s="27" t="s">
        <v>355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344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431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/>
    </row>
    <row r="597" spans="1:12">
      <c r="A597" s="20" t="s">
        <v>580</v>
      </c>
    </row>
    <row r="598" spans="1:12">
      <c r="A598" s="20" t="s">
        <v>581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317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310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582</v>
      </c>
      <c r="B601" s="27" t="s">
        <v>353</v>
      </c>
      <c r="C601" s="27" t="s">
        <v>313</v>
      </c>
      <c r="D601" s="27" t="s">
        <v>306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337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583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426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310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446</v>
      </c>
      <c r="B606" s="27" t="s">
        <v>300</v>
      </c>
      <c r="C606" s="27" t="s">
        <v>313</v>
      </c>
      <c r="D606" s="27" t="s">
        <v>306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426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584</v>
      </c>
      <c r="B608" s="27" t="s">
        <v>300</v>
      </c>
      <c r="C608" s="27" t="s">
        <v>305</v>
      </c>
      <c r="D608" s="27" t="s">
        <v>306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317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538</v>
      </c>
      <c r="B610" s="27" t="s">
        <v>370</v>
      </c>
      <c r="C610" s="27" t="s">
        <v>355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344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/>
    </row>
    <row r="613" spans="1:12">
      <c r="A613" s="20" t="s">
        <v>585</v>
      </c>
    </row>
    <row r="614" spans="1:12">
      <c r="A614" s="20" t="s">
        <v>586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587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298</v>
      </c>
      <c r="B616" s="27" t="s">
        <v>382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297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588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330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362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589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590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591</v>
      </c>
      <c r="B623" s="27" t="s">
        <v>382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362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592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337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297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321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297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514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593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337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594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400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595</v>
      </c>
      <c r="B635" s="27" t="s">
        <v>374</v>
      </c>
      <c r="C635" s="27" t="s">
        <v>305</v>
      </c>
      <c r="D635" s="27" t="s">
        <v>306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299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362</v>
      </c>
      <c r="B637" s="27" t="s">
        <v>392</v>
      </c>
      <c r="C637" s="27" t="s">
        <v>355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341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310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446</v>
      </c>
      <c r="B640" s="27" t="s">
        <v>530</v>
      </c>
      <c r="C640" s="27" t="s">
        <v>313</v>
      </c>
      <c r="D640" s="27" t="s">
        <v>306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310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596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344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/>
    </row>
    <row r="645" spans="1:12">
      <c r="A645" s="20" t="s">
        <v>597</v>
      </c>
    </row>
    <row r="646" spans="1:12">
      <c r="A646" s="20" t="s">
        <v>513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399</v>
      </c>
      <c r="B647" s="27" t="s">
        <v>353</v>
      </c>
      <c r="C647" s="27" t="s">
        <v>336</v>
      </c>
      <c r="D647" s="27" t="s">
        <v>306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297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334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455</v>
      </c>
      <c r="B650" s="27" t="s">
        <v>347</v>
      </c>
      <c r="C650" s="27" t="s">
        <v>313</v>
      </c>
      <c r="D650" s="27" t="s">
        <v>306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534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598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310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310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479</v>
      </c>
      <c r="B655" s="27" t="s">
        <v>353</v>
      </c>
      <c r="C655" s="27" t="s">
        <v>305</v>
      </c>
      <c r="D655" s="27" t="s">
        <v>306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317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310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161</v>
      </c>
      <c r="B658" s="27" t="s">
        <v>300</v>
      </c>
      <c r="C658" s="27" t="s">
        <v>313</v>
      </c>
      <c r="D658" s="27" t="s">
        <v>306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337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599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426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310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600</v>
      </c>
      <c r="B663" s="27" t="s">
        <v>300</v>
      </c>
      <c r="C663" s="27" t="s">
        <v>313</v>
      </c>
      <c r="D663" s="27" t="s">
        <v>306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344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/>
    </row>
    <row r="666" spans="1:12">
      <c r="A666" s="20" t="s">
        <v>601</v>
      </c>
    </row>
    <row r="667" spans="1:12">
      <c r="A667" s="20" t="s">
        <v>11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602</v>
      </c>
      <c r="B668" s="27" t="s">
        <v>347</v>
      </c>
      <c r="C668" s="27" t="s">
        <v>603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396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604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476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11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605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310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443</v>
      </c>
      <c r="B675" s="27" t="s">
        <v>382</v>
      </c>
      <c r="C675" s="27" t="s">
        <v>313</v>
      </c>
      <c r="D675" s="27" t="s">
        <v>306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344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/>
    </row>
    <row r="678" spans="1:12">
      <c r="A678" s="20" t="s">
        <v>606</v>
      </c>
    </row>
    <row r="679" spans="1:12">
      <c r="A679" s="20" t="s">
        <v>11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607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608</v>
      </c>
      <c r="B681" s="27" t="s">
        <v>304</v>
      </c>
      <c r="C681" s="27" t="s">
        <v>320</v>
      </c>
      <c r="D681" s="27" t="s">
        <v>306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297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90</v>
      </c>
      <c r="B683" s="27" t="s">
        <v>347</v>
      </c>
      <c r="C683" s="27" t="s">
        <v>372</v>
      </c>
      <c r="D683" s="27" t="s">
        <v>306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373</v>
      </c>
      <c r="B684" s="27" t="s">
        <v>300</v>
      </c>
      <c r="C684" s="27" t="s">
        <v>372</v>
      </c>
      <c r="D684" s="27" t="s">
        <v>306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297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609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391</v>
      </c>
      <c r="B687" s="27" t="s">
        <v>309</v>
      </c>
      <c r="C687" s="27" t="s">
        <v>355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337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389</v>
      </c>
      <c r="B689" s="27" t="s">
        <v>371</v>
      </c>
      <c r="C689" s="27" t="s">
        <v>355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297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610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611</v>
      </c>
      <c r="B692" s="27" t="s">
        <v>304</v>
      </c>
      <c r="C692" s="27" t="s">
        <v>320</v>
      </c>
      <c r="D692" s="27" t="s">
        <v>306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344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/>
    </row>
    <row r="695" spans="1:12">
      <c r="A695" s="20" t="s">
        <v>612</v>
      </c>
    </row>
    <row r="696" spans="1:12">
      <c r="A696" s="20" t="s">
        <v>11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613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310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614</v>
      </c>
      <c r="B699" s="27" t="s">
        <v>304</v>
      </c>
      <c r="C699" s="27" t="s">
        <v>313</v>
      </c>
      <c r="D699" s="27" t="s">
        <v>306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297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381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358</v>
      </c>
      <c r="B703" s="27" t="s">
        <v>382</v>
      </c>
      <c r="C703" s="27" t="s">
        <v>320</v>
      </c>
      <c r="D703" s="27" t="s">
        <v>306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310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443</v>
      </c>
      <c r="B705" s="27" t="s">
        <v>382</v>
      </c>
      <c r="C705" s="27" t="s">
        <v>355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307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11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615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359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398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337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332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616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120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611</v>
      </c>
      <c r="B715" s="27" t="s">
        <v>319</v>
      </c>
      <c r="C715" s="27" t="s">
        <v>320</v>
      </c>
      <c r="D715" s="27" t="s">
        <v>306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317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310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617</v>
      </c>
      <c r="B718" s="27" t="s">
        <v>319</v>
      </c>
      <c r="C718" s="27" t="s">
        <v>313</v>
      </c>
      <c r="D718" s="27" t="s">
        <v>306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344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/>
    </row>
    <row r="721" spans="1:12">
      <c r="A721" s="20" t="s">
        <v>618</v>
      </c>
    </row>
    <row r="722" spans="1:12">
      <c r="A722" s="20" t="s">
        <v>11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455</v>
      </c>
      <c r="B723" s="27" t="s">
        <v>347</v>
      </c>
      <c r="C723" s="27" t="s">
        <v>313</v>
      </c>
      <c r="D723" s="27" t="s">
        <v>306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619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310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614</v>
      </c>
      <c r="B726" s="27" t="s">
        <v>304</v>
      </c>
      <c r="C726" s="27" t="s">
        <v>313</v>
      </c>
      <c r="D726" s="27" t="s">
        <v>306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297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310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600</v>
      </c>
      <c r="B729" s="27" t="s">
        <v>361</v>
      </c>
      <c r="C729" s="27" t="s">
        <v>313</v>
      </c>
      <c r="D729" s="27" t="s">
        <v>306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620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400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337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297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419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31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621</v>
      </c>
      <c r="B736" s="27" t="s">
        <v>319</v>
      </c>
      <c r="C736" s="27" t="s">
        <v>355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297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622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400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395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310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617</v>
      </c>
      <c r="B742" s="27" t="s">
        <v>370</v>
      </c>
      <c r="C742" s="27" t="s">
        <v>305</v>
      </c>
      <c r="D742" s="27" t="s">
        <v>306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317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310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329</v>
      </c>
      <c r="B745" s="27" t="s">
        <v>371</v>
      </c>
      <c r="C745" s="27" t="s">
        <v>313</v>
      </c>
      <c r="D745" s="27" t="s">
        <v>306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337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623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310</v>
      </c>
      <c r="B748" s="27" t="s">
        <v>309</v>
      </c>
      <c r="C748" s="27" t="s">
        <v>320</v>
      </c>
      <c r="D748" s="27" t="s">
        <v>306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344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/>
    </row>
    <row r="751" spans="1:12">
      <c r="A751" s="20" t="s">
        <v>624</v>
      </c>
    </row>
    <row r="752" spans="1:12">
      <c r="A752" s="20" t="s">
        <v>625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297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626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310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627</v>
      </c>
      <c r="B756" s="27" t="s">
        <v>304</v>
      </c>
      <c r="C756" s="27" t="s">
        <v>313</v>
      </c>
      <c r="D756" s="27" t="s">
        <v>306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337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310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628</v>
      </c>
      <c r="B759" s="27" t="s">
        <v>300</v>
      </c>
      <c r="C759" s="27" t="s">
        <v>305</v>
      </c>
      <c r="D759" s="27" t="s">
        <v>306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317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318</v>
      </c>
      <c r="B761" s="27" t="s">
        <v>370</v>
      </c>
      <c r="C761" s="27" t="s">
        <v>320</v>
      </c>
      <c r="D761" s="27" t="s">
        <v>306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307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629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400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426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310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617</v>
      </c>
      <c r="B767" s="27" t="s">
        <v>300</v>
      </c>
      <c r="C767" s="27" t="s">
        <v>313</v>
      </c>
      <c r="D767" s="27" t="s">
        <v>306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337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630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334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631</v>
      </c>
      <c r="B771" s="27" t="s">
        <v>309</v>
      </c>
      <c r="C771" s="27" t="s">
        <v>313</v>
      </c>
      <c r="D771" s="27" t="s">
        <v>306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344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/>
    </row>
    <row r="774" spans="1:12">
      <c r="A774" s="20" t="s">
        <v>632</v>
      </c>
    </row>
    <row r="775" spans="1:12">
      <c r="A775" s="20" t="s">
        <v>633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297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90</v>
      </c>
      <c r="B777" s="27" t="s">
        <v>347</v>
      </c>
      <c r="C777" s="27" t="s">
        <v>372</v>
      </c>
      <c r="D777" s="27" t="s">
        <v>306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373</v>
      </c>
      <c r="B778" s="27" t="s">
        <v>300</v>
      </c>
      <c r="C778" s="27" t="s">
        <v>372</v>
      </c>
      <c r="D778" s="27" t="s">
        <v>306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634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598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317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351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533</v>
      </c>
      <c r="B783" s="27" t="s">
        <v>300</v>
      </c>
      <c r="C783" s="27" t="s">
        <v>301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395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365</v>
      </c>
      <c r="B785" s="27" t="s">
        <v>300</v>
      </c>
      <c r="C785" s="27" t="s">
        <v>366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310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635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538</v>
      </c>
      <c r="B788" s="27" t="s">
        <v>309</v>
      </c>
      <c r="C788" s="27" t="s">
        <v>355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344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/>
    </row>
    <row r="791" spans="1:12">
      <c r="A791" s="20" t="s">
        <v>636</v>
      </c>
    </row>
    <row r="792" spans="1:12">
      <c r="A792" s="20" t="s">
        <v>586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637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638</v>
      </c>
      <c r="B794" s="27" t="s">
        <v>382</v>
      </c>
      <c r="C794" s="27" t="s">
        <v>366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330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639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332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640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641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297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642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400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317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310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443</v>
      </c>
      <c r="B805" s="27" t="s">
        <v>353</v>
      </c>
      <c r="C805" s="27" t="s">
        <v>313</v>
      </c>
      <c r="D805" s="27" t="s">
        <v>306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337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534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598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395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310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479</v>
      </c>
      <c r="B811" s="27" t="s">
        <v>300</v>
      </c>
      <c r="C811" s="27" t="s">
        <v>305</v>
      </c>
      <c r="D811" s="27" t="s">
        <v>306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317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318</v>
      </c>
      <c r="B813" s="27" t="s">
        <v>370</v>
      </c>
      <c r="C813" s="27" t="s">
        <v>320</v>
      </c>
      <c r="D813" s="27" t="s">
        <v>306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344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/>
    </row>
    <row r="816" spans="1:12">
      <c r="A816" s="20" t="s">
        <v>643</v>
      </c>
    </row>
    <row r="817" spans="1:12">
      <c r="A817" s="20" t="s">
        <v>644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645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297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646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400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317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647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310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600</v>
      </c>
      <c r="B825" s="27" t="s">
        <v>382</v>
      </c>
      <c r="C825" s="27" t="s">
        <v>313</v>
      </c>
      <c r="D825" s="27" t="s">
        <v>306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648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307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649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337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426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310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650</v>
      </c>
      <c r="B832" s="27" t="s">
        <v>370</v>
      </c>
      <c r="C832" s="27" t="s">
        <v>313</v>
      </c>
      <c r="D832" s="27" t="s">
        <v>306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651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298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652</v>
      </c>
      <c r="B835" s="27" t="s">
        <v>309</v>
      </c>
      <c r="C835" s="27" t="s">
        <v>301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474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653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330</v>
      </c>
      <c r="B838" s="27" t="s">
        <v>507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573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383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/>
    </row>
    <row r="842" spans="1:12">
      <c r="A842" s="20" t="s">
        <v>422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654</v>
      </c>
    </row>
    <row r="844" spans="1:12">
      <c r="A844" s="20" t="s">
        <v>655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297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656</v>
      </c>
      <c r="B846" s="27" t="s">
        <v>370</v>
      </c>
      <c r="C846" s="27" t="s">
        <v>428</v>
      </c>
      <c r="D846" s="27" t="s">
        <v>306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657</v>
      </c>
      <c r="B847" s="27" t="s">
        <v>300</v>
      </c>
      <c r="C847" s="27" t="s">
        <v>372</v>
      </c>
      <c r="D847" s="27" t="s">
        <v>306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297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330</v>
      </c>
      <c r="B849" s="27" t="s">
        <v>304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463</v>
      </c>
      <c r="B850" s="27" t="s">
        <v>347</v>
      </c>
      <c r="C850" s="27" t="s">
        <v>355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658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659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539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/>
    </row>
    <row r="855" spans="1:12">
      <c r="A855" s="20" t="s">
        <v>422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660</v>
      </c>
    </row>
    <row r="857" spans="1:12">
      <c r="A857" s="20" t="s">
        <v>661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528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662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663</v>
      </c>
      <c r="B860" s="27" t="s">
        <v>300</v>
      </c>
      <c r="C860" s="27" t="s">
        <v>313</v>
      </c>
      <c r="D860" s="27" t="s">
        <v>306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297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664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611</v>
      </c>
      <c r="B863" s="27" t="s">
        <v>382</v>
      </c>
      <c r="C863" s="27" t="s">
        <v>320</v>
      </c>
      <c r="D863" s="27" t="s">
        <v>306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474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360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386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350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310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161</v>
      </c>
      <c r="B869" s="27" t="s">
        <v>300</v>
      </c>
      <c r="C869" s="27" t="s">
        <v>313</v>
      </c>
      <c r="D869" s="27" t="s">
        <v>306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539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431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665</v>
      </c>
      <c r="B872" s="27" t="s">
        <v>347</v>
      </c>
      <c r="C872" s="27" t="s">
        <v>372</v>
      </c>
      <c r="D872" s="27" t="s">
        <v>306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381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666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383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11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465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377</v>
      </c>
      <c r="B878" s="27" t="s">
        <v>353</v>
      </c>
      <c r="C878" s="27" t="s">
        <v>355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297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161</v>
      </c>
      <c r="B880" s="27" t="s">
        <v>304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539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11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667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668</v>
      </c>
      <c r="B884" s="27" t="s">
        <v>312</v>
      </c>
      <c r="C884" s="27" t="s">
        <v>366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669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344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/>
    </row>
    <row r="888" spans="1:12">
      <c r="A888" s="20" t="s">
        <v>670</v>
      </c>
    </row>
    <row r="889" spans="1:12">
      <c r="A889" s="20" t="s">
        <v>671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400</v>
      </c>
      <c r="B890" s="27" t="s">
        <v>347</v>
      </c>
      <c r="C890" s="27" t="s">
        <v>320</v>
      </c>
      <c r="D890" s="27" t="s">
        <v>306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317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310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617</v>
      </c>
      <c r="B893" s="27" t="s">
        <v>304</v>
      </c>
      <c r="C893" s="27" t="s">
        <v>313</v>
      </c>
      <c r="D893" s="27" t="s">
        <v>306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337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672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334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631</v>
      </c>
      <c r="B897" s="27" t="s">
        <v>382</v>
      </c>
      <c r="C897" s="27" t="s">
        <v>313</v>
      </c>
      <c r="D897" s="27" t="s">
        <v>306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383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310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161</v>
      </c>
      <c r="B900" s="27" t="s">
        <v>361</v>
      </c>
      <c r="C900" s="27" t="s">
        <v>313</v>
      </c>
      <c r="D900" s="27" t="s">
        <v>306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673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674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297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350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310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628</v>
      </c>
      <c r="B906" s="27" t="s">
        <v>300</v>
      </c>
      <c r="C906" s="27" t="s">
        <v>313</v>
      </c>
      <c r="D906" s="27" t="s">
        <v>306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675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426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334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676</v>
      </c>
      <c r="B910" s="27" t="s">
        <v>371</v>
      </c>
      <c r="C910" s="27" t="s">
        <v>313</v>
      </c>
      <c r="D910" s="27" t="s">
        <v>306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337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677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351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678</v>
      </c>
      <c r="B914" s="27" t="s">
        <v>309</v>
      </c>
      <c r="C914" s="27" t="s">
        <v>301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359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679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344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/>
    </row>
    <row r="919" spans="1:12">
      <c r="A919" s="20" t="s">
        <v>680</v>
      </c>
    </row>
    <row r="920" spans="1:12">
      <c r="A920" s="20" t="s">
        <v>11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144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297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161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297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330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681</v>
      </c>
      <c r="B926" s="27" t="s">
        <v>361</v>
      </c>
      <c r="C926" s="27" t="s">
        <v>355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474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505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387</v>
      </c>
      <c r="B929" s="27" t="s">
        <v>370</v>
      </c>
      <c r="C929" s="27" t="s">
        <v>355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539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/>
    </row>
    <row r="932" spans="1:12">
      <c r="A932" s="20" t="s">
        <v>682</v>
      </c>
    </row>
    <row r="933" spans="1:12">
      <c r="A933" s="20" t="s">
        <v>11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683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395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684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404</v>
      </c>
      <c r="B937" s="27" t="s">
        <v>304</v>
      </c>
      <c r="C937" s="27" t="s">
        <v>320</v>
      </c>
      <c r="D937" s="27" t="s">
        <v>306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147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344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/>
    </row>
    <row r="941" spans="1:12">
      <c r="A941" s="20" t="s">
        <v>685</v>
      </c>
    </row>
    <row r="942" spans="1:12">
      <c r="A942" s="20" t="s">
        <v>11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144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297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161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297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330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563</v>
      </c>
      <c r="B948" s="27" t="s">
        <v>300</v>
      </c>
      <c r="C948" s="27" t="s">
        <v>305</v>
      </c>
      <c r="D948" s="27" t="s">
        <v>306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474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505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387</v>
      </c>
      <c r="B951" s="27" t="s">
        <v>370</v>
      </c>
      <c r="C951" s="27" t="s">
        <v>355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11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683</v>
      </c>
      <c r="B953" s="27" t="s">
        <v>371</v>
      </c>
      <c r="C953" s="27" t="s">
        <v>372</v>
      </c>
      <c r="D953" s="27" t="s">
        <v>306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395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684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404</v>
      </c>
      <c r="B956" s="27" t="s">
        <v>335</v>
      </c>
      <c r="C956" s="27" t="s">
        <v>320</v>
      </c>
      <c r="D956" s="27" t="s">
        <v>306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686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344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/>
    </row>
    <row r="960" spans="1:12">
      <c r="A960" s="20" t="s">
        <v>687</v>
      </c>
    </row>
    <row r="961" spans="1:12">
      <c r="A961" s="20" t="s">
        <v>11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144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297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161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297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330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688</v>
      </c>
      <c r="B967" s="27" t="s">
        <v>300</v>
      </c>
      <c r="C967" s="27" t="s">
        <v>305</v>
      </c>
      <c r="D967" s="27" t="s">
        <v>306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689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387</v>
      </c>
      <c r="B969" s="27" t="s">
        <v>370</v>
      </c>
      <c r="C969" s="27" t="s">
        <v>355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539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/>
    </row>
    <row r="972" spans="1:12">
      <c r="A972" s="20" t="s">
        <v>690</v>
      </c>
    </row>
    <row r="973" spans="1:12">
      <c r="A973" s="20" t="s">
        <v>11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683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395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684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404</v>
      </c>
      <c r="B977" s="27" t="s">
        <v>304</v>
      </c>
      <c r="C977" s="27" t="s">
        <v>320</v>
      </c>
      <c r="D977" s="27" t="s">
        <v>306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157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344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/>
    </row>
    <row r="981" spans="1:12">
      <c r="A981" s="20" t="s">
        <v>691</v>
      </c>
    </row>
    <row r="982" spans="1:12">
      <c r="A982" s="20" t="s">
        <v>11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692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161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297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330</v>
      </c>
      <c r="B986" s="27" t="s">
        <v>361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693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694</v>
      </c>
      <c r="B988" s="27" t="s">
        <v>382</v>
      </c>
      <c r="C988" s="27" t="s">
        <v>355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695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11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696</v>
      </c>
      <c r="B991" s="27" t="s">
        <v>382</v>
      </c>
      <c r="C991" s="27" t="s">
        <v>372</v>
      </c>
      <c r="D991" s="27" t="s">
        <v>306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395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684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404</v>
      </c>
      <c r="B994" s="27" t="s">
        <v>319</v>
      </c>
      <c r="C994" s="27" t="s">
        <v>320</v>
      </c>
      <c r="D994" s="27" t="s">
        <v>306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244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344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/>
    </row>
    <row r="998" spans="1:12">
      <c r="A998" s="20" t="s">
        <v>697</v>
      </c>
    </row>
    <row r="999" spans="1:12">
      <c r="A999" s="20" t="s">
        <v>698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399</v>
      </c>
      <c r="B1000" s="27" t="s">
        <v>382</v>
      </c>
      <c r="C1000" s="27" t="s">
        <v>336</v>
      </c>
      <c r="D1000" s="27" t="s">
        <v>306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297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334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455</v>
      </c>
      <c r="B1003" s="27" t="s">
        <v>347</v>
      </c>
      <c r="C1003" s="27" t="s">
        <v>313</v>
      </c>
      <c r="D1003" s="27" t="s">
        <v>306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699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317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310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617</v>
      </c>
      <c r="B1007" s="27" t="s">
        <v>304</v>
      </c>
      <c r="C1007" s="27" t="s">
        <v>313</v>
      </c>
      <c r="D1007" s="27" t="s">
        <v>306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337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623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310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700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90</v>
      </c>
      <c r="B1012" s="27" t="s">
        <v>382</v>
      </c>
      <c r="C1012" s="27" t="s">
        <v>372</v>
      </c>
      <c r="D1012" s="27" t="s">
        <v>306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373</v>
      </c>
      <c r="B1013" s="27" t="s">
        <v>370</v>
      </c>
      <c r="C1013" s="27" t="s">
        <v>372</v>
      </c>
      <c r="D1013" s="27" t="s">
        <v>306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344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/>
    </row>
    <row r="1016" spans="1:12">
      <c r="A1016" s="20" t="s">
        <v>701</v>
      </c>
    </row>
    <row r="1017" spans="1:12">
      <c r="A1017" s="20" t="s">
        <v>586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321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702</v>
      </c>
      <c r="B1019" s="27" t="s">
        <v>382</v>
      </c>
      <c r="C1019" s="27" t="s">
        <v>305</v>
      </c>
      <c r="D1019" s="27" t="s">
        <v>306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334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703</v>
      </c>
      <c r="B1021" s="27" t="s">
        <v>370</v>
      </c>
      <c r="C1021" s="27" t="s">
        <v>313</v>
      </c>
      <c r="D1021" s="27" t="s">
        <v>306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297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704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395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310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617</v>
      </c>
      <c r="B1026" s="27" t="s">
        <v>353</v>
      </c>
      <c r="C1026" s="27" t="s">
        <v>313</v>
      </c>
      <c r="D1026" s="27" t="s">
        <v>306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297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705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426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334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706</v>
      </c>
      <c r="B1031" s="27" t="s">
        <v>300</v>
      </c>
      <c r="C1031" s="27" t="s">
        <v>313</v>
      </c>
      <c r="D1031" s="27" t="s">
        <v>306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337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707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310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708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709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344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/>
    </row>
    <row r="1039" spans="1:12">
      <c r="A1039" s="20" t="s">
        <v>710</v>
      </c>
    </row>
    <row r="1040" spans="1:12">
      <c r="A1040" s="20" t="s">
        <v>711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297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426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484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712</v>
      </c>
      <c r="B1044" s="27" t="s">
        <v>370</v>
      </c>
      <c r="C1044" s="27" t="s">
        <v>486</v>
      </c>
      <c r="D1044" s="27" t="s">
        <v>306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297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514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713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426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714</v>
      </c>
      <c r="B1049" s="27" t="s">
        <v>300</v>
      </c>
      <c r="C1049" s="27" t="s">
        <v>355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310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310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479</v>
      </c>
      <c r="B1052" s="27" t="s">
        <v>382</v>
      </c>
      <c r="C1052" s="27" t="s">
        <v>313</v>
      </c>
      <c r="D1052" s="27" t="s">
        <v>306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334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715</v>
      </c>
      <c r="B1054" s="27" t="s">
        <v>347</v>
      </c>
      <c r="C1054" s="27" t="s">
        <v>313</v>
      </c>
      <c r="D1054" s="27" t="s">
        <v>306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297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330</v>
      </c>
      <c r="B1056" s="27" t="s">
        <v>312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716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717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718</v>
      </c>
      <c r="B1059" s="27" t="s">
        <v>309</v>
      </c>
      <c r="C1059" s="27" t="s">
        <v>486</v>
      </c>
      <c r="D1059" s="27" t="s">
        <v>306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297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573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383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/>
    </row>
    <row r="1064" spans="1:12">
      <c r="A1064" s="20" t="s">
        <v>422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719</v>
      </c>
    </row>
    <row r="1066" spans="1:12">
      <c r="A1066" s="20" t="s">
        <v>431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720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721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310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722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/>
    </row>
    <row r="1072" spans="1:12">
      <c r="A1072" s="20" t="s">
        <v>723</v>
      </c>
    </row>
    <row r="1073" spans="1:12">
      <c r="A1073" s="20" t="s">
        <v>724</v>
      </c>
      <c r="B1073" s="27" t="s">
        <v>353</v>
      </c>
      <c r="C1073" s="27" t="s">
        <v>355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539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/>
    </row>
    <row r="1076" spans="1:12">
      <c r="A1076" s="20" t="s">
        <v>422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725</v>
      </c>
    </row>
    <row r="1078" spans="1:12">
      <c r="A1078" s="20" t="s">
        <v>696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684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240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298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726</v>
      </c>
      <c r="B1082" s="27" t="s">
        <v>309</v>
      </c>
      <c r="C1082" s="27" t="s">
        <v>301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310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686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400</v>
      </c>
      <c r="B1085" s="27" t="s">
        <v>530</v>
      </c>
      <c r="C1085" s="27" t="s">
        <v>320</v>
      </c>
      <c r="D1085" s="27" t="s">
        <v>306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396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400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727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728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344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431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729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426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334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429</v>
      </c>
      <c r="B1095" s="27" t="s">
        <v>370</v>
      </c>
      <c r="C1095" s="27" t="s">
        <v>313</v>
      </c>
      <c r="D1095" s="27" t="s">
        <v>306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337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730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400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317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310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617</v>
      </c>
      <c r="B1101" s="27" t="s">
        <v>309</v>
      </c>
      <c r="C1101" s="27" t="s">
        <v>313</v>
      </c>
      <c r="D1101" s="27" t="s">
        <v>306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307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310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334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686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334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455</v>
      </c>
      <c r="B1107" s="27" t="s">
        <v>382</v>
      </c>
      <c r="C1107" s="27" t="s">
        <v>313</v>
      </c>
      <c r="D1107" s="27" t="s">
        <v>306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297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381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383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11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731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404</v>
      </c>
      <c r="B1113" s="27" t="s">
        <v>347</v>
      </c>
      <c r="C1113" s="27" t="s">
        <v>320</v>
      </c>
      <c r="D1113" s="27" t="s">
        <v>306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386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297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177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732</v>
      </c>
      <c r="B1117" s="27" t="s">
        <v>300</v>
      </c>
      <c r="C1117" s="27" t="s">
        <v>355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539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/>
    </row>
    <row r="1120" spans="1:12">
      <c r="A1120" s="20" t="s">
        <v>733</v>
      </c>
    </row>
    <row r="1121" spans="1:12">
      <c r="A1121" s="20" t="s">
        <v>734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359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579</v>
      </c>
      <c r="B1123" s="27" t="s">
        <v>382</v>
      </c>
      <c r="C1123" s="27" t="s">
        <v>348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297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189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404</v>
      </c>
      <c r="B1126" s="27" t="s">
        <v>304</v>
      </c>
      <c r="C1126" s="27" t="s">
        <v>320</v>
      </c>
      <c r="D1126" s="27" t="s">
        <v>306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735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539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/>
    </row>
    <row r="1130" spans="1:12">
      <c r="A1130" s="20" t="s">
        <v>736</v>
      </c>
    </row>
    <row r="1131" spans="1:12">
      <c r="A1131" s="20" t="s">
        <v>737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240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358</v>
      </c>
      <c r="B1133" s="27" t="s">
        <v>382</v>
      </c>
      <c r="C1133" s="27" t="s">
        <v>320</v>
      </c>
      <c r="D1133" s="27" t="s">
        <v>306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351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738</v>
      </c>
      <c r="B1135" s="27" t="s">
        <v>382</v>
      </c>
      <c r="C1135" s="27" t="s">
        <v>301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297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667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642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400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317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330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334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455</v>
      </c>
      <c r="B1143" s="27" t="s">
        <v>507</v>
      </c>
      <c r="C1143" s="27" t="s">
        <v>313</v>
      </c>
      <c r="D1143" s="27" t="s">
        <v>306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739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140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740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310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443</v>
      </c>
      <c r="B1148" s="27" t="s">
        <v>530</v>
      </c>
      <c r="C1148" s="27" t="s">
        <v>313</v>
      </c>
      <c r="D1148" s="27" t="s">
        <v>306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337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330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741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577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742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743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744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745</v>
      </c>
      <c r="B1156" s="27" t="s">
        <v>746</v>
      </c>
      <c r="C1156" s="27" t="s">
        <v>320</v>
      </c>
      <c r="D1156" s="27" t="s">
        <v>306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307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747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748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298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749</v>
      </c>
      <c r="B1161" s="27" t="s">
        <v>309</v>
      </c>
      <c r="C1161" s="27" t="s">
        <v>301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337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750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400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310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751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11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358</v>
      </c>
      <c r="B1168" s="27" t="s">
        <v>371</v>
      </c>
      <c r="C1168" s="27" t="s">
        <v>320</v>
      </c>
      <c r="D1168" s="27" t="s">
        <v>306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310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752</v>
      </c>
      <c r="B1170" s="27" t="s">
        <v>309</v>
      </c>
      <c r="C1170" s="27" t="s">
        <v>313</v>
      </c>
      <c r="D1170" s="27" t="s">
        <v>306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297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753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297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754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461</v>
      </c>
      <c r="B1175" s="27" t="s">
        <v>361</v>
      </c>
      <c r="C1175" s="27" t="s">
        <v>320</v>
      </c>
      <c r="D1175" s="27" t="s">
        <v>306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755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344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/>
    </row>
    <row r="1179" spans="1:12">
      <c r="A1179" s="20" t="s">
        <v>756</v>
      </c>
    </row>
    <row r="1180" spans="1:12">
      <c r="A1180" s="20" t="s">
        <v>757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334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758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759</v>
      </c>
      <c r="B1183" s="27" t="s">
        <v>353</v>
      </c>
      <c r="C1183" s="27" t="s">
        <v>313</v>
      </c>
      <c r="D1183" s="27" t="s">
        <v>306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297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564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760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334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352</v>
      </c>
      <c r="B1188" s="27" t="s">
        <v>382</v>
      </c>
      <c r="C1188" s="27" t="s">
        <v>313</v>
      </c>
      <c r="D1188" s="27" t="s">
        <v>306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356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337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297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761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362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762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763</v>
      </c>
      <c r="B1195" s="27" t="s">
        <v>300</v>
      </c>
      <c r="C1195" s="27" t="s">
        <v>348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297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310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303</v>
      </c>
      <c r="B1198" s="27" t="s">
        <v>361</v>
      </c>
      <c r="C1198" s="27" t="s">
        <v>313</v>
      </c>
      <c r="D1198" s="27" t="s">
        <v>306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699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395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764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297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765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383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11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/>
    </row>
    <row r="1207" spans="1:12">
      <c r="A1207" s="20" t="s">
        <v>766</v>
      </c>
    </row>
    <row r="1208" spans="1:12">
      <c r="A1208" s="20" t="s">
        <v>767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330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463</v>
      </c>
      <c r="B1210" s="27" t="s">
        <v>382</v>
      </c>
      <c r="C1210" s="27" t="s">
        <v>355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608</v>
      </c>
      <c r="B1211" s="27" t="s">
        <v>361</v>
      </c>
      <c r="C1211" s="27" t="s">
        <v>320</v>
      </c>
      <c r="D1211" s="27" t="s">
        <v>306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768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539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/>
    </row>
    <row r="1215" spans="1:12">
      <c r="A1215" s="20" t="s">
        <v>769</v>
      </c>
    </row>
    <row r="1216" spans="1:12">
      <c r="A1216" s="20" t="s">
        <v>720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673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770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426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310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752</v>
      </c>
      <c r="B1221" s="27" t="s">
        <v>353</v>
      </c>
      <c r="C1221" s="27" t="s">
        <v>305</v>
      </c>
      <c r="D1221" s="27" t="s">
        <v>306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317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334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455</v>
      </c>
      <c r="B1224" s="27" t="s">
        <v>300</v>
      </c>
      <c r="C1224" s="27" t="s">
        <v>313</v>
      </c>
      <c r="D1224" s="27" t="s">
        <v>306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539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/>
    </row>
    <row r="1227" spans="1:12">
      <c r="A1227" s="20" t="s">
        <v>771</v>
      </c>
    </row>
    <row r="1228" spans="1:12">
      <c r="A1228" s="20" t="s">
        <v>772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773</v>
      </c>
      <c r="B1229" s="27" t="s">
        <v>353</v>
      </c>
      <c r="C1229" s="27" t="s">
        <v>355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297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774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775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310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161</v>
      </c>
      <c r="B1234" s="27" t="s">
        <v>347</v>
      </c>
      <c r="C1234" s="27" t="s">
        <v>305</v>
      </c>
      <c r="D1234" s="27" t="s">
        <v>306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297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577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350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776</v>
      </c>
      <c r="B1238" s="27" t="s">
        <v>300</v>
      </c>
      <c r="C1238" s="27" t="s">
        <v>355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297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777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778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350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779</v>
      </c>
      <c r="B1243" s="27" t="s">
        <v>300</v>
      </c>
      <c r="C1243" s="27" t="s">
        <v>355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344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/>
    </row>
    <row r="1246" spans="1:12">
      <c r="A1246" s="20" t="s">
        <v>780</v>
      </c>
    </row>
    <row r="1247" spans="1:12">
      <c r="A1247" s="20" t="s">
        <v>481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90</v>
      </c>
      <c r="B1248" s="27" t="s">
        <v>361</v>
      </c>
      <c r="C1248" s="27" t="s">
        <v>372</v>
      </c>
      <c r="D1248" s="27" t="s">
        <v>306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373</v>
      </c>
      <c r="B1249" s="27" t="s">
        <v>370</v>
      </c>
      <c r="C1249" s="27" t="s">
        <v>372</v>
      </c>
      <c r="D1249" s="27" t="s">
        <v>306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781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310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269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505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782</v>
      </c>
      <c r="B1254" s="27" t="s">
        <v>382</v>
      </c>
      <c r="C1254" s="27" t="s">
        <v>355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337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350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783</v>
      </c>
      <c r="B1257" s="27" t="s">
        <v>370</v>
      </c>
      <c r="C1257" s="27" t="s">
        <v>320</v>
      </c>
      <c r="D1257" s="27" t="s">
        <v>306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784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310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752</v>
      </c>
      <c r="B1260" s="27" t="s">
        <v>309</v>
      </c>
      <c r="C1260" s="27" t="s">
        <v>305</v>
      </c>
      <c r="D1260" s="27" t="s">
        <v>306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317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334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455</v>
      </c>
      <c r="B1263" s="27" t="s">
        <v>371</v>
      </c>
      <c r="C1263" s="27" t="s">
        <v>313</v>
      </c>
      <c r="D1263" s="27" t="s">
        <v>306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344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/>
    </row>
    <row r="1266" spans="1:12">
      <c r="A1266" s="20" t="s">
        <v>785</v>
      </c>
    </row>
    <row r="1267" spans="1:12">
      <c r="A1267" s="20" t="s">
        <v>424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786</v>
      </c>
      <c r="B1268" s="27" t="s">
        <v>361</v>
      </c>
      <c r="C1268" s="27" t="s">
        <v>336</v>
      </c>
      <c r="D1268" s="27" t="s">
        <v>306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787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337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788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789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297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528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782</v>
      </c>
      <c r="B1275" s="27" t="s">
        <v>347</v>
      </c>
      <c r="C1275" s="27" t="s">
        <v>313</v>
      </c>
      <c r="D1275" s="27" t="s">
        <v>306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790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791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330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792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351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793</v>
      </c>
      <c r="B1281" s="27" t="s">
        <v>382</v>
      </c>
      <c r="C1281" s="27" t="s">
        <v>301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337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794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344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/>
    </row>
    <row r="1286" spans="1:12">
      <c r="A1286" s="20" t="s">
        <v>795</v>
      </c>
    </row>
    <row r="1287" spans="1:12">
      <c r="A1287" s="20" t="s">
        <v>796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504</v>
      </c>
      <c r="B1288" s="27" t="s">
        <v>347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797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400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297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798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297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350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399</v>
      </c>
      <c r="B1295" s="27" t="s">
        <v>353</v>
      </c>
      <c r="C1295" s="27" t="s">
        <v>336</v>
      </c>
      <c r="D1295" s="27" t="s">
        <v>306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344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/>
    </row>
    <row r="1298" spans="1:12">
      <c r="A1298" s="20" t="s">
        <v>799</v>
      </c>
    </row>
    <row r="1299" spans="1:12">
      <c r="A1299" s="20" t="s">
        <v>11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715</v>
      </c>
      <c r="B1300" s="27" t="s">
        <v>347</v>
      </c>
      <c r="C1300" s="27" t="s">
        <v>313</v>
      </c>
      <c r="D1300" s="27" t="s">
        <v>306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800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334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455</v>
      </c>
      <c r="B1303" s="27" t="s">
        <v>304</v>
      </c>
      <c r="C1303" s="27" t="s">
        <v>313</v>
      </c>
      <c r="D1303" s="27" t="s">
        <v>306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337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801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310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802</v>
      </c>
      <c r="B1307" s="27" t="s">
        <v>382</v>
      </c>
      <c r="C1307" s="27" t="s">
        <v>313</v>
      </c>
      <c r="D1307" s="27" t="s">
        <v>306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395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479</v>
      </c>
      <c r="B1309" s="27" t="s">
        <v>300</v>
      </c>
      <c r="C1309" s="27" t="s">
        <v>355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307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310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161</v>
      </c>
      <c r="B1312" s="27" t="s">
        <v>361</v>
      </c>
      <c r="C1312" s="27" t="s">
        <v>313</v>
      </c>
      <c r="D1312" s="27" t="s">
        <v>306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803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334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389</v>
      </c>
      <c r="B1315" s="27" t="s">
        <v>382</v>
      </c>
      <c r="C1315" s="27" t="s">
        <v>313</v>
      </c>
      <c r="D1315" s="27" t="s">
        <v>306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337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804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334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391</v>
      </c>
      <c r="B1319" s="27" t="s">
        <v>309</v>
      </c>
      <c r="C1319" s="27" t="s">
        <v>313</v>
      </c>
      <c r="D1319" s="27" t="s">
        <v>306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805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341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90</v>
      </c>
      <c r="B1322" s="27" t="s">
        <v>374</v>
      </c>
      <c r="C1322" s="27" t="s">
        <v>372</v>
      </c>
      <c r="D1322" s="27" t="s">
        <v>306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373</v>
      </c>
      <c r="B1323" s="27" t="s">
        <v>392</v>
      </c>
      <c r="C1323" s="27" t="s">
        <v>372</v>
      </c>
      <c r="D1323" s="27" t="s">
        <v>306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337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315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462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400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806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807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307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754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399</v>
      </c>
      <c r="B1332" s="27" t="s">
        <v>300</v>
      </c>
      <c r="C1332" s="27" t="s">
        <v>336</v>
      </c>
      <c r="D1332" s="27" t="s">
        <v>306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297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90</v>
      </c>
      <c r="B1334" s="27" t="s">
        <v>361</v>
      </c>
      <c r="C1334" s="27" t="s">
        <v>372</v>
      </c>
      <c r="D1334" s="27" t="s">
        <v>306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373</v>
      </c>
      <c r="B1335" s="27" t="s">
        <v>370</v>
      </c>
      <c r="C1335" s="27" t="s">
        <v>372</v>
      </c>
      <c r="D1335" s="27" t="s">
        <v>306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808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317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809</v>
      </c>
      <c r="B1338" s="27" t="s">
        <v>300</v>
      </c>
      <c r="C1338" s="27" t="s">
        <v>320</v>
      </c>
      <c r="D1338" s="27" t="s">
        <v>306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395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809</v>
      </c>
      <c r="B1340" s="27" t="s">
        <v>300</v>
      </c>
      <c r="C1340" s="27" t="s">
        <v>320</v>
      </c>
      <c r="D1340" s="27" t="s">
        <v>306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383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/>
    </row>
    <row r="1343" spans="1:12">
      <c r="A1343" s="20" t="s">
        <v>422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810</v>
      </c>
    </row>
    <row r="1345" spans="1:12">
      <c r="A1345" s="20" t="s">
        <v>431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811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362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227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317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310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582</v>
      </c>
      <c r="B1351" s="27" t="s">
        <v>353</v>
      </c>
      <c r="C1351" s="27" t="s">
        <v>313</v>
      </c>
      <c r="D1351" s="27" t="s">
        <v>306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395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103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341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310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446</v>
      </c>
      <c r="B1356" s="27" t="s">
        <v>300</v>
      </c>
      <c r="C1356" s="27" t="s">
        <v>313</v>
      </c>
      <c r="D1356" s="27" t="s">
        <v>306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297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409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310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812</v>
      </c>
      <c r="B1360" s="27" t="s">
        <v>361</v>
      </c>
      <c r="C1360" s="27" t="s">
        <v>313</v>
      </c>
      <c r="D1360" s="27" t="s">
        <v>306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813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814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539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431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/>
    </row>
    <row r="1366" spans="1:12">
      <c r="A1366" s="20" t="s">
        <v>815</v>
      </c>
    </row>
    <row r="1367" spans="1:12">
      <c r="A1367" s="20" t="s">
        <v>11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231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11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/>
    </row>
    <row r="1371" spans="1:12">
      <c r="A1371" s="20" t="s">
        <v>816</v>
      </c>
    </row>
    <row r="1372" spans="1:12">
      <c r="A1372" s="20" t="s">
        <v>817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362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297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330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297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818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299</v>
      </c>
      <c r="B1378" s="27" t="s">
        <v>300</v>
      </c>
      <c r="C1378" s="27" t="s">
        <v>348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297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90</v>
      </c>
      <c r="B1380" s="27" t="s">
        <v>361</v>
      </c>
      <c r="C1380" s="27" t="s">
        <v>372</v>
      </c>
      <c r="D1380" s="27" t="s">
        <v>306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373</v>
      </c>
      <c r="B1381" s="27" t="s">
        <v>370</v>
      </c>
      <c r="C1381" s="27" t="s">
        <v>372</v>
      </c>
      <c r="D1381" s="27" t="s">
        <v>306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514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819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820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351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389</v>
      </c>
      <c r="B1386" s="27" t="s">
        <v>382</v>
      </c>
      <c r="C1386" s="27" t="s">
        <v>305</v>
      </c>
      <c r="D1386" s="27" t="s">
        <v>306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395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310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821</v>
      </c>
      <c r="B1389" s="27" t="s">
        <v>370</v>
      </c>
      <c r="C1389" s="27" t="s">
        <v>313</v>
      </c>
      <c r="D1389" s="27" t="s">
        <v>306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337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365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455</v>
      </c>
      <c r="B1392" s="27" t="s">
        <v>371</v>
      </c>
      <c r="C1392" s="27" t="s">
        <v>348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297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822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310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310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569</v>
      </c>
      <c r="B1397" s="27" t="s">
        <v>371</v>
      </c>
      <c r="C1397" s="27" t="s">
        <v>428</v>
      </c>
      <c r="D1397" s="27" t="s">
        <v>306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714</v>
      </c>
      <c r="B1398" s="27" t="s">
        <v>309</v>
      </c>
      <c r="C1398" s="27" t="s">
        <v>313</v>
      </c>
      <c r="D1398" s="27" t="s">
        <v>306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297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788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823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745</v>
      </c>
      <c r="B1402" s="27" t="s">
        <v>309</v>
      </c>
      <c r="C1402" s="27" t="s">
        <v>320</v>
      </c>
      <c r="D1402" s="27" t="s">
        <v>306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310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824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400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317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334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405</v>
      </c>
      <c r="B1408" s="27" t="s">
        <v>319</v>
      </c>
      <c r="C1408" s="27" t="s">
        <v>313</v>
      </c>
      <c r="D1408" s="27" t="s">
        <v>306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344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/>
    </row>
    <row r="1411" spans="1:12">
      <c r="A1411" s="20" t="s">
        <v>560</v>
      </c>
    </row>
    <row r="1412" spans="1:12">
      <c r="A1412" s="20" t="s">
        <v>90</v>
      </c>
      <c r="B1412" s="27" t="s">
        <v>353</v>
      </c>
      <c r="C1412" s="27" t="s">
        <v>372</v>
      </c>
      <c r="D1412" s="27" t="s">
        <v>306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/>
    </row>
    <row r="1414" spans="1:12">
      <c r="A1414" s="20" t="s">
        <v>825</v>
      </c>
    </row>
    <row r="1415" spans="1:12">
      <c r="A1415" s="20" t="s">
        <v>373</v>
      </c>
      <c r="B1415" s="27" t="s">
        <v>347</v>
      </c>
      <c r="C1415" s="27" t="s">
        <v>372</v>
      </c>
      <c r="D1415" s="27" t="s">
        <v>306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297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457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297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332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358</v>
      </c>
      <c r="B1420" s="27" t="s">
        <v>304</v>
      </c>
      <c r="C1420" s="27" t="s">
        <v>320</v>
      </c>
      <c r="D1420" s="27" t="s">
        <v>306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792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826</v>
      </c>
      <c r="B1422" s="27" t="s">
        <v>304</v>
      </c>
      <c r="C1422" s="27" t="s">
        <v>355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337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827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334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405</v>
      </c>
      <c r="B1426" s="27" t="s">
        <v>382</v>
      </c>
      <c r="C1426" s="27" t="s">
        <v>313</v>
      </c>
      <c r="D1426" s="27" t="s">
        <v>306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360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439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297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828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310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310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443</v>
      </c>
      <c r="B1433" s="27" t="s">
        <v>370</v>
      </c>
      <c r="C1433" s="27" t="s">
        <v>313</v>
      </c>
      <c r="D1433" s="27" t="s">
        <v>306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330</v>
      </c>
      <c r="B1434" s="27" t="s">
        <v>507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677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829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334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455</v>
      </c>
      <c r="B1438" s="27" t="s">
        <v>530</v>
      </c>
      <c r="C1438" s="27" t="s">
        <v>313</v>
      </c>
      <c r="D1438" s="27" t="s">
        <v>306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297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330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786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310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830</v>
      </c>
      <c r="B1443" s="27" t="s">
        <v>323</v>
      </c>
      <c r="C1443" s="27" t="s">
        <v>486</v>
      </c>
      <c r="D1443" s="27" t="s">
        <v>306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297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831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310</v>
      </c>
      <c r="B1446" s="27" t="s">
        <v>319</v>
      </c>
      <c r="C1446" s="27" t="s">
        <v>320</v>
      </c>
      <c r="D1446" s="27" t="s">
        <v>306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350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832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563</v>
      </c>
      <c r="B1449" s="27" t="s">
        <v>371</v>
      </c>
      <c r="C1449" s="27" t="s">
        <v>355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344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/>
    </row>
    <row r="1452" spans="1:12">
      <c r="A1452" s="20" t="s">
        <v>833</v>
      </c>
    </row>
    <row r="1453" spans="1:12">
      <c r="A1453" s="20" t="s">
        <v>11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574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332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834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426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310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582</v>
      </c>
      <c r="B1459" s="27" t="s">
        <v>353</v>
      </c>
      <c r="C1459" s="27" t="s">
        <v>313</v>
      </c>
      <c r="D1459" s="27" t="s">
        <v>306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835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297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522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611</v>
      </c>
      <c r="B1463" s="27" t="s">
        <v>304</v>
      </c>
      <c r="C1463" s="27" t="s">
        <v>320</v>
      </c>
      <c r="D1463" s="27" t="s">
        <v>306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836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837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539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/>
    </row>
    <row r="1468" spans="1:12">
      <c r="A1468" s="20" t="s">
        <v>838</v>
      </c>
    </row>
    <row r="1469" spans="1:12">
      <c r="A1469" s="20" t="s">
        <v>11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839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840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297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11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381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310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161</v>
      </c>
      <c r="B1476" s="27" t="s">
        <v>304</v>
      </c>
      <c r="C1476" s="27" t="s">
        <v>313</v>
      </c>
      <c r="D1476" s="27" t="s">
        <v>306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307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11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841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360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310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600</v>
      </c>
      <c r="B1482" s="27" t="s">
        <v>382</v>
      </c>
      <c r="C1482" s="27" t="s">
        <v>313</v>
      </c>
      <c r="D1482" s="27" t="s">
        <v>306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395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330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461</v>
      </c>
      <c r="B1485" s="27" t="s">
        <v>300</v>
      </c>
      <c r="C1485" s="27" t="s">
        <v>320</v>
      </c>
      <c r="D1485" s="27" t="s">
        <v>306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332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567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386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539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/>
    </row>
    <row r="1491" spans="1:12">
      <c r="A1491" s="20" t="s">
        <v>842</v>
      </c>
    </row>
    <row r="1492" spans="1:12">
      <c r="A1492" s="20" t="s">
        <v>843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844</v>
      </c>
      <c r="B1493" s="27" t="s">
        <v>353</v>
      </c>
      <c r="C1493" s="27" t="s">
        <v>355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297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728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845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310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600</v>
      </c>
      <c r="B1498" s="27" t="s">
        <v>304</v>
      </c>
      <c r="C1498" s="27" t="s">
        <v>313</v>
      </c>
      <c r="D1498" s="27" t="s">
        <v>306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297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334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455</v>
      </c>
      <c r="B1501" s="27" t="s">
        <v>300</v>
      </c>
      <c r="C1501" s="27" t="s">
        <v>313</v>
      </c>
      <c r="D1501" s="27" t="s">
        <v>306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599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297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846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383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11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847</v>
      </c>
      <c r="B1507" s="27" t="s">
        <v>312</v>
      </c>
      <c r="C1507" s="27" t="s">
        <v>372</v>
      </c>
      <c r="D1507" s="27" t="s">
        <v>306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297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161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297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848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90</v>
      </c>
      <c r="B1512" s="27" t="s">
        <v>382</v>
      </c>
      <c r="C1512" s="27" t="s">
        <v>372</v>
      </c>
      <c r="D1512" s="27" t="s">
        <v>306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373</v>
      </c>
      <c r="B1513" s="27" t="s">
        <v>370</v>
      </c>
      <c r="C1513" s="27" t="s">
        <v>372</v>
      </c>
      <c r="D1513" s="27" t="s">
        <v>306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307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189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849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404</v>
      </c>
      <c r="B1517" s="27" t="s">
        <v>371</v>
      </c>
      <c r="C1517" s="27" t="s">
        <v>320</v>
      </c>
      <c r="D1517" s="27" t="s">
        <v>306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334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389</v>
      </c>
      <c r="B1519" s="27" t="s">
        <v>309</v>
      </c>
      <c r="C1519" s="27" t="s">
        <v>313</v>
      </c>
      <c r="D1519" s="27" t="s">
        <v>306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344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/>
    </row>
    <row r="1522" spans="1:12">
      <c r="A1522" s="20" t="s">
        <v>850</v>
      </c>
    </row>
    <row r="1523" spans="1:12">
      <c r="A1523" s="20" t="s">
        <v>692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528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529</v>
      </c>
      <c r="B1525" s="27" t="s">
        <v>347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851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360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852</v>
      </c>
      <c r="B1528" s="27" t="s">
        <v>304</v>
      </c>
      <c r="C1528" s="27" t="s">
        <v>428</v>
      </c>
      <c r="D1528" s="27" t="s">
        <v>306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297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419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31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621</v>
      </c>
      <c r="B1532" s="27" t="s">
        <v>382</v>
      </c>
      <c r="C1532" s="27" t="s">
        <v>355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337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332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853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344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/>
    </row>
    <row r="1538" spans="1:12">
      <c r="A1538" s="20" t="s">
        <v>854</v>
      </c>
    </row>
    <row r="1539" spans="1:12">
      <c r="A1539" s="20" t="s">
        <v>665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334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455</v>
      </c>
      <c r="B1541" s="27" t="s">
        <v>347</v>
      </c>
      <c r="C1541" s="27" t="s">
        <v>313</v>
      </c>
      <c r="D1541" s="27" t="s">
        <v>306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750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400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310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855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426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856</v>
      </c>
      <c r="B1547" s="27" t="s">
        <v>371</v>
      </c>
      <c r="C1547" s="27" t="s">
        <v>355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317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310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479</v>
      </c>
      <c r="B1550" s="27" t="s">
        <v>300</v>
      </c>
      <c r="C1550" s="27" t="s">
        <v>313</v>
      </c>
      <c r="D1550" s="27" t="s">
        <v>306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337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297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341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857</v>
      </c>
      <c r="B1554" s="27" t="s">
        <v>370</v>
      </c>
      <c r="C1554" s="27" t="s">
        <v>355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297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699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426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858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317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334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859</v>
      </c>
      <c r="B1561" s="27" t="s">
        <v>371</v>
      </c>
      <c r="C1561" s="27" t="s">
        <v>313</v>
      </c>
      <c r="D1561" s="27" t="s">
        <v>306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337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860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861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330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90</v>
      </c>
      <c r="B1566" s="27" t="s">
        <v>323</v>
      </c>
      <c r="C1566" s="27" t="s">
        <v>372</v>
      </c>
      <c r="D1566" s="27" t="s">
        <v>306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373</v>
      </c>
      <c r="B1567" s="27" t="s">
        <v>374</v>
      </c>
      <c r="C1567" s="27" t="s">
        <v>372</v>
      </c>
      <c r="D1567" s="27" t="s">
        <v>306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297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310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310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862</v>
      </c>
      <c r="B1571" s="27" t="s">
        <v>374</v>
      </c>
      <c r="C1571" s="27" t="s">
        <v>313</v>
      </c>
      <c r="D1571" s="27" t="s">
        <v>306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297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863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334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405</v>
      </c>
      <c r="B1575" s="27" t="s">
        <v>319</v>
      </c>
      <c r="C1575" s="27" t="s">
        <v>305</v>
      </c>
      <c r="D1575" s="27" t="s">
        <v>306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317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570</v>
      </c>
      <c r="B1577" s="27" t="s">
        <v>374</v>
      </c>
      <c r="C1577" s="27" t="s">
        <v>305</v>
      </c>
      <c r="D1577" s="27" t="s">
        <v>306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395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569</v>
      </c>
      <c r="B1579" s="27" t="s">
        <v>502</v>
      </c>
      <c r="C1579" s="27" t="s">
        <v>428</v>
      </c>
      <c r="D1579" s="27" t="s">
        <v>306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479</v>
      </c>
      <c r="B1580" s="27" t="s">
        <v>392</v>
      </c>
      <c r="C1580" s="27" t="s">
        <v>348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297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483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747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297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461</v>
      </c>
      <c r="B1585" s="27" t="s">
        <v>323</v>
      </c>
      <c r="C1585" s="27" t="s">
        <v>320</v>
      </c>
      <c r="D1585" s="27" t="s">
        <v>306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310</v>
      </c>
      <c r="B1586" s="27" t="s">
        <v>319</v>
      </c>
      <c r="C1586" s="27" t="s">
        <v>320</v>
      </c>
      <c r="D1586" s="27" t="s">
        <v>306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864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865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395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866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745</v>
      </c>
      <c r="B1591" s="27" t="s">
        <v>530</v>
      </c>
      <c r="C1591" s="27" t="s">
        <v>320</v>
      </c>
      <c r="D1591" s="27" t="s">
        <v>306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426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334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770</v>
      </c>
      <c r="B1594" s="27" t="s">
        <v>374</v>
      </c>
      <c r="C1594" s="27" t="s">
        <v>313</v>
      </c>
      <c r="D1594" s="27" t="s">
        <v>306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344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/>
    </row>
    <row r="1597" spans="1:12">
      <c r="A1597" s="20" t="s">
        <v>867</v>
      </c>
    </row>
    <row r="1598" spans="1:12">
      <c r="A1598" s="20" t="s">
        <v>442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161</v>
      </c>
      <c r="B1599" s="27" t="s">
        <v>347</v>
      </c>
      <c r="C1599" s="27" t="s">
        <v>313</v>
      </c>
      <c r="D1599" s="27" t="s">
        <v>306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297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457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297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330</v>
      </c>
      <c r="B1603" s="27" t="s">
        <v>312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673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317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868</v>
      </c>
      <c r="B1606" s="27" t="s">
        <v>300</v>
      </c>
      <c r="C1606" s="27" t="s">
        <v>355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297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869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334</v>
      </c>
      <c r="B1609" s="27" t="s">
        <v>304</v>
      </c>
      <c r="C1609" s="27" t="s">
        <v>336</v>
      </c>
      <c r="D1609" s="27" t="s">
        <v>306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330</v>
      </c>
      <c r="B1610" s="27" t="s">
        <v>309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310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870</v>
      </c>
      <c r="B1612" s="27" t="s">
        <v>312</v>
      </c>
      <c r="C1612" s="27" t="s">
        <v>313</v>
      </c>
      <c r="D1612" s="27" t="s">
        <v>306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673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871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344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/>
    </row>
    <row r="1617" spans="1:12">
      <c r="A1617" s="20" t="s">
        <v>872</v>
      </c>
    </row>
    <row r="1618" spans="1:12">
      <c r="A1618" s="20" t="s">
        <v>873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400</v>
      </c>
      <c r="B1619" s="27" t="s">
        <v>347</v>
      </c>
      <c r="C1619" s="27" t="s">
        <v>320</v>
      </c>
      <c r="D1619" s="27" t="s">
        <v>306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330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297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426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310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714</v>
      </c>
      <c r="B1624" s="27" t="s">
        <v>300</v>
      </c>
      <c r="C1624" s="27" t="s">
        <v>305</v>
      </c>
      <c r="D1624" s="27" t="s">
        <v>306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317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310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479</v>
      </c>
      <c r="B1627" s="27" t="s">
        <v>370</v>
      </c>
      <c r="C1627" s="27" t="s">
        <v>313</v>
      </c>
      <c r="D1627" s="27" t="s">
        <v>306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297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874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298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875</v>
      </c>
      <c r="B1631" s="27" t="s">
        <v>382</v>
      </c>
      <c r="C1631" s="27" t="s">
        <v>305</v>
      </c>
      <c r="D1631" s="27" t="s">
        <v>306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317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876</v>
      </c>
      <c r="B1633" s="27" t="s">
        <v>370</v>
      </c>
      <c r="C1633" s="27" t="s">
        <v>355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297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337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381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310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310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303</v>
      </c>
      <c r="B1639" s="27" t="s">
        <v>382</v>
      </c>
      <c r="C1639" s="27" t="s">
        <v>313</v>
      </c>
      <c r="D1639" s="27" t="s">
        <v>306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383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11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90</v>
      </c>
      <c r="B1642" s="27" t="s">
        <v>371</v>
      </c>
      <c r="C1642" s="27" t="s">
        <v>372</v>
      </c>
      <c r="D1642" s="27" t="s">
        <v>306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297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877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269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334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878</v>
      </c>
      <c r="B1647" s="27" t="s">
        <v>319</v>
      </c>
      <c r="C1647" s="27" t="s">
        <v>305</v>
      </c>
      <c r="D1647" s="27" t="s">
        <v>306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317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310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879</v>
      </c>
      <c r="B1650" s="27" t="s">
        <v>374</v>
      </c>
      <c r="C1650" s="27" t="s">
        <v>313</v>
      </c>
      <c r="D1650" s="27" t="s">
        <v>306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426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330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880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491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528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881</v>
      </c>
      <c r="B1656" s="27" t="s">
        <v>746</v>
      </c>
      <c r="C1656" s="27" t="s">
        <v>313</v>
      </c>
      <c r="D1656" s="27" t="s">
        <v>306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337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882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386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297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395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883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875</v>
      </c>
      <c r="B1663" s="27" t="s">
        <v>421</v>
      </c>
      <c r="C1663" s="27" t="s">
        <v>486</v>
      </c>
      <c r="D1663" s="27" t="s">
        <v>306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344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/>
    </row>
    <row r="1666" spans="1:12">
      <c r="A1666" s="20" t="s">
        <v>560</v>
      </c>
    </row>
    <row r="1667" spans="1:12">
      <c r="A1667" s="20" t="s">
        <v>90</v>
      </c>
      <c r="B1667" s="27" t="s">
        <v>353</v>
      </c>
      <c r="C1667" s="27" t="s">
        <v>372</v>
      </c>
      <c r="D1667" s="27" t="s">
        <v>306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/>
    </row>
    <row r="1669" spans="1:12">
      <c r="A1669" s="20" t="s">
        <v>884</v>
      </c>
    </row>
    <row r="1670" spans="1:12">
      <c r="A1670" s="20" t="s">
        <v>373</v>
      </c>
      <c r="B1670" s="27" t="s">
        <v>347</v>
      </c>
      <c r="C1670" s="27" t="s">
        <v>372</v>
      </c>
      <c r="D1670" s="27" t="s">
        <v>306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534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269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310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879</v>
      </c>
      <c r="B1674" s="27" t="s">
        <v>304</v>
      </c>
      <c r="C1674" s="27" t="s">
        <v>313</v>
      </c>
      <c r="D1674" s="27" t="s">
        <v>306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337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885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310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875</v>
      </c>
      <c r="B1678" s="27" t="s">
        <v>382</v>
      </c>
      <c r="C1678" s="27" t="s">
        <v>313</v>
      </c>
      <c r="D1678" s="27" t="s">
        <v>306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344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/>
    </row>
    <row r="1681" spans="1:12">
      <c r="A1681" s="20" t="s">
        <v>886</v>
      </c>
    </row>
    <row r="1682" spans="1:12">
      <c r="A1682" s="20" t="s">
        <v>665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334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887</v>
      </c>
      <c r="B1684" s="27" t="s">
        <v>347</v>
      </c>
      <c r="C1684" s="27" t="s">
        <v>305</v>
      </c>
      <c r="D1684" s="27" t="s">
        <v>306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317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888</v>
      </c>
      <c r="B1686" s="27" t="s">
        <v>300</v>
      </c>
      <c r="C1686" s="27" t="s">
        <v>355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889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310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334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890</v>
      </c>
      <c r="B1690" s="27" t="s">
        <v>304</v>
      </c>
      <c r="C1690" s="27" t="s">
        <v>305</v>
      </c>
      <c r="D1690" s="27" t="s">
        <v>306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317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334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455</v>
      </c>
      <c r="B1693" s="27" t="s">
        <v>300</v>
      </c>
      <c r="C1693" s="27" t="s">
        <v>313</v>
      </c>
      <c r="D1693" s="27" t="s">
        <v>306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297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330</v>
      </c>
      <c r="B1695" s="27" t="s">
        <v>323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400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750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310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891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337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310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892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395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893</v>
      </c>
      <c r="B1704" s="27" t="s">
        <v>335</v>
      </c>
      <c r="C1704" s="27" t="s">
        <v>355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317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894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 t="s">
        <v>895</v>
      </c>
      <c r="E1707" s="21">
        <f>IF(D1707="?OLD","!!!","")</f>
        <v/>
      </c>
      <c r="F1707" s="22" t="str">
        <f>IF(OR(E1707="",E1707="!!!"),"",IF(NOT(ISNA(VLOOKUP(E1707,E$1:E1706,1,FALSE()))),"OLD",IF(AND(E1707&lt;&gt;"",E1707&lt;&gt;"!!!"),"NEW","")))</f>
        <v> </v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4" t="str">
        <f>IF(J1707&lt;&gt;1,"",IF(I1707="SBJ","CB","?"))</f>
        <v> </v>
      </c>
      <c r="I1707" s="25" t="str">
        <f>IF(OR(E1707="",E1707="!!!",F1707="NEW"),"",INDEX(B1706:B$2,-1+SUMPRODUCT(MAX(ROW(E1706:E$2)*(E1707=E1706:E$2)))))</f>
        <v> </v>
      </c>
      <c r="J1707" s="25" t="str">
        <f>IF(OR(E1707="",E1707="!!!",F1707="NEW"),"",COUNTBLANK(OFFSET(A$1,,,SUMPRODUCT(MAX(ROW(E$2:E1707)*(E1707=E$2:E1707)))))-COUNTBLANK(OFFSET(A$1,,,SUMPRODUCT(MAX(ROW(E$1:E1706)*(E2=E$1:E1706))))))</f>
        <v> </v>
      </c>
      <c r="K1707" s="25" t="str">
        <f>IF(OR(E1707="",E1707="!!!",F1707="NEW"),"",INDEX(J$1:J1706,SUMPRODUCT(MAX(ROW(E$1:E1706)*(E1707=E$1:E1706)))))</f>
        <v> </v>
      </c>
      <c r="L1707" s="26"/>
    </row>
    <row r="1708" spans="1:12">
      <c r="A1708" s="20" t="s">
        <v>344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/>
    </row>
    <row r="1710" spans="1:12">
      <c r="A1710" s="20" t="s">
        <v>896</v>
      </c>
    </row>
    <row r="1711" spans="1:12">
      <c r="A1711" s="20" t="s">
        <v>692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791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897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334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898</v>
      </c>
      <c r="B1715" s="27" t="s">
        <v>304</v>
      </c>
      <c r="C1715" s="27" t="s">
        <v>313</v>
      </c>
      <c r="D1715" s="27" t="s">
        <v>306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330</v>
      </c>
      <c r="B1716" s="27" t="s">
        <v>312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899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334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900</v>
      </c>
      <c r="B1719" s="27" t="s">
        <v>309</v>
      </c>
      <c r="C1719" s="27" t="s">
        <v>313</v>
      </c>
      <c r="D1719" s="27" t="s">
        <v>306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337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707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310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901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317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334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859</v>
      </c>
      <c r="B1726" s="27" t="s">
        <v>309</v>
      </c>
      <c r="C1726" s="27" t="s">
        <v>313</v>
      </c>
      <c r="D1726" s="27" t="s">
        <v>306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902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903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904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596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317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310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875</v>
      </c>
      <c r="B1733" s="27" t="s">
        <v>392</v>
      </c>
      <c r="C1733" s="27" t="s">
        <v>313</v>
      </c>
      <c r="D1733" s="27" t="s">
        <v>306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297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894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794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905</v>
      </c>
      <c r="B1737" s="27" t="s">
        <v>417</v>
      </c>
      <c r="C1737" s="27" t="s">
        <v>355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344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/>
    </row>
    <row r="1740" spans="1:12">
      <c r="A1740" s="20" t="s">
        <v>906</v>
      </c>
    </row>
    <row r="1741" spans="1:12">
      <c r="A1741" s="20" t="s">
        <v>907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297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90</v>
      </c>
      <c r="B1743" s="27" t="s">
        <v>361</v>
      </c>
      <c r="C1743" s="27" t="s">
        <v>372</v>
      </c>
      <c r="D1743" s="27" t="s">
        <v>306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373</v>
      </c>
      <c r="B1744" s="27" t="s">
        <v>370</v>
      </c>
      <c r="C1744" s="27" t="s">
        <v>372</v>
      </c>
      <c r="D1744" s="27" t="s">
        <v>306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908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169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909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395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479</v>
      </c>
      <c r="B1749" s="27" t="s">
        <v>300</v>
      </c>
      <c r="C1749" s="27" t="s">
        <v>355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337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359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910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297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357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668</v>
      </c>
      <c r="B1755" s="27" t="s">
        <v>312</v>
      </c>
      <c r="C1755" s="27" t="s">
        <v>366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358</v>
      </c>
      <c r="B1756" s="27" t="s">
        <v>309</v>
      </c>
      <c r="C1756" s="27" t="s">
        <v>320</v>
      </c>
      <c r="D1756" s="27" t="s">
        <v>306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911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334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912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728</v>
      </c>
      <c r="B1760" s="27" t="s">
        <v>309</v>
      </c>
      <c r="C1760" s="27" t="s">
        <v>313</v>
      </c>
      <c r="D1760" s="27" t="s">
        <v>306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344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2025-07-10T18:08:16Z</dcterms:created>
  <dcterms:modified xsi:type="dcterms:W3CDTF">2025-07-10T18:08:16Z</dcterms:modified>
</cp:coreProperties>
</file>