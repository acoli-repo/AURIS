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<sst xmlns="http://schemas.openxmlformats.org/spreadsheetml/2006/main" count="8129" uniqueCount="2339">
  <si>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</si>
  <si>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</si>
  <si>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</si>
  <si>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</si>
  <si>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</si>
  <si>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</si>
  <si>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</si>
  <si>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</si>
  <si>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</si>
  <si>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</si>
  <si>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</si>
  <si>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</si>
  <si>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fare</t>
  </si>
  <si>
    <t>Facciamo finta di avere qui una macchina , grande , bellissima , in puro stile TED , è una macchina del di il tempo .</t>
  </si>
  <si>
    <t>file://conllu/it/teddy-1325.conllu#s1_0</t>
  </si>
  <si>
    <t>2</t>
  </si>
  <si>
    <t>6</t>
  </si>
  <si>
    <t>entrare</t>
  </si>
  <si>
    <t>Tutti in questa stanza devono entrarci entrar ci .</t>
  </si>
  <si>
    <t>file://conllu/it/teddy-1325.conllu#s2_0</t>
  </si>
  <si>
    <t>3</t>
  </si>
  <si>
    <t>andare</t>
  </si>
  <si>
    <t>Potete andare indietro , potete andare avanti ; non potete rimanere dove siete .</t>
  </si>
  <si>
    <t>file://conllu/it/teddy-1325.conllu#s3_0</t>
  </si>
  <si>
    <t>4</t>
  </si>
  <si>
    <t>perché?</t>
  </si>
  <si>
    <t>essere (essere curioso)</t>
  </si>
  <si>
    <t>E sarei curioso di sapere quale scegliereste , perché l' ho chiesto ai a i miei amici negli in gli ultimi tempi , e tutti vogliono tornare indietro .</t>
  </si>
  <si>
    <t>file://conllu/it/teddy-1325.conllu#s4_0</t>
  </si>
  <si>
    <t>5</t>
  </si>
  <si>
    <t>sapere</t>
  </si>
  <si>
    <t>Non so .</t>
  </si>
  <si>
    <t>file://conllu/it/teddy-1325.conllu#s5_0</t>
  </si>
  <si>
    <t>prima che?</t>
  </si>
  <si>
    <t>tornare</t>
  </si>
  <si>
    <t>Vogliono tornare a prima che ci fossero le auto o Twitter , o &amp;quot; American Idol &amp;quot; .</t>
  </si>
  <si>
    <t>file://conllu/it/teddy-1325.conllu#s6_0</t>
  </si>
  <si>
    <t>7</t>
  </si>
  <si>
    <t>file://conllu/it/teddy-1325.conllu#s7_0</t>
  </si>
  <si>
    <t>8</t>
  </si>
  <si>
    <t>essere (essere convincere)</t>
  </si>
  <si>
    <t>Sono convinto che ci sia una sorta di ritorno alla a la nostalgia , alle a le pie illusioni .</t>
  </si>
  <si>
    <t>file://conllu/it/teddy-1325.conllu#s8_0</t>
  </si>
  <si>
    <t>9</t>
  </si>
  <si>
    <t>capisco</t>
  </si>
  <si>
    <t>Lo capisco .</t>
  </si>
  <si>
    <t>file://conllu/it/teddy-1325.conllu#s9_0</t>
  </si>
  <si>
    <t>10</t>
  </si>
  <si>
    <t>ma?</t>
  </si>
  <si>
    <t>Ma non faccio parte di quel gruppo , lo devo ammettere .</t>
  </si>
  <si>
    <t>file://conllu/it/teddy-1325.conllu#s10_0</t>
  </si>
  <si>
    <t>11</t>
  </si>
  <si>
    <t>Non voglio tornare indietro , e non perché io sia avventuroso , è perché le possibilità su questo pianeta non tornano indietro , vanno avanti .</t>
  </si>
  <si>
    <t>file://conllu/it/teddy-1325.conllu#s11_0</t>
  </si>
  <si>
    <t>12</t>
  </si>
  <si>
    <t>quindi?</t>
  </si>
  <si>
    <t>Quindi voglio entrare nella in la macchina e voglio andare avanti .</t>
  </si>
  <si>
    <t>file://conllu/it/teddy-1325.conllu#s12_0</t>
  </si>
  <si>
    <t>13</t>
  </si>
  <si>
    <t>essere (essere periodo)</t>
  </si>
  <si>
    <t>Questo è il periodo migliore che ci sia stato su questo pianeta in ogni campo che possiamo misurare :</t>
  </si>
  <si>
    <t>file://conllu/it/teddy-1325.conllu#s13_0</t>
  </si>
  <si>
    <t>14</t>
  </si>
  <si>
    <t>salute</t>
  </si>
  <si>
    <t>salute , ricchezza , mobilità , opportunità , calo dei di i tassi di malattia .</t>
  </si>
  <si>
    <t>file://conllu/it/teddy-1325.conllu#s14_0</t>
  </si>
  <si>
    <t>15</t>
  </si>
  <si>
    <t>come?</t>
  </si>
  <si>
    <t>Non c' è mai stato un periodo come questo .</t>
  </si>
  <si>
    <t>file://conllu/it/teddy-1325.conllu#s15_0</t>
  </si>
  <si>
    <t>16</t>
  </si>
  <si>
    <t>morire</t>
  </si>
  <si>
    <t>I miei bisnonni morirono , tutti quanti , prima dei di i 60 anni .</t>
  </si>
  <si>
    <t>file://conllu/it/teddy-1325.conllu#s16_0</t>
  </si>
  <si>
    <t>17</t>
  </si>
  <si>
    <t>spindere</t>
  </si>
  <si>
    <t>I miei nonni spinsero quel numero a 70 .</t>
  </si>
  <si>
    <t>file://conllu/it/teddy-1325.conllu#s17_0</t>
  </si>
  <si>
    <t>18</t>
  </si>
  <si>
    <t>per?</t>
  </si>
  <si>
    <t>stare</t>
  </si>
  <si>
    <t>I miei genitori stanno per toccare gli 80 .</t>
  </si>
  <si>
    <t>file://conllu/it/teddy-1325.conllu#s18_0</t>
  </si>
  <si>
    <t>19</t>
  </si>
  <si>
    <t>essere (essere meglio)</t>
  </si>
  <si>
    <t>Quindi è meglio che ci sia un 9 all' a l' inizio del di il numero dei di i miei anni alla a la mia morte .</t>
  </si>
  <si>
    <t>file://conllu/it/teddy-1325.conllu#s19_0</t>
  </si>
  <si>
    <t>20</t>
  </si>
  <si>
    <t>essere (essere cosa)</t>
  </si>
  <si>
    <t>Ma non riguarda solo persone come noi , è una cosa molto più grande di questa .</t>
  </si>
  <si>
    <t>file://conllu/it/teddy-1325.conllu#s20_0</t>
  </si>
  <si>
    <t>21</t>
  </si>
  <si>
    <t>aspettare</t>
  </si>
  <si>
    <t>Un bambino nato a New Delhi oggi può aspettarsi aspettar si di vivere tanto quanto il più ricco uomo al a il mondo di 100 anni fa .</t>
  </si>
  <si>
    <t>file://conllu/it/teddy-1325.conllu#s21_0</t>
  </si>
  <si>
    <t>23</t>
  </si>
  <si>
    <t>essere (essere fatto)</t>
  </si>
  <si>
    <t>E' un fatto incredibile .</t>
  </si>
  <si>
    <t>file://conllu/it/teddy-1325.conllu#s23_0</t>
  </si>
  <si>
    <t>24</t>
  </si>
  <si>
    <t>Come fa ad essere vero ?</t>
  </si>
  <si>
    <t>file://conllu/it/teddy-1325.conllu#s24_0</t>
  </si>
  <si>
    <t>25</t>
  </si>
  <si>
    <t>Vaiolo</t>
  </si>
  <si>
    <t>Vaiolo .</t>
  </si>
  <si>
    <t>file://conllu/it/teddy-1325.conllu#s25_0</t>
  </si>
  <si>
    <t>26</t>
  </si>
  <si>
    <t>uccidere</t>
  </si>
  <si>
    <t>Il vaiolo ha ucciso miliardi di persone su questo pianeta .</t>
  </si>
  <si>
    <t>file://conllu/it/teddy-1325.conllu#s26_0</t>
  </si>
  <si>
    <t>27</t>
  </si>
  <si>
    <t>cambiare</t>
  </si>
  <si>
    <t>Ha cambiato la demografia del di il globo come nessuna guerra ha mai fatto .</t>
  </si>
  <si>
    <t>file://conllu/it/teddy-1325.conllu#s27_0</t>
  </si>
  <si>
    <t>28</t>
  </si>
  <si>
    <t>se?</t>
  </si>
  <si>
    <t>Se n' è andato .</t>
  </si>
  <si>
    <t>file://conllu/it/teddy-1325.conllu#s28_0</t>
  </si>
  <si>
    <t>29</t>
  </si>
  <si>
    <t>Svanito</t>
  </si>
  <si>
    <t>Svanito .</t>
  </si>
  <si>
    <t>file://conllu/it/teddy-1325.conllu#s29_0</t>
  </si>
  <si>
    <t>30</t>
  </si>
  <si>
    <t>sconfiggere</t>
  </si>
  <si>
    <t>L' abbiamo sconfitto .</t>
  </si>
  <si>
    <t>file://conllu/it/teddy-1325.conllu#s30_0</t>
  </si>
  <si>
    <t>31</t>
  </si>
  <si>
    <t>Puff</t>
  </si>
  <si>
    <t>Puff .</t>
  </si>
  <si>
    <t>file://conllu/it/teddy-1325.conllu#s31_0</t>
  </si>
  <si>
    <t>33</t>
  </si>
  <si>
    <t>difterite</t>
  </si>
  <si>
    <t>Difterite , rosolia , polio..</t>
  </si>
  <si>
    <t>file://conllu/it/teddy-1325.conllu#s33_0</t>
  </si>
  <si>
    <t>34</t>
  </si>
  <si>
    <t>.</t>
  </si>
  <si>
    <t>file://conllu/it/teddy-1325.conllu#s34_0</t>
  </si>
  <si>
    <t>35</t>
  </si>
  <si>
    <t>qualcuno sa ancora cosa siano ?</t>
  </si>
  <si>
    <t>file://conllu/it/teddy-1325.conllu#s35_0</t>
  </si>
  <si>
    <t>36</t>
  </si>
  <si>
    <t>vaccini</t>
  </si>
  <si>
    <t>Vaccini , medicina moderna , la nostra capacità di nutrire miliardi di persone , questi sono trionfi del di il metodo scientifico .</t>
  </si>
  <si>
    <t>file://conllu/it/teddy-1325.conllu#s36_0</t>
  </si>
  <si>
    <t>37</t>
  </si>
  <si>
    <t>e?</t>
  </si>
  <si>
    <t>essere (essere uno)</t>
  </si>
  <si>
    <t>E secondo me , il metodo scientifico , provare le cose , vedere se funzionano , cambiarle cambiar le quando non funzionano , è uno dei di i grandi risultati dell' di l' umanità .</t>
  </si>
  <si>
    <t>file://conllu/it/teddy-1325.conllu#s37_0</t>
  </si>
  <si>
    <t>38</t>
  </si>
  <si>
    <t>essere (essere notizia)</t>
  </si>
  <si>
    <t>Queste erano le buone notizie .</t>
  </si>
  <si>
    <t>file://conllu/it/teddy-1325.conllu#s38_0</t>
  </si>
  <si>
    <t>39</t>
  </si>
  <si>
    <t>Sfortunatamente , erano le uniche buone notizie perché ci sono altri problemi , e sono stati citati molte volte , ad esempio uno di essi è che , nonostante tutto quello che abbiamo ottenuto , un miliardo di persone va a letto affamato su questo pianeta , ogni giorno .</t>
  </si>
  <si>
    <t>file://conllu/it/teddy-1325.conllu#s39_0</t>
  </si>
  <si>
    <t>40</t>
  </si>
  <si>
    <t>crescere</t>
  </si>
  <si>
    <t>Questo numero sta crescendo , con incredibile rapidità , ed è vergognoso .</t>
  </si>
  <si>
    <t>file://conllu/it/teddy-1325.conllu#s40_0</t>
  </si>
  <si>
    <t>41</t>
  </si>
  <si>
    <t>solo?</t>
  </si>
  <si>
    <t>usare</t>
  </si>
  <si>
    <t>E non solo , abbiamo usato la nostra creatività per riempire di rifiuti il pianeta .</t>
  </si>
  <si>
    <t>file://conllu/it/teddy-1325.conllu#s41_0</t>
  </si>
  <si>
    <t>42</t>
  </si>
  <si>
    <t>acqua</t>
  </si>
  <si>
    <t>Acqua potabile , terra coltivabile , foreste pluviali , petrolio , gas naturale :</t>
  </si>
  <si>
    <t>file://conllu/it/teddy-1325.conllu#s42_0</t>
  </si>
  <si>
    <t>43</t>
  </si>
  <si>
    <t>anche?</t>
  </si>
  <si>
    <t>scomparire</t>
  </si>
  <si>
    <t>stanno scomparendo , e stanno scomparendo in fretta , e se non innoviamo le nostre azioni per tirarci tirar ci fuori da questo guaio , scompariremo anche noi .</t>
  </si>
  <si>
    <t>file://conllu/it/teddy-1325.conllu#s43_0</t>
  </si>
  <si>
    <t>44</t>
  </si>
  <si>
    <t>Quindi la domanda è : possiamo farlo far lo ?</t>
  </si>
  <si>
    <t>file://conllu/it/teddy-1325.conllu#s44_0</t>
  </si>
  <si>
    <t>45</t>
  </si>
  <si>
    <t>credere</t>
  </si>
  <si>
    <t>Io credo di sì .</t>
  </si>
  <si>
    <t>file://conllu/it/teddy-1325.conllu#s45_0</t>
  </si>
  <si>
    <t>46</t>
  </si>
  <si>
    <t>pensare</t>
  </si>
  <si>
    <t>Penso sia chiaro che è possibile produrre cibo per sfamare miliardi di persone senza violentare la terra su cui vivono .</t>
  </si>
  <si>
    <t>file://conllu/it/teddy-1325.conllu#s46_0</t>
  </si>
  <si>
    <t>47</t>
  </si>
  <si>
    <t>Penso che sia possibile rifornire questo mondo di energia senza che questa lo distrugga .</t>
  </si>
  <si>
    <t>file://conllu/it/teddy-1325.conllu#s47_0</t>
  </si>
  <si>
    <t>48</t>
  </si>
  <si>
    <t>Io ci credo davvero , e no , non è una pia illusione .</t>
  </si>
  <si>
    <t>file://conllu/it/teddy-1325.conllu#s48_0</t>
  </si>
  <si>
    <t>49</t>
  </si>
  <si>
    <t>uno</t>
  </si>
  <si>
    <t>Ma ecco la cosa che mi tiene sveglio la notte una delle di le cose che mi tengono sveglio la notte .</t>
  </si>
  <si>
    <t>file://conllu/it/teddy-1325.conllu#s49_0</t>
  </si>
  <si>
    <t>50</t>
  </si>
  <si>
    <t>così?</t>
  </si>
  <si>
    <t>avere</t>
  </si>
  <si>
    <t>Non abbiamo mai avuto così bisogno di progressi scientifici come ne abbiamo bisogno adesso , mai , e non siamo mai stati nella in la posizione di utilizzarli utilizzar li al a il meglio di come potremmo oggi .</t>
  </si>
  <si>
    <t>file://conllu/it/teddy-1325.conllu#s50_0</t>
  </si>
  <si>
    <t>51</t>
  </si>
  <si>
    <t>essere (essere passo)</t>
  </si>
  <si>
    <t>Siamo ad un passo da eventi incredibili , davvero , in molti ambiti .</t>
  </si>
  <si>
    <t>file://conllu/it/teddy-1325.conllu#s51_0</t>
  </si>
  <si>
    <t>52</t>
  </si>
  <si>
    <t>nonostante?</t>
  </si>
  <si>
    <t>Ma nonostante questo , penso dovremmo andare indietro secoli , 300 anni , prima dell' di l' Illuminismo , per trovare un periodo in cui abbiamo combattuto i progressi , un periodo in cui li abbiamo combattuti più vigorosamente , e su più fronti , di quanto facciamo ora .</t>
  </si>
  <si>
    <t>file://conllu/it/teddy-1325.conllu#s52_0</t>
  </si>
  <si>
    <t>53</t>
  </si>
  <si>
    <t>intrappolare</t>
  </si>
  <si>
    <t>Le persone si intrappolano in quello che credono , e lo fanno con tanta forza che non riusciamo a liberarli liberar li .</t>
  </si>
  <si>
    <t>file://conllu/it/teddy-1325.conllu#s53_0</t>
  </si>
  <si>
    <t>54</t>
  </si>
  <si>
    <t>riuscire</t>
  </si>
  <si>
    <t>Neanche la verità riesce a liberarli liberar li .</t>
  </si>
  <si>
    <t>file://conllu/it/teddy-1325.conllu#s54_0</t>
  </si>
  <si>
    <t>55</t>
  </si>
  <si>
    <t>Ascoltate , tutti hanno diritto alla a la propria opinione ; hanno anche diritto alla a la propria opinione sul su il progresso , ma sapete a cosa non avete diritto ?</t>
  </si>
  <si>
    <t>file://conllu/it/teddy-1325.conllu#s55_0</t>
  </si>
  <si>
    <t>56</t>
  </si>
  <si>
    <t>Non avete diritto ai a i vostri fatti .</t>
  </si>
  <si>
    <t>file://conllu/it/teddy-1325.conllu#s56_0</t>
  </si>
  <si>
    <t>57</t>
  </si>
  <si>
    <t>dispiacere</t>
  </si>
  <si>
    <t>Mi dispiace , non si può .</t>
  </si>
  <si>
    <t>file://conllu/it/teddy-1325.conllu#s57_0</t>
  </si>
  <si>
    <t>58</t>
  </si>
  <si>
    <t>mettere</t>
  </si>
  <si>
    <t>Ci ho messo un po' a capirlo capir lo .</t>
  </si>
  <si>
    <t>file://conllu/it/teddy-1325.conllu#s58_0</t>
  </si>
  <si>
    <t>59</t>
  </si>
  <si>
    <t>scrivere</t>
  </si>
  <si>
    <t>Una decina di anni fa ho scritto una storia sui su i vaccini per &amp;quot; The New Yorker &amp;quot; , un breve articolo .</t>
  </si>
  <si>
    <t>file://conllu/it/teddy-1325.conllu#s59_0</t>
  </si>
  <si>
    <t>60</t>
  </si>
  <si>
    <t>stupefarre</t>
  </si>
  <si>
    <t>Ed ero stupefatto che qualcuno si opponesse , che fosse contrario a quella che è , dopo tutto , la misura di salute pubblica più efficace di tutta la storia umana .</t>
  </si>
  <si>
    <t>file://conllu/it/teddy-1325.conllu#s60_0</t>
  </si>
  <si>
    <t>61</t>
  </si>
  <si>
    <t>sapere (sapere scrivere)</t>
  </si>
  <si>
    <t>Non sapevo cosa fare , quindi ho fatto come al a il solito , ho scritto la storia e sono passato ad altro .</t>
  </si>
  <si>
    <t>file://conllu/it/teddy-1325.conllu#s61_0</t>
  </si>
  <si>
    <t>62</t>
  </si>
  <si>
    <t>più tardi?</t>
  </si>
  <si>
    <t>Non molto più tardi , ho scritto una storia sul su il cibo geneticamente modificato .</t>
  </si>
  <si>
    <t>file://conllu/it/teddy-1325.conllu#s62_0</t>
  </si>
  <si>
    <t>63</t>
  </si>
  <si>
    <t>cosa</t>
  </si>
  <si>
    <t>Stessa cosa , solo più grande .</t>
  </si>
  <si>
    <t>file://conllu/it/teddy-1325.conllu#s63_0</t>
  </si>
  <si>
    <t>64</t>
  </si>
  <si>
    <t>impazzire</t>
  </si>
  <si>
    <t>Le persone erano impazzite .</t>
  </si>
  <si>
    <t>file://conllu/it/teddy-1325.conllu#s64_0</t>
  </si>
  <si>
    <t>65</t>
  </si>
  <si>
    <t>Quindi ho scritto una storia anche su quello , e non riuscivo a capire perché le persone considerassero gli OGM come &amp;quot; cibo mostro &amp;quot; , perché pensassero che spostare le molecole in modo specifico , invece che a caso , fosse invadere il campo di lavoro della di la natura .</t>
  </si>
  <si>
    <t>file://conllu/it/teddy-1325.conllu#s65_0</t>
  </si>
  <si>
    <t>66</t>
  </si>
  <si>
    <t>Ma , come sempre , faccio il mio lavoro .</t>
  </si>
  <si>
    <t>file://conllu/it/teddy-1325.conllu#s66_0</t>
  </si>
  <si>
    <t>67</t>
  </si>
  <si>
    <t>Ho scritto la storia e sono andato avanti .</t>
  </si>
  <si>
    <t>file://conllu/it/teddy-1325.conllu#s67_0</t>
  </si>
  <si>
    <t>68</t>
  </si>
  <si>
    <t>volere (volere dire)</t>
  </si>
  <si>
    <t>Voglio dire , sono un giornalista :</t>
  </si>
  <si>
    <t>file://conllu/it/teddy-1325.conllu#s68_0</t>
  </si>
  <si>
    <t>69</t>
  </si>
  <si>
    <t>scriviamo , mandiamo , andiamo a cena , finisce lì .</t>
  </si>
  <si>
    <t>file://conllu/it/teddy-1325.conllu#s69_0</t>
  </si>
  <si>
    <t>70</t>
  </si>
  <si>
    <t>risate</t>
  </si>
  <si>
    <t>( Risate ) Ma queste storie mi torturavano e non riuscivo a capire perché , ma alla a la fine ce l' ho fatta .</t>
  </si>
  <si>
    <t>file://conllu/it/teddy-1325.conllu#s70_0</t>
  </si>
  <si>
    <t>71</t>
  </si>
  <si>
    <t>essere</t>
  </si>
  <si>
    <t>Il problema era che quei fanatici che mi stavano facendo impazzire non erano affatto fanatici .</t>
  </si>
  <si>
    <t>file://conllu/it/teddy-1325.conllu#s71_0</t>
  </si>
  <si>
    <t>72</t>
  </si>
  <si>
    <t>essere (essere persona)</t>
  </si>
  <si>
    <t>Erano persone di coscienza , istruite , persone per bene .</t>
  </si>
  <si>
    <t>file://conllu/it/teddy-1325.conllu#s72_0</t>
  </si>
  <si>
    <t>73</t>
  </si>
  <si>
    <t>Erano esattamente come le persone in questa stanza .</t>
  </si>
  <si>
    <t>file://conllu/it/teddy-1325.conllu#s73_0</t>
  </si>
  <si>
    <t>74</t>
  </si>
  <si>
    <t>disturbare</t>
  </si>
  <si>
    <t>E la cosa mi disturbava molto..</t>
  </si>
  <si>
    <t>file://conllu/it/teddy-1325.conllu#s74_0</t>
  </si>
  <si>
    <t>75</t>
  </si>
  <si>
    <t>file://conllu/it/teddy-1325.conllu#s75_0</t>
  </si>
  <si>
    <t>76</t>
  </si>
  <si>
    <t>poi?</t>
  </si>
  <si>
    <t>ma poi ho pensato :</t>
  </si>
  <si>
    <t>file://conllu/it/teddy-1325.conllu#s76_0</t>
  </si>
  <si>
    <t>78</t>
  </si>
  <si>
    <t>parlare</t>
  </si>
  <si>
    <t>Ne parliamo in modo ambiguo .</t>
  </si>
  <si>
    <t>file://conllu/it/teddy-1325.conllu#s78_0</t>
  </si>
  <si>
    <t>79</t>
  </si>
  <si>
    <t>usare (usare parlare)</t>
  </si>
  <si>
    <t>Ne parliamo in termini ironici usando le virgolette :</t>
  </si>
  <si>
    <t>file://conllu/it/teddy-1325.conllu#s79_0</t>
  </si>
  <si>
    <t>80</t>
  </si>
  <si>
    <t>&amp;quot; Progresso &amp;quot; Va bene , ci sono dei di i motivi per farlo far lo , e penso che sappiamo quali siano .</t>
  </si>
  <si>
    <t>file://conllu/it/teddy-1325.conllu#s80_0</t>
  </si>
  <si>
    <t>81</t>
  </si>
  <si>
    <t>perdere</t>
  </si>
  <si>
    <t>Abbiamo perso fiducia nelle in le istituzioni , nelle in le autorità , ed a volte nella in la scienza stessa , ed è comprensibile che sia successo .</t>
  </si>
  <si>
    <t>file://conllu/it/teddy-1325.conllu#s81_0</t>
  </si>
  <si>
    <t>82</t>
  </si>
  <si>
    <t>bastare</t>
  </si>
  <si>
    <t>Basta fare solo alcuni nomi e la gente capisce .</t>
  </si>
  <si>
    <t>file://conllu/it/teddy-1325.conllu#s82_0</t>
  </si>
  <si>
    <t>83</t>
  </si>
  <si>
    <t>Chernobyl</t>
  </si>
  <si>
    <t>Chernobyl , Bhopal , il Challenger , Vioxx , armi di distruzione di massa , elezioni truccate .</t>
  </si>
  <si>
    <t>file://conllu/it/teddy-1325.conllu#s83_0</t>
  </si>
  <si>
    <t>84</t>
  </si>
  <si>
    <t>Voglio dire , ognuno ha la sua lista .</t>
  </si>
  <si>
    <t>file://conllu/it/teddy-1325.conllu#s84_0</t>
  </si>
  <si>
    <t>85</t>
  </si>
  <si>
    <t>Abbiamo domande e problemi con le persone che pensavamo avessero sempre ragione .</t>
  </si>
  <si>
    <t>file://conllu/it/teddy-1325.conllu#s85_0</t>
  </si>
  <si>
    <t>86</t>
  </si>
  <si>
    <t>siato</t>
  </si>
  <si>
    <t>Quindi siate scettici .</t>
  </si>
  <si>
    <t>file://conllu/it/teddy-1325.conllu#s86_0</t>
  </si>
  <si>
    <t>87</t>
  </si>
  <si>
    <t>Fate domante , pretendete risposte , pretendete prove .</t>
  </si>
  <si>
    <t>file://conllu/it/teddy-1325.conllu#s87_0</t>
  </si>
  <si>
    <t>88</t>
  </si>
  <si>
    <t>dare</t>
  </si>
  <si>
    <t>Non date nulla per scontato .</t>
  </si>
  <si>
    <t>file://conllu/it/teddy-1325.conllu#s88_0</t>
  </si>
  <si>
    <t>89</t>
  </si>
  <si>
    <t>punto</t>
  </si>
  <si>
    <t>Ma ecco il punto fondamentale :</t>
  </si>
  <si>
    <t>file://conllu/it/teddy-1325.conllu#s89_0</t>
  </si>
  <si>
    <t>90</t>
  </si>
  <si>
    <t>quando?</t>
  </si>
  <si>
    <t>essere (essere necessario)</t>
  </si>
  <si>
    <t>quando le prove arrivano è necessario accettarle accettar le , e non siamo molto bravi in questo .</t>
  </si>
  <si>
    <t>file://conllu/it/teddy-1325.conllu#s90_0</t>
  </si>
  <si>
    <t>91</t>
  </si>
  <si>
    <t>E penso che il motivo sia che ci troviamo in un' epidemia di paura che non avevo mai visto e spero di non rivedere mai .</t>
  </si>
  <si>
    <t>file://conllu/it/teddy-1325.conllu#s91_0</t>
  </si>
  <si>
    <t>92</t>
  </si>
  <si>
    <t>pubblicare</t>
  </si>
  <si>
    <t>Circa 12 anni fa venne pubblicata una storia , una storia orribile , che sosteneva ci fosse un legame tra un' epidemia di autismo ed i vaccini contro morbillo , parotite e rosolia .</t>
  </si>
  <si>
    <t>file://conllu/it/teddy-1325.conllu#s92_0</t>
  </si>
  <si>
    <t>93</t>
  </si>
  <si>
    <t>spaventoso</t>
  </si>
  <si>
    <t>Molto spaventoso .</t>
  </si>
  <si>
    <t>file://conllu/it/teddy-1325.conllu#s93_0</t>
  </si>
  <si>
    <t>94</t>
  </si>
  <si>
    <t>Centinaia di studi furono fatti per vedere se era vero .</t>
  </si>
  <si>
    <t>file://conllu/it/teddy-1325.conllu#s94_0</t>
  </si>
  <si>
    <t>95</t>
  </si>
  <si>
    <t>E si dovevano fare centinaia di studi ;</t>
  </si>
  <si>
    <t>file://conllu/it/teddy-1325.conllu#s95_0</t>
  </si>
  <si>
    <t>96</t>
  </si>
  <si>
    <t>essere (essere questione)</t>
  </si>
  <si>
    <t>è una questione importante .</t>
  </si>
  <si>
    <t>file://conllu/it/teddy-1325.conllu#s96_0</t>
  </si>
  <si>
    <t>98</t>
  </si>
  <si>
    <t>arrivare</t>
  </si>
  <si>
    <t>Arrivarono dagli da gli Stati Uniti , dall' da l' Inghilterra , dalla da la Svezia , dal da il Canada , e tutti erano uguali , nessun collegamento , nessuna correlazione , niente di niente .</t>
  </si>
  <si>
    <t>file://conllu/it/teddy-1325.conllu#s98_0</t>
  </si>
  <si>
    <t>99</t>
  </si>
  <si>
    <t>Non fece differenza .</t>
  </si>
  <si>
    <t>file://conllu/it/teddy-1325.conllu#s99_0</t>
  </si>
  <si>
    <t>100</t>
  </si>
  <si>
    <t>Non la fece perché noi crediamo agli a gli aneddoti , a quello che vediamo..</t>
  </si>
  <si>
    <t>file://conllu/it/teddy-1325.conllu#s100_0</t>
  </si>
  <si>
    <t>101</t>
  </si>
  <si>
    <t>file://conllu/it/teddy-1325.conllu#s101_0</t>
  </si>
  <si>
    <t>102</t>
  </si>
  <si>
    <t>quello</t>
  </si>
  <si>
    <t>a quello che pensiamo di vedere , a quello che ci fa sentire reali .</t>
  </si>
  <si>
    <t>file://conllu/it/teddy-1325.conllu#s102_0</t>
  </si>
  <si>
    <t>103</t>
  </si>
  <si>
    <t>capire (capire credere)</t>
  </si>
  <si>
    <t>Non crediamo ad una pila di documenti forniti da impiegati del di il governo che ci mostrano numeri , e lo capisco , penso che lo capiamo tutti .</t>
  </si>
  <si>
    <t>file://conllu/it/teddy-1325.conllu#s103_0</t>
  </si>
  <si>
    <t>104</t>
  </si>
  <si>
    <t>Ma sapete una cosa ?</t>
  </si>
  <si>
    <t>file://conllu/it/teddy-1325.conllu#s104_0</t>
  </si>
  <si>
    <t>105</t>
  </si>
  <si>
    <t>I risultati sono stati devastanti..</t>
  </si>
  <si>
    <t>file://conllu/it/teddy-1325.conllu#s105_0</t>
  </si>
  <si>
    <t>106</t>
  </si>
  <si>
    <t>file://conllu/it/teddy-1325.conllu#s106_0</t>
  </si>
  <si>
    <t>107</t>
  </si>
  <si>
    <t>devastante</t>
  </si>
  <si>
    <t>devastanti perché ecco un fatto :</t>
  </si>
  <si>
    <t>file://conllu/it/teddy-1325.conllu#s107_0</t>
  </si>
  <si>
    <t>108</t>
  </si>
  <si>
    <t>gli Stati Uniti sono una delle di le poche nazioni al a il mondo in cui il numero di vaccini contro il morbillo sta calando .</t>
  </si>
  <si>
    <t>file://conllu/it/teddy-1325.conllu#s108_0</t>
  </si>
  <si>
    <t>109</t>
  </si>
  <si>
    <t>essere (essere orribile)</t>
  </si>
  <si>
    <t>È orribile , e dovremmo vergognarci vergognar ci di noi stessi .</t>
  </si>
  <si>
    <t>file://conllu/it/teddy-1325.conllu#s109_0</t>
  </si>
  <si>
    <t>110</t>
  </si>
  <si>
    <t>essere (essere terribile)</t>
  </si>
  <si>
    <t>È terribile .</t>
  </si>
  <si>
    <t>file://conllu/it/teddy-1325.conllu#s110_0</t>
  </si>
  <si>
    <t>111</t>
  </si>
  <si>
    <t>essere (essere successo)</t>
  </si>
  <si>
    <t>Cosa è successo che ci ha spinto a fare una cosa del di il genere ?</t>
  </si>
  <si>
    <t>file://conllu/it/teddy-1325.conllu#s111_0</t>
  </si>
  <si>
    <t>112</t>
  </si>
  <si>
    <t>Ora , lo capisco .</t>
  </si>
  <si>
    <t>file://conllu/it/teddy-1325.conllu#s112_0</t>
  </si>
  <si>
    <t>113</t>
  </si>
  <si>
    <t>Lo capisco davvero .</t>
  </si>
  <si>
    <t>file://conllu/it/teddy-1325.conllu#s113_0</t>
  </si>
  <si>
    <t>115</t>
  </si>
  <si>
    <t>vedere</t>
  </si>
  <si>
    <t>Qualcuno tra il pubblico ha mai visto una persona morire di morbillo ?</t>
  </si>
  <si>
    <t>file://conllu/it/teddy-1325.conllu#s115_0</t>
  </si>
  <si>
    <t>116</t>
  </si>
  <si>
    <t>succedere</t>
  </si>
  <si>
    <t>Non succede spesso .</t>
  </si>
  <si>
    <t>file://conllu/it/teddy-1325.conllu#s116_0</t>
  </si>
  <si>
    <t>117</t>
  </si>
  <si>
    <t>In questo paese non succede proprio , ma è successo 160mila volte nel in il mondo l' anno scorso .</t>
  </si>
  <si>
    <t>file://conllu/it/teddy-1325.conllu#s117_0</t>
  </si>
  <si>
    <t>118</t>
  </si>
  <si>
    <t>essere (essere morte)</t>
  </si>
  <si>
    <t>Sono un bel po' di morti per morbillo , 20 ogni ora .</t>
  </si>
  <si>
    <t>file://conllu/it/teddy-1325.conllu#s118_0</t>
  </si>
  <si>
    <t>119</t>
  </si>
  <si>
    <t>Ma visto che non è successo qui , possiamo togliercelo dalla da la testa , e persone come Jenny McCarthy possono andare in giro a spargere messaggi di paura e ignoranza da palcoscenici come Oprah o Larry King Live .</t>
  </si>
  <si>
    <t>file://conllu/it/teddy-1325.conllu#s119_0</t>
  </si>
  <si>
    <t>120</t>
  </si>
  <si>
    <t>E lo possono fare perché non capiscono la differenza tra causalità e correlazione .</t>
  </si>
  <si>
    <t>file://conllu/it/teddy-1325.conllu#s120_0</t>
  </si>
  <si>
    <t>121</t>
  </si>
  <si>
    <t>sembrare (sembrare capire)</t>
  </si>
  <si>
    <t>Non capiscono che queste due cose sembrano uguali , ma non lo sono quasi mai .</t>
  </si>
  <si>
    <t>file://conllu/it/teddy-1325.conllu#s121_0</t>
  </si>
  <si>
    <t>122</t>
  </si>
  <si>
    <t>però?</t>
  </si>
  <si>
    <t>essere (essere qualcosa)</t>
  </si>
  <si>
    <t>Però è qualcosa che dobbiamo imparare , e dobbiamo impararlo imparar lo in fretta .</t>
  </si>
  <si>
    <t>file://conllu/it/teddy-1325.conllu#s122_0</t>
  </si>
  <si>
    <t>123</t>
  </si>
  <si>
    <t>essere (essere eroe)</t>
  </si>
  <si>
    <t>Quest' uomo è stato un eroe , Jonas Salk .</t>
  </si>
  <si>
    <t>file://conllu/it/teddy-1325.conllu#s123_0</t>
  </si>
  <si>
    <t>124</t>
  </si>
  <si>
    <t>liberare</t>
  </si>
  <si>
    <t>Ha liberato l' umanità da uno dei di i suoi peggiori flagelli .</t>
  </si>
  <si>
    <t>file://conllu/it/teddy-1325.conllu#s124_0</t>
  </si>
  <si>
    <t>125</t>
  </si>
  <si>
    <t>paura</t>
  </si>
  <si>
    <t>Nessuna paura , nessuna sofferenza...</t>
  </si>
  <si>
    <t>file://conllu/it/teddy-1325.conllu#s125_0</t>
  </si>
  <si>
    <t>126</t>
  </si>
  <si>
    <t>polio</t>
  </si>
  <si>
    <t>la polio , puff... scomparsa .</t>
  </si>
  <si>
    <t>file://conllu/it/teddy-1325.conllu#s126_0</t>
  </si>
  <si>
    <t>127</t>
  </si>
  <si>
    <t>uomo</t>
  </si>
  <si>
    <t>L' uomo al a il centro , non altrettanto .</t>
  </si>
  <si>
    <t>file://conllu/it/teddy-1325.conllu#s127_0</t>
  </si>
  <si>
    <t>128</t>
  </si>
  <si>
    <t>chiamare</t>
  </si>
  <si>
    <t>Si chiama Paul Offit .</t>
  </si>
  <si>
    <t>file://conllu/it/teddy-1325.conllu#s128_0</t>
  </si>
  <si>
    <t>129</t>
  </si>
  <si>
    <t>creare</t>
  </si>
  <si>
    <t>Ha semplicemente creato un vaccino contro il rotavirus insieme ad altre persone .</t>
  </si>
  <si>
    <t>file://conllu/it/teddy-1325.conllu#s129_0</t>
  </si>
  <si>
    <t>130</t>
  </si>
  <si>
    <t>salvare</t>
  </si>
  <si>
    <t>Ha salvato la vita di 400 , 500 mila bambini ogni anno nei in i paesi in via di sviluppo .</t>
  </si>
  <si>
    <t>file://conllu/it/teddy-1325.conllu#s130_0</t>
  </si>
  <si>
    <t>131</t>
  </si>
  <si>
    <t>vero</t>
  </si>
  <si>
    <t>Mica male , vero ?</t>
  </si>
  <si>
    <t>file://conllu/it/teddy-1325.conllu#s131_0</t>
  </si>
  <si>
    <t>132</t>
  </si>
  <si>
    <t>essere (essere ottimo)</t>
  </si>
  <si>
    <t>E' ottimo , se non fosse che Paul va in giro a parlare dei di i vaccini , dice quanto siano preziosi e che le persone dovrebbero semplicemente smettere di frignare .</t>
  </si>
  <si>
    <t>file://conllu/it/teddy-1325.conllu#s132_0</t>
  </si>
  <si>
    <t>133</t>
  </si>
  <si>
    <t>dire</t>
  </si>
  <si>
    <t>E lo dice in questi termini .</t>
  </si>
  <si>
    <t>file://conllu/it/teddy-1325.conllu#s133_0</t>
  </si>
  <si>
    <t>134</t>
  </si>
  <si>
    <t>considerare</t>
  </si>
  <si>
    <t>Quindi Paul è considerato un terrorista .</t>
  </si>
  <si>
    <t>file://conllu/it/teddy-1325.conllu#s134_0</t>
  </si>
  <si>
    <t>135</t>
  </si>
  <si>
    <t>testimoniare</t>
  </si>
  <si>
    <t>Quando Paul parla in un' udienza pubblica non può testimoniare senza una scorta armata .</t>
  </si>
  <si>
    <t>file://conllu/it/teddy-1325.conllu#s135_0</t>
  </si>
  <si>
    <t>136</t>
  </si>
  <si>
    <t>ricordare (ricordare chiamare)</t>
  </si>
  <si>
    <t>Lo chiamano a casa perché ad alcuni piace ricordargli ricordar gli che sanno dove i suoi figli vanno a scuola .</t>
  </si>
  <si>
    <t>file://conllu/it/teddy-1325.conllu#s136_0</t>
  </si>
  <si>
    <t>137</t>
  </si>
  <si>
    <t>perché</t>
  </si>
  <si>
    <t>Perché ?</t>
  </si>
  <si>
    <t>file://conllu/it/teddy-1325.conllu#s137_0</t>
  </si>
  <si>
    <t>138</t>
  </si>
  <si>
    <t>Perché Paul ha creato un vaccino .</t>
  </si>
  <si>
    <t>file://conllu/it/teddy-1325.conllu#s138_0</t>
  </si>
  <si>
    <t>139</t>
  </si>
  <si>
    <t>Non avrei bisogno di dirlo dir lo , ma i vaccini sono fondamentali .</t>
  </si>
  <si>
    <t>file://conllu/it/teddy-1325.conllu#s139_0</t>
  </si>
  <si>
    <t>140</t>
  </si>
  <si>
    <t>ritornare</t>
  </si>
  <si>
    <t>Se smettiamo di prenderli prender li , le malattie ritornano , terribili malattie , e sta succedendo .</t>
  </si>
  <si>
    <t>file://conllu/it/teddy-1325.conllu#s140_0</t>
  </si>
  <si>
    <t>141</t>
  </si>
  <si>
    <t>Abbiamo di nuovo il morbillo in questo paese .</t>
  </si>
  <si>
    <t>file://conllu/it/teddy-1325.conllu#s141_0</t>
  </si>
  <si>
    <t>142</t>
  </si>
  <si>
    <t>essere (essere peggio)</t>
  </si>
  <si>
    <t>E sarà sempre peggio , e tra non molto i bambini cominceranno a morire di nuovo perché è solo una questione di numeri .</t>
  </si>
  <si>
    <t>file://conllu/it/teddy-1325.conllu#s142_0</t>
  </si>
  <si>
    <t>143</t>
  </si>
  <si>
    <t>E non moriranno solo di morbillo .</t>
  </si>
  <si>
    <t>file://conllu/it/teddy-1325.conllu#s143_0</t>
  </si>
  <si>
    <t>144</t>
  </si>
  <si>
    <t>La polio ?</t>
  </si>
  <si>
    <t>file://conllu/it/teddy-1325.conllu#s144_0</t>
  </si>
  <si>
    <t>146</t>
  </si>
  <si>
    <t>no</t>
  </si>
  <si>
    <t>Perché no ?</t>
  </si>
  <si>
    <t>file://conllu/it/teddy-1325.conllu#s146_0</t>
  </si>
  <si>
    <t>147</t>
  </si>
  <si>
    <t>22</t>
  </si>
  <si>
    <t>considerare (considerare dire scrivere)</t>
  </si>
  <si>
    <t>Una mia ex collega del di il college mi ha scritto un paio di settimane fa e mi ha detto che mi considerava un po' eccessivo .</t>
  </si>
  <si>
    <t>file://conllu/it/teddy-1325.conllu#s147_0</t>
  </si>
  <si>
    <t>148</t>
  </si>
  <si>
    <t>prima?</t>
  </si>
  <si>
    <t>Nessuno me lo aveva detto prima .</t>
  </si>
  <si>
    <t>file://conllu/it/teddy-1325.conllu#s148_0</t>
  </si>
  <si>
    <t>149</t>
  </si>
  <si>
    <t>vaccinare</t>
  </si>
  <si>
    <t>Lei non avrebbe vaccinato suo figlio contro la polio .</t>
  </si>
  <si>
    <t>file://conllu/it/teddy-1325.conllu#s149_0</t>
  </si>
  <si>
    <t>150</t>
  </si>
  <si>
    <t>Neanche morta .</t>
  </si>
  <si>
    <t>file://conllu/it/teddy-1325.conllu#s150_0</t>
  </si>
  <si>
    <t>151</t>
  </si>
  <si>
    <t>OK.</t>
  </si>
  <si>
    <t>OK. Perché ?</t>
  </si>
  <si>
    <t>file://conllu/it/teddy-1325.conllu#s151_0</t>
  </si>
  <si>
    <t>152</t>
  </si>
  <si>
    <t>Perché non c' è la polio da noi .</t>
  </si>
  <si>
    <t>file://conllu/it/teddy-1325.conllu#s152_0</t>
  </si>
  <si>
    <t>153</t>
  </si>
  <si>
    <t>file://conllu/it/teddy-1325.conllu#s153_0</t>
  </si>
  <si>
    <t>154</t>
  </si>
  <si>
    <t>Ieri non avevamo la polio negli in gli Stati Uniti .</t>
  </si>
  <si>
    <t>file://conllu/it/teddy-1325.conllu#s154_0</t>
  </si>
  <si>
    <t>155</t>
  </si>
  <si>
    <t>salire</t>
  </si>
  <si>
    <t>Oggi non lo so... magari stamattina un tizio è salito su un aereo a Lagos e sta arrivando a Los Angeles , adesso è sopra l' Ohio .</t>
  </si>
  <si>
    <t>file://conllu/it/teddy-1325.conllu#s155_0</t>
  </si>
  <si>
    <t>156</t>
  </si>
  <si>
    <t>atterrare</t>
  </si>
  <si>
    <t>Magari atterrerà tra un paio d' ore , noleggerà una macchina , arriverà qui a Long Beach e stasera parteciperà ad una di queste fantastiche cene organizzate da TED .</t>
  </si>
  <si>
    <t>file://conllu/it/teddy-1325.conllu#s156_0</t>
  </si>
  <si>
    <t>157</t>
  </si>
  <si>
    <t>sapere (sapere sapere)</t>
  </si>
  <si>
    <t>Lui non lo sa di essere stato infettato da una malattia paralizzante , e non lo sappiamo neanche noi perché è così che funziona il mondo .</t>
  </si>
  <si>
    <t>file://conllu/it/teddy-1325.conllu#s157_0</t>
  </si>
  <si>
    <t>158</t>
  </si>
  <si>
    <t>essere (essere pianeta)</t>
  </si>
  <si>
    <t>Questo è il pianeta in cui viviamo .</t>
  </si>
  <si>
    <t>file://conllu/it/teddy-1325.conllu#s158_0</t>
  </si>
  <si>
    <t>159</t>
  </si>
  <si>
    <t>Non facciamo finta che non sia così .</t>
  </si>
  <si>
    <t>file://conllu/it/teddy-1325.conllu#s159_0</t>
  </si>
  <si>
    <t>160</t>
  </si>
  <si>
    <t>adorare</t>
  </si>
  <si>
    <t>Noi adoriamo circondarci circondar ci di bugie .</t>
  </si>
  <si>
    <t>file://conllu/it/teddy-1325.conllu#s160_0</t>
  </si>
  <si>
    <t>161</t>
  </si>
  <si>
    <t>Adorare</t>
  </si>
  <si>
    <t>Adoriamo farlo far lo .</t>
  </si>
  <si>
    <t>file://conllu/it/teddy-1325.conllu#s161_0</t>
  </si>
  <si>
    <t>162</t>
  </si>
  <si>
    <t>prendere</t>
  </si>
  <si>
    <t>Tutti avete preso le vitamine stamattina ?</t>
  </si>
  <si>
    <t>file://conllu/it/teddy-1325.conllu#s162_0</t>
  </si>
  <si>
    <t>163</t>
  </si>
  <si>
    <t>Echinacea</t>
  </si>
  <si>
    <t>Echinacea , un po' di antiossidanti per cominciare la giornata .</t>
  </si>
  <si>
    <t>file://conllu/it/teddy-1325.conllu#s163_0</t>
  </si>
  <si>
    <t>164</t>
  </si>
  <si>
    <t>So che lo avete fatto perché la metà degli di gli americani lo fa ogni giorno .</t>
  </si>
  <si>
    <t>file://conllu/it/teddy-1325.conllu#s164_0</t>
  </si>
  <si>
    <t>165</t>
  </si>
  <si>
    <t>Prendono quella roba , come si affidano alla a la medicina alternativa , e non importa quanto spesso dimostriamo che sono inutili .</t>
  </si>
  <si>
    <t>file://conllu/it/teddy-1325.conllu#s165_0</t>
  </si>
  <si>
    <t>166</t>
  </si>
  <si>
    <t>dimostrare</t>
  </si>
  <si>
    <t>I dati lo dimostrano sempre .</t>
  </si>
  <si>
    <t>file://conllu/it/teddy-1325.conllu#s166_0</t>
  </si>
  <si>
    <t>167</t>
  </si>
  <si>
    <t>rendere</t>
  </si>
  <si>
    <t>Rendono l' urina più scura .</t>
  </si>
  <si>
    <t>file://conllu/it/teddy-1325.conllu#s167_0</t>
  </si>
  <si>
    <t>168</t>
  </si>
  <si>
    <t>Più di questo non fanno , quasi mai .</t>
  </si>
  <si>
    <t>file://conllu/it/teddy-1325.conllu#s168_0</t>
  </si>
  <si>
    <t>169</t>
  </si>
  <si>
    <t>essere (essere voi)</t>
  </si>
  <si>
    <t>Ma va bene , volete spendere 28 miliardi di dollari per urina scura , sono con voi !</t>
  </si>
  <si>
    <t>file://conllu/it/teddy-1325.conllu#s169_0</t>
  </si>
  <si>
    <t>170</t>
  </si>
  <si>
    <t>Urina</t>
  </si>
  <si>
    <t>Urina scura .</t>
  </si>
  <si>
    <t>file://conllu/it/teddy-1325.conllu#s170_0</t>
  </si>
  <si>
    <t>171</t>
  </si>
  <si>
    <t>scurare</t>
  </si>
  <si>
    <t>Scura .</t>
  </si>
  <si>
    <t>file://conllu/it/teddy-1325.conllu#s171_0</t>
  </si>
  <si>
    <t>172</t>
  </si>
  <si>
    <t>Perché lo facciamo ?</t>
  </si>
  <si>
    <t>file://conllu/it/teddy-1325.conllu#s172_0</t>
  </si>
  <si>
    <t>173</t>
  </si>
  <si>
    <t>file://conllu/it/teddy-1325.conllu#s173_0</t>
  </si>
  <si>
    <t>174</t>
  </si>
  <si>
    <t>odare</t>
  </si>
  <si>
    <t>Credo di capire , odiamo le grandi case farmaceutiche .</t>
  </si>
  <si>
    <t>file://conllu/it/teddy-1325.conllu#s174_0</t>
  </si>
  <si>
    <t>175</t>
  </si>
  <si>
    <t>Odare</t>
  </si>
  <si>
    <t>Odiamo il la grande macchina governativa .</t>
  </si>
  <si>
    <t>file://conllu/it/teddy-1325.conllu#s175_0</t>
  </si>
  <si>
    <t>176</t>
  </si>
  <si>
    <t>fidere</t>
  </si>
  <si>
    <t>Non ci fidiamo .</t>
  </si>
  <si>
    <t>file://conllu/it/teddy-1325.conllu#s176_0</t>
  </si>
  <si>
    <t>177</t>
  </si>
  <si>
    <t>E facciamo bene .</t>
  </si>
  <si>
    <t>file://conllu/it/teddy-1325.conllu#s177_0</t>
  </si>
  <si>
    <t>178</t>
  </si>
  <si>
    <t>Il nostro sistema sanitario fa schifo .</t>
  </si>
  <si>
    <t>file://conllu/it/teddy-1325.conllu#s178_0</t>
  </si>
  <si>
    <t>179</t>
  </si>
  <si>
    <t>essere (essere crudele)</t>
  </si>
  <si>
    <t>È crudele verso milioni di persone .</t>
  </si>
  <si>
    <t>file://conllu/it/teddy-1325.conllu#s179_0</t>
  </si>
  <si>
    <t>180</t>
  </si>
  <si>
    <t>essere (essere freddo)</t>
  </si>
  <si>
    <t>È assolutamente , incredibilmente freddo e demoralizzante anche per quelli di noi che possono permetterselo permetter se lo .</t>
  </si>
  <si>
    <t>file://conllu/it/teddy-1325.conllu#s180_0</t>
  </si>
  <si>
    <t>181</t>
  </si>
  <si>
    <t>scappare</t>
  </si>
  <si>
    <t>Quindi scappiamo lontano , e da chi ci rifugiamo ?</t>
  </si>
  <si>
    <t>file://conllu/it/teddy-1325.conllu#s181_0</t>
  </si>
  <si>
    <t>182</t>
  </si>
  <si>
    <t>Saltare</t>
  </si>
  <si>
    <t>Saltiamo tra le braccia del di il grande placebo .</t>
  </si>
  <si>
    <t>file://conllu/it/teddy-1325.conllu#s182_0</t>
  </si>
  <si>
    <t>183</t>
  </si>
  <si>
    <t>essere (essere fantastico)</t>
  </si>
  <si>
    <t>È fantastico .</t>
  </si>
  <si>
    <t>file://conllu/it/teddy-1325.conllu#s183_0</t>
  </si>
  <si>
    <t>184</t>
  </si>
  <si>
    <t>amare</t>
  </si>
  <si>
    <t>Noi amiamo il grande placebo .</t>
  </si>
  <si>
    <t>file://conllu/it/teddy-1325.conllu#s184_0</t>
  </si>
  <si>
    <t>185</t>
  </si>
  <si>
    <t>essere (essere problema)</t>
  </si>
  <si>
    <t>( Applausi ) Sapete , è un problema serio perché questa roba è una schifezza , e ci spendiamo miliardi di dollari .</t>
  </si>
  <si>
    <t>file://conllu/it/teddy-1325.conllu#s185_0</t>
  </si>
  <si>
    <t>186</t>
  </si>
  <si>
    <t>Ho tutta una serie di esempi qui .</t>
  </si>
  <si>
    <t>file://conllu/it/teddy-1325.conllu#s186_0</t>
  </si>
  <si>
    <t>187</t>
  </si>
  <si>
    <t>nessuno</t>
  </si>
  <si>
    <t>Nessuno di questi.. .</t>
  </si>
  <si>
    <t>file://conllu/it/teddy-1325.conllu#s187_0</t>
  </si>
  <si>
    <t>188</t>
  </si>
  <si>
    <t>ginkgo una frode , echinacea una frode , acai non so neanche cosa sia ma ci spendiamo miliardi di dollari , ed è una frode .</t>
  </si>
  <si>
    <t>file://conllu/it/teddy-1325.conllu#s188_0</t>
  </si>
  <si>
    <t>189</t>
  </si>
  <si>
    <t>Sapete una cosa ?</t>
  </si>
  <si>
    <t>file://conllu/it/teddy-1325.conllu#s189_0</t>
  </si>
  <si>
    <t>190</t>
  </si>
  <si>
    <t>dire (dire urlare)</t>
  </si>
  <si>
    <t>Quando dico queste cose , le persone mi urlano contro , e dicono &amp;quot; Ma cosa ti interessa ?</t>
  </si>
  <si>
    <t>file://conllu/it/teddy-1325.conllu#s190_0</t>
  </si>
  <si>
    <t>191</t>
  </si>
  <si>
    <t>lasciare</t>
  </si>
  <si>
    <t>Lascia che la gente faccia quello che vuole .</t>
  </si>
  <si>
    <t>file://conllu/it/teddy-1325.conllu#s191_0</t>
  </si>
  <si>
    <t>192</t>
  </si>
  <si>
    <t>Li fa stare bene . &amp;quot;</t>
  </si>
  <si>
    <t>file://conllu/it/teddy-1325.conllu#s192_0</t>
  </si>
  <si>
    <t>193</t>
  </si>
  <si>
    <t>Indovinare</t>
  </si>
  <si>
    <t>Indovinate un po' ?</t>
  </si>
  <si>
    <t>file://conllu/it/teddy-1325.conllu#s193_0</t>
  </si>
  <si>
    <t>194</t>
  </si>
  <si>
    <t>torto</t>
  </si>
  <si>
    <t>Avete torto .</t>
  </si>
  <si>
    <t>file://conllu/it/teddy-1325.conllu#s194_0</t>
  </si>
  <si>
    <t>195</t>
  </si>
  <si>
    <t>interessare</t>
  </si>
  <si>
    <t>Perché non mi interessa se è il segretario del di il Dipartimento per la Salute ed i Servizi Umani a dire &amp;quot; Uhm , non ho intenzione di ascoltare le prove degli di gli esperti sulla su la mammografia &amp;quot; o se lo dice qualche lunatico del di il cancro che vuole curare i pazienti con clisteri al a il caffè .</t>
  </si>
  <si>
    <t>file://conllu/it/teddy-1325.conllu#s195_0</t>
  </si>
  <si>
    <t>196</t>
  </si>
  <si>
    <t>finire</t>
  </si>
  <si>
    <t>Quando imbocchiamo la strada che porta a rimpiazzare scienza e prove con magia e tradizione , finiamo in un posto dove non vorremmo essere .</t>
  </si>
  <si>
    <t>file://conllu/it/teddy-1325.conllu#s196_0</t>
  </si>
  <si>
    <t>197</t>
  </si>
  <si>
    <t>Finare</t>
  </si>
  <si>
    <t>Finiamo come Thabo Mbeki in Sud Africa .</t>
  </si>
  <si>
    <t>file://conllu/it/teddy-1325.conllu#s197_0</t>
  </si>
  <si>
    <t>198</t>
  </si>
  <si>
    <t>rallentare</t>
  </si>
  <si>
    <t>Ha ucciso 400 mila dei di i suoi concittadini continuando a dire che barbabietole , aglio e succo di limone funzionavano meglio dei di i farmaci anti retrovirali che sappiamo possono rallentare il decorso dell' di l' AIDS. Centinaia di migliaia di morti inutili in una nazione che è stata colpita più di ogni altro da questa malattia .</t>
  </si>
  <si>
    <t>file://conllu/it/teddy-1325.conllu#s198_0</t>
  </si>
  <si>
    <t>199</t>
  </si>
  <si>
    <t>venire</t>
  </si>
  <si>
    <t>Per favore , non venite a dirmi dir mi che non ci sono conseguenze per queste azioni .</t>
  </si>
  <si>
    <t>file://conllu/it/teddy-1325.conllu#s199_0</t>
  </si>
  <si>
    <t>200</t>
  </si>
  <si>
    <t>Ci sono .</t>
  </si>
  <si>
    <t>file://conllu/it/teddy-1325.conllu#s200_0</t>
  </si>
  <si>
    <t>201</t>
  </si>
  <si>
    <t>Ci sono sempre .</t>
  </si>
  <si>
    <t>file://conllu/it/teddy-1325.conllu#s201_0</t>
  </si>
  <si>
    <t>202</t>
  </si>
  <si>
    <t>essere (essere guerra)</t>
  </si>
  <si>
    <t>Ora , l' epidemia più stupida in cui siamo in mezzo proprio adesso è la guerra assurda tra i sostenitori dei di i cibi geneticamente modificati e l' elite del di il cibo biologico .</t>
  </si>
  <si>
    <t>file://conllu/it/teddy-1325.conllu#s202_0</t>
  </si>
  <si>
    <t>203</t>
  </si>
  <si>
    <t>essere (essere diatriba)</t>
  </si>
  <si>
    <t>E' una diatriba idiota .</t>
  </si>
  <si>
    <t>file://conllu/it/teddy-1325.conllu#s203_0</t>
  </si>
  <si>
    <t>204</t>
  </si>
  <si>
    <t>Deve finire .</t>
  </si>
  <si>
    <t>file://conllu/it/teddy-1325.conllu#s204_0</t>
  </si>
  <si>
    <t>205</t>
  </si>
  <si>
    <t>E' una diatriba sulle su le parole , sulle su le metafore .</t>
  </si>
  <si>
    <t>file://conllu/it/teddy-1325.conllu#s205_0</t>
  </si>
  <si>
    <t>206</t>
  </si>
  <si>
    <t>essere (essere ideologio)</t>
  </si>
  <si>
    <t>È ideologia , non è scienza .</t>
  </si>
  <si>
    <t>file://conllu/it/teddy-1325.conllu#s206_0</t>
  </si>
  <si>
    <t>207</t>
  </si>
  <si>
    <t>modificare</t>
  </si>
  <si>
    <t>Ogni singola cosa che mangiamo , ogni chicco di riso , ogni foglia di prezzemolo , ogni cavoletto di Bruxelles è stato modificato dall' da l' uomo .</t>
  </si>
  <si>
    <t>file://conllu/it/teddy-1325.conllu#s207_0</t>
  </si>
  <si>
    <t>208</t>
  </si>
  <si>
    <t>Vedete , non c' erano mandarini nel in il giardino dell' di l' Eden .</t>
  </si>
  <si>
    <t>file://conllu/it/teddy-1325.conllu#s208_0</t>
  </si>
  <si>
    <t>209</t>
  </si>
  <si>
    <t>Non c' erano melanzane .</t>
  </si>
  <si>
    <t>file://conllu/it/teddy-1325.conllu#s209_0</t>
  </si>
  <si>
    <t>210</t>
  </si>
  <si>
    <t>Non c' erano neanche gli alberi di Natale .</t>
  </si>
  <si>
    <t>file://conllu/it/teddy-1325.conllu#s210_0</t>
  </si>
  <si>
    <t>211</t>
  </si>
  <si>
    <t>Li abbiamo creati noi .</t>
  </si>
  <si>
    <t>file://conllu/it/teddy-1325.conllu#s211_0</t>
  </si>
  <si>
    <t>212</t>
  </si>
  <si>
    <t>Lo abbiamo fatto nel in il corso degli di gli ultimi 11mila anni .</t>
  </si>
  <si>
    <t>file://conllu/it/teddy-1325.conllu#s212_0</t>
  </si>
  <si>
    <t>213</t>
  </si>
  <si>
    <t>funzionare</t>
  </si>
  <si>
    <t>Qualcosa ha funzionato ed qualcos' altro no .</t>
  </si>
  <si>
    <t>file://conllu/it/teddy-1325.conllu#s213_0</t>
  </si>
  <si>
    <t>214</t>
  </si>
  <si>
    <t>eliminare</t>
  </si>
  <si>
    <t>Ed abbiamo eliminato quello che non funzionava .</t>
  </si>
  <si>
    <t>file://conllu/it/teddy-1325.conllu#s214_0</t>
  </si>
  <si>
    <t>215</t>
  </si>
  <si>
    <t>Ora possiamo farlo far lo in modo più preciso .</t>
  </si>
  <si>
    <t>file://conllu/it/teddy-1325.conllu#s215_0</t>
  </si>
  <si>
    <t>216</t>
  </si>
  <si>
    <t>E ci sono dei di i rischi , certo che ci sono .</t>
  </si>
  <si>
    <t>file://conllu/it/teddy-1325.conllu#s216_0</t>
  </si>
  <si>
    <t>217</t>
  </si>
  <si>
    <t>aiutare (aiutare inserire)</t>
  </si>
  <si>
    <t>Ma noi possiamo inserire cose come la vitamina A nel in il riso , e questo aiuterebbe milioni di persone , milioni di persone , prolungando la loro vita .</t>
  </si>
  <si>
    <t>file://conllu/it/teddy-1325.conllu#s217_0</t>
  </si>
  <si>
    <t>218</t>
  </si>
  <si>
    <t>E non vogliamo farlo far lo ?</t>
  </si>
  <si>
    <t>file://conllu/it/teddy-1325.conllu#s218_0</t>
  </si>
  <si>
    <t>219</t>
  </si>
  <si>
    <t>Devo dirvelo , io non lo capisco .</t>
  </si>
  <si>
    <t>file://conllu/it/teddy-1325.conllu#s219_0</t>
  </si>
  <si>
    <t>220</t>
  </si>
  <si>
    <t>essere (essere contraro)</t>
  </si>
  <si>
    <t>Siamo contrari agli a gli OGM. Perché ?</t>
  </si>
  <si>
    <t>file://conllu/it/teddy-1325.conllu#s220_0</t>
  </si>
  <si>
    <t>221</t>
  </si>
  <si>
    <t>Le cose che sento sempre sono :</t>
  </si>
  <si>
    <t>file://conllu/it/teddy-1325.conllu#s221_0</t>
  </si>
  <si>
    <t>222</t>
  </si>
  <si>
    <t>sbagliare</t>
  </si>
  <si>
    <t>troppi composti chimici , pesticidi , ormoni , monocolture , non vogliamo campi enormi coltivati con la stessa cosa , è sbagliato .</t>
  </si>
  <si>
    <t>file://conllu/it/teddy-1325.conllu#s222_0</t>
  </si>
  <si>
    <t>223</t>
  </si>
  <si>
    <t>volere</t>
  </si>
  <si>
    <t>Non vogliamo che le compagnie mettano dei di i brevetti sulla su la vita .</t>
  </si>
  <si>
    <t>file://conllu/it/teddy-1325.conllu#s223_0</t>
  </si>
  <si>
    <t>224</t>
  </si>
  <si>
    <t>Non vogliamo che le compagnie siano uniche proprietarie dei di i semi .</t>
  </si>
  <si>
    <t>file://conllu/it/teddy-1325.conllu#s224_0</t>
  </si>
  <si>
    <t>225</t>
  </si>
  <si>
    <t>essere (essere risposta)</t>
  </si>
  <si>
    <t>Sapete qual' è la mia risposta a questo ?</t>
  </si>
  <si>
    <t>file://conllu/it/teddy-1325.conllu#s225_0</t>
  </si>
  <si>
    <t>226</t>
  </si>
  <si>
    <t>essere (essere sì)</t>
  </si>
  <si>
    <t>È sì .</t>
  </si>
  <si>
    <t>file://conllu/it/teddy-1325.conllu#s226_0</t>
  </si>
  <si>
    <t>227</t>
  </si>
  <si>
    <t>Avete ragione .</t>
  </si>
  <si>
    <t>file://conllu/it/teddy-1325.conllu#s227_0</t>
  </si>
  <si>
    <t>228</t>
  </si>
  <si>
    <t>Facciamo qualcosa .</t>
  </si>
  <si>
    <t>file://conllu/it/teddy-1325.conllu#s228_0</t>
  </si>
  <si>
    <t>229</t>
  </si>
  <si>
    <t>È vero , abbiamo un enorme problema alimentare , ma non è scienza .</t>
  </si>
  <si>
    <t>file://conllu/it/teddy-1325.conllu#s229_0</t>
  </si>
  <si>
    <t>230</t>
  </si>
  <si>
    <t>Non ha niente a che fare con la scienza .</t>
  </si>
  <si>
    <t>file://conllu/it/teddy-1325.conllu#s230_0</t>
  </si>
  <si>
    <t>231</t>
  </si>
  <si>
    <t>essere (essere legge)</t>
  </si>
  <si>
    <t>È legge , moralità , linee guida sui su i brevetti .</t>
  </si>
  <si>
    <t>file://conllu/it/teddy-1325.conllu#s231_0</t>
  </si>
  <si>
    <t>232</t>
  </si>
  <si>
    <t>Sapete bene che la scienza non è una corporation .</t>
  </si>
  <si>
    <t>file://conllu/it/teddy-1325.conllu#s232_0</t>
  </si>
  <si>
    <t>233</t>
  </si>
  <si>
    <t>essere (essere nazione)</t>
  </si>
  <si>
    <t>Non è una nazione .</t>
  </si>
  <si>
    <t>file://conllu/it/teddy-1325.conllu#s233_0</t>
  </si>
  <si>
    <t>234</t>
  </si>
  <si>
    <t>essere (essere idea)</t>
  </si>
  <si>
    <t>Non è neanche un' idea ;</t>
  </si>
  <si>
    <t>file://conllu/it/teddy-1325.conllu#s234_0</t>
  </si>
  <si>
    <t>235</t>
  </si>
  <si>
    <t>essere (essere processo)</t>
  </si>
  <si>
    <t>è un processo .</t>
  </si>
  <si>
    <t>file://conllu/it/teddy-1325.conllu#s235_0</t>
  </si>
  <si>
    <t>236</t>
  </si>
  <si>
    <t>È un processo , a volte dà risultati positivi a volte no , ma l' idea che non dovremmo permettere alla a la scienza di fare il suo lavoro solo perché abbiamo paura è in realtà molto svilente , e sta impedendo a milioni di persone di prosperare .</t>
  </si>
  <si>
    <t>file://conllu/it/teddy-1325.conllu#s236_0</t>
  </si>
  <si>
    <t>237</t>
  </si>
  <si>
    <t>Sapete , nei in i prossimi 50 anni saremo costretti a produrre il 70 % di cibo in più di quello che produciamo ora , 70 per cento .</t>
  </si>
  <si>
    <t>file://conllu/it/teddy-1325.conllu#s237_0</t>
  </si>
  <si>
    <t>238</t>
  </si>
  <si>
    <t>essere (essere questo)</t>
  </si>
  <si>
    <t>Questi sono gli investimenti in Africa degli di gli ultimi 30 anni .</t>
  </si>
  <si>
    <t>file://conllu/it/teddy-1325.conllu#s238_0</t>
  </si>
  <si>
    <t>239</t>
  </si>
  <si>
    <t>vergognoso</t>
  </si>
  <si>
    <t>Vergognoso .</t>
  </si>
  <si>
    <t>file://conllu/it/teddy-1325.conllu#s239_0</t>
  </si>
  <si>
    <t>240</t>
  </si>
  <si>
    <t>file://conllu/it/teddy-1325.conllu#s240_0</t>
  </si>
  <si>
    <t>241</t>
  </si>
  <si>
    <t>Loro ne hanno bisogno e noi non glielo glie lo diamo .</t>
  </si>
  <si>
    <t>file://conllu/it/teddy-1325.conllu#s241_0</t>
  </si>
  <si>
    <t>242</t>
  </si>
  <si>
    <t>file://conllu/it/teddy-1325.conllu#s242_0</t>
  </si>
  <si>
    <t>243</t>
  </si>
  <si>
    <t>cibo</t>
  </si>
  <si>
    <t>Cibo geneticamente modificato .</t>
  </si>
  <si>
    <t>file://conllu/it/teddy-1325.conllu#s243_0</t>
  </si>
  <si>
    <t>244</t>
  </si>
  <si>
    <t>incoraggiare</t>
  </si>
  <si>
    <t>Non vogliamo incoraggiare le persone a mangiare schifezze come ad esempio la manioca .</t>
  </si>
  <si>
    <t>file://conllu/it/teddy-1325.conllu#s244_0</t>
  </si>
  <si>
    <t>245</t>
  </si>
  <si>
    <t>mangiare</t>
  </si>
  <si>
    <t>Mezzo miliardo di persone la mangiano .</t>
  </si>
  <si>
    <t>file://conllu/it/teddy-1325.conllu#s245_0</t>
  </si>
  <si>
    <t>246</t>
  </si>
  <si>
    <t>Assomigliare</t>
  </si>
  <si>
    <t>Assomiglia un po' ad una patata .</t>
  </si>
  <si>
    <t>file://conllu/it/teddy-1325.conllu#s246_0</t>
  </si>
  <si>
    <t>247</t>
  </si>
  <si>
    <t>fornire</t>
  </si>
  <si>
    <t>Ma fornisce solo calorie .</t>
  </si>
  <si>
    <t>file://conllu/it/teddy-1325.conllu#s247_0</t>
  </si>
  <si>
    <t>248</t>
  </si>
  <si>
    <t>Fa schifo .</t>
  </si>
  <si>
    <t>file://conllu/it/teddy-1325.conllu#s248_0</t>
  </si>
  <si>
    <t>249</t>
  </si>
  <si>
    <t>Non ha sostanze nutrienti , non ha proteine , ma gli scienziati stanno trovando il modo di inserirceli proprio in questo momento .</t>
  </si>
  <si>
    <t>file://conllu/it/teddy-1325.conllu#s249_0</t>
  </si>
  <si>
    <t>250</t>
  </si>
  <si>
    <t>Così molte persone potrebbero mangiare e correre meno il rischio di diventare cieche .</t>
  </si>
  <si>
    <t>file://conllu/it/teddy-1325.conllu#s250_0</t>
  </si>
  <si>
    <t>251</t>
  </si>
  <si>
    <t>Non morirebbero di fame , e sapete una cosa ?</t>
  </si>
  <si>
    <t>file://conllu/it/teddy-1325.conllu#s251_0</t>
  </si>
  <si>
    <t>252</t>
  </si>
  <si>
    <t>essere (essere bello)</t>
  </si>
  <si>
    <t>Sarebbe molto bello .</t>
  </si>
  <si>
    <t>file://conllu/it/teddy-1325.conllu#s252_0</t>
  </si>
  <si>
    <t>253</t>
  </si>
  <si>
    <t>essere (essere ristorante)</t>
  </si>
  <si>
    <t>Non sarebbe un ristorante di lusso , ma sarebbe molto bello .</t>
  </si>
  <si>
    <t>file://conllu/it/teddy-1325.conllu#s253_0</t>
  </si>
  <si>
    <t>254</t>
  </si>
  <si>
    <t>Riesco a chiedermi chieder mi soltanto :</t>
  </si>
  <si>
    <t>file://conllu/it/teddy-1325.conllu#s254_0</t>
  </si>
  <si>
    <t>255</t>
  </si>
  <si>
    <t>essere (essere contro)</t>
  </si>
  <si>
    <t>perché siamo contro ?</t>
  </si>
  <si>
    <t>file://conllu/it/teddy-1325.conllu#s255_0</t>
  </si>
  <si>
    <t>256</t>
  </si>
  <si>
    <t>Voglio dire , chiediamocelo :</t>
  </si>
  <si>
    <t>file://conllu/it/teddy-1325.conllu#s256_0</t>
  </si>
  <si>
    <t>257</t>
  </si>
  <si>
    <t>ostacolare</t>
  </si>
  <si>
    <t>perché stiamo ostacolando questa cosa ?</t>
  </si>
  <si>
    <t>file://conllu/it/teddy-1325.conllu#s257_0</t>
  </si>
  <si>
    <t>258</t>
  </si>
  <si>
    <t>spostare</t>
  </si>
  <si>
    <t>Solo perché non vogliamo spostare i geni qua e là ?</t>
  </si>
  <si>
    <t>file://conllu/it/teddy-1325.conllu#s258_0</t>
  </si>
  <si>
    <t>259</t>
  </si>
  <si>
    <t>trattare</t>
  </si>
  <si>
    <t>Si tratta di spostare dei di i geni .</t>
  </si>
  <si>
    <t>file://conllu/it/teddy-1325.conllu#s259_0</t>
  </si>
  <si>
    <t>260</t>
  </si>
  <si>
    <t>Non si tratta di sostanze chimiche .</t>
  </si>
  <si>
    <t>file://conllu/it/teddy-1325.conllu#s260_0</t>
  </si>
  <si>
    <t>261</t>
  </si>
  <si>
    <t>Non si tratta della di la nostra ridicola ossessione per gli ormoni , o del di il nostro desiderio di avere cibo più grande , migliore , più semplice .</t>
  </si>
  <si>
    <t>file://conllu/it/teddy-1325.conllu#s261_0</t>
  </si>
  <si>
    <t>262</t>
  </si>
  <si>
    <t>Non c' entrano i Rice Krispies .</t>
  </si>
  <si>
    <t>file://conllu/it/teddy-1325.conllu#s262_0</t>
  </si>
  <si>
    <t>263</t>
  </si>
  <si>
    <t>Si tratta di salvare la vita delle di le persone , e sarebbe ora che cominciassimo a capire cosa vuol dire .</t>
  </si>
  <si>
    <t>file://conllu/it/teddy-1325.conllu#s263_0</t>
  </si>
  <si>
    <t>264</t>
  </si>
  <si>
    <t>volere (volere sapere)</t>
  </si>
  <si>
    <t>Perché volete saperlo saper lo ?</t>
  </si>
  <si>
    <t>file://conllu/it/teddy-1325.conllu#s264_0</t>
  </si>
  <si>
    <t>265</t>
  </si>
  <si>
    <t>essere (essere colpevole)</t>
  </si>
  <si>
    <t>se non lo capiamo , e continuiamo a comportarci comportar ci come ci comportiamo adesso , saremo colpevoli di qualcosa di cui non penso vorremmo macchiarci macchiar ci , colonialismo tecnologico .</t>
  </si>
  <si>
    <t>file://conllu/it/teddy-1325.conllu#s265_0</t>
  </si>
  <si>
    <t>266</t>
  </si>
  <si>
    <t>Non c' è altro modo di descrivere quello che sta succedendo .</t>
  </si>
  <si>
    <t>file://conllu/it/teddy-1325.conllu#s266_0</t>
  </si>
  <si>
    <t>267</t>
  </si>
  <si>
    <t>essere (essere egoista)</t>
  </si>
  <si>
    <t>È egoista , è orribile , è davanti a noi , e dobbiamo fermarlo .</t>
  </si>
  <si>
    <t>file://conllu/it/teddy-1325.conllu#s267_0</t>
  </si>
  <si>
    <t>268</t>
  </si>
  <si>
    <t>chiedere</t>
  </si>
  <si>
    <t>Quindi , dopo questa conversazione divertentissima , potreste chiedermi chieder mi :</t>
  </si>
  <si>
    <t>file://conllu/it/teddy-1325.conllu#s268_0</t>
  </si>
  <si>
    <t>269</t>
  </si>
  <si>
    <t>&amp;quot; Vuoi ancora entrare in questa ridicola macchina del di il tempo ed andare nel in il futuro ? &amp;quot;</t>
  </si>
  <si>
    <t>file://conllu/it/teddy-1325.conllu#s269_0</t>
  </si>
  <si>
    <t>270</t>
  </si>
  <si>
    <t>certo</t>
  </si>
  <si>
    <t>Certo !</t>
  </si>
  <si>
    <t>file://conllu/it/teddy-1325.conllu#s270_0</t>
  </si>
  <si>
    <t>271</t>
  </si>
  <si>
    <t>Certo che voglio .</t>
  </si>
  <si>
    <t>file://conllu/it/teddy-1325.conllu#s271_0</t>
  </si>
  <si>
    <t>272</t>
  </si>
  <si>
    <t>bloccare</t>
  </si>
  <si>
    <t>È bloccata sul su il presente adesso , ma abbiamo un' opportunità incredibile .</t>
  </si>
  <si>
    <t>file://conllu/it/teddy-1325.conllu#s272_0</t>
  </si>
  <si>
    <t>273</t>
  </si>
  <si>
    <t>impostare</t>
  </si>
  <si>
    <t>Possiamo impostare la macchina del di il tempo come vogliamo .</t>
  </si>
  <si>
    <t>file://conllu/it/teddy-1325.conllu#s273_0</t>
  </si>
  <si>
    <t>274</t>
  </si>
  <si>
    <t>Abbiamo la possibilità di farla far la andare dove vogliamo , e la faremo andare davvero dove vogliamo .</t>
  </si>
  <si>
    <t>file://conllu/it/teddy-1325.conllu#s274_0</t>
  </si>
  <si>
    <t>275</t>
  </si>
  <si>
    <t>Dobbiamo fare queste conversazioni , e dobbiamo pensare , ma quando entriamo nella in la macchina del di il tempo e andiamo avanti saremo felici di farlo far lo .</t>
  </si>
  <si>
    <t>file://conllu/it/teddy-1325.conllu#s275_0</t>
  </si>
  <si>
    <t>276</t>
  </si>
  <si>
    <t>pensare (pensare sapere)</t>
  </si>
  <si>
    <t>So che possiamo e , per quanto mi riguarda , penso che il mondo ne abbia bisogno subito .</t>
  </si>
  <si>
    <t>file://conllu/it/teddy-1325.conllu#s276_0</t>
  </si>
  <si>
    <t>277</t>
  </si>
  <si>
    <t>grazie</t>
  </si>
  <si>
    <t>Grazie .</t>
  </si>
  <si>
    <t>file://conllu/it/teddy-1325.conllu#s277_0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</si>
  <si>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</si>
  <si>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</si>
  <si>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</si>
  <si>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</si>
  <si>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</si>
  <si>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</si>
  <si>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</si>
  <si>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</si>
  <si>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</si>
  <si>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</si>
  <si>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</si>
  <si>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Facciamo finta di avere qui una macchina, grande, bellissima, in puro stile TED, è una macchina del tempo.</t>
  </si>
  <si>
    <t>Facciamo</t>
  </si>
  <si>
    <t>finta</t>
  </si>
  <si>
    <t>OBJ</t>
  </si>
  <si>
    <t>indef-np.bare</t>
  </si>
  <si>
    <t>di</t>
  </si>
  <si>
    <t>qui</t>
  </si>
  <si>
    <t>una</t>
  </si>
  <si>
    <t>macchina</t>
  </si>
  <si>
    <t>OBJ_3</t>
  </si>
  <si>
    <t>indef-np.a</t>
  </si>
  <si>
    <t>,</t>
  </si>
  <si>
    <t>grande</t>
  </si>
  <si>
    <t>bellissima</t>
  </si>
  <si>
    <t>in</t>
  </si>
  <si>
    <t>puro</t>
  </si>
  <si>
    <t>stile</t>
  </si>
  <si>
    <t>other_6</t>
  </si>
  <si>
    <t>def-np.poss</t>
  </si>
  <si>
    <t>?OLD</t>
  </si>
  <si>
    <t>TED</t>
  </si>
  <si>
    <t>other_7</t>
  </si>
  <si>
    <t>ne</t>
  </si>
  <si>
    <t>è</t>
  </si>
  <si>
    <t>other_5</t>
  </si>
  <si>
    <t>il</t>
  </si>
  <si>
    <t>tempo</t>
  </si>
  <si>
    <t>def-np.the</t>
  </si>
  <si>
    <t># text = Tutti in questa stanza devono entrarci.</t>
  </si>
  <si>
    <t>Tutti</t>
  </si>
  <si>
    <t>SBJ</t>
  </si>
  <si>
    <t>pron.pind</t>
  </si>
  <si>
    <t>questa</t>
  </si>
  <si>
    <t>stanza</t>
  </si>
  <si>
    <t>other</t>
  </si>
  <si>
    <t>def-np.dem</t>
  </si>
  <si>
    <t>devono</t>
  </si>
  <si>
    <t>entrar</t>
  </si>
  <si>
    <t>ci</t>
  </si>
  <si>
    <t>pron.pper</t>
  </si>
  <si>
    <t># text = Potete andare indietro, potete andare avanti; non potete rimanere dove siete.</t>
  </si>
  <si>
    <t>Potete</t>
  </si>
  <si>
    <t>indietro</t>
  </si>
  <si>
    <t>potete</t>
  </si>
  <si>
    <t>avanti</t>
  </si>
  <si>
    <t>;</t>
  </si>
  <si>
    <t>non</t>
  </si>
  <si>
    <t>rimanere</t>
  </si>
  <si>
    <t>dove</t>
  </si>
  <si>
    <t>siete</t>
  </si>
  <si>
    <t># text = E sarei curioso di sapere quale scegliereste, perché l'ho chiesto ai miei amici negli ultimi tempi, e tutti vogliono tornare indietro.</t>
  </si>
  <si>
    <t>E</t>
  </si>
  <si>
    <t>sarei</t>
  </si>
  <si>
    <t>curioso</t>
  </si>
  <si>
    <t>quale</t>
  </si>
  <si>
    <t>other_3</t>
  </si>
  <si>
    <t>pron.pint</t>
  </si>
  <si>
    <t>scegliereste</t>
  </si>
  <si>
    <t>OBJ_2</t>
  </si>
  <si>
    <t>indef-np</t>
  </si>
  <si>
    <t>l'</t>
  </si>
  <si>
    <t>ho</t>
  </si>
  <si>
    <t>chiesto</t>
  </si>
  <si>
    <t>a</t>
  </si>
  <si>
    <t>i</t>
  </si>
  <si>
    <t>miei</t>
  </si>
  <si>
    <t>pron.ppos</t>
  </si>
  <si>
    <t>amici</t>
  </si>
  <si>
    <t>other_2</t>
  </si>
  <si>
    <t>gli</t>
  </si>
  <si>
    <t>ultimi</t>
  </si>
  <si>
    <t>tempi</t>
  </si>
  <si>
    <t>e</t>
  </si>
  <si>
    <t>tutti</t>
  </si>
  <si>
    <t>SBJ_3</t>
  </si>
  <si>
    <t>vogliono</t>
  </si>
  <si>
    <t># text = Non so.</t>
  </si>
  <si>
    <t>Non</t>
  </si>
  <si>
    <t>so</t>
  </si>
  <si>
    <t>--</t>
  </si>
  <si>
    <t># text = Vogliono tornare a prima che ci fossero le auto o Twitter, o "American Idol".</t>
  </si>
  <si>
    <t>Vogliono</t>
  </si>
  <si>
    <t>prima</t>
  </si>
  <si>
    <t>che</t>
  </si>
  <si>
    <t>fossero</t>
  </si>
  <si>
    <t>le</t>
  </si>
  <si>
    <t>auto</t>
  </si>
  <si>
    <t>SBJ_2</t>
  </si>
  <si>
    <t>o</t>
  </si>
  <si>
    <t>Twitter</t>
  </si>
  <si>
    <t>&amp;quot;</t>
  </si>
  <si>
    <t>American</t>
  </si>
  <si>
    <t>other_4</t>
  </si>
  <si>
    <t>Idol</t>
  </si>
  <si>
    <t># text = Sono convinto che ci sia una sorta di ritorno alla nostalgia, alle pie illusioni.</t>
  </si>
  <si>
    <t>Sono</t>
  </si>
  <si>
    <t>convinto</t>
  </si>
  <si>
    <t>sia</t>
  </si>
  <si>
    <t>sorta</t>
  </si>
  <si>
    <t>ritorno</t>
  </si>
  <si>
    <t>la</t>
  </si>
  <si>
    <t>nostalgia</t>
  </si>
  <si>
    <t>pie</t>
  </si>
  <si>
    <t>illusioni</t>
  </si>
  <si>
    <t># text = Lo capisco.</t>
  </si>
  <si>
    <t>Lo</t>
  </si>
  <si>
    <t># text = Ma non faccio parte di quel gruppo, lo devo ammettere.</t>
  </si>
  <si>
    <t>Ma</t>
  </si>
  <si>
    <t>faccio</t>
  </si>
  <si>
    <t>parte</t>
  </si>
  <si>
    <t>quel</t>
  </si>
  <si>
    <t>gruppo</t>
  </si>
  <si>
    <t>lo</t>
  </si>
  <si>
    <t>devo</t>
  </si>
  <si>
    <t>ammettere</t>
  </si>
  <si>
    <t># text = Non voglio tornare indietro, e non perché io sia avventuroso, è perché le possibilità su questo pianeta non tornano indietro, vanno avanti.</t>
  </si>
  <si>
    <t>voglio</t>
  </si>
  <si>
    <t>io</t>
  </si>
  <si>
    <t>avventuroso</t>
  </si>
  <si>
    <t>possibilità</t>
  </si>
  <si>
    <t>su</t>
  </si>
  <si>
    <t>questo</t>
  </si>
  <si>
    <t>pianeta</t>
  </si>
  <si>
    <t>tornano</t>
  </si>
  <si>
    <t>vanno</t>
  </si>
  <si>
    <t># text = Quindi voglio entrare nella macchina e voglio andare avanti.</t>
  </si>
  <si>
    <t>Quindi</t>
  </si>
  <si>
    <t># text = Questo è il periodo migliore che ci sia stato su questo pianeta in ogni campo che possiamo misurare:</t>
  </si>
  <si>
    <t>Questo</t>
  </si>
  <si>
    <t>pron.pds</t>
  </si>
  <si>
    <t>periodo</t>
  </si>
  <si>
    <t>migliore</t>
  </si>
  <si>
    <t>stato</t>
  </si>
  <si>
    <t>ogni</t>
  </si>
  <si>
    <t>campo</t>
  </si>
  <si>
    <t>SBJ_4</t>
  </si>
  <si>
    <t>possiamo</t>
  </si>
  <si>
    <t>misurare</t>
  </si>
  <si>
    <t>:</t>
  </si>
  <si>
    <t># text = salute, ricchezza, mobilità, opportunità, calo dei tassi di malattia.</t>
  </si>
  <si>
    <t>ricchezza</t>
  </si>
  <si>
    <t>mobilità</t>
  </si>
  <si>
    <t>opportunità</t>
  </si>
  <si>
    <t>calo</t>
  </si>
  <si>
    <t>tassi</t>
  </si>
  <si>
    <t>malattia</t>
  </si>
  <si>
    <t># text = Non c'è mai stato un periodo come questo.</t>
  </si>
  <si>
    <t>c'</t>
  </si>
  <si>
    <t>mai</t>
  </si>
  <si>
    <t>un</t>
  </si>
  <si>
    <t>come</t>
  </si>
  <si>
    <t># text = I miei bisnonni morirono, tutti quanti, prima dei 60 anni.</t>
  </si>
  <si>
    <t>I</t>
  </si>
  <si>
    <t>bisnonni</t>
  </si>
  <si>
    <t>morirono</t>
  </si>
  <si>
    <t>quanti</t>
  </si>
  <si>
    <t>anni</t>
  </si>
  <si>
    <t># text = I miei nonni spinsero quel numero a 70.</t>
  </si>
  <si>
    <t>nonni</t>
  </si>
  <si>
    <t>spinsero</t>
  </si>
  <si>
    <t>numero</t>
  </si>
  <si>
    <t># text = I miei genitori stanno per toccare gli 80.</t>
  </si>
  <si>
    <t>genitori</t>
  </si>
  <si>
    <t>stanno</t>
  </si>
  <si>
    <t>per</t>
  </si>
  <si>
    <t>toccare</t>
  </si>
  <si>
    <t># text = Quindi è meglio che ci sia un 9 all'inizio del numero dei miei anni alla mia morte.</t>
  </si>
  <si>
    <t>meglio</t>
  </si>
  <si>
    <t>inizio</t>
  </si>
  <si>
    <t>mia</t>
  </si>
  <si>
    <t>morte</t>
  </si>
  <si>
    <t># text = Ma non riguarda solo persone come noi, è una cosa molto più grande di questa.</t>
  </si>
  <si>
    <t>riguarda</t>
  </si>
  <si>
    <t>solo</t>
  </si>
  <si>
    <t>persone</t>
  </si>
  <si>
    <t>noi</t>
  </si>
  <si>
    <t>molto</t>
  </si>
  <si>
    <t>più</t>
  </si>
  <si>
    <t># text = Un bambino nato a New Delhi oggi può aspettarsi di vivere tanto quanto il più ricco uomo al mondo di 100 anni fa.</t>
  </si>
  <si>
    <t>Un</t>
  </si>
  <si>
    <t>bambino</t>
  </si>
  <si>
    <t>nato</t>
  </si>
  <si>
    <t>New</t>
  </si>
  <si>
    <t>Delhi</t>
  </si>
  <si>
    <t>oggi</t>
  </si>
  <si>
    <t>può</t>
  </si>
  <si>
    <t>aspettar</t>
  </si>
  <si>
    <t>si</t>
  </si>
  <si>
    <t>vivere</t>
  </si>
  <si>
    <t>tanto</t>
  </si>
  <si>
    <t>quanto</t>
  </si>
  <si>
    <t>ricco</t>
  </si>
  <si>
    <t>mondo</t>
  </si>
  <si>
    <t>indef-np.quant</t>
  </si>
  <si>
    <t>fa</t>
  </si>
  <si>
    <t># text = Pensateci.</t>
  </si>
  <si>
    <t>Pensate</t>
  </si>
  <si>
    <t># text = E' un fatto incredibile.</t>
  </si>
  <si>
    <t>E'</t>
  </si>
  <si>
    <t>fatto</t>
  </si>
  <si>
    <t>incredibile</t>
  </si>
  <si>
    <t># text = Come fa ad essere vero?</t>
  </si>
  <si>
    <t>Come</t>
  </si>
  <si>
    <t>ad</t>
  </si>
  <si>
    <t>?</t>
  </si>
  <si>
    <t># text = Vaiolo.</t>
  </si>
  <si>
    <t># text = Il vaiolo ha ucciso miliardi di persone su questo pianeta.</t>
  </si>
  <si>
    <t>Il</t>
  </si>
  <si>
    <t>vaiolo</t>
  </si>
  <si>
    <t>ha</t>
  </si>
  <si>
    <t>ucciso</t>
  </si>
  <si>
    <t>miliardi</t>
  </si>
  <si>
    <t># text = Ha cambiato la demografia del globo come nessuna guerra ha mai fatto.</t>
  </si>
  <si>
    <t>Ha</t>
  </si>
  <si>
    <t>cambiato</t>
  </si>
  <si>
    <t>demografia</t>
  </si>
  <si>
    <t>globo</t>
  </si>
  <si>
    <t>nessuna</t>
  </si>
  <si>
    <t>guerra</t>
  </si>
  <si>
    <t># text = Se n'è andato.</t>
  </si>
  <si>
    <t>Se</t>
  </si>
  <si>
    <t>n'</t>
  </si>
  <si>
    <t>andato</t>
  </si>
  <si>
    <t># text = Svanito.</t>
  </si>
  <si>
    <t># text = L'abbiamo sconfitto.</t>
  </si>
  <si>
    <t>L'</t>
  </si>
  <si>
    <t>abbiamo</t>
  </si>
  <si>
    <t>sconfitto</t>
  </si>
  <si>
    <t># text = Puff.</t>
  </si>
  <si>
    <t># text = Nel mondo ricco, malattie che minacciavano milioni di persone solo una generazione fa non esistono più, in pratica.</t>
  </si>
  <si>
    <t>In</t>
  </si>
  <si>
    <t>malattie</t>
  </si>
  <si>
    <t>minacciavano</t>
  </si>
  <si>
    <t>milioni</t>
  </si>
  <si>
    <t>generazione</t>
  </si>
  <si>
    <t>esistono</t>
  </si>
  <si>
    <t>pratica</t>
  </si>
  <si>
    <t># text = Difterite, rosolia, polio..</t>
  </si>
  <si>
    <t>Difterite</t>
  </si>
  <si>
    <t>rosolia</t>
  </si>
  <si>
    <t>polio..</t>
  </si>
  <si>
    <t># text = .</t>
  </si>
  <si>
    <t># text = qualcuno sa ancora cosa siano?</t>
  </si>
  <si>
    <t>qualcuno</t>
  </si>
  <si>
    <t>sa</t>
  </si>
  <si>
    <t>ancora</t>
  </si>
  <si>
    <t>siano</t>
  </si>
  <si>
    <t># text = Vaccini, medicina moderna, la nostra capacità di nutrire miliardi di persone, questi sono trionfi del metodo scientifico.</t>
  </si>
  <si>
    <t>Vaccini</t>
  </si>
  <si>
    <t>medicina</t>
  </si>
  <si>
    <t>moderna</t>
  </si>
  <si>
    <t>nostra</t>
  </si>
  <si>
    <t>capacità</t>
  </si>
  <si>
    <t>nutrire</t>
  </si>
  <si>
    <t>questi</t>
  </si>
  <si>
    <t>sono</t>
  </si>
  <si>
    <t>trionfi</t>
  </si>
  <si>
    <t>metodo</t>
  </si>
  <si>
    <t>scientifico</t>
  </si>
  <si>
    <t># text = E secondo me, il metodo scientifico, provare le cose, vedere se funzionano, cambiarle quando non funzionano, è uno dei grandi risultati dell'umanità.</t>
  </si>
  <si>
    <t>secondo</t>
  </si>
  <si>
    <t>me</t>
  </si>
  <si>
    <t>provare</t>
  </si>
  <si>
    <t>cose</t>
  </si>
  <si>
    <t>se</t>
  </si>
  <si>
    <t>funzionano</t>
  </si>
  <si>
    <t>cambiar</t>
  </si>
  <si>
    <t>OBJ_4</t>
  </si>
  <si>
    <t>quando</t>
  </si>
  <si>
    <t>grandi</t>
  </si>
  <si>
    <t>risultati</t>
  </si>
  <si>
    <t>umanità</t>
  </si>
  <si>
    <t># text = Queste erano le buone notizie.</t>
  </si>
  <si>
    <t>Queste</t>
  </si>
  <si>
    <t>erano</t>
  </si>
  <si>
    <t>buone</t>
  </si>
  <si>
    <t>notizie</t>
  </si>
  <si>
    <t># text = Sfortunatamente, erano le uniche buone notizie perché ci sono altri problemi, e sono stati citati molte volte, ad esempio uno di essi è che, nonostante tutto quello che abbiamo ottenuto, un miliardo di persone va a letto affamato su questo pianeta, ogni giorno.</t>
  </si>
  <si>
    <t>Sfortunatamente</t>
  </si>
  <si>
    <t>uniche</t>
  </si>
  <si>
    <t>altri</t>
  </si>
  <si>
    <t>problemi</t>
  </si>
  <si>
    <t>stati</t>
  </si>
  <si>
    <t>citati</t>
  </si>
  <si>
    <t>molte</t>
  </si>
  <si>
    <t>volte</t>
  </si>
  <si>
    <t>esempio</t>
  </si>
  <si>
    <t>essi</t>
  </si>
  <si>
    <t>nonostante</t>
  </si>
  <si>
    <t>tutto</t>
  </si>
  <si>
    <t>OBJ_6</t>
  </si>
  <si>
    <t>ottenuto</t>
  </si>
  <si>
    <t>miliardo</t>
  </si>
  <si>
    <t>va</t>
  </si>
  <si>
    <t>letto</t>
  </si>
  <si>
    <t>affamato</t>
  </si>
  <si>
    <t>giorno</t>
  </si>
  <si>
    <t># text = Questo numero sta crescendo, con incredibile rapidità, ed è vergognoso.</t>
  </si>
  <si>
    <t>sta</t>
  </si>
  <si>
    <t>crescendo</t>
  </si>
  <si>
    <t>con</t>
  </si>
  <si>
    <t>rapidità</t>
  </si>
  <si>
    <t>ed</t>
  </si>
  <si>
    <t># text = E non solo, abbiamo usato la nostra creatività per riempire di rifiuti il pianeta.</t>
  </si>
  <si>
    <t>usato</t>
  </si>
  <si>
    <t>creatività</t>
  </si>
  <si>
    <t>riempire</t>
  </si>
  <si>
    <t>rifiuti</t>
  </si>
  <si>
    <t># text = Acqua potabile, terra coltivabile, foreste pluviali, petrolio, gas naturale:</t>
  </si>
  <si>
    <t>Acqua</t>
  </si>
  <si>
    <t>potabile</t>
  </si>
  <si>
    <t>terra</t>
  </si>
  <si>
    <t>coltivabile</t>
  </si>
  <si>
    <t>foreste</t>
  </si>
  <si>
    <t>pluviali</t>
  </si>
  <si>
    <t>petrolio</t>
  </si>
  <si>
    <t>gas</t>
  </si>
  <si>
    <t>naturale</t>
  </si>
  <si>
    <t># text = stanno scomparendo, e stanno scomparendo in fretta, e se non innoviamo le nostre azioni per tirarci fuori da questo guaio, scompariremo anche noi.</t>
  </si>
  <si>
    <t>scomparendo</t>
  </si>
  <si>
    <t>fretta</t>
  </si>
  <si>
    <t>innoviamo</t>
  </si>
  <si>
    <t>nostre</t>
  </si>
  <si>
    <t>azioni</t>
  </si>
  <si>
    <t>tirar</t>
  </si>
  <si>
    <t>fuori</t>
  </si>
  <si>
    <t>da</t>
  </si>
  <si>
    <t>guaio</t>
  </si>
  <si>
    <t>scompariremo</t>
  </si>
  <si>
    <t>anche</t>
  </si>
  <si>
    <t># text = Quindi la domanda è: possiamo farlo?</t>
  </si>
  <si>
    <t>domanda</t>
  </si>
  <si>
    <t>far</t>
  </si>
  <si>
    <t># text = Io credo di sì.</t>
  </si>
  <si>
    <t>Io</t>
  </si>
  <si>
    <t>credo</t>
  </si>
  <si>
    <t>sì</t>
  </si>
  <si>
    <t># text = Penso sia chiaro che è possibile produrre cibo per sfamare miliardi di persone senza violentare la terra su cui vivono.</t>
  </si>
  <si>
    <t>Penso</t>
  </si>
  <si>
    <t>chiaro</t>
  </si>
  <si>
    <t>possibile</t>
  </si>
  <si>
    <t>produrre</t>
  </si>
  <si>
    <t>sfamare</t>
  </si>
  <si>
    <t>OBJ_5</t>
  </si>
  <si>
    <t>senza</t>
  </si>
  <si>
    <t>violentare</t>
  </si>
  <si>
    <t>cui</t>
  </si>
  <si>
    <t>vivono</t>
  </si>
  <si>
    <t># text = Penso che sia possibile rifornire questo mondo di energia senza che questa lo distrugga.</t>
  </si>
  <si>
    <t>rifornire</t>
  </si>
  <si>
    <t>energia</t>
  </si>
  <si>
    <t>distrugga</t>
  </si>
  <si>
    <t># text = Io ci credo davvero, e no, non è una pia illusione.</t>
  </si>
  <si>
    <t>davvero</t>
  </si>
  <si>
    <t>pia</t>
  </si>
  <si>
    <t>illusione</t>
  </si>
  <si>
    <t># text = Ma ecco la cosa che mi tiene sveglio la notte - una delle cose che mi tengono sveglio la notte.</t>
  </si>
  <si>
    <t>ecco</t>
  </si>
  <si>
    <t>mi</t>
  </si>
  <si>
    <t>tiene</t>
  </si>
  <si>
    <t>sveglio</t>
  </si>
  <si>
    <t>notte</t>
  </si>
  <si>
    <t>tengono</t>
  </si>
  <si>
    <t># text = Non abbiamo mai avuto così bisogno di progressi scientifici come ne abbiamo bisogno adesso, mai, e non siamo mai stati nella posizione di utilizzarli al meglio di come potremmo oggi.</t>
  </si>
  <si>
    <t>avuto</t>
  </si>
  <si>
    <t>così</t>
  </si>
  <si>
    <t>bisogno</t>
  </si>
  <si>
    <t>progressi</t>
  </si>
  <si>
    <t>scientifici</t>
  </si>
  <si>
    <t>adesso</t>
  </si>
  <si>
    <t>siamo</t>
  </si>
  <si>
    <t>posizione</t>
  </si>
  <si>
    <t>utilizzar</t>
  </si>
  <si>
    <t>li</t>
  </si>
  <si>
    <t>OBJ_7</t>
  </si>
  <si>
    <t>potremmo</t>
  </si>
  <si>
    <t># text = Siamo ad un passo da eventi incredibili, davvero, in molti ambiti.</t>
  </si>
  <si>
    <t>Siamo</t>
  </si>
  <si>
    <t>passo</t>
  </si>
  <si>
    <t>eventi</t>
  </si>
  <si>
    <t>incredibili</t>
  </si>
  <si>
    <t>molti</t>
  </si>
  <si>
    <t>ambiti</t>
  </si>
  <si>
    <t># text = Ma nonostante questo, penso dovremmo andare indietro secoli, 300 anni, prima dell'Illuminismo, per trovare un periodo in cui abbiamo combattuto i progressi, un periodo in cui li abbiamo combattuti più vigorosamente, e su più fronti, di quanto facciamo ora.</t>
  </si>
  <si>
    <t>penso</t>
  </si>
  <si>
    <t>dovremmo</t>
  </si>
  <si>
    <t>secoli</t>
  </si>
  <si>
    <t>300</t>
  </si>
  <si>
    <t>Illuminismo</t>
  </si>
  <si>
    <t>trovare</t>
  </si>
  <si>
    <t>combattuto</t>
  </si>
  <si>
    <t>other_8</t>
  </si>
  <si>
    <t>OBJ_10</t>
  </si>
  <si>
    <t>combattuti</t>
  </si>
  <si>
    <t>vigorosamente</t>
  </si>
  <si>
    <t>fronti</t>
  </si>
  <si>
    <t>facciamo</t>
  </si>
  <si>
    <t>ora</t>
  </si>
  <si>
    <t># text = Le persone si intrappolano in quello che credono, e lo fanno con tanta forza che non riusciamo a liberarli.</t>
  </si>
  <si>
    <t>Le</t>
  </si>
  <si>
    <t>intrappolano</t>
  </si>
  <si>
    <t>credono</t>
  </si>
  <si>
    <t>fanno</t>
  </si>
  <si>
    <t>tanta</t>
  </si>
  <si>
    <t>forza</t>
  </si>
  <si>
    <t>riusciamo</t>
  </si>
  <si>
    <t>liberar</t>
  </si>
  <si>
    <t># text = Neanche la verità riesce a liberarli.</t>
  </si>
  <si>
    <t>Neanche</t>
  </si>
  <si>
    <t>verità</t>
  </si>
  <si>
    <t>riesce</t>
  </si>
  <si>
    <t># text = Ascoltate, tutti hanno diritto alla propria opinione; hanno anche diritto alla propria opinione sul progresso, ma sapete a cosa non avete diritto?</t>
  </si>
  <si>
    <t>Ascoltate</t>
  </si>
  <si>
    <t>hanno</t>
  </si>
  <si>
    <t>diritto</t>
  </si>
  <si>
    <t>propria</t>
  </si>
  <si>
    <t>opinione</t>
  </si>
  <si>
    <t>progresso</t>
  </si>
  <si>
    <t>ma</t>
  </si>
  <si>
    <t>sapete</t>
  </si>
  <si>
    <t>avete</t>
  </si>
  <si>
    <t># text = Non avete diritto ai vostri fatti.</t>
  </si>
  <si>
    <t>vostri</t>
  </si>
  <si>
    <t>fatti</t>
  </si>
  <si>
    <t># text = Mi dispiace, non si può.</t>
  </si>
  <si>
    <t>Mi</t>
  </si>
  <si>
    <t>dispiace</t>
  </si>
  <si>
    <t># text = Ci ho messo un po' a capirlo.</t>
  </si>
  <si>
    <t>Ci</t>
  </si>
  <si>
    <t>messo</t>
  </si>
  <si>
    <t>po'</t>
  </si>
  <si>
    <t>capir</t>
  </si>
  <si>
    <t># text = Una decina di anni fa ho scritto una storia sui vaccini per "The New Yorker", un breve articolo.</t>
  </si>
  <si>
    <t>Una</t>
  </si>
  <si>
    <t>decina</t>
  </si>
  <si>
    <t>scritto</t>
  </si>
  <si>
    <t>storia</t>
  </si>
  <si>
    <t>The</t>
  </si>
  <si>
    <t>Yorker</t>
  </si>
  <si>
    <t>breve</t>
  </si>
  <si>
    <t>articolo</t>
  </si>
  <si>
    <t># text = Ed ero stupefatto che qualcuno si opponesse, che fosse contrario a quella che è, dopo tutto, la misura di salute pubblica più efficace di tutta la storia umana.</t>
  </si>
  <si>
    <t>Ed</t>
  </si>
  <si>
    <t>ero</t>
  </si>
  <si>
    <t>stupefatto</t>
  </si>
  <si>
    <t>opponesse</t>
  </si>
  <si>
    <t>fosse</t>
  </si>
  <si>
    <t>contrario</t>
  </si>
  <si>
    <t>quella</t>
  </si>
  <si>
    <t>SBJ_5</t>
  </si>
  <si>
    <t>dopo</t>
  </si>
  <si>
    <t>misura</t>
  </si>
  <si>
    <t>pubblica</t>
  </si>
  <si>
    <t>efficace</t>
  </si>
  <si>
    <t>tutta</t>
  </si>
  <si>
    <t>umana</t>
  </si>
  <si>
    <t># text = Non sapevo cosa fare, quindi ho fatto come al solito, ho scritto la storia e sono passato ad altro.</t>
  </si>
  <si>
    <t>sapevo</t>
  </si>
  <si>
    <t>quindi</t>
  </si>
  <si>
    <t>solito</t>
  </si>
  <si>
    <t>passato</t>
  </si>
  <si>
    <t>altro</t>
  </si>
  <si>
    <t># text = Non molto più tardi, ho scritto una storia sul cibo geneticamente modificato.</t>
  </si>
  <si>
    <t>tardi</t>
  </si>
  <si>
    <t>geneticamente</t>
  </si>
  <si>
    <t>modificato</t>
  </si>
  <si>
    <t># text = Stessa cosa, solo più grande.</t>
  </si>
  <si>
    <t>Stessa</t>
  </si>
  <si>
    <t># text = Le persone erano impazzite.</t>
  </si>
  <si>
    <t>impazzite</t>
  </si>
  <si>
    <t># text = Quindi ho scritto una storia anche su quello, e non riuscivo a capire perché le persone considerassero gli OGM come "cibo mostro", perché pensassero che spostare le molecole in modo specifico, invece che a caso, fosse invadere il campo di lavoro della natura.</t>
  </si>
  <si>
    <t>riuscivo</t>
  </si>
  <si>
    <t>capire</t>
  </si>
  <si>
    <t>SBJ_6</t>
  </si>
  <si>
    <t>considerassero</t>
  </si>
  <si>
    <t>OGM</t>
  </si>
  <si>
    <t>mostro</t>
  </si>
  <si>
    <t>pensassero</t>
  </si>
  <si>
    <t>molecole</t>
  </si>
  <si>
    <t>OBJ_8</t>
  </si>
  <si>
    <t>modo</t>
  </si>
  <si>
    <t>specifico</t>
  </si>
  <si>
    <t>invece</t>
  </si>
  <si>
    <t>caso</t>
  </si>
  <si>
    <t>invadere</t>
  </si>
  <si>
    <t>lavoro</t>
  </si>
  <si>
    <t>natura</t>
  </si>
  <si>
    <t># text = Ma, come sempre, faccio il mio lavoro.</t>
  </si>
  <si>
    <t>sempre</t>
  </si>
  <si>
    <t>mio</t>
  </si>
  <si>
    <t># text = Ho scritto la storia e sono andato avanti.</t>
  </si>
  <si>
    <t>Ho</t>
  </si>
  <si>
    <t># text = Voglio dire, sono un giornalista:</t>
  </si>
  <si>
    <t>Voglio</t>
  </si>
  <si>
    <t>giornalista</t>
  </si>
  <si>
    <t># text = scriviamo, mandiamo, andiamo a cena, finisce lì.</t>
  </si>
  <si>
    <t>scriviamo</t>
  </si>
  <si>
    <t>mandiamo</t>
  </si>
  <si>
    <t>andiamo</t>
  </si>
  <si>
    <t>cena</t>
  </si>
  <si>
    <t>finisce</t>
  </si>
  <si>
    <t>lì</t>
  </si>
  <si>
    <t># text = (Risate) Ma queste storie mi torturavano e non riuscivo a capire perché, ma alla fine ce l'ho fatta.</t>
  </si>
  <si>
    <t>(</t>
  </si>
  <si>
    <t>Risate</t>
  </si>
  <si>
    <t>)</t>
  </si>
  <si>
    <t>queste</t>
  </si>
  <si>
    <t>storie</t>
  </si>
  <si>
    <t>torturavano</t>
  </si>
  <si>
    <t>fine</t>
  </si>
  <si>
    <t>ce</t>
  </si>
  <si>
    <t>fatta</t>
  </si>
  <si>
    <t># text = Il problema era che quei fanatici che mi stavano facendo impazzire non erano affatto fanatici.</t>
  </si>
  <si>
    <t>problema</t>
  </si>
  <si>
    <t>era</t>
  </si>
  <si>
    <t>quei</t>
  </si>
  <si>
    <t>fanatici</t>
  </si>
  <si>
    <t>stavano</t>
  </si>
  <si>
    <t>facendo</t>
  </si>
  <si>
    <t>affatto</t>
  </si>
  <si>
    <t># text = Erano persone di coscienza, istruite, persone per bene.</t>
  </si>
  <si>
    <t>Erano</t>
  </si>
  <si>
    <t>coscienza</t>
  </si>
  <si>
    <t>istruite</t>
  </si>
  <si>
    <t>bene</t>
  </si>
  <si>
    <t># text = Erano esattamente come le persone in questa stanza.</t>
  </si>
  <si>
    <t>esattamente</t>
  </si>
  <si>
    <t># text = E la cosa mi disturbava molto..</t>
  </si>
  <si>
    <t>disturbava</t>
  </si>
  <si>
    <t>molto..</t>
  </si>
  <si>
    <t># text = ma poi ho pensato:</t>
  </si>
  <si>
    <t>poi</t>
  </si>
  <si>
    <t>pensato</t>
  </si>
  <si>
    <t># text = dai, dobbiamo essere onesti; siamo ad un punto, su questo pianeta, dove non abbiamo lo stesso rapporto col progresso che c'era una volta.</t>
  </si>
  <si>
    <t>dobbiamo</t>
  </si>
  <si>
    <t>onesti</t>
  </si>
  <si>
    <t>stesso</t>
  </si>
  <si>
    <t>rapporto</t>
  </si>
  <si>
    <t>volta</t>
  </si>
  <si>
    <t># text = Ne parliamo in modo ambiguo.</t>
  </si>
  <si>
    <t>Ne</t>
  </si>
  <si>
    <t>parliamo</t>
  </si>
  <si>
    <t>ambiguo</t>
  </si>
  <si>
    <t># text = Ne parliamo in termini ironici usando le virgolette:</t>
  </si>
  <si>
    <t>termini</t>
  </si>
  <si>
    <t>ironici</t>
  </si>
  <si>
    <t>usando</t>
  </si>
  <si>
    <t>virgolette</t>
  </si>
  <si>
    <t># text = "Progresso" Va bene, ci sono dei motivi per farlo, e penso che sappiamo quali siano.</t>
  </si>
  <si>
    <t>Progresso</t>
  </si>
  <si>
    <t>Va</t>
  </si>
  <si>
    <t>motivi</t>
  </si>
  <si>
    <t>sappiamo</t>
  </si>
  <si>
    <t>quali</t>
  </si>
  <si>
    <t># text = Abbiamo perso fiducia nelle istituzioni, nelle autorità, ed a volte nella scienza stessa, ed è comprensibile che sia successo.</t>
  </si>
  <si>
    <t>Abbiamo</t>
  </si>
  <si>
    <t>perso</t>
  </si>
  <si>
    <t>fiducia</t>
  </si>
  <si>
    <t>istituzioni</t>
  </si>
  <si>
    <t>autorità</t>
  </si>
  <si>
    <t>scienza</t>
  </si>
  <si>
    <t>stessa</t>
  </si>
  <si>
    <t>comprensibile</t>
  </si>
  <si>
    <t>successo</t>
  </si>
  <si>
    <t># text = Basta fare solo alcuni nomi e la gente capisce.</t>
  </si>
  <si>
    <t>Basta</t>
  </si>
  <si>
    <t>alcuni</t>
  </si>
  <si>
    <t>nomi</t>
  </si>
  <si>
    <t>gente</t>
  </si>
  <si>
    <t>capisce</t>
  </si>
  <si>
    <t># text = Chernobyl, Bhopal, il Challenger, Vioxx, armi di distruzione di massa, elezioni truccate.</t>
  </si>
  <si>
    <t>Bhopal</t>
  </si>
  <si>
    <t>Challenger</t>
  </si>
  <si>
    <t>Vioxx</t>
  </si>
  <si>
    <t>armi</t>
  </si>
  <si>
    <t>distruzione</t>
  </si>
  <si>
    <t>massa</t>
  </si>
  <si>
    <t>elezioni</t>
  </si>
  <si>
    <t>truccate</t>
  </si>
  <si>
    <t># text = Voglio dire, ognuno ha la sua lista.</t>
  </si>
  <si>
    <t>ognuno</t>
  </si>
  <si>
    <t>sua</t>
  </si>
  <si>
    <t>lista</t>
  </si>
  <si>
    <t># text = Abbiamo domande e problemi con le persone che pensavamo avessero sempre ragione.</t>
  </si>
  <si>
    <t>domande</t>
  </si>
  <si>
    <t>pensavamo</t>
  </si>
  <si>
    <t>avessero</t>
  </si>
  <si>
    <t>ragione</t>
  </si>
  <si>
    <t># text = Quindi siate scettici.</t>
  </si>
  <si>
    <t>siate</t>
  </si>
  <si>
    <t>scettici</t>
  </si>
  <si>
    <t># text = Fate domante, pretendete risposte, pretendete prove.</t>
  </si>
  <si>
    <t>Fate</t>
  </si>
  <si>
    <t>domante</t>
  </si>
  <si>
    <t>pretendete</t>
  </si>
  <si>
    <t>risposte</t>
  </si>
  <si>
    <t>prove</t>
  </si>
  <si>
    <t># text = Non date nulla per scontato.</t>
  </si>
  <si>
    <t>date</t>
  </si>
  <si>
    <t>nulla</t>
  </si>
  <si>
    <t>scontato</t>
  </si>
  <si>
    <t># text = Ma ecco il punto fondamentale:</t>
  </si>
  <si>
    <t>fondamentale</t>
  </si>
  <si>
    <t># text = quando le prove arrivano è necessario accettarle, e non siamo molto bravi in questo.</t>
  </si>
  <si>
    <t>arrivano</t>
  </si>
  <si>
    <t>necessario</t>
  </si>
  <si>
    <t>accettar</t>
  </si>
  <si>
    <t>bravi</t>
  </si>
  <si>
    <t># text = E penso che il motivo sia che ci troviamo in un'epidemia di paura che non avevo mai visto e spero di non rivedere mai.</t>
  </si>
  <si>
    <t>motivo</t>
  </si>
  <si>
    <t>troviamo</t>
  </si>
  <si>
    <t>un'</t>
  </si>
  <si>
    <t>epidemia</t>
  </si>
  <si>
    <t>avevo</t>
  </si>
  <si>
    <t>visto</t>
  </si>
  <si>
    <t>spero</t>
  </si>
  <si>
    <t>rivedere</t>
  </si>
  <si>
    <t># text = Circa 12 anni fa venne pubblicata una storia, una storia orribile, che sosteneva ci fosse un legame tra un'epidemia di autismo ed i vaccini contro morbillo, parotite e rosolia.</t>
  </si>
  <si>
    <t>Circa</t>
  </si>
  <si>
    <t>venne</t>
  </si>
  <si>
    <t>pubblicata</t>
  </si>
  <si>
    <t>orribile</t>
  </si>
  <si>
    <t>sosteneva</t>
  </si>
  <si>
    <t>legame</t>
  </si>
  <si>
    <t>tra</t>
  </si>
  <si>
    <t>autismo</t>
  </si>
  <si>
    <t>contro</t>
  </si>
  <si>
    <t>morbillo</t>
  </si>
  <si>
    <t>parotite</t>
  </si>
  <si>
    <t># text = Molto spaventoso.</t>
  </si>
  <si>
    <t>Molto</t>
  </si>
  <si>
    <t># text = Centinaia di studi furono fatti per vedere se era vero.</t>
  </si>
  <si>
    <t>Centinaia</t>
  </si>
  <si>
    <t>studi</t>
  </si>
  <si>
    <t>furono</t>
  </si>
  <si>
    <t># text = E si dovevano fare centinaia di studi;</t>
  </si>
  <si>
    <t>dovevano</t>
  </si>
  <si>
    <t>centinaia</t>
  </si>
  <si>
    <t># text = è una questione importante.</t>
  </si>
  <si>
    <t>questione</t>
  </si>
  <si>
    <t>importante</t>
  </si>
  <si>
    <t># text = Alla fine arrivarono i dati.</t>
  </si>
  <si>
    <t>A</t>
  </si>
  <si>
    <t>arrivarono</t>
  </si>
  <si>
    <t>dati</t>
  </si>
  <si>
    <t># text = Arrivarono dagli Stati Uniti, dall'Inghilterra, dalla Svezia, dal Canada, e tutti erano uguali, nessun collegamento, nessuna correlazione, niente di niente.</t>
  </si>
  <si>
    <t>Arrivarono</t>
  </si>
  <si>
    <t>Stati</t>
  </si>
  <si>
    <t>Uniti</t>
  </si>
  <si>
    <t>Inghilterra</t>
  </si>
  <si>
    <t>Svezia</t>
  </si>
  <si>
    <t>Canada</t>
  </si>
  <si>
    <t>uguali</t>
  </si>
  <si>
    <t>nessun</t>
  </si>
  <si>
    <t>collegamento</t>
  </si>
  <si>
    <t>correlazione</t>
  </si>
  <si>
    <t>niente</t>
  </si>
  <si>
    <t># text = Non fece differenza.</t>
  </si>
  <si>
    <t>fece</t>
  </si>
  <si>
    <t>differenza</t>
  </si>
  <si>
    <t># text = Non la fece perché noi crediamo agli aneddoti, a quello che vediamo..</t>
  </si>
  <si>
    <t>crediamo</t>
  </si>
  <si>
    <t>aneddoti</t>
  </si>
  <si>
    <t>vediamo..</t>
  </si>
  <si>
    <t># text = a quello che pensiamo di vedere, a quello che ci fa sentire reali.</t>
  </si>
  <si>
    <t>pensiamo</t>
  </si>
  <si>
    <t>sentire</t>
  </si>
  <si>
    <t>reali</t>
  </si>
  <si>
    <t># text = Non crediamo ad una pila di documenti forniti da impiegati del governo che ci mostrano numeri, e lo capisco, penso che lo capiamo tutti.</t>
  </si>
  <si>
    <t>pila</t>
  </si>
  <si>
    <t>documenti</t>
  </si>
  <si>
    <t>forniti</t>
  </si>
  <si>
    <t>impiegati</t>
  </si>
  <si>
    <t>governo</t>
  </si>
  <si>
    <t>SBJ_7</t>
  </si>
  <si>
    <t>mostrano</t>
  </si>
  <si>
    <t>numeri</t>
  </si>
  <si>
    <t>capiamo</t>
  </si>
  <si>
    <t># text = Ma sapete una cosa?</t>
  </si>
  <si>
    <t># text = I risultati sono stati devastanti..</t>
  </si>
  <si>
    <t>devastanti..</t>
  </si>
  <si>
    <t># text = devastanti perché ecco un fatto:</t>
  </si>
  <si>
    <t>devastanti</t>
  </si>
  <si>
    <t># text = gli Stati Uniti sono una delle poche nazioni al mondo in cui il numero di vaccini contro il morbillo sta calando.</t>
  </si>
  <si>
    <t>poche</t>
  </si>
  <si>
    <t>nazioni</t>
  </si>
  <si>
    <t>calando</t>
  </si>
  <si>
    <t># text = È orribile, e dovremmo vergognarci di noi stessi.</t>
  </si>
  <si>
    <t>È</t>
  </si>
  <si>
    <t>vergognar</t>
  </si>
  <si>
    <t>stessi</t>
  </si>
  <si>
    <t># text = È terribile.</t>
  </si>
  <si>
    <t>terribile</t>
  </si>
  <si>
    <t># text = Cosa è successo che ci ha spinto a fare una cosa del genere?</t>
  </si>
  <si>
    <t>Cosa</t>
  </si>
  <si>
    <t>spinto</t>
  </si>
  <si>
    <t>genere</t>
  </si>
  <si>
    <t># text = Ora, lo capisco.</t>
  </si>
  <si>
    <t>Ora</t>
  </si>
  <si>
    <t># text = Lo capisco davvero.</t>
  </si>
  <si>
    <t># text = Pensateci, qualcuno qui ha il morbillo?</t>
  </si>
  <si>
    <t># text = Qualcuno tra il pubblico ha mai visto una persona morire di morbillo?</t>
  </si>
  <si>
    <t>Qualcuno</t>
  </si>
  <si>
    <t>pubblico</t>
  </si>
  <si>
    <t>persona</t>
  </si>
  <si>
    <t># text = Non succede spesso.</t>
  </si>
  <si>
    <t>succede</t>
  </si>
  <si>
    <t>spesso</t>
  </si>
  <si>
    <t># text = In questo paese non succede proprio, ma è successo 160mila volte nel mondo l'anno scorso.</t>
  </si>
  <si>
    <t>paese</t>
  </si>
  <si>
    <t>proprio</t>
  </si>
  <si>
    <t>160mila</t>
  </si>
  <si>
    <t>anno</t>
  </si>
  <si>
    <t>scorso</t>
  </si>
  <si>
    <t># text = Sono un bel po' di morti per morbillo, 20 ogni ora.</t>
  </si>
  <si>
    <t>bel</t>
  </si>
  <si>
    <t>morti</t>
  </si>
  <si>
    <t># text = Ma visto che non è successo qui, possiamo togliercelo dalla testa, e persone come Jenny McCarthy possono andare in giro a spargere messaggi di paura e ignoranza da palcoscenici come Oprah o Larry King Live.</t>
  </si>
  <si>
    <t>togliercelo</t>
  </si>
  <si>
    <t>testa</t>
  </si>
  <si>
    <t>Jenny</t>
  </si>
  <si>
    <t>McCarthy</t>
  </si>
  <si>
    <t>possono</t>
  </si>
  <si>
    <t>giro</t>
  </si>
  <si>
    <t>spargere</t>
  </si>
  <si>
    <t>messaggi</t>
  </si>
  <si>
    <t>ignoranza</t>
  </si>
  <si>
    <t>palcoscenici</t>
  </si>
  <si>
    <t>Oprah</t>
  </si>
  <si>
    <t>Larry</t>
  </si>
  <si>
    <t>King</t>
  </si>
  <si>
    <t>Live</t>
  </si>
  <si>
    <t># text = E lo possono fare perché non capiscono la differenza tra causalità e correlazione.</t>
  </si>
  <si>
    <t>capiscono</t>
  </si>
  <si>
    <t>causalità</t>
  </si>
  <si>
    <t># text = Non capiscono che queste due cose sembrano uguali, ma non lo sono quasi mai.</t>
  </si>
  <si>
    <t>due</t>
  </si>
  <si>
    <t>sembrano</t>
  </si>
  <si>
    <t>quasi</t>
  </si>
  <si>
    <t># text = Però è qualcosa che dobbiamo imparare, e dobbiamo impararlo in fretta.</t>
  </si>
  <si>
    <t>Però</t>
  </si>
  <si>
    <t>qualcosa</t>
  </si>
  <si>
    <t>imparare</t>
  </si>
  <si>
    <t>imparar</t>
  </si>
  <si>
    <t># text = Quest'uomo è stato un eroe, Jonas Salk.</t>
  </si>
  <si>
    <t>Quest'</t>
  </si>
  <si>
    <t>eroe</t>
  </si>
  <si>
    <t>Jonas</t>
  </si>
  <si>
    <t>Salk</t>
  </si>
  <si>
    <t># text = Ha liberato l'umanità da uno dei suoi peggiori flagelli.</t>
  </si>
  <si>
    <t>liberato</t>
  </si>
  <si>
    <t>suoi</t>
  </si>
  <si>
    <t>peggiori</t>
  </si>
  <si>
    <t>flagelli</t>
  </si>
  <si>
    <t># text = Nessuna paura, nessuna sofferenza...</t>
  </si>
  <si>
    <t>Nessuna</t>
  </si>
  <si>
    <t>sofferenza...</t>
  </si>
  <si>
    <t># text = la polio, puff... scomparsa.</t>
  </si>
  <si>
    <t>puff...</t>
  </si>
  <si>
    <t>scomparsa</t>
  </si>
  <si>
    <t># text = L'uomo al centro, non altrettanto.</t>
  </si>
  <si>
    <t>centro</t>
  </si>
  <si>
    <t>altrettanto</t>
  </si>
  <si>
    <t># text = Si chiama Paul Offit.</t>
  </si>
  <si>
    <t>Si</t>
  </si>
  <si>
    <t>chiama</t>
  </si>
  <si>
    <t>Paul</t>
  </si>
  <si>
    <t>Offit</t>
  </si>
  <si>
    <t># text = Ha semplicemente creato un vaccino contro il rotavirus insieme ad altre persone.</t>
  </si>
  <si>
    <t>semplicemente</t>
  </si>
  <si>
    <t>creato</t>
  </si>
  <si>
    <t>vaccino</t>
  </si>
  <si>
    <t>rotavirus</t>
  </si>
  <si>
    <t>insieme</t>
  </si>
  <si>
    <t>altre</t>
  </si>
  <si>
    <t># text = Ha salvato la vita di 400, 500 mila bambini ogni anno nei paesi in via di sviluppo.</t>
  </si>
  <si>
    <t>salvato</t>
  </si>
  <si>
    <t>vita</t>
  </si>
  <si>
    <t>400</t>
  </si>
  <si>
    <t>500</t>
  </si>
  <si>
    <t>mila</t>
  </si>
  <si>
    <t>bambini</t>
  </si>
  <si>
    <t>paesi</t>
  </si>
  <si>
    <t>via</t>
  </si>
  <si>
    <t>sviluppo</t>
  </si>
  <si>
    <t># text = Mica male, vero?</t>
  </si>
  <si>
    <t>Mica</t>
  </si>
  <si>
    <t>male</t>
  </si>
  <si>
    <t># text = E' ottimo, se non fosse che Paul va in giro a parlare dei vaccini, dice quanto siano preziosi e che le persone dovrebbero semplicemente smettere di frignare.</t>
  </si>
  <si>
    <t>ottimo</t>
  </si>
  <si>
    <t>dice</t>
  </si>
  <si>
    <t>preziosi</t>
  </si>
  <si>
    <t>dovrebbero</t>
  </si>
  <si>
    <t>smettere</t>
  </si>
  <si>
    <t>frignare</t>
  </si>
  <si>
    <t># text = E lo dice in questi termini.</t>
  </si>
  <si>
    <t># text = Quindi Paul è considerato un terrorista.</t>
  </si>
  <si>
    <t>considerato</t>
  </si>
  <si>
    <t>terrorista</t>
  </si>
  <si>
    <t># text = Quando Paul parla in un'udienza pubblica non può testimoniare senza una scorta armata.</t>
  </si>
  <si>
    <t>Quando</t>
  </si>
  <si>
    <t>parla</t>
  </si>
  <si>
    <t>udienza</t>
  </si>
  <si>
    <t>scorta</t>
  </si>
  <si>
    <t>armata</t>
  </si>
  <si>
    <t># text = Lo chiamano a casa perché ad alcuni piace ricordargli che sanno dove i suoi figli vanno a scuola.</t>
  </si>
  <si>
    <t>chiamano</t>
  </si>
  <si>
    <t>casa</t>
  </si>
  <si>
    <t>piace</t>
  </si>
  <si>
    <t>ricordar</t>
  </si>
  <si>
    <t>sanno</t>
  </si>
  <si>
    <t>figli</t>
  </si>
  <si>
    <t>scuola</t>
  </si>
  <si>
    <t># text = Perché?</t>
  </si>
  <si>
    <t>Perché</t>
  </si>
  <si>
    <t># text = Perché Paul ha creato un vaccino.</t>
  </si>
  <si>
    <t># text = Non avrei bisogno di dirlo, ma i vaccini sono fondamentali.</t>
  </si>
  <si>
    <t>avrei</t>
  </si>
  <si>
    <t>dir</t>
  </si>
  <si>
    <t>fondamentali</t>
  </si>
  <si>
    <t># text = Se smettiamo di prenderli, le malattie ritornano, terribili malattie, e sta succedendo.</t>
  </si>
  <si>
    <t>smettiamo</t>
  </si>
  <si>
    <t>prender</t>
  </si>
  <si>
    <t>ritornano</t>
  </si>
  <si>
    <t>terribili</t>
  </si>
  <si>
    <t>succedendo</t>
  </si>
  <si>
    <t># text = Abbiamo di nuovo il morbillo in questo paese.</t>
  </si>
  <si>
    <t>nuovo</t>
  </si>
  <si>
    <t># text = E sarà sempre peggio, e tra non molto i bambini cominceranno a morire di nuovo perché è solo una questione di numeri.</t>
  </si>
  <si>
    <t>sarà</t>
  </si>
  <si>
    <t>peggio</t>
  </si>
  <si>
    <t>cominceranno</t>
  </si>
  <si>
    <t># text = E non moriranno solo di morbillo.</t>
  </si>
  <si>
    <t>moriranno</t>
  </si>
  <si>
    <t># text = La polio?</t>
  </si>
  <si>
    <t>La</t>
  </si>
  <si>
    <t># text = Riprendiamoci anche quella.</t>
  </si>
  <si>
    <t>Riprendiamo</t>
  </si>
  <si>
    <t># text = Perché no?</t>
  </si>
  <si>
    <t># text = Una mia ex collega del college mi ha scritto un paio di settimane fa e mi ha detto che mi considerava un po' eccessivo.</t>
  </si>
  <si>
    <t>ex</t>
  </si>
  <si>
    <t>collega</t>
  </si>
  <si>
    <t>college</t>
  </si>
  <si>
    <t>paio</t>
  </si>
  <si>
    <t>settimane</t>
  </si>
  <si>
    <t>detto</t>
  </si>
  <si>
    <t>considerava</t>
  </si>
  <si>
    <t>eccessivo</t>
  </si>
  <si>
    <t># text = Nessuno me lo aveva detto prima.</t>
  </si>
  <si>
    <t>Nessuno</t>
  </si>
  <si>
    <t>aveva</t>
  </si>
  <si>
    <t># text = Lei non avrebbe vaccinato suo figlio contro la polio.</t>
  </si>
  <si>
    <t>Lei</t>
  </si>
  <si>
    <t>avrebbe</t>
  </si>
  <si>
    <t>vaccinato</t>
  </si>
  <si>
    <t>suo</t>
  </si>
  <si>
    <t>figlio</t>
  </si>
  <si>
    <t># text = Neanche morta.</t>
  </si>
  <si>
    <t>morta</t>
  </si>
  <si>
    <t># text = OK. Perché?</t>
  </si>
  <si>
    <t># text = Perché non c'è la polio da noi.</t>
  </si>
  <si>
    <t># text = Ieri non avevamo la polio negli Stati Uniti.</t>
  </si>
  <si>
    <t>Ieri</t>
  </si>
  <si>
    <t>avevamo</t>
  </si>
  <si>
    <t># text = Oggi non lo so... magari stamattina un tizio è salito su un aereo a Lagos e sta arrivando a Los Angeles, adesso è sopra l'Ohio.</t>
  </si>
  <si>
    <t>Oggi</t>
  </si>
  <si>
    <t>so...</t>
  </si>
  <si>
    <t>magari</t>
  </si>
  <si>
    <t>stamattina</t>
  </si>
  <si>
    <t>tizio</t>
  </si>
  <si>
    <t>salito</t>
  </si>
  <si>
    <t>aereo</t>
  </si>
  <si>
    <t>Lagos</t>
  </si>
  <si>
    <t>arrivando</t>
  </si>
  <si>
    <t>Los</t>
  </si>
  <si>
    <t>Angeles</t>
  </si>
  <si>
    <t>sopra</t>
  </si>
  <si>
    <t>Ohio</t>
  </si>
  <si>
    <t># text = Magari atterrerà tra un paio d'ore, noleggerà una macchina, arriverà qui a Long Beach e stasera parteciperà ad una di queste fantastiche cene organizzate da TED.</t>
  </si>
  <si>
    <t>Magari</t>
  </si>
  <si>
    <t>atterrerà</t>
  </si>
  <si>
    <t>d'</t>
  </si>
  <si>
    <t>ore</t>
  </si>
  <si>
    <t>noleggerà</t>
  </si>
  <si>
    <t>arriverà</t>
  </si>
  <si>
    <t>Long</t>
  </si>
  <si>
    <t>Beach</t>
  </si>
  <si>
    <t>stasera</t>
  </si>
  <si>
    <t>parteciperà</t>
  </si>
  <si>
    <t>fantastiche</t>
  </si>
  <si>
    <t>cene</t>
  </si>
  <si>
    <t>organizzate</t>
  </si>
  <si>
    <t># text = Lui non lo sa di essere stato infettato da una malattia paralizzante, e non lo sappiamo neanche noi perché è così che funziona il mondo.</t>
  </si>
  <si>
    <t>Lui</t>
  </si>
  <si>
    <t>infettato</t>
  </si>
  <si>
    <t>paralizzante</t>
  </si>
  <si>
    <t>neanche</t>
  </si>
  <si>
    <t>funziona</t>
  </si>
  <si>
    <t># text = Questo è il pianeta in cui viviamo.</t>
  </si>
  <si>
    <t>viviamo</t>
  </si>
  <si>
    <t># text = Non facciamo finta che non sia così.</t>
  </si>
  <si>
    <t># text = Noi adoriamo circondarci di bugie.</t>
  </si>
  <si>
    <t>Noi</t>
  </si>
  <si>
    <t>adoriamo</t>
  </si>
  <si>
    <t>circondar</t>
  </si>
  <si>
    <t>bugie</t>
  </si>
  <si>
    <t># text = Adoriamo farlo.</t>
  </si>
  <si>
    <t>Adoriamo</t>
  </si>
  <si>
    <t># text = Tutti avete preso le vitamine stamattina?</t>
  </si>
  <si>
    <t>preso</t>
  </si>
  <si>
    <t>vitamine</t>
  </si>
  <si>
    <t># text = Echinacea, un po' di antiossidanti per cominciare la giornata.</t>
  </si>
  <si>
    <t>antiossidanti</t>
  </si>
  <si>
    <t>cominciare</t>
  </si>
  <si>
    <t>giornata</t>
  </si>
  <si>
    <t># text = So che lo avete fatto perché la metà degli americani lo fa ogni giorno.</t>
  </si>
  <si>
    <t>So</t>
  </si>
  <si>
    <t>metà</t>
  </si>
  <si>
    <t>americani</t>
  </si>
  <si>
    <t># text = Prendono quella roba, come si affidano alla medicina alternativa, e non importa quanto spesso dimostriamo che sono inutili.</t>
  </si>
  <si>
    <t>Prendono</t>
  </si>
  <si>
    <t>roba</t>
  </si>
  <si>
    <t>affidano</t>
  </si>
  <si>
    <t>alternativa</t>
  </si>
  <si>
    <t>importa</t>
  </si>
  <si>
    <t>dimostriamo</t>
  </si>
  <si>
    <t>inutili</t>
  </si>
  <si>
    <t># text = I dati lo dimostrano sempre.</t>
  </si>
  <si>
    <t>dimostrano</t>
  </si>
  <si>
    <t># text = Rendono l'urina più scura.</t>
  </si>
  <si>
    <t>Rendono</t>
  </si>
  <si>
    <t>urina</t>
  </si>
  <si>
    <t>scura</t>
  </si>
  <si>
    <t># text = Più di questo non fanno, quasi mai.</t>
  </si>
  <si>
    <t>Più</t>
  </si>
  <si>
    <t># text = Ma va bene, volete spendere 28 miliardi di dollari per urina scura, sono con voi!</t>
  </si>
  <si>
    <t>volete</t>
  </si>
  <si>
    <t>spendere</t>
  </si>
  <si>
    <t>dollari</t>
  </si>
  <si>
    <t>voi</t>
  </si>
  <si>
    <t>!</t>
  </si>
  <si>
    <t># text = Urina scura.</t>
  </si>
  <si>
    <t># text = Scura.</t>
  </si>
  <si>
    <t>Scura</t>
  </si>
  <si>
    <t># text = Perché lo facciamo?</t>
  </si>
  <si>
    <t># text = Credo di capire, odiamo le grandi case farmaceutiche.</t>
  </si>
  <si>
    <t>Credo</t>
  </si>
  <si>
    <t>odiamo</t>
  </si>
  <si>
    <t>case</t>
  </si>
  <si>
    <t>farmaceutiche</t>
  </si>
  <si>
    <t># text = Odiamo il la grande macchina governativa.</t>
  </si>
  <si>
    <t>Odiamo</t>
  </si>
  <si>
    <t>governativa</t>
  </si>
  <si>
    <t># text = Non ci fidiamo.</t>
  </si>
  <si>
    <t>fidiamo</t>
  </si>
  <si>
    <t># text = E facciamo bene.</t>
  </si>
  <si>
    <t># text = Il nostro sistema sanitario fa schifo.</t>
  </si>
  <si>
    <t>nostro</t>
  </si>
  <si>
    <t>sistema</t>
  </si>
  <si>
    <t>sanitario</t>
  </si>
  <si>
    <t>schifo</t>
  </si>
  <si>
    <t># text = È crudele verso milioni di persone.</t>
  </si>
  <si>
    <t>crudele</t>
  </si>
  <si>
    <t>verso</t>
  </si>
  <si>
    <t># text = È assolutamente, incredibilmente freddo e demoralizzante anche per quelli di noi che possono permetterselo.</t>
  </si>
  <si>
    <t>assolutamente</t>
  </si>
  <si>
    <t>incredibilmente</t>
  </si>
  <si>
    <t>freddo</t>
  </si>
  <si>
    <t>demoralizzante</t>
  </si>
  <si>
    <t>quelli</t>
  </si>
  <si>
    <t>permetter</t>
  </si>
  <si>
    <t># text = Quindi scappiamo lontano, e da chi ci rifugiamo?</t>
  </si>
  <si>
    <t>scappiamo</t>
  </si>
  <si>
    <t>lontano</t>
  </si>
  <si>
    <t>chi</t>
  </si>
  <si>
    <t>rifugiamo</t>
  </si>
  <si>
    <t># text = Saltiamo tra le braccia del grande placebo.</t>
  </si>
  <si>
    <t>Saltiamo</t>
  </si>
  <si>
    <t>braccia</t>
  </si>
  <si>
    <t>placebo</t>
  </si>
  <si>
    <t># text = È fantastico.</t>
  </si>
  <si>
    <t>fantastico</t>
  </si>
  <si>
    <t># text = Noi amiamo il grande placebo.</t>
  </si>
  <si>
    <t>amiamo</t>
  </si>
  <si>
    <t># text = (Applausi) Sapete, è un problema serio perché questa roba è una schifezza, e ci spendiamo miliardi di dollari.</t>
  </si>
  <si>
    <t>Applausi</t>
  </si>
  <si>
    <t>Sapete</t>
  </si>
  <si>
    <t>serio</t>
  </si>
  <si>
    <t>schifezza</t>
  </si>
  <si>
    <t>spendiamo</t>
  </si>
  <si>
    <t># text = Ho tutta una serie di esempi qui.</t>
  </si>
  <si>
    <t>serie</t>
  </si>
  <si>
    <t>esempi</t>
  </si>
  <si>
    <t># text = Nessuno di questi...</t>
  </si>
  <si>
    <t>questi..</t>
  </si>
  <si>
    <t># text = ginkgo - una frode, echinacea - una frode, acai - non so neanche cosa sia ma ci spendiamo miliardi di dollari, ed è una frode.</t>
  </si>
  <si>
    <t>ginkgo</t>
  </si>
  <si>
    <t>frode</t>
  </si>
  <si>
    <t>echinacea</t>
  </si>
  <si>
    <t>acai</t>
  </si>
  <si>
    <t># text = Sapete una cosa?</t>
  </si>
  <si>
    <t># text = Quando dico queste cose, le persone mi urlano contro, e dicono \"Ma cosa ti interessa?</t>
  </si>
  <si>
    <t>dico</t>
  </si>
  <si>
    <t>urlano</t>
  </si>
  <si>
    <t>dicono</t>
  </si>
  <si>
    <t>ti</t>
  </si>
  <si>
    <t>interessa</t>
  </si>
  <si>
    <t># text = Lascia che la gente faccia quello che vuole.</t>
  </si>
  <si>
    <t>Lascia</t>
  </si>
  <si>
    <t>faccia</t>
  </si>
  <si>
    <t>vuole</t>
  </si>
  <si>
    <t># text = Li fa stare bene.\"</t>
  </si>
  <si>
    <t>Li</t>
  </si>
  <si>
    <t># text = Indovinate un po'?</t>
  </si>
  <si>
    <t>Indovinate</t>
  </si>
  <si>
    <t># text = Avete torto.</t>
  </si>
  <si>
    <t>Avete</t>
  </si>
  <si>
    <t># text = Perché non mi interessa se è il segretario del Dipartimento per la Salute ed i Servizi Umani a dire "Uhm, non ho intenzione di ascoltare le prove degli esperti sulla mammografia" o se lo dice qualche lunatico del cancro che vuole curare i pazienti con clisteri al caffè.</t>
  </si>
  <si>
    <t>segretario</t>
  </si>
  <si>
    <t>Dipartimento</t>
  </si>
  <si>
    <t>Salute</t>
  </si>
  <si>
    <t>Servizi</t>
  </si>
  <si>
    <t>Umani</t>
  </si>
  <si>
    <t>Uhm</t>
  </si>
  <si>
    <t>intenzione</t>
  </si>
  <si>
    <t>ascoltare</t>
  </si>
  <si>
    <t>esperti</t>
  </si>
  <si>
    <t>mammografia</t>
  </si>
  <si>
    <t>qualche</t>
  </si>
  <si>
    <t>lunatico</t>
  </si>
  <si>
    <t>cancro</t>
  </si>
  <si>
    <t>SBJ_8</t>
  </si>
  <si>
    <t>curare</t>
  </si>
  <si>
    <t>pazienti</t>
  </si>
  <si>
    <t>clisteri</t>
  </si>
  <si>
    <t>caffè</t>
  </si>
  <si>
    <t>other_9</t>
  </si>
  <si>
    <t># text = Quando imbocchiamo la strada che porta a rimpiazzare scienza e prove con magia e tradizione, finiamo in un posto dove non vorremmo essere.</t>
  </si>
  <si>
    <t>imbocchiamo</t>
  </si>
  <si>
    <t>strada</t>
  </si>
  <si>
    <t>porta</t>
  </si>
  <si>
    <t>rimpiazzare</t>
  </si>
  <si>
    <t>magia</t>
  </si>
  <si>
    <t>tradizione</t>
  </si>
  <si>
    <t>finiamo</t>
  </si>
  <si>
    <t>posto</t>
  </si>
  <si>
    <t>vorremmo</t>
  </si>
  <si>
    <t># text = Finiamo come Thabo Mbeki in Sud Africa.</t>
  </si>
  <si>
    <t>Finiamo</t>
  </si>
  <si>
    <t>Thabo</t>
  </si>
  <si>
    <t>Mbeki</t>
  </si>
  <si>
    <t>Sud</t>
  </si>
  <si>
    <t>Africa</t>
  </si>
  <si>
    <t># text = Ha ucciso 400 mila dei suoi concittadini continuando a dire che barbabietole, aglio e succo di limone funzionavano meglio dei farmaci anti-retrovirali che sappiamo possono rallentare il decorso dell'AIDS. Centinaia di migliaia di morti inutili in una nazione che è stata colpita più di ogni altro da questa malattia.</t>
  </si>
  <si>
    <t>concittadini</t>
  </si>
  <si>
    <t>continuando</t>
  </si>
  <si>
    <t>barbabietole</t>
  </si>
  <si>
    <t>aglio</t>
  </si>
  <si>
    <t>succo</t>
  </si>
  <si>
    <t>limone</t>
  </si>
  <si>
    <t>funzionavano</t>
  </si>
  <si>
    <t>farmaci</t>
  </si>
  <si>
    <t>anti</t>
  </si>
  <si>
    <t>retrovirali</t>
  </si>
  <si>
    <t>decorso</t>
  </si>
  <si>
    <t>AIDS.</t>
  </si>
  <si>
    <t>migliaia</t>
  </si>
  <si>
    <t>nazione</t>
  </si>
  <si>
    <t>stata</t>
  </si>
  <si>
    <t>colpita</t>
  </si>
  <si>
    <t># text = Per favore, non venite a dirmi che non ci sono conseguenze per queste azioni.</t>
  </si>
  <si>
    <t>Per</t>
  </si>
  <si>
    <t>favore</t>
  </si>
  <si>
    <t>venite</t>
  </si>
  <si>
    <t>conseguenze</t>
  </si>
  <si>
    <t># text = Ci sono.</t>
  </si>
  <si>
    <t># text = Ci sono sempre.</t>
  </si>
  <si>
    <t># text = Ora, l'epidemia più stupida in cui siamo in mezzo proprio adesso è la guerra assurda tra i sostenitori dei cibi geneticamente modificati e l'elite del cibo biologico.</t>
  </si>
  <si>
    <t>stupida</t>
  </si>
  <si>
    <t>mezzo</t>
  </si>
  <si>
    <t>assurda</t>
  </si>
  <si>
    <t>sostenitori</t>
  </si>
  <si>
    <t>cibi</t>
  </si>
  <si>
    <t>modificati</t>
  </si>
  <si>
    <t>elite</t>
  </si>
  <si>
    <t>biologico</t>
  </si>
  <si>
    <t># text = E' una diatriba idiota.</t>
  </si>
  <si>
    <t>diatriba</t>
  </si>
  <si>
    <t>idiota</t>
  </si>
  <si>
    <t># text = Deve finire.</t>
  </si>
  <si>
    <t>Deve</t>
  </si>
  <si>
    <t># text = E' una diatriba sulle parole, sulle metafore.</t>
  </si>
  <si>
    <t>parole</t>
  </si>
  <si>
    <t>metafore</t>
  </si>
  <si>
    <t># text = È ideologia, non è scienza.</t>
  </si>
  <si>
    <t>ideologia</t>
  </si>
  <si>
    <t># text = Ogni singola cosa che mangiamo, ogni chicco di riso, ogni foglia di prezzemolo, ogni cavoletto di Bruxelles è stato modificato dall'uomo.</t>
  </si>
  <si>
    <t>Ogni</t>
  </si>
  <si>
    <t>singola</t>
  </si>
  <si>
    <t>mangiamo</t>
  </si>
  <si>
    <t>chicco</t>
  </si>
  <si>
    <t>riso</t>
  </si>
  <si>
    <t>foglia</t>
  </si>
  <si>
    <t>prezzemolo</t>
  </si>
  <si>
    <t>cavoletto</t>
  </si>
  <si>
    <t>Bruxelles</t>
  </si>
  <si>
    <t># text = Vedete, non c'erano mandarini nel giardino dell'Eden.</t>
  </si>
  <si>
    <t>Vedete</t>
  </si>
  <si>
    <t>mandarini</t>
  </si>
  <si>
    <t>giardino</t>
  </si>
  <si>
    <t>Eden</t>
  </si>
  <si>
    <t># text = Non c'erano melanzane.</t>
  </si>
  <si>
    <t>melanzane</t>
  </si>
  <si>
    <t># text = Non c'erano neanche gli alberi di Natale.</t>
  </si>
  <si>
    <t>alberi</t>
  </si>
  <si>
    <t>Natale</t>
  </si>
  <si>
    <t># text = Li abbiamo creati noi.</t>
  </si>
  <si>
    <t>creati</t>
  </si>
  <si>
    <t># text = Lo abbiamo fatto nel corso degli ultimi 11mila anni.</t>
  </si>
  <si>
    <t>corso</t>
  </si>
  <si>
    <t>11mila</t>
  </si>
  <si>
    <t># text = Qualcosa ha funzionato ed qualcos'altro no.</t>
  </si>
  <si>
    <t>Qualcosa</t>
  </si>
  <si>
    <t>funzionato</t>
  </si>
  <si>
    <t>qualcos'</t>
  </si>
  <si>
    <t># text = Ed abbiamo eliminato quello che non funzionava.</t>
  </si>
  <si>
    <t>eliminato</t>
  </si>
  <si>
    <t>funzionava</t>
  </si>
  <si>
    <t># text = Ora possiamo farlo in modo più preciso.</t>
  </si>
  <si>
    <t>preciso</t>
  </si>
  <si>
    <t># text = E ci sono dei rischi, certo che ci sono.</t>
  </si>
  <si>
    <t>rischi</t>
  </si>
  <si>
    <t># text = Ma noi possiamo inserire cose come la vitamina A nel riso, e questo aiuterebbe milioni di persone, milioni di persone, prolungando la loro vita.</t>
  </si>
  <si>
    <t>inserire</t>
  </si>
  <si>
    <t>vitamina</t>
  </si>
  <si>
    <t>aiuterebbe</t>
  </si>
  <si>
    <t>prolungando</t>
  </si>
  <si>
    <t>loro</t>
  </si>
  <si>
    <t># text = E non vogliamo farlo?</t>
  </si>
  <si>
    <t>vogliamo</t>
  </si>
  <si>
    <t># text = Devo dirvelo, io non lo capisco.</t>
  </si>
  <si>
    <t>Devo</t>
  </si>
  <si>
    <t>dirvelo</t>
  </si>
  <si>
    <t># text = Siamo contrari agli OGM. Perché?</t>
  </si>
  <si>
    <t>contrari</t>
  </si>
  <si>
    <t>OGM.</t>
  </si>
  <si>
    <t># text = Le cose che sento sempre sono:</t>
  </si>
  <si>
    <t>sento</t>
  </si>
  <si>
    <t># text = troppi composti chimici, pesticidi, ormoni, monocolture, non vogliamo campi enormi coltivati con la stessa cosa, è sbagliato.</t>
  </si>
  <si>
    <t>troppi</t>
  </si>
  <si>
    <t>composti</t>
  </si>
  <si>
    <t>chimici</t>
  </si>
  <si>
    <t>pesticidi</t>
  </si>
  <si>
    <t>ormoni</t>
  </si>
  <si>
    <t>monocolture</t>
  </si>
  <si>
    <t>campi</t>
  </si>
  <si>
    <t>enormi</t>
  </si>
  <si>
    <t>coltivati</t>
  </si>
  <si>
    <t>sbagliato</t>
  </si>
  <si>
    <t># text = Non vogliamo che le compagnie mettano dei brevetti sulla vita.</t>
  </si>
  <si>
    <t>compagnie</t>
  </si>
  <si>
    <t>mettano</t>
  </si>
  <si>
    <t>brevetti</t>
  </si>
  <si>
    <t># text = Non vogliamo che le compagnie siano uniche proprietarie dei semi.</t>
  </si>
  <si>
    <t>proprietarie</t>
  </si>
  <si>
    <t>semi</t>
  </si>
  <si>
    <t># text = Sapete qual'è la mia risposta a questo?</t>
  </si>
  <si>
    <t>qual'</t>
  </si>
  <si>
    <t>risposta</t>
  </si>
  <si>
    <t># text = È sì.</t>
  </si>
  <si>
    <t># text = Avete ragione.</t>
  </si>
  <si>
    <t># text = Facciamo qualcosa.</t>
  </si>
  <si>
    <t># text = È vero, abbiamo un enorme problema alimentare, ma non è scienza.</t>
  </si>
  <si>
    <t>enorme</t>
  </si>
  <si>
    <t>alimentare</t>
  </si>
  <si>
    <t># text = Non ha niente a che fare con la scienza.</t>
  </si>
  <si>
    <t># text = È legge, moralità, linee guida sui brevetti.</t>
  </si>
  <si>
    <t>legge</t>
  </si>
  <si>
    <t>moralità</t>
  </si>
  <si>
    <t>linee</t>
  </si>
  <si>
    <t>guida</t>
  </si>
  <si>
    <t># text = Sapete bene che la scienza non è una corporation.</t>
  </si>
  <si>
    <t>corporation</t>
  </si>
  <si>
    <t># text = Non è una nazione.</t>
  </si>
  <si>
    <t># text = Non è neanche un'idea;</t>
  </si>
  <si>
    <t>idea</t>
  </si>
  <si>
    <t># text = è un processo.</t>
  </si>
  <si>
    <t>processo</t>
  </si>
  <si>
    <t># text = È un processo, a volte dà risultati positivi a volte no, ma l'idea che non dovremmo permettere alla scienza di fare il suo lavoro solo perché abbiamo paura è in realtà molto svilente, e sta impedendo a milioni di persone di prosperare.</t>
  </si>
  <si>
    <t>dà</t>
  </si>
  <si>
    <t>positivi</t>
  </si>
  <si>
    <t>permettere</t>
  </si>
  <si>
    <t>realtà</t>
  </si>
  <si>
    <t>svilente</t>
  </si>
  <si>
    <t>impedendo</t>
  </si>
  <si>
    <t>prosperare</t>
  </si>
  <si>
    <t># text = Sapete, nei prossimi 50 anni saremo costretti a produrre il 70% di cibo in più di quello che produciamo ora, 70 per cento.</t>
  </si>
  <si>
    <t>prossimi</t>
  </si>
  <si>
    <t>saremo</t>
  </si>
  <si>
    <t>costretti</t>
  </si>
  <si>
    <t>%</t>
  </si>
  <si>
    <t>produciamo</t>
  </si>
  <si>
    <t>cento</t>
  </si>
  <si>
    <t># text = Questi sono gli investimenti in Africa degli ultimi 30 anni.</t>
  </si>
  <si>
    <t>Questi</t>
  </si>
  <si>
    <t>investimenti</t>
  </si>
  <si>
    <t># text = Vergognoso.</t>
  </si>
  <si>
    <t>Vergognoso</t>
  </si>
  <si>
    <t># text = Loro ne hanno bisogno e noi non glielo diamo.</t>
  </si>
  <si>
    <t>Loro</t>
  </si>
  <si>
    <t>glie</t>
  </si>
  <si>
    <t>diamo</t>
  </si>
  <si>
    <t># text = Cibo geneticamente modificato.</t>
  </si>
  <si>
    <t>Cibo</t>
  </si>
  <si>
    <t># text = Non vogliamo incoraggiare le persone a mangiare schifezze come ad esempio la manioca.</t>
  </si>
  <si>
    <t>schifezze</t>
  </si>
  <si>
    <t>manioca</t>
  </si>
  <si>
    <t># text = Mezzo miliardo di persone la mangiano.</t>
  </si>
  <si>
    <t>Mezzo</t>
  </si>
  <si>
    <t>mangiano</t>
  </si>
  <si>
    <t># text = Assomiglia un po' ad una patata.</t>
  </si>
  <si>
    <t>Assomiglia</t>
  </si>
  <si>
    <t>patata</t>
  </si>
  <si>
    <t># text = Ma fornisce solo calorie.</t>
  </si>
  <si>
    <t>fornisce</t>
  </si>
  <si>
    <t>calorie</t>
  </si>
  <si>
    <t># text = Fa schifo.</t>
  </si>
  <si>
    <t>Fa</t>
  </si>
  <si>
    <t># text = Non ha sostanze nutrienti, non ha proteine, ma gli scienziati stanno trovando il modo di inserirceli proprio in questo momento.</t>
  </si>
  <si>
    <t>sostanze</t>
  </si>
  <si>
    <t>nutrienti</t>
  </si>
  <si>
    <t>proteine</t>
  </si>
  <si>
    <t>scienziati</t>
  </si>
  <si>
    <t>trovando</t>
  </si>
  <si>
    <t>inserirceli</t>
  </si>
  <si>
    <t>momento</t>
  </si>
  <si>
    <t># text = Così molte persone potrebbero mangiare e correre meno il rischio di diventare cieche.</t>
  </si>
  <si>
    <t>Così</t>
  </si>
  <si>
    <t>potrebbero</t>
  </si>
  <si>
    <t>correre</t>
  </si>
  <si>
    <t>meno</t>
  </si>
  <si>
    <t>rischio</t>
  </si>
  <si>
    <t>diventare</t>
  </si>
  <si>
    <t>cieche</t>
  </si>
  <si>
    <t># text = Non morirebbero di fame, e sapete una cosa?</t>
  </si>
  <si>
    <t>morirebbero</t>
  </si>
  <si>
    <t>fame</t>
  </si>
  <si>
    <t># text = Sarebbe molto bello.</t>
  </si>
  <si>
    <t>Sarebbe</t>
  </si>
  <si>
    <t>bello</t>
  </si>
  <si>
    <t># text = Non sarebbe un ristorante di lusso, ma sarebbe molto bello.</t>
  </si>
  <si>
    <t>sarebbe</t>
  </si>
  <si>
    <t>ristorante</t>
  </si>
  <si>
    <t>lusso</t>
  </si>
  <si>
    <t># text = Riesco a chiedermi soltanto:</t>
  </si>
  <si>
    <t>Riesco</t>
  </si>
  <si>
    <t>chieder</t>
  </si>
  <si>
    <t>soltanto</t>
  </si>
  <si>
    <t># text = perché siamo contro?</t>
  </si>
  <si>
    <t># text = Voglio dire, chiediamocelo:</t>
  </si>
  <si>
    <t>chiediamocelo</t>
  </si>
  <si>
    <t># text = perché stiamo ostacolando questa cosa?</t>
  </si>
  <si>
    <t>stiamo</t>
  </si>
  <si>
    <t>ostacolando</t>
  </si>
  <si>
    <t># text = Solo perché non vogliamo spostare i geni qua e là?</t>
  </si>
  <si>
    <t>Solo</t>
  </si>
  <si>
    <t>geni</t>
  </si>
  <si>
    <t>qua</t>
  </si>
  <si>
    <t>là</t>
  </si>
  <si>
    <t># text = Si tratta di spostare dei geni.</t>
  </si>
  <si>
    <t>tratta</t>
  </si>
  <si>
    <t># text = Non si tratta di sostanze chimiche.</t>
  </si>
  <si>
    <t>chimiche</t>
  </si>
  <si>
    <t># text = Non si tratta della nostra ridicola ossessione per gli ormoni, o del nostro desiderio di avere cibo più grande, migliore, più semplice.</t>
  </si>
  <si>
    <t>ridicola</t>
  </si>
  <si>
    <t>ossessione</t>
  </si>
  <si>
    <t>desiderio</t>
  </si>
  <si>
    <t>semplice</t>
  </si>
  <si>
    <t># text = Non c'entrano i Rice Krispies.</t>
  </si>
  <si>
    <t>entrano</t>
  </si>
  <si>
    <t>Rice</t>
  </si>
  <si>
    <t>Krispies</t>
  </si>
  <si>
    <t># text = Si tratta di salvare la vita delle persone, e sarebbe ora che cominciassimo a capire cosa vuol dire.</t>
  </si>
  <si>
    <t>cominciassimo</t>
  </si>
  <si>
    <t>vuol</t>
  </si>
  <si>
    <t># text = Perché - volete saperlo?</t>
  </si>
  <si>
    <t>saper</t>
  </si>
  <si>
    <t># text = - se non lo capiamo, e continuiamo a comportarci come ci comportiamo adesso, saremo colpevoli di qualcosa di cui non penso vorremmo macchiarci, colonialismo tecnologico.</t>
  </si>
  <si>
    <t>continuiamo</t>
  </si>
  <si>
    <t>comportar</t>
  </si>
  <si>
    <t>comportiamo</t>
  </si>
  <si>
    <t>colpevoli</t>
  </si>
  <si>
    <t>macchiar</t>
  </si>
  <si>
    <t>colonialismo</t>
  </si>
  <si>
    <t>tecnologico</t>
  </si>
  <si>
    <t># text = Non c'è altro modo di descrivere quello che sta succedendo.</t>
  </si>
  <si>
    <t>descrivere</t>
  </si>
  <si>
    <t># text = È egoista, è orribile, è davanti a noi, e dobbiamo fermarlo.</t>
  </si>
  <si>
    <t>egoista</t>
  </si>
  <si>
    <t>davanti</t>
  </si>
  <si>
    <t>fermarlo</t>
  </si>
  <si>
    <t># text = Quindi, dopo questa conversazione divertentissima, potreste chiedermi:</t>
  </si>
  <si>
    <t>conversazione</t>
  </si>
  <si>
    <t>divertentissima</t>
  </si>
  <si>
    <t>potreste</t>
  </si>
  <si>
    <t># text = "Vuoi ancora entrare in questa ridicola macchina del tempo ed andare nel futuro?"</t>
  </si>
  <si>
    <t>Vuoi</t>
  </si>
  <si>
    <t>futuro</t>
  </si>
  <si>
    <t># text = Certo!</t>
  </si>
  <si>
    <t>Certo</t>
  </si>
  <si>
    <t># text = Certo che voglio.</t>
  </si>
  <si>
    <t># text = È bloccata sul presente adesso, ma abbiamo un'opportunità incredibile.</t>
  </si>
  <si>
    <t>bloccata</t>
  </si>
  <si>
    <t>presente</t>
  </si>
  <si>
    <t># text = Possiamo impostare la macchina del tempo come vogliamo.</t>
  </si>
  <si>
    <t>Possiamo</t>
  </si>
  <si>
    <t># text = Abbiamo la possibilità di farla andare dove vogliamo, e la faremo andare davvero dove vogliamo.</t>
  </si>
  <si>
    <t>faremo</t>
  </si>
  <si>
    <t># text = Dobbiamo fare queste conversazioni, e dobbiamo pensare, ma quando entriamo nella macchina del tempo e andiamo avanti saremo felici di farlo.</t>
  </si>
  <si>
    <t>Dobbiamo</t>
  </si>
  <si>
    <t>conversazioni</t>
  </si>
  <si>
    <t>entriamo</t>
  </si>
  <si>
    <t>felici</t>
  </si>
  <si>
    <t># text = So che possiamo e, per quanto mi riguarda, penso che il mondo ne abbia bisogno subito.</t>
  </si>
  <si>
    <t>abbia</t>
  </si>
  <si>
    <t>subito</t>
  </si>
  <si>
    <t># text = Grazie.</t>
  </si>
  <si>
    <t>Grazie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</si>
</sst>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16</v>
      </c>
      <c r="C3" s="6" t="s">
        <v>11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20</v>
      </c>
      <c r="B4" s="6" t="s">
        <v>15</v>
      </c>
      <c r="C4" s="6" t="s">
        <v>11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24</v>
      </c>
      <c r="B5" s="6" t="s">
        <v>15</v>
      </c>
      <c r="C5" s="6" t="s">
        <v>25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29</v>
      </c>
      <c r="B6" s="6" t="s">
        <v>15</v>
      </c>
      <c r="C6" s="6" t="s">
        <v>11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16</v>
      </c>
      <c r="B7" s="6" t="s">
        <v>15</v>
      </c>
      <c r="C7" s="6" t="s">
        <v>33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37</v>
      </c>
      <c r="B8" s="6" t="s">
        <v>15</v>
      </c>
      <c r="C8" s="6" t="s">
        <v>11</v>
      </c>
      <c r="D8" s="7" t="s">
        <v>30</v>
      </c>
      <c r="E8" s="8" t="s">
        <v>31</v>
      </c>
      <c r="F8" s="6" t="s">
        <v>38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39</v>
      </c>
      <c r="B9" s="6" t="s">
        <v>10</v>
      </c>
      <c r="C9" s="6" t="s">
        <v>11</v>
      </c>
      <c r="D9" s="7" t="s">
        <v>40</v>
      </c>
      <c r="E9" s="8" t="s">
        <v>41</v>
      </c>
      <c r="F9" s="6" t="s">
        <v>42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43</v>
      </c>
      <c r="B10" s="6" t="s">
        <v>15</v>
      </c>
      <c r="C10" s="6" t="s">
        <v>11</v>
      </c>
      <c r="D10" s="7" t="s">
        <v>44</v>
      </c>
      <c r="E10" s="8" t="s">
        <v>45</v>
      </c>
      <c r="F10" s="6" t="s">
        <v>46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47</v>
      </c>
      <c r="B11" s="6" t="s">
        <v>20</v>
      </c>
      <c r="C11" s="6" t="s">
        <v>48</v>
      </c>
      <c r="D11" s="7" t="s">
        <v>12</v>
      </c>
      <c r="E11" s="8" t="s">
        <v>49</v>
      </c>
      <c r="F11" s="6" t="s">
        <v>50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51</v>
      </c>
      <c r="B12" s="6" t="s">
        <v>20</v>
      </c>
      <c r="C12" s="6" t="s">
        <v>25</v>
      </c>
      <c r="D12" s="7" t="s">
        <v>34</v>
      </c>
      <c r="E12" s="8" t="s">
        <v>52</v>
      </c>
      <c r="F12" s="6" t="s">
        <v>53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54</v>
      </c>
      <c r="B13" s="6" t="s">
        <v>20</v>
      </c>
      <c r="C13" s="6" t="s">
        <v>55</v>
      </c>
      <c r="D13" s="7" t="s">
        <v>17</v>
      </c>
      <c r="E13" s="8" t="s">
        <v>56</v>
      </c>
      <c r="F13" s="6" t="s">
        <v>57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58</v>
      </c>
      <c r="B14" s="6" t="s">
        <v>15</v>
      </c>
      <c r="C14" s="6" t="s">
        <v>11</v>
      </c>
      <c r="D14" s="7" t="s">
        <v>59</v>
      </c>
      <c r="E14" s="8" t="s">
        <v>60</v>
      </c>
      <c r="F14" s="6" t="s">
        <v>61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62</v>
      </c>
      <c r="B15" s="6" t="s">
        <v>10</v>
      </c>
      <c r="C15" s="6" t="s">
        <v>11</v>
      </c>
      <c r="D15" s="7" t="s">
        <v>63</v>
      </c>
      <c r="E15" s="8" t="s">
        <v>64</v>
      </c>
      <c r="F15" s="6" t="s">
        <v>65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66</v>
      </c>
      <c r="B16" s="6" t="s">
        <v>29</v>
      </c>
      <c r="C16" s="6" t="s">
        <v>67</v>
      </c>
      <c r="D16" s="7" t="s">
        <v>59</v>
      </c>
      <c r="E16" s="8" t="s">
        <v>68</v>
      </c>
      <c r="F16" s="6" t="s">
        <v>69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70</v>
      </c>
      <c r="B17" s="6" t="s">
        <v>24</v>
      </c>
      <c r="C17" s="6" t="s">
        <v>11</v>
      </c>
      <c r="D17" s="7" t="s">
        <v>71</v>
      </c>
      <c r="E17" s="8" t="s">
        <v>72</v>
      </c>
      <c r="F17" s="6" t="s">
        <v>73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74</v>
      </c>
      <c r="B18" s="6" t="s">
        <v>24</v>
      </c>
      <c r="C18" s="6" t="s">
        <v>11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78</v>
      </c>
      <c r="B19" s="6" t="s">
        <v>24</v>
      </c>
      <c r="C19" s="6" t="s">
        <v>79</v>
      </c>
      <c r="D19" s="7" t="s">
        <v>80</v>
      </c>
      <c r="E19" s="8" t="s">
        <v>81</v>
      </c>
      <c r="F19" s="6" t="s">
        <v>82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83</v>
      </c>
      <c r="B20" s="6" t="s">
        <v>15</v>
      </c>
      <c r="C20" s="6" t="s">
        <v>55</v>
      </c>
      <c r="D20" s="7" t="s">
        <v>84</v>
      </c>
      <c r="E20" s="8" t="s">
        <v>85</v>
      </c>
      <c r="F20" s="6" t="s">
        <v>86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87</v>
      </c>
      <c r="B21" s="6" t="s">
        <v>43</v>
      </c>
      <c r="C21" s="6" t="s">
        <v>48</v>
      </c>
      <c r="D21" s="7" t="s">
        <v>88</v>
      </c>
      <c r="E21" s="8" t="s">
        <v>89</v>
      </c>
      <c r="F21" s="6" t="s">
        <v>90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91</v>
      </c>
      <c r="B22" s="6" t="s">
        <v>43</v>
      </c>
      <c r="C22" s="6" t="s">
        <v>11</v>
      </c>
      <c r="D22" s="7" t="s">
        <v>92</v>
      </c>
      <c r="E22" s="8" t="s">
        <v>93</v>
      </c>
      <c r="F22" s="6" t="s">
        <v>94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95</v>
      </c>
      <c r="B23" s="6" t="s">
        <v>10</v>
      </c>
      <c r="C23" s="6" t="s">
        <v>11</v>
      </c>
      <c r="D23" s="7" t="s">
        <v>96</v>
      </c>
      <c r="E23" s="8" t="s">
        <v>97</v>
      </c>
      <c r="F23" s="6" t="s">
        <v>98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99</v>
      </c>
      <c r="B24" s="6" t="s">
        <v>15</v>
      </c>
      <c r="C24" s="6" t="s">
        <v>67</v>
      </c>
      <c r="D24" s="7" t="s">
        <v>12</v>
      </c>
      <c r="E24" s="8" t="s">
        <v>100</v>
      </c>
      <c r="F24" s="6" t="s">
        <v>101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102</v>
      </c>
      <c r="B25" s="6" t="s">
        <v>10</v>
      </c>
      <c r="C25" s="6" t="s">
        <v>11</v>
      </c>
      <c r="D25" s="7" t="s">
        <v>103</v>
      </c>
      <c r="E25" s="8" t="s">
        <v>104</v>
      </c>
      <c r="F25" s="6" t="s">
        <v>105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106</v>
      </c>
      <c r="B26" s="6" t="s">
        <v>24</v>
      </c>
      <c r="C26" s="6" t="s">
        <v>11</v>
      </c>
      <c r="D26" s="7" t="s">
        <v>107</v>
      </c>
      <c r="E26" s="8" t="s">
        <v>108</v>
      </c>
      <c r="F26" s="6" t="s">
        <v>109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110</v>
      </c>
      <c r="B27" s="6" t="s">
        <v>15</v>
      </c>
      <c r="C27" s="6" t="s">
        <v>67</v>
      </c>
      <c r="D27" s="7" t="s">
        <v>111</v>
      </c>
      <c r="E27" s="8" t="s">
        <v>112</v>
      </c>
      <c r="F27" s="6" t="s">
        <v>113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114</v>
      </c>
      <c r="B28" s="6" t="s">
        <v>24</v>
      </c>
      <c r="C28" s="6" t="s">
        <v>115</v>
      </c>
      <c r="D28" s="7" t="s">
        <v>21</v>
      </c>
      <c r="E28" s="8" t="s">
        <v>116</v>
      </c>
      <c r="F28" s="6" t="s">
        <v>117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118</v>
      </c>
      <c r="B29" s="6" t="s">
        <v>10</v>
      </c>
      <c r="C29" s="6" t="s">
        <v>11</v>
      </c>
      <c r="D29" s="7" t="s">
        <v>119</v>
      </c>
      <c r="E29" s="8" t="s">
        <v>120</v>
      </c>
      <c r="F29" s="6" t="s">
        <v>121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122</v>
      </c>
      <c r="B30" s="6" t="s">
        <v>20</v>
      </c>
      <c r="C30" s="6" t="s">
        <v>11</v>
      </c>
      <c r="D30" s="7" t="s">
        <v>123</v>
      </c>
      <c r="E30" s="8" t="s">
        <v>124</v>
      </c>
      <c r="F30" s="6" t="s">
        <v>125</v>
      </c>
      <c r="G30" s="9">
        <f>IF(A30=1,"_",IF(C30="_","???",C30))</f>
        <v/>
      </c>
      <c r="H30" s="10" t="s">
        <v>11</v>
      </c>
      <c r="I30" s="11" t="s">
        <v>11</v>
      </c>
      <c r="J30" s="12"/>
    </row>
    <row r="31" spans="1:10" ht="60" customHeight="1">
      <c r="A31" s="6" t="s">
        <v>126</v>
      </c>
      <c r="B31" s="6" t="s">
        <v>10</v>
      </c>
      <c r="C31" s="6" t="s">
        <v>11</v>
      </c>
      <c r="D31" s="7" t="s">
        <v>127</v>
      </c>
      <c r="E31" s="8" t="s">
        <v>128</v>
      </c>
      <c r="F31" s="6" t="s">
        <v>129</v>
      </c>
      <c r="G31" s="9">
        <f>IF(A31=1,"_",IF(C31="_","???",C31))</f>
        <v/>
      </c>
      <c r="H31" s="10" t="s">
        <v>11</v>
      </c>
      <c r="I31" s="11" t="s">
        <v>11</v>
      </c>
      <c r="J31" s="12"/>
    </row>
    <row r="32" spans="1:10" ht="60" customHeight="1">
      <c r="A32" s="6" t="s">
        <v>130</v>
      </c>
      <c r="B32" s="6" t="s">
        <v>10</v>
      </c>
      <c r="C32" s="6" t="s">
        <v>11</v>
      </c>
      <c r="D32" s="7" t="s">
        <v>131</v>
      </c>
      <c r="E32" s="8" t="s">
        <v>132</v>
      </c>
      <c r="F32" s="6" t="s">
        <v>133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134</v>
      </c>
      <c r="B33" s="6" t="s">
        <v>10</v>
      </c>
      <c r="C33" s="6" t="s">
        <v>11</v>
      </c>
      <c r="D33" s="7" t="s">
        <v>135</v>
      </c>
      <c r="E33" s="8" t="s">
        <v>135</v>
      </c>
      <c r="F33" s="6" t="s">
        <v>136</v>
      </c>
      <c r="G33" s="9">
        <f>IF(A33=1,"_",IF(C33="_","???",C33))</f>
        <v/>
      </c>
      <c r="H33" s="10" t="s">
        <v>11</v>
      </c>
      <c r="I33" s="11" t="s">
        <v>11</v>
      </c>
      <c r="J33" s="12"/>
    </row>
    <row r="34" spans="1:10" ht="60" customHeight="1">
      <c r="A34" s="6" t="s">
        <v>137</v>
      </c>
      <c r="B34" s="6" t="s">
        <v>15</v>
      </c>
      <c r="C34" s="6" t="s">
        <v>11</v>
      </c>
      <c r="D34" s="7" t="s">
        <v>30</v>
      </c>
      <c r="E34" s="8" t="s">
        <v>138</v>
      </c>
      <c r="F34" s="6" t="s">
        <v>139</v>
      </c>
      <c r="G34" s="9">
        <f>IF(A34=1,"_",IF(C34="_","???",C34))</f>
        <v/>
      </c>
      <c r="H34" s="10" t="s">
        <v>11</v>
      </c>
      <c r="I34" s="11" t="s">
        <v>11</v>
      </c>
      <c r="J34" s="12"/>
    </row>
    <row r="35" spans="1:10" ht="60" customHeight="1">
      <c r="A35" s="6" t="s">
        <v>140</v>
      </c>
      <c r="B35" s="6" t="s">
        <v>10</v>
      </c>
      <c r="C35" s="6" t="s">
        <v>11</v>
      </c>
      <c r="D35" s="7" t="s">
        <v>141</v>
      </c>
      <c r="E35" s="8" t="s">
        <v>142</v>
      </c>
      <c r="F35" s="6" t="s">
        <v>143</v>
      </c>
      <c r="G35" s="9">
        <f>IF(A35=1,"_",IF(C35="_","???",C35))</f>
        <v/>
      </c>
      <c r="H35" s="10" t="s">
        <v>11</v>
      </c>
      <c r="I35" s="11" t="s">
        <v>11</v>
      </c>
      <c r="J35" s="12"/>
    </row>
    <row r="36" spans="1:10" ht="60" customHeight="1">
      <c r="A36" s="6" t="s">
        <v>144</v>
      </c>
      <c r="B36" s="6" t="s">
        <v>95</v>
      </c>
      <c r="C36" s="6" t="s">
        <v>145</v>
      </c>
      <c r="D36" s="7" t="s">
        <v>146</v>
      </c>
      <c r="E36" s="8" t="s">
        <v>147</v>
      </c>
      <c r="F36" s="6" t="s">
        <v>148</v>
      </c>
      <c r="G36" s="9">
        <f>IF(A36=1,"_",IF(C36="_","???",C36))</f>
        <v/>
      </c>
      <c r="H36" s="10" t="s">
        <v>11</v>
      </c>
      <c r="I36" s="11" t="s">
        <v>11</v>
      </c>
      <c r="J36" s="12"/>
    </row>
    <row r="37" spans="1:10" ht="60" customHeight="1">
      <c r="A37" s="6" t="s">
        <v>149</v>
      </c>
      <c r="B37" s="6" t="s">
        <v>15</v>
      </c>
      <c r="C37" s="6" t="s">
        <v>11</v>
      </c>
      <c r="D37" s="7" t="s">
        <v>150</v>
      </c>
      <c r="E37" s="8" t="s">
        <v>151</v>
      </c>
      <c r="F37" s="6" t="s">
        <v>152</v>
      </c>
      <c r="G37" s="9">
        <f>IF(A37=1,"_",IF(C37="_","???",C37))</f>
        <v/>
      </c>
      <c r="H37" s="10" t="s">
        <v>11</v>
      </c>
      <c r="I37" s="11" t="s">
        <v>11</v>
      </c>
      <c r="J37" s="12"/>
    </row>
    <row r="38" spans="1:10" ht="60" customHeight="1">
      <c r="A38" s="6" t="s">
        <v>153</v>
      </c>
      <c r="B38" s="6" t="s">
        <v>20</v>
      </c>
      <c r="C38" s="6" t="s">
        <v>25</v>
      </c>
      <c r="D38" s="7" t="s">
        <v>150</v>
      </c>
      <c r="E38" s="8" t="s">
        <v>154</v>
      </c>
      <c r="F38" s="6" t="s">
        <v>155</v>
      </c>
      <c r="G38" s="9">
        <f>IF(A38=1,"_",IF(C38="_","???",C38))</f>
        <v/>
      </c>
      <c r="H38" s="10" t="s">
        <v>11</v>
      </c>
      <c r="I38" s="11" t="s">
        <v>11</v>
      </c>
      <c r="J38" s="12"/>
    </row>
    <row r="39" spans="1:10" ht="60" customHeight="1">
      <c r="A39" s="6" t="s">
        <v>156</v>
      </c>
      <c r="B39" s="6" t="s">
        <v>24</v>
      </c>
      <c r="C39" s="6" t="s">
        <v>11</v>
      </c>
      <c r="D39" s="7" t="s">
        <v>157</v>
      </c>
      <c r="E39" s="8" t="s">
        <v>158</v>
      </c>
      <c r="F39" s="6" t="s">
        <v>159</v>
      </c>
      <c r="G39" s="9">
        <f>IF(A39=1,"_",IF(C39="_","???",C39))</f>
        <v/>
      </c>
      <c r="H39" s="10" t="s">
        <v>11</v>
      </c>
      <c r="I39" s="11" t="s">
        <v>11</v>
      </c>
      <c r="J39" s="12"/>
    </row>
    <row r="40" spans="1:10" ht="60" customHeight="1">
      <c r="A40" s="6" t="s">
        <v>160</v>
      </c>
      <c r="B40" s="6" t="s">
        <v>16</v>
      </c>
      <c r="C40" s="6" t="s">
        <v>161</v>
      </c>
      <c r="D40" s="7" t="s">
        <v>162</v>
      </c>
      <c r="E40" s="8" t="s">
        <v>163</v>
      </c>
      <c r="F40" s="6" t="s">
        <v>164</v>
      </c>
      <c r="G40" s="9">
        <f>IF(A40=1,"_",IF(C40="_","???",C40))</f>
        <v/>
      </c>
      <c r="H40" s="10" t="s">
        <v>11</v>
      </c>
      <c r="I40" s="11" t="s">
        <v>11</v>
      </c>
      <c r="J40" s="12"/>
    </row>
    <row r="41" spans="1:10" ht="60" customHeight="1">
      <c r="A41" s="6" t="s">
        <v>165</v>
      </c>
      <c r="B41" s="6" t="s">
        <v>10</v>
      </c>
      <c r="C41" s="6" t="s">
        <v>11</v>
      </c>
      <c r="D41" s="7" t="s">
        <v>166</v>
      </c>
      <c r="E41" s="8" t="s">
        <v>167</v>
      </c>
      <c r="F41" s="6" t="s">
        <v>168</v>
      </c>
      <c r="G41" s="9">
        <f>IF(A41=1,"_",IF(C41="_","???",C41))</f>
        <v/>
      </c>
      <c r="H41" s="10" t="s">
        <v>11</v>
      </c>
      <c r="I41" s="11" t="s">
        <v>11</v>
      </c>
      <c r="J41" s="12"/>
    </row>
    <row r="42" spans="1:10" ht="60" customHeight="1">
      <c r="A42" s="6" t="s">
        <v>169</v>
      </c>
      <c r="B42" s="6" t="s">
        <v>102</v>
      </c>
      <c r="C42" s="6" t="s">
        <v>170</v>
      </c>
      <c r="D42" s="7" t="s">
        <v>171</v>
      </c>
      <c r="E42" s="8" t="s">
        <v>172</v>
      </c>
      <c r="F42" s="6" t="s">
        <v>173</v>
      </c>
      <c r="G42" s="9">
        <f>IF(A42=1,"_",IF(C42="_","???",C42))</f>
        <v/>
      </c>
      <c r="H42" s="10" t="s">
        <v>11</v>
      </c>
      <c r="I42" s="11" t="s">
        <v>11</v>
      </c>
      <c r="J42" s="12"/>
    </row>
    <row r="43" spans="1:10" ht="60" customHeight="1">
      <c r="A43" s="6" t="s">
        <v>174</v>
      </c>
      <c r="B43" s="6" t="s">
        <v>37</v>
      </c>
      <c r="C43" s="6" t="s">
        <v>55</v>
      </c>
      <c r="D43" s="7" t="s">
        <v>12</v>
      </c>
      <c r="E43" s="8" t="s">
        <v>175</v>
      </c>
      <c r="F43" s="6" t="s">
        <v>176</v>
      </c>
      <c r="G43" s="9">
        <f>IF(A43=1,"_",IF(C43="_","???",C43))</f>
        <v/>
      </c>
      <c r="H43" s="10" t="s">
        <v>11</v>
      </c>
      <c r="I43" s="11" t="s">
        <v>11</v>
      </c>
      <c r="J43" s="12"/>
    </row>
    <row r="44" spans="1:10" ht="60" customHeight="1">
      <c r="A44" s="6" t="s">
        <v>177</v>
      </c>
      <c r="B44" s="6" t="s">
        <v>15</v>
      </c>
      <c r="C44" s="6" t="s">
        <v>11</v>
      </c>
      <c r="D44" s="7" t="s">
        <v>178</v>
      </c>
      <c r="E44" s="8" t="s">
        <v>179</v>
      </c>
      <c r="F44" s="6" t="s">
        <v>180</v>
      </c>
      <c r="G44" s="9">
        <f>IF(A44=1,"_",IF(C44="_","???",C44))</f>
        <v/>
      </c>
      <c r="H44" s="10" t="s">
        <v>11</v>
      </c>
      <c r="I44" s="11" t="s">
        <v>11</v>
      </c>
      <c r="J44" s="12"/>
    </row>
    <row r="45" spans="1:10" ht="60" customHeight="1">
      <c r="A45" s="6" t="s">
        <v>181</v>
      </c>
      <c r="B45" s="6" t="s">
        <v>10</v>
      </c>
      <c r="C45" s="6" t="s">
        <v>11</v>
      </c>
      <c r="D45" s="7" t="s">
        <v>182</v>
      </c>
      <c r="E45" s="8" t="s">
        <v>183</v>
      </c>
      <c r="F45" s="6" t="s">
        <v>184</v>
      </c>
      <c r="G45" s="9">
        <f>IF(A45=1,"_",IF(C45="_","???",C45))</f>
        <v/>
      </c>
      <c r="H45" s="10" t="s">
        <v>11</v>
      </c>
      <c r="I45" s="11" t="s">
        <v>11</v>
      </c>
      <c r="J45" s="12"/>
    </row>
    <row r="46" spans="1:10" ht="60" customHeight="1">
      <c r="A46" s="6" t="s">
        <v>185</v>
      </c>
      <c r="B46" s="6" t="s">
        <v>10</v>
      </c>
      <c r="C46" s="6" t="s">
        <v>11</v>
      </c>
      <c r="D46" s="7" t="s">
        <v>182</v>
      </c>
      <c r="E46" s="8" t="s">
        <v>186</v>
      </c>
      <c r="F46" s="6" t="s">
        <v>187</v>
      </c>
      <c r="G46" s="9">
        <f>IF(A46=1,"_",IF(C46="_","???",C46))</f>
        <v/>
      </c>
      <c r="H46" s="10" t="s">
        <v>11</v>
      </c>
      <c r="I46" s="11" t="s">
        <v>11</v>
      </c>
      <c r="J46" s="12"/>
    </row>
    <row r="47" spans="1:10" ht="60" customHeight="1">
      <c r="A47" s="6" t="s">
        <v>188</v>
      </c>
      <c r="B47" s="6" t="s">
        <v>20</v>
      </c>
      <c r="C47" s="6" t="s">
        <v>145</v>
      </c>
      <c r="D47" s="7" t="s">
        <v>178</v>
      </c>
      <c r="E47" s="8" t="s">
        <v>189</v>
      </c>
      <c r="F47" s="6" t="s">
        <v>190</v>
      </c>
      <c r="G47" s="9">
        <f>IF(A47=1,"_",IF(C47="_","???",C47))</f>
        <v/>
      </c>
      <c r="H47" s="10" t="s">
        <v>11</v>
      </c>
      <c r="I47" s="11" t="s">
        <v>11</v>
      </c>
      <c r="J47" s="12"/>
    </row>
    <row r="48" spans="1:10" ht="60" customHeight="1">
      <c r="A48" s="6" t="s">
        <v>191</v>
      </c>
      <c r="B48" s="6" t="s">
        <v>54</v>
      </c>
      <c r="C48" s="6" t="s">
        <v>48</v>
      </c>
      <c r="D48" s="7" t="s">
        <v>192</v>
      </c>
      <c r="E48" s="8" t="s">
        <v>193</v>
      </c>
      <c r="F48" s="6" t="s">
        <v>194</v>
      </c>
      <c r="G48" s="9">
        <f>IF(A48=1,"_",IF(C48="_","???",C48))</f>
        <v/>
      </c>
      <c r="H48" s="10" t="s">
        <v>11</v>
      </c>
      <c r="I48" s="11" t="s">
        <v>11</v>
      </c>
      <c r="J48" s="12"/>
    </row>
    <row r="49" spans="1:10" ht="60" customHeight="1">
      <c r="A49" s="6" t="s">
        <v>195</v>
      </c>
      <c r="B49" s="6" t="s">
        <v>24</v>
      </c>
      <c r="C49" s="6" t="s">
        <v>196</v>
      </c>
      <c r="D49" s="7" t="s">
        <v>197</v>
      </c>
      <c r="E49" s="8" t="s">
        <v>198</v>
      </c>
      <c r="F49" s="6" t="s">
        <v>199</v>
      </c>
      <c r="G49" s="9">
        <f>IF(A49=1,"_",IF(C49="_","???",C49))</f>
        <v/>
      </c>
      <c r="H49" s="10" t="s">
        <v>11</v>
      </c>
      <c r="I49" s="11" t="s">
        <v>11</v>
      </c>
      <c r="J49" s="12"/>
    </row>
    <row r="50" spans="1:10" ht="60" customHeight="1">
      <c r="A50" s="6" t="s">
        <v>200</v>
      </c>
      <c r="B50" s="6" t="s">
        <v>10</v>
      </c>
      <c r="C50" s="6" t="s">
        <v>11</v>
      </c>
      <c r="D50" s="7" t="s">
        <v>201</v>
      </c>
      <c r="E50" s="8" t="s">
        <v>202</v>
      </c>
      <c r="F50" s="6" t="s">
        <v>203</v>
      </c>
      <c r="G50" s="9">
        <f>IF(A50=1,"_",IF(C50="_","???",C50))</f>
        <v/>
      </c>
      <c r="H50" s="10" t="s">
        <v>11</v>
      </c>
      <c r="I50" s="11" t="s">
        <v>11</v>
      </c>
      <c r="J50" s="12"/>
    </row>
    <row r="51" spans="1:10" ht="60" customHeight="1">
      <c r="A51" s="6" t="s">
        <v>204</v>
      </c>
      <c r="B51" s="6" t="s">
        <v>29</v>
      </c>
      <c r="C51" s="6" t="s">
        <v>205</v>
      </c>
      <c r="D51" s="7" t="s">
        <v>182</v>
      </c>
      <c r="E51" s="8" t="s">
        <v>206</v>
      </c>
      <c r="F51" s="6" t="s">
        <v>207</v>
      </c>
      <c r="G51" s="9">
        <f>IF(A51=1,"_",IF(C51="_","???",C51))</f>
        <v/>
      </c>
      <c r="H51" s="10" t="s">
        <v>11</v>
      </c>
      <c r="I51" s="11" t="s">
        <v>11</v>
      </c>
      <c r="J51" s="12"/>
    </row>
    <row r="52" spans="1:10" ht="60" customHeight="1">
      <c r="A52" s="6" t="s">
        <v>208</v>
      </c>
      <c r="B52" s="6" t="s">
        <v>24</v>
      </c>
      <c r="C52" s="6" t="s">
        <v>145</v>
      </c>
      <c r="D52" s="7" t="s">
        <v>209</v>
      </c>
      <c r="E52" s="8" t="s">
        <v>210</v>
      </c>
      <c r="F52" s="6" t="s">
        <v>211</v>
      </c>
      <c r="G52" s="9">
        <f>IF(A52=1,"_",IF(C52="_","???",C52))</f>
        <v/>
      </c>
      <c r="H52" s="10" t="s">
        <v>11</v>
      </c>
      <c r="I52" s="11" t="s">
        <v>11</v>
      </c>
      <c r="J52" s="12"/>
    </row>
    <row r="53" spans="1:10" ht="60" customHeight="1">
      <c r="A53" s="6" t="s">
        <v>212</v>
      </c>
      <c r="B53" s="6" t="s">
        <v>24</v>
      </c>
      <c r="C53" s="6" t="s">
        <v>11</v>
      </c>
      <c r="D53" s="7" t="s">
        <v>213</v>
      </c>
      <c r="E53" s="8" t="s">
        <v>214</v>
      </c>
      <c r="F53" s="6" t="s">
        <v>215</v>
      </c>
      <c r="G53" s="9">
        <f>IF(A53=1,"_",IF(C53="_","???",C53))</f>
        <v/>
      </c>
      <c r="H53" s="10" t="s">
        <v>11</v>
      </c>
      <c r="I53" s="11" t="s">
        <v>11</v>
      </c>
      <c r="J53" s="12"/>
    </row>
    <row r="54" spans="1:10" ht="60" customHeight="1">
      <c r="A54" s="6" t="s">
        <v>216</v>
      </c>
      <c r="B54" s="6" t="s">
        <v>51</v>
      </c>
      <c r="C54" s="6" t="s">
        <v>170</v>
      </c>
      <c r="D54" s="7" t="s">
        <v>197</v>
      </c>
      <c r="E54" s="8" t="s">
        <v>217</v>
      </c>
      <c r="F54" s="6" t="s">
        <v>218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219</v>
      </c>
      <c r="B55" s="6" t="s">
        <v>15</v>
      </c>
      <c r="C55" s="6" t="s">
        <v>11</v>
      </c>
      <c r="D55" s="7" t="s">
        <v>197</v>
      </c>
      <c r="E55" s="8" t="s">
        <v>220</v>
      </c>
      <c r="F55" s="6" t="s">
        <v>221</v>
      </c>
      <c r="G55" s="9">
        <f>IF(A55=1,"_",IF(C55="_","???",C55))</f>
        <v/>
      </c>
      <c r="H55" s="10" t="s">
        <v>11</v>
      </c>
      <c r="I55" s="11" t="s">
        <v>11</v>
      </c>
      <c r="J55" s="12"/>
    </row>
    <row r="56" spans="1:10" ht="60" customHeight="1">
      <c r="A56" s="6" t="s">
        <v>222</v>
      </c>
      <c r="B56" s="6" t="s">
        <v>15</v>
      </c>
      <c r="C56" s="6" t="s">
        <v>11</v>
      </c>
      <c r="D56" s="7" t="s">
        <v>223</v>
      </c>
      <c r="E56" s="8" t="s">
        <v>224</v>
      </c>
      <c r="F56" s="6" t="s">
        <v>225</v>
      </c>
      <c r="G56" s="9">
        <f>IF(A56=1,"_",IF(C56="_","???",C56))</f>
        <v/>
      </c>
      <c r="H56" s="10" t="s">
        <v>11</v>
      </c>
      <c r="I56" s="11" t="s">
        <v>11</v>
      </c>
      <c r="J56" s="12"/>
    </row>
    <row r="57" spans="1:10" ht="60" customHeight="1">
      <c r="A57" s="6" t="s">
        <v>226</v>
      </c>
      <c r="B57" s="6" t="s">
        <v>20</v>
      </c>
      <c r="C57" s="6" t="s">
        <v>11</v>
      </c>
      <c r="D57" s="7" t="s">
        <v>227</v>
      </c>
      <c r="E57" s="8" t="s">
        <v>228</v>
      </c>
      <c r="F57" s="6" t="s">
        <v>229</v>
      </c>
      <c r="G57" s="9">
        <f>IF(A57=1,"_",IF(C57="_","???",C57))</f>
        <v/>
      </c>
      <c r="H57" s="10" t="s">
        <v>11</v>
      </c>
      <c r="I57" s="11" t="s">
        <v>11</v>
      </c>
      <c r="J57" s="12"/>
    </row>
    <row r="58" spans="1:10" ht="60" customHeight="1">
      <c r="A58" s="6" t="s">
        <v>230</v>
      </c>
      <c r="B58" s="6" t="s">
        <v>37</v>
      </c>
      <c r="C58" s="6" t="s">
        <v>11</v>
      </c>
      <c r="D58" s="7" t="s">
        <v>231</v>
      </c>
      <c r="E58" s="8" t="s">
        <v>232</v>
      </c>
      <c r="F58" s="6" t="s">
        <v>233</v>
      </c>
      <c r="G58" s="9">
        <f>IF(A58=1,"_",IF(C58="_","???",C58))</f>
        <v/>
      </c>
      <c r="H58" s="10" t="s">
        <v>11</v>
      </c>
      <c r="I58" s="11" t="s">
        <v>11</v>
      </c>
      <c r="J58" s="12"/>
    </row>
    <row r="59" spans="1:10" ht="60" customHeight="1">
      <c r="A59" s="6" t="s">
        <v>234</v>
      </c>
      <c r="B59" s="6" t="s">
        <v>20</v>
      </c>
      <c r="C59" s="6" t="s">
        <v>11</v>
      </c>
      <c r="D59" s="7" t="s">
        <v>235</v>
      </c>
      <c r="E59" s="8" t="s">
        <v>236</v>
      </c>
      <c r="F59" s="6" t="s">
        <v>237</v>
      </c>
      <c r="G59" s="9">
        <f>IF(A59=1,"_",IF(C59="_","???",C59))</f>
        <v/>
      </c>
      <c r="H59" s="10" t="s">
        <v>11</v>
      </c>
      <c r="I59" s="11" t="s">
        <v>11</v>
      </c>
      <c r="J59" s="12"/>
    </row>
    <row r="60" spans="1:10" ht="60" customHeight="1">
      <c r="A60" s="6" t="s">
        <v>238</v>
      </c>
      <c r="B60" s="6" t="s">
        <v>15</v>
      </c>
      <c r="C60" s="6" t="s">
        <v>145</v>
      </c>
      <c r="D60" s="7" t="s">
        <v>239</v>
      </c>
      <c r="E60" s="8" t="s">
        <v>240</v>
      </c>
      <c r="F60" s="6" t="s">
        <v>241</v>
      </c>
      <c r="G60" s="9">
        <f>IF(A60=1,"_",IF(C60="_","???",C60))</f>
        <v/>
      </c>
      <c r="H60" s="10" t="s">
        <v>11</v>
      </c>
      <c r="I60" s="11" t="s">
        <v>11</v>
      </c>
      <c r="J60" s="12"/>
    </row>
    <row r="61" spans="1:10" ht="60" customHeight="1">
      <c r="A61" s="6" t="s">
        <v>242</v>
      </c>
      <c r="B61" s="6" t="s">
        <v>37</v>
      </c>
      <c r="C61" s="6" t="s">
        <v>243</v>
      </c>
      <c r="D61" s="7" t="s">
        <v>231</v>
      </c>
      <c r="E61" s="8" t="s">
        <v>244</v>
      </c>
      <c r="F61" s="6" t="s">
        <v>245</v>
      </c>
      <c r="G61" s="9">
        <f>IF(A61=1,"_",IF(C61="_","???",C61))</f>
        <v/>
      </c>
      <c r="H61" s="10" t="s">
        <v>11</v>
      </c>
      <c r="I61" s="11" t="s">
        <v>11</v>
      </c>
      <c r="J61" s="12"/>
    </row>
    <row r="62" spans="1:10" ht="60" customHeight="1">
      <c r="A62" s="6" t="s">
        <v>246</v>
      </c>
      <c r="B62" s="6" t="s">
        <v>15</v>
      </c>
      <c r="C62" s="6" t="s">
        <v>161</v>
      </c>
      <c r="D62" s="7" t="s">
        <v>247</v>
      </c>
      <c r="E62" s="8" t="s">
        <v>248</v>
      </c>
      <c r="F62" s="6" t="s">
        <v>249</v>
      </c>
      <c r="G62" s="9">
        <f>IF(A62=1,"_",IF(C62="_","???",C62))</f>
        <v/>
      </c>
      <c r="H62" s="10" t="s">
        <v>11</v>
      </c>
      <c r="I62" s="11" t="s">
        <v>11</v>
      </c>
      <c r="J62" s="12"/>
    </row>
    <row r="63" spans="1:10" ht="60" customHeight="1">
      <c r="A63" s="6" t="s">
        <v>250</v>
      </c>
      <c r="B63" s="6" t="s">
        <v>24</v>
      </c>
      <c r="C63" s="6" t="s">
        <v>11</v>
      </c>
      <c r="D63" s="7" t="s">
        <v>251</v>
      </c>
      <c r="E63" s="8" t="s">
        <v>252</v>
      </c>
      <c r="F63" s="6" t="s">
        <v>253</v>
      </c>
      <c r="G63" s="9">
        <f>IF(A63=1,"_",IF(C63="_","???",C63))</f>
        <v/>
      </c>
      <c r="H63" s="10" t="s">
        <v>11</v>
      </c>
      <c r="I63" s="11" t="s">
        <v>11</v>
      </c>
      <c r="J63" s="12"/>
    </row>
    <row r="64" spans="1:10" ht="60" customHeight="1">
      <c r="A64" s="6" t="s">
        <v>254</v>
      </c>
      <c r="B64" s="6" t="s">
        <v>20</v>
      </c>
      <c r="C64" s="6" t="s">
        <v>55</v>
      </c>
      <c r="D64" s="7" t="s">
        <v>231</v>
      </c>
      <c r="E64" s="8" t="s">
        <v>255</v>
      </c>
      <c r="F64" s="6" t="s">
        <v>256</v>
      </c>
      <c r="G64" s="9">
        <f>IF(A64=1,"_",IF(C64="_","???",C64))</f>
        <v/>
      </c>
      <c r="H64" s="10" t="s">
        <v>11</v>
      </c>
      <c r="I64" s="11" t="s">
        <v>11</v>
      </c>
      <c r="J64" s="12"/>
    </row>
    <row r="65" spans="1:10" ht="60" customHeight="1">
      <c r="A65" s="6" t="s">
        <v>257</v>
      </c>
      <c r="B65" s="6" t="s">
        <v>16</v>
      </c>
      <c r="C65" s="6" t="s">
        <v>67</v>
      </c>
      <c r="D65" s="7" t="s">
        <v>12</v>
      </c>
      <c r="E65" s="8" t="s">
        <v>258</v>
      </c>
      <c r="F65" s="6" t="s">
        <v>259</v>
      </c>
      <c r="G65" s="9">
        <f>IF(A65=1,"_",IF(C65="_","???",C65))</f>
        <v/>
      </c>
      <c r="H65" s="10" t="s">
        <v>11</v>
      </c>
      <c r="I65" s="11" t="s">
        <v>11</v>
      </c>
      <c r="J65" s="12"/>
    </row>
    <row r="66" spans="1:10" ht="60" customHeight="1">
      <c r="A66" s="6" t="s">
        <v>260</v>
      </c>
      <c r="B66" s="6" t="s">
        <v>15</v>
      </c>
      <c r="C66" s="6" t="s">
        <v>145</v>
      </c>
      <c r="D66" s="7" t="s">
        <v>231</v>
      </c>
      <c r="E66" s="8" t="s">
        <v>261</v>
      </c>
      <c r="F66" s="6" t="s">
        <v>262</v>
      </c>
      <c r="G66" s="9">
        <f>IF(A66=1,"_",IF(C66="_","???",C66))</f>
        <v/>
      </c>
      <c r="H66" s="10" t="s">
        <v>11</v>
      </c>
      <c r="I66" s="11" t="s">
        <v>11</v>
      </c>
      <c r="J66" s="12"/>
    </row>
    <row r="67" spans="1:10" ht="60" customHeight="1">
      <c r="A67" s="6" t="s">
        <v>263</v>
      </c>
      <c r="B67" s="6" t="s">
        <v>10</v>
      </c>
      <c r="C67" s="6" t="s">
        <v>11</v>
      </c>
      <c r="D67" s="7" t="s">
        <v>264</v>
      </c>
      <c r="E67" s="8" t="s">
        <v>265</v>
      </c>
      <c r="F67" s="6" t="s">
        <v>266</v>
      </c>
      <c r="G67" s="9">
        <f>IF(A67=1,"_",IF(C67="_","???",C67))</f>
        <v/>
      </c>
      <c r="H67" s="10" t="s">
        <v>11</v>
      </c>
      <c r="I67" s="11" t="s">
        <v>11</v>
      </c>
      <c r="J67" s="12"/>
    </row>
    <row r="68" spans="1:10" ht="60" customHeight="1">
      <c r="A68" s="6" t="s">
        <v>267</v>
      </c>
      <c r="B68" s="6" t="s">
        <v>10</v>
      </c>
      <c r="C68" s="6" t="s">
        <v>11</v>
      </c>
      <c r="D68" s="7" t="s">
        <v>231</v>
      </c>
      <c r="E68" s="8" t="s">
        <v>268</v>
      </c>
      <c r="F68" s="6" t="s">
        <v>269</v>
      </c>
      <c r="G68" s="9">
        <f>IF(A68=1,"_",IF(C68="_","???",C68))</f>
        <v/>
      </c>
      <c r="H68" s="10" t="s">
        <v>11</v>
      </c>
      <c r="I68" s="11" t="s">
        <v>11</v>
      </c>
      <c r="J68" s="12"/>
    </row>
    <row r="69" spans="1:10" ht="60" customHeight="1">
      <c r="A69" s="6" t="s">
        <v>270</v>
      </c>
      <c r="B69" s="6" t="s">
        <v>15</v>
      </c>
      <c r="C69" s="6" t="s">
        <v>48</v>
      </c>
      <c r="D69" s="7" t="s">
        <v>271</v>
      </c>
      <c r="E69" s="8" t="s">
        <v>272</v>
      </c>
      <c r="F69" s="6" t="s">
        <v>273</v>
      </c>
      <c r="G69" s="9">
        <f>IF(A69=1,"_",IF(C69="_","???",C69))</f>
        <v/>
      </c>
      <c r="H69" s="10" t="s">
        <v>11</v>
      </c>
      <c r="I69" s="11" t="s">
        <v>11</v>
      </c>
      <c r="J69" s="12"/>
    </row>
    <row r="70" spans="1:10" ht="60" customHeight="1">
      <c r="A70" s="6" t="s">
        <v>274</v>
      </c>
      <c r="B70" s="6" t="s">
        <v>20</v>
      </c>
      <c r="C70" s="6" t="s">
        <v>11</v>
      </c>
      <c r="D70" s="7" t="s">
        <v>275</v>
      </c>
      <c r="E70" s="8" t="s">
        <v>276</v>
      </c>
      <c r="F70" s="6" t="s">
        <v>277</v>
      </c>
      <c r="G70" s="9">
        <f>IF(A70=1,"_",IF(C70="_","???",C70))</f>
        <v/>
      </c>
      <c r="H70" s="10" t="s">
        <v>11</v>
      </c>
      <c r="I70" s="11" t="s">
        <v>11</v>
      </c>
      <c r="J70" s="12"/>
    </row>
    <row r="71" spans="1:10" ht="60" customHeight="1">
      <c r="A71" s="6" t="s">
        <v>278</v>
      </c>
      <c r="B71" s="6" t="s">
        <v>10</v>
      </c>
      <c r="C71" s="6" t="s">
        <v>11</v>
      </c>
      <c r="D71" s="7" t="s">
        <v>279</v>
      </c>
      <c r="E71" s="8" t="s">
        <v>280</v>
      </c>
      <c r="F71" s="6" t="s">
        <v>281</v>
      </c>
      <c r="G71" s="9">
        <f>IF(A71=1,"_",IF(C71="_","???",C71))</f>
        <v/>
      </c>
      <c r="H71" s="10" t="s">
        <v>11</v>
      </c>
      <c r="I71" s="11" t="s">
        <v>11</v>
      </c>
      <c r="J71" s="12"/>
    </row>
    <row r="72" spans="1:10" ht="60" customHeight="1">
      <c r="A72" s="6" t="s">
        <v>282</v>
      </c>
      <c r="B72" s="6" t="s">
        <v>10</v>
      </c>
      <c r="C72" s="6" t="s">
        <v>67</v>
      </c>
      <c r="D72" s="7" t="s">
        <v>279</v>
      </c>
      <c r="E72" s="8" t="s">
        <v>283</v>
      </c>
      <c r="F72" s="6" t="s">
        <v>284</v>
      </c>
      <c r="G72" s="9">
        <f>IF(A72=1,"_",IF(C72="_","???",C72))</f>
        <v/>
      </c>
      <c r="H72" s="10" t="s">
        <v>11</v>
      </c>
      <c r="I72" s="11" t="s">
        <v>11</v>
      </c>
      <c r="J72" s="12"/>
    </row>
    <row r="73" spans="1:10" ht="60" customHeight="1">
      <c r="A73" s="6" t="s">
        <v>285</v>
      </c>
      <c r="B73" s="6" t="s">
        <v>29</v>
      </c>
      <c r="C73" s="6" t="s">
        <v>145</v>
      </c>
      <c r="D73" s="7" t="s">
        <v>286</v>
      </c>
      <c r="E73" s="8" t="s">
        <v>287</v>
      </c>
      <c r="F73" s="6" t="s">
        <v>288</v>
      </c>
      <c r="G73" s="9">
        <f>IF(A73=1,"_",IF(C73="_","???",C73))</f>
        <v/>
      </c>
      <c r="H73" s="10" t="s">
        <v>11</v>
      </c>
      <c r="I73" s="11" t="s">
        <v>11</v>
      </c>
      <c r="J73" s="12"/>
    </row>
    <row r="74" spans="1:10" ht="60" customHeight="1">
      <c r="A74" s="6" t="s">
        <v>289</v>
      </c>
      <c r="B74" s="6" t="s">
        <v>10</v>
      </c>
      <c r="C74" s="6" t="s">
        <v>11</v>
      </c>
      <c r="D74" s="7" t="s">
        <v>135</v>
      </c>
      <c r="E74" s="8" t="s">
        <v>135</v>
      </c>
      <c r="F74" s="6" t="s">
        <v>290</v>
      </c>
      <c r="G74" s="9">
        <f>IF(A74=1,"_",IF(C74="_","???",C74))</f>
        <v/>
      </c>
      <c r="H74" s="10" t="s">
        <v>11</v>
      </c>
      <c r="I74" s="11" t="s">
        <v>11</v>
      </c>
      <c r="J74" s="12"/>
    </row>
    <row r="75" spans="1:10" ht="60" customHeight="1">
      <c r="A75" s="6" t="s">
        <v>291</v>
      </c>
      <c r="B75" s="6" t="s">
        <v>24</v>
      </c>
      <c r="C75" s="6" t="s">
        <v>292</v>
      </c>
      <c r="D75" s="7" t="s">
        <v>182</v>
      </c>
      <c r="E75" s="8" t="s">
        <v>293</v>
      </c>
      <c r="F75" s="6" t="s">
        <v>294</v>
      </c>
      <c r="G75" s="9">
        <f>IF(A75=1,"_",IF(C75="_","???",C75))</f>
        <v/>
      </c>
      <c r="H75" s="10" t="s">
        <v>11</v>
      </c>
      <c r="I75" s="11" t="s">
        <v>11</v>
      </c>
      <c r="J75" s="12"/>
    </row>
    <row r="76" spans="1:10" ht="60" customHeight="1">
      <c r="A76" s="6" t="s">
        <v>295</v>
      </c>
      <c r="B76" s="6" t="s">
        <v>15</v>
      </c>
      <c r="C76" s="6" t="s">
        <v>11</v>
      </c>
      <c r="D76" s="7" t="s">
        <v>296</v>
      </c>
      <c r="E76" s="8" t="s">
        <v>297</v>
      </c>
      <c r="F76" s="6" t="s">
        <v>298</v>
      </c>
      <c r="G76" s="9">
        <f>IF(A76=1,"_",IF(C76="_","???",C76))</f>
        <v/>
      </c>
      <c r="H76" s="10" t="s">
        <v>11</v>
      </c>
      <c r="I76" s="11" t="s">
        <v>11</v>
      </c>
      <c r="J76" s="12"/>
    </row>
    <row r="77" spans="1:10" ht="60" customHeight="1">
      <c r="A77" s="6" t="s">
        <v>299</v>
      </c>
      <c r="B77" s="6" t="s">
        <v>16</v>
      </c>
      <c r="C77" s="6" t="s">
        <v>11</v>
      </c>
      <c r="D77" s="7" t="s">
        <v>300</v>
      </c>
      <c r="E77" s="8" t="s">
        <v>301</v>
      </c>
      <c r="F77" s="6" t="s">
        <v>302</v>
      </c>
      <c r="G77" s="9">
        <f>IF(A77=1,"_",IF(C77="_","???",C77))</f>
        <v/>
      </c>
      <c r="H77" s="10" t="s">
        <v>11</v>
      </c>
      <c r="I77" s="11" t="s">
        <v>11</v>
      </c>
      <c r="J77" s="12"/>
    </row>
    <row r="78" spans="1:10" ht="60" customHeight="1">
      <c r="A78" s="6" t="s">
        <v>303</v>
      </c>
      <c r="B78" s="6" t="s">
        <v>39</v>
      </c>
      <c r="C78" s="6" t="s">
        <v>79</v>
      </c>
      <c r="D78" s="7" t="s">
        <v>275</v>
      </c>
      <c r="E78" s="8" t="s">
        <v>304</v>
      </c>
      <c r="F78" s="6" t="s">
        <v>305</v>
      </c>
      <c r="G78" s="9">
        <f>IF(A78=1,"_",IF(C78="_","???",C78))</f>
        <v/>
      </c>
      <c r="H78" s="10" t="s">
        <v>11</v>
      </c>
      <c r="I78" s="11" t="s">
        <v>11</v>
      </c>
      <c r="J78" s="12"/>
    </row>
    <row r="79" spans="1:10" ht="60" customHeight="1">
      <c r="A79" s="6" t="s">
        <v>306</v>
      </c>
      <c r="B79" s="6" t="s">
        <v>15</v>
      </c>
      <c r="C79" s="6" t="s">
        <v>11</v>
      </c>
      <c r="D79" s="7" t="s">
        <v>307</v>
      </c>
      <c r="E79" s="8" t="s">
        <v>308</v>
      </c>
      <c r="F79" s="6" t="s">
        <v>309</v>
      </c>
      <c r="G79" s="9">
        <f>IF(A79=1,"_",IF(C79="_","???",C79))</f>
        <v/>
      </c>
      <c r="H79" s="10" t="s">
        <v>11</v>
      </c>
      <c r="I79" s="11" t="s">
        <v>11</v>
      </c>
      <c r="J79" s="12"/>
    </row>
    <row r="80" spans="1:10" ht="60" customHeight="1">
      <c r="A80" s="6" t="s">
        <v>310</v>
      </c>
      <c r="B80" s="6" t="s">
        <v>10</v>
      </c>
      <c r="C80" s="6" t="s">
        <v>11</v>
      </c>
      <c r="D80" s="7" t="s">
        <v>311</v>
      </c>
      <c r="E80" s="8" t="s">
        <v>312</v>
      </c>
      <c r="F80" s="6" t="s">
        <v>313</v>
      </c>
      <c r="G80" s="9">
        <f>IF(A80=1,"_",IF(C80="_","???",C80))</f>
        <v/>
      </c>
      <c r="H80" s="10" t="s">
        <v>11</v>
      </c>
      <c r="I80" s="11" t="s">
        <v>11</v>
      </c>
      <c r="J80" s="12"/>
    </row>
    <row r="81" spans="1:10" ht="60" customHeight="1">
      <c r="A81" s="6" t="s">
        <v>314</v>
      </c>
      <c r="B81" s="6" t="s">
        <v>10</v>
      </c>
      <c r="C81" s="6" t="s">
        <v>11</v>
      </c>
      <c r="D81" s="7" t="s">
        <v>315</v>
      </c>
      <c r="E81" s="8" t="s">
        <v>316</v>
      </c>
      <c r="F81" s="6" t="s">
        <v>317</v>
      </c>
      <c r="G81" s="9">
        <f>IF(A81=1,"_",IF(C81="_","???",C81))</f>
        <v/>
      </c>
      <c r="H81" s="10" t="s">
        <v>11</v>
      </c>
      <c r="I81" s="11" t="s">
        <v>11</v>
      </c>
      <c r="J81" s="12"/>
    </row>
    <row r="82" spans="1:10" ht="60" customHeight="1">
      <c r="A82" s="6" t="s">
        <v>318</v>
      </c>
      <c r="B82" s="6" t="s">
        <v>10</v>
      </c>
      <c r="C82" s="6" t="s">
        <v>11</v>
      </c>
      <c r="D82" s="7" t="s">
        <v>264</v>
      </c>
      <c r="E82" s="8" t="s">
        <v>319</v>
      </c>
      <c r="F82" s="6" t="s">
        <v>320</v>
      </c>
      <c r="G82" s="9">
        <f>IF(A82=1,"_",IF(C82="_","???",C82))</f>
        <v/>
      </c>
      <c r="H82" s="10" t="s">
        <v>11</v>
      </c>
      <c r="I82" s="11" t="s">
        <v>11</v>
      </c>
      <c r="J82" s="12"/>
    </row>
    <row r="83" spans="1:10" ht="60" customHeight="1">
      <c r="A83" s="6" t="s">
        <v>321</v>
      </c>
      <c r="B83" s="6" t="s">
        <v>10</v>
      </c>
      <c r="C83" s="6" t="s">
        <v>11</v>
      </c>
      <c r="D83" s="7" t="s">
        <v>197</v>
      </c>
      <c r="E83" s="8" t="s">
        <v>322</v>
      </c>
      <c r="F83" s="6" t="s">
        <v>323</v>
      </c>
      <c r="G83" s="9">
        <f>IF(A83=1,"_",IF(C83="_","???",C83))</f>
        <v/>
      </c>
      <c r="H83" s="10" t="s">
        <v>11</v>
      </c>
      <c r="I83" s="11" t="s">
        <v>11</v>
      </c>
      <c r="J83" s="12"/>
    </row>
    <row r="84" spans="1:10" ht="60" customHeight="1">
      <c r="A84" s="6" t="s">
        <v>324</v>
      </c>
      <c r="B84" s="6" t="s">
        <v>15</v>
      </c>
      <c r="C84" s="6" t="s">
        <v>55</v>
      </c>
      <c r="D84" s="7" t="s">
        <v>325</v>
      </c>
      <c r="E84" s="8" t="s">
        <v>326</v>
      </c>
      <c r="F84" s="6" t="s">
        <v>327</v>
      </c>
      <c r="G84" s="9">
        <f>IF(A84=1,"_",IF(C84="_","???",C84))</f>
        <v/>
      </c>
      <c r="H84" s="10" t="s">
        <v>11</v>
      </c>
      <c r="I84" s="11" t="s">
        <v>11</v>
      </c>
      <c r="J84" s="12"/>
    </row>
    <row r="85" spans="1:10" ht="60" customHeight="1">
      <c r="A85" s="6" t="s">
        <v>328</v>
      </c>
      <c r="B85" s="6" t="s">
        <v>10</v>
      </c>
      <c r="C85" s="6" t="s">
        <v>11</v>
      </c>
      <c r="D85" s="7" t="s">
        <v>12</v>
      </c>
      <c r="E85" s="8" t="s">
        <v>329</v>
      </c>
      <c r="F85" s="6" t="s">
        <v>330</v>
      </c>
      <c r="G85" s="9">
        <f>IF(A85=1,"_",IF(C85="_","???",C85))</f>
        <v/>
      </c>
      <c r="H85" s="10" t="s">
        <v>11</v>
      </c>
      <c r="I85" s="11" t="s">
        <v>11</v>
      </c>
      <c r="J85" s="12"/>
    </row>
    <row r="86" spans="1:10" ht="60" customHeight="1">
      <c r="A86" s="6" t="s">
        <v>331</v>
      </c>
      <c r="B86" s="6" t="s">
        <v>15</v>
      </c>
      <c r="C86" s="6" t="s">
        <v>79</v>
      </c>
      <c r="D86" s="7" t="s">
        <v>332</v>
      </c>
      <c r="E86" s="8" t="s">
        <v>333</v>
      </c>
      <c r="F86" s="6" t="s">
        <v>334</v>
      </c>
      <c r="G86" s="9">
        <f>IF(A86=1,"_",IF(C86="_","???",C86))</f>
        <v/>
      </c>
      <c r="H86" s="10" t="s">
        <v>11</v>
      </c>
      <c r="I86" s="11" t="s">
        <v>11</v>
      </c>
      <c r="J86" s="12"/>
    </row>
    <row r="87" spans="1:10" ht="60" customHeight="1">
      <c r="A87" s="6" t="s">
        <v>335</v>
      </c>
      <c r="B87" s="6" t="s">
        <v>24</v>
      </c>
      <c r="C87" s="6" t="s">
        <v>48</v>
      </c>
      <c r="D87" s="7" t="s">
        <v>336</v>
      </c>
      <c r="E87" s="8" t="s">
        <v>337</v>
      </c>
      <c r="F87" s="6" t="s">
        <v>338</v>
      </c>
      <c r="G87" s="9">
        <f>IF(A87=1,"_",IF(C87="_","???",C87))</f>
        <v/>
      </c>
      <c r="H87" s="10" t="s">
        <v>11</v>
      </c>
      <c r="I87" s="11" t="s">
        <v>11</v>
      </c>
      <c r="J87" s="12"/>
    </row>
    <row r="88" spans="1:10" ht="60" customHeight="1">
      <c r="A88" s="6" t="s">
        <v>339</v>
      </c>
      <c r="B88" s="6" t="s">
        <v>29</v>
      </c>
      <c r="C88" s="6" t="s">
        <v>340</v>
      </c>
      <c r="D88" s="7" t="s">
        <v>341</v>
      </c>
      <c r="E88" s="8" t="s">
        <v>342</v>
      </c>
      <c r="F88" s="6" t="s">
        <v>343</v>
      </c>
      <c r="G88" s="9">
        <f>IF(A88=1,"_",IF(C88="_","???",C88))</f>
        <v/>
      </c>
      <c r="H88" s="10" t="s">
        <v>11</v>
      </c>
      <c r="I88" s="11" t="s">
        <v>11</v>
      </c>
      <c r="J88" s="12"/>
    </row>
    <row r="89" spans="1:10" ht="60" customHeight="1">
      <c r="A89" s="6" t="s">
        <v>344</v>
      </c>
      <c r="B89" s="6" t="s">
        <v>15</v>
      </c>
      <c r="C89" s="6" t="s">
        <v>145</v>
      </c>
      <c r="D89" s="7" t="s">
        <v>182</v>
      </c>
      <c r="E89" s="8" t="s">
        <v>345</v>
      </c>
      <c r="F89" s="6" t="s">
        <v>346</v>
      </c>
      <c r="G89" s="9">
        <f>IF(A89=1,"_",IF(C89="_","???",C89))</f>
        <v/>
      </c>
      <c r="H89" s="10" t="s">
        <v>11</v>
      </c>
      <c r="I89" s="11" t="s">
        <v>11</v>
      </c>
      <c r="J89" s="12"/>
    </row>
    <row r="90" spans="1:10" ht="60" customHeight="1">
      <c r="A90" s="6" t="s">
        <v>347</v>
      </c>
      <c r="B90" s="6" t="s">
        <v>16</v>
      </c>
      <c r="C90" s="6" t="s">
        <v>11</v>
      </c>
      <c r="D90" s="7" t="s">
        <v>348</v>
      </c>
      <c r="E90" s="8" t="s">
        <v>349</v>
      </c>
      <c r="F90" s="6" t="s">
        <v>350</v>
      </c>
      <c r="G90" s="9">
        <f>IF(A90=1,"_",IF(C90="_","???",C90))</f>
        <v/>
      </c>
      <c r="H90" s="10" t="s">
        <v>11</v>
      </c>
      <c r="I90" s="11" t="s">
        <v>11</v>
      </c>
      <c r="J90" s="12"/>
    </row>
    <row r="91" spans="1:10" ht="60" customHeight="1">
      <c r="A91" s="6" t="s">
        <v>351</v>
      </c>
      <c r="B91" s="6" t="s">
        <v>15</v>
      </c>
      <c r="C91" s="6" t="s">
        <v>11</v>
      </c>
      <c r="D91" s="7" t="s">
        <v>352</v>
      </c>
      <c r="E91" s="8" t="s">
        <v>353</v>
      </c>
      <c r="F91" s="6" t="s">
        <v>354</v>
      </c>
      <c r="G91" s="9">
        <f>IF(A91=1,"_",IF(C91="_","???",C91))</f>
        <v/>
      </c>
      <c r="H91" s="10" t="s">
        <v>11</v>
      </c>
      <c r="I91" s="11" t="s">
        <v>11</v>
      </c>
      <c r="J91" s="12"/>
    </row>
    <row r="92" spans="1:10" ht="60" customHeight="1">
      <c r="A92" s="6" t="s">
        <v>355</v>
      </c>
      <c r="B92" s="6" t="s">
        <v>29</v>
      </c>
      <c r="C92" s="6" t="s">
        <v>79</v>
      </c>
      <c r="D92" s="7" t="s">
        <v>12</v>
      </c>
      <c r="E92" s="8" t="s">
        <v>356</v>
      </c>
      <c r="F92" s="6" t="s">
        <v>357</v>
      </c>
      <c r="G92" s="9">
        <f>IF(A92=1,"_",IF(C92="_","???",C92))</f>
        <v/>
      </c>
      <c r="H92" s="10" t="s">
        <v>11</v>
      </c>
      <c r="I92" s="11" t="s">
        <v>11</v>
      </c>
      <c r="J92" s="12"/>
    </row>
    <row r="93" spans="1:10" ht="60" customHeight="1">
      <c r="A93" s="6" t="s">
        <v>358</v>
      </c>
      <c r="B93" s="6" t="s">
        <v>24</v>
      </c>
      <c r="C93" s="6" t="s">
        <v>145</v>
      </c>
      <c r="D93" s="7" t="s">
        <v>12</v>
      </c>
      <c r="E93" s="8" t="s">
        <v>359</v>
      </c>
      <c r="F93" s="6" t="s">
        <v>360</v>
      </c>
      <c r="G93" s="9">
        <f>IF(A93=1,"_",IF(C93="_","???",C93))</f>
        <v/>
      </c>
      <c r="H93" s="10" t="s">
        <v>11</v>
      </c>
      <c r="I93" s="11" t="s">
        <v>11</v>
      </c>
      <c r="J93" s="12"/>
    </row>
    <row r="94" spans="1:10" ht="60" customHeight="1">
      <c r="A94" s="6" t="s">
        <v>361</v>
      </c>
      <c r="B94" s="6" t="s">
        <v>10</v>
      </c>
      <c r="C94" s="6" t="s">
        <v>11</v>
      </c>
      <c r="D94" s="7" t="s">
        <v>362</v>
      </c>
      <c r="E94" s="8" t="s">
        <v>363</v>
      </c>
      <c r="F94" s="6" t="s">
        <v>364</v>
      </c>
      <c r="G94" s="9">
        <f>IF(A94=1,"_",IF(C94="_","???",C94))</f>
        <v/>
      </c>
      <c r="H94" s="10" t="s">
        <v>11</v>
      </c>
      <c r="I94" s="11" t="s">
        <v>11</v>
      </c>
      <c r="J94" s="12"/>
    </row>
    <row r="95" spans="1:10" ht="60" customHeight="1">
      <c r="A95" s="6" t="s">
        <v>365</v>
      </c>
      <c r="B95" s="6" t="s">
        <v>10</v>
      </c>
      <c r="C95" s="6" t="s">
        <v>145</v>
      </c>
      <c r="D95" s="7" t="s">
        <v>366</v>
      </c>
      <c r="E95" s="8" t="s">
        <v>367</v>
      </c>
      <c r="F95" s="6" t="s">
        <v>368</v>
      </c>
      <c r="G95" s="9">
        <f>IF(A95=1,"_",IF(C95="_","???",C95))</f>
        <v/>
      </c>
      <c r="H95" s="10" t="s">
        <v>11</v>
      </c>
      <c r="I95" s="11" t="s">
        <v>11</v>
      </c>
      <c r="J95" s="12"/>
    </row>
    <row r="96" spans="1:10" ht="60" customHeight="1">
      <c r="A96" s="6" t="s">
        <v>369</v>
      </c>
      <c r="B96" s="6" t="s">
        <v>15</v>
      </c>
      <c r="C96" s="6" t="s">
        <v>11</v>
      </c>
      <c r="D96" s="7" t="s">
        <v>12</v>
      </c>
      <c r="E96" s="8" t="s">
        <v>370</v>
      </c>
      <c r="F96" s="6" t="s">
        <v>371</v>
      </c>
      <c r="G96" s="9">
        <f>IF(A96=1,"_",IF(C96="_","???",C96))</f>
        <v/>
      </c>
      <c r="H96" s="10" t="s">
        <v>11</v>
      </c>
      <c r="I96" s="11" t="s">
        <v>11</v>
      </c>
      <c r="J96" s="12"/>
    </row>
    <row r="97" spans="1:10" ht="60" customHeight="1">
      <c r="A97" s="6" t="s">
        <v>372</v>
      </c>
      <c r="B97" s="6" t="s">
        <v>20</v>
      </c>
      <c r="C97" s="6" t="s">
        <v>25</v>
      </c>
      <c r="D97" s="7" t="s">
        <v>12</v>
      </c>
      <c r="E97" s="8" t="s">
        <v>373</v>
      </c>
      <c r="F97" s="6" t="s">
        <v>374</v>
      </c>
      <c r="G97" s="9">
        <f>IF(A97=1,"_",IF(C97="_","???",C97))</f>
        <v/>
      </c>
      <c r="H97" s="10" t="s">
        <v>11</v>
      </c>
      <c r="I97" s="11" t="s">
        <v>11</v>
      </c>
      <c r="J97" s="12"/>
    </row>
    <row r="98" spans="1:10" ht="60" customHeight="1">
      <c r="A98" s="6" t="s">
        <v>375</v>
      </c>
      <c r="B98" s="6" t="s">
        <v>10</v>
      </c>
      <c r="C98" s="6" t="s">
        <v>11</v>
      </c>
      <c r="D98" s="7" t="s">
        <v>135</v>
      </c>
      <c r="E98" s="8" t="s">
        <v>135</v>
      </c>
      <c r="F98" s="6" t="s">
        <v>376</v>
      </c>
      <c r="G98" s="9">
        <f>IF(A98=1,"_",IF(C98="_","???",C98))</f>
        <v/>
      </c>
      <c r="H98" s="10" t="s">
        <v>11</v>
      </c>
      <c r="I98" s="11" t="s">
        <v>11</v>
      </c>
      <c r="J98" s="12"/>
    </row>
    <row r="99" spans="1:10" ht="60" customHeight="1">
      <c r="A99" s="6" t="s">
        <v>377</v>
      </c>
      <c r="B99" s="6" t="s">
        <v>15</v>
      </c>
      <c r="C99" s="6" t="s">
        <v>11</v>
      </c>
      <c r="D99" s="7" t="s">
        <v>378</v>
      </c>
      <c r="E99" s="8" t="s">
        <v>379</v>
      </c>
      <c r="F99" s="6" t="s">
        <v>380</v>
      </c>
      <c r="G99" s="9">
        <f>IF(A99=1,"_",IF(C99="_","???",C99))</f>
        <v/>
      </c>
      <c r="H99" s="10" t="s">
        <v>11</v>
      </c>
      <c r="I99" s="11" t="s">
        <v>11</v>
      </c>
      <c r="J99" s="12"/>
    </row>
    <row r="100" spans="1:10" ht="60" customHeight="1">
      <c r="A100" s="6" t="s">
        <v>381</v>
      </c>
      <c r="B100" s="6" t="s">
        <v>91</v>
      </c>
      <c r="C100" s="6" t="s">
        <v>145</v>
      </c>
      <c r="D100" s="7" t="s">
        <v>382</v>
      </c>
      <c r="E100" s="8" t="s">
        <v>383</v>
      </c>
      <c r="F100" s="6" t="s">
        <v>384</v>
      </c>
      <c r="G100" s="9">
        <f>IF(A100=1,"_",IF(C100="_","???",C100))</f>
        <v/>
      </c>
      <c r="H100" s="10" t="s">
        <v>11</v>
      </c>
      <c r="I100" s="11" t="s">
        <v>11</v>
      </c>
      <c r="J100" s="12"/>
    </row>
    <row r="101" spans="1:10" ht="60" customHeight="1">
      <c r="A101" s="6" t="s">
        <v>385</v>
      </c>
      <c r="B101" s="6" t="s">
        <v>15</v>
      </c>
      <c r="C101" s="6" t="s">
        <v>48</v>
      </c>
      <c r="D101" s="7" t="s">
        <v>30</v>
      </c>
      <c r="E101" s="8" t="s">
        <v>386</v>
      </c>
      <c r="F101" s="6" t="s">
        <v>387</v>
      </c>
      <c r="G101" s="9">
        <f>IF(A101=1,"_",IF(C101="_","???",C101))</f>
        <v/>
      </c>
      <c r="H101" s="10" t="s">
        <v>11</v>
      </c>
      <c r="I101" s="11" t="s">
        <v>11</v>
      </c>
      <c r="J101" s="12"/>
    </row>
    <row r="102" spans="1:10" ht="60" customHeight="1">
      <c r="A102" s="6" t="s">
        <v>388</v>
      </c>
      <c r="B102" s="6" t="s">
        <v>24</v>
      </c>
      <c r="C102" s="6" t="s">
        <v>11</v>
      </c>
      <c r="D102" s="7" t="s">
        <v>275</v>
      </c>
      <c r="E102" s="8" t="s">
        <v>389</v>
      </c>
      <c r="F102" s="6" t="s">
        <v>390</v>
      </c>
      <c r="G102" s="9">
        <f>IF(A102=1,"_",IF(C102="_","???",C102))</f>
        <v/>
      </c>
      <c r="H102" s="10" t="s">
        <v>11</v>
      </c>
      <c r="I102" s="11" t="s">
        <v>11</v>
      </c>
      <c r="J102" s="12"/>
    </row>
    <row r="103" spans="1:10" ht="60" customHeight="1">
      <c r="A103" s="6" t="s">
        <v>391</v>
      </c>
      <c r="B103" s="6" t="s">
        <v>10</v>
      </c>
      <c r="C103" s="6" t="s">
        <v>11</v>
      </c>
      <c r="D103" s="7" t="s">
        <v>135</v>
      </c>
      <c r="E103" s="8" t="s">
        <v>135</v>
      </c>
      <c r="F103" s="6" t="s">
        <v>392</v>
      </c>
      <c r="G103" s="9">
        <f>IF(A103=1,"_",IF(C103="_","???",C103))</f>
        <v/>
      </c>
      <c r="H103" s="10" t="s">
        <v>11</v>
      </c>
      <c r="I103" s="11" t="s">
        <v>11</v>
      </c>
      <c r="J103" s="12"/>
    </row>
    <row r="104" spans="1:10" ht="60" customHeight="1">
      <c r="A104" s="6" t="s">
        <v>393</v>
      </c>
      <c r="B104" s="6" t="s">
        <v>10</v>
      </c>
      <c r="C104" s="6" t="s">
        <v>25</v>
      </c>
      <c r="D104" s="7" t="s">
        <v>394</v>
      </c>
      <c r="E104" s="8" t="s">
        <v>395</v>
      </c>
      <c r="F104" s="6" t="s">
        <v>396</v>
      </c>
      <c r="G104" s="9">
        <f>IF(A104=1,"_",IF(C104="_","???",C104))</f>
        <v/>
      </c>
      <c r="H104" s="10" t="s">
        <v>11</v>
      </c>
      <c r="I104" s="11" t="s">
        <v>11</v>
      </c>
      <c r="J104" s="12"/>
    </row>
    <row r="105" spans="1:10" ht="60" customHeight="1">
      <c r="A105" s="6" t="s">
        <v>397</v>
      </c>
      <c r="B105" s="6" t="s">
        <v>24</v>
      </c>
      <c r="C105" s="6" t="s">
        <v>11</v>
      </c>
      <c r="D105" s="7" t="s">
        <v>146</v>
      </c>
      <c r="E105" s="8" t="s">
        <v>398</v>
      </c>
      <c r="F105" s="6" t="s">
        <v>399</v>
      </c>
      <c r="G105" s="9">
        <f>IF(A105=1,"_",IF(C105="_","???",C105))</f>
        <v/>
      </c>
      <c r="H105" s="10" t="s">
        <v>11</v>
      </c>
      <c r="I105" s="11" t="s">
        <v>11</v>
      </c>
      <c r="J105" s="12"/>
    </row>
    <row r="106" spans="1:10" ht="60" customHeight="1">
      <c r="A106" s="6" t="s">
        <v>400</v>
      </c>
      <c r="B106" s="6" t="s">
        <v>10</v>
      </c>
      <c r="C106" s="6" t="s">
        <v>145</v>
      </c>
      <c r="D106" s="7" t="s">
        <v>401</v>
      </c>
      <c r="E106" s="8" t="s">
        <v>402</v>
      </c>
      <c r="F106" s="6" t="s">
        <v>403</v>
      </c>
      <c r="G106" s="9">
        <f>IF(A106=1,"_",IF(C106="_","???",C106))</f>
        <v/>
      </c>
      <c r="H106" s="10" t="s">
        <v>11</v>
      </c>
      <c r="I106" s="11" t="s">
        <v>11</v>
      </c>
      <c r="J106" s="12"/>
    </row>
    <row r="107" spans="1:10" ht="60" customHeight="1">
      <c r="A107" s="6" t="s">
        <v>404</v>
      </c>
      <c r="B107" s="6" t="s">
        <v>10</v>
      </c>
      <c r="C107" s="6" t="s">
        <v>11</v>
      </c>
      <c r="D107" s="7" t="s">
        <v>405</v>
      </c>
      <c r="E107" s="8" t="s">
        <v>406</v>
      </c>
      <c r="F107" s="6" t="s">
        <v>407</v>
      </c>
      <c r="G107" s="9">
        <f>IF(A107=1,"_",IF(C107="_","???",C107))</f>
        <v/>
      </c>
      <c r="H107" s="10" t="s">
        <v>11</v>
      </c>
      <c r="I107" s="11" t="s">
        <v>11</v>
      </c>
      <c r="J107" s="12"/>
    </row>
    <row r="108" spans="1:10" ht="60" customHeight="1">
      <c r="A108" s="6" t="s">
        <v>408</v>
      </c>
      <c r="B108" s="6" t="s">
        <v>15</v>
      </c>
      <c r="C108" s="6" t="s">
        <v>11</v>
      </c>
      <c r="D108" s="7" t="s">
        <v>409</v>
      </c>
      <c r="E108" s="8" t="s">
        <v>410</v>
      </c>
      <c r="F108" s="6" t="s">
        <v>411</v>
      </c>
      <c r="G108" s="9">
        <f>IF(A108=1,"_",IF(C108="_","???",C108))</f>
        <v/>
      </c>
      <c r="H108" s="10" t="s">
        <v>11</v>
      </c>
      <c r="I108" s="11" t="s">
        <v>11</v>
      </c>
      <c r="J108" s="12"/>
    </row>
    <row r="109" spans="1:10" ht="60" customHeight="1">
      <c r="A109" s="6" t="s">
        <v>412</v>
      </c>
      <c r="B109" s="6" t="s">
        <v>24</v>
      </c>
      <c r="C109" s="6" t="s">
        <v>11</v>
      </c>
      <c r="D109" s="7" t="s">
        <v>44</v>
      </c>
      <c r="E109" s="8" t="s">
        <v>413</v>
      </c>
      <c r="F109" s="6" t="s">
        <v>414</v>
      </c>
      <c r="G109" s="9">
        <f>IF(A109=1,"_",IF(C109="_","???",C109))</f>
        <v/>
      </c>
      <c r="H109" s="10" t="s">
        <v>11</v>
      </c>
      <c r="I109" s="11" t="s">
        <v>11</v>
      </c>
      <c r="J109" s="12"/>
    </row>
    <row r="110" spans="1:10" ht="60" customHeight="1">
      <c r="A110" s="6" t="s">
        <v>415</v>
      </c>
      <c r="B110" s="6" t="s">
        <v>15</v>
      </c>
      <c r="C110" s="6" t="s">
        <v>11</v>
      </c>
      <c r="D110" s="7" t="s">
        <v>44</v>
      </c>
      <c r="E110" s="8" t="s">
        <v>416</v>
      </c>
      <c r="F110" s="6" t="s">
        <v>417</v>
      </c>
      <c r="G110" s="9">
        <f>IF(A110=1,"_",IF(C110="_","???",C110))</f>
        <v/>
      </c>
      <c r="H110" s="10" t="s">
        <v>11</v>
      </c>
      <c r="I110" s="11" t="s">
        <v>11</v>
      </c>
      <c r="J110" s="12"/>
    </row>
    <row r="111" spans="1:10" ht="60" customHeight="1">
      <c r="A111" s="6" t="s">
        <v>418</v>
      </c>
      <c r="B111" s="6" t="s">
        <v>37</v>
      </c>
      <c r="C111" s="6" t="s">
        <v>11</v>
      </c>
      <c r="D111" s="7" t="s">
        <v>419</v>
      </c>
      <c r="E111" s="8" t="s">
        <v>420</v>
      </c>
      <c r="F111" s="6" t="s">
        <v>421</v>
      </c>
      <c r="G111" s="9">
        <f>IF(A111=1,"_",IF(C111="_","???",C111))</f>
        <v/>
      </c>
      <c r="H111" s="10" t="s">
        <v>11</v>
      </c>
      <c r="I111" s="11" t="s">
        <v>11</v>
      </c>
      <c r="J111" s="12"/>
    </row>
    <row r="112" spans="1:10" ht="60" customHeight="1">
      <c r="A112" s="6" t="s">
        <v>422</v>
      </c>
      <c r="B112" s="6" t="s">
        <v>15</v>
      </c>
      <c r="C112" s="6" t="s">
        <v>11</v>
      </c>
      <c r="D112" s="7" t="s">
        <v>423</v>
      </c>
      <c r="E112" s="8" t="s">
        <v>424</v>
      </c>
      <c r="F112" s="6" t="s">
        <v>425</v>
      </c>
      <c r="G112" s="9">
        <f>IF(A112=1,"_",IF(C112="_","???",C112))</f>
        <v/>
      </c>
      <c r="H112" s="10" t="s">
        <v>11</v>
      </c>
      <c r="I112" s="11" t="s">
        <v>11</v>
      </c>
      <c r="J112" s="12"/>
    </row>
    <row r="113" spans="1:10" ht="60" customHeight="1">
      <c r="A113" s="6" t="s">
        <v>426</v>
      </c>
      <c r="B113" s="6" t="s">
        <v>29</v>
      </c>
      <c r="C113" s="6" t="s">
        <v>48</v>
      </c>
      <c r="D113" s="7" t="s">
        <v>423</v>
      </c>
      <c r="E113" s="8" t="s">
        <v>427</v>
      </c>
      <c r="F113" s="6" t="s">
        <v>428</v>
      </c>
      <c r="G113" s="9">
        <f>IF(A113=1,"_",IF(C113="_","???",C113))</f>
        <v/>
      </c>
      <c r="H113" s="10" t="s">
        <v>11</v>
      </c>
      <c r="I113" s="11" t="s">
        <v>11</v>
      </c>
      <c r="J113" s="12"/>
    </row>
    <row r="114" spans="1:10" ht="60" customHeight="1">
      <c r="A114" s="6" t="s">
        <v>429</v>
      </c>
      <c r="B114" s="6" t="s">
        <v>10</v>
      </c>
      <c r="C114" s="6" t="s">
        <v>79</v>
      </c>
      <c r="D114" s="7" t="s">
        <v>430</v>
      </c>
      <c r="E114" s="8" t="s">
        <v>431</v>
      </c>
      <c r="F114" s="6" t="s">
        <v>432</v>
      </c>
      <c r="G114" s="9">
        <f>IF(A114=1,"_",IF(C114="_","???",C114))</f>
        <v/>
      </c>
      <c r="H114" s="10" t="s">
        <v>11</v>
      </c>
      <c r="I114" s="11" t="s">
        <v>11</v>
      </c>
      <c r="J114" s="12"/>
    </row>
    <row r="115" spans="1:10" ht="60" customHeight="1">
      <c r="A115" s="6" t="s">
        <v>433</v>
      </c>
      <c r="B115" s="6" t="s">
        <v>91</v>
      </c>
      <c r="C115" s="6" t="s">
        <v>48</v>
      </c>
      <c r="D115" s="7" t="s">
        <v>21</v>
      </c>
      <c r="E115" s="8" t="s">
        <v>434</v>
      </c>
      <c r="F115" s="6" t="s">
        <v>435</v>
      </c>
      <c r="G115" s="9">
        <f>IF(A115=1,"_",IF(C115="_","???",C115))</f>
        <v/>
      </c>
      <c r="H115" s="10" t="s">
        <v>11</v>
      </c>
      <c r="I115" s="11" t="s">
        <v>11</v>
      </c>
      <c r="J115" s="12"/>
    </row>
    <row r="116" spans="1:10" ht="60" customHeight="1">
      <c r="A116" s="6" t="s">
        <v>436</v>
      </c>
      <c r="B116" s="6" t="s">
        <v>24</v>
      </c>
      <c r="C116" s="6" t="s">
        <v>25</v>
      </c>
      <c r="D116" s="7" t="s">
        <v>12</v>
      </c>
      <c r="E116" s="8" t="s">
        <v>437</v>
      </c>
      <c r="F116" s="6" t="s">
        <v>438</v>
      </c>
      <c r="G116" s="9">
        <f>IF(A116=1,"_",IF(C116="_","???",C116))</f>
        <v/>
      </c>
      <c r="H116" s="10" t="s">
        <v>11</v>
      </c>
      <c r="I116" s="11" t="s">
        <v>11</v>
      </c>
      <c r="J116" s="12"/>
    </row>
    <row r="117" spans="1:10" ht="60" customHeight="1">
      <c r="A117" s="6" t="s">
        <v>439</v>
      </c>
      <c r="B117" s="6" t="s">
        <v>37</v>
      </c>
      <c r="C117" s="6" t="s">
        <v>48</v>
      </c>
      <c r="D117" s="7" t="s">
        <v>440</v>
      </c>
      <c r="E117" s="8" t="s">
        <v>441</v>
      </c>
      <c r="F117" s="6" t="s">
        <v>442</v>
      </c>
      <c r="G117" s="9">
        <f>IF(A117=1,"_",IF(C117="_","???",C117))</f>
        <v/>
      </c>
      <c r="H117" s="10" t="s">
        <v>11</v>
      </c>
      <c r="I117" s="11" t="s">
        <v>11</v>
      </c>
      <c r="J117" s="12"/>
    </row>
    <row r="118" spans="1:10" ht="60" customHeight="1">
      <c r="A118" s="6" t="s">
        <v>443</v>
      </c>
      <c r="B118" s="6" t="s">
        <v>15</v>
      </c>
      <c r="C118" s="6" t="s">
        <v>444</v>
      </c>
      <c r="D118" s="7" t="s">
        <v>445</v>
      </c>
      <c r="E118" s="8" t="s">
        <v>446</v>
      </c>
      <c r="F118" s="6" t="s">
        <v>447</v>
      </c>
      <c r="G118" s="9">
        <f>IF(A118=1,"_",IF(C118="_","???",C118))</f>
        <v/>
      </c>
      <c r="H118" s="10" t="s">
        <v>11</v>
      </c>
      <c r="I118" s="11" t="s">
        <v>11</v>
      </c>
      <c r="J118" s="12"/>
    </row>
    <row r="119" spans="1:10" ht="60" customHeight="1">
      <c r="A119" s="6" t="s">
        <v>448</v>
      </c>
      <c r="B119" s="6" t="s">
        <v>24</v>
      </c>
      <c r="C119" s="6" t="s">
        <v>11</v>
      </c>
      <c r="D119" s="7" t="s">
        <v>449</v>
      </c>
      <c r="E119" s="8" t="s">
        <v>450</v>
      </c>
      <c r="F119" s="6" t="s">
        <v>451</v>
      </c>
      <c r="G119" s="9">
        <f>IF(A119=1,"_",IF(C119="_","???",C119))</f>
        <v/>
      </c>
      <c r="H119" s="10" t="s">
        <v>11</v>
      </c>
      <c r="I119" s="11" t="s">
        <v>11</v>
      </c>
      <c r="J119" s="12"/>
    </row>
    <row r="120" spans="1:10" ht="60" customHeight="1">
      <c r="A120" s="6" t="s">
        <v>452</v>
      </c>
      <c r="B120" s="6" t="s">
        <v>15</v>
      </c>
      <c r="C120" s="6" t="s">
        <v>11</v>
      </c>
      <c r="D120" s="7" t="s">
        <v>453</v>
      </c>
      <c r="E120" s="8" t="s">
        <v>454</v>
      </c>
      <c r="F120" s="6" t="s">
        <v>455</v>
      </c>
      <c r="G120" s="9">
        <f>IF(A120=1,"_",IF(C120="_","???",C120))</f>
        <v/>
      </c>
      <c r="H120" s="10" t="s">
        <v>11</v>
      </c>
      <c r="I120" s="11" t="s">
        <v>11</v>
      </c>
      <c r="J120" s="12"/>
    </row>
    <row r="121" spans="1:10" ht="60" customHeight="1">
      <c r="A121" s="6" t="s">
        <v>456</v>
      </c>
      <c r="B121" s="6" t="s">
        <v>15</v>
      </c>
      <c r="C121" s="6" t="s">
        <v>11</v>
      </c>
      <c r="D121" s="7" t="s">
        <v>457</v>
      </c>
      <c r="E121" s="8" t="s">
        <v>458</v>
      </c>
      <c r="F121" s="6" t="s">
        <v>459</v>
      </c>
      <c r="G121" s="9">
        <f>IF(A121=1,"_",IF(C121="_","???",C121))</f>
        <v/>
      </c>
      <c r="H121" s="10" t="s">
        <v>11</v>
      </c>
      <c r="I121" s="11" t="s">
        <v>11</v>
      </c>
      <c r="J121" s="12"/>
    </row>
    <row r="122" spans="1:10" ht="60" customHeight="1">
      <c r="A122" s="6" t="s">
        <v>460</v>
      </c>
      <c r="B122" s="6" t="s">
        <v>15</v>
      </c>
      <c r="C122" s="6" t="s">
        <v>11</v>
      </c>
      <c r="D122" s="7" t="s">
        <v>461</v>
      </c>
      <c r="E122" s="8" t="s">
        <v>462</v>
      </c>
      <c r="F122" s="6" t="s">
        <v>463</v>
      </c>
      <c r="G122" s="9">
        <f>IF(A122=1,"_",IF(C122="_","???",C122))</f>
        <v/>
      </c>
      <c r="H122" s="10" t="s">
        <v>11</v>
      </c>
      <c r="I122" s="11" t="s">
        <v>11</v>
      </c>
      <c r="J122" s="12"/>
    </row>
    <row r="123" spans="1:10" ht="60" customHeight="1">
      <c r="A123" s="6" t="s">
        <v>464</v>
      </c>
      <c r="B123" s="6" t="s">
        <v>15</v>
      </c>
      <c r="C123" s="6" t="s">
        <v>11</v>
      </c>
      <c r="D123" s="7" t="s">
        <v>465</v>
      </c>
      <c r="E123" s="8" t="s">
        <v>466</v>
      </c>
      <c r="F123" s="6" t="s">
        <v>467</v>
      </c>
      <c r="G123" s="9">
        <f>IF(A123=1,"_",IF(C123="_","???",C123))</f>
        <v/>
      </c>
      <c r="H123" s="10" t="s">
        <v>11</v>
      </c>
      <c r="I123" s="11" t="s">
        <v>11</v>
      </c>
      <c r="J123" s="12"/>
    </row>
    <row r="124" spans="1:10" ht="60" customHeight="1">
      <c r="A124" s="6" t="s">
        <v>468</v>
      </c>
      <c r="B124" s="6" t="s">
        <v>15</v>
      </c>
      <c r="C124" s="6" t="s">
        <v>11</v>
      </c>
      <c r="D124" s="7" t="s">
        <v>469</v>
      </c>
      <c r="E124" s="8" t="s">
        <v>470</v>
      </c>
      <c r="F124" s="6" t="s">
        <v>471</v>
      </c>
      <c r="G124" s="9">
        <f>IF(A124=1,"_",IF(C124="_","???",C124))</f>
        <v/>
      </c>
      <c r="H124" s="10" t="s">
        <v>11</v>
      </c>
      <c r="I124" s="11" t="s">
        <v>11</v>
      </c>
      <c r="J124" s="12"/>
    </row>
    <row r="125" spans="1:10" ht="60" customHeight="1">
      <c r="A125" s="6" t="s">
        <v>472</v>
      </c>
      <c r="B125" s="6" t="s">
        <v>20</v>
      </c>
      <c r="C125" s="6" t="s">
        <v>11</v>
      </c>
      <c r="D125" s="7" t="s">
        <v>473</v>
      </c>
      <c r="E125" s="8" t="s">
        <v>474</v>
      </c>
      <c r="F125" s="6" t="s">
        <v>475</v>
      </c>
      <c r="G125" s="9">
        <f>IF(A125=1,"_",IF(C125="_","???",C125))</f>
        <v/>
      </c>
      <c r="H125" s="10" t="s">
        <v>11</v>
      </c>
      <c r="I125" s="11" t="s">
        <v>11</v>
      </c>
      <c r="J125" s="12"/>
    </row>
    <row r="126" spans="1:10" ht="60" customHeight="1">
      <c r="A126" s="6" t="s">
        <v>476</v>
      </c>
      <c r="B126" s="6" t="s">
        <v>15</v>
      </c>
      <c r="C126" s="6" t="s">
        <v>11</v>
      </c>
      <c r="D126" s="7" t="s">
        <v>477</v>
      </c>
      <c r="E126" s="8" t="s">
        <v>478</v>
      </c>
      <c r="F126" s="6" t="s">
        <v>479</v>
      </c>
      <c r="G126" s="9">
        <f>IF(A126=1,"_",IF(C126="_","???",C126))</f>
        <v/>
      </c>
      <c r="H126" s="10" t="s">
        <v>11</v>
      </c>
      <c r="I126" s="11" t="s">
        <v>11</v>
      </c>
      <c r="J126" s="12"/>
    </row>
    <row r="127" spans="1:10" ht="60" customHeight="1">
      <c r="A127" s="6" t="s">
        <v>480</v>
      </c>
      <c r="B127" s="6" t="s">
        <v>24</v>
      </c>
      <c r="C127" s="6" t="s">
        <v>11</v>
      </c>
      <c r="D127" s="7" t="s">
        <v>481</v>
      </c>
      <c r="E127" s="8" t="s">
        <v>482</v>
      </c>
      <c r="F127" s="6" t="s">
        <v>483</v>
      </c>
      <c r="G127" s="9">
        <f>IF(A127=1,"_",IF(C127="_","???",C127))</f>
        <v/>
      </c>
      <c r="H127" s="10" t="s">
        <v>11</v>
      </c>
      <c r="I127" s="11" t="s">
        <v>11</v>
      </c>
      <c r="J127" s="12"/>
    </row>
    <row r="128" spans="1:10" ht="60" customHeight="1">
      <c r="A128" s="6" t="s">
        <v>484</v>
      </c>
      <c r="B128" s="6" t="s">
        <v>10</v>
      </c>
      <c r="C128" s="6" t="s">
        <v>115</v>
      </c>
      <c r="D128" s="7" t="s">
        <v>485</v>
      </c>
      <c r="E128" s="8" t="s">
        <v>486</v>
      </c>
      <c r="F128" s="6" t="s">
        <v>487</v>
      </c>
      <c r="G128" s="9">
        <f>IF(A128=1,"_",IF(C128="_","???",C128))</f>
        <v/>
      </c>
      <c r="H128" s="10" t="s">
        <v>11</v>
      </c>
      <c r="I128" s="11" t="s">
        <v>11</v>
      </c>
      <c r="J128" s="12"/>
    </row>
    <row r="129" spans="1:10" ht="60" customHeight="1">
      <c r="A129" s="6" t="s">
        <v>488</v>
      </c>
      <c r="B129" s="6" t="s">
        <v>20</v>
      </c>
      <c r="C129" s="6" t="s">
        <v>145</v>
      </c>
      <c r="D129" s="7" t="s">
        <v>489</v>
      </c>
      <c r="E129" s="8" t="s">
        <v>490</v>
      </c>
      <c r="F129" s="6" t="s">
        <v>491</v>
      </c>
      <c r="G129" s="9">
        <f>IF(A129=1,"_",IF(C129="_","???",C129))</f>
        <v/>
      </c>
      <c r="H129" s="10" t="s">
        <v>11</v>
      </c>
      <c r="I129" s="11" t="s">
        <v>11</v>
      </c>
      <c r="J129" s="12"/>
    </row>
    <row r="130" spans="1:10" ht="60" customHeight="1">
      <c r="A130" s="6" t="s">
        <v>492</v>
      </c>
      <c r="B130" s="6" t="s">
        <v>24</v>
      </c>
      <c r="C130" s="6" t="s">
        <v>55</v>
      </c>
      <c r="D130" s="7" t="s">
        <v>493</v>
      </c>
      <c r="E130" s="8" t="s">
        <v>494</v>
      </c>
      <c r="F130" s="6" t="s">
        <v>495</v>
      </c>
      <c r="G130" s="9">
        <f>IF(A130=1,"_",IF(C130="_","???",C130))</f>
        <v/>
      </c>
      <c r="H130" s="10" t="s">
        <v>11</v>
      </c>
      <c r="I130" s="11" t="s">
        <v>11</v>
      </c>
      <c r="J130" s="12"/>
    </row>
    <row r="131" spans="1:10" ht="60" customHeight="1">
      <c r="A131" s="6" t="s">
        <v>496</v>
      </c>
      <c r="B131" s="6" t="s">
        <v>47</v>
      </c>
      <c r="C131" s="6" t="s">
        <v>340</v>
      </c>
      <c r="D131" s="7" t="s">
        <v>497</v>
      </c>
      <c r="E131" s="8" t="s">
        <v>498</v>
      </c>
      <c r="F131" s="6" t="s">
        <v>499</v>
      </c>
      <c r="G131" s="9">
        <f>IF(A131=1,"_",IF(C131="_","???",C131))</f>
        <v/>
      </c>
      <c r="H131" s="10" t="s">
        <v>11</v>
      </c>
      <c r="I131" s="11" t="s">
        <v>11</v>
      </c>
      <c r="J131" s="12"/>
    </row>
    <row r="132" spans="1:10" ht="60" customHeight="1">
      <c r="A132" s="6" t="s">
        <v>500</v>
      </c>
      <c r="B132" s="6" t="s">
        <v>43</v>
      </c>
      <c r="C132" s="6" t="s">
        <v>25</v>
      </c>
      <c r="D132" s="7" t="s">
        <v>501</v>
      </c>
      <c r="E132" s="8" t="s">
        <v>502</v>
      </c>
      <c r="F132" s="6" t="s">
        <v>503</v>
      </c>
      <c r="G132" s="9">
        <f>IF(A132=1,"_",IF(C132="_","???",C132))</f>
        <v/>
      </c>
      <c r="H132" s="10" t="s">
        <v>11</v>
      </c>
      <c r="I132" s="11" t="s">
        <v>11</v>
      </c>
      <c r="J132" s="12"/>
    </row>
    <row r="133" spans="1:10" ht="60" customHeight="1">
      <c r="A133" s="6" t="s">
        <v>504</v>
      </c>
      <c r="B133" s="6" t="s">
        <v>10</v>
      </c>
      <c r="C133" s="6" t="s">
        <v>25</v>
      </c>
      <c r="D133" s="7" t="s">
        <v>505</v>
      </c>
      <c r="E133" s="8" t="s">
        <v>506</v>
      </c>
      <c r="F133" s="6" t="s">
        <v>507</v>
      </c>
      <c r="G133" s="9">
        <f>IF(A133=1,"_",IF(C133="_","???",C133))</f>
        <v/>
      </c>
      <c r="H133" s="10" t="s">
        <v>11</v>
      </c>
      <c r="I133" s="11" t="s">
        <v>11</v>
      </c>
      <c r="J133" s="12"/>
    </row>
    <row r="134" spans="1:10" ht="60" customHeight="1">
      <c r="A134" s="6" t="s">
        <v>508</v>
      </c>
      <c r="B134" s="6" t="s">
        <v>24</v>
      </c>
      <c r="C134" s="6" t="s">
        <v>25</v>
      </c>
      <c r="D134" s="7" t="s">
        <v>473</v>
      </c>
      <c r="E134" s="8" t="s">
        <v>509</v>
      </c>
      <c r="F134" s="6" t="s">
        <v>510</v>
      </c>
      <c r="G134" s="9">
        <f>IF(A134=1,"_",IF(C134="_","???",C134))</f>
        <v/>
      </c>
      <c r="H134" s="10" t="s">
        <v>11</v>
      </c>
      <c r="I134" s="11" t="s">
        <v>11</v>
      </c>
      <c r="J134" s="12"/>
    </row>
    <row r="135" spans="1:10" ht="60" customHeight="1">
      <c r="A135" s="6" t="s">
        <v>511</v>
      </c>
      <c r="B135" s="6" t="s">
        <v>15</v>
      </c>
      <c r="C135" s="6" t="s">
        <v>48</v>
      </c>
      <c r="D135" s="7" t="s">
        <v>197</v>
      </c>
      <c r="E135" s="8" t="s">
        <v>512</v>
      </c>
      <c r="F135" s="6" t="s">
        <v>513</v>
      </c>
      <c r="G135" s="9">
        <f>IF(A135=1,"_",IF(C135="_","???",C135))</f>
        <v/>
      </c>
      <c r="H135" s="10" t="s">
        <v>11</v>
      </c>
      <c r="I135" s="11" t="s">
        <v>11</v>
      </c>
      <c r="J135" s="12"/>
    </row>
    <row r="136" spans="1:10" ht="60" customHeight="1">
      <c r="A136" s="6" t="s">
        <v>514</v>
      </c>
      <c r="B136" s="6" t="s">
        <v>43</v>
      </c>
      <c r="C136" s="6" t="s">
        <v>115</v>
      </c>
      <c r="D136" s="7" t="s">
        <v>515</v>
      </c>
      <c r="E136" s="8" t="s">
        <v>516</v>
      </c>
      <c r="F136" s="6" t="s">
        <v>517</v>
      </c>
      <c r="G136" s="9">
        <f>IF(A136=1,"_",IF(C136="_","???",C136))</f>
        <v/>
      </c>
      <c r="H136" s="10" t="s">
        <v>11</v>
      </c>
      <c r="I136" s="11" t="s">
        <v>11</v>
      </c>
      <c r="J136" s="12"/>
    </row>
    <row r="137" spans="1:10" ht="60" customHeight="1">
      <c r="A137" s="6" t="s">
        <v>518</v>
      </c>
      <c r="B137" s="6" t="s">
        <v>10</v>
      </c>
      <c r="C137" s="6" t="s">
        <v>11</v>
      </c>
      <c r="D137" s="7" t="s">
        <v>197</v>
      </c>
      <c r="E137" s="8" t="s">
        <v>519</v>
      </c>
      <c r="F137" s="6" t="s">
        <v>520</v>
      </c>
      <c r="G137" s="9">
        <f>IF(A137=1,"_",IF(C137="_","???",C137))</f>
        <v/>
      </c>
      <c r="H137" s="10" t="s">
        <v>11</v>
      </c>
      <c r="I137" s="11" t="s">
        <v>11</v>
      </c>
      <c r="J137" s="12"/>
    </row>
    <row r="138" spans="1:10" ht="60" customHeight="1">
      <c r="A138" s="6" t="s">
        <v>521</v>
      </c>
      <c r="B138" s="6" t="s">
        <v>15</v>
      </c>
      <c r="C138" s="6" t="s">
        <v>145</v>
      </c>
      <c r="D138" s="7" t="s">
        <v>522</v>
      </c>
      <c r="E138" s="8" t="s">
        <v>523</v>
      </c>
      <c r="F138" s="6" t="s">
        <v>524</v>
      </c>
      <c r="G138" s="9">
        <f>IF(A138=1,"_",IF(C138="_","???",C138))</f>
        <v/>
      </c>
      <c r="H138" s="10" t="s">
        <v>11</v>
      </c>
      <c r="I138" s="11" t="s">
        <v>11</v>
      </c>
      <c r="J138" s="12"/>
    </row>
    <row r="139" spans="1:10" ht="60" customHeight="1">
      <c r="A139" s="6" t="s">
        <v>525</v>
      </c>
      <c r="B139" s="6" t="s">
        <v>20</v>
      </c>
      <c r="C139" s="6" t="s">
        <v>161</v>
      </c>
      <c r="D139" s="7" t="s">
        <v>71</v>
      </c>
      <c r="E139" s="8" t="s">
        <v>526</v>
      </c>
      <c r="F139" s="6" t="s">
        <v>527</v>
      </c>
      <c r="G139" s="9">
        <f>IF(A139=1,"_",IF(C139="_","???",C139))</f>
        <v/>
      </c>
      <c r="H139" s="10" t="s">
        <v>11</v>
      </c>
      <c r="I139" s="11" t="s">
        <v>11</v>
      </c>
      <c r="J139" s="12"/>
    </row>
    <row r="140" spans="1:10" ht="60" customHeight="1">
      <c r="A140" s="6" t="s">
        <v>528</v>
      </c>
      <c r="B140" s="6" t="s">
        <v>15</v>
      </c>
      <c r="C140" s="6" t="s">
        <v>11</v>
      </c>
      <c r="D140" s="7" t="s">
        <v>461</v>
      </c>
      <c r="E140" s="8" t="s">
        <v>529</v>
      </c>
      <c r="F140" s="6" t="s">
        <v>530</v>
      </c>
      <c r="G140" s="9">
        <f>IF(A140=1,"_",IF(C140="_","???",C140))</f>
        <v/>
      </c>
      <c r="H140" s="10" t="s">
        <v>11</v>
      </c>
      <c r="I140" s="11" t="s">
        <v>11</v>
      </c>
      <c r="J140" s="12"/>
    </row>
    <row r="141" spans="1:10" ht="60" customHeight="1">
      <c r="A141" s="6" t="s">
        <v>531</v>
      </c>
      <c r="B141" s="6" t="s">
        <v>15</v>
      </c>
      <c r="C141" s="6" t="s">
        <v>25</v>
      </c>
      <c r="D141" s="7" t="s">
        <v>532</v>
      </c>
      <c r="E141" s="8" t="s">
        <v>533</v>
      </c>
      <c r="F141" s="6" t="s">
        <v>534</v>
      </c>
      <c r="G141" s="9">
        <f>IF(A141=1,"_",IF(C141="_","???",C141))</f>
        <v/>
      </c>
      <c r="H141" s="10" t="s">
        <v>11</v>
      </c>
      <c r="I141" s="11" t="s">
        <v>11</v>
      </c>
      <c r="J141" s="12"/>
    </row>
    <row r="142" spans="1:10" ht="60" customHeight="1">
      <c r="A142" s="6" t="s">
        <v>535</v>
      </c>
      <c r="B142" s="6" t="s">
        <v>536</v>
      </c>
      <c r="C142" s="6" t="s">
        <v>145</v>
      </c>
      <c r="D142" s="7" t="s">
        <v>537</v>
      </c>
      <c r="E142" s="8" t="s">
        <v>538</v>
      </c>
      <c r="F142" s="6" t="s">
        <v>539</v>
      </c>
      <c r="G142" s="9">
        <f>IF(A142=1,"_",IF(C142="_","???",C142))</f>
        <v/>
      </c>
      <c r="H142" s="10" t="s">
        <v>11</v>
      </c>
      <c r="I142" s="11" t="s">
        <v>11</v>
      </c>
      <c r="J142" s="12"/>
    </row>
    <row r="143" spans="1:10" ht="60" customHeight="1">
      <c r="A143" s="6" t="s">
        <v>540</v>
      </c>
      <c r="B143" s="6" t="s">
        <v>29</v>
      </c>
      <c r="C143" s="6" t="s">
        <v>541</v>
      </c>
      <c r="D143" s="7" t="s">
        <v>489</v>
      </c>
      <c r="E143" s="8" t="s">
        <v>542</v>
      </c>
      <c r="F143" s="6" t="s">
        <v>543</v>
      </c>
      <c r="G143" s="9">
        <f>IF(A143=1,"_",IF(C143="_","???",C143))</f>
        <v/>
      </c>
      <c r="H143" s="10" t="s">
        <v>11</v>
      </c>
      <c r="I143" s="11" t="s">
        <v>11</v>
      </c>
      <c r="J143" s="12"/>
    </row>
    <row r="144" spans="1:10" ht="60" customHeight="1">
      <c r="A144" s="6" t="s">
        <v>544</v>
      </c>
      <c r="B144" s="6" t="s">
        <v>24</v>
      </c>
      <c r="C144" s="6" t="s">
        <v>11</v>
      </c>
      <c r="D144" s="7" t="s">
        <v>545</v>
      </c>
      <c r="E144" s="8" t="s">
        <v>546</v>
      </c>
      <c r="F144" s="6" t="s">
        <v>547</v>
      </c>
      <c r="G144" s="9">
        <f>IF(A144=1,"_",IF(C144="_","???",C144))</f>
        <v/>
      </c>
      <c r="H144" s="10" t="s">
        <v>11</v>
      </c>
      <c r="I144" s="11" t="s">
        <v>11</v>
      </c>
      <c r="J144" s="12"/>
    </row>
    <row r="145" spans="1:10" ht="60" customHeight="1">
      <c r="A145" s="6" t="s">
        <v>548</v>
      </c>
      <c r="B145" s="6" t="s">
        <v>15</v>
      </c>
      <c r="C145" s="6" t="s">
        <v>11</v>
      </c>
      <c r="D145" s="7" t="s">
        <v>71</v>
      </c>
      <c r="E145" s="8" t="s">
        <v>549</v>
      </c>
      <c r="F145" s="6" t="s">
        <v>550</v>
      </c>
      <c r="G145" s="9">
        <f>IF(A145=1,"_",IF(C145="_","???",C145))</f>
        <v/>
      </c>
      <c r="H145" s="10" t="s">
        <v>11</v>
      </c>
      <c r="I145" s="11" t="s">
        <v>11</v>
      </c>
      <c r="J145" s="12"/>
    </row>
    <row r="146" spans="1:10" ht="60" customHeight="1">
      <c r="A146" s="6" t="s">
        <v>551</v>
      </c>
      <c r="B146" s="6" t="s">
        <v>10</v>
      </c>
      <c r="C146" s="6" t="s">
        <v>25</v>
      </c>
      <c r="D146" s="7" t="s">
        <v>552</v>
      </c>
      <c r="E146" s="8" t="s">
        <v>553</v>
      </c>
      <c r="F146" s="6" t="s">
        <v>554</v>
      </c>
      <c r="G146" s="9">
        <f>IF(A146=1,"_",IF(C146="_","???",C146))</f>
        <v/>
      </c>
      <c r="H146" s="10" t="s">
        <v>11</v>
      </c>
      <c r="I146" s="11" t="s">
        <v>11</v>
      </c>
      <c r="J146" s="12"/>
    </row>
    <row r="147" spans="1:10" ht="60" customHeight="1">
      <c r="A147" s="6" t="s">
        <v>555</v>
      </c>
      <c r="B147" s="6" t="s">
        <v>24</v>
      </c>
      <c r="C147" s="6" t="s">
        <v>25</v>
      </c>
      <c r="D147" s="7" t="s">
        <v>275</v>
      </c>
      <c r="E147" s="8" t="s">
        <v>556</v>
      </c>
      <c r="F147" s="6" t="s">
        <v>557</v>
      </c>
      <c r="G147" s="9">
        <f>IF(A147=1,"_",IF(C147="_","???",C147))</f>
        <v/>
      </c>
      <c r="H147" s="10" t="s">
        <v>11</v>
      </c>
      <c r="I147" s="11" t="s">
        <v>11</v>
      </c>
      <c r="J147" s="12"/>
    </row>
    <row r="148" spans="1:10" ht="60" customHeight="1">
      <c r="A148" s="6" t="s">
        <v>558</v>
      </c>
      <c r="B148" s="6" t="s">
        <v>15</v>
      </c>
      <c r="C148" s="6" t="s">
        <v>48</v>
      </c>
      <c r="D148" s="7" t="s">
        <v>30</v>
      </c>
      <c r="E148" s="8" t="s">
        <v>386</v>
      </c>
      <c r="F148" s="6" t="s">
        <v>559</v>
      </c>
      <c r="G148" s="9">
        <f>IF(A148=1,"_",IF(C148="_","???",C148))</f>
        <v/>
      </c>
      <c r="H148" s="10" t="s">
        <v>11</v>
      </c>
      <c r="I148" s="11" t="s">
        <v>11</v>
      </c>
      <c r="J148" s="12"/>
    </row>
    <row r="149" spans="1:10" ht="60" customHeight="1">
      <c r="A149" s="6" t="s">
        <v>560</v>
      </c>
      <c r="B149" s="6" t="s">
        <v>20</v>
      </c>
      <c r="C149" s="6" t="s">
        <v>11</v>
      </c>
      <c r="D149" s="7" t="s">
        <v>197</v>
      </c>
      <c r="E149" s="8" t="s">
        <v>561</v>
      </c>
      <c r="F149" s="6" t="s">
        <v>562</v>
      </c>
      <c r="G149" s="9">
        <f>IF(A149=1,"_",IF(C149="_","???",C149))</f>
        <v/>
      </c>
      <c r="H149" s="10" t="s">
        <v>11</v>
      </c>
      <c r="I149" s="11" t="s">
        <v>11</v>
      </c>
      <c r="J149" s="12"/>
    </row>
    <row r="150" spans="1:10" ht="60" customHeight="1">
      <c r="A150" s="6" t="s">
        <v>563</v>
      </c>
      <c r="B150" s="6" t="s">
        <v>47</v>
      </c>
      <c r="C150" s="6" t="s">
        <v>145</v>
      </c>
      <c r="D150" s="7" t="s">
        <v>564</v>
      </c>
      <c r="E150" s="8" t="s">
        <v>565</v>
      </c>
      <c r="F150" s="6" t="s">
        <v>566</v>
      </c>
      <c r="G150" s="9">
        <f>IF(A150=1,"_",IF(C150="_","???",C150))</f>
        <v/>
      </c>
      <c r="H150" s="10" t="s">
        <v>11</v>
      </c>
      <c r="I150" s="11" t="s">
        <v>11</v>
      </c>
      <c r="J150" s="12"/>
    </row>
    <row r="151" spans="1:10" ht="60" customHeight="1">
      <c r="A151" s="6" t="s">
        <v>567</v>
      </c>
      <c r="B151" s="6" t="s">
        <v>15</v>
      </c>
      <c r="C151" s="6" t="s">
        <v>145</v>
      </c>
      <c r="D151" s="7" t="s">
        <v>568</v>
      </c>
      <c r="E151" s="8" t="s">
        <v>569</v>
      </c>
      <c r="F151" s="6" t="s">
        <v>570</v>
      </c>
      <c r="G151" s="9">
        <f>IF(A151=1,"_",IF(C151="_","???",C151))</f>
        <v/>
      </c>
      <c r="H151" s="10" t="s">
        <v>11</v>
      </c>
      <c r="I151" s="11" t="s">
        <v>11</v>
      </c>
      <c r="J151" s="12"/>
    </row>
    <row r="152" spans="1:10" ht="60" customHeight="1">
      <c r="A152" s="6" t="s">
        <v>571</v>
      </c>
      <c r="B152" s="6" t="s">
        <v>74</v>
      </c>
      <c r="C152" s="6" t="s">
        <v>196</v>
      </c>
      <c r="D152" s="7" t="s">
        <v>572</v>
      </c>
      <c r="E152" s="8" t="s">
        <v>573</v>
      </c>
      <c r="F152" s="6" t="s">
        <v>574</v>
      </c>
      <c r="G152" s="9">
        <f>IF(A152=1,"_",IF(C152="_","???",C152))</f>
        <v/>
      </c>
      <c r="H152" s="10" t="s">
        <v>11</v>
      </c>
      <c r="I152" s="11" t="s">
        <v>11</v>
      </c>
      <c r="J152" s="12"/>
    </row>
    <row r="153" spans="1:10" ht="60" customHeight="1">
      <c r="A153" s="6" t="s">
        <v>575</v>
      </c>
      <c r="B153" s="6" t="s">
        <v>15</v>
      </c>
      <c r="C153" s="6" t="s">
        <v>11</v>
      </c>
      <c r="D153" s="7" t="s">
        <v>576</v>
      </c>
      <c r="E153" s="8" t="s">
        <v>577</v>
      </c>
      <c r="F153" s="6" t="s">
        <v>578</v>
      </c>
      <c r="G153" s="9">
        <f>IF(A153=1,"_",IF(C153="_","???",C153))</f>
        <v/>
      </c>
      <c r="H153" s="10" t="s">
        <v>11</v>
      </c>
      <c r="I153" s="11" t="s">
        <v>11</v>
      </c>
      <c r="J153" s="12"/>
    </row>
    <row r="154" spans="1:10" ht="60" customHeight="1">
      <c r="A154" s="6" t="s">
        <v>579</v>
      </c>
      <c r="B154" s="6" t="s">
        <v>15</v>
      </c>
      <c r="C154" s="6" t="s">
        <v>196</v>
      </c>
      <c r="D154" s="7" t="s">
        <v>12</v>
      </c>
      <c r="E154" s="8" t="s">
        <v>580</v>
      </c>
      <c r="F154" s="6" t="s">
        <v>581</v>
      </c>
      <c r="G154" s="9">
        <f>IF(A154=1,"_",IF(C154="_","???",C154))</f>
        <v/>
      </c>
      <c r="H154" s="10" t="s">
        <v>11</v>
      </c>
      <c r="I154" s="11" t="s">
        <v>11</v>
      </c>
      <c r="J154" s="12"/>
    </row>
    <row r="155" spans="1:10" ht="60" customHeight="1">
      <c r="A155" s="6" t="s">
        <v>582</v>
      </c>
      <c r="B155" s="6" t="s">
        <v>15</v>
      </c>
      <c r="C155" s="6" t="s">
        <v>11</v>
      </c>
      <c r="D155" s="7" t="s">
        <v>583</v>
      </c>
      <c r="E155" s="8" t="s">
        <v>584</v>
      </c>
      <c r="F155" s="6" t="s">
        <v>585</v>
      </c>
      <c r="G155" s="9">
        <f>IF(A155=1,"_",IF(C155="_","???",C155))</f>
        <v/>
      </c>
      <c r="H155" s="10" t="s">
        <v>11</v>
      </c>
      <c r="I155" s="11" t="s">
        <v>11</v>
      </c>
      <c r="J155" s="12"/>
    </row>
    <row r="156" spans="1:10" ht="60" customHeight="1">
      <c r="A156" s="6" t="s">
        <v>586</v>
      </c>
      <c r="B156" s="6" t="s">
        <v>10</v>
      </c>
      <c r="C156" s="6" t="s">
        <v>11</v>
      </c>
      <c r="D156" s="7" t="s">
        <v>587</v>
      </c>
      <c r="E156" s="8" t="s">
        <v>588</v>
      </c>
      <c r="F156" s="6" t="s">
        <v>589</v>
      </c>
      <c r="G156" s="9">
        <f>IF(A156=1,"_",IF(C156="_","???",C156))</f>
        <v/>
      </c>
      <c r="H156" s="10" t="s">
        <v>11</v>
      </c>
      <c r="I156" s="11" t="s">
        <v>11</v>
      </c>
      <c r="J156" s="12"/>
    </row>
    <row r="157" spans="1:10" ht="60" customHeight="1">
      <c r="A157" s="6" t="s">
        <v>590</v>
      </c>
      <c r="B157" s="6" t="s">
        <v>20</v>
      </c>
      <c r="C157" s="6" t="s">
        <v>11</v>
      </c>
      <c r="D157" s="7" t="s">
        <v>591</v>
      </c>
      <c r="E157" s="8" t="s">
        <v>592</v>
      </c>
      <c r="F157" s="6" t="s">
        <v>593</v>
      </c>
      <c r="G157" s="9">
        <f>IF(A157=1,"_",IF(C157="_","???",C157))</f>
        <v/>
      </c>
      <c r="H157" s="10" t="s">
        <v>11</v>
      </c>
      <c r="I157" s="11" t="s">
        <v>11</v>
      </c>
      <c r="J157" s="12"/>
    </row>
    <row r="158" spans="1:10" ht="60" customHeight="1">
      <c r="A158" s="6" t="s">
        <v>594</v>
      </c>
      <c r="B158" s="6" t="s">
        <v>10</v>
      </c>
      <c r="C158" s="6" t="s">
        <v>11</v>
      </c>
      <c r="D158" s="7" t="s">
        <v>595</v>
      </c>
      <c r="E158" s="8" t="s">
        <v>596</v>
      </c>
      <c r="F158" s="6" t="s">
        <v>597</v>
      </c>
      <c r="G158" s="9">
        <f>IF(A158=1,"_",IF(C158="_","???",C158))</f>
        <v/>
      </c>
      <c r="H158" s="10" t="s">
        <v>11</v>
      </c>
      <c r="I158" s="11" t="s">
        <v>11</v>
      </c>
      <c r="J158" s="12"/>
    </row>
    <row r="159" spans="1:10" ht="60" customHeight="1">
      <c r="A159" s="6" t="s">
        <v>598</v>
      </c>
      <c r="B159" s="6" t="s">
        <v>10</v>
      </c>
      <c r="C159" s="6" t="s">
        <v>11</v>
      </c>
      <c r="D159" s="7" t="s">
        <v>30</v>
      </c>
      <c r="E159" s="8" t="s">
        <v>599</v>
      </c>
      <c r="F159" s="6" t="s">
        <v>600</v>
      </c>
      <c r="G159" s="9">
        <f>IF(A159=1,"_",IF(C159="_","???",C159))</f>
        <v/>
      </c>
      <c r="H159" s="10" t="s">
        <v>11</v>
      </c>
      <c r="I159" s="11" t="s">
        <v>11</v>
      </c>
      <c r="J159" s="12"/>
    </row>
    <row r="160" spans="1:10" ht="60" customHeight="1">
      <c r="A160" s="6" t="s">
        <v>601</v>
      </c>
      <c r="B160" s="6" t="s">
        <v>10</v>
      </c>
      <c r="C160" s="6" t="s">
        <v>67</v>
      </c>
      <c r="D160" s="7" t="s">
        <v>591</v>
      </c>
      <c r="E160" s="8" t="s">
        <v>602</v>
      </c>
      <c r="F160" s="6" t="s">
        <v>603</v>
      </c>
      <c r="G160" s="9">
        <f>IF(A160=1,"_",IF(C160="_","???",C160))</f>
        <v/>
      </c>
      <c r="H160" s="10" t="s">
        <v>11</v>
      </c>
      <c r="I160" s="11" t="s">
        <v>11</v>
      </c>
      <c r="J160" s="12"/>
    </row>
    <row r="161" spans="1:10" ht="60" customHeight="1">
      <c r="A161" s="6" t="s">
        <v>604</v>
      </c>
      <c r="B161" s="6" t="s">
        <v>24</v>
      </c>
      <c r="C161" s="6" t="s">
        <v>11</v>
      </c>
      <c r="D161" s="7" t="s">
        <v>605</v>
      </c>
      <c r="E161" s="8" t="s">
        <v>606</v>
      </c>
      <c r="F161" s="6" t="s">
        <v>607</v>
      </c>
      <c r="G161" s="9">
        <f>IF(A161=1,"_",IF(C161="_","???",C161))</f>
        <v/>
      </c>
      <c r="H161" s="10" t="s">
        <v>11</v>
      </c>
      <c r="I161" s="11" t="s">
        <v>11</v>
      </c>
      <c r="J161" s="12"/>
    </row>
    <row r="162" spans="1:10" ht="60" customHeight="1">
      <c r="A162" s="6" t="s">
        <v>608</v>
      </c>
      <c r="B162" s="6" t="s">
        <v>10</v>
      </c>
      <c r="C162" s="6" t="s">
        <v>11</v>
      </c>
      <c r="D162" s="7" t="s">
        <v>609</v>
      </c>
      <c r="E162" s="8" t="s">
        <v>610</v>
      </c>
      <c r="F162" s="6" t="s">
        <v>611</v>
      </c>
      <c r="G162" s="9">
        <f>IF(A162=1,"_",IF(C162="_","???",C162))</f>
        <v/>
      </c>
      <c r="H162" s="10" t="s">
        <v>11</v>
      </c>
      <c r="I162" s="11" t="s">
        <v>11</v>
      </c>
      <c r="J162" s="12"/>
    </row>
    <row r="163" spans="1:10" ht="60" customHeight="1">
      <c r="A163" s="6" t="s">
        <v>612</v>
      </c>
      <c r="B163" s="6" t="s">
        <v>29</v>
      </c>
      <c r="C163" s="6" t="s">
        <v>11</v>
      </c>
      <c r="D163" s="7" t="s">
        <v>12</v>
      </c>
      <c r="E163" s="8" t="s">
        <v>613</v>
      </c>
      <c r="F163" s="6" t="s">
        <v>614</v>
      </c>
      <c r="G163" s="9">
        <f>IF(A163=1,"_",IF(C163="_","???",C163))</f>
        <v/>
      </c>
      <c r="H163" s="10" t="s">
        <v>11</v>
      </c>
      <c r="I163" s="11" t="s">
        <v>11</v>
      </c>
      <c r="J163" s="12"/>
    </row>
    <row r="164" spans="1:10" ht="60" customHeight="1">
      <c r="A164" s="6" t="s">
        <v>615</v>
      </c>
      <c r="B164" s="6" t="s">
        <v>66</v>
      </c>
      <c r="C164" s="6" t="s">
        <v>11</v>
      </c>
      <c r="D164" s="7" t="s">
        <v>616</v>
      </c>
      <c r="E164" s="8" t="s">
        <v>617</v>
      </c>
      <c r="F164" s="6" t="s">
        <v>618</v>
      </c>
      <c r="G164" s="9">
        <f>IF(A164=1,"_",IF(C164="_","???",C164))</f>
        <v/>
      </c>
      <c r="H164" s="10" t="s">
        <v>11</v>
      </c>
      <c r="I164" s="11" t="s">
        <v>11</v>
      </c>
      <c r="J164" s="12"/>
    </row>
    <row r="165" spans="1:10" ht="60" customHeight="1">
      <c r="A165" s="6" t="s">
        <v>619</v>
      </c>
      <c r="B165" s="6" t="s">
        <v>10</v>
      </c>
      <c r="C165" s="6" t="s">
        <v>11</v>
      </c>
      <c r="D165" s="7" t="s">
        <v>620</v>
      </c>
      <c r="E165" s="8" t="s">
        <v>621</v>
      </c>
      <c r="F165" s="6" t="s">
        <v>622</v>
      </c>
      <c r="G165" s="9">
        <f>IF(A165=1,"_",IF(C165="_","???",C165))</f>
        <v/>
      </c>
      <c r="H165" s="10" t="s">
        <v>11</v>
      </c>
      <c r="I165" s="11" t="s">
        <v>11</v>
      </c>
      <c r="J165" s="12"/>
    </row>
    <row r="166" spans="1:10" ht="60" customHeight="1">
      <c r="A166" s="6" t="s">
        <v>623</v>
      </c>
      <c r="B166" s="6" t="s">
        <v>10</v>
      </c>
      <c r="C166" s="6" t="s">
        <v>11</v>
      </c>
      <c r="D166" s="7" t="s">
        <v>624</v>
      </c>
      <c r="E166" s="8" t="s">
        <v>625</v>
      </c>
      <c r="F166" s="6" t="s">
        <v>626</v>
      </c>
      <c r="G166" s="9">
        <f>IF(A166=1,"_",IF(C166="_","???",C166))</f>
        <v/>
      </c>
      <c r="H166" s="10" t="s">
        <v>11</v>
      </c>
      <c r="I166" s="11" t="s">
        <v>11</v>
      </c>
      <c r="J166" s="12"/>
    </row>
    <row r="167" spans="1:10" ht="60" customHeight="1">
      <c r="A167" s="6" t="s">
        <v>627</v>
      </c>
      <c r="B167" s="6" t="s">
        <v>20</v>
      </c>
      <c r="C167" s="6" t="s">
        <v>25</v>
      </c>
      <c r="D167" s="7" t="s">
        <v>12</v>
      </c>
      <c r="E167" s="8" t="s">
        <v>628</v>
      </c>
      <c r="F167" s="6" t="s">
        <v>629</v>
      </c>
      <c r="G167" s="9">
        <f>IF(A167=1,"_",IF(C167="_","???",C167))</f>
        <v/>
      </c>
      <c r="H167" s="10" t="s">
        <v>11</v>
      </c>
      <c r="I167" s="11" t="s">
        <v>11</v>
      </c>
      <c r="J167" s="12"/>
    </row>
    <row r="168" spans="1:10" ht="60" customHeight="1">
      <c r="A168" s="6" t="s">
        <v>630</v>
      </c>
      <c r="B168" s="6" t="s">
        <v>10</v>
      </c>
      <c r="C168" s="6" t="s">
        <v>25</v>
      </c>
      <c r="D168" s="7" t="s">
        <v>505</v>
      </c>
      <c r="E168" s="8" t="s">
        <v>506</v>
      </c>
      <c r="F168" s="6" t="s">
        <v>631</v>
      </c>
      <c r="G168" s="9">
        <f>IF(A168=1,"_",IF(C168="_","???",C168))</f>
        <v/>
      </c>
      <c r="H168" s="10" t="s">
        <v>11</v>
      </c>
      <c r="I168" s="11" t="s">
        <v>11</v>
      </c>
      <c r="J168" s="12"/>
    </row>
    <row r="169" spans="1:10" ht="60" customHeight="1">
      <c r="A169" s="6" t="s">
        <v>632</v>
      </c>
      <c r="B169" s="6" t="s">
        <v>29</v>
      </c>
      <c r="C169" s="6" t="s">
        <v>11</v>
      </c>
      <c r="D169" s="7" t="s">
        <v>633</v>
      </c>
      <c r="E169" s="8" t="s">
        <v>634</v>
      </c>
      <c r="F169" s="6" t="s">
        <v>635</v>
      </c>
      <c r="G169" s="9">
        <f>IF(A169=1,"_",IF(C169="_","???",C169))</f>
        <v/>
      </c>
      <c r="H169" s="10" t="s">
        <v>11</v>
      </c>
      <c r="I169" s="11" t="s">
        <v>11</v>
      </c>
      <c r="J169" s="12"/>
    </row>
    <row r="170" spans="1:10" ht="60" customHeight="1">
      <c r="A170" s="6" t="s">
        <v>636</v>
      </c>
      <c r="B170" s="6" t="s">
        <v>10</v>
      </c>
      <c r="C170" s="6" t="s">
        <v>11</v>
      </c>
      <c r="D170" s="7" t="s">
        <v>637</v>
      </c>
      <c r="E170" s="8" t="s">
        <v>638</v>
      </c>
      <c r="F170" s="6" t="s">
        <v>639</v>
      </c>
      <c r="G170" s="9">
        <f>IF(A170=1,"_",IF(C170="_","???",C170))</f>
        <v/>
      </c>
      <c r="H170" s="10" t="s">
        <v>11</v>
      </c>
      <c r="I170" s="11" t="s">
        <v>11</v>
      </c>
      <c r="J170" s="12"/>
    </row>
    <row r="171" spans="1:10" ht="60" customHeight="1">
      <c r="A171" s="6" t="s">
        <v>640</v>
      </c>
      <c r="B171" s="6" t="s">
        <v>20</v>
      </c>
      <c r="C171" s="6" t="s">
        <v>11</v>
      </c>
      <c r="D171" s="7" t="s">
        <v>641</v>
      </c>
      <c r="E171" s="8" t="s">
        <v>642</v>
      </c>
      <c r="F171" s="6" t="s">
        <v>643</v>
      </c>
      <c r="G171" s="9">
        <f>IF(A171=1,"_",IF(C171="_","???",C171))</f>
        <v/>
      </c>
      <c r="H171" s="10" t="s">
        <v>11</v>
      </c>
      <c r="I171" s="11" t="s">
        <v>11</v>
      </c>
      <c r="J171" s="12"/>
    </row>
    <row r="172" spans="1:10" ht="60" customHeight="1">
      <c r="A172" s="6" t="s">
        <v>644</v>
      </c>
      <c r="B172" s="6" t="s">
        <v>15</v>
      </c>
      <c r="C172" s="6" t="s">
        <v>145</v>
      </c>
      <c r="D172" s="7" t="s">
        <v>12</v>
      </c>
      <c r="E172" s="8" t="s">
        <v>645</v>
      </c>
      <c r="F172" s="6" t="s">
        <v>646</v>
      </c>
      <c r="G172" s="9">
        <f>IF(A172=1,"_",IF(C172="_","???",C172))</f>
        <v/>
      </c>
      <c r="H172" s="10" t="s">
        <v>11</v>
      </c>
      <c r="I172" s="11" t="s">
        <v>11</v>
      </c>
      <c r="J172" s="12"/>
    </row>
    <row r="173" spans="1:10" ht="60" customHeight="1">
      <c r="A173" s="6" t="s">
        <v>647</v>
      </c>
      <c r="B173" s="6" t="s">
        <v>29</v>
      </c>
      <c r="C173" s="6" t="s">
        <v>11</v>
      </c>
      <c r="D173" s="7" t="s">
        <v>12</v>
      </c>
      <c r="E173" s="8" t="s">
        <v>648</v>
      </c>
      <c r="F173" s="6" t="s">
        <v>649</v>
      </c>
      <c r="G173" s="9">
        <f>IF(A173=1,"_",IF(C173="_","???",C173))</f>
        <v/>
      </c>
      <c r="H173" s="10" t="s">
        <v>11</v>
      </c>
      <c r="I173" s="11" t="s">
        <v>11</v>
      </c>
      <c r="J173" s="12"/>
    </row>
    <row r="174" spans="1:10" ht="60" customHeight="1">
      <c r="A174" s="6" t="s">
        <v>650</v>
      </c>
      <c r="B174" s="6" t="s">
        <v>10</v>
      </c>
      <c r="C174" s="6" t="s">
        <v>11</v>
      </c>
      <c r="D174" s="7" t="s">
        <v>651</v>
      </c>
      <c r="E174" s="8" t="s">
        <v>652</v>
      </c>
      <c r="F174" s="6" t="s">
        <v>653</v>
      </c>
      <c r="G174" s="9">
        <f>IF(A174=1,"_",IF(C174="_","???",C174))</f>
        <v/>
      </c>
      <c r="H174" s="10" t="s">
        <v>11</v>
      </c>
      <c r="I174" s="11" t="s">
        <v>11</v>
      </c>
      <c r="J174" s="12"/>
    </row>
    <row r="175" spans="1:10" ht="60" customHeight="1">
      <c r="A175" s="6" t="s">
        <v>654</v>
      </c>
      <c r="B175" s="6" t="s">
        <v>10</v>
      </c>
      <c r="C175" s="6" t="s">
        <v>170</v>
      </c>
      <c r="D175" s="7" t="s">
        <v>655</v>
      </c>
      <c r="E175" s="8" t="s">
        <v>656</v>
      </c>
      <c r="F175" s="6" t="s">
        <v>657</v>
      </c>
      <c r="G175" s="9">
        <f>IF(A175=1,"_",IF(C175="_","???",C175))</f>
        <v/>
      </c>
      <c r="H175" s="10" t="s">
        <v>11</v>
      </c>
      <c r="I175" s="11" t="s">
        <v>11</v>
      </c>
      <c r="J175" s="12"/>
    </row>
    <row r="176" spans="1:10" ht="60" customHeight="1">
      <c r="A176" s="6" t="s">
        <v>658</v>
      </c>
      <c r="B176" s="6" t="s">
        <v>15</v>
      </c>
      <c r="C176" s="6" t="s">
        <v>55</v>
      </c>
      <c r="D176" s="7" t="s">
        <v>659</v>
      </c>
      <c r="E176" s="8" t="s">
        <v>660</v>
      </c>
      <c r="F176" s="6" t="s">
        <v>661</v>
      </c>
      <c r="G176" s="9">
        <f>IF(A176=1,"_",IF(C176="_","???",C176))</f>
        <v/>
      </c>
      <c r="H176" s="10" t="s">
        <v>11</v>
      </c>
      <c r="I176" s="11" t="s">
        <v>11</v>
      </c>
      <c r="J176" s="12"/>
    </row>
    <row r="177" spans="1:10" ht="60" customHeight="1">
      <c r="A177" s="6" t="s">
        <v>662</v>
      </c>
      <c r="B177" s="6" t="s">
        <v>10</v>
      </c>
      <c r="C177" s="6" t="s">
        <v>11</v>
      </c>
      <c r="D177" s="7" t="s">
        <v>663</v>
      </c>
      <c r="E177" s="8" t="s">
        <v>664</v>
      </c>
      <c r="F177" s="6" t="s">
        <v>665</v>
      </c>
      <c r="G177" s="9">
        <f>IF(A177=1,"_",IF(C177="_","???",C177))</f>
        <v/>
      </c>
      <c r="H177" s="10" t="s">
        <v>11</v>
      </c>
      <c r="I177" s="11" t="s">
        <v>11</v>
      </c>
      <c r="J177" s="12"/>
    </row>
    <row r="178" spans="1:10" ht="60" customHeight="1">
      <c r="A178" s="6" t="s">
        <v>666</v>
      </c>
      <c r="B178" s="6" t="s">
        <v>10</v>
      </c>
      <c r="C178" s="6" t="s">
        <v>11</v>
      </c>
      <c r="D178" s="7" t="s">
        <v>667</v>
      </c>
      <c r="E178" s="8" t="s">
        <v>668</v>
      </c>
      <c r="F178" s="6" t="s">
        <v>669</v>
      </c>
      <c r="G178" s="9">
        <f>IF(A178=1,"_",IF(C178="_","???",C178))</f>
        <v/>
      </c>
      <c r="H178" s="10" t="s">
        <v>11</v>
      </c>
      <c r="I178" s="11" t="s">
        <v>11</v>
      </c>
      <c r="J178" s="12"/>
    </row>
    <row r="179" spans="1:10" ht="60" customHeight="1">
      <c r="A179" s="6" t="s">
        <v>670</v>
      </c>
      <c r="B179" s="6" t="s">
        <v>15</v>
      </c>
      <c r="C179" s="6" t="s">
        <v>11</v>
      </c>
      <c r="D179" s="7" t="s">
        <v>671</v>
      </c>
      <c r="E179" s="8" t="s">
        <v>672</v>
      </c>
      <c r="F179" s="6" t="s">
        <v>673</v>
      </c>
      <c r="G179" s="9">
        <f>IF(A179=1,"_",IF(C179="_","???",C179))</f>
        <v/>
      </c>
      <c r="H179" s="10" t="s">
        <v>11</v>
      </c>
      <c r="I179" s="11" t="s">
        <v>11</v>
      </c>
      <c r="J179" s="12"/>
    </row>
    <row r="180" spans="1:10" ht="60" customHeight="1">
      <c r="A180" s="6" t="s">
        <v>674</v>
      </c>
      <c r="B180" s="6" t="s">
        <v>16</v>
      </c>
      <c r="C180" s="6" t="s">
        <v>25</v>
      </c>
      <c r="D180" s="7" t="s">
        <v>675</v>
      </c>
      <c r="E180" s="8" t="s">
        <v>676</v>
      </c>
      <c r="F180" s="6" t="s">
        <v>677</v>
      </c>
      <c r="G180" s="9">
        <f>IF(A180=1,"_",IF(C180="_","???",C180))</f>
        <v/>
      </c>
      <c r="H180" s="10" t="s">
        <v>11</v>
      </c>
      <c r="I180" s="11" t="s">
        <v>11</v>
      </c>
      <c r="J180" s="12"/>
    </row>
    <row r="181" spans="1:10" ht="60" customHeight="1">
      <c r="A181" s="6" t="s">
        <v>678</v>
      </c>
      <c r="B181" s="6" t="s">
        <v>10</v>
      </c>
      <c r="C181" s="6" t="s">
        <v>11</v>
      </c>
      <c r="D181" s="7" t="s">
        <v>197</v>
      </c>
      <c r="E181" s="8" t="s">
        <v>679</v>
      </c>
      <c r="F181" s="6" t="s">
        <v>680</v>
      </c>
      <c r="G181" s="9">
        <f>IF(A181=1,"_",IF(C181="_","???",C181))</f>
        <v/>
      </c>
      <c r="H181" s="10" t="s">
        <v>11</v>
      </c>
      <c r="I181" s="11" t="s">
        <v>11</v>
      </c>
      <c r="J181" s="12"/>
    </row>
    <row r="182" spans="1:10" ht="60" customHeight="1">
      <c r="A182" s="6" t="s">
        <v>681</v>
      </c>
      <c r="B182" s="6" t="s">
        <v>10</v>
      </c>
      <c r="C182" s="6" t="s">
        <v>11</v>
      </c>
      <c r="D182" s="7" t="s">
        <v>682</v>
      </c>
      <c r="E182" s="8" t="s">
        <v>683</v>
      </c>
      <c r="F182" s="6" t="s">
        <v>684</v>
      </c>
      <c r="G182" s="9">
        <f>IF(A182=1,"_",IF(C182="_","???",C182))</f>
        <v/>
      </c>
      <c r="H182" s="10" t="s">
        <v>11</v>
      </c>
      <c r="I182" s="11" t="s">
        <v>11</v>
      </c>
      <c r="J182" s="12"/>
    </row>
    <row r="183" spans="1:10" ht="60" customHeight="1">
      <c r="A183" s="6" t="s">
        <v>685</v>
      </c>
      <c r="B183" s="6" t="s">
        <v>62</v>
      </c>
      <c r="C183" s="6" t="s">
        <v>48</v>
      </c>
      <c r="D183" s="7" t="s">
        <v>30</v>
      </c>
      <c r="E183" s="8" t="s">
        <v>686</v>
      </c>
      <c r="F183" s="6" t="s">
        <v>687</v>
      </c>
      <c r="G183" s="9">
        <f>IF(A183=1,"_",IF(C183="_","???",C183))</f>
        <v/>
      </c>
      <c r="H183" s="10" t="s">
        <v>11</v>
      </c>
      <c r="I183" s="11" t="s">
        <v>11</v>
      </c>
      <c r="J183" s="12"/>
    </row>
    <row r="184" spans="1:10" ht="60" customHeight="1">
      <c r="A184" s="6" t="s">
        <v>688</v>
      </c>
      <c r="B184" s="6" t="s">
        <v>10</v>
      </c>
      <c r="C184" s="6" t="s">
        <v>11</v>
      </c>
      <c r="D184" s="7" t="s">
        <v>30</v>
      </c>
      <c r="E184" s="8" t="s">
        <v>689</v>
      </c>
      <c r="F184" s="6" t="s">
        <v>690</v>
      </c>
      <c r="G184" s="9">
        <f>IF(A184=1,"_",IF(C184="_","???",C184))</f>
        <v/>
      </c>
      <c r="H184" s="10" t="s">
        <v>11</v>
      </c>
      <c r="I184" s="11" t="s">
        <v>11</v>
      </c>
      <c r="J184" s="12"/>
    </row>
    <row r="185" spans="1:10" ht="60" customHeight="1">
      <c r="A185" s="6" t="s">
        <v>691</v>
      </c>
      <c r="B185" s="6" t="s">
        <v>15</v>
      </c>
      <c r="C185" s="6" t="s">
        <v>340</v>
      </c>
      <c r="D185" s="7" t="s">
        <v>692</v>
      </c>
      <c r="E185" s="8" t="s">
        <v>693</v>
      </c>
      <c r="F185" s="6" t="s">
        <v>694</v>
      </c>
      <c r="G185" s="9">
        <f>IF(A185=1,"_",IF(C185="_","???",C185))</f>
        <v/>
      </c>
      <c r="H185" s="10" t="s">
        <v>11</v>
      </c>
      <c r="I185" s="11" t="s">
        <v>11</v>
      </c>
      <c r="J185" s="12"/>
    </row>
    <row r="186" spans="1:10" ht="60" customHeight="1">
      <c r="A186" s="6" t="s">
        <v>695</v>
      </c>
      <c r="B186" s="6" t="s">
        <v>10</v>
      </c>
      <c r="C186" s="6" t="s">
        <v>11</v>
      </c>
      <c r="D186" s="7" t="s">
        <v>696</v>
      </c>
      <c r="E186" s="8" t="s">
        <v>697</v>
      </c>
      <c r="F186" s="6" t="s">
        <v>698</v>
      </c>
      <c r="G186" s="9">
        <f>IF(A186=1,"_",IF(C186="_","???",C186))</f>
        <v/>
      </c>
      <c r="H186" s="10" t="s">
        <v>11</v>
      </c>
      <c r="I186" s="11" t="s">
        <v>11</v>
      </c>
      <c r="J186" s="12"/>
    </row>
    <row r="187" spans="1:10" ht="60" customHeight="1">
      <c r="A187" s="6" t="s">
        <v>699</v>
      </c>
      <c r="B187" s="6" t="s">
        <v>15</v>
      </c>
      <c r="C187" s="6" t="s">
        <v>11</v>
      </c>
      <c r="D187" s="7" t="s">
        <v>12</v>
      </c>
      <c r="E187" s="8" t="s">
        <v>700</v>
      </c>
      <c r="F187" s="6" t="s">
        <v>701</v>
      </c>
      <c r="G187" s="9">
        <f>IF(A187=1,"_",IF(C187="_","???",C187))</f>
        <v/>
      </c>
      <c r="H187" s="10" t="s">
        <v>11</v>
      </c>
      <c r="I187" s="11" t="s">
        <v>11</v>
      </c>
      <c r="J187" s="12"/>
    </row>
    <row r="188" spans="1:10" ht="60" customHeight="1">
      <c r="A188" s="6" t="s">
        <v>702</v>
      </c>
      <c r="B188" s="6" t="s">
        <v>10</v>
      </c>
      <c r="C188" s="6" t="s">
        <v>11</v>
      </c>
      <c r="D188" s="7" t="s">
        <v>703</v>
      </c>
      <c r="E188" s="8" t="s">
        <v>704</v>
      </c>
      <c r="F188" s="6" t="s">
        <v>705</v>
      </c>
      <c r="G188" s="9">
        <f>IF(A188=1,"_",IF(C188="_","???",C188))</f>
        <v/>
      </c>
      <c r="H188" s="10" t="s">
        <v>11</v>
      </c>
      <c r="I188" s="11" t="s">
        <v>11</v>
      </c>
      <c r="J188" s="12"/>
    </row>
    <row r="189" spans="1:10" ht="60" customHeight="1">
      <c r="A189" s="6" t="s">
        <v>706</v>
      </c>
      <c r="B189" s="6" t="s">
        <v>15</v>
      </c>
      <c r="C189" s="6" t="s">
        <v>11</v>
      </c>
      <c r="D189" s="7" t="s">
        <v>707</v>
      </c>
      <c r="E189" s="8" t="s">
        <v>708</v>
      </c>
      <c r="F189" s="6" t="s">
        <v>709</v>
      </c>
      <c r="G189" s="9">
        <f>IF(A189=1,"_",IF(C189="_","???",C189))</f>
        <v/>
      </c>
      <c r="H189" s="10" t="s">
        <v>11</v>
      </c>
      <c r="I189" s="11" t="s">
        <v>11</v>
      </c>
      <c r="J189" s="12"/>
    </row>
    <row r="190" spans="1:10" ht="60" customHeight="1">
      <c r="A190" s="6" t="s">
        <v>710</v>
      </c>
      <c r="B190" s="6" t="s">
        <v>24</v>
      </c>
      <c r="C190" s="6" t="s">
        <v>25</v>
      </c>
      <c r="D190" s="7" t="s">
        <v>711</v>
      </c>
      <c r="E190" s="8" t="s">
        <v>712</v>
      </c>
      <c r="F190" s="6" t="s">
        <v>713</v>
      </c>
      <c r="G190" s="9">
        <f>IF(A190=1,"_",IF(C190="_","???",C190))</f>
        <v/>
      </c>
      <c r="H190" s="10" t="s">
        <v>11</v>
      </c>
      <c r="I190" s="11" t="s">
        <v>11</v>
      </c>
      <c r="J190" s="12"/>
    </row>
    <row r="191" spans="1:10" ht="60" customHeight="1">
      <c r="A191" s="6" t="s">
        <v>714</v>
      </c>
      <c r="B191" s="6" t="s">
        <v>74</v>
      </c>
      <c r="C191" s="6" t="s">
        <v>340</v>
      </c>
      <c r="D191" s="7" t="s">
        <v>715</v>
      </c>
      <c r="E191" s="8" t="s">
        <v>716</v>
      </c>
      <c r="F191" s="6" t="s">
        <v>717</v>
      </c>
      <c r="G191" s="9">
        <f>IF(A191=1,"_",IF(C191="_","???",C191))</f>
        <v/>
      </c>
      <c r="H191" s="10" t="s">
        <v>11</v>
      </c>
      <c r="I191" s="11" t="s">
        <v>11</v>
      </c>
      <c r="J191" s="12"/>
    </row>
    <row r="192" spans="1:10" ht="60" customHeight="1">
      <c r="A192" s="6" t="s">
        <v>718</v>
      </c>
      <c r="B192" s="6" t="s">
        <v>10</v>
      </c>
      <c r="C192" s="6" t="s">
        <v>67</v>
      </c>
      <c r="D192" s="7" t="s">
        <v>719</v>
      </c>
      <c r="E192" s="8" t="s">
        <v>720</v>
      </c>
      <c r="F192" s="6" t="s">
        <v>721</v>
      </c>
      <c r="G192" s="9">
        <f>IF(A192=1,"_",IF(C192="_","???",C192))</f>
        <v/>
      </c>
      <c r="H192" s="10" t="s">
        <v>11</v>
      </c>
      <c r="I192" s="11" t="s">
        <v>11</v>
      </c>
      <c r="J192" s="12"/>
    </row>
    <row r="193" spans="1:10" ht="60" customHeight="1">
      <c r="A193" s="6" t="s">
        <v>722</v>
      </c>
      <c r="B193" s="6" t="s">
        <v>126</v>
      </c>
      <c r="C193" s="6" t="s">
        <v>11</v>
      </c>
      <c r="D193" s="7" t="s">
        <v>723</v>
      </c>
      <c r="E193" s="8" t="s">
        <v>724</v>
      </c>
      <c r="F193" s="6" t="s">
        <v>725</v>
      </c>
      <c r="G193" s="9">
        <f>IF(A193=1,"_",IF(C193="_","???",C193))</f>
        <v/>
      </c>
      <c r="H193" s="10" t="s">
        <v>11</v>
      </c>
      <c r="I193" s="11" t="s">
        <v>11</v>
      </c>
      <c r="J193" s="12"/>
    </row>
    <row r="194" spans="1:10" ht="60" customHeight="1">
      <c r="A194" s="6" t="s">
        <v>726</v>
      </c>
      <c r="B194" s="6" t="s">
        <v>29</v>
      </c>
      <c r="C194" s="6" t="s">
        <v>79</v>
      </c>
      <c r="D194" s="7" t="s">
        <v>727</v>
      </c>
      <c r="E194" s="8" t="s">
        <v>728</v>
      </c>
      <c r="F194" s="6" t="s">
        <v>729</v>
      </c>
      <c r="G194" s="9">
        <f>IF(A194=1,"_",IF(C194="_","???",C194))</f>
        <v/>
      </c>
      <c r="H194" s="10" t="s">
        <v>11</v>
      </c>
      <c r="I194" s="11" t="s">
        <v>11</v>
      </c>
      <c r="J194" s="12"/>
    </row>
    <row r="195" spans="1:10" ht="60" customHeight="1">
      <c r="A195" s="6" t="s">
        <v>730</v>
      </c>
      <c r="B195" s="6" t="s">
        <v>15</v>
      </c>
      <c r="C195" s="6" t="s">
        <v>11</v>
      </c>
      <c r="D195" s="7" t="s">
        <v>275</v>
      </c>
      <c r="E195" s="8" t="s">
        <v>731</v>
      </c>
      <c r="F195" s="6" t="s">
        <v>732</v>
      </c>
      <c r="G195" s="9">
        <f>IF(A195=1,"_",IF(C195="_","???",C195))</f>
        <v/>
      </c>
      <c r="H195" s="10" t="s">
        <v>11</v>
      </c>
      <c r="I195" s="11" t="s">
        <v>11</v>
      </c>
      <c r="J195" s="12"/>
    </row>
    <row r="196" spans="1:10" ht="60" customHeight="1">
      <c r="A196" s="6" t="s">
        <v>733</v>
      </c>
      <c r="B196" s="6" t="s">
        <v>15</v>
      </c>
      <c r="C196" s="6" t="s">
        <v>11</v>
      </c>
      <c r="D196" s="7" t="s">
        <v>275</v>
      </c>
      <c r="E196" s="8" t="s">
        <v>734</v>
      </c>
      <c r="F196" s="6" t="s">
        <v>735</v>
      </c>
      <c r="G196" s="9">
        <f>IF(A196=1,"_",IF(C196="_","???",C196))</f>
        <v/>
      </c>
      <c r="H196" s="10" t="s">
        <v>11</v>
      </c>
      <c r="I196" s="11" t="s">
        <v>11</v>
      </c>
      <c r="J196" s="12"/>
    </row>
    <row r="197" spans="1:10" ht="60" customHeight="1">
      <c r="A197" s="6" t="s">
        <v>736</v>
      </c>
      <c r="B197" s="6" t="s">
        <v>62</v>
      </c>
      <c r="C197" s="6" t="s">
        <v>11</v>
      </c>
      <c r="D197" s="7" t="s">
        <v>737</v>
      </c>
      <c r="E197" s="8" t="s">
        <v>738</v>
      </c>
      <c r="F197" s="6" t="s">
        <v>739</v>
      </c>
      <c r="G197" s="9">
        <f>IF(A197=1,"_",IF(C197="_","???",C197))</f>
        <v/>
      </c>
      <c r="H197" s="10" t="s">
        <v>11</v>
      </c>
      <c r="I197" s="11" t="s">
        <v>11</v>
      </c>
      <c r="J197" s="12"/>
    </row>
    <row r="198" spans="1:10" ht="60" customHeight="1">
      <c r="A198" s="6" t="s">
        <v>740</v>
      </c>
      <c r="B198" s="6" t="s">
        <v>10</v>
      </c>
      <c r="C198" s="6" t="s">
        <v>11</v>
      </c>
      <c r="D198" s="7" t="s">
        <v>741</v>
      </c>
      <c r="E198" s="8" t="s">
        <v>742</v>
      </c>
      <c r="F198" s="6" t="s">
        <v>743</v>
      </c>
      <c r="G198" s="9">
        <f>IF(A198=1,"_",IF(C198="_","???",C198))</f>
        <v/>
      </c>
      <c r="H198" s="10" t="s">
        <v>11</v>
      </c>
      <c r="I198" s="11" t="s">
        <v>11</v>
      </c>
      <c r="J198" s="12"/>
    </row>
    <row r="199" spans="1:10" ht="60" customHeight="1">
      <c r="A199" s="6" t="s">
        <v>744</v>
      </c>
      <c r="B199" s="6" t="s">
        <v>15</v>
      </c>
      <c r="C199" s="6" t="s">
        <v>11</v>
      </c>
      <c r="D199" s="7" t="s">
        <v>715</v>
      </c>
      <c r="E199" s="8" t="s">
        <v>745</v>
      </c>
      <c r="F199" s="6" t="s">
        <v>746</v>
      </c>
      <c r="G199" s="9">
        <f>IF(A199=1,"_",IF(C199="_","???",C199))</f>
        <v/>
      </c>
      <c r="H199" s="10" t="s">
        <v>11</v>
      </c>
      <c r="I199" s="11" t="s">
        <v>11</v>
      </c>
      <c r="J199" s="12"/>
    </row>
    <row r="200" spans="1:10" ht="60" customHeight="1">
      <c r="A200" s="6" t="s">
        <v>747</v>
      </c>
      <c r="B200" s="6" t="s">
        <v>10</v>
      </c>
      <c r="C200" s="6" t="s">
        <v>11</v>
      </c>
      <c r="D200" s="7" t="s">
        <v>741</v>
      </c>
      <c r="E200" s="8" t="s">
        <v>748</v>
      </c>
      <c r="F200" s="6" t="s">
        <v>749</v>
      </c>
      <c r="G200" s="9">
        <f>IF(A200=1,"_",IF(C200="_","???",C200))</f>
        <v/>
      </c>
      <c r="H200" s="10" t="s">
        <v>11</v>
      </c>
      <c r="I200" s="11" t="s">
        <v>11</v>
      </c>
      <c r="J200" s="12"/>
    </row>
    <row r="201" spans="1:10" ht="60" customHeight="1">
      <c r="A201" s="6" t="s">
        <v>750</v>
      </c>
      <c r="B201" s="6" t="s">
        <v>10</v>
      </c>
      <c r="C201" s="6" t="s">
        <v>11</v>
      </c>
      <c r="D201" s="7" t="s">
        <v>751</v>
      </c>
      <c r="E201" s="8" t="s">
        <v>752</v>
      </c>
      <c r="F201" s="6" t="s">
        <v>753</v>
      </c>
      <c r="G201" s="9">
        <f>IF(A201=1,"_",IF(C201="_","???",C201))</f>
        <v/>
      </c>
      <c r="H201" s="10" t="s">
        <v>11</v>
      </c>
      <c r="I201" s="11" t="s">
        <v>11</v>
      </c>
      <c r="J201" s="12"/>
    </row>
    <row r="202" spans="1:10" ht="60" customHeight="1">
      <c r="A202" s="6" t="s">
        <v>754</v>
      </c>
      <c r="B202" s="6" t="s">
        <v>95</v>
      </c>
      <c r="C202" s="6" t="s">
        <v>11</v>
      </c>
      <c r="D202" s="7" t="s">
        <v>755</v>
      </c>
      <c r="E202" s="8" t="s">
        <v>756</v>
      </c>
      <c r="F202" s="6" t="s">
        <v>757</v>
      </c>
      <c r="G202" s="9">
        <f>IF(A202=1,"_",IF(C202="_","???",C202))</f>
        <v/>
      </c>
      <c r="H202" s="10" t="s">
        <v>11</v>
      </c>
      <c r="I202" s="11" t="s">
        <v>11</v>
      </c>
      <c r="J202" s="12"/>
    </row>
    <row r="203" spans="1:10" ht="60" customHeight="1">
      <c r="A203" s="6" t="s">
        <v>758</v>
      </c>
      <c r="B203" s="6" t="s">
        <v>10</v>
      </c>
      <c r="C203" s="6" t="s">
        <v>11</v>
      </c>
      <c r="D203" s="7" t="s">
        <v>419</v>
      </c>
      <c r="E203" s="8" t="s">
        <v>759</v>
      </c>
      <c r="F203" s="6" t="s">
        <v>760</v>
      </c>
      <c r="G203" s="9">
        <f>IF(A203=1,"_",IF(C203="_","???",C203))</f>
        <v/>
      </c>
      <c r="H203" s="10" t="s">
        <v>11</v>
      </c>
      <c r="I203" s="11" t="s">
        <v>11</v>
      </c>
      <c r="J203" s="12"/>
    </row>
    <row r="204" spans="1:10" ht="60" customHeight="1">
      <c r="A204" s="6" t="s">
        <v>761</v>
      </c>
      <c r="B204" s="6" t="s">
        <v>20</v>
      </c>
      <c r="C204" s="6" t="s">
        <v>11</v>
      </c>
      <c r="D204" s="7" t="s">
        <v>275</v>
      </c>
      <c r="E204" s="8" t="s">
        <v>762</v>
      </c>
      <c r="F204" s="6" t="s">
        <v>763</v>
      </c>
      <c r="G204" s="9">
        <f>IF(A204=1,"_",IF(C204="_","???",C204))</f>
        <v/>
      </c>
      <c r="H204" s="10" t="s">
        <v>11</v>
      </c>
      <c r="I204" s="11" t="s">
        <v>11</v>
      </c>
      <c r="J204" s="12"/>
    </row>
    <row r="205" spans="1:10" ht="60" customHeight="1">
      <c r="A205" s="6" t="s">
        <v>764</v>
      </c>
      <c r="B205" s="6" t="s">
        <v>20</v>
      </c>
      <c r="C205" s="6" t="s">
        <v>11</v>
      </c>
      <c r="D205" s="7" t="s">
        <v>275</v>
      </c>
      <c r="E205" s="8" t="s">
        <v>765</v>
      </c>
      <c r="F205" s="6" t="s">
        <v>766</v>
      </c>
      <c r="G205" s="9">
        <f>IF(A205=1,"_",IF(C205="_","???",C205))</f>
        <v/>
      </c>
      <c r="H205" s="10" t="s">
        <v>11</v>
      </c>
      <c r="I205" s="11" t="s">
        <v>11</v>
      </c>
      <c r="J205" s="12"/>
    </row>
    <row r="206" spans="1:10" ht="60" customHeight="1">
      <c r="A206" s="6" t="s">
        <v>767</v>
      </c>
      <c r="B206" s="6" t="s">
        <v>20</v>
      </c>
      <c r="C206" s="6" t="s">
        <v>11</v>
      </c>
      <c r="D206" s="7" t="s">
        <v>473</v>
      </c>
      <c r="E206" s="8" t="s">
        <v>768</v>
      </c>
      <c r="F206" s="6" t="s">
        <v>769</v>
      </c>
      <c r="G206" s="9">
        <f>IF(A206=1,"_",IF(C206="_","???",C206))</f>
        <v/>
      </c>
      <c r="H206" s="10" t="s">
        <v>11</v>
      </c>
      <c r="I206" s="11" t="s">
        <v>11</v>
      </c>
      <c r="J206" s="12"/>
    </row>
    <row r="207" spans="1:10" ht="60" customHeight="1">
      <c r="A207" s="6" t="s">
        <v>770</v>
      </c>
      <c r="B207" s="6" t="s">
        <v>20</v>
      </c>
      <c r="C207" s="6" t="s">
        <v>11</v>
      </c>
      <c r="D207" s="7" t="s">
        <v>12</v>
      </c>
      <c r="E207" s="8" t="s">
        <v>771</v>
      </c>
      <c r="F207" s="6" t="s">
        <v>772</v>
      </c>
      <c r="G207" s="9">
        <f>IF(A207=1,"_",IF(C207="_","???",C207))</f>
        <v/>
      </c>
      <c r="H207" s="10" t="s">
        <v>11</v>
      </c>
      <c r="I207" s="11" t="s">
        <v>11</v>
      </c>
      <c r="J207" s="12"/>
    </row>
    <row r="208" spans="1:10" ht="60" customHeight="1">
      <c r="A208" s="6" t="s">
        <v>773</v>
      </c>
      <c r="B208" s="6" t="s">
        <v>20</v>
      </c>
      <c r="C208" s="6" t="s">
        <v>11</v>
      </c>
      <c r="D208" s="7" t="s">
        <v>774</v>
      </c>
      <c r="E208" s="8" t="s">
        <v>775</v>
      </c>
      <c r="F208" s="6" t="s">
        <v>776</v>
      </c>
      <c r="G208" s="9">
        <f>IF(A208=1,"_",IF(C208="_","???",C208))</f>
        <v/>
      </c>
      <c r="H208" s="10" t="s">
        <v>11</v>
      </c>
      <c r="I208" s="11" t="s">
        <v>11</v>
      </c>
      <c r="J208" s="12"/>
    </row>
    <row r="209" spans="1:10" ht="60" customHeight="1">
      <c r="A209" s="6" t="s">
        <v>777</v>
      </c>
      <c r="B209" s="6" t="s">
        <v>20</v>
      </c>
      <c r="C209" s="6" t="s">
        <v>11</v>
      </c>
      <c r="D209" s="7" t="s">
        <v>778</v>
      </c>
      <c r="E209" s="8" t="s">
        <v>779</v>
      </c>
      <c r="F209" s="6" t="s">
        <v>780</v>
      </c>
      <c r="G209" s="9">
        <f>IF(A209=1,"_",IF(C209="_","???",C209))</f>
        <v/>
      </c>
      <c r="H209" s="10" t="s">
        <v>11</v>
      </c>
      <c r="I209" s="11" t="s">
        <v>11</v>
      </c>
      <c r="J209" s="12"/>
    </row>
    <row r="210" spans="1:10" ht="60" customHeight="1">
      <c r="A210" s="6" t="s">
        <v>781</v>
      </c>
      <c r="B210" s="6" t="s">
        <v>20</v>
      </c>
      <c r="C210" s="6" t="s">
        <v>11</v>
      </c>
      <c r="D210" s="7" t="s">
        <v>12</v>
      </c>
      <c r="E210" s="8" t="s">
        <v>782</v>
      </c>
      <c r="F210" s="6" t="s">
        <v>783</v>
      </c>
      <c r="G210" s="9">
        <f>IF(A210=1,"_",IF(C210="_","???",C210))</f>
        <v/>
      </c>
      <c r="H210" s="10" t="s">
        <v>11</v>
      </c>
      <c r="I210" s="11" t="s">
        <v>11</v>
      </c>
      <c r="J210" s="12"/>
    </row>
    <row r="211" spans="1:10" ht="60" customHeight="1">
      <c r="A211" s="6" t="s">
        <v>784</v>
      </c>
      <c r="B211" s="6" t="s">
        <v>20</v>
      </c>
      <c r="C211" s="6" t="s">
        <v>145</v>
      </c>
      <c r="D211" s="7" t="s">
        <v>275</v>
      </c>
      <c r="E211" s="8" t="s">
        <v>785</v>
      </c>
      <c r="F211" s="6" t="s">
        <v>786</v>
      </c>
      <c r="G211" s="9">
        <f>IF(A211=1,"_",IF(C211="_","???",C211))</f>
        <v/>
      </c>
      <c r="H211" s="10" t="s">
        <v>11</v>
      </c>
      <c r="I211" s="11" t="s">
        <v>11</v>
      </c>
      <c r="J211" s="12"/>
    </row>
    <row r="212" spans="1:10" ht="60" customHeight="1">
      <c r="A212" s="6" t="s">
        <v>787</v>
      </c>
      <c r="B212" s="6" t="s">
        <v>70</v>
      </c>
      <c r="C212" s="6" t="s">
        <v>67</v>
      </c>
      <c r="D212" s="7" t="s">
        <v>788</v>
      </c>
      <c r="E212" s="8" t="s">
        <v>789</v>
      </c>
      <c r="F212" s="6" t="s">
        <v>790</v>
      </c>
      <c r="G212" s="9">
        <f>IF(A212=1,"_",IF(C212="_","???",C212))</f>
        <v/>
      </c>
      <c r="H212" s="10" t="s">
        <v>11</v>
      </c>
      <c r="I212" s="11" t="s">
        <v>11</v>
      </c>
      <c r="J212" s="12"/>
    </row>
    <row r="213" spans="1:10" ht="60" customHeight="1">
      <c r="A213" s="6" t="s">
        <v>791</v>
      </c>
      <c r="B213" s="6" t="s">
        <v>24</v>
      </c>
      <c r="C213" s="6" t="s">
        <v>145</v>
      </c>
      <c r="D213" s="7" t="s">
        <v>12</v>
      </c>
      <c r="E213" s="8" t="s">
        <v>792</v>
      </c>
      <c r="F213" s="6" t="s">
        <v>793</v>
      </c>
      <c r="G213" s="9">
        <f>IF(A213=1,"_",IF(C213="_","???",C213))</f>
        <v/>
      </c>
      <c r="H213" s="10" t="s">
        <v>11</v>
      </c>
      <c r="I213" s="11" t="s">
        <v>11</v>
      </c>
      <c r="J213" s="12"/>
    </row>
    <row r="214" spans="1:10" ht="60" customHeight="1">
      <c r="A214" s="6" t="s">
        <v>794</v>
      </c>
      <c r="B214" s="6" t="s">
        <v>37</v>
      </c>
      <c r="C214" s="6" t="s">
        <v>11</v>
      </c>
      <c r="D214" s="7" t="s">
        <v>44</v>
      </c>
      <c r="E214" s="8" t="s">
        <v>795</v>
      </c>
      <c r="F214" s="6" t="s">
        <v>796</v>
      </c>
      <c r="G214" s="9">
        <f>IF(A214=1,"_",IF(C214="_","???",C214))</f>
        <v/>
      </c>
      <c r="H214" s="10" t="s">
        <v>11</v>
      </c>
      <c r="I214" s="11" t="s">
        <v>11</v>
      </c>
      <c r="J214" s="12"/>
    </row>
    <row r="215" spans="1:10" ht="60" customHeight="1">
      <c r="A215" s="6" t="s">
        <v>797</v>
      </c>
      <c r="B215" s="6" t="s">
        <v>10</v>
      </c>
      <c r="C215" s="6" t="s">
        <v>25</v>
      </c>
      <c r="D215" s="7" t="s">
        <v>798</v>
      </c>
      <c r="E215" s="8" t="s">
        <v>799</v>
      </c>
      <c r="F215" s="6" t="s">
        <v>800</v>
      </c>
      <c r="G215" s="9">
        <f>IF(A215=1,"_",IF(C215="_","???",C215))</f>
        <v/>
      </c>
      <c r="H215" s="10" t="s">
        <v>11</v>
      </c>
      <c r="I215" s="11" t="s">
        <v>11</v>
      </c>
      <c r="J215" s="12"/>
    </row>
    <row r="216" spans="1:10" ht="60" customHeight="1">
      <c r="A216" s="6" t="s">
        <v>801</v>
      </c>
      <c r="B216" s="6" t="s">
        <v>16</v>
      </c>
      <c r="C216" s="6" t="s">
        <v>11</v>
      </c>
      <c r="D216" s="7" t="s">
        <v>275</v>
      </c>
      <c r="E216" s="8" t="s">
        <v>802</v>
      </c>
      <c r="F216" s="6" t="s">
        <v>803</v>
      </c>
      <c r="G216" s="9">
        <f>IF(A216=1,"_",IF(C216="_","???",C216))</f>
        <v/>
      </c>
      <c r="H216" s="10" t="s">
        <v>11</v>
      </c>
      <c r="I216" s="11" t="s">
        <v>11</v>
      </c>
      <c r="J216" s="12"/>
    </row>
    <row r="217" spans="1:10" ht="60" customHeight="1">
      <c r="A217" s="6" t="s">
        <v>804</v>
      </c>
      <c r="B217" s="6" t="s">
        <v>536</v>
      </c>
      <c r="C217" s="6" t="s">
        <v>11</v>
      </c>
      <c r="D217" s="7" t="s">
        <v>805</v>
      </c>
      <c r="E217" s="8" t="s">
        <v>806</v>
      </c>
      <c r="F217" s="6" t="s">
        <v>807</v>
      </c>
      <c r="G217" s="9">
        <f>IF(A217=1,"_",IF(C217="_","???",C217))</f>
        <v/>
      </c>
      <c r="H217" s="10" t="s">
        <v>11</v>
      </c>
      <c r="I217" s="11" t="s">
        <v>11</v>
      </c>
      <c r="J217" s="12"/>
    </row>
    <row r="218" spans="1:10" ht="60" customHeight="1">
      <c r="A218" s="6" t="s">
        <v>808</v>
      </c>
      <c r="B218" s="6" t="s">
        <v>15</v>
      </c>
      <c r="C218" s="6" t="s">
        <v>11</v>
      </c>
      <c r="D218" s="7" t="s">
        <v>809</v>
      </c>
      <c r="E218" s="8" t="s">
        <v>810</v>
      </c>
      <c r="F218" s="6" t="s">
        <v>811</v>
      </c>
      <c r="G218" s="9">
        <f>IF(A218=1,"_",IF(C218="_","???",C218))</f>
        <v/>
      </c>
      <c r="H218" s="10" t="s">
        <v>11</v>
      </c>
      <c r="I218" s="11" t="s">
        <v>11</v>
      </c>
      <c r="J218" s="12"/>
    </row>
    <row r="219" spans="1:10" ht="60" customHeight="1">
      <c r="A219" s="6" t="s">
        <v>812</v>
      </c>
      <c r="B219" s="6" t="s">
        <v>15</v>
      </c>
      <c r="C219" s="6" t="s">
        <v>11</v>
      </c>
      <c r="D219" s="7" t="s">
        <v>809</v>
      </c>
      <c r="E219" s="8" t="s">
        <v>813</v>
      </c>
      <c r="F219" s="6" t="s">
        <v>814</v>
      </c>
      <c r="G219" s="9">
        <f>IF(A219=1,"_",IF(C219="_","???",C219))</f>
        <v/>
      </c>
      <c r="H219" s="10" t="s">
        <v>11</v>
      </c>
      <c r="I219" s="11" t="s">
        <v>11</v>
      </c>
      <c r="J219" s="12"/>
    </row>
    <row r="220" spans="1:10" ht="60" customHeight="1">
      <c r="A220" s="6" t="s">
        <v>815</v>
      </c>
      <c r="B220" s="6" t="s">
        <v>20</v>
      </c>
      <c r="C220" s="6" t="s">
        <v>11</v>
      </c>
      <c r="D220" s="7" t="s">
        <v>816</v>
      </c>
      <c r="E220" s="8" t="s">
        <v>817</v>
      </c>
      <c r="F220" s="6" t="s">
        <v>818</v>
      </c>
      <c r="G220" s="9">
        <f>IF(A220=1,"_",IF(C220="_","???",C220))</f>
        <v/>
      </c>
      <c r="H220" s="10" t="s">
        <v>11</v>
      </c>
      <c r="I220" s="11" t="s">
        <v>11</v>
      </c>
      <c r="J220" s="12"/>
    </row>
    <row r="221" spans="1:10" ht="60" customHeight="1">
      <c r="A221" s="6" t="s">
        <v>819</v>
      </c>
      <c r="B221" s="6" t="s">
        <v>10</v>
      </c>
      <c r="C221" s="6" t="s">
        <v>11</v>
      </c>
      <c r="D221" s="7" t="s">
        <v>820</v>
      </c>
      <c r="E221" s="8" t="s">
        <v>821</v>
      </c>
      <c r="F221" s="6" t="s">
        <v>822</v>
      </c>
      <c r="G221" s="9">
        <f>IF(A221=1,"_",IF(C221="_","???",C221))</f>
        <v/>
      </c>
      <c r="H221" s="10" t="s">
        <v>11</v>
      </c>
      <c r="I221" s="11" t="s">
        <v>11</v>
      </c>
      <c r="J221" s="12"/>
    </row>
    <row r="222" spans="1:10" ht="60" customHeight="1">
      <c r="A222" s="6" t="s">
        <v>823</v>
      </c>
      <c r="B222" s="6" t="s">
        <v>10</v>
      </c>
      <c r="C222" s="6" t="s">
        <v>11</v>
      </c>
      <c r="D222" s="7" t="s">
        <v>197</v>
      </c>
      <c r="E222" s="8" t="s">
        <v>824</v>
      </c>
      <c r="F222" s="6" t="s">
        <v>825</v>
      </c>
      <c r="G222" s="9">
        <f>IF(A222=1,"_",IF(C222="_","???",C222))</f>
        <v/>
      </c>
      <c r="H222" s="10" t="s">
        <v>11</v>
      </c>
      <c r="I222" s="11" t="s">
        <v>11</v>
      </c>
      <c r="J222" s="12"/>
    </row>
    <row r="223" spans="1:10" ht="60" customHeight="1">
      <c r="A223" s="6" t="s">
        <v>826</v>
      </c>
      <c r="B223" s="6" t="s">
        <v>10</v>
      </c>
      <c r="C223" s="6" t="s">
        <v>11</v>
      </c>
      <c r="D223" s="7" t="s">
        <v>12</v>
      </c>
      <c r="E223" s="8" t="s">
        <v>827</v>
      </c>
      <c r="F223" s="6" t="s">
        <v>828</v>
      </c>
      <c r="G223" s="9">
        <f>IF(A223=1,"_",IF(C223="_","???",C223))</f>
        <v/>
      </c>
      <c r="H223" s="10" t="s">
        <v>11</v>
      </c>
      <c r="I223" s="11" t="s">
        <v>11</v>
      </c>
      <c r="J223" s="12"/>
    </row>
    <row r="224" spans="1:10" ht="60" customHeight="1">
      <c r="A224" s="6" t="s">
        <v>829</v>
      </c>
      <c r="B224" s="6" t="s">
        <v>24</v>
      </c>
      <c r="C224" s="6" t="s">
        <v>48</v>
      </c>
      <c r="D224" s="7" t="s">
        <v>197</v>
      </c>
      <c r="E224" s="8" t="s">
        <v>830</v>
      </c>
      <c r="F224" s="6" t="s">
        <v>831</v>
      </c>
      <c r="G224" s="9">
        <f>IF(A224=1,"_",IF(C224="_","???",C224))</f>
        <v/>
      </c>
      <c r="H224" s="10" t="s">
        <v>11</v>
      </c>
      <c r="I224" s="11" t="s">
        <v>11</v>
      </c>
      <c r="J224" s="12"/>
    </row>
    <row r="225" spans="1:10" ht="60" customHeight="1">
      <c r="A225" s="6" t="s">
        <v>832</v>
      </c>
      <c r="B225" s="6" t="s">
        <v>15</v>
      </c>
      <c r="C225" s="6" t="s">
        <v>11</v>
      </c>
      <c r="D225" s="7" t="s">
        <v>197</v>
      </c>
      <c r="E225" s="8" t="s">
        <v>833</v>
      </c>
      <c r="F225" s="6" t="s">
        <v>834</v>
      </c>
      <c r="G225" s="9">
        <f>IF(A225=1,"_",IF(C225="_","???",C225))</f>
        <v/>
      </c>
      <c r="H225" s="10" t="s">
        <v>11</v>
      </c>
      <c r="I225" s="11" t="s">
        <v>11</v>
      </c>
      <c r="J225" s="12"/>
    </row>
    <row r="226" spans="1:10" ht="60" customHeight="1">
      <c r="A226" s="6" t="s">
        <v>835</v>
      </c>
      <c r="B226" s="6" t="s">
        <v>10</v>
      </c>
      <c r="C226" s="6" t="s">
        <v>11</v>
      </c>
      <c r="D226" s="7" t="s">
        <v>836</v>
      </c>
      <c r="E226" s="8" t="s">
        <v>837</v>
      </c>
      <c r="F226" s="6" t="s">
        <v>838</v>
      </c>
      <c r="G226" s="9">
        <f>IF(A226=1,"_",IF(C226="_","???",C226))</f>
        <v/>
      </c>
      <c r="H226" s="10" t="s">
        <v>11</v>
      </c>
      <c r="I226" s="11" t="s">
        <v>11</v>
      </c>
      <c r="J226" s="12"/>
    </row>
    <row r="227" spans="1:10" ht="60" customHeight="1">
      <c r="A227" s="6" t="s">
        <v>839</v>
      </c>
      <c r="B227" s="6" t="s">
        <v>10</v>
      </c>
      <c r="C227" s="6" t="s">
        <v>11</v>
      </c>
      <c r="D227" s="7" t="s">
        <v>30</v>
      </c>
      <c r="E227" s="8" t="s">
        <v>840</v>
      </c>
      <c r="F227" s="6" t="s">
        <v>841</v>
      </c>
      <c r="G227" s="9">
        <f>IF(A227=1,"_",IF(C227="_","???",C227))</f>
        <v/>
      </c>
      <c r="H227" s="10" t="s">
        <v>11</v>
      </c>
      <c r="I227" s="11" t="s">
        <v>11</v>
      </c>
      <c r="J227" s="12"/>
    </row>
    <row r="228" spans="1:10" ht="60" customHeight="1">
      <c r="A228" s="6" t="s">
        <v>842</v>
      </c>
      <c r="B228" s="6" t="s">
        <v>15</v>
      </c>
      <c r="C228" s="6" t="s">
        <v>11</v>
      </c>
      <c r="D228" s="7" t="s">
        <v>843</v>
      </c>
      <c r="E228" s="8" t="s">
        <v>844</v>
      </c>
      <c r="F228" s="6" t="s">
        <v>845</v>
      </c>
      <c r="G228" s="9">
        <f>IF(A228=1,"_",IF(C228="_","???",C228))</f>
        <v/>
      </c>
      <c r="H228" s="10" t="s">
        <v>11</v>
      </c>
      <c r="I228" s="11" t="s">
        <v>11</v>
      </c>
      <c r="J228" s="12"/>
    </row>
    <row r="229" spans="1:10" ht="60" customHeight="1">
      <c r="A229" s="6" t="s">
        <v>846</v>
      </c>
      <c r="B229" s="6" t="s">
        <v>15</v>
      </c>
      <c r="C229" s="6" t="s">
        <v>11</v>
      </c>
      <c r="D229" s="7" t="s">
        <v>847</v>
      </c>
      <c r="E229" s="8" t="s">
        <v>848</v>
      </c>
      <c r="F229" s="6" t="s">
        <v>849</v>
      </c>
      <c r="G229" s="9">
        <f>IF(A229=1,"_",IF(C229="_","???",C229))</f>
        <v/>
      </c>
      <c r="H229" s="10" t="s">
        <v>11</v>
      </c>
      <c r="I229" s="11" t="s">
        <v>11</v>
      </c>
      <c r="J229" s="12"/>
    </row>
    <row r="230" spans="1:10" ht="60" customHeight="1">
      <c r="A230" s="6" t="s">
        <v>850</v>
      </c>
      <c r="B230" s="6" t="s">
        <v>10</v>
      </c>
      <c r="C230" s="6" t="s">
        <v>11</v>
      </c>
      <c r="D230" s="7" t="s">
        <v>851</v>
      </c>
      <c r="E230" s="8" t="s">
        <v>852</v>
      </c>
      <c r="F230" s="6" t="s">
        <v>853</v>
      </c>
      <c r="G230" s="9">
        <f>IF(A230=1,"_",IF(C230="_","???",C230))</f>
        <v/>
      </c>
      <c r="H230" s="10" t="s">
        <v>11</v>
      </c>
      <c r="I230" s="11" t="s">
        <v>11</v>
      </c>
      <c r="J230" s="12"/>
    </row>
    <row r="231" spans="1:10" ht="60" customHeight="1">
      <c r="A231" s="6" t="s">
        <v>854</v>
      </c>
      <c r="B231" s="6" t="s">
        <v>10</v>
      </c>
      <c r="C231" s="6" t="s">
        <v>48</v>
      </c>
      <c r="D231" s="7" t="s">
        <v>851</v>
      </c>
      <c r="E231" s="8" t="s">
        <v>855</v>
      </c>
      <c r="F231" s="6" t="s">
        <v>856</v>
      </c>
      <c r="G231" s="9">
        <f>IF(A231=1,"_",IF(C231="_","???",C231))</f>
        <v/>
      </c>
      <c r="H231" s="10" t="s">
        <v>11</v>
      </c>
      <c r="I231" s="11" t="s">
        <v>11</v>
      </c>
      <c r="J231" s="12"/>
    </row>
    <row r="232" spans="1:10" ht="60" customHeight="1">
      <c r="A232" s="6" t="s">
        <v>857</v>
      </c>
      <c r="B232" s="6" t="s">
        <v>10</v>
      </c>
      <c r="C232" s="6" t="s">
        <v>11</v>
      </c>
      <c r="D232" s="7" t="s">
        <v>30</v>
      </c>
      <c r="E232" s="8" t="s">
        <v>858</v>
      </c>
      <c r="F232" s="6" t="s">
        <v>859</v>
      </c>
      <c r="G232" s="9">
        <f>IF(A232=1,"_",IF(C232="_","???",C232))</f>
        <v/>
      </c>
      <c r="H232" s="10" t="s">
        <v>11</v>
      </c>
      <c r="I232" s="11" t="s">
        <v>11</v>
      </c>
      <c r="J232" s="12"/>
    </row>
    <row r="233" spans="1:10" ht="60" customHeight="1">
      <c r="A233" s="6" t="s">
        <v>860</v>
      </c>
      <c r="B233" s="6" t="s">
        <v>15</v>
      </c>
      <c r="C233" s="6" t="s">
        <v>11</v>
      </c>
      <c r="D233" s="7" t="s">
        <v>861</v>
      </c>
      <c r="E233" s="8" t="s">
        <v>862</v>
      </c>
      <c r="F233" s="6" t="s">
        <v>863</v>
      </c>
      <c r="G233" s="9">
        <f>IF(A233=1,"_",IF(C233="_","???",C233))</f>
        <v/>
      </c>
      <c r="H233" s="10" t="s">
        <v>11</v>
      </c>
      <c r="I233" s="11" t="s">
        <v>11</v>
      </c>
      <c r="J233" s="12"/>
    </row>
    <row r="234" spans="1:10" ht="60" customHeight="1">
      <c r="A234" s="6" t="s">
        <v>864</v>
      </c>
      <c r="B234" s="6" t="s">
        <v>10</v>
      </c>
      <c r="C234" s="6" t="s">
        <v>11</v>
      </c>
      <c r="D234" s="7" t="s">
        <v>865</v>
      </c>
      <c r="E234" s="8" t="s">
        <v>866</v>
      </c>
      <c r="F234" s="6" t="s">
        <v>867</v>
      </c>
      <c r="G234" s="9">
        <f>IF(A234=1,"_",IF(C234="_","???",C234))</f>
        <v/>
      </c>
      <c r="H234" s="10" t="s">
        <v>11</v>
      </c>
      <c r="I234" s="11" t="s">
        <v>11</v>
      </c>
      <c r="J234" s="12"/>
    </row>
    <row r="235" spans="1:10" ht="60" customHeight="1">
      <c r="A235" s="6" t="s">
        <v>868</v>
      </c>
      <c r="B235" s="6" t="s">
        <v>10</v>
      </c>
      <c r="C235" s="6" t="s">
        <v>11</v>
      </c>
      <c r="D235" s="7" t="s">
        <v>865</v>
      </c>
      <c r="E235" s="8" t="s">
        <v>866</v>
      </c>
      <c r="F235" s="6" t="s">
        <v>869</v>
      </c>
      <c r="G235" s="9">
        <f>IF(A235=1,"_",IF(C235="_","???",C235))</f>
        <v/>
      </c>
      <c r="H235" s="10" t="s">
        <v>11</v>
      </c>
      <c r="I235" s="11" t="s">
        <v>11</v>
      </c>
      <c r="J235" s="12"/>
    </row>
    <row r="236" spans="1:10" ht="60" customHeight="1">
      <c r="A236" s="6" t="s">
        <v>870</v>
      </c>
      <c r="B236" s="6" t="s">
        <v>20</v>
      </c>
      <c r="C236" s="6" t="s">
        <v>11</v>
      </c>
      <c r="D236" s="7" t="s">
        <v>197</v>
      </c>
      <c r="E236" s="8" t="s">
        <v>871</v>
      </c>
      <c r="F236" s="6" t="s">
        <v>872</v>
      </c>
      <c r="G236" s="9">
        <f>IF(A236=1,"_",IF(C236="_","???",C236))</f>
        <v/>
      </c>
      <c r="H236" s="10" t="s">
        <v>11</v>
      </c>
      <c r="I236" s="11" t="s">
        <v>11</v>
      </c>
      <c r="J236" s="12"/>
    </row>
    <row r="237" spans="1:10" ht="60" customHeight="1">
      <c r="A237" s="6" t="s">
        <v>873</v>
      </c>
      <c r="B237" s="6" t="s">
        <v>10</v>
      </c>
      <c r="C237" s="6" t="s">
        <v>25</v>
      </c>
      <c r="D237" s="7" t="s">
        <v>505</v>
      </c>
      <c r="E237" s="8" t="s">
        <v>506</v>
      </c>
      <c r="F237" s="6" t="s">
        <v>874</v>
      </c>
      <c r="G237" s="9">
        <f>IF(A237=1,"_",IF(C237="_","???",C237))</f>
        <v/>
      </c>
      <c r="H237" s="10" t="s">
        <v>11</v>
      </c>
      <c r="I237" s="11" t="s">
        <v>11</v>
      </c>
      <c r="J237" s="12"/>
    </row>
    <row r="238" spans="1:10" ht="60" customHeight="1">
      <c r="A238" s="6" t="s">
        <v>875</v>
      </c>
      <c r="B238" s="6" t="s">
        <v>10</v>
      </c>
      <c r="C238" s="6" t="s">
        <v>11</v>
      </c>
      <c r="D238" s="7" t="s">
        <v>876</v>
      </c>
      <c r="E238" s="8" t="s">
        <v>877</v>
      </c>
      <c r="F238" s="6" t="s">
        <v>878</v>
      </c>
      <c r="G238" s="9">
        <f>IF(A238=1,"_",IF(C238="_","???",C238))</f>
        <v/>
      </c>
      <c r="H238" s="10" t="s">
        <v>11</v>
      </c>
      <c r="I238" s="11" t="s">
        <v>11</v>
      </c>
      <c r="J238" s="12"/>
    </row>
    <row r="239" spans="1:10" ht="60" customHeight="1">
      <c r="A239" s="6" t="s">
        <v>879</v>
      </c>
      <c r="B239" s="6" t="s">
        <v>20</v>
      </c>
      <c r="C239" s="6" t="s">
        <v>11</v>
      </c>
      <c r="D239" s="7" t="s">
        <v>880</v>
      </c>
      <c r="E239" s="8" t="s">
        <v>881</v>
      </c>
      <c r="F239" s="6" t="s">
        <v>882</v>
      </c>
      <c r="G239" s="9">
        <f>IF(A239=1,"_",IF(C239="_","???",C239))</f>
        <v/>
      </c>
      <c r="H239" s="10" t="s">
        <v>11</v>
      </c>
      <c r="I239" s="11" t="s">
        <v>11</v>
      </c>
      <c r="J239" s="12"/>
    </row>
    <row r="240" spans="1:10" ht="60" customHeight="1">
      <c r="A240" s="6" t="s">
        <v>883</v>
      </c>
      <c r="B240" s="6" t="s">
        <v>16</v>
      </c>
      <c r="C240" s="6" t="s">
        <v>11</v>
      </c>
      <c r="D240" s="7" t="s">
        <v>884</v>
      </c>
      <c r="E240" s="8" t="s">
        <v>885</v>
      </c>
      <c r="F240" s="6" t="s">
        <v>886</v>
      </c>
      <c r="G240" s="9">
        <f>IF(A240=1,"_",IF(C240="_","???",C240))</f>
        <v/>
      </c>
      <c r="H240" s="10" t="s">
        <v>11</v>
      </c>
      <c r="I240" s="11" t="s">
        <v>11</v>
      </c>
      <c r="J240" s="12"/>
    </row>
    <row r="241" spans="1:10" ht="60" customHeight="1">
      <c r="A241" s="6" t="s">
        <v>887</v>
      </c>
      <c r="B241" s="6" t="s">
        <v>10</v>
      </c>
      <c r="C241" s="6" t="s">
        <v>11</v>
      </c>
      <c r="D241" s="7" t="s">
        <v>888</v>
      </c>
      <c r="E241" s="8" t="s">
        <v>889</v>
      </c>
      <c r="F241" s="6" t="s">
        <v>890</v>
      </c>
      <c r="G241" s="9">
        <f>IF(A241=1,"_",IF(C241="_","???",C241))</f>
        <v/>
      </c>
      <c r="H241" s="10" t="s">
        <v>11</v>
      </c>
      <c r="I241" s="11" t="s">
        <v>11</v>
      </c>
      <c r="J241" s="12"/>
    </row>
    <row r="242" spans="1:10" ht="60" customHeight="1">
      <c r="A242" s="6" t="s">
        <v>891</v>
      </c>
      <c r="B242" s="6" t="s">
        <v>15</v>
      </c>
      <c r="C242" s="6" t="s">
        <v>161</v>
      </c>
      <c r="D242" s="7" t="s">
        <v>892</v>
      </c>
      <c r="E242" s="8" t="s">
        <v>893</v>
      </c>
      <c r="F242" s="6" t="s">
        <v>894</v>
      </c>
      <c r="G242" s="9">
        <f>IF(A242=1,"_",IF(C242="_","???",C242))</f>
        <v/>
      </c>
      <c r="H242" s="10" t="s">
        <v>11</v>
      </c>
      <c r="I242" s="11" t="s">
        <v>11</v>
      </c>
      <c r="J242" s="12"/>
    </row>
    <row r="243" spans="1:10" ht="60" customHeight="1">
      <c r="A243" s="6" t="s">
        <v>895</v>
      </c>
      <c r="B243" s="6" t="s">
        <v>10</v>
      </c>
      <c r="C243" s="6" t="s">
        <v>11</v>
      </c>
      <c r="D243" s="7" t="s">
        <v>12</v>
      </c>
      <c r="E243" s="8" t="s">
        <v>896</v>
      </c>
      <c r="F243" s="6" t="s">
        <v>897</v>
      </c>
      <c r="G243" s="9">
        <f>IF(A243=1,"_",IF(C243="_","???",C243))</f>
        <v/>
      </c>
      <c r="H243" s="10" t="s">
        <v>11</v>
      </c>
      <c r="I243" s="11" t="s">
        <v>11</v>
      </c>
      <c r="J243" s="12"/>
    </row>
    <row r="244" spans="1:10" ht="60" customHeight="1">
      <c r="A244" s="6" t="s">
        <v>898</v>
      </c>
      <c r="B244" s="6" t="s">
        <v>15</v>
      </c>
      <c r="C244" s="6" t="s">
        <v>48</v>
      </c>
      <c r="D244" s="7" t="s">
        <v>197</v>
      </c>
      <c r="E244" s="8" t="s">
        <v>899</v>
      </c>
      <c r="F244" s="6" t="s">
        <v>900</v>
      </c>
      <c r="G244" s="9">
        <f>IF(A244=1,"_",IF(C244="_","???",C244))</f>
        <v/>
      </c>
      <c r="H244" s="10" t="s">
        <v>11</v>
      </c>
      <c r="I244" s="11" t="s">
        <v>11</v>
      </c>
      <c r="J244" s="12"/>
    </row>
    <row r="245" spans="1:10" ht="60" customHeight="1">
      <c r="A245" s="6" t="s">
        <v>901</v>
      </c>
      <c r="B245" s="6" t="s">
        <v>29</v>
      </c>
      <c r="C245" s="6" t="s">
        <v>196</v>
      </c>
      <c r="D245" s="7" t="s">
        <v>884</v>
      </c>
      <c r="E245" s="8" t="s">
        <v>902</v>
      </c>
      <c r="F245" s="6" t="s">
        <v>903</v>
      </c>
      <c r="G245" s="9">
        <f>IF(A245=1,"_",IF(C245="_","???",C245))</f>
        <v/>
      </c>
      <c r="H245" s="10" t="s">
        <v>11</v>
      </c>
      <c r="I245" s="11" t="s">
        <v>11</v>
      </c>
      <c r="J245" s="12"/>
    </row>
    <row r="246" spans="1:10" ht="60" customHeight="1">
      <c r="A246" s="6" t="s">
        <v>904</v>
      </c>
      <c r="B246" s="6" t="s">
        <v>15</v>
      </c>
      <c r="C246" s="6" t="s">
        <v>145</v>
      </c>
      <c r="D246" s="7" t="s">
        <v>71</v>
      </c>
      <c r="E246" s="8" t="s">
        <v>905</v>
      </c>
      <c r="F246" s="6" t="s">
        <v>906</v>
      </c>
      <c r="G246" s="9">
        <f>IF(A246=1,"_",IF(C246="_","???",C246))</f>
        <v/>
      </c>
      <c r="H246" s="10" t="s">
        <v>11</v>
      </c>
      <c r="I246" s="11" t="s">
        <v>11</v>
      </c>
      <c r="J246" s="12"/>
    </row>
    <row r="247" spans="1:10" ht="60" customHeight="1">
      <c r="A247" s="6" t="s">
        <v>907</v>
      </c>
      <c r="B247" s="6" t="s">
        <v>10</v>
      </c>
      <c r="C247" s="6" t="s">
        <v>11</v>
      </c>
      <c r="D247" s="7" t="s">
        <v>908</v>
      </c>
      <c r="E247" s="8" t="s">
        <v>909</v>
      </c>
      <c r="F247" s="6" t="s">
        <v>910</v>
      </c>
      <c r="G247" s="9">
        <f>IF(A247=1,"_",IF(C247="_","???",C247))</f>
        <v/>
      </c>
      <c r="H247" s="10" t="s">
        <v>11</v>
      </c>
      <c r="I247" s="11" t="s">
        <v>11</v>
      </c>
      <c r="J247" s="12"/>
    </row>
    <row r="248" spans="1:10" ht="60" customHeight="1">
      <c r="A248" s="6" t="s">
        <v>911</v>
      </c>
      <c r="B248" s="6" t="s">
        <v>15</v>
      </c>
      <c r="C248" s="6" t="s">
        <v>48</v>
      </c>
      <c r="D248" s="7" t="s">
        <v>912</v>
      </c>
      <c r="E248" s="8" t="s">
        <v>913</v>
      </c>
      <c r="F248" s="6" t="s">
        <v>914</v>
      </c>
      <c r="G248" s="9">
        <f>IF(A248=1,"_",IF(C248="_","???",C248))</f>
        <v/>
      </c>
      <c r="H248" s="10" t="s">
        <v>11</v>
      </c>
      <c r="I248" s="11" t="s">
        <v>11</v>
      </c>
      <c r="J248" s="12"/>
    </row>
    <row r="249" spans="1:10" ht="60" customHeight="1">
      <c r="A249" s="6" t="s">
        <v>915</v>
      </c>
      <c r="B249" s="6" t="s">
        <v>10</v>
      </c>
      <c r="C249" s="6" t="s">
        <v>11</v>
      </c>
      <c r="D249" s="7" t="s">
        <v>213</v>
      </c>
      <c r="E249" s="8" t="s">
        <v>916</v>
      </c>
      <c r="F249" s="6" t="s">
        <v>917</v>
      </c>
      <c r="G249" s="9">
        <f>IF(A249=1,"_",IF(C249="_","???",C249))</f>
        <v/>
      </c>
      <c r="H249" s="10" t="s">
        <v>11</v>
      </c>
      <c r="I249" s="11" t="s">
        <v>11</v>
      </c>
      <c r="J249" s="12"/>
    </row>
    <row r="250" spans="1:10" ht="60" customHeight="1">
      <c r="A250" s="6" t="s">
        <v>918</v>
      </c>
      <c r="B250" s="6" t="s">
        <v>15</v>
      </c>
      <c r="C250" s="6" t="s">
        <v>25</v>
      </c>
      <c r="D250" s="7" t="s">
        <v>919</v>
      </c>
      <c r="E250" s="8" t="s">
        <v>920</v>
      </c>
      <c r="F250" s="6" t="s">
        <v>921</v>
      </c>
      <c r="G250" s="9">
        <f>IF(A250=1,"_",IF(C250="_","???",C250))</f>
        <v/>
      </c>
      <c r="H250" s="10" t="s">
        <v>11</v>
      </c>
      <c r="I250" s="11" t="s">
        <v>11</v>
      </c>
      <c r="J250" s="12"/>
    </row>
    <row r="251" spans="1:10" ht="60" customHeight="1">
      <c r="A251" s="6" t="s">
        <v>922</v>
      </c>
      <c r="B251" s="6" t="s">
        <v>10</v>
      </c>
      <c r="C251" s="6" t="s">
        <v>11</v>
      </c>
      <c r="D251" s="7" t="s">
        <v>264</v>
      </c>
      <c r="E251" s="8" t="s">
        <v>923</v>
      </c>
      <c r="F251" s="6" t="s">
        <v>924</v>
      </c>
      <c r="G251" s="9">
        <f>IF(A251=1,"_",IF(C251="_","???",C251))</f>
        <v/>
      </c>
      <c r="H251" s="10" t="s">
        <v>11</v>
      </c>
      <c r="I251" s="11" t="s">
        <v>11</v>
      </c>
      <c r="J251" s="12"/>
    </row>
    <row r="252" spans="1:10" ht="60" customHeight="1">
      <c r="A252" s="6" t="s">
        <v>925</v>
      </c>
      <c r="B252" s="6" t="s">
        <v>20</v>
      </c>
      <c r="C252" s="6" t="s">
        <v>25</v>
      </c>
      <c r="D252" s="7" t="s">
        <v>926</v>
      </c>
      <c r="E252" s="8" t="s">
        <v>927</v>
      </c>
      <c r="F252" s="6" t="s">
        <v>928</v>
      </c>
      <c r="G252" s="9">
        <f>IF(A252=1,"_",IF(C252="_","???",C252))</f>
        <v/>
      </c>
      <c r="H252" s="10" t="s">
        <v>11</v>
      </c>
      <c r="I252" s="11" t="s">
        <v>11</v>
      </c>
      <c r="J252" s="12"/>
    </row>
    <row r="253" spans="1:10" ht="60" customHeight="1">
      <c r="A253" s="6" t="s">
        <v>929</v>
      </c>
      <c r="B253" s="6" t="s">
        <v>29</v>
      </c>
      <c r="C253" s="6" t="s">
        <v>25</v>
      </c>
      <c r="D253" s="7" t="s">
        <v>930</v>
      </c>
      <c r="E253" s="8" t="s">
        <v>931</v>
      </c>
      <c r="F253" s="6" t="s">
        <v>932</v>
      </c>
      <c r="G253" s="9">
        <f>IF(A253=1,"_",IF(C253="_","???",C253))</f>
        <v/>
      </c>
      <c r="H253" s="10" t="s">
        <v>11</v>
      </c>
      <c r="I253" s="11" t="s">
        <v>11</v>
      </c>
      <c r="J253" s="12"/>
    </row>
    <row r="254" spans="1:10" ht="60" customHeight="1">
      <c r="A254" s="6" t="s">
        <v>933</v>
      </c>
      <c r="B254" s="6" t="s">
        <v>15</v>
      </c>
      <c r="C254" s="6" t="s">
        <v>11</v>
      </c>
      <c r="D254" s="7" t="s">
        <v>934</v>
      </c>
      <c r="E254" s="8" t="s">
        <v>935</v>
      </c>
      <c r="F254" s="6" t="s">
        <v>936</v>
      </c>
      <c r="G254" s="9">
        <f>IF(A254=1,"_",IF(C254="_","???",C254))</f>
        <v/>
      </c>
      <c r="H254" s="10" t="s">
        <v>11</v>
      </c>
      <c r="I254" s="11" t="s">
        <v>11</v>
      </c>
      <c r="J254" s="12"/>
    </row>
    <row r="255" spans="1:10" ht="60" customHeight="1">
      <c r="A255" s="6" t="s">
        <v>937</v>
      </c>
      <c r="B255" s="6" t="s">
        <v>20</v>
      </c>
      <c r="C255" s="6" t="s">
        <v>11</v>
      </c>
      <c r="D255" s="7" t="s">
        <v>934</v>
      </c>
      <c r="E255" s="8" t="s">
        <v>938</v>
      </c>
      <c r="F255" s="6" t="s">
        <v>939</v>
      </c>
      <c r="G255" s="9">
        <f>IF(A255=1,"_",IF(C255="_","???",C255))</f>
        <v/>
      </c>
      <c r="H255" s="10" t="s">
        <v>11</v>
      </c>
      <c r="I255" s="11" t="s">
        <v>11</v>
      </c>
      <c r="J255" s="12"/>
    </row>
    <row r="256" spans="1:10" ht="60" customHeight="1">
      <c r="A256" s="6" t="s">
        <v>940</v>
      </c>
      <c r="B256" s="6" t="s">
        <v>20</v>
      </c>
      <c r="C256" s="6" t="s">
        <v>79</v>
      </c>
      <c r="D256" s="7" t="s">
        <v>934</v>
      </c>
      <c r="E256" s="8" t="s">
        <v>941</v>
      </c>
      <c r="F256" s="6" t="s">
        <v>942</v>
      </c>
      <c r="G256" s="9">
        <f>IF(A256=1,"_",IF(C256="_","???",C256))</f>
        <v/>
      </c>
      <c r="H256" s="10" t="s">
        <v>11</v>
      </c>
      <c r="I256" s="11" t="s">
        <v>11</v>
      </c>
      <c r="J256" s="12"/>
    </row>
    <row r="257" spans="1:10" ht="60" customHeight="1">
      <c r="A257" s="6" t="s">
        <v>943</v>
      </c>
      <c r="B257" s="6" t="s">
        <v>20</v>
      </c>
      <c r="C257" s="6" t="s">
        <v>11</v>
      </c>
      <c r="D257" s="7" t="s">
        <v>17</v>
      </c>
      <c r="E257" s="8" t="s">
        <v>944</v>
      </c>
      <c r="F257" s="6" t="s">
        <v>945</v>
      </c>
      <c r="G257" s="9">
        <f>IF(A257=1,"_",IF(C257="_","???",C257))</f>
        <v/>
      </c>
      <c r="H257" s="10" t="s">
        <v>11</v>
      </c>
      <c r="I257" s="11" t="s">
        <v>11</v>
      </c>
      <c r="J257" s="12"/>
    </row>
    <row r="258" spans="1:10" ht="60" customHeight="1">
      <c r="A258" s="6" t="s">
        <v>946</v>
      </c>
      <c r="B258" s="6" t="s">
        <v>15</v>
      </c>
      <c r="C258" s="6" t="s">
        <v>145</v>
      </c>
      <c r="D258" s="7" t="s">
        <v>934</v>
      </c>
      <c r="E258" s="8" t="s">
        <v>947</v>
      </c>
      <c r="F258" s="6" t="s">
        <v>948</v>
      </c>
      <c r="G258" s="9">
        <f>IF(A258=1,"_",IF(C258="_","???",C258))</f>
        <v/>
      </c>
      <c r="H258" s="10" t="s">
        <v>11</v>
      </c>
      <c r="I258" s="11" t="s">
        <v>11</v>
      </c>
      <c r="J258" s="12"/>
    </row>
    <row r="259" spans="1:10" ht="60" customHeight="1">
      <c r="A259" s="6" t="s">
        <v>949</v>
      </c>
      <c r="B259" s="6" t="s">
        <v>20</v>
      </c>
      <c r="C259" s="6" t="s">
        <v>25</v>
      </c>
      <c r="D259" s="7" t="s">
        <v>950</v>
      </c>
      <c r="E259" s="8" t="s">
        <v>951</v>
      </c>
      <c r="F259" s="6" t="s">
        <v>952</v>
      </c>
      <c r="G259" s="9">
        <f>IF(A259=1,"_",IF(C259="_","???",C259))</f>
        <v/>
      </c>
      <c r="H259" s="10" t="s">
        <v>11</v>
      </c>
      <c r="I259" s="11" t="s">
        <v>11</v>
      </c>
      <c r="J259" s="12"/>
    </row>
    <row r="260" spans="1:10" ht="60" customHeight="1">
      <c r="A260" s="6" t="s">
        <v>953</v>
      </c>
      <c r="B260" s="6" t="s">
        <v>74</v>
      </c>
      <c r="C260" s="6" t="s">
        <v>115</v>
      </c>
      <c r="D260" s="7" t="s">
        <v>954</v>
      </c>
      <c r="E260" s="8" t="s">
        <v>955</v>
      </c>
      <c r="F260" s="6" t="s">
        <v>956</v>
      </c>
      <c r="G260" s="9">
        <f>IF(A260=1,"_",IF(C260="_","???",C260))</f>
        <v/>
      </c>
      <c r="H260" s="10" t="s">
        <v>11</v>
      </c>
      <c r="I260" s="11" t="s">
        <v>11</v>
      </c>
      <c r="J260" s="12"/>
    </row>
    <row r="261" spans="1:10" ht="60" customHeight="1">
      <c r="A261" s="6" t="s">
        <v>957</v>
      </c>
      <c r="B261" s="6" t="s">
        <v>20</v>
      </c>
      <c r="C261" s="6" t="s">
        <v>11</v>
      </c>
      <c r="D261" s="7" t="s">
        <v>275</v>
      </c>
      <c r="E261" s="8" t="s">
        <v>958</v>
      </c>
      <c r="F261" s="6" t="s">
        <v>959</v>
      </c>
      <c r="G261" s="9">
        <f>IF(A261=1,"_",IF(C261="_","???",C261))</f>
        <v/>
      </c>
      <c r="H261" s="10" t="s">
        <v>11</v>
      </c>
      <c r="I261" s="11" t="s">
        <v>11</v>
      </c>
      <c r="J261" s="12"/>
    </row>
    <row r="262" spans="1:10" ht="60" customHeight="1">
      <c r="A262" s="6" t="s">
        <v>960</v>
      </c>
      <c r="B262" s="6" t="s">
        <v>10</v>
      </c>
      <c r="C262" s="6" t="s">
        <v>11</v>
      </c>
      <c r="D262" s="7" t="s">
        <v>961</v>
      </c>
      <c r="E262" s="8" t="s">
        <v>962</v>
      </c>
      <c r="F262" s="6" t="s">
        <v>963</v>
      </c>
      <c r="G262" s="9">
        <f>IF(A262=1,"_",IF(C262="_","???",C262))</f>
        <v/>
      </c>
      <c r="H262" s="10" t="s">
        <v>11</v>
      </c>
      <c r="I262" s="11" t="s">
        <v>11</v>
      </c>
      <c r="J262" s="12"/>
    </row>
    <row r="263" spans="1:10" ht="60" customHeight="1">
      <c r="A263" s="6" t="s">
        <v>964</v>
      </c>
      <c r="B263" s="6" t="s">
        <v>43</v>
      </c>
      <c r="C263" s="6" t="s">
        <v>55</v>
      </c>
      <c r="D263" s="7" t="s">
        <v>965</v>
      </c>
      <c r="E263" s="8" t="s">
        <v>966</v>
      </c>
      <c r="F263" s="6" t="s">
        <v>967</v>
      </c>
      <c r="G263" s="9">
        <f>IF(A263=1,"_",IF(C263="_","???",C263))</f>
        <v/>
      </c>
      <c r="H263" s="10" t="s">
        <v>11</v>
      </c>
      <c r="I263" s="11" t="s">
        <v>11</v>
      </c>
      <c r="J263" s="12"/>
    </row>
    <row r="264" spans="1:10" ht="60" customHeight="1">
      <c r="A264" s="6" t="s">
        <v>968</v>
      </c>
      <c r="B264" s="6" t="s">
        <v>24</v>
      </c>
      <c r="C264" s="6" t="s">
        <v>11</v>
      </c>
      <c r="D264" s="7" t="s">
        <v>17</v>
      </c>
      <c r="E264" s="8" t="s">
        <v>969</v>
      </c>
      <c r="F264" s="6" t="s">
        <v>970</v>
      </c>
      <c r="G264" s="9">
        <f>IF(A264=1,"_",IF(C264="_","???",C264))</f>
        <v/>
      </c>
      <c r="H264" s="10" t="s">
        <v>11</v>
      </c>
      <c r="I264" s="11" t="s">
        <v>11</v>
      </c>
      <c r="J264" s="12"/>
    </row>
    <row r="265" spans="1:10" ht="60" customHeight="1">
      <c r="A265" s="6" t="s">
        <v>971</v>
      </c>
      <c r="B265" s="6" t="s">
        <v>10</v>
      </c>
      <c r="C265" s="6" t="s">
        <v>11</v>
      </c>
      <c r="D265" s="7" t="s">
        <v>972</v>
      </c>
      <c r="E265" s="8" t="s">
        <v>973</v>
      </c>
      <c r="F265" s="6" t="s">
        <v>974</v>
      </c>
      <c r="G265" s="9">
        <f>IF(A265=1,"_",IF(C265="_","???",C265))</f>
        <v/>
      </c>
      <c r="H265" s="10" t="s">
        <v>11</v>
      </c>
      <c r="I265" s="11" t="s">
        <v>11</v>
      </c>
      <c r="J265" s="12"/>
    </row>
    <row r="266" spans="1:10" ht="60" customHeight="1">
      <c r="A266" s="6" t="s">
        <v>975</v>
      </c>
      <c r="B266" s="6" t="s">
        <v>10</v>
      </c>
      <c r="C266" s="6" t="s">
        <v>11</v>
      </c>
      <c r="D266" s="7" t="s">
        <v>972</v>
      </c>
      <c r="E266" s="8" t="s">
        <v>976</v>
      </c>
      <c r="F266" s="6" t="s">
        <v>977</v>
      </c>
      <c r="G266" s="9">
        <f>IF(A266=1,"_",IF(C266="_","???",C266))</f>
        <v/>
      </c>
      <c r="H266" s="10" t="s">
        <v>11</v>
      </c>
      <c r="I266" s="11" t="s">
        <v>11</v>
      </c>
      <c r="J266" s="12"/>
    </row>
    <row r="267" spans="1:10" ht="60" customHeight="1">
      <c r="A267" s="6" t="s">
        <v>978</v>
      </c>
      <c r="B267" s="6" t="s">
        <v>15</v>
      </c>
      <c r="C267" s="6" t="s">
        <v>48</v>
      </c>
      <c r="D267" s="7" t="s">
        <v>979</v>
      </c>
      <c r="E267" s="8" t="s">
        <v>980</v>
      </c>
      <c r="F267" s="6" t="s">
        <v>981</v>
      </c>
      <c r="G267" s="9">
        <f>IF(A267=1,"_",IF(C267="_","???",C267))</f>
        <v/>
      </c>
      <c r="H267" s="10" t="s">
        <v>11</v>
      </c>
      <c r="I267" s="11" t="s">
        <v>11</v>
      </c>
      <c r="J267" s="12"/>
    </row>
    <row r="268" spans="1:10" ht="60" customHeight="1">
      <c r="A268" s="6" t="s">
        <v>982</v>
      </c>
      <c r="B268" s="6" t="s">
        <v>15</v>
      </c>
      <c r="C268" s="6" t="s">
        <v>67</v>
      </c>
      <c r="D268" s="7" t="s">
        <v>983</v>
      </c>
      <c r="E268" s="8" t="s">
        <v>984</v>
      </c>
      <c r="F268" s="6" t="s">
        <v>985</v>
      </c>
      <c r="G268" s="9">
        <f>IF(A268=1,"_",IF(C268="_","???",C268))</f>
        <v/>
      </c>
      <c r="H268" s="10" t="s">
        <v>11</v>
      </c>
      <c r="I268" s="11" t="s">
        <v>11</v>
      </c>
      <c r="J268" s="12"/>
    </row>
    <row r="269" spans="1:10" ht="60" customHeight="1">
      <c r="A269" s="6" t="s">
        <v>986</v>
      </c>
      <c r="B269" s="6" t="s">
        <v>10</v>
      </c>
      <c r="C269" s="6" t="s">
        <v>145</v>
      </c>
      <c r="D269" s="7" t="s">
        <v>197</v>
      </c>
      <c r="E269" s="8" t="s">
        <v>987</v>
      </c>
      <c r="F269" s="6" t="s">
        <v>988</v>
      </c>
      <c r="G269" s="9">
        <f>IF(A269=1,"_",IF(C269="_","???",C269))</f>
        <v/>
      </c>
      <c r="H269" s="10" t="s">
        <v>11</v>
      </c>
      <c r="I269" s="11" t="s">
        <v>11</v>
      </c>
      <c r="J269" s="12"/>
    </row>
    <row r="270" spans="1:10" ht="60" customHeight="1">
      <c r="A270" s="6" t="s">
        <v>989</v>
      </c>
      <c r="B270" s="6" t="s">
        <v>15</v>
      </c>
      <c r="C270" s="6" t="s">
        <v>145</v>
      </c>
      <c r="D270" s="7" t="s">
        <v>12</v>
      </c>
      <c r="E270" s="8" t="s">
        <v>990</v>
      </c>
      <c r="F270" s="6" t="s">
        <v>991</v>
      </c>
      <c r="G270" s="9">
        <f>IF(A270=1,"_",IF(C270="_","???",C270))</f>
        <v/>
      </c>
      <c r="H270" s="10" t="s">
        <v>11</v>
      </c>
      <c r="I270" s="11" t="s">
        <v>11</v>
      </c>
      <c r="J270" s="12"/>
    </row>
    <row r="271" spans="1:10" ht="60" customHeight="1">
      <c r="A271" s="6" t="s">
        <v>992</v>
      </c>
      <c r="B271" s="6" t="s">
        <v>51</v>
      </c>
      <c r="C271" s="6" t="s">
        <v>145</v>
      </c>
      <c r="D271" s="7" t="s">
        <v>993</v>
      </c>
      <c r="E271" s="8" t="s">
        <v>994</v>
      </c>
      <c r="F271" s="6" t="s">
        <v>995</v>
      </c>
      <c r="G271" s="9">
        <f>IF(A271=1,"_",IF(C271="_","???",C271))</f>
        <v/>
      </c>
      <c r="H271" s="10" t="s">
        <v>11</v>
      </c>
      <c r="I271" s="11" t="s">
        <v>11</v>
      </c>
      <c r="J271" s="12"/>
    </row>
    <row r="272" spans="1:10" ht="60" customHeight="1">
      <c r="A272" s="6" t="s">
        <v>996</v>
      </c>
      <c r="B272" s="6" t="s">
        <v>10</v>
      </c>
      <c r="C272" s="6" t="s">
        <v>11</v>
      </c>
      <c r="D272" s="7" t="s">
        <v>997</v>
      </c>
      <c r="E272" s="8" t="s">
        <v>998</v>
      </c>
      <c r="F272" s="6" t="s">
        <v>999</v>
      </c>
      <c r="G272" s="9">
        <f>IF(A272=1,"_",IF(C272="_","???",C272))</f>
        <v/>
      </c>
      <c r="H272" s="10" t="s">
        <v>11</v>
      </c>
      <c r="I272" s="11" t="s">
        <v>11</v>
      </c>
      <c r="J27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0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1000</v>
      </c>
      <c r="B1" s="13" t="s">
        <v>1001</v>
      </c>
      <c r="C1" s="13" t="s">
        <v>1002</v>
      </c>
      <c r="D1" s="13" t="s">
        <v>1003</v>
      </c>
      <c r="E1" s="14" t="s">
        <v>1004</v>
      </c>
      <c r="F1" s="15" t="s">
        <v>1005</v>
      </c>
      <c r="G1" s="16" t="s">
        <v>1006</v>
      </c>
      <c r="H1" s="17" t="s">
        <v>1007</v>
      </c>
      <c r="I1" s="18" t="s">
        <v>1008</v>
      </c>
      <c r="J1" s="18" t="s">
        <v>1009</v>
      </c>
      <c r="K1" s="18" t="s">
        <v>1010</v>
      </c>
      <c r="L1" s="19" t="s">
        <v>9</v>
      </c>
    </row>
    <row r="2" spans="1:12">
      <c r="A2" s="20" t="s">
        <v>1011</v>
      </c>
    </row>
    <row r="3" spans="1:12">
      <c r="A3" s="20" t="s">
        <v>1012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1013</v>
      </c>
      <c r="B4" s="27" t="s">
        <v>1014</v>
      </c>
      <c r="C4" s="27" t="s">
        <v>1015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1016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197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1017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1018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1019</v>
      </c>
      <c r="B9" s="27" t="s">
        <v>1020</v>
      </c>
      <c r="C9" s="27" t="s">
        <v>1021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1022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1023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1022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1024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1022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1025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1026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1027</v>
      </c>
      <c r="B17" s="27" t="s">
        <v>1028</v>
      </c>
      <c r="C17" s="27" t="s">
        <v>1029</v>
      </c>
      <c r="D17" s="27" t="s">
        <v>1030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1031</v>
      </c>
      <c r="B18" s="27" t="s">
        <v>1032</v>
      </c>
      <c r="C18" s="27" t="s">
        <v>1033</v>
      </c>
      <c r="D18" s="27" t="s">
        <v>1030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1022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1034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1018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1019</v>
      </c>
      <c r="B22" s="27" t="s">
        <v>1035</v>
      </c>
      <c r="C22" s="27" t="s">
        <v>1029</v>
      </c>
      <c r="D22" s="27" t="s">
        <v>1030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1016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1036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1037</v>
      </c>
      <c r="B25" s="27" t="s">
        <v>1028</v>
      </c>
      <c r="C25" s="27" t="s">
        <v>1038</v>
      </c>
      <c r="D25" s="27" t="s">
        <v>1030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135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/>
    </row>
    <row r="28" spans="1:12">
      <c r="A28" s="20" t="s">
        <v>1039</v>
      </c>
    </row>
    <row r="29" spans="1:12">
      <c r="A29" s="20" t="s">
        <v>1040</v>
      </c>
      <c r="B29" s="27" t="s">
        <v>1041</v>
      </c>
      <c r="C29" s="27" t="s">
        <v>1042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1025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1043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1044</v>
      </c>
      <c r="B32" s="27" t="s">
        <v>1045</v>
      </c>
      <c r="C32" s="27" t="s">
        <v>1046</v>
      </c>
      <c r="D32" s="27" t="s">
        <v>1030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1047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1048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1049</v>
      </c>
      <c r="B35" s="27" t="s">
        <v>1014</v>
      </c>
      <c r="C35" s="27" t="s">
        <v>1050</v>
      </c>
      <c r="D35" s="27" t="s">
        <v>1030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135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/>
    </row>
    <row r="38" spans="1:12">
      <c r="A38" s="20" t="s">
        <v>1051</v>
      </c>
    </row>
    <row r="39" spans="1:12">
      <c r="A39" s="20" t="s">
        <v>1052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21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1053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1022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1054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1055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1056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1057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1054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1058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1059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1060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135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/>
    </row>
    <row r="54" spans="1:12">
      <c r="A54" s="20" t="s">
        <v>1061</v>
      </c>
    </row>
    <row r="55" spans="1:12">
      <c r="A55" s="20" t="s">
        <v>1062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1063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1064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1016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30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1065</v>
      </c>
      <c r="B60" s="27" t="s">
        <v>1066</v>
      </c>
      <c r="C60" s="27" t="s">
        <v>1067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1068</v>
      </c>
      <c r="B61" s="27" t="s">
        <v>1069</v>
      </c>
      <c r="C61" s="27" t="s">
        <v>1070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1022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505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1071</v>
      </c>
      <c r="B64" s="27" t="s">
        <v>1069</v>
      </c>
      <c r="C64" s="27" t="s">
        <v>1050</v>
      </c>
      <c r="D64" s="27" t="s">
        <v>1030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1072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1073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1074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1075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1076</v>
      </c>
      <c r="B69" s="27" t="s">
        <v>1066</v>
      </c>
      <c r="C69" s="27" t="s">
        <v>1077</v>
      </c>
      <c r="D69" s="27" t="s">
        <v>1030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1078</v>
      </c>
      <c r="B70" s="27" t="s">
        <v>1079</v>
      </c>
      <c r="C70" s="27" t="s">
        <v>1038</v>
      </c>
      <c r="D70" s="27" t="s">
        <v>1030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1025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1080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1081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1082</v>
      </c>
      <c r="B74" s="27" t="s">
        <v>1079</v>
      </c>
      <c r="C74" s="27" t="s">
        <v>1038</v>
      </c>
      <c r="D74" s="27" t="s">
        <v>1030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1022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1083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1084</v>
      </c>
      <c r="B77" s="27" t="s">
        <v>1085</v>
      </c>
      <c r="C77" s="27" t="s">
        <v>1042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1086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34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1053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135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/>
    </row>
    <row r="83" spans="1:12">
      <c r="A83" s="20" t="s">
        <v>1087</v>
      </c>
    </row>
    <row r="84" spans="1:12">
      <c r="A84" s="20" t="s">
        <v>1088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1089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135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/>
    </row>
    <row r="88" spans="1:12">
      <c r="A88" s="20" t="s">
        <v>1090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1091</v>
      </c>
    </row>
    <row r="90" spans="1:12">
      <c r="A90" s="20" t="s">
        <v>1092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34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1074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1093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1094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1049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1095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1096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1097</v>
      </c>
      <c r="B98" s="27" t="s">
        <v>1098</v>
      </c>
      <c r="C98" s="27" t="s">
        <v>1038</v>
      </c>
      <c r="D98" s="27" t="s">
        <v>1030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1099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1100</v>
      </c>
      <c r="B100" s="27" t="s">
        <v>1066</v>
      </c>
      <c r="C100" s="27" t="s">
        <v>1033</v>
      </c>
      <c r="D100" s="27" t="s">
        <v>1030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1022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1099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1101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1102</v>
      </c>
      <c r="B104" s="27" t="s">
        <v>1103</v>
      </c>
      <c r="C104" s="27" t="s">
        <v>1033</v>
      </c>
      <c r="D104" s="27" t="s">
        <v>1030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1104</v>
      </c>
      <c r="B105" s="27" t="s">
        <v>1035</v>
      </c>
      <c r="C105" s="27" t="s">
        <v>1033</v>
      </c>
      <c r="D105" s="27" t="s">
        <v>1030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1101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135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/>
    </row>
    <row r="109" spans="1:12">
      <c r="A109" s="20" t="s">
        <v>1087</v>
      </c>
    </row>
    <row r="110" spans="1:12">
      <c r="A110" s="20" t="s">
        <v>1088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1089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135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/>
    </row>
    <row r="114" spans="1:12">
      <c r="A114" s="20" t="s">
        <v>1105</v>
      </c>
    </row>
    <row r="115" spans="1:12">
      <c r="A115" s="20" t="s">
        <v>1106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1107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1094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1049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1108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1018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1109</v>
      </c>
      <c r="B121" s="27" t="s">
        <v>1045</v>
      </c>
      <c r="C121" s="27" t="s">
        <v>1029</v>
      </c>
      <c r="D121" s="27" t="s">
        <v>1030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1016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1110</v>
      </c>
      <c r="B123" s="27" t="s">
        <v>1079</v>
      </c>
      <c r="C123" s="27" t="s">
        <v>1029</v>
      </c>
      <c r="D123" s="27" t="s">
        <v>1030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1074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1111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1112</v>
      </c>
      <c r="B126" s="27" t="s">
        <v>1066</v>
      </c>
      <c r="C126" s="27" t="s">
        <v>1038</v>
      </c>
      <c r="D126" s="27" t="s">
        <v>1030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1022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1074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1096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1113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1114</v>
      </c>
      <c r="B131" s="27" t="s">
        <v>1079</v>
      </c>
      <c r="C131" s="27" t="s">
        <v>1038</v>
      </c>
      <c r="D131" s="27" t="s">
        <v>1030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135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/>
    </row>
    <row r="134" spans="1:12">
      <c r="A134" s="20" t="s">
        <v>1115</v>
      </c>
    </row>
    <row r="135" spans="1:12">
      <c r="A135" s="20" t="s">
        <v>1116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44</v>
      </c>
      <c r="B136" s="27" t="s">
        <v>1045</v>
      </c>
      <c r="C136" s="27" t="s">
        <v>1038</v>
      </c>
      <c r="D136" s="27" t="s">
        <v>1030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135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/>
    </row>
    <row r="139" spans="1:12">
      <c r="A139" s="20" t="s">
        <v>1117</v>
      </c>
    </row>
    <row r="140" spans="1:12">
      <c r="A140" s="20" t="s">
        <v>1118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1057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1119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1120</v>
      </c>
      <c r="B143" s="27" t="s">
        <v>1014</v>
      </c>
      <c r="C143" s="27" t="s">
        <v>1029</v>
      </c>
      <c r="D143" s="27" t="s">
        <v>1030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1016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1121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1122</v>
      </c>
      <c r="B146" s="27" t="s">
        <v>1079</v>
      </c>
      <c r="C146" s="27" t="s">
        <v>1046</v>
      </c>
      <c r="D146" s="27" t="s">
        <v>1030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1022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1123</v>
      </c>
      <c r="B148" s="27" t="s">
        <v>1069</v>
      </c>
      <c r="C148" s="27" t="s">
        <v>1050</v>
      </c>
      <c r="D148" s="27" t="s">
        <v>1030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1124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1125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135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/>
    </row>
    <row r="153" spans="1:12">
      <c r="A153" s="20" t="s">
        <v>1126</v>
      </c>
    </row>
    <row r="154" spans="1:12">
      <c r="A154" s="20" t="s">
        <v>1088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1127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34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1053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1022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1083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1057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505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1128</v>
      </c>
      <c r="B162" s="27" t="s">
        <v>1098</v>
      </c>
      <c r="C162" s="27" t="s">
        <v>1050</v>
      </c>
      <c r="D162" s="27" t="s">
        <v>1030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1108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1129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1022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1034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505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1096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1130</v>
      </c>
      <c r="B169" s="27" t="s">
        <v>1085</v>
      </c>
      <c r="C169" s="27" t="s">
        <v>1029</v>
      </c>
      <c r="D169" s="27" t="s">
        <v>1030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1131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1132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1133</v>
      </c>
      <c r="B172" s="27" t="s">
        <v>1103</v>
      </c>
      <c r="C172" s="27" t="s">
        <v>1046</v>
      </c>
      <c r="D172" s="27" t="s">
        <v>1030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1057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1134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1053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1022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1135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1055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135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/>
    </row>
    <row r="181" spans="1:12">
      <c r="A181" s="20" t="s">
        <v>1136</v>
      </c>
    </row>
    <row r="182" spans="1:12">
      <c r="A182" s="20" t="s">
        <v>1137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1127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1025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1111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1019</v>
      </c>
      <c r="B187" s="27" t="s">
        <v>1045</v>
      </c>
      <c r="C187" s="27" t="s">
        <v>1038</v>
      </c>
      <c r="D187" s="27" t="s">
        <v>1030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1083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1127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21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1055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135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/>
    </row>
    <row r="194" spans="1:12">
      <c r="A194" s="20" t="s">
        <v>1138</v>
      </c>
    </row>
    <row r="195" spans="1:12">
      <c r="A195" s="20" t="s">
        <v>1139</v>
      </c>
      <c r="B195" s="27" t="s">
        <v>1041</v>
      </c>
      <c r="C195" s="27" t="s">
        <v>1140</v>
      </c>
      <c r="D195" s="27" t="s">
        <v>1030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1034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1036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1141</v>
      </c>
      <c r="B198" s="27" t="s">
        <v>1045</v>
      </c>
      <c r="C198" s="27" t="s">
        <v>1038</v>
      </c>
      <c r="D198" s="27" t="s">
        <v>1030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1142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1094</v>
      </c>
      <c r="B200" s="27" t="s">
        <v>1098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1049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1108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1143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1131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1132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1133</v>
      </c>
      <c r="B206" s="27" t="s">
        <v>1079</v>
      </c>
      <c r="C206" s="27" t="s">
        <v>1046</v>
      </c>
      <c r="D206" s="27" t="s">
        <v>1030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1025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1144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1145</v>
      </c>
      <c r="B209" s="27" t="s">
        <v>1079</v>
      </c>
      <c r="C209" s="27" t="s">
        <v>1070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1094</v>
      </c>
      <c r="B210" s="27" t="s">
        <v>1146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1147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1148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1149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/>
    </row>
    <row r="215" spans="1:12">
      <c r="A215" s="20" t="s">
        <v>1150</v>
      </c>
    </row>
    <row r="216" spans="1:12">
      <c r="A216" s="20" t="s">
        <v>63</v>
      </c>
      <c r="B216" s="27" t="s">
        <v>1045</v>
      </c>
      <c r="C216" s="27" t="s">
        <v>1015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1022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1151</v>
      </c>
      <c r="B218" s="27" t="s">
        <v>1045</v>
      </c>
      <c r="C218" s="27" t="s">
        <v>1015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1022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1152</v>
      </c>
      <c r="B220" s="27" t="s">
        <v>1045</v>
      </c>
      <c r="C220" s="27" t="s">
        <v>1015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1022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1153</v>
      </c>
      <c r="B222" s="27" t="s">
        <v>1045</v>
      </c>
      <c r="C222" s="27" t="s">
        <v>1015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1022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1154</v>
      </c>
      <c r="B224" s="27" t="s">
        <v>1045</v>
      </c>
      <c r="C224" s="27" t="s">
        <v>1029</v>
      </c>
      <c r="D224" s="27" t="s">
        <v>1030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1016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1075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1155</v>
      </c>
      <c r="B227" s="27" t="s">
        <v>1079</v>
      </c>
      <c r="C227" s="27" t="s">
        <v>1029</v>
      </c>
      <c r="D227" s="27" t="s">
        <v>1030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1016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1156</v>
      </c>
      <c r="B229" s="27" t="s">
        <v>1066</v>
      </c>
      <c r="C229" s="27" t="s">
        <v>1015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135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/>
    </row>
    <row r="232" spans="1:12">
      <c r="A232" s="20" t="s">
        <v>1157</v>
      </c>
    </row>
    <row r="233" spans="1:12">
      <c r="A233" s="20" t="s">
        <v>1088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1158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1034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1159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1143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1160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1141</v>
      </c>
      <c r="B239" s="27" t="s">
        <v>1045</v>
      </c>
      <c r="C239" s="27" t="s">
        <v>1029</v>
      </c>
      <c r="D239" s="27" t="s">
        <v>1030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1161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1132</v>
      </c>
      <c r="B241" s="27" t="s">
        <v>1045</v>
      </c>
      <c r="C241" s="27" t="s">
        <v>1140</v>
      </c>
      <c r="D241" s="27" t="s">
        <v>1030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135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/>
    </row>
    <row r="244" spans="1:12">
      <c r="A244" s="20" t="s">
        <v>1162</v>
      </c>
    </row>
    <row r="245" spans="1:12">
      <c r="A245" s="20" t="s">
        <v>1163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1076</v>
      </c>
      <c r="B246" s="27" t="s">
        <v>1079</v>
      </c>
      <c r="C246" s="27" t="s">
        <v>1077</v>
      </c>
      <c r="D246" s="27" t="s">
        <v>1030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1164</v>
      </c>
      <c r="B247" s="27" t="s">
        <v>1041</v>
      </c>
      <c r="C247" s="27" t="s">
        <v>1038</v>
      </c>
      <c r="D247" s="27" t="s">
        <v>1030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1165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1022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1084</v>
      </c>
      <c r="B250" s="27" t="s">
        <v>1045</v>
      </c>
      <c r="C250" s="27" t="s">
        <v>1042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1166</v>
      </c>
      <c r="B251" s="27" t="s">
        <v>1079</v>
      </c>
      <c r="C251" s="27" t="s">
        <v>1067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1022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1093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1016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1075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234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1167</v>
      </c>
      <c r="B257" s="27" t="s">
        <v>1066</v>
      </c>
      <c r="C257" s="27" t="s">
        <v>1038</v>
      </c>
      <c r="D257" s="27" t="s">
        <v>1030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135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/>
    </row>
    <row r="260" spans="1:12">
      <c r="A260" s="20" t="s">
        <v>1168</v>
      </c>
    </row>
    <row r="261" spans="1:12">
      <c r="A261" s="20" t="s">
        <v>1163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1076</v>
      </c>
      <c r="B262" s="27" t="s">
        <v>1079</v>
      </c>
      <c r="C262" s="27" t="s">
        <v>1077</v>
      </c>
      <c r="D262" s="27" t="s">
        <v>1030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1169</v>
      </c>
      <c r="B263" s="27" t="s">
        <v>1041</v>
      </c>
      <c r="C263" s="27" t="s">
        <v>1038</v>
      </c>
      <c r="D263" s="27" t="s">
        <v>1030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1170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1121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1171</v>
      </c>
      <c r="B266" s="27" t="s">
        <v>1014</v>
      </c>
      <c r="C266" s="27" t="s">
        <v>1046</v>
      </c>
      <c r="D266" s="27" t="s">
        <v>1030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1074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270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135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/>
    </row>
    <row r="271" spans="1:12">
      <c r="A271" s="20" t="s">
        <v>1172</v>
      </c>
    </row>
    <row r="272" spans="1:12">
      <c r="A272" s="20" t="s">
        <v>1163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1076</v>
      </c>
      <c r="B273" s="27" t="s">
        <v>1079</v>
      </c>
      <c r="C273" s="27" t="s">
        <v>1077</v>
      </c>
      <c r="D273" s="27" t="s">
        <v>1030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1173</v>
      </c>
      <c r="B274" s="27" t="s">
        <v>1041</v>
      </c>
      <c r="C274" s="27" t="s">
        <v>1038</v>
      </c>
      <c r="D274" s="27" t="s">
        <v>1030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1174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1175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1176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1080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303</v>
      </c>
      <c r="B279" s="27" t="s">
        <v>1069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135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/>
    </row>
    <row r="282" spans="1:12">
      <c r="A282" s="20" t="s">
        <v>1177</v>
      </c>
    </row>
    <row r="283" spans="1:12">
      <c r="A283" s="20" t="s">
        <v>1137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1034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1178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1094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1049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1108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1160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43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1074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1071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1179</v>
      </c>
      <c r="B293" s="27" t="s">
        <v>1079</v>
      </c>
      <c r="C293" s="27" t="s">
        <v>1029</v>
      </c>
      <c r="D293" s="27" t="s">
        <v>1030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1016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1036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1171</v>
      </c>
      <c r="B296" s="27" t="s">
        <v>1066</v>
      </c>
      <c r="C296" s="27" t="s">
        <v>1029</v>
      </c>
      <c r="D296" s="27" t="s">
        <v>1030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1016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1075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1076</v>
      </c>
      <c r="B299" s="27" t="s">
        <v>1035</v>
      </c>
      <c r="C299" s="27" t="s">
        <v>1077</v>
      </c>
      <c r="D299" s="27" t="s">
        <v>1030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1167</v>
      </c>
      <c r="B300" s="27" t="s">
        <v>1103</v>
      </c>
      <c r="C300" s="27" t="s">
        <v>1038</v>
      </c>
      <c r="D300" s="27" t="s">
        <v>1030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1074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1111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1180</v>
      </c>
      <c r="B303" s="27" t="s">
        <v>1066</v>
      </c>
      <c r="C303" s="27" t="s">
        <v>1077</v>
      </c>
      <c r="D303" s="27" t="s">
        <v>1030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1181</v>
      </c>
      <c r="B304" s="27" t="s">
        <v>1079</v>
      </c>
      <c r="C304" s="27" t="s">
        <v>1038</v>
      </c>
      <c r="D304" s="27" t="s">
        <v>1030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135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/>
    </row>
    <row r="307" spans="1:12">
      <c r="A307" s="20" t="s">
        <v>1182</v>
      </c>
    </row>
    <row r="308" spans="1:12">
      <c r="A308" s="20" t="s">
        <v>1118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1057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1183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1184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1185</v>
      </c>
      <c r="B312" s="27" t="s">
        <v>1069</v>
      </c>
      <c r="C312" s="27" t="s">
        <v>1015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1161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1186</v>
      </c>
      <c r="B314" s="27" t="s">
        <v>1079</v>
      </c>
      <c r="C314" s="27" t="s">
        <v>1050</v>
      </c>
      <c r="D314" s="27" t="s">
        <v>1030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1022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1034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1018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247</v>
      </c>
      <c r="B318" s="27" t="s">
        <v>1045</v>
      </c>
      <c r="C318" s="27" t="s">
        <v>1029</v>
      </c>
      <c r="D318" s="27" t="s">
        <v>1030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1187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1188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1023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1016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1043</v>
      </c>
      <c r="B323" s="27" t="s">
        <v>1045</v>
      </c>
      <c r="C323" s="27" t="s">
        <v>1140</v>
      </c>
      <c r="D323" s="27" t="s">
        <v>1030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135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/>
    </row>
    <row r="326" spans="1:12">
      <c r="A326" s="20" t="s">
        <v>1189</v>
      </c>
    </row>
    <row r="327" spans="1:12">
      <c r="A327" s="20" t="s">
        <v>1190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1191</v>
      </c>
      <c r="B328" s="27" t="s">
        <v>1041</v>
      </c>
      <c r="C328" s="27" t="s">
        <v>1021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1192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1074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1193</v>
      </c>
      <c r="B331" s="27" t="s">
        <v>1066</v>
      </c>
      <c r="C331" s="27" t="s">
        <v>1033</v>
      </c>
      <c r="D331" s="27" t="s">
        <v>1030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1194</v>
      </c>
      <c r="B332" s="27" t="s">
        <v>1103</v>
      </c>
      <c r="C332" s="27" t="s">
        <v>1033</v>
      </c>
      <c r="D332" s="27" t="s">
        <v>1030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1195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1196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1197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1198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1016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1199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1200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1201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1036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1188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1202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465</v>
      </c>
      <c r="B344" s="27" t="s">
        <v>1085</v>
      </c>
      <c r="C344" s="27" t="s">
        <v>1029</v>
      </c>
      <c r="D344" s="27" t="s">
        <v>1030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1074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1036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1203</v>
      </c>
      <c r="B347" s="27" t="s">
        <v>1103</v>
      </c>
      <c r="C347" s="27" t="s">
        <v>1038</v>
      </c>
      <c r="D347" s="27" t="s">
        <v>1030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1016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372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1167</v>
      </c>
      <c r="B350" s="27" t="s">
        <v>1103</v>
      </c>
      <c r="C350" s="27" t="s">
        <v>1204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1205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135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/>
    </row>
    <row r="354" spans="1:12">
      <c r="A354" s="20" t="s">
        <v>1206</v>
      </c>
    </row>
    <row r="355" spans="1:12">
      <c r="A355" s="20" t="s">
        <v>1207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1049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135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/>
    </row>
    <row r="359" spans="1:12">
      <c r="A359" s="20" t="s">
        <v>1208</v>
      </c>
    </row>
    <row r="360" spans="1:12">
      <c r="A360" s="20" t="s">
        <v>1209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1160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1210</v>
      </c>
      <c r="B362" s="27" t="s">
        <v>1045</v>
      </c>
      <c r="C362" s="27" t="s">
        <v>1021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1211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135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/>
    </row>
    <row r="366" spans="1:12">
      <c r="A366" s="20" t="s">
        <v>1212</v>
      </c>
    </row>
    <row r="367" spans="1:12">
      <c r="A367" s="20" t="s">
        <v>1213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1205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1214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275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481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1215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/>
    </row>
    <row r="374" spans="1:12">
      <c r="A374" s="20" t="s">
        <v>1216</v>
      </c>
    </row>
    <row r="375" spans="1:12">
      <c r="A375" s="20" t="s">
        <v>103</v>
      </c>
      <c r="B375" s="27" t="s">
        <v>1045</v>
      </c>
      <c r="C375" s="27" t="s">
        <v>1033</v>
      </c>
      <c r="D375" s="27" t="s">
        <v>1030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135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/>
    </row>
    <row r="378" spans="1:12">
      <c r="A378" s="20" t="s">
        <v>1217</v>
      </c>
    </row>
    <row r="379" spans="1:12">
      <c r="A379" s="20" t="s">
        <v>1218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1219</v>
      </c>
      <c r="B380" s="27" t="s">
        <v>1041</v>
      </c>
      <c r="C380" s="27" t="s">
        <v>1038</v>
      </c>
      <c r="D380" s="27" t="s">
        <v>1030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1220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1221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1222</v>
      </c>
      <c r="B383" s="27" t="s">
        <v>1014</v>
      </c>
      <c r="C383" s="27" t="s">
        <v>1029</v>
      </c>
      <c r="D383" s="27" t="s">
        <v>1030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1016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1185</v>
      </c>
      <c r="B385" s="27" t="s">
        <v>1079</v>
      </c>
      <c r="C385" s="27" t="s">
        <v>1015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1131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1132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1133</v>
      </c>
      <c r="B388" s="27" t="s">
        <v>1045</v>
      </c>
      <c r="C388" s="27" t="s">
        <v>1046</v>
      </c>
      <c r="D388" s="27" t="s">
        <v>1030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135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/>
    </row>
    <row r="391" spans="1:12">
      <c r="A391" s="20" t="s">
        <v>1223</v>
      </c>
    </row>
    <row r="392" spans="1:12">
      <c r="A392" s="20" t="s">
        <v>1224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1225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1111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1226</v>
      </c>
      <c r="B395" s="27" t="s">
        <v>1014</v>
      </c>
      <c r="C395" s="27" t="s">
        <v>1029</v>
      </c>
      <c r="D395" s="27" t="s">
        <v>1030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1016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1036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1227</v>
      </c>
      <c r="B398" s="27" t="s">
        <v>1079</v>
      </c>
      <c r="C398" s="27" t="s">
        <v>1038</v>
      </c>
      <c r="D398" s="27" t="s">
        <v>1030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1161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1228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1229</v>
      </c>
      <c r="B401" s="27" t="s">
        <v>1045</v>
      </c>
      <c r="C401" s="27" t="s">
        <v>1070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1220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1159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1210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135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/>
    </row>
    <row r="407" spans="1:12">
      <c r="A407" s="20" t="s">
        <v>1230</v>
      </c>
    </row>
    <row r="408" spans="1:12">
      <c r="A408" s="20" t="s">
        <v>1231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1232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1034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1233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135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/>
    </row>
    <row r="414" spans="1:12">
      <c r="A414" s="20" t="s">
        <v>1234</v>
      </c>
    </row>
    <row r="415" spans="1:12">
      <c r="A415" s="20" t="s">
        <v>119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135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/>
    </row>
    <row r="418" spans="1:12">
      <c r="A418" s="20" t="s">
        <v>1235</v>
      </c>
    </row>
    <row r="419" spans="1:12">
      <c r="A419" s="20" t="s">
        <v>1236</v>
      </c>
      <c r="B419" s="27" t="s">
        <v>1014</v>
      </c>
      <c r="C419" s="27" t="s">
        <v>1050</v>
      </c>
      <c r="D419" s="27" t="s">
        <v>1030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1237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1238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135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/>
    </row>
    <row r="424" spans="1:12">
      <c r="A424" s="20" t="s">
        <v>1239</v>
      </c>
    </row>
    <row r="425" spans="1:12">
      <c r="A425" s="20" t="s">
        <v>127</v>
      </c>
      <c r="B425" s="27" t="s">
        <v>1045</v>
      </c>
      <c r="C425" s="27" t="s">
        <v>1033</v>
      </c>
      <c r="D425" s="27" t="s">
        <v>1030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135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/>
    </row>
    <row r="428" spans="1:12">
      <c r="A428" s="20" t="s">
        <v>1240</v>
      </c>
    </row>
    <row r="429" spans="1:12">
      <c r="A429" s="20" t="s">
        <v>1241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1036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1203</v>
      </c>
      <c r="B431" s="27" t="s">
        <v>1045</v>
      </c>
      <c r="C431" s="27" t="s">
        <v>1038</v>
      </c>
      <c r="D431" s="27" t="s">
        <v>1030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1202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1022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1242</v>
      </c>
      <c r="B434" s="27" t="s">
        <v>1041</v>
      </c>
      <c r="C434" s="27" t="s">
        <v>1015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1094</v>
      </c>
      <c r="B435" s="27" t="s">
        <v>1085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1243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1244</v>
      </c>
      <c r="B437" s="27" t="s">
        <v>1020</v>
      </c>
      <c r="C437" s="27" t="s">
        <v>1029</v>
      </c>
      <c r="D437" s="27" t="s">
        <v>1030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1016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1185</v>
      </c>
      <c r="B439" s="27" t="s">
        <v>1103</v>
      </c>
      <c r="C439" s="27" t="s">
        <v>1015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1184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1018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1245</v>
      </c>
      <c r="B442" s="27" t="s">
        <v>1066</v>
      </c>
      <c r="C442" s="27" t="s">
        <v>1021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1205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1057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1246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1188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1022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1025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1247</v>
      </c>
      <c r="B449" s="27" t="s">
        <v>1045</v>
      </c>
      <c r="C449" s="27" t="s">
        <v>1015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135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/>
    </row>
    <row r="452" spans="1:12">
      <c r="A452" s="20" t="s">
        <v>1248</v>
      </c>
    </row>
    <row r="453" spans="1:12">
      <c r="A453" s="20" t="s">
        <v>1249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1022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1250</v>
      </c>
      <c r="B455" s="27" t="s">
        <v>1014</v>
      </c>
      <c r="C455" s="27" t="s">
        <v>1015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1022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1251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/>
    </row>
    <row r="459" spans="1:12">
      <c r="A459" s="20" t="s">
        <v>1252</v>
      </c>
    </row>
    <row r="460" spans="1:12">
      <c r="A460" s="20" t="s">
        <v>135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/>
    </row>
    <row r="462" spans="1:12">
      <c r="A462" s="20" t="s">
        <v>1253</v>
      </c>
    </row>
    <row r="463" spans="1:12">
      <c r="A463" s="20" t="s">
        <v>1254</v>
      </c>
      <c r="B463" s="27" t="s">
        <v>1041</v>
      </c>
      <c r="C463" s="27" t="s">
        <v>1042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1255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1256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247</v>
      </c>
      <c r="B466" s="27" t="s">
        <v>1098</v>
      </c>
      <c r="C466" s="27" t="s">
        <v>1067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1257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1215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/>
    </row>
    <row r="470" spans="1:12">
      <c r="A470" s="20" t="s">
        <v>1258</v>
      </c>
    </row>
    <row r="471" spans="1:12">
      <c r="A471" s="20" t="s">
        <v>1259</v>
      </c>
      <c r="B471" s="27" t="s">
        <v>1045</v>
      </c>
      <c r="C471" s="27" t="s">
        <v>1033</v>
      </c>
      <c r="D471" s="27" t="s">
        <v>1030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1022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1260</v>
      </c>
      <c r="B473" s="27" t="s">
        <v>1045</v>
      </c>
      <c r="C473" s="27" t="s">
        <v>1015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1261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1022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1111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1262</v>
      </c>
      <c r="B477" s="27" t="s">
        <v>1079</v>
      </c>
      <c r="C477" s="27" t="s">
        <v>1077</v>
      </c>
      <c r="D477" s="27" t="s">
        <v>1030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1263</v>
      </c>
      <c r="B478" s="27" t="s">
        <v>1045</v>
      </c>
      <c r="C478" s="27" t="s">
        <v>1038</v>
      </c>
      <c r="D478" s="27" t="s">
        <v>1030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1016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1264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1222</v>
      </c>
      <c r="B481" s="27" t="s">
        <v>1020</v>
      </c>
      <c r="C481" s="27" t="s">
        <v>1029</v>
      </c>
      <c r="D481" s="27" t="s">
        <v>1030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1016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1185</v>
      </c>
      <c r="B483" s="27" t="s">
        <v>1103</v>
      </c>
      <c r="C483" s="27" t="s">
        <v>1015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1022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1265</v>
      </c>
      <c r="B485" s="27" t="s">
        <v>1085</v>
      </c>
      <c r="C485" s="27" t="s">
        <v>1140</v>
      </c>
      <c r="D485" s="27" t="s">
        <v>1030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1266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1267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1016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1036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1268</v>
      </c>
      <c r="B490" s="27" t="s">
        <v>1066</v>
      </c>
      <c r="C490" s="27" t="s">
        <v>1038</v>
      </c>
      <c r="D490" s="27" t="s">
        <v>1030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1269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135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/>
    </row>
    <row r="494" spans="1:12">
      <c r="A494" s="20" t="s">
        <v>1270</v>
      </c>
    </row>
    <row r="495" spans="1:12">
      <c r="A495" s="20" t="s">
        <v>1062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1271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1272</v>
      </c>
      <c r="B497" s="27" t="s">
        <v>1045</v>
      </c>
      <c r="C497" s="27" t="s">
        <v>1050</v>
      </c>
      <c r="D497" s="27" t="s">
        <v>1030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1022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1036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1268</v>
      </c>
      <c r="B500" s="27" t="s">
        <v>1041</v>
      </c>
      <c r="C500" s="27" t="s">
        <v>1038</v>
      </c>
      <c r="D500" s="27" t="s">
        <v>1030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1269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1022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1273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1096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1274</v>
      </c>
      <c r="B505" s="27" t="s">
        <v>1069</v>
      </c>
      <c r="C505" s="27" t="s">
        <v>1038</v>
      </c>
      <c r="D505" s="27" t="s">
        <v>1030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1022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419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1275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1276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1022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1277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1096</v>
      </c>
      <c r="B512" s="27" t="s">
        <v>1278</v>
      </c>
      <c r="C512" s="27" t="s">
        <v>1050</v>
      </c>
      <c r="D512" s="27" t="s">
        <v>1030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1279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1057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1276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1022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1034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192</v>
      </c>
      <c r="B518" s="27" t="s">
        <v>1045</v>
      </c>
      <c r="C518" s="27" t="s">
        <v>1042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1016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1075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1280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1281</v>
      </c>
      <c r="B522" s="27" t="s">
        <v>1045</v>
      </c>
      <c r="C522" s="27" t="s">
        <v>1029</v>
      </c>
      <c r="D522" s="27" t="s">
        <v>1030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1016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1071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1282</v>
      </c>
      <c r="B525" s="27" t="s">
        <v>1079</v>
      </c>
      <c r="C525" s="27" t="s">
        <v>1038</v>
      </c>
      <c r="D525" s="27" t="s">
        <v>1030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135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/>
    </row>
    <row r="528" spans="1:12">
      <c r="A528" s="20" t="s">
        <v>1283</v>
      </c>
    </row>
    <row r="529" spans="1:12">
      <c r="A529" s="20" t="s">
        <v>1284</v>
      </c>
      <c r="B529" s="27" t="s">
        <v>1041</v>
      </c>
      <c r="C529" s="27" t="s">
        <v>1140</v>
      </c>
      <c r="D529" s="27" t="s">
        <v>1030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1285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1096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1286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1287</v>
      </c>
      <c r="B533" s="27" t="s">
        <v>1045</v>
      </c>
      <c r="C533" s="27" t="s">
        <v>1038</v>
      </c>
      <c r="D533" s="27" t="s">
        <v>1030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135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/>
    </row>
    <row r="536" spans="1:12">
      <c r="A536" s="20" t="s">
        <v>1288</v>
      </c>
    </row>
    <row r="537" spans="1:12">
      <c r="A537" s="20" t="s">
        <v>1289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1022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1285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1096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1290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1286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1287</v>
      </c>
      <c r="B543" s="27" t="s">
        <v>1045</v>
      </c>
      <c r="C543" s="27" t="s">
        <v>1038</v>
      </c>
      <c r="D543" s="27" t="s">
        <v>1030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505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1049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1266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1291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1292</v>
      </c>
      <c r="B548" s="27" t="s">
        <v>1098</v>
      </c>
      <c r="C548" s="27" t="s">
        <v>1070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1022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1083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1266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1293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1294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1295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1296</v>
      </c>
      <c r="B555" s="27" t="s">
        <v>1066</v>
      </c>
      <c r="C555" s="27" t="s">
        <v>1070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1022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1214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1297</v>
      </c>
      <c r="B558" s="27" t="s">
        <v>1066</v>
      </c>
      <c r="C558" s="27" t="s">
        <v>1015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192</v>
      </c>
      <c r="B559" s="27" t="s">
        <v>1085</v>
      </c>
      <c r="C559" s="27" t="s">
        <v>1042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1016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1298</v>
      </c>
      <c r="B561" s="27" t="s">
        <v>1103</v>
      </c>
      <c r="C561" s="27" t="s">
        <v>1050</v>
      </c>
      <c r="D561" s="27" t="s">
        <v>1030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1034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1094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1022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1299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1300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378</v>
      </c>
      <c r="B567" s="27" t="s">
        <v>1103</v>
      </c>
      <c r="C567" s="27" t="s">
        <v>1140</v>
      </c>
      <c r="D567" s="27" t="s">
        <v>1030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1094</v>
      </c>
      <c r="B568" s="27" t="s">
        <v>1301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1237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1302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1022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1160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1303</v>
      </c>
      <c r="B573" s="27" t="s">
        <v>1146</v>
      </c>
      <c r="C573" s="27" t="s">
        <v>1029</v>
      </c>
      <c r="D573" s="27" t="s">
        <v>1030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1016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1185</v>
      </c>
      <c r="B575" s="27" t="s">
        <v>1035</v>
      </c>
      <c r="C575" s="27" t="s">
        <v>1015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1304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1074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1305</v>
      </c>
      <c r="B578" s="27" t="s">
        <v>1103</v>
      </c>
      <c r="C578" s="27" t="s">
        <v>1015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1306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1131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1132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1133</v>
      </c>
      <c r="B582" s="27" t="s">
        <v>1103</v>
      </c>
      <c r="C582" s="27" t="s">
        <v>1046</v>
      </c>
      <c r="D582" s="27" t="s">
        <v>1030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1022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1144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1307</v>
      </c>
      <c r="B585" s="27" t="s">
        <v>1079</v>
      </c>
      <c r="C585" s="27" t="s">
        <v>1070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135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/>
    </row>
    <row r="588" spans="1:12">
      <c r="A588" s="20" t="s">
        <v>1308</v>
      </c>
    </row>
    <row r="589" spans="1:12">
      <c r="A589" s="20" t="s">
        <v>1139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1171</v>
      </c>
      <c r="B590" s="27" t="s">
        <v>1041</v>
      </c>
      <c r="C590" s="27" t="s">
        <v>1046</v>
      </c>
      <c r="D590" s="27" t="s">
        <v>1030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1309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1310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1022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1311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1211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1312</v>
      </c>
      <c r="B596" s="27" t="s">
        <v>1045</v>
      </c>
      <c r="C596" s="27" t="s">
        <v>1015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1022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1313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1034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865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135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/>
    </row>
    <row r="603" spans="1:12">
      <c r="A603" s="20" t="s">
        <v>1314</v>
      </c>
    </row>
    <row r="604" spans="1:12">
      <c r="A604" s="20" t="s">
        <v>1062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1057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1184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1022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1237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1315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1111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1262</v>
      </c>
      <c r="B611" s="27" t="s">
        <v>1079</v>
      </c>
      <c r="C611" s="27" t="s">
        <v>1077</v>
      </c>
      <c r="D611" s="27" t="s">
        <v>1030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1316</v>
      </c>
      <c r="B612" s="27" t="s">
        <v>1014</v>
      </c>
      <c r="C612" s="27" t="s">
        <v>1038</v>
      </c>
      <c r="D612" s="27" t="s">
        <v>1030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1175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1317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1016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1318</v>
      </c>
      <c r="B616" s="27" t="s">
        <v>1079</v>
      </c>
      <c r="C616" s="27" t="s">
        <v>1015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1036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1133</v>
      </c>
      <c r="B618" s="27" t="s">
        <v>1069</v>
      </c>
      <c r="C618" s="27" t="s">
        <v>1038</v>
      </c>
      <c r="D618" s="27" t="s">
        <v>1030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135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/>
    </row>
    <row r="621" spans="1:12">
      <c r="A621" s="20" t="s">
        <v>1319</v>
      </c>
    </row>
    <row r="622" spans="1:12">
      <c r="A622" s="20" t="s">
        <v>1320</v>
      </c>
      <c r="B622" s="27" t="s">
        <v>1045</v>
      </c>
      <c r="C622" s="27" t="s">
        <v>1015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1321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1022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1322</v>
      </c>
      <c r="B625" s="27" t="s">
        <v>1045</v>
      </c>
      <c r="C625" s="27" t="s">
        <v>1015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1323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1022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1324</v>
      </c>
      <c r="B628" s="27" t="s">
        <v>1045</v>
      </c>
      <c r="C628" s="27" t="s">
        <v>1015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1325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1022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1326</v>
      </c>
      <c r="B631" s="27" t="s">
        <v>1045</v>
      </c>
      <c r="C631" s="27" t="s">
        <v>1015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1022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1327</v>
      </c>
      <c r="B633" s="27" t="s">
        <v>1045</v>
      </c>
      <c r="C633" s="27" t="s">
        <v>1015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1328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1149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/>
    </row>
    <row r="637" spans="1:12">
      <c r="A637" s="20" t="s">
        <v>1329</v>
      </c>
    </row>
    <row r="638" spans="1:12">
      <c r="A638" s="20" t="s">
        <v>1174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1330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1022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1083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1174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1330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1025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1331</v>
      </c>
      <c r="B645" s="27" t="s">
        <v>1066</v>
      </c>
      <c r="C645" s="27" t="s">
        <v>1015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1022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1083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1275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1057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1332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1096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1333</v>
      </c>
      <c r="B652" s="27" t="s">
        <v>1103</v>
      </c>
      <c r="C652" s="27" t="s">
        <v>1077</v>
      </c>
      <c r="D652" s="27" t="s">
        <v>1030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1334</v>
      </c>
      <c r="B653" s="27" t="s">
        <v>1020</v>
      </c>
      <c r="C653" s="27" t="s">
        <v>1038</v>
      </c>
      <c r="D653" s="27" t="s">
        <v>1030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1175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1335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1049</v>
      </c>
      <c r="B656" s="27" t="s">
        <v>1278</v>
      </c>
      <c r="C656" s="27" t="s">
        <v>1050</v>
      </c>
      <c r="D656" s="27" t="s">
        <v>1030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1336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1337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1132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1338</v>
      </c>
      <c r="B660" s="27" t="s">
        <v>1103</v>
      </c>
      <c r="C660" s="27" t="s">
        <v>1046</v>
      </c>
      <c r="D660" s="27" t="s">
        <v>1030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1022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1339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1340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1186</v>
      </c>
      <c r="B664" s="27" t="s">
        <v>1014</v>
      </c>
      <c r="C664" s="27" t="s">
        <v>1050</v>
      </c>
      <c r="D664" s="27" t="s">
        <v>1030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135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/>
    </row>
    <row r="667" spans="1:12">
      <c r="A667" s="20" t="s">
        <v>1341</v>
      </c>
    </row>
    <row r="668" spans="1:12">
      <c r="A668" s="20" t="s">
        <v>1137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1111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1342</v>
      </c>
      <c r="B670" s="27" t="s">
        <v>1041</v>
      </c>
      <c r="C670" s="27" t="s">
        <v>1038</v>
      </c>
      <c r="D670" s="27" t="s">
        <v>1030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1034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1149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1147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1343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1123</v>
      </c>
      <c r="B675" s="27" t="s">
        <v>1014</v>
      </c>
      <c r="C675" s="27" t="s">
        <v>1050</v>
      </c>
      <c r="D675" s="27" t="s">
        <v>1030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1215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/>
    </row>
    <row r="678" spans="1:12">
      <c r="A678" s="20" t="s">
        <v>1344</v>
      </c>
    </row>
    <row r="679" spans="1:12">
      <c r="A679" s="20" t="s">
        <v>1345</v>
      </c>
      <c r="B679" s="27" t="s">
        <v>1041</v>
      </c>
      <c r="C679" s="27" t="s">
        <v>1050</v>
      </c>
      <c r="D679" s="27" t="s">
        <v>1030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1346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1016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1347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135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/>
    </row>
    <row r="685" spans="1:12">
      <c r="A685" s="20" t="s">
        <v>1348</v>
      </c>
    </row>
    <row r="686" spans="1:12">
      <c r="A686" s="20" t="s">
        <v>1349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1108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1350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1094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1034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1351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1352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876</v>
      </c>
      <c r="B693" s="27" t="s">
        <v>1278</v>
      </c>
      <c r="C693" s="27" t="s">
        <v>1015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1175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1353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1222</v>
      </c>
      <c r="B696" s="27" t="s">
        <v>1354</v>
      </c>
      <c r="C696" s="27" t="s">
        <v>1029</v>
      </c>
      <c r="D696" s="27" t="s">
        <v>1030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1016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1185</v>
      </c>
      <c r="B698" s="27" t="s">
        <v>1028</v>
      </c>
      <c r="C698" s="27" t="s">
        <v>1015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1355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1356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1111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1322</v>
      </c>
      <c r="B702" s="27" t="s">
        <v>1301</v>
      </c>
      <c r="C702" s="27" t="s">
        <v>1038</v>
      </c>
      <c r="D702" s="27" t="s">
        <v>1030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1131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1357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1358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135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/>
    </row>
    <row r="708" spans="1:12">
      <c r="A708" s="20" t="s">
        <v>1359</v>
      </c>
    </row>
    <row r="709" spans="1:12">
      <c r="A709" s="20" t="s">
        <v>1349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1094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1108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1351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1360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1132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1203</v>
      </c>
      <c r="B715" s="27" t="s">
        <v>1020</v>
      </c>
      <c r="C715" s="27" t="s">
        <v>1046</v>
      </c>
      <c r="D715" s="27" t="s">
        <v>1030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1016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1361</v>
      </c>
      <c r="B717" s="27" t="s">
        <v>1103</v>
      </c>
      <c r="C717" s="27" t="s">
        <v>1015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1355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1094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1043</v>
      </c>
      <c r="B720" s="27" t="s">
        <v>1146</v>
      </c>
      <c r="C720" s="27" t="s">
        <v>1140</v>
      </c>
      <c r="D720" s="27" t="s">
        <v>1030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1123</v>
      </c>
      <c r="B721" s="27" t="s">
        <v>1278</v>
      </c>
      <c r="C721" s="27" t="s">
        <v>1050</v>
      </c>
      <c r="D721" s="27" t="s">
        <v>1030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1362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135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/>
    </row>
    <row r="725" spans="1:12">
      <c r="A725" s="20" t="s">
        <v>1363</v>
      </c>
    </row>
    <row r="726" spans="1:12">
      <c r="A726" s="20" t="s">
        <v>1345</v>
      </c>
      <c r="B726" s="27" t="s">
        <v>1041</v>
      </c>
      <c r="C726" s="27" t="s">
        <v>1050</v>
      </c>
      <c r="D726" s="27" t="s">
        <v>1030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1049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1346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1364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1022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1083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532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1022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1057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1034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1018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1365</v>
      </c>
      <c r="B737" s="27" t="s">
        <v>1045</v>
      </c>
      <c r="C737" s="27" t="s">
        <v>1021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1366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135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/>
    </row>
    <row r="741" spans="1:12">
      <c r="A741" s="20" t="s">
        <v>1367</v>
      </c>
    </row>
    <row r="742" spans="1:12">
      <c r="A742" s="20" t="s">
        <v>1118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1368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1111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247</v>
      </c>
      <c r="B745" s="27" t="s">
        <v>1041</v>
      </c>
      <c r="C745" s="27" t="s">
        <v>1029</v>
      </c>
      <c r="D745" s="27" t="s">
        <v>1030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1094</v>
      </c>
      <c r="B746" s="27" t="s">
        <v>1085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1369</v>
      </c>
      <c r="B747" s="27" t="s">
        <v>1020</v>
      </c>
      <c r="C747" s="27" t="s">
        <v>1050</v>
      </c>
      <c r="D747" s="27" t="s">
        <v>1030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1370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1371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1111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1372</v>
      </c>
      <c r="B751" s="27" t="s">
        <v>1079</v>
      </c>
      <c r="C751" s="27" t="s">
        <v>1038</v>
      </c>
      <c r="D751" s="27" t="s">
        <v>1030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11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1018</v>
      </c>
      <c r="B753" s="27" t="s">
        <v>1045</v>
      </c>
      <c r="C753" s="27" t="s">
        <v>1042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1016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1096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1274</v>
      </c>
      <c r="B756" s="27" t="s">
        <v>1045</v>
      </c>
      <c r="C756" s="27" t="s">
        <v>1038</v>
      </c>
      <c r="D756" s="27" t="s">
        <v>1030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1094</v>
      </c>
      <c r="B757" s="27" t="s">
        <v>1085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1369</v>
      </c>
      <c r="B758" s="27" t="s">
        <v>1020</v>
      </c>
      <c r="C758" s="27" t="s">
        <v>1050</v>
      </c>
      <c r="D758" s="27" t="s">
        <v>1030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1373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1371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1111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1372</v>
      </c>
      <c r="B762" s="27" t="s">
        <v>1020</v>
      </c>
      <c r="C762" s="27" t="s">
        <v>1038</v>
      </c>
      <c r="D762" s="27" t="s">
        <v>1030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135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/>
    </row>
    <row r="765" spans="1:12">
      <c r="A765" s="20" t="s">
        <v>1374</v>
      </c>
    </row>
    <row r="766" spans="1:12">
      <c r="A766" s="20" t="s">
        <v>1088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1237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1159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1375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1376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1377</v>
      </c>
      <c r="B771" s="27" t="s">
        <v>1014</v>
      </c>
      <c r="C771" s="27" t="s">
        <v>1029</v>
      </c>
      <c r="D771" s="27" t="s">
        <v>1030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1016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1378</v>
      </c>
      <c r="B773" s="27" t="s">
        <v>1079</v>
      </c>
      <c r="C773" s="27" t="s">
        <v>1029</v>
      </c>
      <c r="D773" s="27" t="s">
        <v>1030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1379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1161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1033</v>
      </c>
      <c r="B776" s="27" t="s">
        <v>1354</v>
      </c>
      <c r="C776" s="27" t="s">
        <v>1050</v>
      </c>
      <c r="D776" s="27" t="s">
        <v>1030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1237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1377</v>
      </c>
      <c r="B778" s="27" t="s">
        <v>1066</v>
      </c>
      <c r="C778" s="27" t="s">
        <v>1015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1380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1022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1159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1022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1083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1057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1381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1159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1293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1025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1111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1382</v>
      </c>
      <c r="B790" s="27" t="s">
        <v>1035</v>
      </c>
      <c r="C790" s="27" t="s">
        <v>1038</v>
      </c>
      <c r="D790" s="27" t="s">
        <v>1030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1016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1383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1384</v>
      </c>
      <c r="B793" s="27" t="s">
        <v>1385</v>
      </c>
      <c r="C793" s="27" t="s">
        <v>1050</v>
      </c>
      <c r="D793" s="27" t="s">
        <v>1030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1074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1036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1178</v>
      </c>
      <c r="B796" s="27" t="s">
        <v>1032</v>
      </c>
      <c r="C796" s="27" t="s">
        <v>1038</v>
      </c>
      <c r="D796" s="27" t="s">
        <v>1030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1016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1161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1386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1195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135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/>
    </row>
    <row r="803" spans="1:12">
      <c r="A803" s="20" t="s">
        <v>1387</v>
      </c>
    </row>
    <row r="804" spans="1:12">
      <c r="A804" s="20" t="s">
        <v>1388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1214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1160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1389</v>
      </c>
      <c r="B807" s="27" t="s">
        <v>1045</v>
      </c>
      <c r="C807" s="27" t="s">
        <v>1029</v>
      </c>
      <c r="D807" s="27" t="s">
        <v>1030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1337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1390</v>
      </c>
      <c r="B809" s="27" t="s">
        <v>1045</v>
      </c>
      <c r="C809" s="27" t="s">
        <v>1029</v>
      </c>
      <c r="D809" s="27" t="s">
        <v>1030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1391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1022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1364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1022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1025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1392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1393</v>
      </c>
      <c r="B816" s="27" t="s">
        <v>1079</v>
      </c>
      <c r="C816" s="27" t="s">
        <v>1070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135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/>
    </row>
    <row r="819" spans="1:12">
      <c r="A819" s="20" t="s">
        <v>1394</v>
      </c>
    </row>
    <row r="820" spans="1:12">
      <c r="A820" s="20" t="s">
        <v>1118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1299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1132</v>
      </c>
      <c r="B822" s="27" t="s">
        <v>1045</v>
      </c>
      <c r="C822" s="27" t="s">
        <v>1140</v>
      </c>
      <c r="D822" s="27" t="s">
        <v>1030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1022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1395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1396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21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1053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1397</v>
      </c>
      <c r="B828" s="27" t="s">
        <v>1069</v>
      </c>
      <c r="C828" s="27" t="s">
        <v>1029</v>
      </c>
      <c r="D828" s="27" t="s">
        <v>1030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1022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1398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1167</v>
      </c>
      <c r="B831" s="27" t="s">
        <v>1066</v>
      </c>
      <c r="C831" s="27" t="s">
        <v>1204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1022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1093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1016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1071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1399</v>
      </c>
      <c r="B836" s="27" t="s">
        <v>1066</v>
      </c>
      <c r="C836" s="27" t="s">
        <v>1038</v>
      </c>
      <c r="D836" s="27" t="s">
        <v>1030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1022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1175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1400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1160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1141</v>
      </c>
      <c r="B841" s="27" t="s">
        <v>1354</v>
      </c>
      <c r="C841" s="27" t="s">
        <v>1021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1025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1357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1237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1401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1075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1378</v>
      </c>
      <c r="B847" s="27" t="s">
        <v>1385</v>
      </c>
      <c r="C847" s="27" t="s">
        <v>1038</v>
      </c>
      <c r="D847" s="27" t="s">
        <v>1030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1022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1160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1141</v>
      </c>
      <c r="B850" s="27" t="s">
        <v>1402</v>
      </c>
      <c r="C850" s="27" t="s">
        <v>1029</v>
      </c>
      <c r="D850" s="27" t="s">
        <v>1030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1025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1357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1384</v>
      </c>
      <c r="B853" s="27" t="s">
        <v>1403</v>
      </c>
      <c r="C853" s="27" t="s">
        <v>1050</v>
      </c>
      <c r="D853" s="27" t="s">
        <v>1030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1237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1404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1188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1405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1022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1083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1131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1188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1406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1022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1016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1201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1407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1408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135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/>
    </row>
    <row r="870" spans="1:12">
      <c r="A870" s="20" t="s">
        <v>1409</v>
      </c>
    </row>
    <row r="871" spans="1:12">
      <c r="A871" s="20" t="s">
        <v>1410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1185</v>
      </c>
      <c r="B872" s="27" t="s">
        <v>1041</v>
      </c>
      <c r="C872" s="27" t="s">
        <v>1038</v>
      </c>
      <c r="D872" s="27" t="s">
        <v>1030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1198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1411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1025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378</v>
      </c>
      <c r="B876" s="27" t="s">
        <v>1045</v>
      </c>
      <c r="C876" s="27" t="s">
        <v>1140</v>
      </c>
      <c r="D876" s="27" t="s">
        <v>1030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1094</v>
      </c>
      <c r="B877" s="27" t="s">
        <v>1085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1412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1022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1083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1123</v>
      </c>
      <c r="B881" s="27" t="s">
        <v>1069</v>
      </c>
      <c r="C881" s="27" t="s">
        <v>1050</v>
      </c>
      <c r="D881" s="27" t="s">
        <v>1030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1413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1311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1414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1415</v>
      </c>
      <c r="B885" s="27" t="s">
        <v>1079</v>
      </c>
      <c r="C885" s="27" t="s">
        <v>1070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1094</v>
      </c>
      <c r="B886" s="27" t="s">
        <v>1146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1057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1416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1074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1417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1384</v>
      </c>
      <c r="B891" s="27" t="s">
        <v>1354</v>
      </c>
      <c r="C891" s="27" t="s">
        <v>1050</v>
      </c>
      <c r="D891" s="27" t="s">
        <v>1030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135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/>
    </row>
    <row r="894" spans="1:12">
      <c r="A894" s="20" t="s">
        <v>1418</v>
      </c>
    </row>
    <row r="895" spans="1:12">
      <c r="A895" s="20" t="s">
        <v>1419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1111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1420</v>
      </c>
      <c r="B897" s="27" t="s">
        <v>1041</v>
      </c>
      <c r="C897" s="27" t="s">
        <v>1038</v>
      </c>
      <c r="D897" s="27" t="s">
        <v>1030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1421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1074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1417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1384</v>
      </c>
      <c r="B901" s="27" t="s">
        <v>1069</v>
      </c>
      <c r="C901" s="27" t="s">
        <v>1050</v>
      </c>
      <c r="D901" s="27" t="s">
        <v>1030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135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/>
    </row>
    <row r="904" spans="1:12">
      <c r="A904" s="20" t="s">
        <v>1422</v>
      </c>
    </row>
    <row r="905" spans="1:12">
      <c r="A905" s="20" t="s">
        <v>1423</v>
      </c>
      <c r="B905" s="27" t="s">
        <v>1079</v>
      </c>
      <c r="C905" s="27" t="s">
        <v>1033</v>
      </c>
      <c r="D905" s="27" t="s">
        <v>1030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1022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1084</v>
      </c>
      <c r="B907" s="27" t="s">
        <v>1098</v>
      </c>
      <c r="C907" s="27" t="s">
        <v>1042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1424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1425</v>
      </c>
      <c r="B909" s="27" t="s">
        <v>1069</v>
      </c>
      <c r="C909" s="27" t="s">
        <v>1015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1074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1111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1426</v>
      </c>
      <c r="B912" s="27" t="s">
        <v>1066</v>
      </c>
      <c r="C912" s="27" t="s">
        <v>1077</v>
      </c>
      <c r="D912" s="27" t="s">
        <v>1030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1427</v>
      </c>
      <c r="B913" s="27" t="s">
        <v>1079</v>
      </c>
      <c r="C913" s="27" t="s">
        <v>1038</v>
      </c>
      <c r="D913" s="27" t="s">
        <v>1030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1056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1424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1340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1425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1074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1111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1426</v>
      </c>
      <c r="B920" s="27" t="s">
        <v>1066</v>
      </c>
      <c r="C920" s="27" t="s">
        <v>1077</v>
      </c>
      <c r="D920" s="27" t="s">
        <v>1030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1427</v>
      </c>
      <c r="B921" s="27" t="s">
        <v>1079</v>
      </c>
      <c r="C921" s="27" t="s">
        <v>1038</v>
      </c>
      <c r="D921" s="27" t="s">
        <v>1030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1131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1036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1428</v>
      </c>
      <c r="B924" s="27" t="s">
        <v>1045</v>
      </c>
      <c r="C924" s="27" t="s">
        <v>1038</v>
      </c>
      <c r="D924" s="27" t="s">
        <v>1030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1022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1429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1430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1074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247</v>
      </c>
      <c r="B929" s="27" t="s">
        <v>1079</v>
      </c>
      <c r="C929" s="27" t="s">
        <v>1067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1057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1431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1425</v>
      </c>
      <c r="B932" s="27" t="s">
        <v>1069</v>
      </c>
      <c r="C932" s="27" t="s">
        <v>1015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1215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/>
    </row>
    <row r="935" spans="1:12">
      <c r="A935" s="20" t="s">
        <v>1432</v>
      </c>
    </row>
    <row r="936" spans="1:12">
      <c r="A936" s="20" t="s">
        <v>1088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1431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1425</v>
      </c>
      <c r="B938" s="27" t="s">
        <v>1014</v>
      </c>
      <c r="C938" s="27" t="s">
        <v>1029</v>
      </c>
      <c r="D938" s="27" t="s">
        <v>1030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1074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1075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1433</v>
      </c>
      <c r="B941" s="27" t="s">
        <v>1066</v>
      </c>
      <c r="C941" s="27" t="s">
        <v>1077</v>
      </c>
      <c r="D941" s="27" t="s">
        <v>1030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1434</v>
      </c>
      <c r="B942" s="27" t="s">
        <v>1079</v>
      </c>
      <c r="C942" s="27" t="s">
        <v>1038</v>
      </c>
      <c r="D942" s="27" t="s">
        <v>1030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135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/>
    </row>
    <row r="945" spans="1:12">
      <c r="A945" s="20" t="s">
        <v>1435</v>
      </c>
    </row>
    <row r="946" spans="1:12">
      <c r="A946" s="20" t="s">
        <v>1436</v>
      </c>
      <c r="B946" s="27" t="s">
        <v>1014</v>
      </c>
      <c r="C946" s="27" t="s">
        <v>1050</v>
      </c>
      <c r="D946" s="27" t="s">
        <v>1030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1437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1022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1057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1198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1196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135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/>
    </row>
    <row r="954" spans="1:12">
      <c r="A954" s="20" t="s">
        <v>1438</v>
      </c>
    </row>
    <row r="955" spans="1:12">
      <c r="A955" s="20" t="s">
        <v>1439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1072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1440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1160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1441</v>
      </c>
      <c r="B959" s="27" t="s">
        <v>1014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1074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1442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1123</v>
      </c>
      <c r="B962" s="27" t="s">
        <v>1069</v>
      </c>
      <c r="C962" s="27" t="s">
        <v>1050</v>
      </c>
      <c r="D962" s="27" t="s">
        <v>1030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135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/>
    </row>
    <row r="965" spans="1:12">
      <c r="A965" s="20" t="s">
        <v>1090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1443</v>
      </c>
    </row>
    <row r="967" spans="1:12">
      <c r="A967" s="20" t="s">
        <v>1444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1445</v>
      </c>
      <c r="B968" s="27" t="s">
        <v>1041</v>
      </c>
      <c r="C968" s="27" t="s">
        <v>1029</v>
      </c>
      <c r="D968" s="27" t="s">
        <v>1030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1016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1167</v>
      </c>
      <c r="B970" s="27" t="s">
        <v>1079</v>
      </c>
      <c r="C970" s="27" t="s">
        <v>1015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1205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1072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1446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1018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1447</v>
      </c>
      <c r="B975" s="27" t="s">
        <v>1014</v>
      </c>
      <c r="C975" s="27" t="s">
        <v>1029</v>
      </c>
      <c r="D975" s="27" t="s">
        <v>1030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1131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1075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141</v>
      </c>
      <c r="B978" s="27" t="s">
        <v>1079</v>
      </c>
      <c r="C978" s="27" t="s">
        <v>1029</v>
      </c>
      <c r="D978" s="27" t="s">
        <v>1030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1175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1101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1448</v>
      </c>
      <c r="B981" s="27" t="s">
        <v>1066</v>
      </c>
      <c r="C981" s="27" t="s">
        <v>1033</v>
      </c>
      <c r="D981" s="27" t="s">
        <v>1030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1193</v>
      </c>
      <c r="B982" s="27" t="s">
        <v>1103</v>
      </c>
      <c r="C982" s="27" t="s">
        <v>1033</v>
      </c>
      <c r="D982" s="27" t="s">
        <v>1030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1449</v>
      </c>
      <c r="B983" s="27" t="s">
        <v>1103</v>
      </c>
      <c r="C983" s="27" t="s">
        <v>1033</v>
      </c>
      <c r="D983" s="27" t="s">
        <v>1030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1101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1022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1160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1450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1451</v>
      </c>
      <c r="B988" s="27" t="s">
        <v>1066</v>
      </c>
      <c r="C988" s="27" t="s">
        <v>1021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135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/>
    </row>
    <row r="991" spans="1:12">
      <c r="A991" s="20" t="s">
        <v>1452</v>
      </c>
    </row>
    <row r="992" spans="1:12">
      <c r="A992" s="20" t="s">
        <v>1453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1454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1455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1094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1254</v>
      </c>
      <c r="B996" s="27" t="s">
        <v>1098</v>
      </c>
      <c r="C996" s="27" t="s">
        <v>1042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1198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1456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1022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1094</v>
      </c>
      <c r="B1000" s="27" t="s">
        <v>1085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1457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1458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1074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1459</v>
      </c>
      <c r="B1004" s="27" t="s">
        <v>1066</v>
      </c>
      <c r="C1004" s="27" t="s">
        <v>1140</v>
      </c>
      <c r="D1004" s="27" t="s">
        <v>1030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1094</v>
      </c>
      <c r="B1005" s="27" t="s">
        <v>1460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1034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1022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1461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1300</v>
      </c>
      <c r="B1009" s="27" t="s">
        <v>1066</v>
      </c>
      <c r="C1009" s="27" t="s">
        <v>1042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1022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1111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1462</v>
      </c>
      <c r="B1012" s="27" t="s">
        <v>1085</v>
      </c>
      <c r="C1012" s="27" t="s">
        <v>1029</v>
      </c>
      <c r="D1012" s="27" t="s">
        <v>1030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1016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63</v>
      </c>
      <c r="B1014" s="27" t="s">
        <v>1103</v>
      </c>
      <c r="C1014" s="27" t="s">
        <v>1015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1463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1188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1464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1016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1465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1111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1447</v>
      </c>
      <c r="B1021" s="27" t="s">
        <v>1035</v>
      </c>
      <c r="C1021" s="27" t="s">
        <v>1038</v>
      </c>
      <c r="D1021" s="27" t="s">
        <v>1030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1466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135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/>
    </row>
    <row r="1025" spans="1:12">
      <c r="A1025" s="20" t="s">
        <v>1467</v>
      </c>
    </row>
    <row r="1026" spans="1:12">
      <c r="A1026" s="20" t="s">
        <v>1088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1468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247</v>
      </c>
      <c r="B1028" s="27" t="s">
        <v>1069</v>
      </c>
      <c r="C1028" s="27" t="s">
        <v>1067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12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1022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1469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1072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1210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1161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1074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1036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1470</v>
      </c>
      <c r="B1037" s="27" t="s">
        <v>1066</v>
      </c>
      <c r="C1037" s="27" t="s">
        <v>1038</v>
      </c>
      <c r="D1037" s="27" t="s">
        <v>1030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1022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1072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1446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1111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1447</v>
      </c>
      <c r="B1042" s="27" t="s">
        <v>1014</v>
      </c>
      <c r="C1042" s="27" t="s">
        <v>1038</v>
      </c>
      <c r="D1042" s="27" t="s">
        <v>1030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1083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1266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1471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1214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1472</v>
      </c>
      <c r="B1047" s="27" t="s">
        <v>1079</v>
      </c>
      <c r="C1047" s="27" t="s">
        <v>1042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135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/>
    </row>
    <row r="1050" spans="1:12">
      <c r="A1050" s="20" t="s">
        <v>1473</v>
      </c>
    </row>
    <row r="1051" spans="1:12">
      <c r="A1051" s="20" t="s">
        <v>1088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1187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1188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1474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1022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1072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1446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1018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1447</v>
      </c>
      <c r="B1059" s="27" t="s">
        <v>1014</v>
      </c>
      <c r="C1059" s="27" t="s">
        <v>1029</v>
      </c>
      <c r="D1059" s="27" t="s">
        <v>1030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1131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1036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876</v>
      </c>
      <c r="B1062" s="27" t="s">
        <v>1079</v>
      </c>
      <c r="C1062" s="27" t="s">
        <v>1038</v>
      </c>
      <c r="D1062" s="27" t="s">
        <v>1030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1475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1476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135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/>
    </row>
    <row r="1067" spans="1:12">
      <c r="A1067" s="20" t="s">
        <v>1477</v>
      </c>
    </row>
    <row r="1068" spans="1:12">
      <c r="A1068" s="20" t="s">
        <v>1478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247</v>
      </c>
      <c r="B1069" s="27" t="s">
        <v>1045</v>
      </c>
      <c r="C1069" s="27" t="s">
        <v>1015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1022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1184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1188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1023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135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/>
    </row>
    <row r="1076" spans="1:12">
      <c r="A1076" s="20" t="s">
        <v>1479</v>
      </c>
    </row>
    <row r="1077" spans="1:12">
      <c r="A1077" s="20" t="s">
        <v>1410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1185</v>
      </c>
      <c r="B1078" s="27" t="s">
        <v>1041</v>
      </c>
      <c r="C1078" s="27" t="s">
        <v>1038</v>
      </c>
      <c r="D1078" s="27" t="s">
        <v>1030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1285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1480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135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/>
    </row>
    <row r="1083" spans="1:12">
      <c r="A1083" s="20" t="s">
        <v>1090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1481</v>
      </c>
    </row>
    <row r="1085" spans="1:12">
      <c r="A1085" s="20" t="s">
        <v>1137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1072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1446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1018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1447</v>
      </c>
      <c r="B1089" s="27" t="s">
        <v>1014</v>
      </c>
      <c r="C1089" s="27" t="s">
        <v>1029</v>
      </c>
      <c r="D1089" s="27" t="s">
        <v>1030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1340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1131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378</v>
      </c>
      <c r="B1092" s="27" t="s">
        <v>1079</v>
      </c>
      <c r="C1092" s="27" t="s">
        <v>1140</v>
      </c>
      <c r="D1092" s="27" t="s">
        <v>1030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1022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1083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1057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1482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1074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1483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505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1096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1185</v>
      </c>
      <c r="B1101" s="27" t="s">
        <v>1484</v>
      </c>
      <c r="C1101" s="27" t="s">
        <v>1038</v>
      </c>
      <c r="D1101" s="27" t="s">
        <v>1030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1485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1080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1486</v>
      </c>
      <c r="B1104" s="27" t="s">
        <v>1301</v>
      </c>
      <c r="C1104" s="27" t="s">
        <v>1033</v>
      </c>
      <c r="D1104" s="27" t="s">
        <v>1030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1161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1101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876</v>
      </c>
      <c r="B1107" s="27" t="s">
        <v>1028</v>
      </c>
      <c r="C1107" s="27" t="s">
        <v>1015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1487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1101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1022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505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1488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1094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930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1096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1489</v>
      </c>
      <c r="B1116" s="27" t="s">
        <v>1490</v>
      </c>
      <c r="C1116" s="27" t="s">
        <v>1038</v>
      </c>
      <c r="D1116" s="27" t="s">
        <v>1030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1025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1491</v>
      </c>
      <c r="B1118" s="27" t="s">
        <v>1402</v>
      </c>
      <c r="C1118" s="27" t="s">
        <v>1015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1492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1022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1493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1094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1074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1494</v>
      </c>
      <c r="B1124" s="27" t="s">
        <v>1079</v>
      </c>
      <c r="C1124" s="27" t="s">
        <v>1015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1022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1457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1495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1036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1145</v>
      </c>
      <c r="B1129" s="27" t="s">
        <v>1069</v>
      </c>
      <c r="C1129" s="27" t="s">
        <v>1029</v>
      </c>
      <c r="D1129" s="27" t="s">
        <v>1030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1016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1496</v>
      </c>
      <c r="B1131" s="27" t="s">
        <v>1066</v>
      </c>
      <c r="C1131" s="27" t="s">
        <v>1029</v>
      </c>
      <c r="D1131" s="27" t="s">
        <v>1030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1016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1111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1497</v>
      </c>
      <c r="B1134" s="27" t="s">
        <v>1103</v>
      </c>
      <c r="C1134" s="27" t="s">
        <v>1038</v>
      </c>
      <c r="D1134" s="27" t="s">
        <v>1030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135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/>
    </row>
    <row r="1137" spans="1:12">
      <c r="A1137" s="20" t="s">
        <v>1498</v>
      </c>
    </row>
    <row r="1138" spans="1:12">
      <c r="A1138" s="20" t="s">
        <v>1118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1022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1161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1499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1022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1119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1036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1500</v>
      </c>
      <c r="B1145" s="27" t="s">
        <v>1079</v>
      </c>
      <c r="C1145" s="27" t="s">
        <v>1077</v>
      </c>
      <c r="D1145" s="27" t="s">
        <v>1030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1496</v>
      </c>
      <c r="B1146" s="27" t="s">
        <v>1014</v>
      </c>
      <c r="C1146" s="27" t="s">
        <v>1038</v>
      </c>
      <c r="D1146" s="27" t="s">
        <v>1030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135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/>
    </row>
    <row r="1149" spans="1:12">
      <c r="A1149" s="20" t="s">
        <v>1501</v>
      </c>
    </row>
    <row r="1150" spans="1:12">
      <c r="A1150" s="20" t="s">
        <v>1502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1446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1111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1447</v>
      </c>
      <c r="B1153" s="27" t="s">
        <v>1014</v>
      </c>
      <c r="C1153" s="27" t="s">
        <v>1038</v>
      </c>
      <c r="D1153" s="27" t="s">
        <v>1030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1083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1266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1233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1055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135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/>
    </row>
    <row r="1160" spans="1:12">
      <c r="A1160" s="20" t="s">
        <v>1503</v>
      </c>
    </row>
    <row r="1161" spans="1:12">
      <c r="A1161" s="20" t="s">
        <v>1504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489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1022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1266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1160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1505</v>
      </c>
      <c r="B1166" s="27" t="s">
        <v>1045</v>
      </c>
      <c r="C1166" s="27" t="s">
        <v>1021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1149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/>
    </row>
    <row r="1169" spans="1:12">
      <c r="A1169" s="20" t="s">
        <v>1506</v>
      </c>
    </row>
    <row r="1170" spans="1:12">
      <c r="A1170" s="20" t="s">
        <v>1507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1022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1508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1022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1509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1074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1510</v>
      </c>
      <c r="B1176" s="27" t="s">
        <v>1079</v>
      </c>
      <c r="C1176" s="27" t="s">
        <v>1015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1022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1511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1512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135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/>
    </row>
    <row r="1182" spans="1:12">
      <c r="A1182" s="20" t="s">
        <v>1513</v>
      </c>
    </row>
    <row r="1183" spans="1:12">
      <c r="A1183" s="20" t="s">
        <v>1514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1515</v>
      </c>
      <c r="B1184" s="27" t="s">
        <v>1045</v>
      </c>
      <c r="C1184" s="27" t="s">
        <v>1033</v>
      </c>
      <c r="D1184" s="27" t="s">
        <v>1030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1516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1118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1517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1518</v>
      </c>
      <c r="B1188" s="27" t="s">
        <v>1098</v>
      </c>
      <c r="C1188" s="27" t="s">
        <v>1046</v>
      </c>
      <c r="D1188" s="27" t="s">
        <v>1030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1369</v>
      </c>
      <c r="B1189" s="27" t="s">
        <v>1069</v>
      </c>
      <c r="C1189" s="27" t="s">
        <v>1050</v>
      </c>
      <c r="D1189" s="27" t="s">
        <v>1030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1519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1083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1057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1482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1074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1483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505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1022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1429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1074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1111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1520</v>
      </c>
      <c r="B1201" s="27" t="s">
        <v>1035</v>
      </c>
      <c r="C1201" s="27" t="s">
        <v>1038</v>
      </c>
      <c r="D1201" s="27" t="s">
        <v>1030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1521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1071</v>
      </c>
      <c r="B1203" s="27" t="s">
        <v>1354</v>
      </c>
      <c r="C1203" s="27" t="s">
        <v>1050</v>
      </c>
      <c r="D1203" s="27" t="s">
        <v>1030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1072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1522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135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/>
    </row>
    <row r="1208" spans="1:12">
      <c r="A1208" s="20" t="s">
        <v>1523</v>
      </c>
    </row>
    <row r="1209" spans="1:12">
      <c r="A1209" s="20" t="s">
        <v>1218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1524</v>
      </c>
      <c r="B1210" s="27" t="s">
        <v>1041</v>
      </c>
      <c r="C1210" s="27" t="s">
        <v>1038</v>
      </c>
      <c r="D1210" s="27" t="s">
        <v>1030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1525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1094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1526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1527</v>
      </c>
      <c r="B1214" s="27" t="s">
        <v>1045</v>
      </c>
      <c r="C1214" s="27" t="s">
        <v>1046</v>
      </c>
      <c r="D1214" s="27" t="s">
        <v>1030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1094</v>
      </c>
      <c r="B1215" s="27" t="s">
        <v>1085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1369</v>
      </c>
      <c r="B1216" s="27" t="s">
        <v>1020</v>
      </c>
      <c r="C1216" s="27" t="s">
        <v>1050</v>
      </c>
      <c r="D1216" s="27" t="s">
        <v>1030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1528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1529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251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1057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1285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1530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1527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135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/>
    </row>
    <row r="1226" spans="1:12">
      <c r="A1226" s="20" t="s">
        <v>1531</v>
      </c>
    </row>
    <row r="1227" spans="1:12">
      <c r="A1227" s="20" t="s">
        <v>1532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1185</v>
      </c>
      <c r="B1228" s="27" t="s">
        <v>1045</v>
      </c>
      <c r="C1228" s="27" t="s">
        <v>1029</v>
      </c>
      <c r="D1228" s="27" t="s">
        <v>1030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1016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1533</v>
      </c>
      <c r="B1230" s="27" t="s">
        <v>1045</v>
      </c>
      <c r="C1230" s="27" t="s">
        <v>1015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1022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1534</v>
      </c>
      <c r="B1232" s="27" t="s">
        <v>1079</v>
      </c>
      <c r="C1232" s="27" t="s">
        <v>1015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1022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1185</v>
      </c>
      <c r="B1234" s="27" t="s">
        <v>1079</v>
      </c>
      <c r="C1234" s="27" t="s">
        <v>1029</v>
      </c>
      <c r="D1234" s="27" t="s">
        <v>1030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1175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1535</v>
      </c>
      <c r="B1236" s="27" t="s">
        <v>1066</v>
      </c>
      <c r="C1236" s="27" t="s">
        <v>1015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135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/>
    </row>
    <row r="1239" spans="1:12">
      <c r="A1239" s="20" t="s">
        <v>1536</v>
      </c>
    </row>
    <row r="1240" spans="1:12">
      <c r="A1240" s="20" t="s">
        <v>1532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1537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1161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1096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1185</v>
      </c>
      <c r="B1244" s="27" t="s">
        <v>1045</v>
      </c>
      <c r="C1244" s="27" t="s">
        <v>1029</v>
      </c>
      <c r="D1244" s="27" t="s">
        <v>1030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1025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1043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1044</v>
      </c>
      <c r="B1247" s="27" t="s">
        <v>1045</v>
      </c>
      <c r="C1247" s="27" t="s">
        <v>1046</v>
      </c>
      <c r="D1247" s="27" t="s">
        <v>1030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135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/>
    </row>
    <row r="1250" spans="1:12">
      <c r="A1250" s="20" t="s">
        <v>1538</v>
      </c>
    </row>
    <row r="1251" spans="1:12">
      <c r="A1251" s="20" t="s">
        <v>1062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1111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247</v>
      </c>
      <c r="B1253" s="27" t="s">
        <v>1041</v>
      </c>
      <c r="C1253" s="27" t="s">
        <v>1038</v>
      </c>
      <c r="D1253" s="27" t="s">
        <v>1030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1369</v>
      </c>
      <c r="B1254" s="27" t="s">
        <v>1014</v>
      </c>
      <c r="C1254" s="27" t="s">
        <v>1050</v>
      </c>
      <c r="D1254" s="27" t="s">
        <v>1030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1539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1540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/>
    </row>
    <row r="1258" spans="1:12">
      <c r="A1258" s="20" t="s">
        <v>1252</v>
      </c>
    </row>
    <row r="1259" spans="1:12">
      <c r="A1259" s="20" t="s">
        <v>135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/>
    </row>
    <row r="1261" spans="1:12">
      <c r="A1261" s="20" t="s">
        <v>1541</v>
      </c>
    </row>
    <row r="1262" spans="1:12">
      <c r="A1262" s="20" t="s">
        <v>1429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1542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1072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1543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1149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/>
    </row>
    <row r="1268" spans="1:12">
      <c r="A1268" s="20" t="s">
        <v>1544</v>
      </c>
    </row>
    <row r="1269" spans="1:12">
      <c r="A1269" s="20" t="s">
        <v>1337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1075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1022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1545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275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1546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1056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1381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1214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1160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336</v>
      </c>
      <c r="B1279" s="27" t="s">
        <v>1045</v>
      </c>
      <c r="C1279" s="27" t="s">
        <v>1021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1022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1131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1132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1133</v>
      </c>
      <c r="B1283" s="27" t="s">
        <v>1045</v>
      </c>
      <c r="C1283" s="27" t="s">
        <v>1046</v>
      </c>
      <c r="D1283" s="27" t="s">
        <v>1030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1022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1059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1057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1237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1123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1547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1548</v>
      </c>
      <c r="B1290" s="27" t="s">
        <v>1020</v>
      </c>
      <c r="C1290" s="27" t="s">
        <v>1038</v>
      </c>
      <c r="D1290" s="27" t="s">
        <v>1030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1311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1036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1428</v>
      </c>
      <c r="B1293" s="27" t="s">
        <v>1066</v>
      </c>
      <c r="C1293" s="27" t="s">
        <v>1038</v>
      </c>
      <c r="D1293" s="27" t="s">
        <v>1030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1094</v>
      </c>
      <c r="B1294" s="27" t="s">
        <v>1460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1158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1525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1018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1549</v>
      </c>
      <c r="B1298" s="27" t="s">
        <v>1035</v>
      </c>
      <c r="C1298" s="27" t="s">
        <v>1021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135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/>
    </row>
    <row r="1301" spans="1:12">
      <c r="A1301" s="20" t="s">
        <v>1550</v>
      </c>
    </row>
    <row r="1302" spans="1:12">
      <c r="A1302" s="20" t="s">
        <v>1551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1552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1025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1491</v>
      </c>
      <c r="B1305" s="27" t="s">
        <v>1045</v>
      </c>
      <c r="C1305" s="27" t="s">
        <v>1015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1553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135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/>
    </row>
    <row r="1309" spans="1:12">
      <c r="A1309" s="20" t="s">
        <v>1554</v>
      </c>
    </row>
    <row r="1310" spans="1:12">
      <c r="A1310" s="20" t="s">
        <v>1551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1552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1025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1555</v>
      </c>
      <c r="B1313" s="27" t="s">
        <v>1045</v>
      </c>
      <c r="C1313" s="27" t="s">
        <v>1015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1556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1557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1096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1558</v>
      </c>
      <c r="B1317" s="27" t="s">
        <v>1069</v>
      </c>
      <c r="C1317" s="27" t="s">
        <v>1038</v>
      </c>
      <c r="D1317" s="27" t="s">
        <v>1030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1149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/>
    </row>
    <row r="1320" spans="1:12">
      <c r="A1320" s="20" t="s">
        <v>1090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1559</v>
      </c>
    </row>
    <row r="1322" spans="1:12">
      <c r="A1322" s="20" t="s">
        <v>1101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1560</v>
      </c>
      <c r="B1323" s="27" t="s">
        <v>1041</v>
      </c>
      <c r="C1323" s="27" t="s">
        <v>1015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1101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1561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1535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1022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1049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1266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1016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1075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1562</v>
      </c>
      <c r="B1332" s="27" t="s">
        <v>1045</v>
      </c>
      <c r="C1332" s="27" t="s">
        <v>1038</v>
      </c>
      <c r="D1332" s="27" t="s">
        <v>1030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1175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1343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1123</v>
      </c>
      <c r="B1335" s="27" t="s">
        <v>1069</v>
      </c>
      <c r="C1335" s="27" t="s">
        <v>1050</v>
      </c>
      <c r="D1335" s="27" t="s">
        <v>1030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1022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1083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1395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1094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1563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1564</v>
      </c>
      <c r="B1341" s="27" t="s">
        <v>1103</v>
      </c>
      <c r="C1341" s="27" t="s">
        <v>1067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1257</v>
      </c>
      <c r="B1342" s="27" t="s">
        <v>1020</v>
      </c>
      <c r="C1342" s="27" t="s">
        <v>1070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135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/>
    </row>
    <row r="1345" spans="1:12">
      <c r="A1345" s="20" t="s">
        <v>1565</v>
      </c>
    </row>
    <row r="1346" spans="1:12">
      <c r="A1346" s="20" t="s">
        <v>1566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1567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1568</v>
      </c>
      <c r="B1348" s="27" t="s">
        <v>1014</v>
      </c>
      <c r="C1348" s="27" t="s">
        <v>1015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1025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1096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1569</v>
      </c>
      <c r="B1351" s="27" t="s">
        <v>1045</v>
      </c>
      <c r="C1351" s="27" t="s">
        <v>1038</v>
      </c>
      <c r="D1351" s="27" t="s">
        <v>1030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1022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1025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1096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1570</v>
      </c>
      <c r="B1355" s="27" t="s">
        <v>1079</v>
      </c>
      <c r="C1355" s="27" t="s">
        <v>1038</v>
      </c>
      <c r="D1355" s="27" t="s">
        <v>1030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1022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1313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1074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1296</v>
      </c>
      <c r="B1359" s="27" t="s">
        <v>1079</v>
      </c>
      <c r="C1359" s="27" t="s">
        <v>1015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1025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1111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1571</v>
      </c>
      <c r="B1362" s="27" t="s">
        <v>1045</v>
      </c>
      <c r="C1362" s="27" t="s">
        <v>1038</v>
      </c>
      <c r="D1362" s="27" t="s">
        <v>1030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1572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1022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1313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1034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1573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1094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1108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1574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135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/>
    </row>
    <row r="1373" spans="1:12">
      <c r="A1373" s="20" t="s">
        <v>1575</v>
      </c>
    </row>
    <row r="1374" spans="1:12">
      <c r="A1374" s="20" t="s">
        <v>1576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12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1184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1577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1578</v>
      </c>
      <c r="B1378" s="27" t="s">
        <v>1085</v>
      </c>
      <c r="C1378" s="27" t="s">
        <v>1070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1083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1111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1579</v>
      </c>
      <c r="B1381" s="27" t="s">
        <v>1103</v>
      </c>
      <c r="C1381" s="27" t="s">
        <v>1038</v>
      </c>
      <c r="D1381" s="27" t="s">
        <v>1030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1580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135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/>
    </row>
    <row r="1385" spans="1:12">
      <c r="A1385" s="20" t="s">
        <v>1581</v>
      </c>
    </row>
    <row r="1386" spans="1:12">
      <c r="A1386" s="20" t="s">
        <v>315</v>
      </c>
      <c r="B1386" s="27" t="s">
        <v>1045</v>
      </c>
      <c r="C1386" s="27" t="s">
        <v>1033</v>
      </c>
      <c r="D1386" s="27" t="s">
        <v>1030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1022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1582</v>
      </c>
      <c r="B1388" s="27" t="s">
        <v>1045</v>
      </c>
      <c r="C1388" s="27" t="s">
        <v>1033</v>
      </c>
      <c r="D1388" s="27" t="s">
        <v>1030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1022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1036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1583</v>
      </c>
      <c r="B1391" s="27" t="s">
        <v>1045</v>
      </c>
      <c r="C1391" s="27" t="s">
        <v>1033</v>
      </c>
      <c r="D1391" s="27" t="s">
        <v>1030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1022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1584</v>
      </c>
      <c r="B1393" s="27" t="s">
        <v>1045</v>
      </c>
      <c r="C1393" s="27" t="s">
        <v>1033</v>
      </c>
      <c r="D1393" s="27" t="s">
        <v>1030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1022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1585</v>
      </c>
      <c r="B1395" s="27" t="s">
        <v>1045</v>
      </c>
      <c r="C1395" s="27" t="s">
        <v>1029</v>
      </c>
      <c r="D1395" s="27" t="s">
        <v>1030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1016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1586</v>
      </c>
      <c r="B1397" s="27" t="s">
        <v>1079</v>
      </c>
      <c r="C1397" s="27" t="s">
        <v>1029</v>
      </c>
      <c r="D1397" s="27" t="s">
        <v>1030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1016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1587</v>
      </c>
      <c r="B1399" s="27" t="s">
        <v>1066</v>
      </c>
      <c r="C1399" s="27" t="s">
        <v>1015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1022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1588</v>
      </c>
      <c r="B1401" s="27" t="s">
        <v>1045</v>
      </c>
      <c r="C1401" s="27" t="s">
        <v>1015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1589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135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/>
    </row>
    <row r="1405" spans="1:12">
      <c r="A1405" s="20" t="s">
        <v>1590</v>
      </c>
    </row>
    <row r="1406" spans="1:12">
      <c r="A1406" s="20" t="s">
        <v>1504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489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1022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1591</v>
      </c>
      <c r="B1409" s="27" t="s">
        <v>1098</v>
      </c>
      <c r="C1409" s="27" t="s">
        <v>1042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1220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1111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1592</v>
      </c>
      <c r="B1412" s="27" t="s">
        <v>1066</v>
      </c>
      <c r="C1412" s="27" t="s">
        <v>1077</v>
      </c>
      <c r="D1412" s="27" t="s">
        <v>1030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1593</v>
      </c>
      <c r="B1413" s="27" t="s">
        <v>1069</v>
      </c>
      <c r="C1413" s="27" t="s">
        <v>1038</v>
      </c>
      <c r="D1413" s="27" t="s">
        <v>1030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135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/>
    </row>
    <row r="1416" spans="1:12">
      <c r="A1416" s="20" t="s">
        <v>1594</v>
      </c>
    </row>
    <row r="1417" spans="1:12">
      <c r="A1417" s="20" t="s">
        <v>1566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1595</v>
      </c>
      <c r="B1418" s="27" t="s">
        <v>1014</v>
      </c>
      <c r="C1418" s="27" t="s">
        <v>1015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1083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1292</v>
      </c>
      <c r="B1420" s="27" t="s">
        <v>1079</v>
      </c>
      <c r="C1420" s="27" t="s">
        <v>1015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1311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1096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1185</v>
      </c>
      <c r="B1423" s="27" t="s">
        <v>1045</v>
      </c>
      <c r="C1423" s="27" t="s">
        <v>1038</v>
      </c>
      <c r="D1423" s="27" t="s">
        <v>1030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1094</v>
      </c>
      <c r="B1424" s="27" t="s">
        <v>1085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1596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1597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1499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1598</v>
      </c>
      <c r="B1428" s="27" t="s">
        <v>1020</v>
      </c>
      <c r="C1428" s="27" t="s">
        <v>1015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135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/>
    </row>
    <row r="1431" spans="1:12">
      <c r="A1431" s="20" t="s">
        <v>1599</v>
      </c>
    </row>
    <row r="1432" spans="1:12">
      <c r="A1432" s="20" t="s">
        <v>1137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1600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1601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135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/>
    </row>
    <row r="1437" spans="1:12">
      <c r="A1437" s="20" t="s">
        <v>1602</v>
      </c>
    </row>
    <row r="1438" spans="1:12">
      <c r="A1438" s="20" t="s">
        <v>1603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1604</v>
      </c>
      <c r="B1439" s="27" t="s">
        <v>1079</v>
      </c>
      <c r="C1439" s="27" t="s">
        <v>1067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1022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1605</v>
      </c>
      <c r="B1441" s="27" t="s">
        <v>1014</v>
      </c>
      <c r="C1441" s="27" t="s">
        <v>1029</v>
      </c>
      <c r="D1441" s="27" t="s">
        <v>1030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1606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1022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1605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1607</v>
      </c>
      <c r="B1445" s="27" t="s">
        <v>1079</v>
      </c>
      <c r="C1445" s="27" t="s">
        <v>1015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135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/>
    </row>
    <row r="1448" spans="1:12">
      <c r="A1448" s="20" t="s">
        <v>1608</v>
      </c>
    </row>
    <row r="1449" spans="1:12">
      <c r="A1449" s="20" t="s">
        <v>1088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1609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1610</v>
      </c>
      <c r="B1451" s="27" t="s">
        <v>1014</v>
      </c>
      <c r="C1451" s="27" t="s">
        <v>1042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1175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1611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135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/>
    </row>
    <row r="1456" spans="1:12">
      <c r="A1456" s="20" t="s">
        <v>1612</v>
      </c>
    </row>
    <row r="1457" spans="1:12">
      <c r="A1457" s="20" t="s">
        <v>1118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1368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1036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336</v>
      </c>
      <c r="B1460" s="27" t="s">
        <v>1045</v>
      </c>
      <c r="C1460" s="27" t="s">
        <v>1038</v>
      </c>
      <c r="D1460" s="27" t="s">
        <v>1030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1613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1149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/>
    </row>
    <row r="1464" spans="1:12">
      <c r="A1464" s="20" t="s">
        <v>1614</v>
      </c>
    </row>
    <row r="1465" spans="1:12">
      <c r="A1465" s="20" t="s">
        <v>1279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1096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1607</v>
      </c>
      <c r="B1467" s="27" t="s">
        <v>1098</v>
      </c>
      <c r="C1467" s="27" t="s">
        <v>1038</v>
      </c>
      <c r="D1467" s="27" t="s">
        <v>1030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1615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1034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1616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1617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1096</v>
      </c>
      <c r="B1472" s="27" t="s">
        <v>1069</v>
      </c>
      <c r="C1472" s="27" t="s">
        <v>1050</v>
      </c>
      <c r="D1472" s="27" t="s">
        <v>1030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1022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1083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1057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1381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1187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1618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1025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1132</v>
      </c>
      <c r="B1480" s="27" t="s">
        <v>1079</v>
      </c>
      <c r="C1480" s="27" t="s">
        <v>1140</v>
      </c>
      <c r="D1480" s="27" t="s">
        <v>1030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135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/>
    </row>
    <row r="1483" spans="1:12">
      <c r="A1483" s="20" t="s">
        <v>1619</v>
      </c>
    </row>
    <row r="1484" spans="1:12">
      <c r="A1484" s="20" t="s">
        <v>1062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1395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1094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1036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1620</v>
      </c>
      <c r="B1488" s="27" t="s">
        <v>1098</v>
      </c>
      <c r="C1488" s="27" t="s">
        <v>1038</v>
      </c>
      <c r="D1488" s="27" t="s">
        <v>1030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1108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1094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1049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1621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1025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1622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1623</v>
      </c>
      <c r="B1495" s="27" t="s">
        <v>1066</v>
      </c>
      <c r="C1495" s="27" t="s">
        <v>1029</v>
      </c>
      <c r="D1495" s="27" t="s">
        <v>1030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1016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457</v>
      </c>
      <c r="B1497" s="27" t="s">
        <v>1103</v>
      </c>
      <c r="C1497" s="27" t="s">
        <v>1015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1094</v>
      </c>
      <c r="B1498" s="27" t="s">
        <v>1484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1057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1624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1159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1625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1083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1626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1016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1057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1627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1159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135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/>
    </row>
    <row r="1511" spans="1:12">
      <c r="A1511" s="20" t="s">
        <v>1628</v>
      </c>
    </row>
    <row r="1512" spans="1:12">
      <c r="A1512" s="20" t="s">
        <v>1629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54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1167</v>
      </c>
      <c r="B1514" s="27" t="s">
        <v>1045</v>
      </c>
      <c r="C1514" s="27" t="s">
        <v>1204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1205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1630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1631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1018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1447</v>
      </c>
      <c r="B1519" s="27" t="s">
        <v>1098</v>
      </c>
      <c r="C1519" s="27" t="s">
        <v>1021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1022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1018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1447</v>
      </c>
      <c r="B1522" s="27" t="s">
        <v>1098</v>
      </c>
      <c r="C1522" s="27" t="s">
        <v>1021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1632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1022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1094</v>
      </c>
      <c r="B1525" s="27" t="s">
        <v>1146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1633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1049</v>
      </c>
      <c r="B1527" s="27" t="s">
        <v>1278</v>
      </c>
      <c r="C1527" s="27" t="s">
        <v>1050</v>
      </c>
      <c r="D1527" s="27" t="s">
        <v>1030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1457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1160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1634</v>
      </c>
      <c r="B1530" s="27" t="s">
        <v>1041</v>
      </c>
      <c r="C1530" s="27" t="s">
        <v>1029</v>
      </c>
      <c r="D1530" s="27" t="s">
        <v>1030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1635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1622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1623</v>
      </c>
      <c r="B1533" s="27" t="s">
        <v>1079</v>
      </c>
      <c r="C1533" s="27" t="s">
        <v>1029</v>
      </c>
      <c r="D1533" s="27" t="s">
        <v>1030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1016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1636</v>
      </c>
      <c r="B1535" s="27" t="s">
        <v>1066</v>
      </c>
      <c r="C1535" s="27" t="s">
        <v>1015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1313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1075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141</v>
      </c>
      <c r="B1538" s="27" t="s">
        <v>1066</v>
      </c>
      <c r="C1538" s="27" t="s">
        <v>1029</v>
      </c>
      <c r="D1538" s="27" t="s">
        <v>1030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1637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1638</v>
      </c>
      <c r="B1540" s="27" t="s">
        <v>1103</v>
      </c>
      <c r="C1540" s="27" t="s">
        <v>1015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1022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1639</v>
      </c>
      <c r="B1542" s="27" t="s">
        <v>1035</v>
      </c>
      <c r="C1542" s="27" t="s">
        <v>1015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1083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1250</v>
      </c>
      <c r="B1544" s="27" t="s">
        <v>1035</v>
      </c>
      <c r="C1544" s="27" t="s">
        <v>1015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135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/>
    </row>
    <row r="1547" spans="1:12">
      <c r="A1547" s="20" t="s">
        <v>1640</v>
      </c>
    </row>
    <row r="1548" spans="1:12">
      <c r="A1548" s="20" t="s">
        <v>1641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352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135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/>
    </row>
    <row r="1552" spans="1:12">
      <c r="A1552" s="20" t="s">
        <v>1642</v>
      </c>
    </row>
    <row r="1553" spans="1:12">
      <c r="A1553" s="20" t="s">
        <v>1643</v>
      </c>
      <c r="B1553" s="27" t="s">
        <v>1041</v>
      </c>
      <c r="C1553" s="27" t="s">
        <v>1029</v>
      </c>
      <c r="D1553" s="27" t="s">
        <v>1030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1016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1644</v>
      </c>
      <c r="B1555" s="27" t="s">
        <v>1079</v>
      </c>
      <c r="C1555" s="27" t="s">
        <v>1015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1645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1434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1175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419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1275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1525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481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135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/>
    </row>
    <row r="1565" spans="1:12">
      <c r="A1565" s="20" t="s">
        <v>1646</v>
      </c>
    </row>
    <row r="1566" spans="1:12">
      <c r="A1566" s="20" t="s">
        <v>1062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1198</v>
      </c>
      <c r="B1567" s="27" t="s">
        <v>1045</v>
      </c>
      <c r="C1567" s="27" t="s">
        <v>1050</v>
      </c>
      <c r="D1567" s="27" t="s">
        <v>1030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1647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12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1648</v>
      </c>
      <c r="B1570" s="27" t="s">
        <v>1014</v>
      </c>
      <c r="C1570" s="27" t="s">
        <v>1029</v>
      </c>
      <c r="D1570" s="27" t="s">
        <v>1030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1016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1644</v>
      </c>
      <c r="B1572" s="27" t="s">
        <v>1079</v>
      </c>
      <c r="C1572" s="27" t="s">
        <v>1015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1056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/>
    </row>
    <row r="1575" spans="1:12">
      <c r="A1575" s="20" t="s">
        <v>1649</v>
      </c>
    </row>
    <row r="1576" spans="1:12">
      <c r="A1576" s="20" t="s">
        <v>1034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1018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 t="s">
        <v>1650</v>
      </c>
      <c r="B1578" s="27" t="s">
        <v>1045</v>
      </c>
      <c r="C1578" s="27" t="s">
        <v>1021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1651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135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/>
    </row>
    <row r="1582" spans="1:12">
      <c r="A1582" s="20" t="s">
        <v>1652</v>
      </c>
    </row>
    <row r="1583" spans="1:12">
      <c r="A1583" s="20" t="s">
        <v>1653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1111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1520</v>
      </c>
      <c r="B1585" s="27" t="s">
        <v>1045</v>
      </c>
      <c r="C1585" s="27" t="s">
        <v>1038</v>
      </c>
      <c r="D1585" s="27" t="s">
        <v>1030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1654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1075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1655</v>
      </c>
      <c r="B1588" s="27" t="s">
        <v>1014</v>
      </c>
      <c r="C1588" s="27" t="s">
        <v>1038</v>
      </c>
      <c r="D1588" s="27" t="s">
        <v>1030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135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/>
    </row>
    <row r="1591" spans="1:12">
      <c r="A1591" s="20" t="s">
        <v>1656</v>
      </c>
    </row>
    <row r="1592" spans="1:12">
      <c r="A1592" s="20" t="s">
        <v>1657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1337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1080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1658</v>
      </c>
      <c r="B1595" s="27" t="s">
        <v>1045</v>
      </c>
      <c r="C1595" s="27" t="s">
        <v>1033</v>
      </c>
      <c r="D1595" s="27" t="s">
        <v>1030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1659</v>
      </c>
      <c r="B1596" s="27" t="s">
        <v>1079</v>
      </c>
      <c r="C1596" s="27" t="s">
        <v>1033</v>
      </c>
      <c r="D1596" s="27" t="s">
        <v>1030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1022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1337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1071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1660</v>
      </c>
      <c r="B1600" s="27" t="s">
        <v>1079</v>
      </c>
      <c r="C1600" s="27" t="s">
        <v>1033</v>
      </c>
      <c r="D1600" s="27" t="s">
        <v>1030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1022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1337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1111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1661</v>
      </c>
      <c r="B1604" s="27" t="s">
        <v>1066</v>
      </c>
      <c r="C1604" s="27" t="s">
        <v>1033</v>
      </c>
      <c r="D1604" s="27" t="s">
        <v>1030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1022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1337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1036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1662</v>
      </c>
      <c r="B1608" s="27" t="s">
        <v>1103</v>
      </c>
      <c r="C1608" s="27" t="s">
        <v>1033</v>
      </c>
      <c r="D1608" s="27" t="s">
        <v>1030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1022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1083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1084</v>
      </c>
      <c r="B1611" s="27" t="s">
        <v>1098</v>
      </c>
      <c r="C1611" s="27" t="s">
        <v>1042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1285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1663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1022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1664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1665</v>
      </c>
      <c r="B1616" s="27" t="s">
        <v>1014</v>
      </c>
      <c r="C1616" s="27" t="s">
        <v>1070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1022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1228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1666</v>
      </c>
      <c r="B1619" s="27" t="s">
        <v>1079</v>
      </c>
      <c r="C1619" s="27" t="s">
        <v>1029</v>
      </c>
      <c r="D1619" s="27" t="s">
        <v>1030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1022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 t="s">
        <v>1667</v>
      </c>
      <c r="B1621" s="27" t="s">
        <v>1066</v>
      </c>
      <c r="C1621" s="27" t="s">
        <v>1042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1016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1667</v>
      </c>
      <c r="B1623" s="27" t="s">
        <v>1103</v>
      </c>
      <c r="C1623" s="27" t="s">
        <v>1042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135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/>
    </row>
    <row r="1626" spans="1:12">
      <c r="A1626" s="20" t="s">
        <v>1668</v>
      </c>
    </row>
    <row r="1627" spans="1:12">
      <c r="A1627" s="20" t="s">
        <v>1088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1669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1670</v>
      </c>
      <c r="B1629" s="27" t="s">
        <v>1014</v>
      </c>
      <c r="C1629" s="27" t="s">
        <v>1015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135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/>
    </row>
    <row r="1632" spans="1:12">
      <c r="A1632" s="20" t="s">
        <v>1671</v>
      </c>
    </row>
    <row r="1633" spans="1:12">
      <c r="A1633" s="20" t="s">
        <v>1088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1111</v>
      </c>
      <c r="B1634" s="27" t="s">
        <v>1014</v>
      </c>
      <c r="C1634" s="27" t="s">
        <v>1050</v>
      </c>
      <c r="D1634" s="27" t="s">
        <v>1030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1669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505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1186</v>
      </c>
      <c r="B1637" s="27" t="s">
        <v>1098</v>
      </c>
      <c r="C1637" s="27" t="s">
        <v>1050</v>
      </c>
      <c r="D1637" s="27" t="s">
        <v>1030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1672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1074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1080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1673</v>
      </c>
      <c r="B1641" s="27" t="s">
        <v>1079</v>
      </c>
      <c r="C1641" s="27" t="s">
        <v>1038</v>
      </c>
      <c r="D1641" s="27" t="s">
        <v>1030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1022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1074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378</v>
      </c>
      <c r="B1644" s="27" t="s">
        <v>1045</v>
      </c>
      <c r="C1644" s="27" t="s">
        <v>1140</v>
      </c>
      <c r="D1644" s="27" t="s">
        <v>1030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1094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1674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/>
    </row>
    <row r="1648" spans="1:12">
      <c r="A1648" s="20" t="s">
        <v>1252</v>
      </c>
    </row>
    <row r="1649" spans="1:12">
      <c r="A1649" s="20" t="s">
        <v>135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/>
    </row>
    <row r="1651" spans="1:12">
      <c r="A1651" s="20" t="s">
        <v>1675</v>
      </c>
    </row>
    <row r="1652" spans="1:12">
      <c r="A1652" s="20" t="s">
        <v>1074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378</v>
      </c>
      <c r="B1653" s="27" t="s">
        <v>1045</v>
      </c>
      <c r="C1653" s="27" t="s">
        <v>1140</v>
      </c>
      <c r="D1653" s="27" t="s">
        <v>1030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1094</v>
      </c>
      <c r="B1654" s="27" t="s">
        <v>1069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1676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1016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419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1022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1074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378</v>
      </c>
      <c r="B1660" s="27" t="s">
        <v>1066</v>
      </c>
      <c r="C1660" s="27" t="s">
        <v>1140</v>
      </c>
      <c r="D1660" s="27" t="s">
        <v>1030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1094</v>
      </c>
      <c r="B1661" s="27" t="s">
        <v>1460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1049</v>
      </c>
      <c r="B1662" s="27" t="s">
        <v>1354</v>
      </c>
      <c r="C1662" s="27" t="s">
        <v>1050</v>
      </c>
      <c r="D1662" s="27" t="s">
        <v>1030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1205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1677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1678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 t="s">
        <v>135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/>
    </row>
    <row r="1668" spans="1:12">
      <c r="A1668" s="20" t="s">
        <v>1679</v>
      </c>
    </row>
    <row r="1669" spans="1:12">
      <c r="A1669" s="20" t="s">
        <v>1088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1672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1214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1018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1680</v>
      </c>
      <c r="B1673" s="27" t="s">
        <v>1045</v>
      </c>
      <c r="C1673" s="27" t="s">
        <v>1029</v>
      </c>
      <c r="D1673" s="27" t="s">
        <v>1030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1016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1681</v>
      </c>
      <c r="B1675" s="27" t="s">
        <v>1079</v>
      </c>
      <c r="C1675" s="27" t="s">
        <v>1015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1682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1337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1683</v>
      </c>
      <c r="B1678" s="27" t="s">
        <v>1103</v>
      </c>
      <c r="C1678" s="27" t="s">
        <v>1029</v>
      </c>
      <c r="D1678" s="27" t="s">
        <v>1030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1016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1036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1684</v>
      </c>
      <c r="B1681" s="27" t="s">
        <v>1035</v>
      </c>
      <c r="C1681" s="27" t="s">
        <v>1038</v>
      </c>
      <c r="D1681" s="27" t="s">
        <v>1030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1094</v>
      </c>
      <c r="B1682" s="27" t="s">
        <v>1685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1049</v>
      </c>
      <c r="B1683" s="27" t="s">
        <v>1385</v>
      </c>
      <c r="C1683" s="27" t="s">
        <v>1050</v>
      </c>
      <c r="D1683" s="27" t="s">
        <v>1030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1686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1687</v>
      </c>
      <c r="B1685" s="27" t="s">
        <v>1385</v>
      </c>
      <c r="C1685" s="27" t="s">
        <v>1015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1022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1083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1123</v>
      </c>
      <c r="B1688" s="27" t="s">
        <v>1069</v>
      </c>
      <c r="C1688" s="27" t="s">
        <v>1050</v>
      </c>
      <c r="D1688" s="27" t="s">
        <v>1030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44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1022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1395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1094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1123</v>
      </c>
      <c r="B1693" s="27" t="s">
        <v>1020</v>
      </c>
      <c r="C1693" s="27" t="s">
        <v>1050</v>
      </c>
      <c r="D1693" s="27" t="s">
        <v>1030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1688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1084</v>
      </c>
      <c r="B1695" s="27" t="s">
        <v>1085</v>
      </c>
      <c r="C1695" s="27" t="s">
        <v>1042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135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/>
    </row>
    <row r="1698" spans="1:12">
      <c r="A1698" s="20" t="s">
        <v>1689</v>
      </c>
    </row>
    <row r="1699" spans="1:12">
      <c r="A1699" s="20" t="s">
        <v>1118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1430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1018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247</v>
      </c>
      <c r="B1702" s="27" t="s">
        <v>1041</v>
      </c>
      <c r="C1702" s="27" t="s">
        <v>1021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1215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/>
    </row>
    <row r="1705" spans="1:12">
      <c r="A1705" s="20" t="s">
        <v>1690</v>
      </c>
    </row>
    <row r="1706" spans="1:12">
      <c r="A1706" s="20" t="s">
        <v>1163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 t="s">
        <v>1281</v>
      </c>
      <c r="B1707" s="27" t="s">
        <v>1041</v>
      </c>
      <c r="C1707" s="27" t="s">
        <v>1038</v>
      </c>
      <c r="D1707" s="27" t="s">
        <v>1030</v>
      </c>
      <c r="E1707" s="21">
        <f>IF(D1707="?OLD","!!!","")</f>
        <v/>
      </c>
      <c r="F1707" s="22" t="str">
        <f>IF(OR(E1707="",E1707="!!!"),"",IF(NOT(ISNA(VLOOKUP(E1707,E$1:E1706,1,FALSE()))),"OLD",IF(AND(E1707&lt;&gt;"",E1707&lt;&gt;"!!!"),"NEW","")))</f>
        <v> </v>
      </c>
      <c r="G1707" s="23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4" t="str">
        <f>IF(J1707&lt;&gt;1,"",IF(I1707="SBJ","CB","?"))</f>
        <v> </v>
      </c>
      <c r="I1707" s="25" t="str">
        <f>IF(OR(E1707="",E1707="!!!",F1707="NEW"),"",INDEX(B1706:B$2,-1+SUMPRODUCT(MAX(ROW(E1706:E$2)*(E1707=E1706:E$2)))))</f>
        <v> </v>
      </c>
      <c r="J1707" s="25" t="str">
        <f>IF(OR(E1707="",E1707="!!!",F1707="NEW"),"",COUNTBLANK(OFFSET(A$1,,,SUMPRODUCT(MAX(ROW(E$2:E1707)*(E1707=E$2:E1707)))))-COUNTBLANK(OFFSET(A$1,,,SUMPRODUCT(MAX(ROW(E$1:E1706)*(E2=E$1:E1706))))))</f>
        <v> </v>
      </c>
      <c r="K1707" s="25" t="str">
        <f>IF(OR(E1707="",E1707="!!!",F1707="NEW"),"",INDEX(J$1:J1706,SUMPRODUCT(MAX(ROW(E$1:E1706)*(E1707=E$1:E1706)))))</f>
        <v> </v>
      </c>
      <c r="L1707" s="26"/>
    </row>
    <row r="1708" spans="1:12">
      <c r="A1708" s="20" t="s">
        <v>1266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 t="s">
        <v>1293</v>
      </c>
      <c r="E1709" s="21">
        <f>IF(D1709="?OLD","!!!","")</f>
        <v/>
      </c>
      <c r="F1709" s="22" t="str">
        <f>IF(OR(E1709="",E1709="!!!"),"",IF(NOT(ISNA(VLOOKUP(E1709,E$1:E1708,1,FALSE()))),"OLD",IF(AND(E1709&lt;&gt;"",E1709&lt;&gt;"!!!"),"NEW","")))</f>
        <v> </v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4" t="str">
        <f>IF(J1709&lt;&gt;1,"",IF(I1709="SBJ","CB","?"))</f>
        <v> </v>
      </c>
      <c r="I1709" s="25" t="str">
        <f>IF(OR(E1709="",E1709="!!!",F1709="NEW"),"",INDEX(B1708:B$2,-1+SUMPRODUCT(MAX(ROW(E1708:E$2)*(E1709=E1708:E$2)))))</f>
        <v> </v>
      </c>
      <c r="J1709" s="25" t="str">
        <f>IF(OR(E1709="",E1709="!!!",F1709="NEW"),"",COUNTBLANK(OFFSET(A$1,,,SUMPRODUCT(MAX(ROW(E$2:E1709)*(E1709=E$2:E1709)))))-COUNTBLANK(OFFSET(A$1,,,SUMPRODUCT(MAX(ROW(E$1:E1708)*(E2=E$1:E1708))))))</f>
        <v> </v>
      </c>
      <c r="K1709" s="25" t="str">
        <f>IF(OR(E1709="",E1709="!!!",F1709="NEW"),"",INDEX(J$1:J1708,SUMPRODUCT(MAX(ROW(E$1:E1708)*(E1709=E$1:E1708)))))</f>
        <v> </v>
      </c>
      <c r="L1709" s="26"/>
    </row>
    <row r="1710" spans="1:12">
      <c r="A1710" s="20" t="s">
        <v>1691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/>
    </row>
    <row r="1712" spans="1:12">
      <c r="A1712" s="20" t="s">
        <v>1252</v>
      </c>
    </row>
    <row r="1713" spans="1:12">
      <c r="A1713" s="20" t="s">
        <v>135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/>
    </row>
    <row r="1715" spans="1:12">
      <c r="A1715" s="20" t="s">
        <v>1692</v>
      </c>
    </row>
    <row r="1716" spans="1:12">
      <c r="A1716" s="20" t="s">
        <v>1693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505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1368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1160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1210</v>
      </c>
      <c r="B1720" s="27" t="s">
        <v>1045</v>
      </c>
      <c r="C1720" s="27" t="s">
        <v>1021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1149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/>
    </row>
    <row r="1723" spans="1:12">
      <c r="A1723" s="20" t="s">
        <v>1694</v>
      </c>
    </row>
    <row r="1724" spans="1:12">
      <c r="A1724" s="20" t="s">
        <v>1080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1658</v>
      </c>
      <c r="B1725" s="27" t="s">
        <v>1041</v>
      </c>
      <c r="C1725" s="27" t="s">
        <v>1033</v>
      </c>
      <c r="D1725" s="27" t="s">
        <v>1030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1659</v>
      </c>
      <c r="B1726" s="27" t="s">
        <v>1079</v>
      </c>
      <c r="C1726" s="27" t="s">
        <v>1033</v>
      </c>
      <c r="D1726" s="27" t="s">
        <v>1030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1266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1018</v>
      </c>
      <c r="B1728" s="27" t="s">
        <v>1045</v>
      </c>
      <c r="C1728" s="27" t="s">
        <v>1042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1016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1096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1695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1696</v>
      </c>
      <c r="B1732" s="27" t="s">
        <v>1045</v>
      </c>
      <c r="C1732" s="27" t="s">
        <v>1029</v>
      </c>
      <c r="D1732" s="27" t="s">
        <v>1030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1074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1036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1203</v>
      </c>
      <c r="B1735" s="27" t="s">
        <v>1079</v>
      </c>
      <c r="C1735" s="27" t="s">
        <v>1038</v>
      </c>
      <c r="D1735" s="27" t="s">
        <v>1030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1025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 t="s">
        <v>1357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1036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1171</v>
      </c>
      <c r="B1739" s="27" t="s">
        <v>1085</v>
      </c>
      <c r="C1739" s="27" t="s">
        <v>1029</v>
      </c>
      <c r="D1739" s="27" t="s">
        <v>1030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1016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141</v>
      </c>
      <c r="B1741" s="27" t="s">
        <v>1103</v>
      </c>
      <c r="C1741" s="27" t="s">
        <v>1029</v>
      </c>
      <c r="D1741" s="27" t="s">
        <v>1030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1637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1036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1638</v>
      </c>
      <c r="B1744" s="27" t="s">
        <v>1035</v>
      </c>
      <c r="C1744" s="27" t="s">
        <v>1038</v>
      </c>
      <c r="D1744" s="27" t="s">
        <v>1030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1309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 t="s">
        <v>1697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135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/>
    </row>
    <row r="1749" spans="1:12">
      <c r="A1749" s="20" t="s">
        <v>1698</v>
      </c>
    </row>
    <row r="1750" spans="1:12">
      <c r="A1750" s="20" t="s">
        <v>1699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1632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1022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1083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1396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1700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1049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1016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1186</v>
      </c>
      <c r="B1758" s="27" t="s">
        <v>1079</v>
      </c>
      <c r="C1758" s="27" t="s">
        <v>1050</v>
      </c>
      <c r="D1758" s="27" t="s">
        <v>1030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1701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135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/>
    </row>
    <row r="1762" spans="1:12">
      <c r="A1762" s="20" t="s">
        <v>1702</v>
      </c>
    </row>
    <row r="1763" spans="1:12">
      <c r="A1763" s="20" t="s">
        <v>1699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1703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135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/>
    </row>
    <row r="1767" spans="1:12">
      <c r="A1767" s="20" t="s">
        <v>1704</v>
      </c>
    </row>
    <row r="1768" spans="1:12">
      <c r="A1768" s="20" t="s">
        <v>1705</v>
      </c>
      <c r="B1768" s="27" t="s">
        <v>1041</v>
      </c>
      <c r="C1768" s="27" t="s">
        <v>1067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1034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1574</v>
      </c>
      <c r="B1770" s="27" t="s">
        <v>1045</v>
      </c>
      <c r="C1770" s="27" t="s">
        <v>1015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1094</v>
      </c>
      <c r="B1771" s="27" t="s">
        <v>1098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1049</v>
      </c>
      <c r="B1772" s="27" t="s">
        <v>1069</v>
      </c>
      <c r="C1772" s="27" t="s">
        <v>1050</v>
      </c>
      <c r="D1772" s="27" t="s">
        <v>1030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1220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1706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 t="s">
        <v>1074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12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1018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247</v>
      </c>
      <c r="B1778" s="27" t="s">
        <v>1020</v>
      </c>
      <c r="C1778" s="27" t="s">
        <v>1029</v>
      </c>
      <c r="D1778" s="27" t="s">
        <v>1030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1016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1036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1707</v>
      </c>
      <c r="B1781" s="27" t="s">
        <v>1103</v>
      </c>
      <c r="C1781" s="27" t="s">
        <v>1038</v>
      </c>
      <c r="D1781" s="27" t="s">
        <v>1030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1215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/>
    </row>
    <row r="1784" spans="1:12">
      <c r="A1784" s="20" t="s">
        <v>1708</v>
      </c>
    </row>
    <row r="1785" spans="1:12">
      <c r="A1785" s="20" t="s">
        <v>1709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1022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1123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44</v>
      </c>
      <c r="B1788" s="27" t="s">
        <v>1045</v>
      </c>
      <c r="C1788" s="27" t="s">
        <v>1038</v>
      </c>
      <c r="D1788" s="27" t="s">
        <v>1030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135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/>
    </row>
    <row r="1791" spans="1:12">
      <c r="A1791" s="20" t="s">
        <v>1710</v>
      </c>
    </row>
    <row r="1792" spans="1:12">
      <c r="A1792" s="20" t="s">
        <v>1116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44</v>
      </c>
      <c r="B1793" s="27" t="s">
        <v>1045</v>
      </c>
      <c r="C1793" s="27" t="s">
        <v>1038</v>
      </c>
      <c r="D1793" s="27" t="s">
        <v>1030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1364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135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/>
    </row>
    <row r="1797" spans="1:12">
      <c r="A1797" s="20" t="s">
        <v>1711</v>
      </c>
    </row>
    <row r="1798" spans="1:12">
      <c r="A1798" s="20" t="s">
        <v>1207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1049</v>
      </c>
      <c r="B1799" s="27" t="s">
        <v>1014</v>
      </c>
      <c r="C1799" s="27" t="s">
        <v>1050</v>
      </c>
      <c r="D1799" s="27" t="s">
        <v>1030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 t="s">
        <v>1022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1254</v>
      </c>
      <c r="B1801" s="27" t="s">
        <v>1098</v>
      </c>
      <c r="C1801" s="27" t="s">
        <v>1042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1017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1220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1036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1638</v>
      </c>
      <c r="B1805" s="27" t="s">
        <v>1069</v>
      </c>
      <c r="C1805" s="27" t="s">
        <v>1038</v>
      </c>
      <c r="D1805" s="27" t="s">
        <v>1030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1215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/>
    </row>
    <row r="1808" spans="1:12">
      <c r="A1808" s="20" t="s">
        <v>1712</v>
      </c>
    </row>
    <row r="1809" spans="1:12">
      <c r="A1809" s="20" t="s">
        <v>1713</v>
      </c>
      <c r="B1809" s="27" t="s">
        <v>1041</v>
      </c>
      <c r="C1809" s="27" t="s">
        <v>1042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1635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1036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1714</v>
      </c>
      <c r="B1812" s="27" t="s">
        <v>1079</v>
      </c>
      <c r="C1812" s="27" t="s">
        <v>1038</v>
      </c>
      <c r="D1812" s="27" t="s">
        <v>1030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1220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1159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1625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1018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1715</v>
      </c>
      <c r="B1817" s="27" t="s">
        <v>1014</v>
      </c>
      <c r="C1817" s="27" t="s">
        <v>1021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71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1016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1638</v>
      </c>
      <c r="B1820" s="27" t="s">
        <v>1066</v>
      </c>
      <c r="C1820" s="27" t="s">
        <v>1015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1215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/>
    </row>
    <row r="1823" spans="1:12">
      <c r="A1823" s="20" t="s">
        <v>1716</v>
      </c>
    </row>
    <row r="1824" spans="1:12">
      <c r="A1824" s="20" t="s">
        <v>1088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1717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1718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 t="s">
        <v>135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/>
    </row>
    <row r="1829" spans="1:12">
      <c r="A1829" s="20" t="s">
        <v>1719</v>
      </c>
    </row>
    <row r="1830" spans="1:12">
      <c r="A1830" s="20" t="s">
        <v>1241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1132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1720</v>
      </c>
      <c r="B1832" s="27" t="s">
        <v>1045</v>
      </c>
      <c r="C1832" s="27" t="s">
        <v>1046</v>
      </c>
      <c r="D1832" s="27" t="s">
        <v>1030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1057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1717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1721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1022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1429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1034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1574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1722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1296</v>
      </c>
      <c r="B1841" s="27" t="s">
        <v>1079</v>
      </c>
      <c r="C1841" s="27" t="s">
        <v>1204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1025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1036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 t="s">
        <v>1203</v>
      </c>
      <c r="B1844" s="27" t="s">
        <v>1079</v>
      </c>
      <c r="C1844" s="27" t="s">
        <v>1038</v>
      </c>
      <c r="D1844" s="27" t="s">
        <v>1030</v>
      </c>
      <c r="E1844" s="21">
        <f>IF(D1844="?OLD","!!!","")</f>
        <v/>
      </c>
      <c r="F1844" s="22" t="str">
        <f>IF(OR(E1844="",E1844="!!!"),"",IF(NOT(ISNA(VLOOKUP(E1844,E$1:E1843,1,FALSE()))),"OLD",IF(AND(E1844&lt;&gt;"",E1844&lt;&gt;"!!!"),"NEW","")))</f>
        <v> </v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4" t="str">
        <f>IF(J1844&lt;&gt;1,"",IF(I1844="SBJ","CB","?"))</f>
        <v> </v>
      </c>
      <c r="I1844" s="25" t="str">
        <f>IF(OR(E1844="",E1844="!!!",F1844="NEW"),"",INDEX(B1843:B$2,-1+SUMPRODUCT(MAX(ROW(E1843:E$2)*(E1844=E1843:E$2)))))</f>
        <v> </v>
      </c>
      <c r="J1844" s="25" t="str">
        <f>IF(OR(E1844="",E1844="!!!",F1844="NEW"),"",COUNTBLANK(OFFSET(A$1,,,SUMPRODUCT(MAX(ROW(E$2:E1844)*(E1844=E$2:E1844)))))-COUNTBLANK(OFFSET(A$1,,,SUMPRODUCT(MAX(ROW(E$1:E1843)*(E2=E$1:E1843))))))</f>
        <v> </v>
      </c>
      <c r="K1844" s="25" t="str">
        <f>IF(OR(E1844="",E1844="!!!",F1844="NEW"),"",INDEX(J$1:J1843,SUMPRODUCT(MAX(ROW(E$1:E1843)*(E1844=E$1:E1843)))))</f>
        <v> </v>
      </c>
      <c r="L1844" s="26"/>
    </row>
    <row r="1845" spans="1:12">
      <c r="A1845" s="20" t="s">
        <v>1071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1723</v>
      </c>
      <c r="B1846" s="27" t="s">
        <v>1079</v>
      </c>
      <c r="C1846" s="27" t="s">
        <v>1038</v>
      </c>
      <c r="D1846" s="27" t="s">
        <v>1030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1724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135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/>
    </row>
    <row r="1850" spans="1:12">
      <c r="A1850" s="20" t="s">
        <v>1725</v>
      </c>
    </row>
    <row r="1851" spans="1:12">
      <c r="A1851" s="20" t="s">
        <v>1106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1160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1726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1441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1016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1727</v>
      </c>
      <c r="B1856" s="27" t="s">
        <v>1045</v>
      </c>
      <c r="C1856" s="27" t="s">
        <v>1021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 t="s">
        <v>1175</v>
      </c>
      <c r="E1857" s="21">
        <f>IF(D1857="?OLD","!!!","")</f>
        <v/>
      </c>
      <c r="F1857" s="22" t="str">
        <f>IF(OR(E1857="",E1857="!!!"),"",IF(NOT(ISNA(VLOOKUP(E1857,E$1:E1856,1,FALSE()))),"OLD",IF(AND(E1857&lt;&gt;"",E1857&lt;&gt;"!!!"),"NEW","")))</f>
        <v> </v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4" t="str">
        <f>IF(J1857&lt;&gt;1,"",IF(I1857="SBJ","CB","?"))</f>
        <v> </v>
      </c>
      <c r="I1857" s="25" t="str">
        <f>IF(OR(E1857="",E1857="!!!",F1857="NEW"),"",INDEX(B1856:B$2,-1+SUMPRODUCT(MAX(ROW(E1856:E$2)*(E1857=E1856:E$2)))))</f>
        <v> </v>
      </c>
      <c r="J1857" s="25" t="str">
        <f>IF(OR(E1857="",E1857="!!!",F1857="NEW"),"",COUNTBLANK(OFFSET(A$1,,,SUMPRODUCT(MAX(ROW(E$2:E1857)*(E1857=E$2:E1857)))))-COUNTBLANK(OFFSET(A$1,,,SUMPRODUCT(MAX(ROW(E$1:E1856)*(E2=E$1:E1856))))))</f>
        <v> </v>
      </c>
      <c r="K1857" s="25" t="str">
        <f>IF(OR(E1857="",E1857="!!!",F1857="NEW"),"",INDEX(J$1:J1856,SUMPRODUCT(MAX(ROW(E$1:E1856)*(E1857=E$1:E1856)))))</f>
        <v> </v>
      </c>
      <c r="L1857" s="26"/>
    </row>
    <row r="1858" spans="1:12">
      <c r="A1858" s="20" t="s">
        <v>1638</v>
      </c>
      <c r="B1858" s="27" t="s">
        <v>1045</v>
      </c>
      <c r="C1858" s="27" t="s">
        <v>1015</v>
      </c>
      <c r="E1858" s="21">
        <f>IF(D1858="?OLD","!!!","")</f>
        <v/>
      </c>
      <c r="F1858" s="22" t="str">
        <f>IF(OR(E1858="",E1858="!!!"),"",IF(NOT(ISNA(VLOOKUP(E1858,E$1:E1857,1,FALSE()))),"OLD",IF(AND(E1858&lt;&gt;"",E1858&lt;&gt;"!!!"),"NEW","")))</f>
        <v> </v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4" t="str">
        <f>IF(J1858&lt;&gt;1,"",IF(I1858="SBJ","CB","?"))</f>
        <v> </v>
      </c>
      <c r="I1858" s="25" t="str">
        <f>IF(OR(E1858="",E1858="!!!",F1858="NEW"),"",INDEX(B1857:B$2,-1+SUMPRODUCT(MAX(ROW(E1857:E$2)*(E1858=E1857:E$2)))))</f>
        <v> </v>
      </c>
      <c r="J1858" s="25" t="str">
        <f>IF(OR(E1858="",E1858="!!!",F1858="NEW"),"",COUNTBLANK(OFFSET(A$1,,,SUMPRODUCT(MAX(ROW(E$2:E1858)*(E1858=E$2:E1858)))))-COUNTBLANK(OFFSET(A$1,,,SUMPRODUCT(MAX(ROW(E$1:E1857)*(E2=E$1:E1857))))))</f>
        <v> </v>
      </c>
      <c r="K1858" s="25" t="str">
        <f>IF(OR(E1858="",E1858="!!!",F1858="NEW"),"",INDEX(J$1:J1857,SUMPRODUCT(MAX(ROW(E$1:E1857)*(E1858=E$1:E1857)))))</f>
        <v> </v>
      </c>
      <c r="L1858" s="26"/>
    </row>
    <row r="1859" spans="1:12">
      <c r="A1859" s="20" t="s">
        <v>1022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87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 t="s">
        <v>1144</v>
      </c>
      <c r="E1861" s="21">
        <f>IF(D1861="?OLD","!!!","")</f>
        <v/>
      </c>
      <c r="F1861" s="22" t="str">
        <f>IF(OR(E1861="",E1861="!!!"),"",IF(NOT(ISNA(VLOOKUP(E1861,E$1:E1860,1,FALSE()))),"OLD",IF(AND(E1861&lt;&gt;"",E1861&lt;&gt;"!!!"),"NEW","")))</f>
        <v> </v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4" t="str">
        <f>IF(J1861&lt;&gt;1,"",IF(I1861="SBJ","CB","?"))</f>
        <v> </v>
      </c>
      <c r="I1861" s="25" t="str">
        <f>IF(OR(E1861="",E1861="!!!",F1861="NEW"),"",INDEX(B1860:B$2,-1+SUMPRODUCT(MAX(ROW(E1860:E$2)*(E1861=E1860:E$2)))))</f>
        <v> </v>
      </c>
      <c r="J1861" s="25" t="str">
        <f>IF(OR(E1861="",E1861="!!!",F1861="NEW"),"",COUNTBLANK(OFFSET(A$1,,,SUMPRODUCT(MAX(ROW(E$2:E1861)*(E1861=E$2:E1861)))))-COUNTBLANK(OFFSET(A$1,,,SUMPRODUCT(MAX(ROW(E$1:E1860)*(E2=E$1:E1860))))))</f>
        <v> </v>
      </c>
      <c r="K1861" s="25" t="str">
        <f>IF(OR(E1861="",E1861="!!!",F1861="NEW"),"",INDEX(J$1:J1860,SUMPRODUCT(MAX(ROW(E$1:E1860)*(E1861=E$1:E1860)))))</f>
        <v> </v>
      </c>
      <c r="L1861" s="26"/>
    </row>
    <row r="1862" spans="1:12">
      <c r="A1862" s="20" t="s">
        <v>1408</v>
      </c>
      <c r="B1862" s="27" t="s">
        <v>1045</v>
      </c>
      <c r="C1862" s="27" t="s">
        <v>1204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 t="s">
        <v>135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/>
    </row>
    <row r="1865" spans="1:12">
      <c r="A1865" s="20" t="s">
        <v>1728</v>
      </c>
    </row>
    <row r="1866" spans="1:12">
      <c r="A1866" s="20" t="s">
        <v>1118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1625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1094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1057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1034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1574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1017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1022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 t="s">
        <v>1147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 t="s">
        <v>1729</v>
      </c>
      <c r="B1875" s="27" t="s">
        <v>1041</v>
      </c>
      <c r="C1875" s="27" t="s">
        <v>1042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 t="s">
        <v>1337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 t="s">
        <v>1111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 t="s">
        <v>1730</v>
      </c>
      <c r="B1878" s="27" t="s">
        <v>1079</v>
      </c>
      <c r="C1878" s="27" t="s">
        <v>1038</v>
      </c>
      <c r="D1878" s="27" t="s">
        <v>1030</v>
      </c>
      <c r="E1878" s="21">
        <f>IF(D1878="?OLD","!!!","")</f>
        <v/>
      </c>
      <c r="F1878" s="22" t="str">
        <f>IF(OR(E1878="",E1878="!!!"),"",IF(NOT(ISNA(VLOOKUP(E1878,E$1:E1877,1,FALSE()))),"OLD",IF(AND(E1878&lt;&gt;"",E1878&lt;&gt;"!!!"),"NEW","")))</f>
        <v> </v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4" t="str">
        <f>IF(J1878&lt;&gt;1,"",IF(I1878="SBJ","CB","?"))</f>
        <v> </v>
      </c>
      <c r="I1878" s="25" t="str">
        <f>IF(OR(E1878="",E1878="!!!",F1878="NEW"),"",INDEX(B1877:B$2,-1+SUMPRODUCT(MAX(ROW(E1877:E$2)*(E1878=E1877:E$2)))))</f>
        <v> </v>
      </c>
      <c r="J1878" s="25" t="str">
        <f>IF(OR(E1878="",E1878="!!!",F1878="NEW"),"",COUNTBLANK(OFFSET(A$1,,,SUMPRODUCT(MAX(ROW(E$2:E1878)*(E1878=E$2:E1878)))))-COUNTBLANK(OFFSET(A$1,,,SUMPRODUCT(MAX(ROW(E$1:E1877)*(E2=E$1:E1877))))))</f>
        <v> </v>
      </c>
      <c r="K1878" s="25" t="str">
        <f>IF(OR(E1878="",E1878="!!!",F1878="NEW"),"",INDEX(J$1:J1877,SUMPRODUCT(MAX(ROW(E$1:E1877)*(E1878=E$1:E1877)))))</f>
        <v> </v>
      </c>
      <c r="L1878" s="26"/>
    </row>
    <row r="1879" spans="1:12">
      <c r="A1879" s="20" t="s">
        <v>1022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1083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1185</v>
      </c>
      <c r="B1881" s="27" t="s">
        <v>1079</v>
      </c>
      <c r="C1881" s="27" t="s">
        <v>1029</v>
      </c>
      <c r="D1881" s="27" t="s">
        <v>1030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1161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1731</v>
      </c>
      <c r="B1883" s="27" t="s">
        <v>1066</v>
      </c>
      <c r="C1883" s="27" t="s">
        <v>1033</v>
      </c>
      <c r="D1883" s="27" t="s">
        <v>1030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1732</v>
      </c>
      <c r="B1884" s="27" t="s">
        <v>1103</v>
      </c>
      <c r="C1884" s="27" t="s">
        <v>1033</v>
      </c>
      <c r="D1884" s="27" t="s">
        <v>1030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 t="s">
        <v>1733</v>
      </c>
      <c r="E1885" s="21">
        <f>IF(D1885="?OLD","!!!","")</f>
        <v/>
      </c>
      <c r="F1885" s="22" t="str">
        <f>IF(OR(E1885="",E1885="!!!"),"",IF(NOT(ISNA(VLOOKUP(E1885,E$1:E1884,1,FALSE()))),"OLD",IF(AND(E1885&lt;&gt;"",E1885&lt;&gt;"!!!"),"NEW","")))</f>
        <v> </v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4" t="str">
        <f>IF(J1885&lt;&gt;1,"",IF(I1885="SBJ","CB","?"))</f>
        <v> </v>
      </c>
      <c r="I1885" s="25" t="str">
        <f>IF(OR(E1885="",E1885="!!!",F1885="NEW"),"",INDEX(B1884:B$2,-1+SUMPRODUCT(MAX(ROW(E1884:E$2)*(E1885=E1884:E$2)))))</f>
        <v> </v>
      </c>
      <c r="J1885" s="25" t="str">
        <f>IF(OR(E1885="",E1885="!!!",F1885="NEW"),"",COUNTBLANK(OFFSET(A$1,,,SUMPRODUCT(MAX(ROW(E$2:E1885)*(E1885=E$2:E1885)))))-COUNTBLANK(OFFSET(A$1,,,SUMPRODUCT(MAX(ROW(E$1:E1884)*(E2=E$1:E1884))))))</f>
        <v> </v>
      </c>
      <c r="K1885" s="25" t="str">
        <f>IF(OR(E1885="",E1885="!!!",F1885="NEW"),"",INDEX(J$1:J1884,SUMPRODUCT(MAX(ROW(E$1:E1884)*(E1885=E$1:E1884)))))</f>
        <v> </v>
      </c>
      <c r="L1885" s="26"/>
    </row>
    <row r="1886" spans="1:12">
      <c r="A1886" s="20" t="s">
        <v>21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 t="s">
        <v>1025</v>
      </c>
      <c r="E1887" s="21">
        <f>IF(D1887="?OLD","!!!","")</f>
        <v/>
      </c>
      <c r="F1887" s="22" t="str">
        <f>IF(OR(E1887="",E1887="!!!"),"",IF(NOT(ISNA(VLOOKUP(E1887,E$1:E1886,1,FALSE()))),"OLD",IF(AND(E1887&lt;&gt;"",E1887&lt;&gt;"!!!"),"NEW","")))</f>
        <v> </v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4" t="str">
        <f>IF(J1887&lt;&gt;1,"",IF(I1887="SBJ","CB","?"))</f>
        <v> </v>
      </c>
      <c r="I1887" s="25" t="str">
        <f>IF(OR(E1887="",E1887="!!!",F1887="NEW"),"",INDEX(B1886:B$2,-1+SUMPRODUCT(MAX(ROW(E1886:E$2)*(E1887=E1886:E$2)))))</f>
        <v> </v>
      </c>
      <c r="J1887" s="25" t="str">
        <f>IF(OR(E1887="",E1887="!!!",F1887="NEW"),"",COUNTBLANK(OFFSET(A$1,,,SUMPRODUCT(MAX(ROW(E$2:E1887)*(E1887=E$2:E1887)))))-COUNTBLANK(OFFSET(A$1,,,SUMPRODUCT(MAX(ROW(E$1:E1886)*(E2=E$1:E1886))))))</f>
        <v> </v>
      </c>
      <c r="K1887" s="25" t="str">
        <f>IF(OR(E1887="",E1887="!!!",F1887="NEW"),"",INDEX(J$1:J1886,SUMPRODUCT(MAX(ROW(E$1:E1886)*(E1887=E$1:E1886)))))</f>
        <v> </v>
      </c>
      <c r="L1887" s="26"/>
    </row>
    <row r="1888" spans="1:12">
      <c r="A1888" s="20" t="s">
        <v>1734</v>
      </c>
      <c r="B1888" s="27" t="s">
        <v>1045</v>
      </c>
      <c r="C1888" s="27" t="s">
        <v>1015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1074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1735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1736</v>
      </c>
      <c r="B1891" s="27" t="s">
        <v>1069</v>
      </c>
      <c r="C1891" s="27" t="s">
        <v>1029</v>
      </c>
      <c r="D1891" s="27" t="s">
        <v>1030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1016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 t="s">
        <v>457</v>
      </c>
      <c r="B1893" s="27" t="s">
        <v>1066</v>
      </c>
      <c r="C1893" s="27" t="s">
        <v>1015</v>
      </c>
      <c r="E1893" s="21">
        <f>IF(D1893="?OLD","!!!","")</f>
        <v/>
      </c>
      <c r="F1893" s="22" t="str">
        <f>IF(OR(E1893="",E1893="!!!"),"",IF(NOT(ISNA(VLOOKUP(E1893,E$1:E1892,1,FALSE()))),"OLD",IF(AND(E1893&lt;&gt;"",E1893&lt;&gt;"!!!"),"NEW","")))</f>
        <v> </v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4" t="str">
        <f>IF(J1893&lt;&gt;1,"",IF(I1893="SBJ","CB","?"))</f>
        <v> </v>
      </c>
      <c r="I1893" s="25" t="str">
        <f>IF(OR(E1893="",E1893="!!!",F1893="NEW"),"",INDEX(B1892:B$2,-1+SUMPRODUCT(MAX(ROW(E1892:E$2)*(E1893=E1892:E$2)))))</f>
        <v> </v>
      </c>
      <c r="J1893" s="25" t="str">
        <f>IF(OR(E1893="",E1893="!!!",F1893="NEW"),"",COUNTBLANK(OFFSET(A$1,,,SUMPRODUCT(MAX(ROW(E$2:E1893)*(E1893=E$2:E1893)))))-COUNTBLANK(OFFSET(A$1,,,SUMPRODUCT(MAX(ROW(E$1:E1892)*(E2=E$1:E1892))))))</f>
        <v> </v>
      </c>
      <c r="K1893" s="25" t="str">
        <f>IF(OR(E1893="",E1893="!!!",F1893="NEW"),"",INDEX(J$1:J1892,SUMPRODUCT(MAX(ROW(E$1:E1892)*(E1893=E$1:E1892)))))</f>
        <v> </v>
      </c>
      <c r="L1893" s="26"/>
    </row>
    <row r="1894" spans="1:12">
      <c r="A1894" s="20" t="s">
        <v>1083</v>
      </c>
      <c r="E1894" s="21">
        <f>IF(D1894="?OLD","!!!","")</f>
        <v/>
      </c>
      <c r="F1894" s="22" t="str">
        <f>IF(OR(E1894="",E1894="!!!"),"",IF(NOT(ISNA(VLOOKUP(E1894,E$1:E1893,1,FALSE()))),"OLD",IF(AND(E1894&lt;&gt;"",E1894&lt;&gt;"!!!"),"NEW","")))</f>
        <v> </v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4" t="str">
        <f>IF(J1894&lt;&gt;1,"",IF(I1894="SBJ","CB","?"))</f>
        <v> </v>
      </c>
      <c r="I1894" s="25" t="str">
        <f>IF(OR(E1894="",E1894="!!!",F1894="NEW"),"",INDEX(B1893:B$2,-1+SUMPRODUCT(MAX(ROW(E1893:E$2)*(E1894=E1893:E$2)))))</f>
        <v> </v>
      </c>
      <c r="J1894" s="25" t="str">
        <f>IF(OR(E1894="",E1894="!!!",F1894="NEW"),"",COUNTBLANK(OFFSET(A$1,,,SUMPRODUCT(MAX(ROW(E$2:E1894)*(E1894=E$2:E1894)))))-COUNTBLANK(OFFSET(A$1,,,SUMPRODUCT(MAX(ROW(E$1:E1893)*(E2=E$1:E1893))))))</f>
        <v> </v>
      </c>
      <c r="K1894" s="25" t="str">
        <f>IF(OR(E1894="",E1894="!!!",F1894="NEW"),"",INDEX(J$1:J1893,SUMPRODUCT(MAX(ROW(E$1:E1893)*(E1894=E$1:E1893)))))</f>
        <v> </v>
      </c>
      <c r="L1894" s="26"/>
    </row>
    <row r="1895" spans="1:12">
      <c r="A1895" s="20" t="s">
        <v>1737</v>
      </c>
      <c r="B1895" s="27" t="s">
        <v>1103</v>
      </c>
      <c r="C1895" s="27" t="s">
        <v>1015</v>
      </c>
      <c r="E1895" s="21">
        <f>IF(D1895="?OLD","!!!","")</f>
        <v/>
      </c>
      <c r="F1895" s="22" t="str">
        <f>IF(OR(E1895="",E1895="!!!"),"",IF(NOT(ISNA(VLOOKUP(E1895,E$1:E1894,1,FALSE()))),"OLD",IF(AND(E1895&lt;&gt;"",E1895&lt;&gt;"!!!"),"NEW","")))</f>
        <v> </v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4" t="str">
        <f>IF(J1895&lt;&gt;1,"",IF(I1895="SBJ","CB","?"))</f>
        <v> </v>
      </c>
      <c r="I1895" s="25" t="str">
        <f>IF(OR(E1895="",E1895="!!!",F1895="NEW"),"",INDEX(B1894:B$2,-1+SUMPRODUCT(MAX(ROW(E1894:E$2)*(E1895=E1894:E$2)))))</f>
        <v> </v>
      </c>
      <c r="J1895" s="25" t="str">
        <f>IF(OR(E1895="",E1895="!!!",F1895="NEW"),"",COUNTBLANK(OFFSET(A$1,,,SUMPRODUCT(MAX(ROW(E$2:E1895)*(E1895=E$2:E1895)))))-COUNTBLANK(OFFSET(A$1,,,SUMPRODUCT(MAX(ROW(E$1:E1894)*(E2=E$1:E1894))))))</f>
        <v> </v>
      </c>
      <c r="K1895" s="25" t="str">
        <f>IF(OR(E1895="",E1895="!!!",F1895="NEW"),"",INDEX(J$1:J1894,SUMPRODUCT(MAX(ROW(E$1:E1894)*(E1895=E$1:E1894)))))</f>
        <v> </v>
      </c>
      <c r="L1895" s="26"/>
    </row>
    <row r="1896" spans="1:12">
      <c r="A1896" s="20" t="s">
        <v>1337</v>
      </c>
      <c r="E1896" s="21">
        <f>IF(D1896="?OLD","!!!","")</f>
        <v/>
      </c>
      <c r="F1896" s="22" t="str">
        <f>IF(OR(E1896="",E1896="!!!"),"",IF(NOT(ISNA(VLOOKUP(E1896,E$1:E1895,1,FALSE()))),"OLD",IF(AND(E1896&lt;&gt;"",E1896&lt;&gt;"!!!"),"NEW","")))</f>
        <v> </v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4" t="str">
        <f>IF(J1896&lt;&gt;1,"",IF(I1896="SBJ","CB","?"))</f>
        <v> </v>
      </c>
      <c r="I1896" s="25" t="str">
        <f>IF(OR(E1896="",E1896="!!!",F1896="NEW"),"",INDEX(B1895:B$2,-1+SUMPRODUCT(MAX(ROW(E1895:E$2)*(E1896=E1895:E$2)))))</f>
        <v> </v>
      </c>
      <c r="J1896" s="25" t="str">
        <f>IF(OR(E1896="",E1896="!!!",F1896="NEW"),"",COUNTBLANK(OFFSET(A$1,,,SUMPRODUCT(MAX(ROW(E$2:E1896)*(E1896=E$2:E1896)))))-COUNTBLANK(OFFSET(A$1,,,SUMPRODUCT(MAX(ROW(E$1:E1895)*(E2=E$1:E1895))))))</f>
        <v> </v>
      </c>
      <c r="K1896" s="25" t="str">
        <f>IF(OR(E1896="",E1896="!!!",F1896="NEW"),"",INDEX(J$1:J1895,SUMPRODUCT(MAX(ROW(E$1:E1895)*(E1896=E$1:E1895)))))</f>
        <v> </v>
      </c>
      <c r="L1896" s="26"/>
    </row>
    <row r="1897" spans="1:12">
      <c r="A1897" s="20" t="s">
        <v>1738</v>
      </c>
      <c r="B1897" s="27" t="s">
        <v>1079</v>
      </c>
      <c r="C1897" s="27" t="s">
        <v>1015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1161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1739</v>
      </c>
      <c r="B1899" s="27" t="s">
        <v>1079</v>
      </c>
      <c r="C1899" s="27" t="s">
        <v>1033</v>
      </c>
      <c r="D1899" s="27" t="s">
        <v>1030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1099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 t="s">
        <v>1740</v>
      </c>
      <c r="B1901" s="27" t="s">
        <v>1066</v>
      </c>
      <c r="C1901" s="27" t="s">
        <v>1033</v>
      </c>
      <c r="D1901" s="27" t="s">
        <v>1030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1741</v>
      </c>
      <c r="B1902" s="27" t="s">
        <v>1103</v>
      </c>
      <c r="C1902" s="27" t="s">
        <v>1033</v>
      </c>
      <c r="D1902" s="27" t="s">
        <v>1030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1742</v>
      </c>
      <c r="B1903" s="27" t="s">
        <v>1103</v>
      </c>
      <c r="C1903" s="27" t="s">
        <v>1033</v>
      </c>
      <c r="D1903" s="27" t="s">
        <v>1030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 t="s">
        <v>135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/>
    </row>
    <row r="1906" spans="1:12">
      <c r="A1906" s="20" t="s">
        <v>1743</v>
      </c>
    </row>
    <row r="1907" spans="1:12">
      <c r="A1907" s="20" t="s">
        <v>1062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1123</v>
      </c>
      <c r="B1908" s="27" t="s">
        <v>1014</v>
      </c>
      <c r="C1908" s="27" t="s">
        <v>1050</v>
      </c>
      <c r="D1908" s="27" t="s">
        <v>1030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1733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12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505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1057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1744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1111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1670</v>
      </c>
      <c r="B1915" s="27" t="s">
        <v>1069</v>
      </c>
      <c r="C1915" s="27" t="s">
        <v>1029</v>
      </c>
      <c r="D1915" s="27" t="s">
        <v>1030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1635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 t="s">
        <v>1745</v>
      </c>
      <c r="B1917" s="27" t="s">
        <v>1066</v>
      </c>
      <c r="C1917" s="27" t="s">
        <v>1015</v>
      </c>
      <c r="E1917" s="21">
        <f>IF(D1917="?OLD","!!!","")</f>
        <v/>
      </c>
      <c r="F1917" s="22" t="str">
        <f>IF(OR(E1917="",E1917="!!!"),"",IF(NOT(ISNA(VLOOKUP(E1917,E$1:E1916,1,FALSE()))),"OLD",IF(AND(E1917&lt;&gt;"",E1917&lt;&gt;"!!!"),"NEW","")))</f>
        <v> </v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4" t="str">
        <f>IF(J1917&lt;&gt;1,"",IF(I1917="SBJ","CB","?"))</f>
        <v> </v>
      </c>
      <c r="I1917" s="25" t="str">
        <f>IF(OR(E1917="",E1917="!!!",F1917="NEW"),"",INDEX(B1916:B$2,-1+SUMPRODUCT(MAX(ROW(E1916:E$2)*(E1917=E1916:E$2)))))</f>
        <v> </v>
      </c>
      <c r="J1917" s="25" t="str">
        <f>IF(OR(E1917="",E1917="!!!",F1917="NEW"),"",COUNTBLANK(OFFSET(A$1,,,SUMPRODUCT(MAX(ROW(E$2:E1917)*(E1917=E$2:E1917)))))-COUNTBLANK(OFFSET(A$1,,,SUMPRODUCT(MAX(ROW(E$1:E1916)*(E2=E$1:E1916))))))</f>
        <v> </v>
      </c>
      <c r="K1917" s="25" t="str">
        <f>IF(OR(E1917="",E1917="!!!",F1917="NEW"),"",INDEX(J$1:J1916,SUMPRODUCT(MAX(ROW(E$1:E1916)*(E1917=E$1:E1916)))))</f>
        <v> </v>
      </c>
      <c r="L1917" s="26"/>
    </row>
    <row r="1918" spans="1:12">
      <c r="A1918" s="20" t="s">
        <v>1083</v>
      </c>
      <c r="E1918" s="21">
        <f>IF(D1918="?OLD","!!!","")</f>
        <v/>
      </c>
      <c r="F1918" s="22" t="str">
        <f>IF(OR(E1918="",E1918="!!!"),"",IF(NOT(ISNA(VLOOKUP(E1918,E$1:E1917,1,FALSE()))),"OLD",IF(AND(E1918&lt;&gt;"",E1918&lt;&gt;"!!!"),"NEW","")))</f>
        <v> </v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4" t="str">
        <f>IF(J1918&lt;&gt;1,"",IF(I1918="SBJ","CB","?"))</f>
        <v> </v>
      </c>
      <c r="I1918" s="25" t="str">
        <f>IF(OR(E1918="",E1918="!!!",F1918="NEW"),"",INDEX(B1917:B$2,-1+SUMPRODUCT(MAX(ROW(E1917:E$2)*(E1918=E1917:E$2)))))</f>
        <v> </v>
      </c>
      <c r="J1918" s="25" t="str">
        <f>IF(OR(E1918="",E1918="!!!",F1918="NEW"),"",COUNTBLANK(OFFSET(A$1,,,SUMPRODUCT(MAX(ROW(E$2:E1918)*(E1918=E$2:E1918)))))-COUNTBLANK(OFFSET(A$1,,,SUMPRODUCT(MAX(ROW(E$1:E1917)*(E2=E$1:E1917))))))</f>
        <v> </v>
      </c>
      <c r="K1918" s="25" t="str">
        <f>IF(OR(E1918="",E1918="!!!",F1918="NEW"),"",INDEX(J$1:J1917,SUMPRODUCT(MAX(ROW(E$1:E1917)*(E1918=E$1:E1917)))))</f>
        <v> </v>
      </c>
      <c r="L1918" s="26"/>
    </row>
    <row r="1919" spans="1:12">
      <c r="A1919" s="20" t="s">
        <v>1666</v>
      </c>
      <c r="B1919" s="27" t="s">
        <v>1103</v>
      </c>
      <c r="C1919" s="27" t="s">
        <v>1015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135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/>
    </row>
    <row r="1922" spans="1:12">
      <c r="A1922" s="20" t="s">
        <v>1746</v>
      </c>
    </row>
    <row r="1923" spans="1:12">
      <c r="A1923" s="20" t="s">
        <v>1088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1744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1094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1517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1747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1274</v>
      </c>
      <c r="B1928" s="27" t="s">
        <v>1098</v>
      </c>
      <c r="C1928" s="27" t="s">
        <v>1046</v>
      </c>
      <c r="D1928" s="27" t="s">
        <v>1030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1748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1663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 t="s">
        <v>1022</v>
      </c>
      <c r="E1931" s="21">
        <f>IF(D1931="?OLD","!!!","")</f>
        <v/>
      </c>
      <c r="F1931" s="22" t="str">
        <f>IF(OR(E1931="",E1931="!!!"),"",IF(NOT(ISNA(VLOOKUP(E1931,E$1:E1930,1,FALSE()))),"OLD",IF(AND(E1931&lt;&gt;"",E1931&lt;&gt;"!!!"),"NEW","")))</f>
        <v> </v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4" t="str">
        <f>IF(J1931&lt;&gt;1,"",IF(I1931="SBJ","CB","?"))</f>
        <v> </v>
      </c>
      <c r="I1931" s="25" t="str">
        <f>IF(OR(E1931="",E1931="!!!",F1931="NEW"),"",INDEX(B1930:B$2,-1+SUMPRODUCT(MAX(ROW(E1930:E$2)*(E1931=E1930:E$2)))))</f>
        <v> </v>
      </c>
      <c r="J1931" s="25" t="str">
        <f>IF(OR(E1931="",E1931="!!!",F1931="NEW"),"",COUNTBLANK(OFFSET(A$1,,,SUMPRODUCT(MAX(ROW(E$2:E1931)*(E1931=E$2:E1931)))))-COUNTBLANK(OFFSET(A$1,,,SUMPRODUCT(MAX(ROW(E$1:E1930)*(E2=E$1:E1930))))))</f>
        <v> </v>
      </c>
      <c r="K1931" s="25" t="str">
        <f>IF(OR(E1931="",E1931="!!!",F1931="NEW"),"",INDEX(J$1:J1930,SUMPRODUCT(MAX(ROW(E$1:E1930)*(E1931=E$1:E1930)))))</f>
        <v> </v>
      </c>
      <c r="L1931" s="26"/>
    </row>
    <row r="1932" spans="1:12">
      <c r="A1932" s="20" t="s">
        <v>1429</v>
      </c>
      <c r="E1932" s="21">
        <f>IF(D1932="?OLD","!!!","")</f>
        <v/>
      </c>
      <c r="F1932" s="22" t="str">
        <f>IF(OR(E1932="",E1932="!!!"),"",IF(NOT(ISNA(VLOOKUP(E1932,E$1:E1931,1,FALSE()))),"OLD",IF(AND(E1932&lt;&gt;"",E1932&lt;&gt;"!!!"),"NEW","")))</f>
        <v> </v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4" t="str">
        <f>IF(J1932&lt;&gt;1,"",IF(I1932="SBJ","CB","?"))</f>
        <v> </v>
      </c>
      <c r="I1932" s="25" t="str">
        <f>IF(OR(E1932="",E1932="!!!",F1932="NEW"),"",INDEX(B1931:B$2,-1+SUMPRODUCT(MAX(ROW(E1931:E$2)*(E1932=E1931:E$2)))))</f>
        <v> </v>
      </c>
      <c r="J1932" s="25" t="str">
        <f>IF(OR(E1932="",E1932="!!!",F1932="NEW"),"",COUNTBLANK(OFFSET(A$1,,,SUMPRODUCT(MAX(ROW(E$2:E1932)*(E1932=E$2:E1932)))))-COUNTBLANK(OFFSET(A$1,,,SUMPRODUCT(MAX(ROW(E$1:E1931)*(E2=E$1:E1931))))))</f>
        <v> </v>
      </c>
      <c r="K1932" s="25" t="str">
        <f>IF(OR(E1932="",E1932="!!!",F1932="NEW"),"",INDEX(J$1:J1931,SUMPRODUCT(MAX(ROW(E$1:E1931)*(E1932=E$1:E1931)))))</f>
        <v> </v>
      </c>
      <c r="L1932" s="26"/>
    </row>
    <row r="1933" spans="1:12">
      <c r="A1933" s="20" t="s">
        <v>1057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1123</v>
      </c>
      <c r="B1934" s="27" t="s">
        <v>1045</v>
      </c>
      <c r="C1934" s="27" t="s">
        <v>1050</v>
      </c>
      <c r="D1934" s="27" t="s">
        <v>1030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1266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 t="s">
        <v>1749</v>
      </c>
      <c r="E1936" s="21">
        <f>IF(D1936="?OLD","!!!","")</f>
        <v/>
      </c>
      <c r="F1936" s="22" t="str">
        <f>IF(OR(E1936="",E1936="!!!"),"",IF(NOT(ISNA(VLOOKUP(E1936,E$1:E1935,1,FALSE()))),"OLD",IF(AND(E1936&lt;&gt;"",E1936&lt;&gt;"!!!"),"NEW","")))</f>
        <v> </v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4" t="str">
        <f>IF(J1936&lt;&gt;1,"",IF(I1936="SBJ","CB","?"))</f>
        <v> </v>
      </c>
      <c r="I1936" s="25" t="str">
        <f>IF(OR(E1936="",E1936="!!!",F1936="NEW"),"",INDEX(B1935:B$2,-1+SUMPRODUCT(MAX(ROW(E1935:E$2)*(E1936=E1935:E$2)))))</f>
        <v> </v>
      </c>
      <c r="J1936" s="25" t="str">
        <f>IF(OR(E1936="",E1936="!!!",F1936="NEW"),"",COUNTBLANK(OFFSET(A$1,,,SUMPRODUCT(MAX(ROW(E$2:E1936)*(E1936=E$2:E1936)))))-COUNTBLANK(OFFSET(A$1,,,SUMPRODUCT(MAX(ROW(E$1:E1935)*(E2=E$1:E1935))))))</f>
        <v> </v>
      </c>
      <c r="K1936" s="25" t="str">
        <f>IF(OR(E1936="",E1936="!!!",F1936="NEW"),"",INDEX(J$1:J1935,SUMPRODUCT(MAX(ROW(E$1:E1935)*(E1936=E$1:E1935)))))</f>
        <v> </v>
      </c>
      <c r="L1936" s="26"/>
    </row>
    <row r="1937" spans="1:12">
      <c r="A1937" s="20" t="s">
        <v>1159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135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/>
    </row>
    <row r="1940" spans="1:12">
      <c r="A1940" s="20" t="s">
        <v>1750</v>
      </c>
    </row>
    <row r="1941" spans="1:12">
      <c r="A1941" s="20" t="s">
        <v>1751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 t="s">
        <v>1034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 t="s">
        <v>1752</v>
      </c>
      <c r="B1943" s="27" t="s">
        <v>1045</v>
      </c>
      <c r="C1943" s="27" t="s">
        <v>1042</v>
      </c>
      <c r="E1943" s="21">
        <f>IF(D1943="?OLD","!!!","")</f>
        <v/>
      </c>
      <c r="F1943" s="22" t="str">
        <f>IF(OR(E1943="",E1943="!!!"),"",IF(NOT(ISNA(VLOOKUP(E1943,E$1:E1942,1,FALSE()))),"OLD",IF(AND(E1943&lt;&gt;"",E1943&lt;&gt;"!!!"),"NEW","")))</f>
        <v> </v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4" t="str">
        <f>IF(J1943&lt;&gt;1,"",IF(I1943="SBJ","CB","?"))</f>
        <v> </v>
      </c>
      <c r="I1943" s="25" t="str">
        <f>IF(OR(E1943="",E1943="!!!",F1943="NEW"),"",INDEX(B1942:B$2,-1+SUMPRODUCT(MAX(ROW(E1942:E$2)*(E1943=E1942:E$2)))))</f>
        <v> </v>
      </c>
      <c r="J1943" s="25" t="str">
        <f>IF(OR(E1943="",E1943="!!!",F1943="NEW"),"",COUNTBLANK(OFFSET(A$1,,,SUMPRODUCT(MAX(ROW(E$2:E1943)*(E1943=E$2:E1943)))))-COUNTBLANK(OFFSET(A$1,,,SUMPRODUCT(MAX(ROW(E$1:E1942)*(E2=E$1:E1942))))))</f>
        <v> </v>
      </c>
      <c r="K1943" s="25" t="str">
        <f>IF(OR(E1943="",E1943="!!!",F1943="NEW"),"",INDEX(J$1:J1942,SUMPRODUCT(MAX(ROW(E$1:E1942)*(E1943=E$1:E1942)))))</f>
        <v> </v>
      </c>
      <c r="L1943" s="26"/>
    </row>
    <row r="1944" spans="1:12">
      <c r="A1944" s="20" t="s">
        <v>1094</v>
      </c>
      <c r="B1944" s="27" t="s">
        <v>1098</v>
      </c>
      <c r="E1944" s="21">
        <f>IF(D1944="?OLD","!!!","")</f>
        <v/>
      </c>
      <c r="F1944" s="22" t="str">
        <f>IF(OR(E1944="",E1944="!!!"),"",IF(NOT(ISNA(VLOOKUP(E1944,E$1:E1943,1,FALSE()))),"OLD",IF(AND(E1944&lt;&gt;"",E1944&lt;&gt;"!!!"),"NEW","")))</f>
        <v> </v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4" t="str">
        <f>IF(J1944&lt;&gt;1,"",IF(I1944="SBJ","CB","?"))</f>
        <v> </v>
      </c>
      <c r="I1944" s="25" t="str">
        <f>IF(OR(E1944="",E1944="!!!",F1944="NEW"),"",INDEX(B1943:B$2,-1+SUMPRODUCT(MAX(ROW(E1943:E$2)*(E1944=E1943:E$2)))))</f>
        <v> </v>
      </c>
      <c r="J1944" s="25" t="str">
        <f>IF(OR(E1944="",E1944="!!!",F1944="NEW"),"",COUNTBLANK(OFFSET(A$1,,,SUMPRODUCT(MAX(ROW(E$2:E1944)*(E1944=E$2:E1944)))))-COUNTBLANK(OFFSET(A$1,,,SUMPRODUCT(MAX(ROW(E$1:E1943)*(E2=E$1:E1943))))))</f>
        <v> </v>
      </c>
      <c r="K1944" s="25" t="str">
        <f>IF(OR(E1944="",E1944="!!!",F1944="NEW"),"",INDEX(J$1:J1943,SUMPRODUCT(MAX(ROW(E$1:E1943)*(E1944=E$1:E1943)))))</f>
        <v> </v>
      </c>
      <c r="L1944" s="26"/>
    </row>
    <row r="1945" spans="1:12">
      <c r="A1945" s="20" t="s">
        <v>1545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1753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1022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1083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1545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1754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1123</v>
      </c>
      <c r="B1951" s="27" t="s">
        <v>1069</v>
      </c>
      <c r="C1951" s="27" t="s">
        <v>1050</v>
      </c>
      <c r="D1951" s="27" t="s">
        <v>1030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1025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 t="s">
        <v>1331</v>
      </c>
      <c r="B1953" s="27" t="s">
        <v>1079</v>
      </c>
      <c r="C1953" s="27" t="s">
        <v>1015</v>
      </c>
      <c r="E1953" s="21">
        <f>IF(D1953="?OLD","!!!","")</f>
        <v/>
      </c>
      <c r="F1953" s="22" t="str">
        <f>IF(OR(E1953="",E1953="!!!"),"",IF(NOT(ISNA(VLOOKUP(E1953,E$1:E1952,1,FALSE()))),"OLD",IF(AND(E1953&lt;&gt;"",E1953&lt;&gt;"!!!"),"NEW","")))</f>
        <v> </v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4" t="str">
        <f>IF(J1953&lt;&gt;1,"",IF(I1953="SBJ","CB","?"))</f>
        <v> </v>
      </c>
      <c r="I1953" s="25" t="str">
        <f>IF(OR(E1953="",E1953="!!!",F1953="NEW"),"",INDEX(B1952:B$2,-1+SUMPRODUCT(MAX(ROW(E1952:E$2)*(E1953=E1952:E$2)))))</f>
        <v> </v>
      </c>
      <c r="J1953" s="25" t="str">
        <f>IF(OR(E1953="",E1953="!!!",F1953="NEW"),"",COUNTBLANK(OFFSET(A$1,,,SUMPRODUCT(MAX(ROW(E$2:E1953)*(E1953=E$2:E1953)))))-COUNTBLANK(OFFSET(A$1,,,SUMPRODUCT(MAX(ROW(E$1:E1952)*(E2=E$1:E1952))))))</f>
        <v> </v>
      </c>
      <c r="K1953" s="25" t="str">
        <f>IF(OR(E1953="",E1953="!!!",F1953="NEW"),"",INDEX(J$1:J1952,SUMPRODUCT(MAX(ROW(E$1:E1952)*(E1953=E$1:E1952)))))</f>
        <v> </v>
      </c>
      <c r="L1953" s="26"/>
    </row>
    <row r="1954" spans="1:12">
      <c r="A1954" s="20" t="s">
        <v>135</v>
      </c>
      <c r="E1954" s="21">
        <f>IF(D1954="?OLD","!!!","")</f>
        <v/>
      </c>
      <c r="F1954" s="22" t="str">
        <f>IF(OR(E1954="",E1954="!!!"),"",IF(NOT(ISNA(VLOOKUP(E1954,E$1:E1953,1,FALSE()))),"OLD",IF(AND(E1954&lt;&gt;"",E1954&lt;&gt;"!!!"),"NEW","")))</f>
        <v> </v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4" t="str">
        <f>IF(J1954&lt;&gt;1,"",IF(I1954="SBJ","CB","?"))</f>
        <v> </v>
      </c>
      <c r="I1954" s="25" t="str">
        <f>IF(OR(E1954="",E1954="!!!",F1954="NEW"),"",INDEX(B1953:B$2,-1+SUMPRODUCT(MAX(ROW(E1953:E$2)*(E1954=E1953:E$2)))))</f>
        <v> </v>
      </c>
      <c r="J1954" s="25" t="str">
        <f>IF(OR(E1954="",E1954="!!!",F1954="NEW"),"",COUNTBLANK(OFFSET(A$1,,,SUMPRODUCT(MAX(ROW(E$2:E1954)*(E1954=E$2:E1954)))))-COUNTBLANK(OFFSET(A$1,,,SUMPRODUCT(MAX(ROW(E$1:E1953)*(E2=E$1:E1953))))))</f>
        <v> </v>
      </c>
      <c r="K1954" s="25" t="str">
        <f>IF(OR(E1954="",E1954="!!!",F1954="NEW"),"",INDEX(J$1:J1953,SUMPRODUCT(MAX(ROW(E$1:E1953)*(E1954=E$1:E1953)))))</f>
        <v> </v>
      </c>
      <c r="L1954" s="26"/>
    </row>
    <row r="1955" spans="1:12">
      <c r="A1955" s="20"/>
    </row>
    <row r="1956" spans="1:12">
      <c r="A1956" s="20" t="s">
        <v>1755</v>
      </c>
    </row>
    <row r="1957" spans="1:12">
      <c r="A1957" s="20" t="s">
        <v>1756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465</v>
      </c>
      <c r="B1958" s="27" t="s">
        <v>1041</v>
      </c>
      <c r="C1958" s="27" t="s">
        <v>1046</v>
      </c>
      <c r="D1958" s="27" t="s">
        <v>1030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1034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1143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1160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1757</v>
      </c>
      <c r="B1962" s="27" t="s">
        <v>1045</v>
      </c>
      <c r="C1962" s="27" t="s">
        <v>1021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1022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1758</v>
      </c>
      <c r="B1964" s="27" t="s">
        <v>1045</v>
      </c>
      <c r="C1964" s="27" t="s">
        <v>1033</v>
      </c>
      <c r="D1964" s="27" t="s">
        <v>1030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1759</v>
      </c>
      <c r="B1965" s="27" t="s">
        <v>1079</v>
      </c>
      <c r="C1965" s="27" t="s">
        <v>1033</v>
      </c>
      <c r="D1965" s="27" t="s">
        <v>1030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135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/>
    </row>
    <row r="1968" spans="1:12">
      <c r="A1968" s="20" t="s">
        <v>1760</v>
      </c>
    </row>
    <row r="1969" spans="1:12">
      <c r="A1969" s="20" t="s">
        <v>1224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1761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1071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 t="s">
        <v>1282</v>
      </c>
      <c r="B1972" s="27" t="s">
        <v>1014</v>
      </c>
      <c r="C1972" s="27" t="s">
        <v>1038</v>
      </c>
      <c r="D1972" s="27" t="s">
        <v>1030</v>
      </c>
      <c r="E1972" s="21">
        <f>IF(D1972="?OLD","!!!","")</f>
        <v/>
      </c>
      <c r="F1972" s="22" t="str">
        <f>IF(OR(E1972="",E1972="!!!"),"",IF(NOT(ISNA(VLOOKUP(E1972,E$1:E1971,1,FALSE()))),"OLD",IF(AND(E1972&lt;&gt;"",E1972&lt;&gt;"!!!"),"NEW","")))</f>
        <v> </v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4" t="str">
        <f>IF(J1972&lt;&gt;1,"",IF(I1972="SBJ","CB","?"))</f>
        <v> </v>
      </c>
      <c r="I1972" s="25" t="str">
        <f>IF(OR(E1972="",E1972="!!!",F1972="NEW"),"",INDEX(B1971:B$2,-1+SUMPRODUCT(MAX(ROW(E1971:E$2)*(E1972=E1971:E$2)))))</f>
        <v> </v>
      </c>
      <c r="J1972" s="25" t="str">
        <f>IF(OR(E1972="",E1972="!!!",F1972="NEW"),"",COUNTBLANK(OFFSET(A$1,,,SUMPRODUCT(MAX(ROW(E$2:E1972)*(E1972=E$2:E1972)))))-COUNTBLANK(OFFSET(A$1,,,SUMPRODUCT(MAX(ROW(E$1:E1971)*(E2=E$1:E1971))))))</f>
        <v> </v>
      </c>
      <c r="K1972" s="25" t="str">
        <f>IF(OR(E1972="",E1972="!!!",F1972="NEW"),"",INDEX(J$1:J1971,SUMPRODUCT(MAX(ROW(E$1:E1971)*(E1972=E$1:E1971)))))</f>
        <v> </v>
      </c>
      <c r="L1972" s="26"/>
    </row>
    <row r="1973" spans="1:12">
      <c r="A1973" s="20" t="s">
        <v>1337</v>
      </c>
      <c r="E1973" s="21">
        <f>IF(D1973="?OLD","!!!","")</f>
        <v/>
      </c>
      <c r="F1973" s="22" t="str">
        <f>IF(OR(E1973="",E1973="!!!"),"",IF(NOT(ISNA(VLOOKUP(E1973,E$1:E1972,1,FALSE()))),"OLD",IF(AND(E1973&lt;&gt;"",E1973&lt;&gt;"!!!"),"NEW","")))</f>
        <v> </v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4" t="str">
        <f>IF(J1973&lt;&gt;1,"",IF(I1973="SBJ","CB","?"))</f>
        <v> </v>
      </c>
      <c r="I1973" s="25" t="str">
        <f>IF(OR(E1973="",E1973="!!!",F1973="NEW"),"",INDEX(B1972:B$2,-1+SUMPRODUCT(MAX(ROW(E1972:E$2)*(E1973=E1972:E$2)))))</f>
        <v> </v>
      </c>
      <c r="J1973" s="25" t="str">
        <f>IF(OR(E1973="",E1973="!!!",F1973="NEW"),"",COUNTBLANK(OFFSET(A$1,,,SUMPRODUCT(MAX(ROW(E$2:E1973)*(E1973=E$2:E1973)))))-COUNTBLANK(OFFSET(A$1,,,SUMPRODUCT(MAX(ROW(E$1:E1972)*(E2=E$1:E1972))))))</f>
        <v> </v>
      </c>
      <c r="K1973" s="25" t="str">
        <f>IF(OR(E1973="",E1973="!!!",F1973="NEW"),"",INDEX(J$1:J1972,SUMPRODUCT(MAX(ROW(E$1:E1972)*(E1973=E$1:E1972)))))</f>
        <v> </v>
      </c>
      <c r="L1973" s="26"/>
    </row>
    <row r="1974" spans="1:12">
      <c r="A1974" s="20" t="s">
        <v>192</v>
      </c>
      <c r="B1974" s="27" t="s">
        <v>1045</v>
      </c>
      <c r="C1974" s="27" t="s">
        <v>1042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1016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 t="s">
        <v>1075</v>
      </c>
      <c r="E1976" s="21">
        <f>IF(D1976="?OLD","!!!","")</f>
        <v/>
      </c>
      <c r="F1976" s="22" t="str">
        <f>IF(OR(E1976="",E1976="!!!"),"",IF(NOT(ISNA(VLOOKUP(E1976,E$1:E1975,1,FALSE()))),"OLD",IF(AND(E1976&lt;&gt;"",E1976&lt;&gt;"!!!"),"NEW","")))</f>
        <v> </v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4" t="str">
        <f>IF(J1976&lt;&gt;1,"",IF(I1976="SBJ","CB","?"))</f>
        <v> </v>
      </c>
      <c r="I1976" s="25" t="str">
        <f>IF(OR(E1976="",E1976="!!!",F1976="NEW"),"",INDEX(B1975:B$2,-1+SUMPRODUCT(MAX(ROW(E1975:E$2)*(E1976=E1975:E$2)))))</f>
        <v> </v>
      </c>
      <c r="J1976" s="25" t="str">
        <f>IF(OR(E1976="",E1976="!!!",F1976="NEW"),"",COUNTBLANK(OFFSET(A$1,,,SUMPRODUCT(MAX(ROW(E$2:E1976)*(E1976=E$2:E1976)))))-COUNTBLANK(OFFSET(A$1,,,SUMPRODUCT(MAX(ROW(E$1:E1975)*(E2=E$1:E1975))))))</f>
        <v> </v>
      </c>
      <c r="K1976" s="25" t="str">
        <f>IF(OR(E1976="",E1976="!!!",F1976="NEW"),"",INDEX(J$1:J1975,SUMPRODUCT(MAX(ROW(E$1:E1975)*(E1976=E$1:E1975)))))</f>
        <v> </v>
      </c>
      <c r="L1976" s="26"/>
    </row>
    <row r="1977" spans="1:12">
      <c r="A1977" s="20" t="s">
        <v>1762</v>
      </c>
      <c r="B1977" s="27" t="s">
        <v>1066</v>
      </c>
      <c r="C1977" s="27" t="s">
        <v>1077</v>
      </c>
      <c r="D1977" s="27" t="s">
        <v>1030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 t="s">
        <v>1763</v>
      </c>
      <c r="B1978" s="27" t="s">
        <v>1079</v>
      </c>
      <c r="C1978" s="27" t="s">
        <v>1038</v>
      </c>
      <c r="D1978" s="27" t="s">
        <v>1030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1764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135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/>
    </row>
    <row r="1982" spans="1:12">
      <c r="A1982" s="20" t="s">
        <v>1765</v>
      </c>
    </row>
    <row r="1983" spans="1:12">
      <c r="A1983" s="20" t="s">
        <v>1766</v>
      </c>
      <c r="E1983" s="21">
        <f>IF(D1983="?OLD","!!!","")</f>
        <v/>
      </c>
      <c r="F1983" s="22" t="str">
        <f>IF(OR(E1983="",E1983="!!!"),"",IF(NOT(ISNA(VLOOKUP(E1983,E$1:E1982,1,FALSE()))),"OLD",IF(AND(E1983&lt;&gt;"",E1983&lt;&gt;"!!!"),"NEW","")))</f>
        <v> </v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4" t="str">
        <f>IF(J1983&lt;&gt;1,"",IF(I1983="SBJ","CB","?"))</f>
        <v> </v>
      </c>
      <c r="I1983" s="25" t="str">
        <f>IF(OR(E1983="",E1983="!!!",F1983="NEW"),"",INDEX(B1982:B$2,-1+SUMPRODUCT(MAX(ROW(E1982:E$2)*(E1983=E1982:E$2)))))</f>
        <v> </v>
      </c>
      <c r="J1983" s="25" t="str">
        <f>IF(OR(E1983="",E1983="!!!",F1983="NEW"),"",COUNTBLANK(OFFSET(A$1,,,SUMPRODUCT(MAX(ROW(E$2:E1983)*(E1983=E$2:E1983)))))-COUNTBLANK(OFFSET(A$1,,,SUMPRODUCT(MAX(ROW(E$1:E1982)*(E2=E$1:E1982))))))</f>
        <v> </v>
      </c>
      <c r="K1983" s="25" t="str">
        <f>IF(OR(E1983="",E1983="!!!",F1983="NEW"),"",INDEX(J$1:J1982,SUMPRODUCT(MAX(ROW(E$1:E1982)*(E1983=E$1:E1982)))))</f>
        <v> </v>
      </c>
      <c r="L1983" s="26"/>
    </row>
    <row r="1984" spans="1:12">
      <c r="A1984" s="20" t="s">
        <v>457</v>
      </c>
      <c r="B1984" s="27" t="s">
        <v>1045</v>
      </c>
      <c r="C1984" s="27" t="s">
        <v>1070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1022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1228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1767</v>
      </c>
      <c r="B1987" s="27" t="s">
        <v>1045</v>
      </c>
      <c r="C1987" s="27" t="s">
        <v>1070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/>
    </row>
    <row r="1989" spans="1:12">
      <c r="A1989" s="20" t="s">
        <v>1768</v>
      </c>
    </row>
    <row r="1990" spans="1:12">
      <c r="A1990" s="20" t="s">
        <v>1111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461</v>
      </c>
      <c r="B1991" s="27" t="s">
        <v>1045</v>
      </c>
      <c r="C1991" s="27" t="s">
        <v>1038</v>
      </c>
      <c r="D1991" s="27" t="s">
        <v>1030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1022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1769</v>
      </c>
      <c r="B1993" s="27" t="s">
        <v>1045</v>
      </c>
      <c r="C1993" s="27" t="s">
        <v>1015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1770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135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/>
    </row>
    <row r="1997" spans="1:12">
      <c r="A1997" s="20" t="s">
        <v>1771</v>
      </c>
    </row>
    <row r="1998" spans="1:12">
      <c r="A1998" s="20" t="s">
        <v>1236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 t="s">
        <v>465</v>
      </c>
      <c r="B1999" s="27" t="s">
        <v>1045</v>
      </c>
      <c r="C1999" s="27" t="s">
        <v>1029</v>
      </c>
      <c r="D1999" s="27" t="s">
        <v>1030</v>
      </c>
      <c r="E1999" s="21">
        <f>IF(D1999="?OLD","!!!","")</f>
        <v/>
      </c>
      <c r="F1999" s="22" t="str">
        <f>IF(OR(E1999="",E1999="!!!"),"",IF(NOT(ISNA(VLOOKUP(E1999,E$1:E1998,1,FALSE()))),"OLD",IF(AND(E1999&lt;&gt;"",E1999&lt;&gt;"!!!"),"NEW","")))</f>
        <v> </v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4" t="str">
        <f>IF(J1999&lt;&gt;1,"",IF(I1999="SBJ","CB","?"))</f>
        <v> </v>
      </c>
      <c r="I1999" s="25" t="str">
        <f>IF(OR(E1999="",E1999="!!!",F1999="NEW"),"",INDEX(B1998:B$2,-1+SUMPRODUCT(MAX(ROW(E1998:E$2)*(E1999=E1998:E$2)))))</f>
        <v> </v>
      </c>
      <c r="J1999" s="25" t="str">
        <f>IF(OR(E1999="",E1999="!!!",F1999="NEW"),"",COUNTBLANK(OFFSET(A$1,,,SUMPRODUCT(MAX(ROW(E$2:E1999)*(E1999=E$2:E1999)))))-COUNTBLANK(OFFSET(A$1,,,SUMPRODUCT(MAX(ROW(E$1:E1998)*(E2=E$1:E1998))))))</f>
        <v> </v>
      </c>
      <c r="K1999" s="25" t="str">
        <f>IF(OR(E1999="",E1999="!!!",F1999="NEW"),"",INDEX(J$1:J1998,SUMPRODUCT(MAX(ROW(E$1:E1998)*(E1999=E$1:E1998)))))</f>
        <v> </v>
      </c>
      <c r="L1999" s="26"/>
    </row>
    <row r="2000" spans="1:12">
      <c r="A2000" s="20" t="s">
        <v>1074</v>
      </c>
      <c r="E2000" s="21">
        <f>IF(D2000="?OLD","!!!","")</f>
        <v/>
      </c>
      <c r="F2000" s="22" t="str">
        <f>IF(OR(E2000="",E2000="!!!"),"",IF(NOT(ISNA(VLOOKUP(E2000,E$1:E1999,1,FALSE()))),"OLD",IF(AND(E2000&lt;&gt;"",E2000&lt;&gt;"!!!"),"NEW","")))</f>
        <v> </v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4" t="str">
        <f>IF(J2000&lt;&gt;1,"",IF(I2000="SBJ","CB","?"))</f>
        <v> </v>
      </c>
      <c r="I2000" s="25" t="str">
        <f>IF(OR(E2000="",E2000="!!!",F2000="NEW"),"",INDEX(B1999:B$2,-1+SUMPRODUCT(MAX(ROW(E1999:E$2)*(E2000=E1999:E$2)))))</f>
        <v> </v>
      </c>
      <c r="J2000" s="25" t="str">
        <f>IF(OR(E2000="",E2000="!!!",F2000="NEW"),"",COUNTBLANK(OFFSET(A$1,,,SUMPRODUCT(MAX(ROW(E$2:E2000)*(E2000=E$2:E2000)))))-COUNTBLANK(OFFSET(A$1,,,SUMPRODUCT(MAX(ROW(E$1:E1999)*(E2=E$1:E1999))))))</f>
        <v> </v>
      </c>
      <c r="K2000" s="25" t="str">
        <f>IF(OR(E2000="",E2000="!!!",F2000="NEW"),"",INDEX(J$1:J1999,SUMPRODUCT(MAX(ROW(E$1:E1999)*(E2000=E$1:E1999)))))</f>
        <v> </v>
      </c>
      <c r="L2000" s="26"/>
    </row>
    <row r="2001" spans="1:12">
      <c r="A2001" s="20" t="s">
        <v>1036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1772</v>
      </c>
      <c r="B2002" s="27" t="s">
        <v>1045</v>
      </c>
      <c r="C2002" s="27" t="s">
        <v>1038</v>
      </c>
      <c r="D2002" s="27" t="s">
        <v>1030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1022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1057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1773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135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/>
    </row>
    <row r="2008" spans="1:12">
      <c r="A2008" s="20" t="s">
        <v>1774</v>
      </c>
    </row>
    <row r="2009" spans="1:12">
      <c r="A2009" s="20" t="s">
        <v>1775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 t="s">
        <v>1776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1777</v>
      </c>
      <c r="B2011" s="27" t="s">
        <v>1041</v>
      </c>
      <c r="C2011" s="27" t="s">
        <v>1033</v>
      </c>
      <c r="D2011" s="27" t="s">
        <v>1030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 t="s">
        <v>1778</v>
      </c>
      <c r="B2012" s="27" t="s">
        <v>1079</v>
      </c>
      <c r="C2012" s="27" t="s">
        <v>1033</v>
      </c>
      <c r="D2012" s="27" t="s">
        <v>1030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135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/>
    </row>
    <row r="2015" spans="1:12">
      <c r="A2015" s="20" t="s">
        <v>1779</v>
      </c>
    </row>
    <row r="2016" spans="1:12">
      <c r="A2016" s="20" t="s">
        <v>1224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1780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1781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 t="s">
        <v>1160</v>
      </c>
      <c r="E2019" s="21">
        <f>IF(D2019="?OLD","!!!","")</f>
        <v/>
      </c>
      <c r="F2019" s="22" t="str">
        <f>IF(OR(E2019="",E2019="!!!"),"",IF(NOT(ISNA(VLOOKUP(E2019,E$1:E2018,1,FALSE()))),"OLD",IF(AND(E2019&lt;&gt;"",E2019&lt;&gt;"!!!"),"NEW","")))</f>
        <v> </v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4" t="str">
        <f>IF(J2019&lt;&gt;1,"",IF(I2019="SBJ","CB","?"))</f>
        <v> </v>
      </c>
      <c r="I2019" s="25" t="str">
        <f>IF(OR(E2019="",E2019="!!!",F2019="NEW"),"",INDEX(B2018:B$2,-1+SUMPRODUCT(MAX(ROW(E2018:E$2)*(E2019=E2018:E$2)))))</f>
        <v> </v>
      </c>
      <c r="J2019" s="25" t="str">
        <f>IF(OR(E2019="",E2019="!!!",F2019="NEW"),"",COUNTBLANK(OFFSET(A$1,,,SUMPRODUCT(MAX(ROW(E$2:E2019)*(E2019=E$2:E2019)))))-COUNTBLANK(OFFSET(A$1,,,SUMPRODUCT(MAX(ROW(E$1:E2018)*(E2=E$1:E2018))))))</f>
        <v> </v>
      </c>
      <c r="K2019" s="25" t="str">
        <f>IF(OR(E2019="",E2019="!!!",F2019="NEW"),"",INDEX(J$1:J2018,SUMPRODUCT(MAX(ROW(E$1:E2018)*(E2019=E$1:E2018)))))</f>
        <v> </v>
      </c>
      <c r="L2019" s="26"/>
    </row>
    <row r="2020" spans="1:12">
      <c r="A2020" s="20" t="s">
        <v>1782</v>
      </c>
      <c r="B2020" s="27" t="s">
        <v>1014</v>
      </c>
      <c r="C2020" s="27" t="s">
        <v>1029</v>
      </c>
      <c r="D2020" s="27" t="s">
        <v>1030</v>
      </c>
      <c r="E2020" s="21">
        <f>IF(D2020="?OLD","!!!","")</f>
        <v/>
      </c>
      <c r="F2020" s="22" t="str">
        <f>IF(OR(E2020="",E2020="!!!"),"",IF(NOT(ISNA(VLOOKUP(E2020,E$1:E2019,1,FALSE()))),"OLD",IF(AND(E2020&lt;&gt;"",E2020&lt;&gt;"!!!"),"NEW","")))</f>
        <v> </v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4" t="str">
        <f>IF(J2020&lt;&gt;1,"",IF(I2020="SBJ","CB","?"))</f>
        <v> </v>
      </c>
      <c r="I2020" s="25" t="str">
        <f>IF(OR(E2020="",E2020="!!!",F2020="NEW"),"",INDEX(B2019:B$2,-1+SUMPRODUCT(MAX(ROW(E2019:E$2)*(E2020=E2019:E$2)))))</f>
        <v> </v>
      </c>
      <c r="J2020" s="25" t="str">
        <f>IF(OR(E2020="",E2020="!!!",F2020="NEW"),"",COUNTBLANK(OFFSET(A$1,,,SUMPRODUCT(MAX(ROW(E$2:E2020)*(E2020=E$2:E2020)))))-COUNTBLANK(OFFSET(A$1,,,SUMPRODUCT(MAX(ROW(E$1:E2019)*(E2=E$1:E2019))))))</f>
        <v> </v>
      </c>
      <c r="K2020" s="25" t="str">
        <f>IF(OR(E2020="",E2020="!!!",F2020="NEW"),"",INDEX(J$1:J2019,SUMPRODUCT(MAX(ROW(E$1:E2019)*(E2020=E$1:E2019)))))</f>
        <v> </v>
      </c>
      <c r="L2020" s="26"/>
    </row>
    <row r="2021" spans="1:12">
      <c r="A2021" s="20" t="s">
        <v>1637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1036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1783</v>
      </c>
      <c r="B2023" s="27" t="s">
        <v>1079</v>
      </c>
      <c r="C2023" s="27" t="s">
        <v>1038</v>
      </c>
      <c r="D2023" s="27" t="s">
        <v>1030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1784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1214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 t="s">
        <v>1785</v>
      </c>
      <c r="E2026" s="21">
        <f>IF(D2026="?OLD","!!!","")</f>
        <v/>
      </c>
      <c r="F2026" s="22" t="str">
        <f>IF(OR(E2026="",E2026="!!!"),"",IF(NOT(ISNA(VLOOKUP(E2026,E$1:E2025,1,FALSE()))),"OLD",IF(AND(E2026&lt;&gt;"",E2026&lt;&gt;"!!!"),"NEW","")))</f>
        <v> </v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4" t="str">
        <f>IF(J2026&lt;&gt;1,"",IF(I2026="SBJ","CB","?"))</f>
        <v> </v>
      </c>
      <c r="I2026" s="25" t="str">
        <f>IF(OR(E2026="",E2026="!!!",F2026="NEW"),"",INDEX(B2025:B$2,-1+SUMPRODUCT(MAX(ROW(E2025:E$2)*(E2026=E2025:E$2)))))</f>
        <v> </v>
      </c>
      <c r="J2026" s="25" t="str">
        <f>IF(OR(E2026="",E2026="!!!",F2026="NEW"),"",COUNTBLANK(OFFSET(A$1,,,SUMPRODUCT(MAX(ROW(E$2:E2026)*(E2026=E$2:E2026)))))-COUNTBLANK(OFFSET(A$1,,,SUMPRODUCT(MAX(ROW(E$1:E2025)*(E2=E$1:E2025))))))</f>
        <v> </v>
      </c>
      <c r="K2026" s="25" t="str">
        <f>IF(OR(E2026="",E2026="!!!",F2026="NEW"),"",INDEX(J$1:J2025,SUMPRODUCT(MAX(ROW(E$1:E2025)*(E2026=E$1:E2025)))))</f>
        <v> </v>
      </c>
      <c r="L2026" s="26"/>
    </row>
    <row r="2027" spans="1:12">
      <c r="A2027" s="20" t="s">
        <v>1185</v>
      </c>
      <c r="B2027" s="27" t="s">
        <v>1079</v>
      </c>
      <c r="C2027" s="27" t="s">
        <v>1015</v>
      </c>
      <c r="E2027" s="21">
        <f>IF(D2027="?OLD","!!!","")</f>
        <v/>
      </c>
      <c r="F2027" s="22" t="str">
        <f>IF(OR(E2027="",E2027="!!!"),"",IF(NOT(ISNA(VLOOKUP(E2027,E$1:E2026,1,FALSE()))),"OLD",IF(AND(E2027&lt;&gt;"",E2027&lt;&gt;"!!!"),"NEW","")))</f>
        <v> </v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4" t="str">
        <f>IF(J2027&lt;&gt;1,"",IF(I2027="SBJ","CB","?"))</f>
        <v> </v>
      </c>
      <c r="I2027" s="25" t="str">
        <f>IF(OR(E2027="",E2027="!!!",F2027="NEW"),"",INDEX(B2026:B$2,-1+SUMPRODUCT(MAX(ROW(E2026:E$2)*(E2027=E2026:E$2)))))</f>
        <v> </v>
      </c>
      <c r="J2027" s="25" t="str">
        <f>IF(OR(E2027="",E2027="!!!",F2027="NEW"),"",COUNTBLANK(OFFSET(A$1,,,SUMPRODUCT(MAX(ROW(E$2:E2027)*(E2027=E$2:E2027)))))-COUNTBLANK(OFFSET(A$1,,,SUMPRODUCT(MAX(ROW(E$1:E2026)*(E2=E$1:E2026))))))</f>
        <v> </v>
      </c>
      <c r="K2027" s="25" t="str">
        <f>IF(OR(E2027="",E2027="!!!",F2027="NEW"),"",INDEX(J$1:J2026,SUMPRODUCT(MAX(ROW(E$1:E2026)*(E2027=E$1:E2026)))))</f>
        <v> </v>
      </c>
      <c r="L2027" s="26"/>
    </row>
    <row r="2028" spans="1:12">
      <c r="A2028" s="20" t="s">
        <v>135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/>
    </row>
    <row r="2030" spans="1:12">
      <c r="A2030" s="20" t="s">
        <v>1786</v>
      </c>
    </row>
    <row r="2031" spans="1:12">
      <c r="A2031" s="20" t="s">
        <v>1224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 t="s">
        <v>1787</v>
      </c>
      <c r="E2032" s="21">
        <f>IF(D2032="?OLD","!!!","")</f>
        <v/>
      </c>
      <c r="F2032" s="22" t="str">
        <f>IF(OR(E2032="",E2032="!!!"),"",IF(NOT(ISNA(VLOOKUP(E2032,E$1:E2031,1,FALSE()))),"OLD",IF(AND(E2032&lt;&gt;"",E2032&lt;&gt;"!!!"),"NEW","")))</f>
        <v> </v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4" t="str">
        <f>IF(J2032&lt;&gt;1,"",IF(I2032="SBJ","CB","?"))</f>
        <v> </v>
      </c>
      <c r="I2032" s="25" t="str">
        <f>IF(OR(E2032="",E2032="!!!",F2032="NEW"),"",INDEX(B2031:B$2,-1+SUMPRODUCT(MAX(ROW(E2031:E$2)*(E2032=E2031:E$2)))))</f>
        <v> </v>
      </c>
      <c r="J2032" s="25" t="str">
        <f>IF(OR(E2032="",E2032="!!!",F2032="NEW"),"",COUNTBLANK(OFFSET(A$1,,,SUMPRODUCT(MAX(ROW(E$2:E2032)*(E2032=E$2:E2032)))))-COUNTBLANK(OFFSET(A$1,,,SUMPRODUCT(MAX(ROW(E$1:E2031)*(E2=E$1:E2031))))))</f>
        <v> </v>
      </c>
      <c r="K2032" s="25" t="str">
        <f>IF(OR(E2032="",E2032="!!!",F2032="NEW"),"",INDEX(J$1:J2031,SUMPRODUCT(MAX(ROW(E$1:E2031)*(E2032=E$1:E2031)))))</f>
        <v> </v>
      </c>
      <c r="L2032" s="26"/>
    </row>
    <row r="2033" spans="1:12">
      <c r="A2033" s="20" t="s">
        <v>1111</v>
      </c>
      <c r="E2033" s="21">
        <f>IF(D2033="?OLD","!!!","")</f>
        <v/>
      </c>
      <c r="F2033" s="22" t="str">
        <f>IF(OR(E2033="",E2033="!!!"),"",IF(NOT(ISNA(VLOOKUP(E2033,E$1:E2032,1,FALSE()))),"OLD",IF(AND(E2033&lt;&gt;"",E2033&lt;&gt;"!!!"),"NEW","")))</f>
        <v> </v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4" t="str">
        <f>IF(J2033&lt;&gt;1,"",IF(I2033="SBJ","CB","?"))</f>
        <v> </v>
      </c>
      <c r="I2033" s="25" t="str">
        <f>IF(OR(E2033="",E2033="!!!",F2033="NEW"),"",INDEX(B2032:B$2,-1+SUMPRODUCT(MAX(ROW(E2032:E$2)*(E2033=E2032:E$2)))))</f>
        <v> </v>
      </c>
      <c r="J2033" s="25" t="str">
        <f>IF(OR(E2033="",E2033="!!!",F2033="NEW"),"",COUNTBLANK(OFFSET(A$1,,,SUMPRODUCT(MAX(ROW(E$2:E2033)*(E2033=E$2:E2033)))))-COUNTBLANK(OFFSET(A$1,,,SUMPRODUCT(MAX(ROW(E$1:E2032)*(E2=E$1:E2032))))))</f>
        <v> </v>
      </c>
      <c r="K2033" s="25" t="str">
        <f>IF(OR(E2033="",E2033="!!!",F2033="NEW"),"",INDEX(J$1:J2032,SUMPRODUCT(MAX(ROW(E$1:E2032)*(E2033=E$1:E2032)))))</f>
        <v> </v>
      </c>
      <c r="L2033" s="26"/>
    </row>
    <row r="2034" spans="1:12">
      <c r="A2034" s="20" t="s">
        <v>1788</v>
      </c>
      <c r="B2034" s="27" t="s">
        <v>1014</v>
      </c>
      <c r="C2034" s="27" t="s">
        <v>1029</v>
      </c>
      <c r="D2034" s="27" t="s">
        <v>1030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1016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1789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1022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1790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1791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1792</v>
      </c>
      <c r="B2040" s="27" t="s">
        <v>1079</v>
      </c>
      <c r="C2040" s="27" t="s">
        <v>1204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1144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 t="s">
        <v>1723</v>
      </c>
      <c r="B2042" s="27" t="s">
        <v>1045</v>
      </c>
      <c r="C2042" s="27" t="s">
        <v>1070</v>
      </c>
      <c r="E2042" s="21">
        <f>IF(D2042="?OLD","!!!","")</f>
        <v/>
      </c>
      <c r="F2042" s="22" t="str">
        <f>IF(OR(E2042="",E2042="!!!"),"",IF(NOT(ISNA(VLOOKUP(E2042,E$1:E2041,1,FALSE()))),"OLD",IF(AND(E2042&lt;&gt;"",E2042&lt;&gt;"!!!"),"NEW","")))</f>
        <v> </v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4" t="str">
        <f>IF(J2042&lt;&gt;1,"",IF(I2042="SBJ","CB","?"))</f>
        <v> </v>
      </c>
      <c r="I2042" s="25" t="str">
        <f>IF(OR(E2042="",E2042="!!!",F2042="NEW"),"",INDEX(B2041:B$2,-1+SUMPRODUCT(MAX(ROW(E2041:E$2)*(E2042=E2041:E$2)))))</f>
        <v> </v>
      </c>
      <c r="J2042" s="25" t="str">
        <f>IF(OR(E2042="",E2042="!!!",F2042="NEW"),"",COUNTBLANK(OFFSET(A$1,,,SUMPRODUCT(MAX(ROW(E$2:E2042)*(E2042=E$2:E2042)))))-COUNTBLANK(OFFSET(A$1,,,SUMPRODUCT(MAX(ROW(E$1:E2041)*(E2=E$1:E2041))))))</f>
        <v> </v>
      </c>
      <c r="K2042" s="25" t="str">
        <f>IF(OR(E2042="",E2042="!!!",F2042="NEW"),"",INDEX(J$1:J2041,SUMPRODUCT(MAX(ROW(E$1:E2041)*(E2042=E$1:E2041)))))</f>
        <v> </v>
      </c>
      <c r="L2042" s="26"/>
    </row>
    <row r="2043" spans="1:12">
      <c r="A2043" s="20" t="s">
        <v>1025</v>
      </c>
      <c r="E2043" s="21">
        <f>IF(D2043="?OLD","!!!","")</f>
        <v/>
      </c>
      <c r="F2043" s="22" t="str">
        <f>IF(OR(E2043="",E2043="!!!"),"",IF(NOT(ISNA(VLOOKUP(E2043,E$1:E2042,1,FALSE()))),"OLD",IF(AND(E2043&lt;&gt;"",E2043&lt;&gt;"!!!"),"NEW","")))</f>
        <v> </v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4" t="str">
        <f>IF(J2043&lt;&gt;1,"",IF(I2043="SBJ","CB","?"))</f>
        <v> </v>
      </c>
      <c r="I2043" s="25" t="str">
        <f>IF(OR(E2043="",E2043="!!!",F2043="NEW"),"",INDEX(B2042:B$2,-1+SUMPRODUCT(MAX(ROW(E2042:E$2)*(E2043=E2042:E$2)))))</f>
        <v> </v>
      </c>
      <c r="J2043" s="25" t="str">
        <f>IF(OR(E2043="",E2043="!!!",F2043="NEW"),"",COUNTBLANK(OFFSET(A$1,,,SUMPRODUCT(MAX(ROW(E$2:E2043)*(E2043=E$2:E2043)))))-COUNTBLANK(OFFSET(A$1,,,SUMPRODUCT(MAX(ROW(E$1:E2042)*(E2=E$1:E2042))))))</f>
        <v> </v>
      </c>
      <c r="K2043" s="25" t="str">
        <f>IF(OR(E2043="",E2043="!!!",F2043="NEW"),"",INDEX(J$1:J2042,SUMPRODUCT(MAX(ROW(E$1:E2042)*(E2043=E$1:E2042)))))</f>
        <v> </v>
      </c>
      <c r="L2043" s="26"/>
    </row>
    <row r="2044" spans="1:12">
      <c r="A2044" s="20" t="s">
        <v>1075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1793</v>
      </c>
      <c r="B2045" s="27" t="s">
        <v>1045</v>
      </c>
      <c r="C2045" s="27" t="s">
        <v>1029</v>
      </c>
      <c r="D2045" s="27" t="s">
        <v>1030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1025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1794</v>
      </c>
      <c r="B2047" s="27" t="s">
        <v>1079</v>
      </c>
      <c r="C2047" s="27" t="s">
        <v>1029</v>
      </c>
      <c r="D2047" s="27" t="s">
        <v>1030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1016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 t="s">
        <v>1795</v>
      </c>
      <c r="B2049" s="27" t="s">
        <v>1066</v>
      </c>
      <c r="C2049" s="27" t="s">
        <v>1015</v>
      </c>
      <c r="E2049" s="21">
        <f>IF(D2049="?OLD","!!!","")</f>
        <v/>
      </c>
      <c r="F2049" s="22" t="str">
        <f>IF(OR(E2049="",E2049="!!!"),"",IF(NOT(ISNA(VLOOKUP(E2049,E$1:E2048,1,FALSE()))),"OLD",IF(AND(E2049&lt;&gt;"",E2049&lt;&gt;"!!!"),"NEW","")))</f>
        <v> </v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4" t="str">
        <f>IF(J2049&lt;&gt;1,"",IF(I2049="SBJ","CB","?"))</f>
        <v> </v>
      </c>
      <c r="I2049" s="25" t="str">
        <f>IF(OR(E2049="",E2049="!!!",F2049="NEW"),"",INDEX(B2048:B$2,-1+SUMPRODUCT(MAX(ROW(E2048:E$2)*(E2049=E2048:E$2)))))</f>
        <v> </v>
      </c>
      <c r="J2049" s="25" t="str">
        <f>IF(OR(E2049="",E2049="!!!",F2049="NEW"),"",COUNTBLANK(OFFSET(A$1,,,SUMPRODUCT(MAX(ROW(E$2:E2049)*(E2049=E$2:E2049)))))-COUNTBLANK(OFFSET(A$1,,,SUMPRODUCT(MAX(ROW(E$1:E2048)*(E2=E$1:E2048))))))</f>
        <v> </v>
      </c>
      <c r="K2049" s="25" t="str">
        <f>IF(OR(E2049="",E2049="!!!",F2049="NEW"),"",INDEX(J$1:J2048,SUMPRODUCT(MAX(ROW(E$1:E2048)*(E2049=E$1:E2048)))))</f>
        <v> </v>
      </c>
      <c r="L2049" s="26"/>
    </row>
    <row r="2050" spans="1:12">
      <c r="A2050" s="20" t="s">
        <v>135</v>
      </c>
      <c r="E2050" s="21">
        <f>IF(D2050="?OLD","!!!","")</f>
        <v/>
      </c>
      <c r="F2050" s="22" t="str">
        <f>IF(OR(E2050="",E2050="!!!"),"",IF(NOT(ISNA(VLOOKUP(E2050,E$1:E2049,1,FALSE()))),"OLD",IF(AND(E2050&lt;&gt;"",E2050&lt;&gt;"!!!"),"NEW","")))</f>
        <v> </v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4" t="str">
        <f>IF(J2050&lt;&gt;1,"",IF(I2050="SBJ","CB","?"))</f>
        <v> </v>
      </c>
      <c r="I2050" s="25" t="str">
        <f>IF(OR(E2050="",E2050="!!!",F2050="NEW"),"",INDEX(B2049:B$2,-1+SUMPRODUCT(MAX(ROW(E2049:E$2)*(E2050=E2049:E$2)))))</f>
        <v> </v>
      </c>
      <c r="J2050" s="25" t="str">
        <f>IF(OR(E2050="",E2050="!!!",F2050="NEW"),"",COUNTBLANK(OFFSET(A$1,,,SUMPRODUCT(MAX(ROW(E$2:E2050)*(E2050=E$2:E2050)))))-COUNTBLANK(OFFSET(A$1,,,SUMPRODUCT(MAX(ROW(E$1:E2049)*(E2=E$1:E2049))))))</f>
        <v> </v>
      </c>
      <c r="K2050" s="25" t="str">
        <f>IF(OR(E2050="",E2050="!!!",F2050="NEW"),"",INDEX(J$1:J2049,SUMPRODUCT(MAX(ROW(E$1:E2049)*(E2050=E$1:E2049)))))</f>
        <v> </v>
      </c>
      <c r="L2050" s="26"/>
    </row>
    <row r="2051" spans="1:12">
      <c r="A2051" s="20"/>
    </row>
    <row r="2052" spans="1:12">
      <c r="A2052" s="20" t="s">
        <v>1796</v>
      </c>
    </row>
    <row r="2053" spans="1:12">
      <c r="A2053" s="20" t="s">
        <v>1797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 t="s">
        <v>1798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1022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481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 t="s">
        <v>1215</v>
      </c>
      <c r="E2057" s="21">
        <f>IF(D2057="?OLD","!!!","")</f>
        <v/>
      </c>
      <c r="F2057" s="22" t="str">
        <f>IF(OR(E2057="",E2057="!!!"),"",IF(NOT(ISNA(VLOOKUP(E2057,E$1:E2056,1,FALSE()))),"OLD",IF(AND(E2057&lt;&gt;"",E2057&lt;&gt;"!!!"),"NEW","")))</f>
        <v> </v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4" t="str">
        <f>IF(J2057&lt;&gt;1,"",IF(I2057="SBJ","CB","?"))</f>
        <v> </v>
      </c>
      <c r="I2057" s="25" t="str">
        <f>IF(OR(E2057="",E2057="!!!",F2057="NEW"),"",INDEX(B2056:B$2,-1+SUMPRODUCT(MAX(ROW(E2056:E$2)*(E2057=E2056:E$2)))))</f>
        <v> </v>
      </c>
      <c r="J2057" s="25" t="str">
        <f>IF(OR(E2057="",E2057="!!!",F2057="NEW"),"",COUNTBLANK(OFFSET(A$1,,,SUMPRODUCT(MAX(ROW(E$2:E2057)*(E2057=E$2:E2057)))))-COUNTBLANK(OFFSET(A$1,,,SUMPRODUCT(MAX(ROW(E$1:E2056)*(E2=E$1:E2056))))))</f>
        <v> </v>
      </c>
      <c r="K2057" s="25" t="str">
        <f>IF(OR(E2057="",E2057="!!!",F2057="NEW"),"",INDEX(J$1:J2056,SUMPRODUCT(MAX(ROW(E$1:E2056)*(E2057=E$1:E2056)))))</f>
        <v> </v>
      </c>
      <c r="L2057" s="26"/>
    </row>
    <row r="2058" spans="1:12">
      <c r="A2058" s="20"/>
    </row>
    <row r="2059" spans="1:12">
      <c r="A2059" s="20" t="s">
        <v>1799</v>
      </c>
    </row>
    <row r="2060" spans="1:12">
      <c r="A2060" s="20" t="s">
        <v>1209</v>
      </c>
      <c r="E2060" s="21">
        <f>IF(D2060="?OLD","!!!","")</f>
        <v/>
      </c>
      <c r="F2060" s="22" t="str">
        <f>IF(OR(E2060="",E2060="!!!"),"",IF(NOT(ISNA(VLOOKUP(E2060,E$1:E2059,1,FALSE()))),"OLD",IF(AND(E2060&lt;&gt;"",E2060&lt;&gt;"!!!"),"NEW","")))</f>
        <v> </v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4" t="str">
        <f>IF(J2060&lt;&gt;1,"",IF(I2060="SBJ","CB","?"))</f>
        <v> </v>
      </c>
      <c r="I2060" s="25" t="str">
        <f>IF(OR(E2060="",E2060="!!!",F2060="NEW"),"",INDEX(B2059:B$2,-1+SUMPRODUCT(MAX(ROW(E2059:E$2)*(E2060=E2059:E$2)))))</f>
        <v> </v>
      </c>
      <c r="J2060" s="25" t="str">
        <f>IF(OR(E2060="",E2060="!!!",F2060="NEW"),"",COUNTBLANK(OFFSET(A$1,,,SUMPRODUCT(MAX(ROW(E$2:E2060)*(E2060=E$2:E2060)))))-COUNTBLANK(OFFSET(A$1,,,SUMPRODUCT(MAX(ROW(E$1:E2059)*(E2=E$1:E2059))))))</f>
        <v> </v>
      </c>
      <c r="K2060" s="25" t="str">
        <f>IF(OR(E2060="",E2060="!!!",F2060="NEW"),"",INDEX(J$1:J2059,SUMPRODUCT(MAX(ROW(E$1:E2059)*(E2060=E$1:E2059)))))</f>
        <v> </v>
      </c>
      <c r="L2060" s="26"/>
    </row>
    <row r="2061" spans="1:12">
      <c r="A2061" s="20" t="s">
        <v>1800</v>
      </c>
      <c r="E2061" s="21">
        <f>IF(D2061="?OLD","!!!","")</f>
        <v/>
      </c>
      <c r="F2061" s="22" t="str">
        <f>IF(OR(E2061="",E2061="!!!"),"",IF(NOT(ISNA(VLOOKUP(E2061,E$1:E2060,1,FALSE()))),"OLD",IF(AND(E2061&lt;&gt;"",E2061&lt;&gt;"!!!"),"NEW","")))</f>
        <v> </v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4" t="str">
        <f>IF(J2061&lt;&gt;1,"",IF(I2061="SBJ","CB","?"))</f>
        <v> </v>
      </c>
      <c r="I2061" s="25" t="str">
        <f>IF(OR(E2061="",E2061="!!!",F2061="NEW"),"",INDEX(B2060:B$2,-1+SUMPRODUCT(MAX(ROW(E2060:E$2)*(E2061=E2060:E$2)))))</f>
        <v> </v>
      </c>
      <c r="J2061" s="25" t="str">
        <f>IF(OR(E2061="",E2061="!!!",F2061="NEW"),"",COUNTBLANK(OFFSET(A$1,,,SUMPRODUCT(MAX(ROW(E$2:E2061)*(E2061=E$2:E2061)))))-COUNTBLANK(OFFSET(A$1,,,SUMPRODUCT(MAX(ROW(E$1:E2060)*(E2=E$1:E2060))))))</f>
        <v> </v>
      </c>
      <c r="K2061" s="25" t="str">
        <f>IF(OR(E2061="",E2061="!!!",F2061="NEW"),"",INDEX(J$1:J2060,SUMPRODUCT(MAX(ROW(E$1:E2060)*(E2061=E$1:E2060)))))</f>
        <v> </v>
      </c>
      <c r="L2061" s="26"/>
    </row>
    <row r="2062" spans="1:12">
      <c r="A2062" s="20" t="s">
        <v>1022</v>
      </c>
      <c r="E2062" s="21">
        <f>IF(D2062="?OLD","!!!","")</f>
        <v/>
      </c>
      <c r="F2062" s="22" t="str">
        <f>IF(OR(E2062="",E2062="!!!"),"",IF(NOT(ISNA(VLOOKUP(E2062,E$1:E2061,1,FALSE()))),"OLD",IF(AND(E2062&lt;&gt;"",E2062&lt;&gt;"!!!"),"NEW","")))</f>
        <v> </v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4" t="str">
        <f>IF(J2062&lt;&gt;1,"",IF(I2062="SBJ","CB","?"))</f>
        <v> </v>
      </c>
      <c r="I2062" s="25" t="str">
        <f>IF(OR(E2062="",E2062="!!!",F2062="NEW"),"",INDEX(B2061:B$2,-1+SUMPRODUCT(MAX(ROW(E2061:E$2)*(E2062=E2061:E$2)))))</f>
        <v> </v>
      </c>
      <c r="J2062" s="25" t="str">
        <f>IF(OR(E2062="",E2062="!!!",F2062="NEW"),"",COUNTBLANK(OFFSET(A$1,,,SUMPRODUCT(MAX(ROW(E$2:E2062)*(E2062=E$2:E2062)))))-COUNTBLANK(OFFSET(A$1,,,SUMPRODUCT(MAX(ROW(E$1:E2061)*(E2=E$1:E2061))))))</f>
        <v> </v>
      </c>
      <c r="K2062" s="25" t="str">
        <f>IF(OR(E2062="",E2062="!!!",F2062="NEW"),"",INDEX(J$1:J2061,SUMPRODUCT(MAX(ROW(E$1:E2061)*(E2062=E$1:E2061)))))</f>
        <v> </v>
      </c>
      <c r="L2062" s="26"/>
    </row>
    <row r="2063" spans="1:12">
      <c r="A2063" s="20" t="s">
        <v>1275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1057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1457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1094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1777</v>
      </c>
      <c r="B2067" s="27" t="s">
        <v>1085</v>
      </c>
      <c r="C2067" s="27" t="s">
        <v>1033</v>
      </c>
      <c r="D2067" s="27" t="s">
        <v>1030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 t="s">
        <v>1304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1025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 t="s">
        <v>1734</v>
      </c>
      <c r="B2070" s="27" t="s">
        <v>1066</v>
      </c>
      <c r="C2070" s="27" t="s">
        <v>1015</v>
      </c>
      <c r="E2070" s="21">
        <f>IF(D2070="?OLD","!!!","")</f>
        <v/>
      </c>
      <c r="F2070" s="22" t="str">
        <f>IF(OR(E2070="",E2070="!!!"),"",IF(NOT(ISNA(VLOOKUP(E2070,E$1:E2069,1,FALSE()))),"OLD",IF(AND(E2070&lt;&gt;"",E2070&lt;&gt;"!!!"),"NEW","")))</f>
        <v> </v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4" t="str">
        <f>IF(J2070&lt;&gt;1,"",IF(I2070="SBJ","CB","?"))</f>
        <v> </v>
      </c>
      <c r="I2070" s="25" t="str">
        <f>IF(OR(E2070="",E2070="!!!",F2070="NEW"),"",INDEX(B2069:B$2,-1+SUMPRODUCT(MAX(ROW(E2069:E$2)*(E2070=E2069:E$2)))))</f>
        <v> </v>
      </c>
      <c r="J2070" s="25" t="str">
        <f>IF(OR(E2070="",E2070="!!!",F2070="NEW"),"",COUNTBLANK(OFFSET(A$1,,,SUMPRODUCT(MAX(ROW(E$2:E2070)*(E2070=E$2:E2070)))))-COUNTBLANK(OFFSET(A$1,,,SUMPRODUCT(MAX(ROW(E$1:E2069)*(E2=E$1:E2069))))))</f>
        <v> </v>
      </c>
      <c r="K2070" s="25" t="str">
        <f>IF(OR(E2070="",E2070="!!!",F2070="NEW"),"",INDEX(J$1:J2069,SUMPRODUCT(MAX(ROW(E$1:E2069)*(E2070=E$1:E2069)))))</f>
        <v> </v>
      </c>
      <c r="L2070" s="26"/>
    </row>
    <row r="2071" spans="1:12">
      <c r="A2071" s="20" t="s">
        <v>1074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296</v>
      </c>
      <c r="E2072" s="21">
        <f>IF(D2072="?OLD","!!!","")</f>
        <v/>
      </c>
      <c r="F2072" s="22" t="str">
        <f>IF(OR(E2072="",E2072="!!!"),"",IF(NOT(ISNA(VLOOKUP(E2072,E$1:E2071,1,FALSE()))),"OLD",IF(AND(E2072&lt;&gt;"",E2072&lt;&gt;"!!!"),"NEW","")))</f>
        <v> </v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4" t="str">
        <f>IF(J2072&lt;&gt;1,"",IF(I2072="SBJ","CB","?"))</f>
        <v> </v>
      </c>
      <c r="I2072" s="25" t="str">
        <f>IF(OR(E2072="",E2072="!!!",F2072="NEW"),"",INDEX(B2071:B$2,-1+SUMPRODUCT(MAX(ROW(E2071:E$2)*(E2072=E2071:E$2)))))</f>
        <v> </v>
      </c>
      <c r="J2072" s="25" t="str">
        <f>IF(OR(E2072="",E2072="!!!",F2072="NEW"),"",COUNTBLANK(OFFSET(A$1,,,SUMPRODUCT(MAX(ROW(E$2:E2072)*(E2072=E$2:E2072)))))-COUNTBLANK(OFFSET(A$1,,,SUMPRODUCT(MAX(ROW(E$1:E2071)*(E2=E$1:E2071))))))</f>
        <v> </v>
      </c>
      <c r="K2072" s="25" t="str">
        <f>IF(OR(E2072="",E2072="!!!",F2072="NEW"),"",INDEX(J$1:J2071,SUMPRODUCT(MAX(ROW(E$1:E2071)*(E2072=E$1:E2071)))))</f>
        <v> </v>
      </c>
      <c r="L2072" s="26"/>
    </row>
    <row r="2073" spans="1:12">
      <c r="A2073" s="20" t="s">
        <v>1016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1075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141</v>
      </c>
      <c r="B2075" s="27" t="s">
        <v>1103</v>
      </c>
      <c r="C2075" s="27" t="s">
        <v>1038</v>
      </c>
      <c r="D2075" s="27" t="s">
        <v>1030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1022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1801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1201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1257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1802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1083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1094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1096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1185</v>
      </c>
      <c r="B2084" s="27" t="s">
        <v>1146</v>
      </c>
      <c r="C2084" s="27" t="s">
        <v>1038</v>
      </c>
      <c r="D2084" s="27" t="s">
        <v>1030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1803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1780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1804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 t="s">
        <v>1016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 t="s">
        <v>1805</v>
      </c>
      <c r="E2089" s="21">
        <f>IF(D2089="?OLD","!!!","")</f>
        <v/>
      </c>
      <c r="F2089" s="22" t="str">
        <f>IF(OR(E2089="",E2089="!!!"),"",IF(NOT(ISNA(VLOOKUP(E2089,E$1:E2088,1,FALSE()))),"OLD",IF(AND(E2089&lt;&gt;"",E2089&lt;&gt;"!!!"),"NEW","")))</f>
        <v> </v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4" t="str">
        <f>IF(J2089&lt;&gt;1,"",IF(I2089="SBJ","CB","?"))</f>
        <v> </v>
      </c>
      <c r="I2089" s="25" t="str">
        <f>IF(OR(E2089="",E2089="!!!",F2089="NEW"),"",INDEX(B2088:B$2,-1+SUMPRODUCT(MAX(ROW(E2088:E$2)*(E2089=E2088:E$2)))))</f>
        <v> </v>
      </c>
      <c r="J2089" s="25" t="str">
        <f>IF(OR(E2089="",E2089="!!!",F2089="NEW"),"",COUNTBLANK(OFFSET(A$1,,,SUMPRODUCT(MAX(ROW(E$2:E2089)*(E2089=E$2:E2089)))))-COUNTBLANK(OFFSET(A$1,,,SUMPRODUCT(MAX(ROW(E$1:E2088)*(E2=E$1:E2088))))))</f>
        <v> </v>
      </c>
      <c r="K2089" s="25" t="str">
        <f>IF(OR(E2089="",E2089="!!!",F2089="NEW"),"",INDEX(J$1:J2088,SUMPRODUCT(MAX(ROW(E$1:E2088)*(E2089=E$1:E2088)))))</f>
        <v> </v>
      </c>
      <c r="L2089" s="26"/>
    </row>
    <row r="2090" spans="1:12">
      <c r="A2090" s="20" t="s">
        <v>135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/>
    </row>
    <row r="2092" spans="1:12">
      <c r="A2092" s="20" t="s">
        <v>1806</v>
      </c>
    </row>
    <row r="2093" spans="1:12">
      <c r="A2093" s="20" t="s">
        <v>1062</v>
      </c>
      <c r="E2093" s="21">
        <f>IF(D2093="?OLD","!!!","")</f>
        <v/>
      </c>
      <c r="F2093" s="22" t="str">
        <f>IF(OR(E2093="",E2093="!!!"),"",IF(NOT(ISNA(VLOOKUP(E2093,E$1:E2092,1,FALSE()))),"OLD",IF(AND(E2093&lt;&gt;"",E2093&lt;&gt;"!!!"),"NEW","")))</f>
        <v> </v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4" t="str">
        <f>IF(J2093&lt;&gt;1,"",IF(I2093="SBJ","CB","?"))</f>
        <v> </v>
      </c>
      <c r="I2093" s="25" t="str">
        <f>IF(OR(E2093="",E2093="!!!",F2093="NEW"),"",INDEX(B2092:B$2,-1+SUMPRODUCT(MAX(ROW(E2092:E$2)*(E2093=E2092:E$2)))))</f>
        <v> </v>
      </c>
      <c r="J2093" s="25" t="str">
        <f>IF(OR(E2093="",E2093="!!!",F2093="NEW"),"",COUNTBLANK(OFFSET(A$1,,,SUMPRODUCT(MAX(ROW(E$2:E2093)*(E2093=E$2:E2093)))))-COUNTBLANK(OFFSET(A$1,,,SUMPRODUCT(MAX(ROW(E$1:E2092)*(E2=E$1:E2092))))))</f>
        <v> </v>
      </c>
      <c r="K2093" s="25" t="str">
        <f>IF(OR(E2093="",E2093="!!!",F2093="NEW"),"",INDEX(J$1:J2092,SUMPRODUCT(MAX(ROW(E$1:E2092)*(E2093=E$1:E2092)))))</f>
        <v> </v>
      </c>
      <c r="L2093" s="26"/>
    </row>
    <row r="2094" spans="1:12">
      <c r="A2094" s="20" t="s">
        <v>1123</v>
      </c>
      <c r="B2094" s="27" t="s">
        <v>1014</v>
      </c>
      <c r="C2094" s="27" t="s">
        <v>1050</v>
      </c>
      <c r="D2094" s="27" t="s">
        <v>1030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1801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1025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1265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 t="s">
        <v>1555</v>
      </c>
      <c r="B2098" s="27" t="s">
        <v>1045</v>
      </c>
      <c r="C2098" s="27" t="s">
        <v>1046</v>
      </c>
      <c r="D2098" s="27" t="s">
        <v>1030</v>
      </c>
      <c r="E2098" s="21">
        <f>IF(D2098="?OLD","!!!","")</f>
        <v/>
      </c>
      <c r="F2098" s="22" t="str">
        <f>IF(OR(E2098="",E2098="!!!"),"",IF(NOT(ISNA(VLOOKUP(E2098,E$1:E2097,1,FALSE()))),"OLD",IF(AND(E2098&lt;&gt;"",E2098&lt;&gt;"!!!"),"NEW","")))</f>
        <v> </v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4" t="str">
        <f>IF(J2098&lt;&gt;1,"",IF(I2098="SBJ","CB","?"))</f>
        <v> </v>
      </c>
      <c r="I2098" s="25" t="str">
        <f>IF(OR(E2098="",E2098="!!!",F2098="NEW"),"",INDEX(B2097:B$2,-1+SUMPRODUCT(MAX(ROW(E2097:E$2)*(E2098=E2097:E$2)))))</f>
        <v> </v>
      </c>
      <c r="J2098" s="25" t="str">
        <f>IF(OR(E2098="",E2098="!!!",F2098="NEW"),"",COUNTBLANK(OFFSET(A$1,,,SUMPRODUCT(MAX(ROW(E$2:E2098)*(E2098=E$2:E2098)))))-COUNTBLANK(OFFSET(A$1,,,SUMPRODUCT(MAX(ROW(E$1:E2097)*(E2=E$1:E2097))))))</f>
        <v> </v>
      </c>
      <c r="K2098" s="25" t="str">
        <f>IF(OR(E2098="",E2098="!!!",F2098="NEW"),"",INDEX(J$1:J2097,SUMPRODUCT(MAX(ROW(E$1:E2097)*(E2098=E$1:E2097)))))</f>
        <v> </v>
      </c>
      <c r="L2098" s="26"/>
    </row>
    <row r="2099" spans="1:12">
      <c r="A2099" s="20" t="s">
        <v>135</v>
      </c>
      <c r="E2099" s="21">
        <f>IF(D2099="?OLD","!!!","")</f>
        <v/>
      </c>
      <c r="F2099" s="22" t="str">
        <f>IF(OR(E2099="",E2099="!!!"),"",IF(NOT(ISNA(VLOOKUP(E2099,E$1:E2098,1,FALSE()))),"OLD",IF(AND(E2099&lt;&gt;"",E2099&lt;&gt;"!!!"),"NEW","")))</f>
        <v> </v>
      </c>
      <c r="G2099" s="23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4" t="str">
        <f>IF(J2099&lt;&gt;1,"",IF(I2099="SBJ","CB","?"))</f>
        <v> </v>
      </c>
      <c r="I2099" s="25" t="str">
        <f>IF(OR(E2099="",E2099="!!!",F2099="NEW"),"",INDEX(B2098:B$2,-1+SUMPRODUCT(MAX(ROW(E2098:E$2)*(E2099=E2098:E$2)))))</f>
        <v> </v>
      </c>
      <c r="J2099" s="25" t="str">
        <f>IF(OR(E2099="",E2099="!!!",F2099="NEW"),"",COUNTBLANK(OFFSET(A$1,,,SUMPRODUCT(MAX(ROW(E$2:E2099)*(E2099=E$2:E2099)))))-COUNTBLANK(OFFSET(A$1,,,SUMPRODUCT(MAX(ROW(E$1:E2098)*(E2=E$1:E2098))))))</f>
        <v> </v>
      </c>
      <c r="K2099" s="25" t="str">
        <f>IF(OR(E2099="",E2099="!!!",F2099="NEW"),"",INDEX(J$1:J2098,SUMPRODUCT(MAX(ROW(E$1:E2098)*(E2099=E$1:E2098)))))</f>
        <v> </v>
      </c>
      <c r="L2099" s="26"/>
    </row>
    <row r="2100" spans="1:12">
      <c r="A2100" s="20"/>
    </row>
    <row r="2101" spans="1:12">
      <c r="A2101" s="20" t="s">
        <v>1807</v>
      </c>
    </row>
    <row r="2102" spans="1:12">
      <c r="A2102" s="20" t="s">
        <v>1137</v>
      </c>
      <c r="E2102" s="21">
        <f>IF(D2102="?OLD","!!!","")</f>
        <v/>
      </c>
      <c r="F2102" s="22" t="str">
        <f>IF(OR(E2102="",E2102="!!!"),"",IF(NOT(ISNA(VLOOKUP(E2102,E$1:E2101,1,FALSE()))),"OLD",IF(AND(E2102&lt;&gt;"",E2102&lt;&gt;"!!!"),"NEW","")))</f>
        <v> </v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4" t="str">
        <f>IF(J2102&lt;&gt;1,"",IF(I2102="SBJ","CB","?"))</f>
        <v> </v>
      </c>
      <c r="I2102" s="25" t="str">
        <f>IF(OR(E2102="",E2102="!!!",F2102="NEW"),"",INDEX(B2101:B$2,-1+SUMPRODUCT(MAX(ROW(E2101:E$2)*(E2102=E2101:E$2)))))</f>
        <v> </v>
      </c>
      <c r="J2102" s="25" t="str">
        <f>IF(OR(E2102="",E2102="!!!",F2102="NEW"),"",COUNTBLANK(OFFSET(A$1,,,SUMPRODUCT(MAX(ROW(E$2:E2102)*(E2102=E$2:E2102)))))-COUNTBLANK(OFFSET(A$1,,,SUMPRODUCT(MAX(ROW(E$1:E2101)*(E2=E$1:E2101))))))</f>
        <v> </v>
      </c>
      <c r="K2102" s="25" t="str">
        <f>IF(OR(E2102="",E2102="!!!",F2102="NEW"),"",INDEX(J$1:J2101,SUMPRODUCT(MAX(ROW(E$1:E2101)*(E2102=E$1:E2101)))))</f>
        <v> </v>
      </c>
      <c r="L2102" s="26"/>
    </row>
    <row r="2103" spans="1:12">
      <c r="A2103" s="20" t="s">
        <v>1777</v>
      </c>
      <c r="B2103" s="27" t="s">
        <v>1041</v>
      </c>
      <c r="C2103" s="27" t="s">
        <v>1033</v>
      </c>
      <c r="D2103" s="27" t="s">
        <v>1030</v>
      </c>
      <c r="E2103" s="21">
        <f>IF(D2103="?OLD","!!!","")</f>
        <v/>
      </c>
      <c r="F2103" s="22" t="str">
        <f>IF(OR(E2103="",E2103="!!!"),"",IF(NOT(ISNA(VLOOKUP(E2103,E$1:E2102,1,FALSE()))),"OLD",IF(AND(E2103&lt;&gt;"",E2103&lt;&gt;"!!!"),"NEW","")))</f>
        <v> </v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4" t="str">
        <f>IF(J2103&lt;&gt;1,"",IF(I2103="SBJ","CB","?"))</f>
        <v> </v>
      </c>
      <c r="I2103" s="25" t="str">
        <f>IF(OR(E2103="",E2103="!!!",F2103="NEW"),"",INDEX(B2102:B$2,-1+SUMPRODUCT(MAX(ROW(E2102:E$2)*(E2103=E2102:E$2)))))</f>
        <v> </v>
      </c>
      <c r="J2103" s="25" t="str">
        <f>IF(OR(E2103="",E2103="!!!",F2103="NEW"),"",COUNTBLANK(OFFSET(A$1,,,SUMPRODUCT(MAX(ROW(E$2:E2103)*(E2103=E$2:E2103)))))-COUNTBLANK(OFFSET(A$1,,,SUMPRODUCT(MAX(ROW(E$1:E2102)*(E2=E$1:E2102))))))</f>
        <v> </v>
      </c>
      <c r="K2103" s="25" t="str">
        <f>IF(OR(E2103="",E2103="!!!",F2103="NEW"),"",INDEX(J$1:J2102,SUMPRODUCT(MAX(ROW(E$1:E2102)*(E2103=E$1:E2102)))))</f>
        <v> </v>
      </c>
      <c r="L2103" s="26"/>
    </row>
    <row r="2104" spans="1:12">
      <c r="A2104" s="20" t="s">
        <v>1034</v>
      </c>
      <c r="E2104" s="21">
        <f>IF(D2104="?OLD","!!!","")</f>
        <v/>
      </c>
      <c r="F2104" s="22" t="str">
        <f>IF(OR(E2104="",E2104="!!!"),"",IF(NOT(ISNA(VLOOKUP(E2104,E$1:E2103,1,FALSE()))),"OLD",IF(AND(E2104&lt;&gt;"",E2104&lt;&gt;"!!!"),"NEW","")))</f>
        <v> </v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4" t="str">
        <f>IF(J2104&lt;&gt;1,"",IF(I2104="SBJ","CB","?"))</f>
        <v> </v>
      </c>
      <c r="I2104" s="25" t="str">
        <f>IF(OR(E2104="",E2104="!!!",F2104="NEW"),"",INDEX(B2103:B$2,-1+SUMPRODUCT(MAX(ROW(E2103:E$2)*(E2104=E2103:E$2)))))</f>
        <v> </v>
      </c>
      <c r="J2104" s="25" t="str">
        <f>IF(OR(E2104="",E2104="!!!",F2104="NEW"),"",COUNTBLANK(OFFSET(A$1,,,SUMPRODUCT(MAX(ROW(E$2:E2104)*(E2104=E$2:E2104)))))-COUNTBLANK(OFFSET(A$1,,,SUMPRODUCT(MAX(ROW(E$1:E2103)*(E2=E$1:E2103))))))</f>
        <v> </v>
      </c>
      <c r="K2104" s="25" t="str">
        <f>IF(OR(E2104="",E2104="!!!",F2104="NEW"),"",INDEX(J$1:J2103,SUMPRODUCT(MAX(ROW(E$1:E2103)*(E2104=E$1:E2103)))))</f>
        <v> </v>
      </c>
      <c r="L2104" s="26"/>
    </row>
    <row r="2105" spans="1:12">
      <c r="A2105" s="20" t="s">
        <v>1808</v>
      </c>
      <c r="E2105" s="21">
        <f>IF(D2105="?OLD","!!!","")</f>
        <v/>
      </c>
      <c r="F2105" s="22" t="str">
        <f>IF(OR(E2105="",E2105="!!!"),"",IF(NOT(ISNA(VLOOKUP(E2105,E$1:E2104,1,FALSE()))),"OLD",IF(AND(E2105&lt;&gt;"",E2105&lt;&gt;"!!!"),"NEW","")))</f>
        <v> </v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4" t="str">
        <f>IF(J2105&lt;&gt;1,"",IF(I2105="SBJ","CB","?"))</f>
        <v> </v>
      </c>
      <c r="I2105" s="25" t="str">
        <f>IF(OR(E2105="",E2105="!!!",F2105="NEW"),"",INDEX(B2104:B$2,-1+SUMPRODUCT(MAX(ROW(E2104:E$2)*(E2105=E2104:E$2)))))</f>
        <v> </v>
      </c>
      <c r="J2105" s="25" t="str">
        <f>IF(OR(E2105="",E2105="!!!",F2105="NEW"),"",COUNTBLANK(OFFSET(A$1,,,SUMPRODUCT(MAX(ROW(E$2:E2105)*(E2105=E$2:E2105)))))-COUNTBLANK(OFFSET(A$1,,,SUMPRODUCT(MAX(ROW(E$1:E2104)*(E2=E$1:E2104))))))</f>
        <v> </v>
      </c>
      <c r="K2105" s="25" t="str">
        <f>IF(OR(E2105="",E2105="!!!",F2105="NEW"),"",INDEX(J$1:J2104,SUMPRODUCT(MAX(ROW(E$1:E2104)*(E2105=E$1:E2104)))))</f>
        <v> </v>
      </c>
      <c r="L2105" s="26"/>
    </row>
    <row r="2106" spans="1:12">
      <c r="A2106" s="20" t="s">
        <v>1160</v>
      </c>
      <c r="E2106" s="21">
        <f>IF(D2106="?OLD","!!!","")</f>
        <v/>
      </c>
      <c r="F2106" s="22" t="str">
        <f>IF(OR(E2106="",E2106="!!!"),"",IF(NOT(ISNA(VLOOKUP(E2106,E$1:E2105,1,FALSE()))),"OLD",IF(AND(E2106&lt;&gt;"",E2106&lt;&gt;"!!!"),"NEW","")))</f>
        <v> </v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4" t="str">
        <f>IF(J2106&lt;&gt;1,"",IF(I2106="SBJ","CB","?"))</f>
        <v> </v>
      </c>
      <c r="I2106" s="25" t="str">
        <f>IF(OR(E2106="",E2106="!!!",F2106="NEW"),"",INDEX(B2105:B$2,-1+SUMPRODUCT(MAX(ROW(E2105:E$2)*(E2106=E2105:E$2)))))</f>
        <v> </v>
      </c>
      <c r="J2106" s="25" t="str">
        <f>IF(OR(E2106="",E2106="!!!",F2106="NEW"),"",COUNTBLANK(OFFSET(A$1,,,SUMPRODUCT(MAX(ROW(E$2:E2106)*(E2106=E$2:E2106)))))-COUNTBLANK(OFFSET(A$1,,,SUMPRODUCT(MAX(ROW(E$1:E2105)*(E2=E$1:E2105))))))</f>
        <v> </v>
      </c>
      <c r="K2106" s="25" t="str">
        <f>IF(OR(E2106="",E2106="!!!",F2106="NEW"),"",INDEX(J$1:J2105,SUMPRODUCT(MAX(ROW(E$1:E2105)*(E2106=E$1:E2105)))))</f>
        <v> </v>
      </c>
      <c r="L2106" s="26"/>
    </row>
    <row r="2107" spans="1:12">
      <c r="A2107" s="20" t="s">
        <v>1809</v>
      </c>
      <c r="B2107" s="27" t="s">
        <v>1045</v>
      </c>
      <c r="C2107" s="27" t="s">
        <v>1021</v>
      </c>
      <c r="E2107" s="21">
        <f>IF(D2107="?OLD","!!!","")</f>
        <v/>
      </c>
      <c r="F2107" s="22" t="str">
        <f>IF(OR(E2107="",E2107="!!!"),"",IF(NOT(ISNA(VLOOKUP(E2107,E$1:E2106,1,FALSE()))),"OLD",IF(AND(E2107&lt;&gt;"",E2107&lt;&gt;"!!!"),"NEW","")))</f>
        <v> </v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4" t="str">
        <f>IF(J2107&lt;&gt;1,"",IF(I2107="SBJ","CB","?"))</f>
        <v> </v>
      </c>
      <c r="I2107" s="25" t="str">
        <f>IF(OR(E2107="",E2107="!!!",F2107="NEW"),"",INDEX(B2106:B$2,-1+SUMPRODUCT(MAX(ROW(E2106:E$2)*(E2107=E2106:E$2)))))</f>
        <v> </v>
      </c>
      <c r="J2107" s="25" t="str">
        <f>IF(OR(E2107="",E2107="!!!",F2107="NEW"),"",COUNTBLANK(OFFSET(A$1,,,SUMPRODUCT(MAX(ROW(E$2:E2107)*(E2107=E$2:E2107)))))-COUNTBLANK(OFFSET(A$1,,,SUMPRODUCT(MAX(ROW(E$1:E2106)*(E2=E$1:E2106))))))</f>
        <v> </v>
      </c>
      <c r="K2107" s="25" t="str">
        <f>IF(OR(E2107="",E2107="!!!",F2107="NEW"),"",INDEX(J$1:J2106,SUMPRODUCT(MAX(ROW(E$1:E2106)*(E2107=E$1:E2106)))))</f>
        <v> </v>
      </c>
      <c r="L2107" s="26"/>
    </row>
    <row r="2108" spans="1:12">
      <c r="A2108" s="20" t="s">
        <v>135</v>
      </c>
      <c r="E2108" s="21">
        <f>IF(D2108="?OLD","!!!","")</f>
        <v/>
      </c>
      <c r="F2108" s="22" t="str">
        <f>IF(OR(E2108="",E2108="!!!"),"",IF(NOT(ISNA(VLOOKUP(E2108,E$1:E2107,1,FALSE()))),"OLD",IF(AND(E2108&lt;&gt;"",E2108&lt;&gt;"!!!"),"NEW","")))</f>
        <v> </v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4" t="str">
        <f>IF(J2108&lt;&gt;1,"",IF(I2108="SBJ","CB","?"))</f>
        <v> </v>
      </c>
      <c r="I2108" s="25" t="str">
        <f>IF(OR(E2108="",E2108="!!!",F2108="NEW"),"",INDEX(B2107:B$2,-1+SUMPRODUCT(MAX(ROW(E2107:E$2)*(E2108=E2107:E$2)))))</f>
        <v> </v>
      </c>
      <c r="J2108" s="25" t="str">
        <f>IF(OR(E2108="",E2108="!!!",F2108="NEW"),"",COUNTBLANK(OFFSET(A$1,,,SUMPRODUCT(MAX(ROW(E$2:E2108)*(E2108=E$2:E2108)))))-COUNTBLANK(OFFSET(A$1,,,SUMPRODUCT(MAX(ROW(E$1:E2107)*(E2=E$1:E2107))))))</f>
        <v> </v>
      </c>
      <c r="K2108" s="25" t="str">
        <f>IF(OR(E2108="",E2108="!!!",F2108="NEW"),"",INDEX(J$1:J2107,SUMPRODUCT(MAX(ROW(E$1:E2107)*(E2108=E$1:E2107)))))</f>
        <v> </v>
      </c>
      <c r="L2108" s="26"/>
    </row>
    <row r="2109" spans="1:12">
      <c r="A2109" s="20"/>
    </row>
    <row r="2110" spans="1:12">
      <c r="A2110" s="20" t="s">
        <v>1810</v>
      </c>
    </row>
    <row r="2111" spans="1:12">
      <c r="A2111" s="20" t="s">
        <v>1811</v>
      </c>
      <c r="E2111" s="21">
        <f>IF(D2111="?OLD","!!!","")</f>
        <v/>
      </c>
      <c r="F2111" s="22" t="str">
        <f>IF(OR(E2111="",E2111="!!!"),"",IF(NOT(ISNA(VLOOKUP(E2111,E$1:E2110,1,FALSE()))),"OLD",IF(AND(E2111&lt;&gt;"",E2111&lt;&gt;"!!!"),"NEW","")))</f>
        <v> </v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4" t="str">
        <f>IF(J2111&lt;&gt;1,"",IF(I2111="SBJ","CB","?"))</f>
        <v> </v>
      </c>
      <c r="I2111" s="25" t="str">
        <f>IF(OR(E2111="",E2111="!!!",F2111="NEW"),"",INDEX(B2110:B$2,-1+SUMPRODUCT(MAX(ROW(E2110:E$2)*(E2111=E2110:E$2)))))</f>
        <v> </v>
      </c>
      <c r="J2111" s="25" t="str">
        <f>IF(OR(E2111="",E2111="!!!",F2111="NEW"),"",COUNTBLANK(OFFSET(A$1,,,SUMPRODUCT(MAX(ROW(E$2:E2111)*(E2111=E$2:E2111)))))-COUNTBLANK(OFFSET(A$1,,,SUMPRODUCT(MAX(ROW(E$1:E2110)*(E2=E$1:E2110))))))</f>
        <v> </v>
      </c>
      <c r="K2111" s="25" t="str">
        <f>IF(OR(E2111="",E2111="!!!",F2111="NEW"),"",INDEX(J$1:J2110,SUMPRODUCT(MAX(ROW(E$1:E2110)*(E2111=E$1:E2110)))))</f>
        <v> </v>
      </c>
      <c r="L2111" s="26"/>
    </row>
    <row r="2112" spans="1:12">
      <c r="A2112" s="20" t="s">
        <v>1777</v>
      </c>
      <c r="B2112" s="27" t="s">
        <v>1098</v>
      </c>
      <c r="C2112" s="27" t="s">
        <v>1033</v>
      </c>
      <c r="D2112" s="27" t="s">
        <v>1030</v>
      </c>
      <c r="E2112" s="21">
        <f>IF(D2112="?OLD","!!!","")</f>
        <v/>
      </c>
      <c r="F2112" s="22" t="str">
        <f>IF(OR(E2112="",E2112="!!!"),"",IF(NOT(ISNA(VLOOKUP(E2112,E$1:E2111,1,FALSE()))),"OLD",IF(AND(E2112&lt;&gt;"",E2112&lt;&gt;"!!!"),"NEW","")))</f>
        <v> </v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4" t="str">
        <f>IF(J2112&lt;&gt;1,"",IF(I2112="SBJ","CB","?"))</f>
        <v> </v>
      </c>
      <c r="I2112" s="25" t="str">
        <f>IF(OR(E2112="",E2112="!!!",F2112="NEW"),"",INDEX(B2111:B$2,-1+SUMPRODUCT(MAX(ROW(E2111:E$2)*(E2112=E2111:E$2)))))</f>
        <v> </v>
      </c>
      <c r="J2112" s="25" t="str">
        <f>IF(OR(E2112="",E2112="!!!",F2112="NEW"),"",COUNTBLANK(OFFSET(A$1,,,SUMPRODUCT(MAX(ROW(E$2:E2112)*(E2112=E$2:E2112)))))-COUNTBLANK(OFFSET(A$1,,,SUMPRODUCT(MAX(ROW(E$1:E2111)*(E2=E$1:E2111))))))</f>
        <v> </v>
      </c>
      <c r="K2112" s="25" t="str">
        <f>IF(OR(E2112="",E2112="!!!",F2112="NEW"),"",INDEX(J$1:J2111,SUMPRODUCT(MAX(ROW(E$1:E2111)*(E2112=E$1:E2111)))))</f>
        <v> </v>
      </c>
      <c r="L2112" s="26"/>
    </row>
    <row r="2113" spans="1:12">
      <c r="A2113" s="20" t="s">
        <v>1812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1025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1622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 t="s">
        <v>1813</v>
      </c>
      <c r="B2116" s="27" t="s">
        <v>1079</v>
      </c>
      <c r="C2116" s="27" t="s">
        <v>1021</v>
      </c>
      <c r="E2116" s="21">
        <f>IF(D2116="?OLD","!!!","")</f>
        <v/>
      </c>
      <c r="F2116" s="22" t="str">
        <f>IF(OR(E2116="",E2116="!!!"),"",IF(NOT(ISNA(VLOOKUP(E2116,E$1:E2115,1,FALSE()))),"OLD",IF(AND(E2116&lt;&gt;"",E2116&lt;&gt;"!!!"),"NEW","")))</f>
        <v> </v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4" t="str">
        <f>IF(J2116&lt;&gt;1,"",IF(I2116="SBJ","CB","?"))</f>
        <v> </v>
      </c>
      <c r="I2116" s="25" t="str">
        <f>IF(OR(E2116="",E2116="!!!",F2116="NEW"),"",INDEX(B2115:B$2,-1+SUMPRODUCT(MAX(ROW(E2115:E$2)*(E2116=E2115:E$2)))))</f>
        <v> </v>
      </c>
      <c r="J2116" s="25" t="str">
        <f>IF(OR(E2116="",E2116="!!!",F2116="NEW"),"",COUNTBLANK(OFFSET(A$1,,,SUMPRODUCT(MAX(ROW(E$2:E2116)*(E2116=E$2:E2116)))))-COUNTBLANK(OFFSET(A$1,,,SUMPRODUCT(MAX(ROW(E$1:E2115)*(E2=E$1:E2115))))))</f>
        <v> </v>
      </c>
      <c r="K2116" s="25" t="str">
        <f>IF(OR(E2116="",E2116="!!!",F2116="NEW"),"",INDEX(J$1:J2115,SUMPRODUCT(MAX(ROW(E$1:E2115)*(E2116=E$1:E2115)))))</f>
        <v> </v>
      </c>
      <c r="L2116" s="26"/>
    </row>
    <row r="2117" spans="1:12">
      <c r="A2117" s="20" t="s">
        <v>1463</v>
      </c>
      <c r="E2117" s="21">
        <f>IF(D2117="?OLD","!!!","")</f>
        <v/>
      </c>
      <c r="F2117" s="22" t="str">
        <f>IF(OR(E2117="",E2117="!!!"),"",IF(NOT(ISNA(VLOOKUP(E2117,E$1:E2116,1,FALSE()))),"OLD",IF(AND(E2117&lt;&gt;"",E2117&lt;&gt;"!!!"),"NEW","")))</f>
        <v> </v>
      </c>
      <c r="G2117" s="23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4" t="str">
        <f>IF(J2117&lt;&gt;1,"",IF(I2117="SBJ","CB","?"))</f>
        <v> </v>
      </c>
      <c r="I2117" s="25" t="str">
        <f>IF(OR(E2117="",E2117="!!!",F2117="NEW"),"",INDEX(B2116:B$2,-1+SUMPRODUCT(MAX(ROW(E2116:E$2)*(E2117=E2116:E$2)))))</f>
        <v> </v>
      </c>
      <c r="J2117" s="25" t="str">
        <f>IF(OR(E2117="",E2117="!!!",F2117="NEW"),"",COUNTBLANK(OFFSET(A$1,,,SUMPRODUCT(MAX(ROW(E$2:E2117)*(E2117=E$2:E2117)))))-COUNTBLANK(OFFSET(A$1,,,SUMPRODUCT(MAX(ROW(E$1:E2116)*(E2=E$1:E2116))))))</f>
        <v> </v>
      </c>
      <c r="K2117" s="25" t="str">
        <f>IF(OR(E2117="",E2117="!!!",F2117="NEW"),"",INDEX(J$1:J2116,SUMPRODUCT(MAX(ROW(E$1:E2116)*(E2117=E$1:E2116)))))</f>
        <v> </v>
      </c>
      <c r="L2117" s="26"/>
    </row>
    <row r="2118" spans="1:12">
      <c r="A2118" s="20" t="s">
        <v>1057</v>
      </c>
      <c r="E2118" s="21">
        <f>IF(D2118="?OLD","!!!","")</f>
        <v/>
      </c>
      <c r="F2118" s="22" t="str">
        <f>IF(OR(E2118="",E2118="!!!"),"",IF(NOT(ISNA(VLOOKUP(E2118,E$1:E2117,1,FALSE()))),"OLD",IF(AND(E2118&lt;&gt;"",E2118&lt;&gt;"!!!"),"NEW","")))</f>
        <v> </v>
      </c>
      <c r="G2118" s="23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4" t="str">
        <f>IF(J2118&lt;&gt;1,"",IF(I2118="SBJ","CB","?"))</f>
        <v> </v>
      </c>
      <c r="I2118" s="25" t="str">
        <f>IF(OR(E2118="",E2118="!!!",F2118="NEW"),"",INDEX(B2117:B$2,-1+SUMPRODUCT(MAX(ROW(E2117:E$2)*(E2118=E2117:E$2)))))</f>
        <v> </v>
      </c>
      <c r="J2118" s="25" t="str">
        <f>IF(OR(E2118="",E2118="!!!",F2118="NEW"),"",COUNTBLANK(OFFSET(A$1,,,SUMPRODUCT(MAX(ROW(E$2:E2118)*(E2118=E$2:E2118)))))-COUNTBLANK(OFFSET(A$1,,,SUMPRODUCT(MAX(ROW(E$1:E2117)*(E2=E$1:E2117))))))</f>
        <v> </v>
      </c>
      <c r="K2118" s="25" t="str">
        <f>IF(OR(E2118="",E2118="!!!",F2118="NEW"),"",INDEX(J$1:J2117,SUMPRODUCT(MAX(ROW(E$1:E2117)*(E2118=E$1:E2117)))))</f>
        <v> </v>
      </c>
      <c r="L2118" s="26"/>
    </row>
    <row r="2119" spans="1:12">
      <c r="A2119" s="20" t="s">
        <v>1196</v>
      </c>
      <c r="E2119" s="21">
        <f>IF(D2119="?OLD","!!!","")</f>
        <v/>
      </c>
      <c r="F2119" s="22" t="str">
        <f>IF(OR(E2119="",E2119="!!!"),"",IF(NOT(ISNA(VLOOKUP(E2119,E$1:E2118,1,FALSE()))),"OLD",IF(AND(E2119&lt;&gt;"",E2119&lt;&gt;"!!!"),"NEW","")))</f>
        <v> </v>
      </c>
      <c r="G2119" s="23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4" t="str">
        <f>IF(J2119&lt;&gt;1,"",IF(I2119="SBJ","CB","?"))</f>
        <v> </v>
      </c>
      <c r="I2119" s="25" t="str">
        <f>IF(OR(E2119="",E2119="!!!",F2119="NEW"),"",INDEX(B2118:B$2,-1+SUMPRODUCT(MAX(ROW(E2118:E$2)*(E2119=E2118:E$2)))))</f>
        <v> </v>
      </c>
      <c r="J2119" s="25" t="str">
        <f>IF(OR(E2119="",E2119="!!!",F2119="NEW"),"",COUNTBLANK(OFFSET(A$1,,,SUMPRODUCT(MAX(ROW(E$2:E2119)*(E2119=E$2:E2119)))))-COUNTBLANK(OFFSET(A$1,,,SUMPRODUCT(MAX(ROW(E$1:E2118)*(E2=E$1:E2118))))))</f>
        <v> </v>
      </c>
      <c r="K2119" s="25" t="str">
        <f>IF(OR(E2119="",E2119="!!!",F2119="NEW"),"",INDEX(J$1:J2118,SUMPRODUCT(MAX(ROW(E$1:E2118)*(E2119=E$1:E2118)))))</f>
        <v> </v>
      </c>
      <c r="L2119" s="26"/>
    </row>
    <row r="2120" spans="1:12">
      <c r="A2120" s="20" t="s">
        <v>497</v>
      </c>
      <c r="E2120" s="21">
        <f>IF(D2120="?OLD","!!!","")</f>
        <v/>
      </c>
      <c r="F2120" s="22" t="str">
        <f>IF(OR(E2120="",E2120="!!!"),"",IF(NOT(ISNA(VLOOKUP(E2120,E$1:E2119,1,FALSE()))),"OLD",IF(AND(E2120&lt;&gt;"",E2120&lt;&gt;"!!!"),"NEW","")))</f>
        <v> </v>
      </c>
      <c r="G2120" s="23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4" t="str">
        <f>IF(J2120&lt;&gt;1,"",IF(I2120="SBJ","CB","?"))</f>
        <v> </v>
      </c>
      <c r="I2120" s="25" t="str">
        <f>IF(OR(E2120="",E2120="!!!",F2120="NEW"),"",INDEX(B2119:B$2,-1+SUMPRODUCT(MAX(ROW(E2119:E$2)*(E2120=E2119:E$2)))))</f>
        <v> </v>
      </c>
      <c r="J2120" s="25" t="str">
        <f>IF(OR(E2120="",E2120="!!!",F2120="NEW"),"",COUNTBLANK(OFFSET(A$1,,,SUMPRODUCT(MAX(ROW(E$2:E2120)*(E2120=E$2:E2120)))))-COUNTBLANK(OFFSET(A$1,,,SUMPRODUCT(MAX(ROW(E$1:E2119)*(E2=E$1:E2119))))))</f>
        <v> </v>
      </c>
      <c r="K2120" s="25" t="str">
        <f>IF(OR(E2120="",E2120="!!!",F2120="NEW"),"",INDEX(J$1:J2119,SUMPRODUCT(MAX(ROW(E$1:E2119)*(E2120=E$1:E2119)))))</f>
        <v> </v>
      </c>
      <c r="L2120" s="26"/>
    </row>
    <row r="2121" spans="1:12">
      <c r="A2121" s="20" t="s">
        <v>1355</v>
      </c>
      <c r="E2121" s="21">
        <f>IF(D2121="?OLD","!!!","")</f>
        <v/>
      </c>
      <c r="F2121" s="22" t="str">
        <f>IF(OR(E2121="",E2121="!!!"),"",IF(NOT(ISNA(VLOOKUP(E2121,E$1:E2120,1,FALSE()))),"OLD",IF(AND(E2121&lt;&gt;"",E2121&lt;&gt;"!!!"),"NEW","")))</f>
        <v> </v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4" t="str">
        <f>IF(J2121&lt;&gt;1,"",IF(I2121="SBJ","CB","?"))</f>
        <v> </v>
      </c>
      <c r="I2121" s="25" t="str">
        <f>IF(OR(E2121="",E2121="!!!",F2121="NEW"),"",INDEX(B2120:B$2,-1+SUMPRODUCT(MAX(ROW(E2120:E$2)*(E2121=E2120:E$2)))))</f>
        <v> </v>
      </c>
      <c r="J2121" s="25" t="str">
        <f>IF(OR(E2121="",E2121="!!!",F2121="NEW"),"",COUNTBLANK(OFFSET(A$1,,,SUMPRODUCT(MAX(ROW(E$2:E2121)*(E2121=E$2:E2121)))))-COUNTBLANK(OFFSET(A$1,,,SUMPRODUCT(MAX(ROW(E$1:E2120)*(E2=E$1:E2120))))))</f>
        <v> </v>
      </c>
      <c r="K2121" s="25" t="str">
        <f>IF(OR(E2121="",E2121="!!!",F2121="NEW"),"",INDEX(J$1:J2120,SUMPRODUCT(MAX(ROW(E$1:E2120)*(E2121=E$1:E2120)))))</f>
        <v> </v>
      </c>
      <c r="L2121" s="26"/>
    </row>
    <row r="2122" spans="1:12">
      <c r="A2122" s="20" t="s">
        <v>1018</v>
      </c>
      <c r="E2122" s="21">
        <f>IF(D2122="?OLD","!!!","")</f>
        <v/>
      </c>
      <c r="F2122" s="22" t="str">
        <f>IF(OR(E2122="",E2122="!!!"),"",IF(NOT(ISNA(VLOOKUP(E2122,E$1:E2121,1,FALSE()))),"OLD",IF(AND(E2122&lt;&gt;"",E2122&lt;&gt;"!!!"),"NEW","")))</f>
        <v> </v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4" t="str">
        <f>IF(J2122&lt;&gt;1,"",IF(I2122="SBJ","CB","?"))</f>
        <v> </v>
      </c>
      <c r="I2122" s="25" t="str">
        <f>IF(OR(E2122="",E2122="!!!",F2122="NEW"),"",INDEX(B2121:B$2,-1+SUMPRODUCT(MAX(ROW(E2121:E$2)*(E2122=E2121:E$2)))))</f>
        <v> </v>
      </c>
      <c r="J2122" s="25" t="str">
        <f>IF(OR(E2122="",E2122="!!!",F2122="NEW"),"",COUNTBLANK(OFFSET(A$1,,,SUMPRODUCT(MAX(ROW(E$2:E2122)*(E2122=E$2:E2122)))))-COUNTBLANK(OFFSET(A$1,,,SUMPRODUCT(MAX(ROW(E$1:E2121)*(E2=E$1:E2121))))))</f>
        <v> </v>
      </c>
      <c r="K2122" s="25" t="str">
        <f>IF(OR(E2122="",E2122="!!!",F2122="NEW"),"",INDEX(J$1:J2121,SUMPRODUCT(MAX(ROW(E$1:E2121)*(E2122=E$1:E2121)))))</f>
        <v> </v>
      </c>
      <c r="L2122" s="26"/>
    </row>
    <row r="2123" spans="1:12">
      <c r="A2123" s="20" t="s">
        <v>1814</v>
      </c>
      <c r="B2123" s="27" t="s">
        <v>1045</v>
      </c>
      <c r="C2123" s="27" t="s">
        <v>1021</v>
      </c>
      <c r="E2123" s="21">
        <f>IF(D2123="?OLD","!!!","")</f>
        <v/>
      </c>
      <c r="F2123" s="22" t="str">
        <f>IF(OR(E2123="",E2123="!!!"),"",IF(NOT(ISNA(VLOOKUP(E2123,E$1:E2122,1,FALSE()))),"OLD",IF(AND(E2123&lt;&gt;"",E2123&lt;&gt;"!!!"),"NEW","")))</f>
        <v> </v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4" t="str">
        <f>IF(J2123&lt;&gt;1,"",IF(I2123="SBJ","CB","?"))</f>
        <v> </v>
      </c>
      <c r="I2123" s="25" t="str">
        <f>IF(OR(E2123="",E2123="!!!",F2123="NEW"),"",INDEX(B2122:B$2,-1+SUMPRODUCT(MAX(ROW(E2122:E$2)*(E2123=E2122:E$2)))))</f>
        <v> </v>
      </c>
      <c r="J2123" s="25" t="str">
        <f>IF(OR(E2123="",E2123="!!!",F2123="NEW"),"",COUNTBLANK(OFFSET(A$1,,,SUMPRODUCT(MAX(ROW(E$2:E2123)*(E2123=E$2:E2123)))))-COUNTBLANK(OFFSET(A$1,,,SUMPRODUCT(MAX(ROW(E$1:E2122)*(E2=E$1:E2122))))))</f>
        <v> </v>
      </c>
      <c r="K2123" s="25" t="str">
        <f>IF(OR(E2123="",E2123="!!!",F2123="NEW"),"",INDEX(J$1:J2122,SUMPRODUCT(MAX(ROW(E$1:E2122)*(E2123=E$1:E2122)))))</f>
        <v> </v>
      </c>
      <c r="L2123" s="26"/>
    </row>
    <row r="2124" spans="1:12">
      <c r="A2124" s="20" t="s">
        <v>1815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135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/>
    </row>
    <row r="2127" spans="1:12">
      <c r="A2127" s="20" t="s">
        <v>1816</v>
      </c>
    </row>
    <row r="2128" spans="1:12">
      <c r="A2128" s="20" t="s">
        <v>1116</v>
      </c>
      <c r="B2128" s="27" t="s">
        <v>1014</v>
      </c>
      <c r="C2128" s="27" t="s">
        <v>1050</v>
      </c>
      <c r="D2128" s="27" t="s">
        <v>1030</v>
      </c>
      <c r="E2128" s="21">
        <f>IF(D2128="?OLD","!!!","")</f>
        <v/>
      </c>
      <c r="F2128" s="22" t="str">
        <f>IF(OR(E2128="",E2128="!!!"),"",IF(NOT(ISNA(VLOOKUP(E2128,E$1:E2127,1,FALSE()))),"OLD",IF(AND(E2128&lt;&gt;"",E2128&lt;&gt;"!!!"),"NEW","")))</f>
        <v> </v>
      </c>
      <c r="G2128" s="23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4" t="str">
        <f>IF(J2128&lt;&gt;1,"",IF(I2128="SBJ","CB","?"))</f>
        <v> </v>
      </c>
      <c r="I2128" s="25" t="str">
        <f>IF(OR(E2128="",E2128="!!!",F2128="NEW"),"",INDEX(B2127:B$2,-1+SUMPRODUCT(MAX(ROW(E2127:E$2)*(E2128=E2127:E$2)))))</f>
        <v> </v>
      </c>
      <c r="J2128" s="25" t="str">
        <f>IF(OR(E2128="",E2128="!!!",F2128="NEW"),"",COUNTBLANK(OFFSET(A$1,,,SUMPRODUCT(MAX(ROW(E$2:E2128)*(E2128=E$2:E2128)))))-COUNTBLANK(OFFSET(A$1,,,SUMPRODUCT(MAX(ROW(E$1:E2127)*(E2=E$1:E2127))))))</f>
        <v> </v>
      </c>
      <c r="K2128" s="25" t="str">
        <f>IF(OR(E2128="",E2128="!!!",F2128="NEW"),"",INDEX(J$1:J2127,SUMPRODUCT(MAX(ROW(E$1:E2127)*(E2128=E$1:E2127)))))</f>
        <v> </v>
      </c>
      <c r="L2128" s="26"/>
    </row>
    <row r="2129" spans="1:12">
      <c r="A2129" s="20" t="s">
        <v>1817</v>
      </c>
      <c r="E2129" s="21">
        <f>IF(D2129="?OLD","!!!","")</f>
        <v/>
      </c>
      <c r="F2129" s="22" t="str">
        <f>IF(OR(E2129="",E2129="!!!"),"",IF(NOT(ISNA(VLOOKUP(E2129,E$1:E2128,1,FALSE()))),"OLD",IF(AND(E2129&lt;&gt;"",E2129&lt;&gt;"!!!"),"NEW","")))</f>
        <v> </v>
      </c>
      <c r="G2129" s="23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4" t="str">
        <f>IF(J2129&lt;&gt;1,"",IF(I2129="SBJ","CB","?"))</f>
        <v> </v>
      </c>
      <c r="I2129" s="25" t="str">
        <f>IF(OR(E2129="",E2129="!!!",F2129="NEW"),"",INDEX(B2128:B$2,-1+SUMPRODUCT(MAX(ROW(E2128:E$2)*(E2129=E2128:E$2)))))</f>
        <v> </v>
      </c>
      <c r="J2129" s="25" t="str">
        <f>IF(OR(E2129="",E2129="!!!",F2129="NEW"),"",COUNTBLANK(OFFSET(A$1,,,SUMPRODUCT(MAX(ROW(E$2:E2129)*(E2129=E$2:E2129)))))-COUNTBLANK(OFFSET(A$1,,,SUMPRODUCT(MAX(ROW(E$1:E2128)*(E2=E$1:E2128))))))</f>
        <v> </v>
      </c>
      <c r="K2129" s="25" t="str">
        <f>IF(OR(E2129="",E2129="!!!",F2129="NEW"),"",INDEX(J$1:J2128,SUMPRODUCT(MAX(ROW(E$1:E2128)*(E2129=E$1:E2128)))))</f>
        <v> </v>
      </c>
      <c r="L2129" s="26"/>
    </row>
    <row r="2130" spans="1:12">
      <c r="A2130" s="20" t="s">
        <v>1074</v>
      </c>
      <c r="E2130" s="21">
        <f>IF(D2130="?OLD","!!!","")</f>
        <v/>
      </c>
      <c r="F2130" s="22" t="str">
        <f>IF(OR(E2130="",E2130="!!!"),"",IF(NOT(ISNA(VLOOKUP(E2130,E$1:E2129,1,FALSE()))),"OLD",IF(AND(E2130&lt;&gt;"",E2130&lt;&gt;"!!!"),"NEW","")))</f>
        <v> </v>
      </c>
      <c r="G2130" s="23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4" t="str">
        <f>IF(J2130&lt;&gt;1,"",IF(I2130="SBJ","CB","?"))</f>
        <v> </v>
      </c>
      <c r="I2130" s="25" t="str">
        <f>IF(OR(E2130="",E2130="!!!",F2130="NEW"),"",INDEX(B2129:B$2,-1+SUMPRODUCT(MAX(ROW(E2129:E$2)*(E2130=E2129:E$2)))))</f>
        <v> </v>
      </c>
      <c r="J2130" s="25" t="str">
        <f>IF(OR(E2130="",E2130="!!!",F2130="NEW"),"",COUNTBLANK(OFFSET(A$1,,,SUMPRODUCT(MAX(ROW(E$2:E2130)*(E2130=E$2:E2130)))))-COUNTBLANK(OFFSET(A$1,,,SUMPRODUCT(MAX(ROW(E$1:E2129)*(E2=E$1:E2129))))))</f>
        <v> </v>
      </c>
      <c r="K2130" s="25" t="str">
        <f>IF(OR(E2130="",E2130="!!!",F2130="NEW"),"",INDEX(J$1:J2129,SUMPRODUCT(MAX(ROW(E$1:E2129)*(E2130=E$1:E2129)))))</f>
        <v> </v>
      </c>
      <c r="L2130" s="26"/>
    </row>
    <row r="2131" spans="1:12">
      <c r="A2131" s="20" t="s">
        <v>1818</v>
      </c>
      <c r="B2131" s="27" t="s">
        <v>1045</v>
      </c>
      <c r="C2131" s="27" t="s">
        <v>1015</v>
      </c>
      <c r="E2131" s="21">
        <f>IF(D2131="?OLD","!!!","")</f>
        <v/>
      </c>
      <c r="F2131" s="22" t="str">
        <f>IF(OR(E2131="",E2131="!!!"),"",IF(NOT(ISNA(VLOOKUP(E2131,E$1:E2130,1,FALSE()))),"OLD",IF(AND(E2131&lt;&gt;"",E2131&lt;&gt;"!!!"),"NEW","")))</f>
        <v> </v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4" t="str">
        <f>IF(J2131&lt;&gt;1,"",IF(I2131="SBJ","CB","?"))</f>
        <v> </v>
      </c>
      <c r="I2131" s="25" t="str">
        <f>IF(OR(E2131="",E2131="!!!",F2131="NEW"),"",INDEX(B2130:B$2,-1+SUMPRODUCT(MAX(ROW(E2130:E$2)*(E2131=E2130:E$2)))))</f>
        <v> </v>
      </c>
      <c r="J2131" s="25" t="str">
        <f>IF(OR(E2131="",E2131="!!!",F2131="NEW"),"",COUNTBLANK(OFFSET(A$1,,,SUMPRODUCT(MAX(ROW(E$2:E2131)*(E2131=E$2:E2131)))))-COUNTBLANK(OFFSET(A$1,,,SUMPRODUCT(MAX(ROW(E$1:E2130)*(E2=E$1:E2130))))))</f>
        <v> </v>
      </c>
      <c r="K2131" s="25" t="str">
        <f>IF(OR(E2131="",E2131="!!!",F2131="NEW"),"",INDEX(J$1:J2130,SUMPRODUCT(MAX(ROW(E$1:E2130)*(E2131=E$1:E2130)))))</f>
        <v> </v>
      </c>
      <c r="L2131" s="26"/>
    </row>
    <row r="2132" spans="1:12">
      <c r="A2132" s="20" t="s">
        <v>505</v>
      </c>
      <c r="E2132" s="21">
        <f>IF(D2132="?OLD","!!!","")</f>
        <v/>
      </c>
      <c r="F2132" s="22" t="str">
        <f>IF(OR(E2132="",E2132="!!!"),"",IF(NOT(ISNA(VLOOKUP(E2132,E$1:E2131,1,FALSE()))),"OLD",IF(AND(E2132&lt;&gt;"",E2132&lt;&gt;"!!!"),"NEW","")))</f>
        <v> </v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4" t="str">
        <f>IF(J2132&lt;&gt;1,"",IF(I2132="SBJ","CB","?"))</f>
        <v> </v>
      </c>
      <c r="I2132" s="25" t="str">
        <f>IF(OR(E2132="",E2132="!!!",F2132="NEW"),"",INDEX(B2131:B$2,-1+SUMPRODUCT(MAX(ROW(E2131:E$2)*(E2132=E2131:E$2)))))</f>
        <v> </v>
      </c>
      <c r="J2132" s="25" t="str">
        <f>IF(OR(E2132="",E2132="!!!",F2132="NEW"),"",COUNTBLANK(OFFSET(A$1,,,SUMPRODUCT(MAX(ROW(E$2:E2132)*(E2132=E$2:E2132)))))-COUNTBLANK(OFFSET(A$1,,,SUMPRODUCT(MAX(ROW(E$1:E2131)*(E2=E$1:E2131))))))</f>
        <v> </v>
      </c>
      <c r="K2132" s="25" t="str">
        <f>IF(OR(E2132="",E2132="!!!",F2132="NEW"),"",INDEX(J$1:J2131,SUMPRODUCT(MAX(ROW(E$1:E2131)*(E2132=E$1:E2131)))))</f>
        <v> </v>
      </c>
      <c r="L2132" s="26"/>
    </row>
    <row r="2133" spans="1:12">
      <c r="A2133" s="20" t="s">
        <v>1214</v>
      </c>
      <c r="E2133" s="21">
        <f>IF(D2133="?OLD","!!!","")</f>
        <v/>
      </c>
      <c r="F2133" s="22" t="str">
        <f>IF(OR(E2133="",E2133="!!!"),"",IF(NOT(ISNA(VLOOKUP(E2133,E$1:E2132,1,FALSE()))),"OLD",IF(AND(E2133&lt;&gt;"",E2133&lt;&gt;"!!!"),"NEW","")))</f>
        <v> </v>
      </c>
      <c r="G2133" s="23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4" t="str">
        <f>IF(J2133&lt;&gt;1,"",IF(I2133="SBJ","CB","?"))</f>
        <v> </v>
      </c>
      <c r="I2133" s="25" t="str">
        <f>IF(OR(E2133="",E2133="!!!",F2133="NEW"),"",INDEX(B2132:B$2,-1+SUMPRODUCT(MAX(ROW(E2132:E$2)*(E2133=E2132:E$2)))))</f>
        <v> </v>
      </c>
      <c r="J2133" s="25" t="str">
        <f>IF(OR(E2133="",E2133="!!!",F2133="NEW"),"",COUNTBLANK(OFFSET(A$1,,,SUMPRODUCT(MAX(ROW(E$2:E2133)*(E2133=E$2:E2133)))))-COUNTBLANK(OFFSET(A$1,,,SUMPRODUCT(MAX(ROW(E$1:E2132)*(E2=E$1:E2132))))))</f>
        <v> </v>
      </c>
      <c r="K2133" s="25" t="str">
        <f>IF(OR(E2133="",E2133="!!!",F2133="NEW"),"",INDEX(J$1:J2132,SUMPRODUCT(MAX(ROW(E$1:E2132)*(E2133=E$1:E2132)))))</f>
        <v> </v>
      </c>
      <c r="L2133" s="26"/>
    </row>
    <row r="2134" spans="1:12">
      <c r="A2134" s="20" t="s">
        <v>1577</v>
      </c>
      <c r="E2134" s="21">
        <f>IF(D2134="?OLD","!!!","")</f>
        <v/>
      </c>
      <c r="F2134" s="22" t="str">
        <f>IF(OR(E2134="",E2134="!!!"),"",IF(NOT(ISNA(VLOOKUP(E2134,E$1:E2133,1,FALSE()))),"OLD",IF(AND(E2134&lt;&gt;"",E2134&lt;&gt;"!!!"),"NEW","")))</f>
        <v> </v>
      </c>
      <c r="G2134" s="23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4" t="str">
        <f>IF(J2134&lt;&gt;1,"",IF(I2134="SBJ","CB","?"))</f>
        <v> </v>
      </c>
      <c r="I2134" s="25" t="str">
        <f>IF(OR(E2134="",E2134="!!!",F2134="NEW"),"",INDEX(B2133:B$2,-1+SUMPRODUCT(MAX(ROW(E2133:E$2)*(E2134=E2133:E$2)))))</f>
        <v> </v>
      </c>
      <c r="J2134" s="25" t="str">
        <f>IF(OR(E2134="",E2134="!!!",F2134="NEW"),"",COUNTBLANK(OFFSET(A$1,,,SUMPRODUCT(MAX(ROW(E$2:E2134)*(E2134=E$2:E2134)))))-COUNTBLANK(OFFSET(A$1,,,SUMPRODUCT(MAX(ROW(E$1:E2133)*(E2=E$1:E2133))))))</f>
        <v> </v>
      </c>
      <c r="K2134" s="25" t="str">
        <f>IF(OR(E2134="",E2134="!!!",F2134="NEW"),"",INDEX(J$1:J2133,SUMPRODUCT(MAX(ROW(E$1:E2133)*(E2134=E$1:E2133)))))</f>
        <v> </v>
      </c>
      <c r="L2134" s="26"/>
    </row>
    <row r="2135" spans="1:12">
      <c r="A2135" s="20" t="s">
        <v>1819</v>
      </c>
      <c r="B2135" s="27" t="s">
        <v>1079</v>
      </c>
      <c r="C2135" s="27" t="s">
        <v>1070</v>
      </c>
      <c r="E2135" s="21">
        <f>IF(D2135="?OLD","!!!","")</f>
        <v/>
      </c>
      <c r="F2135" s="22" t="str">
        <f>IF(OR(E2135="",E2135="!!!"),"",IF(NOT(ISNA(VLOOKUP(E2135,E$1:E2134,1,FALSE()))),"OLD",IF(AND(E2135&lt;&gt;"",E2135&lt;&gt;"!!!"),"NEW","")))</f>
        <v> </v>
      </c>
      <c r="G2135" s="23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4" t="str">
        <f>IF(J2135&lt;&gt;1,"",IF(I2135="SBJ","CB","?"))</f>
        <v> </v>
      </c>
      <c r="I2135" s="25" t="str">
        <f>IF(OR(E2135="",E2135="!!!",F2135="NEW"),"",INDEX(B2134:B$2,-1+SUMPRODUCT(MAX(ROW(E2134:E$2)*(E2135=E2134:E$2)))))</f>
        <v> </v>
      </c>
      <c r="J2135" s="25" t="str">
        <f>IF(OR(E2135="",E2135="!!!",F2135="NEW"),"",COUNTBLANK(OFFSET(A$1,,,SUMPRODUCT(MAX(ROW(E$2:E2135)*(E2135=E$2:E2135)))))-COUNTBLANK(OFFSET(A$1,,,SUMPRODUCT(MAX(ROW(E$1:E2134)*(E2=E$1:E2134))))))</f>
        <v> </v>
      </c>
      <c r="K2135" s="25" t="str">
        <f>IF(OR(E2135="",E2135="!!!",F2135="NEW"),"",INDEX(J$1:J2134,SUMPRODUCT(MAX(ROW(E$1:E2134)*(E2135=E$1:E2134)))))</f>
        <v> </v>
      </c>
      <c r="L2135" s="26"/>
    </row>
    <row r="2136" spans="1:12">
      <c r="A2136" s="20" t="s">
        <v>1820</v>
      </c>
      <c r="E2136" s="21">
        <f>IF(D2136="?OLD","!!!","")</f>
        <v/>
      </c>
      <c r="F2136" s="22" t="str">
        <f>IF(OR(E2136="",E2136="!!!"),"",IF(NOT(ISNA(VLOOKUP(E2136,E$1:E2135,1,FALSE()))),"OLD",IF(AND(E2136&lt;&gt;"",E2136&lt;&gt;"!!!"),"NEW","")))</f>
        <v> </v>
      </c>
      <c r="G2136" s="23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4" t="str">
        <f>IF(J2136&lt;&gt;1,"",IF(I2136="SBJ","CB","?"))</f>
        <v> </v>
      </c>
      <c r="I2136" s="25" t="str">
        <f>IF(OR(E2136="",E2136="!!!",F2136="NEW"),"",INDEX(B2135:B$2,-1+SUMPRODUCT(MAX(ROW(E2135:E$2)*(E2136=E2135:E$2)))))</f>
        <v> </v>
      </c>
      <c r="J2136" s="25" t="str">
        <f>IF(OR(E2136="",E2136="!!!",F2136="NEW"),"",COUNTBLANK(OFFSET(A$1,,,SUMPRODUCT(MAX(ROW(E$2:E2136)*(E2136=E$2:E2136)))))-COUNTBLANK(OFFSET(A$1,,,SUMPRODUCT(MAX(ROW(E$1:E2135)*(E2=E$1:E2135))))))</f>
        <v> </v>
      </c>
      <c r="K2136" s="25" t="str">
        <f>IF(OR(E2136="",E2136="!!!",F2136="NEW"),"",INDEX(J$1:J2135,SUMPRODUCT(MAX(ROW(E$1:E2135)*(E2136=E$1:E2135)))))</f>
        <v> </v>
      </c>
      <c r="L2136" s="26"/>
    </row>
    <row r="2137" spans="1:12">
      <c r="A2137" s="20" t="s">
        <v>1080</v>
      </c>
      <c r="B2137" s="27" t="s">
        <v>1069</v>
      </c>
      <c r="C2137" s="27" t="s">
        <v>1050</v>
      </c>
      <c r="D2137" s="27" t="s">
        <v>1030</v>
      </c>
      <c r="E2137" s="21">
        <f>IF(D2137="?OLD","!!!","")</f>
        <v/>
      </c>
      <c r="F2137" s="22" t="str">
        <f>IF(OR(E2137="",E2137="!!!"),"",IF(NOT(ISNA(VLOOKUP(E2137,E$1:E2136,1,FALSE()))),"OLD",IF(AND(E2137&lt;&gt;"",E2137&lt;&gt;"!!!"),"NEW","")))</f>
        <v> </v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4" t="str">
        <f>IF(J2137&lt;&gt;1,"",IF(I2137="SBJ","CB","?"))</f>
        <v> </v>
      </c>
      <c r="I2137" s="25" t="str">
        <f>IF(OR(E2137="",E2137="!!!",F2137="NEW"),"",INDEX(B2136:B$2,-1+SUMPRODUCT(MAX(ROW(E2136:E$2)*(E2137=E2136:E$2)))))</f>
        <v> </v>
      </c>
      <c r="J2137" s="25" t="str">
        <f>IF(OR(E2137="",E2137="!!!",F2137="NEW"),"",COUNTBLANK(OFFSET(A$1,,,SUMPRODUCT(MAX(ROW(E$2:E2137)*(E2137=E$2:E2137)))))-COUNTBLANK(OFFSET(A$1,,,SUMPRODUCT(MAX(ROW(E$1:E2136)*(E2=E$1:E2136))))))</f>
        <v> </v>
      </c>
      <c r="K2137" s="25" t="str">
        <f>IF(OR(E2137="",E2137="!!!",F2137="NEW"),"",INDEX(J$1:J2136,SUMPRODUCT(MAX(ROW(E$1:E2136)*(E2137=E$1:E2136)))))</f>
        <v> </v>
      </c>
      <c r="L2137" s="26"/>
    </row>
    <row r="2138" spans="1:12">
      <c r="A2138" s="20" t="s">
        <v>1094</v>
      </c>
      <c r="B2138" s="27" t="s">
        <v>1146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1821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 t="s">
        <v>1059</v>
      </c>
      <c r="E2140" s="21">
        <f>IF(D2140="?OLD","!!!","")</f>
        <v/>
      </c>
      <c r="F2140" s="22" t="str">
        <f>IF(OR(E2140="",E2140="!!!"),"",IF(NOT(ISNA(VLOOKUP(E2140,E$1:E2139,1,FALSE()))),"OLD",IF(AND(E2140&lt;&gt;"",E2140&lt;&gt;"!!!"),"NEW","")))</f>
        <v> </v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4" t="str">
        <f>IF(J2140&lt;&gt;1,"",IF(I2140="SBJ","CB","?"))</f>
        <v> </v>
      </c>
      <c r="I2140" s="25" t="str">
        <f>IF(OR(E2140="",E2140="!!!",F2140="NEW"),"",INDEX(B2139:B$2,-1+SUMPRODUCT(MAX(ROW(E2139:E$2)*(E2140=E2139:E$2)))))</f>
        <v> </v>
      </c>
      <c r="J2140" s="25" t="str">
        <f>IF(OR(E2140="",E2140="!!!",F2140="NEW"),"",COUNTBLANK(OFFSET(A$1,,,SUMPRODUCT(MAX(ROW(E$2:E2140)*(E2140=E$2:E2140)))))-COUNTBLANK(OFFSET(A$1,,,SUMPRODUCT(MAX(ROW(E$1:E2139)*(E2=E$1:E2139))))))</f>
        <v> </v>
      </c>
      <c r="K2140" s="25" t="str">
        <f>IF(OR(E2140="",E2140="!!!",F2140="NEW"),"",INDEX(J$1:J2139,SUMPRODUCT(MAX(ROW(E$1:E2139)*(E2140=E$1:E2139)))))</f>
        <v> </v>
      </c>
      <c r="L2140" s="26"/>
    </row>
    <row r="2141" spans="1:12">
      <c r="A2141" s="20" t="s">
        <v>1075</v>
      </c>
      <c r="E2141" s="21">
        <f>IF(D2141="?OLD","!!!","")</f>
        <v/>
      </c>
      <c r="F2141" s="22" t="str">
        <f>IF(OR(E2141="",E2141="!!!"),"",IF(NOT(ISNA(VLOOKUP(E2141,E$1:E2140,1,FALSE()))),"OLD",IF(AND(E2141&lt;&gt;"",E2141&lt;&gt;"!!!"),"NEW","")))</f>
        <v> </v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4" t="str">
        <f>IF(J2141&lt;&gt;1,"",IF(I2141="SBJ","CB","?"))</f>
        <v> </v>
      </c>
      <c r="I2141" s="25" t="str">
        <f>IF(OR(E2141="",E2141="!!!",F2141="NEW"),"",INDEX(B2140:B$2,-1+SUMPRODUCT(MAX(ROW(E2140:E$2)*(E2141=E2140:E$2)))))</f>
        <v> </v>
      </c>
      <c r="J2141" s="25" t="str">
        <f>IF(OR(E2141="",E2141="!!!",F2141="NEW"),"",COUNTBLANK(OFFSET(A$1,,,SUMPRODUCT(MAX(ROW(E$2:E2141)*(E2141=E$2:E2141)))))-COUNTBLANK(OFFSET(A$1,,,SUMPRODUCT(MAX(ROW(E$1:E2140)*(E2=E$1:E2140))))))</f>
        <v> </v>
      </c>
      <c r="K2141" s="25" t="str">
        <f>IF(OR(E2141="",E2141="!!!",F2141="NEW"),"",INDEX(J$1:J2140,SUMPRODUCT(MAX(ROW(E$1:E2140)*(E2141=E$1:E2140)))))</f>
        <v> </v>
      </c>
      <c r="L2141" s="26"/>
    </row>
    <row r="2142" spans="1:12">
      <c r="A2142" s="20" t="s">
        <v>1762</v>
      </c>
      <c r="B2142" s="27" t="s">
        <v>1028</v>
      </c>
      <c r="C2142" s="27" t="s">
        <v>1077</v>
      </c>
      <c r="D2142" s="27" t="s">
        <v>1030</v>
      </c>
      <c r="E2142" s="21">
        <f>IF(D2142="?OLD","!!!","")</f>
        <v/>
      </c>
      <c r="F2142" s="22" t="str">
        <f>IF(OR(E2142="",E2142="!!!"),"",IF(NOT(ISNA(VLOOKUP(E2142,E$1:E2141,1,FALSE()))),"OLD",IF(AND(E2142&lt;&gt;"",E2142&lt;&gt;"!!!"),"NEW","")))</f>
        <v> </v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4" t="str">
        <f>IF(J2142&lt;&gt;1,"",IF(I2142="SBJ","CB","?"))</f>
        <v> </v>
      </c>
      <c r="I2142" s="25" t="str">
        <f>IF(OR(E2142="",E2142="!!!",F2142="NEW"),"",INDEX(B2141:B$2,-1+SUMPRODUCT(MAX(ROW(E2141:E$2)*(E2142=E2141:E$2)))))</f>
        <v> </v>
      </c>
      <c r="J2142" s="25" t="str">
        <f>IF(OR(E2142="",E2142="!!!",F2142="NEW"),"",COUNTBLANK(OFFSET(A$1,,,SUMPRODUCT(MAX(ROW(E$2:E2142)*(E2142=E$2:E2142)))))-COUNTBLANK(OFFSET(A$1,,,SUMPRODUCT(MAX(ROW(E$1:E2141)*(E2=E$1:E2141))))))</f>
        <v> </v>
      </c>
      <c r="K2142" s="25" t="str">
        <f>IF(OR(E2142="",E2142="!!!",F2142="NEW"),"",INDEX(J$1:J2141,SUMPRODUCT(MAX(ROW(E$1:E2141)*(E2142=E$1:E2141)))))</f>
        <v> </v>
      </c>
      <c r="L2142" s="26"/>
    </row>
    <row r="2143" spans="1:12">
      <c r="A2143" s="20" t="s">
        <v>1822</v>
      </c>
      <c r="B2143" s="27" t="s">
        <v>1460</v>
      </c>
      <c r="C2143" s="27" t="s">
        <v>1038</v>
      </c>
      <c r="D2143" s="27" t="s">
        <v>1030</v>
      </c>
      <c r="E2143" s="21">
        <f>IF(D2143="?OLD","!!!","")</f>
        <v/>
      </c>
      <c r="F2143" s="22" t="str">
        <f>IF(OR(E2143="",E2143="!!!"),"",IF(NOT(ISNA(VLOOKUP(E2143,E$1:E2142,1,FALSE()))),"OLD",IF(AND(E2143&lt;&gt;"",E2143&lt;&gt;"!!!"),"NEW","")))</f>
        <v> </v>
      </c>
      <c r="G2143" s="23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4" t="str">
        <f>IF(J2143&lt;&gt;1,"",IF(I2143="SBJ","CB","?"))</f>
        <v> </v>
      </c>
      <c r="I2143" s="25" t="str">
        <f>IF(OR(E2143="",E2143="!!!",F2143="NEW"),"",INDEX(B2142:B$2,-1+SUMPRODUCT(MAX(ROW(E2142:E$2)*(E2143=E2142:E$2)))))</f>
        <v> </v>
      </c>
      <c r="J2143" s="25" t="str">
        <f>IF(OR(E2143="",E2143="!!!",F2143="NEW"),"",COUNTBLANK(OFFSET(A$1,,,SUMPRODUCT(MAX(ROW(E$2:E2143)*(E2143=E$2:E2143)))))-COUNTBLANK(OFFSET(A$1,,,SUMPRODUCT(MAX(ROW(E$1:E2142)*(E2=E$1:E2142))))))</f>
        <v> </v>
      </c>
      <c r="K2143" s="25" t="str">
        <f>IF(OR(E2143="",E2143="!!!",F2143="NEW"),"",INDEX(J$1:J2142,SUMPRODUCT(MAX(ROW(E$1:E2142)*(E2143=E$1:E2142)))))</f>
        <v> </v>
      </c>
      <c r="L2143" s="26"/>
    </row>
    <row r="2144" spans="1:12">
      <c r="A2144" s="20" t="s">
        <v>1135</v>
      </c>
      <c r="E2144" s="21">
        <f>IF(D2144="?OLD","!!!","")</f>
        <v/>
      </c>
      <c r="F2144" s="22" t="str">
        <f>IF(OR(E2144="",E2144="!!!"),"",IF(NOT(ISNA(VLOOKUP(E2144,E$1:E2143,1,FALSE()))),"OLD",IF(AND(E2144&lt;&gt;"",E2144&lt;&gt;"!!!"),"NEW","")))</f>
        <v> </v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4" t="str">
        <f>IF(J2144&lt;&gt;1,"",IF(I2144="SBJ","CB","?"))</f>
        <v> </v>
      </c>
      <c r="I2144" s="25" t="str">
        <f>IF(OR(E2144="",E2144="!!!",F2144="NEW"),"",INDEX(B2143:B$2,-1+SUMPRODUCT(MAX(ROW(E2143:E$2)*(E2144=E2143:E$2)))))</f>
        <v> </v>
      </c>
      <c r="J2144" s="25" t="str">
        <f>IF(OR(E2144="",E2144="!!!",F2144="NEW"),"",COUNTBLANK(OFFSET(A$1,,,SUMPRODUCT(MAX(ROW(E$2:E2144)*(E2144=E$2:E2144)))))-COUNTBLANK(OFFSET(A$1,,,SUMPRODUCT(MAX(ROW(E$1:E2143)*(E2=E$1:E2143))))))</f>
        <v> </v>
      </c>
      <c r="K2144" s="25" t="str">
        <f>IF(OR(E2144="",E2144="!!!",F2144="NEW"),"",INDEX(J$1:J2143,SUMPRODUCT(MAX(ROW(E$1:E2143)*(E2144=E$1:E2143)))))</f>
        <v> </v>
      </c>
      <c r="L2144" s="26"/>
    </row>
    <row r="2145" spans="1:12">
      <c r="A2145" s="20" t="s">
        <v>1074</v>
      </c>
      <c r="E2145" s="21">
        <f>IF(D2145="?OLD","!!!","")</f>
        <v/>
      </c>
      <c r="F2145" s="22" t="str">
        <f>IF(OR(E2145="",E2145="!!!"),"",IF(NOT(ISNA(VLOOKUP(E2145,E$1:E2144,1,FALSE()))),"OLD",IF(AND(E2145&lt;&gt;"",E2145&lt;&gt;"!!!"),"NEW","")))</f>
        <v> </v>
      </c>
      <c r="G2145" s="23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4" t="str">
        <f>IF(J2145&lt;&gt;1,"",IF(I2145="SBJ","CB","?"))</f>
        <v> </v>
      </c>
      <c r="I2145" s="25" t="str">
        <f>IF(OR(E2145="",E2145="!!!",F2145="NEW"),"",INDEX(B2144:B$2,-1+SUMPRODUCT(MAX(ROW(E2144:E$2)*(E2145=E2144:E$2)))))</f>
        <v> </v>
      </c>
      <c r="J2145" s="25" t="str">
        <f>IF(OR(E2145="",E2145="!!!",F2145="NEW"),"",COUNTBLANK(OFFSET(A$1,,,SUMPRODUCT(MAX(ROW(E$2:E2145)*(E2145=E$2:E2145)))))-COUNTBLANK(OFFSET(A$1,,,SUMPRODUCT(MAX(ROW(E$1:E2144)*(E2=E$1:E2144))))))</f>
        <v> </v>
      </c>
      <c r="K2145" s="25" t="str">
        <f>IF(OR(E2145="",E2145="!!!",F2145="NEW"),"",INDEX(J$1:J2144,SUMPRODUCT(MAX(ROW(E$1:E2144)*(E2145=E$1:E2144)))))</f>
        <v> </v>
      </c>
      <c r="L2145" s="26"/>
    </row>
    <row r="2146" spans="1:12">
      <c r="A2146" s="20" t="s">
        <v>1823</v>
      </c>
      <c r="B2146" s="27" t="s">
        <v>1035</v>
      </c>
      <c r="C2146" s="27" t="s">
        <v>1015</v>
      </c>
      <c r="E2146" s="21">
        <f>IF(D2146="?OLD","!!!","")</f>
        <v/>
      </c>
      <c r="F2146" s="22" t="str">
        <f>IF(OR(E2146="",E2146="!!!"),"",IF(NOT(ISNA(VLOOKUP(E2146,E$1:E2145,1,FALSE()))),"OLD",IF(AND(E2146&lt;&gt;"",E2146&lt;&gt;"!!!"),"NEW","")))</f>
        <v> </v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4" t="str">
        <f>IF(J2146&lt;&gt;1,"",IF(I2146="SBJ","CB","?"))</f>
        <v> </v>
      </c>
      <c r="I2146" s="25" t="str">
        <f>IF(OR(E2146="",E2146="!!!",F2146="NEW"),"",INDEX(B2145:B$2,-1+SUMPRODUCT(MAX(ROW(E2145:E$2)*(E2146=E2145:E$2)))))</f>
        <v> </v>
      </c>
      <c r="J2146" s="25" t="str">
        <f>IF(OR(E2146="",E2146="!!!",F2146="NEW"),"",COUNTBLANK(OFFSET(A$1,,,SUMPRODUCT(MAX(ROW(E$2:E2146)*(E2146=E$2:E2146)))))-COUNTBLANK(OFFSET(A$1,,,SUMPRODUCT(MAX(ROW(E$1:E2145)*(E2=E$1:E2145))))))</f>
        <v> </v>
      </c>
      <c r="K2146" s="25" t="str">
        <f>IF(OR(E2146="",E2146="!!!",F2146="NEW"),"",INDEX(J$1:J2145,SUMPRODUCT(MAX(ROW(E$1:E2145)*(E2146=E$1:E2145)))))</f>
        <v> </v>
      </c>
      <c r="L2146" s="26"/>
    </row>
    <row r="2147" spans="1:12">
      <c r="A2147" s="20" t="s">
        <v>135</v>
      </c>
      <c r="E2147" s="21">
        <f>IF(D2147="?OLD","!!!","")</f>
        <v/>
      </c>
      <c r="F2147" s="22" t="str">
        <f>IF(OR(E2147="",E2147="!!!"),"",IF(NOT(ISNA(VLOOKUP(E2147,E$1:E2146,1,FALSE()))),"OLD",IF(AND(E2147&lt;&gt;"",E2147&lt;&gt;"!!!"),"NEW","")))</f>
        <v> </v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4" t="str">
        <f>IF(J2147&lt;&gt;1,"",IF(I2147="SBJ","CB","?"))</f>
        <v> </v>
      </c>
      <c r="I2147" s="25" t="str">
        <f>IF(OR(E2147="",E2147="!!!",F2147="NEW"),"",INDEX(B2146:B$2,-1+SUMPRODUCT(MAX(ROW(E2146:E$2)*(E2147=E2146:E$2)))))</f>
        <v> </v>
      </c>
      <c r="J2147" s="25" t="str">
        <f>IF(OR(E2147="",E2147="!!!",F2147="NEW"),"",COUNTBLANK(OFFSET(A$1,,,SUMPRODUCT(MAX(ROW(E$2:E2147)*(E2147=E$2:E2147)))))-COUNTBLANK(OFFSET(A$1,,,SUMPRODUCT(MAX(ROW(E$1:E2146)*(E2=E$1:E2146))))))</f>
        <v> </v>
      </c>
      <c r="K2147" s="25" t="str">
        <f>IF(OR(E2147="",E2147="!!!",F2147="NEW"),"",INDEX(J$1:J2146,SUMPRODUCT(MAX(ROW(E$1:E2146)*(E2147=E$1:E2146)))))</f>
        <v> </v>
      </c>
      <c r="L2147" s="26"/>
    </row>
    <row r="2148" spans="1:12">
      <c r="A2148" s="20"/>
    </row>
    <row r="2149" spans="1:12">
      <c r="A2149" s="20" t="s">
        <v>1824</v>
      </c>
    </row>
    <row r="2150" spans="1:12">
      <c r="A2150" s="20" t="s">
        <v>1825</v>
      </c>
      <c r="E2150" s="21">
        <f>IF(D2150="?OLD","!!!","")</f>
        <v/>
      </c>
      <c r="F2150" s="22" t="str">
        <f>IF(OR(E2150="",E2150="!!!"),"",IF(NOT(ISNA(VLOOKUP(E2150,E$1:E2149,1,FALSE()))),"OLD",IF(AND(E2150&lt;&gt;"",E2150&lt;&gt;"!!!"),"NEW","")))</f>
        <v> </v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4" t="str">
        <f>IF(J2150&lt;&gt;1,"",IF(I2150="SBJ","CB","?"))</f>
        <v> </v>
      </c>
      <c r="I2150" s="25" t="str">
        <f>IF(OR(E2150="",E2150="!!!",F2150="NEW"),"",INDEX(B2149:B$2,-1+SUMPRODUCT(MAX(ROW(E2149:E$2)*(E2150=E2149:E$2)))))</f>
        <v> </v>
      </c>
      <c r="J2150" s="25" t="str">
        <f>IF(OR(E2150="",E2150="!!!",F2150="NEW"),"",COUNTBLANK(OFFSET(A$1,,,SUMPRODUCT(MAX(ROW(E$2:E2150)*(E2150=E$2:E2150)))))-COUNTBLANK(OFFSET(A$1,,,SUMPRODUCT(MAX(ROW(E$1:E2149)*(E2=E$1:E2149))))))</f>
        <v> </v>
      </c>
      <c r="K2150" s="25" t="str">
        <f>IF(OR(E2150="",E2150="!!!",F2150="NEW"),"",INDEX(J$1:J2149,SUMPRODUCT(MAX(ROW(E$1:E2149)*(E2150=E$1:E2149)))))</f>
        <v> </v>
      </c>
      <c r="L2150" s="26"/>
    </row>
    <row r="2151" spans="1:12">
      <c r="A2151" s="20" t="s">
        <v>1215</v>
      </c>
      <c r="E2151" s="21">
        <f>IF(D2151="?OLD","!!!","")</f>
        <v/>
      </c>
      <c r="F2151" s="22" t="str">
        <f>IF(OR(E2151="",E2151="!!!"),"",IF(NOT(ISNA(VLOOKUP(E2151,E$1:E2150,1,FALSE()))),"OLD",IF(AND(E2151&lt;&gt;"",E2151&lt;&gt;"!!!"),"NEW","")))</f>
        <v> </v>
      </c>
      <c r="G2151" s="23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4" t="str">
        <f>IF(J2151&lt;&gt;1,"",IF(I2151="SBJ","CB","?"))</f>
        <v> </v>
      </c>
      <c r="I2151" s="25" t="str">
        <f>IF(OR(E2151="",E2151="!!!",F2151="NEW"),"",INDEX(B2150:B$2,-1+SUMPRODUCT(MAX(ROW(E2150:E$2)*(E2151=E2150:E$2)))))</f>
        <v> </v>
      </c>
      <c r="J2151" s="25" t="str">
        <f>IF(OR(E2151="",E2151="!!!",F2151="NEW"),"",COUNTBLANK(OFFSET(A$1,,,SUMPRODUCT(MAX(ROW(E$2:E2151)*(E2151=E$2:E2151)))))-COUNTBLANK(OFFSET(A$1,,,SUMPRODUCT(MAX(ROW(E$1:E2150)*(E2=E$1:E2150))))))</f>
        <v> </v>
      </c>
      <c r="K2151" s="25" t="str">
        <f>IF(OR(E2151="",E2151="!!!",F2151="NEW"),"",INDEX(J$1:J2150,SUMPRODUCT(MAX(ROW(E$1:E2150)*(E2151=E$1:E2150)))))</f>
        <v> </v>
      </c>
      <c r="L2151" s="26"/>
    </row>
    <row r="2152" spans="1:12">
      <c r="A2152" s="20"/>
    </row>
    <row r="2153" spans="1:12">
      <c r="A2153" s="20" t="s">
        <v>1826</v>
      </c>
    </row>
    <row r="2154" spans="1:12">
      <c r="A2154" s="20" t="s">
        <v>1825</v>
      </c>
      <c r="E2154" s="21">
        <f>IF(D2154="?OLD","!!!","")</f>
        <v/>
      </c>
      <c r="F2154" s="22" t="str">
        <f>IF(OR(E2154="",E2154="!!!"),"",IF(NOT(ISNA(VLOOKUP(E2154,E$1:E2153,1,FALSE()))),"OLD",IF(AND(E2154&lt;&gt;"",E2154&lt;&gt;"!!!"),"NEW","")))</f>
        <v> </v>
      </c>
      <c r="G2154" s="23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4" t="str">
        <f>IF(J2154&lt;&gt;1,"",IF(I2154="SBJ","CB","?"))</f>
        <v> </v>
      </c>
      <c r="I2154" s="25" t="str">
        <f>IF(OR(E2154="",E2154="!!!",F2154="NEW"),"",INDEX(B2153:B$2,-1+SUMPRODUCT(MAX(ROW(E2153:E$2)*(E2154=E2153:E$2)))))</f>
        <v> </v>
      </c>
      <c r="J2154" s="25" t="str">
        <f>IF(OR(E2154="",E2154="!!!",F2154="NEW"),"",COUNTBLANK(OFFSET(A$1,,,SUMPRODUCT(MAX(ROW(E$2:E2154)*(E2154=E$2:E2154)))))-COUNTBLANK(OFFSET(A$1,,,SUMPRODUCT(MAX(ROW(E$1:E2153)*(E2=E$1:E2153))))))</f>
        <v> </v>
      </c>
      <c r="K2154" s="25" t="str">
        <f>IF(OR(E2154="",E2154="!!!",F2154="NEW"),"",INDEX(J$1:J2153,SUMPRODUCT(MAX(ROW(E$1:E2153)*(E2154=E$1:E2153)))))</f>
        <v> </v>
      </c>
      <c r="L2154" s="26"/>
    </row>
    <row r="2155" spans="1:12">
      <c r="A2155" s="20" t="s">
        <v>1777</v>
      </c>
      <c r="B2155" s="27" t="s">
        <v>1041</v>
      </c>
      <c r="C2155" s="27" t="s">
        <v>1033</v>
      </c>
      <c r="D2155" s="27" t="s">
        <v>1030</v>
      </c>
      <c r="E2155" s="21">
        <f>IF(D2155="?OLD","!!!","")</f>
        <v/>
      </c>
      <c r="F2155" s="22" t="str">
        <f>IF(OR(E2155="",E2155="!!!"),"",IF(NOT(ISNA(VLOOKUP(E2155,E$1:E2154,1,FALSE()))),"OLD",IF(AND(E2155&lt;&gt;"",E2155&lt;&gt;"!!!"),"NEW","")))</f>
        <v> </v>
      </c>
      <c r="G2155" s="23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4" t="str">
        <f>IF(J2155&lt;&gt;1,"",IF(I2155="SBJ","CB","?"))</f>
        <v> </v>
      </c>
      <c r="I2155" s="25" t="str">
        <f>IF(OR(E2155="",E2155="!!!",F2155="NEW"),"",INDEX(B2154:B$2,-1+SUMPRODUCT(MAX(ROW(E2154:E$2)*(E2155=E2154:E$2)))))</f>
        <v> </v>
      </c>
      <c r="J2155" s="25" t="str">
        <f>IF(OR(E2155="",E2155="!!!",F2155="NEW"),"",COUNTBLANK(OFFSET(A$1,,,SUMPRODUCT(MAX(ROW(E$2:E2155)*(E2155=E$2:E2155)))))-COUNTBLANK(OFFSET(A$1,,,SUMPRODUCT(MAX(ROW(E$1:E2154)*(E2=E$1:E2154))))))</f>
        <v> </v>
      </c>
      <c r="K2155" s="25" t="str">
        <f>IF(OR(E2155="",E2155="!!!",F2155="NEW"),"",INDEX(J$1:J2154,SUMPRODUCT(MAX(ROW(E$1:E2154)*(E2155=E$1:E2154)))))</f>
        <v> </v>
      </c>
      <c r="L2155" s="26"/>
    </row>
    <row r="2156" spans="1:12">
      <c r="A2156" s="20" t="s">
        <v>1220</v>
      </c>
      <c r="E2156" s="21">
        <f>IF(D2156="?OLD","!!!","")</f>
        <v/>
      </c>
      <c r="F2156" s="22" t="str">
        <f>IF(OR(E2156="",E2156="!!!"),"",IF(NOT(ISNA(VLOOKUP(E2156,E$1:E2155,1,FALSE()))),"OLD",IF(AND(E2156&lt;&gt;"",E2156&lt;&gt;"!!!"),"NEW","")))</f>
        <v> </v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4" t="str">
        <f>IF(J2156&lt;&gt;1,"",IF(I2156="SBJ","CB","?"))</f>
        <v> </v>
      </c>
      <c r="I2156" s="25" t="str">
        <f>IF(OR(E2156="",E2156="!!!",F2156="NEW"),"",INDEX(B2155:B$2,-1+SUMPRODUCT(MAX(ROW(E2155:E$2)*(E2156=E2155:E$2)))))</f>
        <v> </v>
      </c>
      <c r="J2156" s="25" t="str">
        <f>IF(OR(E2156="",E2156="!!!",F2156="NEW"),"",COUNTBLANK(OFFSET(A$1,,,SUMPRODUCT(MAX(ROW(E$2:E2156)*(E2156=E$2:E2156)))))-COUNTBLANK(OFFSET(A$1,,,SUMPRODUCT(MAX(ROW(E$1:E2155)*(E2=E$1:E2155))))))</f>
        <v> </v>
      </c>
      <c r="K2156" s="25" t="str">
        <f>IF(OR(E2156="",E2156="!!!",F2156="NEW"),"",INDEX(J$1:J2155,SUMPRODUCT(MAX(ROW(E$1:E2155)*(E2156=E$1:E2155)))))</f>
        <v> </v>
      </c>
      <c r="L2156" s="26"/>
    </row>
    <row r="2157" spans="1:12">
      <c r="A2157" s="20" t="s">
        <v>1781</v>
      </c>
      <c r="E2157" s="21">
        <f>IF(D2157="?OLD","!!!","")</f>
        <v/>
      </c>
      <c r="F2157" s="22" t="str">
        <f>IF(OR(E2157="",E2157="!!!"),"",IF(NOT(ISNA(VLOOKUP(E2157,E$1:E2156,1,FALSE()))),"OLD",IF(AND(E2157&lt;&gt;"",E2157&lt;&gt;"!!!"),"NEW","")))</f>
        <v> </v>
      </c>
      <c r="G2157" s="23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4" t="str">
        <f>IF(J2157&lt;&gt;1,"",IF(I2157="SBJ","CB","?"))</f>
        <v> </v>
      </c>
      <c r="I2157" s="25" t="str">
        <f>IF(OR(E2157="",E2157="!!!",F2157="NEW"),"",INDEX(B2156:B$2,-1+SUMPRODUCT(MAX(ROW(E2156:E$2)*(E2157=E2156:E$2)))))</f>
        <v> </v>
      </c>
      <c r="J2157" s="25" t="str">
        <f>IF(OR(E2157="",E2157="!!!",F2157="NEW"),"",COUNTBLANK(OFFSET(A$1,,,SUMPRODUCT(MAX(ROW(E$2:E2157)*(E2157=E$2:E2157)))))-COUNTBLANK(OFFSET(A$1,,,SUMPRODUCT(MAX(ROW(E$1:E2156)*(E2=E$1:E2156))))))</f>
        <v> </v>
      </c>
      <c r="K2157" s="25" t="str">
        <f>IF(OR(E2157="",E2157="!!!",F2157="NEW"),"",INDEX(J$1:J2156,SUMPRODUCT(MAX(ROW(E$1:E2156)*(E2157=E$1:E2156)))))</f>
        <v> </v>
      </c>
      <c r="L2157" s="26"/>
    </row>
    <row r="2158" spans="1:12">
      <c r="A2158" s="20" t="s">
        <v>1160</v>
      </c>
      <c r="E2158" s="21">
        <f>IF(D2158="?OLD","!!!","")</f>
        <v/>
      </c>
      <c r="F2158" s="22" t="str">
        <f>IF(OR(E2158="",E2158="!!!"),"",IF(NOT(ISNA(VLOOKUP(E2158,E$1:E2157,1,FALSE()))),"OLD",IF(AND(E2158&lt;&gt;"",E2158&lt;&gt;"!!!"),"NEW","")))</f>
        <v> </v>
      </c>
      <c r="G2158" s="23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4" t="str">
        <f>IF(J2158&lt;&gt;1,"",IF(I2158="SBJ","CB","?"))</f>
        <v> </v>
      </c>
      <c r="I2158" s="25" t="str">
        <f>IF(OR(E2158="",E2158="!!!",F2158="NEW"),"",INDEX(B2157:B$2,-1+SUMPRODUCT(MAX(ROW(E2157:E$2)*(E2158=E2157:E$2)))))</f>
        <v> </v>
      </c>
      <c r="J2158" s="25" t="str">
        <f>IF(OR(E2158="",E2158="!!!",F2158="NEW"),"",COUNTBLANK(OFFSET(A$1,,,SUMPRODUCT(MAX(ROW(E$2:E2158)*(E2158=E$2:E2158)))))-COUNTBLANK(OFFSET(A$1,,,SUMPRODUCT(MAX(ROW(E$1:E2157)*(E2=E$1:E2157))))))</f>
        <v> </v>
      </c>
      <c r="K2158" s="25" t="str">
        <f>IF(OR(E2158="",E2158="!!!",F2158="NEW"),"",INDEX(J$1:J2157,SUMPRODUCT(MAX(ROW(E$1:E2157)*(E2158=E$1:E2157)))))</f>
        <v> </v>
      </c>
      <c r="L2158" s="26"/>
    </row>
    <row r="2159" spans="1:12">
      <c r="A2159" s="20" t="s">
        <v>1782</v>
      </c>
      <c r="B2159" s="27" t="s">
        <v>1014</v>
      </c>
      <c r="C2159" s="27" t="s">
        <v>1021</v>
      </c>
      <c r="E2159" s="21">
        <f>IF(D2159="?OLD","!!!","")</f>
        <v/>
      </c>
      <c r="F2159" s="22" t="str">
        <f>IF(OR(E2159="",E2159="!!!"),"",IF(NOT(ISNA(VLOOKUP(E2159,E$1:E2158,1,FALSE()))),"OLD",IF(AND(E2159&lt;&gt;"",E2159&lt;&gt;"!!!"),"NEW","")))</f>
        <v> </v>
      </c>
      <c r="G2159" s="23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4" t="str">
        <f>IF(J2159&lt;&gt;1,"",IF(I2159="SBJ","CB","?"))</f>
        <v> </v>
      </c>
      <c r="I2159" s="25" t="str">
        <f>IF(OR(E2159="",E2159="!!!",F2159="NEW"),"",INDEX(B2158:B$2,-1+SUMPRODUCT(MAX(ROW(E2158:E$2)*(E2159=E2158:E$2)))))</f>
        <v> </v>
      </c>
      <c r="J2159" s="25" t="str">
        <f>IF(OR(E2159="",E2159="!!!",F2159="NEW"),"",COUNTBLANK(OFFSET(A$1,,,SUMPRODUCT(MAX(ROW(E$2:E2159)*(E2159=E$2:E2159)))))-COUNTBLANK(OFFSET(A$1,,,SUMPRODUCT(MAX(ROW(E$1:E2158)*(E2=E$1:E2158))))))</f>
        <v> </v>
      </c>
      <c r="K2159" s="25" t="str">
        <f>IF(OR(E2159="",E2159="!!!",F2159="NEW"),"",INDEX(J$1:J2158,SUMPRODUCT(MAX(ROW(E$1:E2158)*(E2159=E$1:E2158)))))</f>
        <v> </v>
      </c>
      <c r="L2159" s="26"/>
    </row>
    <row r="2160" spans="1:12">
      <c r="A2160" s="20" t="s">
        <v>135</v>
      </c>
      <c r="E2160" s="21">
        <f>IF(D2160="?OLD","!!!","")</f>
        <v/>
      </c>
      <c r="F2160" s="22" t="str">
        <f>IF(OR(E2160="",E2160="!!!"),"",IF(NOT(ISNA(VLOOKUP(E2160,E$1:E2159,1,FALSE()))),"OLD",IF(AND(E2160&lt;&gt;"",E2160&lt;&gt;"!!!"),"NEW","")))</f>
        <v> </v>
      </c>
      <c r="G2160" s="23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4" t="str">
        <f>IF(J2160&lt;&gt;1,"",IF(I2160="SBJ","CB","?"))</f>
        <v> </v>
      </c>
      <c r="I2160" s="25" t="str">
        <f>IF(OR(E2160="",E2160="!!!",F2160="NEW"),"",INDEX(B2159:B$2,-1+SUMPRODUCT(MAX(ROW(E2159:E$2)*(E2160=E2159:E$2)))))</f>
        <v> </v>
      </c>
      <c r="J2160" s="25" t="str">
        <f>IF(OR(E2160="",E2160="!!!",F2160="NEW"),"",COUNTBLANK(OFFSET(A$1,,,SUMPRODUCT(MAX(ROW(E$2:E2160)*(E2160=E$2:E2160)))))-COUNTBLANK(OFFSET(A$1,,,SUMPRODUCT(MAX(ROW(E$1:E2159)*(E2=E$1:E2159))))))</f>
        <v> </v>
      </c>
      <c r="K2160" s="25" t="str">
        <f>IF(OR(E2160="",E2160="!!!",F2160="NEW"),"",INDEX(J$1:J2159,SUMPRODUCT(MAX(ROW(E$1:E2159)*(E2160=E$1:E2159)))))</f>
        <v> </v>
      </c>
      <c r="L2160" s="26"/>
    </row>
    <row r="2161" spans="1:12">
      <c r="A2161" s="20"/>
    </row>
    <row r="2162" spans="1:12">
      <c r="A2162" s="20" t="s">
        <v>1827</v>
      </c>
    </row>
    <row r="2163" spans="1:12">
      <c r="A2163" s="20" t="s">
        <v>1088</v>
      </c>
      <c r="E2163" s="21">
        <f>IF(D2163="?OLD","!!!","")</f>
        <v/>
      </c>
      <c r="F2163" s="22" t="str">
        <f>IF(OR(E2163="",E2163="!!!"),"",IF(NOT(ISNA(VLOOKUP(E2163,E$1:E2162,1,FALSE()))),"OLD",IF(AND(E2163&lt;&gt;"",E2163&lt;&gt;"!!!"),"NEW","")))</f>
        <v> </v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4" t="str">
        <f>IF(J2163&lt;&gt;1,"",IF(I2163="SBJ","CB","?"))</f>
        <v> </v>
      </c>
      <c r="I2163" s="25" t="str">
        <f>IF(OR(E2163="",E2163="!!!",F2163="NEW"),"",INDEX(B2162:B$2,-1+SUMPRODUCT(MAX(ROW(E2162:E$2)*(E2163=E2162:E$2)))))</f>
        <v> </v>
      </c>
      <c r="J2163" s="25" t="str">
        <f>IF(OR(E2163="",E2163="!!!",F2163="NEW"),"",COUNTBLANK(OFFSET(A$1,,,SUMPRODUCT(MAX(ROW(E$2:E2163)*(E2163=E$2:E2163)))))-COUNTBLANK(OFFSET(A$1,,,SUMPRODUCT(MAX(ROW(E$1:E2162)*(E2=E$1:E2162))))))</f>
        <v> </v>
      </c>
      <c r="K2163" s="25" t="str">
        <f>IF(OR(E2163="",E2163="!!!",F2163="NEW"),"",INDEX(J$1:J2162,SUMPRODUCT(MAX(ROW(E$1:E2162)*(E2163=E$1:E2162)))))</f>
        <v> </v>
      </c>
      <c r="L2163" s="26"/>
    </row>
    <row r="2164" spans="1:12">
      <c r="A2164" s="20" t="s">
        <v>1828</v>
      </c>
      <c r="E2164" s="21">
        <f>IF(D2164="?OLD","!!!","")</f>
        <v/>
      </c>
      <c r="F2164" s="22" t="str">
        <f>IF(OR(E2164="",E2164="!!!"),"",IF(NOT(ISNA(VLOOKUP(E2164,E$1:E2163,1,FALSE()))),"OLD",IF(AND(E2164&lt;&gt;"",E2164&lt;&gt;"!!!"),"NEW","")))</f>
        <v> </v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4" t="str">
        <f>IF(J2164&lt;&gt;1,"",IF(I2164="SBJ","CB","?"))</f>
        <v> </v>
      </c>
      <c r="I2164" s="25" t="str">
        <f>IF(OR(E2164="",E2164="!!!",F2164="NEW"),"",INDEX(B2163:B$2,-1+SUMPRODUCT(MAX(ROW(E2163:E$2)*(E2164=E2163:E$2)))))</f>
        <v> </v>
      </c>
      <c r="J2164" s="25" t="str">
        <f>IF(OR(E2164="",E2164="!!!",F2164="NEW"),"",COUNTBLANK(OFFSET(A$1,,,SUMPRODUCT(MAX(ROW(E$2:E2164)*(E2164=E$2:E2164)))))-COUNTBLANK(OFFSET(A$1,,,SUMPRODUCT(MAX(ROW(E$1:E2163)*(E2=E$1:E2163))))))</f>
        <v> </v>
      </c>
      <c r="K2164" s="25" t="str">
        <f>IF(OR(E2164="",E2164="!!!",F2164="NEW"),"",INDEX(J$1:J2163,SUMPRODUCT(MAX(ROW(E$1:E2163)*(E2164=E$1:E2163)))))</f>
        <v> </v>
      </c>
      <c r="L2164" s="26"/>
    </row>
    <row r="2165" spans="1:12">
      <c r="A2165" s="20" t="s">
        <v>1377</v>
      </c>
      <c r="B2165" s="27" t="s">
        <v>1014</v>
      </c>
      <c r="C2165" s="27" t="s">
        <v>1015</v>
      </c>
      <c r="E2165" s="21">
        <f>IF(D2165="?OLD","!!!","")</f>
        <v/>
      </c>
      <c r="F2165" s="22" t="str">
        <f>IF(OR(E2165="",E2165="!!!"),"",IF(NOT(ISNA(VLOOKUP(E2165,E$1:E2164,1,FALSE()))),"OLD",IF(AND(E2165&lt;&gt;"",E2165&lt;&gt;"!!!"),"NEW","")))</f>
        <v> </v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4" t="str">
        <f>IF(J2165&lt;&gt;1,"",IF(I2165="SBJ","CB","?"))</f>
        <v> </v>
      </c>
      <c r="I2165" s="25" t="str">
        <f>IF(OR(E2165="",E2165="!!!",F2165="NEW"),"",INDEX(B2164:B$2,-1+SUMPRODUCT(MAX(ROW(E2164:E$2)*(E2165=E2164:E$2)))))</f>
        <v> </v>
      </c>
      <c r="J2165" s="25" t="str">
        <f>IF(OR(E2165="",E2165="!!!",F2165="NEW"),"",COUNTBLANK(OFFSET(A$1,,,SUMPRODUCT(MAX(ROW(E$2:E2165)*(E2165=E$2:E2165)))))-COUNTBLANK(OFFSET(A$1,,,SUMPRODUCT(MAX(ROW(E$1:E2164)*(E2=E$1:E2164))))))</f>
        <v> </v>
      </c>
      <c r="K2165" s="25" t="str">
        <f>IF(OR(E2165="",E2165="!!!",F2165="NEW"),"",INDEX(J$1:J2164,SUMPRODUCT(MAX(ROW(E$1:E2164)*(E2165=E$1:E2164)))))</f>
        <v> </v>
      </c>
      <c r="L2165" s="26"/>
    </row>
    <row r="2166" spans="1:12">
      <c r="A2166" s="20" t="s">
        <v>1016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1829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 t="s">
        <v>1123</v>
      </c>
      <c r="B2168" s="27" t="s">
        <v>1020</v>
      </c>
      <c r="C2168" s="27" t="s">
        <v>1050</v>
      </c>
      <c r="D2168" s="27" t="s">
        <v>1030</v>
      </c>
      <c r="E2168" s="21">
        <f>IF(D2168="?OLD","!!!","")</f>
        <v/>
      </c>
      <c r="F2168" s="22" t="str">
        <f>IF(OR(E2168="",E2168="!!!"),"",IF(NOT(ISNA(VLOOKUP(E2168,E$1:E2167,1,FALSE()))),"OLD",IF(AND(E2168&lt;&gt;"",E2168&lt;&gt;"!!!"),"NEW","")))</f>
        <v> </v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4" t="str">
        <f>IF(J2168&lt;&gt;1,"",IF(I2168="SBJ","CB","?"))</f>
        <v> </v>
      </c>
      <c r="I2168" s="25" t="str">
        <f>IF(OR(E2168="",E2168="!!!",F2168="NEW"),"",INDEX(B2167:B$2,-1+SUMPRODUCT(MAX(ROW(E2167:E$2)*(E2168=E2167:E$2)))))</f>
        <v> </v>
      </c>
      <c r="J2168" s="25" t="str">
        <f>IF(OR(E2168="",E2168="!!!",F2168="NEW"),"",COUNTBLANK(OFFSET(A$1,,,SUMPRODUCT(MAX(ROW(E$2:E2168)*(E2168=E$2:E2168)))))-COUNTBLANK(OFFSET(A$1,,,SUMPRODUCT(MAX(ROW(E$1:E2167)*(E2=E$1:E2167))))))</f>
        <v> </v>
      </c>
      <c r="K2168" s="25" t="str">
        <f>IF(OR(E2168="",E2168="!!!",F2168="NEW"),"",INDEX(J$1:J2167,SUMPRODUCT(MAX(ROW(E$1:E2167)*(E2168=E$1:E2167)))))</f>
        <v> </v>
      </c>
      <c r="L2168" s="26"/>
    </row>
    <row r="2169" spans="1:12">
      <c r="A2169" s="20" t="s">
        <v>1022</v>
      </c>
      <c r="E2169" s="21">
        <f>IF(D2169="?OLD","!!!","")</f>
        <v/>
      </c>
      <c r="F2169" s="22" t="str">
        <f>IF(OR(E2169="",E2169="!!!"),"",IF(NOT(ISNA(VLOOKUP(E2169,E$1:E2168,1,FALSE()))),"OLD",IF(AND(E2169&lt;&gt;"",E2169&lt;&gt;"!!!"),"NEW","")))</f>
        <v> </v>
      </c>
      <c r="G2169" s="23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4" t="str">
        <f>IF(J2169&lt;&gt;1,"",IF(I2169="SBJ","CB","?"))</f>
        <v> </v>
      </c>
      <c r="I2169" s="25" t="str">
        <f>IF(OR(E2169="",E2169="!!!",F2169="NEW"),"",INDEX(B2168:B$2,-1+SUMPRODUCT(MAX(ROW(E2168:E$2)*(E2169=E2168:E$2)))))</f>
        <v> </v>
      </c>
      <c r="J2169" s="25" t="str">
        <f>IF(OR(E2169="",E2169="!!!",F2169="NEW"),"",COUNTBLANK(OFFSET(A$1,,,SUMPRODUCT(MAX(ROW(E$2:E2169)*(E2169=E$2:E2169)))))-COUNTBLANK(OFFSET(A$1,,,SUMPRODUCT(MAX(ROW(E$1:E2168)*(E2=E$1:E2168))))))</f>
        <v> </v>
      </c>
      <c r="K2169" s="25" t="str">
        <f>IF(OR(E2169="",E2169="!!!",F2169="NEW"),"",INDEX(J$1:J2168,SUMPRODUCT(MAX(ROW(E$1:E2168)*(E2169=E$1:E2168)))))</f>
        <v> </v>
      </c>
      <c r="L2169" s="26"/>
    </row>
    <row r="2170" spans="1:12">
      <c r="A2170" s="20" t="s">
        <v>1429</v>
      </c>
      <c r="E2170" s="21">
        <f>IF(D2170="?OLD","!!!","")</f>
        <v/>
      </c>
      <c r="F2170" s="22" t="str">
        <f>IF(OR(E2170="",E2170="!!!"),"",IF(NOT(ISNA(VLOOKUP(E2170,E$1:E2169,1,FALSE()))),"OLD",IF(AND(E2170&lt;&gt;"",E2170&lt;&gt;"!!!"),"NEW","")))</f>
        <v> </v>
      </c>
      <c r="G2170" s="23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4" t="str">
        <f>IF(J2170&lt;&gt;1,"",IF(I2170="SBJ","CB","?"))</f>
        <v> </v>
      </c>
      <c r="I2170" s="25" t="str">
        <f>IF(OR(E2170="",E2170="!!!",F2170="NEW"),"",INDEX(B2169:B$2,-1+SUMPRODUCT(MAX(ROW(E2169:E$2)*(E2170=E2169:E$2)))))</f>
        <v> </v>
      </c>
      <c r="J2170" s="25" t="str">
        <f>IF(OR(E2170="",E2170="!!!",F2170="NEW"),"",COUNTBLANK(OFFSET(A$1,,,SUMPRODUCT(MAX(ROW(E$2:E2170)*(E2170=E$2:E2170)))))-COUNTBLANK(OFFSET(A$1,,,SUMPRODUCT(MAX(ROW(E$1:E2169)*(E2=E$1:E2169))))))</f>
        <v> </v>
      </c>
      <c r="K2170" s="25" t="str">
        <f>IF(OR(E2170="",E2170="!!!",F2170="NEW"),"",INDEX(J$1:J2169,SUMPRODUCT(MAX(ROW(E$1:E2169)*(E2170=E$1:E2169)))))</f>
        <v> </v>
      </c>
      <c r="L2170" s="26"/>
    </row>
    <row r="2171" spans="1:12">
      <c r="A2171" s="20" t="s">
        <v>1075</v>
      </c>
      <c r="E2171" s="21">
        <f>IF(D2171="?OLD","!!!","")</f>
        <v/>
      </c>
      <c r="F2171" s="22" t="str">
        <f>IF(OR(E2171="",E2171="!!!"),"",IF(NOT(ISNA(VLOOKUP(E2171,E$1:E2170,1,FALSE()))),"OLD",IF(AND(E2171&lt;&gt;"",E2171&lt;&gt;"!!!"),"NEW","")))</f>
        <v> </v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4" t="str">
        <f>IF(J2171&lt;&gt;1,"",IF(I2171="SBJ","CB","?"))</f>
        <v> </v>
      </c>
      <c r="I2171" s="25" t="str">
        <f>IF(OR(E2171="",E2171="!!!",F2171="NEW"),"",INDEX(B2170:B$2,-1+SUMPRODUCT(MAX(ROW(E2170:E$2)*(E2171=E2170:E$2)))))</f>
        <v> </v>
      </c>
      <c r="J2171" s="25" t="str">
        <f>IF(OR(E2171="",E2171="!!!",F2171="NEW"),"",COUNTBLANK(OFFSET(A$1,,,SUMPRODUCT(MAX(ROW(E$2:E2171)*(E2171=E$2:E2171)))))-COUNTBLANK(OFFSET(A$1,,,SUMPRODUCT(MAX(ROW(E$1:E2170)*(E2=E$1:E2170))))))</f>
        <v> </v>
      </c>
      <c r="K2171" s="25" t="str">
        <f>IF(OR(E2171="",E2171="!!!",F2171="NEW"),"",INDEX(J$1:J2170,SUMPRODUCT(MAX(ROW(E$1:E2170)*(E2171=E$1:E2170)))))</f>
        <v> </v>
      </c>
      <c r="L2171" s="26"/>
    </row>
    <row r="2172" spans="1:12">
      <c r="A2172" s="20" t="s">
        <v>141</v>
      </c>
      <c r="B2172" s="27" t="s">
        <v>1098</v>
      </c>
      <c r="C2172" s="27" t="s">
        <v>1038</v>
      </c>
      <c r="D2172" s="27" t="s">
        <v>1030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1266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 t="s">
        <v>1830</v>
      </c>
      <c r="E2174" s="21">
        <f>IF(D2174="?OLD","!!!","")</f>
        <v/>
      </c>
      <c r="F2174" s="22" t="str">
        <f>IF(OR(E2174="",E2174="!!!"),"",IF(NOT(ISNA(VLOOKUP(E2174,E$1:E2173,1,FALSE()))),"OLD",IF(AND(E2174&lt;&gt;"",E2174&lt;&gt;"!!!"),"NEW","")))</f>
        <v> </v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4" t="str">
        <f>IF(J2174&lt;&gt;1,"",IF(I2174="SBJ","CB","?"))</f>
        <v> </v>
      </c>
      <c r="I2174" s="25" t="str">
        <f>IF(OR(E2174="",E2174="!!!",F2174="NEW"),"",INDEX(B2173:B$2,-1+SUMPRODUCT(MAX(ROW(E2173:E$2)*(E2174=E2173:E$2)))))</f>
        <v> </v>
      </c>
      <c r="J2174" s="25" t="str">
        <f>IF(OR(E2174="",E2174="!!!",F2174="NEW"),"",COUNTBLANK(OFFSET(A$1,,,SUMPRODUCT(MAX(ROW(E$2:E2174)*(E2174=E$2:E2174)))))-COUNTBLANK(OFFSET(A$1,,,SUMPRODUCT(MAX(ROW(E$1:E2173)*(E2=E$1:E2173))))))</f>
        <v> </v>
      </c>
      <c r="K2174" s="25" t="str">
        <f>IF(OR(E2174="",E2174="!!!",F2174="NEW"),"",INDEX(J$1:J2173,SUMPRODUCT(MAX(ROW(E$1:E2173)*(E2174=E$1:E2173)))))</f>
        <v> </v>
      </c>
      <c r="L2174" s="26"/>
    </row>
    <row r="2175" spans="1:12">
      <c r="A2175" s="20" t="s">
        <v>135</v>
      </c>
      <c r="E2175" s="21">
        <f>IF(D2175="?OLD","!!!","")</f>
        <v/>
      </c>
      <c r="F2175" s="22" t="str">
        <f>IF(OR(E2175="",E2175="!!!"),"",IF(NOT(ISNA(VLOOKUP(E2175,E$1:E2174,1,FALSE()))),"OLD",IF(AND(E2175&lt;&gt;"",E2175&lt;&gt;"!!!"),"NEW","")))</f>
        <v> </v>
      </c>
      <c r="G2175" s="23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4" t="str">
        <f>IF(J2175&lt;&gt;1,"",IF(I2175="SBJ","CB","?"))</f>
        <v> </v>
      </c>
      <c r="I2175" s="25" t="str">
        <f>IF(OR(E2175="",E2175="!!!",F2175="NEW"),"",INDEX(B2174:B$2,-1+SUMPRODUCT(MAX(ROW(E2174:E$2)*(E2175=E2174:E$2)))))</f>
        <v> </v>
      </c>
      <c r="J2175" s="25" t="str">
        <f>IF(OR(E2175="",E2175="!!!",F2175="NEW"),"",COUNTBLANK(OFFSET(A$1,,,SUMPRODUCT(MAX(ROW(E$2:E2175)*(E2175=E$2:E2175)))))-COUNTBLANK(OFFSET(A$1,,,SUMPRODUCT(MAX(ROW(E$1:E2174)*(E2=E$1:E2174))))))</f>
        <v> </v>
      </c>
      <c r="K2175" s="25" t="str">
        <f>IF(OR(E2175="",E2175="!!!",F2175="NEW"),"",INDEX(J$1:J2174,SUMPRODUCT(MAX(ROW(E$1:E2174)*(E2175=E$1:E2174)))))</f>
        <v> </v>
      </c>
      <c r="L2175" s="26"/>
    </row>
    <row r="2176" spans="1:12">
      <c r="A2176" s="20"/>
    </row>
    <row r="2177" spans="1:12">
      <c r="A2177" s="20" t="s">
        <v>1831</v>
      </c>
    </row>
    <row r="2178" spans="1:12">
      <c r="A2178" s="20" t="s">
        <v>1231</v>
      </c>
      <c r="E2178" s="21">
        <f>IF(D2178="?OLD","!!!","")</f>
        <v/>
      </c>
      <c r="F2178" s="22" t="str">
        <f>IF(OR(E2178="",E2178="!!!"),"",IF(NOT(ISNA(VLOOKUP(E2178,E$1:E2177,1,FALSE()))),"OLD",IF(AND(E2178&lt;&gt;"",E2178&lt;&gt;"!!!"),"NEW","")))</f>
        <v> </v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4" t="str">
        <f>IF(J2178&lt;&gt;1,"",IF(I2178="SBJ","CB","?"))</f>
        <v> </v>
      </c>
      <c r="I2178" s="25" t="str">
        <f>IF(OR(E2178="",E2178="!!!",F2178="NEW"),"",INDEX(B2177:B$2,-1+SUMPRODUCT(MAX(ROW(E2177:E$2)*(E2178=E2177:E$2)))))</f>
        <v> </v>
      </c>
      <c r="J2178" s="25" t="str">
        <f>IF(OR(E2178="",E2178="!!!",F2178="NEW"),"",COUNTBLANK(OFFSET(A$1,,,SUMPRODUCT(MAX(ROW(E$2:E2178)*(E2178=E$2:E2178)))))-COUNTBLANK(OFFSET(A$1,,,SUMPRODUCT(MAX(ROW(E$1:E2177)*(E2=E$1:E2177))))))</f>
        <v> </v>
      </c>
      <c r="K2178" s="25" t="str">
        <f>IF(OR(E2178="",E2178="!!!",F2178="NEW"),"",INDEX(J$1:J2177,SUMPRODUCT(MAX(ROW(E$1:E2177)*(E2178=E$1:E2177)))))</f>
        <v> </v>
      </c>
      <c r="L2178" s="26"/>
    </row>
    <row r="2179" spans="1:12">
      <c r="A2179" s="20" t="s">
        <v>1832</v>
      </c>
      <c r="E2179" s="21">
        <f>IF(D2179="?OLD","!!!","")</f>
        <v/>
      </c>
      <c r="F2179" s="22" t="str">
        <f>IF(OR(E2179="",E2179="!!!"),"",IF(NOT(ISNA(VLOOKUP(E2179,E$1:E2178,1,FALSE()))),"OLD",IF(AND(E2179&lt;&gt;"",E2179&lt;&gt;"!!!"),"NEW","")))</f>
        <v> </v>
      </c>
      <c r="G2179" s="23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4" t="str">
        <f>IF(J2179&lt;&gt;1,"",IF(I2179="SBJ","CB","?"))</f>
        <v> </v>
      </c>
      <c r="I2179" s="25" t="str">
        <f>IF(OR(E2179="",E2179="!!!",F2179="NEW"),"",INDEX(B2178:B$2,-1+SUMPRODUCT(MAX(ROW(E2178:E$2)*(E2179=E2178:E$2)))))</f>
        <v> </v>
      </c>
      <c r="J2179" s="25" t="str">
        <f>IF(OR(E2179="",E2179="!!!",F2179="NEW"),"",COUNTBLANK(OFFSET(A$1,,,SUMPRODUCT(MAX(ROW(E$2:E2179)*(E2179=E$2:E2179)))))-COUNTBLANK(OFFSET(A$1,,,SUMPRODUCT(MAX(ROW(E$1:E2178)*(E2=E$1:E2178))))))</f>
        <v> </v>
      </c>
      <c r="K2179" s="25" t="str">
        <f>IF(OR(E2179="",E2179="!!!",F2179="NEW"),"",INDEX(J$1:J2178,SUMPRODUCT(MAX(ROW(E$1:E2178)*(E2179=E$1:E2178)))))</f>
        <v> </v>
      </c>
      <c r="L2179" s="26"/>
    </row>
    <row r="2180" spans="1:12">
      <c r="A2180" s="20" t="s">
        <v>1016</v>
      </c>
      <c r="E2180" s="21">
        <f>IF(D2180="?OLD","!!!","")</f>
        <v/>
      </c>
      <c r="F2180" s="22" t="str">
        <f>IF(OR(E2180="",E2180="!!!"),"",IF(NOT(ISNA(VLOOKUP(E2180,E$1:E2179,1,FALSE()))),"OLD",IF(AND(E2180&lt;&gt;"",E2180&lt;&gt;"!!!"),"NEW","")))</f>
        <v> </v>
      </c>
      <c r="G2180" s="23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4" t="str">
        <f>IF(J2180&lt;&gt;1,"",IF(I2180="SBJ","CB","?"))</f>
        <v> </v>
      </c>
      <c r="I2180" s="25" t="str">
        <f>IF(OR(E2180="",E2180="!!!",F2180="NEW"),"",INDEX(B2179:B$2,-1+SUMPRODUCT(MAX(ROW(E2179:E$2)*(E2180=E2179:E$2)))))</f>
        <v> </v>
      </c>
      <c r="J2180" s="25" t="str">
        <f>IF(OR(E2180="",E2180="!!!",F2180="NEW"),"",COUNTBLANK(OFFSET(A$1,,,SUMPRODUCT(MAX(ROW(E$2:E2180)*(E2180=E$2:E2180)))))-COUNTBLANK(OFFSET(A$1,,,SUMPRODUCT(MAX(ROW(E$1:E2179)*(E2=E$1:E2179))))))</f>
        <v> </v>
      </c>
      <c r="K2180" s="25" t="str">
        <f>IF(OR(E2180="",E2180="!!!",F2180="NEW"),"",INDEX(J$1:J2179,SUMPRODUCT(MAX(ROW(E$1:E2179)*(E2180=E$1:E2179)))))</f>
        <v> </v>
      </c>
      <c r="L2180" s="26"/>
    </row>
    <row r="2181" spans="1:12">
      <c r="A2181" s="20" t="s">
        <v>1833</v>
      </c>
      <c r="E2181" s="21">
        <f>IF(D2181="?OLD","!!!","")</f>
        <v/>
      </c>
      <c r="F2181" s="22" t="str">
        <f>IF(OR(E2181="",E2181="!!!"),"",IF(NOT(ISNA(VLOOKUP(E2181,E$1:E2180,1,FALSE()))),"OLD",IF(AND(E2181&lt;&gt;"",E2181&lt;&gt;"!!!"),"NEW","")))</f>
        <v> </v>
      </c>
      <c r="G2181" s="23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4" t="str">
        <f>IF(J2181&lt;&gt;1,"",IF(I2181="SBJ","CB","?"))</f>
        <v> </v>
      </c>
      <c r="I2181" s="25" t="str">
        <f>IF(OR(E2181="",E2181="!!!",F2181="NEW"),"",INDEX(B2180:B$2,-1+SUMPRODUCT(MAX(ROW(E2180:E$2)*(E2181=E2180:E$2)))))</f>
        <v> </v>
      </c>
      <c r="J2181" s="25" t="str">
        <f>IF(OR(E2181="",E2181="!!!",F2181="NEW"),"",COUNTBLANK(OFFSET(A$1,,,SUMPRODUCT(MAX(ROW(E$2:E2181)*(E2181=E$2:E2181)))))-COUNTBLANK(OFFSET(A$1,,,SUMPRODUCT(MAX(ROW(E$1:E2180)*(E2=E$1:E2180))))))</f>
        <v> </v>
      </c>
      <c r="K2181" s="25" t="str">
        <f>IF(OR(E2181="",E2181="!!!",F2181="NEW"),"",INDEX(J$1:J2180,SUMPRODUCT(MAX(ROW(E$1:E2180)*(E2181=E$1:E2180)))))</f>
        <v> </v>
      </c>
      <c r="L2181" s="26"/>
    </row>
    <row r="2182" spans="1:12">
      <c r="A2182" s="20" t="s">
        <v>1384</v>
      </c>
      <c r="B2182" s="27" t="s">
        <v>1020</v>
      </c>
      <c r="C2182" s="27" t="s">
        <v>1050</v>
      </c>
      <c r="D2182" s="27" t="s">
        <v>1030</v>
      </c>
      <c r="E2182" s="21">
        <f>IF(D2182="?OLD","!!!","")</f>
        <v/>
      </c>
      <c r="F2182" s="22" t="str">
        <f>IF(OR(E2182="",E2182="!!!"),"",IF(NOT(ISNA(VLOOKUP(E2182,E$1:E2181,1,FALSE()))),"OLD",IF(AND(E2182&lt;&gt;"",E2182&lt;&gt;"!!!"),"NEW","")))</f>
        <v> </v>
      </c>
      <c r="G2182" s="23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4" t="str">
        <f>IF(J2182&lt;&gt;1,"",IF(I2182="SBJ","CB","?"))</f>
        <v> </v>
      </c>
      <c r="I2182" s="25" t="str">
        <f>IF(OR(E2182="",E2182="!!!",F2182="NEW"),"",INDEX(B2181:B$2,-1+SUMPRODUCT(MAX(ROW(E2181:E$2)*(E2182=E2181:E$2)))))</f>
        <v> </v>
      </c>
      <c r="J2182" s="25" t="str">
        <f>IF(OR(E2182="",E2182="!!!",F2182="NEW"),"",COUNTBLANK(OFFSET(A$1,,,SUMPRODUCT(MAX(ROW(E$2:E2182)*(E2182=E$2:E2182)))))-COUNTBLANK(OFFSET(A$1,,,SUMPRODUCT(MAX(ROW(E$1:E2181)*(E2=E$1:E2181))))))</f>
        <v> </v>
      </c>
      <c r="K2182" s="25" t="str">
        <f>IF(OR(E2182="",E2182="!!!",F2182="NEW"),"",INDEX(J$1:J2181,SUMPRODUCT(MAX(ROW(E$1:E2181)*(E2182=E$1:E2181)))))</f>
        <v> </v>
      </c>
      <c r="L2182" s="26"/>
    </row>
    <row r="2183" spans="1:12">
      <c r="A2183" s="20" t="s">
        <v>1022</v>
      </c>
      <c r="E2183" s="21">
        <f>IF(D2183="?OLD","!!!","")</f>
        <v/>
      </c>
      <c r="F2183" s="22" t="str">
        <f>IF(OR(E2183="",E2183="!!!"),"",IF(NOT(ISNA(VLOOKUP(E2183,E$1:E2182,1,FALSE()))),"OLD",IF(AND(E2183&lt;&gt;"",E2183&lt;&gt;"!!!"),"NEW","")))</f>
        <v> </v>
      </c>
      <c r="G2183" s="23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4" t="str">
        <f>IF(J2183&lt;&gt;1,"",IF(I2183="SBJ","CB","?"))</f>
        <v> </v>
      </c>
      <c r="I2183" s="25" t="str">
        <f>IF(OR(E2183="",E2183="!!!",F2183="NEW"),"",INDEX(B2182:B$2,-1+SUMPRODUCT(MAX(ROW(E2182:E$2)*(E2183=E2182:E$2)))))</f>
        <v> </v>
      </c>
      <c r="J2183" s="25" t="str">
        <f>IF(OR(E2183="",E2183="!!!",F2183="NEW"),"",COUNTBLANK(OFFSET(A$1,,,SUMPRODUCT(MAX(ROW(E$2:E2183)*(E2183=E$2:E2183)))))-COUNTBLANK(OFFSET(A$1,,,SUMPRODUCT(MAX(ROW(E$1:E2182)*(E2=E$1:E2182))))))</f>
        <v> </v>
      </c>
      <c r="K2183" s="25" t="str">
        <f>IF(OR(E2183="",E2183="!!!",F2183="NEW"),"",INDEX(J$1:J2182,SUMPRODUCT(MAX(ROW(E$1:E2182)*(E2183=E$1:E2182)))))</f>
        <v> </v>
      </c>
      <c r="L2183" s="26"/>
    </row>
    <row r="2184" spans="1:12">
      <c r="A2184" s="20" t="s">
        <v>1096</v>
      </c>
      <c r="E2184" s="21">
        <f>IF(D2184="?OLD","!!!","")</f>
        <v/>
      </c>
      <c r="F2184" s="22" t="str">
        <f>IF(OR(E2184="",E2184="!!!"),"",IF(NOT(ISNA(VLOOKUP(E2184,E$1:E2183,1,FALSE()))),"OLD",IF(AND(E2184&lt;&gt;"",E2184&lt;&gt;"!!!"),"NEW","")))</f>
        <v> </v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4" t="str">
        <f>IF(J2184&lt;&gt;1,"",IF(I2184="SBJ","CB","?"))</f>
        <v> </v>
      </c>
      <c r="I2184" s="25" t="str">
        <f>IF(OR(E2184="",E2184="!!!",F2184="NEW"),"",INDEX(B2183:B$2,-1+SUMPRODUCT(MAX(ROW(E2183:E$2)*(E2184=E2183:E$2)))))</f>
        <v> </v>
      </c>
      <c r="J2184" s="25" t="str">
        <f>IF(OR(E2184="",E2184="!!!",F2184="NEW"),"",COUNTBLANK(OFFSET(A$1,,,SUMPRODUCT(MAX(ROW(E$2:E2184)*(E2184=E$2:E2184)))))-COUNTBLANK(OFFSET(A$1,,,SUMPRODUCT(MAX(ROW(E$1:E2183)*(E2=E$1:E2183))))))</f>
        <v> </v>
      </c>
      <c r="K2184" s="25" t="str">
        <f>IF(OR(E2184="",E2184="!!!",F2184="NEW"),"",INDEX(J$1:J2183,SUMPRODUCT(MAX(ROW(E$1:E2183)*(E2184=E$1:E2183)))))</f>
        <v> </v>
      </c>
      <c r="L2184" s="26"/>
    </row>
    <row r="2185" spans="1:12">
      <c r="A2185" s="20" t="s">
        <v>1242</v>
      </c>
      <c r="B2185" s="27" t="s">
        <v>1041</v>
      </c>
      <c r="C2185" s="27" t="s">
        <v>1038</v>
      </c>
      <c r="D2185" s="27" t="s">
        <v>1030</v>
      </c>
      <c r="E2185" s="21">
        <f>IF(D2185="?OLD","!!!","")</f>
        <v/>
      </c>
      <c r="F2185" s="22" t="str">
        <f>IF(OR(E2185="",E2185="!!!"),"",IF(NOT(ISNA(VLOOKUP(E2185,E$1:E2184,1,FALSE()))),"OLD",IF(AND(E2185&lt;&gt;"",E2185&lt;&gt;"!!!"),"NEW","")))</f>
        <v> </v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4" t="str">
        <f>IF(J2185&lt;&gt;1,"",IF(I2185="SBJ","CB","?"))</f>
        <v> </v>
      </c>
      <c r="I2185" s="25" t="str">
        <f>IF(OR(E2185="",E2185="!!!",F2185="NEW"),"",INDEX(B2184:B$2,-1+SUMPRODUCT(MAX(ROW(E2184:E$2)*(E2185=E2184:E$2)))))</f>
        <v> </v>
      </c>
      <c r="J2185" s="25" t="str">
        <f>IF(OR(E2185="",E2185="!!!",F2185="NEW"),"",COUNTBLANK(OFFSET(A$1,,,SUMPRODUCT(MAX(ROW(E$2:E2185)*(E2185=E$2:E2185)))))-COUNTBLANK(OFFSET(A$1,,,SUMPRODUCT(MAX(ROW(E$1:E2184)*(E2=E$1:E2184))))))</f>
        <v> </v>
      </c>
      <c r="K2185" s="25" t="str">
        <f>IF(OR(E2185="",E2185="!!!",F2185="NEW"),"",INDEX(J$1:J2184,SUMPRODUCT(MAX(ROW(E$1:E2184)*(E2185=E$1:E2184)))))</f>
        <v> </v>
      </c>
      <c r="L2185" s="26"/>
    </row>
    <row r="2186" spans="1:12">
      <c r="A2186" s="20" t="s">
        <v>1834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 t="s">
        <v>1022</v>
      </c>
      <c r="E2187" s="21">
        <f>IF(D2187="?OLD","!!!","")</f>
        <v/>
      </c>
      <c r="F2187" s="22" t="str">
        <f>IF(OR(E2187="",E2187="!!!"),"",IF(NOT(ISNA(VLOOKUP(E2187,E$1:E2186,1,FALSE()))),"OLD",IF(AND(E2187&lt;&gt;"",E2187&lt;&gt;"!!!"),"NEW","")))</f>
        <v> </v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4" t="str">
        <f>IF(J2187&lt;&gt;1,"",IF(I2187="SBJ","CB","?"))</f>
        <v> </v>
      </c>
      <c r="I2187" s="25" t="str">
        <f>IF(OR(E2187="",E2187="!!!",F2187="NEW"),"",INDEX(B2186:B$2,-1+SUMPRODUCT(MAX(ROW(E2186:E$2)*(E2187=E2186:E$2)))))</f>
        <v> </v>
      </c>
      <c r="J2187" s="25" t="str">
        <f>IF(OR(E2187="",E2187="!!!",F2187="NEW"),"",COUNTBLANK(OFFSET(A$1,,,SUMPRODUCT(MAX(ROW(E$2:E2187)*(E2187=E$2:E2187)))))-COUNTBLANK(OFFSET(A$1,,,SUMPRODUCT(MAX(ROW(E$1:E2186)*(E2=E$1:E2186))))))</f>
        <v> </v>
      </c>
      <c r="K2187" s="25" t="str">
        <f>IF(OR(E2187="",E2187="!!!",F2187="NEW"),"",INDEX(J$1:J2186,SUMPRODUCT(MAX(ROW(E$1:E2186)*(E2187=E$1:E2186)))))</f>
        <v> </v>
      </c>
      <c r="L2187" s="26"/>
    </row>
    <row r="2188" spans="1:12">
      <c r="A2188" s="20" t="s">
        <v>1835</v>
      </c>
      <c r="E2188" s="21">
        <f>IF(D2188="?OLD","!!!","")</f>
        <v/>
      </c>
      <c r="F2188" s="22" t="str">
        <f>IF(OR(E2188="",E2188="!!!"),"",IF(NOT(ISNA(VLOOKUP(E2188,E$1:E2187,1,FALSE()))),"OLD",IF(AND(E2188&lt;&gt;"",E2188&lt;&gt;"!!!"),"NEW","")))</f>
        <v> </v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4" t="str">
        <f>IF(J2188&lt;&gt;1,"",IF(I2188="SBJ","CB","?"))</f>
        <v> </v>
      </c>
      <c r="I2188" s="25" t="str">
        <f>IF(OR(E2188="",E2188="!!!",F2188="NEW"),"",INDEX(B2187:B$2,-1+SUMPRODUCT(MAX(ROW(E2187:E$2)*(E2188=E2187:E$2)))))</f>
        <v> </v>
      </c>
      <c r="J2188" s="25" t="str">
        <f>IF(OR(E2188="",E2188="!!!",F2188="NEW"),"",COUNTBLANK(OFFSET(A$1,,,SUMPRODUCT(MAX(ROW(E$2:E2188)*(E2188=E$2:E2188)))))-COUNTBLANK(OFFSET(A$1,,,SUMPRODUCT(MAX(ROW(E$1:E2187)*(E2=E$1:E2187))))))</f>
        <v> </v>
      </c>
      <c r="K2188" s="25" t="str">
        <f>IF(OR(E2188="",E2188="!!!",F2188="NEW"),"",INDEX(J$1:J2187,SUMPRODUCT(MAX(ROW(E$1:E2187)*(E2188=E$1:E2187)))))</f>
        <v> </v>
      </c>
      <c r="L2188" s="26"/>
    </row>
    <row r="2189" spans="1:12">
      <c r="A2189" s="20" t="s">
        <v>1242</v>
      </c>
      <c r="B2189" s="27" t="s">
        <v>1014</v>
      </c>
      <c r="C2189" s="27" t="s">
        <v>1015</v>
      </c>
      <c r="E2189" s="21">
        <f>IF(D2189="?OLD","!!!","")</f>
        <v/>
      </c>
      <c r="F2189" s="22" t="str">
        <f>IF(OR(E2189="",E2189="!!!"),"",IF(NOT(ISNA(VLOOKUP(E2189,E$1:E2188,1,FALSE()))),"OLD",IF(AND(E2189&lt;&gt;"",E2189&lt;&gt;"!!!"),"NEW","")))</f>
        <v> </v>
      </c>
      <c r="G2189" s="23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4" t="str">
        <f>IF(J2189&lt;&gt;1,"",IF(I2189="SBJ","CB","?"))</f>
        <v> </v>
      </c>
      <c r="I2189" s="25" t="str">
        <f>IF(OR(E2189="",E2189="!!!",F2189="NEW"),"",INDEX(B2188:B$2,-1+SUMPRODUCT(MAX(ROW(E2188:E$2)*(E2189=E2188:E$2)))))</f>
        <v> </v>
      </c>
      <c r="J2189" s="25" t="str">
        <f>IF(OR(E2189="",E2189="!!!",F2189="NEW"),"",COUNTBLANK(OFFSET(A$1,,,SUMPRODUCT(MAX(ROW(E$2:E2189)*(E2189=E$2:E2189)))))-COUNTBLANK(OFFSET(A$1,,,SUMPRODUCT(MAX(ROW(E$1:E2188)*(E2=E$1:E2188))))))</f>
        <v> </v>
      </c>
      <c r="K2189" s="25" t="str">
        <f>IF(OR(E2189="",E2189="!!!",F2189="NEW"),"",INDEX(J$1:J2188,SUMPRODUCT(MAX(ROW(E$1:E2188)*(E2189=E$1:E2188)))))</f>
        <v> </v>
      </c>
      <c r="L2189" s="26"/>
    </row>
    <row r="2190" spans="1:12">
      <c r="A2190" s="20" t="s">
        <v>1022</v>
      </c>
      <c r="E2190" s="21">
        <f>IF(D2190="?OLD","!!!","")</f>
        <v/>
      </c>
      <c r="F2190" s="22" t="str">
        <f>IF(OR(E2190="",E2190="!!!"),"",IF(NOT(ISNA(VLOOKUP(E2190,E$1:E2189,1,FALSE()))),"OLD",IF(AND(E2190&lt;&gt;"",E2190&lt;&gt;"!!!"),"NEW","")))</f>
        <v> </v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4" t="str">
        <f>IF(J2190&lt;&gt;1,"",IF(I2190="SBJ","CB","?"))</f>
        <v> </v>
      </c>
      <c r="I2190" s="25" t="str">
        <f>IF(OR(E2190="",E2190="!!!",F2190="NEW"),"",INDEX(B2189:B$2,-1+SUMPRODUCT(MAX(ROW(E2189:E$2)*(E2190=E2189:E$2)))))</f>
        <v> </v>
      </c>
      <c r="J2190" s="25" t="str">
        <f>IF(OR(E2190="",E2190="!!!",F2190="NEW"),"",COUNTBLANK(OFFSET(A$1,,,SUMPRODUCT(MAX(ROW(E$2:E2190)*(E2190=E$2:E2190)))))-COUNTBLANK(OFFSET(A$1,,,SUMPRODUCT(MAX(ROW(E$1:E2189)*(E2=E$1:E2189))))))</f>
        <v> </v>
      </c>
      <c r="K2190" s="25" t="str">
        <f>IF(OR(E2190="",E2190="!!!",F2190="NEW"),"",INDEX(J$1:J2189,SUMPRODUCT(MAX(ROW(E$1:E2189)*(E2190=E$1:E2189)))))</f>
        <v> </v>
      </c>
      <c r="L2190" s="26"/>
    </row>
    <row r="2191" spans="1:12">
      <c r="A2191" s="20" t="s">
        <v>1083</v>
      </c>
      <c r="E2191" s="21">
        <f>IF(D2191="?OLD","!!!","")</f>
        <v/>
      </c>
      <c r="F2191" s="22" t="str">
        <f>IF(OR(E2191="",E2191="!!!"),"",IF(NOT(ISNA(VLOOKUP(E2191,E$1:E2190,1,FALSE()))),"OLD",IF(AND(E2191&lt;&gt;"",E2191&lt;&gt;"!!!"),"NEW","")))</f>
        <v> </v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4" t="str">
        <f>IF(J2191&lt;&gt;1,"",IF(I2191="SBJ","CB","?"))</f>
        <v> </v>
      </c>
      <c r="I2191" s="25" t="str">
        <f>IF(OR(E2191="",E2191="!!!",F2191="NEW"),"",INDEX(B2190:B$2,-1+SUMPRODUCT(MAX(ROW(E2190:E$2)*(E2191=E2190:E$2)))))</f>
        <v> </v>
      </c>
      <c r="J2191" s="25" t="str">
        <f>IF(OR(E2191="",E2191="!!!",F2191="NEW"),"",COUNTBLANK(OFFSET(A$1,,,SUMPRODUCT(MAX(ROW(E$2:E2191)*(E2191=E$2:E2191)))))-COUNTBLANK(OFFSET(A$1,,,SUMPRODUCT(MAX(ROW(E$1:E2190)*(E2=E$1:E2190))))))</f>
        <v> </v>
      </c>
      <c r="K2191" s="25" t="str">
        <f>IF(OR(E2191="",E2191="!!!",F2191="NEW"),"",INDEX(J$1:J2190,SUMPRODUCT(MAX(ROW(E$1:E2190)*(E2191=E$1:E2190)))))</f>
        <v> </v>
      </c>
      <c r="L2191" s="26"/>
    </row>
    <row r="2192" spans="1:12">
      <c r="A2192" s="20" t="s">
        <v>1309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1836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 t="s">
        <v>135</v>
      </c>
      <c r="E2194" s="21">
        <f>IF(D2194="?OLD","!!!","")</f>
        <v/>
      </c>
      <c r="F2194" s="22" t="str">
        <f>IF(OR(E2194="",E2194="!!!"),"",IF(NOT(ISNA(VLOOKUP(E2194,E$1:E2193,1,FALSE()))),"OLD",IF(AND(E2194&lt;&gt;"",E2194&lt;&gt;"!!!"),"NEW","")))</f>
        <v> </v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4" t="str">
        <f>IF(J2194&lt;&gt;1,"",IF(I2194="SBJ","CB","?"))</f>
        <v> </v>
      </c>
      <c r="I2194" s="25" t="str">
        <f>IF(OR(E2194="",E2194="!!!",F2194="NEW"),"",INDEX(B2193:B$2,-1+SUMPRODUCT(MAX(ROW(E2193:E$2)*(E2194=E2193:E$2)))))</f>
        <v> </v>
      </c>
      <c r="J2194" s="25" t="str">
        <f>IF(OR(E2194="",E2194="!!!",F2194="NEW"),"",COUNTBLANK(OFFSET(A$1,,,SUMPRODUCT(MAX(ROW(E$2:E2194)*(E2194=E$2:E2194)))))-COUNTBLANK(OFFSET(A$1,,,SUMPRODUCT(MAX(ROW(E$1:E2193)*(E2=E$1:E2193))))))</f>
        <v> </v>
      </c>
      <c r="K2194" s="25" t="str">
        <f>IF(OR(E2194="",E2194="!!!",F2194="NEW"),"",INDEX(J$1:J2193,SUMPRODUCT(MAX(ROW(E$1:E2193)*(E2194=E$1:E2193)))))</f>
        <v> </v>
      </c>
      <c r="L2194" s="26"/>
    </row>
    <row r="2195" spans="1:12">
      <c r="A2195" s="20"/>
    </row>
    <row r="2196" spans="1:12">
      <c r="A2196" s="20" t="s">
        <v>1837</v>
      </c>
    </row>
    <row r="2197" spans="1:12">
      <c r="A2197" s="20" t="s">
        <v>1566</v>
      </c>
      <c r="E2197" s="21">
        <f>IF(D2197="?OLD","!!!","")</f>
        <v/>
      </c>
      <c r="F2197" s="22" t="str">
        <f>IF(OR(E2197="",E2197="!!!"),"",IF(NOT(ISNA(VLOOKUP(E2197,E$1:E2196,1,FALSE()))),"OLD",IF(AND(E2197&lt;&gt;"",E2197&lt;&gt;"!!!"),"NEW","")))</f>
        <v> </v>
      </c>
      <c r="G2197" s="23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4" t="str">
        <f>IF(J2197&lt;&gt;1,"",IF(I2197="SBJ","CB","?"))</f>
        <v> </v>
      </c>
      <c r="I2197" s="25" t="str">
        <f>IF(OR(E2197="",E2197="!!!",F2197="NEW"),"",INDEX(B2196:B$2,-1+SUMPRODUCT(MAX(ROW(E2196:E$2)*(E2197=E2196:E$2)))))</f>
        <v> </v>
      </c>
      <c r="J2197" s="25" t="str">
        <f>IF(OR(E2197="",E2197="!!!",F2197="NEW"),"",COUNTBLANK(OFFSET(A$1,,,SUMPRODUCT(MAX(ROW(E$2:E2197)*(E2197=E$2:E2197)))))-COUNTBLANK(OFFSET(A$1,,,SUMPRODUCT(MAX(ROW(E$1:E2196)*(E2=E$1:E2196))))))</f>
        <v> </v>
      </c>
      <c r="K2197" s="25" t="str">
        <f>IF(OR(E2197="",E2197="!!!",F2197="NEW"),"",INDEX(J$1:J2196,SUMPRODUCT(MAX(ROW(E$1:E2196)*(E2197=E$1:E2196)))))</f>
        <v> </v>
      </c>
      <c r="L2197" s="26"/>
    </row>
    <row r="2198" spans="1:12">
      <c r="A2198" s="20" t="s">
        <v>1016</v>
      </c>
      <c r="E2198" s="21">
        <f>IF(D2198="?OLD","!!!","")</f>
        <v/>
      </c>
      <c r="F2198" s="22" t="str">
        <f>IF(OR(E2198="",E2198="!!!"),"",IF(NOT(ISNA(VLOOKUP(E2198,E$1:E2197,1,FALSE()))),"OLD",IF(AND(E2198&lt;&gt;"",E2198&lt;&gt;"!!!"),"NEW","")))</f>
        <v> </v>
      </c>
      <c r="G2198" s="23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4" t="str">
        <f>IF(J2198&lt;&gt;1,"",IF(I2198="SBJ","CB","?"))</f>
        <v> </v>
      </c>
      <c r="I2198" s="25" t="str">
        <f>IF(OR(E2198="",E2198="!!!",F2198="NEW"),"",INDEX(B2197:B$2,-1+SUMPRODUCT(MAX(ROW(E2197:E$2)*(E2198=E2197:E$2)))))</f>
        <v> </v>
      </c>
      <c r="J2198" s="25" t="str">
        <f>IF(OR(E2198="",E2198="!!!",F2198="NEW"),"",COUNTBLANK(OFFSET(A$1,,,SUMPRODUCT(MAX(ROW(E$2:E2198)*(E2198=E$2:E2198)))))-COUNTBLANK(OFFSET(A$1,,,SUMPRODUCT(MAX(ROW(E$1:E2197)*(E2=E$1:E2197))))))</f>
        <v> </v>
      </c>
      <c r="K2198" s="25" t="str">
        <f>IF(OR(E2198="",E2198="!!!",F2198="NEW"),"",INDEX(J$1:J2197,SUMPRODUCT(MAX(ROW(E$1:E2197)*(E2198=E$1:E2197)))))</f>
        <v> </v>
      </c>
      <c r="L2198" s="26"/>
    </row>
    <row r="2199" spans="1:12">
      <c r="A2199" s="20" t="s">
        <v>1838</v>
      </c>
      <c r="E2199" s="21">
        <f>IF(D2199="?OLD","!!!","")</f>
        <v/>
      </c>
      <c r="F2199" s="22" t="str">
        <f>IF(OR(E2199="",E2199="!!!"),"",IF(NOT(ISNA(VLOOKUP(E2199,E$1:E2198,1,FALSE()))),"OLD",IF(AND(E2199&lt;&gt;"",E2199&lt;&gt;"!!!"),"NEW","")))</f>
        <v> </v>
      </c>
      <c r="G2199" s="23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4" t="str">
        <f>IF(J2199&lt;&gt;1,"",IF(I2199="SBJ","CB","?"))</f>
        <v> </v>
      </c>
      <c r="I2199" s="25" t="str">
        <f>IF(OR(E2199="",E2199="!!!",F2199="NEW"),"",INDEX(B2198:B$2,-1+SUMPRODUCT(MAX(ROW(E2198:E$2)*(E2199=E2198:E$2)))))</f>
        <v> </v>
      </c>
      <c r="J2199" s="25" t="str">
        <f>IF(OR(E2199="",E2199="!!!",F2199="NEW"),"",COUNTBLANK(OFFSET(A$1,,,SUMPRODUCT(MAX(ROW(E$2:E2199)*(E2199=E$2:E2199)))))-COUNTBLANK(OFFSET(A$1,,,SUMPRODUCT(MAX(ROW(E$1:E2198)*(E2=E$1:E2198))))))</f>
        <v> </v>
      </c>
      <c r="K2199" s="25" t="str">
        <f>IF(OR(E2199="",E2199="!!!",F2199="NEW"),"",INDEX(J$1:J2198,SUMPRODUCT(MAX(ROW(E$1:E2198)*(E2199=E$1:E2198)))))</f>
        <v> </v>
      </c>
      <c r="L2199" s="26"/>
    </row>
    <row r="2200" spans="1:12">
      <c r="A2200" s="20" t="s">
        <v>1036</v>
      </c>
      <c r="E2200" s="21">
        <f>IF(D2200="?OLD","!!!","")</f>
        <v/>
      </c>
      <c r="F2200" s="22" t="str">
        <f>IF(OR(E2200="",E2200="!!!"),"",IF(NOT(ISNA(VLOOKUP(E2200,E$1:E2199,1,FALSE()))),"OLD",IF(AND(E2200&lt;&gt;"",E2200&lt;&gt;"!!!"),"NEW","")))</f>
        <v> </v>
      </c>
      <c r="G2200" s="23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4" t="str">
        <f>IF(J2200&lt;&gt;1,"",IF(I2200="SBJ","CB","?"))</f>
        <v> </v>
      </c>
      <c r="I2200" s="25" t="str">
        <f>IF(OR(E2200="",E2200="!!!",F2200="NEW"),"",INDEX(B2199:B$2,-1+SUMPRODUCT(MAX(ROW(E2199:E$2)*(E2200=E2199:E$2)))))</f>
        <v> </v>
      </c>
      <c r="J2200" s="25" t="str">
        <f>IF(OR(E2200="",E2200="!!!",F2200="NEW"),"",COUNTBLANK(OFFSET(A$1,,,SUMPRODUCT(MAX(ROW(E$2:E2200)*(E2200=E$2:E2200)))))-COUNTBLANK(OFFSET(A$1,,,SUMPRODUCT(MAX(ROW(E$1:E2199)*(E2=E$1:E2199))))))</f>
        <v> </v>
      </c>
      <c r="K2200" s="25" t="str">
        <f>IF(OR(E2200="",E2200="!!!",F2200="NEW"),"",INDEX(J$1:J2199,SUMPRODUCT(MAX(ROW(E$1:E2199)*(E2200=E$1:E2199)))))</f>
        <v> </v>
      </c>
      <c r="L2200" s="26"/>
    </row>
    <row r="2201" spans="1:12">
      <c r="A2201" s="20" t="s">
        <v>1638</v>
      </c>
      <c r="B2201" s="27" t="s">
        <v>1014</v>
      </c>
      <c r="C2201" s="27" t="s">
        <v>1038</v>
      </c>
      <c r="D2201" s="27" t="s">
        <v>1030</v>
      </c>
      <c r="E2201" s="21">
        <f>IF(D2201="?OLD","!!!","")</f>
        <v/>
      </c>
      <c r="F2201" s="22" t="str">
        <f>IF(OR(E2201="",E2201="!!!"),"",IF(NOT(ISNA(VLOOKUP(E2201,E$1:E2200,1,FALSE()))),"OLD",IF(AND(E2201&lt;&gt;"",E2201&lt;&gt;"!!!"),"NEW","")))</f>
        <v> </v>
      </c>
      <c r="G2201" s="23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4" t="str">
        <f>IF(J2201&lt;&gt;1,"",IF(I2201="SBJ","CB","?"))</f>
        <v> </v>
      </c>
      <c r="I2201" s="25" t="str">
        <f>IF(OR(E2201="",E2201="!!!",F2201="NEW"),"",INDEX(B2200:B$2,-1+SUMPRODUCT(MAX(ROW(E2200:E$2)*(E2201=E2200:E$2)))))</f>
        <v> </v>
      </c>
      <c r="J2201" s="25" t="str">
        <f>IF(OR(E2201="",E2201="!!!",F2201="NEW"),"",COUNTBLANK(OFFSET(A$1,,,SUMPRODUCT(MAX(ROW(E$2:E2201)*(E2201=E$2:E2201)))))-COUNTBLANK(OFFSET(A$1,,,SUMPRODUCT(MAX(ROW(E$1:E2200)*(E2=E$1:E2200))))))</f>
        <v> </v>
      </c>
      <c r="K2201" s="25" t="str">
        <f>IF(OR(E2201="",E2201="!!!",F2201="NEW"),"",INDEX(J$1:J2200,SUMPRODUCT(MAX(ROW(E$1:E2200)*(E2201=E$1:E2200)))))</f>
        <v> </v>
      </c>
      <c r="L2201" s="26"/>
    </row>
    <row r="2202" spans="1:12">
      <c r="A2202" s="20" t="s">
        <v>1025</v>
      </c>
      <c r="E2202" s="21">
        <f>IF(D2202="?OLD","!!!","")</f>
        <v/>
      </c>
      <c r="F2202" s="22" t="str">
        <f>IF(OR(E2202="",E2202="!!!"),"",IF(NOT(ISNA(VLOOKUP(E2202,E$1:E2201,1,FALSE()))),"OLD",IF(AND(E2202&lt;&gt;"",E2202&lt;&gt;"!!!"),"NEW","")))</f>
        <v> </v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4" t="str">
        <f>IF(J2202&lt;&gt;1,"",IF(I2202="SBJ","CB","?"))</f>
        <v> </v>
      </c>
      <c r="I2202" s="25" t="str">
        <f>IF(OR(E2202="",E2202="!!!",F2202="NEW"),"",INDEX(B2201:B$2,-1+SUMPRODUCT(MAX(ROW(E2201:E$2)*(E2202=E2201:E$2)))))</f>
        <v> </v>
      </c>
      <c r="J2202" s="25" t="str">
        <f>IF(OR(E2202="",E2202="!!!",F2202="NEW"),"",COUNTBLANK(OFFSET(A$1,,,SUMPRODUCT(MAX(ROW(E$2:E2202)*(E2202=E$2:E2202)))))-COUNTBLANK(OFFSET(A$1,,,SUMPRODUCT(MAX(ROW(E$1:E2201)*(E2=E$1:E2201))))))</f>
        <v> </v>
      </c>
      <c r="K2202" s="25" t="str">
        <f>IF(OR(E2202="",E2202="!!!",F2202="NEW"),"",INDEX(J$1:J2201,SUMPRODUCT(MAX(ROW(E$1:E2201)*(E2202=E$1:E2201)))))</f>
        <v> </v>
      </c>
      <c r="L2202" s="26"/>
    </row>
    <row r="2203" spans="1:12">
      <c r="A2203" s="20" t="s">
        <v>1132</v>
      </c>
      <c r="E2203" s="21">
        <f>IF(D2203="?OLD","!!!","")</f>
        <v/>
      </c>
      <c r="F2203" s="22" t="str">
        <f>IF(OR(E2203="",E2203="!!!"),"",IF(NOT(ISNA(VLOOKUP(E2203,E$1:E2202,1,FALSE()))),"OLD",IF(AND(E2203&lt;&gt;"",E2203&lt;&gt;"!!!"),"NEW","")))</f>
        <v> </v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4" t="str">
        <f>IF(J2203&lt;&gt;1,"",IF(I2203="SBJ","CB","?"))</f>
        <v> </v>
      </c>
      <c r="I2203" s="25" t="str">
        <f>IF(OR(E2203="",E2203="!!!",F2203="NEW"),"",INDEX(B2202:B$2,-1+SUMPRODUCT(MAX(ROW(E2202:E$2)*(E2203=E2202:E$2)))))</f>
        <v> </v>
      </c>
      <c r="J2203" s="25" t="str">
        <f>IF(OR(E2203="",E2203="!!!",F2203="NEW"),"",COUNTBLANK(OFFSET(A$1,,,SUMPRODUCT(MAX(ROW(E$2:E2203)*(E2203=E$2:E2203)))))-COUNTBLANK(OFFSET(A$1,,,SUMPRODUCT(MAX(ROW(E$1:E2202)*(E2=E$1:E2202))))))</f>
        <v> </v>
      </c>
      <c r="K2203" s="25" t="str">
        <f>IF(OR(E2203="",E2203="!!!",F2203="NEW"),"",INDEX(J$1:J2202,SUMPRODUCT(MAX(ROW(E$1:E2202)*(E2203=E$1:E2202)))))</f>
        <v> </v>
      </c>
      <c r="L2203" s="26"/>
    </row>
    <row r="2204" spans="1:12">
      <c r="A2204" s="20" t="s">
        <v>1720</v>
      </c>
      <c r="B2204" s="27" t="s">
        <v>1045</v>
      </c>
      <c r="C2204" s="27" t="s">
        <v>1046</v>
      </c>
      <c r="D2204" s="27" t="s">
        <v>1030</v>
      </c>
      <c r="E2204" s="21">
        <f>IF(D2204="?OLD","!!!","")</f>
        <v/>
      </c>
      <c r="F2204" s="22" t="str">
        <f>IF(OR(E2204="",E2204="!!!"),"",IF(NOT(ISNA(VLOOKUP(E2204,E$1:E2203,1,FALSE()))),"OLD",IF(AND(E2204&lt;&gt;"",E2204&lt;&gt;"!!!"),"NEW","")))</f>
        <v> </v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4" t="str">
        <f>IF(J2204&lt;&gt;1,"",IF(I2204="SBJ","CB","?"))</f>
        <v> </v>
      </c>
      <c r="I2204" s="25" t="str">
        <f>IF(OR(E2204="",E2204="!!!",F2204="NEW"),"",INDEX(B2203:B$2,-1+SUMPRODUCT(MAX(ROW(E2203:E$2)*(E2204=E2203:E$2)))))</f>
        <v> </v>
      </c>
      <c r="J2204" s="25" t="str">
        <f>IF(OR(E2204="",E2204="!!!",F2204="NEW"),"",COUNTBLANK(OFFSET(A$1,,,SUMPRODUCT(MAX(ROW(E$2:E2204)*(E2204=E$2:E2204)))))-COUNTBLANK(OFFSET(A$1,,,SUMPRODUCT(MAX(ROW(E$1:E2203)*(E2=E$1:E2203))))))</f>
        <v> </v>
      </c>
      <c r="K2204" s="25" t="str">
        <f>IF(OR(E2204="",E2204="!!!",F2204="NEW"),"",INDEX(J$1:J2203,SUMPRODUCT(MAX(ROW(E$1:E2203)*(E2204=E$1:E2203)))))</f>
        <v> </v>
      </c>
      <c r="L2204" s="26"/>
    </row>
    <row r="2205" spans="1:12">
      <c r="A2205" s="20" t="s">
        <v>135</v>
      </c>
      <c r="E2205" s="21">
        <f>IF(D2205="?OLD","!!!","")</f>
        <v/>
      </c>
      <c r="F2205" s="22" t="str">
        <f>IF(OR(E2205="",E2205="!!!"),"",IF(NOT(ISNA(VLOOKUP(E2205,E$1:E2204,1,FALSE()))),"OLD",IF(AND(E2205&lt;&gt;"",E2205&lt;&gt;"!!!"),"NEW","")))</f>
        <v> </v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4" t="str">
        <f>IF(J2205&lt;&gt;1,"",IF(I2205="SBJ","CB","?"))</f>
        <v> </v>
      </c>
      <c r="I2205" s="25" t="str">
        <f>IF(OR(E2205="",E2205="!!!",F2205="NEW"),"",INDEX(B2204:B$2,-1+SUMPRODUCT(MAX(ROW(E2204:E$2)*(E2205=E2204:E$2)))))</f>
        <v> </v>
      </c>
      <c r="J2205" s="25" t="str">
        <f>IF(OR(E2205="",E2205="!!!",F2205="NEW"),"",COUNTBLANK(OFFSET(A$1,,,SUMPRODUCT(MAX(ROW(E$2:E2205)*(E2205=E$2:E2205)))))-COUNTBLANK(OFFSET(A$1,,,SUMPRODUCT(MAX(ROW(E$1:E2204)*(E2=E$1:E2204))))))</f>
        <v> </v>
      </c>
      <c r="K2205" s="25" t="str">
        <f>IF(OR(E2205="",E2205="!!!",F2205="NEW"),"",INDEX(J$1:J2204,SUMPRODUCT(MAX(ROW(E$1:E2204)*(E2205=E$1:E2204)))))</f>
        <v> </v>
      </c>
      <c r="L2205" s="26"/>
    </row>
    <row r="2206" spans="1:12">
      <c r="A2206" s="20"/>
    </row>
    <row r="2207" spans="1:12">
      <c r="A2207" s="20" t="s">
        <v>1839</v>
      </c>
    </row>
    <row r="2208" spans="1:12">
      <c r="A2208" s="20" t="s">
        <v>1062</v>
      </c>
      <c r="E2208" s="21">
        <f>IF(D2208="?OLD","!!!","")</f>
        <v/>
      </c>
      <c r="F2208" s="22" t="str">
        <f>IF(OR(E2208="",E2208="!!!"),"",IF(NOT(ISNA(VLOOKUP(E2208,E$1:E2207,1,FALSE()))),"OLD",IF(AND(E2208&lt;&gt;"",E2208&lt;&gt;"!!!"),"NEW","")))</f>
        <v> </v>
      </c>
      <c r="G2208" s="23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4" t="str">
        <f>IF(J2208&lt;&gt;1,"",IF(I2208="SBJ","CB","?"))</f>
        <v> </v>
      </c>
      <c r="I2208" s="25" t="str">
        <f>IF(OR(E2208="",E2208="!!!",F2208="NEW"),"",INDEX(B2207:B$2,-1+SUMPRODUCT(MAX(ROW(E2207:E$2)*(E2208=E2207:E$2)))))</f>
        <v> </v>
      </c>
      <c r="J2208" s="25" t="str">
        <f>IF(OR(E2208="",E2208="!!!",F2208="NEW"),"",COUNTBLANK(OFFSET(A$1,,,SUMPRODUCT(MAX(ROW(E$2:E2208)*(E2208=E$2:E2208)))))-COUNTBLANK(OFFSET(A$1,,,SUMPRODUCT(MAX(ROW(E$1:E2207)*(E2=E$1:E2207))))))</f>
        <v> </v>
      </c>
      <c r="K2208" s="25" t="str">
        <f>IF(OR(E2208="",E2208="!!!",F2208="NEW"),"",INDEX(J$1:J2207,SUMPRODUCT(MAX(ROW(E$1:E2207)*(E2208=E$1:E2207)))))</f>
        <v> </v>
      </c>
      <c r="L2208" s="26"/>
    </row>
    <row r="2209" spans="1:12">
      <c r="A2209" s="20" t="s">
        <v>1840</v>
      </c>
      <c r="E2209" s="21">
        <f>IF(D2209="?OLD","!!!","")</f>
        <v/>
      </c>
      <c r="F2209" s="22" t="str">
        <f>IF(OR(E2209="",E2209="!!!"),"",IF(NOT(ISNA(VLOOKUP(E2209,E$1:E2208,1,FALSE()))),"OLD",IF(AND(E2209&lt;&gt;"",E2209&lt;&gt;"!!!"),"NEW","")))</f>
        <v> </v>
      </c>
      <c r="G2209" s="23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4" t="str">
        <f>IF(J2209&lt;&gt;1,"",IF(I2209="SBJ","CB","?"))</f>
        <v> </v>
      </c>
      <c r="I2209" s="25" t="str">
        <f>IF(OR(E2209="",E2209="!!!",F2209="NEW"),"",INDEX(B2208:B$2,-1+SUMPRODUCT(MAX(ROW(E2208:E$2)*(E2209=E2208:E$2)))))</f>
        <v> </v>
      </c>
      <c r="J2209" s="25" t="str">
        <f>IF(OR(E2209="",E2209="!!!",F2209="NEW"),"",COUNTBLANK(OFFSET(A$1,,,SUMPRODUCT(MAX(ROW(E$2:E2209)*(E2209=E$2:E2209)))))-COUNTBLANK(OFFSET(A$1,,,SUMPRODUCT(MAX(ROW(E$1:E2208)*(E2=E$1:E2208))))))</f>
        <v> </v>
      </c>
      <c r="K2209" s="25" t="str">
        <f>IF(OR(E2209="",E2209="!!!",F2209="NEW"),"",INDEX(J$1:J2208,SUMPRODUCT(MAX(ROW(E$1:E2208)*(E2209=E$1:E2208)))))</f>
        <v> </v>
      </c>
      <c r="L2209" s="26"/>
    </row>
    <row r="2210" spans="1:12">
      <c r="A2210" s="20" t="s">
        <v>1499</v>
      </c>
      <c r="E2210" s="21">
        <f>IF(D2210="?OLD","!!!","")</f>
        <v/>
      </c>
      <c r="F2210" s="22" t="str">
        <f>IF(OR(E2210="",E2210="!!!"),"",IF(NOT(ISNA(VLOOKUP(E2210,E$1:E2209,1,FALSE()))),"OLD",IF(AND(E2210&lt;&gt;"",E2210&lt;&gt;"!!!"),"NEW","")))</f>
        <v> </v>
      </c>
      <c r="G2210" s="23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4" t="str">
        <f>IF(J2210&lt;&gt;1,"",IF(I2210="SBJ","CB","?"))</f>
        <v> </v>
      </c>
      <c r="I2210" s="25" t="str">
        <f>IF(OR(E2210="",E2210="!!!",F2210="NEW"),"",INDEX(B2209:B$2,-1+SUMPRODUCT(MAX(ROW(E2209:E$2)*(E2210=E2209:E$2)))))</f>
        <v> </v>
      </c>
      <c r="J2210" s="25" t="str">
        <f>IF(OR(E2210="",E2210="!!!",F2210="NEW"),"",COUNTBLANK(OFFSET(A$1,,,SUMPRODUCT(MAX(ROW(E$2:E2210)*(E2210=E$2:E2210)))))-COUNTBLANK(OFFSET(A$1,,,SUMPRODUCT(MAX(ROW(E$1:E2209)*(E2=E$1:E2209))))))</f>
        <v> </v>
      </c>
      <c r="K2210" s="25" t="str">
        <f>IF(OR(E2210="",E2210="!!!",F2210="NEW"),"",INDEX(J$1:J2209,SUMPRODUCT(MAX(ROW(E$1:E2209)*(E2210=E$1:E2209)))))</f>
        <v> </v>
      </c>
      <c r="L2210" s="26"/>
    </row>
    <row r="2211" spans="1:12">
      <c r="A2211" s="20" t="s">
        <v>1841</v>
      </c>
      <c r="E2211" s="21">
        <f>IF(D2211="?OLD","!!!","")</f>
        <v/>
      </c>
      <c r="F2211" s="22" t="str">
        <f>IF(OR(E2211="",E2211="!!!"),"",IF(NOT(ISNA(VLOOKUP(E2211,E$1:E2210,1,FALSE()))),"OLD",IF(AND(E2211&lt;&gt;"",E2211&lt;&gt;"!!!"),"NEW","")))</f>
        <v> </v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4" t="str">
        <f>IF(J2211&lt;&gt;1,"",IF(I2211="SBJ","CB","?"))</f>
        <v> </v>
      </c>
      <c r="I2211" s="25" t="str">
        <f>IF(OR(E2211="",E2211="!!!",F2211="NEW"),"",INDEX(B2210:B$2,-1+SUMPRODUCT(MAX(ROW(E2210:E$2)*(E2211=E2210:E$2)))))</f>
        <v> </v>
      </c>
      <c r="J2211" s="25" t="str">
        <f>IF(OR(E2211="",E2211="!!!",F2211="NEW"),"",COUNTBLANK(OFFSET(A$1,,,SUMPRODUCT(MAX(ROW(E$2:E2211)*(E2211=E$2:E2211)))))-COUNTBLANK(OFFSET(A$1,,,SUMPRODUCT(MAX(ROW(E$1:E2210)*(E2=E$1:E2210))))))</f>
        <v> </v>
      </c>
      <c r="K2211" s="25" t="str">
        <f>IF(OR(E2211="",E2211="!!!",F2211="NEW"),"",INDEX(J$1:J2210,SUMPRODUCT(MAX(ROW(E$1:E2210)*(E2211=E$1:E2210)))))</f>
        <v> </v>
      </c>
      <c r="L2211" s="26"/>
    </row>
    <row r="2212" spans="1:12">
      <c r="A2212" s="20" t="s">
        <v>1022</v>
      </c>
      <c r="E2212" s="21">
        <f>IF(D2212="?OLD","!!!","")</f>
        <v/>
      </c>
      <c r="F2212" s="22" t="str">
        <f>IF(OR(E2212="",E2212="!!!"),"",IF(NOT(ISNA(VLOOKUP(E2212,E$1:E2211,1,FALSE()))),"OLD",IF(AND(E2212&lt;&gt;"",E2212&lt;&gt;"!!!"),"NEW","")))</f>
        <v> </v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4" t="str">
        <f>IF(J2212&lt;&gt;1,"",IF(I2212="SBJ","CB","?"))</f>
        <v> </v>
      </c>
      <c r="I2212" s="25" t="str">
        <f>IF(OR(E2212="",E2212="!!!",F2212="NEW"),"",INDEX(B2211:B$2,-1+SUMPRODUCT(MAX(ROW(E2211:E$2)*(E2212=E2211:E$2)))))</f>
        <v> </v>
      </c>
      <c r="J2212" s="25" t="str">
        <f>IF(OR(E2212="",E2212="!!!",F2212="NEW"),"",COUNTBLANK(OFFSET(A$1,,,SUMPRODUCT(MAX(ROW(E$2:E2212)*(E2212=E$2:E2212)))))-COUNTBLANK(OFFSET(A$1,,,SUMPRODUCT(MAX(ROW(E$1:E2211)*(E2=E$1:E2211))))))</f>
        <v> </v>
      </c>
      <c r="K2212" s="25" t="str">
        <f>IF(OR(E2212="",E2212="!!!",F2212="NEW"),"",INDEX(J$1:J2211,SUMPRODUCT(MAX(ROW(E$1:E2211)*(E2212=E$1:E2211)))))</f>
        <v> </v>
      </c>
      <c r="L2212" s="26"/>
    </row>
    <row r="2213" spans="1:12">
      <c r="A2213" s="20" t="s">
        <v>1083</v>
      </c>
      <c r="E2213" s="21">
        <f>IF(D2213="?OLD","!!!","")</f>
        <v/>
      </c>
      <c r="F2213" s="22" t="str">
        <f>IF(OR(E2213="",E2213="!!!"),"",IF(NOT(ISNA(VLOOKUP(E2213,E$1:E2212,1,FALSE()))),"OLD",IF(AND(E2213&lt;&gt;"",E2213&lt;&gt;"!!!"),"NEW","")))</f>
        <v> </v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4" t="str">
        <f>IF(J2213&lt;&gt;1,"",IF(I2213="SBJ","CB","?"))</f>
        <v> </v>
      </c>
      <c r="I2213" s="25" t="str">
        <f>IF(OR(E2213="",E2213="!!!",F2213="NEW"),"",INDEX(B2212:B$2,-1+SUMPRODUCT(MAX(ROW(E2212:E$2)*(E2213=E2212:E$2)))))</f>
        <v> </v>
      </c>
      <c r="J2213" s="25" t="str">
        <f>IF(OR(E2213="",E2213="!!!",F2213="NEW"),"",COUNTBLANK(OFFSET(A$1,,,SUMPRODUCT(MAX(ROW(E$2:E2213)*(E2213=E$2:E2213)))))-COUNTBLANK(OFFSET(A$1,,,SUMPRODUCT(MAX(ROW(E$1:E2212)*(E2=E$1:E2212))))))</f>
        <v> </v>
      </c>
      <c r="K2213" s="25" t="str">
        <f>IF(OR(E2213="",E2213="!!!",F2213="NEW"),"",INDEX(J$1:J2212,SUMPRODUCT(MAX(ROW(E$1:E2212)*(E2213=E$1:E2212)))))</f>
        <v> </v>
      </c>
      <c r="L2213" s="26"/>
    </row>
    <row r="2214" spans="1:12">
      <c r="A2214" s="20" t="s">
        <v>1635</v>
      </c>
      <c r="E2214" s="21">
        <f>IF(D2214="?OLD","!!!","")</f>
        <v/>
      </c>
      <c r="F2214" s="22" t="str">
        <f>IF(OR(E2214="",E2214="!!!"),"",IF(NOT(ISNA(VLOOKUP(E2214,E$1:E2213,1,FALSE()))),"OLD",IF(AND(E2214&lt;&gt;"",E2214&lt;&gt;"!!!"),"NEW","")))</f>
        <v> </v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4" t="str">
        <f>IF(J2214&lt;&gt;1,"",IF(I2214="SBJ","CB","?"))</f>
        <v> </v>
      </c>
      <c r="I2214" s="25" t="str">
        <f>IF(OR(E2214="",E2214="!!!",F2214="NEW"),"",INDEX(B2213:B$2,-1+SUMPRODUCT(MAX(ROW(E2213:E$2)*(E2214=E2213:E$2)))))</f>
        <v> </v>
      </c>
      <c r="J2214" s="25" t="str">
        <f>IF(OR(E2214="",E2214="!!!",F2214="NEW"),"",COUNTBLANK(OFFSET(A$1,,,SUMPRODUCT(MAX(ROW(E$2:E2214)*(E2214=E$2:E2214)))))-COUNTBLANK(OFFSET(A$1,,,SUMPRODUCT(MAX(ROW(E$1:E2213)*(E2=E$1:E2213))))))</f>
        <v> </v>
      </c>
      <c r="K2214" s="25" t="str">
        <f>IF(OR(E2214="",E2214="!!!",F2214="NEW"),"",INDEX(J$1:J2213,SUMPRODUCT(MAX(ROW(E$1:E2213)*(E2214=E$1:E2213)))))</f>
        <v> </v>
      </c>
      <c r="L2214" s="26"/>
    </row>
    <row r="2215" spans="1:12">
      <c r="A2215" s="20" t="s">
        <v>1057</v>
      </c>
      <c r="E2215" s="21">
        <f>IF(D2215="?OLD","!!!","")</f>
        <v/>
      </c>
      <c r="F2215" s="22" t="str">
        <f>IF(OR(E2215="",E2215="!!!"),"",IF(NOT(ISNA(VLOOKUP(E2215,E$1:E2214,1,FALSE()))),"OLD",IF(AND(E2215&lt;&gt;"",E2215&lt;&gt;"!!!"),"NEW","")))</f>
        <v> </v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4" t="str">
        <f>IF(J2215&lt;&gt;1,"",IF(I2215="SBJ","CB","?"))</f>
        <v> </v>
      </c>
      <c r="I2215" s="25" t="str">
        <f>IF(OR(E2215="",E2215="!!!",F2215="NEW"),"",INDEX(B2214:B$2,-1+SUMPRODUCT(MAX(ROW(E2214:E$2)*(E2215=E2214:E$2)))))</f>
        <v> </v>
      </c>
      <c r="J2215" s="25" t="str">
        <f>IF(OR(E2215="",E2215="!!!",F2215="NEW"),"",COUNTBLANK(OFFSET(A$1,,,SUMPRODUCT(MAX(ROW(E$2:E2215)*(E2215=E$2:E2215)))))-COUNTBLANK(OFFSET(A$1,,,SUMPRODUCT(MAX(ROW(E$1:E2214)*(E2=E$1:E2214))))))</f>
        <v> </v>
      </c>
      <c r="K2215" s="25" t="str">
        <f>IF(OR(E2215="",E2215="!!!",F2215="NEW"),"",INDEX(J$1:J2214,SUMPRODUCT(MAX(ROW(E$1:E2214)*(E2215=E$1:E2214)))))</f>
        <v> </v>
      </c>
      <c r="L2215" s="26"/>
    </row>
    <row r="2216" spans="1:12">
      <c r="A2216" s="20" t="s">
        <v>1187</v>
      </c>
      <c r="E2216" s="21">
        <f>IF(D2216="?OLD","!!!","")</f>
        <v/>
      </c>
      <c r="F2216" s="22" t="str">
        <f>IF(OR(E2216="",E2216="!!!"),"",IF(NOT(ISNA(VLOOKUP(E2216,E$1:E2215,1,FALSE()))),"OLD",IF(AND(E2216&lt;&gt;"",E2216&lt;&gt;"!!!"),"NEW","")))</f>
        <v> </v>
      </c>
      <c r="G2216" s="23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4" t="str">
        <f>IF(J2216&lt;&gt;1,"",IF(I2216="SBJ","CB","?"))</f>
        <v> </v>
      </c>
      <c r="I2216" s="25" t="str">
        <f>IF(OR(E2216="",E2216="!!!",F2216="NEW"),"",INDEX(B2215:B$2,-1+SUMPRODUCT(MAX(ROW(E2215:E$2)*(E2216=E2215:E$2)))))</f>
        <v> </v>
      </c>
      <c r="J2216" s="25" t="str">
        <f>IF(OR(E2216="",E2216="!!!",F2216="NEW"),"",COUNTBLANK(OFFSET(A$1,,,SUMPRODUCT(MAX(ROW(E$2:E2216)*(E2216=E$2:E2216)))))-COUNTBLANK(OFFSET(A$1,,,SUMPRODUCT(MAX(ROW(E$1:E2215)*(E2=E$1:E2215))))))</f>
        <v> </v>
      </c>
      <c r="K2216" s="25" t="str">
        <f>IF(OR(E2216="",E2216="!!!",F2216="NEW"),"",INDEX(J$1:J2215,SUMPRODUCT(MAX(ROW(E$1:E2215)*(E2216=E$1:E2215)))))</f>
        <v> </v>
      </c>
      <c r="L2216" s="26"/>
    </row>
    <row r="2217" spans="1:12">
      <c r="A2217" s="20" t="s">
        <v>1075</v>
      </c>
      <c r="E2217" s="21">
        <f>IF(D2217="?OLD","!!!","")</f>
        <v/>
      </c>
      <c r="F2217" s="22" t="str">
        <f>IF(OR(E2217="",E2217="!!!"),"",IF(NOT(ISNA(VLOOKUP(E2217,E$1:E2216,1,FALSE()))),"OLD",IF(AND(E2217&lt;&gt;"",E2217&lt;&gt;"!!!"),"NEW","")))</f>
        <v> </v>
      </c>
      <c r="G2217" s="23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4" t="str">
        <f>IF(J2217&lt;&gt;1,"",IF(I2217="SBJ","CB","?"))</f>
        <v> </v>
      </c>
      <c r="I2217" s="25" t="str">
        <f>IF(OR(E2217="",E2217="!!!",F2217="NEW"),"",INDEX(B2216:B$2,-1+SUMPRODUCT(MAX(ROW(E2216:E$2)*(E2217=E2216:E$2)))))</f>
        <v> </v>
      </c>
      <c r="J2217" s="25" t="str">
        <f>IF(OR(E2217="",E2217="!!!",F2217="NEW"),"",COUNTBLANK(OFFSET(A$1,,,SUMPRODUCT(MAX(ROW(E$2:E2217)*(E2217=E$2:E2217)))))-COUNTBLANK(OFFSET(A$1,,,SUMPRODUCT(MAX(ROW(E$1:E2216)*(E2=E$1:E2216))))))</f>
        <v> </v>
      </c>
      <c r="K2217" s="25" t="str">
        <f>IF(OR(E2217="",E2217="!!!",F2217="NEW"),"",INDEX(J$1:J2216,SUMPRODUCT(MAX(ROW(E$1:E2216)*(E2217=E$1:E2216)))))</f>
        <v> </v>
      </c>
      <c r="L2217" s="26"/>
    </row>
    <row r="2218" spans="1:12">
      <c r="A2218" s="20" t="s">
        <v>1792</v>
      </c>
      <c r="B2218" s="27" t="s">
        <v>1098</v>
      </c>
      <c r="C2218" s="27" t="s">
        <v>1038</v>
      </c>
      <c r="D2218" s="27" t="s">
        <v>1030</v>
      </c>
      <c r="E2218" s="21">
        <f>IF(D2218="?OLD","!!!","")</f>
        <v/>
      </c>
      <c r="F2218" s="22" t="str">
        <f>IF(OR(E2218="",E2218="!!!"),"",IF(NOT(ISNA(VLOOKUP(E2218,E$1:E2217,1,FALSE()))),"OLD",IF(AND(E2218&lt;&gt;"",E2218&lt;&gt;"!!!"),"NEW","")))</f>
        <v> </v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4" t="str">
        <f>IF(J2218&lt;&gt;1,"",IF(I2218="SBJ","CB","?"))</f>
        <v> </v>
      </c>
      <c r="I2218" s="25" t="str">
        <f>IF(OR(E2218="",E2218="!!!",F2218="NEW"),"",INDEX(B2217:B$2,-1+SUMPRODUCT(MAX(ROW(E2217:E$2)*(E2218=E2217:E$2)))))</f>
        <v> </v>
      </c>
      <c r="J2218" s="25" t="str">
        <f>IF(OR(E2218="",E2218="!!!",F2218="NEW"),"",COUNTBLANK(OFFSET(A$1,,,SUMPRODUCT(MAX(ROW(E$2:E2218)*(E2218=E$2:E2218)))))-COUNTBLANK(OFFSET(A$1,,,SUMPRODUCT(MAX(ROW(E$1:E2217)*(E2=E$1:E2217))))))</f>
        <v> </v>
      </c>
      <c r="K2218" s="25" t="str">
        <f>IF(OR(E2218="",E2218="!!!",F2218="NEW"),"",INDEX(J$1:J2217,SUMPRODUCT(MAX(ROW(E$1:E2217)*(E2218=E$1:E2217)))))</f>
        <v> </v>
      </c>
      <c r="L2218" s="26"/>
    </row>
    <row r="2219" spans="1:12">
      <c r="A2219" s="20" t="s">
        <v>1842</v>
      </c>
      <c r="E2219" s="21">
        <f>IF(D2219="?OLD","!!!","")</f>
        <v/>
      </c>
      <c r="F2219" s="22" t="str">
        <f>IF(OR(E2219="",E2219="!!!"),"",IF(NOT(ISNA(VLOOKUP(E2219,E$1:E2218,1,FALSE()))),"OLD",IF(AND(E2219&lt;&gt;"",E2219&lt;&gt;"!!!"),"NEW","")))</f>
        <v> </v>
      </c>
      <c r="G2219" s="23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4" t="str">
        <f>IF(J2219&lt;&gt;1,"",IF(I2219="SBJ","CB","?"))</f>
        <v> </v>
      </c>
      <c r="I2219" s="25" t="str">
        <f>IF(OR(E2219="",E2219="!!!",F2219="NEW"),"",INDEX(B2218:B$2,-1+SUMPRODUCT(MAX(ROW(E2218:E$2)*(E2219=E2218:E$2)))))</f>
        <v> </v>
      </c>
      <c r="J2219" s="25" t="str">
        <f>IF(OR(E2219="",E2219="!!!",F2219="NEW"),"",COUNTBLANK(OFFSET(A$1,,,SUMPRODUCT(MAX(ROW(E$2:E2219)*(E2219=E$2:E2219)))))-COUNTBLANK(OFFSET(A$1,,,SUMPRODUCT(MAX(ROW(E$1:E2218)*(E2=E$1:E2218))))))</f>
        <v> </v>
      </c>
      <c r="K2219" s="25" t="str">
        <f>IF(OR(E2219="",E2219="!!!",F2219="NEW"),"",INDEX(J$1:J2218,SUMPRODUCT(MAX(ROW(E$1:E2218)*(E2219=E$1:E2218)))))</f>
        <v> </v>
      </c>
      <c r="L2219" s="26"/>
    </row>
    <row r="2220" spans="1:12">
      <c r="A2220" s="20" t="s">
        <v>1074</v>
      </c>
      <c r="E2220" s="21">
        <f>IF(D2220="?OLD","!!!","")</f>
        <v/>
      </c>
      <c r="F2220" s="22" t="str">
        <f>IF(OR(E2220="",E2220="!!!"),"",IF(NOT(ISNA(VLOOKUP(E2220,E$1:E2219,1,FALSE()))),"OLD",IF(AND(E2220&lt;&gt;"",E2220&lt;&gt;"!!!"),"NEW","")))</f>
        <v> </v>
      </c>
      <c r="G2220" s="23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4" t="str">
        <f>IF(J2220&lt;&gt;1,"",IF(I2220="SBJ","CB","?"))</f>
        <v> </v>
      </c>
      <c r="I2220" s="25" t="str">
        <f>IF(OR(E2220="",E2220="!!!",F2220="NEW"),"",INDEX(B2219:B$2,-1+SUMPRODUCT(MAX(ROW(E2219:E$2)*(E2220=E2219:E$2)))))</f>
        <v> </v>
      </c>
      <c r="J2220" s="25" t="str">
        <f>IF(OR(E2220="",E2220="!!!",F2220="NEW"),"",COUNTBLANK(OFFSET(A$1,,,SUMPRODUCT(MAX(ROW(E$2:E2220)*(E2220=E$2:E2220)))))-COUNTBLANK(OFFSET(A$1,,,SUMPRODUCT(MAX(ROW(E$1:E2219)*(E2=E$1:E2219))))))</f>
        <v> </v>
      </c>
      <c r="K2220" s="25" t="str">
        <f>IF(OR(E2220="",E2220="!!!",F2220="NEW"),"",INDEX(J$1:J2219,SUMPRODUCT(MAX(ROW(E$1:E2219)*(E2220=E$1:E2219)))))</f>
        <v> </v>
      </c>
      <c r="L2220" s="26"/>
    </row>
    <row r="2221" spans="1:12">
      <c r="A2221" s="20" t="s">
        <v>71</v>
      </c>
      <c r="E2221" s="21">
        <f>IF(D2221="?OLD","!!!","")</f>
        <v/>
      </c>
      <c r="F2221" s="22" t="str">
        <f>IF(OR(E2221="",E2221="!!!"),"",IF(NOT(ISNA(VLOOKUP(E2221,E$1:E2220,1,FALSE()))),"OLD",IF(AND(E2221&lt;&gt;"",E2221&lt;&gt;"!!!"),"NEW","")))</f>
        <v> </v>
      </c>
      <c r="G2221" s="23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4" t="str">
        <f>IF(J2221&lt;&gt;1,"",IF(I2221="SBJ","CB","?"))</f>
        <v> </v>
      </c>
      <c r="I2221" s="25" t="str">
        <f>IF(OR(E2221="",E2221="!!!",F2221="NEW"),"",INDEX(B2220:B$2,-1+SUMPRODUCT(MAX(ROW(E2220:E$2)*(E2221=E2220:E$2)))))</f>
        <v> </v>
      </c>
      <c r="J2221" s="25" t="str">
        <f>IF(OR(E2221="",E2221="!!!",F2221="NEW"),"",COUNTBLANK(OFFSET(A$1,,,SUMPRODUCT(MAX(ROW(E$2:E2221)*(E2221=E$2:E2221)))))-COUNTBLANK(OFFSET(A$1,,,SUMPRODUCT(MAX(ROW(E$1:E2220)*(E2=E$1:E2220))))))</f>
        <v> </v>
      </c>
      <c r="K2221" s="25" t="str">
        <f>IF(OR(E2221="",E2221="!!!",F2221="NEW"),"",INDEX(J$1:J2220,SUMPRODUCT(MAX(ROW(E$1:E2220)*(E2221=E$1:E2220)))))</f>
        <v> </v>
      </c>
      <c r="L2221" s="26"/>
    </row>
    <row r="2222" spans="1:12">
      <c r="A2222" s="20" t="s">
        <v>1016</v>
      </c>
      <c r="E2222" s="21">
        <f>IF(D2222="?OLD","!!!","")</f>
        <v/>
      </c>
      <c r="F2222" s="22" t="str">
        <f>IF(OR(E2222="",E2222="!!!"),"",IF(NOT(ISNA(VLOOKUP(E2222,E$1:E2221,1,FALSE()))),"OLD",IF(AND(E2222&lt;&gt;"",E2222&lt;&gt;"!!!"),"NEW","")))</f>
        <v> </v>
      </c>
      <c r="G2222" s="23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4" t="str">
        <f>IF(J2222&lt;&gt;1,"",IF(I2222="SBJ","CB","?"))</f>
        <v> </v>
      </c>
      <c r="I2222" s="25" t="str">
        <f>IF(OR(E2222="",E2222="!!!",F2222="NEW"),"",INDEX(B2221:B$2,-1+SUMPRODUCT(MAX(ROW(E2221:E$2)*(E2222=E2221:E$2)))))</f>
        <v> </v>
      </c>
      <c r="J2222" s="25" t="str">
        <f>IF(OR(E2222="",E2222="!!!",F2222="NEW"),"",COUNTBLANK(OFFSET(A$1,,,SUMPRODUCT(MAX(ROW(E$2:E2222)*(E2222=E$2:E2222)))))-COUNTBLANK(OFFSET(A$1,,,SUMPRODUCT(MAX(ROW(E$1:E2221)*(E2=E$1:E2221))))))</f>
        <v> </v>
      </c>
      <c r="K2222" s="25" t="str">
        <f>IF(OR(E2222="",E2222="!!!",F2222="NEW"),"",INDEX(J$1:J2221,SUMPRODUCT(MAX(ROW(E$1:E2221)*(E2222=E$1:E2221)))))</f>
        <v> </v>
      </c>
      <c r="L2222" s="26"/>
    </row>
    <row r="2223" spans="1:12">
      <c r="A2223" s="20" t="s">
        <v>1838</v>
      </c>
      <c r="E2223" s="21">
        <f>IF(D2223="?OLD","!!!","")</f>
        <v/>
      </c>
      <c r="F2223" s="22" t="str">
        <f>IF(OR(E2223="",E2223="!!!"),"",IF(NOT(ISNA(VLOOKUP(E2223,E$1:E2222,1,FALSE()))),"OLD",IF(AND(E2223&lt;&gt;"",E2223&lt;&gt;"!!!"),"NEW","")))</f>
        <v> </v>
      </c>
      <c r="G2223" s="23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4" t="str">
        <f>IF(J2223&lt;&gt;1,"",IF(I2223="SBJ","CB","?"))</f>
        <v> </v>
      </c>
      <c r="I2223" s="25" t="str">
        <f>IF(OR(E2223="",E2223="!!!",F2223="NEW"),"",INDEX(B2222:B$2,-1+SUMPRODUCT(MAX(ROW(E2222:E$2)*(E2223=E2222:E$2)))))</f>
        <v> </v>
      </c>
      <c r="J2223" s="25" t="str">
        <f>IF(OR(E2223="",E2223="!!!",F2223="NEW"),"",COUNTBLANK(OFFSET(A$1,,,SUMPRODUCT(MAX(ROW(E$2:E2223)*(E2223=E$2:E2223)))))-COUNTBLANK(OFFSET(A$1,,,SUMPRODUCT(MAX(ROW(E$1:E2222)*(E2=E$1:E2222))))))</f>
        <v> </v>
      </c>
      <c r="K2223" s="25" t="str">
        <f>IF(OR(E2223="",E2223="!!!",F2223="NEW"),"",INDEX(J$1:J2222,SUMPRODUCT(MAX(ROW(E$1:E2222)*(E2223=E$1:E2222)))))</f>
        <v> </v>
      </c>
      <c r="L2223" s="26"/>
    </row>
    <row r="2224" spans="1:12">
      <c r="A2224" s="20" t="s">
        <v>505</v>
      </c>
      <c r="E2224" s="21">
        <f>IF(D2224="?OLD","!!!","")</f>
        <v/>
      </c>
      <c r="F2224" s="22" t="str">
        <f>IF(OR(E2224="",E2224="!!!"),"",IF(NOT(ISNA(VLOOKUP(E2224,E$1:E2223,1,FALSE()))),"OLD",IF(AND(E2224&lt;&gt;"",E2224&lt;&gt;"!!!"),"NEW","")))</f>
        <v> </v>
      </c>
      <c r="G2224" s="23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4" t="str">
        <f>IF(J2224&lt;&gt;1,"",IF(I2224="SBJ","CB","?"))</f>
        <v> </v>
      </c>
      <c r="I2224" s="25" t="str">
        <f>IF(OR(E2224="",E2224="!!!",F2224="NEW"),"",INDEX(B2223:B$2,-1+SUMPRODUCT(MAX(ROW(E2223:E$2)*(E2224=E2223:E$2)))))</f>
        <v> </v>
      </c>
      <c r="J2224" s="25" t="str">
        <f>IF(OR(E2224="",E2224="!!!",F2224="NEW"),"",COUNTBLANK(OFFSET(A$1,,,SUMPRODUCT(MAX(ROW(E$2:E2224)*(E2224=E$2:E2224)))))-COUNTBLANK(OFFSET(A$1,,,SUMPRODUCT(MAX(ROW(E$1:E2223)*(E2=E$1:E2223))))))</f>
        <v> </v>
      </c>
      <c r="K2224" s="25" t="str">
        <f>IF(OR(E2224="",E2224="!!!",F2224="NEW"),"",INDEX(J$1:J2223,SUMPRODUCT(MAX(ROW(E$1:E2223)*(E2224=E$1:E2223)))))</f>
        <v> </v>
      </c>
      <c r="L2224" s="26"/>
    </row>
    <row r="2225" spans="1:12">
      <c r="A2225" s="20" t="s">
        <v>1034</v>
      </c>
      <c r="E2225" s="21">
        <f>IF(D2225="?OLD","!!!","")</f>
        <v/>
      </c>
      <c r="F2225" s="22" t="str">
        <f>IF(OR(E2225="",E2225="!!!"),"",IF(NOT(ISNA(VLOOKUP(E2225,E$1:E2224,1,FALSE()))),"OLD",IF(AND(E2225&lt;&gt;"",E2225&lt;&gt;"!!!"),"NEW","")))</f>
        <v> </v>
      </c>
      <c r="G2225" s="23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4" t="str">
        <f>IF(J2225&lt;&gt;1,"",IF(I2225="SBJ","CB","?"))</f>
        <v> </v>
      </c>
      <c r="I2225" s="25" t="str">
        <f>IF(OR(E2225="",E2225="!!!",F2225="NEW"),"",INDEX(B2224:B$2,-1+SUMPRODUCT(MAX(ROW(E2224:E$2)*(E2225=E2224:E$2)))))</f>
        <v> </v>
      </c>
      <c r="J2225" s="25" t="str">
        <f>IF(OR(E2225="",E2225="!!!",F2225="NEW"),"",COUNTBLANK(OFFSET(A$1,,,SUMPRODUCT(MAX(ROW(E$2:E2225)*(E2225=E$2:E2225)))))-COUNTBLANK(OFFSET(A$1,,,SUMPRODUCT(MAX(ROW(E$1:E2224)*(E2=E$1:E2224))))))</f>
        <v> </v>
      </c>
      <c r="K2225" s="25" t="str">
        <f>IF(OR(E2225="",E2225="!!!",F2225="NEW"),"",INDEX(J$1:J2224,SUMPRODUCT(MAX(ROW(E$1:E2224)*(E2225=E$1:E2224)))))</f>
        <v> </v>
      </c>
      <c r="L2225" s="26"/>
    </row>
    <row r="2226" spans="1:12">
      <c r="A2226" s="20" t="s">
        <v>1184</v>
      </c>
      <c r="E2226" s="21">
        <f>IF(D2226="?OLD","!!!","")</f>
        <v/>
      </c>
      <c r="F2226" s="22" t="str">
        <f>IF(OR(E2226="",E2226="!!!"),"",IF(NOT(ISNA(VLOOKUP(E2226,E$1:E2225,1,FALSE()))),"OLD",IF(AND(E2226&lt;&gt;"",E2226&lt;&gt;"!!!"),"NEW","")))</f>
        <v> </v>
      </c>
      <c r="G2226" s="23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4" t="str">
        <f>IF(J2226&lt;&gt;1,"",IF(I2226="SBJ","CB","?"))</f>
        <v> </v>
      </c>
      <c r="I2226" s="25" t="str">
        <f>IF(OR(E2226="",E2226="!!!",F2226="NEW"),"",INDEX(B2225:B$2,-1+SUMPRODUCT(MAX(ROW(E2225:E$2)*(E2226=E2225:E$2)))))</f>
        <v> </v>
      </c>
      <c r="J2226" s="25" t="str">
        <f>IF(OR(E2226="",E2226="!!!",F2226="NEW"),"",COUNTBLANK(OFFSET(A$1,,,SUMPRODUCT(MAX(ROW(E$2:E2226)*(E2226=E$2:E2226)))))-COUNTBLANK(OFFSET(A$1,,,SUMPRODUCT(MAX(ROW(E$1:E2225)*(E2=E$1:E2225))))))</f>
        <v> </v>
      </c>
      <c r="K2226" s="25" t="str">
        <f>IF(OR(E2226="",E2226="!!!",F2226="NEW"),"",INDEX(J$1:J2225,SUMPRODUCT(MAX(ROW(E$1:E2225)*(E2226=E$1:E2225)))))</f>
        <v> </v>
      </c>
      <c r="L2226" s="26"/>
    </row>
    <row r="2227" spans="1:12">
      <c r="A2227" s="20" t="s">
        <v>1018</v>
      </c>
      <c r="E2227" s="21">
        <f>IF(D2227="?OLD","!!!","")</f>
        <v/>
      </c>
      <c r="F2227" s="22" t="str">
        <f>IF(OR(E2227="",E2227="!!!"),"",IF(NOT(ISNA(VLOOKUP(E2227,E$1:E2226,1,FALSE()))),"OLD",IF(AND(E2227&lt;&gt;"",E2227&lt;&gt;"!!!"),"NEW","")))</f>
        <v> </v>
      </c>
      <c r="G2227" s="23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4" t="str">
        <f>IF(J2227&lt;&gt;1,"",IF(I2227="SBJ","CB","?"))</f>
        <v> </v>
      </c>
      <c r="I2227" s="25" t="str">
        <f>IF(OR(E2227="",E2227="!!!",F2227="NEW"),"",INDEX(B2226:B$2,-1+SUMPRODUCT(MAX(ROW(E2226:E$2)*(E2227=E2226:E$2)))))</f>
        <v> </v>
      </c>
      <c r="J2227" s="25" t="str">
        <f>IF(OR(E2227="",E2227="!!!",F2227="NEW"),"",COUNTBLANK(OFFSET(A$1,,,SUMPRODUCT(MAX(ROW(E$2:E2227)*(E2227=E$2:E2227)))))-COUNTBLANK(OFFSET(A$1,,,SUMPRODUCT(MAX(ROW(E$1:E2226)*(E2=E$1:E2226))))))</f>
        <v> </v>
      </c>
      <c r="K2227" s="25" t="str">
        <f>IF(OR(E2227="",E2227="!!!",F2227="NEW"),"",INDEX(J$1:J2226,SUMPRODUCT(MAX(ROW(E$1:E2226)*(E2227=E$1:E2226)))))</f>
        <v> </v>
      </c>
      <c r="L2227" s="26"/>
    </row>
    <row r="2228" spans="1:12">
      <c r="A2228" s="20" t="s">
        <v>1650</v>
      </c>
      <c r="B2228" s="27" t="s">
        <v>1079</v>
      </c>
      <c r="C2228" s="27" t="s">
        <v>1029</v>
      </c>
      <c r="D2228" s="27" t="s">
        <v>1030</v>
      </c>
      <c r="E2228" s="21">
        <f>IF(D2228="?OLD","!!!","")</f>
        <v/>
      </c>
      <c r="F2228" s="22" t="str">
        <f>IF(OR(E2228="",E2228="!!!"),"",IF(NOT(ISNA(VLOOKUP(E2228,E$1:E2227,1,FALSE()))),"OLD",IF(AND(E2228&lt;&gt;"",E2228&lt;&gt;"!!!"),"NEW","")))</f>
        <v> </v>
      </c>
      <c r="G2228" s="23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4" t="str">
        <f>IF(J2228&lt;&gt;1,"",IF(I2228="SBJ","CB","?"))</f>
        <v> </v>
      </c>
      <c r="I2228" s="25" t="str">
        <f>IF(OR(E2228="",E2228="!!!",F2228="NEW"),"",INDEX(B2227:B$2,-1+SUMPRODUCT(MAX(ROW(E2227:E$2)*(E2228=E2227:E$2)))))</f>
        <v> </v>
      </c>
      <c r="J2228" s="25" t="str">
        <f>IF(OR(E2228="",E2228="!!!",F2228="NEW"),"",COUNTBLANK(OFFSET(A$1,,,SUMPRODUCT(MAX(ROW(E$2:E2228)*(E2228=E$2:E2228)))))-COUNTBLANK(OFFSET(A$1,,,SUMPRODUCT(MAX(ROW(E$1:E2227)*(E2=E$1:E2227))))))</f>
        <v> </v>
      </c>
      <c r="K2228" s="25" t="str">
        <f>IF(OR(E2228="",E2228="!!!",F2228="NEW"),"",INDEX(J$1:J2227,SUMPRODUCT(MAX(ROW(E$1:E2227)*(E2228=E$1:E2227)))))</f>
        <v> </v>
      </c>
      <c r="L2228" s="26"/>
    </row>
    <row r="2229" spans="1:12">
      <c r="A2229" s="20" t="s">
        <v>1016</v>
      </c>
      <c r="E2229" s="21">
        <f>IF(D2229="?OLD","!!!","")</f>
        <v/>
      </c>
      <c r="F2229" s="22" t="str">
        <f>IF(OR(E2229="",E2229="!!!"),"",IF(NOT(ISNA(VLOOKUP(E2229,E$1:E2228,1,FALSE()))),"OLD",IF(AND(E2229&lt;&gt;"",E2229&lt;&gt;"!!!"),"NEW","")))</f>
        <v> </v>
      </c>
      <c r="G2229" s="23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4" t="str">
        <f>IF(J2229&lt;&gt;1,"",IF(I2229="SBJ","CB","?"))</f>
        <v> </v>
      </c>
      <c r="I2229" s="25" t="str">
        <f>IF(OR(E2229="",E2229="!!!",F2229="NEW"),"",INDEX(B2228:B$2,-1+SUMPRODUCT(MAX(ROW(E2228:E$2)*(E2229=E2228:E$2)))))</f>
        <v> </v>
      </c>
      <c r="J2229" s="25" t="str">
        <f>IF(OR(E2229="",E2229="!!!",F2229="NEW"),"",COUNTBLANK(OFFSET(A$1,,,SUMPRODUCT(MAX(ROW(E$2:E2229)*(E2229=E$2:E2229)))))-COUNTBLANK(OFFSET(A$1,,,SUMPRODUCT(MAX(ROW(E$1:E2228)*(E2=E$1:E2228))))))</f>
        <v> </v>
      </c>
      <c r="K2229" s="25" t="str">
        <f>IF(OR(E2229="",E2229="!!!",F2229="NEW"),"",INDEX(J$1:J2228,SUMPRODUCT(MAX(ROW(E$1:E2228)*(E2229=E$1:E2228)))))</f>
        <v> </v>
      </c>
      <c r="L2229" s="26"/>
    </row>
    <row r="2230" spans="1:12">
      <c r="A2230" s="20" t="s">
        <v>1687</v>
      </c>
      <c r="B2230" s="27" t="s">
        <v>1066</v>
      </c>
      <c r="C2230" s="27" t="s">
        <v>1015</v>
      </c>
      <c r="E2230" s="21">
        <f>IF(D2230="?OLD","!!!","")</f>
        <v/>
      </c>
      <c r="F2230" s="22" t="str">
        <f>IF(OR(E2230="",E2230="!!!"),"",IF(NOT(ISNA(VLOOKUP(E2230,E$1:E2229,1,FALSE()))),"OLD",IF(AND(E2230&lt;&gt;"",E2230&lt;&gt;"!!!"),"NEW","")))</f>
        <v> </v>
      </c>
      <c r="G2230" s="23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4" t="str">
        <f>IF(J2230&lt;&gt;1,"",IF(I2230="SBJ","CB","?"))</f>
        <v> </v>
      </c>
      <c r="I2230" s="25" t="str">
        <f>IF(OR(E2230="",E2230="!!!",F2230="NEW"),"",INDEX(B2229:B$2,-1+SUMPRODUCT(MAX(ROW(E2229:E$2)*(E2230=E2229:E$2)))))</f>
        <v> </v>
      </c>
      <c r="J2230" s="25" t="str">
        <f>IF(OR(E2230="",E2230="!!!",F2230="NEW"),"",COUNTBLANK(OFFSET(A$1,,,SUMPRODUCT(MAX(ROW(E$2:E2230)*(E2230=E$2:E2230)))))-COUNTBLANK(OFFSET(A$1,,,SUMPRODUCT(MAX(ROW(E$1:E2229)*(E2=E$1:E2229))))))</f>
        <v> </v>
      </c>
      <c r="K2230" s="25" t="str">
        <f>IF(OR(E2230="",E2230="!!!",F2230="NEW"),"",INDEX(J$1:J2229,SUMPRODUCT(MAX(ROW(E$1:E2229)*(E2230=E$1:E2229)))))</f>
        <v> </v>
      </c>
      <c r="L2230" s="26"/>
    </row>
    <row r="2231" spans="1:12">
      <c r="A2231" s="20" t="s">
        <v>135</v>
      </c>
      <c r="E2231" s="21">
        <f>IF(D2231="?OLD","!!!","")</f>
        <v/>
      </c>
      <c r="F2231" s="22" t="str">
        <f>IF(OR(E2231="",E2231="!!!"),"",IF(NOT(ISNA(VLOOKUP(E2231,E$1:E2230,1,FALSE()))),"OLD",IF(AND(E2231&lt;&gt;"",E2231&lt;&gt;"!!!"),"NEW","")))</f>
        <v> </v>
      </c>
      <c r="G2231" s="23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4" t="str">
        <f>IF(J2231&lt;&gt;1,"",IF(I2231="SBJ","CB","?"))</f>
        <v> </v>
      </c>
      <c r="I2231" s="25" t="str">
        <f>IF(OR(E2231="",E2231="!!!",F2231="NEW"),"",INDEX(B2230:B$2,-1+SUMPRODUCT(MAX(ROW(E2230:E$2)*(E2231=E2230:E$2)))))</f>
        <v> </v>
      </c>
      <c r="J2231" s="25" t="str">
        <f>IF(OR(E2231="",E2231="!!!",F2231="NEW"),"",COUNTBLANK(OFFSET(A$1,,,SUMPRODUCT(MAX(ROW(E$2:E2231)*(E2231=E$2:E2231)))))-COUNTBLANK(OFFSET(A$1,,,SUMPRODUCT(MAX(ROW(E$1:E2230)*(E2=E$1:E2230))))))</f>
        <v> </v>
      </c>
      <c r="K2231" s="25" t="str">
        <f>IF(OR(E2231="",E2231="!!!",F2231="NEW"),"",INDEX(J$1:J2230,SUMPRODUCT(MAX(ROW(E$1:E2230)*(E2231=E$1:E2230)))))</f>
        <v> </v>
      </c>
      <c r="L2231" s="26"/>
    </row>
    <row r="2232" spans="1:12">
      <c r="A2232" s="20"/>
    </row>
    <row r="2233" spans="1:12">
      <c r="A2233" s="20" t="s">
        <v>1843</v>
      </c>
    </row>
    <row r="2234" spans="1:12">
      <c r="A2234" s="20" t="s">
        <v>1062</v>
      </c>
      <c r="E2234" s="21">
        <f>IF(D2234="?OLD","!!!","")</f>
        <v/>
      </c>
      <c r="F2234" s="22" t="str">
        <f>IF(OR(E2234="",E2234="!!!"),"",IF(NOT(ISNA(VLOOKUP(E2234,E$1:E2233,1,FALSE()))),"OLD",IF(AND(E2234&lt;&gt;"",E2234&lt;&gt;"!!!"),"NEW","")))</f>
        <v> </v>
      </c>
      <c r="G2234" s="23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4" t="str">
        <f>IF(J2234&lt;&gt;1,"",IF(I2234="SBJ","CB","?"))</f>
        <v> </v>
      </c>
      <c r="I2234" s="25" t="str">
        <f>IF(OR(E2234="",E2234="!!!",F2234="NEW"),"",INDEX(B2233:B$2,-1+SUMPRODUCT(MAX(ROW(E2233:E$2)*(E2234=E2233:E$2)))))</f>
        <v> </v>
      </c>
      <c r="J2234" s="25" t="str">
        <f>IF(OR(E2234="",E2234="!!!",F2234="NEW"),"",COUNTBLANK(OFFSET(A$1,,,SUMPRODUCT(MAX(ROW(E$2:E2234)*(E2234=E$2:E2234)))))-COUNTBLANK(OFFSET(A$1,,,SUMPRODUCT(MAX(ROW(E$1:E2233)*(E2=E$1:E2233))))))</f>
        <v> </v>
      </c>
      <c r="K2234" s="25" t="str">
        <f>IF(OR(E2234="",E2234="!!!",F2234="NEW"),"",INDEX(J$1:J2233,SUMPRODUCT(MAX(ROW(E$1:E2233)*(E2234=E$1:E2233)))))</f>
        <v> </v>
      </c>
      <c r="L2234" s="26"/>
    </row>
    <row r="2235" spans="1:12">
      <c r="A2235" s="20" t="s">
        <v>1057</v>
      </c>
      <c r="E2235" s="21">
        <f>IF(D2235="?OLD","!!!","")</f>
        <v/>
      </c>
      <c r="F2235" s="22" t="str">
        <f>IF(OR(E2235="",E2235="!!!"),"",IF(NOT(ISNA(VLOOKUP(E2235,E$1:E2234,1,FALSE()))),"OLD",IF(AND(E2235&lt;&gt;"",E2235&lt;&gt;"!!!"),"NEW","")))</f>
        <v> </v>
      </c>
      <c r="G2235" s="23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4" t="str">
        <f>IF(J2235&lt;&gt;1,"",IF(I2235="SBJ","CB","?"))</f>
        <v> </v>
      </c>
      <c r="I2235" s="25" t="str">
        <f>IF(OR(E2235="",E2235="!!!",F2235="NEW"),"",INDEX(B2234:B$2,-1+SUMPRODUCT(MAX(ROW(E2234:E$2)*(E2235=E2234:E$2)))))</f>
        <v> </v>
      </c>
      <c r="J2235" s="25" t="str">
        <f>IF(OR(E2235="",E2235="!!!",F2235="NEW"),"",COUNTBLANK(OFFSET(A$1,,,SUMPRODUCT(MAX(ROW(E$2:E2235)*(E2235=E$2:E2235)))))-COUNTBLANK(OFFSET(A$1,,,SUMPRODUCT(MAX(ROW(E$1:E2234)*(E2=E$1:E2234))))))</f>
        <v> </v>
      </c>
      <c r="K2235" s="25" t="str">
        <f>IF(OR(E2235="",E2235="!!!",F2235="NEW"),"",INDEX(J$1:J2234,SUMPRODUCT(MAX(ROW(E$1:E2234)*(E2235=E$1:E2234)))))</f>
        <v> </v>
      </c>
      <c r="L2235" s="26"/>
    </row>
    <row r="2236" spans="1:12">
      <c r="A2236" s="20" t="s">
        <v>1844</v>
      </c>
      <c r="E2236" s="21">
        <f>IF(D2236="?OLD","!!!","")</f>
        <v/>
      </c>
      <c r="F2236" s="22" t="str">
        <f>IF(OR(E2236="",E2236="!!!"),"",IF(NOT(ISNA(VLOOKUP(E2236,E$1:E2235,1,FALSE()))),"OLD",IF(AND(E2236&lt;&gt;"",E2236&lt;&gt;"!!!"),"NEW","")))</f>
        <v> </v>
      </c>
      <c r="G2236" s="23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4" t="str">
        <f>IF(J2236&lt;&gt;1,"",IF(I2236="SBJ","CB","?"))</f>
        <v> </v>
      </c>
      <c r="I2236" s="25" t="str">
        <f>IF(OR(E2236="",E2236="!!!",F2236="NEW"),"",INDEX(B2235:B$2,-1+SUMPRODUCT(MAX(ROW(E2235:E$2)*(E2236=E2235:E$2)))))</f>
        <v> </v>
      </c>
      <c r="J2236" s="25" t="str">
        <f>IF(OR(E2236="",E2236="!!!",F2236="NEW"),"",COUNTBLANK(OFFSET(A$1,,,SUMPRODUCT(MAX(ROW(E$2:E2236)*(E2236=E$2:E2236)))))-COUNTBLANK(OFFSET(A$1,,,SUMPRODUCT(MAX(ROW(E$1:E2235)*(E2=E$1:E2235))))))</f>
        <v> </v>
      </c>
      <c r="K2236" s="25" t="str">
        <f>IF(OR(E2236="",E2236="!!!",F2236="NEW"),"",INDEX(J$1:J2235,SUMPRODUCT(MAX(ROW(E$1:E2235)*(E2236=E$1:E2235)))))</f>
        <v> </v>
      </c>
      <c r="L2236" s="26"/>
    </row>
    <row r="2237" spans="1:12">
      <c r="A2237" s="20" t="s">
        <v>1184</v>
      </c>
      <c r="E2237" s="21">
        <f>IF(D2237="?OLD","!!!","")</f>
        <v/>
      </c>
      <c r="F2237" s="22" t="str">
        <f>IF(OR(E2237="",E2237="!!!"),"",IF(NOT(ISNA(VLOOKUP(E2237,E$1:E2236,1,FALSE()))),"OLD",IF(AND(E2237&lt;&gt;"",E2237&lt;&gt;"!!!"),"NEW","")))</f>
        <v> </v>
      </c>
      <c r="G2237" s="23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4" t="str">
        <f>IF(J2237&lt;&gt;1,"",IF(I2237="SBJ","CB","?"))</f>
        <v> </v>
      </c>
      <c r="I2237" s="25" t="str">
        <f>IF(OR(E2237="",E2237="!!!",F2237="NEW"),"",INDEX(B2236:B$2,-1+SUMPRODUCT(MAX(ROW(E2236:E$2)*(E2237=E2236:E$2)))))</f>
        <v> </v>
      </c>
      <c r="J2237" s="25" t="str">
        <f>IF(OR(E2237="",E2237="!!!",F2237="NEW"),"",COUNTBLANK(OFFSET(A$1,,,SUMPRODUCT(MAX(ROW(E$2:E2237)*(E2237=E$2:E2237)))))-COUNTBLANK(OFFSET(A$1,,,SUMPRODUCT(MAX(ROW(E$1:E2236)*(E2=E$1:E2236))))))</f>
        <v> </v>
      </c>
      <c r="K2237" s="25" t="str">
        <f>IF(OR(E2237="",E2237="!!!",F2237="NEW"),"",INDEX(J$1:J2236,SUMPRODUCT(MAX(ROW(E$1:E2236)*(E2237=E$1:E2236)))))</f>
        <v> </v>
      </c>
      <c r="L2237" s="26"/>
    </row>
    <row r="2238" spans="1:12">
      <c r="A2238" s="20" t="s">
        <v>1016</v>
      </c>
      <c r="E2238" s="21">
        <f>IF(D2238="?OLD","!!!","")</f>
        <v/>
      </c>
      <c r="F2238" s="22" t="str">
        <f>IF(OR(E2238="",E2238="!!!"),"",IF(NOT(ISNA(VLOOKUP(E2238,E$1:E2237,1,FALSE()))),"OLD",IF(AND(E2238&lt;&gt;"",E2238&lt;&gt;"!!!"),"NEW","")))</f>
        <v> </v>
      </c>
      <c r="G2238" s="23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4" t="str">
        <f>IF(J2238&lt;&gt;1,"",IF(I2238="SBJ","CB","?"))</f>
        <v> </v>
      </c>
      <c r="I2238" s="25" t="str">
        <f>IF(OR(E2238="",E2238="!!!",F2238="NEW"),"",INDEX(B2237:B$2,-1+SUMPRODUCT(MAX(ROW(E2237:E$2)*(E2238=E2237:E$2)))))</f>
        <v> </v>
      </c>
      <c r="J2238" s="25" t="str">
        <f>IF(OR(E2238="",E2238="!!!",F2238="NEW"),"",COUNTBLANK(OFFSET(A$1,,,SUMPRODUCT(MAX(ROW(E$2:E2238)*(E2238=E$2:E2238)))))-COUNTBLANK(OFFSET(A$1,,,SUMPRODUCT(MAX(ROW(E$1:E2237)*(E2=E$1:E2237))))))</f>
        <v> </v>
      </c>
      <c r="K2238" s="25" t="str">
        <f>IF(OR(E2238="",E2238="!!!",F2238="NEW"),"",INDEX(J$1:J2237,SUMPRODUCT(MAX(ROW(E$1:E2237)*(E2238=E$1:E2237)))))</f>
        <v> </v>
      </c>
      <c r="L2238" s="26"/>
    </row>
    <row r="2239" spans="1:12">
      <c r="A2239" s="20" t="s">
        <v>1638</v>
      </c>
      <c r="B2239" s="27" t="s">
        <v>1045</v>
      </c>
      <c r="C2239" s="27" t="s">
        <v>1015</v>
      </c>
      <c r="E2239" s="21">
        <f>IF(D2239="?OLD","!!!","")</f>
        <v/>
      </c>
      <c r="F2239" s="22" t="str">
        <f>IF(OR(E2239="",E2239="!!!"),"",IF(NOT(ISNA(VLOOKUP(E2239,E$1:E2238,1,FALSE()))),"OLD",IF(AND(E2239&lt;&gt;"",E2239&lt;&gt;"!!!"),"NEW","")))</f>
        <v> </v>
      </c>
      <c r="G2239" s="23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4" t="str">
        <f>IF(J2239&lt;&gt;1,"",IF(I2239="SBJ","CB","?"))</f>
        <v> </v>
      </c>
      <c r="I2239" s="25" t="str">
        <f>IF(OR(E2239="",E2239="!!!",F2239="NEW"),"",INDEX(B2238:B$2,-1+SUMPRODUCT(MAX(ROW(E2238:E$2)*(E2239=E2238:E$2)))))</f>
        <v> </v>
      </c>
      <c r="J2239" s="25" t="str">
        <f>IF(OR(E2239="",E2239="!!!",F2239="NEW"),"",COUNTBLANK(OFFSET(A$1,,,SUMPRODUCT(MAX(ROW(E$2:E2239)*(E2239=E$2:E2239)))))-COUNTBLANK(OFFSET(A$1,,,SUMPRODUCT(MAX(ROW(E$1:E2238)*(E2=E$1:E2238))))))</f>
        <v> </v>
      </c>
      <c r="K2239" s="25" t="str">
        <f>IF(OR(E2239="",E2239="!!!",F2239="NEW"),"",INDEX(J$1:J2238,SUMPRODUCT(MAX(ROW(E$1:E2238)*(E2239=E$1:E2238)))))</f>
        <v> </v>
      </c>
      <c r="L2239" s="26"/>
    </row>
    <row r="2240" spans="1:12">
      <c r="A2240" s="20" t="s">
        <v>135</v>
      </c>
      <c r="E2240" s="21">
        <f>IF(D2240="?OLD","!!!","")</f>
        <v/>
      </c>
      <c r="F2240" s="22" t="str">
        <f>IF(OR(E2240="",E2240="!!!"),"",IF(NOT(ISNA(VLOOKUP(E2240,E$1:E2239,1,FALSE()))),"OLD",IF(AND(E2240&lt;&gt;"",E2240&lt;&gt;"!!!"),"NEW","")))</f>
        <v> </v>
      </c>
      <c r="G2240" s="23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4" t="str">
        <f>IF(J2240&lt;&gt;1,"",IF(I2240="SBJ","CB","?"))</f>
        <v> </v>
      </c>
      <c r="I2240" s="25" t="str">
        <f>IF(OR(E2240="",E2240="!!!",F2240="NEW"),"",INDEX(B2239:B$2,-1+SUMPRODUCT(MAX(ROW(E2239:E$2)*(E2240=E2239:E$2)))))</f>
        <v> </v>
      </c>
      <c r="J2240" s="25" t="str">
        <f>IF(OR(E2240="",E2240="!!!",F2240="NEW"),"",COUNTBLANK(OFFSET(A$1,,,SUMPRODUCT(MAX(ROW(E$2:E2240)*(E2240=E$2:E2240)))))-COUNTBLANK(OFFSET(A$1,,,SUMPRODUCT(MAX(ROW(E$1:E2239)*(E2=E$1:E2239))))))</f>
        <v> </v>
      </c>
      <c r="K2240" s="25" t="str">
        <f>IF(OR(E2240="",E2240="!!!",F2240="NEW"),"",INDEX(J$1:J2239,SUMPRODUCT(MAX(ROW(E$1:E2239)*(E2240=E$1:E2239)))))</f>
        <v> </v>
      </c>
      <c r="L2240" s="26"/>
    </row>
    <row r="2241" spans="1:12">
      <c r="A2241" s="20"/>
    </row>
    <row r="2242" spans="1:12">
      <c r="A2242" s="20" t="s">
        <v>1845</v>
      </c>
    </row>
    <row r="2243" spans="1:12">
      <c r="A2243" s="20" t="s">
        <v>1846</v>
      </c>
      <c r="E2243" s="21">
        <f>IF(D2243="?OLD","!!!","")</f>
        <v/>
      </c>
      <c r="F2243" s="22" t="str">
        <f>IF(OR(E2243="",E2243="!!!"),"",IF(NOT(ISNA(VLOOKUP(E2243,E$1:E2242,1,FALSE()))),"OLD",IF(AND(E2243&lt;&gt;"",E2243&lt;&gt;"!!!"),"NEW","")))</f>
        <v> </v>
      </c>
      <c r="G2243" s="23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4" t="str">
        <f>IF(J2243&lt;&gt;1,"",IF(I2243="SBJ","CB","?"))</f>
        <v> </v>
      </c>
      <c r="I2243" s="25" t="str">
        <f>IF(OR(E2243="",E2243="!!!",F2243="NEW"),"",INDEX(B2242:B$2,-1+SUMPRODUCT(MAX(ROW(E2242:E$2)*(E2243=E2242:E$2)))))</f>
        <v> </v>
      </c>
      <c r="J2243" s="25" t="str">
        <f>IF(OR(E2243="",E2243="!!!",F2243="NEW"),"",COUNTBLANK(OFFSET(A$1,,,SUMPRODUCT(MAX(ROW(E$2:E2243)*(E2243=E$2:E2243)))))-COUNTBLANK(OFFSET(A$1,,,SUMPRODUCT(MAX(ROW(E$1:E2242)*(E2=E$1:E2242))))))</f>
        <v> </v>
      </c>
      <c r="K2243" s="25" t="str">
        <f>IF(OR(E2243="",E2243="!!!",F2243="NEW"),"",INDEX(J$1:J2242,SUMPRODUCT(MAX(ROW(E$1:E2242)*(E2243=E$1:E2242)))))</f>
        <v> </v>
      </c>
      <c r="L2243" s="26"/>
    </row>
    <row r="2244" spans="1:12">
      <c r="A2244" s="20" t="s">
        <v>461</v>
      </c>
      <c r="B2244" s="27" t="s">
        <v>1045</v>
      </c>
      <c r="C2244" s="27" t="s">
        <v>1038</v>
      </c>
      <c r="D2244" s="27" t="s">
        <v>1030</v>
      </c>
      <c r="E2244" s="21">
        <f>IF(D2244="?OLD","!!!","")</f>
        <v/>
      </c>
      <c r="F2244" s="22" t="str">
        <f>IF(OR(E2244="",E2244="!!!"),"",IF(NOT(ISNA(VLOOKUP(E2244,E$1:E2243,1,FALSE()))),"OLD",IF(AND(E2244&lt;&gt;"",E2244&lt;&gt;"!!!"),"NEW","")))</f>
        <v> </v>
      </c>
      <c r="G2244" s="23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4" t="str">
        <f>IF(J2244&lt;&gt;1,"",IF(I2244="SBJ","CB","?"))</f>
        <v> </v>
      </c>
      <c r="I2244" s="25" t="str">
        <f>IF(OR(E2244="",E2244="!!!",F2244="NEW"),"",INDEX(B2243:B$2,-1+SUMPRODUCT(MAX(ROW(E2243:E$2)*(E2244=E2243:E$2)))))</f>
        <v> </v>
      </c>
      <c r="J2244" s="25" t="str">
        <f>IF(OR(E2244="",E2244="!!!",F2244="NEW"),"",COUNTBLANK(OFFSET(A$1,,,SUMPRODUCT(MAX(ROW(E$2:E2244)*(E2244=E$2:E2244)))))-COUNTBLANK(OFFSET(A$1,,,SUMPRODUCT(MAX(ROW(E$1:E2243)*(E2=E$1:E2243))))))</f>
        <v> </v>
      </c>
      <c r="K2244" s="25" t="str">
        <f>IF(OR(E2244="",E2244="!!!",F2244="NEW"),"",INDEX(J$1:J2243,SUMPRODUCT(MAX(ROW(E$1:E2243)*(E2244=E$1:E2243)))))</f>
        <v> </v>
      </c>
      <c r="L2244" s="26"/>
    </row>
    <row r="2245" spans="1:12">
      <c r="A2245" s="20" t="s">
        <v>1215</v>
      </c>
      <c r="E2245" s="21">
        <f>IF(D2245="?OLD","!!!","")</f>
        <v/>
      </c>
      <c r="F2245" s="22" t="str">
        <f>IF(OR(E2245="",E2245="!!!"),"",IF(NOT(ISNA(VLOOKUP(E2245,E$1:E2244,1,FALSE()))),"OLD",IF(AND(E2245&lt;&gt;"",E2245&lt;&gt;"!!!"),"NEW","")))</f>
        <v> </v>
      </c>
      <c r="G2245" s="23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4" t="str">
        <f>IF(J2245&lt;&gt;1,"",IF(I2245="SBJ","CB","?"))</f>
        <v> </v>
      </c>
      <c r="I2245" s="25" t="str">
        <f>IF(OR(E2245="",E2245="!!!",F2245="NEW"),"",INDEX(B2244:B$2,-1+SUMPRODUCT(MAX(ROW(E2244:E$2)*(E2245=E2244:E$2)))))</f>
        <v> </v>
      </c>
      <c r="J2245" s="25" t="str">
        <f>IF(OR(E2245="",E2245="!!!",F2245="NEW"),"",COUNTBLANK(OFFSET(A$1,,,SUMPRODUCT(MAX(ROW(E$2:E2245)*(E2245=E$2:E2245)))))-COUNTBLANK(OFFSET(A$1,,,SUMPRODUCT(MAX(ROW(E$1:E2244)*(E2=E$1:E2244))))))</f>
        <v> </v>
      </c>
      <c r="K2245" s="25" t="str">
        <f>IF(OR(E2245="",E2245="!!!",F2245="NEW"),"",INDEX(J$1:J2244,SUMPRODUCT(MAX(ROW(E$1:E2244)*(E2245=E$1:E2244)))))</f>
        <v> </v>
      </c>
      <c r="L2245" s="26"/>
    </row>
    <row r="2246" spans="1:12">
      <c r="A2246" s="20"/>
    </row>
    <row r="2247" spans="1:12">
      <c r="A2247" s="20" t="s">
        <v>1847</v>
      </c>
    </row>
    <row r="2248" spans="1:12">
      <c r="A2248" s="20" t="s">
        <v>1848</v>
      </c>
      <c r="E2248" s="21">
        <f>IF(D2248="?OLD","!!!","")</f>
        <v/>
      </c>
      <c r="F2248" s="22" t="str">
        <f>IF(OR(E2248="",E2248="!!!"),"",IF(NOT(ISNA(VLOOKUP(E2248,E$1:E2247,1,FALSE()))),"OLD",IF(AND(E2248&lt;&gt;"",E2248&lt;&gt;"!!!"),"NEW","")))</f>
        <v> </v>
      </c>
      <c r="G2248" s="23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4" t="str">
        <f>IF(J2248&lt;&gt;1,"",IF(I2248="SBJ","CB","?"))</f>
        <v> </v>
      </c>
      <c r="I2248" s="25" t="str">
        <f>IF(OR(E2248="",E2248="!!!",F2248="NEW"),"",INDEX(B2247:B$2,-1+SUMPRODUCT(MAX(ROW(E2247:E$2)*(E2248=E2247:E$2)))))</f>
        <v> </v>
      </c>
      <c r="J2248" s="25" t="str">
        <f>IF(OR(E2248="",E2248="!!!",F2248="NEW"),"",COUNTBLANK(OFFSET(A$1,,,SUMPRODUCT(MAX(ROW(E$2:E2248)*(E2248=E$2:E2248)))))-COUNTBLANK(OFFSET(A$1,,,SUMPRODUCT(MAX(ROW(E$1:E2247)*(E2=E$1:E2247))))))</f>
        <v> </v>
      </c>
      <c r="K2248" s="25" t="str">
        <f>IF(OR(E2248="",E2248="!!!",F2248="NEW"),"",INDEX(J$1:J2247,SUMPRODUCT(MAX(ROW(E$1:E2247)*(E2248=E$1:E2247)))))</f>
        <v> </v>
      </c>
      <c r="L2248" s="26"/>
    </row>
    <row r="2249" spans="1:12">
      <c r="A2249" s="20" t="s">
        <v>1049</v>
      </c>
      <c r="E2249" s="21">
        <f>IF(D2249="?OLD","!!!","")</f>
        <v/>
      </c>
      <c r="F2249" s="22" t="str">
        <f>IF(OR(E2249="",E2249="!!!"),"",IF(NOT(ISNA(VLOOKUP(E2249,E$1:E2248,1,FALSE()))),"OLD",IF(AND(E2249&lt;&gt;"",E2249&lt;&gt;"!!!"),"NEW","")))</f>
        <v> </v>
      </c>
      <c r="G2249" s="23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4" t="str">
        <f>IF(J2249&lt;&gt;1,"",IF(I2249="SBJ","CB","?"))</f>
        <v> </v>
      </c>
      <c r="I2249" s="25" t="str">
        <f>IF(OR(E2249="",E2249="!!!",F2249="NEW"),"",INDEX(B2248:B$2,-1+SUMPRODUCT(MAX(ROW(E2248:E$2)*(E2249=E2248:E$2)))))</f>
        <v> </v>
      </c>
      <c r="J2249" s="25" t="str">
        <f>IF(OR(E2249="",E2249="!!!",F2249="NEW"),"",COUNTBLANK(OFFSET(A$1,,,SUMPRODUCT(MAX(ROW(E$2:E2249)*(E2249=E$2:E2249)))))-COUNTBLANK(OFFSET(A$1,,,SUMPRODUCT(MAX(ROW(E$1:E2248)*(E2=E$1:E2248))))))</f>
        <v> </v>
      </c>
      <c r="K2249" s="25" t="str">
        <f>IF(OR(E2249="",E2249="!!!",F2249="NEW"),"",INDEX(J$1:J2248,SUMPRODUCT(MAX(ROW(E$1:E2248)*(E2249=E$1:E2248)))))</f>
        <v> </v>
      </c>
      <c r="L2249" s="26"/>
    </row>
    <row r="2250" spans="1:12">
      <c r="A2250" s="20" t="s">
        <v>1340</v>
      </c>
      <c r="E2250" s="21">
        <f>IF(D2250="?OLD","!!!","")</f>
        <v/>
      </c>
      <c r="F2250" s="22" t="str">
        <f>IF(OR(E2250="",E2250="!!!"),"",IF(NOT(ISNA(VLOOKUP(E2250,E$1:E2249,1,FALSE()))),"OLD",IF(AND(E2250&lt;&gt;"",E2250&lt;&gt;"!!!"),"NEW","")))</f>
        <v> </v>
      </c>
      <c r="G2250" s="23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4" t="str">
        <f>IF(J2250&lt;&gt;1,"",IF(I2250="SBJ","CB","?"))</f>
        <v> </v>
      </c>
      <c r="I2250" s="25" t="str">
        <f>IF(OR(E2250="",E2250="!!!",F2250="NEW"),"",INDEX(B2249:B$2,-1+SUMPRODUCT(MAX(ROW(E2249:E$2)*(E2250=E2249:E$2)))))</f>
        <v> </v>
      </c>
      <c r="J2250" s="25" t="str">
        <f>IF(OR(E2250="",E2250="!!!",F2250="NEW"),"",COUNTBLANK(OFFSET(A$1,,,SUMPRODUCT(MAX(ROW(E$2:E2250)*(E2250=E$2:E2250)))))-COUNTBLANK(OFFSET(A$1,,,SUMPRODUCT(MAX(ROW(E$1:E2249)*(E2=E$1:E2249))))))</f>
        <v> </v>
      </c>
      <c r="K2250" s="25" t="str">
        <f>IF(OR(E2250="",E2250="!!!",F2250="NEW"),"",INDEX(J$1:J2249,SUMPRODUCT(MAX(ROW(E$1:E2249)*(E2250=E$1:E2249)))))</f>
        <v> </v>
      </c>
      <c r="L2250" s="26"/>
    </row>
    <row r="2251" spans="1:12">
      <c r="A2251" s="20" t="s">
        <v>1459</v>
      </c>
      <c r="B2251" s="27" t="s">
        <v>1041</v>
      </c>
      <c r="C2251" s="27" t="s">
        <v>1140</v>
      </c>
      <c r="D2251" s="27" t="s">
        <v>1030</v>
      </c>
      <c r="E2251" s="21">
        <f>IF(D2251="?OLD","!!!","")</f>
        <v/>
      </c>
      <c r="F2251" s="22" t="str">
        <f>IF(OR(E2251="",E2251="!!!"),"",IF(NOT(ISNA(VLOOKUP(E2251,E$1:E2250,1,FALSE()))),"OLD",IF(AND(E2251&lt;&gt;"",E2251&lt;&gt;"!!!"),"NEW","")))</f>
        <v> </v>
      </c>
      <c r="G2251" s="23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4" t="str">
        <f>IF(J2251&lt;&gt;1,"",IF(I2251="SBJ","CB","?"))</f>
        <v> </v>
      </c>
      <c r="I2251" s="25" t="str">
        <f>IF(OR(E2251="",E2251="!!!",F2251="NEW"),"",INDEX(B2250:B$2,-1+SUMPRODUCT(MAX(ROW(E2250:E$2)*(E2251=E2250:E$2)))))</f>
        <v> </v>
      </c>
      <c r="J2251" s="25" t="str">
        <f>IF(OR(E2251="",E2251="!!!",F2251="NEW"),"",COUNTBLANK(OFFSET(A$1,,,SUMPRODUCT(MAX(ROW(E$2:E2251)*(E2251=E$2:E2251)))))-COUNTBLANK(OFFSET(A$1,,,SUMPRODUCT(MAX(ROW(E$1:E2250)*(E2=E$1:E2250))))))</f>
        <v> </v>
      </c>
      <c r="K2251" s="25" t="str">
        <f>IF(OR(E2251="",E2251="!!!",F2251="NEW"),"",INDEX(J$1:J2250,SUMPRODUCT(MAX(ROW(E$1:E2250)*(E2251=E$1:E2250)))))</f>
        <v> </v>
      </c>
      <c r="L2251" s="26"/>
    </row>
    <row r="2252" spans="1:12">
      <c r="A2252" s="20" t="s">
        <v>135</v>
      </c>
      <c r="E2252" s="21">
        <f>IF(D2252="?OLD","!!!","")</f>
        <v/>
      </c>
      <c r="F2252" s="22" t="str">
        <f>IF(OR(E2252="",E2252="!!!"),"",IF(NOT(ISNA(VLOOKUP(E2252,E$1:E2251,1,FALSE()))),"OLD",IF(AND(E2252&lt;&gt;"",E2252&lt;&gt;"!!!"),"NEW","")))</f>
        <v> </v>
      </c>
      <c r="G2252" s="23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4" t="str">
        <f>IF(J2252&lt;&gt;1,"",IF(I2252="SBJ","CB","?"))</f>
        <v> </v>
      </c>
      <c r="I2252" s="25" t="str">
        <f>IF(OR(E2252="",E2252="!!!",F2252="NEW"),"",INDEX(B2251:B$2,-1+SUMPRODUCT(MAX(ROW(E2251:E$2)*(E2252=E2251:E$2)))))</f>
        <v> </v>
      </c>
      <c r="J2252" s="25" t="str">
        <f>IF(OR(E2252="",E2252="!!!",F2252="NEW"),"",COUNTBLANK(OFFSET(A$1,,,SUMPRODUCT(MAX(ROW(E$2:E2252)*(E2252=E$2:E2252)))))-COUNTBLANK(OFFSET(A$1,,,SUMPRODUCT(MAX(ROW(E$1:E2251)*(E2=E$1:E2251))))))</f>
        <v> </v>
      </c>
      <c r="K2252" s="25" t="str">
        <f>IF(OR(E2252="",E2252="!!!",F2252="NEW"),"",INDEX(J$1:J2251,SUMPRODUCT(MAX(ROW(E$1:E2251)*(E2252=E$1:E2251)))))</f>
        <v> </v>
      </c>
      <c r="L2252" s="26"/>
    </row>
    <row r="2253" spans="1:12">
      <c r="A2253" s="20"/>
    </row>
    <row r="2254" spans="1:12">
      <c r="A2254" s="20" t="s">
        <v>1849</v>
      </c>
    </row>
    <row r="2255" spans="1:12">
      <c r="A2255" s="20" t="s">
        <v>1825</v>
      </c>
      <c r="E2255" s="21">
        <f>IF(D2255="?OLD","!!!","")</f>
        <v/>
      </c>
      <c r="F2255" s="22" t="str">
        <f>IF(OR(E2255="",E2255="!!!"),"",IF(NOT(ISNA(VLOOKUP(E2255,E$1:E2254,1,FALSE()))),"OLD",IF(AND(E2255&lt;&gt;"",E2255&lt;&gt;"!!!"),"NEW","")))</f>
        <v> </v>
      </c>
      <c r="G2255" s="23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4" t="str">
        <f>IF(J2255&lt;&gt;1,"",IF(I2255="SBJ","CB","?"))</f>
        <v> </v>
      </c>
      <c r="I2255" s="25" t="str">
        <f>IF(OR(E2255="",E2255="!!!",F2255="NEW"),"",INDEX(B2254:B$2,-1+SUMPRODUCT(MAX(ROW(E2254:E$2)*(E2255=E2254:E$2)))))</f>
        <v> </v>
      </c>
      <c r="J2255" s="25" t="str">
        <f>IF(OR(E2255="",E2255="!!!",F2255="NEW"),"",COUNTBLANK(OFFSET(A$1,,,SUMPRODUCT(MAX(ROW(E$2:E2255)*(E2255=E$2:E2255)))))-COUNTBLANK(OFFSET(A$1,,,SUMPRODUCT(MAX(ROW(E$1:E2254)*(E2=E$1:E2254))))))</f>
        <v> </v>
      </c>
      <c r="K2255" s="25" t="str">
        <f>IF(OR(E2255="",E2255="!!!",F2255="NEW"),"",INDEX(J$1:J2254,SUMPRODUCT(MAX(ROW(E$1:E2254)*(E2255=E$1:E2254)))))</f>
        <v> </v>
      </c>
      <c r="L2255" s="26"/>
    </row>
    <row r="2256" spans="1:12">
      <c r="A2256" s="20" t="s">
        <v>532</v>
      </c>
      <c r="E2256" s="21">
        <f>IF(D2256="?OLD","!!!","")</f>
        <v/>
      </c>
      <c r="F2256" s="22" t="str">
        <f>IF(OR(E2256="",E2256="!!!"),"",IF(NOT(ISNA(VLOOKUP(E2256,E$1:E2255,1,FALSE()))),"OLD",IF(AND(E2256&lt;&gt;"",E2256&lt;&gt;"!!!"),"NEW","")))</f>
        <v> </v>
      </c>
      <c r="G2256" s="23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4" t="str">
        <f>IF(J2256&lt;&gt;1,"",IF(I2256="SBJ","CB","?"))</f>
        <v> </v>
      </c>
      <c r="I2256" s="25" t="str">
        <f>IF(OR(E2256="",E2256="!!!",F2256="NEW"),"",INDEX(B2255:B$2,-1+SUMPRODUCT(MAX(ROW(E2255:E$2)*(E2256=E2255:E$2)))))</f>
        <v> </v>
      </c>
      <c r="J2256" s="25" t="str">
        <f>IF(OR(E2256="",E2256="!!!",F2256="NEW"),"",COUNTBLANK(OFFSET(A$1,,,SUMPRODUCT(MAX(ROW(E$2:E2256)*(E2256=E$2:E2256)))))-COUNTBLANK(OFFSET(A$1,,,SUMPRODUCT(MAX(ROW(E$1:E2255)*(E2=E$1:E2255))))))</f>
        <v> </v>
      </c>
      <c r="K2256" s="25" t="str">
        <f>IF(OR(E2256="",E2256="!!!",F2256="NEW"),"",INDEX(J$1:J2255,SUMPRODUCT(MAX(ROW(E$1:E2255)*(E2256=E$1:E2255)))))</f>
        <v> </v>
      </c>
      <c r="L2256" s="26"/>
    </row>
    <row r="2257" spans="1:12">
      <c r="A2257" s="20" t="s">
        <v>1215</v>
      </c>
      <c r="E2257" s="21">
        <f>IF(D2257="?OLD","!!!","")</f>
        <v/>
      </c>
      <c r="F2257" s="22" t="str">
        <f>IF(OR(E2257="",E2257="!!!"),"",IF(NOT(ISNA(VLOOKUP(E2257,E$1:E2256,1,FALSE()))),"OLD",IF(AND(E2257&lt;&gt;"",E2257&lt;&gt;"!!!"),"NEW","")))</f>
        <v> </v>
      </c>
      <c r="G2257" s="23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4" t="str">
        <f>IF(J2257&lt;&gt;1,"",IF(I2257="SBJ","CB","?"))</f>
        <v> </v>
      </c>
      <c r="I2257" s="25" t="str">
        <f>IF(OR(E2257="",E2257="!!!",F2257="NEW"),"",INDEX(B2256:B$2,-1+SUMPRODUCT(MAX(ROW(E2256:E$2)*(E2257=E2256:E$2)))))</f>
        <v> </v>
      </c>
      <c r="J2257" s="25" t="str">
        <f>IF(OR(E2257="",E2257="!!!",F2257="NEW"),"",COUNTBLANK(OFFSET(A$1,,,SUMPRODUCT(MAX(ROW(E$2:E2257)*(E2257=E$2:E2257)))))-COUNTBLANK(OFFSET(A$1,,,SUMPRODUCT(MAX(ROW(E$1:E2256)*(E2=E$1:E2256))))))</f>
        <v> </v>
      </c>
      <c r="K2257" s="25" t="str">
        <f>IF(OR(E2257="",E2257="!!!",F2257="NEW"),"",INDEX(J$1:J2256,SUMPRODUCT(MAX(ROW(E$1:E2256)*(E2257=E$1:E2256)))))</f>
        <v> </v>
      </c>
      <c r="L2257" s="26"/>
    </row>
    <row r="2258" spans="1:12">
      <c r="A2258" s="20"/>
    </row>
    <row r="2259" spans="1:12">
      <c r="A2259" s="20" t="s">
        <v>1850</v>
      </c>
    </row>
    <row r="2260" spans="1:12">
      <c r="A2260" s="20" t="s">
        <v>1444</v>
      </c>
      <c r="E2260" s="21">
        <f>IF(D2260="?OLD","!!!","")</f>
        <v/>
      </c>
      <c r="F2260" s="22" t="str">
        <f>IF(OR(E2260="",E2260="!!!"),"",IF(NOT(ISNA(VLOOKUP(E2260,E$1:E2259,1,FALSE()))),"OLD",IF(AND(E2260&lt;&gt;"",E2260&lt;&gt;"!!!"),"NEW","")))</f>
        <v> </v>
      </c>
      <c r="G2260" s="23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4" t="str">
        <f>IF(J2260&lt;&gt;1,"",IF(I2260="SBJ","CB","?"))</f>
        <v> </v>
      </c>
      <c r="I2260" s="25" t="str">
        <f>IF(OR(E2260="",E2260="!!!",F2260="NEW"),"",INDEX(B2259:B$2,-1+SUMPRODUCT(MAX(ROW(E2259:E$2)*(E2260=E2259:E$2)))))</f>
        <v> </v>
      </c>
      <c r="J2260" s="25" t="str">
        <f>IF(OR(E2260="",E2260="!!!",F2260="NEW"),"",COUNTBLANK(OFFSET(A$1,,,SUMPRODUCT(MAX(ROW(E$2:E2260)*(E2260=E$2:E2260)))))-COUNTBLANK(OFFSET(A$1,,,SUMPRODUCT(MAX(ROW(E$1:E2259)*(E2=E$1:E2259))))))</f>
        <v> </v>
      </c>
      <c r="K2260" s="25" t="str">
        <f>IF(OR(E2260="",E2260="!!!",F2260="NEW"),"",INDEX(J$1:J2259,SUMPRODUCT(MAX(ROW(E$1:E2259)*(E2260=E$1:E2259)))))</f>
        <v> </v>
      </c>
      <c r="L2260" s="26"/>
    </row>
    <row r="2261" spans="1:12">
      <c r="A2261" s="20" t="s">
        <v>1180</v>
      </c>
      <c r="B2261" s="27" t="s">
        <v>1079</v>
      </c>
      <c r="C2261" s="27" t="s">
        <v>1077</v>
      </c>
      <c r="D2261" s="27" t="s">
        <v>1030</v>
      </c>
      <c r="E2261" s="21">
        <f>IF(D2261="?OLD","!!!","")</f>
        <v/>
      </c>
      <c r="F2261" s="22" t="str">
        <f>IF(OR(E2261="",E2261="!!!"),"",IF(NOT(ISNA(VLOOKUP(E2261,E$1:E2260,1,FALSE()))),"OLD",IF(AND(E2261&lt;&gt;"",E2261&lt;&gt;"!!!"),"NEW","")))</f>
        <v> </v>
      </c>
      <c r="G2261" s="23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4" t="str">
        <f>IF(J2261&lt;&gt;1,"",IF(I2261="SBJ","CB","?"))</f>
        <v> </v>
      </c>
      <c r="I2261" s="25" t="str">
        <f>IF(OR(E2261="",E2261="!!!",F2261="NEW"),"",INDEX(B2260:B$2,-1+SUMPRODUCT(MAX(ROW(E2260:E$2)*(E2261=E2260:E$2)))))</f>
        <v> </v>
      </c>
      <c r="J2261" s="25" t="str">
        <f>IF(OR(E2261="",E2261="!!!",F2261="NEW"),"",COUNTBLANK(OFFSET(A$1,,,SUMPRODUCT(MAX(ROW(E$2:E2261)*(E2261=E$2:E2261)))))-COUNTBLANK(OFFSET(A$1,,,SUMPRODUCT(MAX(ROW(E$1:E2260)*(E2=E$1:E2260))))))</f>
        <v> </v>
      </c>
      <c r="K2261" s="25" t="str">
        <f>IF(OR(E2261="",E2261="!!!",F2261="NEW"),"",INDEX(J$1:J2260,SUMPRODUCT(MAX(ROW(E$1:E2260)*(E2261=E$1:E2260)))))</f>
        <v> </v>
      </c>
      <c r="L2261" s="26"/>
    </row>
    <row r="2262" spans="1:12">
      <c r="A2262" s="20" t="s">
        <v>1851</v>
      </c>
      <c r="E2262" s="21">
        <f>IF(D2262="?OLD","!!!","")</f>
        <v/>
      </c>
      <c r="F2262" s="22" t="str">
        <f>IF(OR(E2262="",E2262="!!!"),"",IF(NOT(ISNA(VLOOKUP(E2262,E$1:E2261,1,FALSE()))),"OLD",IF(AND(E2262&lt;&gt;"",E2262&lt;&gt;"!!!"),"NEW","")))</f>
        <v> </v>
      </c>
      <c r="G2262" s="23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4" t="str">
        <f>IF(J2262&lt;&gt;1,"",IF(I2262="SBJ","CB","?"))</f>
        <v> </v>
      </c>
      <c r="I2262" s="25" t="str">
        <f>IF(OR(E2262="",E2262="!!!",F2262="NEW"),"",INDEX(B2261:B$2,-1+SUMPRODUCT(MAX(ROW(E2261:E$2)*(E2262=E2261:E$2)))))</f>
        <v> </v>
      </c>
      <c r="J2262" s="25" t="str">
        <f>IF(OR(E2262="",E2262="!!!",F2262="NEW"),"",COUNTBLANK(OFFSET(A$1,,,SUMPRODUCT(MAX(ROW(E$2:E2262)*(E2262=E$2:E2262)))))-COUNTBLANK(OFFSET(A$1,,,SUMPRODUCT(MAX(ROW(E$1:E2261)*(E2=E$1:E2261))))))</f>
        <v> </v>
      </c>
      <c r="K2262" s="25" t="str">
        <f>IF(OR(E2262="",E2262="!!!",F2262="NEW"),"",INDEX(J$1:J2261,SUMPRODUCT(MAX(ROW(E$1:E2261)*(E2262=E$1:E2261)))))</f>
        <v> </v>
      </c>
      <c r="L2262" s="26"/>
    </row>
    <row r="2263" spans="1:12">
      <c r="A2263" s="20" t="s">
        <v>1852</v>
      </c>
      <c r="B2263" s="27" t="s">
        <v>1041</v>
      </c>
      <c r="C2263" s="27" t="s">
        <v>1029</v>
      </c>
      <c r="D2263" s="27" t="s">
        <v>1030</v>
      </c>
      <c r="E2263" s="21">
        <f>IF(D2263="?OLD","!!!","")</f>
        <v/>
      </c>
      <c r="F2263" s="22" t="str">
        <f>IF(OR(E2263="",E2263="!!!"),"",IF(NOT(ISNA(VLOOKUP(E2263,E$1:E2262,1,FALSE()))),"OLD",IF(AND(E2263&lt;&gt;"",E2263&lt;&gt;"!!!"),"NEW","")))</f>
        <v> </v>
      </c>
      <c r="G2263" s="23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4" t="str">
        <f>IF(J2263&lt;&gt;1,"",IF(I2263="SBJ","CB","?"))</f>
        <v> </v>
      </c>
      <c r="I2263" s="25" t="str">
        <f>IF(OR(E2263="",E2263="!!!",F2263="NEW"),"",INDEX(B2262:B$2,-1+SUMPRODUCT(MAX(ROW(E2262:E$2)*(E2263=E2262:E$2)))))</f>
        <v> </v>
      </c>
      <c r="J2263" s="25" t="str">
        <f>IF(OR(E2263="",E2263="!!!",F2263="NEW"),"",COUNTBLANK(OFFSET(A$1,,,SUMPRODUCT(MAX(ROW(E$2:E2263)*(E2263=E$2:E2263)))))-COUNTBLANK(OFFSET(A$1,,,SUMPRODUCT(MAX(ROW(E$1:E2262)*(E2=E$1:E2262))))))</f>
        <v> </v>
      </c>
      <c r="K2263" s="25" t="str">
        <f>IF(OR(E2263="",E2263="!!!",F2263="NEW"),"",INDEX(J$1:J2262,SUMPRODUCT(MAX(ROW(E$1:E2262)*(E2263=E$1:E2262)))))</f>
        <v> </v>
      </c>
      <c r="L2263" s="26"/>
    </row>
    <row r="2264" spans="1:12">
      <c r="A2264" s="20" t="s">
        <v>1016</v>
      </c>
      <c r="E2264" s="21">
        <f>IF(D2264="?OLD","!!!","")</f>
        <v/>
      </c>
      <c r="F2264" s="22" t="str">
        <f>IF(OR(E2264="",E2264="!!!"),"",IF(NOT(ISNA(VLOOKUP(E2264,E$1:E2263,1,FALSE()))),"OLD",IF(AND(E2264&lt;&gt;"",E2264&lt;&gt;"!!!"),"NEW","")))</f>
        <v> </v>
      </c>
      <c r="G2264" s="23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4" t="str">
        <f>IF(J2264&lt;&gt;1,"",IF(I2264="SBJ","CB","?"))</f>
        <v> </v>
      </c>
      <c r="I2264" s="25" t="str">
        <f>IF(OR(E2264="",E2264="!!!",F2264="NEW"),"",INDEX(B2263:B$2,-1+SUMPRODUCT(MAX(ROW(E2263:E$2)*(E2264=E2263:E$2)))))</f>
        <v> </v>
      </c>
      <c r="J2264" s="25" t="str">
        <f>IF(OR(E2264="",E2264="!!!",F2264="NEW"),"",COUNTBLANK(OFFSET(A$1,,,SUMPRODUCT(MAX(ROW(E$2:E2264)*(E2264=E$2:E2264)))))-COUNTBLANK(OFFSET(A$1,,,SUMPRODUCT(MAX(ROW(E$1:E2263)*(E2=E$1:E2263))))))</f>
        <v> </v>
      </c>
      <c r="K2264" s="25" t="str">
        <f>IF(OR(E2264="",E2264="!!!",F2264="NEW"),"",INDEX(J$1:J2263,SUMPRODUCT(MAX(ROW(E$1:E2263)*(E2264=E$1:E2263)))))</f>
        <v> </v>
      </c>
      <c r="L2264" s="26"/>
    </row>
    <row r="2265" spans="1:12">
      <c r="A2265" s="20" t="s">
        <v>1036</v>
      </c>
      <c r="E2265" s="21">
        <f>IF(D2265="?OLD","!!!","")</f>
        <v/>
      </c>
      <c r="F2265" s="22" t="str">
        <f>IF(OR(E2265="",E2265="!!!"),"",IF(NOT(ISNA(VLOOKUP(E2265,E$1:E2264,1,FALSE()))),"OLD",IF(AND(E2265&lt;&gt;"",E2265&lt;&gt;"!!!"),"NEW","")))</f>
        <v> </v>
      </c>
      <c r="G2265" s="23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4" t="str">
        <f>IF(J2265&lt;&gt;1,"",IF(I2265="SBJ","CB","?"))</f>
        <v> </v>
      </c>
      <c r="I2265" s="25" t="str">
        <f>IF(OR(E2265="",E2265="!!!",F2265="NEW"),"",INDEX(B2264:B$2,-1+SUMPRODUCT(MAX(ROW(E2264:E$2)*(E2265=E2264:E$2)))))</f>
        <v> </v>
      </c>
      <c r="J2265" s="25" t="str">
        <f>IF(OR(E2265="",E2265="!!!",F2265="NEW"),"",COUNTBLANK(OFFSET(A$1,,,SUMPRODUCT(MAX(ROW(E$2:E2265)*(E2265=E$2:E2265)))))-COUNTBLANK(OFFSET(A$1,,,SUMPRODUCT(MAX(ROW(E$1:E2264)*(E2=E$1:E2264))))))</f>
        <v> </v>
      </c>
      <c r="K2265" s="25" t="str">
        <f>IF(OR(E2265="",E2265="!!!",F2265="NEW"),"",INDEX(J$1:J2264,SUMPRODUCT(MAX(ROW(E$1:E2264)*(E2265=E$1:E2264)))))</f>
        <v> </v>
      </c>
      <c r="L2265" s="26"/>
    </row>
    <row r="2266" spans="1:12">
      <c r="A2266" s="20" t="s">
        <v>1853</v>
      </c>
      <c r="B2266" s="27" t="s">
        <v>1079</v>
      </c>
      <c r="C2266" s="27" t="s">
        <v>1038</v>
      </c>
      <c r="D2266" s="27" t="s">
        <v>1030</v>
      </c>
      <c r="E2266" s="21">
        <f>IF(D2266="?OLD","!!!","")</f>
        <v/>
      </c>
      <c r="F2266" s="22" t="str">
        <f>IF(OR(E2266="",E2266="!!!"),"",IF(NOT(ISNA(VLOOKUP(E2266,E$1:E2265,1,FALSE()))),"OLD",IF(AND(E2266&lt;&gt;"",E2266&lt;&gt;"!!!"),"NEW","")))</f>
        <v> </v>
      </c>
      <c r="G2266" s="23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4" t="str">
        <f>IF(J2266&lt;&gt;1,"",IF(I2266="SBJ","CB","?"))</f>
        <v> </v>
      </c>
      <c r="I2266" s="25" t="str">
        <f>IF(OR(E2266="",E2266="!!!",F2266="NEW"),"",INDEX(B2265:B$2,-1+SUMPRODUCT(MAX(ROW(E2265:E$2)*(E2266=E2265:E$2)))))</f>
        <v> </v>
      </c>
      <c r="J2266" s="25" t="str">
        <f>IF(OR(E2266="",E2266="!!!",F2266="NEW"),"",COUNTBLANK(OFFSET(A$1,,,SUMPRODUCT(MAX(ROW(E$2:E2266)*(E2266=E$2:E2266)))))-COUNTBLANK(OFFSET(A$1,,,SUMPRODUCT(MAX(ROW(E$1:E2265)*(E2=E$1:E2265))))))</f>
        <v> </v>
      </c>
      <c r="K2266" s="25" t="str">
        <f>IF(OR(E2266="",E2266="!!!",F2266="NEW"),"",INDEX(J$1:J2265,SUMPRODUCT(MAX(ROW(E$1:E2265)*(E2266=E$1:E2265)))))</f>
        <v> </v>
      </c>
      <c r="L2266" s="26"/>
    </row>
    <row r="2267" spans="1:12">
      <c r="A2267" s="20" t="s">
        <v>1369</v>
      </c>
      <c r="B2267" s="27" t="s">
        <v>1014</v>
      </c>
      <c r="C2267" s="27" t="s">
        <v>1050</v>
      </c>
      <c r="D2267" s="27" t="s">
        <v>1030</v>
      </c>
      <c r="E2267" s="21">
        <f>IF(D2267="?OLD","!!!","")</f>
        <v/>
      </c>
      <c r="F2267" s="22" t="str">
        <f>IF(OR(E2267="",E2267="!!!"),"",IF(NOT(ISNA(VLOOKUP(E2267,E$1:E2266,1,FALSE()))),"OLD",IF(AND(E2267&lt;&gt;"",E2267&lt;&gt;"!!!"),"NEW","")))</f>
        <v> </v>
      </c>
      <c r="G2267" s="23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4" t="str">
        <f>IF(J2267&lt;&gt;1,"",IF(I2267="SBJ","CB","?"))</f>
        <v> </v>
      </c>
      <c r="I2267" s="25" t="str">
        <f>IF(OR(E2267="",E2267="!!!",F2267="NEW"),"",INDEX(B2266:B$2,-1+SUMPRODUCT(MAX(ROW(E2266:E$2)*(E2267=E2266:E$2)))))</f>
        <v> </v>
      </c>
      <c r="J2267" s="25" t="str">
        <f>IF(OR(E2267="",E2267="!!!",F2267="NEW"),"",COUNTBLANK(OFFSET(A$1,,,SUMPRODUCT(MAX(ROW(E$2:E2267)*(E2267=E$2:E2267)))))-COUNTBLANK(OFFSET(A$1,,,SUMPRODUCT(MAX(ROW(E$1:E2266)*(E2=E$1:E2266))))))</f>
        <v> </v>
      </c>
      <c r="K2267" s="25" t="str">
        <f>IF(OR(E2267="",E2267="!!!",F2267="NEW"),"",INDEX(J$1:J2266,SUMPRODUCT(MAX(ROW(E$1:E2266)*(E2267=E$1:E2266)))))</f>
        <v> </v>
      </c>
      <c r="L2267" s="26"/>
    </row>
    <row r="2268" spans="1:12">
      <c r="A2268" s="20" t="s">
        <v>1220</v>
      </c>
      <c r="E2268" s="21">
        <f>IF(D2268="?OLD","!!!","")</f>
        <v/>
      </c>
      <c r="F2268" s="22" t="str">
        <f>IF(OR(E2268="",E2268="!!!"),"",IF(NOT(ISNA(VLOOKUP(E2268,E$1:E2267,1,FALSE()))),"OLD",IF(AND(E2268&lt;&gt;"",E2268&lt;&gt;"!!!"),"NEW","")))</f>
        <v> </v>
      </c>
      <c r="G2268" s="23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4" t="str">
        <f>IF(J2268&lt;&gt;1,"",IF(I2268="SBJ","CB","?"))</f>
        <v> </v>
      </c>
      <c r="I2268" s="25" t="str">
        <f>IF(OR(E2268="",E2268="!!!",F2268="NEW"),"",INDEX(B2267:B$2,-1+SUMPRODUCT(MAX(ROW(E2267:E$2)*(E2268=E2267:E$2)))))</f>
        <v> </v>
      </c>
      <c r="J2268" s="25" t="str">
        <f>IF(OR(E2268="",E2268="!!!",F2268="NEW"),"",COUNTBLANK(OFFSET(A$1,,,SUMPRODUCT(MAX(ROW(E$2:E2268)*(E2268=E$2:E2268)))))-COUNTBLANK(OFFSET(A$1,,,SUMPRODUCT(MAX(ROW(E$1:E2267)*(E2=E$1:E2267))))))</f>
        <v> </v>
      </c>
      <c r="K2268" s="25" t="str">
        <f>IF(OR(E2268="",E2268="!!!",F2268="NEW"),"",INDEX(J$1:J2267,SUMPRODUCT(MAX(ROW(E$1:E2267)*(E2268=E$1:E2267)))))</f>
        <v> </v>
      </c>
      <c r="L2268" s="26"/>
    </row>
    <row r="2269" spans="1:12">
      <c r="A2269" s="20" t="s">
        <v>1446</v>
      </c>
      <c r="E2269" s="21">
        <f>IF(D2269="?OLD","!!!","")</f>
        <v/>
      </c>
      <c r="F2269" s="22" t="str">
        <f>IF(OR(E2269="",E2269="!!!"),"",IF(NOT(ISNA(VLOOKUP(E2269,E$1:E2268,1,FALSE()))),"OLD",IF(AND(E2269&lt;&gt;"",E2269&lt;&gt;"!!!"),"NEW","")))</f>
        <v> </v>
      </c>
      <c r="G2269" s="23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4" t="str">
        <f>IF(J2269&lt;&gt;1,"",IF(I2269="SBJ","CB","?"))</f>
        <v> </v>
      </c>
      <c r="I2269" s="25" t="str">
        <f>IF(OR(E2269="",E2269="!!!",F2269="NEW"),"",INDEX(B2268:B$2,-1+SUMPRODUCT(MAX(ROW(E2268:E$2)*(E2269=E2268:E$2)))))</f>
        <v> </v>
      </c>
      <c r="J2269" s="25" t="str">
        <f>IF(OR(E2269="",E2269="!!!",F2269="NEW"),"",COUNTBLANK(OFFSET(A$1,,,SUMPRODUCT(MAX(ROW(E$2:E2269)*(E2269=E$2:E2269)))))-COUNTBLANK(OFFSET(A$1,,,SUMPRODUCT(MAX(ROW(E$1:E2268)*(E2=E$1:E2268))))))</f>
        <v> </v>
      </c>
      <c r="K2269" s="25" t="str">
        <f>IF(OR(E2269="",E2269="!!!",F2269="NEW"),"",INDEX(J$1:J2268,SUMPRODUCT(MAX(ROW(E$1:E2268)*(E2269=E$1:E2268)))))</f>
        <v> </v>
      </c>
      <c r="L2269" s="26"/>
    </row>
    <row r="2270" spans="1:12">
      <c r="A2270" s="20" t="s">
        <v>1160</v>
      </c>
      <c r="E2270" s="21">
        <f>IF(D2270="?OLD","!!!","")</f>
        <v/>
      </c>
      <c r="F2270" s="22" t="str">
        <f>IF(OR(E2270="",E2270="!!!"),"",IF(NOT(ISNA(VLOOKUP(E2270,E$1:E2269,1,FALSE()))),"OLD",IF(AND(E2270&lt;&gt;"",E2270&lt;&gt;"!!!"),"NEW","")))</f>
        <v> </v>
      </c>
      <c r="G2270" s="23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4" t="str">
        <f>IF(J2270&lt;&gt;1,"",IF(I2270="SBJ","CB","?"))</f>
        <v> </v>
      </c>
      <c r="I2270" s="25" t="str">
        <f>IF(OR(E2270="",E2270="!!!",F2270="NEW"),"",INDEX(B2269:B$2,-1+SUMPRODUCT(MAX(ROW(E2269:E$2)*(E2270=E2269:E$2)))))</f>
        <v> </v>
      </c>
      <c r="J2270" s="25" t="str">
        <f>IF(OR(E2270="",E2270="!!!",F2270="NEW"),"",COUNTBLANK(OFFSET(A$1,,,SUMPRODUCT(MAX(ROW(E$2:E2270)*(E2270=E$2:E2270)))))-COUNTBLANK(OFFSET(A$1,,,SUMPRODUCT(MAX(ROW(E$1:E2269)*(E2=E$1:E2269))))))</f>
        <v> </v>
      </c>
      <c r="K2270" s="25" t="str">
        <f>IF(OR(E2270="",E2270="!!!",F2270="NEW"),"",INDEX(J$1:J2269,SUMPRODUCT(MAX(ROW(E$1:E2269)*(E2270=E$1:E2269)))))</f>
        <v> </v>
      </c>
      <c r="L2270" s="26"/>
    </row>
    <row r="2271" spans="1:12">
      <c r="A2271" s="20" t="s">
        <v>1854</v>
      </c>
      <c r="B2271" s="27" t="s">
        <v>1014</v>
      </c>
      <c r="C2271" s="27" t="s">
        <v>1029</v>
      </c>
      <c r="D2271" s="27" t="s">
        <v>1030</v>
      </c>
      <c r="E2271" s="21">
        <f>IF(D2271="?OLD","!!!","")</f>
        <v/>
      </c>
      <c r="F2271" s="22" t="str">
        <f>IF(OR(E2271="",E2271="!!!"),"",IF(NOT(ISNA(VLOOKUP(E2271,E$1:E2270,1,FALSE()))),"OLD",IF(AND(E2271&lt;&gt;"",E2271&lt;&gt;"!!!"),"NEW","")))</f>
        <v> </v>
      </c>
      <c r="G2271" s="23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4" t="str">
        <f>IF(J2271&lt;&gt;1,"",IF(I2271="SBJ","CB","?"))</f>
        <v> </v>
      </c>
      <c r="I2271" s="25" t="str">
        <f>IF(OR(E2271="",E2271="!!!",F2271="NEW"),"",INDEX(B2270:B$2,-1+SUMPRODUCT(MAX(ROW(E2270:E$2)*(E2271=E2270:E$2)))))</f>
        <v> </v>
      </c>
      <c r="J2271" s="25" t="str">
        <f>IF(OR(E2271="",E2271="!!!",F2271="NEW"),"",COUNTBLANK(OFFSET(A$1,,,SUMPRODUCT(MAX(ROW(E$2:E2271)*(E2271=E$2:E2271)))))-COUNTBLANK(OFFSET(A$1,,,SUMPRODUCT(MAX(ROW(E$1:E2270)*(E2=E$1:E2270))))))</f>
        <v> </v>
      </c>
      <c r="K2271" s="25" t="str">
        <f>IF(OR(E2271="",E2271="!!!",F2271="NEW"),"",INDEX(J$1:J2270,SUMPRODUCT(MAX(ROW(E$1:E2270)*(E2271=E$1:E2270)))))</f>
        <v> </v>
      </c>
      <c r="L2271" s="26"/>
    </row>
    <row r="2272" spans="1:12">
      <c r="A2272" s="20" t="s">
        <v>1016</v>
      </c>
      <c r="E2272" s="21">
        <f>IF(D2272="?OLD","!!!","")</f>
        <v/>
      </c>
      <c r="F2272" s="22" t="str">
        <f>IF(OR(E2272="",E2272="!!!"),"",IF(NOT(ISNA(VLOOKUP(E2272,E$1:E2271,1,FALSE()))),"OLD",IF(AND(E2272&lt;&gt;"",E2272&lt;&gt;"!!!"),"NEW","")))</f>
        <v> </v>
      </c>
      <c r="G2272" s="23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4" t="str">
        <f>IF(J2272&lt;&gt;1,"",IF(I2272="SBJ","CB","?"))</f>
        <v> </v>
      </c>
      <c r="I2272" s="25" t="str">
        <f>IF(OR(E2272="",E2272="!!!",F2272="NEW"),"",INDEX(B2271:B$2,-1+SUMPRODUCT(MAX(ROW(E2271:E$2)*(E2272=E2271:E$2)))))</f>
        <v> </v>
      </c>
      <c r="J2272" s="25" t="str">
        <f>IF(OR(E2272="",E2272="!!!",F2272="NEW"),"",COUNTBLANK(OFFSET(A$1,,,SUMPRODUCT(MAX(ROW(E$2:E2272)*(E2272=E$2:E2272)))))-COUNTBLANK(OFFSET(A$1,,,SUMPRODUCT(MAX(ROW(E$1:E2271)*(E2=E$1:E2271))))))</f>
        <v> </v>
      </c>
      <c r="K2272" s="25" t="str">
        <f>IF(OR(E2272="",E2272="!!!",F2272="NEW"),"",INDEX(J$1:J2271,SUMPRODUCT(MAX(ROW(E$1:E2271)*(E2272=E$1:E2271)))))</f>
        <v> </v>
      </c>
      <c r="L2272" s="26"/>
    </row>
    <row r="2273" spans="1:12">
      <c r="A2273" s="20" t="s">
        <v>1855</v>
      </c>
      <c r="B2273" s="27" t="s">
        <v>1079</v>
      </c>
      <c r="C2273" s="27" t="s">
        <v>1015</v>
      </c>
      <c r="E2273" s="21">
        <f>IF(D2273="?OLD","!!!","")</f>
        <v/>
      </c>
      <c r="F2273" s="22" t="str">
        <f>IF(OR(E2273="",E2273="!!!"),"",IF(NOT(ISNA(VLOOKUP(E2273,E$1:E2272,1,FALSE()))),"OLD",IF(AND(E2273&lt;&gt;"",E2273&lt;&gt;"!!!"),"NEW","")))</f>
        <v> </v>
      </c>
      <c r="G2273" s="23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4" t="str">
        <f>IF(J2273&lt;&gt;1,"",IF(I2273="SBJ","CB","?"))</f>
        <v> </v>
      </c>
      <c r="I2273" s="25" t="str">
        <f>IF(OR(E2273="",E2273="!!!",F2273="NEW"),"",INDEX(B2272:B$2,-1+SUMPRODUCT(MAX(ROW(E2272:E$2)*(E2273=E2272:E$2)))))</f>
        <v> </v>
      </c>
      <c r="J2273" s="25" t="str">
        <f>IF(OR(E2273="",E2273="!!!",F2273="NEW"),"",COUNTBLANK(OFFSET(A$1,,,SUMPRODUCT(MAX(ROW(E$2:E2273)*(E2273=E$2:E2273)))))-COUNTBLANK(OFFSET(A$1,,,SUMPRODUCT(MAX(ROW(E$1:E2272)*(E2=E$1:E2272))))))</f>
        <v> </v>
      </c>
      <c r="K2273" s="25" t="str">
        <f>IF(OR(E2273="",E2273="!!!",F2273="NEW"),"",INDEX(J$1:J2272,SUMPRODUCT(MAX(ROW(E$1:E2272)*(E2273=E$1:E2272)))))</f>
        <v> </v>
      </c>
      <c r="L2273" s="26"/>
    </row>
    <row r="2274" spans="1:12">
      <c r="A2274" s="20" t="s">
        <v>1205</v>
      </c>
      <c r="E2274" s="21">
        <f>IF(D2274="?OLD","!!!","")</f>
        <v/>
      </c>
      <c r="F2274" s="22" t="str">
        <f>IF(OR(E2274="",E2274="!!!"),"",IF(NOT(ISNA(VLOOKUP(E2274,E$1:E2273,1,FALSE()))),"OLD",IF(AND(E2274&lt;&gt;"",E2274&lt;&gt;"!!!"),"NEW","")))</f>
        <v> </v>
      </c>
      <c r="G2274" s="23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4" t="str">
        <f>IF(J2274&lt;&gt;1,"",IF(I2274="SBJ","CB","?"))</f>
        <v> </v>
      </c>
      <c r="I2274" s="25" t="str">
        <f>IF(OR(E2274="",E2274="!!!",F2274="NEW"),"",INDEX(B2273:B$2,-1+SUMPRODUCT(MAX(ROW(E2273:E$2)*(E2274=E2273:E$2)))))</f>
        <v> </v>
      </c>
      <c r="J2274" s="25" t="str">
        <f>IF(OR(E2274="",E2274="!!!",F2274="NEW"),"",COUNTBLANK(OFFSET(A$1,,,SUMPRODUCT(MAX(ROW(E$2:E2274)*(E2274=E$2:E2274)))))-COUNTBLANK(OFFSET(A$1,,,SUMPRODUCT(MAX(ROW(E$1:E2273)*(E2=E$1:E2273))))))</f>
        <v> </v>
      </c>
      <c r="K2274" s="25" t="str">
        <f>IF(OR(E2274="",E2274="!!!",F2274="NEW"),"",INDEX(J$1:J2273,SUMPRODUCT(MAX(ROW(E$1:E2273)*(E2274=E$1:E2273)))))</f>
        <v> </v>
      </c>
      <c r="L2274" s="26"/>
    </row>
    <row r="2275" spans="1:12">
      <c r="A2275" s="20" t="s">
        <v>1083</v>
      </c>
      <c r="E2275" s="21">
        <f>IF(D2275="?OLD","!!!","")</f>
        <v/>
      </c>
      <c r="F2275" s="22" t="str">
        <f>IF(OR(E2275="",E2275="!!!"),"",IF(NOT(ISNA(VLOOKUP(E2275,E$1:E2274,1,FALSE()))),"OLD",IF(AND(E2275&lt;&gt;"",E2275&lt;&gt;"!!!"),"NEW","")))</f>
        <v> </v>
      </c>
      <c r="G2275" s="23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4" t="str">
        <f>IF(J2275&lt;&gt;1,"",IF(I2275="SBJ","CB","?"))</f>
        <v> </v>
      </c>
      <c r="I2275" s="25" t="str">
        <f>IF(OR(E2275="",E2275="!!!",F2275="NEW"),"",INDEX(B2274:B$2,-1+SUMPRODUCT(MAX(ROW(E2274:E$2)*(E2275=E2274:E$2)))))</f>
        <v> </v>
      </c>
      <c r="J2275" s="25" t="str">
        <f>IF(OR(E2275="",E2275="!!!",F2275="NEW"),"",COUNTBLANK(OFFSET(A$1,,,SUMPRODUCT(MAX(ROW(E$2:E2275)*(E2275=E$2:E2275)))))-COUNTBLANK(OFFSET(A$1,,,SUMPRODUCT(MAX(ROW(E$1:E2274)*(E2=E$1:E2274))))))</f>
        <v> </v>
      </c>
      <c r="K2275" s="25" t="str">
        <f>IF(OR(E2275="",E2275="!!!",F2275="NEW"),"",INDEX(J$1:J2274,SUMPRODUCT(MAX(ROW(E$1:E2274)*(E2275=E$1:E2274)))))</f>
        <v> </v>
      </c>
      <c r="L2275" s="26"/>
    </row>
    <row r="2276" spans="1:12">
      <c r="A2276" s="20" t="s">
        <v>1369</v>
      </c>
      <c r="B2276" s="27" t="s">
        <v>1069</v>
      </c>
      <c r="C2276" s="27" t="s">
        <v>1050</v>
      </c>
      <c r="D2276" s="27" t="s">
        <v>1030</v>
      </c>
      <c r="E2276" s="21">
        <f>IF(D2276="?OLD","!!!","")</f>
        <v/>
      </c>
      <c r="F2276" s="22" t="str">
        <f>IF(OR(E2276="",E2276="!!!"),"",IF(NOT(ISNA(VLOOKUP(E2276,E$1:E2275,1,FALSE()))),"OLD",IF(AND(E2276&lt;&gt;"",E2276&lt;&gt;"!!!"),"NEW","")))</f>
        <v> </v>
      </c>
      <c r="G2276" s="23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4" t="str">
        <f>IF(J2276&lt;&gt;1,"",IF(I2276="SBJ","CB","?"))</f>
        <v> </v>
      </c>
      <c r="I2276" s="25" t="str">
        <f>IF(OR(E2276="",E2276="!!!",F2276="NEW"),"",INDEX(B2275:B$2,-1+SUMPRODUCT(MAX(ROW(E2275:E$2)*(E2276=E2275:E$2)))))</f>
        <v> </v>
      </c>
      <c r="J2276" s="25" t="str">
        <f>IF(OR(E2276="",E2276="!!!",F2276="NEW"),"",COUNTBLANK(OFFSET(A$1,,,SUMPRODUCT(MAX(ROW(E$2:E2276)*(E2276=E$2:E2276)))))-COUNTBLANK(OFFSET(A$1,,,SUMPRODUCT(MAX(ROW(E$1:E2275)*(E2=E$1:E2275))))))</f>
        <v> </v>
      </c>
      <c r="K2276" s="25" t="str">
        <f>IF(OR(E2276="",E2276="!!!",F2276="NEW"),"",INDEX(J$1:J2275,SUMPRODUCT(MAX(ROW(E$1:E2275)*(E2276=E$1:E2275)))))</f>
        <v> </v>
      </c>
      <c r="L2276" s="26"/>
    </row>
    <row r="2277" spans="1:12">
      <c r="A2277" s="20" t="s">
        <v>1220</v>
      </c>
      <c r="E2277" s="21">
        <f>IF(D2277="?OLD","!!!","")</f>
        <v/>
      </c>
      <c r="F2277" s="22" t="str">
        <f>IF(OR(E2277="",E2277="!!!"),"",IF(NOT(ISNA(VLOOKUP(E2277,E$1:E2276,1,FALSE()))),"OLD",IF(AND(E2277&lt;&gt;"",E2277&lt;&gt;"!!!"),"NEW","")))</f>
        <v> </v>
      </c>
      <c r="G2277" s="23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4" t="str">
        <f>IF(J2277&lt;&gt;1,"",IF(I2277="SBJ","CB","?"))</f>
        <v> </v>
      </c>
      <c r="I2277" s="25" t="str">
        <f>IF(OR(E2277="",E2277="!!!",F2277="NEW"),"",INDEX(B2276:B$2,-1+SUMPRODUCT(MAX(ROW(E2276:E$2)*(E2277=E2276:E$2)))))</f>
        <v> </v>
      </c>
      <c r="J2277" s="25" t="str">
        <f>IF(OR(E2277="",E2277="!!!",F2277="NEW"),"",COUNTBLANK(OFFSET(A$1,,,SUMPRODUCT(MAX(ROW(E$2:E2277)*(E2277=E$2:E2277)))))-COUNTBLANK(OFFSET(A$1,,,SUMPRODUCT(MAX(ROW(E$1:E2276)*(E2=E$1:E2276))))))</f>
        <v> </v>
      </c>
      <c r="K2277" s="25" t="str">
        <f>IF(OR(E2277="",E2277="!!!",F2277="NEW"),"",INDEX(J$1:J2276,SUMPRODUCT(MAX(ROW(E$1:E2276)*(E2277=E$1:E2276)))))</f>
        <v> </v>
      </c>
      <c r="L2277" s="26"/>
    </row>
    <row r="2278" spans="1:12">
      <c r="A2278" s="20" t="s">
        <v>1856</v>
      </c>
      <c r="E2278" s="21">
        <f>IF(D2278="?OLD","!!!","")</f>
        <v/>
      </c>
      <c r="F2278" s="22" t="str">
        <f>IF(OR(E2278="",E2278="!!!"),"",IF(NOT(ISNA(VLOOKUP(E2278,E$1:E2277,1,FALSE()))),"OLD",IF(AND(E2278&lt;&gt;"",E2278&lt;&gt;"!!!"),"NEW","")))</f>
        <v> </v>
      </c>
      <c r="G2278" s="23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4" t="str">
        <f>IF(J2278&lt;&gt;1,"",IF(I2278="SBJ","CB","?"))</f>
        <v> </v>
      </c>
      <c r="I2278" s="25" t="str">
        <f>IF(OR(E2278="",E2278="!!!",F2278="NEW"),"",INDEX(B2277:B$2,-1+SUMPRODUCT(MAX(ROW(E2277:E$2)*(E2278=E2277:E$2)))))</f>
        <v> </v>
      </c>
      <c r="J2278" s="25" t="str">
        <f>IF(OR(E2278="",E2278="!!!",F2278="NEW"),"",COUNTBLANK(OFFSET(A$1,,,SUMPRODUCT(MAX(ROW(E$2:E2278)*(E2278=E$2:E2278)))))-COUNTBLANK(OFFSET(A$1,,,SUMPRODUCT(MAX(ROW(E$1:E2277)*(E2=E$1:E2277))))))</f>
        <v> </v>
      </c>
      <c r="K2278" s="25" t="str">
        <f>IF(OR(E2278="",E2278="!!!",F2278="NEW"),"",INDEX(J$1:J2277,SUMPRODUCT(MAX(ROW(E$1:E2277)*(E2278=E$1:E2277)))))</f>
        <v> </v>
      </c>
      <c r="L2278" s="26"/>
    </row>
    <row r="2279" spans="1:12">
      <c r="A2279" s="20" t="s">
        <v>1094</v>
      </c>
      <c r="E2279" s="21">
        <f>IF(D2279="?OLD","!!!","")</f>
        <v/>
      </c>
      <c r="F2279" s="22" t="str">
        <f>IF(OR(E2279="",E2279="!!!"),"",IF(NOT(ISNA(VLOOKUP(E2279,E$1:E2278,1,FALSE()))),"OLD",IF(AND(E2279&lt;&gt;"",E2279&lt;&gt;"!!!"),"NEW","")))</f>
        <v> </v>
      </c>
      <c r="G2279" s="23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4" t="str">
        <f>IF(J2279&lt;&gt;1,"",IF(I2279="SBJ","CB","?"))</f>
        <v> </v>
      </c>
      <c r="I2279" s="25" t="str">
        <f>IF(OR(E2279="",E2279="!!!",F2279="NEW"),"",INDEX(B2278:B$2,-1+SUMPRODUCT(MAX(ROW(E2278:E$2)*(E2279=E2278:E$2)))))</f>
        <v> </v>
      </c>
      <c r="J2279" s="25" t="str">
        <f>IF(OR(E2279="",E2279="!!!",F2279="NEW"),"",COUNTBLANK(OFFSET(A$1,,,SUMPRODUCT(MAX(ROW(E$2:E2279)*(E2279=E$2:E2279)))))-COUNTBLANK(OFFSET(A$1,,,SUMPRODUCT(MAX(ROW(E$1:E2278)*(E2=E$1:E2278))))))</f>
        <v> </v>
      </c>
      <c r="K2279" s="25" t="str">
        <f>IF(OR(E2279="",E2279="!!!",F2279="NEW"),"",INDEX(J$1:J2278,SUMPRODUCT(MAX(ROW(E$1:E2278)*(E2279=E$1:E2278)))))</f>
        <v> </v>
      </c>
      <c r="L2279" s="26"/>
    </row>
    <row r="2280" spans="1:12">
      <c r="A2280" s="20" t="s">
        <v>1369</v>
      </c>
      <c r="B2280" s="27" t="s">
        <v>1020</v>
      </c>
      <c r="C2280" s="27" t="s">
        <v>1050</v>
      </c>
      <c r="D2280" s="27" t="s">
        <v>1030</v>
      </c>
      <c r="E2280" s="21">
        <f>IF(D2280="?OLD","!!!","")</f>
        <v/>
      </c>
      <c r="F2280" s="22" t="str">
        <f>IF(OR(E2280="",E2280="!!!"),"",IF(NOT(ISNA(VLOOKUP(E2280,E$1:E2279,1,FALSE()))),"OLD",IF(AND(E2280&lt;&gt;"",E2280&lt;&gt;"!!!"),"NEW","")))</f>
        <v> </v>
      </c>
      <c r="G2280" s="23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4" t="str">
        <f>IF(J2280&lt;&gt;1,"",IF(I2280="SBJ","CB","?"))</f>
        <v> </v>
      </c>
      <c r="I2280" s="25" t="str">
        <f>IF(OR(E2280="",E2280="!!!",F2280="NEW"),"",INDEX(B2279:B$2,-1+SUMPRODUCT(MAX(ROW(E2279:E$2)*(E2280=E2279:E$2)))))</f>
        <v> </v>
      </c>
      <c r="J2280" s="25" t="str">
        <f>IF(OR(E2280="",E2280="!!!",F2280="NEW"),"",COUNTBLANK(OFFSET(A$1,,,SUMPRODUCT(MAX(ROW(E$2:E2280)*(E2280=E$2:E2280)))))-COUNTBLANK(OFFSET(A$1,,,SUMPRODUCT(MAX(ROW(E$1:E2279)*(E2=E$1:E2279))))))</f>
        <v> </v>
      </c>
      <c r="K2280" s="25" t="str">
        <f>IF(OR(E2280="",E2280="!!!",F2280="NEW"),"",INDEX(J$1:J2279,SUMPRODUCT(MAX(ROW(E$1:E2279)*(E2280=E$1:E2279)))))</f>
        <v> </v>
      </c>
      <c r="L2280" s="26"/>
    </row>
    <row r="2281" spans="1:12">
      <c r="A2281" s="20" t="s">
        <v>1857</v>
      </c>
      <c r="E2281" s="21">
        <f>IF(D2281="?OLD","!!!","")</f>
        <v/>
      </c>
      <c r="F2281" s="22" t="str">
        <f>IF(OR(E2281="",E2281="!!!"),"",IF(NOT(ISNA(VLOOKUP(E2281,E$1:E2280,1,FALSE()))),"OLD",IF(AND(E2281&lt;&gt;"",E2281&lt;&gt;"!!!"),"NEW","")))</f>
        <v> </v>
      </c>
      <c r="G2281" s="23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4" t="str">
        <f>IF(J2281&lt;&gt;1,"",IF(I2281="SBJ","CB","?"))</f>
        <v> </v>
      </c>
      <c r="I2281" s="25" t="str">
        <f>IF(OR(E2281="",E2281="!!!",F2281="NEW"),"",INDEX(B2280:B$2,-1+SUMPRODUCT(MAX(ROW(E2280:E$2)*(E2281=E2280:E$2)))))</f>
        <v> </v>
      </c>
      <c r="J2281" s="25" t="str">
        <f>IF(OR(E2281="",E2281="!!!",F2281="NEW"),"",COUNTBLANK(OFFSET(A$1,,,SUMPRODUCT(MAX(ROW(E$2:E2281)*(E2281=E$2:E2281)))))-COUNTBLANK(OFFSET(A$1,,,SUMPRODUCT(MAX(ROW(E$1:E2280)*(E2=E$1:E2280))))))</f>
        <v> </v>
      </c>
      <c r="K2281" s="25" t="str">
        <f>IF(OR(E2281="",E2281="!!!",F2281="NEW"),"",INDEX(J$1:J2280,SUMPRODUCT(MAX(ROW(E$1:E2280)*(E2281=E$1:E2280)))))</f>
        <v> </v>
      </c>
      <c r="L2281" s="26"/>
    </row>
    <row r="2282" spans="1:12">
      <c r="A2282" s="20" t="s">
        <v>1160</v>
      </c>
      <c r="E2282" s="21">
        <f>IF(D2282="?OLD","!!!","")</f>
        <v/>
      </c>
      <c r="F2282" s="22" t="str">
        <f>IF(OR(E2282="",E2282="!!!"),"",IF(NOT(ISNA(VLOOKUP(E2282,E$1:E2281,1,FALSE()))),"OLD",IF(AND(E2282&lt;&gt;"",E2282&lt;&gt;"!!!"),"NEW","")))</f>
        <v> </v>
      </c>
      <c r="G2282" s="23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4" t="str">
        <f>IF(J2282&lt;&gt;1,"",IF(I2282="SBJ","CB","?"))</f>
        <v> </v>
      </c>
      <c r="I2282" s="25" t="str">
        <f>IF(OR(E2282="",E2282="!!!",F2282="NEW"),"",INDEX(B2281:B$2,-1+SUMPRODUCT(MAX(ROW(E2281:E$2)*(E2282=E2281:E$2)))))</f>
        <v> </v>
      </c>
      <c r="J2282" s="25" t="str">
        <f>IF(OR(E2282="",E2282="!!!",F2282="NEW"),"",COUNTBLANK(OFFSET(A$1,,,SUMPRODUCT(MAX(ROW(E$2:E2282)*(E2282=E$2:E2282)))))-COUNTBLANK(OFFSET(A$1,,,SUMPRODUCT(MAX(ROW(E$1:E2281)*(E2=E$1:E2281))))))</f>
        <v> </v>
      </c>
      <c r="K2282" s="25" t="str">
        <f>IF(OR(E2282="",E2282="!!!",F2282="NEW"),"",INDEX(J$1:J2281,SUMPRODUCT(MAX(ROW(E$1:E2281)*(E2282=E$1:E2281)))))</f>
        <v> </v>
      </c>
      <c r="L2282" s="26"/>
    </row>
    <row r="2283" spans="1:12">
      <c r="A2283" s="20" t="s">
        <v>1441</v>
      </c>
      <c r="E2283" s="21">
        <f>IF(D2283="?OLD","!!!","")</f>
        <v/>
      </c>
      <c r="F2283" s="22" t="str">
        <f>IF(OR(E2283="",E2283="!!!"),"",IF(NOT(ISNA(VLOOKUP(E2283,E$1:E2282,1,FALSE()))),"OLD",IF(AND(E2283&lt;&gt;"",E2283&lt;&gt;"!!!"),"NEW","")))</f>
        <v> </v>
      </c>
      <c r="G2283" s="23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4" t="str">
        <f>IF(J2283&lt;&gt;1,"",IF(I2283="SBJ","CB","?"))</f>
        <v> </v>
      </c>
      <c r="I2283" s="25" t="str">
        <f>IF(OR(E2283="",E2283="!!!",F2283="NEW"),"",INDEX(B2282:B$2,-1+SUMPRODUCT(MAX(ROW(E2282:E$2)*(E2283=E2282:E$2)))))</f>
        <v> </v>
      </c>
      <c r="J2283" s="25" t="str">
        <f>IF(OR(E2283="",E2283="!!!",F2283="NEW"),"",COUNTBLANK(OFFSET(A$1,,,SUMPRODUCT(MAX(ROW(E$2:E2283)*(E2283=E$2:E2283)))))-COUNTBLANK(OFFSET(A$1,,,SUMPRODUCT(MAX(ROW(E$1:E2282)*(E2=E$1:E2282))))))</f>
        <v> </v>
      </c>
      <c r="K2283" s="25" t="str">
        <f>IF(OR(E2283="",E2283="!!!",F2283="NEW"),"",INDEX(J$1:J2282,SUMPRODUCT(MAX(ROW(E$1:E2282)*(E2283=E$1:E2282)))))</f>
        <v> </v>
      </c>
      <c r="L2283" s="26"/>
    </row>
    <row r="2284" spans="1:12">
      <c r="A2284" s="20" t="s">
        <v>1858</v>
      </c>
      <c r="E2284" s="21">
        <f>IF(D2284="?OLD","!!!","")</f>
        <v/>
      </c>
      <c r="F2284" s="22" t="str">
        <f>IF(OR(E2284="",E2284="!!!"),"",IF(NOT(ISNA(VLOOKUP(E2284,E$1:E2283,1,FALSE()))),"OLD",IF(AND(E2284&lt;&gt;"",E2284&lt;&gt;"!!!"),"NEW","")))</f>
        <v> </v>
      </c>
      <c r="G2284" s="23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4" t="str">
        <f>IF(J2284&lt;&gt;1,"",IF(I2284="SBJ","CB","?"))</f>
        <v> </v>
      </c>
      <c r="I2284" s="25" t="str">
        <f>IF(OR(E2284="",E2284="!!!",F2284="NEW"),"",INDEX(B2283:B$2,-1+SUMPRODUCT(MAX(ROW(E2283:E$2)*(E2284=E2283:E$2)))))</f>
        <v> </v>
      </c>
      <c r="J2284" s="25" t="str">
        <f>IF(OR(E2284="",E2284="!!!",F2284="NEW"),"",COUNTBLANK(OFFSET(A$1,,,SUMPRODUCT(MAX(ROW(E$2:E2284)*(E2284=E$2:E2284)))))-COUNTBLANK(OFFSET(A$1,,,SUMPRODUCT(MAX(ROW(E$1:E2283)*(E2=E$1:E2283))))))</f>
        <v> </v>
      </c>
      <c r="K2284" s="25" t="str">
        <f>IF(OR(E2284="",E2284="!!!",F2284="NEW"),"",INDEX(J$1:J2283,SUMPRODUCT(MAX(ROW(E$1:E2283)*(E2284=E$1:E2283)))))</f>
        <v> </v>
      </c>
      <c r="L2284" s="26"/>
    </row>
    <row r="2285" spans="1:12">
      <c r="A2285" s="20" t="s">
        <v>135</v>
      </c>
      <c r="E2285" s="21">
        <f>IF(D2285="?OLD","!!!","")</f>
        <v/>
      </c>
      <c r="F2285" s="22" t="str">
        <f>IF(OR(E2285="",E2285="!!!"),"",IF(NOT(ISNA(VLOOKUP(E2285,E$1:E2284,1,FALSE()))),"OLD",IF(AND(E2285&lt;&gt;"",E2285&lt;&gt;"!!!"),"NEW","")))</f>
        <v> </v>
      </c>
      <c r="G2285" s="23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4" t="str">
        <f>IF(J2285&lt;&gt;1,"",IF(I2285="SBJ","CB","?"))</f>
        <v> </v>
      </c>
      <c r="I2285" s="25" t="str">
        <f>IF(OR(E2285="",E2285="!!!",F2285="NEW"),"",INDEX(B2284:B$2,-1+SUMPRODUCT(MAX(ROW(E2284:E$2)*(E2285=E2284:E$2)))))</f>
        <v> </v>
      </c>
      <c r="J2285" s="25" t="str">
        <f>IF(OR(E2285="",E2285="!!!",F2285="NEW"),"",COUNTBLANK(OFFSET(A$1,,,SUMPRODUCT(MAX(ROW(E$2:E2285)*(E2285=E$2:E2285)))))-COUNTBLANK(OFFSET(A$1,,,SUMPRODUCT(MAX(ROW(E$1:E2284)*(E2=E$1:E2284))))))</f>
        <v> </v>
      </c>
      <c r="K2285" s="25" t="str">
        <f>IF(OR(E2285="",E2285="!!!",F2285="NEW"),"",INDEX(J$1:J2284,SUMPRODUCT(MAX(ROW(E$1:E2284)*(E2285=E$1:E2284)))))</f>
        <v> </v>
      </c>
      <c r="L2285" s="26"/>
    </row>
    <row r="2286" spans="1:12">
      <c r="A2286" s="20"/>
    </row>
    <row r="2287" spans="1:12">
      <c r="A2287" s="20" t="s">
        <v>1859</v>
      </c>
    </row>
    <row r="2288" spans="1:12">
      <c r="A2288" s="20" t="s">
        <v>1860</v>
      </c>
      <c r="B2288" s="27" t="s">
        <v>1045</v>
      </c>
      <c r="C2288" s="27" t="s">
        <v>1042</v>
      </c>
      <c r="E2288" s="21">
        <f>IF(D2288="?OLD","!!!","")</f>
        <v/>
      </c>
      <c r="F2288" s="22" t="str">
        <f>IF(OR(E2288="",E2288="!!!"),"",IF(NOT(ISNA(VLOOKUP(E2288,E$1:E2287,1,FALSE()))),"OLD",IF(AND(E2288&lt;&gt;"",E2288&lt;&gt;"!!!"),"NEW","")))</f>
        <v> </v>
      </c>
      <c r="G2288" s="23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4" t="str">
        <f>IF(J2288&lt;&gt;1,"",IF(I2288="SBJ","CB","?"))</f>
        <v> </v>
      </c>
      <c r="I2288" s="25" t="str">
        <f>IF(OR(E2288="",E2288="!!!",F2288="NEW"),"",INDEX(B2287:B$2,-1+SUMPRODUCT(MAX(ROW(E2287:E$2)*(E2288=E2287:E$2)))))</f>
        <v> </v>
      </c>
      <c r="J2288" s="25" t="str">
        <f>IF(OR(E2288="",E2288="!!!",F2288="NEW"),"",COUNTBLANK(OFFSET(A$1,,,SUMPRODUCT(MAX(ROW(E$2:E2288)*(E2288=E$2:E2288)))))-COUNTBLANK(OFFSET(A$1,,,SUMPRODUCT(MAX(ROW(E$1:E2287)*(E2=E$1:E2287))))))</f>
        <v> </v>
      </c>
      <c r="K2288" s="25" t="str">
        <f>IF(OR(E2288="",E2288="!!!",F2288="NEW"),"",INDEX(J$1:J2287,SUMPRODUCT(MAX(ROW(E$1:E2287)*(E2288=E$1:E2287)))))</f>
        <v> </v>
      </c>
      <c r="L2288" s="26"/>
    </row>
    <row r="2289" spans="1:12">
      <c r="A2289" s="20" t="s">
        <v>1272</v>
      </c>
      <c r="B2289" s="27" t="s">
        <v>1041</v>
      </c>
      <c r="C2289" s="27" t="s">
        <v>1050</v>
      </c>
      <c r="D2289" s="27" t="s">
        <v>1030</v>
      </c>
      <c r="E2289" s="21">
        <f>IF(D2289="?OLD","!!!","")</f>
        <v/>
      </c>
      <c r="F2289" s="22" t="str">
        <f>IF(OR(E2289="",E2289="!!!"),"",IF(NOT(ISNA(VLOOKUP(E2289,E$1:E2288,1,FALSE()))),"OLD",IF(AND(E2289&lt;&gt;"",E2289&lt;&gt;"!!!"),"NEW","")))</f>
        <v> </v>
      </c>
      <c r="G2289" s="23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4" t="str">
        <f>IF(J2289&lt;&gt;1,"",IF(I2289="SBJ","CB","?"))</f>
        <v> </v>
      </c>
      <c r="I2289" s="25" t="str">
        <f>IF(OR(E2289="",E2289="!!!",F2289="NEW"),"",INDEX(B2288:B$2,-1+SUMPRODUCT(MAX(ROW(E2288:E$2)*(E2289=E2288:E$2)))))</f>
        <v> </v>
      </c>
      <c r="J2289" s="25" t="str">
        <f>IF(OR(E2289="",E2289="!!!",F2289="NEW"),"",COUNTBLANK(OFFSET(A$1,,,SUMPRODUCT(MAX(ROW(E$2:E2289)*(E2289=E$2:E2289)))))-COUNTBLANK(OFFSET(A$1,,,SUMPRODUCT(MAX(ROW(E$1:E2288)*(E2=E$1:E2288))))))</f>
        <v> </v>
      </c>
      <c r="K2289" s="25" t="str">
        <f>IF(OR(E2289="",E2289="!!!",F2289="NEW"),"",INDEX(J$1:J2288,SUMPRODUCT(MAX(ROW(E$1:E2288)*(E2289=E$1:E2288)))))</f>
        <v> </v>
      </c>
      <c r="L2289" s="26"/>
    </row>
    <row r="2290" spans="1:12">
      <c r="A2290" s="20" t="s">
        <v>1123</v>
      </c>
      <c r="B2290" s="27" t="s">
        <v>1014</v>
      </c>
      <c r="C2290" s="27" t="s">
        <v>1050</v>
      </c>
      <c r="D2290" s="27" t="s">
        <v>1030</v>
      </c>
      <c r="E2290" s="21">
        <f>IF(D2290="?OLD","!!!","")</f>
        <v/>
      </c>
      <c r="F2290" s="22" t="str">
        <f>IF(OR(E2290="",E2290="!!!"),"",IF(NOT(ISNA(VLOOKUP(E2290,E$1:E2289,1,FALSE()))),"OLD",IF(AND(E2290&lt;&gt;"",E2290&lt;&gt;"!!!"),"NEW","")))</f>
        <v> </v>
      </c>
      <c r="G2290" s="23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4" t="str">
        <f>IF(J2290&lt;&gt;1,"",IF(I2290="SBJ","CB","?"))</f>
        <v> </v>
      </c>
      <c r="I2290" s="25" t="str">
        <f>IF(OR(E2290="",E2290="!!!",F2290="NEW"),"",INDEX(B2289:B$2,-1+SUMPRODUCT(MAX(ROW(E2289:E$2)*(E2290=E2289:E$2)))))</f>
        <v> </v>
      </c>
      <c r="J2290" s="25" t="str">
        <f>IF(OR(E2290="",E2290="!!!",F2290="NEW"),"",COUNTBLANK(OFFSET(A$1,,,SUMPRODUCT(MAX(ROW(E$2:E2290)*(E2290=E$2:E2290)))))-COUNTBLANK(OFFSET(A$1,,,SUMPRODUCT(MAX(ROW(E$1:E2289)*(E2=E$1:E2289))))))</f>
        <v> </v>
      </c>
      <c r="K2290" s="25" t="str">
        <f>IF(OR(E2290="",E2290="!!!",F2290="NEW"),"",INDEX(J$1:J2289,SUMPRODUCT(MAX(ROW(E$1:E2289)*(E2290=E$1:E2289)))))</f>
        <v> </v>
      </c>
      <c r="L2290" s="26"/>
    </row>
    <row r="2291" spans="1:12">
      <c r="A2291" s="20" t="s">
        <v>1861</v>
      </c>
      <c r="E2291" s="21">
        <f>IF(D2291="?OLD","!!!","")</f>
        <v/>
      </c>
      <c r="F2291" s="22" t="str">
        <f>IF(OR(E2291="",E2291="!!!"),"",IF(NOT(ISNA(VLOOKUP(E2291,E$1:E2290,1,FALSE()))),"OLD",IF(AND(E2291&lt;&gt;"",E2291&lt;&gt;"!!!"),"NEW","")))</f>
        <v> </v>
      </c>
      <c r="G2291" s="23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4" t="str">
        <f>IF(J2291&lt;&gt;1,"",IF(I2291="SBJ","CB","?"))</f>
        <v> </v>
      </c>
      <c r="I2291" s="25" t="str">
        <f>IF(OR(E2291="",E2291="!!!",F2291="NEW"),"",INDEX(B2290:B$2,-1+SUMPRODUCT(MAX(ROW(E2290:E$2)*(E2291=E2290:E$2)))))</f>
        <v> </v>
      </c>
      <c r="J2291" s="25" t="str">
        <f>IF(OR(E2291="",E2291="!!!",F2291="NEW"),"",COUNTBLANK(OFFSET(A$1,,,SUMPRODUCT(MAX(ROW(E$2:E2291)*(E2291=E$2:E2291)))))-COUNTBLANK(OFFSET(A$1,,,SUMPRODUCT(MAX(ROW(E$1:E2290)*(E2=E$1:E2290))))))</f>
        <v> </v>
      </c>
      <c r="K2291" s="25" t="str">
        <f>IF(OR(E2291="",E2291="!!!",F2291="NEW"),"",INDEX(J$1:J2290,SUMPRODUCT(MAX(ROW(E$1:E2290)*(E2291=E$1:E2290)))))</f>
        <v> </v>
      </c>
      <c r="L2291" s="26"/>
    </row>
    <row r="2292" spans="1:12">
      <c r="A2292" s="20" t="s">
        <v>1856</v>
      </c>
      <c r="E2292" s="21">
        <f>IF(D2292="?OLD","!!!","")</f>
        <v/>
      </c>
      <c r="F2292" s="22" t="str">
        <f>IF(OR(E2292="",E2292="!!!"),"",IF(NOT(ISNA(VLOOKUP(E2292,E$1:E2291,1,FALSE()))),"OLD",IF(AND(E2292&lt;&gt;"",E2292&lt;&gt;"!!!"),"NEW","")))</f>
        <v> </v>
      </c>
      <c r="G2292" s="23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4" t="str">
        <f>IF(J2292&lt;&gt;1,"",IF(I2292="SBJ","CB","?"))</f>
        <v> </v>
      </c>
      <c r="I2292" s="25" t="str">
        <f>IF(OR(E2292="",E2292="!!!",F2292="NEW"),"",INDEX(B2291:B$2,-1+SUMPRODUCT(MAX(ROW(E2291:E$2)*(E2292=E2291:E$2)))))</f>
        <v> </v>
      </c>
      <c r="J2292" s="25" t="str">
        <f>IF(OR(E2292="",E2292="!!!",F2292="NEW"),"",COUNTBLANK(OFFSET(A$1,,,SUMPRODUCT(MAX(ROW(E$2:E2292)*(E2292=E$2:E2292)))))-COUNTBLANK(OFFSET(A$1,,,SUMPRODUCT(MAX(ROW(E$1:E2291)*(E2=E$1:E2291))))))</f>
        <v> </v>
      </c>
      <c r="K2292" s="25" t="str">
        <f>IF(OR(E2292="",E2292="!!!",F2292="NEW"),"",INDEX(J$1:J2291,SUMPRODUCT(MAX(ROW(E$1:E2291)*(E2292=E$1:E2291)))))</f>
        <v> </v>
      </c>
      <c r="L2292" s="26"/>
    </row>
    <row r="2293" spans="1:12">
      <c r="A2293" s="20" t="s">
        <v>1093</v>
      </c>
      <c r="E2293" s="21">
        <f>IF(D2293="?OLD","!!!","")</f>
        <v/>
      </c>
      <c r="F2293" s="22" t="str">
        <f>IF(OR(E2293="",E2293="!!!"),"",IF(NOT(ISNA(VLOOKUP(E2293,E$1:E2292,1,FALSE()))),"OLD",IF(AND(E2293&lt;&gt;"",E2293&lt;&gt;"!!!"),"NEW","")))</f>
        <v> </v>
      </c>
      <c r="G2293" s="23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4" t="str">
        <f>IF(J2293&lt;&gt;1,"",IF(I2293="SBJ","CB","?"))</f>
        <v> </v>
      </c>
      <c r="I2293" s="25" t="str">
        <f>IF(OR(E2293="",E2293="!!!",F2293="NEW"),"",INDEX(B2292:B$2,-1+SUMPRODUCT(MAX(ROW(E2292:E$2)*(E2293=E2292:E$2)))))</f>
        <v> </v>
      </c>
      <c r="J2293" s="25" t="str">
        <f>IF(OR(E2293="",E2293="!!!",F2293="NEW"),"",COUNTBLANK(OFFSET(A$1,,,SUMPRODUCT(MAX(ROW(E$2:E2293)*(E2293=E$2:E2293)))))-COUNTBLANK(OFFSET(A$1,,,SUMPRODUCT(MAX(ROW(E$1:E2292)*(E2=E$1:E2292))))))</f>
        <v> </v>
      </c>
      <c r="K2293" s="25" t="str">
        <f>IF(OR(E2293="",E2293="!!!",F2293="NEW"),"",INDEX(J$1:J2292,SUMPRODUCT(MAX(ROW(E$1:E2292)*(E2293=E$1:E2292)))))</f>
        <v> </v>
      </c>
      <c r="L2293" s="26"/>
    </row>
    <row r="2294" spans="1:12">
      <c r="A2294" s="20" t="s">
        <v>135</v>
      </c>
      <c r="E2294" s="21">
        <f>IF(D2294="?OLD","!!!","")</f>
        <v/>
      </c>
      <c r="F2294" s="22" t="str">
        <f>IF(OR(E2294="",E2294="!!!"),"",IF(NOT(ISNA(VLOOKUP(E2294,E$1:E2293,1,FALSE()))),"OLD",IF(AND(E2294&lt;&gt;"",E2294&lt;&gt;"!!!"),"NEW","")))</f>
        <v> </v>
      </c>
      <c r="G2294" s="23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4" t="str">
        <f>IF(J2294&lt;&gt;1,"",IF(I2294="SBJ","CB","?"))</f>
        <v> </v>
      </c>
      <c r="I2294" s="25" t="str">
        <f>IF(OR(E2294="",E2294="!!!",F2294="NEW"),"",INDEX(B2293:B$2,-1+SUMPRODUCT(MAX(ROW(E2293:E$2)*(E2294=E2293:E$2)))))</f>
        <v> </v>
      </c>
      <c r="J2294" s="25" t="str">
        <f>IF(OR(E2294="",E2294="!!!",F2294="NEW"),"",COUNTBLANK(OFFSET(A$1,,,SUMPRODUCT(MAX(ROW(E$2:E2294)*(E2294=E$2:E2294)))))-COUNTBLANK(OFFSET(A$1,,,SUMPRODUCT(MAX(ROW(E$1:E2293)*(E2=E$1:E2293))))))</f>
        <v> </v>
      </c>
      <c r="K2294" s="25" t="str">
        <f>IF(OR(E2294="",E2294="!!!",F2294="NEW"),"",INDEX(J$1:J2293,SUMPRODUCT(MAX(ROW(E$1:E2293)*(E2294=E$1:E2293)))))</f>
        <v> </v>
      </c>
      <c r="L2294" s="26"/>
    </row>
    <row r="2295" spans="1:12">
      <c r="A2295" s="20"/>
    </row>
    <row r="2296" spans="1:12">
      <c r="A2296" s="20" t="s">
        <v>1862</v>
      </c>
    </row>
    <row r="2297" spans="1:12">
      <c r="A2297" s="20" t="s">
        <v>1863</v>
      </c>
      <c r="B2297" s="27" t="s">
        <v>1041</v>
      </c>
      <c r="C2297" s="27" t="s">
        <v>1050</v>
      </c>
      <c r="D2297" s="27" t="s">
        <v>1030</v>
      </c>
      <c r="E2297" s="21">
        <f>IF(D2297="?OLD","!!!","")</f>
        <v/>
      </c>
      <c r="F2297" s="22" t="str">
        <f>IF(OR(E2297="",E2297="!!!"),"",IF(NOT(ISNA(VLOOKUP(E2297,E$1:E2296,1,FALSE()))),"OLD",IF(AND(E2297&lt;&gt;"",E2297&lt;&gt;"!!!"),"NEW","")))</f>
        <v> </v>
      </c>
      <c r="G2297" s="23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4" t="str">
        <f>IF(J2297&lt;&gt;1,"",IF(I2297="SBJ","CB","?"))</f>
        <v> </v>
      </c>
      <c r="I2297" s="25" t="str">
        <f>IF(OR(E2297="",E2297="!!!",F2297="NEW"),"",INDEX(B2296:B$2,-1+SUMPRODUCT(MAX(ROW(E2296:E$2)*(E2297=E2296:E$2)))))</f>
        <v> </v>
      </c>
      <c r="J2297" s="25" t="str">
        <f>IF(OR(E2297="",E2297="!!!",F2297="NEW"),"",COUNTBLANK(OFFSET(A$1,,,SUMPRODUCT(MAX(ROW(E$2:E2297)*(E2297=E$2:E2297)))))-COUNTBLANK(OFFSET(A$1,,,SUMPRODUCT(MAX(ROW(E$1:E2296)*(E2=E$1:E2296))))))</f>
        <v> </v>
      </c>
      <c r="K2297" s="25" t="str">
        <f>IF(OR(E2297="",E2297="!!!",F2297="NEW"),"",INDEX(J$1:J2296,SUMPRODUCT(MAX(ROW(E$1:E2296)*(E2297=E$1:E2296)))))</f>
        <v> </v>
      </c>
      <c r="L2297" s="26"/>
    </row>
    <row r="2298" spans="1:12">
      <c r="A2298" s="20" t="s">
        <v>1057</v>
      </c>
      <c r="E2298" s="21">
        <f>IF(D2298="?OLD","!!!","")</f>
        <v/>
      </c>
      <c r="F2298" s="22" t="str">
        <f>IF(OR(E2298="",E2298="!!!"),"",IF(NOT(ISNA(VLOOKUP(E2298,E$1:E2297,1,FALSE()))),"OLD",IF(AND(E2298&lt;&gt;"",E2298&lt;&gt;"!!!"),"NEW","")))</f>
        <v> </v>
      </c>
      <c r="G2298" s="23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4" t="str">
        <f>IF(J2298&lt;&gt;1,"",IF(I2298="SBJ","CB","?"))</f>
        <v> </v>
      </c>
      <c r="I2298" s="25" t="str">
        <f>IF(OR(E2298="",E2298="!!!",F2298="NEW"),"",INDEX(B2297:B$2,-1+SUMPRODUCT(MAX(ROW(E2297:E$2)*(E2298=E2297:E$2)))))</f>
        <v> </v>
      </c>
      <c r="J2298" s="25" t="str">
        <f>IF(OR(E2298="",E2298="!!!",F2298="NEW"),"",COUNTBLANK(OFFSET(A$1,,,SUMPRODUCT(MAX(ROW(E$2:E2298)*(E2298=E$2:E2298)))))-COUNTBLANK(OFFSET(A$1,,,SUMPRODUCT(MAX(ROW(E$1:E2297)*(E2=E$1:E2297))))))</f>
        <v> </v>
      </c>
      <c r="K2298" s="25" t="str">
        <f>IF(OR(E2298="",E2298="!!!",F2298="NEW"),"",INDEX(J$1:J2297,SUMPRODUCT(MAX(ROW(E$1:E2297)*(E2298=E$1:E2297)))))</f>
        <v> </v>
      </c>
      <c r="L2298" s="26"/>
    </row>
    <row r="2299" spans="1:12">
      <c r="A2299" s="20" t="s">
        <v>1864</v>
      </c>
      <c r="E2299" s="21">
        <f>IF(D2299="?OLD","!!!","")</f>
        <v/>
      </c>
      <c r="F2299" s="22" t="str">
        <f>IF(OR(E2299="",E2299="!!!"),"",IF(NOT(ISNA(VLOOKUP(E2299,E$1:E2298,1,FALSE()))),"OLD",IF(AND(E2299&lt;&gt;"",E2299&lt;&gt;"!!!"),"NEW","")))</f>
        <v> </v>
      </c>
      <c r="G2299" s="23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4" t="str">
        <f>IF(J2299&lt;&gt;1,"",IF(I2299="SBJ","CB","?"))</f>
        <v> </v>
      </c>
      <c r="I2299" s="25" t="str">
        <f>IF(OR(E2299="",E2299="!!!",F2299="NEW"),"",INDEX(B2298:B$2,-1+SUMPRODUCT(MAX(ROW(E2298:E$2)*(E2299=E2298:E$2)))))</f>
        <v> </v>
      </c>
      <c r="J2299" s="25" t="str">
        <f>IF(OR(E2299="",E2299="!!!",F2299="NEW"),"",COUNTBLANK(OFFSET(A$1,,,SUMPRODUCT(MAX(ROW(E$2:E2299)*(E2299=E$2:E2299)))))-COUNTBLANK(OFFSET(A$1,,,SUMPRODUCT(MAX(ROW(E$1:E2298)*(E2=E$1:E2298))))))</f>
        <v> </v>
      </c>
      <c r="K2299" s="25" t="str">
        <f>IF(OR(E2299="",E2299="!!!",F2299="NEW"),"",INDEX(J$1:J2298,SUMPRODUCT(MAX(ROW(E$1:E2298)*(E2299=E$1:E2298)))))</f>
        <v> </v>
      </c>
      <c r="L2299" s="26"/>
    </row>
    <row r="2300" spans="1:12">
      <c r="A2300" s="20" t="s">
        <v>1865</v>
      </c>
      <c r="E2300" s="21">
        <f>IF(D2300="?OLD","!!!","")</f>
        <v/>
      </c>
      <c r="F2300" s="22" t="str">
        <f>IF(OR(E2300="",E2300="!!!"),"",IF(NOT(ISNA(VLOOKUP(E2300,E$1:E2299,1,FALSE()))),"OLD",IF(AND(E2300&lt;&gt;"",E2300&lt;&gt;"!!!"),"NEW","")))</f>
        <v> </v>
      </c>
      <c r="G2300" s="23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4" t="str">
        <f>IF(J2300&lt;&gt;1,"",IF(I2300="SBJ","CB","?"))</f>
        <v> </v>
      </c>
      <c r="I2300" s="25" t="str">
        <f>IF(OR(E2300="",E2300="!!!",F2300="NEW"),"",INDEX(B2299:B$2,-1+SUMPRODUCT(MAX(ROW(E2299:E$2)*(E2300=E2299:E$2)))))</f>
        <v> </v>
      </c>
      <c r="J2300" s="25" t="str">
        <f>IF(OR(E2300="",E2300="!!!",F2300="NEW"),"",COUNTBLANK(OFFSET(A$1,,,SUMPRODUCT(MAX(ROW(E$2:E2300)*(E2300=E$2:E2300)))))-COUNTBLANK(OFFSET(A$1,,,SUMPRODUCT(MAX(ROW(E$1:E2299)*(E2=E$1:E2299))))))</f>
        <v> </v>
      </c>
      <c r="K2300" s="25" t="str">
        <f>IF(OR(E2300="",E2300="!!!",F2300="NEW"),"",INDEX(J$1:J2299,SUMPRODUCT(MAX(ROW(E$1:E2299)*(E2300=E$1:E2299)))))</f>
        <v> </v>
      </c>
      <c r="L2300" s="26"/>
    </row>
    <row r="2301" spans="1:12">
      <c r="A2301" s="20" t="s">
        <v>1866</v>
      </c>
      <c r="B2301" s="27" t="s">
        <v>1079</v>
      </c>
      <c r="C2301" s="27" t="s">
        <v>1077</v>
      </c>
      <c r="D2301" s="27" t="s">
        <v>1030</v>
      </c>
      <c r="E2301" s="21">
        <f>IF(D2301="?OLD","!!!","")</f>
        <v/>
      </c>
      <c r="F2301" s="22" t="str">
        <f>IF(OR(E2301="",E2301="!!!"),"",IF(NOT(ISNA(VLOOKUP(E2301,E$1:E2300,1,FALSE()))),"OLD",IF(AND(E2301&lt;&gt;"",E2301&lt;&gt;"!!!"),"NEW","")))</f>
        <v> </v>
      </c>
      <c r="G2301" s="23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4" t="str">
        <f>IF(J2301&lt;&gt;1,"",IF(I2301="SBJ","CB","?"))</f>
        <v> </v>
      </c>
      <c r="I2301" s="25" t="str">
        <f>IF(OR(E2301="",E2301="!!!",F2301="NEW"),"",INDEX(B2300:B$2,-1+SUMPRODUCT(MAX(ROW(E2300:E$2)*(E2301=E2300:E$2)))))</f>
        <v> </v>
      </c>
      <c r="J2301" s="25" t="str">
        <f>IF(OR(E2301="",E2301="!!!",F2301="NEW"),"",COUNTBLANK(OFFSET(A$1,,,SUMPRODUCT(MAX(ROW(E$2:E2301)*(E2301=E$2:E2301)))))-COUNTBLANK(OFFSET(A$1,,,SUMPRODUCT(MAX(ROW(E$1:E2300)*(E2=E$1:E2300))))))</f>
        <v> </v>
      </c>
      <c r="K2301" s="25" t="str">
        <f>IF(OR(E2301="",E2301="!!!",F2301="NEW"),"",INDEX(J$1:J2300,SUMPRODUCT(MAX(ROW(E$1:E2300)*(E2301=E$1:E2300)))))</f>
        <v> </v>
      </c>
      <c r="L2301" s="26"/>
    </row>
    <row r="2302" spans="1:12">
      <c r="A2302" s="20" t="s">
        <v>1867</v>
      </c>
      <c r="B2302" s="27" t="s">
        <v>1014</v>
      </c>
      <c r="C2302" s="27" t="s">
        <v>1029</v>
      </c>
      <c r="D2302" s="27" t="s">
        <v>1030</v>
      </c>
      <c r="E2302" s="21">
        <f>IF(D2302="?OLD","!!!","")</f>
        <v/>
      </c>
      <c r="F2302" s="22" t="str">
        <f>IF(OR(E2302="",E2302="!!!"),"",IF(NOT(ISNA(VLOOKUP(E2302,E$1:E2301,1,FALSE()))),"OLD",IF(AND(E2302&lt;&gt;"",E2302&lt;&gt;"!!!"),"NEW","")))</f>
        <v> </v>
      </c>
      <c r="G2302" s="23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4" t="str">
        <f>IF(J2302&lt;&gt;1,"",IF(I2302="SBJ","CB","?"))</f>
        <v> </v>
      </c>
      <c r="I2302" s="25" t="str">
        <f>IF(OR(E2302="",E2302="!!!",F2302="NEW"),"",INDEX(B2301:B$2,-1+SUMPRODUCT(MAX(ROW(E2301:E$2)*(E2302=E2301:E$2)))))</f>
        <v> </v>
      </c>
      <c r="J2302" s="25" t="str">
        <f>IF(OR(E2302="",E2302="!!!",F2302="NEW"),"",COUNTBLANK(OFFSET(A$1,,,SUMPRODUCT(MAX(ROW(E$2:E2302)*(E2302=E$2:E2302)))))-COUNTBLANK(OFFSET(A$1,,,SUMPRODUCT(MAX(ROW(E$1:E2301)*(E2=E$1:E2301))))))</f>
        <v> </v>
      </c>
      <c r="K2302" s="25" t="str">
        <f>IF(OR(E2302="",E2302="!!!",F2302="NEW"),"",INDEX(J$1:J2301,SUMPRODUCT(MAX(ROW(E$1:E2301)*(E2302=E$1:E2301)))))</f>
        <v> </v>
      </c>
      <c r="L2302" s="26"/>
    </row>
    <row r="2303" spans="1:12">
      <c r="A2303" s="20" t="s">
        <v>1637</v>
      </c>
      <c r="E2303" s="21">
        <f>IF(D2303="?OLD","!!!","")</f>
        <v/>
      </c>
      <c r="F2303" s="22" t="str">
        <f>IF(OR(E2303="",E2303="!!!"),"",IF(NOT(ISNA(VLOOKUP(E2303,E$1:E2302,1,FALSE()))),"OLD",IF(AND(E2303&lt;&gt;"",E2303&lt;&gt;"!!!"),"NEW","")))</f>
        <v> </v>
      </c>
      <c r="G2303" s="23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4" t="str">
        <f>IF(J2303&lt;&gt;1,"",IF(I2303="SBJ","CB","?"))</f>
        <v> </v>
      </c>
      <c r="I2303" s="25" t="str">
        <f>IF(OR(E2303="",E2303="!!!",F2303="NEW"),"",INDEX(B2302:B$2,-1+SUMPRODUCT(MAX(ROW(E2302:E$2)*(E2303=E2302:E$2)))))</f>
        <v> </v>
      </c>
      <c r="J2303" s="25" t="str">
        <f>IF(OR(E2303="",E2303="!!!",F2303="NEW"),"",COUNTBLANK(OFFSET(A$1,,,SUMPRODUCT(MAX(ROW(E$2:E2303)*(E2303=E$2:E2303)))))-COUNTBLANK(OFFSET(A$1,,,SUMPRODUCT(MAX(ROW(E$1:E2302)*(E2=E$1:E2302))))))</f>
        <v> </v>
      </c>
      <c r="K2303" s="25" t="str">
        <f>IF(OR(E2303="",E2303="!!!",F2303="NEW"),"",INDEX(J$1:J2302,SUMPRODUCT(MAX(ROW(E$1:E2302)*(E2303=E$1:E2302)))))</f>
        <v> </v>
      </c>
      <c r="L2303" s="26"/>
    </row>
    <row r="2304" spans="1:12">
      <c r="A2304" s="20" t="s">
        <v>1111</v>
      </c>
      <c r="E2304" s="21">
        <f>IF(D2304="?OLD","!!!","")</f>
        <v/>
      </c>
      <c r="F2304" s="22" t="str">
        <f>IF(OR(E2304="",E2304="!!!"),"",IF(NOT(ISNA(VLOOKUP(E2304,E$1:E2303,1,FALSE()))),"OLD",IF(AND(E2304&lt;&gt;"",E2304&lt;&gt;"!!!"),"NEW","")))</f>
        <v> </v>
      </c>
      <c r="G2304" s="23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4" t="str">
        <f>IF(J2304&lt;&gt;1,"",IF(I2304="SBJ","CB","?"))</f>
        <v> </v>
      </c>
      <c r="I2304" s="25" t="str">
        <f>IF(OR(E2304="",E2304="!!!",F2304="NEW"),"",INDEX(B2303:B$2,-1+SUMPRODUCT(MAX(ROW(E2303:E$2)*(E2304=E2303:E$2)))))</f>
        <v> </v>
      </c>
      <c r="J2304" s="25" t="str">
        <f>IF(OR(E2304="",E2304="!!!",F2304="NEW"),"",COUNTBLANK(OFFSET(A$1,,,SUMPRODUCT(MAX(ROW(E$2:E2304)*(E2304=E$2:E2304)))))-COUNTBLANK(OFFSET(A$1,,,SUMPRODUCT(MAX(ROW(E$1:E2303)*(E2=E$1:E2303))))))</f>
        <v> </v>
      </c>
      <c r="K2304" s="25" t="str">
        <f>IF(OR(E2304="",E2304="!!!",F2304="NEW"),"",INDEX(J$1:J2303,SUMPRODUCT(MAX(ROW(E$1:E2303)*(E2304=E$1:E2303)))))</f>
        <v> </v>
      </c>
      <c r="L2304" s="26"/>
    </row>
    <row r="2305" spans="1:12">
      <c r="A2305" s="20" t="s">
        <v>461</v>
      </c>
      <c r="B2305" s="27" t="s">
        <v>1079</v>
      </c>
      <c r="C2305" s="27" t="s">
        <v>1038</v>
      </c>
      <c r="D2305" s="27" t="s">
        <v>1030</v>
      </c>
      <c r="E2305" s="21">
        <f>IF(D2305="?OLD","!!!","")</f>
        <v/>
      </c>
      <c r="F2305" s="22" t="str">
        <f>IF(OR(E2305="",E2305="!!!"),"",IF(NOT(ISNA(VLOOKUP(E2305,E$1:E2304,1,FALSE()))),"OLD",IF(AND(E2305&lt;&gt;"",E2305&lt;&gt;"!!!"),"NEW","")))</f>
        <v> </v>
      </c>
      <c r="G2305" s="23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4" t="str">
        <f>IF(J2305&lt;&gt;1,"",IF(I2305="SBJ","CB","?"))</f>
        <v> </v>
      </c>
      <c r="I2305" s="25" t="str">
        <f>IF(OR(E2305="",E2305="!!!",F2305="NEW"),"",INDEX(B2304:B$2,-1+SUMPRODUCT(MAX(ROW(E2304:E$2)*(E2305=E2304:E$2)))))</f>
        <v> </v>
      </c>
      <c r="J2305" s="25" t="str">
        <f>IF(OR(E2305="",E2305="!!!",F2305="NEW"),"",COUNTBLANK(OFFSET(A$1,,,SUMPRODUCT(MAX(ROW(E$2:E2305)*(E2305=E$2:E2305)))))-COUNTBLANK(OFFSET(A$1,,,SUMPRODUCT(MAX(ROW(E$1:E2304)*(E2=E$1:E2304))))))</f>
        <v> </v>
      </c>
      <c r="K2305" s="25" t="str">
        <f>IF(OR(E2305="",E2305="!!!",F2305="NEW"),"",INDEX(J$1:J2304,SUMPRODUCT(MAX(ROW(E$1:E2304)*(E2305=E$1:E2304)))))</f>
        <v> </v>
      </c>
      <c r="L2305" s="26"/>
    </row>
    <row r="2306" spans="1:12">
      <c r="A2306" s="20" t="s">
        <v>135</v>
      </c>
      <c r="E2306" s="21">
        <f>IF(D2306="?OLD","!!!","")</f>
        <v/>
      </c>
      <c r="F2306" s="22" t="str">
        <f>IF(OR(E2306="",E2306="!!!"),"",IF(NOT(ISNA(VLOOKUP(E2306,E$1:E2305,1,FALSE()))),"OLD",IF(AND(E2306&lt;&gt;"",E2306&lt;&gt;"!!!"),"NEW","")))</f>
        <v> </v>
      </c>
      <c r="G2306" s="23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4" t="str">
        <f>IF(J2306&lt;&gt;1,"",IF(I2306="SBJ","CB","?"))</f>
        <v> </v>
      </c>
      <c r="I2306" s="25" t="str">
        <f>IF(OR(E2306="",E2306="!!!",F2306="NEW"),"",INDEX(B2305:B$2,-1+SUMPRODUCT(MAX(ROW(E2305:E$2)*(E2306=E2305:E$2)))))</f>
        <v> </v>
      </c>
      <c r="J2306" s="25" t="str">
        <f>IF(OR(E2306="",E2306="!!!",F2306="NEW"),"",COUNTBLANK(OFFSET(A$1,,,SUMPRODUCT(MAX(ROW(E$2:E2306)*(E2306=E$2:E2306)))))-COUNTBLANK(OFFSET(A$1,,,SUMPRODUCT(MAX(ROW(E$1:E2305)*(E2=E$1:E2305))))))</f>
        <v> </v>
      </c>
      <c r="K2306" s="25" t="str">
        <f>IF(OR(E2306="",E2306="!!!",F2306="NEW"),"",INDEX(J$1:J2305,SUMPRODUCT(MAX(ROW(E$1:E2305)*(E2306=E$1:E2305)))))</f>
        <v> </v>
      </c>
      <c r="L2306" s="26"/>
    </row>
    <row r="2307" spans="1:12">
      <c r="A2307" s="20"/>
    </row>
    <row r="2308" spans="1:12">
      <c r="A2308" s="20" t="s">
        <v>1868</v>
      </c>
    </row>
    <row r="2309" spans="1:12">
      <c r="A2309" s="20" t="s">
        <v>1419</v>
      </c>
      <c r="E2309" s="21">
        <f>IF(D2309="?OLD","!!!","")</f>
        <v/>
      </c>
      <c r="F2309" s="22" t="str">
        <f>IF(OR(E2309="",E2309="!!!"),"",IF(NOT(ISNA(VLOOKUP(E2309,E$1:E2308,1,FALSE()))),"OLD",IF(AND(E2309&lt;&gt;"",E2309&lt;&gt;"!!!"),"NEW","")))</f>
        <v> </v>
      </c>
      <c r="G2309" s="23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4" t="str">
        <f>IF(J2309&lt;&gt;1,"",IF(I2309="SBJ","CB","?"))</f>
        <v> </v>
      </c>
      <c r="I2309" s="25" t="str">
        <f>IF(OR(E2309="",E2309="!!!",F2309="NEW"),"",INDEX(B2308:B$2,-1+SUMPRODUCT(MAX(ROW(E2308:E$2)*(E2309=E2308:E$2)))))</f>
        <v> </v>
      </c>
      <c r="J2309" s="25" t="str">
        <f>IF(OR(E2309="",E2309="!!!",F2309="NEW"),"",COUNTBLANK(OFFSET(A$1,,,SUMPRODUCT(MAX(ROW(E$2:E2309)*(E2309=E$2:E2309)))))-COUNTBLANK(OFFSET(A$1,,,SUMPRODUCT(MAX(ROW(E$1:E2308)*(E2=E$1:E2308))))))</f>
        <v> </v>
      </c>
      <c r="K2309" s="25" t="str">
        <f>IF(OR(E2309="",E2309="!!!",F2309="NEW"),"",INDEX(J$1:J2308,SUMPRODUCT(MAX(ROW(E$1:E2308)*(E2309=E$1:E2308)))))</f>
        <v> </v>
      </c>
      <c r="L2309" s="26"/>
    </row>
    <row r="2310" spans="1:12">
      <c r="A2310" s="20" t="s">
        <v>1869</v>
      </c>
      <c r="E2310" s="21">
        <f>IF(D2310="?OLD","!!!","")</f>
        <v/>
      </c>
      <c r="F2310" s="22" t="str">
        <f>IF(OR(E2310="",E2310="!!!"),"",IF(NOT(ISNA(VLOOKUP(E2310,E$1:E2309,1,FALSE()))),"OLD",IF(AND(E2310&lt;&gt;"",E2310&lt;&gt;"!!!"),"NEW","")))</f>
        <v> </v>
      </c>
      <c r="G2310" s="23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4" t="str">
        <f>IF(J2310&lt;&gt;1,"",IF(I2310="SBJ","CB","?"))</f>
        <v> </v>
      </c>
      <c r="I2310" s="25" t="str">
        <f>IF(OR(E2310="",E2310="!!!",F2310="NEW"),"",INDEX(B2309:B$2,-1+SUMPRODUCT(MAX(ROW(E2309:E$2)*(E2310=E2309:E$2)))))</f>
        <v> </v>
      </c>
      <c r="J2310" s="25" t="str">
        <f>IF(OR(E2310="",E2310="!!!",F2310="NEW"),"",COUNTBLANK(OFFSET(A$1,,,SUMPRODUCT(MAX(ROW(E$2:E2310)*(E2310=E$2:E2310)))))-COUNTBLANK(OFFSET(A$1,,,SUMPRODUCT(MAX(ROW(E$1:E2309)*(E2=E$1:E2309))))))</f>
        <v> </v>
      </c>
      <c r="K2310" s="25" t="str">
        <f>IF(OR(E2310="",E2310="!!!",F2310="NEW"),"",INDEX(J$1:J2309,SUMPRODUCT(MAX(ROW(E$1:E2309)*(E2310=E$1:E2309)))))</f>
        <v> </v>
      </c>
      <c r="L2310" s="26"/>
    </row>
    <row r="2311" spans="1:12">
      <c r="A2311" s="20" t="s">
        <v>135</v>
      </c>
      <c r="E2311" s="21">
        <f>IF(D2311="?OLD","!!!","")</f>
        <v/>
      </c>
      <c r="F2311" s="22" t="str">
        <f>IF(OR(E2311="",E2311="!!!"),"",IF(NOT(ISNA(VLOOKUP(E2311,E$1:E2310,1,FALSE()))),"OLD",IF(AND(E2311&lt;&gt;"",E2311&lt;&gt;"!!!"),"NEW","")))</f>
        <v> </v>
      </c>
      <c r="G2311" s="23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4" t="str">
        <f>IF(J2311&lt;&gt;1,"",IF(I2311="SBJ","CB","?"))</f>
        <v> </v>
      </c>
      <c r="I2311" s="25" t="str">
        <f>IF(OR(E2311="",E2311="!!!",F2311="NEW"),"",INDEX(B2310:B$2,-1+SUMPRODUCT(MAX(ROW(E2310:E$2)*(E2311=E2310:E$2)))))</f>
        <v> </v>
      </c>
      <c r="J2311" s="25" t="str">
        <f>IF(OR(E2311="",E2311="!!!",F2311="NEW"),"",COUNTBLANK(OFFSET(A$1,,,SUMPRODUCT(MAX(ROW(E$2:E2311)*(E2311=E$2:E2311)))))-COUNTBLANK(OFFSET(A$1,,,SUMPRODUCT(MAX(ROW(E$1:E2310)*(E2=E$1:E2310))))))</f>
        <v> </v>
      </c>
      <c r="K2311" s="25" t="str">
        <f>IF(OR(E2311="",E2311="!!!",F2311="NEW"),"",INDEX(J$1:J2310,SUMPRODUCT(MAX(ROW(E$1:E2310)*(E2311=E$1:E2310)))))</f>
        <v> </v>
      </c>
      <c r="L2311" s="26"/>
    </row>
    <row r="2312" spans="1:12">
      <c r="A2312" s="20"/>
    </row>
    <row r="2313" spans="1:12">
      <c r="A2313" s="20" t="s">
        <v>1870</v>
      </c>
    </row>
    <row r="2314" spans="1:12">
      <c r="A2314" s="20" t="s">
        <v>552</v>
      </c>
      <c r="B2314" s="27" t="s">
        <v>1045</v>
      </c>
      <c r="C2314" s="27" t="s">
        <v>1033</v>
      </c>
      <c r="D2314" s="27" t="s">
        <v>1030</v>
      </c>
      <c r="E2314" s="21">
        <f>IF(D2314="?OLD","!!!","")</f>
        <v/>
      </c>
      <c r="F2314" s="22" t="str">
        <f>IF(OR(E2314="",E2314="!!!"),"",IF(NOT(ISNA(VLOOKUP(E2314,E$1:E2313,1,FALSE()))),"OLD",IF(AND(E2314&lt;&gt;"",E2314&lt;&gt;"!!!"),"NEW","")))</f>
        <v> </v>
      </c>
      <c r="G2314" s="23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4" t="str">
        <f>IF(J2314&lt;&gt;1,"",IF(I2314="SBJ","CB","?"))</f>
        <v> </v>
      </c>
      <c r="I2314" s="25" t="str">
        <f>IF(OR(E2314="",E2314="!!!",F2314="NEW"),"",INDEX(B2313:B$2,-1+SUMPRODUCT(MAX(ROW(E2313:E$2)*(E2314=E2313:E$2)))))</f>
        <v> </v>
      </c>
      <c r="J2314" s="25" t="str">
        <f>IF(OR(E2314="",E2314="!!!",F2314="NEW"),"",COUNTBLANK(OFFSET(A$1,,,SUMPRODUCT(MAX(ROW(E$2:E2314)*(E2314=E$2:E2314)))))-COUNTBLANK(OFFSET(A$1,,,SUMPRODUCT(MAX(ROW(E$1:E2313)*(E2=E$1:E2313))))))</f>
        <v> </v>
      </c>
      <c r="K2314" s="25" t="str">
        <f>IF(OR(E2314="",E2314="!!!",F2314="NEW"),"",INDEX(J$1:J2313,SUMPRODUCT(MAX(ROW(E$1:E2313)*(E2314=E$1:E2313)))))</f>
        <v> </v>
      </c>
      <c r="L2314" s="26"/>
    </row>
    <row r="2315" spans="1:12">
      <c r="A2315" s="20" t="s">
        <v>1825</v>
      </c>
      <c r="B2315" s="27" t="s">
        <v>1045</v>
      </c>
      <c r="C2315" s="27" t="s">
        <v>1033</v>
      </c>
      <c r="D2315" s="27" t="s">
        <v>1030</v>
      </c>
      <c r="E2315" s="21">
        <f>IF(D2315="?OLD","!!!","")</f>
        <v/>
      </c>
      <c r="F2315" s="22" t="str">
        <f>IF(OR(E2315="",E2315="!!!"),"",IF(NOT(ISNA(VLOOKUP(E2315,E$1:E2314,1,FALSE()))),"OLD",IF(AND(E2315&lt;&gt;"",E2315&lt;&gt;"!!!"),"NEW","")))</f>
        <v> </v>
      </c>
      <c r="G2315" s="23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4" t="str">
        <f>IF(J2315&lt;&gt;1,"",IF(I2315="SBJ","CB","?"))</f>
        <v> </v>
      </c>
      <c r="I2315" s="25" t="str">
        <f>IF(OR(E2315="",E2315="!!!",F2315="NEW"),"",INDEX(B2314:B$2,-1+SUMPRODUCT(MAX(ROW(E2314:E$2)*(E2315=E2314:E$2)))))</f>
        <v> </v>
      </c>
      <c r="J2315" s="25" t="str">
        <f>IF(OR(E2315="",E2315="!!!",F2315="NEW"),"",COUNTBLANK(OFFSET(A$1,,,SUMPRODUCT(MAX(ROW(E$2:E2315)*(E2315=E$2:E2315)))))-COUNTBLANK(OFFSET(A$1,,,SUMPRODUCT(MAX(ROW(E$1:E2314)*(E2=E$1:E2314))))))</f>
        <v> </v>
      </c>
      <c r="K2315" s="25" t="str">
        <f>IF(OR(E2315="",E2315="!!!",F2315="NEW"),"",INDEX(J$1:J2314,SUMPRODUCT(MAX(ROW(E$1:E2314)*(E2315=E$1:E2314)))))</f>
        <v> </v>
      </c>
      <c r="L2315" s="26"/>
    </row>
    <row r="2316" spans="1:12">
      <c r="A2316" s="20" t="s">
        <v>1215</v>
      </c>
      <c r="E2316" s="21">
        <f>IF(D2316="?OLD","!!!","")</f>
        <v/>
      </c>
      <c r="F2316" s="22" t="str">
        <f>IF(OR(E2316="",E2316="!!!"),"",IF(NOT(ISNA(VLOOKUP(E2316,E$1:E2315,1,FALSE()))),"OLD",IF(AND(E2316&lt;&gt;"",E2316&lt;&gt;"!!!"),"NEW","")))</f>
        <v> </v>
      </c>
      <c r="G2316" s="23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4" t="str">
        <f>IF(J2316&lt;&gt;1,"",IF(I2316="SBJ","CB","?"))</f>
        <v> </v>
      </c>
      <c r="I2316" s="25" t="str">
        <f>IF(OR(E2316="",E2316="!!!",F2316="NEW"),"",INDEX(B2315:B$2,-1+SUMPRODUCT(MAX(ROW(E2315:E$2)*(E2316=E2315:E$2)))))</f>
        <v> </v>
      </c>
      <c r="J2316" s="25" t="str">
        <f>IF(OR(E2316="",E2316="!!!",F2316="NEW"),"",COUNTBLANK(OFFSET(A$1,,,SUMPRODUCT(MAX(ROW(E$2:E2316)*(E2316=E$2:E2316)))))-COUNTBLANK(OFFSET(A$1,,,SUMPRODUCT(MAX(ROW(E$1:E2315)*(E2=E$1:E2315))))))</f>
        <v> </v>
      </c>
      <c r="K2316" s="25" t="str">
        <f>IF(OR(E2316="",E2316="!!!",F2316="NEW"),"",INDEX(J$1:J2315,SUMPRODUCT(MAX(ROW(E$1:E2315)*(E2316=E$1:E2315)))))</f>
        <v> </v>
      </c>
      <c r="L2316" s="26"/>
    </row>
    <row r="2317" spans="1:12">
      <c r="A2317" s="20"/>
    </row>
    <row r="2318" spans="1:12">
      <c r="A2318" s="20" t="s">
        <v>1871</v>
      </c>
    </row>
    <row r="2319" spans="1:12">
      <c r="A2319" s="20" t="s">
        <v>1825</v>
      </c>
      <c r="E2319" s="21">
        <f>IF(D2319="?OLD","!!!","")</f>
        <v/>
      </c>
      <c r="F2319" s="22" t="str">
        <f>IF(OR(E2319="",E2319="!!!"),"",IF(NOT(ISNA(VLOOKUP(E2319,E$1:E2318,1,FALSE()))),"OLD",IF(AND(E2319&lt;&gt;"",E2319&lt;&gt;"!!!"),"NEW","")))</f>
        <v> </v>
      </c>
      <c r="G2319" s="23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4" t="str">
        <f>IF(J2319&lt;&gt;1,"",IF(I2319="SBJ","CB","?"))</f>
        <v> </v>
      </c>
      <c r="I2319" s="25" t="str">
        <f>IF(OR(E2319="",E2319="!!!",F2319="NEW"),"",INDEX(B2318:B$2,-1+SUMPRODUCT(MAX(ROW(E2318:E$2)*(E2319=E2318:E$2)))))</f>
        <v> </v>
      </c>
      <c r="J2319" s="25" t="str">
        <f>IF(OR(E2319="",E2319="!!!",F2319="NEW"),"",COUNTBLANK(OFFSET(A$1,,,SUMPRODUCT(MAX(ROW(E$2:E2319)*(E2319=E$2:E2319)))))-COUNTBLANK(OFFSET(A$1,,,SUMPRODUCT(MAX(ROW(E$1:E2318)*(E2=E$1:E2318))))))</f>
        <v> </v>
      </c>
      <c r="K2319" s="25" t="str">
        <f>IF(OR(E2319="",E2319="!!!",F2319="NEW"),"",INDEX(J$1:J2318,SUMPRODUCT(MAX(ROW(E$1:E2318)*(E2319=E$1:E2318)))))</f>
        <v> </v>
      </c>
      <c r="L2319" s="26"/>
    </row>
    <row r="2320" spans="1:12">
      <c r="A2320" s="20" t="s">
        <v>1057</v>
      </c>
      <c r="E2320" s="21">
        <f>IF(D2320="?OLD","!!!","")</f>
        <v/>
      </c>
      <c r="F2320" s="22" t="str">
        <f>IF(OR(E2320="",E2320="!!!"),"",IF(NOT(ISNA(VLOOKUP(E2320,E$1:E2319,1,FALSE()))),"OLD",IF(AND(E2320&lt;&gt;"",E2320&lt;&gt;"!!!"),"NEW","")))</f>
        <v> </v>
      </c>
      <c r="G2320" s="23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4" t="str">
        <f>IF(J2320&lt;&gt;1,"",IF(I2320="SBJ","CB","?"))</f>
        <v> </v>
      </c>
      <c r="I2320" s="25" t="str">
        <f>IF(OR(E2320="",E2320="!!!",F2320="NEW"),"",INDEX(B2319:B$2,-1+SUMPRODUCT(MAX(ROW(E2319:E$2)*(E2320=E2319:E$2)))))</f>
        <v> </v>
      </c>
      <c r="J2320" s="25" t="str">
        <f>IF(OR(E2320="",E2320="!!!",F2320="NEW"),"",COUNTBLANK(OFFSET(A$1,,,SUMPRODUCT(MAX(ROW(E$2:E2320)*(E2320=E$2:E2320)))))-COUNTBLANK(OFFSET(A$1,,,SUMPRODUCT(MAX(ROW(E$1:E2319)*(E2=E$1:E2319))))))</f>
        <v> </v>
      </c>
      <c r="K2320" s="25" t="str">
        <f>IF(OR(E2320="",E2320="!!!",F2320="NEW"),"",INDEX(J$1:J2319,SUMPRODUCT(MAX(ROW(E$1:E2319)*(E2320=E$1:E2319)))))</f>
        <v> </v>
      </c>
      <c r="L2320" s="26"/>
    </row>
    <row r="2321" spans="1:12">
      <c r="A2321" s="20" t="s">
        <v>1158</v>
      </c>
      <c r="E2321" s="21">
        <f>IF(D2321="?OLD","!!!","")</f>
        <v/>
      </c>
      <c r="F2321" s="22" t="str">
        <f>IF(OR(E2321="",E2321="!!!"),"",IF(NOT(ISNA(VLOOKUP(E2321,E$1:E2320,1,FALSE()))),"OLD",IF(AND(E2321&lt;&gt;"",E2321&lt;&gt;"!!!"),"NEW","")))</f>
        <v> </v>
      </c>
      <c r="G2321" s="23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4" t="str">
        <f>IF(J2321&lt;&gt;1,"",IF(I2321="SBJ","CB","?"))</f>
        <v> </v>
      </c>
      <c r="I2321" s="25" t="str">
        <f>IF(OR(E2321="",E2321="!!!",F2321="NEW"),"",INDEX(B2320:B$2,-1+SUMPRODUCT(MAX(ROW(E2320:E$2)*(E2321=E2320:E$2)))))</f>
        <v> </v>
      </c>
      <c r="J2321" s="25" t="str">
        <f>IF(OR(E2321="",E2321="!!!",F2321="NEW"),"",COUNTBLANK(OFFSET(A$1,,,SUMPRODUCT(MAX(ROW(E$2:E2321)*(E2321=E$2:E2321)))))-COUNTBLANK(OFFSET(A$1,,,SUMPRODUCT(MAX(ROW(E$1:E2320)*(E2=E$1:E2320))))))</f>
        <v> </v>
      </c>
      <c r="K2321" s="25" t="str">
        <f>IF(OR(E2321="",E2321="!!!",F2321="NEW"),"",INDEX(J$1:J2320,SUMPRODUCT(MAX(ROW(E$1:E2320)*(E2321=E$1:E2320)))))</f>
        <v> </v>
      </c>
      <c r="L2321" s="26"/>
    </row>
    <row r="2322" spans="1:12">
      <c r="A2322" s="20" t="s">
        <v>1034</v>
      </c>
      <c r="E2322" s="21">
        <f>IF(D2322="?OLD","!!!","")</f>
        <v/>
      </c>
      <c r="F2322" s="22" t="str">
        <f>IF(OR(E2322="",E2322="!!!"),"",IF(NOT(ISNA(VLOOKUP(E2322,E$1:E2321,1,FALSE()))),"OLD",IF(AND(E2322&lt;&gt;"",E2322&lt;&gt;"!!!"),"NEW","")))</f>
        <v> </v>
      </c>
      <c r="G2322" s="23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4" t="str">
        <f>IF(J2322&lt;&gt;1,"",IF(I2322="SBJ","CB","?"))</f>
        <v> </v>
      </c>
      <c r="I2322" s="25" t="str">
        <f>IF(OR(E2322="",E2322="!!!",F2322="NEW"),"",INDEX(B2321:B$2,-1+SUMPRODUCT(MAX(ROW(E2321:E$2)*(E2322=E2321:E$2)))))</f>
        <v> </v>
      </c>
      <c r="J2322" s="25" t="str">
        <f>IF(OR(E2322="",E2322="!!!",F2322="NEW"),"",COUNTBLANK(OFFSET(A$1,,,SUMPRODUCT(MAX(ROW(E$2:E2322)*(E2322=E$2:E2322)))))-COUNTBLANK(OFFSET(A$1,,,SUMPRODUCT(MAX(ROW(E$1:E2321)*(E2=E$1:E2321))))))</f>
        <v> </v>
      </c>
      <c r="K2322" s="25" t="str">
        <f>IF(OR(E2322="",E2322="!!!",F2322="NEW"),"",INDEX(J$1:J2321,SUMPRODUCT(MAX(ROW(E$1:E2321)*(E2322=E$1:E2321)))))</f>
        <v> </v>
      </c>
      <c r="L2322" s="26"/>
    </row>
    <row r="2323" spans="1:12">
      <c r="A2323" s="20" t="s">
        <v>1111</v>
      </c>
      <c r="E2323" s="21">
        <f>IF(D2323="?OLD","!!!","")</f>
        <v/>
      </c>
      <c r="F2323" s="22" t="str">
        <f>IF(OR(E2323="",E2323="!!!"),"",IF(NOT(ISNA(VLOOKUP(E2323,E$1:E2322,1,FALSE()))),"OLD",IF(AND(E2323&lt;&gt;"",E2323&lt;&gt;"!!!"),"NEW","")))</f>
        <v> </v>
      </c>
      <c r="G2323" s="23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4" t="str">
        <f>IF(J2323&lt;&gt;1,"",IF(I2323="SBJ","CB","?"))</f>
        <v> </v>
      </c>
      <c r="I2323" s="25" t="str">
        <f>IF(OR(E2323="",E2323="!!!",F2323="NEW"),"",INDEX(B2322:B$2,-1+SUMPRODUCT(MAX(ROW(E2322:E$2)*(E2323=E2322:E$2)))))</f>
        <v> </v>
      </c>
      <c r="J2323" s="25" t="str">
        <f>IF(OR(E2323="",E2323="!!!",F2323="NEW"),"",COUNTBLANK(OFFSET(A$1,,,SUMPRODUCT(MAX(ROW(E$2:E2323)*(E2323=E$2:E2323)))))-COUNTBLANK(OFFSET(A$1,,,SUMPRODUCT(MAX(ROW(E$1:E2322)*(E2=E$1:E2322))))))</f>
        <v> </v>
      </c>
      <c r="K2323" s="25" t="str">
        <f>IF(OR(E2323="",E2323="!!!",F2323="NEW"),"",INDEX(J$1:J2322,SUMPRODUCT(MAX(ROW(E$1:E2322)*(E2323=E$1:E2322)))))</f>
        <v> </v>
      </c>
      <c r="L2323" s="26"/>
    </row>
    <row r="2324" spans="1:12">
      <c r="A2324" s="20" t="s">
        <v>461</v>
      </c>
      <c r="B2324" s="27" t="s">
        <v>1041</v>
      </c>
      <c r="C2324" s="27" t="s">
        <v>1038</v>
      </c>
      <c r="D2324" s="27" t="s">
        <v>1030</v>
      </c>
      <c r="E2324" s="21">
        <f>IF(D2324="?OLD","!!!","")</f>
        <v/>
      </c>
      <c r="F2324" s="22" t="str">
        <f>IF(OR(E2324="",E2324="!!!"),"",IF(NOT(ISNA(VLOOKUP(E2324,E$1:E2323,1,FALSE()))),"OLD",IF(AND(E2324&lt;&gt;"",E2324&lt;&gt;"!!!"),"NEW","")))</f>
        <v> </v>
      </c>
      <c r="G2324" s="23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4" t="str">
        <f>IF(J2324&lt;&gt;1,"",IF(I2324="SBJ","CB","?"))</f>
        <v> </v>
      </c>
      <c r="I2324" s="25" t="str">
        <f>IF(OR(E2324="",E2324="!!!",F2324="NEW"),"",INDEX(B2323:B$2,-1+SUMPRODUCT(MAX(ROW(E2323:E$2)*(E2324=E2323:E$2)))))</f>
        <v> </v>
      </c>
      <c r="J2324" s="25" t="str">
        <f>IF(OR(E2324="",E2324="!!!",F2324="NEW"),"",COUNTBLANK(OFFSET(A$1,,,SUMPRODUCT(MAX(ROW(E$2:E2324)*(E2324=E$2:E2324)))))-COUNTBLANK(OFFSET(A$1,,,SUMPRODUCT(MAX(ROW(E$1:E2323)*(E2=E$1:E2323))))))</f>
        <v> </v>
      </c>
      <c r="K2324" s="25" t="str">
        <f>IF(OR(E2324="",E2324="!!!",F2324="NEW"),"",INDEX(J$1:J2323,SUMPRODUCT(MAX(ROW(E$1:E2323)*(E2324=E$1:E2323)))))</f>
        <v> </v>
      </c>
      <c r="L2324" s="26"/>
    </row>
    <row r="2325" spans="1:12">
      <c r="A2325" s="20" t="s">
        <v>1337</v>
      </c>
      <c r="E2325" s="21">
        <f>IF(D2325="?OLD","!!!","")</f>
        <v/>
      </c>
      <c r="F2325" s="22" t="str">
        <f>IF(OR(E2325="",E2325="!!!"),"",IF(NOT(ISNA(VLOOKUP(E2325,E$1:E2324,1,FALSE()))),"OLD",IF(AND(E2325&lt;&gt;"",E2325&lt;&gt;"!!!"),"NEW","")))</f>
        <v> </v>
      </c>
      <c r="G2325" s="23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4" t="str">
        <f>IF(J2325&lt;&gt;1,"",IF(I2325="SBJ","CB","?"))</f>
        <v> </v>
      </c>
      <c r="I2325" s="25" t="str">
        <f>IF(OR(E2325="",E2325="!!!",F2325="NEW"),"",INDEX(B2324:B$2,-1+SUMPRODUCT(MAX(ROW(E2324:E$2)*(E2325=E2324:E$2)))))</f>
        <v> </v>
      </c>
      <c r="J2325" s="25" t="str">
        <f>IF(OR(E2325="",E2325="!!!",F2325="NEW"),"",COUNTBLANK(OFFSET(A$1,,,SUMPRODUCT(MAX(ROW(E$2:E2325)*(E2325=E$2:E2325)))))-COUNTBLANK(OFFSET(A$1,,,SUMPRODUCT(MAX(ROW(E$1:E2324)*(E2=E$1:E2324))))))</f>
        <v> </v>
      </c>
      <c r="K2325" s="25" t="str">
        <f>IF(OR(E2325="",E2325="!!!",F2325="NEW"),"",INDEX(J$1:J2324,SUMPRODUCT(MAX(ROW(E$1:E2324)*(E2325=E$1:E2324)))))</f>
        <v> </v>
      </c>
      <c r="L2325" s="26"/>
    </row>
    <row r="2326" spans="1:12">
      <c r="A2326" s="20" t="s">
        <v>1186</v>
      </c>
      <c r="B2326" s="27" t="s">
        <v>1045</v>
      </c>
      <c r="C2326" s="27" t="s">
        <v>1050</v>
      </c>
      <c r="D2326" s="27" t="s">
        <v>1030</v>
      </c>
      <c r="E2326" s="21">
        <f>IF(D2326="?OLD","!!!","")</f>
        <v/>
      </c>
      <c r="F2326" s="22" t="str">
        <f>IF(OR(E2326="",E2326="!!!"),"",IF(NOT(ISNA(VLOOKUP(E2326,E$1:E2325,1,FALSE()))),"OLD",IF(AND(E2326&lt;&gt;"",E2326&lt;&gt;"!!!"),"NEW","")))</f>
        <v> </v>
      </c>
      <c r="G2326" s="23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4" t="str">
        <f>IF(J2326&lt;&gt;1,"",IF(I2326="SBJ","CB","?"))</f>
        <v> </v>
      </c>
      <c r="I2326" s="25" t="str">
        <f>IF(OR(E2326="",E2326="!!!",F2326="NEW"),"",INDEX(B2325:B$2,-1+SUMPRODUCT(MAX(ROW(E2325:E$2)*(E2326=E2325:E$2)))))</f>
        <v> </v>
      </c>
      <c r="J2326" s="25" t="str">
        <f>IF(OR(E2326="",E2326="!!!",F2326="NEW"),"",COUNTBLANK(OFFSET(A$1,,,SUMPRODUCT(MAX(ROW(E$2:E2326)*(E2326=E$2:E2326)))))-COUNTBLANK(OFFSET(A$1,,,SUMPRODUCT(MAX(ROW(E$1:E2325)*(E2=E$1:E2325))))))</f>
        <v> </v>
      </c>
      <c r="K2326" s="25" t="str">
        <f>IF(OR(E2326="",E2326="!!!",F2326="NEW"),"",INDEX(J$1:J2325,SUMPRODUCT(MAX(ROW(E$1:E2325)*(E2326=E$1:E2325)))))</f>
        <v> </v>
      </c>
      <c r="L2326" s="26"/>
    </row>
    <row r="2327" spans="1:12">
      <c r="A2327" s="20" t="s">
        <v>135</v>
      </c>
      <c r="E2327" s="21">
        <f>IF(D2327="?OLD","!!!","")</f>
        <v/>
      </c>
      <c r="F2327" s="22" t="str">
        <f>IF(OR(E2327="",E2327="!!!"),"",IF(NOT(ISNA(VLOOKUP(E2327,E$1:E2326,1,FALSE()))),"OLD",IF(AND(E2327&lt;&gt;"",E2327&lt;&gt;"!!!"),"NEW","")))</f>
        <v> </v>
      </c>
      <c r="G2327" s="23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4" t="str">
        <f>IF(J2327&lt;&gt;1,"",IF(I2327="SBJ","CB","?"))</f>
        <v> </v>
      </c>
      <c r="I2327" s="25" t="str">
        <f>IF(OR(E2327="",E2327="!!!",F2327="NEW"),"",INDEX(B2326:B$2,-1+SUMPRODUCT(MAX(ROW(E2326:E$2)*(E2327=E2326:E$2)))))</f>
        <v> </v>
      </c>
      <c r="J2327" s="25" t="str">
        <f>IF(OR(E2327="",E2327="!!!",F2327="NEW"),"",COUNTBLANK(OFFSET(A$1,,,SUMPRODUCT(MAX(ROW(E$2:E2327)*(E2327=E$2:E2327)))))-COUNTBLANK(OFFSET(A$1,,,SUMPRODUCT(MAX(ROW(E$1:E2326)*(E2=E$1:E2326))))))</f>
        <v> </v>
      </c>
      <c r="K2327" s="25" t="str">
        <f>IF(OR(E2327="",E2327="!!!",F2327="NEW"),"",INDEX(J$1:J2326,SUMPRODUCT(MAX(ROW(E$1:E2326)*(E2327=E$1:E2326)))))</f>
        <v> </v>
      </c>
      <c r="L2327" s="26"/>
    </row>
    <row r="2328" spans="1:12">
      <c r="A2328" s="20"/>
    </row>
    <row r="2329" spans="1:12">
      <c r="A2329" s="20" t="s">
        <v>1689</v>
      </c>
    </row>
    <row r="2330" spans="1:12">
      <c r="A2330" s="20" t="s">
        <v>1118</v>
      </c>
      <c r="E2330" s="21">
        <f>IF(D2330="?OLD","!!!","")</f>
        <v/>
      </c>
      <c r="F2330" s="22" t="str">
        <f>IF(OR(E2330="",E2330="!!!"),"",IF(NOT(ISNA(VLOOKUP(E2330,E$1:E2329,1,FALSE()))),"OLD",IF(AND(E2330&lt;&gt;"",E2330&lt;&gt;"!!!"),"NEW","")))</f>
        <v> </v>
      </c>
      <c r="G2330" s="23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4" t="str">
        <f>IF(J2330&lt;&gt;1,"",IF(I2330="SBJ","CB","?"))</f>
        <v> </v>
      </c>
      <c r="I2330" s="25" t="str">
        <f>IF(OR(E2330="",E2330="!!!",F2330="NEW"),"",INDEX(B2329:B$2,-1+SUMPRODUCT(MAX(ROW(E2329:E$2)*(E2330=E2329:E$2)))))</f>
        <v> </v>
      </c>
      <c r="J2330" s="25" t="str">
        <f>IF(OR(E2330="",E2330="!!!",F2330="NEW"),"",COUNTBLANK(OFFSET(A$1,,,SUMPRODUCT(MAX(ROW(E$2:E2330)*(E2330=E$2:E2330)))))-COUNTBLANK(OFFSET(A$1,,,SUMPRODUCT(MAX(ROW(E$1:E2329)*(E2=E$1:E2329))))))</f>
        <v> </v>
      </c>
      <c r="K2330" s="25" t="str">
        <f>IF(OR(E2330="",E2330="!!!",F2330="NEW"),"",INDEX(J$1:J2329,SUMPRODUCT(MAX(ROW(E$1:E2329)*(E2330=E$1:E2329)))))</f>
        <v> </v>
      </c>
      <c r="L2330" s="26"/>
    </row>
    <row r="2331" spans="1:12">
      <c r="A2331" s="20" t="s">
        <v>1430</v>
      </c>
      <c r="E2331" s="21">
        <f>IF(D2331="?OLD","!!!","")</f>
        <v/>
      </c>
      <c r="F2331" s="22" t="str">
        <f>IF(OR(E2331="",E2331="!!!"),"",IF(NOT(ISNA(VLOOKUP(E2331,E$1:E2330,1,FALSE()))),"OLD",IF(AND(E2331&lt;&gt;"",E2331&lt;&gt;"!!!"),"NEW","")))</f>
        <v> </v>
      </c>
      <c r="G2331" s="23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4" t="str">
        <f>IF(J2331&lt;&gt;1,"",IF(I2331="SBJ","CB","?"))</f>
        <v> </v>
      </c>
      <c r="I2331" s="25" t="str">
        <f>IF(OR(E2331="",E2331="!!!",F2331="NEW"),"",INDEX(B2330:B$2,-1+SUMPRODUCT(MAX(ROW(E2330:E$2)*(E2331=E2330:E$2)))))</f>
        <v> </v>
      </c>
      <c r="J2331" s="25" t="str">
        <f>IF(OR(E2331="",E2331="!!!",F2331="NEW"),"",COUNTBLANK(OFFSET(A$1,,,SUMPRODUCT(MAX(ROW(E$2:E2331)*(E2331=E$2:E2331)))))-COUNTBLANK(OFFSET(A$1,,,SUMPRODUCT(MAX(ROW(E$1:E2330)*(E2=E$1:E2330))))))</f>
        <v> </v>
      </c>
      <c r="K2331" s="25" t="str">
        <f>IF(OR(E2331="",E2331="!!!",F2331="NEW"),"",INDEX(J$1:J2330,SUMPRODUCT(MAX(ROW(E$1:E2330)*(E2331=E$1:E2330)))))</f>
        <v> </v>
      </c>
      <c r="L2331" s="26"/>
    </row>
    <row r="2332" spans="1:12">
      <c r="A2332" s="20" t="s">
        <v>1018</v>
      </c>
      <c r="E2332" s="21">
        <f>IF(D2332="?OLD","!!!","")</f>
        <v/>
      </c>
      <c r="F2332" s="22" t="str">
        <f>IF(OR(E2332="",E2332="!!!"),"",IF(NOT(ISNA(VLOOKUP(E2332,E$1:E2331,1,FALSE()))),"OLD",IF(AND(E2332&lt;&gt;"",E2332&lt;&gt;"!!!"),"NEW","")))</f>
        <v> </v>
      </c>
      <c r="G2332" s="23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4" t="str">
        <f>IF(J2332&lt;&gt;1,"",IF(I2332="SBJ","CB","?"))</f>
        <v> </v>
      </c>
      <c r="I2332" s="25" t="str">
        <f>IF(OR(E2332="",E2332="!!!",F2332="NEW"),"",INDEX(B2331:B$2,-1+SUMPRODUCT(MAX(ROW(E2331:E$2)*(E2332=E2331:E$2)))))</f>
        <v> </v>
      </c>
      <c r="J2332" s="25" t="str">
        <f>IF(OR(E2332="",E2332="!!!",F2332="NEW"),"",COUNTBLANK(OFFSET(A$1,,,SUMPRODUCT(MAX(ROW(E$2:E2332)*(E2332=E$2:E2332)))))-COUNTBLANK(OFFSET(A$1,,,SUMPRODUCT(MAX(ROW(E$1:E2331)*(E2=E$1:E2331))))))</f>
        <v> </v>
      </c>
      <c r="K2332" s="25" t="str">
        <f>IF(OR(E2332="",E2332="!!!",F2332="NEW"),"",INDEX(J$1:J2331,SUMPRODUCT(MAX(ROW(E$1:E2331)*(E2332=E$1:E2331)))))</f>
        <v> </v>
      </c>
      <c r="L2332" s="26"/>
    </row>
    <row r="2333" spans="1:12">
      <c r="A2333" s="20" t="s">
        <v>247</v>
      </c>
      <c r="B2333" s="27" t="s">
        <v>1041</v>
      </c>
      <c r="C2333" s="27" t="s">
        <v>1021</v>
      </c>
      <c r="E2333" s="21">
        <f>IF(D2333="?OLD","!!!","")</f>
        <v/>
      </c>
      <c r="F2333" s="22" t="str">
        <f>IF(OR(E2333="",E2333="!!!"),"",IF(NOT(ISNA(VLOOKUP(E2333,E$1:E2332,1,FALSE()))),"OLD",IF(AND(E2333&lt;&gt;"",E2333&lt;&gt;"!!!"),"NEW","")))</f>
        <v> </v>
      </c>
      <c r="G2333" s="23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4" t="str">
        <f>IF(J2333&lt;&gt;1,"",IF(I2333="SBJ","CB","?"))</f>
        <v> </v>
      </c>
      <c r="I2333" s="25" t="str">
        <f>IF(OR(E2333="",E2333="!!!",F2333="NEW"),"",INDEX(B2332:B$2,-1+SUMPRODUCT(MAX(ROW(E2332:E$2)*(E2333=E2332:E$2)))))</f>
        <v> </v>
      </c>
      <c r="J2333" s="25" t="str">
        <f>IF(OR(E2333="",E2333="!!!",F2333="NEW"),"",COUNTBLANK(OFFSET(A$1,,,SUMPRODUCT(MAX(ROW(E$2:E2333)*(E2333=E$2:E2333)))))-COUNTBLANK(OFFSET(A$1,,,SUMPRODUCT(MAX(ROW(E$1:E2332)*(E2=E$1:E2332))))))</f>
        <v> </v>
      </c>
      <c r="K2333" s="25" t="str">
        <f>IF(OR(E2333="",E2333="!!!",F2333="NEW"),"",INDEX(J$1:J2332,SUMPRODUCT(MAX(ROW(E$1:E2332)*(E2333=E$1:E2332)))))</f>
        <v> </v>
      </c>
      <c r="L2333" s="26"/>
    </row>
    <row r="2334" spans="1:12">
      <c r="A2334" s="20" t="s">
        <v>1215</v>
      </c>
      <c r="E2334" s="21">
        <f>IF(D2334="?OLD","!!!","")</f>
        <v/>
      </c>
      <c r="F2334" s="22" t="str">
        <f>IF(OR(E2334="",E2334="!!!"),"",IF(NOT(ISNA(VLOOKUP(E2334,E$1:E2333,1,FALSE()))),"OLD",IF(AND(E2334&lt;&gt;"",E2334&lt;&gt;"!!!"),"NEW","")))</f>
        <v> </v>
      </c>
      <c r="G2334" s="23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4" t="str">
        <f>IF(J2334&lt;&gt;1,"",IF(I2334="SBJ","CB","?"))</f>
        <v> </v>
      </c>
      <c r="I2334" s="25" t="str">
        <f>IF(OR(E2334="",E2334="!!!",F2334="NEW"),"",INDEX(B2333:B$2,-1+SUMPRODUCT(MAX(ROW(E2333:E$2)*(E2334=E2333:E$2)))))</f>
        <v> </v>
      </c>
      <c r="J2334" s="25" t="str">
        <f>IF(OR(E2334="",E2334="!!!",F2334="NEW"),"",COUNTBLANK(OFFSET(A$1,,,SUMPRODUCT(MAX(ROW(E$2:E2334)*(E2334=E$2:E2334)))))-COUNTBLANK(OFFSET(A$1,,,SUMPRODUCT(MAX(ROW(E$1:E2333)*(E2=E$1:E2333))))))</f>
        <v> </v>
      </c>
      <c r="K2334" s="25" t="str">
        <f>IF(OR(E2334="",E2334="!!!",F2334="NEW"),"",INDEX(J$1:J2333,SUMPRODUCT(MAX(ROW(E$1:E2333)*(E2334=E$1:E2333)))))</f>
        <v> </v>
      </c>
      <c r="L2334" s="26"/>
    </row>
    <row r="2335" spans="1:12">
      <c r="A2335" s="20"/>
    </row>
    <row r="2336" spans="1:12">
      <c r="A2336" s="20" t="s">
        <v>1872</v>
      </c>
    </row>
    <row r="2337" spans="1:12">
      <c r="A2337" s="20" t="s">
        <v>1873</v>
      </c>
      <c r="E2337" s="21">
        <f>IF(D2337="?OLD","!!!","")</f>
        <v/>
      </c>
      <c r="F2337" s="22" t="str">
        <f>IF(OR(E2337="",E2337="!!!"),"",IF(NOT(ISNA(VLOOKUP(E2337,E$1:E2336,1,FALSE()))),"OLD",IF(AND(E2337&lt;&gt;"",E2337&lt;&gt;"!!!"),"NEW","")))</f>
        <v> </v>
      </c>
      <c r="G2337" s="23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4" t="str">
        <f>IF(J2337&lt;&gt;1,"",IF(I2337="SBJ","CB","?"))</f>
        <v> </v>
      </c>
      <c r="I2337" s="25" t="str">
        <f>IF(OR(E2337="",E2337="!!!",F2337="NEW"),"",INDEX(B2336:B$2,-1+SUMPRODUCT(MAX(ROW(E2336:E$2)*(E2337=E2336:E$2)))))</f>
        <v> </v>
      </c>
      <c r="J2337" s="25" t="str">
        <f>IF(OR(E2337="",E2337="!!!",F2337="NEW"),"",COUNTBLANK(OFFSET(A$1,,,SUMPRODUCT(MAX(ROW(E$2:E2337)*(E2337=E$2:E2337)))))-COUNTBLANK(OFFSET(A$1,,,SUMPRODUCT(MAX(ROW(E$1:E2336)*(E2=E$1:E2336))))))</f>
        <v> </v>
      </c>
      <c r="K2337" s="25" t="str">
        <f>IF(OR(E2337="",E2337="!!!",F2337="NEW"),"",INDEX(J$1:J2336,SUMPRODUCT(MAX(ROW(E$1:E2336)*(E2337=E$1:E2336)))))</f>
        <v> </v>
      </c>
      <c r="L2337" s="26"/>
    </row>
    <row r="2338" spans="1:12">
      <c r="A2338" s="20" t="s">
        <v>1057</v>
      </c>
      <c r="E2338" s="21">
        <f>IF(D2338="?OLD","!!!","")</f>
        <v/>
      </c>
      <c r="F2338" s="22" t="str">
        <f>IF(OR(E2338="",E2338="!!!"),"",IF(NOT(ISNA(VLOOKUP(E2338,E$1:E2337,1,FALSE()))),"OLD",IF(AND(E2338&lt;&gt;"",E2338&lt;&gt;"!!!"),"NEW","")))</f>
        <v> </v>
      </c>
      <c r="G2338" s="23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4" t="str">
        <f>IF(J2338&lt;&gt;1,"",IF(I2338="SBJ","CB","?"))</f>
        <v> </v>
      </c>
      <c r="I2338" s="25" t="str">
        <f>IF(OR(E2338="",E2338="!!!",F2338="NEW"),"",INDEX(B2337:B$2,-1+SUMPRODUCT(MAX(ROW(E2337:E$2)*(E2338=E2337:E$2)))))</f>
        <v> </v>
      </c>
      <c r="J2338" s="25" t="str">
        <f>IF(OR(E2338="",E2338="!!!",F2338="NEW"),"",COUNTBLANK(OFFSET(A$1,,,SUMPRODUCT(MAX(ROW(E$2:E2338)*(E2338=E$2:E2338)))))-COUNTBLANK(OFFSET(A$1,,,SUMPRODUCT(MAX(ROW(E$1:E2337)*(E2=E$1:E2337))))))</f>
        <v> </v>
      </c>
      <c r="K2338" s="25" t="str">
        <f>IF(OR(E2338="",E2338="!!!",F2338="NEW"),"",INDEX(J$1:J2337,SUMPRODUCT(MAX(ROW(E$1:E2337)*(E2338=E$1:E2337)))))</f>
        <v> </v>
      </c>
      <c r="L2338" s="26"/>
    </row>
    <row r="2339" spans="1:12">
      <c r="A2339" s="20" t="s">
        <v>1874</v>
      </c>
      <c r="E2339" s="21">
        <f>IF(D2339="?OLD","!!!","")</f>
        <v/>
      </c>
      <c r="F2339" s="22" t="str">
        <f>IF(OR(E2339="",E2339="!!!"),"",IF(NOT(ISNA(VLOOKUP(E2339,E$1:E2338,1,FALSE()))),"OLD",IF(AND(E2339&lt;&gt;"",E2339&lt;&gt;"!!!"),"NEW","")))</f>
        <v> </v>
      </c>
      <c r="G2339" s="23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4" t="str">
        <f>IF(J2339&lt;&gt;1,"",IF(I2339="SBJ","CB","?"))</f>
        <v> </v>
      </c>
      <c r="I2339" s="25" t="str">
        <f>IF(OR(E2339="",E2339="!!!",F2339="NEW"),"",INDEX(B2338:B$2,-1+SUMPRODUCT(MAX(ROW(E2338:E$2)*(E2339=E2338:E$2)))))</f>
        <v> </v>
      </c>
      <c r="J2339" s="25" t="str">
        <f>IF(OR(E2339="",E2339="!!!",F2339="NEW"),"",COUNTBLANK(OFFSET(A$1,,,SUMPRODUCT(MAX(ROW(E$2:E2339)*(E2339=E$2:E2339)))))-COUNTBLANK(OFFSET(A$1,,,SUMPRODUCT(MAX(ROW(E$1:E2338)*(E2=E$1:E2338))))))</f>
        <v> </v>
      </c>
      <c r="K2339" s="25" t="str">
        <f>IF(OR(E2339="",E2339="!!!",F2339="NEW"),"",INDEX(J$1:J2338,SUMPRODUCT(MAX(ROW(E$1:E2338)*(E2339=E$1:E2338)))))</f>
        <v> </v>
      </c>
      <c r="L2339" s="26"/>
    </row>
    <row r="2340" spans="1:12">
      <c r="A2340" s="20" t="s">
        <v>1111</v>
      </c>
      <c r="E2340" s="21">
        <f>IF(D2340="?OLD","!!!","")</f>
        <v/>
      </c>
      <c r="F2340" s="22" t="str">
        <f>IF(OR(E2340="",E2340="!!!"),"",IF(NOT(ISNA(VLOOKUP(E2340,E$1:E2339,1,FALSE()))),"OLD",IF(AND(E2340&lt;&gt;"",E2340&lt;&gt;"!!!"),"NEW","")))</f>
        <v> </v>
      </c>
      <c r="G2340" s="23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4" t="str">
        <f>IF(J2340&lt;&gt;1,"",IF(I2340="SBJ","CB","?"))</f>
        <v> </v>
      </c>
      <c r="I2340" s="25" t="str">
        <f>IF(OR(E2340="",E2340="!!!",F2340="NEW"),"",INDEX(B2339:B$2,-1+SUMPRODUCT(MAX(ROW(E2339:E$2)*(E2340=E2339:E$2)))))</f>
        <v> </v>
      </c>
      <c r="J2340" s="25" t="str">
        <f>IF(OR(E2340="",E2340="!!!",F2340="NEW"),"",COUNTBLANK(OFFSET(A$1,,,SUMPRODUCT(MAX(ROW(E$2:E2340)*(E2340=E$2:E2340)))))-COUNTBLANK(OFFSET(A$1,,,SUMPRODUCT(MAX(ROW(E$1:E2339)*(E2=E$1:E2339))))))</f>
        <v> </v>
      </c>
      <c r="K2340" s="25" t="str">
        <f>IF(OR(E2340="",E2340="!!!",F2340="NEW"),"",INDEX(J$1:J2339,SUMPRODUCT(MAX(ROW(E$1:E2339)*(E2340=E$1:E2339)))))</f>
        <v> </v>
      </c>
      <c r="L2340" s="26"/>
    </row>
    <row r="2341" spans="1:12">
      <c r="A2341" s="20" t="s">
        <v>461</v>
      </c>
      <c r="B2341" s="27" t="s">
        <v>1014</v>
      </c>
      <c r="C2341" s="27" t="s">
        <v>1038</v>
      </c>
      <c r="D2341" s="27" t="s">
        <v>1030</v>
      </c>
      <c r="E2341" s="21">
        <f>IF(D2341="?OLD","!!!","")</f>
        <v/>
      </c>
      <c r="F2341" s="22" t="str">
        <f>IF(OR(E2341="",E2341="!!!"),"",IF(NOT(ISNA(VLOOKUP(E2341,E$1:E2340,1,FALSE()))),"OLD",IF(AND(E2341&lt;&gt;"",E2341&lt;&gt;"!!!"),"NEW","")))</f>
        <v> </v>
      </c>
      <c r="G2341" s="23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4" t="str">
        <f>IF(J2341&lt;&gt;1,"",IF(I2341="SBJ","CB","?"))</f>
        <v> </v>
      </c>
      <c r="I2341" s="25" t="str">
        <f>IF(OR(E2341="",E2341="!!!",F2341="NEW"),"",INDEX(B2340:B$2,-1+SUMPRODUCT(MAX(ROW(E2340:E$2)*(E2341=E2340:E$2)))))</f>
        <v> </v>
      </c>
      <c r="J2341" s="25" t="str">
        <f>IF(OR(E2341="",E2341="!!!",F2341="NEW"),"",COUNTBLANK(OFFSET(A$1,,,SUMPRODUCT(MAX(ROW(E$2:E2341)*(E2341=E$2:E2341)))))-COUNTBLANK(OFFSET(A$1,,,SUMPRODUCT(MAX(ROW(E$1:E2340)*(E2=E$1:E2340))))))</f>
        <v> </v>
      </c>
      <c r="K2341" s="25" t="str">
        <f>IF(OR(E2341="",E2341="!!!",F2341="NEW"),"",INDEX(J$1:J2340,SUMPRODUCT(MAX(ROW(E$1:E2340)*(E2341=E$1:E2340)))))</f>
        <v> </v>
      </c>
      <c r="L2341" s="26"/>
    </row>
    <row r="2342" spans="1:12">
      <c r="A2342" s="20" t="s">
        <v>1025</v>
      </c>
      <c r="E2342" s="21">
        <f>IF(D2342="?OLD","!!!","")</f>
        <v/>
      </c>
      <c r="F2342" s="22" t="str">
        <f>IF(OR(E2342="",E2342="!!!"),"",IF(NOT(ISNA(VLOOKUP(E2342,E$1:E2341,1,FALSE()))),"OLD",IF(AND(E2342&lt;&gt;"",E2342&lt;&gt;"!!!"),"NEW","")))</f>
        <v> </v>
      </c>
      <c r="G2342" s="23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4" t="str">
        <f>IF(J2342&lt;&gt;1,"",IF(I2342="SBJ","CB","?"))</f>
        <v> </v>
      </c>
      <c r="I2342" s="25" t="str">
        <f>IF(OR(E2342="",E2342="!!!",F2342="NEW"),"",INDEX(B2341:B$2,-1+SUMPRODUCT(MAX(ROW(E2341:E$2)*(E2342=E2341:E$2)))))</f>
        <v> </v>
      </c>
      <c r="J2342" s="25" t="str">
        <f>IF(OR(E2342="",E2342="!!!",F2342="NEW"),"",COUNTBLANK(OFFSET(A$1,,,SUMPRODUCT(MAX(ROW(E$2:E2342)*(E2342=E$2:E2342)))))-COUNTBLANK(OFFSET(A$1,,,SUMPRODUCT(MAX(ROW(E$1:E2341)*(E2=E$1:E2341))))))</f>
        <v> </v>
      </c>
      <c r="K2342" s="25" t="str">
        <f>IF(OR(E2342="",E2342="!!!",F2342="NEW"),"",INDEX(J$1:J2341,SUMPRODUCT(MAX(ROW(E$1:E2341)*(E2342=E$1:E2341)))))</f>
        <v> </v>
      </c>
      <c r="L2342" s="26"/>
    </row>
    <row r="2343" spans="1:12">
      <c r="A2343" s="20" t="s">
        <v>1080</v>
      </c>
      <c r="E2343" s="21">
        <f>IF(D2343="?OLD","!!!","")</f>
        <v/>
      </c>
      <c r="F2343" s="22" t="str">
        <f>IF(OR(E2343="",E2343="!!!"),"",IF(NOT(ISNA(VLOOKUP(E2343,E$1:E2342,1,FALSE()))),"OLD",IF(AND(E2343&lt;&gt;"",E2343&lt;&gt;"!!!"),"NEW","")))</f>
        <v> </v>
      </c>
      <c r="G2343" s="23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4" t="str">
        <f>IF(J2343&lt;&gt;1,"",IF(I2343="SBJ","CB","?"))</f>
        <v> </v>
      </c>
      <c r="I2343" s="25" t="str">
        <f>IF(OR(E2343="",E2343="!!!",F2343="NEW"),"",INDEX(B2342:B$2,-1+SUMPRODUCT(MAX(ROW(E2342:E$2)*(E2343=E2342:E$2)))))</f>
        <v> </v>
      </c>
      <c r="J2343" s="25" t="str">
        <f>IF(OR(E2343="",E2343="!!!",F2343="NEW"),"",COUNTBLANK(OFFSET(A$1,,,SUMPRODUCT(MAX(ROW(E$2:E2343)*(E2343=E$2:E2343)))))-COUNTBLANK(OFFSET(A$1,,,SUMPRODUCT(MAX(ROW(E$1:E2342)*(E2=E$1:E2342))))))</f>
        <v> </v>
      </c>
      <c r="K2343" s="25" t="str">
        <f>IF(OR(E2343="",E2343="!!!",F2343="NEW"),"",INDEX(J$1:J2342,SUMPRODUCT(MAX(ROW(E$1:E2342)*(E2343=E$1:E2342)))))</f>
        <v> </v>
      </c>
      <c r="L2343" s="26"/>
    </row>
    <row r="2344" spans="1:12">
      <c r="A2344" s="20" t="s">
        <v>1658</v>
      </c>
      <c r="B2344" s="27" t="s">
        <v>1045</v>
      </c>
      <c r="C2344" s="27" t="s">
        <v>1033</v>
      </c>
      <c r="D2344" s="27" t="s">
        <v>1030</v>
      </c>
      <c r="E2344" s="21">
        <f>IF(D2344="?OLD","!!!","")</f>
        <v/>
      </c>
      <c r="F2344" s="22" t="str">
        <f>IF(OR(E2344="",E2344="!!!"),"",IF(NOT(ISNA(VLOOKUP(E2344,E$1:E2343,1,FALSE()))),"OLD",IF(AND(E2344&lt;&gt;"",E2344&lt;&gt;"!!!"),"NEW","")))</f>
        <v> </v>
      </c>
      <c r="G2344" s="23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4" t="str">
        <f>IF(J2344&lt;&gt;1,"",IF(I2344="SBJ","CB","?"))</f>
        <v> </v>
      </c>
      <c r="I2344" s="25" t="str">
        <f>IF(OR(E2344="",E2344="!!!",F2344="NEW"),"",INDEX(B2343:B$2,-1+SUMPRODUCT(MAX(ROW(E2343:E$2)*(E2344=E2343:E$2)))))</f>
        <v> </v>
      </c>
      <c r="J2344" s="25" t="str">
        <f>IF(OR(E2344="",E2344="!!!",F2344="NEW"),"",COUNTBLANK(OFFSET(A$1,,,SUMPRODUCT(MAX(ROW(E$2:E2344)*(E2344=E$2:E2344)))))-COUNTBLANK(OFFSET(A$1,,,SUMPRODUCT(MAX(ROW(E$1:E2343)*(E2=E$1:E2343))))))</f>
        <v> </v>
      </c>
      <c r="K2344" s="25" t="str">
        <f>IF(OR(E2344="",E2344="!!!",F2344="NEW"),"",INDEX(J$1:J2343,SUMPRODUCT(MAX(ROW(E$1:E2343)*(E2344=E$1:E2343)))))</f>
        <v> </v>
      </c>
      <c r="L2344" s="26"/>
    </row>
    <row r="2345" spans="1:12">
      <c r="A2345" s="20" t="s">
        <v>1659</v>
      </c>
      <c r="B2345" s="27" t="s">
        <v>1079</v>
      </c>
      <c r="C2345" s="27" t="s">
        <v>1033</v>
      </c>
      <c r="D2345" s="27" t="s">
        <v>1030</v>
      </c>
      <c r="E2345" s="21">
        <f>IF(D2345="?OLD","!!!","")</f>
        <v/>
      </c>
      <c r="F2345" s="22" t="str">
        <f>IF(OR(E2345="",E2345="!!!"),"",IF(NOT(ISNA(VLOOKUP(E2345,E$1:E2344,1,FALSE()))),"OLD",IF(AND(E2345&lt;&gt;"",E2345&lt;&gt;"!!!"),"NEW","")))</f>
        <v> </v>
      </c>
      <c r="G2345" s="23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4" t="str">
        <f>IF(J2345&lt;&gt;1,"",IF(I2345="SBJ","CB","?"))</f>
        <v> </v>
      </c>
      <c r="I2345" s="25" t="str">
        <f>IF(OR(E2345="",E2345="!!!",F2345="NEW"),"",INDEX(B2344:B$2,-1+SUMPRODUCT(MAX(ROW(E2344:E$2)*(E2345=E2344:E$2)))))</f>
        <v> </v>
      </c>
      <c r="J2345" s="25" t="str">
        <f>IF(OR(E2345="",E2345="!!!",F2345="NEW"),"",COUNTBLANK(OFFSET(A$1,,,SUMPRODUCT(MAX(ROW(E$2:E2345)*(E2345=E$2:E2345)))))-COUNTBLANK(OFFSET(A$1,,,SUMPRODUCT(MAX(ROW(E$1:E2344)*(E2=E$1:E2344))))))</f>
        <v> </v>
      </c>
      <c r="K2345" s="25" t="str">
        <f>IF(OR(E2345="",E2345="!!!",F2345="NEW"),"",INDEX(J$1:J2344,SUMPRODUCT(MAX(ROW(E$1:E2344)*(E2345=E$1:E2344)))))</f>
        <v> </v>
      </c>
      <c r="L2345" s="26"/>
    </row>
    <row r="2346" spans="1:12">
      <c r="A2346" s="20" t="s">
        <v>135</v>
      </c>
      <c r="E2346" s="21">
        <f>IF(D2346="?OLD","!!!","")</f>
        <v/>
      </c>
      <c r="F2346" s="22" t="str">
        <f>IF(OR(E2346="",E2346="!!!"),"",IF(NOT(ISNA(VLOOKUP(E2346,E$1:E2345,1,FALSE()))),"OLD",IF(AND(E2346&lt;&gt;"",E2346&lt;&gt;"!!!"),"NEW","")))</f>
        <v> </v>
      </c>
      <c r="G2346" s="23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4" t="str">
        <f>IF(J2346&lt;&gt;1,"",IF(I2346="SBJ","CB","?"))</f>
        <v> </v>
      </c>
      <c r="I2346" s="25" t="str">
        <f>IF(OR(E2346="",E2346="!!!",F2346="NEW"),"",INDEX(B2345:B$2,-1+SUMPRODUCT(MAX(ROW(E2345:E$2)*(E2346=E2345:E$2)))))</f>
        <v> </v>
      </c>
      <c r="J2346" s="25" t="str">
        <f>IF(OR(E2346="",E2346="!!!",F2346="NEW"),"",COUNTBLANK(OFFSET(A$1,,,SUMPRODUCT(MAX(ROW(E$2:E2346)*(E2346=E$2:E2346)))))-COUNTBLANK(OFFSET(A$1,,,SUMPRODUCT(MAX(ROW(E$1:E2345)*(E2=E$1:E2345))))))</f>
        <v> </v>
      </c>
      <c r="K2346" s="25" t="str">
        <f>IF(OR(E2346="",E2346="!!!",F2346="NEW"),"",INDEX(J$1:J2345,SUMPRODUCT(MAX(ROW(E$1:E2345)*(E2346=E$1:E2345)))))</f>
        <v> </v>
      </c>
      <c r="L2346" s="26"/>
    </row>
    <row r="2347" spans="1:12">
      <c r="A2347" s="20"/>
    </row>
    <row r="2348" spans="1:12">
      <c r="A2348" s="20" t="s">
        <v>1875</v>
      </c>
    </row>
    <row r="2349" spans="1:12">
      <c r="A2349" s="20" t="s">
        <v>1876</v>
      </c>
      <c r="E2349" s="21">
        <f>IF(D2349="?OLD","!!!","")</f>
        <v/>
      </c>
      <c r="F2349" s="22" t="str">
        <f>IF(OR(E2349="",E2349="!!!"),"",IF(NOT(ISNA(VLOOKUP(E2349,E$1:E2348,1,FALSE()))),"OLD",IF(AND(E2349&lt;&gt;"",E2349&lt;&gt;"!!!"),"NEW","")))</f>
        <v> </v>
      </c>
      <c r="G2349" s="23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4" t="str">
        <f>IF(J2349&lt;&gt;1,"",IF(I2349="SBJ","CB","?"))</f>
        <v> </v>
      </c>
      <c r="I2349" s="25" t="str">
        <f>IF(OR(E2349="",E2349="!!!",F2349="NEW"),"",INDEX(B2348:B$2,-1+SUMPRODUCT(MAX(ROW(E2348:E$2)*(E2349=E2348:E$2)))))</f>
        <v> </v>
      </c>
      <c r="J2349" s="25" t="str">
        <f>IF(OR(E2349="",E2349="!!!",F2349="NEW"),"",COUNTBLANK(OFFSET(A$1,,,SUMPRODUCT(MAX(ROW(E$2:E2349)*(E2349=E$2:E2349)))))-COUNTBLANK(OFFSET(A$1,,,SUMPRODUCT(MAX(ROW(E$1:E2348)*(E2=E$1:E2348))))))</f>
        <v> </v>
      </c>
      <c r="K2349" s="25" t="str">
        <f>IF(OR(E2349="",E2349="!!!",F2349="NEW"),"",INDEX(J$1:J2348,SUMPRODUCT(MAX(ROW(E$1:E2348)*(E2349=E$1:E2348)))))</f>
        <v> </v>
      </c>
      <c r="L2349" s="26"/>
    </row>
    <row r="2350" spans="1:12">
      <c r="A2350" s="20" t="s">
        <v>1057</v>
      </c>
      <c r="E2350" s="21">
        <f>IF(D2350="?OLD","!!!","")</f>
        <v/>
      </c>
      <c r="F2350" s="22" t="str">
        <f>IF(OR(E2350="",E2350="!!!"),"",IF(NOT(ISNA(VLOOKUP(E2350,E$1:E2349,1,FALSE()))),"OLD",IF(AND(E2350&lt;&gt;"",E2350&lt;&gt;"!!!"),"NEW","")))</f>
        <v> </v>
      </c>
      <c r="G2350" s="23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4" t="str">
        <f>IF(J2350&lt;&gt;1,"",IF(I2350="SBJ","CB","?"))</f>
        <v> </v>
      </c>
      <c r="I2350" s="25" t="str">
        <f>IF(OR(E2350="",E2350="!!!",F2350="NEW"),"",INDEX(B2349:B$2,-1+SUMPRODUCT(MAX(ROW(E2349:E$2)*(E2350=E2349:E$2)))))</f>
        <v> </v>
      </c>
      <c r="J2350" s="25" t="str">
        <f>IF(OR(E2350="",E2350="!!!",F2350="NEW"),"",COUNTBLANK(OFFSET(A$1,,,SUMPRODUCT(MAX(ROW(E$2:E2350)*(E2350=E$2:E2350)))))-COUNTBLANK(OFFSET(A$1,,,SUMPRODUCT(MAX(ROW(E$1:E2349)*(E2=E$1:E2349))))))</f>
        <v> </v>
      </c>
      <c r="K2350" s="25" t="str">
        <f>IF(OR(E2350="",E2350="!!!",F2350="NEW"),"",INDEX(J$1:J2349,SUMPRODUCT(MAX(ROW(E$1:E2349)*(E2350=E$1:E2349)))))</f>
        <v> </v>
      </c>
      <c r="L2350" s="26"/>
    </row>
    <row r="2351" spans="1:12">
      <c r="A2351" s="20" t="s">
        <v>1123</v>
      </c>
      <c r="E2351" s="21">
        <f>IF(D2351="?OLD","!!!","")</f>
        <v/>
      </c>
      <c r="F2351" s="22" t="str">
        <f>IF(OR(E2351="",E2351="!!!"),"",IF(NOT(ISNA(VLOOKUP(E2351,E$1:E2350,1,FALSE()))),"OLD",IF(AND(E2351&lt;&gt;"",E2351&lt;&gt;"!!!"),"NEW","")))</f>
        <v> </v>
      </c>
      <c r="G2351" s="23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4" t="str">
        <f>IF(J2351&lt;&gt;1,"",IF(I2351="SBJ","CB","?"))</f>
        <v> </v>
      </c>
      <c r="I2351" s="25" t="str">
        <f>IF(OR(E2351="",E2351="!!!",F2351="NEW"),"",INDEX(B2350:B$2,-1+SUMPRODUCT(MAX(ROW(E2350:E$2)*(E2351=E2350:E$2)))))</f>
        <v> </v>
      </c>
      <c r="J2351" s="25" t="str">
        <f>IF(OR(E2351="",E2351="!!!",F2351="NEW"),"",COUNTBLANK(OFFSET(A$1,,,SUMPRODUCT(MAX(ROW(E$2:E2351)*(E2351=E$2:E2351)))))-COUNTBLANK(OFFSET(A$1,,,SUMPRODUCT(MAX(ROW(E$1:E2350)*(E2=E$1:E2350))))))</f>
        <v> </v>
      </c>
      <c r="K2351" s="25" t="str">
        <f>IF(OR(E2351="",E2351="!!!",F2351="NEW"),"",INDEX(J$1:J2350,SUMPRODUCT(MAX(ROW(E$1:E2350)*(E2351=E$1:E2350)))))</f>
        <v> </v>
      </c>
      <c r="L2351" s="26"/>
    </row>
    <row r="2352" spans="1:12">
      <c r="A2352" s="20" t="s">
        <v>1877</v>
      </c>
      <c r="B2352" s="27" t="s">
        <v>1045</v>
      </c>
      <c r="C2352" s="27" t="s">
        <v>1038</v>
      </c>
      <c r="D2352" s="27" t="s">
        <v>1030</v>
      </c>
      <c r="E2352" s="21">
        <f>IF(D2352="?OLD","!!!","")</f>
        <v/>
      </c>
      <c r="F2352" s="22" t="str">
        <f>IF(OR(E2352="",E2352="!!!"),"",IF(NOT(ISNA(VLOOKUP(E2352,E$1:E2351,1,FALSE()))),"OLD",IF(AND(E2352&lt;&gt;"",E2352&lt;&gt;"!!!"),"NEW","")))</f>
        <v> </v>
      </c>
      <c r="G2352" s="23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4" t="str">
        <f>IF(J2352&lt;&gt;1,"",IF(I2352="SBJ","CB","?"))</f>
        <v> </v>
      </c>
      <c r="I2352" s="25" t="str">
        <f>IF(OR(E2352="",E2352="!!!",F2352="NEW"),"",INDEX(B2351:B$2,-1+SUMPRODUCT(MAX(ROW(E2351:E$2)*(E2352=E2351:E$2)))))</f>
        <v> </v>
      </c>
      <c r="J2352" s="25" t="str">
        <f>IF(OR(E2352="",E2352="!!!",F2352="NEW"),"",COUNTBLANK(OFFSET(A$1,,,SUMPRODUCT(MAX(ROW(E$2:E2352)*(E2352=E$2:E2352)))))-COUNTBLANK(OFFSET(A$1,,,SUMPRODUCT(MAX(ROW(E$1:E2351)*(E2=E$1:E2351))))))</f>
        <v> </v>
      </c>
      <c r="K2352" s="25" t="str">
        <f>IF(OR(E2352="",E2352="!!!",F2352="NEW"),"",INDEX(J$1:J2351,SUMPRODUCT(MAX(ROW(E$1:E2351)*(E2352=E$1:E2351)))))</f>
        <v> </v>
      </c>
      <c r="L2352" s="26"/>
    </row>
    <row r="2353" spans="1:12">
      <c r="A2353" s="20" t="s">
        <v>1878</v>
      </c>
      <c r="E2353" s="21">
        <f>IF(D2353="?OLD","!!!","")</f>
        <v/>
      </c>
      <c r="F2353" s="22" t="str">
        <f>IF(OR(E2353="",E2353="!!!"),"",IF(NOT(ISNA(VLOOKUP(E2353,E$1:E2352,1,FALSE()))),"OLD",IF(AND(E2353&lt;&gt;"",E2353&lt;&gt;"!!!"),"NEW","")))</f>
        <v> </v>
      </c>
      <c r="G2353" s="23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4" t="str">
        <f>IF(J2353&lt;&gt;1,"",IF(I2353="SBJ","CB","?"))</f>
        <v> </v>
      </c>
      <c r="I2353" s="25" t="str">
        <f>IF(OR(E2353="",E2353="!!!",F2353="NEW"),"",INDEX(B2352:B$2,-1+SUMPRODUCT(MAX(ROW(E2352:E$2)*(E2353=E2352:E$2)))))</f>
        <v> </v>
      </c>
      <c r="J2353" s="25" t="str">
        <f>IF(OR(E2353="",E2353="!!!",F2353="NEW"),"",COUNTBLANK(OFFSET(A$1,,,SUMPRODUCT(MAX(ROW(E$2:E2353)*(E2353=E$2:E2353)))))-COUNTBLANK(OFFSET(A$1,,,SUMPRODUCT(MAX(ROW(E$1:E2352)*(E2=E$1:E2352))))))</f>
        <v> </v>
      </c>
      <c r="K2353" s="25" t="str">
        <f>IF(OR(E2353="",E2353="!!!",F2353="NEW"),"",INDEX(J$1:J2352,SUMPRODUCT(MAX(ROW(E$1:E2352)*(E2353=E$1:E2352)))))</f>
        <v> </v>
      </c>
      <c r="L2353" s="26"/>
    </row>
    <row r="2354" spans="1:12">
      <c r="A2354" s="20" t="s">
        <v>1879</v>
      </c>
      <c r="E2354" s="21">
        <f>IF(D2354="?OLD","!!!","")</f>
        <v/>
      </c>
      <c r="F2354" s="22" t="str">
        <f>IF(OR(E2354="",E2354="!!!"),"",IF(NOT(ISNA(VLOOKUP(E2354,E$1:E2353,1,FALSE()))),"OLD",IF(AND(E2354&lt;&gt;"",E2354&lt;&gt;"!!!"),"NEW","")))</f>
        <v> </v>
      </c>
      <c r="G2354" s="23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4" t="str">
        <f>IF(J2354&lt;&gt;1,"",IF(I2354="SBJ","CB","?"))</f>
        <v> </v>
      </c>
      <c r="I2354" s="25" t="str">
        <f>IF(OR(E2354="",E2354="!!!",F2354="NEW"),"",INDEX(B2353:B$2,-1+SUMPRODUCT(MAX(ROW(E2353:E$2)*(E2354=E2353:E$2)))))</f>
        <v> </v>
      </c>
      <c r="J2354" s="25" t="str">
        <f>IF(OR(E2354="",E2354="!!!",F2354="NEW"),"",COUNTBLANK(OFFSET(A$1,,,SUMPRODUCT(MAX(ROW(E$2:E2354)*(E2354=E$2:E2354)))))-COUNTBLANK(OFFSET(A$1,,,SUMPRODUCT(MAX(ROW(E$1:E2353)*(E2=E$1:E2353))))))</f>
        <v> </v>
      </c>
      <c r="K2354" s="25" t="str">
        <f>IF(OR(E2354="",E2354="!!!",F2354="NEW"),"",INDEX(J$1:J2353,SUMPRODUCT(MAX(ROW(E$1:E2353)*(E2354=E$1:E2353)))))</f>
        <v> </v>
      </c>
      <c r="L2354" s="26"/>
    </row>
    <row r="2355" spans="1:12">
      <c r="A2355" s="20" t="s">
        <v>1160</v>
      </c>
      <c r="E2355" s="21">
        <f>IF(D2355="?OLD","!!!","")</f>
        <v/>
      </c>
      <c r="F2355" s="22" t="str">
        <f>IF(OR(E2355="",E2355="!!!"),"",IF(NOT(ISNA(VLOOKUP(E2355,E$1:E2354,1,FALSE()))),"OLD",IF(AND(E2355&lt;&gt;"",E2355&lt;&gt;"!!!"),"NEW","")))</f>
        <v> </v>
      </c>
      <c r="G2355" s="23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4" t="str">
        <f>IF(J2355&lt;&gt;1,"",IF(I2355="SBJ","CB","?"))</f>
        <v> </v>
      </c>
      <c r="I2355" s="25" t="str">
        <f>IF(OR(E2355="",E2355="!!!",F2355="NEW"),"",INDEX(B2354:B$2,-1+SUMPRODUCT(MAX(ROW(E2354:E$2)*(E2355=E2354:E$2)))))</f>
        <v> </v>
      </c>
      <c r="J2355" s="25" t="str">
        <f>IF(OR(E2355="",E2355="!!!",F2355="NEW"),"",COUNTBLANK(OFFSET(A$1,,,SUMPRODUCT(MAX(ROW(E$2:E2355)*(E2355=E$2:E2355)))))-COUNTBLANK(OFFSET(A$1,,,SUMPRODUCT(MAX(ROW(E$1:E2354)*(E2=E$1:E2354))))))</f>
        <v> </v>
      </c>
      <c r="K2355" s="25" t="str">
        <f>IF(OR(E2355="",E2355="!!!",F2355="NEW"),"",INDEX(J$1:J2354,SUMPRODUCT(MAX(ROW(E$1:E2354)*(E2355=E$1:E2354)))))</f>
        <v> </v>
      </c>
      <c r="L2355" s="26"/>
    </row>
    <row r="2356" spans="1:12">
      <c r="A2356" s="20" t="s">
        <v>1880</v>
      </c>
      <c r="B2356" s="27" t="s">
        <v>1041</v>
      </c>
      <c r="C2356" s="27" t="s">
        <v>1021</v>
      </c>
      <c r="E2356" s="21">
        <f>IF(D2356="?OLD","!!!","")</f>
        <v/>
      </c>
      <c r="F2356" s="22" t="str">
        <f>IF(OR(E2356="",E2356="!!!"),"",IF(NOT(ISNA(VLOOKUP(E2356,E$1:E2355,1,FALSE()))),"OLD",IF(AND(E2356&lt;&gt;"",E2356&lt;&gt;"!!!"),"NEW","")))</f>
        <v> </v>
      </c>
      <c r="G2356" s="23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4" t="str">
        <f>IF(J2356&lt;&gt;1,"",IF(I2356="SBJ","CB","?"))</f>
        <v> </v>
      </c>
      <c r="I2356" s="25" t="str">
        <f>IF(OR(E2356="",E2356="!!!",F2356="NEW"),"",INDEX(B2355:B$2,-1+SUMPRODUCT(MAX(ROW(E2355:E$2)*(E2356=E2355:E$2)))))</f>
        <v> </v>
      </c>
      <c r="J2356" s="25" t="str">
        <f>IF(OR(E2356="",E2356="!!!",F2356="NEW"),"",COUNTBLANK(OFFSET(A$1,,,SUMPRODUCT(MAX(ROW(E$2:E2356)*(E2356=E$2:E2356)))))-COUNTBLANK(OFFSET(A$1,,,SUMPRODUCT(MAX(ROW(E$1:E2355)*(E2=E$1:E2355))))))</f>
        <v> </v>
      </c>
      <c r="K2356" s="25" t="str">
        <f>IF(OR(E2356="",E2356="!!!",F2356="NEW"),"",INDEX(J$1:J2355,SUMPRODUCT(MAX(ROW(E$1:E2355)*(E2356=E$1:E2355)))))</f>
        <v> </v>
      </c>
      <c r="L2356" s="26"/>
    </row>
    <row r="2357" spans="1:12">
      <c r="A2357" s="20" t="s">
        <v>1034</v>
      </c>
      <c r="E2357" s="21">
        <f>IF(D2357="?OLD","!!!","")</f>
        <v/>
      </c>
      <c r="F2357" s="22" t="str">
        <f>IF(OR(E2357="",E2357="!!!"),"",IF(NOT(ISNA(VLOOKUP(E2357,E$1:E2356,1,FALSE()))),"OLD",IF(AND(E2357&lt;&gt;"",E2357&lt;&gt;"!!!"),"NEW","")))</f>
        <v> </v>
      </c>
      <c r="G2357" s="23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4" t="str">
        <f>IF(J2357&lt;&gt;1,"",IF(I2357="SBJ","CB","?"))</f>
        <v> </v>
      </c>
      <c r="I2357" s="25" t="str">
        <f>IF(OR(E2357="",E2357="!!!",F2357="NEW"),"",INDEX(B2356:B$2,-1+SUMPRODUCT(MAX(ROW(E2356:E$2)*(E2357=E2356:E$2)))))</f>
        <v> </v>
      </c>
      <c r="J2357" s="25" t="str">
        <f>IF(OR(E2357="",E2357="!!!",F2357="NEW"),"",COUNTBLANK(OFFSET(A$1,,,SUMPRODUCT(MAX(ROW(E$2:E2357)*(E2357=E$2:E2357)))))-COUNTBLANK(OFFSET(A$1,,,SUMPRODUCT(MAX(ROW(E$1:E2356)*(E2=E$1:E2356))))))</f>
        <v> </v>
      </c>
      <c r="K2357" s="25" t="str">
        <f>IF(OR(E2357="",E2357="!!!",F2357="NEW"),"",INDEX(J$1:J2356,SUMPRODUCT(MAX(ROW(E$1:E2356)*(E2357=E$1:E2356)))))</f>
        <v> </v>
      </c>
      <c r="L2357" s="26"/>
    </row>
    <row r="2358" spans="1:12">
      <c r="A2358" s="20" t="s">
        <v>1881</v>
      </c>
      <c r="E2358" s="21">
        <f>IF(D2358="?OLD","!!!","")</f>
        <v/>
      </c>
      <c r="F2358" s="22" t="str">
        <f>IF(OR(E2358="",E2358="!!!"),"",IF(NOT(ISNA(VLOOKUP(E2358,E$1:E2357,1,FALSE()))),"OLD",IF(AND(E2358&lt;&gt;"",E2358&lt;&gt;"!!!"),"NEW","")))</f>
        <v> </v>
      </c>
      <c r="G2358" s="23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4" t="str">
        <f>IF(J2358&lt;&gt;1,"",IF(I2358="SBJ","CB","?"))</f>
        <v> </v>
      </c>
      <c r="I2358" s="25" t="str">
        <f>IF(OR(E2358="",E2358="!!!",F2358="NEW"),"",INDEX(B2357:B$2,-1+SUMPRODUCT(MAX(ROW(E2357:E$2)*(E2358=E2357:E$2)))))</f>
        <v> </v>
      </c>
      <c r="J2358" s="25" t="str">
        <f>IF(OR(E2358="",E2358="!!!",F2358="NEW"),"",COUNTBLANK(OFFSET(A$1,,,SUMPRODUCT(MAX(ROW(E$2:E2358)*(E2358=E$2:E2358)))))-COUNTBLANK(OFFSET(A$1,,,SUMPRODUCT(MAX(ROW(E$1:E2357)*(E2=E$1:E2357))))))</f>
        <v> </v>
      </c>
      <c r="K2358" s="25" t="str">
        <f>IF(OR(E2358="",E2358="!!!",F2358="NEW"),"",INDEX(J$1:J2357,SUMPRODUCT(MAX(ROW(E$1:E2357)*(E2358=E$1:E2357)))))</f>
        <v> </v>
      </c>
      <c r="L2358" s="26"/>
    </row>
    <row r="2359" spans="1:12">
      <c r="A2359" s="20" t="s">
        <v>1131</v>
      </c>
      <c r="E2359" s="21">
        <f>IF(D2359="?OLD","!!!","")</f>
        <v/>
      </c>
      <c r="F2359" s="22" t="str">
        <f>IF(OR(E2359="",E2359="!!!"),"",IF(NOT(ISNA(VLOOKUP(E2359,E$1:E2358,1,FALSE()))),"OLD",IF(AND(E2359&lt;&gt;"",E2359&lt;&gt;"!!!"),"NEW","")))</f>
        <v> </v>
      </c>
      <c r="G2359" s="23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4" t="str">
        <f>IF(J2359&lt;&gt;1,"",IF(I2359="SBJ","CB","?"))</f>
        <v> </v>
      </c>
      <c r="I2359" s="25" t="str">
        <f>IF(OR(E2359="",E2359="!!!",F2359="NEW"),"",INDEX(B2358:B$2,-1+SUMPRODUCT(MAX(ROW(E2358:E$2)*(E2359=E2358:E$2)))))</f>
        <v> </v>
      </c>
      <c r="J2359" s="25" t="str">
        <f>IF(OR(E2359="",E2359="!!!",F2359="NEW"),"",COUNTBLANK(OFFSET(A$1,,,SUMPRODUCT(MAX(ROW(E$2:E2359)*(E2359=E$2:E2359)))))-COUNTBLANK(OFFSET(A$1,,,SUMPRODUCT(MAX(ROW(E$1:E2358)*(E2=E$1:E2358))))))</f>
        <v> </v>
      </c>
      <c r="K2359" s="25" t="str">
        <f>IF(OR(E2359="",E2359="!!!",F2359="NEW"),"",INDEX(J$1:J2358,SUMPRODUCT(MAX(ROW(E$1:E2358)*(E2359=E$1:E2358)))))</f>
        <v> </v>
      </c>
      <c r="L2359" s="26"/>
    </row>
    <row r="2360" spans="1:12">
      <c r="A2360" s="20" t="s">
        <v>1160</v>
      </c>
      <c r="E2360" s="21">
        <f>IF(D2360="?OLD","!!!","")</f>
        <v/>
      </c>
      <c r="F2360" s="22" t="str">
        <f>IF(OR(E2360="",E2360="!!!"),"",IF(NOT(ISNA(VLOOKUP(E2360,E$1:E2359,1,FALSE()))),"OLD",IF(AND(E2360&lt;&gt;"",E2360&lt;&gt;"!!!"),"NEW","")))</f>
        <v> </v>
      </c>
      <c r="G2360" s="23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4" t="str">
        <f>IF(J2360&lt;&gt;1,"",IF(I2360="SBJ","CB","?"))</f>
        <v> </v>
      </c>
      <c r="I2360" s="25" t="str">
        <f>IF(OR(E2360="",E2360="!!!",F2360="NEW"),"",INDEX(B2359:B$2,-1+SUMPRODUCT(MAX(ROW(E2359:E$2)*(E2360=E2359:E$2)))))</f>
        <v> </v>
      </c>
      <c r="J2360" s="25" t="str">
        <f>IF(OR(E2360="",E2360="!!!",F2360="NEW"),"",COUNTBLANK(OFFSET(A$1,,,SUMPRODUCT(MAX(ROW(E$2:E2360)*(E2360=E$2:E2360)))))-COUNTBLANK(OFFSET(A$1,,,SUMPRODUCT(MAX(ROW(E$1:E2359)*(E2=E$1:E2359))))))</f>
        <v> </v>
      </c>
      <c r="K2360" s="25" t="str">
        <f>IF(OR(E2360="",E2360="!!!",F2360="NEW"),"",INDEX(J$1:J2359,SUMPRODUCT(MAX(ROW(E$1:E2359)*(E2360=E$1:E2359)))))</f>
        <v> </v>
      </c>
      <c r="L2360" s="26"/>
    </row>
    <row r="2361" spans="1:12">
      <c r="A2361" s="20" t="s">
        <v>1882</v>
      </c>
      <c r="B2361" s="27" t="s">
        <v>1045</v>
      </c>
      <c r="C2361" s="27" t="s">
        <v>1029</v>
      </c>
      <c r="D2361" s="27" t="s">
        <v>1030</v>
      </c>
      <c r="E2361" s="21">
        <f>IF(D2361="?OLD","!!!","")</f>
        <v/>
      </c>
      <c r="F2361" s="22" t="str">
        <f>IF(OR(E2361="",E2361="!!!"),"",IF(NOT(ISNA(VLOOKUP(E2361,E$1:E2360,1,FALSE()))),"OLD",IF(AND(E2361&lt;&gt;"",E2361&lt;&gt;"!!!"),"NEW","")))</f>
        <v> </v>
      </c>
      <c r="G2361" s="23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4" t="str">
        <f>IF(J2361&lt;&gt;1,"",IF(I2361="SBJ","CB","?"))</f>
        <v> </v>
      </c>
      <c r="I2361" s="25" t="str">
        <f>IF(OR(E2361="",E2361="!!!",F2361="NEW"),"",INDEX(B2360:B$2,-1+SUMPRODUCT(MAX(ROW(E2360:E$2)*(E2361=E2360:E$2)))))</f>
        <v> </v>
      </c>
      <c r="J2361" s="25" t="str">
        <f>IF(OR(E2361="",E2361="!!!",F2361="NEW"),"",COUNTBLANK(OFFSET(A$1,,,SUMPRODUCT(MAX(ROW(E$2:E2361)*(E2361=E$2:E2361)))))-COUNTBLANK(OFFSET(A$1,,,SUMPRODUCT(MAX(ROW(E$1:E2360)*(E2=E$1:E2360))))))</f>
        <v> </v>
      </c>
      <c r="K2361" s="25" t="str">
        <f>IF(OR(E2361="",E2361="!!!",F2361="NEW"),"",INDEX(J$1:J2360,SUMPRODUCT(MAX(ROW(E$1:E2360)*(E2361=E$1:E2360)))))</f>
        <v> </v>
      </c>
      <c r="L2361" s="26"/>
    </row>
    <row r="2362" spans="1:12">
      <c r="A2362" s="20" t="s">
        <v>1074</v>
      </c>
      <c r="E2362" s="21">
        <f>IF(D2362="?OLD","!!!","")</f>
        <v/>
      </c>
      <c r="F2362" s="22" t="str">
        <f>IF(OR(E2362="",E2362="!!!"),"",IF(NOT(ISNA(VLOOKUP(E2362,E$1:E2361,1,FALSE()))),"OLD",IF(AND(E2362&lt;&gt;"",E2362&lt;&gt;"!!!"),"NEW","")))</f>
        <v> </v>
      </c>
      <c r="G2362" s="23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4" t="str">
        <f>IF(J2362&lt;&gt;1,"",IF(I2362="SBJ","CB","?"))</f>
        <v> </v>
      </c>
      <c r="I2362" s="25" t="str">
        <f>IF(OR(E2362="",E2362="!!!",F2362="NEW"),"",INDEX(B2361:B$2,-1+SUMPRODUCT(MAX(ROW(E2361:E$2)*(E2362=E2361:E$2)))))</f>
        <v> </v>
      </c>
      <c r="J2362" s="25" t="str">
        <f>IF(OR(E2362="",E2362="!!!",F2362="NEW"),"",COUNTBLANK(OFFSET(A$1,,,SUMPRODUCT(MAX(ROW(E$2:E2362)*(E2362=E$2:E2362)))))-COUNTBLANK(OFFSET(A$1,,,SUMPRODUCT(MAX(ROW(E$1:E2361)*(E2=E$1:E2361))))))</f>
        <v> </v>
      </c>
      <c r="K2362" s="25" t="str">
        <f>IF(OR(E2362="",E2362="!!!",F2362="NEW"),"",INDEX(J$1:J2361,SUMPRODUCT(MAX(ROW(E$1:E2361)*(E2362=E$1:E2361)))))</f>
        <v> </v>
      </c>
      <c r="L2362" s="26"/>
    </row>
    <row r="2363" spans="1:12">
      <c r="A2363" s="20" t="s">
        <v>1883</v>
      </c>
      <c r="B2363" s="27" t="s">
        <v>1079</v>
      </c>
      <c r="C2363" s="27" t="s">
        <v>1033</v>
      </c>
      <c r="D2363" s="27" t="s">
        <v>1030</v>
      </c>
      <c r="E2363" s="21">
        <f>IF(D2363="?OLD","!!!","")</f>
        <v/>
      </c>
      <c r="F2363" s="22" t="str">
        <f>IF(OR(E2363="",E2363="!!!"),"",IF(NOT(ISNA(VLOOKUP(E2363,E$1:E2362,1,FALSE()))),"OLD",IF(AND(E2363&lt;&gt;"",E2363&lt;&gt;"!!!"),"NEW","")))</f>
        <v> </v>
      </c>
      <c r="G2363" s="23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4" t="str">
        <f>IF(J2363&lt;&gt;1,"",IF(I2363="SBJ","CB","?"))</f>
        <v> </v>
      </c>
      <c r="I2363" s="25" t="str">
        <f>IF(OR(E2363="",E2363="!!!",F2363="NEW"),"",INDEX(B2362:B$2,-1+SUMPRODUCT(MAX(ROW(E2362:E$2)*(E2363=E2362:E$2)))))</f>
        <v> </v>
      </c>
      <c r="J2363" s="25" t="str">
        <f>IF(OR(E2363="",E2363="!!!",F2363="NEW"),"",COUNTBLANK(OFFSET(A$1,,,SUMPRODUCT(MAX(ROW(E$2:E2363)*(E2363=E$2:E2363)))))-COUNTBLANK(OFFSET(A$1,,,SUMPRODUCT(MAX(ROW(E$1:E2362)*(E2=E$1:E2362))))))</f>
        <v> </v>
      </c>
      <c r="K2363" s="25" t="str">
        <f>IF(OR(E2363="",E2363="!!!",F2363="NEW"),"",INDEX(J$1:J2362,SUMPRODUCT(MAX(ROW(E$1:E2362)*(E2363=E$1:E2362)))))</f>
        <v> </v>
      </c>
      <c r="L2363" s="26"/>
    </row>
    <row r="2364" spans="1:12">
      <c r="A2364" s="20" t="s">
        <v>1083</v>
      </c>
      <c r="E2364" s="21">
        <f>IF(D2364="?OLD","!!!","")</f>
        <v/>
      </c>
      <c r="F2364" s="22" t="str">
        <f>IF(OR(E2364="",E2364="!!!"),"",IF(NOT(ISNA(VLOOKUP(E2364,E$1:E2363,1,FALSE()))),"OLD",IF(AND(E2364&lt;&gt;"",E2364&lt;&gt;"!!!"),"NEW","")))</f>
        <v> </v>
      </c>
      <c r="G2364" s="23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4" t="str">
        <f>IF(J2364&lt;&gt;1,"",IF(I2364="SBJ","CB","?"))</f>
        <v> </v>
      </c>
      <c r="I2364" s="25" t="str">
        <f>IF(OR(E2364="",E2364="!!!",F2364="NEW"),"",INDEX(B2363:B$2,-1+SUMPRODUCT(MAX(ROW(E2363:E$2)*(E2364=E2363:E$2)))))</f>
        <v> </v>
      </c>
      <c r="J2364" s="25" t="str">
        <f>IF(OR(E2364="",E2364="!!!",F2364="NEW"),"",COUNTBLANK(OFFSET(A$1,,,SUMPRODUCT(MAX(ROW(E$2:E2364)*(E2364=E$2:E2364)))))-COUNTBLANK(OFFSET(A$1,,,SUMPRODUCT(MAX(ROW(E$1:E2363)*(E2=E$1:E2363))))))</f>
        <v> </v>
      </c>
      <c r="K2364" s="25" t="str">
        <f>IF(OR(E2364="",E2364="!!!",F2364="NEW"),"",INDEX(J$1:J2363,SUMPRODUCT(MAX(ROW(E$1:E2363)*(E2364=E$1:E2363)))))</f>
        <v> </v>
      </c>
      <c r="L2364" s="26"/>
    </row>
    <row r="2365" spans="1:12">
      <c r="A2365" s="20" t="s">
        <v>1309</v>
      </c>
      <c r="E2365" s="21">
        <f>IF(D2365="?OLD","!!!","")</f>
        <v/>
      </c>
      <c r="F2365" s="22" t="str">
        <f>IF(OR(E2365="",E2365="!!!"),"",IF(NOT(ISNA(VLOOKUP(E2365,E$1:E2364,1,FALSE()))),"OLD",IF(AND(E2365&lt;&gt;"",E2365&lt;&gt;"!!!"),"NEW","")))</f>
        <v> </v>
      </c>
      <c r="G2365" s="23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4" t="str">
        <f>IF(J2365&lt;&gt;1,"",IF(I2365="SBJ","CB","?"))</f>
        <v> </v>
      </c>
      <c r="I2365" s="25" t="str">
        <f>IF(OR(E2365="",E2365="!!!",F2365="NEW"),"",INDEX(B2364:B$2,-1+SUMPRODUCT(MAX(ROW(E2364:E$2)*(E2365=E2364:E$2)))))</f>
        <v> </v>
      </c>
      <c r="J2365" s="25" t="str">
        <f>IF(OR(E2365="",E2365="!!!",F2365="NEW"),"",COUNTBLANK(OFFSET(A$1,,,SUMPRODUCT(MAX(ROW(E$2:E2365)*(E2365=E$2:E2365)))))-COUNTBLANK(OFFSET(A$1,,,SUMPRODUCT(MAX(ROW(E$1:E2364)*(E2=E$1:E2364))))))</f>
        <v> </v>
      </c>
      <c r="K2365" s="25" t="str">
        <f>IF(OR(E2365="",E2365="!!!",F2365="NEW"),"",INDEX(J$1:J2364,SUMPRODUCT(MAX(ROW(E$1:E2364)*(E2365=E$1:E2364)))))</f>
        <v> </v>
      </c>
      <c r="L2365" s="26"/>
    </row>
    <row r="2366" spans="1:12">
      <c r="A2366" s="20" t="s">
        <v>1884</v>
      </c>
      <c r="E2366" s="21">
        <f>IF(D2366="?OLD","!!!","")</f>
        <v/>
      </c>
      <c r="F2366" s="22" t="str">
        <f>IF(OR(E2366="",E2366="!!!"),"",IF(NOT(ISNA(VLOOKUP(E2366,E$1:E2365,1,FALSE()))),"OLD",IF(AND(E2366&lt;&gt;"",E2366&lt;&gt;"!!!"),"NEW","")))</f>
        <v> </v>
      </c>
      <c r="G2366" s="23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4" t="str">
        <f>IF(J2366&lt;&gt;1,"",IF(I2366="SBJ","CB","?"))</f>
        <v> </v>
      </c>
      <c r="I2366" s="25" t="str">
        <f>IF(OR(E2366="",E2366="!!!",F2366="NEW"),"",INDEX(B2365:B$2,-1+SUMPRODUCT(MAX(ROW(E2365:E$2)*(E2366=E2365:E$2)))))</f>
        <v> </v>
      </c>
      <c r="J2366" s="25" t="str">
        <f>IF(OR(E2366="",E2366="!!!",F2366="NEW"),"",COUNTBLANK(OFFSET(A$1,,,SUMPRODUCT(MAX(ROW(E$2:E2366)*(E2366=E$2:E2366)))))-COUNTBLANK(OFFSET(A$1,,,SUMPRODUCT(MAX(ROW(E$1:E2365)*(E2=E$1:E2365))))))</f>
        <v> </v>
      </c>
      <c r="K2366" s="25" t="str">
        <f>IF(OR(E2366="",E2366="!!!",F2366="NEW"),"",INDEX(J$1:J2365,SUMPRODUCT(MAX(ROW(E$1:E2365)*(E2366=E$1:E2365)))))</f>
        <v> </v>
      </c>
      <c r="L2366" s="26"/>
    </row>
    <row r="2367" spans="1:12">
      <c r="A2367" s="20" t="s">
        <v>1074</v>
      </c>
      <c r="E2367" s="21">
        <f>IF(D2367="?OLD","!!!","")</f>
        <v/>
      </c>
      <c r="F2367" s="22" t="str">
        <f>IF(OR(E2367="",E2367="!!!"),"",IF(NOT(ISNA(VLOOKUP(E2367,E$1:E2366,1,FALSE()))),"OLD",IF(AND(E2367&lt;&gt;"",E2367&lt;&gt;"!!!"),"NEW","")))</f>
        <v> </v>
      </c>
      <c r="G2367" s="23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4" t="str">
        <f>IF(J2367&lt;&gt;1,"",IF(I2367="SBJ","CB","?"))</f>
        <v> </v>
      </c>
      <c r="I2367" s="25" t="str">
        <f>IF(OR(E2367="",E2367="!!!",F2367="NEW"),"",INDEX(B2366:B$2,-1+SUMPRODUCT(MAX(ROW(E2366:E$2)*(E2367=E2366:E$2)))))</f>
        <v> </v>
      </c>
      <c r="J2367" s="25" t="str">
        <f>IF(OR(E2367="",E2367="!!!",F2367="NEW"),"",COUNTBLANK(OFFSET(A$1,,,SUMPRODUCT(MAX(ROW(E$2:E2367)*(E2367=E$2:E2367)))))-COUNTBLANK(OFFSET(A$1,,,SUMPRODUCT(MAX(ROW(E$1:E2366)*(E2=E$1:E2366))))))</f>
        <v> </v>
      </c>
      <c r="K2367" s="25" t="str">
        <f>IF(OR(E2367="",E2367="!!!",F2367="NEW"),"",INDEX(J$1:J2366,SUMPRODUCT(MAX(ROW(E$1:E2366)*(E2367=E$1:E2366)))))</f>
        <v> </v>
      </c>
      <c r="L2367" s="26"/>
    </row>
    <row r="2368" spans="1:12">
      <c r="A2368" s="20" t="s">
        <v>1885</v>
      </c>
      <c r="B2368" s="27" t="s">
        <v>1079</v>
      </c>
      <c r="C2368" s="27" t="s">
        <v>1033</v>
      </c>
      <c r="D2368" s="27" t="s">
        <v>1030</v>
      </c>
      <c r="E2368" s="21">
        <f>IF(D2368="?OLD","!!!","")</f>
        <v/>
      </c>
      <c r="F2368" s="22" t="str">
        <f>IF(OR(E2368="",E2368="!!!"),"",IF(NOT(ISNA(VLOOKUP(E2368,E$1:E2367,1,FALSE()))),"OLD",IF(AND(E2368&lt;&gt;"",E2368&lt;&gt;"!!!"),"NEW","")))</f>
        <v> </v>
      </c>
      <c r="G2368" s="23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4" t="str">
        <f>IF(J2368&lt;&gt;1,"",IF(I2368="SBJ","CB","?"))</f>
        <v> </v>
      </c>
      <c r="I2368" s="25" t="str">
        <f>IF(OR(E2368="",E2368="!!!",F2368="NEW"),"",INDEX(B2367:B$2,-1+SUMPRODUCT(MAX(ROW(E2367:E$2)*(E2368=E2367:E$2)))))</f>
        <v> </v>
      </c>
      <c r="J2368" s="25" t="str">
        <f>IF(OR(E2368="",E2368="!!!",F2368="NEW"),"",COUNTBLANK(OFFSET(A$1,,,SUMPRODUCT(MAX(ROW(E$2:E2368)*(E2368=E$2:E2368)))))-COUNTBLANK(OFFSET(A$1,,,SUMPRODUCT(MAX(ROW(E$1:E2367)*(E2=E$1:E2367))))))</f>
        <v> </v>
      </c>
      <c r="K2368" s="25" t="str">
        <f>IF(OR(E2368="",E2368="!!!",F2368="NEW"),"",INDEX(J$1:J2367,SUMPRODUCT(MAX(ROW(E$1:E2367)*(E2368=E$1:E2367)))))</f>
        <v> </v>
      </c>
      <c r="L2368" s="26"/>
    </row>
    <row r="2369" spans="1:12">
      <c r="A2369" s="20" t="s">
        <v>1886</v>
      </c>
      <c r="B2369" s="27" t="s">
        <v>1066</v>
      </c>
      <c r="C2369" s="27" t="s">
        <v>1033</v>
      </c>
      <c r="D2369" s="27" t="s">
        <v>1030</v>
      </c>
      <c r="E2369" s="21">
        <f>IF(D2369="?OLD","!!!","")</f>
        <v/>
      </c>
      <c r="F2369" s="22" t="str">
        <f>IF(OR(E2369="",E2369="!!!"),"",IF(NOT(ISNA(VLOOKUP(E2369,E$1:E2368,1,FALSE()))),"OLD",IF(AND(E2369&lt;&gt;"",E2369&lt;&gt;"!!!"),"NEW","")))</f>
        <v> </v>
      </c>
      <c r="G2369" s="23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4" t="str">
        <f>IF(J2369&lt;&gt;1,"",IF(I2369="SBJ","CB","?"))</f>
        <v> </v>
      </c>
      <c r="I2369" s="25" t="str">
        <f>IF(OR(E2369="",E2369="!!!",F2369="NEW"),"",INDEX(B2368:B$2,-1+SUMPRODUCT(MAX(ROW(E2368:E$2)*(E2369=E2368:E$2)))))</f>
        <v> </v>
      </c>
      <c r="J2369" s="25" t="str">
        <f>IF(OR(E2369="",E2369="!!!",F2369="NEW"),"",COUNTBLANK(OFFSET(A$1,,,SUMPRODUCT(MAX(ROW(E$2:E2369)*(E2369=E$2:E2369)))))-COUNTBLANK(OFFSET(A$1,,,SUMPRODUCT(MAX(ROW(E$1:E2368)*(E2=E$1:E2368))))))</f>
        <v> </v>
      </c>
      <c r="K2369" s="25" t="str">
        <f>IF(OR(E2369="",E2369="!!!",F2369="NEW"),"",INDEX(J$1:J2368,SUMPRODUCT(MAX(ROW(E$1:E2368)*(E2369=E$1:E2368)))))</f>
        <v> </v>
      </c>
      <c r="L2369" s="26"/>
    </row>
    <row r="2370" spans="1:12">
      <c r="A2370" s="20" t="s">
        <v>1022</v>
      </c>
      <c r="E2370" s="21">
        <f>IF(D2370="?OLD","!!!","")</f>
        <v/>
      </c>
      <c r="F2370" s="22" t="str">
        <f>IF(OR(E2370="",E2370="!!!"),"",IF(NOT(ISNA(VLOOKUP(E2370,E$1:E2369,1,FALSE()))),"OLD",IF(AND(E2370&lt;&gt;"",E2370&lt;&gt;"!!!"),"NEW","")))</f>
        <v> </v>
      </c>
      <c r="G2370" s="23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4" t="str">
        <f>IF(J2370&lt;&gt;1,"",IF(I2370="SBJ","CB","?"))</f>
        <v> </v>
      </c>
      <c r="I2370" s="25" t="str">
        <f>IF(OR(E2370="",E2370="!!!",F2370="NEW"),"",INDEX(B2369:B$2,-1+SUMPRODUCT(MAX(ROW(E2369:E$2)*(E2370=E2369:E$2)))))</f>
        <v> </v>
      </c>
      <c r="J2370" s="25" t="str">
        <f>IF(OR(E2370="",E2370="!!!",F2370="NEW"),"",COUNTBLANK(OFFSET(A$1,,,SUMPRODUCT(MAX(ROW(E$2:E2370)*(E2370=E$2:E2370)))))-COUNTBLANK(OFFSET(A$1,,,SUMPRODUCT(MAX(ROW(E$1:E2369)*(E2=E$1:E2369))))))</f>
        <v> </v>
      </c>
      <c r="K2370" s="25" t="str">
        <f>IF(OR(E2370="",E2370="!!!",F2370="NEW"),"",INDEX(J$1:J2369,SUMPRODUCT(MAX(ROW(E$1:E2369)*(E2370=E$1:E2369)))))</f>
        <v> </v>
      </c>
      <c r="L2370" s="26"/>
    </row>
    <row r="2371" spans="1:12">
      <c r="A2371" s="20" t="s">
        <v>1380</v>
      </c>
      <c r="E2371" s="21">
        <f>IF(D2371="?OLD","!!!","")</f>
        <v/>
      </c>
      <c r="F2371" s="22" t="str">
        <f>IF(OR(E2371="",E2371="!!!"),"",IF(NOT(ISNA(VLOOKUP(E2371,E$1:E2370,1,FALSE()))),"OLD",IF(AND(E2371&lt;&gt;"",E2371&lt;&gt;"!!!"),"NEW","")))</f>
        <v> </v>
      </c>
      <c r="G2371" s="23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4" t="str">
        <f>IF(J2371&lt;&gt;1,"",IF(I2371="SBJ","CB","?"))</f>
        <v> </v>
      </c>
      <c r="I2371" s="25" t="str">
        <f>IF(OR(E2371="",E2371="!!!",F2371="NEW"),"",INDEX(B2370:B$2,-1+SUMPRODUCT(MAX(ROW(E2370:E$2)*(E2371=E2370:E$2)))))</f>
        <v> </v>
      </c>
      <c r="J2371" s="25" t="str">
        <f>IF(OR(E2371="",E2371="!!!",F2371="NEW"),"",COUNTBLANK(OFFSET(A$1,,,SUMPRODUCT(MAX(ROW(E$2:E2371)*(E2371=E$2:E2371)))))-COUNTBLANK(OFFSET(A$1,,,SUMPRODUCT(MAX(ROW(E$1:E2370)*(E2=E$1:E2370))))))</f>
        <v> </v>
      </c>
      <c r="K2371" s="25" t="str">
        <f>IF(OR(E2371="",E2371="!!!",F2371="NEW"),"",INDEX(J$1:J2370,SUMPRODUCT(MAX(ROW(E$1:E2370)*(E2371=E$1:E2370)))))</f>
        <v> </v>
      </c>
      <c r="L2371" s="26"/>
    </row>
    <row r="2372" spans="1:12">
      <c r="A2372" s="20" t="s">
        <v>1034</v>
      </c>
      <c r="E2372" s="21">
        <f>IF(D2372="?OLD","!!!","")</f>
        <v/>
      </c>
      <c r="F2372" s="22" t="str">
        <f>IF(OR(E2372="",E2372="!!!"),"",IF(NOT(ISNA(VLOOKUP(E2372,E$1:E2371,1,FALSE()))),"OLD",IF(AND(E2372&lt;&gt;"",E2372&lt;&gt;"!!!"),"NEW","")))</f>
        <v> </v>
      </c>
      <c r="G2372" s="23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4" t="str">
        <f>IF(J2372&lt;&gt;1,"",IF(I2372="SBJ","CB","?"))</f>
        <v> </v>
      </c>
      <c r="I2372" s="25" t="str">
        <f>IF(OR(E2372="",E2372="!!!",F2372="NEW"),"",INDEX(B2371:B$2,-1+SUMPRODUCT(MAX(ROW(E2371:E$2)*(E2372=E2371:E$2)))))</f>
        <v> </v>
      </c>
      <c r="J2372" s="25" t="str">
        <f>IF(OR(E2372="",E2372="!!!",F2372="NEW"),"",COUNTBLANK(OFFSET(A$1,,,SUMPRODUCT(MAX(ROW(E$2:E2372)*(E2372=E$2:E2372)))))-COUNTBLANK(OFFSET(A$1,,,SUMPRODUCT(MAX(ROW(E$1:E2371)*(E2=E$1:E2371))))))</f>
        <v> </v>
      </c>
      <c r="K2372" s="25" t="str">
        <f>IF(OR(E2372="",E2372="!!!",F2372="NEW"),"",INDEX(J$1:J2371,SUMPRODUCT(MAX(ROW(E$1:E2371)*(E2372=E$1:E2371)))))</f>
        <v> </v>
      </c>
      <c r="L2372" s="26"/>
    </row>
    <row r="2373" spans="1:12">
      <c r="A2373" s="20" t="s">
        <v>1887</v>
      </c>
      <c r="E2373" s="21">
        <f>IF(D2373="?OLD","!!!","")</f>
        <v/>
      </c>
      <c r="F2373" s="22" t="str">
        <f>IF(OR(E2373="",E2373="!!!"),"",IF(NOT(ISNA(VLOOKUP(E2373,E$1:E2372,1,FALSE()))),"OLD",IF(AND(E2373&lt;&gt;"",E2373&lt;&gt;"!!!"),"NEW","")))</f>
        <v> </v>
      </c>
      <c r="G2373" s="23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4" t="str">
        <f>IF(J2373&lt;&gt;1,"",IF(I2373="SBJ","CB","?"))</f>
        <v> </v>
      </c>
      <c r="I2373" s="25" t="str">
        <f>IF(OR(E2373="",E2373="!!!",F2373="NEW"),"",INDEX(B2372:B$2,-1+SUMPRODUCT(MAX(ROW(E2372:E$2)*(E2373=E2372:E$2)))))</f>
        <v> </v>
      </c>
      <c r="J2373" s="25" t="str">
        <f>IF(OR(E2373="",E2373="!!!",F2373="NEW"),"",COUNTBLANK(OFFSET(A$1,,,SUMPRODUCT(MAX(ROW(E$2:E2373)*(E2373=E$2:E2373)))))-COUNTBLANK(OFFSET(A$1,,,SUMPRODUCT(MAX(ROW(E$1:E2372)*(E2=E$1:E2372))))))</f>
        <v> </v>
      </c>
      <c r="K2373" s="25" t="str">
        <f>IF(OR(E2373="",E2373="!!!",F2373="NEW"),"",INDEX(J$1:J2372,SUMPRODUCT(MAX(ROW(E$1:E2372)*(E2373=E$1:E2372)))))</f>
        <v> </v>
      </c>
      <c r="L2373" s="26"/>
    </row>
    <row r="2374" spans="1:12">
      <c r="A2374" s="20" t="s">
        <v>1071</v>
      </c>
      <c r="E2374" s="21">
        <f>IF(D2374="?OLD","!!!","")</f>
        <v/>
      </c>
      <c r="F2374" s="22" t="str">
        <f>IF(OR(E2374="",E2374="!!!"),"",IF(NOT(ISNA(VLOOKUP(E2374,E$1:E2373,1,FALSE()))),"OLD",IF(AND(E2374&lt;&gt;"",E2374&lt;&gt;"!!!"),"NEW","")))</f>
        <v> </v>
      </c>
      <c r="G2374" s="23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4" t="str">
        <f>IF(J2374&lt;&gt;1,"",IF(I2374="SBJ","CB","?"))</f>
        <v> </v>
      </c>
      <c r="I2374" s="25" t="str">
        <f>IF(OR(E2374="",E2374="!!!",F2374="NEW"),"",INDEX(B2373:B$2,-1+SUMPRODUCT(MAX(ROW(E2373:E$2)*(E2374=E2373:E$2)))))</f>
        <v> </v>
      </c>
      <c r="J2374" s="25" t="str">
        <f>IF(OR(E2374="",E2374="!!!",F2374="NEW"),"",COUNTBLANK(OFFSET(A$1,,,SUMPRODUCT(MAX(ROW(E$2:E2374)*(E2374=E$2:E2374)))))-COUNTBLANK(OFFSET(A$1,,,SUMPRODUCT(MAX(ROW(E$1:E2373)*(E2=E$1:E2373))))))</f>
        <v> </v>
      </c>
      <c r="K2374" s="25" t="str">
        <f>IF(OR(E2374="",E2374="!!!",F2374="NEW"),"",INDEX(J$1:J2373,SUMPRODUCT(MAX(ROW(E$1:E2373)*(E2374=E$1:E2373)))))</f>
        <v> </v>
      </c>
      <c r="L2374" s="26"/>
    </row>
    <row r="2375" spans="1:12">
      <c r="A2375" s="20" t="s">
        <v>1888</v>
      </c>
      <c r="B2375" s="27" t="s">
        <v>1079</v>
      </c>
      <c r="C2375" s="27" t="s">
        <v>1033</v>
      </c>
      <c r="D2375" s="27" t="s">
        <v>1030</v>
      </c>
      <c r="E2375" s="21">
        <f>IF(D2375="?OLD","!!!","")</f>
        <v/>
      </c>
      <c r="F2375" s="22" t="str">
        <f>IF(OR(E2375="",E2375="!!!"),"",IF(NOT(ISNA(VLOOKUP(E2375,E$1:E2374,1,FALSE()))),"OLD",IF(AND(E2375&lt;&gt;"",E2375&lt;&gt;"!!!"),"NEW","")))</f>
        <v> </v>
      </c>
      <c r="G2375" s="23" t="str">
        <f>IF(OR(E2375="",E2375="!!!"),"",IF(OR(J2375=0,AND(J2375=1,K2375=1),AND(J2375=1,I2375="SBJ"),AND(J2375=1,I2375=0)),"?IN_FOCUS",IF(J2375&lt;=2,"?ACTIVATED",IF(J2375&lt;&gt;"","?FAMILIAR",IF(F2375="NEW",IF(ISNA(VLOOKUP(E2375,#REF!,1,FALSE())),"?TYPE_IDENTIFIABLE","?REFERENTIAL"),"_")))))</f>
        <v> </v>
      </c>
      <c r="H2375" s="24" t="str">
        <f>IF(J2375&lt;&gt;1,"",IF(I2375="SBJ","CB","?"))</f>
        <v> </v>
      </c>
      <c r="I2375" s="25" t="str">
        <f>IF(OR(E2375="",E2375="!!!",F2375="NEW"),"",INDEX(B2374:B$2,-1+SUMPRODUCT(MAX(ROW(E2374:E$2)*(E2375=E2374:E$2)))))</f>
        <v> </v>
      </c>
      <c r="J2375" s="25" t="str">
        <f>IF(OR(E2375="",E2375="!!!",F2375="NEW"),"",COUNTBLANK(OFFSET(A$1,,,SUMPRODUCT(MAX(ROW(E$2:E2375)*(E2375=E$2:E2375)))))-COUNTBLANK(OFFSET(A$1,,,SUMPRODUCT(MAX(ROW(E$1:E2374)*(E2=E$1:E2374))))))</f>
        <v> </v>
      </c>
      <c r="K2375" s="25" t="str">
        <f>IF(OR(E2375="",E2375="!!!",F2375="NEW"),"",INDEX(J$1:J2374,SUMPRODUCT(MAX(ROW(E$1:E2374)*(E2375=E$1:E2374)))))</f>
        <v> </v>
      </c>
      <c r="L2375" s="26"/>
    </row>
    <row r="2376" spans="1:12">
      <c r="A2376" s="20" t="s">
        <v>135</v>
      </c>
      <c r="E2376" s="21">
        <f>IF(D2376="?OLD","!!!","")</f>
        <v/>
      </c>
      <c r="F2376" s="22" t="str">
        <f>IF(OR(E2376="",E2376="!!!"),"",IF(NOT(ISNA(VLOOKUP(E2376,E$1:E2375,1,FALSE()))),"OLD",IF(AND(E2376&lt;&gt;"",E2376&lt;&gt;"!!!"),"NEW","")))</f>
        <v> </v>
      </c>
      <c r="G2376" s="23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4" t="str">
        <f>IF(J2376&lt;&gt;1,"",IF(I2376="SBJ","CB","?"))</f>
        <v> </v>
      </c>
      <c r="I2376" s="25" t="str">
        <f>IF(OR(E2376="",E2376="!!!",F2376="NEW"),"",INDEX(B2375:B$2,-1+SUMPRODUCT(MAX(ROW(E2375:E$2)*(E2376=E2375:E$2)))))</f>
        <v> </v>
      </c>
      <c r="J2376" s="25" t="str">
        <f>IF(OR(E2376="",E2376="!!!",F2376="NEW"),"",COUNTBLANK(OFFSET(A$1,,,SUMPRODUCT(MAX(ROW(E$2:E2376)*(E2376=E$2:E2376)))))-COUNTBLANK(OFFSET(A$1,,,SUMPRODUCT(MAX(ROW(E$1:E2375)*(E2=E$1:E2375))))))</f>
        <v> </v>
      </c>
      <c r="K2376" s="25" t="str">
        <f>IF(OR(E2376="",E2376="!!!",F2376="NEW"),"",INDEX(J$1:J2375,SUMPRODUCT(MAX(ROW(E$1:E2375)*(E2376=E$1:E2375)))))</f>
        <v> </v>
      </c>
      <c r="L2376" s="26"/>
    </row>
    <row r="2377" spans="1:12">
      <c r="A2377" s="20"/>
    </row>
    <row r="2378" spans="1:12">
      <c r="A2378" s="20" t="s">
        <v>1889</v>
      </c>
    </row>
    <row r="2379" spans="1:12">
      <c r="A2379" s="20" t="s">
        <v>1890</v>
      </c>
      <c r="E2379" s="21">
        <f>IF(D2379="?OLD","!!!","")</f>
        <v/>
      </c>
      <c r="F2379" s="22" t="str">
        <f>IF(OR(E2379="",E2379="!!!"),"",IF(NOT(ISNA(VLOOKUP(E2379,E$1:E2378,1,FALSE()))),"OLD",IF(AND(E2379&lt;&gt;"",E2379&lt;&gt;"!!!"),"NEW","")))</f>
        <v> </v>
      </c>
      <c r="G2379" s="23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4" t="str">
        <f>IF(J2379&lt;&gt;1,"",IF(I2379="SBJ","CB","?"))</f>
        <v> </v>
      </c>
      <c r="I2379" s="25" t="str">
        <f>IF(OR(E2379="",E2379="!!!",F2379="NEW"),"",INDEX(B2378:B$2,-1+SUMPRODUCT(MAX(ROW(E2378:E$2)*(E2379=E2378:E$2)))))</f>
        <v> </v>
      </c>
      <c r="J2379" s="25" t="str">
        <f>IF(OR(E2379="",E2379="!!!",F2379="NEW"),"",COUNTBLANK(OFFSET(A$1,,,SUMPRODUCT(MAX(ROW(E$2:E2379)*(E2379=E$2:E2379)))))-COUNTBLANK(OFFSET(A$1,,,SUMPRODUCT(MAX(ROW(E$1:E2378)*(E2=E$1:E2378))))))</f>
        <v> </v>
      </c>
      <c r="K2379" s="25" t="str">
        <f>IF(OR(E2379="",E2379="!!!",F2379="NEW"),"",INDEX(J$1:J2378,SUMPRODUCT(MAX(ROW(E$1:E2378)*(E2379=E$1:E2378)))))</f>
        <v> </v>
      </c>
      <c r="L2379" s="26"/>
    </row>
    <row r="2380" spans="1:12">
      <c r="A2380" s="20" t="s">
        <v>1891</v>
      </c>
      <c r="E2380" s="21">
        <f>IF(D2380="?OLD","!!!","")</f>
        <v/>
      </c>
      <c r="F2380" s="22" t="str">
        <f>IF(OR(E2380="",E2380="!!!"),"",IF(NOT(ISNA(VLOOKUP(E2380,E$1:E2379,1,FALSE()))),"OLD",IF(AND(E2380&lt;&gt;"",E2380&lt;&gt;"!!!"),"NEW","")))</f>
        <v> </v>
      </c>
      <c r="G2380" s="23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4" t="str">
        <f>IF(J2380&lt;&gt;1,"",IF(I2380="SBJ","CB","?"))</f>
        <v> </v>
      </c>
      <c r="I2380" s="25" t="str">
        <f>IF(OR(E2380="",E2380="!!!",F2380="NEW"),"",INDEX(B2379:B$2,-1+SUMPRODUCT(MAX(ROW(E2379:E$2)*(E2380=E2379:E$2)))))</f>
        <v> </v>
      </c>
      <c r="J2380" s="25" t="str">
        <f>IF(OR(E2380="",E2380="!!!",F2380="NEW"),"",COUNTBLANK(OFFSET(A$1,,,SUMPRODUCT(MAX(ROW(E$2:E2380)*(E2380=E$2:E2380)))))-COUNTBLANK(OFFSET(A$1,,,SUMPRODUCT(MAX(ROW(E$1:E2379)*(E2=E$1:E2379))))))</f>
        <v> </v>
      </c>
      <c r="K2380" s="25" t="str">
        <f>IF(OR(E2380="",E2380="!!!",F2380="NEW"),"",INDEX(J$1:J2379,SUMPRODUCT(MAX(ROW(E$1:E2379)*(E2380=E$1:E2379)))))</f>
        <v> </v>
      </c>
      <c r="L2380" s="26"/>
    </row>
    <row r="2381" spans="1:12">
      <c r="A2381" s="20" t="s">
        <v>1635</v>
      </c>
      <c r="E2381" s="21">
        <f>IF(D2381="?OLD","!!!","")</f>
        <v/>
      </c>
      <c r="F2381" s="22" t="str">
        <f>IF(OR(E2381="",E2381="!!!"),"",IF(NOT(ISNA(VLOOKUP(E2381,E$1:E2380,1,FALSE()))),"OLD",IF(AND(E2381&lt;&gt;"",E2381&lt;&gt;"!!!"),"NEW","")))</f>
        <v> </v>
      </c>
      <c r="G2381" s="23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4" t="str">
        <f>IF(J2381&lt;&gt;1,"",IF(I2381="SBJ","CB","?"))</f>
        <v> </v>
      </c>
      <c r="I2381" s="25" t="str">
        <f>IF(OR(E2381="",E2381="!!!",F2381="NEW"),"",INDEX(B2380:B$2,-1+SUMPRODUCT(MAX(ROW(E2380:E$2)*(E2381=E2380:E$2)))))</f>
        <v> </v>
      </c>
      <c r="J2381" s="25" t="str">
        <f>IF(OR(E2381="",E2381="!!!",F2381="NEW"),"",COUNTBLANK(OFFSET(A$1,,,SUMPRODUCT(MAX(ROW(E$2:E2381)*(E2381=E$2:E2381)))))-COUNTBLANK(OFFSET(A$1,,,SUMPRODUCT(MAX(ROW(E$1:E2380)*(E2=E$1:E2380))))))</f>
        <v> </v>
      </c>
      <c r="K2381" s="25" t="str">
        <f>IF(OR(E2381="",E2381="!!!",F2381="NEW"),"",INDEX(J$1:J2380,SUMPRODUCT(MAX(ROW(E$1:E2380)*(E2381=E$1:E2380)))))</f>
        <v> </v>
      </c>
      <c r="L2381" s="26"/>
    </row>
    <row r="2382" spans="1:12">
      <c r="A2382" s="20" t="s">
        <v>1160</v>
      </c>
      <c r="E2382" s="21">
        <f>IF(D2382="?OLD","!!!","")</f>
        <v/>
      </c>
      <c r="F2382" s="22" t="str">
        <f>IF(OR(E2382="",E2382="!!!"),"",IF(NOT(ISNA(VLOOKUP(E2382,E$1:E2381,1,FALSE()))),"OLD",IF(AND(E2382&lt;&gt;"",E2382&lt;&gt;"!!!"),"NEW","")))</f>
        <v> </v>
      </c>
      <c r="G2382" s="23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4" t="str">
        <f>IF(J2382&lt;&gt;1,"",IF(I2382="SBJ","CB","?"))</f>
        <v> </v>
      </c>
      <c r="I2382" s="25" t="str">
        <f>IF(OR(E2382="",E2382="!!!",F2382="NEW"),"",INDEX(B2381:B$2,-1+SUMPRODUCT(MAX(ROW(E2381:E$2)*(E2382=E2381:E$2)))))</f>
        <v> </v>
      </c>
      <c r="J2382" s="25" t="str">
        <f>IF(OR(E2382="",E2382="!!!",F2382="NEW"),"",COUNTBLANK(OFFSET(A$1,,,SUMPRODUCT(MAX(ROW(E$2:E2382)*(E2382=E$2:E2382)))))-COUNTBLANK(OFFSET(A$1,,,SUMPRODUCT(MAX(ROW(E$1:E2381)*(E2=E$1:E2381))))))</f>
        <v> </v>
      </c>
      <c r="K2382" s="25" t="str">
        <f>IF(OR(E2382="",E2382="!!!",F2382="NEW"),"",INDEX(J$1:J2381,SUMPRODUCT(MAX(ROW(E$1:E2381)*(E2382=E$1:E2381)))))</f>
        <v> </v>
      </c>
      <c r="L2382" s="26"/>
    </row>
    <row r="2383" spans="1:12">
      <c r="A2383" s="20" t="s">
        <v>1854</v>
      </c>
      <c r="B2383" s="27" t="s">
        <v>1045</v>
      </c>
      <c r="C2383" s="27" t="s">
        <v>1029</v>
      </c>
      <c r="D2383" s="27" t="s">
        <v>1030</v>
      </c>
      <c r="E2383" s="21">
        <f>IF(D2383="?OLD","!!!","")</f>
        <v/>
      </c>
      <c r="F2383" s="22" t="str">
        <f>IF(OR(E2383="",E2383="!!!"),"",IF(NOT(ISNA(VLOOKUP(E2383,E$1:E2382,1,FALSE()))),"OLD",IF(AND(E2383&lt;&gt;"",E2383&lt;&gt;"!!!"),"NEW","")))</f>
        <v> </v>
      </c>
      <c r="G2383" s="23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4" t="str">
        <f>IF(J2383&lt;&gt;1,"",IF(I2383="SBJ","CB","?"))</f>
        <v> </v>
      </c>
      <c r="I2383" s="25" t="str">
        <f>IF(OR(E2383="",E2383="!!!",F2383="NEW"),"",INDEX(B2382:B$2,-1+SUMPRODUCT(MAX(ROW(E2382:E$2)*(E2383=E2382:E$2)))))</f>
        <v> </v>
      </c>
      <c r="J2383" s="25" t="str">
        <f>IF(OR(E2383="",E2383="!!!",F2383="NEW"),"",COUNTBLANK(OFFSET(A$1,,,SUMPRODUCT(MAX(ROW(E$2:E2383)*(E2383=E$2:E2383)))))-COUNTBLANK(OFFSET(A$1,,,SUMPRODUCT(MAX(ROW(E$1:E2382)*(E2=E$1:E2382))))))</f>
        <v> </v>
      </c>
      <c r="K2383" s="25" t="str">
        <f>IF(OR(E2383="",E2383="!!!",F2383="NEW"),"",INDEX(J$1:J2382,SUMPRODUCT(MAX(ROW(E$1:E2382)*(E2383=E$1:E2382)))))</f>
        <v> </v>
      </c>
      <c r="L2383" s="26"/>
    </row>
    <row r="2384" spans="1:12">
      <c r="A2384" s="20" t="s">
        <v>1892</v>
      </c>
      <c r="E2384" s="21">
        <f>IF(D2384="?OLD","!!!","")</f>
        <v/>
      </c>
      <c r="F2384" s="22" t="str">
        <f>IF(OR(E2384="",E2384="!!!"),"",IF(NOT(ISNA(VLOOKUP(E2384,E$1:E2383,1,FALSE()))),"OLD",IF(AND(E2384&lt;&gt;"",E2384&lt;&gt;"!!!"),"NEW","")))</f>
        <v> </v>
      </c>
      <c r="G2384" s="23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4" t="str">
        <f>IF(J2384&lt;&gt;1,"",IF(I2384="SBJ","CB","?"))</f>
        <v> </v>
      </c>
      <c r="I2384" s="25" t="str">
        <f>IF(OR(E2384="",E2384="!!!",F2384="NEW"),"",INDEX(B2383:B$2,-1+SUMPRODUCT(MAX(ROW(E2383:E$2)*(E2384=E2383:E$2)))))</f>
        <v> </v>
      </c>
      <c r="J2384" s="25" t="str">
        <f>IF(OR(E2384="",E2384="!!!",F2384="NEW"),"",COUNTBLANK(OFFSET(A$1,,,SUMPRODUCT(MAX(ROW(E$2:E2384)*(E2384=E$2:E2384)))))-COUNTBLANK(OFFSET(A$1,,,SUMPRODUCT(MAX(ROW(E$1:E2383)*(E2=E$1:E2383))))))</f>
        <v> </v>
      </c>
      <c r="K2384" s="25" t="str">
        <f>IF(OR(E2384="",E2384="!!!",F2384="NEW"),"",INDEX(J$1:J2383,SUMPRODUCT(MAX(ROW(E$1:E2383)*(E2384=E$1:E2383)))))</f>
        <v> </v>
      </c>
      <c r="L2384" s="26"/>
    </row>
    <row r="2385" spans="1:12">
      <c r="A2385" s="20" t="s">
        <v>1893</v>
      </c>
      <c r="B2385" s="27" t="s">
        <v>1079</v>
      </c>
      <c r="C2385" s="27" t="s">
        <v>1015</v>
      </c>
      <c r="E2385" s="21">
        <f>IF(D2385="?OLD","!!!","")</f>
        <v/>
      </c>
      <c r="F2385" s="22" t="str">
        <f>IF(OR(E2385="",E2385="!!!"),"",IF(NOT(ISNA(VLOOKUP(E2385,E$1:E2384,1,FALSE()))),"OLD",IF(AND(E2385&lt;&gt;"",E2385&lt;&gt;"!!!"),"NEW","")))</f>
        <v> </v>
      </c>
      <c r="G2385" s="23" t="str">
        <f>IF(OR(E2385="",E2385="!!!"),"",IF(OR(J2385=0,AND(J2385=1,K2385=1),AND(J2385=1,I2385="SBJ"),AND(J2385=1,I2385=0)),"?IN_FOCUS",IF(J2385&lt;=2,"?ACTIVATED",IF(J2385&lt;&gt;"","?FAMILIAR",IF(F2385="NEW",IF(ISNA(VLOOKUP(E2385,#REF!,1,FALSE())),"?TYPE_IDENTIFIABLE","?REFERENTIAL"),"_")))))</f>
        <v> </v>
      </c>
      <c r="H2385" s="24" t="str">
        <f>IF(J2385&lt;&gt;1,"",IF(I2385="SBJ","CB","?"))</f>
        <v> </v>
      </c>
      <c r="I2385" s="25" t="str">
        <f>IF(OR(E2385="",E2385="!!!",F2385="NEW"),"",INDEX(B2384:B$2,-1+SUMPRODUCT(MAX(ROW(E2384:E$2)*(E2385=E2384:E$2)))))</f>
        <v> </v>
      </c>
      <c r="J2385" s="25" t="str">
        <f>IF(OR(E2385="",E2385="!!!",F2385="NEW"),"",COUNTBLANK(OFFSET(A$1,,,SUMPRODUCT(MAX(ROW(E$2:E2385)*(E2385=E$2:E2385)))))-COUNTBLANK(OFFSET(A$1,,,SUMPRODUCT(MAX(ROW(E$1:E2384)*(E2=E$1:E2384))))))</f>
        <v> </v>
      </c>
      <c r="K2385" s="25" t="str">
        <f>IF(OR(E2385="",E2385="!!!",F2385="NEW"),"",INDEX(J$1:J2384,SUMPRODUCT(MAX(ROW(E$1:E2384)*(E2385=E$1:E2384)))))</f>
        <v> </v>
      </c>
      <c r="L2385" s="26"/>
    </row>
    <row r="2386" spans="1:12">
      <c r="A2386" s="20" t="s">
        <v>1022</v>
      </c>
      <c r="E2386" s="21">
        <f>IF(D2386="?OLD","!!!","")</f>
        <v/>
      </c>
      <c r="F2386" s="22" t="str">
        <f>IF(OR(E2386="",E2386="!!!"),"",IF(NOT(ISNA(VLOOKUP(E2386,E$1:E2385,1,FALSE()))),"OLD",IF(AND(E2386&lt;&gt;"",E2386&lt;&gt;"!!!"),"NEW","")))</f>
        <v> </v>
      </c>
      <c r="G2386" s="23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4" t="str">
        <f>IF(J2386&lt;&gt;1,"",IF(I2386="SBJ","CB","?"))</f>
        <v> </v>
      </c>
      <c r="I2386" s="25" t="str">
        <f>IF(OR(E2386="",E2386="!!!",F2386="NEW"),"",INDEX(B2385:B$2,-1+SUMPRODUCT(MAX(ROW(E2385:E$2)*(E2386=E2385:E$2)))))</f>
        <v> </v>
      </c>
      <c r="J2386" s="25" t="str">
        <f>IF(OR(E2386="",E2386="!!!",F2386="NEW"),"",COUNTBLANK(OFFSET(A$1,,,SUMPRODUCT(MAX(ROW(E$2:E2386)*(E2386=E$2:E2386)))))-COUNTBLANK(OFFSET(A$1,,,SUMPRODUCT(MAX(ROW(E$1:E2385)*(E2=E$1:E2385))))))</f>
        <v> </v>
      </c>
      <c r="K2386" s="25" t="str">
        <f>IF(OR(E2386="",E2386="!!!",F2386="NEW"),"",INDEX(J$1:J2385,SUMPRODUCT(MAX(ROW(E$1:E2385)*(E2386=E$1:E2385)))))</f>
        <v> </v>
      </c>
      <c r="L2386" s="26"/>
    </row>
    <row r="2387" spans="1:12">
      <c r="A2387" s="20" t="s">
        <v>1894</v>
      </c>
      <c r="E2387" s="21">
        <f>IF(D2387="?OLD","!!!","")</f>
        <v/>
      </c>
      <c r="F2387" s="22" t="str">
        <f>IF(OR(E2387="",E2387="!!!"),"",IF(NOT(ISNA(VLOOKUP(E2387,E$1:E2386,1,FALSE()))),"OLD",IF(AND(E2387&lt;&gt;"",E2387&lt;&gt;"!!!"),"NEW","")))</f>
        <v> </v>
      </c>
      <c r="G2387" s="23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4" t="str">
        <f>IF(J2387&lt;&gt;1,"",IF(I2387="SBJ","CB","?"))</f>
        <v> </v>
      </c>
      <c r="I2387" s="25" t="str">
        <f>IF(OR(E2387="",E2387="!!!",F2387="NEW"),"",INDEX(B2386:B$2,-1+SUMPRODUCT(MAX(ROW(E2386:E$2)*(E2387=E2386:E$2)))))</f>
        <v> </v>
      </c>
      <c r="J2387" s="25" t="str">
        <f>IF(OR(E2387="",E2387="!!!",F2387="NEW"),"",COUNTBLANK(OFFSET(A$1,,,SUMPRODUCT(MAX(ROW(E$2:E2387)*(E2387=E$2:E2387)))))-COUNTBLANK(OFFSET(A$1,,,SUMPRODUCT(MAX(ROW(E$1:E2386)*(E2=E$1:E2386))))))</f>
        <v> </v>
      </c>
      <c r="K2387" s="25" t="str">
        <f>IF(OR(E2387="",E2387="!!!",F2387="NEW"),"",INDEX(J$1:J2386,SUMPRODUCT(MAX(ROW(E$1:E2386)*(E2387=E$1:E2386)))))</f>
        <v> </v>
      </c>
      <c r="L2387" s="26"/>
    </row>
    <row r="2388" spans="1:12">
      <c r="A2388" s="20" t="s">
        <v>1018</v>
      </c>
      <c r="E2388" s="21">
        <f>IF(D2388="?OLD","!!!","")</f>
        <v/>
      </c>
      <c r="F2388" s="22" t="str">
        <f>IF(OR(E2388="",E2388="!!!"),"",IF(NOT(ISNA(VLOOKUP(E2388,E$1:E2387,1,FALSE()))),"OLD",IF(AND(E2388&lt;&gt;"",E2388&lt;&gt;"!!!"),"NEW","")))</f>
        <v> </v>
      </c>
      <c r="G2388" s="23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4" t="str">
        <f>IF(J2388&lt;&gt;1,"",IF(I2388="SBJ","CB","?"))</f>
        <v> </v>
      </c>
      <c r="I2388" s="25" t="str">
        <f>IF(OR(E2388="",E2388="!!!",F2388="NEW"),"",INDEX(B2387:B$2,-1+SUMPRODUCT(MAX(ROW(E2387:E$2)*(E2388=E2387:E$2)))))</f>
        <v> </v>
      </c>
      <c r="J2388" s="25" t="str">
        <f>IF(OR(E2388="",E2388="!!!",F2388="NEW"),"",COUNTBLANK(OFFSET(A$1,,,SUMPRODUCT(MAX(ROW(E$2:E2388)*(E2388=E$2:E2388)))))-COUNTBLANK(OFFSET(A$1,,,SUMPRODUCT(MAX(ROW(E$1:E2387)*(E2=E$1:E2387))))))</f>
        <v> </v>
      </c>
      <c r="K2388" s="25" t="str">
        <f>IF(OR(E2388="",E2388="!!!",F2388="NEW"),"",INDEX(J$1:J2387,SUMPRODUCT(MAX(ROW(E$1:E2387)*(E2388=E$1:E2387)))))</f>
        <v> </v>
      </c>
      <c r="L2388" s="26"/>
    </row>
    <row r="2389" spans="1:12">
      <c r="A2389" s="20" t="s">
        <v>1019</v>
      </c>
      <c r="B2389" s="27" t="s">
        <v>1069</v>
      </c>
      <c r="C2389" s="27" t="s">
        <v>1021</v>
      </c>
      <c r="E2389" s="21">
        <f>IF(D2389="?OLD","!!!","")</f>
        <v/>
      </c>
      <c r="F2389" s="22" t="str">
        <f>IF(OR(E2389="",E2389="!!!"),"",IF(NOT(ISNA(VLOOKUP(E2389,E$1:E2388,1,FALSE()))),"OLD",IF(AND(E2389&lt;&gt;"",E2389&lt;&gt;"!!!"),"NEW","")))</f>
        <v> </v>
      </c>
      <c r="G2389" s="23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4" t="str">
        <f>IF(J2389&lt;&gt;1,"",IF(I2389="SBJ","CB","?"))</f>
        <v> </v>
      </c>
      <c r="I2389" s="25" t="str">
        <f>IF(OR(E2389="",E2389="!!!",F2389="NEW"),"",INDEX(B2388:B$2,-1+SUMPRODUCT(MAX(ROW(E2388:E$2)*(E2389=E2388:E$2)))))</f>
        <v> </v>
      </c>
      <c r="J2389" s="25" t="str">
        <f>IF(OR(E2389="",E2389="!!!",F2389="NEW"),"",COUNTBLANK(OFFSET(A$1,,,SUMPRODUCT(MAX(ROW(E$2:E2389)*(E2389=E$2:E2389)))))-COUNTBLANK(OFFSET(A$1,,,SUMPRODUCT(MAX(ROW(E$1:E2388)*(E2=E$1:E2388))))))</f>
        <v> </v>
      </c>
      <c r="K2389" s="25" t="str">
        <f>IF(OR(E2389="",E2389="!!!",F2389="NEW"),"",INDEX(J$1:J2388,SUMPRODUCT(MAX(ROW(E$1:E2388)*(E2389=E$1:E2388)))))</f>
        <v> </v>
      </c>
      <c r="L2389" s="26"/>
    </row>
    <row r="2390" spans="1:12">
      <c r="A2390" s="20" t="s">
        <v>1022</v>
      </c>
      <c r="E2390" s="21">
        <f>IF(D2390="?OLD","!!!","")</f>
        <v/>
      </c>
      <c r="F2390" s="22" t="str">
        <f>IF(OR(E2390="",E2390="!!!"),"",IF(NOT(ISNA(VLOOKUP(E2390,E$1:E2389,1,FALSE()))),"OLD",IF(AND(E2390&lt;&gt;"",E2390&lt;&gt;"!!!"),"NEW","")))</f>
        <v> </v>
      </c>
      <c r="G2390" s="23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4" t="str">
        <f>IF(J2390&lt;&gt;1,"",IF(I2390="SBJ","CB","?"))</f>
        <v> </v>
      </c>
      <c r="I2390" s="25" t="str">
        <f>IF(OR(E2390="",E2390="!!!",F2390="NEW"),"",INDEX(B2389:B$2,-1+SUMPRODUCT(MAX(ROW(E2389:E$2)*(E2390=E2389:E$2)))))</f>
        <v> </v>
      </c>
      <c r="J2390" s="25" t="str">
        <f>IF(OR(E2390="",E2390="!!!",F2390="NEW"),"",COUNTBLANK(OFFSET(A$1,,,SUMPRODUCT(MAX(ROW(E$2:E2390)*(E2390=E$2:E2390)))))-COUNTBLANK(OFFSET(A$1,,,SUMPRODUCT(MAX(ROW(E$1:E2389)*(E2=E$1:E2389))))))</f>
        <v> </v>
      </c>
      <c r="K2390" s="25" t="str">
        <f>IF(OR(E2390="",E2390="!!!",F2390="NEW"),"",INDEX(J$1:J2389,SUMPRODUCT(MAX(ROW(E$1:E2389)*(E2390=E$1:E2389)))))</f>
        <v> </v>
      </c>
      <c r="L2390" s="26"/>
    </row>
    <row r="2391" spans="1:12">
      <c r="A2391" s="20" t="s">
        <v>1895</v>
      </c>
      <c r="E2391" s="21">
        <f>IF(D2391="?OLD","!!!","")</f>
        <v/>
      </c>
      <c r="F2391" s="22" t="str">
        <f>IF(OR(E2391="",E2391="!!!"),"",IF(NOT(ISNA(VLOOKUP(E2391,E$1:E2390,1,FALSE()))),"OLD",IF(AND(E2391&lt;&gt;"",E2391&lt;&gt;"!!!"),"NEW","")))</f>
        <v> </v>
      </c>
      <c r="G2391" s="23" t="str">
        <f>IF(OR(E2391="",E2391="!!!"),"",IF(OR(J2391=0,AND(J2391=1,K2391=1),AND(J2391=1,I2391="SBJ"),AND(J2391=1,I2391=0)),"?IN_FOCUS",IF(J2391&lt;=2,"?ACTIVATED",IF(J2391&lt;&gt;"","?FAMILIAR",IF(F2391="NEW",IF(ISNA(VLOOKUP(E2391,#REF!,1,FALSE())),"?TYPE_IDENTIFIABLE","?REFERENTIAL"),"_")))))</f>
        <v> </v>
      </c>
      <c r="H2391" s="24" t="str">
        <f>IF(J2391&lt;&gt;1,"",IF(I2391="SBJ","CB","?"))</f>
        <v> </v>
      </c>
      <c r="I2391" s="25" t="str">
        <f>IF(OR(E2391="",E2391="!!!",F2391="NEW"),"",INDEX(B2390:B$2,-1+SUMPRODUCT(MAX(ROW(E2390:E$2)*(E2391=E2390:E$2)))))</f>
        <v> </v>
      </c>
      <c r="J2391" s="25" t="str">
        <f>IF(OR(E2391="",E2391="!!!",F2391="NEW"),"",COUNTBLANK(OFFSET(A$1,,,SUMPRODUCT(MAX(ROW(E$2:E2391)*(E2391=E$2:E2391)))))-COUNTBLANK(OFFSET(A$1,,,SUMPRODUCT(MAX(ROW(E$1:E2390)*(E2=E$1:E2390))))))</f>
        <v> </v>
      </c>
      <c r="K2391" s="25" t="str">
        <f>IF(OR(E2391="",E2391="!!!",F2391="NEW"),"",INDEX(J$1:J2390,SUMPRODUCT(MAX(ROW(E$1:E2390)*(E2391=E$1:E2390)))))</f>
        <v> </v>
      </c>
      <c r="L2391" s="26"/>
    </row>
    <row r="2392" spans="1:12">
      <c r="A2392" s="20" t="s">
        <v>1017</v>
      </c>
      <c r="E2392" s="21">
        <f>IF(D2392="?OLD","!!!","")</f>
        <v/>
      </c>
      <c r="F2392" s="22" t="str">
        <f>IF(OR(E2392="",E2392="!!!"),"",IF(NOT(ISNA(VLOOKUP(E2392,E$1:E2391,1,FALSE()))),"OLD",IF(AND(E2392&lt;&gt;"",E2392&lt;&gt;"!!!"),"NEW","")))</f>
        <v> </v>
      </c>
      <c r="G2392" s="23" t="str">
        <f>IF(OR(E2392="",E2392="!!!"),"",IF(OR(J2392=0,AND(J2392=1,K2392=1),AND(J2392=1,I2392="SBJ"),AND(J2392=1,I2392=0)),"?IN_FOCUS",IF(J2392&lt;=2,"?ACTIVATED",IF(J2392&lt;&gt;"","?FAMILIAR",IF(F2392="NEW",IF(ISNA(VLOOKUP(E2392,#REF!,1,FALSE())),"?TYPE_IDENTIFIABLE","?REFERENTIAL"),"_")))))</f>
        <v> </v>
      </c>
      <c r="H2392" s="24" t="str">
        <f>IF(J2392&lt;&gt;1,"",IF(I2392="SBJ","CB","?"))</f>
        <v> </v>
      </c>
      <c r="I2392" s="25" t="str">
        <f>IF(OR(E2392="",E2392="!!!",F2392="NEW"),"",INDEX(B2391:B$2,-1+SUMPRODUCT(MAX(ROW(E2391:E$2)*(E2392=E2391:E$2)))))</f>
        <v> </v>
      </c>
      <c r="J2392" s="25" t="str">
        <f>IF(OR(E2392="",E2392="!!!",F2392="NEW"),"",COUNTBLANK(OFFSET(A$1,,,SUMPRODUCT(MAX(ROW(E$2:E2392)*(E2392=E$2:E2392)))))-COUNTBLANK(OFFSET(A$1,,,SUMPRODUCT(MAX(ROW(E$1:E2391)*(E2=E$1:E2391))))))</f>
        <v> </v>
      </c>
      <c r="K2392" s="25" t="str">
        <f>IF(OR(E2392="",E2392="!!!",F2392="NEW"),"",INDEX(J$1:J2391,SUMPRODUCT(MAX(ROW(E$1:E2391)*(E2392=E$1:E2391)))))</f>
        <v> </v>
      </c>
      <c r="L2392" s="26"/>
    </row>
    <row r="2393" spans="1:12">
      <c r="A2393" s="20" t="s">
        <v>1074</v>
      </c>
      <c r="E2393" s="21">
        <f>IF(D2393="?OLD","!!!","")</f>
        <v/>
      </c>
      <c r="F2393" s="22" t="str">
        <f>IF(OR(E2393="",E2393="!!!"),"",IF(NOT(ISNA(VLOOKUP(E2393,E$1:E2392,1,FALSE()))),"OLD",IF(AND(E2393&lt;&gt;"",E2393&lt;&gt;"!!!"),"NEW","")))</f>
        <v> </v>
      </c>
      <c r="G2393" s="23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4" t="str">
        <f>IF(J2393&lt;&gt;1,"",IF(I2393="SBJ","CB","?"))</f>
        <v> </v>
      </c>
      <c r="I2393" s="25" t="str">
        <f>IF(OR(E2393="",E2393="!!!",F2393="NEW"),"",INDEX(B2392:B$2,-1+SUMPRODUCT(MAX(ROW(E2392:E$2)*(E2393=E2392:E$2)))))</f>
        <v> </v>
      </c>
      <c r="J2393" s="25" t="str">
        <f>IF(OR(E2393="",E2393="!!!",F2393="NEW"),"",COUNTBLANK(OFFSET(A$1,,,SUMPRODUCT(MAX(ROW(E$2:E2393)*(E2393=E$2:E2393)))))-COUNTBLANK(OFFSET(A$1,,,SUMPRODUCT(MAX(ROW(E$1:E2392)*(E2=E$1:E2392))))))</f>
        <v> </v>
      </c>
      <c r="K2393" s="25" t="str">
        <f>IF(OR(E2393="",E2393="!!!",F2393="NEW"),"",INDEX(J$1:J2392,SUMPRODUCT(MAX(ROW(E$1:E2392)*(E2393=E$1:E2392)))))</f>
        <v> </v>
      </c>
      <c r="L2393" s="26"/>
    </row>
    <row r="2394" spans="1:12">
      <c r="A2394" s="20" t="s">
        <v>1896</v>
      </c>
      <c r="B2394" s="27" t="s">
        <v>1079</v>
      </c>
      <c r="C2394" s="27" t="s">
        <v>1033</v>
      </c>
      <c r="D2394" s="27" t="s">
        <v>1030</v>
      </c>
      <c r="E2394" s="21">
        <f>IF(D2394="?OLD","!!!","")</f>
        <v/>
      </c>
      <c r="F2394" s="22" t="str">
        <f>IF(OR(E2394="",E2394="!!!"),"",IF(NOT(ISNA(VLOOKUP(E2394,E$1:E2393,1,FALSE()))),"OLD",IF(AND(E2394&lt;&gt;"",E2394&lt;&gt;"!!!"),"NEW","")))</f>
        <v> </v>
      </c>
      <c r="G2394" s="23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4" t="str">
        <f>IF(J2394&lt;&gt;1,"",IF(I2394="SBJ","CB","?"))</f>
        <v> </v>
      </c>
      <c r="I2394" s="25" t="str">
        <f>IF(OR(E2394="",E2394="!!!",F2394="NEW"),"",INDEX(B2393:B$2,-1+SUMPRODUCT(MAX(ROW(E2393:E$2)*(E2394=E2393:E$2)))))</f>
        <v> </v>
      </c>
      <c r="J2394" s="25" t="str">
        <f>IF(OR(E2394="",E2394="!!!",F2394="NEW"),"",COUNTBLANK(OFFSET(A$1,,,SUMPRODUCT(MAX(ROW(E$2:E2394)*(E2394=E$2:E2394)))))-COUNTBLANK(OFFSET(A$1,,,SUMPRODUCT(MAX(ROW(E$1:E2393)*(E2=E$1:E2393))))))</f>
        <v> </v>
      </c>
      <c r="K2394" s="25" t="str">
        <f>IF(OR(E2394="",E2394="!!!",F2394="NEW"),"",INDEX(J$1:J2393,SUMPRODUCT(MAX(ROW(E$1:E2393)*(E2394=E$1:E2393)))))</f>
        <v> </v>
      </c>
      <c r="L2394" s="26"/>
    </row>
    <row r="2395" spans="1:12">
      <c r="A2395" s="20" t="s">
        <v>1897</v>
      </c>
      <c r="B2395" s="27" t="s">
        <v>1066</v>
      </c>
      <c r="C2395" s="27" t="s">
        <v>1033</v>
      </c>
      <c r="D2395" s="27" t="s">
        <v>1030</v>
      </c>
      <c r="E2395" s="21">
        <f>IF(D2395="?OLD","!!!","")</f>
        <v/>
      </c>
      <c r="F2395" s="22" t="str">
        <f>IF(OR(E2395="",E2395="!!!"),"",IF(NOT(ISNA(VLOOKUP(E2395,E$1:E2394,1,FALSE()))),"OLD",IF(AND(E2395&lt;&gt;"",E2395&lt;&gt;"!!!"),"NEW","")))</f>
        <v> </v>
      </c>
      <c r="G2395" s="23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4" t="str">
        <f>IF(J2395&lt;&gt;1,"",IF(I2395="SBJ","CB","?"))</f>
        <v> </v>
      </c>
      <c r="I2395" s="25" t="str">
        <f>IF(OR(E2395="",E2395="!!!",F2395="NEW"),"",INDEX(B2394:B$2,-1+SUMPRODUCT(MAX(ROW(E2394:E$2)*(E2395=E2394:E$2)))))</f>
        <v> </v>
      </c>
      <c r="J2395" s="25" t="str">
        <f>IF(OR(E2395="",E2395="!!!",F2395="NEW"),"",COUNTBLANK(OFFSET(A$1,,,SUMPRODUCT(MAX(ROW(E$2:E2395)*(E2395=E$2:E2395)))))-COUNTBLANK(OFFSET(A$1,,,SUMPRODUCT(MAX(ROW(E$1:E2394)*(E2=E$1:E2394))))))</f>
        <v> </v>
      </c>
      <c r="K2395" s="25" t="str">
        <f>IF(OR(E2395="",E2395="!!!",F2395="NEW"),"",INDEX(J$1:J2394,SUMPRODUCT(MAX(ROW(E$1:E2394)*(E2395=E$1:E2394)))))</f>
        <v> </v>
      </c>
      <c r="L2395" s="26"/>
    </row>
    <row r="2396" spans="1:12">
      <c r="A2396" s="20" t="s">
        <v>1083</v>
      </c>
      <c r="E2396" s="21">
        <f>IF(D2396="?OLD","!!!","")</f>
        <v/>
      </c>
      <c r="F2396" s="22" t="str">
        <f>IF(OR(E2396="",E2396="!!!"),"",IF(NOT(ISNA(VLOOKUP(E2396,E$1:E2395,1,FALSE()))),"OLD",IF(AND(E2396&lt;&gt;"",E2396&lt;&gt;"!!!"),"NEW","")))</f>
        <v> </v>
      </c>
      <c r="G2396" s="23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4" t="str">
        <f>IF(J2396&lt;&gt;1,"",IF(I2396="SBJ","CB","?"))</f>
        <v> </v>
      </c>
      <c r="I2396" s="25" t="str">
        <f>IF(OR(E2396="",E2396="!!!",F2396="NEW"),"",INDEX(B2395:B$2,-1+SUMPRODUCT(MAX(ROW(E2395:E$2)*(E2396=E2395:E$2)))))</f>
        <v> </v>
      </c>
      <c r="J2396" s="25" t="str">
        <f>IF(OR(E2396="",E2396="!!!",F2396="NEW"),"",COUNTBLANK(OFFSET(A$1,,,SUMPRODUCT(MAX(ROW(E$2:E2396)*(E2396=E$2:E2396)))))-COUNTBLANK(OFFSET(A$1,,,SUMPRODUCT(MAX(ROW(E$1:E2395)*(E2=E$1:E2395))))))</f>
        <v> </v>
      </c>
      <c r="K2396" s="25" t="str">
        <f>IF(OR(E2396="",E2396="!!!",F2396="NEW"),"",INDEX(J$1:J2395,SUMPRODUCT(MAX(ROW(E$1:E2395)*(E2396=E$1:E2395)))))</f>
        <v> </v>
      </c>
      <c r="L2396" s="26"/>
    </row>
    <row r="2397" spans="1:12">
      <c r="A2397" s="20" t="s">
        <v>1898</v>
      </c>
      <c r="E2397" s="21">
        <f>IF(D2397="?OLD","!!!","")</f>
        <v/>
      </c>
      <c r="F2397" s="22" t="str">
        <f>IF(OR(E2397="",E2397="!!!"),"",IF(NOT(ISNA(VLOOKUP(E2397,E$1:E2396,1,FALSE()))),"OLD",IF(AND(E2397&lt;&gt;"",E2397&lt;&gt;"!!!"),"NEW","")))</f>
        <v> </v>
      </c>
      <c r="G2397" s="23" t="str">
        <f>IF(OR(E2397="",E2397="!!!"),"",IF(OR(J2397=0,AND(J2397=1,K2397=1),AND(J2397=1,I2397="SBJ"),AND(J2397=1,I2397=0)),"?IN_FOCUS",IF(J2397&lt;=2,"?ACTIVATED",IF(J2397&lt;&gt;"","?FAMILIAR",IF(F2397="NEW",IF(ISNA(VLOOKUP(E2397,#REF!,1,FALSE())),"?TYPE_IDENTIFIABLE","?REFERENTIAL"),"_")))))</f>
        <v> </v>
      </c>
      <c r="H2397" s="24" t="str">
        <f>IF(J2397&lt;&gt;1,"",IF(I2397="SBJ","CB","?"))</f>
        <v> </v>
      </c>
      <c r="I2397" s="25" t="str">
        <f>IF(OR(E2397="",E2397="!!!",F2397="NEW"),"",INDEX(B2396:B$2,-1+SUMPRODUCT(MAX(ROW(E2396:E$2)*(E2397=E2396:E$2)))))</f>
        <v> </v>
      </c>
      <c r="J2397" s="25" t="str">
        <f>IF(OR(E2397="",E2397="!!!",F2397="NEW"),"",COUNTBLANK(OFFSET(A$1,,,SUMPRODUCT(MAX(ROW(E$2:E2397)*(E2397=E$2:E2397)))))-COUNTBLANK(OFFSET(A$1,,,SUMPRODUCT(MAX(ROW(E$1:E2396)*(E2=E$1:E2396))))))</f>
        <v> </v>
      </c>
      <c r="K2397" s="25" t="str">
        <f>IF(OR(E2397="",E2397="!!!",F2397="NEW"),"",INDEX(J$1:J2396,SUMPRODUCT(MAX(ROW(E$1:E2396)*(E2397=E$1:E2396)))))</f>
        <v> </v>
      </c>
      <c r="L2397" s="26"/>
    </row>
    <row r="2398" spans="1:12">
      <c r="A2398" s="20" t="s">
        <v>1899</v>
      </c>
      <c r="E2398" s="21">
        <f>IF(D2398="?OLD","!!!","")</f>
        <v/>
      </c>
      <c r="F2398" s="22" t="str">
        <f>IF(OR(E2398="",E2398="!!!"),"",IF(NOT(ISNA(VLOOKUP(E2398,E$1:E2397,1,FALSE()))),"OLD",IF(AND(E2398&lt;&gt;"",E2398&lt;&gt;"!!!"),"NEW","")))</f>
        <v> </v>
      </c>
      <c r="G2398" s="23" t="str">
        <f>IF(OR(E2398="",E2398="!!!"),"",IF(OR(J2398=0,AND(J2398=1,K2398=1),AND(J2398=1,I2398="SBJ"),AND(J2398=1,I2398=0)),"?IN_FOCUS",IF(J2398&lt;=2,"?ACTIVATED",IF(J2398&lt;&gt;"","?FAMILIAR",IF(F2398="NEW",IF(ISNA(VLOOKUP(E2398,#REF!,1,FALSE())),"?TYPE_IDENTIFIABLE","?REFERENTIAL"),"_")))))</f>
        <v> </v>
      </c>
      <c r="H2398" s="24" t="str">
        <f>IF(J2398&lt;&gt;1,"",IF(I2398="SBJ","CB","?"))</f>
        <v> </v>
      </c>
      <c r="I2398" s="25" t="str">
        <f>IF(OR(E2398="",E2398="!!!",F2398="NEW"),"",INDEX(B2397:B$2,-1+SUMPRODUCT(MAX(ROW(E2397:E$2)*(E2398=E2397:E$2)))))</f>
        <v> </v>
      </c>
      <c r="J2398" s="25" t="str">
        <f>IF(OR(E2398="",E2398="!!!",F2398="NEW"),"",COUNTBLANK(OFFSET(A$1,,,SUMPRODUCT(MAX(ROW(E$2:E2398)*(E2398=E$2:E2398)))))-COUNTBLANK(OFFSET(A$1,,,SUMPRODUCT(MAX(ROW(E$1:E2397)*(E2=E$1:E2397))))))</f>
        <v> </v>
      </c>
      <c r="K2398" s="25" t="str">
        <f>IF(OR(E2398="",E2398="!!!",F2398="NEW"),"",INDEX(J$1:J2397,SUMPRODUCT(MAX(ROW(E$1:E2397)*(E2398=E$1:E2397)))))</f>
        <v> </v>
      </c>
      <c r="L2398" s="26"/>
    </row>
    <row r="2399" spans="1:12">
      <c r="A2399" s="20" t="s">
        <v>1214</v>
      </c>
      <c r="E2399" s="21">
        <f>IF(D2399="?OLD","!!!","")</f>
        <v/>
      </c>
      <c r="F2399" s="22" t="str">
        <f>IF(OR(E2399="",E2399="!!!"),"",IF(NOT(ISNA(VLOOKUP(E2399,E$1:E2398,1,FALSE()))),"OLD",IF(AND(E2399&lt;&gt;"",E2399&lt;&gt;"!!!"),"NEW","")))</f>
        <v> </v>
      </c>
      <c r="G2399" s="23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4" t="str">
        <f>IF(J2399&lt;&gt;1,"",IF(I2399="SBJ","CB","?"))</f>
        <v> </v>
      </c>
      <c r="I2399" s="25" t="str">
        <f>IF(OR(E2399="",E2399="!!!",F2399="NEW"),"",INDEX(B2398:B$2,-1+SUMPRODUCT(MAX(ROW(E2398:E$2)*(E2399=E2398:E$2)))))</f>
        <v> </v>
      </c>
      <c r="J2399" s="25" t="str">
        <f>IF(OR(E2399="",E2399="!!!",F2399="NEW"),"",COUNTBLANK(OFFSET(A$1,,,SUMPRODUCT(MAX(ROW(E$2:E2399)*(E2399=E$2:E2399)))))-COUNTBLANK(OFFSET(A$1,,,SUMPRODUCT(MAX(ROW(E$1:E2398)*(E2=E$1:E2398))))))</f>
        <v> </v>
      </c>
      <c r="K2399" s="25" t="str">
        <f>IF(OR(E2399="",E2399="!!!",F2399="NEW"),"",INDEX(J$1:J2398,SUMPRODUCT(MAX(ROW(E$1:E2398)*(E2399=E$1:E2398)))))</f>
        <v> </v>
      </c>
      <c r="L2399" s="26"/>
    </row>
    <row r="2400" spans="1:12">
      <c r="A2400" s="20" t="s">
        <v>1018</v>
      </c>
      <c r="B2400" s="27" t="s">
        <v>1079</v>
      </c>
      <c r="C2400" s="27" t="s">
        <v>1042</v>
      </c>
      <c r="E2400" s="21">
        <f>IF(D2400="?OLD","!!!","")</f>
        <v/>
      </c>
      <c r="F2400" s="22" t="str">
        <f>IF(OR(E2400="",E2400="!!!"),"",IF(NOT(ISNA(VLOOKUP(E2400,E$1:E2399,1,FALSE()))),"OLD",IF(AND(E2400&lt;&gt;"",E2400&lt;&gt;"!!!"),"NEW","")))</f>
        <v> </v>
      </c>
      <c r="G2400" s="23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4" t="str">
        <f>IF(J2400&lt;&gt;1,"",IF(I2400="SBJ","CB","?"))</f>
        <v> </v>
      </c>
      <c r="I2400" s="25" t="str">
        <f>IF(OR(E2400="",E2400="!!!",F2400="NEW"),"",INDEX(B2399:B$2,-1+SUMPRODUCT(MAX(ROW(E2399:E$2)*(E2400=E2399:E$2)))))</f>
        <v> </v>
      </c>
      <c r="J2400" s="25" t="str">
        <f>IF(OR(E2400="",E2400="!!!",F2400="NEW"),"",COUNTBLANK(OFFSET(A$1,,,SUMPRODUCT(MAX(ROW(E$2:E2400)*(E2400=E$2:E2400)))))-COUNTBLANK(OFFSET(A$1,,,SUMPRODUCT(MAX(ROW(E$1:E2399)*(E2=E$1:E2399))))))</f>
        <v> </v>
      </c>
      <c r="K2400" s="25" t="str">
        <f>IF(OR(E2400="",E2400="!!!",F2400="NEW"),"",INDEX(J$1:J2399,SUMPRODUCT(MAX(ROW(E$1:E2399)*(E2400=E$1:E2399)))))</f>
        <v> </v>
      </c>
      <c r="L2400" s="26"/>
    </row>
    <row r="2401" spans="1:12">
      <c r="A2401" s="20" t="s">
        <v>1016</v>
      </c>
      <c r="E2401" s="21">
        <f>IF(D2401="?OLD","!!!","")</f>
        <v/>
      </c>
      <c r="F2401" s="22" t="str">
        <f>IF(OR(E2401="",E2401="!!!"),"",IF(NOT(ISNA(VLOOKUP(E2401,E$1:E2400,1,FALSE()))),"OLD",IF(AND(E2401&lt;&gt;"",E2401&lt;&gt;"!!!"),"NEW","")))</f>
        <v> </v>
      </c>
      <c r="G2401" s="23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4" t="str">
        <f>IF(J2401&lt;&gt;1,"",IF(I2401="SBJ","CB","?"))</f>
        <v> </v>
      </c>
      <c r="I2401" s="25" t="str">
        <f>IF(OR(E2401="",E2401="!!!",F2401="NEW"),"",INDEX(B2400:B$2,-1+SUMPRODUCT(MAX(ROW(E2400:E$2)*(E2401=E2400:E$2)))))</f>
        <v> </v>
      </c>
      <c r="J2401" s="25" t="str">
        <f>IF(OR(E2401="",E2401="!!!",F2401="NEW"),"",COUNTBLANK(OFFSET(A$1,,,SUMPRODUCT(MAX(ROW(E$2:E2401)*(E2401=E$2:E2401)))))-COUNTBLANK(OFFSET(A$1,,,SUMPRODUCT(MAX(ROW(E$1:E2400)*(E2=E$1:E2400))))))</f>
        <v> </v>
      </c>
      <c r="K2401" s="25" t="str">
        <f>IF(OR(E2401="",E2401="!!!",F2401="NEW"),"",INDEX(J$1:J2400,SUMPRODUCT(MAX(ROW(E$1:E2400)*(E2401=E$1:E2400)))))</f>
        <v> </v>
      </c>
      <c r="L2401" s="26"/>
    </row>
    <row r="2402" spans="1:12">
      <c r="A2402" s="20" t="s">
        <v>1517</v>
      </c>
      <c r="E2402" s="21">
        <f>IF(D2402="?OLD","!!!","")</f>
        <v/>
      </c>
      <c r="F2402" s="22" t="str">
        <f>IF(OR(E2402="",E2402="!!!"),"",IF(NOT(ISNA(VLOOKUP(E2402,E$1:E2401,1,FALSE()))),"OLD",IF(AND(E2402&lt;&gt;"",E2402&lt;&gt;"!!!"),"NEW","")))</f>
        <v> </v>
      </c>
      <c r="G2402" s="23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4" t="str">
        <f>IF(J2402&lt;&gt;1,"",IF(I2402="SBJ","CB","?"))</f>
        <v> </v>
      </c>
      <c r="I2402" s="25" t="str">
        <f>IF(OR(E2402="",E2402="!!!",F2402="NEW"),"",INDEX(B2401:B$2,-1+SUMPRODUCT(MAX(ROW(E2401:E$2)*(E2402=E2401:E$2)))))</f>
        <v> </v>
      </c>
      <c r="J2402" s="25" t="str">
        <f>IF(OR(E2402="",E2402="!!!",F2402="NEW"),"",COUNTBLANK(OFFSET(A$1,,,SUMPRODUCT(MAX(ROW(E$2:E2402)*(E2402=E$2:E2402)))))-COUNTBLANK(OFFSET(A$1,,,SUMPRODUCT(MAX(ROW(E$1:E2401)*(E2=E$1:E2401))))))</f>
        <v> </v>
      </c>
      <c r="K2402" s="25" t="str">
        <f>IF(OR(E2402="",E2402="!!!",F2402="NEW"),"",INDEX(J$1:J2401,SUMPRODUCT(MAX(ROW(E$1:E2401)*(E2402=E$1:E2401)))))</f>
        <v> </v>
      </c>
      <c r="L2402" s="26"/>
    </row>
    <row r="2403" spans="1:12">
      <c r="A2403" s="20" t="s">
        <v>1900</v>
      </c>
      <c r="E2403" s="21">
        <f>IF(D2403="?OLD","!!!","")</f>
        <v/>
      </c>
      <c r="F2403" s="22" t="str">
        <f>IF(OR(E2403="",E2403="!!!"),"",IF(NOT(ISNA(VLOOKUP(E2403,E$1:E2402,1,FALSE()))),"OLD",IF(AND(E2403&lt;&gt;"",E2403&lt;&gt;"!!!"),"NEW","")))</f>
        <v> </v>
      </c>
      <c r="G2403" s="23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4" t="str">
        <f>IF(J2403&lt;&gt;1,"",IF(I2403="SBJ","CB","?"))</f>
        <v> </v>
      </c>
      <c r="I2403" s="25" t="str">
        <f>IF(OR(E2403="",E2403="!!!",F2403="NEW"),"",INDEX(B2402:B$2,-1+SUMPRODUCT(MAX(ROW(E2402:E$2)*(E2403=E2402:E$2)))))</f>
        <v> </v>
      </c>
      <c r="J2403" s="25" t="str">
        <f>IF(OR(E2403="",E2403="!!!",F2403="NEW"),"",COUNTBLANK(OFFSET(A$1,,,SUMPRODUCT(MAX(ROW(E$2:E2403)*(E2403=E$2:E2403)))))-COUNTBLANK(OFFSET(A$1,,,SUMPRODUCT(MAX(ROW(E$1:E2402)*(E2=E$1:E2402))))))</f>
        <v> </v>
      </c>
      <c r="K2403" s="25" t="str">
        <f>IF(OR(E2403="",E2403="!!!",F2403="NEW"),"",INDEX(J$1:J2402,SUMPRODUCT(MAX(ROW(E$1:E2402)*(E2403=E$1:E2402)))))</f>
        <v> </v>
      </c>
      <c r="L2403" s="26"/>
    </row>
    <row r="2404" spans="1:12">
      <c r="A2404" s="20" t="s">
        <v>1901</v>
      </c>
      <c r="B2404" s="27" t="s">
        <v>1066</v>
      </c>
      <c r="C2404" s="27" t="s">
        <v>1046</v>
      </c>
      <c r="D2404" s="27" t="s">
        <v>1030</v>
      </c>
      <c r="E2404" s="21">
        <f>IF(D2404="?OLD","!!!","")</f>
        <v/>
      </c>
      <c r="F2404" s="22" t="str">
        <f>IF(OR(E2404="",E2404="!!!"),"",IF(NOT(ISNA(VLOOKUP(E2404,E$1:E2403,1,FALSE()))),"OLD",IF(AND(E2404&lt;&gt;"",E2404&lt;&gt;"!!!"),"NEW","")))</f>
        <v> </v>
      </c>
      <c r="G2404" s="23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4" t="str">
        <f>IF(J2404&lt;&gt;1,"",IF(I2404="SBJ","CB","?"))</f>
        <v> </v>
      </c>
      <c r="I2404" s="25" t="str">
        <f>IF(OR(E2404="",E2404="!!!",F2404="NEW"),"",INDEX(B2403:B$2,-1+SUMPRODUCT(MAX(ROW(E2403:E$2)*(E2404=E2403:E$2)))))</f>
        <v> </v>
      </c>
      <c r="J2404" s="25" t="str">
        <f>IF(OR(E2404="",E2404="!!!",F2404="NEW"),"",COUNTBLANK(OFFSET(A$1,,,SUMPRODUCT(MAX(ROW(E$2:E2404)*(E2404=E$2:E2404)))))-COUNTBLANK(OFFSET(A$1,,,SUMPRODUCT(MAX(ROW(E$1:E2403)*(E2=E$1:E2403))))))</f>
        <v> </v>
      </c>
      <c r="K2404" s="25" t="str">
        <f>IF(OR(E2404="",E2404="!!!",F2404="NEW"),"",INDEX(J$1:J2403,SUMPRODUCT(MAX(ROW(E$1:E2403)*(E2404=E$1:E2403)))))</f>
        <v> </v>
      </c>
      <c r="L2404" s="26"/>
    </row>
    <row r="2405" spans="1:12">
      <c r="A2405" s="20" t="s">
        <v>1902</v>
      </c>
      <c r="E2405" s="21">
        <f>IF(D2405="?OLD","!!!","")</f>
        <v/>
      </c>
      <c r="F2405" s="22" t="str">
        <f>IF(OR(E2405="",E2405="!!!"),"",IF(NOT(ISNA(VLOOKUP(E2405,E$1:E2404,1,FALSE()))),"OLD",IF(AND(E2405&lt;&gt;"",E2405&lt;&gt;"!!!"),"NEW","")))</f>
        <v> </v>
      </c>
      <c r="G2405" s="23" t="str">
        <f>IF(OR(E2405="",E2405="!!!"),"",IF(OR(J2405=0,AND(J2405=1,K2405=1),AND(J2405=1,I2405="SBJ"),AND(J2405=1,I2405=0)),"?IN_FOCUS",IF(J2405&lt;=2,"?ACTIVATED",IF(J2405&lt;&gt;"","?FAMILIAR",IF(F2405="NEW",IF(ISNA(VLOOKUP(E2405,#REF!,1,FALSE())),"?TYPE_IDENTIFIABLE","?REFERENTIAL"),"_")))))</f>
        <v> </v>
      </c>
      <c r="H2405" s="24" t="str">
        <f>IF(J2405&lt;&gt;1,"",IF(I2405="SBJ","CB","?"))</f>
        <v> </v>
      </c>
      <c r="I2405" s="25" t="str">
        <f>IF(OR(E2405="",E2405="!!!",F2405="NEW"),"",INDEX(B2404:B$2,-1+SUMPRODUCT(MAX(ROW(E2404:E$2)*(E2405=E2404:E$2)))))</f>
        <v> </v>
      </c>
      <c r="J2405" s="25" t="str">
        <f>IF(OR(E2405="",E2405="!!!",F2405="NEW"),"",COUNTBLANK(OFFSET(A$1,,,SUMPRODUCT(MAX(ROW(E$2:E2405)*(E2405=E$2:E2405)))))-COUNTBLANK(OFFSET(A$1,,,SUMPRODUCT(MAX(ROW(E$1:E2404)*(E2=E$1:E2404))))))</f>
        <v> </v>
      </c>
      <c r="K2405" s="25" t="str">
        <f>IF(OR(E2405="",E2405="!!!",F2405="NEW"),"",INDEX(J$1:J2404,SUMPRODUCT(MAX(ROW(E$1:E2404)*(E2405=E$1:E2404)))))</f>
        <v> </v>
      </c>
      <c r="L2405" s="26"/>
    </row>
    <row r="2406" spans="1:12">
      <c r="A2406" s="20" t="s">
        <v>1337</v>
      </c>
      <c r="E2406" s="21">
        <f>IF(D2406="?OLD","!!!","")</f>
        <v/>
      </c>
      <c r="F2406" s="22" t="str">
        <f>IF(OR(E2406="",E2406="!!!"),"",IF(NOT(ISNA(VLOOKUP(E2406,E$1:E2405,1,FALSE()))),"OLD",IF(AND(E2406&lt;&gt;"",E2406&lt;&gt;"!!!"),"NEW","")))</f>
        <v> </v>
      </c>
      <c r="G2406" s="23" t="str">
        <f>IF(OR(E2406="",E2406="!!!"),"",IF(OR(J2406=0,AND(J2406=1,K2406=1),AND(J2406=1,I2406="SBJ"),AND(J2406=1,I2406=0)),"?IN_FOCUS",IF(J2406&lt;=2,"?ACTIVATED",IF(J2406&lt;&gt;"","?FAMILIAR",IF(F2406="NEW",IF(ISNA(VLOOKUP(E2406,#REF!,1,FALSE())),"?TYPE_IDENTIFIABLE","?REFERENTIAL"),"_")))))</f>
        <v> </v>
      </c>
      <c r="H2406" s="24" t="str">
        <f>IF(J2406&lt;&gt;1,"",IF(I2406="SBJ","CB","?"))</f>
        <v> </v>
      </c>
      <c r="I2406" s="25" t="str">
        <f>IF(OR(E2406="",E2406="!!!",F2406="NEW"),"",INDEX(B2405:B$2,-1+SUMPRODUCT(MAX(ROW(E2405:E$2)*(E2406=E2405:E$2)))))</f>
        <v> </v>
      </c>
      <c r="J2406" s="25" t="str">
        <f>IF(OR(E2406="",E2406="!!!",F2406="NEW"),"",COUNTBLANK(OFFSET(A$1,,,SUMPRODUCT(MAX(ROW(E$2:E2406)*(E2406=E$2:E2406)))))-COUNTBLANK(OFFSET(A$1,,,SUMPRODUCT(MAX(ROW(E$1:E2405)*(E2=E$1:E2405))))))</f>
        <v> </v>
      </c>
      <c r="K2406" s="25" t="str">
        <f>IF(OR(E2406="",E2406="!!!",F2406="NEW"),"",INDEX(J$1:J2405,SUMPRODUCT(MAX(ROW(E$1:E2405)*(E2406=E$1:E2405)))))</f>
        <v> </v>
      </c>
      <c r="L2406" s="26"/>
    </row>
    <row r="2407" spans="1:12">
      <c r="A2407" s="20" t="s">
        <v>1031</v>
      </c>
      <c r="B2407" s="27" t="s">
        <v>1035</v>
      </c>
      <c r="C2407" s="27" t="s">
        <v>1033</v>
      </c>
      <c r="D2407" s="27" t="s">
        <v>1030</v>
      </c>
      <c r="E2407" s="21">
        <f>IF(D2407="?OLD","!!!","")</f>
        <v/>
      </c>
      <c r="F2407" s="22" t="str">
        <f>IF(OR(E2407="",E2407="!!!"),"",IF(NOT(ISNA(VLOOKUP(E2407,E$1:E2406,1,FALSE()))),"OLD",IF(AND(E2407&lt;&gt;"",E2407&lt;&gt;"!!!"),"NEW","")))</f>
        <v> </v>
      </c>
      <c r="G2407" s="23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4" t="str">
        <f>IF(J2407&lt;&gt;1,"",IF(I2407="SBJ","CB","?"))</f>
        <v> </v>
      </c>
      <c r="I2407" s="25" t="str">
        <f>IF(OR(E2407="",E2407="!!!",F2407="NEW"),"",INDEX(B2406:B$2,-1+SUMPRODUCT(MAX(ROW(E2406:E$2)*(E2407=E2406:E$2)))))</f>
        <v> </v>
      </c>
      <c r="J2407" s="25" t="str">
        <f>IF(OR(E2407="",E2407="!!!",F2407="NEW"),"",COUNTBLANK(OFFSET(A$1,,,SUMPRODUCT(MAX(ROW(E$2:E2407)*(E2407=E$2:E2407)))))-COUNTBLANK(OFFSET(A$1,,,SUMPRODUCT(MAX(ROW(E$1:E2406)*(E2=E$1:E2406))))))</f>
        <v> </v>
      </c>
      <c r="K2407" s="25" t="str">
        <f>IF(OR(E2407="",E2407="!!!",F2407="NEW"),"",INDEX(J$1:J2406,SUMPRODUCT(MAX(ROW(E$1:E2406)*(E2407=E$1:E2406)))))</f>
        <v> </v>
      </c>
      <c r="L2407" s="26"/>
    </row>
    <row r="2408" spans="1:12">
      <c r="A2408" s="20" t="s">
        <v>135</v>
      </c>
      <c r="E2408" s="21">
        <f>IF(D2408="?OLD","!!!","")</f>
        <v/>
      </c>
      <c r="F2408" s="22" t="str">
        <f>IF(OR(E2408="",E2408="!!!"),"",IF(NOT(ISNA(VLOOKUP(E2408,E$1:E2407,1,FALSE()))),"OLD",IF(AND(E2408&lt;&gt;"",E2408&lt;&gt;"!!!"),"NEW","")))</f>
        <v> </v>
      </c>
      <c r="G2408" s="23" t="str">
        <f>IF(OR(E2408="",E2408="!!!"),"",IF(OR(J2408=0,AND(J2408=1,K2408=1),AND(J2408=1,I2408="SBJ"),AND(J2408=1,I2408=0)),"?IN_FOCUS",IF(J2408&lt;=2,"?ACTIVATED",IF(J2408&lt;&gt;"","?FAMILIAR",IF(F2408="NEW",IF(ISNA(VLOOKUP(E2408,#REF!,1,FALSE())),"?TYPE_IDENTIFIABLE","?REFERENTIAL"),"_")))))</f>
        <v> </v>
      </c>
      <c r="H2408" s="24" t="str">
        <f>IF(J2408&lt;&gt;1,"",IF(I2408="SBJ","CB","?"))</f>
        <v> </v>
      </c>
      <c r="I2408" s="25" t="str">
        <f>IF(OR(E2408="",E2408="!!!",F2408="NEW"),"",INDEX(B2407:B$2,-1+SUMPRODUCT(MAX(ROW(E2407:E$2)*(E2408=E2407:E$2)))))</f>
        <v> </v>
      </c>
      <c r="J2408" s="25" t="str">
        <f>IF(OR(E2408="",E2408="!!!",F2408="NEW"),"",COUNTBLANK(OFFSET(A$1,,,SUMPRODUCT(MAX(ROW(E$2:E2408)*(E2408=E$2:E2408)))))-COUNTBLANK(OFFSET(A$1,,,SUMPRODUCT(MAX(ROW(E$1:E2407)*(E2=E$1:E2407))))))</f>
        <v> </v>
      </c>
      <c r="K2408" s="25" t="str">
        <f>IF(OR(E2408="",E2408="!!!",F2408="NEW"),"",INDEX(J$1:J2407,SUMPRODUCT(MAX(ROW(E$1:E2407)*(E2408=E$1:E2407)))))</f>
        <v> </v>
      </c>
      <c r="L2408" s="26"/>
    </row>
    <row r="2409" spans="1:12">
      <c r="A2409" s="20"/>
    </row>
    <row r="2410" spans="1:12">
      <c r="A2410" s="20" t="s">
        <v>1903</v>
      </c>
    </row>
    <row r="2411" spans="1:12">
      <c r="A2411" s="20" t="s">
        <v>1904</v>
      </c>
      <c r="B2411" s="27" t="s">
        <v>1041</v>
      </c>
      <c r="C2411" s="27" t="s">
        <v>1050</v>
      </c>
      <c r="D2411" s="27" t="s">
        <v>1030</v>
      </c>
      <c r="E2411" s="21">
        <f>IF(D2411="?OLD","!!!","")</f>
        <v/>
      </c>
      <c r="F2411" s="22" t="str">
        <f>IF(OR(E2411="",E2411="!!!"),"",IF(NOT(ISNA(VLOOKUP(E2411,E$1:E2410,1,FALSE()))),"OLD",IF(AND(E2411&lt;&gt;"",E2411&lt;&gt;"!!!"),"NEW","")))</f>
        <v> </v>
      </c>
      <c r="G2411" s="23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4" t="str">
        <f>IF(J2411&lt;&gt;1,"",IF(I2411="SBJ","CB","?"))</f>
        <v> </v>
      </c>
      <c r="I2411" s="25" t="str">
        <f>IF(OR(E2411="",E2411="!!!",F2411="NEW"),"",INDEX(B2410:B$2,-1+SUMPRODUCT(MAX(ROW(E2410:E$2)*(E2411=E2410:E$2)))))</f>
        <v> </v>
      </c>
      <c r="J2411" s="25" t="str">
        <f>IF(OR(E2411="",E2411="!!!",F2411="NEW"),"",COUNTBLANK(OFFSET(A$1,,,SUMPRODUCT(MAX(ROW(E$2:E2411)*(E2411=E$2:E2411)))))-COUNTBLANK(OFFSET(A$1,,,SUMPRODUCT(MAX(ROW(E$1:E2410)*(E2=E$1:E2410))))))</f>
        <v> </v>
      </c>
      <c r="K2411" s="25" t="str">
        <f>IF(OR(E2411="",E2411="!!!",F2411="NEW"),"",INDEX(J$1:J2410,SUMPRODUCT(MAX(ROW(E$1:E2410)*(E2411=E$1:E2410)))))</f>
        <v> </v>
      </c>
      <c r="L2411" s="26"/>
    </row>
    <row r="2412" spans="1:12">
      <c r="A2412" s="20" t="s">
        <v>1057</v>
      </c>
      <c r="E2412" s="21">
        <f>IF(D2412="?OLD","!!!","")</f>
        <v/>
      </c>
      <c r="F2412" s="22" t="str">
        <f>IF(OR(E2412="",E2412="!!!"),"",IF(NOT(ISNA(VLOOKUP(E2412,E$1:E2411,1,FALSE()))),"OLD",IF(AND(E2412&lt;&gt;"",E2412&lt;&gt;"!!!"),"NEW","")))</f>
        <v> </v>
      </c>
      <c r="G2412" s="23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4" t="str">
        <f>IF(J2412&lt;&gt;1,"",IF(I2412="SBJ","CB","?"))</f>
        <v> </v>
      </c>
      <c r="I2412" s="25" t="str">
        <f>IF(OR(E2412="",E2412="!!!",F2412="NEW"),"",INDEX(B2411:B$2,-1+SUMPRODUCT(MAX(ROW(E2411:E$2)*(E2412=E2411:E$2)))))</f>
        <v> </v>
      </c>
      <c r="J2412" s="25" t="str">
        <f>IF(OR(E2412="",E2412="!!!",F2412="NEW"),"",COUNTBLANK(OFFSET(A$1,,,SUMPRODUCT(MAX(ROW(E$2:E2412)*(E2412=E$2:E2412)))))-COUNTBLANK(OFFSET(A$1,,,SUMPRODUCT(MAX(ROW(E$1:E2411)*(E2=E$1:E2411))))))</f>
        <v> </v>
      </c>
      <c r="K2412" s="25" t="str">
        <f>IF(OR(E2412="",E2412="!!!",F2412="NEW"),"",INDEX(J$1:J2411,SUMPRODUCT(MAX(ROW(E$1:E2411)*(E2412=E$1:E2411)))))</f>
        <v> </v>
      </c>
      <c r="L2412" s="26"/>
    </row>
    <row r="2413" spans="1:12">
      <c r="A2413" s="20" t="s">
        <v>1123</v>
      </c>
      <c r="B2413" s="27" t="s">
        <v>1014</v>
      </c>
      <c r="C2413" s="27" t="s">
        <v>1050</v>
      </c>
      <c r="D2413" s="27" t="s">
        <v>1030</v>
      </c>
      <c r="E2413" s="21">
        <f>IF(D2413="?OLD","!!!","")</f>
        <v/>
      </c>
      <c r="F2413" s="22" t="str">
        <f>IF(OR(E2413="",E2413="!!!"),"",IF(NOT(ISNA(VLOOKUP(E2413,E$1:E2412,1,FALSE()))),"OLD",IF(AND(E2413&lt;&gt;"",E2413&lt;&gt;"!!!"),"NEW","")))</f>
        <v> </v>
      </c>
      <c r="G2413" s="23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4" t="str">
        <f>IF(J2413&lt;&gt;1,"",IF(I2413="SBJ","CB","?"))</f>
        <v> </v>
      </c>
      <c r="I2413" s="25" t="str">
        <f>IF(OR(E2413="",E2413="!!!",F2413="NEW"),"",INDEX(B2412:B$2,-1+SUMPRODUCT(MAX(ROW(E2412:E$2)*(E2413=E2412:E$2)))))</f>
        <v> </v>
      </c>
      <c r="J2413" s="25" t="str">
        <f>IF(OR(E2413="",E2413="!!!",F2413="NEW"),"",COUNTBLANK(OFFSET(A$1,,,SUMPRODUCT(MAX(ROW(E$2:E2413)*(E2413=E$2:E2413)))))-COUNTBLANK(OFFSET(A$1,,,SUMPRODUCT(MAX(ROW(E$1:E2412)*(E2=E$1:E2412))))))</f>
        <v> </v>
      </c>
      <c r="K2413" s="25" t="str">
        <f>IF(OR(E2413="",E2413="!!!",F2413="NEW"),"",INDEX(J$1:J2412,SUMPRODUCT(MAX(ROW(E$1:E2412)*(E2413=E$1:E2412)))))</f>
        <v> </v>
      </c>
      <c r="L2413" s="26"/>
    </row>
    <row r="2414" spans="1:12">
      <c r="A2414" s="20" t="s">
        <v>1255</v>
      </c>
      <c r="E2414" s="21">
        <f>IF(D2414="?OLD","!!!","")</f>
        <v/>
      </c>
      <c r="F2414" s="22" t="str">
        <f>IF(OR(E2414="",E2414="!!!"),"",IF(NOT(ISNA(VLOOKUP(E2414,E$1:E2413,1,FALSE()))),"OLD",IF(AND(E2414&lt;&gt;"",E2414&lt;&gt;"!!!"),"NEW","")))</f>
        <v> </v>
      </c>
      <c r="G2414" s="23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4" t="str">
        <f>IF(J2414&lt;&gt;1,"",IF(I2414="SBJ","CB","?"))</f>
        <v> </v>
      </c>
      <c r="I2414" s="25" t="str">
        <f>IF(OR(E2414="",E2414="!!!",F2414="NEW"),"",INDEX(B2413:B$2,-1+SUMPRODUCT(MAX(ROW(E2413:E$2)*(E2414=E2413:E$2)))))</f>
        <v> </v>
      </c>
      <c r="J2414" s="25" t="str">
        <f>IF(OR(E2414="",E2414="!!!",F2414="NEW"),"",COUNTBLANK(OFFSET(A$1,,,SUMPRODUCT(MAX(ROW(E$2:E2414)*(E2414=E$2:E2414)))))-COUNTBLANK(OFFSET(A$1,,,SUMPRODUCT(MAX(ROW(E$1:E2413)*(E2=E$1:E2413))))))</f>
        <v> </v>
      </c>
      <c r="K2414" s="25" t="str">
        <f>IF(OR(E2414="",E2414="!!!",F2414="NEW"),"",INDEX(J$1:J2413,SUMPRODUCT(MAX(ROW(E$1:E2413)*(E2414=E$1:E2413)))))</f>
        <v> </v>
      </c>
      <c r="L2414" s="26"/>
    </row>
    <row r="2415" spans="1:12">
      <c r="A2415" s="20" t="s">
        <v>1016</v>
      </c>
      <c r="E2415" s="21">
        <f>IF(D2415="?OLD","!!!","")</f>
        <v/>
      </c>
      <c r="F2415" s="22" t="str">
        <f>IF(OR(E2415="",E2415="!!!"),"",IF(NOT(ISNA(VLOOKUP(E2415,E$1:E2414,1,FALSE()))),"OLD",IF(AND(E2415&lt;&gt;"",E2415&lt;&gt;"!!!"),"NEW","")))</f>
        <v> </v>
      </c>
      <c r="G2415" s="23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4" t="str">
        <f>IF(J2415&lt;&gt;1,"",IF(I2415="SBJ","CB","?"))</f>
        <v> </v>
      </c>
      <c r="I2415" s="25" t="str">
        <f>IF(OR(E2415="",E2415="!!!",F2415="NEW"),"",INDEX(B2414:B$2,-1+SUMPRODUCT(MAX(ROW(E2414:E$2)*(E2415=E2414:E$2)))))</f>
        <v> </v>
      </c>
      <c r="J2415" s="25" t="str">
        <f>IF(OR(E2415="",E2415="!!!",F2415="NEW"),"",COUNTBLANK(OFFSET(A$1,,,SUMPRODUCT(MAX(ROW(E$2:E2415)*(E2415=E$2:E2415)))))-COUNTBLANK(OFFSET(A$1,,,SUMPRODUCT(MAX(ROW(E$1:E2414)*(E2=E$1:E2414))))))</f>
        <v> </v>
      </c>
      <c r="K2415" s="25" t="str">
        <f>IF(OR(E2415="",E2415="!!!",F2415="NEW"),"",INDEX(J$1:J2414,SUMPRODUCT(MAX(ROW(E$1:E2414)*(E2415=E$1:E2414)))))</f>
        <v> </v>
      </c>
      <c r="L2415" s="26"/>
    </row>
    <row r="2416" spans="1:12">
      <c r="A2416" s="20" t="s">
        <v>275</v>
      </c>
      <c r="E2416" s="21">
        <f>IF(D2416="?OLD","!!!","")</f>
        <v/>
      </c>
      <c r="F2416" s="22" t="str">
        <f>IF(OR(E2416="",E2416="!!!"),"",IF(NOT(ISNA(VLOOKUP(E2416,E$1:E2415,1,FALSE()))),"OLD",IF(AND(E2416&lt;&gt;"",E2416&lt;&gt;"!!!"),"NEW","")))</f>
        <v> </v>
      </c>
      <c r="G2416" s="23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4" t="str">
        <f>IF(J2416&lt;&gt;1,"",IF(I2416="SBJ","CB","?"))</f>
        <v> </v>
      </c>
      <c r="I2416" s="25" t="str">
        <f>IF(OR(E2416="",E2416="!!!",F2416="NEW"),"",INDEX(B2415:B$2,-1+SUMPRODUCT(MAX(ROW(E2415:E$2)*(E2416=E2415:E$2)))))</f>
        <v> </v>
      </c>
      <c r="J2416" s="25" t="str">
        <f>IF(OR(E2416="",E2416="!!!",F2416="NEW"),"",COUNTBLANK(OFFSET(A$1,,,SUMPRODUCT(MAX(ROW(E$2:E2416)*(E2416=E$2:E2416)))))-COUNTBLANK(OFFSET(A$1,,,SUMPRODUCT(MAX(ROW(E$1:E2415)*(E2=E$1:E2415))))))</f>
        <v> </v>
      </c>
      <c r="K2416" s="25" t="str">
        <f>IF(OR(E2416="",E2416="!!!",F2416="NEW"),"",INDEX(J$1:J2415,SUMPRODUCT(MAX(ROW(E$1:E2415)*(E2416=E$1:E2415)))))</f>
        <v> </v>
      </c>
      <c r="L2416" s="26"/>
    </row>
    <row r="2417" spans="1:12">
      <c r="A2417" s="20" t="s">
        <v>1143</v>
      </c>
      <c r="E2417" s="21">
        <f>IF(D2417="?OLD","!!!","")</f>
        <v/>
      </c>
      <c r="F2417" s="22" t="str">
        <f>IF(OR(E2417="",E2417="!!!"),"",IF(NOT(ISNA(VLOOKUP(E2417,E$1:E2416,1,FALSE()))),"OLD",IF(AND(E2417&lt;&gt;"",E2417&lt;&gt;"!!!"),"NEW","")))</f>
        <v> </v>
      </c>
      <c r="G2417" s="23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4" t="str">
        <f>IF(J2417&lt;&gt;1,"",IF(I2417="SBJ","CB","?"))</f>
        <v> </v>
      </c>
      <c r="I2417" s="25" t="str">
        <f>IF(OR(E2417="",E2417="!!!",F2417="NEW"),"",INDEX(B2416:B$2,-1+SUMPRODUCT(MAX(ROW(E2416:E$2)*(E2417=E2416:E$2)))))</f>
        <v> </v>
      </c>
      <c r="J2417" s="25" t="str">
        <f>IF(OR(E2417="",E2417="!!!",F2417="NEW"),"",COUNTBLANK(OFFSET(A$1,,,SUMPRODUCT(MAX(ROW(E$2:E2417)*(E2417=E$2:E2417)))))-COUNTBLANK(OFFSET(A$1,,,SUMPRODUCT(MAX(ROW(E$1:E2416)*(E2=E$1:E2416))))))</f>
        <v> </v>
      </c>
      <c r="K2417" s="25" t="str">
        <f>IF(OR(E2417="",E2417="!!!",F2417="NEW"),"",INDEX(J$1:J2416,SUMPRODUCT(MAX(ROW(E$1:E2416)*(E2417=E$1:E2416)))))</f>
        <v> </v>
      </c>
      <c r="L2417" s="26"/>
    </row>
    <row r="2418" spans="1:12">
      <c r="A2418" s="20" t="s">
        <v>1905</v>
      </c>
      <c r="E2418" s="21">
        <f>IF(D2418="?OLD","!!!","")</f>
        <v/>
      </c>
      <c r="F2418" s="22" t="str">
        <f>IF(OR(E2418="",E2418="!!!"),"",IF(NOT(ISNA(VLOOKUP(E2418,E$1:E2417,1,FALSE()))),"OLD",IF(AND(E2418&lt;&gt;"",E2418&lt;&gt;"!!!"),"NEW","")))</f>
        <v> </v>
      </c>
      <c r="G2418" s="23" t="str">
        <f>IF(OR(E2418="",E2418="!!!"),"",IF(OR(J2418=0,AND(J2418=1,K2418=1),AND(J2418=1,I2418="SBJ"),AND(J2418=1,I2418=0)),"?IN_FOCUS",IF(J2418&lt;=2,"?ACTIVATED",IF(J2418&lt;&gt;"","?FAMILIAR",IF(F2418="NEW",IF(ISNA(VLOOKUP(E2418,#REF!,1,FALSE())),"?TYPE_IDENTIFIABLE","?REFERENTIAL"),"_")))))</f>
        <v> </v>
      </c>
      <c r="H2418" s="24" t="str">
        <f>IF(J2418&lt;&gt;1,"",IF(I2418="SBJ","CB","?"))</f>
        <v> </v>
      </c>
      <c r="I2418" s="25" t="str">
        <f>IF(OR(E2418="",E2418="!!!",F2418="NEW"),"",INDEX(B2417:B$2,-1+SUMPRODUCT(MAX(ROW(E2417:E$2)*(E2418=E2417:E$2)))))</f>
        <v> </v>
      </c>
      <c r="J2418" s="25" t="str">
        <f>IF(OR(E2418="",E2418="!!!",F2418="NEW"),"",COUNTBLANK(OFFSET(A$1,,,SUMPRODUCT(MAX(ROW(E$2:E2418)*(E2418=E$2:E2418)))))-COUNTBLANK(OFFSET(A$1,,,SUMPRODUCT(MAX(ROW(E$1:E2417)*(E2=E$1:E2417))))))</f>
        <v> </v>
      </c>
      <c r="K2418" s="25" t="str">
        <f>IF(OR(E2418="",E2418="!!!",F2418="NEW"),"",INDEX(J$1:J2417,SUMPRODUCT(MAX(ROW(E$1:E2417)*(E2418=E$1:E2417)))))</f>
        <v> </v>
      </c>
      <c r="L2418" s="26"/>
    </row>
    <row r="2419" spans="1:12">
      <c r="A2419" s="20" t="s">
        <v>1337</v>
      </c>
      <c r="E2419" s="21">
        <f>IF(D2419="?OLD","!!!","")</f>
        <v/>
      </c>
      <c r="F2419" s="22" t="str">
        <f>IF(OR(E2419="",E2419="!!!"),"",IF(NOT(ISNA(VLOOKUP(E2419,E$1:E2418,1,FALSE()))),"OLD",IF(AND(E2419&lt;&gt;"",E2419&lt;&gt;"!!!"),"NEW","")))</f>
        <v> </v>
      </c>
      <c r="G2419" s="23" t="str">
        <f>IF(OR(E2419="",E2419="!!!"),"",IF(OR(J2419=0,AND(J2419=1,K2419=1),AND(J2419=1,I2419="SBJ"),AND(J2419=1,I2419=0)),"?IN_FOCUS",IF(J2419&lt;=2,"?ACTIVATED",IF(J2419&lt;&gt;"","?FAMILIAR",IF(F2419="NEW",IF(ISNA(VLOOKUP(E2419,#REF!,1,FALSE())),"?TYPE_IDENTIFIABLE","?REFERENTIAL"),"_")))))</f>
        <v> </v>
      </c>
      <c r="H2419" s="24" t="str">
        <f>IF(J2419&lt;&gt;1,"",IF(I2419="SBJ","CB","?"))</f>
        <v> </v>
      </c>
      <c r="I2419" s="25" t="str">
        <f>IF(OR(E2419="",E2419="!!!",F2419="NEW"),"",INDEX(B2418:B$2,-1+SUMPRODUCT(MAX(ROW(E2418:E$2)*(E2419=E2418:E$2)))))</f>
        <v> </v>
      </c>
      <c r="J2419" s="25" t="str">
        <f>IF(OR(E2419="",E2419="!!!",F2419="NEW"),"",COUNTBLANK(OFFSET(A$1,,,SUMPRODUCT(MAX(ROW(E$2:E2419)*(E2419=E$2:E2419)))))-COUNTBLANK(OFFSET(A$1,,,SUMPRODUCT(MAX(ROW(E$1:E2418)*(E2=E$1:E2418))))))</f>
        <v> </v>
      </c>
      <c r="K2419" s="25" t="str">
        <f>IF(OR(E2419="",E2419="!!!",F2419="NEW"),"",INDEX(J$1:J2418,SUMPRODUCT(MAX(ROW(E$1:E2418)*(E2419=E$1:E2418)))))</f>
        <v> </v>
      </c>
      <c r="L2419" s="26"/>
    </row>
    <row r="2420" spans="1:12">
      <c r="A2420" s="20" t="s">
        <v>1018</v>
      </c>
      <c r="E2420" s="21">
        <f>IF(D2420="?OLD","!!!","")</f>
        <v/>
      </c>
      <c r="F2420" s="22" t="str">
        <f>IF(OR(E2420="",E2420="!!!"),"",IF(NOT(ISNA(VLOOKUP(E2420,E$1:E2419,1,FALSE()))),"OLD",IF(AND(E2420&lt;&gt;"",E2420&lt;&gt;"!!!"),"NEW","")))</f>
        <v> </v>
      </c>
      <c r="G2420" s="23" t="str">
        <f>IF(OR(E2420="",E2420="!!!"),"",IF(OR(J2420=0,AND(J2420=1,K2420=1),AND(J2420=1,I2420="SBJ"),AND(J2420=1,I2420=0)),"?IN_FOCUS",IF(J2420&lt;=2,"?ACTIVATED",IF(J2420&lt;&gt;"","?FAMILIAR",IF(F2420="NEW",IF(ISNA(VLOOKUP(E2420,#REF!,1,FALSE())),"?TYPE_IDENTIFIABLE","?REFERENTIAL"),"_")))))</f>
        <v> </v>
      </c>
      <c r="H2420" s="24" t="str">
        <f>IF(J2420&lt;&gt;1,"",IF(I2420="SBJ","CB","?"))</f>
        <v> </v>
      </c>
      <c r="I2420" s="25" t="str">
        <f>IF(OR(E2420="",E2420="!!!",F2420="NEW"),"",INDEX(B2419:B$2,-1+SUMPRODUCT(MAX(ROW(E2419:E$2)*(E2420=E2419:E$2)))))</f>
        <v> </v>
      </c>
      <c r="J2420" s="25" t="str">
        <f>IF(OR(E2420="",E2420="!!!",F2420="NEW"),"",COUNTBLANK(OFFSET(A$1,,,SUMPRODUCT(MAX(ROW(E$2:E2420)*(E2420=E$2:E2420)))))-COUNTBLANK(OFFSET(A$1,,,SUMPRODUCT(MAX(ROW(E$1:E2419)*(E2=E$1:E2419))))))</f>
        <v> </v>
      </c>
      <c r="K2420" s="25" t="str">
        <f>IF(OR(E2420="",E2420="!!!",F2420="NEW"),"",INDEX(J$1:J2419,SUMPRODUCT(MAX(ROW(E$1:E2419)*(E2420=E$1:E2419)))))</f>
        <v> </v>
      </c>
      <c r="L2420" s="26"/>
    </row>
    <row r="2421" spans="1:12">
      <c r="A2421" s="20" t="s">
        <v>1156</v>
      </c>
      <c r="B2421" s="27" t="s">
        <v>1079</v>
      </c>
      <c r="C2421" s="27" t="s">
        <v>1021</v>
      </c>
      <c r="E2421" s="21">
        <f>IF(D2421="?OLD","!!!","")</f>
        <v/>
      </c>
      <c r="F2421" s="22" t="str">
        <f>IF(OR(E2421="",E2421="!!!"),"",IF(NOT(ISNA(VLOOKUP(E2421,E$1:E2420,1,FALSE()))),"OLD",IF(AND(E2421&lt;&gt;"",E2421&lt;&gt;"!!!"),"NEW","")))</f>
        <v> </v>
      </c>
      <c r="G2421" s="23" t="str">
        <f>IF(OR(E2421="",E2421="!!!"),"",IF(OR(J2421=0,AND(J2421=1,K2421=1),AND(J2421=1,I2421="SBJ"),AND(J2421=1,I2421=0)),"?IN_FOCUS",IF(J2421&lt;=2,"?ACTIVATED",IF(J2421&lt;&gt;"","?FAMILIAR",IF(F2421="NEW",IF(ISNA(VLOOKUP(E2421,#REF!,1,FALSE())),"?TYPE_IDENTIFIABLE","?REFERENTIAL"),"_")))))</f>
        <v> </v>
      </c>
      <c r="H2421" s="24" t="str">
        <f>IF(J2421&lt;&gt;1,"",IF(I2421="SBJ","CB","?"))</f>
        <v> </v>
      </c>
      <c r="I2421" s="25" t="str">
        <f>IF(OR(E2421="",E2421="!!!",F2421="NEW"),"",INDEX(B2420:B$2,-1+SUMPRODUCT(MAX(ROW(E2420:E$2)*(E2421=E2420:E$2)))))</f>
        <v> </v>
      </c>
      <c r="J2421" s="25" t="str">
        <f>IF(OR(E2421="",E2421="!!!",F2421="NEW"),"",COUNTBLANK(OFFSET(A$1,,,SUMPRODUCT(MAX(ROW(E$2:E2421)*(E2421=E$2:E2421)))))-COUNTBLANK(OFFSET(A$1,,,SUMPRODUCT(MAX(ROW(E$1:E2420)*(E2=E$1:E2420))))))</f>
        <v> </v>
      </c>
      <c r="K2421" s="25" t="str">
        <f>IF(OR(E2421="",E2421="!!!",F2421="NEW"),"",INDEX(J$1:J2420,SUMPRODUCT(MAX(ROW(E$1:E2420)*(E2421=E$1:E2420)))))</f>
        <v> </v>
      </c>
      <c r="L2421" s="26"/>
    </row>
    <row r="2422" spans="1:12">
      <c r="A2422" s="20" t="s">
        <v>1906</v>
      </c>
      <c r="E2422" s="21">
        <f>IF(D2422="?OLD","!!!","")</f>
        <v/>
      </c>
      <c r="F2422" s="22" t="str">
        <f>IF(OR(E2422="",E2422="!!!"),"",IF(NOT(ISNA(VLOOKUP(E2422,E$1:E2421,1,FALSE()))),"OLD",IF(AND(E2422&lt;&gt;"",E2422&lt;&gt;"!!!"),"NEW","")))</f>
        <v> </v>
      </c>
      <c r="G2422" s="23" t="str">
        <f>IF(OR(E2422="",E2422="!!!"),"",IF(OR(J2422=0,AND(J2422=1,K2422=1),AND(J2422=1,I2422="SBJ"),AND(J2422=1,I2422=0)),"?IN_FOCUS",IF(J2422&lt;=2,"?ACTIVATED",IF(J2422&lt;&gt;"","?FAMILIAR",IF(F2422="NEW",IF(ISNA(VLOOKUP(E2422,#REF!,1,FALSE())),"?TYPE_IDENTIFIABLE","?REFERENTIAL"),"_")))))</f>
        <v> </v>
      </c>
      <c r="H2422" s="24" t="str">
        <f>IF(J2422&lt;&gt;1,"",IF(I2422="SBJ","CB","?"))</f>
        <v> </v>
      </c>
      <c r="I2422" s="25" t="str">
        <f>IF(OR(E2422="",E2422="!!!",F2422="NEW"),"",INDEX(B2421:B$2,-1+SUMPRODUCT(MAX(ROW(E2421:E$2)*(E2422=E2421:E$2)))))</f>
        <v> </v>
      </c>
      <c r="J2422" s="25" t="str">
        <f>IF(OR(E2422="",E2422="!!!",F2422="NEW"),"",COUNTBLANK(OFFSET(A$1,,,SUMPRODUCT(MAX(ROW(E$2:E2422)*(E2422=E$2:E2422)))))-COUNTBLANK(OFFSET(A$1,,,SUMPRODUCT(MAX(ROW(E$1:E2421)*(E2=E$1:E2421))))))</f>
        <v> </v>
      </c>
      <c r="K2422" s="25" t="str">
        <f>IF(OR(E2422="",E2422="!!!",F2422="NEW"),"",INDEX(J$1:J2421,SUMPRODUCT(MAX(ROW(E$1:E2421)*(E2422=E$1:E2421)))))</f>
        <v> </v>
      </c>
      <c r="L2422" s="26"/>
    </row>
    <row r="2423" spans="1:12">
      <c r="A2423" s="20" t="s">
        <v>1022</v>
      </c>
      <c r="E2423" s="21">
        <f>IF(D2423="?OLD","!!!","")</f>
        <v/>
      </c>
      <c r="F2423" s="22" t="str">
        <f>IF(OR(E2423="",E2423="!!!"),"",IF(NOT(ISNA(VLOOKUP(E2423,E$1:E2422,1,FALSE()))),"OLD",IF(AND(E2423&lt;&gt;"",E2423&lt;&gt;"!!!"),"NEW","")))</f>
        <v> </v>
      </c>
      <c r="G2423" s="23" t="str">
        <f>IF(OR(E2423="",E2423="!!!"),"",IF(OR(J2423=0,AND(J2423=1,K2423=1),AND(J2423=1,I2423="SBJ"),AND(J2423=1,I2423=0)),"?IN_FOCUS",IF(J2423&lt;=2,"?ACTIVATED",IF(J2423&lt;&gt;"","?FAMILIAR",IF(F2423="NEW",IF(ISNA(VLOOKUP(E2423,#REF!,1,FALSE())),"?TYPE_IDENTIFIABLE","?REFERENTIAL"),"_")))))</f>
        <v> </v>
      </c>
      <c r="H2423" s="24" t="str">
        <f>IF(J2423&lt;&gt;1,"",IF(I2423="SBJ","CB","?"))</f>
        <v> </v>
      </c>
      <c r="I2423" s="25" t="str">
        <f>IF(OR(E2423="",E2423="!!!",F2423="NEW"),"",INDEX(B2422:B$2,-1+SUMPRODUCT(MAX(ROW(E2422:E$2)*(E2423=E2422:E$2)))))</f>
        <v> </v>
      </c>
      <c r="J2423" s="25" t="str">
        <f>IF(OR(E2423="",E2423="!!!",F2423="NEW"),"",COUNTBLANK(OFFSET(A$1,,,SUMPRODUCT(MAX(ROW(E$2:E2423)*(E2423=E$2:E2423)))))-COUNTBLANK(OFFSET(A$1,,,SUMPRODUCT(MAX(ROW(E$1:E2422)*(E2=E$1:E2422))))))</f>
        <v> </v>
      </c>
      <c r="K2423" s="25" t="str">
        <f>IF(OR(E2423="",E2423="!!!",F2423="NEW"),"",INDEX(J$1:J2422,SUMPRODUCT(MAX(ROW(E$1:E2422)*(E2423=E$1:E2422)))))</f>
        <v> </v>
      </c>
      <c r="L2423" s="26"/>
    </row>
    <row r="2424" spans="1:12">
      <c r="A2424" s="20" t="s">
        <v>1083</v>
      </c>
      <c r="E2424" s="21">
        <f>IF(D2424="?OLD","!!!","")</f>
        <v/>
      </c>
      <c r="F2424" s="22" t="str">
        <f>IF(OR(E2424="",E2424="!!!"),"",IF(NOT(ISNA(VLOOKUP(E2424,E$1:E2423,1,FALSE()))),"OLD",IF(AND(E2424&lt;&gt;"",E2424&lt;&gt;"!!!"),"NEW","")))</f>
        <v> </v>
      </c>
      <c r="G2424" s="23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4" t="str">
        <f>IF(J2424&lt;&gt;1,"",IF(I2424="SBJ","CB","?"))</f>
        <v> </v>
      </c>
      <c r="I2424" s="25" t="str">
        <f>IF(OR(E2424="",E2424="!!!",F2424="NEW"),"",INDEX(B2423:B$2,-1+SUMPRODUCT(MAX(ROW(E2423:E$2)*(E2424=E2423:E$2)))))</f>
        <v> </v>
      </c>
      <c r="J2424" s="25" t="str">
        <f>IF(OR(E2424="",E2424="!!!",F2424="NEW"),"",COUNTBLANK(OFFSET(A$1,,,SUMPRODUCT(MAX(ROW(E$2:E2424)*(E2424=E$2:E2424)))))-COUNTBLANK(OFFSET(A$1,,,SUMPRODUCT(MAX(ROW(E$1:E2423)*(E2=E$1:E2423))))))</f>
        <v> </v>
      </c>
      <c r="K2424" s="25" t="str">
        <f>IF(OR(E2424="",E2424="!!!",F2424="NEW"),"",INDEX(J$1:J2423,SUMPRODUCT(MAX(ROW(E$1:E2423)*(E2424=E$1:E2423)))))</f>
        <v> </v>
      </c>
      <c r="L2424" s="26"/>
    </row>
    <row r="2425" spans="1:12">
      <c r="A2425" s="20" t="s">
        <v>1057</v>
      </c>
      <c r="E2425" s="21">
        <f>IF(D2425="?OLD","!!!","")</f>
        <v/>
      </c>
      <c r="F2425" s="22" t="str">
        <f>IF(OR(E2425="",E2425="!!!"),"",IF(NOT(ISNA(VLOOKUP(E2425,E$1:E2424,1,FALSE()))),"OLD",IF(AND(E2425&lt;&gt;"",E2425&lt;&gt;"!!!"),"NEW","")))</f>
        <v> </v>
      </c>
      <c r="G2425" s="23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4" t="str">
        <f>IF(J2425&lt;&gt;1,"",IF(I2425="SBJ","CB","?"))</f>
        <v> </v>
      </c>
      <c r="I2425" s="25" t="str">
        <f>IF(OR(E2425="",E2425="!!!",F2425="NEW"),"",INDEX(B2424:B$2,-1+SUMPRODUCT(MAX(ROW(E2424:E$2)*(E2425=E2424:E$2)))))</f>
        <v> </v>
      </c>
      <c r="J2425" s="25" t="str">
        <f>IF(OR(E2425="",E2425="!!!",F2425="NEW"),"",COUNTBLANK(OFFSET(A$1,,,SUMPRODUCT(MAX(ROW(E$2:E2425)*(E2425=E$2:E2425)))))-COUNTBLANK(OFFSET(A$1,,,SUMPRODUCT(MAX(ROW(E$1:E2424)*(E2=E$1:E2424))))))</f>
        <v> </v>
      </c>
      <c r="K2425" s="25" t="str">
        <f>IF(OR(E2425="",E2425="!!!",F2425="NEW"),"",INDEX(J$1:J2424,SUMPRODUCT(MAX(ROW(E$1:E2424)*(E2425=E$1:E2424)))))</f>
        <v> </v>
      </c>
      <c r="L2425" s="26"/>
    </row>
    <row r="2426" spans="1:12">
      <c r="A2426" s="20" t="s">
        <v>1123</v>
      </c>
      <c r="B2426" s="27" t="s">
        <v>1069</v>
      </c>
      <c r="C2426" s="27" t="s">
        <v>1050</v>
      </c>
      <c r="D2426" s="27" t="s">
        <v>1030</v>
      </c>
      <c r="E2426" s="21">
        <f>IF(D2426="?OLD","!!!","")</f>
        <v/>
      </c>
      <c r="F2426" s="22" t="str">
        <f>IF(OR(E2426="",E2426="!!!"),"",IF(NOT(ISNA(VLOOKUP(E2426,E$1:E2425,1,FALSE()))),"OLD",IF(AND(E2426&lt;&gt;"",E2426&lt;&gt;"!!!"),"NEW","")))</f>
        <v> </v>
      </c>
      <c r="G2426" s="23" t="str">
        <f>IF(OR(E2426="",E2426="!!!"),"",IF(OR(J2426=0,AND(J2426=1,K2426=1),AND(J2426=1,I2426="SBJ"),AND(J2426=1,I2426=0)),"?IN_FOCUS",IF(J2426&lt;=2,"?ACTIVATED",IF(J2426&lt;&gt;"","?FAMILIAR",IF(F2426="NEW",IF(ISNA(VLOOKUP(E2426,#REF!,1,FALSE())),"?TYPE_IDENTIFIABLE","?REFERENTIAL"),"_")))))</f>
        <v> </v>
      </c>
      <c r="H2426" s="24" t="str">
        <f>IF(J2426&lt;&gt;1,"",IF(I2426="SBJ","CB","?"))</f>
        <v> </v>
      </c>
      <c r="I2426" s="25" t="str">
        <f>IF(OR(E2426="",E2426="!!!",F2426="NEW"),"",INDEX(B2425:B$2,-1+SUMPRODUCT(MAX(ROW(E2425:E$2)*(E2426=E2425:E$2)))))</f>
        <v> </v>
      </c>
      <c r="J2426" s="25" t="str">
        <f>IF(OR(E2426="",E2426="!!!",F2426="NEW"),"",COUNTBLANK(OFFSET(A$1,,,SUMPRODUCT(MAX(ROW(E$2:E2426)*(E2426=E$2:E2426)))))-COUNTBLANK(OFFSET(A$1,,,SUMPRODUCT(MAX(ROW(E$1:E2425)*(E2=E$1:E2425))))))</f>
        <v> </v>
      </c>
      <c r="K2426" s="25" t="str">
        <f>IF(OR(E2426="",E2426="!!!",F2426="NEW"),"",INDEX(J$1:J2425,SUMPRODUCT(MAX(ROW(E$1:E2425)*(E2426=E$1:E2425)))))</f>
        <v> </v>
      </c>
      <c r="L2426" s="26"/>
    </row>
    <row r="2427" spans="1:12">
      <c r="A2427" s="20" t="s">
        <v>1563</v>
      </c>
      <c r="E2427" s="21">
        <f>IF(D2427="?OLD","!!!","")</f>
        <v/>
      </c>
      <c r="F2427" s="22" t="str">
        <f>IF(OR(E2427="",E2427="!!!"),"",IF(NOT(ISNA(VLOOKUP(E2427,E$1:E2426,1,FALSE()))),"OLD",IF(AND(E2427&lt;&gt;"",E2427&lt;&gt;"!!!"),"NEW","")))</f>
        <v> </v>
      </c>
      <c r="G2427" s="23" t="str">
        <f>IF(OR(E2427="",E2427="!!!"),"",IF(OR(J2427=0,AND(J2427=1,K2427=1),AND(J2427=1,I2427="SBJ"),AND(J2427=1,I2427=0)),"?IN_FOCUS",IF(J2427&lt;=2,"?ACTIVATED",IF(J2427&lt;&gt;"","?FAMILIAR",IF(F2427="NEW",IF(ISNA(VLOOKUP(E2427,#REF!,1,FALSE())),"?TYPE_IDENTIFIABLE","?REFERENTIAL"),"_")))))</f>
        <v> </v>
      </c>
      <c r="H2427" s="24" t="str">
        <f>IF(J2427&lt;&gt;1,"",IF(I2427="SBJ","CB","?"))</f>
        <v> </v>
      </c>
      <c r="I2427" s="25" t="str">
        <f>IF(OR(E2427="",E2427="!!!",F2427="NEW"),"",INDEX(B2426:B$2,-1+SUMPRODUCT(MAX(ROW(E2426:E$2)*(E2427=E2426:E$2)))))</f>
        <v> </v>
      </c>
      <c r="J2427" s="25" t="str">
        <f>IF(OR(E2427="",E2427="!!!",F2427="NEW"),"",COUNTBLANK(OFFSET(A$1,,,SUMPRODUCT(MAX(ROW(E$2:E2427)*(E2427=E$2:E2427)))))-COUNTBLANK(OFFSET(A$1,,,SUMPRODUCT(MAX(ROW(E$1:E2426)*(E2=E$1:E2426))))))</f>
        <v> </v>
      </c>
      <c r="K2427" s="25" t="str">
        <f>IF(OR(E2427="",E2427="!!!",F2427="NEW"),"",INDEX(J$1:J2426,SUMPRODUCT(MAX(ROW(E$1:E2426)*(E2427=E$1:E2426)))))</f>
        <v> </v>
      </c>
      <c r="L2427" s="26"/>
    </row>
    <row r="2428" spans="1:12">
      <c r="A2428" s="20" t="s">
        <v>1907</v>
      </c>
      <c r="E2428" s="21">
        <f>IF(D2428="?OLD","!!!","")</f>
        <v/>
      </c>
      <c r="F2428" s="22" t="str">
        <f>IF(OR(E2428="",E2428="!!!"),"",IF(NOT(ISNA(VLOOKUP(E2428,E$1:E2427,1,FALSE()))),"OLD",IF(AND(E2428&lt;&gt;"",E2428&lt;&gt;"!!!"),"NEW","")))</f>
        <v> </v>
      </c>
      <c r="G2428" s="23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4" t="str">
        <f>IF(J2428&lt;&gt;1,"",IF(I2428="SBJ","CB","?"))</f>
        <v> </v>
      </c>
      <c r="I2428" s="25" t="str">
        <f>IF(OR(E2428="",E2428="!!!",F2428="NEW"),"",INDEX(B2427:B$2,-1+SUMPRODUCT(MAX(ROW(E2427:E$2)*(E2428=E2427:E$2)))))</f>
        <v> </v>
      </c>
      <c r="J2428" s="25" t="str">
        <f>IF(OR(E2428="",E2428="!!!",F2428="NEW"),"",COUNTBLANK(OFFSET(A$1,,,SUMPRODUCT(MAX(ROW(E$2:E2428)*(E2428=E$2:E2428)))))-COUNTBLANK(OFFSET(A$1,,,SUMPRODUCT(MAX(ROW(E$1:E2427)*(E2=E$1:E2427))))))</f>
        <v> </v>
      </c>
      <c r="K2428" s="25" t="str">
        <f>IF(OR(E2428="",E2428="!!!",F2428="NEW"),"",INDEX(J$1:J2427,SUMPRODUCT(MAX(ROW(E$1:E2427)*(E2428=E$1:E2427)))))</f>
        <v> </v>
      </c>
      <c r="L2428" s="26"/>
    </row>
    <row r="2429" spans="1:12">
      <c r="A2429" s="20" t="s">
        <v>1186</v>
      </c>
      <c r="B2429" s="27" t="s">
        <v>1098</v>
      </c>
      <c r="C2429" s="27" t="s">
        <v>1050</v>
      </c>
      <c r="D2429" s="27" t="s">
        <v>1030</v>
      </c>
      <c r="E2429" s="21">
        <f>IF(D2429="?OLD","!!!","")</f>
        <v/>
      </c>
      <c r="F2429" s="22" t="str">
        <f>IF(OR(E2429="",E2429="!!!"),"",IF(NOT(ISNA(VLOOKUP(E2429,E$1:E2428,1,FALSE()))),"OLD",IF(AND(E2429&lt;&gt;"",E2429&lt;&gt;"!!!"),"NEW","")))</f>
        <v> </v>
      </c>
      <c r="G2429" s="23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4" t="str">
        <f>IF(J2429&lt;&gt;1,"",IF(I2429="SBJ","CB","?"))</f>
        <v> </v>
      </c>
      <c r="I2429" s="25" t="str">
        <f>IF(OR(E2429="",E2429="!!!",F2429="NEW"),"",INDEX(B2428:B$2,-1+SUMPRODUCT(MAX(ROW(E2428:E$2)*(E2429=E2428:E$2)))))</f>
        <v> </v>
      </c>
      <c r="J2429" s="25" t="str">
        <f>IF(OR(E2429="",E2429="!!!",F2429="NEW"),"",COUNTBLANK(OFFSET(A$1,,,SUMPRODUCT(MAX(ROW(E$2:E2429)*(E2429=E$2:E2429)))))-COUNTBLANK(OFFSET(A$1,,,SUMPRODUCT(MAX(ROW(E$1:E2428)*(E2=E$1:E2428))))))</f>
        <v> </v>
      </c>
      <c r="K2429" s="25" t="str">
        <f>IF(OR(E2429="",E2429="!!!",F2429="NEW"),"",INDEX(J$1:J2428,SUMPRODUCT(MAX(ROW(E$1:E2428)*(E2429=E$1:E2428)))))</f>
        <v> </v>
      </c>
      <c r="L2429" s="26"/>
    </row>
    <row r="2430" spans="1:12">
      <c r="A2430" s="20" t="s">
        <v>505</v>
      </c>
      <c r="E2430" s="21">
        <f>IF(D2430="?OLD","!!!","")</f>
        <v/>
      </c>
      <c r="F2430" s="22" t="str">
        <f>IF(OR(E2430="",E2430="!!!"),"",IF(NOT(ISNA(VLOOKUP(E2430,E$1:E2429,1,FALSE()))),"OLD",IF(AND(E2430&lt;&gt;"",E2430&lt;&gt;"!!!"),"NEW","")))</f>
        <v> </v>
      </c>
      <c r="G2430" s="23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4" t="str">
        <f>IF(J2430&lt;&gt;1,"",IF(I2430="SBJ","CB","?"))</f>
        <v> </v>
      </c>
      <c r="I2430" s="25" t="str">
        <f>IF(OR(E2430="",E2430="!!!",F2430="NEW"),"",INDEX(B2429:B$2,-1+SUMPRODUCT(MAX(ROW(E2429:E$2)*(E2430=E2429:E$2)))))</f>
        <v> </v>
      </c>
      <c r="J2430" s="25" t="str">
        <f>IF(OR(E2430="",E2430="!!!",F2430="NEW"),"",COUNTBLANK(OFFSET(A$1,,,SUMPRODUCT(MAX(ROW(E$2:E2430)*(E2430=E$2:E2430)))))-COUNTBLANK(OFFSET(A$1,,,SUMPRODUCT(MAX(ROW(E$1:E2429)*(E2=E$1:E2429))))))</f>
        <v> </v>
      </c>
      <c r="K2430" s="25" t="str">
        <f>IF(OR(E2430="",E2430="!!!",F2430="NEW"),"",INDEX(J$1:J2429,SUMPRODUCT(MAX(ROW(E$1:E2429)*(E2430=E$1:E2429)))))</f>
        <v> </v>
      </c>
      <c r="L2430" s="26"/>
    </row>
    <row r="2431" spans="1:12">
      <c r="A2431" s="20" t="s">
        <v>1034</v>
      </c>
      <c r="E2431" s="21">
        <f>IF(D2431="?OLD","!!!","")</f>
        <v/>
      </c>
      <c r="F2431" s="22" t="str">
        <f>IF(OR(E2431="",E2431="!!!"),"",IF(NOT(ISNA(VLOOKUP(E2431,E$1:E2430,1,FALSE()))),"OLD",IF(AND(E2431&lt;&gt;"",E2431&lt;&gt;"!!!"),"NEW","")))</f>
        <v> </v>
      </c>
      <c r="G2431" s="23" t="str">
        <f>IF(OR(E2431="",E2431="!!!"),"",IF(OR(J2431=0,AND(J2431=1,K2431=1),AND(J2431=1,I2431="SBJ"),AND(J2431=1,I2431=0)),"?IN_FOCUS",IF(J2431&lt;=2,"?ACTIVATED",IF(J2431&lt;&gt;"","?FAMILIAR",IF(F2431="NEW",IF(ISNA(VLOOKUP(E2431,#REF!,1,FALSE())),"?TYPE_IDENTIFIABLE","?REFERENTIAL"),"_")))))</f>
        <v> </v>
      </c>
      <c r="H2431" s="24" t="str">
        <f>IF(J2431&lt;&gt;1,"",IF(I2431="SBJ","CB","?"))</f>
        <v> </v>
      </c>
      <c r="I2431" s="25" t="str">
        <f>IF(OR(E2431="",E2431="!!!",F2431="NEW"),"",INDEX(B2430:B$2,-1+SUMPRODUCT(MAX(ROW(E2430:E$2)*(E2431=E2430:E$2)))))</f>
        <v> </v>
      </c>
      <c r="J2431" s="25" t="str">
        <f>IF(OR(E2431="",E2431="!!!",F2431="NEW"),"",COUNTBLANK(OFFSET(A$1,,,SUMPRODUCT(MAX(ROW(E$2:E2431)*(E2431=E$2:E2431)))))-COUNTBLANK(OFFSET(A$1,,,SUMPRODUCT(MAX(ROW(E$1:E2430)*(E2=E$1:E2430))))))</f>
        <v> </v>
      </c>
      <c r="K2431" s="25" t="str">
        <f>IF(OR(E2431="",E2431="!!!",F2431="NEW"),"",INDEX(J$1:J2430,SUMPRODUCT(MAX(ROW(E$1:E2430)*(E2431=E$1:E2430)))))</f>
        <v> </v>
      </c>
      <c r="L2431" s="26"/>
    </row>
    <row r="2432" spans="1:12">
      <c r="A2432" s="20" t="s">
        <v>1376</v>
      </c>
      <c r="E2432" s="21">
        <f>IF(D2432="?OLD","!!!","")</f>
        <v/>
      </c>
      <c r="F2432" s="22" t="str">
        <f>IF(OR(E2432="",E2432="!!!"),"",IF(NOT(ISNA(VLOOKUP(E2432,E$1:E2431,1,FALSE()))),"OLD",IF(AND(E2432&lt;&gt;"",E2432&lt;&gt;"!!!"),"NEW","")))</f>
        <v> </v>
      </c>
      <c r="G2432" s="23" t="str">
        <f>IF(OR(E2432="",E2432="!!!"),"",IF(OR(J2432=0,AND(J2432=1,K2432=1),AND(J2432=1,I2432="SBJ"),AND(J2432=1,I2432=0)),"?IN_FOCUS",IF(J2432&lt;=2,"?ACTIVATED",IF(J2432&lt;&gt;"","?FAMILIAR",IF(F2432="NEW",IF(ISNA(VLOOKUP(E2432,#REF!,1,FALSE())),"?TYPE_IDENTIFIABLE","?REFERENTIAL"),"_")))))</f>
        <v> </v>
      </c>
      <c r="H2432" s="24" t="str">
        <f>IF(J2432&lt;&gt;1,"",IF(I2432="SBJ","CB","?"))</f>
        <v> </v>
      </c>
      <c r="I2432" s="25" t="str">
        <f>IF(OR(E2432="",E2432="!!!",F2432="NEW"),"",INDEX(B2431:B$2,-1+SUMPRODUCT(MAX(ROW(E2431:E$2)*(E2432=E2431:E$2)))))</f>
        <v> </v>
      </c>
      <c r="J2432" s="25" t="str">
        <f>IF(OR(E2432="",E2432="!!!",F2432="NEW"),"",COUNTBLANK(OFFSET(A$1,,,SUMPRODUCT(MAX(ROW(E$2:E2432)*(E2432=E$2:E2432)))))-COUNTBLANK(OFFSET(A$1,,,SUMPRODUCT(MAX(ROW(E$1:E2431)*(E2=E$1:E2431))))))</f>
        <v> </v>
      </c>
      <c r="K2432" s="25" t="str">
        <f>IF(OR(E2432="",E2432="!!!",F2432="NEW"),"",INDEX(J$1:J2431,SUMPRODUCT(MAX(ROW(E$1:E2431)*(E2432=E$1:E2431)))))</f>
        <v> </v>
      </c>
      <c r="L2432" s="26"/>
    </row>
    <row r="2433" spans="1:12">
      <c r="A2433" s="20" t="s">
        <v>1094</v>
      </c>
      <c r="E2433" s="21">
        <f>IF(D2433="?OLD","!!!","")</f>
        <v/>
      </c>
      <c r="F2433" s="22" t="str">
        <f>IF(OR(E2433="",E2433="!!!"),"",IF(NOT(ISNA(VLOOKUP(E2433,E$1:E2432,1,FALSE()))),"OLD",IF(AND(E2433&lt;&gt;"",E2433&lt;&gt;"!!!"),"NEW","")))</f>
        <v> </v>
      </c>
      <c r="G2433" s="23" t="str">
        <f>IF(OR(E2433="",E2433="!!!"),"",IF(OR(J2433=0,AND(J2433=1,K2433=1),AND(J2433=1,I2433="SBJ"),AND(J2433=1,I2433=0)),"?IN_FOCUS",IF(J2433&lt;=2,"?ACTIVATED",IF(J2433&lt;&gt;"","?FAMILIAR",IF(F2433="NEW",IF(ISNA(VLOOKUP(E2433,#REF!,1,FALSE())),"?TYPE_IDENTIFIABLE","?REFERENTIAL"),"_")))))</f>
        <v> </v>
      </c>
      <c r="H2433" s="24" t="str">
        <f>IF(J2433&lt;&gt;1,"",IF(I2433="SBJ","CB","?"))</f>
        <v> </v>
      </c>
      <c r="I2433" s="25" t="str">
        <f>IF(OR(E2433="",E2433="!!!",F2433="NEW"),"",INDEX(B2432:B$2,-1+SUMPRODUCT(MAX(ROW(E2432:E$2)*(E2433=E2432:E$2)))))</f>
        <v> </v>
      </c>
      <c r="J2433" s="25" t="str">
        <f>IF(OR(E2433="",E2433="!!!",F2433="NEW"),"",COUNTBLANK(OFFSET(A$1,,,SUMPRODUCT(MAX(ROW(E$2:E2433)*(E2433=E$2:E2433)))))-COUNTBLANK(OFFSET(A$1,,,SUMPRODUCT(MAX(ROW(E$1:E2432)*(E2=E$1:E2432))))))</f>
        <v> </v>
      </c>
      <c r="K2433" s="25" t="str">
        <f>IF(OR(E2433="",E2433="!!!",F2433="NEW"),"",INDEX(J$1:J2432,SUMPRODUCT(MAX(ROW(E$1:E2432)*(E2433=E$1:E2432)))))</f>
        <v> </v>
      </c>
      <c r="L2433" s="26"/>
    </row>
    <row r="2434" spans="1:12">
      <c r="A2434" s="20" t="s">
        <v>1908</v>
      </c>
      <c r="E2434" s="21">
        <f>IF(D2434="?OLD","!!!","")</f>
        <v/>
      </c>
      <c r="F2434" s="22" t="str">
        <f>IF(OR(E2434="",E2434="!!!"),"",IF(NOT(ISNA(VLOOKUP(E2434,E$1:E2433,1,FALSE()))),"OLD",IF(AND(E2434&lt;&gt;"",E2434&lt;&gt;"!!!"),"NEW","")))</f>
        <v> </v>
      </c>
      <c r="G2434" s="23" t="str">
        <f>IF(OR(E2434="",E2434="!!!"),"",IF(OR(J2434=0,AND(J2434=1,K2434=1),AND(J2434=1,I2434="SBJ"),AND(J2434=1,I2434=0)),"?IN_FOCUS",IF(J2434&lt;=2,"?ACTIVATED",IF(J2434&lt;&gt;"","?FAMILIAR",IF(F2434="NEW",IF(ISNA(VLOOKUP(E2434,#REF!,1,FALSE())),"?TYPE_IDENTIFIABLE","?REFERENTIAL"),"_")))))</f>
        <v> </v>
      </c>
      <c r="H2434" s="24" t="str">
        <f>IF(J2434&lt;&gt;1,"",IF(I2434="SBJ","CB","?"))</f>
        <v> </v>
      </c>
      <c r="I2434" s="25" t="str">
        <f>IF(OR(E2434="",E2434="!!!",F2434="NEW"),"",INDEX(B2433:B$2,-1+SUMPRODUCT(MAX(ROW(E2433:E$2)*(E2434=E2433:E$2)))))</f>
        <v> </v>
      </c>
      <c r="J2434" s="25" t="str">
        <f>IF(OR(E2434="",E2434="!!!",F2434="NEW"),"",COUNTBLANK(OFFSET(A$1,,,SUMPRODUCT(MAX(ROW(E$2:E2434)*(E2434=E$2:E2434)))))-COUNTBLANK(OFFSET(A$1,,,SUMPRODUCT(MAX(ROW(E$1:E2433)*(E2=E$1:E2433))))))</f>
        <v> </v>
      </c>
      <c r="K2434" s="25" t="str">
        <f>IF(OR(E2434="",E2434="!!!",F2434="NEW"),"",INDEX(J$1:J2433,SUMPRODUCT(MAX(ROW(E$1:E2433)*(E2434=E$1:E2433)))))</f>
        <v> </v>
      </c>
      <c r="L2434" s="26"/>
    </row>
    <row r="2435" spans="1:12">
      <c r="A2435" s="20" t="s">
        <v>1036</v>
      </c>
      <c r="E2435" s="21">
        <f>IF(D2435="?OLD","!!!","")</f>
        <v/>
      </c>
      <c r="F2435" s="22" t="str">
        <f>IF(OR(E2435="",E2435="!!!"),"",IF(NOT(ISNA(VLOOKUP(E2435,E$1:E2434,1,FALSE()))),"OLD",IF(AND(E2435&lt;&gt;"",E2435&lt;&gt;"!!!"),"NEW","")))</f>
        <v> </v>
      </c>
      <c r="G2435" s="23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4" t="str">
        <f>IF(J2435&lt;&gt;1,"",IF(I2435="SBJ","CB","?"))</f>
        <v> </v>
      </c>
      <c r="I2435" s="25" t="str">
        <f>IF(OR(E2435="",E2435="!!!",F2435="NEW"),"",INDEX(B2434:B$2,-1+SUMPRODUCT(MAX(ROW(E2434:E$2)*(E2435=E2434:E$2)))))</f>
        <v> </v>
      </c>
      <c r="J2435" s="25" t="str">
        <f>IF(OR(E2435="",E2435="!!!",F2435="NEW"),"",COUNTBLANK(OFFSET(A$1,,,SUMPRODUCT(MAX(ROW(E$2:E2435)*(E2435=E$2:E2435)))))-COUNTBLANK(OFFSET(A$1,,,SUMPRODUCT(MAX(ROW(E$1:E2434)*(E2=E$1:E2434))))))</f>
        <v> </v>
      </c>
      <c r="K2435" s="25" t="str">
        <f>IF(OR(E2435="",E2435="!!!",F2435="NEW"),"",INDEX(J$1:J2434,SUMPRODUCT(MAX(ROW(E$1:E2434)*(E2435=E$1:E2434)))))</f>
        <v> </v>
      </c>
      <c r="L2435" s="26"/>
    </row>
    <row r="2436" spans="1:12">
      <c r="A2436" s="20" t="s">
        <v>1203</v>
      </c>
      <c r="B2436" s="27" t="s">
        <v>1020</v>
      </c>
      <c r="C2436" s="27" t="s">
        <v>1038</v>
      </c>
      <c r="D2436" s="27" t="s">
        <v>1030</v>
      </c>
      <c r="E2436" s="21">
        <f>IF(D2436="?OLD","!!!","")</f>
        <v/>
      </c>
      <c r="F2436" s="22" t="str">
        <f>IF(OR(E2436="",E2436="!!!"),"",IF(NOT(ISNA(VLOOKUP(E2436,E$1:E2435,1,FALSE()))),"OLD",IF(AND(E2436&lt;&gt;"",E2436&lt;&gt;"!!!"),"NEW","")))</f>
        <v> </v>
      </c>
      <c r="G2436" s="23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4" t="str">
        <f>IF(J2436&lt;&gt;1,"",IF(I2436="SBJ","CB","?"))</f>
        <v> </v>
      </c>
      <c r="I2436" s="25" t="str">
        <f>IF(OR(E2436="",E2436="!!!",F2436="NEW"),"",INDEX(B2435:B$2,-1+SUMPRODUCT(MAX(ROW(E2435:E$2)*(E2436=E2435:E$2)))))</f>
        <v> </v>
      </c>
      <c r="J2436" s="25" t="str">
        <f>IF(OR(E2436="",E2436="!!!",F2436="NEW"),"",COUNTBLANK(OFFSET(A$1,,,SUMPRODUCT(MAX(ROW(E$2:E2436)*(E2436=E$2:E2436)))))-COUNTBLANK(OFFSET(A$1,,,SUMPRODUCT(MAX(ROW(E$1:E2435)*(E2=E$1:E2435))))))</f>
        <v> </v>
      </c>
      <c r="K2436" s="25" t="str">
        <f>IF(OR(E2436="",E2436="!!!",F2436="NEW"),"",INDEX(J$1:J2435,SUMPRODUCT(MAX(ROW(E$1:E2435)*(E2436=E$1:E2435)))))</f>
        <v> </v>
      </c>
      <c r="L2436" s="26"/>
    </row>
    <row r="2437" spans="1:12">
      <c r="A2437" s="20" t="s">
        <v>135</v>
      </c>
      <c r="E2437" s="21">
        <f>IF(D2437="?OLD","!!!","")</f>
        <v/>
      </c>
      <c r="F2437" s="22" t="str">
        <f>IF(OR(E2437="",E2437="!!!"),"",IF(NOT(ISNA(VLOOKUP(E2437,E$1:E2436,1,FALSE()))),"OLD",IF(AND(E2437&lt;&gt;"",E2437&lt;&gt;"!!!"),"NEW","")))</f>
        <v> </v>
      </c>
      <c r="G2437" s="23" t="str">
        <f>IF(OR(E2437="",E2437="!!!"),"",IF(OR(J2437=0,AND(J2437=1,K2437=1),AND(J2437=1,I2437="SBJ"),AND(J2437=1,I2437=0)),"?IN_FOCUS",IF(J2437&lt;=2,"?ACTIVATED",IF(J2437&lt;&gt;"","?FAMILIAR",IF(F2437="NEW",IF(ISNA(VLOOKUP(E2437,#REF!,1,FALSE())),"?TYPE_IDENTIFIABLE","?REFERENTIAL"),"_")))))</f>
        <v> </v>
      </c>
      <c r="H2437" s="24" t="str">
        <f>IF(J2437&lt;&gt;1,"",IF(I2437="SBJ","CB","?"))</f>
        <v> </v>
      </c>
      <c r="I2437" s="25" t="str">
        <f>IF(OR(E2437="",E2437="!!!",F2437="NEW"),"",INDEX(B2436:B$2,-1+SUMPRODUCT(MAX(ROW(E2436:E$2)*(E2437=E2436:E$2)))))</f>
        <v> </v>
      </c>
      <c r="J2437" s="25" t="str">
        <f>IF(OR(E2437="",E2437="!!!",F2437="NEW"),"",COUNTBLANK(OFFSET(A$1,,,SUMPRODUCT(MAX(ROW(E$2:E2437)*(E2437=E$2:E2437)))))-COUNTBLANK(OFFSET(A$1,,,SUMPRODUCT(MAX(ROW(E$1:E2436)*(E2=E$1:E2436))))))</f>
        <v> </v>
      </c>
      <c r="K2437" s="25" t="str">
        <f>IF(OR(E2437="",E2437="!!!",F2437="NEW"),"",INDEX(J$1:J2436,SUMPRODUCT(MAX(ROW(E$1:E2436)*(E2437=E$1:E2436)))))</f>
        <v> </v>
      </c>
      <c r="L2437" s="26"/>
    </row>
    <row r="2438" spans="1:12">
      <c r="A2438" s="20"/>
    </row>
    <row r="2439" spans="1:12">
      <c r="A2439" s="20" t="s">
        <v>1909</v>
      </c>
    </row>
    <row r="2440" spans="1:12">
      <c r="A2440" s="20" t="s">
        <v>1139</v>
      </c>
      <c r="B2440" s="27" t="s">
        <v>1041</v>
      </c>
      <c r="C2440" s="27" t="s">
        <v>1140</v>
      </c>
      <c r="D2440" s="27" t="s">
        <v>1030</v>
      </c>
      <c r="E2440" s="21">
        <f>IF(D2440="?OLD","!!!","")</f>
        <v/>
      </c>
      <c r="F2440" s="22" t="str">
        <f>IF(OR(E2440="",E2440="!!!"),"",IF(NOT(ISNA(VLOOKUP(E2440,E$1:E2439,1,FALSE()))),"OLD",IF(AND(E2440&lt;&gt;"",E2440&lt;&gt;"!!!"),"NEW","")))</f>
        <v> </v>
      </c>
      <c r="G2440" s="23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4" t="str">
        <f>IF(J2440&lt;&gt;1,"",IF(I2440="SBJ","CB","?"))</f>
        <v> </v>
      </c>
      <c r="I2440" s="25" t="str">
        <f>IF(OR(E2440="",E2440="!!!",F2440="NEW"),"",INDEX(B2439:B$2,-1+SUMPRODUCT(MAX(ROW(E2439:E$2)*(E2440=E2439:E$2)))))</f>
        <v> </v>
      </c>
      <c r="J2440" s="25" t="str">
        <f>IF(OR(E2440="",E2440="!!!",F2440="NEW"),"",COUNTBLANK(OFFSET(A$1,,,SUMPRODUCT(MAX(ROW(E$2:E2440)*(E2440=E$2:E2440)))))-COUNTBLANK(OFFSET(A$1,,,SUMPRODUCT(MAX(ROW(E$1:E2439)*(E2=E$1:E2439))))))</f>
        <v> </v>
      </c>
      <c r="K2440" s="25" t="str">
        <f>IF(OR(E2440="",E2440="!!!",F2440="NEW"),"",INDEX(J$1:J2439,SUMPRODUCT(MAX(ROW(E$1:E2439)*(E2440=E$1:E2439)))))</f>
        <v> </v>
      </c>
      <c r="L2440" s="26"/>
    </row>
    <row r="2441" spans="1:12">
      <c r="A2441" s="20" t="s">
        <v>1034</v>
      </c>
      <c r="E2441" s="21">
        <f>IF(D2441="?OLD","!!!","")</f>
        <v/>
      </c>
      <c r="F2441" s="22" t="str">
        <f>IF(OR(E2441="",E2441="!!!"),"",IF(NOT(ISNA(VLOOKUP(E2441,E$1:E2440,1,FALSE()))),"OLD",IF(AND(E2441&lt;&gt;"",E2441&lt;&gt;"!!!"),"NEW","")))</f>
        <v> </v>
      </c>
      <c r="G2441" s="23" t="str">
        <f>IF(OR(E2441="",E2441="!!!"),"",IF(OR(J2441=0,AND(J2441=1,K2441=1),AND(J2441=1,I2441="SBJ"),AND(J2441=1,I2441=0)),"?IN_FOCUS",IF(J2441&lt;=2,"?ACTIVATED",IF(J2441&lt;&gt;"","?FAMILIAR",IF(F2441="NEW",IF(ISNA(VLOOKUP(E2441,#REF!,1,FALSE())),"?TYPE_IDENTIFIABLE","?REFERENTIAL"),"_")))))</f>
        <v> </v>
      </c>
      <c r="H2441" s="24" t="str">
        <f>IF(J2441&lt;&gt;1,"",IF(I2441="SBJ","CB","?"))</f>
        <v> </v>
      </c>
      <c r="I2441" s="25" t="str">
        <f>IF(OR(E2441="",E2441="!!!",F2441="NEW"),"",INDEX(B2440:B$2,-1+SUMPRODUCT(MAX(ROW(E2440:E$2)*(E2441=E2440:E$2)))))</f>
        <v> </v>
      </c>
      <c r="J2441" s="25" t="str">
        <f>IF(OR(E2441="",E2441="!!!",F2441="NEW"),"",COUNTBLANK(OFFSET(A$1,,,SUMPRODUCT(MAX(ROW(E$2:E2441)*(E2441=E$2:E2441)))))-COUNTBLANK(OFFSET(A$1,,,SUMPRODUCT(MAX(ROW(E$1:E2440)*(E2=E$1:E2440))))))</f>
        <v> </v>
      </c>
      <c r="K2441" s="25" t="str">
        <f>IF(OR(E2441="",E2441="!!!",F2441="NEW"),"",INDEX(J$1:J2440,SUMPRODUCT(MAX(ROW(E$1:E2440)*(E2441=E$1:E2440)))))</f>
        <v> </v>
      </c>
      <c r="L2441" s="26"/>
    </row>
    <row r="2442" spans="1:12">
      <c r="A2442" s="20" t="s">
        <v>1036</v>
      </c>
      <c r="E2442" s="21">
        <f>IF(D2442="?OLD","!!!","")</f>
        <v/>
      </c>
      <c r="F2442" s="22" t="str">
        <f>IF(OR(E2442="",E2442="!!!"),"",IF(NOT(ISNA(VLOOKUP(E2442,E$1:E2441,1,FALSE()))),"OLD",IF(AND(E2442&lt;&gt;"",E2442&lt;&gt;"!!!"),"NEW","")))</f>
        <v> </v>
      </c>
      <c r="G2442" s="23" t="str">
        <f>IF(OR(E2442="",E2442="!!!"),"",IF(OR(J2442=0,AND(J2442=1,K2442=1),AND(J2442=1,I2442="SBJ"),AND(J2442=1,I2442=0)),"?IN_FOCUS",IF(J2442&lt;=2,"?ACTIVATED",IF(J2442&lt;&gt;"","?FAMILIAR",IF(F2442="NEW",IF(ISNA(VLOOKUP(E2442,#REF!,1,FALSE())),"?TYPE_IDENTIFIABLE","?REFERENTIAL"),"_")))))</f>
        <v> </v>
      </c>
      <c r="H2442" s="24" t="str">
        <f>IF(J2442&lt;&gt;1,"",IF(I2442="SBJ","CB","?"))</f>
        <v> </v>
      </c>
      <c r="I2442" s="25" t="str">
        <f>IF(OR(E2442="",E2442="!!!",F2442="NEW"),"",INDEX(B2441:B$2,-1+SUMPRODUCT(MAX(ROW(E2441:E$2)*(E2442=E2441:E$2)))))</f>
        <v> </v>
      </c>
      <c r="J2442" s="25" t="str">
        <f>IF(OR(E2442="",E2442="!!!",F2442="NEW"),"",COUNTBLANK(OFFSET(A$1,,,SUMPRODUCT(MAX(ROW(E$2:E2442)*(E2442=E$2:E2442)))))-COUNTBLANK(OFFSET(A$1,,,SUMPRODUCT(MAX(ROW(E$1:E2441)*(E2=E$1:E2441))))))</f>
        <v> </v>
      </c>
      <c r="K2442" s="25" t="str">
        <f>IF(OR(E2442="",E2442="!!!",F2442="NEW"),"",INDEX(J$1:J2441,SUMPRODUCT(MAX(ROW(E$1:E2441)*(E2442=E$1:E2441)))))</f>
        <v> </v>
      </c>
      <c r="L2442" s="26"/>
    </row>
    <row r="2443" spans="1:12">
      <c r="A2443" s="20" t="s">
        <v>1133</v>
      </c>
      <c r="B2443" s="27" t="s">
        <v>1045</v>
      </c>
      <c r="C2443" s="27" t="s">
        <v>1038</v>
      </c>
      <c r="D2443" s="27" t="s">
        <v>1030</v>
      </c>
      <c r="E2443" s="21">
        <f>IF(D2443="?OLD","!!!","")</f>
        <v/>
      </c>
      <c r="F2443" s="22" t="str">
        <f>IF(OR(E2443="",E2443="!!!"),"",IF(NOT(ISNA(VLOOKUP(E2443,E$1:E2442,1,FALSE()))),"OLD",IF(AND(E2443&lt;&gt;"",E2443&lt;&gt;"!!!"),"NEW","")))</f>
        <v> </v>
      </c>
      <c r="G2443" s="23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4" t="str">
        <f>IF(J2443&lt;&gt;1,"",IF(I2443="SBJ","CB","?"))</f>
        <v> </v>
      </c>
      <c r="I2443" s="25" t="str">
        <f>IF(OR(E2443="",E2443="!!!",F2443="NEW"),"",INDEX(B2442:B$2,-1+SUMPRODUCT(MAX(ROW(E2442:E$2)*(E2443=E2442:E$2)))))</f>
        <v> </v>
      </c>
      <c r="J2443" s="25" t="str">
        <f>IF(OR(E2443="",E2443="!!!",F2443="NEW"),"",COUNTBLANK(OFFSET(A$1,,,SUMPRODUCT(MAX(ROW(E$2:E2443)*(E2443=E$2:E2443)))))-COUNTBLANK(OFFSET(A$1,,,SUMPRODUCT(MAX(ROW(E$1:E2442)*(E2=E$1:E2442))))))</f>
        <v> </v>
      </c>
      <c r="K2443" s="25" t="str">
        <f>IF(OR(E2443="",E2443="!!!",F2443="NEW"),"",INDEX(J$1:J2442,SUMPRODUCT(MAX(ROW(E$1:E2442)*(E2443=E$1:E2442)))))</f>
        <v> </v>
      </c>
      <c r="L2443" s="26"/>
    </row>
    <row r="2444" spans="1:12">
      <c r="A2444" s="20" t="s">
        <v>1025</v>
      </c>
      <c r="E2444" s="21">
        <f>IF(D2444="?OLD","!!!","")</f>
        <v/>
      </c>
      <c r="F2444" s="22" t="str">
        <f>IF(OR(E2444="",E2444="!!!"),"",IF(NOT(ISNA(VLOOKUP(E2444,E$1:E2443,1,FALSE()))),"OLD",IF(AND(E2444&lt;&gt;"",E2444&lt;&gt;"!!!"),"NEW","")))</f>
        <v> </v>
      </c>
      <c r="G2444" s="23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4" t="str">
        <f>IF(J2444&lt;&gt;1,"",IF(I2444="SBJ","CB","?"))</f>
        <v> </v>
      </c>
      <c r="I2444" s="25" t="str">
        <f>IF(OR(E2444="",E2444="!!!",F2444="NEW"),"",INDEX(B2443:B$2,-1+SUMPRODUCT(MAX(ROW(E2443:E$2)*(E2444=E2443:E$2)))))</f>
        <v> </v>
      </c>
      <c r="J2444" s="25" t="str">
        <f>IF(OR(E2444="",E2444="!!!",F2444="NEW"),"",COUNTBLANK(OFFSET(A$1,,,SUMPRODUCT(MAX(ROW(E$2:E2444)*(E2444=E$2:E2444)))))-COUNTBLANK(OFFSET(A$1,,,SUMPRODUCT(MAX(ROW(E$1:E2443)*(E2=E$1:E2443))))))</f>
        <v> </v>
      </c>
      <c r="K2444" s="25" t="str">
        <f>IF(OR(E2444="",E2444="!!!",F2444="NEW"),"",INDEX(J$1:J2443,SUMPRODUCT(MAX(ROW(E$1:E2443)*(E2444=E$1:E2443)))))</f>
        <v> </v>
      </c>
      <c r="L2444" s="26"/>
    </row>
    <row r="2445" spans="1:12">
      <c r="A2445" s="20" t="s">
        <v>1357</v>
      </c>
      <c r="E2445" s="21">
        <f>IF(D2445="?OLD","!!!","")</f>
        <v/>
      </c>
      <c r="F2445" s="22" t="str">
        <f>IF(OR(E2445="",E2445="!!!"),"",IF(NOT(ISNA(VLOOKUP(E2445,E$1:E2444,1,FALSE()))),"OLD",IF(AND(E2445&lt;&gt;"",E2445&lt;&gt;"!!!"),"NEW","")))</f>
        <v> </v>
      </c>
      <c r="G2445" s="23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4" t="str">
        <f>IF(J2445&lt;&gt;1,"",IF(I2445="SBJ","CB","?"))</f>
        <v> </v>
      </c>
      <c r="I2445" s="25" t="str">
        <f>IF(OR(E2445="",E2445="!!!",F2445="NEW"),"",INDEX(B2444:B$2,-1+SUMPRODUCT(MAX(ROW(E2444:E$2)*(E2445=E2444:E$2)))))</f>
        <v> </v>
      </c>
      <c r="J2445" s="25" t="str">
        <f>IF(OR(E2445="",E2445="!!!",F2445="NEW"),"",COUNTBLANK(OFFSET(A$1,,,SUMPRODUCT(MAX(ROW(E$2:E2445)*(E2445=E$2:E2445)))))-COUNTBLANK(OFFSET(A$1,,,SUMPRODUCT(MAX(ROW(E$1:E2444)*(E2=E$1:E2444))))))</f>
        <v> </v>
      </c>
      <c r="K2445" s="25" t="str">
        <f>IF(OR(E2445="",E2445="!!!",F2445="NEW"),"",INDEX(J$1:J2444,SUMPRODUCT(MAX(ROW(E$1:E2444)*(E2445=E$1:E2444)))))</f>
        <v> </v>
      </c>
      <c r="L2445" s="26"/>
    </row>
    <row r="2446" spans="1:12">
      <c r="A2446" s="20" t="s">
        <v>1910</v>
      </c>
      <c r="E2446" s="21">
        <f>IF(D2446="?OLD","!!!","")</f>
        <v/>
      </c>
      <c r="F2446" s="22" t="str">
        <f>IF(OR(E2446="",E2446="!!!"),"",IF(NOT(ISNA(VLOOKUP(E2446,E$1:E2445,1,FALSE()))),"OLD",IF(AND(E2446&lt;&gt;"",E2446&lt;&gt;"!!!"),"NEW","")))</f>
        <v> </v>
      </c>
      <c r="G2446" s="23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4" t="str">
        <f>IF(J2446&lt;&gt;1,"",IF(I2446="SBJ","CB","?"))</f>
        <v> </v>
      </c>
      <c r="I2446" s="25" t="str">
        <f>IF(OR(E2446="",E2446="!!!",F2446="NEW"),"",INDEX(B2445:B$2,-1+SUMPRODUCT(MAX(ROW(E2445:E$2)*(E2446=E2445:E$2)))))</f>
        <v> </v>
      </c>
      <c r="J2446" s="25" t="str">
        <f>IF(OR(E2446="",E2446="!!!",F2446="NEW"),"",COUNTBLANK(OFFSET(A$1,,,SUMPRODUCT(MAX(ROW(E$2:E2446)*(E2446=E$2:E2446)))))-COUNTBLANK(OFFSET(A$1,,,SUMPRODUCT(MAX(ROW(E$1:E2445)*(E2=E$1:E2445))))))</f>
        <v> </v>
      </c>
      <c r="K2446" s="25" t="str">
        <f>IF(OR(E2446="",E2446="!!!",F2446="NEW"),"",INDEX(J$1:J2445,SUMPRODUCT(MAX(ROW(E$1:E2445)*(E2446=E$1:E2445)))))</f>
        <v> </v>
      </c>
      <c r="L2446" s="26"/>
    </row>
    <row r="2447" spans="1:12">
      <c r="A2447" s="20" t="s">
        <v>135</v>
      </c>
      <c r="E2447" s="21">
        <f>IF(D2447="?OLD","!!!","")</f>
        <v/>
      </c>
      <c r="F2447" s="22" t="str">
        <f>IF(OR(E2447="",E2447="!!!"),"",IF(NOT(ISNA(VLOOKUP(E2447,E$1:E2446,1,FALSE()))),"OLD",IF(AND(E2447&lt;&gt;"",E2447&lt;&gt;"!!!"),"NEW","")))</f>
        <v> </v>
      </c>
      <c r="G2447" s="23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4" t="str">
        <f>IF(J2447&lt;&gt;1,"",IF(I2447="SBJ","CB","?"))</f>
        <v> </v>
      </c>
      <c r="I2447" s="25" t="str">
        <f>IF(OR(E2447="",E2447="!!!",F2447="NEW"),"",INDEX(B2446:B$2,-1+SUMPRODUCT(MAX(ROW(E2446:E$2)*(E2447=E2446:E$2)))))</f>
        <v> </v>
      </c>
      <c r="J2447" s="25" t="str">
        <f>IF(OR(E2447="",E2447="!!!",F2447="NEW"),"",COUNTBLANK(OFFSET(A$1,,,SUMPRODUCT(MAX(ROW(E$2:E2447)*(E2447=E$2:E2447)))))-COUNTBLANK(OFFSET(A$1,,,SUMPRODUCT(MAX(ROW(E$1:E2446)*(E2=E$1:E2446))))))</f>
        <v> </v>
      </c>
      <c r="K2447" s="25" t="str">
        <f>IF(OR(E2447="",E2447="!!!",F2447="NEW"),"",INDEX(J$1:J2446,SUMPRODUCT(MAX(ROW(E$1:E2446)*(E2447=E$1:E2446)))))</f>
        <v> </v>
      </c>
      <c r="L2447" s="26"/>
    </row>
    <row r="2448" spans="1:12">
      <c r="A2448" s="20"/>
    </row>
    <row r="2449" spans="1:12">
      <c r="A2449" s="20" t="s">
        <v>1911</v>
      </c>
    </row>
    <row r="2450" spans="1:12">
      <c r="A2450" s="20" t="s">
        <v>1088</v>
      </c>
      <c r="E2450" s="21">
        <f>IF(D2450="?OLD","!!!","")</f>
        <v/>
      </c>
      <c r="F2450" s="22" t="str">
        <f>IF(OR(E2450="",E2450="!!!"),"",IF(NOT(ISNA(VLOOKUP(E2450,E$1:E2449,1,FALSE()))),"OLD",IF(AND(E2450&lt;&gt;"",E2450&lt;&gt;"!!!"),"NEW","")))</f>
        <v> </v>
      </c>
      <c r="G2450" s="23" t="str">
        <f>IF(OR(E2450="",E2450="!!!"),"",IF(OR(J2450=0,AND(J2450=1,K2450=1),AND(J2450=1,I2450="SBJ"),AND(J2450=1,I2450=0)),"?IN_FOCUS",IF(J2450&lt;=2,"?ACTIVATED",IF(J2450&lt;&gt;"","?FAMILIAR",IF(F2450="NEW",IF(ISNA(VLOOKUP(E2450,#REF!,1,FALSE())),"?TYPE_IDENTIFIABLE","?REFERENTIAL"),"_")))))</f>
        <v> </v>
      </c>
      <c r="H2450" s="24" t="str">
        <f>IF(J2450&lt;&gt;1,"",IF(I2450="SBJ","CB","?"))</f>
        <v> </v>
      </c>
      <c r="I2450" s="25" t="str">
        <f>IF(OR(E2450="",E2450="!!!",F2450="NEW"),"",INDEX(B2449:B$2,-1+SUMPRODUCT(MAX(ROW(E2449:E$2)*(E2450=E2449:E$2)))))</f>
        <v> </v>
      </c>
      <c r="J2450" s="25" t="str">
        <f>IF(OR(E2450="",E2450="!!!",F2450="NEW"),"",COUNTBLANK(OFFSET(A$1,,,SUMPRODUCT(MAX(ROW(E$2:E2450)*(E2450=E$2:E2450)))))-COUNTBLANK(OFFSET(A$1,,,SUMPRODUCT(MAX(ROW(E$1:E2449)*(E2=E$1:E2449))))))</f>
        <v> </v>
      </c>
      <c r="K2450" s="25" t="str">
        <f>IF(OR(E2450="",E2450="!!!",F2450="NEW"),"",INDEX(J$1:J2449,SUMPRODUCT(MAX(ROW(E$1:E2449)*(E2450=E$1:E2449)))))</f>
        <v> </v>
      </c>
      <c r="L2450" s="26"/>
    </row>
    <row r="2451" spans="1:12">
      <c r="A2451" s="20" t="s">
        <v>1407</v>
      </c>
      <c r="E2451" s="21">
        <f>IF(D2451="?OLD","!!!","")</f>
        <v/>
      </c>
      <c r="F2451" s="22" t="str">
        <f>IF(OR(E2451="",E2451="!!!"),"",IF(NOT(ISNA(VLOOKUP(E2451,E$1:E2450,1,FALSE()))),"OLD",IF(AND(E2451&lt;&gt;"",E2451&lt;&gt;"!!!"),"NEW","")))</f>
        <v> </v>
      </c>
      <c r="G2451" s="23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4" t="str">
        <f>IF(J2451&lt;&gt;1,"",IF(I2451="SBJ","CB","?"))</f>
        <v> </v>
      </c>
      <c r="I2451" s="25" t="str">
        <f>IF(OR(E2451="",E2451="!!!",F2451="NEW"),"",INDEX(B2450:B$2,-1+SUMPRODUCT(MAX(ROW(E2450:E$2)*(E2451=E2450:E$2)))))</f>
        <v> </v>
      </c>
      <c r="J2451" s="25" t="str">
        <f>IF(OR(E2451="",E2451="!!!",F2451="NEW"),"",COUNTBLANK(OFFSET(A$1,,,SUMPRODUCT(MAX(ROW(E$2:E2451)*(E2451=E$2:E2451)))))-COUNTBLANK(OFFSET(A$1,,,SUMPRODUCT(MAX(ROW(E$1:E2450)*(E2=E$1:E2450))))))</f>
        <v> </v>
      </c>
      <c r="K2451" s="25" t="str">
        <f>IF(OR(E2451="",E2451="!!!",F2451="NEW"),"",INDEX(J$1:J2450,SUMPRODUCT(MAX(ROW(E$1:E2450)*(E2451=E$1:E2450)))))</f>
        <v> </v>
      </c>
      <c r="L2451" s="26"/>
    </row>
    <row r="2452" spans="1:12">
      <c r="A2452" s="20" t="s">
        <v>1013</v>
      </c>
      <c r="B2452" s="27" t="s">
        <v>1014</v>
      </c>
      <c r="C2452" s="27" t="s">
        <v>1015</v>
      </c>
      <c r="E2452" s="21">
        <f>IF(D2452="?OLD","!!!","")</f>
        <v/>
      </c>
      <c r="F2452" s="22" t="str">
        <f>IF(OR(E2452="",E2452="!!!"),"",IF(NOT(ISNA(VLOOKUP(E2452,E$1:E2451,1,FALSE()))),"OLD",IF(AND(E2452&lt;&gt;"",E2452&lt;&gt;"!!!"),"NEW","")))</f>
        <v> </v>
      </c>
      <c r="G2452" s="23" t="str">
        <f>IF(OR(E2452="",E2452="!!!"),"",IF(OR(J2452=0,AND(J2452=1,K2452=1),AND(J2452=1,I2452="SBJ"),AND(J2452=1,I2452=0)),"?IN_FOCUS",IF(J2452&lt;=2,"?ACTIVATED",IF(J2452&lt;&gt;"","?FAMILIAR",IF(F2452="NEW",IF(ISNA(VLOOKUP(E2452,#REF!,1,FALSE())),"?TYPE_IDENTIFIABLE","?REFERENTIAL"),"_")))))</f>
        <v> </v>
      </c>
      <c r="H2452" s="24" t="str">
        <f>IF(J2452&lt;&gt;1,"",IF(I2452="SBJ","CB","?"))</f>
        <v> </v>
      </c>
      <c r="I2452" s="25" t="str">
        <f>IF(OR(E2452="",E2452="!!!",F2452="NEW"),"",INDEX(B2451:B$2,-1+SUMPRODUCT(MAX(ROW(E2451:E$2)*(E2452=E2451:E$2)))))</f>
        <v> </v>
      </c>
      <c r="J2452" s="25" t="str">
        <f>IF(OR(E2452="",E2452="!!!",F2452="NEW"),"",COUNTBLANK(OFFSET(A$1,,,SUMPRODUCT(MAX(ROW(E$2:E2452)*(E2452=E$2:E2452)))))-COUNTBLANK(OFFSET(A$1,,,SUMPRODUCT(MAX(ROW(E$1:E2451)*(E2=E$1:E2451))))))</f>
        <v> </v>
      </c>
      <c r="K2452" s="25" t="str">
        <f>IF(OR(E2452="",E2452="!!!",F2452="NEW"),"",INDEX(J$1:J2451,SUMPRODUCT(MAX(ROW(E$1:E2451)*(E2452=E$1:E2451)))))</f>
        <v> </v>
      </c>
      <c r="L2452" s="26"/>
    </row>
    <row r="2453" spans="1:12">
      <c r="A2453" s="20" t="s">
        <v>1094</v>
      </c>
      <c r="E2453" s="21">
        <f>IF(D2453="?OLD","!!!","")</f>
        <v/>
      </c>
      <c r="F2453" s="22" t="str">
        <f>IF(OR(E2453="",E2453="!!!"),"",IF(NOT(ISNA(VLOOKUP(E2453,E$1:E2452,1,FALSE()))),"OLD",IF(AND(E2453&lt;&gt;"",E2453&lt;&gt;"!!!"),"NEW","")))</f>
        <v> </v>
      </c>
      <c r="G2453" s="23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4" t="str">
        <f>IF(J2453&lt;&gt;1,"",IF(I2453="SBJ","CB","?"))</f>
        <v> </v>
      </c>
      <c r="I2453" s="25" t="str">
        <f>IF(OR(E2453="",E2453="!!!",F2453="NEW"),"",INDEX(B2452:B$2,-1+SUMPRODUCT(MAX(ROW(E2452:E$2)*(E2453=E2452:E$2)))))</f>
        <v> </v>
      </c>
      <c r="J2453" s="25" t="str">
        <f>IF(OR(E2453="",E2453="!!!",F2453="NEW"),"",COUNTBLANK(OFFSET(A$1,,,SUMPRODUCT(MAX(ROW(E$2:E2453)*(E2453=E$2:E2453)))))-COUNTBLANK(OFFSET(A$1,,,SUMPRODUCT(MAX(ROW(E$1:E2452)*(E2=E$1:E2452))))))</f>
        <v> </v>
      </c>
      <c r="K2453" s="25" t="str">
        <f>IF(OR(E2453="",E2453="!!!",F2453="NEW"),"",INDEX(J$1:J2452,SUMPRODUCT(MAX(ROW(E$1:E2452)*(E2453=E$1:E2452)))))</f>
        <v> </v>
      </c>
      <c r="L2453" s="26"/>
    </row>
    <row r="2454" spans="1:12">
      <c r="A2454" s="20" t="s">
        <v>1057</v>
      </c>
      <c r="E2454" s="21">
        <f>IF(D2454="?OLD","!!!","")</f>
        <v/>
      </c>
      <c r="F2454" s="22" t="str">
        <f>IF(OR(E2454="",E2454="!!!"),"",IF(NOT(ISNA(VLOOKUP(E2454,E$1:E2453,1,FALSE()))),"OLD",IF(AND(E2454&lt;&gt;"",E2454&lt;&gt;"!!!"),"NEW","")))</f>
        <v> </v>
      </c>
      <c r="G2454" s="23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4" t="str">
        <f>IF(J2454&lt;&gt;1,"",IF(I2454="SBJ","CB","?"))</f>
        <v> </v>
      </c>
      <c r="I2454" s="25" t="str">
        <f>IF(OR(E2454="",E2454="!!!",F2454="NEW"),"",INDEX(B2453:B$2,-1+SUMPRODUCT(MAX(ROW(E2453:E$2)*(E2454=E2453:E$2)))))</f>
        <v> </v>
      </c>
      <c r="J2454" s="25" t="str">
        <f>IF(OR(E2454="",E2454="!!!",F2454="NEW"),"",COUNTBLANK(OFFSET(A$1,,,SUMPRODUCT(MAX(ROW(E$2:E2454)*(E2454=E$2:E2454)))))-COUNTBLANK(OFFSET(A$1,,,SUMPRODUCT(MAX(ROW(E$1:E2453)*(E2=E$1:E2453))))))</f>
        <v> </v>
      </c>
      <c r="K2454" s="25" t="str">
        <f>IF(OR(E2454="",E2454="!!!",F2454="NEW"),"",INDEX(J$1:J2453,SUMPRODUCT(MAX(ROW(E$1:E2453)*(E2454=E$1:E2453)))))</f>
        <v> </v>
      </c>
      <c r="L2454" s="26"/>
    </row>
    <row r="2455" spans="1:12">
      <c r="A2455" s="20" t="s">
        <v>1108</v>
      </c>
      <c r="E2455" s="21">
        <f>IF(D2455="?OLD","!!!","")</f>
        <v/>
      </c>
      <c r="F2455" s="22" t="str">
        <f>IF(OR(E2455="",E2455="!!!"),"",IF(NOT(ISNA(VLOOKUP(E2455,E$1:E2454,1,FALSE()))),"OLD",IF(AND(E2455&lt;&gt;"",E2455&lt;&gt;"!!!"),"NEW","")))</f>
        <v> </v>
      </c>
      <c r="G2455" s="23" t="str">
        <f>IF(OR(E2455="",E2455="!!!"),"",IF(OR(J2455=0,AND(J2455=1,K2455=1),AND(J2455=1,I2455="SBJ"),AND(J2455=1,I2455=0)),"?IN_FOCUS",IF(J2455&lt;=2,"?ACTIVATED",IF(J2455&lt;&gt;"","?FAMILIAR",IF(F2455="NEW",IF(ISNA(VLOOKUP(E2455,#REF!,1,FALSE())),"?TYPE_IDENTIFIABLE","?REFERENTIAL"),"_")))))</f>
        <v> </v>
      </c>
      <c r="H2455" s="24" t="str">
        <f>IF(J2455&lt;&gt;1,"",IF(I2455="SBJ","CB","?"))</f>
        <v> </v>
      </c>
      <c r="I2455" s="25" t="str">
        <f>IF(OR(E2455="",E2455="!!!",F2455="NEW"),"",INDEX(B2454:B$2,-1+SUMPRODUCT(MAX(ROW(E2454:E$2)*(E2455=E2454:E$2)))))</f>
        <v> </v>
      </c>
      <c r="J2455" s="25" t="str">
        <f>IF(OR(E2455="",E2455="!!!",F2455="NEW"),"",COUNTBLANK(OFFSET(A$1,,,SUMPRODUCT(MAX(ROW(E$2:E2455)*(E2455=E$2:E2455)))))-COUNTBLANK(OFFSET(A$1,,,SUMPRODUCT(MAX(ROW(E$1:E2454)*(E2=E$1:E2454))))))</f>
        <v> </v>
      </c>
      <c r="K2455" s="25" t="str">
        <f>IF(OR(E2455="",E2455="!!!",F2455="NEW"),"",INDEX(J$1:J2454,SUMPRODUCT(MAX(ROW(E$1:E2454)*(E2455=E$1:E2454)))))</f>
        <v> </v>
      </c>
      <c r="L2455" s="26"/>
    </row>
    <row r="2456" spans="1:12">
      <c r="A2456" s="20" t="s">
        <v>1376</v>
      </c>
      <c r="E2456" s="21">
        <f>IF(D2456="?OLD","!!!","")</f>
        <v/>
      </c>
      <c r="F2456" s="22" t="str">
        <f>IF(OR(E2456="",E2456="!!!"),"",IF(NOT(ISNA(VLOOKUP(E2456,E$1:E2455,1,FALSE()))),"OLD",IF(AND(E2456&lt;&gt;"",E2456&lt;&gt;"!!!"),"NEW","")))</f>
        <v> </v>
      </c>
      <c r="G2456" s="23" t="str">
        <f>IF(OR(E2456="",E2456="!!!"),"",IF(OR(J2456=0,AND(J2456=1,K2456=1),AND(J2456=1,I2456="SBJ"),AND(J2456=1,I2456=0)),"?IN_FOCUS",IF(J2456&lt;=2,"?ACTIVATED",IF(J2456&lt;&gt;"","?FAMILIAR",IF(F2456="NEW",IF(ISNA(VLOOKUP(E2456,#REF!,1,FALSE())),"?TYPE_IDENTIFIABLE","?REFERENTIAL"),"_")))))</f>
        <v> </v>
      </c>
      <c r="H2456" s="24" t="str">
        <f>IF(J2456&lt;&gt;1,"",IF(I2456="SBJ","CB","?"))</f>
        <v> </v>
      </c>
      <c r="I2456" s="25" t="str">
        <f>IF(OR(E2456="",E2456="!!!",F2456="NEW"),"",INDEX(B2455:B$2,-1+SUMPRODUCT(MAX(ROW(E2455:E$2)*(E2456=E2455:E$2)))))</f>
        <v> </v>
      </c>
      <c r="J2456" s="25" t="str">
        <f>IF(OR(E2456="",E2456="!!!",F2456="NEW"),"",COUNTBLANK(OFFSET(A$1,,,SUMPRODUCT(MAX(ROW(E$2:E2456)*(E2456=E$2:E2456)))))-COUNTBLANK(OFFSET(A$1,,,SUMPRODUCT(MAX(ROW(E$1:E2455)*(E2=E$1:E2455))))))</f>
        <v> </v>
      </c>
      <c r="K2456" s="25" t="str">
        <f>IF(OR(E2456="",E2456="!!!",F2456="NEW"),"",INDEX(J$1:J2455,SUMPRODUCT(MAX(ROW(E$1:E2455)*(E2456=E$1:E2455)))))</f>
        <v> </v>
      </c>
      <c r="L2456" s="26"/>
    </row>
    <row r="2457" spans="1:12">
      <c r="A2457" s="20" t="s">
        <v>135</v>
      </c>
      <c r="E2457" s="21">
        <f>IF(D2457="?OLD","!!!","")</f>
        <v/>
      </c>
      <c r="F2457" s="22" t="str">
        <f>IF(OR(E2457="",E2457="!!!"),"",IF(NOT(ISNA(VLOOKUP(E2457,E$1:E2456,1,FALSE()))),"OLD",IF(AND(E2457&lt;&gt;"",E2457&lt;&gt;"!!!"),"NEW","")))</f>
        <v> </v>
      </c>
      <c r="G2457" s="23" t="str">
        <f>IF(OR(E2457="",E2457="!!!"),"",IF(OR(J2457=0,AND(J2457=1,K2457=1),AND(J2457=1,I2457="SBJ"),AND(J2457=1,I2457=0)),"?IN_FOCUS",IF(J2457&lt;=2,"?ACTIVATED",IF(J2457&lt;&gt;"","?FAMILIAR",IF(F2457="NEW",IF(ISNA(VLOOKUP(E2457,#REF!,1,FALSE())),"?TYPE_IDENTIFIABLE","?REFERENTIAL"),"_")))))</f>
        <v> </v>
      </c>
      <c r="H2457" s="24" t="str">
        <f>IF(J2457&lt;&gt;1,"",IF(I2457="SBJ","CB","?"))</f>
        <v> </v>
      </c>
      <c r="I2457" s="25" t="str">
        <f>IF(OR(E2457="",E2457="!!!",F2457="NEW"),"",INDEX(B2456:B$2,-1+SUMPRODUCT(MAX(ROW(E2456:E$2)*(E2457=E2456:E$2)))))</f>
        <v> </v>
      </c>
      <c r="J2457" s="25" t="str">
        <f>IF(OR(E2457="",E2457="!!!",F2457="NEW"),"",COUNTBLANK(OFFSET(A$1,,,SUMPRODUCT(MAX(ROW(E$2:E2457)*(E2457=E$2:E2457)))))-COUNTBLANK(OFFSET(A$1,,,SUMPRODUCT(MAX(ROW(E$1:E2456)*(E2=E$1:E2456))))))</f>
        <v> </v>
      </c>
      <c r="K2457" s="25" t="str">
        <f>IF(OR(E2457="",E2457="!!!",F2457="NEW"),"",INDEX(J$1:J2456,SUMPRODUCT(MAX(ROW(E$1:E2456)*(E2457=E$1:E2456)))))</f>
        <v> </v>
      </c>
      <c r="L2457" s="26"/>
    </row>
    <row r="2458" spans="1:12">
      <c r="A2458" s="20"/>
    </row>
    <row r="2459" spans="1:12">
      <c r="A2459" s="20" t="s">
        <v>1912</v>
      </c>
    </row>
    <row r="2460" spans="1:12">
      <c r="A2460" s="20" t="s">
        <v>1913</v>
      </c>
      <c r="B2460" s="27" t="s">
        <v>1041</v>
      </c>
      <c r="C2460" s="27" t="s">
        <v>1050</v>
      </c>
      <c r="D2460" s="27" t="s">
        <v>1030</v>
      </c>
      <c r="E2460" s="21">
        <f>IF(D2460="?OLD","!!!","")</f>
        <v/>
      </c>
      <c r="F2460" s="22" t="str">
        <f>IF(OR(E2460="",E2460="!!!"),"",IF(NOT(ISNA(VLOOKUP(E2460,E$1:E2459,1,FALSE()))),"OLD",IF(AND(E2460&lt;&gt;"",E2460&lt;&gt;"!!!"),"NEW","")))</f>
        <v> </v>
      </c>
      <c r="G2460" s="23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4" t="str">
        <f>IF(J2460&lt;&gt;1,"",IF(I2460="SBJ","CB","?"))</f>
        <v> </v>
      </c>
      <c r="I2460" s="25" t="str">
        <f>IF(OR(E2460="",E2460="!!!",F2460="NEW"),"",INDEX(B2459:B$2,-1+SUMPRODUCT(MAX(ROW(E2459:E$2)*(E2460=E2459:E$2)))))</f>
        <v> </v>
      </c>
      <c r="J2460" s="25" t="str">
        <f>IF(OR(E2460="",E2460="!!!",F2460="NEW"),"",COUNTBLANK(OFFSET(A$1,,,SUMPRODUCT(MAX(ROW(E$2:E2460)*(E2460=E$2:E2460)))))-COUNTBLANK(OFFSET(A$1,,,SUMPRODUCT(MAX(ROW(E$1:E2459)*(E2=E$1:E2459))))))</f>
        <v> </v>
      </c>
      <c r="K2460" s="25" t="str">
        <f>IF(OR(E2460="",E2460="!!!",F2460="NEW"),"",INDEX(J$1:J2459,SUMPRODUCT(MAX(ROW(E$1:E2459)*(E2460=E$1:E2459)))))</f>
        <v> </v>
      </c>
      <c r="L2460" s="26"/>
    </row>
    <row r="2461" spans="1:12">
      <c r="A2461" s="20" t="s">
        <v>1914</v>
      </c>
      <c r="E2461" s="21">
        <f>IF(D2461="?OLD","!!!","")</f>
        <v/>
      </c>
      <c r="F2461" s="22" t="str">
        <f>IF(OR(E2461="",E2461="!!!"),"",IF(NOT(ISNA(VLOOKUP(E2461,E$1:E2460,1,FALSE()))),"OLD",IF(AND(E2461&lt;&gt;"",E2461&lt;&gt;"!!!"),"NEW","")))</f>
        <v> </v>
      </c>
      <c r="G2461" s="23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4" t="str">
        <f>IF(J2461&lt;&gt;1,"",IF(I2461="SBJ","CB","?"))</f>
        <v> </v>
      </c>
      <c r="I2461" s="25" t="str">
        <f>IF(OR(E2461="",E2461="!!!",F2461="NEW"),"",INDEX(B2460:B$2,-1+SUMPRODUCT(MAX(ROW(E2460:E$2)*(E2461=E2460:E$2)))))</f>
        <v> </v>
      </c>
      <c r="J2461" s="25" t="str">
        <f>IF(OR(E2461="",E2461="!!!",F2461="NEW"),"",COUNTBLANK(OFFSET(A$1,,,SUMPRODUCT(MAX(ROW(E$2:E2461)*(E2461=E$2:E2461)))))-COUNTBLANK(OFFSET(A$1,,,SUMPRODUCT(MAX(ROW(E$1:E2460)*(E2=E$1:E2460))))))</f>
        <v> </v>
      </c>
      <c r="K2461" s="25" t="str">
        <f>IF(OR(E2461="",E2461="!!!",F2461="NEW"),"",INDEX(J$1:J2460,SUMPRODUCT(MAX(ROW(E$1:E2460)*(E2461=E$1:E2460)))))</f>
        <v> </v>
      </c>
      <c r="L2461" s="26"/>
    </row>
    <row r="2462" spans="1:12">
      <c r="A2462" s="20" t="s">
        <v>1915</v>
      </c>
      <c r="E2462" s="21">
        <f>IF(D2462="?OLD","!!!","")</f>
        <v/>
      </c>
      <c r="F2462" s="22" t="str">
        <f>IF(OR(E2462="",E2462="!!!"),"",IF(NOT(ISNA(VLOOKUP(E2462,E$1:E2461,1,FALSE()))),"OLD",IF(AND(E2462&lt;&gt;"",E2462&lt;&gt;"!!!"),"NEW","")))</f>
        <v> </v>
      </c>
      <c r="G2462" s="23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4" t="str">
        <f>IF(J2462&lt;&gt;1,"",IF(I2462="SBJ","CB","?"))</f>
        <v> </v>
      </c>
      <c r="I2462" s="25" t="str">
        <f>IF(OR(E2462="",E2462="!!!",F2462="NEW"),"",INDEX(B2461:B$2,-1+SUMPRODUCT(MAX(ROW(E2461:E$2)*(E2462=E2461:E$2)))))</f>
        <v> </v>
      </c>
      <c r="J2462" s="25" t="str">
        <f>IF(OR(E2462="",E2462="!!!",F2462="NEW"),"",COUNTBLANK(OFFSET(A$1,,,SUMPRODUCT(MAX(ROW(E$2:E2462)*(E2462=E$2:E2462)))))-COUNTBLANK(OFFSET(A$1,,,SUMPRODUCT(MAX(ROW(E$1:E2461)*(E2=E$1:E2461))))))</f>
        <v> </v>
      </c>
      <c r="K2462" s="25" t="str">
        <f>IF(OR(E2462="",E2462="!!!",F2462="NEW"),"",INDEX(J$1:J2461,SUMPRODUCT(MAX(ROW(E$1:E2461)*(E2462=E$1:E2461)))))</f>
        <v> </v>
      </c>
      <c r="L2462" s="26"/>
    </row>
    <row r="2463" spans="1:12">
      <c r="A2463" s="20" t="s">
        <v>1049</v>
      </c>
      <c r="E2463" s="21">
        <f>IF(D2463="?OLD","!!!","")</f>
        <v/>
      </c>
      <c r="F2463" s="22" t="str">
        <f>IF(OR(E2463="",E2463="!!!"),"",IF(NOT(ISNA(VLOOKUP(E2463,E$1:E2462,1,FALSE()))),"OLD",IF(AND(E2463&lt;&gt;"",E2463&lt;&gt;"!!!"),"NEW","")))</f>
        <v> </v>
      </c>
      <c r="G2463" s="23" t="str">
        <f>IF(OR(E2463="",E2463="!!!"),"",IF(OR(J2463=0,AND(J2463=1,K2463=1),AND(J2463=1,I2463="SBJ"),AND(J2463=1,I2463=0)),"?IN_FOCUS",IF(J2463&lt;=2,"?ACTIVATED",IF(J2463&lt;&gt;"","?FAMILIAR",IF(F2463="NEW",IF(ISNA(VLOOKUP(E2463,#REF!,1,FALSE())),"?TYPE_IDENTIFIABLE","?REFERENTIAL"),"_")))))</f>
        <v> </v>
      </c>
      <c r="H2463" s="24" t="str">
        <f>IF(J2463&lt;&gt;1,"",IF(I2463="SBJ","CB","?"))</f>
        <v> </v>
      </c>
      <c r="I2463" s="25" t="str">
        <f>IF(OR(E2463="",E2463="!!!",F2463="NEW"),"",INDEX(B2462:B$2,-1+SUMPRODUCT(MAX(ROW(E2462:E$2)*(E2463=E2462:E$2)))))</f>
        <v> </v>
      </c>
      <c r="J2463" s="25" t="str">
        <f>IF(OR(E2463="",E2463="!!!",F2463="NEW"),"",COUNTBLANK(OFFSET(A$1,,,SUMPRODUCT(MAX(ROW(E$2:E2463)*(E2463=E$2:E2463)))))-COUNTBLANK(OFFSET(A$1,,,SUMPRODUCT(MAX(ROW(E$1:E2462)*(E2=E$1:E2462))))))</f>
        <v> </v>
      </c>
      <c r="K2463" s="25" t="str">
        <f>IF(OR(E2463="",E2463="!!!",F2463="NEW"),"",INDEX(J$1:J2462,SUMPRODUCT(MAX(ROW(E$1:E2462)*(E2463=E$1:E2462)))))</f>
        <v> </v>
      </c>
      <c r="L2463" s="26"/>
    </row>
    <row r="2464" spans="1:12">
      <c r="A2464" s="20" t="s">
        <v>1016</v>
      </c>
      <c r="E2464" s="21">
        <f>IF(D2464="?OLD","!!!","")</f>
        <v/>
      </c>
      <c r="F2464" s="22" t="str">
        <f>IF(OR(E2464="",E2464="!!!"),"",IF(NOT(ISNA(VLOOKUP(E2464,E$1:E2463,1,FALSE()))),"OLD",IF(AND(E2464&lt;&gt;"",E2464&lt;&gt;"!!!"),"NEW","")))</f>
        <v> </v>
      </c>
      <c r="G2464" s="23" t="str">
        <f>IF(OR(E2464="",E2464="!!!"),"",IF(OR(J2464=0,AND(J2464=1,K2464=1),AND(J2464=1,I2464="SBJ"),AND(J2464=1,I2464=0)),"?IN_FOCUS",IF(J2464&lt;=2,"?ACTIVATED",IF(J2464&lt;&gt;"","?FAMILIAR",IF(F2464="NEW",IF(ISNA(VLOOKUP(E2464,#REF!,1,FALSE())),"?TYPE_IDENTIFIABLE","?REFERENTIAL"),"_")))))</f>
        <v> </v>
      </c>
      <c r="H2464" s="24" t="str">
        <f>IF(J2464&lt;&gt;1,"",IF(I2464="SBJ","CB","?"))</f>
        <v> </v>
      </c>
      <c r="I2464" s="25" t="str">
        <f>IF(OR(E2464="",E2464="!!!",F2464="NEW"),"",INDEX(B2463:B$2,-1+SUMPRODUCT(MAX(ROW(E2463:E$2)*(E2464=E2463:E$2)))))</f>
        <v> </v>
      </c>
      <c r="J2464" s="25" t="str">
        <f>IF(OR(E2464="",E2464="!!!",F2464="NEW"),"",COUNTBLANK(OFFSET(A$1,,,SUMPRODUCT(MAX(ROW(E$2:E2464)*(E2464=E$2:E2464)))))-COUNTBLANK(OFFSET(A$1,,,SUMPRODUCT(MAX(ROW(E$1:E2463)*(E2=E$1:E2463))))))</f>
        <v> </v>
      </c>
      <c r="K2464" s="25" t="str">
        <f>IF(OR(E2464="",E2464="!!!",F2464="NEW"),"",INDEX(J$1:J2463,SUMPRODUCT(MAX(ROW(E$1:E2463)*(E2464=E$1:E2463)))))</f>
        <v> </v>
      </c>
      <c r="L2464" s="26"/>
    </row>
    <row r="2465" spans="1:12">
      <c r="A2465" s="20" t="s">
        <v>1916</v>
      </c>
      <c r="B2465" s="27" t="s">
        <v>1079</v>
      </c>
      <c r="C2465" s="27" t="s">
        <v>1015</v>
      </c>
      <c r="E2465" s="21">
        <f>IF(D2465="?OLD","!!!","")</f>
        <v/>
      </c>
      <c r="F2465" s="22" t="str">
        <f>IF(OR(E2465="",E2465="!!!"),"",IF(NOT(ISNA(VLOOKUP(E2465,E$1:E2464,1,FALSE()))),"OLD",IF(AND(E2465&lt;&gt;"",E2465&lt;&gt;"!!!"),"NEW","")))</f>
        <v> </v>
      </c>
      <c r="G2465" s="23" t="str">
        <f>IF(OR(E2465="",E2465="!!!"),"",IF(OR(J2465=0,AND(J2465=1,K2465=1),AND(J2465=1,I2465="SBJ"),AND(J2465=1,I2465=0)),"?IN_FOCUS",IF(J2465&lt;=2,"?ACTIVATED",IF(J2465&lt;&gt;"","?FAMILIAR",IF(F2465="NEW",IF(ISNA(VLOOKUP(E2465,#REF!,1,FALSE())),"?TYPE_IDENTIFIABLE","?REFERENTIAL"),"_")))))</f>
        <v> </v>
      </c>
      <c r="H2465" s="24" t="str">
        <f>IF(J2465&lt;&gt;1,"",IF(I2465="SBJ","CB","?"))</f>
        <v> </v>
      </c>
      <c r="I2465" s="25" t="str">
        <f>IF(OR(E2465="",E2465="!!!",F2465="NEW"),"",INDEX(B2464:B$2,-1+SUMPRODUCT(MAX(ROW(E2464:E$2)*(E2465=E2464:E$2)))))</f>
        <v> </v>
      </c>
      <c r="J2465" s="25" t="str">
        <f>IF(OR(E2465="",E2465="!!!",F2465="NEW"),"",COUNTBLANK(OFFSET(A$1,,,SUMPRODUCT(MAX(ROW(E$2:E2465)*(E2465=E$2:E2465)))))-COUNTBLANK(OFFSET(A$1,,,SUMPRODUCT(MAX(ROW(E$1:E2464)*(E2=E$1:E2464))))))</f>
        <v> </v>
      </c>
      <c r="K2465" s="25" t="str">
        <f>IF(OR(E2465="",E2465="!!!",F2465="NEW"),"",INDEX(J$1:J2464,SUMPRODUCT(MAX(ROW(E$1:E2464)*(E2465=E$1:E2464)))))</f>
        <v> </v>
      </c>
      <c r="L2465" s="26"/>
    </row>
    <row r="2466" spans="1:12">
      <c r="A2466" s="20" t="s">
        <v>135</v>
      </c>
      <c r="E2466" s="21">
        <f>IF(D2466="?OLD","!!!","")</f>
        <v/>
      </c>
      <c r="F2466" s="22" t="str">
        <f>IF(OR(E2466="",E2466="!!!"),"",IF(NOT(ISNA(VLOOKUP(E2466,E$1:E2465,1,FALSE()))),"OLD",IF(AND(E2466&lt;&gt;"",E2466&lt;&gt;"!!!"),"NEW","")))</f>
        <v> </v>
      </c>
      <c r="G2466" s="23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4" t="str">
        <f>IF(J2466&lt;&gt;1,"",IF(I2466="SBJ","CB","?"))</f>
        <v> </v>
      </c>
      <c r="I2466" s="25" t="str">
        <f>IF(OR(E2466="",E2466="!!!",F2466="NEW"),"",INDEX(B2465:B$2,-1+SUMPRODUCT(MAX(ROW(E2465:E$2)*(E2466=E2465:E$2)))))</f>
        <v> </v>
      </c>
      <c r="J2466" s="25" t="str">
        <f>IF(OR(E2466="",E2466="!!!",F2466="NEW"),"",COUNTBLANK(OFFSET(A$1,,,SUMPRODUCT(MAX(ROW(E$2:E2466)*(E2466=E$2:E2466)))))-COUNTBLANK(OFFSET(A$1,,,SUMPRODUCT(MAX(ROW(E$1:E2465)*(E2=E$1:E2465))))))</f>
        <v> </v>
      </c>
      <c r="K2466" s="25" t="str">
        <f>IF(OR(E2466="",E2466="!!!",F2466="NEW"),"",INDEX(J$1:J2465,SUMPRODUCT(MAX(ROW(E$1:E2465)*(E2466=E$1:E2465)))))</f>
        <v> </v>
      </c>
      <c r="L2466" s="26"/>
    </row>
    <row r="2467" spans="1:12">
      <c r="A2467" s="20"/>
    </row>
    <row r="2468" spans="1:12">
      <c r="A2468" s="20" t="s">
        <v>1917</v>
      </c>
    </row>
    <row r="2469" spans="1:12">
      <c r="A2469" s="20" t="s">
        <v>1918</v>
      </c>
      <c r="E2469" s="21">
        <f>IF(D2469="?OLD","!!!","")</f>
        <v/>
      </c>
      <c r="F2469" s="22" t="str">
        <f>IF(OR(E2469="",E2469="!!!"),"",IF(NOT(ISNA(VLOOKUP(E2469,E$1:E2468,1,FALSE()))),"OLD",IF(AND(E2469&lt;&gt;"",E2469&lt;&gt;"!!!"),"NEW","")))</f>
        <v> </v>
      </c>
      <c r="G2469" s="23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4" t="str">
        <f>IF(J2469&lt;&gt;1,"",IF(I2469="SBJ","CB","?"))</f>
        <v> </v>
      </c>
      <c r="I2469" s="25" t="str">
        <f>IF(OR(E2469="",E2469="!!!",F2469="NEW"),"",INDEX(B2468:B$2,-1+SUMPRODUCT(MAX(ROW(E2468:E$2)*(E2469=E2468:E$2)))))</f>
        <v> </v>
      </c>
      <c r="J2469" s="25" t="str">
        <f>IF(OR(E2469="",E2469="!!!",F2469="NEW"),"",COUNTBLANK(OFFSET(A$1,,,SUMPRODUCT(MAX(ROW(E$2:E2469)*(E2469=E$2:E2469)))))-COUNTBLANK(OFFSET(A$1,,,SUMPRODUCT(MAX(ROW(E$1:E2468)*(E2=E$1:E2468))))))</f>
        <v> </v>
      </c>
      <c r="K2469" s="25" t="str">
        <f>IF(OR(E2469="",E2469="!!!",F2469="NEW"),"",INDEX(J$1:J2468,SUMPRODUCT(MAX(ROW(E$1:E2468)*(E2469=E$1:E2468)))))</f>
        <v> </v>
      </c>
      <c r="L2469" s="26"/>
    </row>
    <row r="2470" spans="1:12">
      <c r="A2470" s="20" t="s">
        <v>1343</v>
      </c>
      <c r="E2470" s="21">
        <f>IF(D2470="?OLD","!!!","")</f>
        <v/>
      </c>
      <c r="F2470" s="22" t="str">
        <f>IF(OR(E2470="",E2470="!!!"),"",IF(NOT(ISNA(VLOOKUP(E2470,E$1:E2469,1,FALSE()))),"OLD",IF(AND(E2470&lt;&gt;"",E2470&lt;&gt;"!!!"),"NEW","")))</f>
        <v> </v>
      </c>
      <c r="G2470" s="23" t="str">
        <f>IF(OR(E2470="",E2470="!!!"),"",IF(OR(J2470=0,AND(J2470=1,K2470=1),AND(J2470=1,I2470="SBJ"),AND(J2470=1,I2470=0)),"?IN_FOCUS",IF(J2470&lt;=2,"?ACTIVATED",IF(J2470&lt;&gt;"","?FAMILIAR",IF(F2470="NEW",IF(ISNA(VLOOKUP(E2470,#REF!,1,FALSE())),"?TYPE_IDENTIFIABLE","?REFERENTIAL"),"_")))))</f>
        <v> </v>
      </c>
      <c r="H2470" s="24" t="str">
        <f>IF(J2470&lt;&gt;1,"",IF(I2470="SBJ","CB","?"))</f>
        <v> </v>
      </c>
      <c r="I2470" s="25" t="str">
        <f>IF(OR(E2470="",E2470="!!!",F2470="NEW"),"",INDEX(B2469:B$2,-1+SUMPRODUCT(MAX(ROW(E2469:E$2)*(E2470=E2469:E$2)))))</f>
        <v> </v>
      </c>
      <c r="J2470" s="25" t="str">
        <f>IF(OR(E2470="",E2470="!!!",F2470="NEW"),"",COUNTBLANK(OFFSET(A$1,,,SUMPRODUCT(MAX(ROW(E$2:E2470)*(E2470=E$2:E2470)))))-COUNTBLANK(OFFSET(A$1,,,SUMPRODUCT(MAX(ROW(E$1:E2469)*(E2=E$1:E2469))))))</f>
        <v> </v>
      </c>
      <c r="K2470" s="25" t="str">
        <f>IF(OR(E2470="",E2470="!!!",F2470="NEW"),"",INDEX(J$1:J2469,SUMPRODUCT(MAX(ROW(E$1:E2469)*(E2470=E$1:E2469)))))</f>
        <v> </v>
      </c>
      <c r="L2470" s="26"/>
    </row>
    <row r="2471" spans="1:12">
      <c r="A2471" s="20" t="s">
        <v>1123</v>
      </c>
      <c r="B2471" s="27" t="s">
        <v>1069</v>
      </c>
      <c r="C2471" s="27" t="s">
        <v>1050</v>
      </c>
      <c r="D2471" s="27" t="s">
        <v>1030</v>
      </c>
      <c r="E2471" s="21">
        <f>IF(D2471="?OLD","!!!","")</f>
        <v/>
      </c>
      <c r="F2471" s="22" t="str">
        <f>IF(OR(E2471="",E2471="!!!"),"",IF(NOT(ISNA(VLOOKUP(E2471,E$1:E2470,1,FALSE()))),"OLD",IF(AND(E2471&lt;&gt;"",E2471&lt;&gt;"!!!"),"NEW","")))</f>
        <v> </v>
      </c>
      <c r="G2471" s="23" t="str">
        <f>IF(OR(E2471="",E2471="!!!"),"",IF(OR(J2471=0,AND(J2471=1,K2471=1),AND(J2471=1,I2471="SBJ"),AND(J2471=1,I2471=0)),"?IN_FOCUS",IF(J2471&lt;=2,"?ACTIVATED",IF(J2471&lt;&gt;"","?FAMILIAR",IF(F2471="NEW",IF(ISNA(VLOOKUP(E2471,#REF!,1,FALSE())),"?TYPE_IDENTIFIABLE","?REFERENTIAL"),"_")))))</f>
        <v> </v>
      </c>
      <c r="H2471" s="24" t="str">
        <f>IF(J2471&lt;&gt;1,"",IF(I2471="SBJ","CB","?"))</f>
        <v> </v>
      </c>
      <c r="I2471" s="25" t="str">
        <f>IF(OR(E2471="",E2471="!!!",F2471="NEW"),"",INDEX(B2470:B$2,-1+SUMPRODUCT(MAX(ROW(E2470:E$2)*(E2471=E2470:E$2)))))</f>
        <v> </v>
      </c>
      <c r="J2471" s="25" t="str">
        <f>IF(OR(E2471="",E2471="!!!",F2471="NEW"),"",COUNTBLANK(OFFSET(A$1,,,SUMPRODUCT(MAX(ROW(E$2:E2471)*(E2471=E$2:E2471)))))-COUNTBLANK(OFFSET(A$1,,,SUMPRODUCT(MAX(ROW(E$1:E2470)*(E2=E$1:E2470))))))</f>
        <v> </v>
      </c>
      <c r="K2471" s="25" t="str">
        <f>IF(OR(E2471="",E2471="!!!",F2471="NEW"),"",INDEX(J$1:J2470,SUMPRODUCT(MAX(ROW(E$1:E2470)*(E2471=E$1:E2470)))))</f>
        <v> </v>
      </c>
      <c r="L2471" s="26"/>
    </row>
    <row r="2472" spans="1:12">
      <c r="A2472" s="20" t="s">
        <v>135</v>
      </c>
      <c r="E2472" s="21">
        <f>IF(D2472="?OLD","!!!","")</f>
        <v/>
      </c>
      <c r="F2472" s="22" t="str">
        <f>IF(OR(E2472="",E2472="!!!"),"",IF(NOT(ISNA(VLOOKUP(E2472,E$1:E2471,1,FALSE()))),"OLD",IF(AND(E2472&lt;&gt;"",E2472&lt;&gt;"!!!"),"NEW","")))</f>
        <v> </v>
      </c>
      <c r="G2472" s="23" t="str">
        <f>IF(OR(E2472="",E2472="!!!"),"",IF(OR(J2472=0,AND(J2472=1,K2472=1),AND(J2472=1,I2472="SBJ"),AND(J2472=1,I2472=0)),"?IN_FOCUS",IF(J2472&lt;=2,"?ACTIVATED",IF(J2472&lt;&gt;"","?FAMILIAR",IF(F2472="NEW",IF(ISNA(VLOOKUP(E2472,#REF!,1,FALSE())),"?TYPE_IDENTIFIABLE","?REFERENTIAL"),"_")))))</f>
        <v> </v>
      </c>
      <c r="H2472" s="24" t="str">
        <f>IF(J2472&lt;&gt;1,"",IF(I2472="SBJ","CB","?"))</f>
        <v> </v>
      </c>
      <c r="I2472" s="25" t="str">
        <f>IF(OR(E2472="",E2472="!!!",F2472="NEW"),"",INDEX(B2471:B$2,-1+SUMPRODUCT(MAX(ROW(E2471:E$2)*(E2472=E2471:E$2)))))</f>
        <v> </v>
      </c>
      <c r="J2472" s="25" t="str">
        <f>IF(OR(E2472="",E2472="!!!",F2472="NEW"),"",COUNTBLANK(OFFSET(A$1,,,SUMPRODUCT(MAX(ROW(E$2:E2472)*(E2472=E$2:E2472)))))-COUNTBLANK(OFFSET(A$1,,,SUMPRODUCT(MAX(ROW(E$1:E2471)*(E2=E$1:E2471))))))</f>
        <v> </v>
      </c>
      <c r="K2472" s="25" t="str">
        <f>IF(OR(E2472="",E2472="!!!",F2472="NEW"),"",INDEX(J$1:J2471,SUMPRODUCT(MAX(ROW(E$1:E2471)*(E2472=E$1:E2471)))))</f>
        <v> </v>
      </c>
      <c r="L2472" s="26"/>
    </row>
    <row r="2473" spans="1:12">
      <c r="A2473" s="20"/>
    </row>
    <row r="2474" spans="1:12">
      <c r="A2474" s="20" t="s">
        <v>1919</v>
      </c>
    </row>
    <row r="2475" spans="1:12">
      <c r="A2475" s="20" t="s">
        <v>1040</v>
      </c>
      <c r="B2475" s="27" t="s">
        <v>1041</v>
      </c>
      <c r="C2475" s="27" t="s">
        <v>1042</v>
      </c>
      <c r="E2475" s="21">
        <f>IF(D2475="?OLD","!!!","")</f>
        <v/>
      </c>
      <c r="F2475" s="22" t="str">
        <f>IF(OR(E2475="",E2475="!!!"),"",IF(NOT(ISNA(VLOOKUP(E2475,E$1:E2474,1,FALSE()))),"OLD",IF(AND(E2475&lt;&gt;"",E2475&lt;&gt;"!!!"),"NEW","")))</f>
        <v> </v>
      </c>
      <c r="G2475" s="23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4" t="str">
        <f>IF(J2475&lt;&gt;1,"",IF(I2475="SBJ","CB","?"))</f>
        <v> </v>
      </c>
      <c r="I2475" s="25" t="str">
        <f>IF(OR(E2475="",E2475="!!!",F2475="NEW"),"",INDEX(B2474:B$2,-1+SUMPRODUCT(MAX(ROW(E2474:E$2)*(E2475=E2474:E$2)))))</f>
        <v> </v>
      </c>
      <c r="J2475" s="25" t="str">
        <f>IF(OR(E2475="",E2475="!!!",F2475="NEW"),"",COUNTBLANK(OFFSET(A$1,,,SUMPRODUCT(MAX(ROW(E$2:E2475)*(E2475=E$2:E2475)))))-COUNTBLANK(OFFSET(A$1,,,SUMPRODUCT(MAX(ROW(E$1:E2474)*(E2=E$1:E2474))))))</f>
        <v> </v>
      </c>
      <c r="K2475" s="25" t="str">
        <f>IF(OR(E2475="",E2475="!!!",F2475="NEW"),"",INDEX(J$1:J2474,SUMPRODUCT(MAX(ROW(E$1:E2474)*(E2475=E$1:E2474)))))</f>
        <v> </v>
      </c>
      <c r="L2475" s="26"/>
    </row>
    <row r="2476" spans="1:12">
      <c r="A2476" s="20" t="s">
        <v>1431</v>
      </c>
      <c r="E2476" s="21">
        <f>IF(D2476="?OLD","!!!","")</f>
        <v/>
      </c>
      <c r="F2476" s="22" t="str">
        <f>IF(OR(E2476="",E2476="!!!"),"",IF(NOT(ISNA(VLOOKUP(E2476,E$1:E2475,1,FALSE()))),"OLD",IF(AND(E2476&lt;&gt;"",E2476&lt;&gt;"!!!"),"NEW","")))</f>
        <v> </v>
      </c>
      <c r="G2476" s="23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4" t="str">
        <f>IF(J2476&lt;&gt;1,"",IF(I2476="SBJ","CB","?"))</f>
        <v> </v>
      </c>
      <c r="I2476" s="25" t="str">
        <f>IF(OR(E2476="",E2476="!!!",F2476="NEW"),"",INDEX(B2475:B$2,-1+SUMPRODUCT(MAX(ROW(E2475:E$2)*(E2476=E2475:E$2)))))</f>
        <v> </v>
      </c>
      <c r="J2476" s="25" t="str">
        <f>IF(OR(E2476="",E2476="!!!",F2476="NEW"),"",COUNTBLANK(OFFSET(A$1,,,SUMPRODUCT(MAX(ROW(E$2:E2476)*(E2476=E$2:E2476)))))-COUNTBLANK(OFFSET(A$1,,,SUMPRODUCT(MAX(ROW(E$1:E2475)*(E2=E$1:E2475))))))</f>
        <v> </v>
      </c>
      <c r="K2476" s="25" t="str">
        <f>IF(OR(E2476="",E2476="!!!",F2476="NEW"),"",INDEX(J$1:J2475,SUMPRODUCT(MAX(ROW(E$1:E2475)*(E2476=E$1:E2475)))))</f>
        <v> </v>
      </c>
      <c r="L2476" s="26"/>
    </row>
    <row r="2477" spans="1:12">
      <c r="A2477" s="20" t="s">
        <v>1920</v>
      </c>
      <c r="E2477" s="21">
        <f>IF(D2477="?OLD","!!!","")</f>
        <v/>
      </c>
      <c r="F2477" s="22" t="str">
        <f>IF(OR(E2477="",E2477="!!!"),"",IF(NOT(ISNA(VLOOKUP(E2477,E$1:E2476,1,FALSE()))),"OLD",IF(AND(E2477&lt;&gt;"",E2477&lt;&gt;"!!!"),"NEW","")))</f>
        <v> </v>
      </c>
      <c r="G2477" s="23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4" t="str">
        <f>IF(J2477&lt;&gt;1,"",IF(I2477="SBJ","CB","?"))</f>
        <v> </v>
      </c>
      <c r="I2477" s="25" t="str">
        <f>IF(OR(E2477="",E2477="!!!",F2477="NEW"),"",INDEX(B2476:B$2,-1+SUMPRODUCT(MAX(ROW(E2476:E$2)*(E2477=E2476:E$2)))))</f>
        <v> </v>
      </c>
      <c r="J2477" s="25" t="str">
        <f>IF(OR(E2477="",E2477="!!!",F2477="NEW"),"",COUNTBLANK(OFFSET(A$1,,,SUMPRODUCT(MAX(ROW(E$2:E2477)*(E2477=E$2:E2477)))))-COUNTBLANK(OFFSET(A$1,,,SUMPRODUCT(MAX(ROW(E$1:E2476)*(E2=E$1:E2476))))))</f>
        <v> </v>
      </c>
      <c r="K2477" s="25" t="str">
        <f>IF(OR(E2477="",E2477="!!!",F2477="NEW"),"",INDEX(J$1:J2476,SUMPRODUCT(MAX(ROW(E$1:E2476)*(E2477=E$1:E2476)))))</f>
        <v> </v>
      </c>
      <c r="L2477" s="26"/>
    </row>
    <row r="2478" spans="1:12">
      <c r="A2478" s="20" t="s">
        <v>1096</v>
      </c>
      <c r="E2478" s="21">
        <f>IF(D2478="?OLD","!!!","")</f>
        <v/>
      </c>
      <c r="F2478" s="22" t="str">
        <f>IF(OR(E2478="",E2478="!!!"),"",IF(NOT(ISNA(VLOOKUP(E2478,E$1:E2477,1,FALSE()))),"OLD",IF(AND(E2478&lt;&gt;"",E2478&lt;&gt;"!!!"),"NEW","")))</f>
        <v> </v>
      </c>
      <c r="G2478" s="23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4" t="str">
        <f>IF(J2478&lt;&gt;1,"",IF(I2478="SBJ","CB","?"))</f>
        <v> </v>
      </c>
      <c r="I2478" s="25" t="str">
        <f>IF(OR(E2478="",E2478="!!!",F2478="NEW"),"",INDEX(B2477:B$2,-1+SUMPRODUCT(MAX(ROW(E2477:E$2)*(E2478=E2477:E$2)))))</f>
        <v> </v>
      </c>
      <c r="J2478" s="25" t="str">
        <f>IF(OR(E2478="",E2478="!!!",F2478="NEW"),"",COUNTBLANK(OFFSET(A$1,,,SUMPRODUCT(MAX(ROW(E$2:E2478)*(E2478=E$2:E2478)))))-COUNTBLANK(OFFSET(A$1,,,SUMPRODUCT(MAX(ROW(E$1:E2477)*(E2=E$1:E2477))))))</f>
        <v> </v>
      </c>
      <c r="K2478" s="25" t="str">
        <f>IF(OR(E2478="",E2478="!!!",F2478="NEW"),"",INDEX(J$1:J2477,SUMPRODUCT(MAX(ROW(E$1:E2477)*(E2478=E$1:E2477)))))</f>
        <v> </v>
      </c>
      <c r="L2478" s="26"/>
    </row>
    <row r="2479" spans="1:12">
      <c r="A2479" s="20" t="s">
        <v>1921</v>
      </c>
      <c r="B2479" s="27" t="s">
        <v>1014</v>
      </c>
      <c r="C2479" s="27" t="s">
        <v>1038</v>
      </c>
      <c r="D2479" s="27" t="s">
        <v>1030</v>
      </c>
      <c r="E2479" s="21">
        <f>IF(D2479="?OLD","!!!","")</f>
        <v/>
      </c>
      <c r="F2479" s="22" t="str">
        <f>IF(OR(E2479="",E2479="!!!"),"",IF(NOT(ISNA(VLOOKUP(E2479,E$1:E2478,1,FALSE()))),"OLD",IF(AND(E2479&lt;&gt;"",E2479&lt;&gt;"!!!"),"NEW","")))</f>
        <v> </v>
      </c>
      <c r="G2479" s="23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4" t="str">
        <f>IF(J2479&lt;&gt;1,"",IF(I2479="SBJ","CB","?"))</f>
        <v> </v>
      </c>
      <c r="I2479" s="25" t="str">
        <f>IF(OR(E2479="",E2479="!!!",F2479="NEW"),"",INDEX(B2478:B$2,-1+SUMPRODUCT(MAX(ROW(E2478:E$2)*(E2479=E2478:E$2)))))</f>
        <v> </v>
      </c>
      <c r="J2479" s="25" t="str">
        <f>IF(OR(E2479="",E2479="!!!",F2479="NEW"),"",COUNTBLANK(OFFSET(A$1,,,SUMPRODUCT(MAX(ROW(E$2:E2479)*(E2479=E$2:E2479)))))-COUNTBLANK(OFFSET(A$1,,,SUMPRODUCT(MAX(ROW(E$1:E2478)*(E2=E$1:E2478))))))</f>
        <v> </v>
      </c>
      <c r="K2479" s="25" t="str">
        <f>IF(OR(E2479="",E2479="!!!",F2479="NEW"),"",INDEX(J$1:J2478,SUMPRODUCT(MAX(ROW(E$1:E2478)*(E2479=E$1:E2478)))))</f>
        <v> </v>
      </c>
      <c r="L2479" s="26"/>
    </row>
    <row r="2480" spans="1:12">
      <c r="A2480" s="20" t="s">
        <v>1879</v>
      </c>
      <c r="E2480" s="21">
        <f>IF(D2480="?OLD","!!!","")</f>
        <v/>
      </c>
      <c r="F2480" s="22" t="str">
        <f>IF(OR(E2480="",E2480="!!!"),"",IF(NOT(ISNA(VLOOKUP(E2480,E$1:E2479,1,FALSE()))),"OLD",IF(AND(E2480&lt;&gt;"",E2480&lt;&gt;"!!!"),"NEW","")))</f>
        <v> </v>
      </c>
      <c r="G2480" s="23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4" t="str">
        <f>IF(J2480&lt;&gt;1,"",IF(I2480="SBJ","CB","?"))</f>
        <v> </v>
      </c>
      <c r="I2480" s="25" t="str">
        <f>IF(OR(E2480="",E2480="!!!",F2480="NEW"),"",INDEX(B2479:B$2,-1+SUMPRODUCT(MAX(ROW(E2479:E$2)*(E2480=E2479:E$2)))))</f>
        <v> </v>
      </c>
      <c r="J2480" s="25" t="str">
        <f>IF(OR(E2480="",E2480="!!!",F2480="NEW"),"",COUNTBLANK(OFFSET(A$1,,,SUMPRODUCT(MAX(ROW(E$2:E2480)*(E2480=E$2:E2480)))))-COUNTBLANK(OFFSET(A$1,,,SUMPRODUCT(MAX(ROW(E$1:E2479)*(E2=E$1:E2479))))))</f>
        <v> </v>
      </c>
      <c r="K2480" s="25" t="str">
        <f>IF(OR(E2480="",E2480="!!!",F2480="NEW"),"",INDEX(J$1:J2479,SUMPRODUCT(MAX(ROW(E$1:E2479)*(E2480=E$1:E2479)))))</f>
        <v> </v>
      </c>
      <c r="L2480" s="26"/>
    </row>
    <row r="2481" spans="1:12">
      <c r="A2481" s="20" t="s">
        <v>1215</v>
      </c>
      <c r="E2481" s="21">
        <f>IF(D2481="?OLD","!!!","")</f>
        <v/>
      </c>
      <c r="F2481" s="22" t="str">
        <f>IF(OR(E2481="",E2481="!!!"),"",IF(NOT(ISNA(VLOOKUP(E2481,E$1:E2480,1,FALSE()))),"OLD",IF(AND(E2481&lt;&gt;"",E2481&lt;&gt;"!!!"),"NEW","")))</f>
        <v> </v>
      </c>
      <c r="G2481" s="23" t="str">
        <f>IF(OR(E2481="",E2481="!!!"),"",IF(OR(J2481=0,AND(J2481=1,K2481=1),AND(J2481=1,I2481="SBJ"),AND(J2481=1,I2481=0)),"?IN_FOCUS",IF(J2481&lt;=2,"?ACTIVATED",IF(J2481&lt;&gt;"","?FAMILIAR",IF(F2481="NEW",IF(ISNA(VLOOKUP(E2481,#REF!,1,FALSE())),"?TYPE_IDENTIFIABLE","?REFERENTIAL"),"_")))))</f>
        <v> </v>
      </c>
      <c r="H2481" s="24" t="str">
        <f>IF(J2481&lt;&gt;1,"",IF(I2481="SBJ","CB","?"))</f>
        <v> </v>
      </c>
      <c r="I2481" s="25" t="str">
        <f>IF(OR(E2481="",E2481="!!!",F2481="NEW"),"",INDEX(B2480:B$2,-1+SUMPRODUCT(MAX(ROW(E2480:E$2)*(E2481=E2480:E$2)))))</f>
        <v> </v>
      </c>
      <c r="J2481" s="25" t="str">
        <f>IF(OR(E2481="",E2481="!!!",F2481="NEW"),"",COUNTBLANK(OFFSET(A$1,,,SUMPRODUCT(MAX(ROW(E$2:E2481)*(E2481=E$2:E2481)))))-COUNTBLANK(OFFSET(A$1,,,SUMPRODUCT(MAX(ROW(E$1:E2480)*(E2=E$1:E2480))))))</f>
        <v> </v>
      </c>
      <c r="K2481" s="25" t="str">
        <f>IF(OR(E2481="",E2481="!!!",F2481="NEW"),"",INDEX(J$1:J2480,SUMPRODUCT(MAX(ROW(E$1:E2480)*(E2481=E$1:E2480)))))</f>
        <v> </v>
      </c>
      <c r="L2481" s="26"/>
    </row>
    <row r="2482" spans="1:12">
      <c r="A2482" s="20"/>
    </row>
    <row r="2483" spans="1:12">
      <c r="A2483" s="20" t="s">
        <v>1922</v>
      </c>
    </row>
    <row r="2484" spans="1:12">
      <c r="A2484" s="20" t="s">
        <v>595</v>
      </c>
      <c r="B2484" s="27" t="s">
        <v>1045</v>
      </c>
      <c r="C2484" s="27" t="s">
        <v>1033</v>
      </c>
      <c r="D2484" s="27" t="s">
        <v>1030</v>
      </c>
      <c r="E2484" s="21">
        <f>IF(D2484="?OLD","!!!","")</f>
        <v/>
      </c>
      <c r="F2484" s="22" t="str">
        <f>IF(OR(E2484="",E2484="!!!"),"",IF(NOT(ISNA(VLOOKUP(E2484,E$1:E2483,1,FALSE()))),"OLD",IF(AND(E2484&lt;&gt;"",E2484&lt;&gt;"!!!"),"NEW","")))</f>
        <v> </v>
      </c>
      <c r="G2484" s="23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4" t="str">
        <f>IF(J2484&lt;&gt;1,"",IF(I2484="SBJ","CB","?"))</f>
        <v> </v>
      </c>
      <c r="I2484" s="25" t="str">
        <f>IF(OR(E2484="",E2484="!!!",F2484="NEW"),"",INDEX(B2483:B$2,-1+SUMPRODUCT(MAX(ROW(E2483:E$2)*(E2484=E2483:E$2)))))</f>
        <v> </v>
      </c>
      <c r="J2484" s="25" t="str">
        <f>IF(OR(E2484="",E2484="!!!",F2484="NEW"),"",COUNTBLANK(OFFSET(A$1,,,SUMPRODUCT(MAX(ROW(E$2:E2484)*(E2484=E$2:E2484)))))-COUNTBLANK(OFFSET(A$1,,,SUMPRODUCT(MAX(ROW(E$1:E2483)*(E2=E$1:E2483))))))</f>
        <v> </v>
      </c>
      <c r="K2484" s="25" t="str">
        <f>IF(OR(E2484="",E2484="!!!",F2484="NEW"),"",INDEX(J$1:J2483,SUMPRODUCT(MAX(ROW(E$1:E2483)*(E2484=E$1:E2483)))))</f>
        <v> </v>
      </c>
      <c r="L2484" s="26"/>
    </row>
    <row r="2485" spans="1:12">
      <c r="A2485" s="20" t="s">
        <v>1022</v>
      </c>
      <c r="E2485" s="21">
        <f>IF(D2485="?OLD","!!!","")</f>
        <v/>
      </c>
      <c r="F2485" s="22" t="str">
        <f>IF(OR(E2485="",E2485="!!!"),"",IF(NOT(ISNA(VLOOKUP(E2485,E$1:E2484,1,FALSE()))),"OLD",IF(AND(E2485&lt;&gt;"",E2485&lt;&gt;"!!!"),"NEW","")))</f>
        <v> </v>
      </c>
      <c r="G2485" s="23" t="str">
        <f>IF(OR(E2485="",E2485="!!!"),"",IF(OR(J2485=0,AND(J2485=1,K2485=1),AND(J2485=1,I2485="SBJ"),AND(J2485=1,I2485=0)),"?IN_FOCUS",IF(J2485&lt;=2,"?ACTIVATED",IF(J2485&lt;&gt;"","?FAMILIAR",IF(F2485="NEW",IF(ISNA(VLOOKUP(E2485,#REF!,1,FALSE())),"?TYPE_IDENTIFIABLE","?REFERENTIAL"),"_")))))</f>
        <v> </v>
      </c>
      <c r="H2485" s="24" t="str">
        <f>IF(J2485&lt;&gt;1,"",IF(I2485="SBJ","CB","?"))</f>
        <v> </v>
      </c>
      <c r="I2485" s="25" t="str">
        <f>IF(OR(E2485="",E2485="!!!",F2485="NEW"),"",INDEX(B2484:B$2,-1+SUMPRODUCT(MAX(ROW(E2484:E$2)*(E2485=E2484:E$2)))))</f>
        <v> </v>
      </c>
      <c r="J2485" s="25" t="str">
        <f>IF(OR(E2485="",E2485="!!!",F2485="NEW"),"",COUNTBLANK(OFFSET(A$1,,,SUMPRODUCT(MAX(ROW(E$2:E2485)*(E2485=E$2:E2485)))))-COUNTBLANK(OFFSET(A$1,,,SUMPRODUCT(MAX(ROW(E$1:E2484)*(E2=E$1:E2484))))))</f>
        <v> </v>
      </c>
      <c r="K2485" s="25" t="str">
        <f>IF(OR(E2485="",E2485="!!!",F2485="NEW"),"",INDEX(J$1:J2484,SUMPRODUCT(MAX(ROW(E$1:E2484)*(E2485=E$1:E2484)))))</f>
        <v> </v>
      </c>
      <c r="L2485" s="26"/>
    </row>
    <row r="2486" spans="1:12">
      <c r="A2486" s="20" t="s">
        <v>1160</v>
      </c>
      <c r="E2486" s="21">
        <f>IF(D2486="?OLD","!!!","")</f>
        <v/>
      </c>
      <c r="F2486" s="22" t="str">
        <f>IF(OR(E2486="",E2486="!!!"),"",IF(NOT(ISNA(VLOOKUP(E2486,E$1:E2485,1,FALSE()))),"OLD",IF(AND(E2486&lt;&gt;"",E2486&lt;&gt;"!!!"),"NEW","")))</f>
        <v> </v>
      </c>
      <c r="G2486" s="23" t="str">
        <f>IF(OR(E2486="",E2486="!!!"),"",IF(OR(J2486=0,AND(J2486=1,K2486=1),AND(J2486=1,I2486="SBJ"),AND(J2486=1,I2486=0)),"?IN_FOCUS",IF(J2486&lt;=2,"?ACTIVATED",IF(J2486&lt;&gt;"","?FAMILIAR",IF(F2486="NEW",IF(ISNA(VLOOKUP(E2486,#REF!,1,FALSE())),"?TYPE_IDENTIFIABLE","?REFERENTIAL"),"_")))))</f>
        <v> </v>
      </c>
      <c r="H2486" s="24" t="str">
        <f>IF(J2486&lt;&gt;1,"",IF(I2486="SBJ","CB","?"))</f>
        <v> </v>
      </c>
      <c r="I2486" s="25" t="str">
        <f>IF(OR(E2486="",E2486="!!!",F2486="NEW"),"",INDEX(B2485:B$2,-1+SUMPRODUCT(MAX(ROW(E2485:E$2)*(E2486=E2485:E$2)))))</f>
        <v> </v>
      </c>
      <c r="J2486" s="25" t="str">
        <f>IF(OR(E2486="",E2486="!!!",F2486="NEW"),"",COUNTBLANK(OFFSET(A$1,,,SUMPRODUCT(MAX(ROW(E$2:E2486)*(E2486=E$2:E2486)))))-COUNTBLANK(OFFSET(A$1,,,SUMPRODUCT(MAX(ROW(E$1:E2485)*(E2=E$1:E2485))))))</f>
        <v> </v>
      </c>
      <c r="K2486" s="25" t="str">
        <f>IF(OR(E2486="",E2486="!!!",F2486="NEW"),"",INDEX(J$1:J2485,SUMPRODUCT(MAX(ROW(E$1:E2485)*(E2486=E$1:E2485)))))</f>
        <v> </v>
      </c>
      <c r="L2486" s="26"/>
    </row>
    <row r="2487" spans="1:12">
      <c r="A2487" s="20" t="s">
        <v>1441</v>
      </c>
      <c r="B2487" s="27" t="s">
        <v>1045</v>
      </c>
      <c r="C2487" s="27" t="s">
        <v>1029</v>
      </c>
      <c r="D2487" s="27" t="s">
        <v>1030</v>
      </c>
      <c r="E2487" s="21">
        <f>IF(D2487="?OLD","!!!","")</f>
        <v/>
      </c>
      <c r="F2487" s="22" t="str">
        <f>IF(OR(E2487="",E2487="!!!"),"",IF(NOT(ISNA(VLOOKUP(E2487,E$1:E2486,1,FALSE()))),"OLD",IF(AND(E2487&lt;&gt;"",E2487&lt;&gt;"!!!"),"NEW","")))</f>
        <v> </v>
      </c>
      <c r="G2487" s="23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4" t="str">
        <f>IF(J2487&lt;&gt;1,"",IF(I2487="SBJ","CB","?"))</f>
        <v> </v>
      </c>
      <c r="I2487" s="25" t="str">
        <f>IF(OR(E2487="",E2487="!!!",F2487="NEW"),"",INDEX(B2486:B$2,-1+SUMPRODUCT(MAX(ROW(E2486:E$2)*(E2487=E2486:E$2)))))</f>
        <v> </v>
      </c>
      <c r="J2487" s="25" t="str">
        <f>IF(OR(E2487="",E2487="!!!",F2487="NEW"),"",COUNTBLANK(OFFSET(A$1,,,SUMPRODUCT(MAX(ROW(E$2:E2487)*(E2487=E$2:E2487)))))-COUNTBLANK(OFFSET(A$1,,,SUMPRODUCT(MAX(ROW(E$1:E2486)*(E2=E$1:E2486))))))</f>
        <v> </v>
      </c>
      <c r="K2487" s="25" t="str">
        <f>IF(OR(E2487="",E2487="!!!",F2487="NEW"),"",INDEX(J$1:J2486,SUMPRODUCT(MAX(ROW(E$1:E2486)*(E2487=E$1:E2486)))))</f>
        <v> </v>
      </c>
      <c r="L2487" s="26"/>
    </row>
    <row r="2488" spans="1:12">
      <c r="A2488" s="20" t="s">
        <v>1016</v>
      </c>
      <c r="E2488" s="21">
        <f>IF(D2488="?OLD","!!!","")</f>
        <v/>
      </c>
      <c r="F2488" s="22" t="str">
        <f>IF(OR(E2488="",E2488="!!!"),"",IF(NOT(ISNA(VLOOKUP(E2488,E$1:E2487,1,FALSE()))),"OLD",IF(AND(E2488&lt;&gt;"",E2488&lt;&gt;"!!!"),"NEW","")))</f>
        <v> </v>
      </c>
      <c r="G2488" s="23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4" t="str">
        <f>IF(J2488&lt;&gt;1,"",IF(I2488="SBJ","CB","?"))</f>
        <v> </v>
      </c>
      <c r="I2488" s="25" t="str">
        <f>IF(OR(E2488="",E2488="!!!",F2488="NEW"),"",INDEX(B2487:B$2,-1+SUMPRODUCT(MAX(ROW(E2487:E$2)*(E2488=E2487:E$2)))))</f>
        <v> </v>
      </c>
      <c r="J2488" s="25" t="str">
        <f>IF(OR(E2488="",E2488="!!!",F2488="NEW"),"",COUNTBLANK(OFFSET(A$1,,,SUMPRODUCT(MAX(ROW(E$2:E2488)*(E2488=E$2:E2488)))))-COUNTBLANK(OFFSET(A$1,,,SUMPRODUCT(MAX(ROW(E$1:E2487)*(E2=E$1:E2487))))))</f>
        <v> </v>
      </c>
      <c r="K2488" s="25" t="str">
        <f>IF(OR(E2488="",E2488="!!!",F2488="NEW"),"",INDEX(J$1:J2487,SUMPRODUCT(MAX(ROW(E$1:E2487)*(E2488=E$1:E2487)))))</f>
        <v> </v>
      </c>
      <c r="L2488" s="26"/>
    </row>
    <row r="2489" spans="1:12">
      <c r="A2489" s="20" t="s">
        <v>1923</v>
      </c>
      <c r="B2489" s="27" t="s">
        <v>1079</v>
      </c>
      <c r="C2489" s="27" t="s">
        <v>1015</v>
      </c>
      <c r="E2489" s="21">
        <f>IF(D2489="?OLD","!!!","")</f>
        <v/>
      </c>
      <c r="F2489" s="22" t="str">
        <f>IF(OR(E2489="",E2489="!!!"),"",IF(NOT(ISNA(VLOOKUP(E2489,E$1:E2488,1,FALSE()))),"OLD",IF(AND(E2489&lt;&gt;"",E2489&lt;&gt;"!!!"),"NEW","")))</f>
        <v> </v>
      </c>
      <c r="G2489" s="23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4" t="str">
        <f>IF(J2489&lt;&gt;1,"",IF(I2489="SBJ","CB","?"))</f>
        <v> </v>
      </c>
      <c r="I2489" s="25" t="str">
        <f>IF(OR(E2489="",E2489="!!!",F2489="NEW"),"",INDEX(B2488:B$2,-1+SUMPRODUCT(MAX(ROW(E2488:E$2)*(E2489=E2488:E$2)))))</f>
        <v> </v>
      </c>
      <c r="J2489" s="25" t="str">
        <f>IF(OR(E2489="",E2489="!!!",F2489="NEW"),"",COUNTBLANK(OFFSET(A$1,,,SUMPRODUCT(MAX(ROW(E$2:E2489)*(E2489=E$2:E2489)))))-COUNTBLANK(OFFSET(A$1,,,SUMPRODUCT(MAX(ROW(E$1:E2488)*(E2=E$1:E2488))))))</f>
        <v> </v>
      </c>
      <c r="K2489" s="25" t="str">
        <f>IF(OR(E2489="",E2489="!!!",F2489="NEW"),"",INDEX(J$1:J2488,SUMPRODUCT(MAX(ROW(E$1:E2488)*(E2489=E$1:E2488)))))</f>
        <v> </v>
      </c>
      <c r="L2489" s="26"/>
    </row>
    <row r="2490" spans="1:12">
      <c r="A2490" s="20" t="s">
        <v>1175</v>
      </c>
      <c r="E2490" s="21">
        <f>IF(D2490="?OLD","!!!","")</f>
        <v/>
      </c>
      <c r="F2490" s="22" t="str">
        <f>IF(OR(E2490="",E2490="!!!"),"",IF(NOT(ISNA(VLOOKUP(E2490,E$1:E2489,1,FALSE()))),"OLD",IF(AND(E2490&lt;&gt;"",E2490&lt;&gt;"!!!"),"NEW","")))</f>
        <v> </v>
      </c>
      <c r="G2490" s="23" t="str">
        <f>IF(OR(E2490="",E2490="!!!"),"",IF(OR(J2490=0,AND(J2490=1,K2490=1),AND(J2490=1,I2490="SBJ"),AND(J2490=1,I2490=0)),"?IN_FOCUS",IF(J2490&lt;=2,"?ACTIVATED",IF(J2490&lt;&gt;"","?FAMILIAR",IF(F2490="NEW",IF(ISNA(VLOOKUP(E2490,#REF!,1,FALSE())),"?TYPE_IDENTIFIABLE","?REFERENTIAL"),"_")))))</f>
        <v> </v>
      </c>
      <c r="H2490" s="24" t="str">
        <f>IF(J2490&lt;&gt;1,"",IF(I2490="SBJ","CB","?"))</f>
        <v> </v>
      </c>
      <c r="I2490" s="25" t="str">
        <f>IF(OR(E2490="",E2490="!!!",F2490="NEW"),"",INDEX(B2489:B$2,-1+SUMPRODUCT(MAX(ROW(E2489:E$2)*(E2490=E2489:E$2)))))</f>
        <v> </v>
      </c>
      <c r="J2490" s="25" t="str">
        <f>IF(OR(E2490="",E2490="!!!",F2490="NEW"),"",COUNTBLANK(OFFSET(A$1,,,SUMPRODUCT(MAX(ROW(E$2:E2490)*(E2490=E$2:E2490)))))-COUNTBLANK(OFFSET(A$1,,,SUMPRODUCT(MAX(ROW(E$1:E2489)*(E2=E$1:E2489))))))</f>
        <v> </v>
      </c>
      <c r="K2490" s="25" t="str">
        <f>IF(OR(E2490="",E2490="!!!",F2490="NEW"),"",INDEX(J$1:J2489,SUMPRODUCT(MAX(ROW(E$1:E2489)*(E2490=E$1:E2489)))))</f>
        <v> </v>
      </c>
      <c r="L2490" s="26"/>
    </row>
    <row r="2491" spans="1:12">
      <c r="A2491" s="20" t="s">
        <v>1924</v>
      </c>
      <c r="E2491" s="21">
        <f>IF(D2491="?OLD","!!!","")</f>
        <v/>
      </c>
      <c r="F2491" s="22" t="str">
        <f>IF(OR(E2491="",E2491="!!!"),"",IF(NOT(ISNA(VLOOKUP(E2491,E$1:E2490,1,FALSE()))),"OLD",IF(AND(E2491&lt;&gt;"",E2491&lt;&gt;"!!!"),"NEW","")))</f>
        <v> </v>
      </c>
      <c r="G2491" s="23" t="str">
        <f>IF(OR(E2491="",E2491="!!!"),"",IF(OR(J2491=0,AND(J2491=1,K2491=1),AND(J2491=1,I2491="SBJ"),AND(J2491=1,I2491=0)),"?IN_FOCUS",IF(J2491&lt;=2,"?ACTIVATED",IF(J2491&lt;&gt;"","?FAMILIAR",IF(F2491="NEW",IF(ISNA(VLOOKUP(E2491,#REF!,1,FALSE())),"?TYPE_IDENTIFIABLE","?REFERENTIAL"),"_")))))</f>
        <v> </v>
      </c>
      <c r="H2491" s="24" t="str">
        <f>IF(J2491&lt;&gt;1,"",IF(I2491="SBJ","CB","?"))</f>
        <v> </v>
      </c>
      <c r="I2491" s="25" t="str">
        <f>IF(OR(E2491="",E2491="!!!",F2491="NEW"),"",INDEX(B2490:B$2,-1+SUMPRODUCT(MAX(ROW(E2490:E$2)*(E2491=E2490:E$2)))))</f>
        <v> </v>
      </c>
      <c r="J2491" s="25" t="str">
        <f>IF(OR(E2491="",E2491="!!!",F2491="NEW"),"",COUNTBLANK(OFFSET(A$1,,,SUMPRODUCT(MAX(ROW(E$2:E2491)*(E2491=E$2:E2491)))))-COUNTBLANK(OFFSET(A$1,,,SUMPRODUCT(MAX(ROW(E$1:E2490)*(E2=E$1:E2490))))))</f>
        <v> </v>
      </c>
      <c r="K2491" s="25" t="str">
        <f>IF(OR(E2491="",E2491="!!!",F2491="NEW"),"",INDEX(J$1:J2490,SUMPRODUCT(MAX(ROW(E$1:E2490)*(E2491=E$1:E2490)))))</f>
        <v> </v>
      </c>
      <c r="L2491" s="26"/>
    </row>
    <row r="2492" spans="1:12">
      <c r="A2492" s="20" t="s">
        <v>1111</v>
      </c>
      <c r="E2492" s="21">
        <f>IF(D2492="?OLD","!!!","")</f>
        <v/>
      </c>
      <c r="F2492" s="22" t="str">
        <f>IF(OR(E2492="",E2492="!!!"),"",IF(NOT(ISNA(VLOOKUP(E2492,E$1:E2491,1,FALSE()))),"OLD",IF(AND(E2492&lt;&gt;"",E2492&lt;&gt;"!!!"),"NEW","")))</f>
        <v> </v>
      </c>
      <c r="G2492" s="23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4" t="str">
        <f>IF(J2492&lt;&gt;1,"",IF(I2492="SBJ","CB","?"))</f>
        <v> </v>
      </c>
      <c r="I2492" s="25" t="str">
        <f>IF(OR(E2492="",E2492="!!!",F2492="NEW"),"",INDEX(B2491:B$2,-1+SUMPRODUCT(MAX(ROW(E2491:E$2)*(E2492=E2491:E$2)))))</f>
        <v> </v>
      </c>
      <c r="J2492" s="25" t="str">
        <f>IF(OR(E2492="",E2492="!!!",F2492="NEW"),"",COUNTBLANK(OFFSET(A$1,,,SUMPRODUCT(MAX(ROW(E$2:E2492)*(E2492=E$2:E2492)))))-COUNTBLANK(OFFSET(A$1,,,SUMPRODUCT(MAX(ROW(E$1:E2491)*(E2=E$1:E2491))))))</f>
        <v> </v>
      </c>
      <c r="K2492" s="25" t="str">
        <f>IF(OR(E2492="",E2492="!!!",F2492="NEW"),"",INDEX(J$1:J2491,SUMPRODUCT(MAX(ROW(E$1:E2491)*(E2492=E$1:E2491)))))</f>
        <v> </v>
      </c>
      <c r="L2492" s="26"/>
    </row>
    <row r="2493" spans="1:12">
      <c r="A2493" s="20" t="s">
        <v>1925</v>
      </c>
      <c r="B2493" s="27" t="s">
        <v>1020</v>
      </c>
      <c r="C2493" s="27" t="s">
        <v>1038</v>
      </c>
      <c r="D2493" s="27" t="s">
        <v>1030</v>
      </c>
      <c r="E2493" s="21">
        <f>IF(D2493="?OLD","!!!","")</f>
        <v/>
      </c>
      <c r="F2493" s="22" t="str">
        <f>IF(OR(E2493="",E2493="!!!"),"",IF(NOT(ISNA(VLOOKUP(E2493,E$1:E2492,1,FALSE()))),"OLD",IF(AND(E2493&lt;&gt;"",E2493&lt;&gt;"!!!"),"NEW","")))</f>
        <v> </v>
      </c>
      <c r="G2493" s="23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4" t="str">
        <f>IF(J2493&lt;&gt;1,"",IF(I2493="SBJ","CB","?"))</f>
        <v> </v>
      </c>
      <c r="I2493" s="25" t="str">
        <f>IF(OR(E2493="",E2493="!!!",F2493="NEW"),"",INDEX(B2492:B$2,-1+SUMPRODUCT(MAX(ROW(E2492:E$2)*(E2493=E2492:E$2)))))</f>
        <v> </v>
      </c>
      <c r="J2493" s="25" t="str">
        <f>IF(OR(E2493="",E2493="!!!",F2493="NEW"),"",COUNTBLANK(OFFSET(A$1,,,SUMPRODUCT(MAX(ROW(E$2:E2493)*(E2493=E$2:E2493)))))-COUNTBLANK(OFFSET(A$1,,,SUMPRODUCT(MAX(ROW(E$1:E2492)*(E2=E$1:E2492))))))</f>
        <v> </v>
      </c>
      <c r="K2493" s="25" t="str">
        <f>IF(OR(E2493="",E2493="!!!",F2493="NEW"),"",INDEX(J$1:J2492,SUMPRODUCT(MAX(ROW(E$1:E2492)*(E2493=E$1:E2492)))))</f>
        <v> </v>
      </c>
      <c r="L2493" s="26"/>
    </row>
    <row r="2494" spans="1:12">
      <c r="A2494" s="20" t="s">
        <v>135</v>
      </c>
      <c r="E2494" s="21">
        <f>IF(D2494="?OLD","!!!","")</f>
        <v/>
      </c>
      <c r="F2494" s="22" t="str">
        <f>IF(OR(E2494="",E2494="!!!"),"",IF(NOT(ISNA(VLOOKUP(E2494,E$1:E2493,1,FALSE()))),"OLD",IF(AND(E2494&lt;&gt;"",E2494&lt;&gt;"!!!"),"NEW","")))</f>
        <v> </v>
      </c>
      <c r="G2494" s="23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4" t="str">
        <f>IF(J2494&lt;&gt;1,"",IF(I2494="SBJ","CB","?"))</f>
        <v> </v>
      </c>
      <c r="I2494" s="25" t="str">
        <f>IF(OR(E2494="",E2494="!!!",F2494="NEW"),"",INDEX(B2493:B$2,-1+SUMPRODUCT(MAX(ROW(E2493:E$2)*(E2494=E2493:E$2)))))</f>
        <v> </v>
      </c>
      <c r="J2494" s="25" t="str">
        <f>IF(OR(E2494="",E2494="!!!",F2494="NEW"),"",COUNTBLANK(OFFSET(A$1,,,SUMPRODUCT(MAX(ROW(E$2:E2494)*(E2494=E$2:E2494)))))-COUNTBLANK(OFFSET(A$1,,,SUMPRODUCT(MAX(ROW(E$1:E2493)*(E2=E$1:E2493))))))</f>
        <v> </v>
      </c>
      <c r="K2494" s="25" t="str">
        <f>IF(OR(E2494="",E2494="!!!",F2494="NEW"),"",INDEX(J$1:J2493,SUMPRODUCT(MAX(ROW(E$1:E2493)*(E2494=E$1:E2493)))))</f>
        <v> </v>
      </c>
      <c r="L2494" s="26"/>
    </row>
    <row r="2495" spans="1:12">
      <c r="A2495" s="20"/>
    </row>
    <row r="2496" spans="1:12">
      <c r="A2496" s="20" t="s">
        <v>1926</v>
      </c>
    </row>
    <row r="2497" spans="1:12">
      <c r="A2497" s="20" t="s">
        <v>1927</v>
      </c>
      <c r="E2497" s="21">
        <f>IF(D2497="?OLD","!!!","")</f>
        <v/>
      </c>
      <c r="F2497" s="22" t="str">
        <f>IF(OR(E2497="",E2497="!!!"),"",IF(NOT(ISNA(VLOOKUP(E2497,E$1:E2496,1,FALSE()))),"OLD",IF(AND(E2497&lt;&gt;"",E2497&lt;&gt;"!!!"),"NEW","")))</f>
        <v> </v>
      </c>
      <c r="G2497" s="23" t="str">
        <f>IF(OR(E2497="",E2497="!!!"),"",IF(OR(J2497=0,AND(J2497=1,K2497=1),AND(J2497=1,I2497="SBJ"),AND(J2497=1,I2497=0)),"?IN_FOCUS",IF(J2497&lt;=2,"?ACTIVATED",IF(J2497&lt;&gt;"","?FAMILIAR",IF(F2497="NEW",IF(ISNA(VLOOKUP(E2497,#REF!,1,FALSE())),"?TYPE_IDENTIFIABLE","?REFERENTIAL"),"_")))))</f>
        <v> </v>
      </c>
      <c r="H2497" s="24" t="str">
        <f>IF(J2497&lt;&gt;1,"",IF(I2497="SBJ","CB","?"))</f>
        <v> </v>
      </c>
      <c r="I2497" s="25" t="str">
        <f>IF(OR(E2497="",E2497="!!!",F2497="NEW"),"",INDEX(B2496:B$2,-1+SUMPRODUCT(MAX(ROW(E2496:E$2)*(E2497=E2496:E$2)))))</f>
        <v> </v>
      </c>
      <c r="J2497" s="25" t="str">
        <f>IF(OR(E2497="",E2497="!!!",F2497="NEW"),"",COUNTBLANK(OFFSET(A$1,,,SUMPRODUCT(MAX(ROW(E$2:E2497)*(E2497=E$2:E2497)))))-COUNTBLANK(OFFSET(A$1,,,SUMPRODUCT(MAX(ROW(E$1:E2496)*(E2=E$1:E2496))))))</f>
        <v> </v>
      </c>
      <c r="K2497" s="25" t="str">
        <f>IF(OR(E2497="",E2497="!!!",F2497="NEW"),"",INDEX(J$1:J2496,SUMPRODUCT(MAX(ROW(E$1:E2496)*(E2497=E$1:E2496)))))</f>
        <v> </v>
      </c>
      <c r="L2497" s="26"/>
    </row>
    <row r="2498" spans="1:12">
      <c r="A2498" s="20" t="s">
        <v>1094</v>
      </c>
      <c r="E2498" s="21">
        <f>IF(D2498="?OLD","!!!","")</f>
        <v/>
      </c>
      <c r="F2498" s="22" t="str">
        <f>IF(OR(E2498="",E2498="!!!"),"",IF(NOT(ISNA(VLOOKUP(E2498,E$1:E2497,1,FALSE()))),"OLD",IF(AND(E2498&lt;&gt;"",E2498&lt;&gt;"!!!"),"NEW","")))</f>
        <v> </v>
      </c>
      <c r="G2498" s="23" t="str">
        <f>IF(OR(E2498="",E2498="!!!"),"",IF(OR(J2498=0,AND(J2498=1,K2498=1),AND(J2498=1,I2498="SBJ"),AND(J2498=1,I2498=0)),"?IN_FOCUS",IF(J2498&lt;=2,"?ACTIVATED",IF(J2498&lt;&gt;"","?FAMILIAR",IF(F2498="NEW",IF(ISNA(VLOOKUP(E2498,#REF!,1,FALSE())),"?TYPE_IDENTIFIABLE","?REFERENTIAL"),"_")))))</f>
        <v> </v>
      </c>
      <c r="H2498" s="24" t="str">
        <f>IF(J2498&lt;&gt;1,"",IF(I2498="SBJ","CB","?"))</f>
        <v> </v>
      </c>
      <c r="I2498" s="25" t="str">
        <f>IF(OR(E2498="",E2498="!!!",F2498="NEW"),"",INDEX(B2497:B$2,-1+SUMPRODUCT(MAX(ROW(E2497:E$2)*(E2498=E2497:E$2)))))</f>
        <v> </v>
      </c>
      <c r="J2498" s="25" t="str">
        <f>IF(OR(E2498="",E2498="!!!",F2498="NEW"),"",COUNTBLANK(OFFSET(A$1,,,SUMPRODUCT(MAX(ROW(E$2:E2498)*(E2498=E$2:E2498)))))-COUNTBLANK(OFFSET(A$1,,,SUMPRODUCT(MAX(ROW(E$1:E2497)*(E2=E$1:E2497))))))</f>
        <v> </v>
      </c>
      <c r="K2498" s="25" t="str">
        <f>IF(OR(E2498="",E2498="!!!",F2498="NEW"),"",INDEX(J$1:J2497,SUMPRODUCT(MAX(ROW(E$1:E2497)*(E2498=E$1:E2497)))))</f>
        <v> </v>
      </c>
      <c r="L2498" s="26"/>
    </row>
    <row r="2499" spans="1:12">
      <c r="A2499" s="20" t="s">
        <v>1123</v>
      </c>
      <c r="B2499" s="27" t="s">
        <v>1069</v>
      </c>
      <c r="C2499" s="27" t="s">
        <v>1050</v>
      </c>
      <c r="D2499" s="27" t="s">
        <v>1030</v>
      </c>
      <c r="E2499" s="21">
        <f>IF(D2499="?OLD","!!!","")</f>
        <v/>
      </c>
      <c r="F2499" s="22" t="str">
        <f>IF(OR(E2499="",E2499="!!!"),"",IF(NOT(ISNA(VLOOKUP(E2499,E$1:E2498,1,FALSE()))),"OLD",IF(AND(E2499&lt;&gt;"",E2499&lt;&gt;"!!!"),"NEW","")))</f>
        <v> </v>
      </c>
      <c r="G2499" s="23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4" t="str">
        <f>IF(J2499&lt;&gt;1,"",IF(I2499="SBJ","CB","?"))</f>
        <v> </v>
      </c>
      <c r="I2499" s="25" t="str">
        <f>IF(OR(E2499="",E2499="!!!",F2499="NEW"),"",INDEX(B2498:B$2,-1+SUMPRODUCT(MAX(ROW(E2498:E$2)*(E2499=E2498:E$2)))))</f>
        <v> </v>
      </c>
      <c r="J2499" s="25" t="str">
        <f>IF(OR(E2499="",E2499="!!!",F2499="NEW"),"",COUNTBLANK(OFFSET(A$1,,,SUMPRODUCT(MAX(ROW(E$2:E2499)*(E2499=E$2:E2499)))))-COUNTBLANK(OFFSET(A$1,,,SUMPRODUCT(MAX(ROW(E$1:E2498)*(E2=E$1:E2498))))))</f>
        <v> </v>
      </c>
      <c r="K2499" s="25" t="str">
        <f>IF(OR(E2499="",E2499="!!!",F2499="NEW"),"",INDEX(J$1:J2498,SUMPRODUCT(MAX(ROW(E$1:E2498)*(E2499=E$1:E2498)))))</f>
        <v> </v>
      </c>
      <c r="L2499" s="26"/>
    </row>
    <row r="2500" spans="1:12">
      <c r="A2500" s="20" t="s">
        <v>1431</v>
      </c>
      <c r="E2500" s="21">
        <f>IF(D2500="?OLD","!!!","")</f>
        <v/>
      </c>
      <c r="F2500" s="22" t="str">
        <f>IF(OR(E2500="",E2500="!!!"),"",IF(NOT(ISNA(VLOOKUP(E2500,E$1:E2499,1,FALSE()))),"OLD",IF(AND(E2500&lt;&gt;"",E2500&lt;&gt;"!!!"),"NEW","")))</f>
        <v> </v>
      </c>
      <c r="G2500" s="23" t="str">
        <f>IF(OR(E2500="",E2500="!!!"),"",IF(OR(J2500=0,AND(J2500=1,K2500=1),AND(J2500=1,I2500="SBJ"),AND(J2500=1,I2500=0)),"?IN_FOCUS",IF(J2500&lt;=2,"?ACTIVATED",IF(J2500&lt;&gt;"","?FAMILIAR",IF(F2500="NEW",IF(ISNA(VLOOKUP(E2500,#REF!,1,FALSE())),"?TYPE_IDENTIFIABLE","?REFERENTIAL"),"_")))))</f>
        <v> </v>
      </c>
      <c r="H2500" s="24" t="str">
        <f>IF(J2500&lt;&gt;1,"",IF(I2500="SBJ","CB","?"))</f>
        <v> </v>
      </c>
      <c r="I2500" s="25" t="str">
        <f>IF(OR(E2500="",E2500="!!!",F2500="NEW"),"",INDEX(B2499:B$2,-1+SUMPRODUCT(MAX(ROW(E2499:E$2)*(E2500=E2499:E$2)))))</f>
        <v> </v>
      </c>
      <c r="J2500" s="25" t="str">
        <f>IF(OR(E2500="",E2500="!!!",F2500="NEW"),"",COUNTBLANK(OFFSET(A$1,,,SUMPRODUCT(MAX(ROW(E$2:E2500)*(E2500=E$2:E2500)))))-COUNTBLANK(OFFSET(A$1,,,SUMPRODUCT(MAX(ROW(E$1:E2499)*(E2=E$1:E2499))))))</f>
        <v> </v>
      </c>
      <c r="K2500" s="25" t="str">
        <f>IF(OR(E2500="",E2500="!!!",F2500="NEW"),"",INDEX(J$1:J2499,SUMPRODUCT(MAX(ROW(E$1:E2499)*(E2500=E$1:E2499)))))</f>
        <v> </v>
      </c>
      <c r="L2500" s="26"/>
    </row>
    <row r="2501" spans="1:12">
      <c r="A2501" s="20" t="s">
        <v>1210</v>
      </c>
      <c r="E2501" s="21">
        <f>IF(D2501="?OLD","!!!","")</f>
        <v/>
      </c>
      <c r="F2501" s="22" t="str">
        <f>IF(OR(E2501="",E2501="!!!"),"",IF(NOT(ISNA(VLOOKUP(E2501,E$1:E2500,1,FALSE()))),"OLD",IF(AND(E2501&lt;&gt;"",E2501&lt;&gt;"!!!"),"NEW","")))</f>
        <v> </v>
      </c>
      <c r="G2501" s="23" t="str">
        <f>IF(OR(E2501="",E2501="!!!"),"",IF(OR(J2501=0,AND(J2501=1,K2501=1),AND(J2501=1,I2501="SBJ"),AND(J2501=1,I2501=0)),"?IN_FOCUS",IF(J2501&lt;=2,"?ACTIVATED",IF(J2501&lt;&gt;"","?FAMILIAR",IF(F2501="NEW",IF(ISNA(VLOOKUP(E2501,#REF!,1,FALSE())),"?TYPE_IDENTIFIABLE","?REFERENTIAL"),"_")))))</f>
        <v> </v>
      </c>
      <c r="H2501" s="24" t="str">
        <f>IF(J2501&lt;&gt;1,"",IF(I2501="SBJ","CB","?"))</f>
        <v> </v>
      </c>
      <c r="I2501" s="25" t="str">
        <f>IF(OR(E2501="",E2501="!!!",F2501="NEW"),"",INDEX(B2500:B$2,-1+SUMPRODUCT(MAX(ROW(E2500:E$2)*(E2501=E2500:E$2)))))</f>
        <v> </v>
      </c>
      <c r="J2501" s="25" t="str">
        <f>IF(OR(E2501="",E2501="!!!",F2501="NEW"),"",COUNTBLANK(OFFSET(A$1,,,SUMPRODUCT(MAX(ROW(E$2:E2501)*(E2501=E$2:E2501)))))-COUNTBLANK(OFFSET(A$1,,,SUMPRODUCT(MAX(ROW(E$1:E2500)*(E2=E$1:E2500))))))</f>
        <v> </v>
      </c>
      <c r="K2501" s="25" t="str">
        <f>IF(OR(E2501="",E2501="!!!",F2501="NEW"),"",INDEX(J$1:J2500,SUMPRODUCT(MAX(ROW(E$1:E2500)*(E2501=E$1:E2500)))))</f>
        <v> </v>
      </c>
      <c r="L2501" s="26"/>
    </row>
    <row r="2502" spans="1:12">
      <c r="A2502" s="20" t="s">
        <v>505</v>
      </c>
      <c r="E2502" s="21">
        <f>IF(D2502="?OLD","!!!","")</f>
        <v/>
      </c>
      <c r="F2502" s="22" t="str">
        <f>IF(OR(E2502="",E2502="!!!"),"",IF(NOT(ISNA(VLOOKUP(E2502,E$1:E2501,1,FALSE()))),"OLD",IF(AND(E2502&lt;&gt;"",E2502&lt;&gt;"!!!"),"NEW","")))</f>
        <v> </v>
      </c>
      <c r="G2502" s="23" t="str">
        <f>IF(OR(E2502="",E2502="!!!"),"",IF(OR(J2502=0,AND(J2502=1,K2502=1),AND(J2502=1,I2502="SBJ"),AND(J2502=1,I2502=0)),"?IN_FOCUS",IF(J2502&lt;=2,"?ACTIVATED",IF(J2502&lt;&gt;"","?FAMILIAR",IF(F2502="NEW",IF(ISNA(VLOOKUP(E2502,#REF!,1,FALSE())),"?TYPE_IDENTIFIABLE","?REFERENTIAL"),"_")))))</f>
        <v> </v>
      </c>
      <c r="H2502" s="24" t="str">
        <f>IF(J2502&lt;&gt;1,"",IF(I2502="SBJ","CB","?"))</f>
        <v> </v>
      </c>
      <c r="I2502" s="25" t="str">
        <f>IF(OR(E2502="",E2502="!!!",F2502="NEW"),"",INDEX(B2501:B$2,-1+SUMPRODUCT(MAX(ROW(E2501:E$2)*(E2502=E2501:E$2)))))</f>
        <v> </v>
      </c>
      <c r="J2502" s="25" t="str">
        <f>IF(OR(E2502="",E2502="!!!",F2502="NEW"),"",COUNTBLANK(OFFSET(A$1,,,SUMPRODUCT(MAX(ROW(E$2:E2502)*(E2502=E$2:E2502)))))-COUNTBLANK(OFFSET(A$1,,,SUMPRODUCT(MAX(ROW(E$1:E2501)*(E2=E$1:E2501))))))</f>
        <v> </v>
      </c>
      <c r="K2502" s="25" t="str">
        <f>IF(OR(E2502="",E2502="!!!",F2502="NEW"),"",INDEX(J$1:J2501,SUMPRODUCT(MAX(ROW(E$1:E2501)*(E2502=E$1:E2501)))))</f>
        <v> </v>
      </c>
      <c r="L2502" s="26"/>
    </row>
    <row r="2503" spans="1:12">
      <c r="A2503" s="20" t="s">
        <v>1111</v>
      </c>
      <c r="E2503" s="21">
        <f>IF(D2503="?OLD","!!!","")</f>
        <v/>
      </c>
      <c r="F2503" s="22" t="str">
        <f>IF(OR(E2503="",E2503="!!!"),"",IF(NOT(ISNA(VLOOKUP(E2503,E$1:E2502,1,FALSE()))),"OLD",IF(AND(E2503&lt;&gt;"",E2503&lt;&gt;"!!!"),"NEW","")))</f>
        <v> </v>
      </c>
      <c r="G2503" s="23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4" t="str">
        <f>IF(J2503&lt;&gt;1,"",IF(I2503="SBJ","CB","?"))</f>
        <v> </v>
      </c>
      <c r="I2503" s="25" t="str">
        <f>IF(OR(E2503="",E2503="!!!",F2503="NEW"),"",INDEX(B2502:B$2,-1+SUMPRODUCT(MAX(ROW(E2502:E$2)*(E2503=E2502:E$2)))))</f>
        <v> </v>
      </c>
      <c r="J2503" s="25" t="str">
        <f>IF(OR(E2503="",E2503="!!!",F2503="NEW"),"",COUNTBLANK(OFFSET(A$1,,,SUMPRODUCT(MAX(ROW(E$2:E2503)*(E2503=E$2:E2503)))))-COUNTBLANK(OFFSET(A$1,,,SUMPRODUCT(MAX(ROW(E$1:E2502)*(E2=E$1:E2502))))))</f>
        <v> </v>
      </c>
      <c r="K2503" s="25" t="str">
        <f>IF(OR(E2503="",E2503="!!!",F2503="NEW"),"",INDEX(J$1:J2502,SUMPRODUCT(MAX(ROW(E$1:E2502)*(E2503=E$1:E2502)))))</f>
        <v> </v>
      </c>
      <c r="L2503" s="26"/>
    </row>
    <row r="2504" spans="1:12">
      <c r="A2504" s="20" t="s">
        <v>1928</v>
      </c>
      <c r="B2504" s="27" t="s">
        <v>1085</v>
      </c>
      <c r="C2504" s="27" t="s">
        <v>1029</v>
      </c>
      <c r="D2504" s="27" t="s">
        <v>1030</v>
      </c>
      <c r="E2504" s="21">
        <f>IF(D2504="?OLD","!!!","")</f>
        <v/>
      </c>
      <c r="F2504" s="22" t="str">
        <f>IF(OR(E2504="",E2504="!!!"),"",IF(NOT(ISNA(VLOOKUP(E2504,E$1:E2503,1,FALSE()))),"OLD",IF(AND(E2504&lt;&gt;"",E2504&lt;&gt;"!!!"),"NEW","")))</f>
        <v> </v>
      </c>
      <c r="G2504" s="23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4" t="str">
        <f>IF(J2504&lt;&gt;1,"",IF(I2504="SBJ","CB","?"))</f>
        <v> </v>
      </c>
      <c r="I2504" s="25" t="str">
        <f>IF(OR(E2504="",E2504="!!!",F2504="NEW"),"",INDEX(B2503:B$2,-1+SUMPRODUCT(MAX(ROW(E2503:E$2)*(E2504=E2503:E$2)))))</f>
        <v> </v>
      </c>
      <c r="J2504" s="25" t="str">
        <f>IF(OR(E2504="",E2504="!!!",F2504="NEW"),"",COUNTBLANK(OFFSET(A$1,,,SUMPRODUCT(MAX(ROW(E$2:E2504)*(E2504=E$2:E2504)))))-COUNTBLANK(OFFSET(A$1,,,SUMPRODUCT(MAX(ROW(E$1:E2503)*(E2=E$1:E2503))))))</f>
        <v> </v>
      </c>
      <c r="K2504" s="25" t="str">
        <f>IF(OR(E2504="",E2504="!!!",F2504="NEW"),"",INDEX(J$1:J2503,SUMPRODUCT(MAX(ROW(E$1:E2503)*(E2504=E$1:E2503)))))</f>
        <v> </v>
      </c>
      <c r="L2504" s="26"/>
    </row>
    <row r="2505" spans="1:12">
      <c r="A2505" s="20" t="s">
        <v>1016</v>
      </c>
      <c r="E2505" s="21">
        <f>IF(D2505="?OLD","!!!","")</f>
        <v/>
      </c>
      <c r="F2505" s="22" t="str">
        <f>IF(OR(E2505="",E2505="!!!"),"",IF(NOT(ISNA(VLOOKUP(E2505,E$1:E2504,1,FALSE()))),"OLD",IF(AND(E2505&lt;&gt;"",E2505&lt;&gt;"!!!"),"NEW","")))</f>
        <v> </v>
      </c>
      <c r="G2505" s="23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4" t="str">
        <f>IF(J2505&lt;&gt;1,"",IF(I2505="SBJ","CB","?"))</f>
        <v> </v>
      </c>
      <c r="I2505" s="25" t="str">
        <f>IF(OR(E2505="",E2505="!!!",F2505="NEW"),"",INDEX(B2504:B$2,-1+SUMPRODUCT(MAX(ROW(E2504:E$2)*(E2505=E2504:E$2)))))</f>
        <v> </v>
      </c>
      <c r="J2505" s="25" t="str">
        <f>IF(OR(E2505="",E2505="!!!",F2505="NEW"),"",COUNTBLANK(OFFSET(A$1,,,SUMPRODUCT(MAX(ROW(E$2:E2505)*(E2505=E$2:E2505)))))-COUNTBLANK(OFFSET(A$1,,,SUMPRODUCT(MAX(ROW(E$1:E2504)*(E2=E$1:E2504))))))</f>
        <v> </v>
      </c>
      <c r="K2505" s="25" t="str">
        <f>IF(OR(E2505="",E2505="!!!",F2505="NEW"),"",INDEX(J$1:J2504,SUMPRODUCT(MAX(ROW(E$1:E2504)*(E2505=E$1:E2504)))))</f>
        <v> </v>
      </c>
      <c r="L2505" s="26"/>
    </row>
    <row r="2506" spans="1:12">
      <c r="A2506" s="20" t="s">
        <v>1080</v>
      </c>
      <c r="E2506" s="21">
        <f>IF(D2506="?OLD","!!!","")</f>
        <v/>
      </c>
      <c r="F2506" s="22" t="str">
        <f>IF(OR(E2506="",E2506="!!!"),"",IF(NOT(ISNA(VLOOKUP(E2506,E$1:E2505,1,FALSE()))),"OLD",IF(AND(E2506&lt;&gt;"",E2506&lt;&gt;"!!!"),"NEW","")))</f>
        <v> </v>
      </c>
      <c r="G2506" s="23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4" t="str">
        <f>IF(J2506&lt;&gt;1,"",IF(I2506="SBJ","CB","?"))</f>
        <v> </v>
      </c>
      <c r="I2506" s="25" t="str">
        <f>IF(OR(E2506="",E2506="!!!",F2506="NEW"),"",INDEX(B2505:B$2,-1+SUMPRODUCT(MAX(ROW(E2505:E$2)*(E2506=E2505:E$2)))))</f>
        <v> </v>
      </c>
      <c r="J2506" s="25" t="str">
        <f>IF(OR(E2506="",E2506="!!!",F2506="NEW"),"",COUNTBLANK(OFFSET(A$1,,,SUMPRODUCT(MAX(ROW(E$2:E2506)*(E2506=E$2:E2506)))))-COUNTBLANK(OFFSET(A$1,,,SUMPRODUCT(MAX(ROW(E$1:E2505)*(E2=E$1:E2505))))))</f>
        <v> </v>
      </c>
      <c r="K2506" s="25" t="str">
        <f>IF(OR(E2506="",E2506="!!!",F2506="NEW"),"",INDEX(J$1:J2505,SUMPRODUCT(MAX(ROW(E$1:E2505)*(E2506=E$1:E2505)))))</f>
        <v> </v>
      </c>
      <c r="L2506" s="26"/>
    </row>
    <row r="2507" spans="1:12">
      <c r="A2507" s="20" t="s">
        <v>1929</v>
      </c>
      <c r="B2507" s="27" t="s">
        <v>1103</v>
      </c>
      <c r="C2507" s="27" t="s">
        <v>1038</v>
      </c>
      <c r="D2507" s="27" t="s">
        <v>1030</v>
      </c>
      <c r="E2507" s="21">
        <f>IF(D2507="?OLD","!!!","")</f>
        <v/>
      </c>
      <c r="F2507" s="22" t="str">
        <f>IF(OR(E2507="",E2507="!!!"),"",IF(NOT(ISNA(VLOOKUP(E2507,E$1:E2506,1,FALSE()))),"OLD",IF(AND(E2507&lt;&gt;"",E2507&lt;&gt;"!!!"),"NEW","")))</f>
        <v> </v>
      </c>
      <c r="G2507" s="23" t="str">
        <f>IF(OR(E2507="",E2507="!!!"),"",IF(OR(J2507=0,AND(J2507=1,K2507=1),AND(J2507=1,I2507="SBJ"),AND(J2507=1,I2507=0)),"?IN_FOCUS",IF(J2507&lt;=2,"?ACTIVATED",IF(J2507&lt;&gt;"","?FAMILIAR",IF(F2507="NEW",IF(ISNA(VLOOKUP(E2507,#REF!,1,FALSE())),"?TYPE_IDENTIFIABLE","?REFERENTIAL"),"_")))))</f>
        <v> </v>
      </c>
      <c r="H2507" s="24" t="str">
        <f>IF(J2507&lt;&gt;1,"",IF(I2507="SBJ","CB","?"))</f>
        <v> </v>
      </c>
      <c r="I2507" s="25" t="str">
        <f>IF(OR(E2507="",E2507="!!!",F2507="NEW"),"",INDEX(B2506:B$2,-1+SUMPRODUCT(MAX(ROW(E2506:E$2)*(E2507=E2506:E$2)))))</f>
        <v> </v>
      </c>
      <c r="J2507" s="25" t="str">
        <f>IF(OR(E2507="",E2507="!!!",F2507="NEW"),"",COUNTBLANK(OFFSET(A$1,,,SUMPRODUCT(MAX(ROW(E$2:E2507)*(E2507=E$2:E2507)))))-COUNTBLANK(OFFSET(A$1,,,SUMPRODUCT(MAX(ROW(E$1:E2506)*(E2=E$1:E2506))))))</f>
        <v> </v>
      </c>
      <c r="K2507" s="25" t="str">
        <f>IF(OR(E2507="",E2507="!!!",F2507="NEW"),"",INDEX(J$1:J2506,SUMPRODUCT(MAX(ROW(E$1:E2506)*(E2507=E$1:E2506)))))</f>
        <v> </v>
      </c>
      <c r="L2507" s="26"/>
    </row>
    <row r="2508" spans="1:12">
      <c r="A2508" s="20" t="s">
        <v>1123</v>
      </c>
      <c r="B2508" s="27" t="s">
        <v>1020</v>
      </c>
      <c r="C2508" s="27" t="s">
        <v>1050</v>
      </c>
      <c r="D2508" s="27" t="s">
        <v>1030</v>
      </c>
      <c r="E2508" s="21">
        <f>IF(D2508="?OLD","!!!","")</f>
        <v/>
      </c>
      <c r="F2508" s="22" t="str">
        <f>IF(OR(E2508="",E2508="!!!"),"",IF(NOT(ISNA(VLOOKUP(E2508,E$1:E2507,1,FALSE()))),"OLD",IF(AND(E2508&lt;&gt;"",E2508&lt;&gt;"!!!"),"NEW","")))</f>
        <v> </v>
      </c>
      <c r="G2508" s="23" t="str">
        <f>IF(OR(E2508="",E2508="!!!"),"",IF(OR(J2508=0,AND(J2508=1,K2508=1),AND(J2508=1,I2508="SBJ"),AND(J2508=1,I2508=0)),"?IN_FOCUS",IF(J2508&lt;=2,"?ACTIVATED",IF(J2508&lt;&gt;"","?FAMILIAR",IF(F2508="NEW",IF(ISNA(VLOOKUP(E2508,#REF!,1,FALSE())),"?TYPE_IDENTIFIABLE","?REFERENTIAL"),"_")))))</f>
        <v> </v>
      </c>
      <c r="H2508" s="24" t="str">
        <f>IF(J2508&lt;&gt;1,"",IF(I2508="SBJ","CB","?"))</f>
        <v> </v>
      </c>
      <c r="I2508" s="25" t="str">
        <f>IF(OR(E2508="",E2508="!!!",F2508="NEW"),"",INDEX(B2507:B$2,-1+SUMPRODUCT(MAX(ROW(E2507:E$2)*(E2508=E2507:E$2)))))</f>
        <v> </v>
      </c>
      <c r="J2508" s="25" t="str">
        <f>IF(OR(E2508="",E2508="!!!",F2508="NEW"),"",COUNTBLANK(OFFSET(A$1,,,SUMPRODUCT(MAX(ROW(E$2:E2508)*(E2508=E$2:E2508)))))-COUNTBLANK(OFFSET(A$1,,,SUMPRODUCT(MAX(ROW(E$1:E2507)*(E2=E$1:E2507))))))</f>
        <v> </v>
      </c>
      <c r="K2508" s="25" t="str">
        <f>IF(OR(E2508="",E2508="!!!",F2508="NEW"),"",INDEX(J$1:J2507,SUMPRODUCT(MAX(ROW(E$1:E2507)*(E2508=E$1:E2507)))))</f>
        <v> </v>
      </c>
      <c r="L2508" s="26"/>
    </row>
    <row r="2509" spans="1:12">
      <c r="A2509" s="20" t="s">
        <v>1205</v>
      </c>
      <c r="E2509" s="21">
        <f>IF(D2509="?OLD","!!!","")</f>
        <v/>
      </c>
      <c r="F2509" s="22" t="str">
        <f>IF(OR(E2509="",E2509="!!!"),"",IF(NOT(ISNA(VLOOKUP(E2509,E$1:E2508,1,FALSE()))),"OLD",IF(AND(E2509&lt;&gt;"",E2509&lt;&gt;"!!!"),"NEW","")))</f>
        <v> </v>
      </c>
      <c r="G2509" s="23" t="str">
        <f>IF(OR(E2509="",E2509="!!!"),"",IF(OR(J2509=0,AND(J2509=1,K2509=1),AND(J2509=1,I2509="SBJ"),AND(J2509=1,I2509=0)),"?IN_FOCUS",IF(J2509&lt;=2,"?ACTIVATED",IF(J2509&lt;&gt;"","?FAMILIAR",IF(F2509="NEW",IF(ISNA(VLOOKUP(E2509,#REF!,1,FALSE())),"?TYPE_IDENTIFIABLE","?REFERENTIAL"),"_")))))</f>
        <v> </v>
      </c>
      <c r="H2509" s="24" t="str">
        <f>IF(J2509&lt;&gt;1,"",IF(I2509="SBJ","CB","?"))</f>
        <v> </v>
      </c>
      <c r="I2509" s="25" t="str">
        <f>IF(OR(E2509="",E2509="!!!",F2509="NEW"),"",INDEX(B2508:B$2,-1+SUMPRODUCT(MAX(ROW(E2508:E$2)*(E2509=E2508:E$2)))))</f>
        <v> </v>
      </c>
      <c r="J2509" s="25" t="str">
        <f>IF(OR(E2509="",E2509="!!!",F2509="NEW"),"",COUNTBLANK(OFFSET(A$1,,,SUMPRODUCT(MAX(ROW(E$2:E2509)*(E2509=E$2:E2509)))))-COUNTBLANK(OFFSET(A$1,,,SUMPRODUCT(MAX(ROW(E$1:E2508)*(E2=E$1:E2508))))))</f>
        <v> </v>
      </c>
      <c r="K2509" s="25" t="str">
        <f>IF(OR(E2509="",E2509="!!!",F2509="NEW"),"",INDEX(J$1:J2508,SUMPRODUCT(MAX(ROW(E$1:E2508)*(E2509=E$1:E2508)))))</f>
        <v> </v>
      </c>
      <c r="L2509" s="26"/>
    </row>
    <row r="2510" spans="1:12">
      <c r="A2510" s="20" t="s">
        <v>1144</v>
      </c>
      <c r="E2510" s="21">
        <f>IF(D2510="?OLD","!!!","")</f>
        <v/>
      </c>
      <c r="F2510" s="22" t="str">
        <f>IF(OR(E2510="",E2510="!!!"),"",IF(NOT(ISNA(VLOOKUP(E2510,E$1:E2509,1,FALSE()))),"OLD",IF(AND(E2510&lt;&gt;"",E2510&lt;&gt;"!!!"),"NEW","")))</f>
        <v> </v>
      </c>
      <c r="G2510" s="23" t="str">
        <f>IF(OR(E2510="",E2510="!!!"),"",IF(OR(J2510=0,AND(J2510=1,K2510=1),AND(J2510=1,I2510="SBJ"),AND(J2510=1,I2510=0)),"?IN_FOCUS",IF(J2510&lt;=2,"?ACTIVATED",IF(J2510&lt;&gt;"","?FAMILIAR",IF(F2510="NEW",IF(ISNA(VLOOKUP(E2510,#REF!,1,FALSE())),"?TYPE_IDENTIFIABLE","?REFERENTIAL"),"_")))))</f>
        <v> </v>
      </c>
      <c r="H2510" s="24" t="str">
        <f>IF(J2510&lt;&gt;1,"",IF(I2510="SBJ","CB","?"))</f>
        <v> </v>
      </c>
      <c r="I2510" s="25" t="str">
        <f>IF(OR(E2510="",E2510="!!!",F2510="NEW"),"",INDEX(B2509:B$2,-1+SUMPRODUCT(MAX(ROW(E2509:E$2)*(E2510=E2509:E$2)))))</f>
        <v> </v>
      </c>
      <c r="J2510" s="25" t="str">
        <f>IF(OR(E2510="",E2510="!!!",F2510="NEW"),"",COUNTBLANK(OFFSET(A$1,,,SUMPRODUCT(MAX(ROW(E$2:E2510)*(E2510=E$2:E2510)))))-COUNTBLANK(OFFSET(A$1,,,SUMPRODUCT(MAX(ROW(E$1:E2509)*(E2=E$1:E2509))))))</f>
        <v> </v>
      </c>
      <c r="K2510" s="25" t="str">
        <f>IF(OR(E2510="",E2510="!!!",F2510="NEW"),"",INDEX(J$1:J2509,SUMPRODUCT(MAX(ROW(E$1:E2509)*(E2510=E$1:E2509)))))</f>
        <v> </v>
      </c>
      <c r="L2510" s="26"/>
    </row>
    <row r="2511" spans="1:12">
      <c r="A2511" s="20" t="s">
        <v>1307</v>
      </c>
      <c r="B2511" s="27" t="s">
        <v>1066</v>
      </c>
      <c r="C2511" s="27" t="s">
        <v>1070</v>
      </c>
      <c r="E2511" s="21">
        <f>IF(D2511="?OLD","!!!","")</f>
        <v/>
      </c>
      <c r="F2511" s="22" t="str">
        <f>IF(OR(E2511="",E2511="!!!"),"",IF(NOT(ISNA(VLOOKUP(E2511,E$1:E2510,1,FALSE()))),"OLD",IF(AND(E2511&lt;&gt;"",E2511&lt;&gt;"!!!"),"NEW","")))</f>
        <v> </v>
      </c>
      <c r="G2511" s="23" t="str">
        <f>IF(OR(E2511="",E2511="!!!"),"",IF(OR(J2511=0,AND(J2511=1,K2511=1),AND(J2511=1,I2511="SBJ"),AND(J2511=1,I2511=0)),"?IN_FOCUS",IF(J2511&lt;=2,"?ACTIVATED",IF(J2511&lt;&gt;"","?FAMILIAR",IF(F2511="NEW",IF(ISNA(VLOOKUP(E2511,#REF!,1,FALSE())),"?TYPE_IDENTIFIABLE","?REFERENTIAL"),"_")))))</f>
        <v> </v>
      </c>
      <c r="H2511" s="24" t="str">
        <f>IF(J2511&lt;&gt;1,"",IF(I2511="SBJ","CB","?"))</f>
        <v> </v>
      </c>
      <c r="I2511" s="25" t="str">
        <f>IF(OR(E2511="",E2511="!!!",F2511="NEW"),"",INDEX(B2510:B$2,-1+SUMPRODUCT(MAX(ROW(E2510:E$2)*(E2511=E2510:E$2)))))</f>
        <v> </v>
      </c>
      <c r="J2511" s="25" t="str">
        <f>IF(OR(E2511="",E2511="!!!",F2511="NEW"),"",COUNTBLANK(OFFSET(A$1,,,SUMPRODUCT(MAX(ROW(E$2:E2511)*(E2511=E$2:E2511)))))-COUNTBLANK(OFFSET(A$1,,,SUMPRODUCT(MAX(ROW(E$1:E2510)*(E2=E$1:E2510))))))</f>
        <v> </v>
      </c>
      <c r="K2511" s="25" t="str">
        <f>IF(OR(E2511="",E2511="!!!",F2511="NEW"),"",INDEX(J$1:J2510,SUMPRODUCT(MAX(ROW(E$1:E2510)*(E2511=E$1:E2510)))))</f>
        <v> </v>
      </c>
      <c r="L2511" s="26"/>
    </row>
    <row r="2512" spans="1:12">
      <c r="A2512" s="20" t="s">
        <v>135</v>
      </c>
      <c r="E2512" s="21">
        <f>IF(D2512="?OLD","!!!","")</f>
        <v/>
      </c>
      <c r="F2512" s="22" t="str">
        <f>IF(OR(E2512="",E2512="!!!"),"",IF(NOT(ISNA(VLOOKUP(E2512,E$1:E2511,1,FALSE()))),"OLD",IF(AND(E2512&lt;&gt;"",E2512&lt;&gt;"!!!"),"NEW","")))</f>
        <v> </v>
      </c>
      <c r="G2512" s="23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4" t="str">
        <f>IF(J2512&lt;&gt;1,"",IF(I2512="SBJ","CB","?"))</f>
        <v> </v>
      </c>
      <c r="I2512" s="25" t="str">
        <f>IF(OR(E2512="",E2512="!!!",F2512="NEW"),"",INDEX(B2511:B$2,-1+SUMPRODUCT(MAX(ROW(E2511:E$2)*(E2512=E2511:E$2)))))</f>
        <v> </v>
      </c>
      <c r="J2512" s="25" t="str">
        <f>IF(OR(E2512="",E2512="!!!",F2512="NEW"),"",COUNTBLANK(OFFSET(A$1,,,SUMPRODUCT(MAX(ROW(E$2:E2512)*(E2512=E$2:E2512)))))-COUNTBLANK(OFFSET(A$1,,,SUMPRODUCT(MAX(ROW(E$1:E2511)*(E2=E$1:E2511))))))</f>
        <v> </v>
      </c>
      <c r="K2512" s="25" t="str">
        <f>IF(OR(E2512="",E2512="!!!",F2512="NEW"),"",INDEX(J$1:J2511,SUMPRODUCT(MAX(ROW(E$1:E2511)*(E2512=E$1:E2511)))))</f>
        <v> </v>
      </c>
      <c r="L2512" s="26"/>
    </row>
    <row r="2513" spans="1:12">
      <c r="A2513" s="20"/>
    </row>
    <row r="2514" spans="1:12">
      <c r="A2514" s="20" t="s">
        <v>1930</v>
      </c>
    </row>
    <row r="2515" spans="1:12">
      <c r="A2515" s="20" t="s">
        <v>1931</v>
      </c>
      <c r="E2515" s="21">
        <f>IF(D2515="?OLD","!!!","")</f>
        <v/>
      </c>
      <c r="F2515" s="22" t="str">
        <f>IF(OR(E2515="",E2515="!!!"),"",IF(NOT(ISNA(VLOOKUP(E2515,E$1:E2514,1,FALSE()))),"OLD",IF(AND(E2515&lt;&gt;"",E2515&lt;&gt;"!!!"),"NEW","")))</f>
        <v> </v>
      </c>
      <c r="G2515" s="23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4" t="str">
        <f>IF(J2515&lt;&gt;1,"",IF(I2515="SBJ","CB","?"))</f>
        <v> </v>
      </c>
      <c r="I2515" s="25" t="str">
        <f>IF(OR(E2515="",E2515="!!!",F2515="NEW"),"",INDEX(B2514:B$2,-1+SUMPRODUCT(MAX(ROW(E2514:E$2)*(E2515=E2514:E$2)))))</f>
        <v> </v>
      </c>
      <c r="J2515" s="25" t="str">
        <f>IF(OR(E2515="",E2515="!!!",F2515="NEW"),"",COUNTBLANK(OFFSET(A$1,,,SUMPRODUCT(MAX(ROW(E$2:E2515)*(E2515=E$2:E2515)))))-COUNTBLANK(OFFSET(A$1,,,SUMPRODUCT(MAX(ROW(E$1:E2514)*(E2=E$1:E2514))))))</f>
        <v> </v>
      </c>
      <c r="K2515" s="25" t="str">
        <f>IF(OR(E2515="",E2515="!!!",F2515="NEW"),"",INDEX(J$1:J2514,SUMPRODUCT(MAX(ROW(E$1:E2514)*(E2515=E$1:E2514)))))</f>
        <v> </v>
      </c>
      <c r="L2515" s="26"/>
    </row>
    <row r="2516" spans="1:12">
      <c r="A2516" s="20" t="s">
        <v>1459</v>
      </c>
      <c r="E2516" s="21">
        <f>IF(D2516="?OLD","!!!","")</f>
        <v/>
      </c>
      <c r="F2516" s="22" t="str">
        <f>IF(OR(E2516="",E2516="!!!"),"",IF(NOT(ISNA(VLOOKUP(E2516,E$1:E2515,1,FALSE()))),"OLD",IF(AND(E2516&lt;&gt;"",E2516&lt;&gt;"!!!"),"NEW","")))</f>
        <v> </v>
      </c>
      <c r="G2516" s="23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4" t="str">
        <f>IF(J2516&lt;&gt;1,"",IF(I2516="SBJ","CB","?"))</f>
        <v> </v>
      </c>
      <c r="I2516" s="25" t="str">
        <f>IF(OR(E2516="",E2516="!!!",F2516="NEW"),"",INDEX(B2515:B$2,-1+SUMPRODUCT(MAX(ROW(E2515:E$2)*(E2516=E2515:E$2)))))</f>
        <v> </v>
      </c>
      <c r="J2516" s="25" t="str">
        <f>IF(OR(E2516="",E2516="!!!",F2516="NEW"),"",COUNTBLANK(OFFSET(A$1,,,SUMPRODUCT(MAX(ROW(E$2:E2516)*(E2516=E$2:E2516)))))-COUNTBLANK(OFFSET(A$1,,,SUMPRODUCT(MAX(ROW(E$1:E2515)*(E2=E$1:E2515))))))</f>
        <v> </v>
      </c>
      <c r="K2516" s="25" t="str">
        <f>IF(OR(E2516="",E2516="!!!",F2516="NEW"),"",INDEX(J$1:J2515,SUMPRODUCT(MAX(ROW(E$1:E2515)*(E2516=E$1:E2515)))))</f>
        <v> </v>
      </c>
      <c r="L2516" s="26"/>
    </row>
    <row r="2517" spans="1:12">
      <c r="A2517" s="20" t="s">
        <v>1932</v>
      </c>
      <c r="B2517" s="27" t="s">
        <v>1014</v>
      </c>
      <c r="C2517" s="27" t="s">
        <v>1046</v>
      </c>
      <c r="D2517" s="27" t="s">
        <v>1030</v>
      </c>
      <c r="E2517" s="21">
        <f>IF(D2517="?OLD","!!!","")</f>
        <v/>
      </c>
      <c r="F2517" s="22" t="str">
        <f>IF(OR(E2517="",E2517="!!!"),"",IF(NOT(ISNA(VLOOKUP(E2517,E$1:E2516,1,FALSE()))),"OLD",IF(AND(E2517&lt;&gt;"",E2517&lt;&gt;"!!!"),"NEW","")))</f>
        <v> </v>
      </c>
      <c r="G2517" s="23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4" t="str">
        <f>IF(J2517&lt;&gt;1,"",IF(I2517="SBJ","CB","?"))</f>
        <v> </v>
      </c>
      <c r="I2517" s="25" t="str">
        <f>IF(OR(E2517="",E2517="!!!",F2517="NEW"),"",INDEX(B2516:B$2,-1+SUMPRODUCT(MAX(ROW(E2516:E$2)*(E2517=E2516:E$2)))))</f>
        <v> </v>
      </c>
      <c r="J2517" s="25" t="str">
        <f>IF(OR(E2517="",E2517="!!!",F2517="NEW"),"",COUNTBLANK(OFFSET(A$1,,,SUMPRODUCT(MAX(ROW(E$2:E2517)*(E2517=E$2:E2517)))))-COUNTBLANK(OFFSET(A$1,,,SUMPRODUCT(MAX(ROW(E$1:E2516)*(E2=E$1:E2516))))))</f>
        <v> </v>
      </c>
      <c r="K2517" s="25" t="str">
        <f>IF(OR(E2517="",E2517="!!!",F2517="NEW"),"",INDEX(J$1:J2516,SUMPRODUCT(MAX(ROW(E$1:E2516)*(E2517=E$1:E2516)))))</f>
        <v> </v>
      </c>
      <c r="L2517" s="26"/>
    </row>
    <row r="2518" spans="1:12">
      <c r="A2518" s="20" t="s">
        <v>1022</v>
      </c>
      <c r="E2518" s="21">
        <f>IF(D2518="?OLD","!!!","")</f>
        <v/>
      </c>
      <c r="F2518" s="22" t="str">
        <f>IF(OR(E2518="",E2518="!!!"),"",IF(NOT(ISNA(VLOOKUP(E2518,E$1:E2517,1,FALSE()))),"OLD",IF(AND(E2518&lt;&gt;"",E2518&lt;&gt;"!!!"),"NEW","")))</f>
        <v> </v>
      </c>
      <c r="G2518" s="23" t="str">
        <f>IF(OR(E2518="",E2518="!!!"),"",IF(OR(J2518=0,AND(J2518=1,K2518=1),AND(J2518=1,I2518="SBJ"),AND(J2518=1,I2518=0)),"?IN_FOCUS",IF(J2518&lt;=2,"?ACTIVATED",IF(J2518&lt;&gt;"","?FAMILIAR",IF(F2518="NEW",IF(ISNA(VLOOKUP(E2518,#REF!,1,FALSE())),"?TYPE_IDENTIFIABLE","?REFERENTIAL"),"_")))))</f>
        <v> </v>
      </c>
      <c r="H2518" s="24" t="str">
        <f>IF(J2518&lt;&gt;1,"",IF(I2518="SBJ","CB","?"))</f>
        <v> </v>
      </c>
      <c r="I2518" s="25" t="str">
        <f>IF(OR(E2518="",E2518="!!!",F2518="NEW"),"",INDEX(B2517:B$2,-1+SUMPRODUCT(MAX(ROW(E2517:E$2)*(E2518=E2517:E$2)))))</f>
        <v> </v>
      </c>
      <c r="J2518" s="25" t="str">
        <f>IF(OR(E2518="",E2518="!!!",F2518="NEW"),"",COUNTBLANK(OFFSET(A$1,,,SUMPRODUCT(MAX(ROW(E$2:E2518)*(E2518=E$2:E2518)))))-COUNTBLANK(OFFSET(A$1,,,SUMPRODUCT(MAX(ROW(E$1:E2517)*(E2=E$1:E2517))))))</f>
        <v> </v>
      </c>
      <c r="K2518" s="25" t="str">
        <f>IF(OR(E2518="",E2518="!!!",F2518="NEW"),"",INDEX(J$1:J2517,SUMPRODUCT(MAX(ROW(E$1:E2517)*(E2518=E$1:E2517)))))</f>
        <v> </v>
      </c>
      <c r="L2518" s="26"/>
    </row>
    <row r="2519" spans="1:12">
      <c r="A2519" s="20" t="s">
        <v>1161</v>
      </c>
      <c r="E2519" s="21">
        <f>IF(D2519="?OLD","!!!","")</f>
        <v/>
      </c>
      <c r="F2519" s="22" t="str">
        <f>IF(OR(E2519="",E2519="!!!"),"",IF(NOT(ISNA(VLOOKUP(E2519,E$1:E2518,1,FALSE()))),"OLD",IF(AND(E2519&lt;&gt;"",E2519&lt;&gt;"!!!"),"NEW","")))</f>
        <v> </v>
      </c>
      <c r="G2519" s="23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4" t="str">
        <f>IF(J2519&lt;&gt;1,"",IF(I2519="SBJ","CB","?"))</f>
        <v> </v>
      </c>
      <c r="I2519" s="25" t="str">
        <f>IF(OR(E2519="",E2519="!!!",F2519="NEW"),"",INDEX(B2518:B$2,-1+SUMPRODUCT(MAX(ROW(E2518:E$2)*(E2519=E2518:E$2)))))</f>
        <v> </v>
      </c>
      <c r="J2519" s="25" t="str">
        <f>IF(OR(E2519="",E2519="!!!",F2519="NEW"),"",COUNTBLANK(OFFSET(A$1,,,SUMPRODUCT(MAX(ROW(E$2:E2519)*(E2519=E$2:E2519)))))-COUNTBLANK(OFFSET(A$1,,,SUMPRODUCT(MAX(ROW(E$1:E2518)*(E2=E$1:E2518))))))</f>
        <v> </v>
      </c>
      <c r="K2519" s="25" t="str">
        <f>IF(OR(E2519="",E2519="!!!",F2519="NEW"),"",INDEX(J$1:J2518,SUMPRODUCT(MAX(ROW(E$1:E2518)*(E2519=E$1:E2518)))))</f>
        <v> </v>
      </c>
      <c r="L2519" s="26"/>
    </row>
    <row r="2520" spans="1:12">
      <c r="A2520" s="20" t="s">
        <v>1198</v>
      </c>
      <c r="E2520" s="21">
        <f>IF(D2520="?OLD","!!!","")</f>
        <v/>
      </c>
      <c r="F2520" s="22" t="str">
        <f>IF(OR(E2520="",E2520="!!!"),"",IF(NOT(ISNA(VLOOKUP(E2520,E$1:E2519,1,FALSE()))),"OLD",IF(AND(E2520&lt;&gt;"",E2520&lt;&gt;"!!!"),"NEW","")))</f>
        <v> </v>
      </c>
      <c r="G2520" s="23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4" t="str">
        <f>IF(J2520&lt;&gt;1,"",IF(I2520="SBJ","CB","?"))</f>
        <v> </v>
      </c>
      <c r="I2520" s="25" t="str">
        <f>IF(OR(E2520="",E2520="!!!",F2520="NEW"),"",INDEX(B2519:B$2,-1+SUMPRODUCT(MAX(ROW(E2519:E$2)*(E2520=E2519:E$2)))))</f>
        <v> </v>
      </c>
      <c r="J2520" s="25" t="str">
        <f>IF(OR(E2520="",E2520="!!!",F2520="NEW"),"",COUNTBLANK(OFFSET(A$1,,,SUMPRODUCT(MAX(ROW(E$2:E2520)*(E2520=E$2:E2520)))))-COUNTBLANK(OFFSET(A$1,,,SUMPRODUCT(MAX(ROW(E$1:E2519)*(E2=E$1:E2519))))))</f>
        <v> </v>
      </c>
      <c r="K2520" s="25" t="str">
        <f>IF(OR(E2520="",E2520="!!!",F2520="NEW"),"",INDEX(J$1:J2519,SUMPRODUCT(MAX(ROW(E$1:E2519)*(E2520=E$1:E2519)))))</f>
        <v> </v>
      </c>
      <c r="L2520" s="26"/>
    </row>
    <row r="2521" spans="1:12">
      <c r="A2521" s="20" t="s">
        <v>1933</v>
      </c>
      <c r="E2521" s="21">
        <f>IF(D2521="?OLD","!!!","")</f>
        <v/>
      </c>
      <c r="F2521" s="22" t="str">
        <f>IF(OR(E2521="",E2521="!!!"),"",IF(NOT(ISNA(VLOOKUP(E2521,E$1:E2520,1,FALSE()))),"OLD",IF(AND(E2521&lt;&gt;"",E2521&lt;&gt;"!!!"),"NEW","")))</f>
        <v> </v>
      </c>
      <c r="G2521" s="23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4" t="str">
        <f>IF(J2521&lt;&gt;1,"",IF(I2521="SBJ","CB","?"))</f>
        <v> </v>
      </c>
      <c r="I2521" s="25" t="str">
        <f>IF(OR(E2521="",E2521="!!!",F2521="NEW"),"",INDEX(B2520:B$2,-1+SUMPRODUCT(MAX(ROW(E2520:E$2)*(E2521=E2520:E$2)))))</f>
        <v> </v>
      </c>
      <c r="J2521" s="25" t="str">
        <f>IF(OR(E2521="",E2521="!!!",F2521="NEW"),"",COUNTBLANK(OFFSET(A$1,,,SUMPRODUCT(MAX(ROW(E$2:E2521)*(E2521=E$2:E2521)))))-COUNTBLANK(OFFSET(A$1,,,SUMPRODUCT(MAX(ROW(E$1:E2520)*(E2=E$1:E2520))))))</f>
        <v> </v>
      </c>
      <c r="K2521" s="25" t="str">
        <f>IF(OR(E2521="",E2521="!!!",F2521="NEW"),"",INDEX(J$1:J2520,SUMPRODUCT(MAX(ROW(E$1:E2520)*(E2521=E$1:E2520)))))</f>
        <v> </v>
      </c>
      <c r="L2521" s="26"/>
    </row>
    <row r="2522" spans="1:12">
      <c r="A2522" s="20" t="s">
        <v>1074</v>
      </c>
      <c r="E2522" s="21">
        <f>IF(D2522="?OLD","!!!","")</f>
        <v/>
      </c>
      <c r="F2522" s="22" t="str">
        <f>IF(OR(E2522="",E2522="!!!"),"",IF(NOT(ISNA(VLOOKUP(E2522,E$1:E2521,1,FALSE()))),"OLD",IF(AND(E2522&lt;&gt;"",E2522&lt;&gt;"!!!"),"NEW","")))</f>
        <v> </v>
      </c>
      <c r="G2522" s="23" t="str">
        <f>IF(OR(E2522="",E2522="!!!"),"",IF(OR(J2522=0,AND(J2522=1,K2522=1),AND(J2522=1,I2522="SBJ"),AND(J2522=1,I2522=0)),"?IN_FOCUS",IF(J2522&lt;=2,"?ACTIVATED",IF(J2522&lt;&gt;"","?FAMILIAR",IF(F2522="NEW",IF(ISNA(VLOOKUP(E2522,#REF!,1,FALSE())),"?TYPE_IDENTIFIABLE","?REFERENTIAL"),"_")))))</f>
        <v> </v>
      </c>
      <c r="H2522" s="24" t="str">
        <f>IF(J2522&lt;&gt;1,"",IF(I2522="SBJ","CB","?"))</f>
        <v> </v>
      </c>
      <c r="I2522" s="25" t="str">
        <f>IF(OR(E2522="",E2522="!!!",F2522="NEW"),"",INDEX(B2521:B$2,-1+SUMPRODUCT(MAX(ROW(E2521:E$2)*(E2522=E2521:E$2)))))</f>
        <v> </v>
      </c>
      <c r="J2522" s="25" t="str">
        <f>IF(OR(E2522="",E2522="!!!",F2522="NEW"),"",COUNTBLANK(OFFSET(A$1,,,SUMPRODUCT(MAX(ROW(E$2:E2522)*(E2522=E$2:E2522)))))-COUNTBLANK(OFFSET(A$1,,,SUMPRODUCT(MAX(ROW(E$1:E2521)*(E2=E$1:E2521))))))</f>
        <v> </v>
      </c>
      <c r="K2522" s="25" t="str">
        <f>IF(OR(E2522="",E2522="!!!",F2522="NEW"),"",INDEX(J$1:J2521,SUMPRODUCT(MAX(ROW(E$1:E2521)*(E2522=E$1:E2521)))))</f>
        <v> </v>
      </c>
      <c r="L2522" s="26"/>
    </row>
    <row r="2523" spans="1:12">
      <c r="A2523" s="20" t="s">
        <v>1111</v>
      </c>
      <c r="E2523" s="21">
        <f>IF(D2523="?OLD","!!!","")</f>
        <v/>
      </c>
      <c r="F2523" s="22" t="str">
        <f>IF(OR(E2523="",E2523="!!!"),"",IF(NOT(ISNA(VLOOKUP(E2523,E$1:E2522,1,FALSE()))),"OLD",IF(AND(E2523&lt;&gt;"",E2523&lt;&gt;"!!!"),"NEW","")))</f>
        <v> </v>
      </c>
      <c r="G2523" s="23" t="str">
        <f>IF(OR(E2523="",E2523="!!!"),"",IF(OR(J2523=0,AND(J2523=1,K2523=1),AND(J2523=1,I2523="SBJ"),AND(J2523=1,I2523=0)),"?IN_FOCUS",IF(J2523&lt;=2,"?ACTIVATED",IF(J2523&lt;&gt;"","?FAMILIAR",IF(F2523="NEW",IF(ISNA(VLOOKUP(E2523,#REF!,1,FALSE())),"?TYPE_IDENTIFIABLE","?REFERENTIAL"),"_")))))</f>
        <v> </v>
      </c>
      <c r="H2523" s="24" t="str">
        <f>IF(J2523&lt;&gt;1,"",IF(I2523="SBJ","CB","?"))</f>
        <v> </v>
      </c>
      <c r="I2523" s="25" t="str">
        <f>IF(OR(E2523="",E2523="!!!",F2523="NEW"),"",INDEX(B2522:B$2,-1+SUMPRODUCT(MAX(ROW(E2522:E$2)*(E2523=E2522:E$2)))))</f>
        <v> </v>
      </c>
      <c r="J2523" s="25" t="str">
        <f>IF(OR(E2523="",E2523="!!!",F2523="NEW"),"",COUNTBLANK(OFFSET(A$1,,,SUMPRODUCT(MAX(ROW(E$2:E2523)*(E2523=E$2:E2523)))))-COUNTBLANK(OFFSET(A$1,,,SUMPRODUCT(MAX(ROW(E$1:E2522)*(E2=E$1:E2522))))))</f>
        <v> </v>
      </c>
      <c r="K2523" s="25" t="str">
        <f>IF(OR(E2523="",E2523="!!!",F2523="NEW"),"",INDEX(J$1:J2522,SUMPRODUCT(MAX(ROW(E$1:E2522)*(E2523=E$1:E2522)))))</f>
        <v> </v>
      </c>
      <c r="L2523" s="26"/>
    </row>
    <row r="2524" spans="1:12">
      <c r="A2524" s="20" t="s">
        <v>1260</v>
      </c>
      <c r="B2524" s="27" t="s">
        <v>1079</v>
      </c>
      <c r="C2524" s="27" t="s">
        <v>1038</v>
      </c>
      <c r="D2524" s="27" t="s">
        <v>1030</v>
      </c>
      <c r="E2524" s="21">
        <f>IF(D2524="?OLD","!!!","")</f>
        <v/>
      </c>
      <c r="F2524" s="22" t="str">
        <f>IF(OR(E2524="",E2524="!!!"),"",IF(NOT(ISNA(VLOOKUP(E2524,E$1:E2523,1,FALSE()))),"OLD",IF(AND(E2524&lt;&gt;"",E2524&lt;&gt;"!!!"),"NEW","")))</f>
        <v> </v>
      </c>
      <c r="G2524" s="23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4" t="str">
        <f>IF(J2524&lt;&gt;1,"",IF(I2524="SBJ","CB","?"))</f>
        <v> </v>
      </c>
      <c r="I2524" s="25" t="str">
        <f>IF(OR(E2524="",E2524="!!!",F2524="NEW"),"",INDEX(B2523:B$2,-1+SUMPRODUCT(MAX(ROW(E2523:E$2)*(E2524=E2523:E$2)))))</f>
        <v> </v>
      </c>
      <c r="J2524" s="25" t="str">
        <f>IF(OR(E2524="",E2524="!!!",F2524="NEW"),"",COUNTBLANK(OFFSET(A$1,,,SUMPRODUCT(MAX(ROW(E$2:E2524)*(E2524=E$2:E2524)))))-COUNTBLANK(OFFSET(A$1,,,SUMPRODUCT(MAX(ROW(E$1:E2523)*(E2=E$1:E2523))))))</f>
        <v> </v>
      </c>
      <c r="K2524" s="25" t="str">
        <f>IF(OR(E2524="",E2524="!!!",F2524="NEW"),"",INDEX(J$1:J2523,SUMPRODUCT(MAX(ROW(E$1:E2523)*(E2524=E$1:E2523)))))</f>
        <v> </v>
      </c>
      <c r="L2524" s="26"/>
    </row>
    <row r="2525" spans="1:12">
      <c r="A2525" s="20" t="s">
        <v>1934</v>
      </c>
      <c r="E2525" s="21">
        <f>IF(D2525="?OLD","!!!","")</f>
        <v/>
      </c>
      <c r="F2525" s="22" t="str">
        <f>IF(OR(E2525="",E2525="!!!"),"",IF(NOT(ISNA(VLOOKUP(E2525,E$1:E2524,1,FALSE()))),"OLD",IF(AND(E2525&lt;&gt;"",E2525&lt;&gt;"!!!"),"NEW","")))</f>
        <v> </v>
      </c>
      <c r="G2525" s="23" t="str">
        <f>IF(OR(E2525="",E2525="!!!"),"",IF(OR(J2525=0,AND(J2525=1,K2525=1),AND(J2525=1,I2525="SBJ"),AND(J2525=1,I2525=0)),"?IN_FOCUS",IF(J2525&lt;=2,"?ACTIVATED",IF(J2525&lt;&gt;"","?FAMILIAR",IF(F2525="NEW",IF(ISNA(VLOOKUP(E2525,#REF!,1,FALSE())),"?TYPE_IDENTIFIABLE","?REFERENTIAL"),"_")))))</f>
        <v> </v>
      </c>
      <c r="H2525" s="24" t="str">
        <f>IF(J2525&lt;&gt;1,"",IF(I2525="SBJ","CB","?"))</f>
        <v> </v>
      </c>
      <c r="I2525" s="25" t="str">
        <f>IF(OR(E2525="",E2525="!!!",F2525="NEW"),"",INDEX(B2524:B$2,-1+SUMPRODUCT(MAX(ROW(E2524:E$2)*(E2525=E2524:E$2)))))</f>
        <v> </v>
      </c>
      <c r="J2525" s="25" t="str">
        <f>IF(OR(E2525="",E2525="!!!",F2525="NEW"),"",COUNTBLANK(OFFSET(A$1,,,SUMPRODUCT(MAX(ROW(E$2:E2525)*(E2525=E$2:E2525)))))-COUNTBLANK(OFFSET(A$1,,,SUMPRODUCT(MAX(ROW(E$1:E2524)*(E2=E$1:E2524))))))</f>
        <v> </v>
      </c>
      <c r="K2525" s="25" t="str">
        <f>IF(OR(E2525="",E2525="!!!",F2525="NEW"),"",INDEX(J$1:J2524,SUMPRODUCT(MAX(ROW(E$1:E2524)*(E2525=E$1:E2524)))))</f>
        <v> </v>
      </c>
      <c r="L2525" s="26"/>
    </row>
    <row r="2526" spans="1:12">
      <c r="A2526" s="20" t="s">
        <v>1022</v>
      </c>
      <c r="E2526" s="21">
        <f>IF(D2526="?OLD","!!!","")</f>
        <v/>
      </c>
      <c r="F2526" s="22" t="str">
        <f>IF(OR(E2526="",E2526="!!!"),"",IF(NOT(ISNA(VLOOKUP(E2526,E$1:E2525,1,FALSE()))),"OLD",IF(AND(E2526&lt;&gt;"",E2526&lt;&gt;"!!!"),"NEW","")))</f>
        <v> </v>
      </c>
      <c r="G2526" s="23" t="str">
        <f>IF(OR(E2526="",E2526="!!!"),"",IF(OR(J2526=0,AND(J2526=1,K2526=1),AND(J2526=1,I2526="SBJ"),AND(J2526=1,I2526=0)),"?IN_FOCUS",IF(J2526&lt;=2,"?ACTIVATED",IF(J2526&lt;&gt;"","?FAMILIAR",IF(F2526="NEW",IF(ISNA(VLOOKUP(E2526,#REF!,1,FALSE())),"?TYPE_IDENTIFIABLE","?REFERENTIAL"),"_")))))</f>
        <v> </v>
      </c>
      <c r="H2526" s="24" t="str">
        <f>IF(J2526&lt;&gt;1,"",IF(I2526="SBJ","CB","?"))</f>
        <v> </v>
      </c>
      <c r="I2526" s="25" t="str">
        <f>IF(OR(E2526="",E2526="!!!",F2526="NEW"),"",INDEX(B2525:B$2,-1+SUMPRODUCT(MAX(ROW(E2525:E$2)*(E2526=E2525:E$2)))))</f>
        <v> </v>
      </c>
      <c r="J2526" s="25" t="str">
        <f>IF(OR(E2526="",E2526="!!!",F2526="NEW"),"",COUNTBLANK(OFFSET(A$1,,,SUMPRODUCT(MAX(ROW(E$2:E2526)*(E2526=E$2:E2526)))))-COUNTBLANK(OFFSET(A$1,,,SUMPRODUCT(MAX(ROW(E$1:E2525)*(E2=E$1:E2525))))))</f>
        <v> </v>
      </c>
      <c r="K2526" s="25" t="str">
        <f>IF(OR(E2526="",E2526="!!!",F2526="NEW"),"",INDEX(J$1:J2525,SUMPRODUCT(MAX(ROW(E$1:E2525)*(E2526=E$1:E2525)))))</f>
        <v> </v>
      </c>
      <c r="L2526" s="26"/>
    </row>
    <row r="2527" spans="1:12">
      <c r="A2527" s="20" t="s">
        <v>1083</v>
      </c>
      <c r="E2527" s="21">
        <f>IF(D2527="?OLD","!!!","")</f>
        <v/>
      </c>
      <c r="F2527" s="22" t="str">
        <f>IF(OR(E2527="",E2527="!!!"),"",IF(NOT(ISNA(VLOOKUP(E2527,E$1:E2526,1,FALSE()))),"OLD",IF(AND(E2527&lt;&gt;"",E2527&lt;&gt;"!!!"),"NEW","")))</f>
        <v> </v>
      </c>
      <c r="G2527" s="23" t="str">
        <f>IF(OR(E2527="",E2527="!!!"),"",IF(OR(J2527=0,AND(J2527=1,K2527=1),AND(J2527=1,I2527="SBJ"),AND(J2527=1,I2527=0)),"?IN_FOCUS",IF(J2527&lt;=2,"?ACTIVATED",IF(J2527&lt;&gt;"","?FAMILIAR",IF(F2527="NEW",IF(ISNA(VLOOKUP(E2527,#REF!,1,FALSE())),"?TYPE_IDENTIFIABLE","?REFERENTIAL"),"_")))))</f>
        <v> </v>
      </c>
      <c r="H2527" s="24" t="str">
        <f>IF(J2527&lt;&gt;1,"",IF(I2527="SBJ","CB","?"))</f>
        <v> </v>
      </c>
      <c r="I2527" s="25" t="str">
        <f>IF(OR(E2527="",E2527="!!!",F2527="NEW"),"",INDEX(B2526:B$2,-1+SUMPRODUCT(MAX(ROW(E2526:E$2)*(E2527=E2526:E$2)))))</f>
        <v> </v>
      </c>
      <c r="J2527" s="25" t="str">
        <f>IF(OR(E2527="",E2527="!!!",F2527="NEW"),"",COUNTBLANK(OFFSET(A$1,,,SUMPRODUCT(MAX(ROW(E$2:E2527)*(E2527=E$2:E2527)))))-COUNTBLANK(OFFSET(A$1,,,SUMPRODUCT(MAX(ROW(E$1:E2526)*(E2=E$1:E2526))))))</f>
        <v> </v>
      </c>
      <c r="K2527" s="25" t="str">
        <f>IF(OR(E2527="",E2527="!!!",F2527="NEW"),"",INDEX(J$1:J2526,SUMPRODUCT(MAX(ROW(E$1:E2526)*(E2527=E$1:E2526)))))</f>
        <v> </v>
      </c>
      <c r="L2527" s="26"/>
    </row>
    <row r="2528" spans="1:12">
      <c r="A2528" s="20" t="s">
        <v>1057</v>
      </c>
      <c r="E2528" s="21">
        <f>IF(D2528="?OLD","!!!","")</f>
        <v/>
      </c>
      <c r="F2528" s="22" t="str">
        <f>IF(OR(E2528="",E2528="!!!"),"",IF(NOT(ISNA(VLOOKUP(E2528,E$1:E2527,1,FALSE()))),"OLD",IF(AND(E2528&lt;&gt;"",E2528&lt;&gt;"!!!"),"NEW","")))</f>
        <v> </v>
      </c>
      <c r="G2528" s="23" t="str">
        <f>IF(OR(E2528="",E2528="!!!"),"",IF(OR(J2528=0,AND(J2528=1,K2528=1),AND(J2528=1,I2528="SBJ"),AND(J2528=1,I2528=0)),"?IN_FOCUS",IF(J2528&lt;=2,"?ACTIVATED",IF(J2528&lt;&gt;"","?FAMILIAR",IF(F2528="NEW",IF(ISNA(VLOOKUP(E2528,#REF!,1,FALSE())),"?TYPE_IDENTIFIABLE","?REFERENTIAL"),"_")))))</f>
        <v> </v>
      </c>
      <c r="H2528" s="24" t="str">
        <f>IF(J2528&lt;&gt;1,"",IF(I2528="SBJ","CB","?"))</f>
        <v> </v>
      </c>
      <c r="I2528" s="25" t="str">
        <f>IF(OR(E2528="",E2528="!!!",F2528="NEW"),"",INDEX(B2527:B$2,-1+SUMPRODUCT(MAX(ROW(E2527:E$2)*(E2528=E2527:E$2)))))</f>
        <v> </v>
      </c>
      <c r="J2528" s="25" t="str">
        <f>IF(OR(E2528="",E2528="!!!",F2528="NEW"),"",COUNTBLANK(OFFSET(A$1,,,SUMPRODUCT(MAX(ROW(E$2:E2528)*(E2528=E$2:E2528)))))-COUNTBLANK(OFFSET(A$1,,,SUMPRODUCT(MAX(ROW(E$1:E2527)*(E2=E$1:E2527))))))</f>
        <v> </v>
      </c>
      <c r="K2528" s="25" t="str">
        <f>IF(OR(E2528="",E2528="!!!",F2528="NEW"),"",INDEX(J$1:J2527,SUMPRODUCT(MAX(ROW(E$1:E2527)*(E2528=E$1:E2527)))))</f>
        <v> </v>
      </c>
      <c r="L2528" s="26"/>
    </row>
    <row r="2529" spans="1:12">
      <c r="A2529" s="20" t="s">
        <v>1935</v>
      </c>
      <c r="E2529" s="21">
        <f>IF(D2529="?OLD","!!!","")</f>
        <v/>
      </c>
      <c r="F2529" s="22" t="str">
        <f>IF(OR(E2529="",E2529="!!!"),"",IF(NOT(ISNA(VLOOKUP(E2529,E$1:E2528,1,FALSE()))),"OLD",IF(AND(E2529&lt;&gt;"",E2529&lt;&gt;"!!!"),"NEW","")))</f>
        <v> </v>
      </c>
      <c r="G2529" s="23" t="str">
        <f>IF(OR(E2529="",E2529="!!!"),"",IF(OR(J2529=0,AND(J2529=1,K2529=1),AND(J2529=1,I2529="SBJ"),AND(J2529=1,I2529=0)),"?IN_FOCUS",IF(J2529&lt;=2,"?ACTIVATED",IF(J2529&lt;&gt;"","?FAMILIAR",IF(F2529="NEW",IF(ISNA(VLOOKUP(E2529,#REF!,1,FALSE())),"?TYPE_IDENTIFIABLE","?REFERENTIAL"),"_")))))</f>
        <v> </v>
      </c>
      <c r="H2529" s="24" t="str">
        <f>IF(J2529&lt;&gt;1,"",IF(I2529="SBJ","CB","?"))</f>
        <v> </v>
      </c>
      <c r="I2529" s="25" t="str">
        <f>IF(OR(E2529="",E2529="!!!",F2529="NEW"),"",INDEX(B2528:B$2,-1+SUMPRODUCT(MAX(ROW(E2528:E$2)*(E2529=E2528:E$2)))))</f>
        <v> </v>
      </c>
      <c r="J2529" s="25" t="str">
        <f>IF(OR(E2529="",E2529="!!!",F2529="NEW"),"",COUNTBLANK(OFFSET(A$1,,,SUMPRODUCT(MAX(ROW(E$2:E2529)*(E2529=E$2:E2529)))))-COUNTBLANK(OFFSET(A$1,,,SUMPRODUCT(MAX(ROW(E$1:E2528)*(E2=E$1:E2528))))))</f>
        <v> </v>
      </c>
      <c r="K2529" s="25" t="str">
        <f>IF(OR(E2529="",E2529="!!!",F2529="NEW"),"",INDEX(J$1:J2528,SUMPRODUCT(MAX(ROW(E$1:E2528)*(E2529=E$1:E2528)))))</f>
        <v> </v>
      </c>
      <c r="L2529" s="26"/>
    </row>
    <row r="2530" spans="1:12">
      <c r="A2530" s="20" t="s">
        <v>1201</v>
      </c>
      <c r="B2530" s="27" t="s">
        <v>1069</v>
      </c>
      <c r="E2530" s="21">
        <f>IF(D2530="?OLD","!!!","")</f>
        <v/>
      </c>
      <c r="F2530" s="22" t="str">
        <f>IF(OR(E2530="",E2530="!!!"),"",IF(NOT(ISNA(VLOOKUP(E2530,E$1:E2529,1,FALSE()))),"OLD",IF(AND(E2530&lt;&gt;"",E2530&lt;&gt;"!!!"),"NEW","")))</f>
        <v> </v>
      </c>
      <c r="G2530" s="23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4" t="str">
        <f>IF(J2530&lt;&gt;1,"",IF(I2530="SBJ","CB","?"))</f>
        <v> </v>
      </c>
      <c r="I2530" s="25" t="str">
        <f>IF(OR(E2530="",E2530="!!!",F2530="NEW"),"",INDEX(B2529:B$2,-1+SUMPRODUCT(MAX(ROW(E2529:E$2)*(E2530=E2529:E$2)))))</f>
        <v> </v>
      </c>
      <c r="J2530" s="25" t="str">
        <f>IF(OR(E2530="",E2530="!!!",F2530="NEW"),"",COUNTBLANK(OFFSET(A$1,,,SUMPRODUCT(MAX(ROW(E$2:E2530)*(E2530=E$2:E2530)))))-COUNTBLANK(OFFSET(A$1,,,SUMPRODUCT(MAX(ROW(E$1:E2529)*(E2=E$1:E2529))))))</f>
        <v> </v>
      </c>
      <c r="K2530" s="25" t="str">
        <f>IF(OR(E2530="",E2530="!!!",F2530="NEW"),"",INDEX(J$1:J2529,SUMPRODUCT(MAX(ROW(E$1:E2529)*(E2530=E$1:E2529)))))</f>
        <v> </v>
      </c>
      <c r="L2530" s="26"/>
    </row>
    <row r="2531" spans="1:12">
      <c r="A2531" s="20" t="s">
        <v>1718</v>
      </c>
      <c r="E2531" s="21">
        <f>IF(D2531="?OLD","!!!","")</f>
        <v/>
      </c>
      <c r="F2531" s="22" t="str">
        <f>IF(OR(E2531="",E2531="!!!"),"",IF(NOT(ISNA(VLOOKUP(E2531,E$1:E2530,1,FALSE()))),"OLD",IF(AND(E2531&lt;&gt;"",E2531&lt;&gt;"!!!"),"NEW","")))</f>
        <v> </v>
      </c>
      <c r="G2531" s="23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4" t="str">
        <f>IF(J2531&lt;&gt;1,"",IF(I2531="SBJ","CB","?"))</f>
        <v> </v>
      </c>
      <c r="I2531" s="25" t="str">
        <f>IF(OR(E2531="",E2531="!!!",F2531="NEW"),"",INDEX(B2530:B$2,-1+SUMPRODUCT(MAX(ROW(E2530:E$2)*(E2531=E2530:E$2)))))</f>
        <v> </v>
      </c>
      <c r="J2531" s="25" t="str">
        <f>IF(OR(E2531="",E2531="!!!",F2531="NEW"),"",COUNTBLANK(OFFSET(A$1,,,SUMPRODUCT(MAX(ROW(E$2:E2531)*(E2531=E$2:E2531)))))-COUNTBLANK(OFFSET(A$1,,,SUMPRODUCT(MAX(ROW(E$1:E2530)*(E2=E$1:E2530))))))</f>
        <v> </v>
      </c>
      <c r="K2531" s="25" t="str">
        <f>IF(OR(E2531="",E2531="!!!",F2531="NEW"),"",INDEX(J$1:J2530,SUMPRODUCT(MAX(ROW(E$1:E2530)*(E2531=E$1:E2530)))))</f>
        <v> </v>
      </c>
      <c r="L2531" s="26"/>
    </row>
    <row r="2532" spans="1:12">
      <c r="A2532" s="20" t="s">
        <v>1936</v>
      </c>
      <c r="E2532" s="21">
        <f>IF(D2532="?OLD","!!!","")</f>
        <v/>
      </c>
      <c r="F2532" s="22" t="str">
        <f>IF(OR(E2532="",E2532="!!!"),"",IF(NOT(ISNA(VLOOKUP(E2532,E$1:E2531,1,FALSE()))),"OLD",IF(AND(E2532&lt;&gt;"",E2532&lt;&gt;"!!!"),"NEW","")))</f>
        <v> </v>
      </c>
      <c r="G2532" s="23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4" t="str">
        <f>IF(J2532&lt;&gt;1,"",IF(I2532="SBJ","CB","?"))</f>
        <v> </v>
      </c>
      <c r="I2532" s="25" t="str">
        <f>IF(OR(E2532="",E2532="!!!",F2532="NEW"),"",INDEX(B2531:B$2,-1+SUMPRODUCT(MAX(ROW(E2531:E$2)*(E2532=E2531:E$2)))))</f>
        <v> </v>
      </c>
      <c r="J2532" s="25" t="str">
        <f>IF(OR(E2532="",E2532="!!!",F2532="NEW"),"",COUNTBLANK(OFFSET(A$1,,,SUMPRODUCT(MAX(ROW(E$2:E2532)*(E2532=E$2:E2532)))))-COUNTBLANK(OFFSET(A$1,,,SUMPRODUCT(MAX(ROW(E$1:E2531)*(E2=E$1:E2531))))))</f>
        <v> </v>
      </c>
      <c r="K2532" s="25" t="str">
        <f>IF(OR(E2532="",E2532="!!!",F2532="NEW"),"",INDEX(J$1:J2531,SUMPRODUCT(MAX(ROW(E$1:E2531)*(E2532=E$1:E2531)))))</f>
        <v> </v>
      </c>
      <c r="L2532" s="26"/>
    </row>
    <row r="2533" spans="1:12">
      <c r="A2533" s="20" t="s">
        <v>1094</v>
      </c>
      <c r="E2533" s="21">
        <f>IF(D2533="?OLD","!!!","")</f>
        <v/>
      </c>
      <c r="F2533" s="22" t="str">
        <f>IF(OR(E2533="",E2533="!!!"),"",IF(NOT(ISNA(VLOOKUP(E2533,E$1:E2532,1,FALSE()))),"OLD",IF(AND(E2533&lt;&gt;"",E2533&lt;&gt;"!!!"),"NEW","")))</f>
        <v> </v>
      </c>
      <c r="G2533" s="23" t="str">
        <f>IF(OR(E2533="",E2533="!!!"),"",IF(OR(J2533=0,AND(J2533=1,K2533=1),AND(J2533=1,I2533="SBJ"),AND(J2533=1,I2533=0)),"?IN_FOCUS",IF(J2533&lt;=2,"?ACTIVATED",IF(J2533&lt;&gt;"","?FAMILIAR",IF(F2533="NEW",IF(ISNA(VLOOKUP(E2533,#REF!,1,FALSE())),"?TYPE_IDENTIFIABLE","?REFERENTIAL"),"_")))))</f>
        <v> </v>
      </c>
      <c r="H2533" s="24" t="str">
        <f>IF(J2533&lt;&gt;1,"",IF(I2533="SBJ","CB","?"))</f>
        <v> </v>
      </c>
      <c r="I2533" s="25" t="str">
        <f>IF(OR(E2533="",E2533="!!!",F2533="NEW"),"",INDEX(B2532:B$2,-1+SUMPRODUCT(MAX(ROW(E2532:E$2)*(E2533=E2532:E$2)))))</f>
        <v> </v>
      </c>
      <c r="J2533" s="25" t="str">
        <f>IF(OR(E2533="",E2533="!!!",F2533="NEW"),"",COUNTBLANK(OFFSET(A$1,,,SUMPRODUCT(MAX(ROW(E$2:E2533)*(E2533=E$2:E2533)))))-COUNTBLANK(OFFSET(A$1,,,SUMPRODUCT(MAX(ROW(E$1:E2532)*(E2=E$1:E2532))))))</f>
        <v> </v>
      </c>
      <c r="K2533" s="25" t="str">
        <f>IF(OR(E2533="",E2533="!!!",F2533="NEW"),"",INDEX(J$1:J2532,SUMPRODUCT(MAX(ROW(E$1:E2532)*(E2533=E$1:E2532)))))</f>
        <v> </v>
      </c>
      <c r="L2533" s="26"/>
    </row>
    <row r="2534" spans="1:12">
      <c r="A2534" s="20" t="s">
        <v>1266</v>
      </c>
      <c r="E2534" s="21">
        <f>IF(D2534="?OLD","!!!","")</f>
        <v/>
      </c>
      <c r="F2534" s="22" t="str">
        <f>IF(OR(E2534="",E2534="!!!"),"",IF(NOT(ISNA(VLOOKUP(E2534,E$1:E2533,1,FALSE()))),"OLD",IF(AND(E2534&lt;&gt;"",E2534&lt;&gt;"!!!"),"NEW","")))</f>
        <v> </v>
      </c>
      <c r="G2534" s="23" t="str">
        <f>IF(OR(E2534="",E2534="!!!"),"",IF(OR(J2534=0,AND(J2534=1,K2534=1),AND(J2534=1,I2534="SBJ"),AND(J2534=1,I2534=0)),"?IN_FOCUS",IF(J2534&lt;=2,"?ACTIVATED",IF(J2534&lt;&gt;"","?FAMILIAR",IF(F2534="NEW",IF(ISNA(VLOOKUP(E2534,#REF!,1,FALSE())),"?TYPE_IDENTIFIABLE","?REFERENTIAL"),"_")))))</f>
        <v> </v>
      </c>
      <c r="H2534" s="24" t="str">
        <f>IF(J2534&lt;&gt;1,"",IF(I2534="SBJ","CB","?"))</f>
        <v> </v>
      </c>
      <c r="I2534" s="25" t="str">
        <f>IF(OR(E2534="",E2534="!!!",F2534="NEW"),"",INDEX(B2533:B$2,-1+SUMPRODUCT(MAX(ROW(E2533:E$2)*(E2534=E2533:E$2)))))</f>
        <v> </v>
      </c>
      <c r="J2534" s="25" t="str">
        <f>IF(OR(E2534="",E2534="!!!",F2534="NEW"),"",COUNTBLANK(OFFSET(A$1,,,SUMPRODUCT(MAX(ROW(E$2:E2534)*(E2534=E$2:E2534)))))-COUNTBLANK(OFFSET(A$1,,,SUMPRODUCT(MAX(ROW(E$1:E2533)*(E2=E$1:E2533))))))</f>
        <v> </v>
      </c>
      <c r="K2534" s="25" t="str">
        <f>IF(OR(E2534="",E2534="!!!",F2534="NEW"),"",INDEX(J$1:J2533,SUMPRODUCT(MAX(ROW(E$1:E2533)*(E2534=E$1:E2533)))))</f>
        <v> </v>
      </c>
      <c r="L2534" s="26"/>
    </row>
    <row r="2535" spans="1:12">
      <c r="A2535" s="20" t="s">
        <v>1937</v>
      </c>
      <c r="E2535" s="21">
        <f>IF(D2535="?OLD","!!!","")</f>
        <v/>
      </c>
      <c r="F2535" s="22" t="str">
        <f>IF(OR(E2535="",E2535="!!!"),"",IF(NOT(ISNA(VLOOKUP(E2535,E$1:E2534,1,FALSE()))),"OLD",IF(AND(E2535&lt;&gt;"",E2535&lt;&gt;"!!!"),"NEW","")))</f>
        <v> </v>
      </c>
      <c r="G2535" s="23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4" t="str">
        <f>IF(J2535&lt;&gt;1,"",IF(I2535="SBJ","CB","?"))</f>
        <v> </v>
      </c>
      <c r="I2535" s="25" t="str">
        <f>IF(OR(E2535="",E2535="!!!",F2535="NEW"),"",INDEX(B2534:B$2,-1+SUMPRODUCT(MAX(ROW(E2534:E$2)*(E2535=E2534:E$2)))))</f>
        <v> </v>
      </c>
      <c r="J2535" s="25" t="str">
        <f>IF(OR(E2535="",E2535="!!!",F2535="NEW"),"",COUNTBLANK(OFFSET(A$1,,,SUMPRODUCT(MAX(ROW(E$2:E2535)*(E2535=E$2:E2535)))))-COUNTBLANK(OFFSET(A$1,,,SUMPRODUCT(MAX(ROW(E$1:E2534)*(E2=E$1:E2534))))))</f>
        <v> </v>
      </c>
      <c r="K2535" s="25" t="str">
        <f>IF(OR(E2535="",E2535="!!!",F2535="NEW"),"",INDEX(J$1:J2534,SUMPRODUCT(MAX(ROW(E$1:E2534)*(E2535=E$1:E2534)))))</f>
        <v> </v>
      </c>
      <c r="L2535" s="26"/>
    </row>
    <row r="2536" spans="1:12">
      <c r="A2536" s="20" t="s">
        <v>135</v>
      </c>
      <c r="E2536" s="21">
        <f>IF(D2536="?OLD","!!!","")</f>
        <v/>
      </c>
      <c r="F2536" s="22" t="str">
        <f>IF(OR(E2536="",E2536="!!!"),"",IF(NOT(ISNA(VLOOKUP(E2536,E$1:E2535,1,FALSE()))),"OLD",IF(AND(E2536&lt;&gt;"",E2536&lt;&gt;"!!!"),"NEW","")))</f>
        <v> </v>
      </c>
      <c r="G2536" s="23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4" t="str">
        <f>IF(J2536&lt;&gt;1,"",IF(I2536="SBJ","CB","?"))</f>
        <v> </v>
      </c>
      <c r="I2536" s="25" t="str">
        <f>IF(OR(E2536="",E2536="!!!",F2536="NEW"),"",INDEX(B2535:B$2,-1+SUMPRODUCT(MAX(ROW(E2535:E$2)*(E2536=E2535:E$2)))))</f>
        <v> </v>
      </c>
      <c r="J2536" s="25" t="str">
        <f>IF(OR(E2536="",E2536="!!!",F2536="NEW"),"",COUNTBLANK(OFFSET(A$1,,,SUMPRODUCT(MAX(ROW(E$2:E2536)*(E2536=E$2:E2536)))))-COUNTBLANK(OFFSET(A$1,,,SUMPRODUCT(MAX(ROW(E$1:E2535)*(E2=E$1:E2535))))))</f>
        <v> </v>
      </c>
      <c r="K2536" s="25" t="str">
        <f>IF(OR(E2536="",E2536="!!!",F2536="NEW"),"",INDEX(J$1:J2535,SUMPRODUCT(MAX(ROW(E$1:E2535)*(E2536=E$1:E2535)))))</f>
        <v> </v>
      </c>
      <c r="L2536" s="26"/>
    </row>
    <row r="2537" spans="1:12">
      <c r="A2537" s="20"/>
    </row>
    <row r="2538" spans="1:12">
      <c r="A2538" s="20" t="s">
        <v>1938</v>
      </c>
    </row>
    <row r="2539" spans="1:12">
      <c r="A2539" s="20" t="s">
        <v>1163</v>
      </c>
      <c r="E2539" s="21">
        <f>IF(D2539="?OLD","!!!","")</f>
        <v/>
      </c>
      <c r="F2539" s="22" t="str">
        <f>IF(OR(E2539="",E2539="!!!"),"",IF(NOT(ISNA(VLOOKUP(E2539,E$1:E2538,1,FALSE()))),"OLD",IF(AND(E2539&lt;&gt;"",E2539&lt;&gt;"!!!"),"NEW","")))</f>
        <v> </v>
      </c>
      <c r="G2539" s="23" t="str">
        <f>IF(OR(E2539="",E2539="!!!"),"",IF(OR(J2539=0,AND(J2539=1,K2539=1),AND(J2539=1,I2539="SBJ"),AND(J2539=1,I2539=0)),"?IN_FOCUS",IF(J2539&lt;=2,"?ACTIVATED",IF(J2539&lt;&gt;"","?FAMILIAR",IF(F2539="NEW",IF(ISNA(VLOOKUP(E2539,#REF!,1,FALSE())),"?TYPE_IDENTIFIABLE","?REFERENTIAL"),"_")))))</f>
        <v> </v>
      </c>
      <c r="H2539" s="24" t="str">
        <f>IF(J2539&lt;&gt;1,"",IF(I2539="SBJ","CB","?"))</f>
        <v> </v>
      </c>
      <c r="I2539" s="25" t="str">
        <f>IF(OR(E2539="",E2539="!!!",F2539="NEW"),"",INDEX(B2538:B$2,-1+SUMPRODUCT(MAX(ROW(E2538:E$2)*(E2539=E2538:E$2)))))</f>
        <v> </v>
      </c>
      <c r="J2539" s="25" t="str">
        <f>IF(OR(E2539="",E2539="!!!",F2539="NEW"),"",COUNTBLANK(OFFSET(A$1,,,SUMPRODUCT(MAX(ROW(E$2:E2539)*(E2539=E$2:E2539)))))-COUNTBLANK(OFFSET(A$1,,,SUMPRODUCT(MAX(ROW(E$1:E2538)*(E2=E$1:E2538))))))</f>
        <v> </v>
      </c>
      <c r="K2539" s="25" t="str">
        <f>IF(OR(E2539="",E2539="!!!",F2539="NEW"),"",INDEX(J$1:J2538,SUMPRODUCT(MAX(ROW(E$1:E2538)*(E2539=E$1:E2538)))))</f>
        <v> </v>
      </c>
      <c r="L2539" s="26"/>
    </row>
    <row r="2540" spans="1:12">
      <c r="A2540" s="20" t="s">
        <v>1655</v>
      </c>
      <c r="B2540" s="27" t="s">
        <v>1041</v>
      </c>
      <c r="C2540" s="27" t="s">
        <v>1038</v>
      </c>
      <c r="D2540" s="27" t="s">
        <v>1030</v>
      </c>
      <c r="E2540" s="21">
        <f>IF(D2540="?OLD","!!!","")</f>
        <v/>
      </c>
      <c r="F2540" s="22" t="str">
        <f>IF(OR(E2540="",E2540="!!!"),"",IF(NOT(ISNA(VLOOKUP(E2540,E$1:E2539,1,FALSE()))),"OLD",IF(AND(E2540&lt;&gt;"",E2540&lt;&gt;"!!!"),"NEW","")))</f>
        <v> </v>
      </c>
      <c r="G2540" s="23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4" t="str">
        <f>IF(J2540&lt;&gt;1,"",IF(I2540="SBJ","CB","?"))</f>
        <v> </v>
      </c>
      <c r="I2540" s="25" t="str">
        <f>IF(OR(E2540="",E2540="!!!",F2540="NEW"),"",INDEX(B2539:B$2,-1+SUMPRODUCT(MAX(ROW(E2539:E$2)*(E2540=E2539:E$2)))))</f>
        <v> </v>
      </c>
      <c r="J2540" s="25" t="str">
        <f>IF(OR(E2540="",E2540="!!!",F2540="NEW"),"",COUNTBLANK(OFFSET(A$1,,,SUMPRODUCT(MAX(ROW(E$2:E2540)*(E2540=E$2:E2540)))))-COUNTBLANK(OFFSET(A$1,,,SUMPRODUCT(MAX(ROW(E$1:E2539)*(E2=E$1:E2539))))))</f>
        <v> </v>
      </c>
      <c r="K2540" s="25" t="str">
        <f>IF(OR(E2540="",E2540="!!!",F2540="NEW"),"",INDEX(J$1:J2539,SUMPRODUCT(MAX(ROW(E$1:E2539)*(E2540=E$1:E2539)))))</f>
        <v> </v>
      </c>
      <c r="L2540" s="26"/>
    </row>
    <row r="2541" spans="1:12">
      <c r="A2541" s="20" t="s">
        <v>1123</v>
      </c>
      <c r="B2541" s="27" t="s">
        <v>1014</v>
      </c>
      <c r="C2541" s="27" t="s">
        <v>1050</v>
      </c>
      <c r="D2541" s="27" t="s">
        <v>1030</v>
      </c>
      <c r="E2541" s="21">
        <f>IF(D2541="?OLD","!!!","")</f>
        <v/>
      </c>
      <c r="F2541" s="22" t="str">
        <f>IF(OR(E2541="",E2541="!!!"),"",IF(NOT(ISNA(VLOOKUP(E2541,E$1:E2540,1,FALSE()))),"OLD",IF(AND(E2541&lt;&gt;"",E2541&lt;&gt;"!!!"),"NEW","")))</f>
        <v> </v>
      </c>
      <c r="G2541" s="23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4" t="str">
        <f>IF(J2541&lt;&gt;1,"",IF(I2541="SBJ","CB","?"))</f>
        <v> </v>
      </c>
      <c r="I2541" s="25" t="str">
        <f>IF(OR(E2541="",E2541="!!!",F2541="NEW"),"",INDEX(B2540:B$2,-1+SUMPRODUCT(MAX(ROW(E2540:E$2)*(E2541=E2540:E$2)))))</f>
        <v> </v>
      </c>
      <c r="J2541" s="25" t="str">
        <f>IF(OR(E2541="",E2541="!!!",F2541="NEW"),"",COUNTBLANK(OFFSET(A$1,,,SUMPRODUCT(MAX(ROW(E$2:E2541)*(E2541=E$2:E2541)))))-COUNTBLANK(OFFSET(A$1,,,SUMPRODUCT(MAX(ROW(E$1:E2540)*(E2=E$1:E2540))))))</f>
        <v> </v>
      </c>
      <c r="K2541" s="25" t="str">
        <f>IF(OR(E2541="",E2541="!!!",F2541="NEW"),"",INDEX(J$1:J2540,SUMPRODUCT(MAX(ROW(E$1:E2540)*(E2541=E$1:E2540)))))</f>
        <v> </v>
      </c>
      <c r="L2541" s="26"/>
    </row>
    <row r="2542" spans="1:12">
      <c r="A2542" s="20" t="s">
        <v>1939</v>
      </c>
      <c r="E2542" s="21">
        <f>IF(D2542="?OLD","!!!","")</f>
        <v/>
      </c>
      <c r="F2542" s="22" t="str">
        <f>IF(OR(E2542="",E2542="!!!"),"",IF(NOT(ISNA(VLOOKUP(E2542,E$1:E2541,1,FALSE()))),"OLD",IF(AND(E2542&lt;&gt;"",E2542&lt;&gt;"!!!"),"NEW","")))</f>
        <v> </v>
      </c>
      <c r="G2542" s="23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4" t="str">
        <f>IF(J2542&lt;&gt;1,"",IF(I2542="SBJ","CB","?"))</f>
        <v> </v>
      </c>
      <c r="I2542" s="25" t="str">
        <f>IF(OR(E2542="",E2542="!!!",F2542="NEW"),"",INDEX(B2541:B$2,-1+SUMPRODUCT(MAX(ROW(E2541:E$2)*(E2542=E2541:E$2)))))</f>
        <v> </v>
      </c>
      <c r="J2542" s="25" t="str">
        <f>IF(OR(E2542="",E2542="!!!",F2542="NEW"),"",COUNTBLANK(OFFSET(A$1,,,SUMPRODUCT(MAX(ROW(E$2:E2542)*(E2542=E$2:E2542)))))-COUNTBLANK(OFFSET(A$1,,,SUMPRODUCT(MAX(ROW(E$1:E2541)*(E2=E$1:E2541))))))</f>
        <v> </v>
      </c>
      <c r="K2542" s="25" t="str">
        <f>IF(OR(E2542="",E2542="!!!",F2542="NEW"),"",INDEX(J$1:J2541,SUMPRODUCT(MAX(ROW(E$1:E2541)*(E2542=E$1:E2541)))))</f>
        <v> </v>
      </c>
      <c r="L2542" s="26"/>
    </row>
    <row r="2543" spans="1:12">
      <c r="A2543" s="20" t="s">
        <v>1499</v>
      </c>
      <c r="E2543" s="21">
        <f>IF(D2543="?OLD","!!!","")</f>
        <v/>
      </c>
      <c r="F2543" s="22" t="str">
        <f>IF(OR(E2543="",E2543="!!!"),"",IF(NOT(ISNA(VLOOKUP(E2543,E$1:E2542,1,FALSE()))),"OLD",IF(AND(E2543&lt;&gt;"",E2543&lt;&gt;"!!!"),"NEW","")))</f>
        <v> </v>
      </c>
      <c r="G2543" s="23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4" t="str">
        <f>IF(J2543&lt;&gt;1,"",IF(I2543="SBJ","CB","?"))</f>
        <v> </v>
      </c>
      <c r="I2543" s="25" t="str">
        <f>IF(OR(E2543="",E2543="!!!",F2543="NEW"),"",INDEX(B2542:B$2,-1+SUMPRODUCT(MAX(ROW(E2542:E$2)*(E2543=E2542:E$2)))))</f>
        <v> </v>
      </c>
      <c r="J2543" s="25" t="str">
        <f>IF(OR(E2543="",E2543="!!!",F2543="NEW"),"",COUNTBLANK(OFFSET(A$1,,,SUMPRODUCT(MAX(ROW(E$2:E2543)*(E2543=E$2:E2543)))))-COUNTBLANK(OFFSET(A$1,,,SUMPRODUCT(MAX(ROW(E$1:E2542)*(E2=E$1:E2542))))))</f>
        <v> </v>
      </c>
      <c r="K2543" s="25" t="str">
        <f>IF(OR(E2543="",E2543="!!!",F2543="NEW"),"",INDEX(J$1:J2542,SUMPRODUCT(MAX(ROW(E$1:E2542)*(E2543=E$1:E2542)))))</f>
        <v> </v>
      </c>
      <c r="L2543" s="26"/>
    </row>
    <row r="2544" spans="1:12">
      <c r="A2544" s="20" t="s">
        <v>135</v>
      </c>
      <c r="E2544" s="21">
        <f>IF(D2544="?OLD","!!!","")</f>
        <v/>
      </c>
      <c r="F2544" s="22" t="str">
        <f>IF(OR(E2544="",E2544="!!!"),"",IF(NOT(ISNA(VLOOKUP(E2544,E$1:E2543,1,FALSE()))),"OLD",IF(AND(E2544&lt;&gt;"",E2544&lt;&gt;"!!!"),"NEW","")))</f>
        <v> </v>
      </c>
      <c r="G2544" s="23" t="str">
        <f>IF(OR(E2544="",E2544="!!!"),"",IF(OR(J2544=0,AND(J2544=1,K2544=1),AND(J2544=1,I2544="SBJ"),AND(J2544=1,I2544=0)),"?IN_FOCUS",IF(J2544&lt;=2,"?ACTIVATED",IF(J2544&lt;&gt;"","?FAMILIAR",IF(F2544="NEW",IF(ISNA(VLOOKUP(E2544,#REF!,1,FALSE())),"?TYPE_IDENTIFIABLE","?REFERENTIAL"),"_")))))</f>
        <v> </v>
      </c>
      <c r="H2544" s="24" t="str">
        <f>IF(J2544&lt;&gt;1,"",IF(I2544="SBJ","CB","?"))</f>
        <v> </v>
      </c>
      <c r="I2544" s="25" t="str">
        <f>IF(OR(E2544="",E2544="!!!",F2544="NEW"),"",INDEX(B2543:B$2,-1+SUMPRODUCT(MAX(ROW(E2543:E$2)*(E2544=E2543:E$2)))))</f>
        <v> </v>
      </c>
      <c r="J2544" s="25" t="str">
        <f>IF(OR(E2544="",E2544="!!!",F2544="NEW"),"",COUNTBLANK(OFFSET(A$1,,,SUMPRODUCT(MAX(ROW(E$2:E2544)*(E2544=E$2:E2544)))))-COUNTBLANK(OFFSET(A$1,,,SUMPRODUCT(MAX(ROW(E$1:E2543)*(E2=E$1:E2543))))))</f>
        <v> </v>
      </c>
      <c r="K2544" s="25" t="str">
        <f>IF(OR(E2544="",E2544="!!!",F2544="NEW"),"",INDEX(J$1:J2543,SUMPRODUCT(MAX(ROW(E$1:E2543)*(E2544=E$1:E2543)))))</f>
        <v> </v>
      </c>
      <c r="L2544" s="26"/>
    </row>
    <row r="2545" spans="1:12">
      <c r="A2545" s="20"/>
    </row>
    <row r="2546" spans="1:12">
      <c r="A2546" s="20" t="s">
        <v>1940</v>
      </c>
    </row>
    <row r="2547" spans="1:12">
      <c r="A2547" s="20" t="s">
        <v>1941</v>
      </c>
      <c r="E2547" s="21">
        <f>IF(D2547="?OLD","!!!","")</f>
        <v/>
      </c>
      <c r="F2547" s="22" t="str">
        <f>IF(OR(E2547="",E2547="!!!"),"",IF(NOT(ISNA(VLOOKUP(E2547,E$1:E2546,1,FALSE()))),"OLD",IF(AND(E2547&lt;&gt;"",E2547&lt;&gt;"!!!"),"NEW","")))</f>
        <v> </v>
      </c>
      <c r="G2547" s="23" t="str">
        <f>IF(OR(E2547="",E2547="!!!"),"",IF(OR(J2547=0,AND(J2547=1,K2547=1),AND(J2547=1,I2547="SBJ"),AND(J2547=1,I2547=0)),"?IN_FOCUS",IF(J2547&lt;=2,"?ACTIVATED",IF(J2547&lt;&gt;"","?FAMILIAR",IF(F2547="NEW",IF(ISNA(VLOOKUP(E2547,#REF!,1,FALSE())),"?TYPE_IDENTIFIABLE","?REFERENTIAL"),"_")))))</f>
        <v> </v>
      </c>
      <c r="H2547" s="24" t="str">
        <f>IF(J2547&lt;&gt;1,"",IF(I2547="SBJ","CB","?"))</f>
        <v> </v>
      </c>
      <c r="I2547" s="25" t="str">
        <f>IF(OR(E2547="",E2547="!!!",F2547="NEW"),"",INDEX(B2546:B$2,-1+SUMPRODUCT(MAX(ROW(E2546:E$2)*(E2547=E2546:E$2)))))</f>
        <v> </v>
      </c>
      <c r="J2547" s="25" t="str">
        <f>IF(OR(E2547="",E2547="!!!",F2547="NEW"),"",COUNTBLANK(OFFSET(A$1,,,SUMPRODUCT(MAX(ROW(E$2:E2547)*(E2547=E$2:E2547)))))-COUNTBLANK(OFFSET(A$1,,,SUMPRODUCT(MAX(ROW(E$1:E2546)*(E2=E$1:E2546))))))</f>
        <v> </v>
      </c>
      <c r="K2547" s="25" t="str">
        <f>IF(OR(E2547="",E2547="!!!",F2547="NEW"),"",INDEX(J$1:J2546,SUMPRODUCT(MAX(ROW(E$1:E2546)*(E2547=E$1:E2546)))))</f>
        <v> </v>
      </c>
      <c r="L2547" s="26"/>
    </row>
    <row r="2548" spans="1:12">
      <c r="A2548" s="20" t="s">
        <v>1071</v>
      </c>
      <c r="E2548" s="21">
        <f>IF(D2548="?OLD","!!!","")</f>
        <v/>
      </c>
      <c r="F2548" s="22" t="str">
        <f>IF(OR(E2548="",E2548="!!!"),"",IF(NOT(ISNA(VLOOKUP(E2548,E$1:E2547,1,FALSE()))),"OLD",IF(AND(E2548&lt;&gt;"",E2548&lt;&gt;"!!!"),"NEW","")))</f>
        <v> </v>
      </c>
      <c r="G2548" s="23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4" t="str">
        <f>IF(J2548&lt;&gt;1,"",IF(I2548="SBJ","CB","?"))</f>
        <v> </v>
      </c>
      <c r="I2548" s="25" t="str">
        <f>IF(OR(E2548="",E2548="!!!",F2548="NEW"),"",INDEX(B2547:B$2,-1+SUMPRODUCT(MAX(ROW(E2547:E$2)*(E2548=E2547:E$2)))))</f>
        <v> </v>
      </c>
      <c r="J2548" s="25" t="str">
        <f>IF(OR(E2548="",E2548="!!!",F2548="NEW"),"",COUNTBLANK(OFFSET(A$1,,,SUMPRODUCT(MAX(ROW(E$2:E2548)*(E2548=E$2:E2548)))))-COUNTBLANK(OFFSET(A$1,,,SUMPRODUCT(MAX(ROW(E$1:E2547)*(E2=E$1:E2547))))))</f>
        <v> </v>
      </c>
      <c r="K2548" s="25" t="str">
        <f>IF(OR(E2548="",E2548="!!!",F2548="NEW"),"",INDEX(J$1:J2547,SUMPRODUCT(MAX(ROW(E$1:E2547)*(E2548=E$1:E2547)))))</f>
        <v> </v>
      </c>
      <c r="L2548" s="26"/>
    </row>
    <row r="2549" spans="1:12">
      <c r="A2549" s="20" t="s">
        <v>1942</v>
      </c>
      <c r="B2549" s="27" t="s">
        <v>1014</v>
      </c>
      <c r="C2549" s="27" t="s">
        <v>1038</v>
      </c>
      <c r="D2549" s="27" t="s">
        <v>1030</v>
      </c>
      <c r="E2549" s="21">
        <f>IF(D2549="?OLD","!!!","")</f>
        <v/>
      </c>
      <c r="F2549" s="22" t="str">
        <f>IF(OR(E2549="",E2549="!!!"),"",IF(NOT(ISNA(VLOOKUP(E2549,E$1:E2548,1,FALSE()))),"OLD",IF(AND(E2549&lt;&gt;"",E2549&lt;&gt;"!!!"),"NEW","")))</f>
        <v> </v>
      </c>
      <c r="G2549" s="23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4" t="str">
        <f>IF(J2549&lt;&gt;1,"",IF(I2549="SBJ","CB","?"))</f>
        <v> </v>
      </c>
      <c r="I2549" s="25" t="str">
        <f>IF(OR(E2549="",E2549="!!!",F2549="NEW"),"",INDEX(B2548:B$2,-1+SUMPRODUCT(MAX(ROW(E2548:E$2)*(E2549=E2548:E$2)))))</f>
        <v> </v>
      </c>
      <c r="J2549" s="25" t="str">
        <f>IF(OR(E2549="",E2549="!!!",F2549="NEW"),"",COUNTBLANK(OFFSET(A$1,,,SUMPRODUCT(MAX(ROW(E$2:E2549)*(E2549=E$2:E2549)))))-COUNTBLANK(OFFSET(A$1,,,SUMPRODUCT(MAX(ROW(E$1:E2548)*(E2=E$1:E2548))))))</f>
        <v> </v>
      </c>
      <c r="K2549" s="25" t="str">
        <f>IF(OR(E2549="",E2549="!!!",F2549="NEW"),"",INDEX(J$1:J2548,SUMPRODUCT(MAX(ROW(E$1:E2548)*(E2549=E$1:E2548)))))</f>
        <v> </v>
      </c>
      <c r="L2549" s="26"/>
    </row>
    <row r="2550" spans="1:12">
      <c r="A2550" s="20" t="s">
        <v>1188</v>
      </c>
      <c r="E2550" s="21">
        <f>IF(D2550="?OLD","!!!","")</f>
        <v/>
      </c>
      <c r="F2550" s="22" t="str">
        <f>IF(OR(E2550="",E2550="!!!"),"",IF(NOT(ISNA(VLOOKUP(E2550,E$1:E2549,1,FALSE()))),"OLD",IF(AND(E2550&lt;&gt;"",E2550&lt;&gt;"!!!"),"NEW","")))</f>
        <v> </v>
      </c>
      <c r="G2550" s="23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4" t="str">
        <f>IF(J2550&lt;&gt;1,"",IF(I2550="SBJ","CB","?"))</f>
        <v> </v>
      </c>
      <c r="I2550" s="25" t="str">
        <f>IF(OR(E2550="",E2550="!!!",F2550="NEW"),"",INDEX(B2549:B$2,-1+SUMPRODUCT(MAX(ROW(E2549:E$2)*(E2550=E2549:E$2)))))</f>
        <v> </v>
      </c>
      <c r="J2550" s="25" t="str">
        <f>IF(OR(E2550="",E2550="!!!",F2550="NEW"),"",COUNTBLANK(OFFSET(A$1,,,SUMPRODUCT(MAX(ROW(E$2:E2550)*(E2550=E$2:E2550)))))-COUNTBLANK(OFFSET(A$1,,,SUMPRODUCT(MAX(ROW(E$1:E2549)*(E2=E$1:E2549))))))</f>
        <v> </v>
      </c>
      <c r="K2550" s="25" t="str">
        <f>IF(OR(E2550="",E2550="!!!",F2550="NEW"),"",INDEX(J$1:J2549,SUMPRODUCT(MAX(ROW(E$1:E2549)*(E2550=E$1:E2549)))))</f>
        <v> </v>
      </c>
      <c r="L2550" s="26"/>
    </row>
    <row r="2551" spans="1:12">
      <c r="A2551" s="20" t="s">
        <v>1943</v>
      </c>
      <c r="E2551" s="21">
        <f>IF(D2551="?OLD","!!!","")</f>
        <v/>
      </c>
      <c r="F2551" s="22" t="str">
        <f>IF(OR(E2551="",E2551="!!!"),"",IF(NOT(ISNA(VLOOKUP(E2551,E$1:E2550,1,FALSE()))),"OLD",IF(AND(E2551&lt;&gt;"",E2551&lt;&gt;"!!!"),"NEW","")))</f>
        <v> </v>
      </c>
      <c r="G2551" s="23" t="str">
        <f>IF(OR(E2551="",E2551="!!!"),"",IF(OR(J2551=0,AND(J2551=1,K2551=1),AND(J2551=1,I2551="SBJ"),AND(J2551=1,I2551=0)),"?IN_FOCUS",IF(J2551&lt;=2,"?ACTIVATED",IF(J2551&lt;&gt;"","?FAMILIAR",IF(F2551="NEW",IF(ISNA(VLOOKUP(E2551,#REF!,1,FALSE())),"?TYPE_IDENTIFIABLE","?REFERENTIAL"),"_")))))</f>
        <v> </v>
      </c>
      <c r="H2551" s="24" t="str">
        <f>IF(J2551&lt;&gt;1,"",IF(I2551="SBJ","CB","?"))</f>
        <v> </v>
      </c>
      <c r="I2551" s="25" t="str">
        <f>IF(OR(E2551="",E2551="!!!",F2551="NEW"),"",INDEX(B2550:B$2,-1+SUMPRODUCT(MAX(ROW(E2550:E$2)*(E2551=E2550:E$2)))))</f>
        <v> </v>
      </c>
      <c r="J2551" s="25" t="str">
        <f>IF(OR(E2551="",E2551="!!!",F2551="NEW"),"",COUNTBLANK(OFFSET(A$1,,,SUMPRODUCT(MAX(ROW(E$2:E2551)*(E2551=E$2:E2551)))))-COUNTBLANK(OFFSET(A$1,,,SUMPRODUCT(MAX(ROW(E$1:E2550)*(E2=E$1:E2550))))))</f>
        <v> </v>
      </c>
      <c r="K2551" s="25" t="str">
        <f>IF(OR(E2551="",E2551="!!!",F2551="NEW"),"",INDEX(J$1:J2550,SUMPRODUCT(MAX(ROW(E$1:E2550)*(E2551=E$1:E2550)))))</f>
        <v> </v>
      </c>
      <c r="L2551" s="26"/>
    </row>
    <row r="2552" spans="1:12">
      <c r="A2552" s="20" t="s">
        <v>135</v>
      </c>
      <c r="E2552" s="21">
        <f>IF(D2552="?OLD","!!!","")</f>
        <v/>
      </c>
      <c r="F2552" s="22" t="str">
        <f>IF(OR(E2552="",E2552="!!!"),"",IF(NOT(ISNA(VLOOKUP(E2552,E$1:E2551,1,FALSE()))),"OLD",IF(AND(E2552&lt;&gt;"",E2552&lt;&gt;"!!!"),"NEW","")))</f>
        <v> </v>
      </c>
      <c r="G2552" s="23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4" t="str">
        <f>IF(J2552&lt;&gt;1,"",IF(I2552="SBJ","CB","?"))</f>
        <v> </v>
      </c>
      <c r="I2552" s="25" t="str">
        <f>IF(OR(E2552="",E2552="!!!",F2552="NEW"),"",INDEX(B2551:B$2,-1+SUMPRODUCT(MAX(ROW(E2551:E$2)*(E2552=E2551:E$2)))))</f>
        <v> </v>
      </c>
      <c r="J2552" s="25" t="str">
        <f>IF(OR(E2552="",E2552="!!!",F2552="NEW"),"",COUNTBLANK(OFFSET(A$1,,,SUMPRODUCT(MAX(ROW(E$2:E2552)*(E2552=E$2:E2552)))))-COUNTBLANK(OFFSET(A$1,,,SUMPRODUCT(MAX(ROW(E$1:E2551)*(E2=E$1:E2551))))))</f>
        <v> </v>
      </c>
      <c r="K2552" s="25" t="str">
        <f>IF(OR(E2552="",E2552="!!!",F2552="NEW"),"",INDEX(J$1:J2551,SUMPRODUCT(MAX(ROW(E$1:E2551)*(E2552=E$1:E2551)))))</f>
        <v> </v>
      </c>
      <c r="L2552" s="26"/>
    </row>
    <row r="2553" spans="1:12">
      <c r="A2553" s="20"/>
    </row>
    <row r="2554" spans="1:12">
      <c r="A2554" s="20" t="s">
        <v>1944</v>
      </c>
    </row>
    <row r="2555" spans="1:12">
      <c r="A2555" s="20" t="s">
        <v>1945</v>
      </c>
      <c r="E2555" s="21">
        <f>IF(D2555="?OLD","!!!","")</f>
        <v/>
      </c>
      <c r="F2555" s="22" t="str">
        <f>IF(OR(E2555="",E2555="!!!"),"",IF(NOT(ISNA(VLOOKUP(E2555,E$1:E2554,1,FALSE()))),"OLD",IF(AND(E2555&lt;&gt;"",E2555&lt;&gt;"!!!"),"NEW","")))</f>
        <v> </v>
      </c>
      <c r="G2555" s="23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4" t="str">
        <f>IF(J2555&lt;&gt;1,"",IF(I2555="SBJ","CB","?"))</f>
        <v> </v>
      </c>
      <c r="I2555" s="25" t="str">
        <f>IF(OR(E2555="",E2555="!!!",F2555="NEW"),"",INDEX(B2554:B$2,-1+SUMPRODUCT(MAX(ROW(E2554:E$2)*(E2555=E2554:E$2)))))</f>
        <v> </v>
      </c>
      <c r="J2555" s="25" t="str">
        <f>IF(OR(E2555="",E2555="!!!",F2555="NEW"),"",COUNTBLANK(OFFSET(A$1,,,SUMPRODUCT(MAX(ROW(E$2:E2555)*(E2555=E$2:E2555)))))-COUNTBLANK(OFFSET(A$1,,,SUMPRODUCT(MAX(ROW(E$1:E2554)*(E2=E$1:E2554))))))</f>
        <v> </v>
      </c>
      <c r="K2555" s="25" t="str">
        <f>IF(OR(E2555="",E2555="!!!",F2555="NEW"),"",INDEX(J$1:J2554,SUMPRODUCT(MAX(ROW(E$1:E2554)*(E2555=E$1:E2554)))))</f>
        <v> </v>
      </c>
      <c r="L2555" s="26"/>
    </row>
    <row r="2556" spans="1:12">
      <c r="A2556" s="20" t="s">
        <v>1016</v>
      </c>
      <c r="E2556" s="21">
        <f>IF(D2556="?OLD","!!!","")</f>
        <v/>
      </c>
      <c r="F2556" s="22" t="str">
        <f>IF(OR(E2556="",E2556="!!!"),"",IF(NOT(ISNA(VLOOKUP(E2556,E$1:E2555,1,FALSE()))),"OLD",IF(AND(E2556&lt;&gt;"",E2556&lt;&gt;"!!!"),"NEW","")))</f>
        <v> </v>
      </c>
      <c r="G2556" s="23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4" t="str">
        <f>IF(J2556&lt;&gt;1,"",IF(I2556="SBJ","CB","?"))</f>
        <v> </v>
      </c>
      <c r="I2556" s="25" t="str">
        <f>IF(OR(E2556="",E2556="!!!",F2556="NEW"),"",INDEX(B2555:B$2,-1+SUMPRODUCT(MAX(ROW(E2555:E$2)*(E2556=E2555:E$2)))))</f>
        <v> </v>
      </c>
      <c r="J2556" s="25" t="str">
        <f>IF(OR(E2556="",E2556="!!!",F2556="NEW"),"",COUNTBLANK(OFFSET(A$1,,,SUMPRODUCT(MAX(ROW(E$2:E2556)*(E2556=E$2:E2556)))))-COUNTBLANK(OFFSET(A$1,,,SUMPRODUCT(MAX(ROW(E$1:E2555)*(E2=E$1:E2555))))))</f>
        <v> </v>
      </c>
      <c r="K2556" s="25" t="str">
        <f>IF(OR(E2556="",E2556="!!!",F2556="NEW"),"",INDEX(J$1:J2555,SUMPRODUCT(MAX(ROW(E$1:E2555)*(E2556=E$1:E2555)))))</f>
        <v> </v>
      </c>
      <c r="L2556" s="26"/>
    </row>
    <row r="2557" spans="1:12">
      <c r="A2557" s="20" t="s">
        <v>1132</v>
      </c>
      <c r="B2557" s="27" t="s">
        <v>1045</v>
      </c>
      <c r="C2557" s="27" t="s">
        <v>1140</v>
      </c>
      <c r="D2557" s="27" t="s">
        <v>1030</v>
      </c>
      <c r="E2557" s="21">
        <f>IF(D2557="?OLD","!!!","")</f>
        <v/>
      </c>
      <c r="F2557" s="22" t="str">
        <f>IF(OR(E2557="",E2557="!!!"),"",IF(NOT(ISNA(VLOOKUP(E2557,E$1:E2556,1,FALSE()))),"OLD",IF(AND(E2557&lt;&gt;"",E2557&lt;&gt;"!!!"),"NEW","")))</f>
        <v> </v>
      </c>
      <c r="G2557" s="23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4" t="str">
        <f>IF(J2557&lt;&gt;1,"",IF(I2557="SBJ","CB","?"))</f>
        <v> </v>
      </c>
      <c r="I2557" s="25" t="str">
        <f>IF(OR(E2557="",E2557="!!!",F2557="NEW"),"",INDEX(B2556:B$2,-1+SUMPRODUCT(MAX(ROW(E2556:E$2)*(E2557=E2556:E$2)))))</f>
        <v> </v>
      </c>
      <c r="J2557" s="25" t="str">
        <f>IF(OR(E2557="",E2557="!!!",F2557="NEW"),"",COUNTBLANK(OFFSET(A$1,,,SUMPRODUCT(MAX(ROW(E$2:E2557)*(E2557=E$2:E2557)))))-COUNTBLANK(OFFSET(A$1,,,SUMPRODUCT(MAX(ROW(E$1:E2556)*(E2=E$1:E2556))))))</f>
        <v> </v>
      </c>
      <c r="K2557" s="25" t="str">
        <f>IF(OR(E2557="",E2557="!!!",F2557="NEW"),"",INDEX(J$1:J2556,SUMPRODUCT(MAX(ROW(E$1:E2556)*(E2557=E$1:E2556)))))</f>
        <v> </v>
      </c>
      <c r="L2557" s="26"/>
    </row>
    <row r="2558" spans="1:12">
      <c r="A2558" s="20" t="s">
        <v>1057</v>
      </c>
      <c r="E2558" s="21">
        <f>IF(D2558="?OLD","!!!","")</f>
        <v/>
      </c>
      <c r="F2558" s="22" t="str">
        <f>IF(OR(E2558="",E2558="!!!"),"",IF(NOT(ISNA(VLOOKUP(E2558,E$1:E2557,1,FALSE()))),"OLD",IF(AND(E2558&lt;&gt;"",E2558&lt;&gt;"!!!"),"NEW","")))</f>
        <v> </v>
      </c>
      <c r="G2558" s="23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4" t="str">
        <f>IF(J2558&lt;&gt;1,"",IF(I2558="SBJ","CB","?"))</f>
        <v> </v>
      </c>
      <c r="I2558" s="25" t="str">
        <f>IF(OR(E2558="",E2558="!!!",F2558="NEW"),"",INDEX(B2557:B$2,-1+SUMPRODUCT(MAX(ROW(E2557:E$2)*(E2558=E2557:E$2)))))</f>
        <v> </v>
      </c>
      <c r="J2558" s="25" t="str">
        <f>IF(OR(E2558="",E2558="!!!",F2558="NEW"),"",COUNTBLANK(OFFSET(A$1,,,SUMPRODUCT(MAX(ROW(E$2:E2558)*(E2558=E$2:E2558)))))-COUNTBLANK(OFFSET(A$1,,,SUMPRODUCT(MAX(ROW(E$1:E2557)*(E2=E$1:E2557))))))</f>
        <v> </v>
      </c>
      <c r="K2558" s="25" t="str">
        <f>IF(OR(E2558="",E2558="!!!",F2558="NEW"),"",INDEX(J$1:J2557,SUMPRODUCT(MAX(ROW(E$1:E2557)*(E2558=E$1:E2557)))))</f>
        <v> </v>
      </c>
      <c r="L2558" s="26"/>
    </row>
    <row r="2559" spans="1:12">
      <c r="A2559" s="20" t="s">
        <v>1413</v>
      </c>
      <c r="E2559" s="21">
        <f>IF(D2559="?OLD","!!!","")</f>
        <v/>
      </c>
      <c r="F2559" s="22" t="str">
        <f>IF(OR(E2559="",E2559="!!!"),"",IF(NOT(ISNA(VLOOKUP(E2559,E$1:E2558,1,FALSE()))),"OLD",IF(AND(E2559&lt;&gt;"",E2559&lt;&gt;"!!!"),"NEW","")))</f>
        <v> </v>
      </c>
      <c r="G2559" s="23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4" t="str">
        <f>IF(J2559&lt;&gt;1,"",IF(I2559="SBJ","CB","?"))</f>
        <v> </v>
      </c>
      <c r="I2559" s="25" t="str">
        <f>IF(OR(E2559="",E2559="!!!",F2559="NEW"),"",INDEX(B2558:B$2,-1+SUMPRODUCT(MAX(ROW(E2558:E$2)*(E2559=E2558:E$2)))))</f>
        <v> </v>
      </c>
      <c r="J2559" s="25" t="str">
        <f>IF(OR(E2559="",E2559="!!!",F2559="NEW"),"",COUNTBLANK(OFFSET(A$1,,,SUMPRODUCT(MAX(ROW(E$2:E2559)*(E2559=E$2:E2559)))))-COUNTBLANK(OFFSET(A$1,,,SUMPRODUCT(MAX(ROW(E$1:E2558)*(E2=E$1:E2558))))))</f>
        <v> </v>
      </c>
      <c r="K2559" s="25" t="str">
        <f>IF(OR(E2559="",E2559="!!!",F2559="NEW"),"",INDEX(J$1:J2558,SUMPRODUCT(MAX(ROW(E$1:E2558)*(E2559=E$1:E2558)))))</f>
        <v> </v>
      </c>
      <c r="L2559" s="26"/>
    </row>
    <row r="2560" spans="1:12">
      <c r="A2560" s="20" t="s">
        <v>1022</v>
      </c>
      <c r="E2560" s="21">
        <f>IF(D2560="?OLD","!!!","")</f>
        <v/>
      </c>
      <c r="F2560" s="22" t="str">
        <f>IF(OR(E2560="",E2560="!!!"),"",IF(NOT(ISNA(VLOOKUP(E2560,E$1:E2559,1,FALSE()))),"OLD",IF(AND(E2560&lt;&gt;"",E2560&lt;&gt;"!!!"),"NEW","")))</f>
        <v> </v>
      </c>
      <c r="G2560" s="23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4" t="str">
        <f>IF(J2560&lt;&gt;1,"",IF(I2560="SBJ","CB","?"))</f>
        <v> </v>
      </c>
      <c r="I2560" s="25" t="str">
        <f>IF(OR(E2560="",E2560="!!!",F2560="NEW"),"",INDEX(B2559:B$2,-1+SUMPRODUCT(MAX(ROW(E2559:E$2)*(E2560=E2559:E$2)))))</f>
        <v> </v>
      </c>
      <c r="J2560" s="25" t="str">
        <f>IF(OR(E2560="",E2560="!!!",F2560="NEW"),"",COUNTBLANK(OFFSET(A$1,,,SUMPRODUCT(MAX(ROW(E$2:E2560)*(E2560=E$2:E2560)))))-COUNTBLANK(OFFSET(A$1,,,SUMPRODUCT(MAX(ROW(E$1:E2559)*(E2=E$1:E2559))))))</f>
        <v> </v>
      </c>
      <c r="K2560" s="25" t="str">
        <f>IF(OR(E2560="",E2560="!!!",F2560="NEW"),"",INDEX(J$1:J2559,SUMPRODUCT(MAX(ROW(E$1:E2559)*(E2560=E$1:E2559)))))</f>
        <v> </v>
      </c>
      <c r="L2560" s="26"/>
    </row>
    <row r="2561" spans="1:12">
      <c r="A2561" s="20" t="s">
        <v>1749</v>
      </c>
      <c r="E2561" s="21">
        <f>IF(D2561="?OLD","!!!","")</f>
        <v/>
      </c>
      <c r="F2561" s="22" t="str">
        <f>IF(OR(E2561="",E2561="!!!"),"",IF(NOT(ISNA(VLOOKUP(E2561,E$1:E2560,1,FALSE()))),"OLD",IF(AND(E2561&lt;&gt;"",E2561&lt;&gt;"!!!"),"NEW","")))</f>
        <v> </v>
      </c>
      <c r="G2561" s="23" t="str">
        <f>IF(OR(E2561="",E2561="!!!"),"",IF(OR(J2561=0,AND(J2561=1,K2561=1),AND(J2561=1,I2561="SBJ"),AND(J2561=1,I2561=0)),"?IN_FOCUS",IF(J2561&lt;=2,"?ACTIVATED",IF(J2561&lt;&gt;"","?FAMILIAR",IF(F2561="NEW",IF(ISNA(VLOOKUP(E2561,#REF!,1,FALSE())),"?TYPE_IDENTIFIABLE","?REFERENTIAL"),"_")))))</f>
        <v> </v>
      </c>
      <c r="H2561" s="24" t="str">
        <f>IF(J2561&lt;&gt;1,"",IF(I2561="SBJ","CB","?"))</f>
        <v> </v>
      </c>
      <c r="I2561" s="25" t="str">
        <f>IF(OR(E2561="",E2561="!!!",F2561="NEW"),"",INDEX(B2560:B$2,-1+SUMPRODUCT(MAX(ROW(E2560:E$2)*(E2561=E2560:E$2)))))</f>
        <v> </v>
      </c>
      <c r="J2561" s="25" t="str">
        <f>IF(OR(E2561="",E2561="!!!",F2561="NEW"),"",COUNTBLANK(OFFSET(A$1,,,SUMPRODUCT(MAX(ROW(E$2:E2561)*(E2561=E$2:E2561)))))-COUNTBLANK(OFFSET(A$1,,,SUMPRODUCT(MAX(ROW(E$1:E2560)*(E2=E$1:E2560))))))</f>
        <v> </v>
      </c>
      <c r="K2561" s="25" t="str">
        <f>IF(OR(E2561="",E2561="!!!",F2561="NEW"),"",INDEX(J$1:J2560,SUMPRODUCT(MAX(ROW(E$1:E2560)*(E2561=E$1:E2560)))))</f>
        <v> </v>
      </c>
      <c r="L2561" s="26"/>
    </row>
    <row r="2562" spans="1:12">
      <c r="A2562" s="20" t="s">
        <v>1159</v>
      </c>
      <c r="E2562" s="21">
        <f>IF(D2562="?OLD","!!!","")</f>
        <v/>
      </c>
      <c r="F2562" s="22" t="str">
        <f>IF(OR(E2562="",E2562="!!!"),"",IF(NOT(ISNA(VLOOKUP(E2562,E$1:E2561,1,FALSE()))),"OLD",IF(AND(E2562&lt;&gt;"",E2562&lt;&gt;"!!!"),"NEW","")))</f>
        <v> </v>
      </c>
      <c r="G2562" s="23" t="str">
        <f>IF(OR(E2562="",E2562="!!!"),"",IF(OR(J2562=0,AND(J2562=1,K2562=1),AND(J2562=1,I2562="SBJ"),AND(J2562=1,I2562=0)),"?IN_FOCUS",IF(J2562&lt;=2,"?ACTIVATED",IF(J2562&lt;&gt;"","?FAMILIAR",IF(F2562="NEW",IF(ISNA(VLOOKUP(E2562,#REF!,1,FALSE())),"?TYPE_IDENTIFIABLE","?REFERENTIAL"),"_")))))</f>
        <v> </v>
      </c>
      <c r="H2562" s="24" t="str">
        <f>IF(J2562&lt;&gt;1,"",IF(I2562="SBJ","CB","?"))</f>
        <v> </v>
      </c>
      <c r="I2562" s="25" t="str">
        <f>IF(OR(E2562="",E2562="!!!",F2562="NEW"),"",INDEX(B2561:B$2,-1+SUMPRODUCT(MAX(ROW(E2561:E$2)*(E2562=E2561:E$2)))))</f>
        <v> </v>
      </c>
      <c r="J2562" s="25" t="str">
        <f>IF(OR(E2562="",E2562="!!!",F2562="NEW"),"",COUNTBLANK(OFFSET(A$1,,,SUMPRODUCT(MAX(ROW(E$2:E2562)*(E2562=E$2:E2562)))))-COUNTBLANK(OFFSET(A$1,,,SUMPRODUCT(MAX(ROW(E$1:E2561)*(E2=E$1:E2561))))))</f>
        <v> </v>
      </c>
      <c r="K2562" s="25" t="str">
        <f>IF(OR(E2562="",E2562="!!!",F2562="NEW"),"",INDEX(J$1:J2561,SUMPRODUCT(MAX(ROW(E$1:E2561)*(E2562=E$1:E2561)))))</f>
        <v> </v>
      </c>
      <c r="L2562" s="26"/>
    </row>
    <row r="2563" spans="1:12">
      <c r="A2563" s="20" t="s">
        <v>135</v>
      </c>
      <c r="E2563" s="21">
        <f>IF(D2563="?OLD","!!!","")</f>
        <v/>
      </c>
      <c r="F2563" s="22" t="str">
        <f>IF(OR(E2563="",E2563="!!!"),"",IF(NOT(ISNA(VLOOKUP(E2563,E$1:E2562,1,FALSE()))),"OLD",IF(AND(E2563&lt;&gt;"",E2563&lt;&gt;"!!!"),"NEW","")))</f>
        <v> </v>
      </c>
      <c r="G2563" s="23" t="str">
        <f>IF(OR(E2563="",E2563="!!!"),"",IF(OR(J2563=0,AND(J2563=1,K2563=1),AND(J2563=1,I2563="SBJ"),AND(J2563=1,I2563=0)),"?IN_FOCUS",IF(J2563&lt;=2,"?ACTIVATED",IF(J2563&lt;&gt;"","?FAMILIAR",IF(F2563="NEW",IF(ISNA(VLOOKUP(E2563,#REF!,1,FALSE())),"?TYPE_IDENTIFIABLE","?REFERENTIAL"),"_")))))</f>
        <v> </v>
      </c>
      <c r="H2563" s="24" t="str">
        <f>IF(J2563&lt;&gt;1,"",IF(I2563="SBJ","CB","?"))</f>
        <v> </v>
      </c>
      <c r="I2563" s="25" t="str">
        <f>IF(OR(E2563="",E2563="!!!",F2563="NEW"),"",INDEX(B2562:B$2,-1+SUMPRODUCT(MAX(ROW(E2562:E$2)*(E2563=E2562:E$2)))))</f>
        <v> </v>
      </c>
      <c r="J2563" s="25" t="str">
        <f>IF(OR(E2563="",E2563="!!!",F2563="NEW"),"",COUNTBLANK(OFFSET(A$1,,,SUMPRODUCT(MAX(ROW(E$2:E2563)*(E2563=E$2:E2563)))))-COUNTBLANK(OFFSET(A$1,,,SUMPRODUCT(MAX(ROW(E$1:E2562)*(E2=E$1:E2562))))))</f>
        <v> </v>
      </c>
      <c r="K2563" s="25" t="str">
        <f>IF(OR(E2563="",E2563="!!!",F2563="NEW"),"",INDEX(J$1:J2562,SUMPRODUCT(MAX(ROW(E$1:E2562)*(E2563=E$1:E2562)))))</f>
        <v> </v>
      </c>
      <c r="L2563" s="26"/>
    </row>
    <row r="2564" spans="1:12">
      <c r="A2564" s="20"/>
    </row>
    <row r="2565" spans="1:12">
      <c r="A2565" s="20" t="s">
        <v>1946</v>
      </c>
    </row>
    <row r="2566" spans="1:12">
      <c r="A2566" s="20" t="s">
        <v>1118</v>
      </c>
      <c r="E2566" s="21">
        <f>IF(D2566="?OLD","!!!","")</f>
        <v/>
      </c>
      <c r="F2566" s="22" t="str">
        <f>IF(OR(E2566="",E2566="!!!"),"",IF(NOT(ISNA(VLOOKUP(E2566,E$1:E2565,1,FALSE()))),"OLD",IF(AND(E2566&lt;&gt;"",E2566&lt;&gt;"!!!"),"NEW","")))</f>
        <v> </v>
      </c>
      <c r="G2566" s="23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4" t="str">
        <f>IF(J2566&lt;&gt;1,"",IF(I2566="SBJ","CB","?"))</f>
        <v> </v>
      </c>
      <c r="I2566" s="25" t="str">
        <f>IF(OR(E2566="",E2566="!!!",F2566="NEW"),"",INDEX(B2565:B$2,-1+SUMPRODUCT(MAX(ROW(E2565:E$2)*(E2566=E2565:E$2)))))</f>
        <v> </v>
      </c>
      <c r="J2566" s="25" t="str">
        <f>IF(OR(E2566="",E2566="!!!",F2566="NEW"),"",COUNTBLANK(OFFSET(A$1,,,SUMPRODUCT(MAX(ROW(E$2:E2566)*(E2566=E$2:E2566)))))-COUNTBLANK(OFFSET(A$1,,,SUMPRODUCT(MAX(ROW(E$1:E2565)*(E2=E$1:E2565))))))</f>
        <v> </v>
      </c>
      <c r="K2566" s="25" t="str">
        <f>IF(OR(E2566="",E2566="!!!",F2566="NEW"),"",INDEX(J$1:J2565,SUMPRODUCT(MAX(ROW(E$1:E2565)*(E2566=E$1:E2565)))))</f>
        <v> </v>
      </c>
      <c r="L2566" s="26"/>
    </row>
    <row r="2567" spans="1:12">
      <c r="A2567" s="20" t="s">
        <v>1304</v>
      </c>
      <c r="E2567" s="21">
        <f>IF(D2567="?OLD","!!!","")</f>
        <v/>
      </c>
      <c r="F2567" s="22" t="str">
        <f>IF(OR(E2567="",E2567="!!!"),"",IF(NOT(ISNA(VLOOKUP(E2567,E$1:E2566,1,FALSE()))),"OLD",IF(AND(E2567&lt;&gt;"",E2567&lt;&gt;"!!!"),"NEW","")))</f>
        <v> </v>
      </c>
      <c r="G2567" s="23" t="str">
        <f>IF(OR(E2567="",E2567="!!!"),"",IF(OR(J2567=0,AND(J2567=1,K2567=1),AND(J2567=1,I2567="SBJ"),AND(J2567=1,I2567=0)),"?IN_FOCUS",IF(J2567&lt;=2,"?ACTIVATED",IF(J2567&lt;&gt;"","?FAMILIAR",IF(F2567="NEW",IF(ISNA(VLOOKUP(E2567,#REF!,1,FALSE())),"?TYPE_IDENTIFIABLE","?REFERENTIAL"),"_")))))</f>
        <v> </v>
      </c>
      <c r="H2567" s="24" t="str">
        <f>IF(J2567&lt;&gt;1,"",IF(I2567="SBJ","CB","?"))</f>
        <v> </v>
      </c>
      <c r="I2567" s="25" t="str">
        <f>IF(OR(E2567="",E2567="!!!",F2567="NEW"),"",INDEX(B2566:B$2,-1+SUMPRODUCT(MAX(ROW(E2566:E$2)*(E2567=E2566:E$2)))))</f>
        <v> </v>
      </c>
      <c r="J2567" s="25" t="str">
        <f>IF(OR(E2567="",E2567="!!!",F2567="NEW"),"",COUNTBLANK(OFFSET(A$1,,,SUMPRODUCT(MAX(ROW(E$2:E2567)*(E2567=E$2:E2567)))))-COUNTBLANK(OFFSET(A$1,,,SUMPRODUCT(MAX(ROW(E$1:E2566)*(E2=E$1:E2566))))))</f>
        <v> </v>
      </c>
      <c r="K2567" s="25" t="str">
        <f>IF(OR(E2567="",E2567="!!!",F2567="NEW"),"",INDEX(J$1:J2566,SUMPRODUCT(MAX(ROW(E$1:E2566)*(E2567=E$1:E2566)))))</f>
        <v> </v>
      </c>
      <c r="L2567" s="26"/>
    </row>
    <row r="2568" spans="1:12">
      <c r="A2568" s="20" t="s">
        <v>1535</v>
      </c>
      <c r="E2568" s="21">
        <f>IF(D2568="?OLD","!!!","")</f>
        <v/>
      </c>
      <c r="F2568" s="22" t="str">
        <f>IF(OR(E2568="",E2568="!!!"),"",IF(NOT(ISNA(VLOOKUP(E2568,E$1:E2567,1,FALSE()))),"OLD",IF(AND(E2568&lt;&gt;"",E2568&lt;&gt;"!!!"),"NEW","")))</f>
        <v> </v>
      </c>
      <c r="G2568" s="23" t="str">
        <f>IF(OR(E2568="",E2568="!!!"),"",IF(OR(J2568=0,AND(J2568=1,K2568=1),AND(J2568=1,I2568="SBJ"),AND(J2568=1,I2568=0)),"?IN_FOCUS",IF(J2568&lt;=2,"?ACTIVATED",IF(J2568&lt;&gt;"","?FAMILIAR",IF(F2568="NEW",IF(ISNA(VLOOKUP(E2568,#REF!,1,FALSE())),"?TYPE_IDENTIFIABLE","?REFERENTIAL"),"_")))))</f>
        <v> </v>
      </c>
      <c r="H2568" s="24" t="str">
        <f>IF(J2568&lt;&gt;1,"",IF(I2568="SBJ","CB","?"))</f>
        <v> </v>
      </c>
      <c r="I2568" s="25" t="str">
        <f>IF(OR(E2568="",E2568="!!!",F2568="NEW"),"",INDEX(B2567:B$2,-1+SUMPRODUCT(MAX(ROW(E2567:E$2)*(E2568=E2567:E$2)))))</f>
        <v> </v>
      </c>
      <c r="J2568" s="25" t="str">
        <f>IF(OR(E2568="",E2568="!!!",F2568="NEW"),"",COUNTBLANK(OFFSET(A$1,,,SUMPRODUCT(MAX(ROW(E$2:E2568)*(E2568=E$2:E2568)))))-COUNTBLANK(OFFSET(A$1,,,SUMPRODUCT(MAX(ROW(E$1:E2567)*(E2=E$1:E2567))))))</f>
        <v> </v>
      </c>
      <c r="K2568" s="25" t="str">
        <f>IF(OR(E2568="",E2568="!!!",F2568="NEW"),"",INDEX(J$1:J2567,SUMPRODUCT(MAX(ROW(E$1:E2567)*(E2568=E$1:E2567)))))</f>
        <v> </v>
      </c>
      <c r="L2568" s="26"/>
    </row>
    <row r="2569" spans="1:12">
      <c r="A2569" s="20" t="s">
        <v>1022</v>
      </c>
      <c r="E2569" s="21">
        <f>IF(D2569="?OLD","!!!","")</f>
        <v/>
      </c>
      <c r="F2569" s="22" t="str">
        <f>IF(OR(E2569="",E2569="!!!"),"",IF(NOT(ISNA(VLOOKUP(E2569,E$1:E2568,1,FALSE()))),"OLD",IF(AND(E2569&lt;&gt;"",E2569&lt;&gt;"!!!"),"NEW","")))</f>
        <v> </v>
      </c>
      <c r="G2569" s="23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4" t="str">
        <f>IF(J2569&lt;&gt;1,"",IF(I2569="SBJ","CB","?"))</f>
        <v> </v>
      </c>
      <c r="I2569" s="25" t="str">
        <f>IF(OR(E2569="",E2569="!!!",F2569="NEW"),"",INDEX(B2568:B$2,-1+SUMPRODUCT(MAX(ROW(E2568:E$2)*(E2569=E2568:E$2)))))</f>
        <v> </v>
      </c>
      <c r="J2569" s="25" t="str">
        <f>IF(OR(E2569="",E2569="!!!",F2569="NEW"),"",COUNTBLANK(OFFSET(A$1,,,SUMPRODUCT(MAX(ROW(E$2:E2569)*(E2569=E$2:E2569)))))-COUNTBLANK(OFFSET(A$1,,,SUMPRODUCT(MAX(ROW(E$1:E2568)*(E2=E$1:E2568))))))</f>
        <v> </v>
      </c>
      <c r="K2569" s="25" t="str">
        <f>IF(OR(E2569="",E2569="!!!",F2569="NEW"),"",INDEX(J$1:J2568,SUMPRODUCT(MAX(ROW(E$1:E2568)*(E2569=E$1:E2568)))))</f>
        <v> </v>
      </c>
      <c r="L2569" s="26"/>
    </row>
    <row r="2570" spans="1:12">
      <c r="A2570" s="20" t="s">
        <v>1947</v>
      </c>
      <c r="E2570" s="21">
        <f>IF(D2570="?OLD","!!!","")</f>
        <v/>
      </c>
      <c r="F2570" s="22" t="str">
        <f>IF(OR(E2570="",E2570="!!!"),"",IF(NOT(ISNA(VLOOKUP(E2570,E$1:E2569,1,FALSE()))),"OLD",IF(AND(E2570&lt;&gt;"",E2570&lt;&gt;"!!!"),"NEW","")))</f>
        <v> </v>
      </c>
      <c r="G2570" s="23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4" t="str">
        <f>IF(J2570&lt;&gt;1,"",IF(I2570="SBJ","CB","?"))</f>
        <v> </v>
      </c>
      <c r="I2570" s="25" t="str">
        <f>IF(OR(E2570="",E2570="!!!",F2570="NEW"),"",INDEX(B2569:B$2,-1+SUMPRODUCT(MAX(ROW(E2569:E$2)*(E2570=E2569:E$2)))))</f>
        <v> </v>
      </c>
      <c r="J2570" s="25" t="str">
        <f>IF(OR(E2570="",E2570="!!!",F2570="NEW"),"",COUNTBLANK(OFFSET(A$1,,,SUMPRODUCT(MAX(ROW(E$2:E2570)*(E2570=E$2:E2570)))))-COUNTBLANK(OFFSET(A$1,,,SUMPRODUCT(MAX(ROW(E$1:E2569)*(E2=E$1:E2569))))))</f>
        <v> </v>
      </c>
      <c r="K2570" s="25" t="str">
        <f>IF(OR(E2570="",E2570="!!!",F2570="NEW"),"",INDEX(J$1:J2569,SUMPRODUCT(MAX(ROW(E$1:E2569)*(E2570=E$1:E2569)))))</f>
        <v> </v>
      </c>
      <c r="L2570" s="26"/>
    </row>
    <row r="2571" spans="1:12">
      <c r="A2571" s="20" t="s">
        <v>1948</v>
      </c>
      <c r="E2571" s="21">
        <f>IF(D2571="?OLD","!!!","")</f>
        <v/>
      </c>
      <c r="F2571" s="22" t="str">
        <f>IF(OR(E2571="",E2571="!!!"),"",IF(NOT(ISNA(VLOOKUP(E2571,E$1:E2570,1,FALSE()))),"OLD",IF(AND(E2571&lt;&gt;"",E2571&lt;&gt;"!!!"),"NEW","")))</f>
        <v> </v>
      </c>
      <c r="G2571" s="23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4" t="str">
        <f>IF(J2571&lt;&gt;1,"",IF(I2571="SBJ","CB","?"))</f>
        <v> </v>
      </c>
      <c r="I2571" s="25" t="str">
        <f>IF(OR(E2571="",E2571="!!!",F2571="NEW"),"",INDEX(B2570:B$2,-1+SUMPRODUCT(MAX(ROW(E2570:E$2)*(E2571=E2570:E$2)))))</f>
        <v> </v>
      </c>
      <c r="J2571" s="25" t="str">
        <f>IF(OR(E2571="",E2571="!!!",F2571="NEW"),"",COUNTBLANK(OFFSET(A$1,,,SUMPRODUCT(MAX(ROW(E$2:E2571)*(E2571=E$2:E2571)))))-COUNTBLANK(OFFSET(A$1,,,SUMPRODUCT(MAX(ROW(E$1:E2570)*(E2=E$1:E2570))))))</f>
        <v> </v>
      </c>
      <c r="K2571" s="25" t="str">
        <f>IF(OR(E2571="",E2571="!!!",F2571="NEW"),"",INDEX(J$1:J2570,SUMPRODUCT(MAX(ROW(E$1:E2570)*(E2571=E$1:E2570)))))</f>
        <v> </v>
      </c>
      <c r="L2571" s="26"/>
    </row>
    <row r="2572" spans="1:12">
      <c r="A2572" s="20" t="s">
        <v>114</v>
      </c>
      <c r="E2572" s="21">
        <f>IF(D2572="?OLD","!!!","")</f>
        <v/>
      </c>
      <c r="F2572" s="22" t="str">
        <f>IF(OR(E2572="",E2572="!!!"),"",IF(NOT(ISNA(VLOOKUP(E2572,E$1:E2571,1,FALSE()))),"OLD",IF(AND(E2572&lt;&gt;"",E2572&lt;&gt;"!!!"),"NEW","")))</f>
        <v> </v>
      </c>
      <c r="G2572" s="23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4" t="str">
        <f>IF(J2572&lt;&gt;1,"",IF(I2572="SBJ","CB","?"))</f>
        <v> </v>
      </c>
      <c r="I2572" s="25" t="str">
        <f>IF(OR(E2572="",E2572="!!!",F2572="NEW"),"",INDEX(B2571:B$2,-1+SUMPRODUCT(MAX(ROW(E2571:E$2)*(E2572=E2571:E$2)))))</f>
        <v> </v>
      </c>
      <c r="J2572" s="25" t="str">
        <f>IF(OR(E2572="",E2572="!!!",F2572="NEW"),"",COUNTBLANK(OFFSET(A$1,,,SUMPRODUCT(MAX(ROW(E$2:E2572)*(E2572=E$2:E2572)))))-COUNTBLANK(OFFSET(A$1,,,SUMPRODUCT(MAX(ROW(E$1:E2571)*(E2=E$1:E2571))))))</f>
        <v> </v>
      </c>
      <c r="K2572" s="25" t="str">
        <f>IF(OR(E2572="",E2572="!!!",F2572="NEW"),"",INDEX(J$1:J2571,SUMPRODUCT(MAX(ROW(E$1:E2571)*(E2572=E$1:E2571)))))</f>
        <v> </v>
      </c>
      <c r="L2572" s="26"/>
    </row>
    <row r="2573" spans="1:12">
      <c r="A2573" s="20" t="s">
        <v>1222</v>
      </c>
      <c r="B2573" s="27" t="s">
        <v>1069</v>
      </c>
      <c r="C2573" s="27" t="s">
        <v>1029</v>
      </c>
      <c r="D2573" s="27" t="s">
        <v>1030</v>
      </c>
      <c r="E2573" s="21">
        <f>IF(D2573="?OLD","!!!","")</f>
        <v/>
      </c>
      <c r="F2573" s="22" t="str">
        <f>IF(OR(E2573="",E2573="!!!"),"",IF(NOT(ISNA(VLOOKUP(E2573,E$1:E2572,1,FALSE()))),"OLD",IF(AND(E2573&lt;&gt;"",E2573&lt;&gt;"!!!"),"NEW","")))</f>
        <v> </v>
      </c>
      <c r="G2573" s="23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4" t="str">
        <f>IF(J2573&lt;&gt;1,"",IF(I2573="SBJ","CB","?"))</f>
        <v> </v>
      </c>
      <c r="I2573" s="25" t="str">
        <f>IF(OR(E2573="",E2573="!!!",F2573="NEW"),"",INDEX(B2572:B$2,-1+SUMPRODUCT(MAX(ROW(E2572:E$2)*(E2573=E2572:E$2)))))</f>
        <v> </v>
      </c>
      <c r="J2573" s="25" t="str">
        <f>IF(OR(E2573="",E2573="!!!",F2573="NEW"),"",COUNTBLANK(OFFSET(A$1,,,SUMPRODUCT(MAX(ROW(E$2:E2573)*(E2573=E$2:E2573)))))-COUNTBLANK(OFFSET(A$1,,,SUMPRODUCT(MAX(ROW(E$1:E2572)*(E2=E$1:E2572))))))</f>
        <v> </v>
      </c>
      <c r="K2573" s="25" t="str">
        <f>IF(OR(E2573="",E2573="!!!",F2573="NEW"),"",INDEX(J$1:J2572,SUMPRODUCT(MAX(ROW(E$1:E2572)*(E2573=E$1:E2572)))))</f>
        <v> </v>
      </c>
      <c r="L2573" s="26"/>
    </row>
    <row r="2574" spans="1:12">
      <c r="A2574" s="20" t="s">
        <v>1016</v>
      </c>
      <c r="E2574" s="21">
        <f>IF(D2574="?OLD","!!!","")</f>
        <v/>
      </c>
      <c r="F2574" s="22" t="str">
        <f>IF(OR(E2574="",E2574="!!!"),"",IF(NOT(ISNA(VLOOKUP(E2574,E$1:E2573,1,FALSE()))),"OLD",IF(AND(E2574&lt;&gt;"",E2574&lt;&gt;"!!!"),"NEW","")))</f>
        <v> </v>
      </c>
      <c r="G2574" s="23" t="str">
        <f>IF(OR(E2574="",E2574="!!!"),"",IF(OR(J2574=0,AND(J2574=1,K2574=1),AND(J2574=1,I2574="SBJ"),AND(J2574=1,I2574=0)),"?IN_FOCUS",IF(J2574&lt;=2,"?ACTIVATED",IF(J2574&lt;&gt;"","?FAMILIAR",IF(F2574="NEW",IF(ISNA(VLOOKUP(E2574,#REF!,1,FALSE())),"?TYPE_IDENTIFIABLE","?REFERENTIAL"),"_")))))</f>
        <v> </v>
      </c>
      <c r="H2574" s="24" t="str">
        <f>IF(J2574&lt;&gt;1,"",IF(I2574="SBJ","CB","?"))</f>
        <v> </v>
      </c>
      <c r="I2574" s="25" t="str">
        <f>IF(OR(E2574="",E2574="!!!",F2574="NEW"),"",INDEX(B2573:B$2,-1+SUMPRODUCT(MAX(ROW(E2573:E$2)*(E2574=E2573:E$2)))))</f>
        <v> </v>
      </c>
      <c r="J2574" s="25" t="str">
        <f>IF(OR(E2574="",E2574="!!!",F2574="NEW"),"",COUNTBLANK(OFFSET(A$1,,,SUMPRODUCT(MAX(ROW(E$2:E2574)*(E2574=E$2:E2574)))))-COUNTBLANK(OFFSET(A$1,,,SUMPRODUCT(MAX(ROW(E$1:E2573)*(E2=E$1:E2573))))))</f>
        <v> </v>
      </c>
      <c r="K2574" s="25" t="str">
        <f>IF(OR(E2574="",E2574="!!!",F2574="NEW"),"",INDEX(J$1:J2573,SUMPRODUCT(MAX(ROW(E$1:E2573)*(E2574=E$1:E2573)))))</f>
        <v> </v>
      </c>
      <c r="L2574" s="26"/>
    </row>
    <row r="2575" spans="1:12">
      <c r="A2575" s="20" t="s">
        <v>1949</v>
      </c>
      <c r="B2575" s="27" t="s">
        <v>1066</v>
      </c>
      <c r="C2575" s="27" t="s">
        <v>1015</v>
      </c>
      <c r="E2575" s="21">
        <f>IF(D2575="?OLD","!!!","")</f>
        <v/>
      </c>
      <c r="F2575" s="22" t="str">
        <f>IF(OR(E2575="",E2575="!!!"),"",IF(NOT(ISNA(VLOOKUP(E2575,E$1:E2574,1,FALSE()))),"OLD",IF(AND(E2575&lt;&gt;"",E2575&lt;&gt;"!!!"),"NEW","")))</f>
        <v> </v>
      </c>
      <c r="G2575" s="23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4" t="str">
        <f>IF(J2575&lt;&gt;1,"",IF(I2575="SBJ","CB","?"))</f>
        <v> </v>
      </c>
      <c r="I2575" s="25" t="str">
        <f>IF(OR(E2575="",E2575="!!!",F2575="NEW"),"",INDEX(B2574:B$2,-1+SUMPRODUCT(MAX(ROW(E2574:E$2)*(E2575=E2574:E$2)))))</f>
        <v> </v>
      </c>
      <c r="J2575" s="25" t="str">
        <f>IF(OR(E2575="",E2575="!!!",F2575="NEW"),"",COUNTBLANK(OFFSET(A$1,,,SUMPRODUCT(MAX(ROW(E$2:E2575)*(E2575=E$2:E2575)))))-COUNTBLANK(OFFSET(A$1,,,SUMPRODUCT(MAX(ROW(E$1:E2574)*(E2=E$1:E2574))))))</f>
        <v> </v>
      </c>
      <c r="K2575" s="25" t="str">
        <f>IF(OR(E2575="",E2575="!!!",F2575="NEW"),"",INDEX(J$1:J2574,SUMPRODUCT(MAX(ROW(E$1:E2574)*(E2575=E$1:E2574)))))</f>
        <v> </v>
      </c>
      <c r="L2575" s="26"/>
    </row>
    <row r="2576" spans="1:12">
      <c r="A2576" s="20" t="s">
        <v>1175</v>
      </c>
      <c r="E2576" s="21">
        <f>IF(D2576="?OLD","!!!","")</f>
        <v/>
      </c>
      <c r="F2576" s="22" t="str">
        <f>IF(OR(E2576="",E2576="!!!"),"",IF(NOT(ISNA(VLOOKUP(E2576,E$1:E2575,1,FALSE()))),"OLD",IF(AND(E2576&lt;&gt;"",E2576&lt;&gt;"!!!"),"NEW","")))</f>
        <v> </v>
      </c>
      <c r="G2576" s="23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4" t="str">
        <f>IF(J2576&lt;&gt;1,"",IF(I2576="SBJ","CB","?"))</f>
        <v> </v>
      </c>
      <c r="I2576" s="25" t="str">
        <f>IF(OR(E2576="",E2576="!!!",F2576="NEW"),"",INDEX(B2575:B$2,-1+SUMPRODUCT(MAX(ROW(E2575:E$2)*(E2576=E2575:E$2)))))</f>
        <v> </v>
      </c>
      <c r="J2576" s="25" t="str">
        <f>IF(OR(E2576="",E2576="!!!",F2576="NEW"),"",COUNTBLANK(OFFSET(A$1,,,SUMPRODUCT(MAX(ROW(E$2:E2576)*(E2576=E$2:E2576)))))-COUNTBLANK(OFFSET(A$1,,,SUMPRODUCT(MAX(ROW(E$1:E2575)*(E2=E$1:E2575))))))</f>
        <v> </v>
      </c>
      <c r="K2576" s="25" t="str">
        <f>IF(OR(E2576="",E2576="!!!",F2576="NEW"),"",INDEX(J$1:J2575,SUMPRODUCT(MAX(ROW(E$1:E2575)*(E2576=E$1:E2575)))))</f>
        <v> </v>
      </c>
      <c r="L2576" s="26"/>
    </row>
    <row r="2577" spans="1:12">
      <c r="A2577" s="20" t="s">
        <v>1942</v>
      </c>
      <c r="B2577" s="27" t="s">
        <v>1079</v>
      </c>
      <c r="C2577" s="27" t="s">
        <v>1015</v>
      </c>
      <c r="E2577" s="21">
        <f>IF(D2577="?OLD","!!!","")</f>
        <v/>
      </c>
      <c r="F2577" s="22" t="str">
        <f>IF(OR(E2577="",E2577="!!!"),"",IF(NOT(ISNA(VLOOKUP(E2577,E$1:E2576,1,FALSE()))),"OLD",IF(AND(E2577&lt;&gt;"",E2577&lt;&gt;"!!!"),"NEW","")))</f>
        <v> </v>
      </c>
      <c r="G2577" s="23" t="str">
        <f>IF(OR(E2577="",E2577="!!!"),"",IF(OR(J2577=0,AND(J2577=1,K2577=1),AND(J2577=1,I2577="SBJ"),AND(J2577=1,I2577=0)),"?IN_FOCUS",IF(J2577&lt;=2,"?ACTIVATED",IF(J2577&lt;&gt;"","?FAMILIAR",IF(F2577="NEW",IF(ISNA(VLOOKUP(E2577,#REF!,1,FALSE())),"?TYPE_IDENTIFIABLE","?REFERENTIAL"),"_")))))</f>
        <v> </v>
      </c>
      <c r="H2577" s="24" t="str">
        <f>IF(J2577&lt;&gt;1,"",IF(I2577="SBJ","CB","?"))</f>
        <v> </v>
      </c>
      <c r="I2577" s="25" t="str">
        <f>IF(OR(E2577="",E2577="!!!",F2577="NEW"),"",INDEX(B2576:B$2,-1+SUMPRODUCT(MAX(ROW(E2576:E$2)*(E2577=E2576:E$2)))))</f>
        <v> </v>
      </c>
      <c r="J2577" s="25" t="str">
        <f>IF(OR(E2577="",E2577="!!!",F2577="NEW"),"",COUNTBLANK(OFFSET(A$1,,,SUMPRODUCT(MAX(ROW(E$2:E2577)*(E2577=E$2:E2577)))))-COUNTBLANK(OFFSET(A$1,,,SUMPRODUCT(MAX(ROW(E$1:E2576)*(E2=E$1:E2576))))))</f>
        <v> </v>
      </c>
      <c r="K2577" s="25" t="str">
        <f>IF(OR(E2577="",E2577="!!!",F2577="NEW"),"",INDEX(J$1:J2576,SUMPRODUCT(MAX(ROW(E$1:E2576)*(E2577=E$1:E2576)))))</f>
        <v> </v>
      </c>
      <c r="L2577" s="26"/>
    </row>
    <row r="2578" spans="1:12">
      <c r="A2578" s="20" t="s">
        <v>1943</v>
      </c>
      <c r="E2578" s="21">
        <f>IF(D2578="?OLD","!!!","")</f>
        <v/>
      </c>
      <c r="F2578" s="22" t="str">
        <f>IF(OR(E2578="",E2578="!!!"),"",IF(NOT(ISNA(VLOOKUP(E2578,E$1:E2577,1,FALSE()))),"OLD",IF(AND(E2578&lt;&gt;"",E2578&lt;&gt;"!!!"),"NEW","")))</f>
        <v> </v>
      </c>
      <c r="G2578" s="23" t="str">
        <f>IF(OR(E2578="",E2578="!!!"),"",IF(OR(J2578=0,AND(J2578=1,K2578=1),AND(J2578=1,I2578="SBJ"),AND(J2578=1,I2578=0)),"?IN_FOCUS",IF(J2578&lt;=2,"?ACTIVATED",IF(J2578&lt;&gt;"","?FAMILIAR",IF(F2578="NEW",IF(ISNA(VLOOKUP(E2578,#REF!,1,FALSE())),"?TYPE_IDENTIFIABLE","?REFERENTIAL"),"_")))))</f>
        <v> </v>
      </c>
      <c r="H2578" s="24" t="str">
        <f>IF(J2578&lt;&gt;1,"",IF(I2578="SBJ","CB","?"))</f>
        <v> </v>
      </c>
      <c r="I2578" s="25" t="str">
        <f>IF(OR(E2578="",E2578="!!!",F2578="NEW"),"",INDEX(B2577:B$2,-1+SUMPRODUCT(MAX(ROW(E2577:E$2)*(E2578=E2577:E$2)))))</f>
        <v> </v>
      </c>
      <c r="J2578" s="25" t="str">
        <f>IF(OR(E2578="",E2578="!!!",F2578="NEW"),"",COUNTBLANK(OFFSET(A$1,,,SUMPRODUCT(MAX(ROW(E$2:E2578)*(E2578=E$2:E2578)))))-COUNTBLANK(OFFSET(A$1,,,SUMPRODUCT(MAX(ROW(E$1:E2577)*(E2=E$1:E2577))))))</f>
        <v> </v>
      </c>
      <c r="K2578" s="25" t="str">
        <f>IF(OR(E2578="",E2578="!!!",F2578="NEW"),"",INDEX(J$1:J2577,SUMPRODUCT(MAX(ROW(E$1:E2577)*(E2578=E$1:E2577)))))</f>
        <v> </v>
      </c>
      <c r="L2578" s="26"/>
    </row>
    <row r="2579" spans="1:12">
      <c r="A2579" s="20" t="s">
        <v>1022</v>
      </c>
      <c r="E2579" s="21">
        <f>IF(D2579="?OLD","!!!","")</f>
        <v/>
      </c>
      <c r="F2579" s="22" t="str">
        <f>IF(OR(E2579="",E2579="!!!"),"",IF(NOT(ISNA(VLOOKUP(E2579,E$1:E2578,1,FALSE()))),"OLD",IF(AND(E2579&lt;&gt;"",E2579&lt;&gt;"!!!"),"NEW","")))</f>
        <v> </v>
      </c>
      <c r="G2579" s="23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4" t="str">
        <f>IF(J2579&lt;&gt;1,"",IF(I2579="SBJ","CB","?"))</f>
        <v> </v>
      </c>
      <c r="I2579" s="25" t="str">
        <f>IF(OR(E2579="",E2579="!!!",F2579="NEW"),"",INDEX(B2578:B$2,-1+SUMPRODUCT(MAX(ROW(E2578:E$2)*(E2579=E2578:E$2)))))</f>
        <v> </v>
      </c>
      <c r="J2579" s="25" t="str">
        <f>IF(OR(E2579="",E2579="!!!",F2579="NEW"),"",COUNTBLANK(OFFSET(A$1,,,SUMPRODUCT(MAX(ROW(E$2:E2579)*(E2579=E$2:E2579)))))-COUNTBLANK(OFFSET(A$1,,,SUMPRODUCT(MAX(ROW(E$1:E2578)*(E2=E$1:E2578))))))</f>
        <v> </v>
      </c>
      <c r="K2579" s="25" t="str">
        <f>IF(OR(E2579="",E2579="!!!",F2579="NEW"),"",INDEX(J$1:J2578,SUMPRODUCT(MAX(ROW(E$1:E2578)*(E2579=E$1:E2578)))))</f>
        <v> </v>
      </c>
      <c r="L2579" s="26"/>
    </row>
    <row r="2580" spans="1:12">
      <c r="A2580" s="20" t="s">
        <v>1266</v>
      </c>
      <c r="E2580" s="21">
        <f>IF(D2580="?OLD","!!!","")</f>
        <v/>
      </c>
      <c r="F2580" s="22" t="str">
        <f>IF(OR(E2580="",E2580="!!!"),"",IF(NOT(ISNA(VLOOKUP(E2580,E$1:E2579,1,FALSE()))),"OLD",IF(AND(E2580&lt;&gt;"",E2580&lt;&gt;"!!!"),"NEW","")))</f>
        <v> </v>
      </c>
      <c r="G2580" s="23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4" t="str">
        <f>IF(J2580&lt;&gt;1,"",IF(I2580="SBJ","CB","?"))</f>
        <v> </v>
      </c>
      <c r="I2580" s="25" t="str">
        <f>IF(OR(E2580="",E2580="!!!",F2580="NEW"),"",INDEX(B2579:B$2,-1+SUMPRODUCT(MAX(ROW(E2579:E$2)*(E2580=E2579:E$2)))))</f>
        <v> </v>
      </c>
      <c r="J2580" s="25" t="str">
        <f>IF(OR(E2580="",E2580="!!!",F2580="NEW"),"",COUNTBLANK(OFFSET(A$1,,,SUMPRODUCT(MAX(ROW(E$2:E2580)*(E2580=E$2:E2580)))))-COUNTBLANK(OFFSET(A$1,,,SUMPRODUCT(MAX(ROW(E$1:E2579)*(E2=E$1:E2579))))))</f>
        <v> </v>
      </c>
      <c r="K2580" s="25" t="str">
        <f>IF(OR(E2580="",E2580="!!!",F2580="NEW"),"",INDEX(J$1:J2579,SUMPRODUCT(MAX(ROW(E$1:E2579)*(E2580=E$1:E2579)))))</f>
        <v> </v>
      </c>
      <c r="L2580" s="26"/>
    </row>
    <row r="2581" spans="1:12">
      <c r="A2581" s="20" t="s">
        <v>1311</v>
      </c>
      <c r="E2581" s="21">
        <f>IF(D2581="?OLD","!!!","")</f>
        <v/>
      </c>
      <c r="F2581" s="22" t="str">
        <f>IF(OR(E2581="",E2581="!!!"),"",IF(NOT(ISNA(VLOOKUP(E2581,E$1:E2580,1,FALSE()))),"OLD",IF(AND(E2581&lt;&gt;"",E2581&lt;&gt;"!!!"),"NEW","")))</f>
        <v> </v>
      </c>
      <c r="G2581" s="23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4" t="str">
        <f>IF(J2581&lt;&gt;1,"",IF(I2581="SBJ","CB","?"))</f>
        <v> </v>
      </c>
      <c r="I2581" s="25" t="str">
        <f>IF(OR(E2581="",E2581="!!!",F2581="NEW"),"",INDEX(B2580:B$2,-1+SUMPRODUCT(MAX(ROW(E2580:E$2)*(E2581=E2580:E$2)))))</f>
        <v> </v>
      </c>
      <c r="J2581" s="25" t="str">
        <f>IF(OR(E2581="",E2581="!!!",F2581="NEW"),"",COUNTBLANK(OFFSET(A$1,,,SUMPRODUCT(MAX(ROW(E$2:E2581)*(E2581=E$2:E2581)))))-COUNTBLANK(OFFSET(A$1,,,SUMPRODUCT(MAX(ROW(E$1:E2580)*(E2=E$1:E2580))))))</f>
        <v> </v>
      </c>
      <c r="K2581" s="25" t="str">
        <f>IF(OR(E2581="",E2581="!!!",F2581="NEW"),"",INDEX(J$1:J2580,SUMPRODUCT(MAX(ROW(E$1:E2580)*(E2581=E$1:E2580)))))</f>
        <v> </v>
      </c>
      <c r="L2581" s="26"/>
    </row>
    <row r="2582" spans="1:12">
      <c r="A2582" s="20" t="s">
        <v>1950</v>
      </c>
      <c r="B2582" s="27" t="s">
        <v>1045</v>
      </c>
      <c r="C2582" s="27" t="s">
        <v>1050</v>
      </c>
      <c r="D2582" s="27" t="s">
        <v>1030</v>
      </c>
      <c r="E2582" s="21">
        <f>IF(D2582="?OLD","!!!","")</f>
        <v/>
      </c>
      <c r="F2582" s="22" t="str">
        <f>IF(OR(E2582="",E2582="!!!"),"",IF(NOT(ISNA(VLOOKUP(E2582,E$1:E2581,1,FALSE()))),"OLD",IF(AND(E2582&lt;&gt;"",E2582&lt;&gt;"!!!"),"NEW","")))</f>
        <v> </v>
      </c>
      <c r="G2582" s="23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4" t="str">
        <f>IF(J2582&lt;&gt;1,"",IF(I2582="SBJ","CB","?"))</f>
        <v> </v>
      </c>
      <c r="I2582" s="25" t="str">
        <f>IF(OR(E2582="",E2582="!!!",F2582="NEW"),"",INDEX(B2581:B$2,-1+SUMPRODUCT(MAX(ROW(E2581:E$2)*(E2582=E2581:E$2)))))</f>
        <v> </v>
      </c>
      <c r="J2582" s="25" t="str">
        <f>IF(OR(E2582="",E2582="!!!",F2582="NEW"),"",COUNTBLANK(OFFSET(A$1,,,SUMPRODUCT(MAX(ROW(E$2:E2582)*(E2582=E$2:E2582)))))-COUNTBLANK(OFFSET(A$1,,,SUMPRODUCT(MAX(ROW(E$1:E2581)*(E2=E$1:E2581))))))</f>
        <v> </v>
      </c>
      <c r="K2582" s="25" t="str">
        <f>IF(OR(E2582="",E2582="!!!",F2582="NEW"),"",INDEX(J$1:J2581,SUMPRODUCT(MAX(ROW(E$1:E2581)*(E2582=E$1:E2581)))))</f>
        <v> </v>
      </c>
      <c r="L2582" s="26"/>
    </row>
    <row r="2583" spans="1:12">
      <c r="A2583" s="20" t="s">
        <v>1951</v>
      </c>
      <c r="E2583" s="21">
        <f>IF(D2583="?OLD","!!!","")</f>
        <v/>
      </c>
      <c r="F2583" s="22" t="str">
        <f>IF(OR(E2583="",E2583="!!!"),"",IF(NOT(ISNA(VLOOKUP(E2583,E$1:E2582,1,FALSE()))),"OLD",IF(AND(E2583&lt;&gt;"",E2583&lt;&gt;"!!!"),"NEW","")))</f>
        <v> </v>
      </c>
      <c r="G2583" s="23" t="str">
        <f>IF(OR(E2583="",E2583="!!!"),"",IF(OR(J2583=0,AND(J2583=1,K2583=1),AND(J2583=1,I2583="SBJ"),AND(J2583=1,I2583=0)),"?IN_FOCUS",IF(J2583&lt;=2,"?ACTIVATED",IF(J2583&lt;&gt;"","?FAMILIAR",IF(F2583="NEW",IF(ISNA(VLOOKUP(E2583,#REF!,1,FALSE())),"?TYPE_IDENTIFIABLE","?REFERENTIAL"),"_")))))</f>
        <v> </v>
      </c>
      <c r="H2583" s="24" t="str">
        <f>IF(J2583&lt;&gt;1,"",IF(I2583="SBJ","CB","?"))</f>
        <v> </v>
      </c>
      <c r="I2583" s="25" t="str">
        <f>IF(OR(E2583="",E2583="!!!",F2583="NEW"),"",INDEX(B2582:B$2,-1+SUMPRODUCT(MAX(ROW(E2582:E$2)*(E2583=E2582:E$2)))))</f>
        <v> </v>
      </c>
      <c r="J2583" s="25" t="str">
        <f>IF(OR(E2583="",E2583="!!!",F2583="NEW"),"",COUNTBLANK(OFFSET(A$1,,,SUMPRODUCT(MAX(ROW(E$2:E2583)*(E2583=E$2:E2583)))))-COUNTBLANK(OFFSET(A$1,,,SUMPRODUCT(MAX(ROW(E$1:E2582)*(E2=E$1:E2582))))))</f>
        <v> </v>
      </c>
      <c r="K2583" s="25" t="str">
        <f>IF(OR(E2583="",E2583="!!!",F2583="NEW"),"",INDEX(J$1:J2582,SUMPRODUCT(MAX(ROW(E$1:E2582)*(E2583=E$1:E2582)))))</f>
        <v> </v>
      </c>
      <c r="L2583" s="26"/>
    </row>
    <row r="2584" spans="1:12">
      <c r="A2584" s="20"/>
    </row>
    <row r="2585" spans="1:12">
      <c r="A2585" s="20" t="s">
        <v>1952</v>
      </c>
    </row>
    <row r="2586" spans="1:12">
      <c r="A2586" s="20" t="s">
        <v>620</v>
      </c>
      <c r="B2586" s="27" t="s">
        <v>1045</v>
      </c>
      <c r="C2586" s="27" t="s">
        <v>1015</v>
      </c>
      <c r="E2586" s="21">
        <f>IF(D2586="?OLD","!!!","")</f>
        <v/>
      </c>
      <c r="F2586" s="22" t="str">
        <f>IF(OR(E2586="",E2586="!!!"),"",IF(NOT(ISNA(VLOOKUP(E2586,E$1:E2585,1,FALSE()))),"OLD",IF(AND(E2586&lt;&gt;"",E2586&lt;&gt;"!!!"),"NEW","")))</f>
        <v> </v>
      </c>
      <c r="G2586" s="23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4" t="str">
        <f>IF(J2586&lt;&gt;1,"",IF(I2586="SBJ","CB","?"))</f>
        <v> </v>
      </c>
      <c r="I2586" s="25" t="str">
        <f>IF(OR(E2586="",E2586="!!!",F2586="NEW"),"",INDEX(B2585:B$2,-1+SUMPRODUCT(MAX(ROW(E2585:E$2)*(E2586=E2585:E$2)))))</f>
        <v> </v>
      </c>
      <c r="J2586" s="25" t="str">
        <f>IF(OR(E2586="",E2586="!!!",F2586="NEW"),"",COUNTBLANK(OFFSET(A$1,,,SUMPRODUCT(MAX(ROW(E$2:E2586)*(E2586=E$2:E2586)))))-COUNTBLANK(OFFSET(A$1,,,SUMPRODUCT(MAX(ROW(E$1:E2585)*(E2=E$1:E2585))))))</f>
        <v> </v>
      </c>
      <c r="K2586" s="25" t="str">
        <f>IF(OR(E2586="",E2586="!!!",F2586="NEW"),"",INDEX(J$1:J2585,SUMPRODUCT(MAX(ROW(E$1:E2585)*(E2586=E$1:E2585)))))</f>
        <v> </v>
      </c>
      <c r="L2586" s="26"/>
    </row>
    <row r="2587" spans="1:12">
      <c r="A2587" s="20" t="s">
        <v>1943</v>
      </c>
      <c r="E2587" s="21">
        <f>IF(D2587="?OLD","!!!","")</f>
        <v/>
      </c>
      <c r="F2587" s="22" t="str">
        <f>IF(OR(E2587="",E2587="!!!"),"",IF(NOT(ISNA(VLOOKUP(E2587,E$1:E2586,1,FALSE()))),"OLD",IF(AND(E2587&lt;&gt;"",E2587&lt;&gt;"!!!"),"NEW","")))</f>
        <v> </v>
      </c>
      <c r="G2587" s="23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4" t="str">
        <f>IF(J2587&lt;&gt;1,"",IF(I2587="SBJ","CB","?"))</f>
        <v> </v>
      </c>
      <c r="I2587" s="25" t="str">
        <f>IF(OR(E2587="",E2587="!!!",F2587="NEW"),"",INDEX(B2586:B$2,-1+SUMPRODUCT(MAX(ROW(E2586:E$2)*(E2587=E2586:E$2)))))</f>
        <v> </v>
      </c>
      <c r="J2587" s="25" t="str">
        <f>IF(OR(E2587="",E2587="!!!",F2587="NEW"),"",COUNTBLANK(OFFSET(A$1,,,SUMPRODUCT(MAX(ROW(E$2:E2587)*(E2587=E$2:E2587)))))-COUNTBLANK(OFFSET(A$1,,,SUMPRODUCT(MAX(ROW(E$1:E2586)*(E2=E$1:E2586))))))</f>
        <v> </v>
      </c>
      <c r="K2587" s="25" t="str">
        <f>IF(OR(E2587="",E2587="!!!",F2587="NEW"),"",INDEX(J$1:J2586,SUMPRODUCT(MAX(ROW(E$1:E2586)*(E2587=E$1:E2586)))))</f>
        <v> </v>
      </c>
      <c r="L2587" s="26"/>
    </row>
    <row r="2588" spans="1:12">
      <c r="A2588" s="20" t="s">
        <v>135</v>
      </c>
      <c r="E2588" s="21">
        <f>IF(D2588="?OLD","!!!","")</f>
        <v/>
      </c>
      <c r="F2588" s="22" t="str">
        <f>IF(OR(E2588="",E2588="!!!"),"",IF(NOT(ISNA(VLOOKUP(E2588,E$1:E2587,1,FALSE()))),"OLD",IF(AND(E2588&lt;&gt;"",E2588&lt;&gt;"!!!"),"NEW","")))</f>
        <v> </v>
      </c>
      <c r="G2588" s="23" t="str">
        <f>IF(OR(E2588="",E2588="!!!"),"",IF(OR(J2588=0,AND(J2588=1,K2588=1),AND(J2588=1,I2588="SBJ"),AND(J2588=1,I2588=0)),"?IN_FOCUS",IF(J2588&lt;=2,"?ACTIVATED",IF(J2588&lt;&gt;"","?FAMILIAR",IF(F2588="NEW",IF(ISNA(VLOOKUP(E2588,#REF!,1,FALSE())),"?TYPE_IDENTIFIABLE","?REFERENTIAL"),"_")))))</f>
        <v> </v>
      </c>
      <c r="H2588" s="24" t="str">
        <f>IF(J2588&lt;&gt;1,"",IF(I2588="SBJ","CB","?"))</f>
        <v> </v>
      </c>
      <c r="I2588" s="25" t="str">
        <f>IF(OR(E2588="",E2588="!!!",F2588="NEW"),"",INDEX(B2587:B$2,-1+SUMPRODUCT(MAX(ROW(E2587:E$2)*(E2588=E2587:E$2)))))</f>
        <v> </v>
      </c>
      <c r="J2588" s="25" t="str">
        <f>IF(OR(E2588="",E2588="!!!",F2588="NEW"),"",COUNTBLANK(OFFSET(A$1,,,SUMPRODUCT(MAX(ROW(E$2:E2588)*(E2588=E$2:E2588)))))-COUNTBLANK(OFFSET(A$1,,,SUMPRODUCT(MAX(ROW(E$1:E2587)*(E2=E$1:E2587))))))</f>
        <v> </v>
      </c>
      <c r="K2588" s="25" t="str">
        <f>IF(OR(E2588="",E2588="!!!",F2588="NEW"),"",INDEX(J$1:J2587,SUMPRODUCT(MAX(ROW(E$1:E2587)*(E2588=E$1:E2587)))))</f>
        <v> </v>
      </c>
      <c r="L2588" s="26"/>
    </row>
    <row r="2589" spans="1:12">
      <c r="A2589" s="20"/>
    </row>
    <row r="2590" spans="1:12">
      <c r="A2590" s="20" t="s">
        <v>1953</v>
      </c>
    </row>
    <row r="2591" spans="1:12">
      <c r="A2591" s="20" t="s">
        <v>1954</v>
      </c>
      <c r="B2591" s="27" t="s">
        <v>1045</v>
      </c>
      <c r="C2591" s="27" t="s">
        <v>1033</v>
      </c>
      <c r="D2591" s="27" t="s">
        <v>1030</v>
      </c>
      <c r="E2591" s="21">
        <f>IF(D2591="?OLD","!!!","")</f>
        <v/>
      </c>
      <c r="F2591" s="22" t="str">
        <f>IF(OR(E2591="",E2591="!!!"),"",IF(NOT(ISNA(VLOOKUP(E2591,E$1:E2590,1,FALSE()))),"OLD",IF(AND(E2591&lt;&gt;"",E2591&lt;&gt;"!!!"),"NEW","")))</f>
        <v> </v>
      </c>
      <c r="G2591" s="23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4" t="str">
        <f>IF(J2591&lt;&gt;1,"",IF(I2591="SBJ","CB","?"))</f>
        <v> </v>
      </c>
      <c r="I2591" s="25" t="str">
        <f>IF(OR(E2591="",E2591="!!!",F2591="NEW"),"",INDEX(B2590:B$2,-1+SUMPRODUCT(MAX(ROW(E2590:E$2)*(E2591=E2590:E$2)))))</f>
        <v> </v>
      </c>
      <c r="J2591" s="25" t="str">
        <f>IF(OR(E2591="",E2591="!!!",F2591="NEW"),"",COUNTBLANK(OFFSET(A$1,,,SUMPRODUCT(MAX(ROW(E$2:E2591)*(E2591=E$2:E2591)))))-COUNTBLANK(OFFSET(A$1,,,SUMPRODUCT(MAX(ROW(E$1:E2590)*(E2=E$1:E2590))))))</f>
        <v> </v>
      </c>
      <c r="K2591" s="25" t="str">
        <f>IF(OR(E2591="",E2591="!!!",F2591="NEW"),"",INDEX(J$1:J2590,SUMPRODUCT(MAX(ROW(E$1:E2590)*(E2591=E$1:E2590)))))</f>
        <v> </v>
      </c>
      <c r="L2591" s="26"/>
    </row>
    <row r="2592" spans="1:12">
      <c r="A2592" s="20" t="s">
        <v>135</v>
      </c>
      <c r="E2592" s="21">
        <f>IF(D2592="?OLD","!!!","")</f>
        <v/>
      </c>
      <c r="F2592" s="22" t="str">
        <f>IF(OR(E2592="",E2592="!!!"),"",IF(NOT(ISNA(VLOOKUP(E2592,E$1:E2591,1,FALSE()))),"OLD",IF(AND(E2592&lt;&gt;"",E2592&lt;&gt;"!!!"),"NEW","")))</f>
        <v> </v>
      </c>
      <c r="G2592" s="23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4" t="str">
        <f>IF(J2592&lt;&gt;1,"",IF(I2592="SBJ","CB","?"))</f>
        <v> </v>
      </c>
      <c r="I2592" s="25" t="str">
        <f>IF(OR(E2592="",E2592="!!!",F2592="NEW"),"",INDEX(B2591:B$2,-1+SUMPRODUCT(MAX(ROW(E2591:E$2)*(E2592=E2591:E$2)))))</f>
        <v> </v>
      </c>
      <c r="J2592" s="25" t="str">
        <f>IF(OR(E2592="",E2592="!!!",F2592="NEW"),"",COUNTBLANK(OFFSET(A$1,,,SUMPRODUCT(MAX(ROW(E$2:E2592)*(E2592=E$2:E2592)))))-COUNTBLANK(OFFSET(A$1,,,SUMPRODUCT(MAX(ROW(E$1:E2591)*(E2=E$1:E2591))))))</f>
        <v> </v>
      </c>
      <c r="K2592" s="25" t="str">
        <f>IF(OR(E2592="",E2592="!!!",F2592="NEW"),"",INDEX(J$1:J2591,SUMPRODUCT(MAX(ROW(E$1:E2591)*(E2592=E$1:E2591)))))</f>
        <v> </v>
      </c>
      <c r="L2592" s="26"/>
    </row>
    <row r="2593" spans="1:12">
      <c r="A2593" s="20"/>
    </row>
    <row r="2594" spans="1:12">
      <c r="A2594" s="20" t="s">
        <v>1955</v>
      </c>
    </row>
    <row r="2595" spans="1:12">
      <c r="A2595" s="20" t="s">
        <v>1825</v>
      </c>
      <c r="E2595" s="21">
        <f>IF(D2595="?OLD","!!!","")</f>
        <v/>
      </c>
      <c r="F2595" s="22" t="str">
        <f>IF(OR(E2595="",E2595="!!!"),"",IF(NOT(ISNA(VLOOKUP(E2595,E$1:E2594,1,FALSE()))),"OLD",IF(AND(E2595&lt;&gt;"",E2595&lt;&gt;"!!!"),"NEW","")))</f>
        <v> </v>
      </c>
      <c r="G2595" s="23" t="str">
        <f>IF(OR(E2595="",E2595="!!!"),"",IF(OR(J2595=0,AND(J2595=1,K2595=1),AND(J2595=1,I2595="SBJ"),AND(J2595=1,I2595=0)),"?IN_FOCUS",IF(J2595&lt;=2,"?ACTIVATED",IF(J2595&lt;&gt;"","?FAMILIAR",IF(F2595="NEW",IF(ISNA(VLOOKUP(E2595,#REF!,1,FALSE())),"?TYPE_IDENTIFIABLE","?REFERENTIAL"),"_")))))</f>
        <v> </v>
      </c>
      <c r="H2595" s="24" t="str">
        <f>IF(J2595&lt;&gt;1,"",IF(I2595="SBJ","CB","?"))</f>
        <v> </v>
      </c>
      <c r="I2595" s="25" t="str">
        <f>IF(OR(E2595="",E2595="!!!",F2595="NEW"),"",INDEX(B2594:B$2,-1+SUMPRODUCT(MAX(ROW(E2594:E$2)*(E2595=E2594:E$2)))))</f>
        <v> </v>
      </c>
      <c r="J2595" s="25" t="str">
        <f>IF(OR(E2595="",E2595="!!!",F2595="NEW"),"",COUNTBLANK(OFFSET(A$1,,,SUMPRODUCT(MAX(ROW(E$2:E2595)*(E2595=E$2:E2595)))))-COUNTBLANK(OFFSET(A$1,,,SUMPRODUCT(MAX(ROW(E$1:E2594)*(E2=E$1:E2594))))))</f>
        <v> </v>
      </c>
      <c r="K2595" s="25" t="str">
        <f>IF(OR(E2595="",E2595="!!!",F2595="NEW"),"",INDEX(J$1:J2594,SUMPRODUCT(MAX(ROW(E$1:E2594)*(E2595=E$1:E2594)))))</f>
        <v> </v>
      </c>
      <c r="L2595" s="26"/>
    </row>
    <row r="2596" spans="1:12">
      <c r="A2596" s="20" t="s">
        <v>1123</v>
      </c>
      <c r="B2596" s="27" t="s">
        <v>1014</v>
      </c>
      <c r="C2596" s="27" t="s">
        <v>1050</v>
      </c>
      <c r="D2596" s="27" t="s">
        <v>1030</v>
      </c>
      <c r="E2596" s="21">
        <f>IF(D2596="?OLD","!!!","")</f>
        <v/>
      </c>
      <c r="F2596" s="22" t="str">
        <f>IF(OR(E2596="",E2596="!!!"),"",IF(NOT(ISNA(VLOOKUP(E2596,E$1:E2595,1,FALSE()))),"OLD",IF(AND(E2596&lt;&gt;"",E2596&lt;&gt;"!!!"),"NEW","")))</f>
        <v> </v>
      </c>
      <c r="G2596" s="23" t="str">
        <f>IF(OR(E2596="",E2596="!!!"),"",IF(OR(J2596=0,AND(J2596=1,K2596=1),AND(J2596=1,I2596="SBJ"),AND(J2596=1,I2596=0)),"?IN_FOCUS",IF(J2596&lt;=2,"?ACTIVATED",IF(J2596&lt;&gt;"","?FAMILIAR",IF(F2596="NEW",IF(ISNA(VLOOKUP(E2596,#REF!,1,FALSE())),"?TYPE_IDENTIFIABLE","?REFERENTIAL"),"_")))))</f>
        <v> </v>
      </c>
      <c r="H2596" s="24" t="str">
        <f>IF(J2596&lt;&gt;1,"",IF(I2596="SBJ","CB","?"))</f>
        <v> </v>
      </c>
      <c r="I2596" s="25" t="str">
        <f>IF(OR(E2596="",E2596="!!!",F2596="NEW"),"",INDEX(B2595:B$2,-1+SUMPRODUCT(MAX(ROW(E2595:E$2)*(E2596=E2595:E$2)))))</f>
        <v> </v>
      </c>
      <c r="J2596" s="25" t="str">
        <f>IF(OR(E2596="",E2596="!!!",F2596="NEW"),"",COUNTBLANK(OFFSET(A$1,,,SUMPRODUCT(MAX(ROW(E$2:E2596)*(E2596=E$2:E2596)))))-COUNTBLANK(OFFSET(A$1,,,SUMPRODUCT(MAX(ROW(E$1:E2595)*(E2=E$1:E2595))))))</f>
        <v> </v>
      </c>
      <c r="K2596" s="25" t="str">
        <f>IF(OR(E2596="",E2596="!!!",F2596="NEW"),"",INDEX(J$1:J2595,SUMPRODUCT(MAX(ROW(E$1:E2595)*(E2596=E$1:E2595)))))</f>
        <v> </v>
      </c>
      <c r="L2596" s="26"/>
    </row>
    <row r="2597" spans="1:12">
      <c r="A2597" s="20" t="s">
        <v>1407</v>
      </c>
      <c r="E2597" s="21">
        <f>IF(D2597="?OLD","!!!","")</f>
        <v/>
      </c>
      <c r="F2597" s="22" t="str">
        <f>IF(OR(E2597="",E2597="!!!"),"",IF(NOT(ISNA(VLOOKUP(E2597,E$1:E2596,1,FALSE()))),"OLD",IF(AND(E2597&lt;&gt;"",E2597&lt;&gt;"!!!"),"NEW","")))</f>
        <v> </v>
      </c>
      <c r="G2597" s="23" t="str">
        <f>IF(OR(E2597="",E2597="!!!"),"",IF(OR(J2597=0,AND(J2597=1,K2597=1),AND(J2597=1,I2597="SBJ"),AND(J2597=1,I2597=0)),"?IN_FOCUS",IF(J2597&lt;=2,"?ACTIVATED",IF(J2597&lt;&gt;"","?FAMILIAR",IF(F2597="NEW",IF(ISNA(VLOOKUP(E2597,#REF!,1,FALSE())),"?TYPE_IDENTIFIABLE","?REFERENTIAL"),"_")))))</f>
        <v> </v>
      </c>
      <c r="H2597" s="24" t="str">
        <f>IF(J2597&lt;&gt;1,"",IF(I2597="SBJ","CB","?"))</f>
        <v> </v>
      </c>
      <c r="I2597" s="25" t="str">
        <f>IF(OR(E2597="",E2597="!!!",F2597="NEW"),"",INDEX(B2596:B$2,-1+SUMPRODUCT(MAX(ROW(E2596:E$2)*(E2597=E2596:E$2)))))</f>
        <v> </v>
      </c>
      <c r="J2597" s="25" t="str">
        <f>IF(OR(E2597="",E2597="!!!",F2597="NEW"),"",COUNTBLANK(OFFSET(A$1,,,SUMPRODUCT(MAX(ROW(E$2:E2597)*(E2597=E$2:E2597)))))-COUNTBLANK(OFFSET(A$1,,,SUMPRODUCT(MAX(ROW(E$1:E2596)*(E2=E$1:E2596))))))</f>
        <v> </v>
      </c>
      <c r="K2597" s="25" t="str">
        <f>IF(OR(E2597="",E2597="!!!",F2597="NEW"),"",INDEX(J$1:J2596,SUMPRODUCT(MAX(ROW(E$1:E2596)*(E2597=E$1:E2596)))))</f>
        <v> </v>
      </c>
      <c r="L2597" s="26"/>
    </row>
    <row r="2598" spans="1:12">
      <c r="A2598" s="20" t="s">
        <v>1215</v>
      </c>
      <c r="E2598" s="21">
        <f>IF(D2598="?OLD","!!!","")</f>
        <v/>
      </c>
      <c r="F2598" s="22" t="str">
        <f>IF(OR(E2598="",E2598="!!!"),"",IF(NOT(ISNA(VLOOKUP(E2598,E$1:E2597,1,FALSE()))),"OLD",IF(AND(E2598&lt;&gt;"",E2598&lt;&gt;"!!!"),"NEW","")))</f>
        <v> </v>
      </c>
      <c r="G2598" s="23" t="str">
        <f>IF(OR(E2598="",E2598="!!!"),"",IF(OR(J2598=0,AND(J2598=1,K2598=1),AND(J2598=1,I2598="SBJ"),AND(J2598=1,I2598=0)),"?IN_FOCUS",IF(J2598&lt;=2,"?ACTIVATED",IF(J2598&lt;&gt;"","?FAMILIAR",IF(F2598="NEW",IF(ISNA(VLOOKUP(E2598,#REF!,1,FALSE())),"?TYPE_IDENTIFIABLE","?REFERENTIAL"),"_")))))</f>
        <v> </v>
      </c>
      <c r="H2598" s="24" t="str">
        <f>IF(J2598&lt;&gt;1,"",IF(I2598="SBJ","CB","?"))</f>
        <v> </v>
      </c>
      <c r="I2598" s="25" t="str">
        <f>IF(OR(E2598="",E2598="!!!",F2598="NEW"),"",INDEX(B2597:B$2,-1+SUMPRODUCT(MAX(ROW(E2597:E$2)*(E2598=E2597:E$2)))))</f>
        <v> </v>
      </c>
      <c r="J2598" s="25" t="str">
        <f>IF(OR(E2598="",E2598="!!!",F2598="NEW"),"",COUNTBLANK(OFFSET(A$1,,,SUMPRODUCT(MAX(ROW(E$2:E2598)*(E2598=E$2:E2598)))))-COUNTBLANK(OFFSET(A$1,,,SUMPRODUCT(MAX(ROW(E$1:E2597)*(E2=E$1:E2597))))))</f>
        <v> </v>
      </c>
      <c r="K2598" s="25" t="str">
        <f>IF(OR(E2598="",E2598="!!!",F2598="NEW"),"",INDEX(J$1:J2597,SUMPRODUCT(MAX(ROW(E$1:E2597)*(E2598=E$1:E2597)))))</f>
        <v> </v>
      </c>
      <c r="L2598" s="26"/>
    </row>
    <row r="2599" spans="1:12">
      <c r="A2599" s="20"/>
    </row>
    <row r="2600" spans="1:12">
      <c r="A2600" s="20" t="s">
        <v>1824</v>
      </c>
    </row>
    <row r="2601" spans="1:12">
      <c r="A2601" s="20" t="s">
        <v>1825</v>
      </c>
      <c r="E2601" s="21">
        <f>IF(D2601="?OLD","!!!","")</f>
        <v/>
      </c>
      <c r="F2601" s="22" t="str">
        <f>IF(OR(E2601="",E2601="!!!"),"",IF(NOT(ISNA(VLOOKUP(E2601,E$1:E2600,1,FALSE()))),"OLD",IF(AND(E2601&lt;&gt;"",E2601&lt;&gt;"!!!"),"NEW","")))</f>
        <v> </v>
      </c>
      <c r="G2601" s="23" t="str">
        <f>IF(OR(E2601="",E2601="!!!"),"",IF(OR(J2601=0,AND(J2601=1,K2601=1),AND(J2601=1,I2601="SBJ"),AND(J2601=1,I2601=0)),"?IN_FOCUS",IF(J2601&lt;=2,"?ACTIVATED",IF(J2601&lt;&gt;"","?FAMILIAR",IF(F2601="NEW",IF(ISNA(VLOOKUP(E2601,#REF!,1,FALSE())),"?TYPE_IDENTIFIABLE","?REFERENTIAL"),"_")))))</f>
        <v> </v>
      </c>
      <c r="H2601" s="24" t="str">
        <f>IF(J2601&lt;&gt;1,"",IF(I2601="SBJ","CB","?"))</f>
        <v> </v>
      </c>
      <c r="I2601" s="25" t="str">
        <f>IF(OR(E2601="",E2601="!!!",F2601="NEW"),"",INDEX(B2600:B$2,-1+SUMPRODUCT(MAX(ROW(E2600:E$2)*(E2601=E2600:E$2)))))</f>
        <v> </v>
      </c>
      <c r="J2601" s="25" t="str">
        <f>IF(OR(E2601="",E2601="!!!",F2601="NEW"),"",COUNTBLANK(OFFSET(A$1,,,SUMPRODUCT(MAX(ROW(E$2:E2601)*(E2601=E$2:E2601)))))-COUNTBLANK(OFFSET(A$1,,,SUMPRODUCT(MAX(ROW(E$1:E2600)*(E2=E$1:E2600))))))</f>
        <v> </v>
      </c>
      <c r="K2601" s="25" t="str">
        <f>IF(OR(E2601="",E2601="!!!",F2601="NEW"),"",INDEX(J$1:J2600,SUMPRODUCT(MAX(ROW(E$1:E2600)*(E2601=E$1:E2600)))))</f>
        <v> </v>
      </c>
      <c r="L2601" s="26"/>
    </row>
    <row r="2602" spans="1:12">
      <c r="A2602" s="20" t="s">
        <v>1215</v>
      </c>
      <c r="E2602" s="21">
        <f>IF(D2602="?OLD","!!!","")</f>
        <v/>
      </c>
      <c r="F2602" s="22" t="str">
        <f>IF(OR(E2602="",E2602="!!!"),"",IF(NOT(ISNA(VLOOKUP(E2602,E$1:E2601,1,FALSE()))),"OLD",IF(AND(E2602&lt;&gt;"",E2602&lt;&gt;"!!!"),"NEW","")))</f>
        <v> </v>
      </c>
      <c r="G2602" s="23" t="str">
        <f>IF(OR(E2602="",E2602="!!!"),"",IF(OR(J2602=0,AND(J2602=1,K2602=1),AND(J2602=1,I2602="SBJ"),AND(J2602=1,I2602=0)),"?IN_FOCUS",IF(J2602&lt;=2,"?ACTIVATED",IF(J2602&lt;&gt;"","?FAMILIAR",IF(F2602="NEW",IF(ISNA(VLOOKUP(E2602,#REF!,1,FALSE())),"?TYPE_IDENTIFIABLE","?REFERENTIAL"),"_")))))</f>
        <v> </v>
      </c>
      <c r="H2602" s="24" t="str">
        <f>IF(J2602&lt;&gt;1,"",IF(I2602="SBJ","CB","?"))</f>
        <v> </v>
      </c>
      <c r="I2602" s="25" t="str">
        <f>IF(OR(E2602="",E2602="!!!",F2602="NEW"),"",INDEX(B2601:B$2,-1+SUMPRODUCT(MAX(ROW(E2601:E$2)*(E2602=E2601:E$2)))))</f>
        <v> </v>
      </c>
      <c r="J2602" s="25" t="str">
        <f>IF(OR(E2602="",E2602="!!!",F2602="NEW"),"",COUNTBLANK(OFFSET(A$1,,,SUMPRODUCT(MAX(ROW(E$2:E2602)*(E2602=E$2:E2602)))))-COUNTBLANK(OFFSET(A$1,,,SUMPRODUCT(MAX(ROW(E$1:E2601)*(E2=E$1:E2601))))))</f>
        <v> </v>
      </c>
      <c r="K2602" s="25" t="str">
        <f>IF(OR(E2602="",E2602="!!!",F2602="NEW"),"",INDEX(J$1:J2601,SUMPRODUCT(MAX(ROW(E$1:E2601)*(E2602=E$1:E2601)))))</f>
        <v> </v>
      </c>
      <c r="L2602" s="26"/>
    </row>
    <row r="2603" spans="1:12">
      <c r="A2603" s="20"/>
    </row>
    <row r="2604" spans="1:12">
      <c r="A2604" s="20" t="s">
        <v>1956</v>
      </c>
    </row>
    <row r="2605" spans="1:12">
      <c r="A2605" s="20" t="s">
        <v>1957</v>
      </c>
      <c r="E2605" s="21">
        <f>IF(D2605="?OLD","!!!","")</f>
        <v/>
      </c>
      <c r="F2605" s="22" t="str">
        <f>IF(OR(E2605="",E2605="!!!"),"",IF(NOT(ISNA(VLOOKUP(E2605,E$1:E2604,1,FALSE()))),"OLD",IF(AND(E2605&lt;&gt;"",E2605&lt;&gt;"!!!"),"NEW","")))</f>
        <v> </v>
      </c>
      <c r="G2605" s="23" t="str">
        <f>IF(OR(E2605="",E2605="!!!"),"",IF(OR(J2605=0,AND(J2605=1,K2605=1),AND(J2605=1,I2605="SBJ"),AND(J2605=1,I2605=0)),"?IN_FOCUS",IF(J2605&lt;=2,"?ACTIVATED",IF(J2605&lt;&gt;"","?FAMILIAR",IF(F2605="NEW",IF(ISNA(VLOOKUP(E2605,#REF!,1,FALSE())),"?TYPE_IDENTIFIABLE","?REFERENTIAL"),"_")))))</f>
        <v> </v>
      </c>
      <c r="H2605" s="24" t="str">
        <f>IF(J2605&lt;&gt;1,"",IF(I2605="SBJ","CB","?"))</f>
        <v> </v>
      </c>
      <c r="I2605" s="25" t="str">
        <f>IF(OR(E2605="",E2605="!!!",F2605="NEW"),"",INDEX(B2604:B$2,-1+SUMPRODUCT(MAX(ROW(E2604:E$2)*(E2605=E2604:E$2)))))</f>
        <v> </v>
      </c>
      <c r="J2605" s="25" t="str">
        <f>IF(OR(E2605="",E2605="!!!",F2605="NEW"),"",COUNTBLANK(OFFSET(A$1,,,SUMPRODUCT(MAX(ROW(E$2:E2605)*(E2605=E$2:E2605)))))-COUNTBLANK(OFFSET(A$1,,,SUMPRODUCT(MAX(ROW(E$1:E2604)*(E2=E$1:E2604))))))</f>
        <v> </v>
      </c>
      <c r="K2605" s="25" t="str">
        <f>IF(OR(E2605="",E2605="!!!",F2605="NEW"),"",INDEX(J$1:J2604,SUMPRODUCT(MAX(ROW(E$1:E2604)*(E2605=E$1:E2604)))))</f>
        <v> </v>
      </c>
      <c r="L2605" s="26"/>
    </row>
    <row r="2606" spans="1:12">
      <c r="A2606" s="20" t="s">
        <v>1016</v>
      </c>
      <c r="E2606" s="21">
        <f>IF(D2606="?OLD","!!!","")</f>
        <v/>
      </c>
      <c r="F2606" s="22" t="str">
        <f>IF(OR(E2606="",E2606="!!!"),"",IF(NOT(ISNA(VLOOKUP(E2606,E$1:E2605,1,FALSE()))),"OLD",IF(AND(E2606&lt;&gt;"",E2606&lt;&gt;"!!!"),"NEW","")))</f>
        <v> </v>
      </c>
      <c r="G2606" s="23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4" t="str">
        <f>IF(J2606&lt;&gt;1,"",IF(I2606="SBJ","CB","?"))</f>
        <v> </v>
      </c>
      <c r="I2606" s="25" t="str">
        <f>IF(OR(E2606="",E2606="!!!",F2606="NEW"),"",INDEX(B2605:B$2,-1+SUMPRODUCT(MAX(ROW(E2605:E$2)*(E2606=E2605:E$2)))))</f>
        <v> </v>
      </c>
      <c r="J2606" s="25" t="str">
        <f>IF(OR(E2606="",E2606="!!!",F2606="NEW"),"",COUNTBLANK(OFFSET(A$1,,,SUMPRODUCT(MAX(ROW(E$2:E2606)*(E2606=E$2:E2606)))))-COUNTBLANK(OFFSET(A$1,,,SUMPRODUCT(MAX(ROW(E$1:E2605)*(E2=E$1:E2605))))))</f>
        <v> </v>
      </c>
      <c r="K2606" s="25" t="str">
        <f>IF(OR(E2606="",E2606="!!!",F2606="NEW"),"",INDEX(J$1:J2605,SUMPRODUCT(MAX(ROW(E$1:E2605)*(E2606=E$1:E2605)))))</f>
        <v> </v>
      </c>
      <c r="L2606" s="26"/>
    </row>
    <row r="2607" spans="1:12">
      <c r="A2607" s="20" t="s">
        <v>1483</v>
      </c>
      <c r="E2607" s="21">
        <f>IF(D2607="?OLD","!!!","")</f>
        <v/>
      </c>
      <c r="F2607" s="22" t="str">
        <f>IF(OR(E2607="",E2607="!!!"),"",IF(NOT(ISNA(VLOOKUP(E2607,E$1:E2606,1,FALSE()))),"OLD",IF(AND(E2607&lt;&gt;"",E2607&lt;&gt;"!!!"),"NEW","")))</f>
        <v> </v>
      </c>
      <c r="G2607" s="23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4" t="str">
        <f>IF(J2607&lt;&gt;1,"",IF(I2607="SBJ","CB","?"))</f>
        <v> </v>
      </c>
      <c r="I2607" s="25" t="str">
        <f>IF(OR(E2607="",E2607="!!!",F2607="NEW"),"",INDEX(B2606:B$2,-1+SUMPRODUCT(MAX(ROW(E2606:E$2)*(E2607=E2606:E$2)))))</f>
        <v> </v>
      </c>
      <c r="J2607" s="25" t="str">
        <f>IF(OR(E2607="",E2607="!!!",F2607="NEW"),"",COUNTBLANK(OFFSET(A$1,,,SUMPRODUCT(MAX(ROW(E$2:E2607)*(E2607=E$2:E2607)))))-COUNTBLANK(OFFSET(A$1,,,SUMPRODUCT(MAX(ROW(E$1:E2606)*(E2=E$1:E2606))))))</f>
        <v> </v>
      </c>
      <c r="K2607" s="25" t="str">
        <f>IF(OR(E2607="",E2607="!!!",F2607="NEW"),"",INDEX(J$1:J2606,SUMPRODUCT(MAX(ROW(E$1:E2606)*(E2607=E$1:E2606)))))</f>
        <v> </v>
      </c>
      <c r="L2607" s="26"/>
    </row>
    <row r="2608" spans="1:12">
      <c r="A2608" s="20" t="s">
        <v>1022</v>
      </c>
      <c r="E2608" s="21">
        <f>IF(D2608="?OLD","!!!","")</f>
        <v/>
      </c>
      <c r="F2608" s="22" t="str">
        <f>IF(OR(E2608="",E2608="!!!"),"",IF(NOT(ISNA(VLOOKUP(E2608,E$1:E2607,1,FALSE()))),"OLD",IF(AND(E2608&lt;&gt;"",E2608&lt;&gt;"!!!"),"NEW","")))</f>
        <v> </v>
      </c>
      <c r="G2608" s="23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4" t="str">
        <f>IF(J2608&lt;&gt;1,"",IF(I2608="SBJ","CB","?"))</f>
        <v> </v>
      </c>
      <c r="I2608" s="25" t="str">
        <f>IF(OR(E2608="",E2608="!!!",F2608="NEW"),"",INDEX(B2607:B$2,-1+SUMPRODUCT(MAX(ROW(E2607:E$2)*(E2608=E2607:E$2)))))</f>
        <v> </v>
      </c>
      <c r="J2608" s="25" t="str">
        <f>IF(OR(E2608="",E2608="!!!",F2608="NEW"),"",COUNTBLANK(OFFSET(A$1,,,SUMPRODUCT(MAX(ROW(E$2:E2608)*(E2608=E$2:E2608)))))-COUNTBLANK(OFFSET(A$1,,,SUMPRODUCT(MAX(ROW(E$1:E2607)*(E2=E$1:E2607))))))</f>
        <v> </v>
      </c>
      <c r="K2608" s="25" t="str">
        <f>IF(OR(E2608="",E2608="!!!",F2608="NEW"),"",INDEX(J$1:J2607,SUMPRODUCT(MAX(ROW(E$1:E2607)*(E2608=E$1:E2607)))))</f>
        <v> </v>
      </c>
      <c r="L2608" s="26"/>
    </row>
    <row r="2609" spans="1:12">
      <c r="A2609" s="20" t="s">
        <v>1958</v>
      </c>
      <c r="E2609" s="21">
        <f>IF(D2609="?OLD","!!!","")</f>
        <v/>
      </c>
      <c r="F2609" s="22" t="str">
        <f>IF(OR(E2609="",E2609="!!!"),"",IF(NOT(ISNA(VLOOKUP(E2609,E$1:E2608,1,FALSE()))),"OLD",IF(AND(E2609&lt;&gt;"",E2609&lt;&gt;"!!!"),"NEW","")))</f>
        <v> </v>
      </c>
      <c r="G2609" s="23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4" t="str">
        <f>IF(J2609&lt;&gt;1,"",IF(I2609="SBJ","CB","?"))</f>
        <v> </v>
      </c>
      <c r="I2609" s="25" t="str">
        <f>IF(OR(E2609="",E2609="!!!",F2609="NEW"),"",INDEX(B2608:B$2,-1+SUMPRODUCT(MAX(ROW(E2608:E$2)*(E2609=E2608:E$2)))))</f>
        <v> </v>
      </c>
      <c r="J2609" s="25" t="str">
        <f>IF(OR(E2609="",E2609="!!!",F2609="NEW"),"",COUNTBLANK(OFFSET(A$1,,,SUMPRODUCT(MAX(ROW(E$2:E2609)*(E2609=E$2:E2609)))))-COUNTBLANK(OFFSET(A$1,,,SUMPRODUCT(MAX(ROW(E$1:E2608)*(E2=E$1:E2608))))))</f>
        <v> </v>
      </c>
      <c r="K2609" s="25" t="str">
        <f>IF(OR(E2609="",E2609="!!!",F2609="NEW"),"",INDEX(J$1:J2608,SUMPRODUCT(MAX(ROW(E$1:E2608)*(E2609=E$1:E2608)))))</f>
        <v> </v>
      </c>
      <c r="L2609" s="26"/>
    </row>
    <row r="2610" spans="1:12">
      <c r="A2610" s="20" t="s">
        <v>1096</v>
      </c>
      <c r="E2610" s="21">
        <f>IF(D2610="?OLD","!!!","")</f>
        <v/>
      </c>
      <c r="F2610" s="22" t="str">
        <f>IF(OR(E2610="",E2610="!!!"),"",IF(NOT(ISNA(VLOOKUP(E2610,E$1:E2609,1,FALSE()))),"OLD",IF(AND(E2610&lt;&gt;"",E2610&lt;&gt;"!!!"),"NEW","")))</f>
        <v> </v>
      </c>
      <c r="G2610" s="23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4" t="str">
        <f>IF(J2610&lt;&gt;1,"",IF(I2610="SBJ","CB","?"))</f>
        <v> </v>
      </c>
      <c r="I2610" s="25" t="str">
        <f>IF(OR(E2610="",E2610="!!!",F2610="NEW"),"",INDEX(B2609:B$2,-1+SUMPRODUCT(MAX(ROW(E2609:E$2)*(E2610=E2609:E$2)))))</f>
        <v> </v>
      </c>
      <c r="J2610" s="25" t="str">
        <f>IF(OR(E2610="",E2610="!!!",F2610="NEW"),"",COUNTBLANK(OFFSET(A$1,,,SUMPRODUCT(MAX(ROW(E$2:E2610)*(E2610=E$2:E2610)))))-COUNTBLANK(OFFSET(A$1,,,SUMPRODUCT(MAX(ROW(E$1:E2609)*(E2=E$1:E2609))))))</f>
        <v> </v>
      </c>
      <c r="K2610" s="25" t="str">
        <f>IF(OR(E2610="",E2610="!!!",F2610="NEW"),"",INDEX(J$1:J2609,SUMPRODUCT(MAX(ROW(E$1:E2609)*(E2610=E$1:E2609)))))</f>
        <v> </v>
      </c>
      <c r="L2610" s="26"/>
    </row>
    <row r="2611" spans="1:12">
      <c r="A2611" s="20" t="s">
        <v>1280</v>
      </c>
      <c r="E2611" s="21">
        <f>IF(D2611="?OLD","!!!","")</f>
        <v/>
      </c>
      <c r="F2611" s="22" t="str">
        <f>IF(OR(E2611="",E2611="!!!"),"",IF(NOT(ISNA(VLOOKUP(E2611,E$1:E2610,1,FALSE()))),"OLD",IF(AND(E2611&lt;&gt;"",E2611&lt;&gt;"!!!"),"NEW","")))</f>
        <v> </v>
      </c>
      <c r="G2611" s="23" t="str">
        <f>IF(OR(E2611="",E2611="!!!"),"",IF(OR(J2611=0,AND(J2611=1,K2611=1),AND(J2611=1,I2611="SBJ"),AND(J2611=1,I2611=0)),"?IN_FOCUS",IF(J2611&lt;=2,"?ACTIVATED",IF(J2611&lt;&gt;"","?FAMILIAR",IF(F2611="NEW",IF(ISNA(VLOOKUP(E2611,#REF!,1,FALSE())),"?TYPE_IDENTIFIABLE","?REFERENTIAL"),"_")))))</f>
        <v> </v>
      </c>
      <c r="H2611" s="24" t="str">
        <f>IF(J2611&lt;&gt;1,"",IF(I2611="SBJ","CB","?"))</f>
        <v> </v>
      </c>
      <c r="I2611" s="25" t="str">
        <f>IF(OR(E2611="",E2611="!!!",F2611="NEW"),"",INDEX(B2610:B$2,-1+SUMPRODUCT(MAX(ROW(E2610:E$2)*(E2611=E2610:E$2)))))</f>
        <v> </v>
      </c>
      <c r="J2611" s="25" t="str">
        <f>IF(OR(E2611="",E2611="!!!",F2611="NEW"),"",COUNTBLANK(OFFSET(A$1,,,SUMPRODUCT(MAX(ROW(E$2:E2611)*(E2611=E$2:E2611)))))-COUNTBLANK(OFFSET(A$1,,,SUMPRODUCT(MAX(ROW(E$1:E2610)*(E2=E$1:E2610))))))</f>
        <v> </v>
      </c>
      <c r="K2611" s="25" t="str">
        <f>IF(OR(E2611="",E2611="!!!",F2611="NEW"),"",INDEX(J$1:J2610,SUMPRODUCT(MAX(ROW(E$1:E2610)*(E2611=E$1:E2610)))))</f>
        <v> </v>
      </c>
      <c r="L2611" s="26"/>
    </row>
    <row r="2612" spans="1:12">
      <c r="A2612" s="20" t="s">
        <v>1959</v>
      </c>
      <c r="B2612" s="27" t="s">
        <v>1014</v>
      </c>
      <c r="C2612" s="27" t="s">
        <v>1038</v>
      </c>
      <c r="D2612" s="27" t="s">
        <v>1030</v>
      </c>
      <c r="E2612" s="21">
        <f>IF(D2612="?OLD","!!!","")</f>
        <v/>
      </c>
      <c r="F2612" s="22" t="str">
        <f>IF(OR(E2612="",E2612="!!!"),"",IF(NOT(ISNA(VLOOKUP(E2612,E$1:E2611,1,FALSE()))),"OLD",IF(AND(E2612&lt;&gt;"",E2612&lt;&gt;"!!!"),"NEW","")))</f>
        <v> </v>
      </c>
      <c r="G2612" s="23" t="str">
        <f>IF(OR(E2612="",E2612="!!!"),"",IF(OR(J2612=0,AND(J2612=1,K2612=1),AND(J2612=1,I2612="SBJ"),AND(J2612=1,I2612=0)),"?IN_FOCUS",IF(J2612&lt;=2,"?ACTIVATED",IF(J2612&lt;&gt;"","?FAMILIAR",IF(F2612="NEW",IF(ISNA(VLOOKUP(E2612,#REF!,1,FALSE())),"?TYPE_IDENTIFIABLE","?REFERENTIAL"),"_")))))</f>
        <v> </v>
      </c>
      <c r="H2612" s="24" t="str">
        <f>IF(J2612&lt;&gt;1,"",IF(I2612="SBJ","CB","?"))</f>
        <v> </v>
      </c>
      <c r="I2612" s="25" t="str">
        <f>IF(OR(E2612="",E2612="!!!",F2612="NEW"),"",INDEX(B2611:B$2,-1+SUMPRODUCT(MAX(ROW(E2611:E$2)*(E2612=E2611:E$2)))))</f>
        <v> </v>
      </c>
      <c r="J2612" s="25" t="str">
        <f>IF(OR(E2612="",E2612="!!!",F2612="NEW"),"",COUNTBLANK(OFFSET(A$1,,,SUMPRODUCT(MAX(ROW(E$2:E2612)*(E2612=E$2:E2612)))))-COUNTBLANK(OFFSET(A$1,,,SUMPRODUCT(MAX(ROW(E$1:E2611)*(E2=E$1:E2611))))))</f>
        <v> </v>
      </c>
      <c r="K2612" s="25" t="str">
        <f>IF(OR(E2612="",E2612="!!!",F2612="NEW"),"",INDEX(J$1:J2611,SUMPRODUCT(MAX(ROW(E$1:E2611)*(E2612=E$1:E2611)))))</f>
        <v> </v>
      </c>
      <c r="L2612" s="26"/>
    </row>
    <row r="2613" spans="1:12">
      <c r="A2613" s="20" t="s">
        <v>1960</v>
      </c>
      <c r="E2613" s="21">
        <f>IF(D2613="?OLD","!!!","")</f>
        <v/>
      </c>
      <c r="F2613" s="22" t="str">
        <f>IF(OR(E2613="",E2613="!!!"),"",IF(NOT(ISNA(VLOOKUP(E2613,E$1:E2612,1,FALSE()))),"OLD",IF(AND(E2613&lt;&gt;"",E2613&lt;&gt;"!!!"),"NEW","")))</f>
        <v> </v>
      </c>
      <c r="G2613" s="23" t="str">
        <f>IF(OR(E2613="",E2613="!!!"),"",IF(OR(J2613=0,AND(J2613=1,K2613=1),AND(J2613=1,I2613="SBJ"),AND(J2613=1,I2613=0)),"?IN_FOCUS",IF(J2613&lt;=2,"?ACTIVATED",IF(J2613&lt;&gt;"","?FAMILIAR",IF(F2613="NEW",IF(ISNA(VLOOKUP(E2613,#REF!,1,FALSE())),"?TYPE_IDENTIFIABLE","?REFERENTIAL"),"_")))))</f>
        <v> </v>
      </c>
      <c r="H2613" s="24" t="str">
        <f>IF(J2613&lt;&gt;1,"",IF(I2613="SBJ","CB","?"))</f>
        <v> </v>
      </c>
      <c r="I2613" s="25" t="str">
        <f>IF(OR(E2613="",E2613="!!!",F2613="NEW"),"",INDEX(B2612:B$2,-1+SUMPRODUCT(MAX(ROW(E2612:E$2)*(E2613=E2612:E$2)))))</f>
        <v> </v>
      </c>
      <c r="J2613" s="25" t="str">
        <f>IF(OR(E2613="",E2613="!!!",F2613="NEW"),"",COUNTBLANK(OFFSET(A$1,,,SUMPRODUCT(MAX(ROW(E$2:E2613)*(E2613=E$2:E2613)))))-COUNTBLANK(OFFSET(A$1,,,SUMPRODUCT(MAX(ROW(E$1:E2612)*(E2=E$1:E2612))))))</f>
        <v> </v>
      </c>
      <c r="K2613" s="25" t="str">
        <f>IF(OR(E2613="",E2613="!!!",F2613="NEW"),"",INDEX(J$1:J2612,SUMPRODUCT(MAX(ROW(E$1:E2612)*(E2613=E$1:E2612)))))</f>
        <v> </v>
      </c>
      <c r="L2613" s="26"/>
    </row>
    <row r="2614" spans="1:12">
      <c r="A2614" s="20" t="s">
        <v>135</v>
      </c>
      <c r="E2614" s="21">
        <f>IF(D2614="?OLD","!!!","")</f>
        <v/>
      </c>
      <c r="F2614" s="22" t="str">
        <f>IF(OR(E2614="",E2614="!!!"),"",IF(NOT(ISNA(VLOOKUP(E2614,E$1:E2613,1,FALSE()))),"OLD",IF(AND(E2614&lt;&gt;"",E2614&lt;&gt;"!!!"),"NEW","")))</f>
        <v> </v>
      </c>
      <c r="G2614" s="23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4" t="str">
        <f>IF(J2614&lt;&gt;1,"",IF(I2614="SBJ","CB","?"))</f>
        <v> </v>
      </c>
      <c r="I2614" s="25" t="str">
        <f>IF(OR(E2614="",E2614="!!!",F2614="NEW"),"",INDEX(B2613:B$2,-1+SUMPRODUCT(MAX(ROW(E2613:E$2)*(E2614=E2613:E$2)))))</f>
        <v> </v>
      </c>
      <c r="J2614" s="25" t="str">
        <f>IF(OR(E2614="",E2614="!!!",F2614="NEW"),"",COUNTBLANK(OFFSET(A$1,,,SUMPRODUCT(MAX(ROW(E$2:E2614)*(E2614=E$2:E2614)))))-COUNTBLANK(OFFSET(A$1,,,SUMPRODUCT(MAX(ROW(E$1:E2613)*(E2=E$1:E2613))))))</f>
        <v> </v>
      </c>
      <c r="K2614" s="25" t="str">
        <f>IF(OR(E2614="",E2614="!!!",F2614="NEW"),"",INDEX(J$1:J2613,SUMPRODUCT(MAX(ROW(E$1:E2613)*(E2614=E$1:E2613)))))</f>
        <v> </v>
      </c>
      <c r="L2614" s="26"/>
    </row>
    <row r="2615" spans="1:12">
      <c r="A2615" s="20"/>
    </row>
    <row r="2616" spans="1:12">
      <c r="A2616" s="20" t="s">
        <v>1961</v>
      </c>
    </row>
    <row r="2617" spans="1:12">
      <c r="A2617" s="20" t="s">
        <v>1962</v>
      </c>
      <c r="E2617" s="21">
        <f>IF(D2617="?OLD","!!!","")</f>
        <v/>
      </c>
      <c r="F2617" s="22" t="str">
        <f>IF(OR(E2617="",E2617="!!!"),"",IF(NOT(ISNA(VLOOKUP(E2617,E$1:E2616,1,FALSE()))),"OLD",IF(AND(E2617&lt;&gt;"",E2617&lt;&gt;"!!!"),"NEW","")))</f>
        <v> </v>
      </c>
      <c r="G2617" s="23" t="str">
        <f>IF(OR(E2617="",E2617="!!!"),"",IF(OR(J2617=0,AND(J2617=1,K2617=1),AND(J2617=1,I2617="SBJ"),AND(J2617=1,I2617=0)),"?IN_FOCUS",IF(J2617&lt;=2,"?ACTIVATED",IF(J2617&lt;&gt;"","?FAMILIAR",IF(F2617="NEW",IF(ISNA(VLOOKUP(E2617,#REF!,1,FALSE())),"?TYPE_IDENTIFIABLE","?REFERENTIAL"),"_")))))</f>
        <v> </v>
      </c>
      <c r="H2617" s="24" t="str">
        <f>IF(J2617&lt;&gt;1,"",IF(I2617="SBJ","CB","?"))</f>
        <v> </v>
      </c>
      <c r="I2617" s="25" t="str">
        <f>IF(OR(E2617="",E2617="!!!",F2617="NEW"),"",INDEX(B2616:B$2,-1+SUMPRODUCT(MAX(ROW(E2616:E$2)*(E2617=E2616:E$2)))))</f>
        <v> </v>
      </c>
      <c r="J2617" s="25" t="str">
        <f>IF(OR(E2617="",E2617="!!!",F2617="NEW"),"",COUNTBLANK(OFFSET(A$1,,,SUMPRODUCT(MAX(ROW(E$2:E2617)*(E2617=E$2:E2617)))))-COUNTBLANK(OFFSET(A$1,,,SUMPRODUCT(MAX(ROW(E$1:E2616)*(E2=E$1:E2616))))))</f>
        <v> </v>
      </c>
      <c r="K2617" s="25" t="str">
        <f>IF(OR(E2617="",E2617="!!!",F2617="NEW"),"",INDEX(J$1:J2616,SUMPRODUCT(MAX(ROW(E$1:E2616)*(E2617=E$1:E2616)))))</f>
        <v> </v>
      </c>
      <c r="L2617" s="26"/>
    </row>
    <row r="2618" spans="1:12">
      <c r="A2618" s="20" t="s">
        <v>1036</v>
      </c>
      <c r="E2618" s="21">
        <f>IF(D2618="?OLD","!!!","")</f>
        <v/>
      </c>
      <c r="F2618" s="22" t="str">
        <f>IF(OR(E2618="",E2618="!!!"),"",IF(NOT(ISNA(VLOOKUP(E2618,E$1:E2617,1,FALSE()))),"OLD",IF(AND(E2618&lt;&gt;"",E2618&lt;&gt;"!!!"),"NEW","")))</f>
        <v> </v>
      </c>
      <c r="G2618" s="23" t="str">
        <f>IF(OR(E2618="",E2618="!!!"),"",IF(OR(J2618=0,AND(J2618=1,K2618=1),AND(J2618=1,I2618="SBJ"),AND(J2618=1,I2618=0)),"?IN_FOCUS",IF(J2618&lt;=2,"?ACTIVATED",IF(J2618&lt;&gt;"","?FAMILIAR",IF(F2618="NEW",IF(ISNA(VLOOKUP(E2618,#REF!,1,FALSE())),"?TYPE_IDENTIFIABLE","?REFERENTIAL"),"_")))))</f>
        <v> </v>
      </c>
      <c r="H2618" s="24" t="str">
        <f>IF(J2618&lt;&gt;1,"",IF(I2618="SBJ","CB","?"))</f>
        <v> </v>
      </c>
      <c r="I2618" s="25" t="str">
        <f>IF(OR(E2618="",E2618="!!!",F2618="NEW"),"",INDEX(B2617:B$2,-1+SUMPRODUCT(MAX(ROW(E2617:E$2)*(E2618=E2617:E$2)))))</f>
        <v> </v>
      </c>
      <c r="J2618" s="25" t="str">
        <f>IF(OR(E2618="",E2618="!!!",F2618="NEW"),"",COUNTBLANK(OFFSET(A$1,,,SUMPRODUCT(MAX(ROW(E$2:E2618)*(E2618=E$2:E2618)))))-COUNTBLANK(OFFSET(A$1,,,SUMPRODUCT(MAX(ROW(E$1:E2617)*(E2=E$1:E2617))))))</f>
        <v> </v>
      </c>
      <c r="K2618" s="25" t="str">
        <f>IF(OR(E2618="",E2618="!!!",F2618="NEW"),"",INDEX(J$1:J2617,SUMPRODUCT(MAX(ROW(E$1:E2617)*(E2618=E$1:E2617)))))</f>
        <v> </v>
      </c>
      <c r="L2618" s="26"/>
    </row>
    <row r="2619" spans="1:12">
      <c r="A2619" s="20" t="s">
        <v>1111</v>
      </c>
      <c r="E2619" s="21">
        <f>IF(D2619="?OLD","!!!","")</f>
        <v/>
      </c>
      <c r="F2619" s="22" t="str">
        <f>IF(OR(E2619="",E2619="!!!"),"",IF(NOT(ISNA(VLOOKUP(E2619,E$1:E2618,1,FALSE()))),"OLD",IF(AND(E2619&lt;&gt;"",E2619&lt;&gt;"!!!"),"NEW","")))</f>
        <v> </v>
      </c>
      <c r="G2619" s="23" t="str">
        <f>IF(OR(E2619="",E2619="!!!"),"",IF(OR(J2619=0,AND(J2619=1,K2619=1),AND(J2619=1,I2619="SBJ"),AND(J2619=1,I2619=0)),"?IN_FOCUS",IF(J2619&lt;=2,"?ACTIVATED",IF(J2619&lt;&gt;"","?FAMILIAR",IF(F2619="NEW",IF(ISNA(VLOOKUP(E2619,#REF!,1,FALSE())),"?TYPE_IDENTIFIABLE","?REFERENTIAL"),"_")))))</f>
        <v> </v>
      </c>
      <c r="H2619" s="24" t="str">
        <f>IF(J2619&lt;&gt;1,"",IF(I2619="SBJ","CB","?"))</f>
        <v> </v>
      </c>
      <c r="I2619" s="25" t="str">
        <f>IF(OR(E2619="",E2619="!!!",F2619="NEW"),"",INDEX(B2618:B$2,-1+SUMPRODUCT(MAX(ROW(E2618:E$2)*(E2619=E2618:E$2)))))</f>
        <v> </v>
      </c>
      <c r="J2619" s="25" t="str">
        <f>IF(OR(E2619="",E2619="!!!",F2619="NEW"),"",COUNTBLANK(OFFSET(A$1,,,SUMPRODUCT(MAX(ROW(E$2:E2619)*(E2619=E$2:E2619)))))-COUNTBLANK(OFFSET(A$1,,,SUMPRODUCT(MAX(ROW(E$1:E2618)*(E2=E$1:E2618))))))</f>
        <v> </v>
      </c>
      <c r="K2619" s="25" t="str">
        <f>IF(OR(E2619="",E2619="!!!",F2619="NEW"),"",INDEX(J$1:J2618,SUMPRODUCT(MAX(ROW(E$1:E2618)*(E2619=E$1:E2618)))))</f>
        <v> </v>
      </c>
      <c r="L2619" s="26"/>
    </row>
    <row r="2620" spans="1:12">
      <c r="A2620" s="20" t="s">
        <v>1023</v>
      </c>
      <c r="E2620" s="21">
        <f>IF(D2620="?OLD","!!!","")</f>
        <v/>
      </c>
      <c r="F2620" s="22" t="str">
        <f>IF(OR(E2620="",E2620="!!!"),"",IF(NOT(ISNA(VLOOKUP(E2620,E$1:E2619,1,FALSE()))),"OLD",IF(AND(E2620&lt;&gt;"",E2620&lt;&gt;"!!!"),"NEW","")))</f>
        <v> </v>
      </c>
      <c r="G2620" s="23" t="str">
        <f>IF(OR(E2620="",E2620="!!!"),"",IF(OR(J2620=0,AND(J2620=1,K2620=1),AND(J2620=1,I2620="SBJ"),AND(J2620=1,I2620=0)),"?IN_FOCUS",IF(J2620&lt;=2,"?ACTIVATED",IF(J2620&lt;&gt;"","?FAMILIAR",IF(F2620="NEW",IF(ISNA(VLOOKUP(E2620,#REF!,1,FALSE())),"?TYPE_IDENTIFIABLE","?REFERENTIAL"),"_")))))</f>
        <v> </v>
      </c>
      <c r="H2620" s="24" t="str">
        <f>IF(J2620&lt;&gt;1,"",IF(I2620="SBJ","CB","?"))</f>
        <v> </v>
      </c>
      <c r="I2620" s="25" t="str">
        <f>IF(OR(E2620="",E2620="!!!",F2620="NEW"),"",INDEX(B2619:B$2,-1+SUMPRODUCT(MAX(ROW(E2619:E$2)*(E2620=E2619:E$2)))))</f>
        <v> </v>
      </c>
      <c r="J2620" s="25" t="str">
        <f>IF(OR(E2620="",E2620="!!!",F2620="NEW"),"",COUNTBLANK(OFFSET(A$1,,,SUMPRODUCT(MAX(ROW(E$2:E2620)*(E2620=E$2:E2620)))))-COUNTBLANK(OFFSET(A$1,,,SUMPRODUCT(MAX(ROW(E$1:E2619)*(E2=E$1:E2619))))))</f>
        <v> </v>
      </c>
      <c r="K2620" s="25" t="str">
        <f>IF(OR(E2620="",E2620="!!!",F2620="NEW"),"",INDEX(J$1:J2619,SUMPRODUCT(MAX(ROW(E$1:E2619)*(E2620=E$1:E2619)))))</f>
        <v> </v>
      </c>
      <c r="L2620" s="26"/>
    </row>
    <row r="2621" spans="1:12">
      <c r="A2621" s="20" t="s">
        <v>1019</v>
      </c>
      <c r="B2621" s="27" t="s">
        <v>1014</v>
      </c>
      <c r="C2621" s="27" t="s">
        <v>1038</v>
      </c>
      <c r="D2621" s="27" t="s">
        <v>1030</v>
      </c>
      <c r="E2621" s="21">
        <f>IF(D2621="?OLD","!!!","")</f>
        <v/>
      </c>
      <c r="F2621" s="22" t="str">
        <f>IF(OR(E2621="",E2621="!!!"),"",IF(NOT(ISNA(VLOOKUP(E2621,E$1:E2620,1,FALSE()))),"OLD",IF(AND(E2621&lt;&gt;"",E2621&lt;&gt;"!!!"),"NEW","")))</f>
        <v> </v>
      </c>
      <c r="G2621" s="23" t="str">
        <f>IF(OR(E2621="",E2621="!!!"),"",IF(OR(J2621=0,AND(J2621=1,K2621=1),AND(J2621=1,I2621="SBJ"),AND(J2621=1,I2621=0)),"?IN_FOCUS",IF(J2621&lt;=2,"?ACTIVATED",IF(J2621&lt;&gt;"","?FAMILIAR",IF(F2621="NEW",IF(ISNA(VLOOKUP(E2621,#REF!,1,FALSE())),"?TYPE_IDENTIFIABLE","?REFERENTIAL"),"_")))))</f>
        <v> </v>
      </c>
      <c r="H2621" s="24" t="str">
        <f>IF(J2621&lt;&gt;1,"",IF(I2621="SBJ","CB","?"))</f>
        <v> </v>
      </c>
      <c r="I2621" s="25" t="str">
        <f>IF(OR(E2621="",E2621="!!!",F2621="NEW"),"",INDEX(B2620:B$2,-1+SUMPRODUCT(MAX(ROW(E2620:E$2)*(E2621=E2620:E$2)))))</f>
        <v> </v>
      </c>
      <c r="J2621" s="25" t="str">
        <f>IF(OR(E2621="",E2621="!!!",F2621="NEW"),"",COUNTBLANK(OFFSET(A$1,,,SUMPRODUCT(MAX(ROW(E$2:E2621)*(E2621=E$2:E2621)))))-COUNTBLANK(OFFSET(A$1,,,SUMPRODUCT(MAX(ROW(E$1:E2620)*(E2=E$1:E2620))))))</f>
        <v> </v>
      </c>
      <c r="K2621" s="25" t="str">
        <f>IF(OR(E2621="",E2621="!!!",F2621="NEW"),"",INDEX(J$1:J2620,SUMPRODUCT(MAX(ROW(E$1:E2620)*(E2621=E$1:E2620)))))</f>
        <v> </v>
      </c>
      <c r="L2621" s="26"/>
    </row>
    <row r="2622" spans="1:12">
      <c r="A2622" s="20" t="s">
        <v>1963</v>
      </c>
      <c r="E2622" s="21">
        <f>IF(D2622="?OLD","!!!","")</f>
        <v/>
      </c>
      <c r="F2622" s="22" t="str">
        <f>IF(OR(E2622="",E2622="!!!"),"",IF(NOT(ISNA(VLOOKUP(E2622,E$1:E2621,1,FALSE()))),"OLD",IF(AND(E2622&lt;&gt;"",E2622&lt;&gt;"!!!"),"NEW","")))</f>
        <v> </v>
      </c>
      <c r="G2622" s="23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4" t="str">
        <f>IF(J2622&lt;&gt;1,"",IF(I2622="SBJ","CB","?"))</f>
        <v> </v>
      </c>
      <c r="I2622" s="25" t="str">
        <f>IF(OR(E2622="",E2622="!!!",F2622="NEW"),"",INDEX(B2621:B$2,-1+SUMPRODUCT(MAX(ROW(E2621:E$2)*(E2622=E2621:E$2)))))</f>
        <v> </v>
      </c>
      <c r="J2622" s="25" t="str">
        <f>IF(OR(E2622="",E2622="!!!",F2622="NEW"),"",COUNTBLANK(OFFSET(A$1,,,SUMPRODUCT(MAX(ROW(E$2:E2622)*(E2622=E$2:E2622)))))-COUNTBLANK(OFFSET(A$1,,,SUMPRODUCT(MAX(ROW(E$1:E2621)*(E2=E$1:E2621))))))</f>
        <v> </v>
      </c>
      <c r="K2622" s="25" t="str">
        <f>IF(OR(E2622="",E2622="!!!",F2622="NEW"),"",INDEX(J$1:J2621,SUMPRODUCT(MAX(ROW(E$1:E2621)*(E2622=E$1:E2621)))))</f>
        <v> </v>
      </c>
      <c r="L2622" s="26"/>
    </row>
    <row r="2623" spans="1:12">
      <c r="A2623" s="20" t="s">
        <v>135</v>
      </c>
      <c r="E2623" s="21">
        <f>IF(D2623="?OLD","!!!","")</f>
        <v/>
      </c>
      <c r="F2623" s="22" t="str">
        <f>IF(OR(E2623="",E2623="!!!"),"",IF(NOT(ISNA(VLOOKUP(E2623,E$1:E2622,1,FALSE()))),"OLD",IF(AND(E2623&lt;&gt;"",E2623&lt;&gt;"!!!"),"NEW","")))</f>
        <v> </v>
      </c>
      <c r="G2623" s="23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4" t="str">
        <f>IF(J2623&lt;&gt;1,"",IF(I2623="SBJ","CB","?"))</f>
        <v> </v>
      </c>
      <c r="I2623" s="25" t="str">
        <f>IF(OR(E2623="",E2623="!!!",F2623="NEW"),"",INDEX(B2622:B$2,-1+SUMPRODUCT(MAX(ROW(E2622:E$2)*(E2623=E2622:E$2)))))</f>
        <v> </v>
      </c>
      <c r="J2623" s="25" t="str">
        <f>IF(OR(E2623="",E2623="!!!",F2623="NEW"),"",COUNTBLANK(OFFSET(A$1,,,SUMPRODUCT(MAX(ROW(E$2:E2623)*(E2623=E$2:E2623)))))-COUNTBLANK(OFFSET(A$1,,,SUMPRODUCT(MAX(ROW(E$1:E2622)*(E2=E$1:E2622))))))</f>
        <v> </v>
      </c>
      <c r="K2623" s="25" t="str">
        <f>IF(OR(E2623="",E2623="!!!",F2623="NEW"),"",INDEX(J$1:J2622,SUMPRODUCT(MAX(ROW(E$1:E2622)*(E2623=E$1:E2622)))))</f>
        <v> </v>
      </c>
      <c r="L2623" s="26"/>
    </row>
    <row r="2624" spans="1:12">
      <c r="A2624" s="20"/>
    </row>
    <row r="2625" spans="1:12">
      <c r="A2625" s="20" t="s">
        <v>1964</v>
      </c>
    </row>
    <row r="2626" spans="1:12">
      <c r="A2626" s="20" t="s">
        <v>1088</v>
      </c>
      <c r="E2626" s="21">
        <f>IF(D2626="?OLD","!!!","")</f>
        <v/>
      </c>
      <c r="F2626" s="22" t="str">
        <f>IF(OR(E2626="",E2626="!!!"),"",IF(NOT(ISNA(VLOOKUP(E2626,E$1:E2625,1,FALSE()))),"OLD",IF(AND(E2626&lt;&gt;"",E2626&lt;&gt;"!!!"),"NEW","")))</f>
        <v> </v>
      </c>
      <c r="G2626" s="23" t="str">
        <f>IF(OR(E2626="",E2626="!!!"),"",IF(OR(J2626=0,AND(J2626=1,K2626=1),AND(J2626=1,I2626="SBJ"),AND(J2626=1,I2626=0)),"?IN_FOCUS",IF(J2626&lt;=2,"?ACTIVATED",IF(J2626&lt;&gt;"","?FAMILIAR",IF(F2626="NEW",IF(ISNA(VLOOKUP(E2626,#REF!,1,FALSE())),"?TYPE_IDENTIFIABLE","?REFERENTIAL"),"_")))))</f>
        <v> </v>
      </c>
      <c r="H2626" s="24" t="str">
        <f>IF(J2626&lt;&gt;1,"",IF(I2626="SBJ","CB","?"))</f>
        <v> </v>
      </c>
      <c r="I2626" s="25" t="str">
        <f>IF(OR(E2626="",E2626="!!!",F2626="NEW"),"",INDEX(B2625:B$2,-1+SUMPRODUCT(MAX(ROW(E2625:E$2)*(E2626=E2625:E$2)))))</f>
        <v> </v>
      </c>
      <c r="J2626" s="25" t="str">
        <f>IF(OR(E2626="",E2626="!!!",F2626="NEW"),"",COUNTBLANK(OFFSET(A$1,,,SUMPRODUCT(MAX(ROW(E$2:E2626)*(E2626=E$2:E2626)))))-COUNTBLANK(OFFSET(A$1,,,SUMPRODUCT(MAX(ROW(E$1:E2625)*(E2=E$1:E2625))))))</f>
        <v> </v>
      </c>
      <c r="K2626" s="25" t="str">
        <f>IF(OR(E2626="",E2626="!!!",F2626="NEW"),"",INDEX(J$1:J2625,SUMPRODUCT(MAX(ROW(E$1:E2625)*(E2626=E$1:E2625)))))</f>
        <v> </v>
      </c>
      <c r="L2626" s="26"/>
    </row>
    <row r="2627" spans="1:12">
      <c r="A2627" s="20" t="s">
        <v>1049</v>
      </c>
      <c r="E2627" s="21">
        <f>IF(D2627="?OLD","!!!","")</f>
        <v/>
      </c>
      <c r="F2627" s="22" t="str">
        <f>IF(OR(E2627="",E2627="!!!"),"",IF(NOT(ISNA(VLOOKUP(E2627,E$1:E2626,1,FALSE()))),"OLD",IF(AND(E2627&lt;&gt;"",E2627&lt;&gt;"!!!"),"NEW","")))</f>
        <v> </v>
      </c>
      <c r="G2627" s="23" t="str">
        <f>IF(OR(E2627="",E2627="!!!"),"",IF(OR(J2627=0,AND(J2627=1,K2627=1),AND(J2627=1,I2627="SBJ"),AND(J2627=1,I2627=0)),"?IN_FOCUS",IF(J2627&lt;=2,"?ACTIVATED",IF(J2627&lt;&gt;"","?FAMILIAR",IF(F2627="NEW",IF(ISNA(VLOOKUP(E2627,#REF!,1,FALSE())),"?TYPE_IDENTIFIABLE","?REFERENTIAL"),"_")))))</f>
        <v> </v>
      </c>
      <c r="H2627" s="24" t="str">
        <f>IF(J2627&lt;&gt;1,"",IF(I2627="SBJ","CB","?"))</f>
        <v> </v>
      </c>
      <c r="I2627" s="25" t="str">
        <f>IF(OR(E2627="",E2627="!!!",F2627="NEW"),"",INDEX(B2626:B$2,-1+SUMPRODUCT(MAX(ROW(E2626:E$2)*(E2627=E2626:E$2)))))</f>
        <v> </v>
      </c>
      <c r="J2627" s="25" t="str">
        <f>IF(OR(E2627="",E2627="!!!",F2627="NEW"),"",COUNTBLANK(OFFSET(A$1,,,SUMPRODUCT(MAX(ROW(E$2:E2627)*(E2627=E$2:E2627)))))-COUNTBLANK(OFFSET(A$1,,,SUMPRODUCT(MAX(ROW(E$1:E2626)*(E2=E$1:E2626))))))</f>
        <v> </v>
      </c>
      <c r="K2627" s="25" t="str">
        <f>IF(OR(E2627="",E2627="!!!",F2627="NEW"),"",INDEX(J$1:J2626,SUMPRODUCT(MAX(ROW(E$1:E2626)*(E2627=E$1:E2626)))))</f>
        <v> </v>
      </c>
      <c r="L2627" s="26"/>
    </row>
    <row r="2628" spans="1:12">
      <c r="A2628" s="20" t="s">
        <v>1965</v>
      </c>
      <c r="E2628" s="21">
        <f>IF(D2628="?OLD","!!!","")</f>
        <v/>
      </c>
      <c r="F2628" s="22" t="str">
        <f>IF(OR(E2628="",E2628="!!!"),"",IF(NOT(ISNA(VLOOKUP(E2628,E$1:E2627,1,FALSE()))),"OLD",IF(AND(E2628&lt;&gt;"",E2628&lt;&gt;"!!!"),"NEW","")))</f>
        <v> </v>
      </c>
      <c r="G2628" s="23" t="str">
        <f>IF(OR(E2628="",E2628="!!!"),"",IF(OR(J2628=0,AND(J2628=1,K2628=1),AND(J2628=1,I2628="SBJ"),AND(J2628=1,I2628=0)),"?IN_FOCUS",IF(J2628&lt;=2,"?ACTIVATED",IF(J2628&lt;&gt;"","?FAMILIAR",IF(F2628="NEW",IF(ISNA(VLOOKUP(E2628,#REF!,1,FALSE())),"?TYPE_IDENTIFIABLE","?REFERENTIAL"),"_")))))</f>
        <v> </v>
      </c>
      <c r="H2628" s="24" t="str">
        <f>IF(J2628&lt;&gt;1,"",IF(I2628="SBJ","CB","?"))</f>
        <v> </v>
      </c>
      <c r="I2628" s="25" t="str">
        <f>IF(OR(E2628="",E2628="!!!",F2628="NEW"),"",INDEX(B2627:B$2,-1+SUMPRODUCT(MAX(ROW(E2627:E$2)*(E2628=E2627:E$2)))))</f>
        <v> </v>
      </c>
      <c r="J2628" s="25" t="str">
        <f>IF(OR(E2628="",E2628="!!!",F2628="NEW"),"",COUNTBLANK(OFFSET(A$1,,,SUMPRODUCT(MAX(ROW(E$2:E2628)*(E2628=E$2:E2628)))))-COUNTBLANK(OFFSET(A$1,,,SUMPRODUCT(MAX(ROW(E$1:E2627)*(E2=E$1:E2627))))))</f>
        <v> </v>
      </c>
      <c r="K2628" s="25" t="str">
        <f>IF(OR(E2628="",E2628="!!!",F2628="NEW"),"",INDEX(J$1:J2627,SUMPRODUCT(MAX(ROW(E$1:E2627)*(E2628=E$1:E2627)))))</f>
        <v> </v>
      </c>
      <c r="L2628" s="26"/>
    </row>
    <row r="2629" spans="1:12">
      <c r="A2629" s="20" t="s">
        <v>135</v>
      </c>
      <c r="E2629" s="21">
        <f>IF(D2629="?OLD","!!!","")</f>
        <v/>
      </c>
      <c r="F2629" s="22" t="str">
        <f>IF(OR(E2629="",E2629="!!!"),"",IF(NOT(ISNA(VLOOKUP(E2629,E$1:E2628,1,FALSE()))),"OLD",IF(AND(E2629&lt;&gt;"",E2629&lt;&gt;"!!!"),"NEW","")))</f>
        <v> </v>
      </c>
      <c r="G2629" s="23" t="str">
        <f>IF(OR(E2629="",E2629="!!!"),"",IF(OR(J2629=0,AND(J2629=1,K2629=1),AND(J2629=1,I2629="SBJ"),AND(J2629=1,I2629=0)),"?IN_FOCUS",IF(J2629&lt;=2,"?ACTIVATED",IF(J2629&lt;&gt;"","?FAMILIAR",IF(F2629="NEW",IF(ISNA(VLOOKUP(E2629,#REF!,1,FALSE())),"?TYPE_IDENTIFIABLE","?REFERENTIAL"),"_")))))</f>
        <v> </v>
      </c>
      <c r="H2629" s="24" t="str">
        <f>IF(J2629&lt;&gt;1,"",IF(I2629="SBJ","CB","?"))</f>
        <v> </v>
      </c>
      <c r="I2629" s="25" t="str">
        <f>IF(OR(E2629="",E2629="!!!",F2629="NEW"),"",INDEX(B2628:B$2,-1+SUMPRODUCT(MAX(ROW(E2628:E$2)*(E2629=E2628:E$2)))))</f>
        <v> </v>
      </c>
      <c r="J2629" s="25" t="str">
        <f>IF(OR(E2629="",E2629="!!!",F2629="NEW"),"",COUNTBLANK(OFFSET(A$1,,,SUMPRODUCT(MAX(ROW(E$2:E2629)*(E2629=E$2:E2629)))))-COUNTBLANK(OFFSET(A$1,,,SUMPRODUCT(MAX(ROW(E$1:E2628)*(E2=E$1:E2628))))))</f>
        <v> </v>
      </c>
      <c r="K2629" s="25" t="str">
        <f>IF(OR(E2629="",E2629="!!!",F2629="NEW"),"",INDEX(J$1:J2628,SUMPRODUCT(MAX(ROW(E$1:E2628)*(E2629=E$1:E2628)))))</f>
        <v> </v>
      </c>
      <c r="L2629" s="26"/>
    </row>
    <row r="2630" spans="1:12">
      <c r="A2630" s="20"/>
    </row>
    <row r="2631" spans="1:12">
      <c r="A2631" s="20" t="s">
        <v>1966</v>
      </c>
    </row>
    <row r="2632" spans="1:12">
      <c r="A2632" s="20" t="s">
        <v>1062</v>
      </c>
      <c r="E2632" s="21">
        <f>IF(D2632="?OLD","!!!","")</f>
        <v/>
      </c>
      <c r="F2632" s="22" t="str">
        <f>IF(OR(E2632="",E2632="!!!"),"",IF(NOT(ISNA(VLOOKUP(E2632,E$1:E2631,1,FALSE()))),"OLD",IF(AND(E2632&lt;&gt;"",E2632&lt;&gt;"!!!"),"NEW","")))</f>
        <v> </v>
      </c>
      <c r="G2632" s="23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4" t="str">
        <f>IF(J2632&lt;&gt;1,"",IF(I2632="SBJ","CB","?"))</f>
        <v> </v>
      </c>
      <c r="I2632" s="25" t="str">
        <f>IF(OR(E2632="",E2632="!!!",F2632="NEW"),"",INDEX(B2631:B$2,-1+SUMPRODUCT(MAX(ROW(E2631:E$2)*(E2632=E2631:E$2)))))</f>
        <v> </v>
      </c>
      <c r="J2632" s="25" t="str">
        <f>IF(OR(E2632="",E2632="!!!",F2632="NEW"),"",COUNTBLANK(OFFSET(A$1,,,SUMPRODUCT(MAX(ROW(E$2:E2632)*(E2632=E$2:E2632)))))-COUNTBLANK(OFFSET(A$1,,,SUMPRODUCT(MAX(ROW(E$1:E2631)*(E2=E$1:E2631))))))</f>
        <v> </v>
      </c>
      <c r="K2632" s="25" t="str">
        <f>IF(OR(E2632="",E2632="!!!",F2632="NEW"),"",INDEX(J$1:J2631,SUMPRODUCT(MAX(ROW(E$1:E2631)*(E2632=E$1:E2631)))))</f>
        <v> </v>
      </c>
      <c r="L2632" s="26"/>
    </row>
    <row r="2633" spans="1:12">
      <c r="A2633" s="20" t="s">
        <v>1407</v>
      </c>
      <c r="E2633" s="21">
        <f>IF(D2633="?OLD","!!!","")</f>
        <v/>
      </c>
      <c r="F2633" s="22" t="str">
        <f>IF(OR(E2633="",E2633="!!!"),"",IF(NOT(ISNA(VLOOKUP(E2633,E$1:E2632,1,FALSE()))),"OLD",IF(AND(E2633&lt;&gt;"",E2633&lt;&gt;"!!!"),"NEW","")))</f>
        <v> </v>
      </c>
      <c r="G2633" s="23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4" t="str">
        <f>IF(J2633&lt;&gt;1,"",IF(I2633="SBJ","CB","?"))</f>
        <v> </v>
      </c>
      <c r="I2633" s="25" t="str">
        <f>IF(OR(E2633="",E2633="!!!",F2633="NEW"),"",INDEX(B2632:B$2,-1+SUMPRODUCT(MAX(ROW(E2632:E$2)*(E2633=E2632:E$2)))))</f>
        <v> </v>
      </c>
      <c r="J2633" s="25" t="str">
        <f>IF(OR(E2633="",E2633="!!!",F2633="NEW"),"",COUNTBLANK(OFFSET(A$1,,,SUMPRODUCT(MAX(ROW(E$2:E2633)*(E2633=E$2:E2633)))))-COUNTBLANK(OFFSET(A$1,,,SUMPRODUCT(MAX(ROW(E$1:E2632)*(E2=E$1:E2632))))))</f>
        <v> </v>
      </c>
      <c r="K2633" s="25" t="str">
        <f>IF(OR(E2633="",E2633="!!!",F2633="NEW"),"",INDEX(J$1:J2632,SUMPRODUCT(MAX(ROW(E$1:E2632)*(E2633=E$1:E2632)))))</f>
        <v> </v>
      </c>
      <c r="L2633" s="26"/>
    </row>
    <row r="2634" spans="1:12">
      <c r="A2634" s="20" t="s">
        <v>1535</v>
      </c>
      <c r="E2634" s="21">
        <f>IF(D2634="?OLD","!!!","")</f>
        <v/>
      </c>
      <c r="F2634" s="22" t="str">
        <f>IF(OR(E2634="",E2634="!!!"),"",IF(NOT(ISNA(VLOOKUP(E2634,E$1:E2633,1,FALSE()))),"OLD",IF(AND(E2634&lt;&gt;"",E2634&lt;&gt;"!!!"),"NEW","")))</f>
        <v> </v>
      </c>
      <c r="G2634" s="23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4" t="str">
        <f>IF(J2634&lt;&gt;1,"",IF(I2634="SBJ","CB","?"))</f>
        <v> </v>
      </c>
      <c r="I2634" s="25" t="str">
        <f>IF(OR(E2634="",E2634="!!!",F2634="NEW"),"",INDEX(B2633:B$2,-1+SUMPRODUCT(MAX(ROW(E2633:E$2)*(E2634=E2633:E$2)))))</f>
        <v> </v>
      </c>
      <c r="J2634" s="25" t="str">
        <f>IF(OR(E2634="",E2634="!!!",F2634="NEW"),"",COUNTBLANK(OFFSET(A$1,,,SUMPRODUCT(MAX(ROW(E$2:E2634)*(E2634=E$2:E2634)))))-COUNTBLANK(OFFSET(A$1,,,SUMPRODUCT(MAX(ROW(E$1:E2633)*(E2=E$1:E2633))))))</f>
        <v> </v>
      </c>
      <c r="K2634" s="25" t="str">
        <f>IF(OR(E2634="",E2634="!!!",F2634="NEW"),"",INDEX(J$1:J2633,SUMPRODUCT(MAX(ROW(E$1:E2633)*(E2634=E$1:E2633)))))</f>
        <v> </v>
      </c>
      <c r="L2634" s="26"/>
    </row>
    <row r="2635" spans="1:12">
      <c r="A2635" s="20" t="s">
        <v>135</v>
      </c>
      <c r="E2635" s="21">
        <f>IF(D2635="?OLD","!!!","")</f>
        <v/>
      </c>
      <c r="F2635" s="22" t="str">
        <f>IF(OR(E2635="",E2635="!!!"),"",IF(NOT(ISNA(VLOOKUP(E2635,E$1:E2634,1,FALSE()))),"OLD",IF(AND(E2635&lt;&gt;"",E2635&lt;&gt;"!!!"),"NEW","")))</f>
        <v> </v>
      </c>
      <c r="G2635" s="23" t="str">
        <f>IF(OR(E2635="",E2635="!!!"),"",IF(OR(J2635=0,AND(J2635=1,K2635=1),AND(J2635=1,I2635="SBJ"),AND(J2635=1,I2635=0)),"?IN_FOCUS",IF(J2635&lt;=2,"?ACTIVATED",IF(J2635&lt;&gt;"","?FAMILIAR",IF(F2635="NEW",IF(ISNA(VLOOKUP(E2635,#REF!,1,FALSE())),"?TYPE_IDENTIFIABLE","?REFERENTIAL"),"_")))))</f>
        <v> </v>
      </c>
      <c r="H2635" s="24" t="str">
        <f>IF(J2635&lt;&gt;1,"",IF(I2635="SBJ","CB","?"))</f>
        <v> </v>
      </c>
      <c r="I2635" s="25" t="str">
        <f>IF(OR(E2635="",E2635="!!!",F2635="NEW"),"",INDEX(B2634:B$2,-1+SUMPRODUCT(MAX(ROW(E2634:E$2)*(E2635=E2634:E$2)))))</f>
        <v> </v>
      </c>
      <c r="J2635" s="25" t="str">
        <f>IF(OR(E2635="",E2635="!!!",F2635="NEW"),"",COUNTBLANK(OFFSET(A$1,,,SUMPRODUCT(MAX(ROW(E$2:E2635)*(E2635=E$2:E2635)))))-COUNTBLANK(OFFSET(A$1,,,SUMPRODUCT(MAX(ROW(E$1:E2634)*(E2=E$1:E2634))))))</f>
        <v> </v>
      </c>
      <c r="K2635" s="25" t="str">
        <f>IF(OR(E2635="",E2635="!!!",F2635="NEW"),"",INDEX(J$1:J2634,SUMPRODUCT(MAX(ROW(E$1:E2634)*(E2635=E$1:E2634)))))</f>
        <v> </v>
      </c>
      <c r="L2635" s="26"/>
    </row>
    <row r="2636" spans="1:12">
      <c r="A2636" s="20"/>
    </row>
    <row r="2637" spans="1:12">
      <c r="A2637" s="20" t="s">
        <v>1967</v>
      </c>
    </row>
    <row r="2638" spans="1:12">
      <c r="A2638" s="20" t="s">
        <v>1218</v>
      </c>
      <c r="E2638" s="21">
        <f>IF(D2638="?OLD","!!!","")</f>
        <v/>
      </c>
      <c r="F2638" s="22" t="str">
        <f>IF(OR(E2638="",E2638="!!!"),"",IF(NOT(ISNA(VLOOKUP(E2638,E$1:E2637,1,FALSE()))),"OLD",IF(AND(E2638&lt;&gt;"",E2638&lt;&gt;"!!!"),"NEW","")))</f>
        <v> </v>
      </c>
      <c r="G2638" s="23" t="str">
        <f>IF(OR(E2638="",E2638="!!!"),"",IF(OR(J2638=0,AND(J2638=1,K2638=1),AND(J2638=1,I2638="SBJ"),AND(J2638=1,I2638=0)),"?IN_FOCUS",IF(J2638&lt;=2,"?ACTIVATED",IF(J2638&lt;&gt;"","?FAMILIAR",IF(F2638="NEW",IF(ISNA(VLOOKUP(E2638,#REF!,1,FALSE())),"?TYPE_IDENTIFIABLE","?REFERENTIAL"),"_")))))</f>
        <v> </v>
      </c>
      <c r="H2638" s="24" t="str">
        <f>IF(J2638&lt;&gt;1,"",IF(I2638="SBJ","CB","?"))</f>
        <v> </v>
      </c>
      <c r="I2638" s="25" t="str">
        <f>IF(OR(E2638="",E2638="!!!",F2638="NEW"),"",INDEX(B2637:B$2,-1+SUMPRODUCT(MAX(ROW(E2637:E$2)*(E2638=E2637:E$2)))))</f>
        <v> </v>
      </c>
      <c r="J2638" s="25" t="str">
        <f>IF(OR(E2638="",E2638="!!!",F2638="NEW"),"",COUNTBLANK(OFFSET(A$1,,,SUMPRODUCT(MAX(ROW(E$2:E2638)*(E2638=E$2:E2638)))))-COUNTBLANK(OFFSET(A$1,,,SUMPRODUCT(MAX(ROW(E$1:E2637)*(E2=E$1:E2637))))))</f>
        <v> </v>
      </c>
      <c r="K2638" s="25" t="str">
        <f>IF(OR(E2638="",E2638="!!!",F2638="NEW"),"",INDEX(J$1:J2637,SUMPRODUCT(MAX(ROW(E$1:E2637)*(E2638=E$1:E2637)))))</f>
        <v> </v>
      </c>
      <c r="L2638" s="26"/>
    </row>
    <row r="2639" spans="1:12">
      <c r="A2639" s="20" t="s">
        <v>1968</v>
      </c>
      <c r="B2639" s="27" t="s">
        <v>1079</v>
      </c>
      <c r="C2639" s="27" t="s">
        <v>1077</v>
      </c>
      <c r="D2639" s="27" t="s">
        <v>1030</v>
      </c>
      <c r="E2639" s="21">
        <f>IF(D2639="?OLD","!!!","")</f>
        <v/>
      </c>
      <c r="F2639" s="22" t="str">
        <f>IF(OR(E2639="",E2639="!!!"),"",IF(NOT(ISNA(VLOOKUP(E2639,E$1:E2638,1,FALSE()))),"OLD",IF(AND(E2639&lt;&gt;"",E2639&lt;&gt;"!!!"),"NEW","")))</f>
        <v> </v>
      </c>
      <c r="G2639" s="23" t="str">
        <f>IF(OR(E2639="",E2639="!!!"),"",IF(OR(J2639=0,AND(J2639=1,K2639=1),AND(J2639=1,I2639="SBJ"),AND(J2639=1,I2639=0)),"?IN_FOCUS",IF(J2639&lt;=2,"?ACTIVATED",IF(J2639&lt;&gt;"","?FAMILIAR",IF(F2639="NEW",IF(ISNA(VLOOKUP(E2639,#REF!,1,FALSE())),"?TYPE_IDENTIFIABLE","?REFERENTIAL"),"_")))))</f>
        <v> </v>
      </c>
      <c r="H2639" s="24" t="str">
        <f>IF(J2639&lt;&gt;1,"",IF(I2639="SBJ","CB","?"))</f>
        <v> </v>
      </c>
      <c r="I2639" s="25" t="str">
        <f>IF(OR(E2639="",E2639="!!!",F2639="NEW"),"",INDEX(B2638:B$2,-1+SUMPRODUCT(MAX(ROW(E2638:E$2)*(E2639=E2638:E$2)))))</f>
        <v> </v>
      </c>
      <c r="J2639" s="25" t="str">
        <f>IF(OR(E2639="",E2639="!!!",F2639="NEW"),"",COUNTBLANK(OFFSET(A$1,,,SUMPRODUCT(MAX(ROW(E$2:E2639)*(E2639=E$2:E2639)))))-COUNTBLANK(OFFSET(A$1,,,SUMPRODUCT(MAX(ROW(E$1:E2638)*(E2=E$1:E2638))))))</f>
        <v> </v>
      </c>
      <c r="K2639" s="25" t="str">
        <f>IF(OR(E2639="",E2639="!!!",F2639="NEW"),"",INDEX(J$1:J2638,SUMPRODUCT(MAX(ROW(E$1:E2638)*(E2639=E$1:E2638)))))</f>
        <v> </v>
      </c>
      <c r="L2639" s="26"/>
    </row>
    <row r="2640" spans="1:12">
      <c r="A2640" s="20" t="s">
        <v>1969</v>
      </c>
      <c r="B2640" s="27" t="s">
        <v>1041</v>
      </c>
      <c r="C2640" s="27" t="s">
        <v>1038</v>
      </c>
      <c r="D2640" s="27" t="s">
        <v>1030</v>
      </c>
      <c r="E2640" s="21">
        <f>IF(D2640="?OLD","!!!","")</f>
        <v/>
      </c>
      <c r="F2640" s="22" t="str">
        <f>IF(OR(E2640="",E2640="!!!"),"",IF(NOT(ISNA(VLOOKUP(E2640,E$1:E2639,1,FALSE()))),"OLD",IF(AND(E2640&lt;&gt;"",E2640&lt;&gt;"!!!"),"NEW","")))</f>
        <v> </v>
      </c>
      <c r="G2640" s="23" t="str">
        <f>IF(OR(E2640="",E2640="!!!"),"",IF(OR(J2640=0,AND(J2640=1,K2640=1),AND(J2640=1,I2640="SBJ"),AND(J2640=1,I2640=0)),"?IN_FOCUS",IF(J2640&lt;=2,"?ACTIVATED",IF(J2640&lt;&gt;"","?FAMILIAR",IF(F2640="NEW",IF(ISNA(VLOOKUP(E2640,#REF!,1,FALSE())),"?TYPE_IDENTIFIABLE","?REFERENTIAL"),"_")))))</f>
        <v> </v>
      </c>
      <c r="H2640" s="24" t="str">
        <f>IF(J2640&lt;&gt;1,"",IF(I2640="SBJ","CB","?"))</f>
        <v> </v>
      </c>
      <c r="I2640" s="25" t="str">
        <f>IF(OR(E2640="",E2640="!!!",F2640="NEW"),"",INDEX(B2639:B$2,-1+SUMPRODUCT(MAX(ROW(E2639:E$2)*(E2640=E2639:E$2)))))</f>
        <v> </v>
      </c>
      <c r="J2640" s="25" t="str">
        <f>IF(OR(E2640="",E2640="!!!",F2640="NEW"),"",COUNTBLANK(OFFSET(A$1,,,SUMPRODUCT(MAX(ROW(E$2:E2640)*(E2640=E$2:E2640)))))-COUNTBLANK(OFFSET(A$1,,,SUMPRODUCT(MAX(ROW(E$1:E2639)*(E2=E$1:E2639))))))</f>
        <v> </v>
      </c>
      <c r="K2640" s="25" t="str">
        <f>IF(OR(E2640="",E2640="!!!",F2640="NEW"),"",INDEX(J$1:J2639,SUMPRODUCT(MAX(ROW(E$1:E2639)*(E2640=E$1:E2639)))))</f>
        <v> </v>
      </c>
      <c r="L2640" s="26"/>
    </row>
    <row r="2641" spans="1:12">
      <c r="A2641" s="20" t="s">
        <v>1970</v>
      </c>
      <c r="E2641" s="21">
        <f>IF(D2641="?OLD","!!!","")</f>
        <v/>
      </c>
      <c r="F2641" s="22" t="str">
        <f>IF(OR(E2641="",E2641="!!!"),"",IF(NOT(ISNA(VLOOKUP(E2641,E$1:E2640,1,FALSE()))),"OLD",IF(AND(E2641&lt;&gt;"",E2641&lt;&gt;"!!!"),"NEW","")))</f>
        <v> </v>
      </c>
      <c r="G2641" s="23" t="str">
        <f>IF(OR(E2641="",E2641="!!!"),"",IF(OR(J2641=0,AND(J2641=1,K2641=1),AND(J2641=1,I2641="SBJ"),AND(J2641=1,I2641=0)),"?IN_FOCUS",IF(J2641&lt;=2,"?ACTIVATED",IF(J2641&lt;&gt;"","?FAMILIAR",IF(F2641="NEW",IF(ISNA(VLOOKUP(E2641,#REF!,1,FALSE())),"?TYPE_IDENTIFIABLE","?REFERENTIAL"),"_")))))</f>
        <v> </v>
      </c>
      <c r="H2641" s="24" t="str">
        <f>IF(J2641&lt;&gt;1,"",IF(I2641="SBJ","CB","?"))</f>
        <v> </v>
      </c>
      <c r="I2641" s="25" t="str">
        <f>IF(OR(E2641="",E2641="!!!",F2641="NEW"),"",INDEX(B2640:B$2,-1+SUMPRODUCT(MAX(ROW(E2640:E$2)*(E2641=E2640:E$2)))))</f>
        <v> </v>
      </c>
      <c r="J2641" s="25" t="str">
        <f>IF(OR(E2641="",E2641="!!!",F2641="NEW"),"",COUNTBLANK(OFFSET(A$1,,,SUMPRODUCT(MAX(ROW(E$2:E2641)*(E2641=E$2:E2641)))))-COUNTBLANK(OFFSET(A$1,,,SUMPRODUCT(MAX(ROW(E$1:E2640)*(E2=E$1:E2640))))))</f>
        <v> </v>
      </c>
      <c r="K2641" s="25" t="str">
        <f>IF(OR(E2641="",E2641="!!!",F2641="NEW"),"",INDEX(J$1:J2640,SUMPRODUCT(MAX(ROW(E$1:E2640)*(E2641=E$1:E2640)))))</f>
        <v> </v>
      </c>
      <c r="L2641" s="26"/>
    </row>
    <row r="2642" spans="1:12">
      <c r="A2642" s="20" t="s">
        <v>1205</v>
      </c>
      <c r="E2642" s="21">
        <f>IF(D2642="?OLD","!!!","")</f>
        <v/>
      </c>
      <c r="F2642" s="22" t="str">
        <f>IF(OR(E2642="",E2642="!!!"),"",IF(NOT(ISNA(VLOOKUP(E2642,E$1:E2641,1,FALSE()))),"OLD",IF(AND(E2642&lt;&gt;"",E2642&lt;&gt;"!!!"),"NEW","")))</f>
        <v> </v>
      </c>
      <c r="G2642" s="23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4" t="str">
        <f>IF(J2642&lt;&gt;1,"",IF(I2642="SBJ","CB","?"))</f>
        <v> </v>
      </c>
      <c r="I2642" s="25" t="str">
        <f>IF(OR(E2642="",E2642="!!!",F2642="NEW"),"",INDEX(B2641:B$2,-1+SUMPRODUCT(MAX(ROW(E2641:E$2)*(E2642=E2641:E$2)))))</f>
        <v> </v>
      </c>
      <c r="J2642" s="25" t="str">
        <f>IF(OR(E2642="",E2642="!!!",F2642="NEW"),"",COUNTBLANK(OFFSET(A$1,,,SUMPRODUCT(MAX(ROW(E$2:E2642)*(E2642=E$2:E2642)))))-COUNTBLANK(OFFSET(A$1,,,SUMPRODUCT(MAX(ROW(E$1:E2641)*(E2=E$1:E2641))))))</f>
        <v> </v>
      </c>
      <c r="K2642" s="25" t="str">
        <f>IF(OR(E2642="",E2642="!!!",F2642="NEW"),"",INDEX(J$1:J2641,SUMPRODUCT(MAX(ROW(E$1:E2641)*(E2642=E$1:E2641)))))</f>
        <v> </v>
      </c>
      <c r="L2642" s="26"/>
    </row>
    <row r="2643" spans="1:12">
      <c r="A2643" s="20" t="s">
        <v>1971</v>
      </c>
      <c r="B2643" s="27" t="s">
        <v>1014</v>
      </c>
      <c r="C2643" s="27" t="s">
        <v>1015</v>
      </c>
      <c r="E2643" s="21">
        <f>IF(D2643="?OLD","!!!","")</f>
        <v/>
      </c>
      <c r="F2643" s="22" t="str">
        <f>IF(OR(E2643="",E2643="!!!"),"",IF(NOT(ISNA(VLOOKUP(E2643,E$1:E2642,1,FALSE()))),"OLD",IF(AND(E2643&lt;&gt;"",E2643&lt;&gt;"!!!"),"NEW","")))</f>
        <v> </v>
      </c>
      <c r="G2643" s="23" t="str">
        <f>IF(OR(E2643="",E2643="!!!"),"",IF(OR(J2643=0,AND(J2643=1,K2643=1),AND(J2643=1,I2643="SBJ"),AND(J2643=1,I2643=0)),"?IN_FOCUS",IF(J2643&lt;=2,"?ACTIVATED",IF(J2643&lt;&gt;"","?FAMILIAR",IF(F2643="NEW",IF(ISNA(VLOOKUP(E2643,#REF!,1,FALSE())),"?TYPE_IDENTIFIABLE","?REFERENTIAL"),"_")))))</f>
        <v> </v>
      </c>
      <c r="H2643" s="24" t="str">
        <f>IF(J2643&lt;&gt;1,"",IF(I2643="SBJ","CB","?"))</f>
        <v> </v>
      </c>
      <c r="I2643" s="25" t="str">
        <f>IF(OR(E2643="",E2643="!!!",F2643="NEW"),"",INDEX(B2642:B$2,-1+SUMPRODUCT(MAX(ROW(E2642:E$2)*(E2643=E2642:E$2)))))</f>
        <v> </v>
      </c>
      <c r="J2643" s="25" t="str">
        <f>IF(OR(E2643="",E2643="!!!",F2643="NEW"),"",COUNTBLANK(OFFSET(A$1,,,SUMPRODUCT(MAX(ROW(E$2:E2643)*(E2643=E$2:E2643)))))-COUNTBLANK(OFFSET(A$1,,,SUMPRODUCT(MAX(ROW(E$1:E2642)*(E2=E$1:E2642))))))</f>
        <v> </v>
      </c>
      <c r="K2643" s="25" t="str">
        <f>IF(OR(E2643="",E2643="!!!",F2643="NEW"),"",INDEX(J$1:J2642,SUMPRODUCT(MAX(ROW(E$1:E2642)*(E2643=E$1:E2642)))))</f>
        <v> </v>
      </c>
      <c r="L2643" s="26"/>
    </row>
    <row r="2644" spans="1:12">
      <c r="A2644" s="20" t="s">
        <v>135</v>
      </c>
      <c r="E2644" s="21">
        <f>IF(D2644="?OLD","!!!","")</f>
        <v/>
      </c>
      <c r="F2644" s="22" t="str">
        <f>IF(OR(E2644="",E2644="!!!"),"",IF(NOT(ISNA(VLOOKUP(E2644,E$1:E2643,1,FALSE()))),"OLD",IF(AND(E2644&lt;&gt;"",E2644&lt;&gt;"!!!"),"NEW","")))</f>
        <v> </v>
      </c>
      <c r="G2644" s="23" t="str">
        <f>IF(OR(E2644="",E2644="!!!"),"",IF(OR(J2644=0,AND(J2644=1,K2644=1),AND(J2644=1,I2644="SBJ"),AND(J2644=1,I2644=0)),"?IN_FOCUS",IF(J2644&lt;=2,"?ACTIVATED",IF(J2644&lt;&gt;"","?FAMILIAR",IF(F2644="NEW",IF(ISNA(VLOOKUP(E2644,#REF!,1,FALSE())),"?TYPE_IDENTIFIABLE","?REFERENTIAL"),"_")))))</f>
        <v> </v>
      </c>
      <c r="H2644" s="24" t="str">
        <f>IF(J2644&lt;&gt;1,"",IF(I2644="SBJ","CB","?"))</f>
        <v> </v>
      </c>
      <c r="I2644" s="25" t="str">
        <f>IF(OR(E2644="",E2644="!!!",F2644="NEW"),"",INDEX(B2643:B$2,-1+SUMPRODUCT(MAX(ROW(E2643:E$2)*(E2644=E2643:E$2)))))</f>
        <v> </v>
      </c>
      <c r="J2644" s="25" t="str">
        <f>IF(OR(E2644="",E2644="!!!",F2644="NEW"),"",COUNTBLANK(OFFSET(A$1,,,SUMPRODUCT(MAX(ROW(E$2:E2644)*(E2644=E$2:E2644)))))-COUNTBLANK(OFFSET(A$1,,,SUMPRODUCT(MAX(ROW(E$1:E2643)*(E2=E$1:E2643))))))</f>
        <v> </v>
      </c>
      <c r="K2644" s="25" t="str">
        <f>IF(OR(E2644="",E2644="!!!",F2644="NEW"),"",INDEX(J$1:J2643,SUMPRODUCT(MAX(ROW(E$1:E2643)*(E2644=E$1:E2643)))))</f>
        <v> </v>
      </c>
      <c r="L2644" s="26"/>
    </row>
    <row r="2645" spans="1:12">
      <c r="A2645" s="20"/>
    </row>
    <row r="2646" spans="1:12">
      <c r="A2646" s="20" t="s">
        <v>1972</v>
      </c>
    </row>
    <row r="2647" spans="1:12">
      <c r="A2647" s="20" t="s">
        <v>1699</v>
      </c>
      <c r="E2647" s="21">
        <f>IF(D2647="?OLD","!!!","")</f>
        <v/>
      </c>
      <c r="F2647" s="22" t="str">
        <f>IF(OR(E2647="",E2647="!!!"),"",IF(NOT(ISNA(VLOOKUP(E2647,E$1:E2646,1,FALSE()))),"OLD",IF(AND(E2647&lt;&gt;"",E2647&lt;&gt;"!!!"),"NEW","")))</f>
        <v> </v>
      </c>
      <c r="G2647" s="23" t="str">
        <f>IF(OR(E2647="",E2647="!!!"),"",IF(OR(J2647=0,AND(J2647=1,K2647=1),AND(J2647=1,I2647="SBJ"),AND(J2647=1,I2647=0)),"?IN_FOCUS",IF(J2647&lt;=2,"?ACTIVATED",IF(J2647&lt;&gt;"","?FAMILIAR",IF(F2647="NEW",IF(ISNA(VLOOKUP(E2647,#REF!,1,FALSE())),"?TYPE_IDENTIFIABLE","?REFERENTIAL"),"_")))))</f>
        <v> </v>
      </c>
      <c r="H2647" s="24" t="str">
        <f>IF(J2647&lt;&gt;1,"",IF(I2647="SBJ","CB","?"))</f>
        <v> </v>
      </c>
      <c r="I2647" s="25" t="str">
        <f>IF(OR(E2647="",E2647="!!!",F2647="NEW"),"",INDEX(B2646:B$2,-1+SUMPRODUCT(MAX(ROW(E2646:E$2)*(E2647=E2646:E$2)))))</f>
        <v> </v>
      </c>
      <c r="J2647" s="25" t="str">
        <f>IF(OR(E2647="",E2647="!!!",F2647="NEW"),"",COUNTBLANK(OFFSET(A$1,,,SUMPRODUCT(MAX(ROW(E$2:E2647)*(E2647=E$2:E2647)))))-COUNTBLANK(OFFSET(A$1,,,SUMPRODUCT(MAX(ROW(E$1:E2646)*(E2=E$1:E2646))))))</f>
        <v> </v>
      </c>
      <c r="K2647" s="25" t="str">
        <f>IF(OR(E2647="",E2647="!!!",F2647="NEW"),"",INDEX(J$1:J2646,SUMPRODUCT(MAX(ROW(E$1:E2646)*(E2647=E$1:E2646)))))</f>
        <v> </v>
      </c>
      <c r="L2647" s="26"/>
    </row>
    <row r="2648" spans="1:12">
      <c r="A2648" s="20" t="s">
        <v>1973</v>
      </c>
      <c r="E2648" s="21">
        <f>IF(D2648="?OLD","!!!","")</f>
        <v/>
      </c>
      <c r="F2648" s="22" t="str">
        <f>IF(OR(E2648="",E2648="!!!"),"",IF(NOT(ISNA(VLOOKUP(E2648,E$1:E2647,1,FALSE()))),"OLD",IF(AND(E2648&lt;&gt;"",E2648&lt;&gt;"!!!"),"NEW","")))</f>
        <v> </v>
      </c>
      <c r="G2648" s="23" t="str">
        <f>IF(OR(E2648="",E2648="!!!"),"",IF(OR(J2648=0,AND(J2648=1,K2648=1),AND(J2648=1,I2648="SBJ"),AND(J2648=1,I2648=0)),"?IN_FOCUS",IF(J2648&lt;=2,"?ACTIVATED",IF(J2648&lt;&gt;"","?FAMILIAR",IF(F2648="NEW",IF(ISNA(VLOOKUP(E2648,#REF!,1,FALSE())),"?TYPE_IDENTIFIABLE","?REFERENTIAL"),"_")))))</f>
        <v> </v>
      </c>
      <c r="H2648" s="24" t="str">
        <f>IF(J2648&lt;&gt;1,"",IF(I2648="SBJ","CB","?"))</f>
        <v> </v>
      </c>
      <c r="I2648" s="25" t="str">
        <f>IF(OR(E2648="",E2648="!!!",F2648="NEW"),"",INDEX(B2647:B$2,-1+SUMPRODUCT(MAX(ROW(E2647:E$2)*(E2648=E2647:E$2)))))</f>
        <v> </v>
      </c>
      <c r="J2648" s="25" t="str">
        <f>IF(OR(E2648="",E2648="!!!",F2648="NEW"),"",COUNTBLANK(OFFSET(A$1,,,SUMPRODUCT(MAX(ROW(E$2:E2648)*(E2648=E$2:E2648)))))-COUNTBLANK(OFFSET(A$1,,,SUMPRODUCT(MAX(ROW(E$1:E2647)*(E2=E$1:E2647))))))</f>
        <v> </v>
      </c>
      <c r="K2648" s="25" t="str">
        <f>IF(OR(E2648="",E2648="!!!",F2648="NEW"),"",INDEX(J$1:J2647,SUMPRODUCT(MAX(ROW(E$1:E2647)*(E2648=E$1:E2647)))))</f>
        <v> </v>
      </c>
      <c r="L2648" s="26"/>
    </row>
    <row r="2649" spans="1:12">
      <c r="A2649" s="20" t="s">
        <v>1974</v>
      </c>
      <c r="E2649" s="21">
        <f>IF(D2649="?OLD","!!!","")</f>
        <v/>
      </c>
      <c r="F2649" s="22" t="str">
        <f>IF(OR(E2649="",E2649="!!!"),"",IF(NOT(ISNA(VLOOKUP(E2649,E$1:E2648,1,FALSE()))),"OLD",IF(AND(E2649&lt;&gt;"",E2649&lt;&gt;"!!!"),"NEW","")))</f>
        <v> </v>
      </c>
      <c r="G2649" s="23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4" t="str">
        <f>IF(J2649&lt;&gt;1,"",IF(I2649="SBJ","CB","?"))</f>
        <v> </v>
      </c>
      <c r="I2649" s="25" t="str">
        <f>IF(OR(E2649="",E2649="!!!",F2649="NEW"),"",INDEX(B2648:B$2,-1+SUMPRODUCT(MAX(ROW(E2648:E$2)*(E2649=E2648:E$2)))))</f>
        <v> </v>
      </c>
      <c r="J2649" s="25" t="str">
        <f>IF(OR(E2649="",E2649="!!!",F2649="NEW"),"",COUNTBLANK(OFFSET(A$1,,,SUMPRODUCT(MAX(ROW(E$2:E2649)*(E2649=E$2:E2649)))))-COUNTBLANK(OFFSET(A$1,,,SUMPRODUCT(MAX(ROW(E$1:E2648)*(E2=E$1:E2648))))))</f>
        <v> </v>
      </c>
      <c r="K2649" s="25" t="str">
        <f>IF(OR(E2649="",E2649="!!!",F2649="NEW"),"",INDEX(J$1:J2648,SUMPRODUCT(MAX(ROW(E$1:E2648)*(E2649=E$1:E2648)))))</f>
        <v> </v>
      </c>
      <c r="L2649" s="26"/>
    </row>
    <row r="2650" spans="1:12">
      <c r="A2650" s="20" t="s">
        <v>1244</v>
      </c>
      <c r="B2650" s="27" t="s">
        <v>1045</v>
      </c>
      <c r="C2650" s="27" t="s">
        <v>1029</v>
      </c>
      <c r="D2650" s="27" t="s">
        <v>1030</v>
      </c>
      <c r="E2650" s="21">
        <f>IF(D2650="?OLD","!!!","")</f>
        <v/>
      </c>
      <c r="F2650" s="22" t="str">
        <f>IF(OR(E2650="",E2650="!!!"),"",IF(NOT(ISNA(VLOOKUP(E2650,E$1:E2649,1,FALSE()))),"OLD",IF(AND(E2650&lt;&gt;"",E2650&lt;&gt;"!!!"),"NEW","")))</f>
        <v> </v>
      </c>
      <c r="G2650" s="23" t="str">
        <f>IF(OR(E2650="",E2650="!!!"),"",IF(OR(J2650=0,AND(J2650=1,K2650=1),AND(J2650=1,I2650="SBJ"),AND(J2650=1,I2650=0)),"?IN_FOCUS",IF(J2650&lt;=2,"?ACTIVATED",IF(J2650&lt;&gt;"","?FAMILIAR",IF(F2650="NEW",IF(ISNA(VLOOKUP(E2650,#REF!,1,FALSE())),"?TYPE_IDENTIFIABLE","?REFERENTIAL"),"_")))))</f>
        <v> </v>
      </c>
      <c r="H2650" s="24" t="str">
        <f>IF(J2650&lt;&gt;1,"",IF(I2650="SBJ","CB","?"))</f>
        <v> </v>
      </c>
      <c r="I2650" s="25" t="str">
        <f>IF(OR(E2650="",E2650="!!!",F2650="NEW"),"",INDEX(B2649:B$2,-1+SUMPRODUCT(MAX(ROW(E2649:E$2)*(E2650=E2649:E$2)))))</f>
        <v> </v>
      </c>
      <c r="J2650" s="25" t="str">
        <f>IF(OR(E2650="",E2650="!!!",F2650="NEW"),"",COUNTBLANK(OFFSET(A$1,,,SUMPRODUCT(MAX(ROW(E$2:E2650)*(E2650=E$2:E2650)))))-COUNTBLANK(OFFSET(A$1,,,SUMPRODUCT(MAX(ROW(E$1:E2649)*(E2=E$1:E2649))))))</f>
        <v> </v>
      </c>
      <c r="K2650" s="25" t="str">
        <f>IF(OR(E2650="",E2650="!!!",F2650="NEW"),"",INDEX(J$1:J2649,SUMPRODUCT(MAX(ROW(E$1:E2649)*(E2650=E$1:E2649)))))</f>
        <v> </v>
      </c>
      <c r="L2650" s="26"/>
    </row>
    <row r="2651" spans="1:12">
      <c r="A2651" s="20" t="s">
        <v>1016</v>
      </c>
      <c r="E2651" s="21">
        <f>IF(D2651="?OLD","!!!","")</f>
        <v/>
      </c>
      <c r="F2651" s="22" t="str">
        <f>IF(OR(E2651="",E2651="!!!"),"",IF(NOT(ISNA(VLOOKUP(E2651,E$1:E2650,1,FALSE()))),"OLD",IF(AND(E2651&lt;&gt;"",E2651&lt;&gt;"!!!"),"NEW","")))</f>
        <v> </v>
      </c>
      <c r="G2651" s="23" t="str">
        <f>IF(OR(E2651="",E2651="!!!"),"",IF(OR(J2651=0,AND(J2651=1,K2651=1),AND(J2651=1,I2651="SBJ"),AND(J2651=1,I2651=0)),"?IN_FOCUS",IF(J2651&lt;=2,"?ACTIVATED",IF(J2651&lt;&gt;"","?FAMILIAR",IF(F2651="NEW",IF(ISNA(VLOOKUP(E2651,#REF!,1,FALSE())),"?TYPE_IDENTIFIABLE","?REFERENTIAL"),"_")))))</f>
        <v> </v>
      </c>
      <c r="H2651" s="24" t="str">
        <f>IF(J2651&lt;&gt;1,"",IF(I2651="SBJ","CB","?"))</f>
        <v> </v>
      </c>
      <c r="I2651" s="25" t="str">
        <f>IF(OR(E2651="",E2651="!!!",F2651="NEW"),"",INDEX(B2650:B$2,-1+SUMPRODUCT(MAX(ROW(E2650:E$2)*(E2651=E2650:E$2)))))</f>
        <v> </v>
      </c>
      <c r="J2651" s="25" t="str">
        <f>IF(OR(E2651="",E2651="!!!",F2651="NEW"),"",COUNTBLANK(OFFSET(A$1,,,SUMPRODUCT(MAX(ROW(E$2:E2651)*(E2651=E$2:E2651)))))-COUNTBLANK(OFFSET(A$1,,,SUMPRODUCT(MAX(ROW(E$1:E2650)*(E2=E$1:E2650))))))</f>
        <v> </v>
      </c>
      <c r="K2651" s="25" t="str">
        <f>IF(OR(E2651="",E2651="!!!",F2651="NEW"),"",INDEX(J$1:J2650,SUMPRODUCT(MAX(ROW(E$1:E2650)*(E2651=E$1:E2650)))))</f>
        <v> </v>
      </c>
      <c r="L2651" s="26"/>
    </row>
    <row r="2652" spans="1:12">
      <c r="A2652" s="20" t="s">
        <v>1185</v>
      </c>
      <c r="B2652" s="27" t="s">
        <v>1079</v>
      </c>
      <c r="C2652" s="27" t="s">
        <v>1015</v>
      </c>
      <c r="E2652" s="21">
        <f>IF(D2652="?OLD","!!!","")</f>
        <v/>
      </c>
      <c r="F2652" s="22" t="str">
        <f>IF(OR(E2652="",E2652="!!!"),"",IF(NOT(ISNA(VLOOKUP(E2652,E$1:E2651,1,FALSE()))),"OLD",IF(AND(E2652&lt;&gt;"",E2652&lt;&gt;"!!!"),"NEW","")))</f>
        <v> </v>
      </c>
      <c r="G2652" s="23" t="str">
        <f>IF(OR(E2652="",E2652="!!!"),"",IF(OR(J2652=0,AND(J2652=1,K2652=1),AND(J2652=1,I2652="SBJ"),AND(J2652=1,I2652=0)),"?IN_FOCUS",IF(J2652&lt;=2,"?ACTIVATED",IF(J2652&lt;&gt;"","?FAMILIAR",IF(F2652="NEW",IF(ISNA(VLOOKUP(E2652,#REF!,1,FALSE())),"?TYPE_IDENTIFIABLE","?REFERENTIAL"),"_")))))</f>
        <v> </v>
      </c>
      <c r="H2652" s="24" t="str">
        <f>IF(J2652&lt;&gt;1,"",IF(I2652="SBJ","CB","?"))</f>
        <v> </v>
      </c>
      <c r="I2652" s="25" t="str">
        <f>IF(OR(E2652="",E2652="!!!",F2652="NEW"),"",INDEX(B2651:B$2,-1+SUMPRODUCT(MAX(ROW(E2651:E$2)*(E2652=E2651:E$2)))))</f>
        <v> </v>
      </c>
      <c r="J2652" s="25" t="str">
        <f>IF(OR(E2652="",E2652="!!!",F2652="NEW"),"",COUNTBLANK(OFFSET(A$1,,,SUMPRODUCT(MAX(ROW(E$2:E2652)*(E2652=E$2:E2652)))))-COUNTBLANK(OFFSET(A$1,,,SUMPRODUCT(MAX(ROW(E$1:E2651)*(E2=E$1:E2651))))))</f>
        <v> </v>
      </c>
      <c r="K2652" s="25" t="str">
        <f>IF(OR(E2652="",E2652="!!!",F2652="NEW"),"",INDEX(J$1:J2651,SUMPRODUCT(MAX(ROW(E$1:E2651)*(E2652=E$1:E2651)))))</f>
        <v> </v>
      </c>
      <c r="L2652" s="26"/>
    </row>
    <row r="2653" spans="1:12">
      <c r="A2653" s="20" t="s">
        <v>135</v>
      </c>
      <c r="E2653" s="21">
        <f>IF(D2653="?OLD","!!!","")</f>
        <v/>
      </c>
      <c r="F2653" s="22" t="str">
        <f>IF(OR(E2653="",E2653="!!!"),"",IF(NOT(ISNA(VLOOKUP(E2653,E$1:E2652,1,FALSE()))),"OLD",IF(AND(E2653&lt;&gt;"",E2653&lt;&gt;"!!!"),"NEW","")))</f>
        <v> </v>
      </c>
      <c r="G2653" s="23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4" t="str">
        <f>IF(J2653&lt;&gt;1,"",IF(I2653="SBJ","CB","?"))</f>
        <v> </v>
      </c>
      <c r="I2653" s="25" t="str">
        <f>IF(OR(E2653="",E2653="!!!",F2653="NEW"),"",INDEX(B2652:B$2,-1+SUMPRODUCT(MAX(ROW(E2652:E$2)*(E2653=E2652:E$2)))))</f>
        <v> </v>
      </c>
      <c r="J2653" s="25" t="str">
        <f>IF(OR(E2653="",E2653="!!!",F2653="NEW"),"",COUNTBLANK(OFFSET(A$1,,,SUMPRODUCT(MAX(ROW(E$2:E2653)*(E2653=E$2:E2653)))))-COUNTBLANK(OFFSET(A$1,,,SUMPRODUCT(MAX(ROW(E$1:E2652)*(E2=E$1:E2652))))))</f>
        <v> </v>
      </c>
      <c r="K2653" s="25" t="str">
        <f>IF(OR(E2653="",E2653="!!!",F2653="NEW"),"",INDEX(J$1:J2652,SUMPRODUCT(MAX(ROW(E$1:E2652)*(E2653=E$1:E2652)))))</f>
        <v> </v>
      </c>
      <c r="L2653" s="26"/>
    </row>
    <row r="2654" spans="1:12">
      <c r="A2654" s="20"/>
    </row>
    <row r="2655" spans="1:12">
      <c r="A2655" s="20" t="s">
        <v>1975</v>
      </c>
    </row>
    <row r="2656" spans="1:12">
      <c r="A2656" s="20" t="s">
        <v>1699</v>
      </c>
      <c r="E2656" s="21">
        <f>IF(D2656="?OLD","!!!","")</f>
        <v/>
      </c>
      <c r="F2656" s="22" t="str">
        <f>IF(OR(E2656="",E2656="!!!"),"",IF(NOT(ISNA(VLOOKUP(E2656,E$1:E2655,1,FALSE()))),"OLD",IF(AND(E2656&lt;&gt;"",E2656&lt;&gt;"!!!"),"NEW","")))</f>
        <v> </v>
      </c>
      <c r="G2656" s="23" t="str">
        <f>IF(OR(E2656="",E2656="!!!"),"",IF(OR(J2656=0,AND(J2656=1,K2656=1),AND(J2656=1,I2656="SBJ"),AND(J2656=1,I2656=0)),"?IN_FOCUS",IF(J2656&lt;=2,"?ACTIVATED",IF(J2656&lt;&gt;"","?FAMILIAR",IF(F2656="NEW",IF(ISNA(VLOOKUP(E2656,#REF!,1,FALSE())),"?TYPE_IDENTIFIABLE","?REFERENTIAL"),"_")))))</f>
        <v> </v>
      </c>
      <c r="H2656" s="24" t="str">
        <f>IF(J2656&lt;&gt;1,"",IF(I2656="SBJ","CB","?"))</f>
        <v> </v>
      </c>
      <c r="I2656" s="25" t="str">
        <f>IF(OR(E2656="",E2656="!!!",F2656="NEW"),"",INDEX(B2655:B$2,-1+SUMPRODUCT(MAX(ROW(E2655:E$2)*(E2656=E2655:E$2)))))</f>
        <v> </v>
      </c>
      <c r="J2656" s="25" t="str">
        <f>IF(OR(E2656="",E2656="!!!",F2656="NEW"),"",COUNTBLANK(OFFSET(A$1,,,SUMPRODUCT(MAX(ROW(E$2:E2656)*(E2656=E$2:E2656)))))-COUNTBLANK(OFFSET(A$1,,,SUMPRODUCT(MAX(ROW(E$1:E2655)*(E2=E$1:E2655))))))</f>
        <v> </v>
      </c>
      <c r="K2656" s="25" t="str">
        <f>IF(OR(E2656="",E2656="!!!",F2656="NEW"),"",INDEX(J$1:J2655,SUMPRODUCT(MAX(ROW(E$1:E2655)*(E2656=E$1:E2655)))))</f>
        <v> </v>
      </c>
      <c r="L2656" s="26"/>
    </row>
    <row r="2657" spans="1:12">
      <c r="A2657" s="20" t="s">
        <v>1976</v>
      </c>
      <c r="E2657" s="21">
        <f>IF(D2657="?OLD","!!!","")</f>
        <v/>
      </c>
      <c r="F2657" s="22" t="str">
        <f>IF(OR(E2657="",E2657="!!!"),"",IF(NOT(ISNA(VLOOKUP(E2657,E$1:E2656,1,FALSE()))),"OLD",IF(AND(E2657&lt;&gt;"",E2657&lt;&gt;"!!!"),"NEW","")))</f>
        <v> </v>
      </c>
      <c r="G2657" s="23" t="str">
        <f>IF(OR(E2657="",E2657="!!!"),"",IF(OR(J2657=0,AND(J2657=1,K2657=1),AND(J2657=1,I2657="SBJ"),AND(J2657=1,I2657=0)),"?IN_FOCUS",IF(J2657&lt;=2,"?ACTIVATED",IF(J2657&lt;&gt;"","?FAMILIAR",IF(F2657="NEW",IF(ISNA(VLOOKUP(E2657,#REF!,1,FALSE())),"?TYPE_IDENTIFIABLE","?REFERENTIAL"),"_")))))</f>
        <v> </v>
      </c>
      <c r="H2657" s="24" t="str">
        <f>IF(J2657&lt;&gt;1,"",IF(I2657="SBJ","CB","?"))</f>
        <v> </v>
      </c>
      <c r="I2657" s="25" t="str">
        <f>IF(OR(E2657="",E2657="!!!",F2657="NEW"),"",INDEX(B2656:B$2,-1+SUMPRODUCT(MAX(ROW(E2656:E$2)*(E2657=E2656:E$2)))))</f>
        <v> </v>
      </c>
      <c r="J2657" s="25" t="str">
        <f>IF(OR(E2657="",E2657="!!!",F2657="NEW"),"",COUNTBLANK(OFFSET(A$1,,,SUMPRODUCT(MAX(ROW(E$2:E2657)*(E2657=E$2:E2657)))))-COUNTBLANK(OFFSET(A$1,,,SUMPRODUCT(MAX(ROW(E$1:E2656)*(E2=E$1:E2656))))))</f>
        <v> </v>
      </c>
      <c r="K2657" s="25" t="str">
        <f>IF(OR(E2657="",E2657="!!!",F2657="NEW"),"",INDEX(J$1:J2656,SUMPRODUCT(MAX(ROW(E$1:E2656)*(E2657=E$1:E2656)))))</f>
        <v> </v>
      </c>
      <c r="L2657" s="26"/>
    </row>
    <row r="2658" spans="1:12">
      <c r="A2658" s="20" t="s">
        <v>1022</v>
      </c>
      <c r="E2658" s="21">
        <f>IF(D2658="?OLD","!!!","")</f>
        <v/>
      </c>
      <c r="F2658" s="22" t="str">
        <f>IF(OR(E2658="",E2658="!!!"),"",IF(NOT(ISNA(VLOOKUP(E2658,E$1:E2657,1,FALSE()))),"OLD",IF(AND(E2658&lt;&gt;"",E2658&lt;&gt;"!!!"),"NEW","")))</f>
        <v> </v>
      </c>
      <c r="G2658" s="23" t="str">
        <f>IF(OR(E2658="",E2658="!!!"),"",IF(OR(J2658=0,AND(J2658=1,K2658=1),AND(J2658=1,I2658="SBJ"),AND(J2658=1,I2658=0)),"?IN_FOCUS",IF(J2658&lt;=2,"?ACTIVATED",IF(J2658&lt;&gt;"","?FAMILIAR",IF(F2658="NEW",IF(ISNA(VLOOKUP(E2658,#REF!,1,FALSE())),"?TYPE_IDENTIFIABLE","?REFERENTIAL"),"_")))))</f>
        <v> </v>
      </c>
      <c r="H2658" s="24" t="str">
        <f>IF(J2658&lt;&gt;1,"",IF(I2658="SBJ","CB","?"))</f>
        <v> </v>
      </c>
      <c r="I2658" s="25" t="str">
        <f>IF(OR(E2658="",E2658="!!!",F2658="NEW"),"",INDEX(B2657:B$2,-1+SUMPRODUCT(MAX(ROW(E2657:E$2)*(E2658=E2657:E$2)))))</f>
        <v> </v>
      </c>
      <c r="J2658" s="25" t="str">
        <f>IF(OR(E2658="",E2658="!!!",F2658="NEW"),"",COUNTBLANK(OFFSET(A$1,,,SUMPRODUCT(MAX(ROW(E$2:E2658)*(E2658=E$2:E2658)))))-COUNTBLANK(OFFSET(A$1,,,SUMPRODUCT(MAX(ROW(E$1:E2657)*(E2=E$1:E2657))))))</f>
        <v> </v>
      </c>
      <c r="K2658" s="25" t="str">
        <f>IF(OR(E2658="",E2658="!!!",F2658="NEW"),"",INDEX(J$1:J2657,SUMPRODUCT(MAX(ROW(E$1:E2657)*(E2658=E$1:E2657)))))</f>
        <v> </v>
      </c>
      <c r="L2658" s="26"/>
    </row>
    <row r="2659" spans="1:12">
      <c r="A2659" s="20" t="s">
        <v>1977</v>
      </c>
      <c r="E2659" s="21">
        <f>IF(D2659="?OLD","!!!","")</f>
        <v/>
      </c>
      <c r="F2659" s="22" t="str">
        <f>IF(OR(E2659="",E2659="!!!"),"",IF(NOT(ISNA(VLOOKUP(E2659,E$1:E2658,1,FALSE()))),"OLD",IF(AND(E2659&lt;&gt;"",E2659&lt;&gt;"!!!"),"NEW","")))</f>
        <v> </v>
      </c>
      <c r="G2659" s="23" t="str">
        <f>IF(OR(E2659="",E2659="!!!"),"",IF(OR(J2659=0,AND(J2659=1,K2659=1),AND(J2659=1,I2659="SBJ"),AND(J2659=1,I2659=0)),"?IN_FOCUS",IF(J2659&lt;=2,"?ACTIVATED",IF(J2659&lt;&gt;"","?FAMILIAR",IF(F2659="NEW",IF(ISNA(VLOOKUP(E2659,#REF!,1,FALSE())),"?TYPE_IDENTIFIABLE","?REFERENTIAL"),"_")))))</f>
        <v> </v>
      </c>
      <c r="H2659" s="24" t="str">
        <f>IF(J2659&lt;&gt;1,"",IF(I2659="SBJ","CB","?"))</f>
        <v> </v>
      </c>
      <c r="I2659" s="25" t="str">
        <f>IF(OR(E2659="",E2659="!!!",F2659="NEW"),"",INDEX(B2658:B$2,-1+SUMPRODUCT(MAX(ROW(E2658:E$2)*(E2659=E2658:E$2)))))</f>
        <v> </v>
      </c>
      <c r="J2659" s="25" t="str">
        <f>IF(OR(E2659="",E2659="!!!",F2659="NEW"),"",COUNTBLANK(OFFSET(A$1,,,SUMPRODUCT(MAX(ROW(E$2:E2659)*(E2659=E$2:E2659)))))-COUNTBLANK(OFFSET(A$1,,,SUMPRODUCT(MAX(ROW(E$1:E2658)*(E2=E$1:E2658))))))</f>
        <v> </v>
      </c>
      <c r="K2659" s="25" t="str">
        <f>IF(OR(E2659="",E2659="!!!",F2659="NEW"),"",INDEX(J$1:J2658,SUMPRODUCT(MAX(ROW(E$1:E2658)*(E2659=E$1:E2658)))))</f>
        <v> </v>
      </c>
      <c r="L2659" s="26"/>
    </row>
    <row r="2660" spans="1:12">
      <c r="A2660" s="20" t="s">
        <v>1978</v>
      </c>
      <c r="E2660" s="21">
        <f>IF(D2660="?OLD","!!!","")</f>
        <v/>
      </c>
      <c r="F2660" s="22" t="str">
        <f>IF(OR(E2660="",E2660="!!!"),"",IF(NOT(ISNA(VLOOKUP(E2660,E$1:E2659,1,FALSE()))),"OLD",IF(AND(E2660&lt;&gt;"",E2660&lt;&gt;"!!!"),"NEW","")))</f>
        <v> </v>
      </c>
      <c r="G2660" s="23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4" t="str">
        <f>IF(J2660&lt;&gt;1,"",IF(I2660="SBJ","CB","?"))</f>
        <v> </v>
      </c>
      <c r="I2660" s="25" t="str">
        <f>IF(OR(E2660="",E2660="!!!",F2660="NEW"),"",INDEX(B2659:B$2,-1+SUMPRODUCT(MAX(ROW(E2659:E$2)*(E2660=E2659:E$2)))))</f>
        <v> </v>
      </c>
      <c r="J2660" s="25" t="str">
        <f>IF(OR(E2660="",E2660="!!!",F2660="NEW"),"",COUNTBLANK(OFFSET(A$1,,,SUMPRODUCT(MAX(ROW(E$2:E2660)*(E2660=E$2:E2660)))))-COUNTBLANK(OFFSET(A$1,,,SUMPRODUCT(MAX(ROW(E$1:E2659)*(E2=E$1:E2659))))))</f>
        <v> </v>
      </c>
      <c r="K2660" s="25" t="str">
        <f>IF(OR(E2660="",E2660="!!!",F2660="NEW"),"",INDEX(J$1:J2659,SUMPRODUCT(MAX(ROW(E$1:E2659)*(E2660=E$1:E2659)))))</f>
        <v> </v>
      </c>
      <c r="L2660" s="26"/>
    </row>
    <row r="2661" spans="1:12">
      <c r="A2661" s="20" t="s">
        <v>1083</v>
      </c>
      <c r="E2661" s="21">
        <f>IF(D2661="?OLD","!!!","")</f>
        <v/>
      </c>
      <c r="F2661" s="22" t="str">
        <f>IF(OR(E2661="",E2661="!!!"),"",IF(NOT(ISNA(VLOOKUP(E2661,E$1:E2660,1,FALSE()))),"OLD",IF(AND(E2661&lt;&gt;"",E2661&lt;&gt;"!!!"),"NEW","")))</f>
        <v> </v>
      </c>
      <c r="G2661" s="23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4" t="str">
        <f>IF(J2661&lt;&gt;1,"",IF(I2661="SBJ","CB","?"))</f>
        <v> </v>
      </c>
      <c r="I2661" s="25" t="str">
        <f>IF(OR(E2661="",E2661="!!!",F2661="NEW"),"",INDEX(B2660:B$2,-1+SUMPRODUCT(MAX(ROW(E2660:E$2)*(E2661=E2660:E$2)))))</f>
        <v> </v>
      </c>
      <c r="J2661" s="25" t="str">
        <f>IF(OR(E2661="",E2661="!!!",F2661="NEW"),"",COUNTBLANK(OFFSET(A$1,,,SUMPRODUCT(MAX(ROW(E$2:E2661)*(E2661=E$2:E2661)))))-COUNTBLANK(OFFSET(A$1,,,SUMPRODUCT(MAX(ROW(E$1:E2660)*(E2=E$1:E2660))))))</f>
        <v> </v>
      </c>
      <c r="K2661" s="25" t="str">
        <f>IF(OR(E2661="",E2661="!!!",F2661="NEW"),"",INDEX(J$1:J2660,SUMPRODUCT(MAX(ROW(E$1:E2660)*(E2661=E$1:E2660)))))</f>
        <v> </v>
      </c>
      <c r="L2661" s="26"/>
    </row>
    <row r="2662" spans="1:12">
      <c r="A2662" s="20" t="s">
        <v>1979</v>
      </c>
      <c r="E2662" s="21">
        <f>IF(D2662="?OLD","!!!","")</f>
        <v/>
      </c>
      <c r="F2662" s="22" t="str">
        <f>IF(OR(E2662="",E2662="!!!"),"",IF(NOT(ISNA(VLOOKUP(E2662,E$1:E2661,1,FALSE()))),"OLD",IF(AND(E2662&lt;&gt;"",E2662&lt;&gt;"!!!"),"NEW","")))</f>
        <v> </v>
      </c>
      <c r="G2662" s="23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4" t="str">
        <f>IF(J2662&lt;&gt;1,"",IF(I2662="SBJ","CB","?"))</f>
        <v> </v>
      </c>
      <c r="I2662" s="25" t="str">
        <f>IF(OR(E2662="",E2662="!!!",F2662="NEW"),"",INDEX(B2661:B$2,-1+SUMPRODUCT(MAX(ROW(E2661:E$2)*(E2662=E2661:E$2)))))</f>
        <v> </v>
      </c>
      <c r="J2662" s="25" t="str">
        <f>IF(OR(E2662="",E2662="!!!",F2662="NEW"),"",COUNTBLANK(OFFSET(A$1,,,SUMPRODUCT(MAX(ROW(E$2:E2662)*(E2662=E$2:E2662)))))-COUNTBLANK(OFFSET(A$1,,,SUMPRODUCT(MAX(ROW(E$1:E2661)*(E2=E$1:E2661))))))</f>
        <v> </v>
      </c>
      <c r="K2662" s="25" t="str">
        <f>IF(OR(E2662="",E2662="!!!",F2662="NEW"),"",INDEX(J$1:J2661,SUMPRODUCT(MAX(ROW(E$1:E2661)*(E2662=E$1:E2661)))))</f>
        <v> </v>
      </c>
      <c r="L2662" s="26"/>
    </row>
    <row r="2663" spans="1:12">
      <c r="A2663" s="20" t="s">
        <v>1340</v>
      </c>
      <c r="E2663" s="21">
        <f>IF(D2663="?OLD","!!!","")</f>
        <v/>
      </c>
      <c r="F2663" s="22" t="str">
        <f>IF(OR(E2663="",E2663="!!!"),"",IF(NOT(ISNA(VLOOKUP(E2663,E$1:E2662,1,FALSE()))),"OLD",IF(AND(E2663&lt;&gt;"",E2663&lt;&gt;"!!!"),"NEW","")))</f>
        <v> </v>
      </c>
      <c r="G2663" s="23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4" t="str">
        <f>IF(J2663&lt;&gt;1,"",IF(I2663="SBJ","CB","?"))</f>
        <v> </v>
      </c>
      <c r="I2663" s="25" t="str">
        <f>IF(OR(E2663="",E2663="!!!",F2663="NEW"),"",INDEX(B2662:B$2,-1+SUMPRODUCT(MAX(ROW(E2662:E$2)*(E2663=E2662:E$2)))))</f>
        <v> </v>
      </c>
      <c r="J2663" s="25" t="str">
        <f>IF(OR(E2663="",E2663="!!!",F2663="NEW"),"",COUNTBLANK(OFFSET(A$1,,,SUMPRODUCT(MAX(ROW(E$2:E2663)*(E2663=E$2:E2663)))))-COUNTBLANK(OFFSET(A$1,,,SUMPRODUCT(MAX(ROW(E$1:E2662)*(E2=E$1:E2662))))))</f>
        <v> </v>
      </c>
      <c r="K2663" s="25" t="str">
        <f>IF(OR(E2663="",E2663="!!!",F2663="NEW"),"",INDEX(J$1:J2662,SUMPRODUCT(MAX(ROW(E$1:E2662)*(E2663=E$1:E2662)))))</f>
        <v> </v>
      </c>
      <c r="L2663" s="26"/>
    </row>
    <row r="2664" spans="1:12">
      <c r="A2664" s="20" t="s">
        <v>1175</v>
      </c>
      <c r="E2664" s="21">
        <f>IF(D2664="?OLD","!!!","")</f>
        <v/>
      </c>
      <c r="F2664" s="22" t="str">
        <f>IF(OR(E2664="",E2664="!!!"),"",IF(NOT(ISNA(VLOOKUP(E2664,E$1:E2663,1,FALSE()))),"OLD",IF(AND(E2664&lt;&gt;"",E2664&lt;&gt;"!!!"),"NEW","")))</f>
        <v> </v>
      </c>
      <c r="G2664" s="23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4" t="str">
        <f>IF(J2664&lt;&gt;1,"",IF(I2664="SBJ","CB","?"))</f>
        <v> </v>
      </c>
      <c r="I2664" s="25" t="str">
        <f>IF(OR(E2664="",E2664="!!!",F2664="NEW"),"",INDEX(B2663:B$2,-1+SUMPRODUCT(MAX(ROW(E2663:E$2)*(E2664=E2663:E$2)))))</f>
        <v> </v>
      </c>
      <c r="J2664" s="25" t="str">
        <f>IF(OR(E2664="",E2664="!!!",F2664="NEW"),"",COUNTBLANK(OFFSET(A$1,,,SUMPRODUCT(MAX(ROW(E$2:E2664)*(E2664=E$2:E2664)))))-COUNTBLANK(OFFSET(A$1,,,SUMPRODUCT(MAX(ROW(E$1:E2663)*(E2=E$1:E2663))))))</f>
        <v> </v>
      </c>
      <c r="K2664" s="25" t="str">
        <f>IF(OR(E2664="",E2664="!!!",F2664="NEW"),"",INDEX(J$1:J2663,SUMPRODUCT(MAX(ROW(E$1:E2663)*(E2664=E$1:E2663)))))</f>
        <v> </v>
      </c>
      <c r="L2664" s="26"/>
    </row>
    <row r="2665" spans="1:12">
      <c r="A2665" s="20" t="s">
        <v>1980</v>
      </c>
      <c r="B2665" s="27" t="s">
        <v>1045</v>
      </c>
      <c r="C2665" s="27" t="s">
        <v>1140</v>
      </c>
      <c r="D2665" s="27" t="s">
        <v>1030</v>
      </c>
      <c r="E2665" s="21">
        <f>IF(D2665="?OLD","!!!","")</f>
        <v/>
      </c>
      <c r="F2665" s="22" t="str">
        <f>IF(OR(E2665="",E2665="!!!"),"",IF(NOT(ISNA(VLOOKUP(E2665,E$1:E2664,1,FALSE()))),"OLD",IF(AND(E2665&lt;&gt;"",E2665&lt;&gt;"!!!"),"NEW","")))</f>
        <v> </v>
      </c>
      <c r="G2665" s="23" t="str">
        <f>IF(OR(E2665="",E2665="!!!"),"",IF(OR(J2665=0,AND(J2665=1,K2665=1),AND(J2665=1,I2665="SBJ"),AND(J2665=1,I2665=0)),"?IN_FOCUS",IF(J2665&lt;=2,"?ACTIVATED",IF(J2665&lt;&gt;"","?FAMILIAR",IF(F2665="NEW",IF(ISNA(VLOOKUP(E2665,#REF!,1,FALSE())),"?TYPE_IDENTIFIABLE","?REFERENTIAL"),"_")))))</f>
        <v> </v>
      </c>
      <c r="H2665" s="24" t="str">
        <f>IF(J2665&lt;&gt;1,"",IF(I2665="SBJ","CB","?"))</f>
        <v> </v>
      </c>
      <c r="I2665" s="25" t="str">
        <f>IF(OR(E2665="",E2665="!!!",F2665="NEW"),"",INDEX(B2664:B$2,-1+SUMPRODUCT(MAX(ROW(E2664:E$2)*(E2665=E2664:E$2)))))</f>
        <v> </v>
      </c>
      <c r="J2665" s="25" t="str">
        <f>IF(OR(E2665="",E2665="!!!",F2665="NEW"),"",COUNTBLANK(OFFSET(A$1,,,SUMPRODUCT(MAX(ROW(E$2:E2665)*(E2665=E$2:E2665)))))-COUNTBLANK(OFFSET(A$1,,,SUMPRODUCT(MAX(ROW(E$1:E2664)*(E2=E$1:E2664))))))</f>
        <v> </v>
      </c>
      <c r="K2665" s="25" t="str">
        <f>IF(OR(E2665="",E2665="!!!",F2665="NEW"),"",INDEX(J$1:J2664,SUMPRODUCT(MAX(ROW(E$1:E2664)*(E2665=E$1:E2664)))))</f>
        <v> </v>
      </c>
      <c r="L2665" s="26"/>
    </row>
    <row r="2666" spans="1:12">
      <c r="A2666" s="20" t="s">
        <v>1016</v>
      </c>
      <c r="E2666" s="21">
        <f>IF(D2666="?OLD","!!!","")</f>
        <v/>
      </c>
      <c r="F2666" s="22" t="str">
        <f>IF(OR(E2666="",E2666="!!!"),"",IF(NOT(ISNA(VLOOKUP(E2666,E$1:E2665,1,FALSE()))),"OLD",IF(AND(E2666&lt;&gt;"",E2666&lt;&gt;"!!!"),"NEW","")))</f>
        <v> </v>
      </c>
      <c r="G2666" s="23" t="str">
        <f>IF(OR(E2666="",E2666="!!!"),"",IF(OR(J2666=0,AND(J2666=1,K2666=1),AND(J2666=1,I2666="SBJ"),AND(J2666=1,I2666=0)),"?IN_FOCUS",IF(J2666&lt;=2,"?ACTIVATED",IF(J2666&lt;&gt;"","?FAMILIAR",IF(F2666="NEW",IF(ISNA(VLOOKUP(E2666,#REF!,1,FALSE())),"?TYPE_IDENTIFIABLE","?REFERENTIAL"),"_")))))</f>
        <v> </v>
      </c>
      <c r="H2666" s="24" t="str">
        <f>IF(J2666&lt;&gt;1,"",IF(I2666="SBJ","CB","?"))</f>
        <v> </v>
      </c>
      <c r="I2666" s="25" t="str">
        <f>IF(OR(E2666="",E2666="!!!",F2666="NEW"),"",INDEX(B2665:B$2,-1+SUMPRODUCT(MAX(ROW(E2665:E$2)*(E2666=E2665:E$2)))))</f>
        <v> </v>
      </c>
      <c r="J2666" s="25" t="str">
        <f>IF(OR(E2666="",E2666="!!!",F2666="NEW"),"",COUNTBLANK(OFFSET(A$1,,,SUMPRODUCT(MAX(ROW(E$2:E2666)*(E2666=E$2:E2666)))))-COUNTBLANK(OFFSET(A$1,,,SUMPRODUCT(MAX(ROW(E$1:E2665)*(E2=E$1:E2665))))))</f>
        <v> </v>
      </c>
      <c r="K2666" s="25" t="str">
        <f>IF(OR(E2666="",E2666="!!!",F2666="NEW"),"",INDEX(J$1:J2665,SUMPRODUCT(MAX(ROW(E$1:E2665)*(E2666=E$1:E2665)))))</f>
        <v> </v>
      </c>
      <c r="L2666" s="26"/>
    </row>
    <row r="2667" spans="1:12">
      <c r="A2667" s="20" t="s">
        <v>1186</v>
      </c>
      <c r="B2667" s="27" t="s">
        <v>1079</v>
      </c>
      <c r="C2667" s="27" t="s">
        <v>1050</v>
      </c>
      <c r="D2667" s="27" t="s">
        <v>1030</v>
      </c>
      <c r="E2667" s="21">
        <f>IF(D2667="?OLD","!!!","")</f>
        <v/>
      </c>
      <c r="F2667" s="22" t="str">
        <f>IF(OR(E2667="",E2667="!!!"),"",IF(NOT(ISNA(VLOOKUP(E2667,E$1:E2666,1,FALSE()))),"OLD",IF(AND(E2667&lt;&gt;"",E2667&lt;&gt;"!!!"),"NEW","")))</f>
        <v> </v>
      </c>
      <c r="G2667" s="23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4" t="str">
        <f>IF(J2667&lt;&gt;1,"",IF(I2667="SBJ","CB","?"))</f>
        <v> </v>
      </c>
      <c r="I2667" s="25" t="str">
        <f>IF(OR(E2667="",E2667="!!!",F2667="NEW"),"",INDEX(B2666:B$2,-1+SUMPRODUCT(MAX(ROW(E2666:E$2)*(E2667=E2666:E$2)))))</f>
        <v> </v>
      </c>
      <c r="J2667" s="25" t="str">
        <f>IF(OR(E2667="",E2667="!!!",F2667="NEW"),"",COUNTBLANK(OFFSET(A$1,,,SUMPRODUCT(MAX(ROW(E$2:E2667)*(E2667=E$2:E2667)))))-COUNTBLANK(OFFSET(A$1,,,SUMPRODUCT(MAX(ROW(E$1:E2666)*(E2=E$1:E2666))))))</f>
        <v> </v>
      </c>
      <c r="K2667" s="25" t="str">
        <f>IF(OR(E2667="",E2667="!!!",F2667="NEW"),"",INDEX(J$1:J2666,SUMPRODUCT(MAX(ROW(E$1:E2666)*(E2667=E$1:E2666)))))</f>
        <v> </v>
      </c>
      <c r="L2667" s="26"/>
    </row>
    <row r="2668" spans="1:12">
      <c r="A2668" s="20" t="s">
        <v>1094</v>
      </c>
      <c r="B2668" s="27" t="s">
        <v>1146</v>
      </c>
      <c r="E2668" s="21">
        <f>IF(D2668="?OLD","!!!","")</f>
        <v/>
      </c>
      <c r="F2668" s="22" t="str">
        <f>IF(OR(E2668="",E2668="!!!"),"",IF(NOT(ISNA(VLOOKUP(E2668,E$1:E2667,1,FALSE()))),"OLD",IF(AND(E2668&lt;&gt;"",E2668&lt;&gt;"!!!"),"NEW","")))</f>
        <v> </v>
      </c>
      <c r="G2668" s="23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4" t="str">
        <f>IF(J2668&lt;&gt;1,"",IF(I2668="SBJ","CB","?"))</f>
        <v> </v>
      </c>
      <c r="I2668" s="25" t="str">
        <f>IF(OR(E2668="",E2668="!!!",F2668="NEW"),"",INDEX(B2667:B$2,-1+SUMPRODUCT(MAX(ROW(E2667:E$2)*(E2668=E2667:E$2)))))</f>
        <v> </v>
      </c>
      <c r="J2668" s="25" t="str">
        <f>IF(OR(E2668="",E2668="!!!",F2668="NEW"),"",COUNTBLANK(OFFSET(A$1,,,SUMPRODUCT(MAX(ROW(E$2:E2668)*(E2668=E$2:E2668)))))-COUNTBLANK(OFFSET(A$1,,,SUMPRODUCT(MAX(ROW(E$1:E2667)*(E2=E$1:E2667))))))</f>
        <v> </v>
      </c>
      <c r="K2668" s="25" t="str">
        <f>IF(OR(E2668="",E2668="!!!",F2668="NEW"),"",INDEX(J$1:J2667,SUMPRODUCT(MAX(ROW(E$1:E2667)*(E2668=E$1:E2667)))))</f>
        <v> </v>
      </c>
      <c r="L2668" s="26"/>
    </row>
    <row r="2669" spans="1:12">
      <c r="A2669" s="20" t="s">
        <v>1733</v>
      </c>
      <c r="E2669" s="21">
        <f>IF(D2669="?OLD","!!!","")</f>
        <v/>
      </c>
      <c r="F2669" s="22" t="str">
        <f>IF(OR(E2669="",E2669="!!!"),"",IF(NOT(ISNA(VLOOKUP(E2669,E$1:E2668,1,FALSE()))),"OLD",IF(AND(E2669&lt;&gt;"",E2669&lt;&gt;"!!!"),"NEW","")))</f>
        <v> </v>
      </c>
      <c r="G2669" s="23" t="str">
        <f>IF(OR(E2669="",E2669="!!!"),"",IF(OR(J2669=0,AND(J2669=1,K2669=1),AND(J2669=1,I2669="SBJ"),AND(J2669=1,I2669=0)),"?IN_FOCUS",IF(J2669&lt;=2,"?ACTIVATED",IF(J2669&lt;&gt;"","?FAMILIAR",IF(F2669="NEW",IF(ISNA(VLOOKUP(E2669,#REF!,1,FALSE())),"?TYPE_IDENTIFIABLE","?REFERENTIAL"),"_")))))</f>
        <v> </v>
      </c>
      <c r="H2669" s="24" t="str">
        <f>IF(J2669&lt;&gt;1,"",IF(I2669="SBJ","CB","?"))</f>
        <v> </v>
      </c>
      <c r="I2669" s="25" t="str">
        <f>IF(OR(E2669="",E2669="!!!",F2669="NEW"),"",INDEX(B2668:B$2,-1+SUMPRODUCT(MAX(ROW(E2668:E$2)*(E2669=E2668:E$2)))))</f>
        <v> </v>
      </c>
      <c r="J2669" s="25" t="str">
        <f>IF(OR(E2669="",E2669="!!!",F2669="NEW"),"",COUNTBLANK(OFFSET(A$1,,,SUMPRODUCT(MAX(ROW(E$2:E2669)*(E2669=E$2:E2669)))))-COUNTBLANK(OFFSET(A$1,,,SUMPRODUCT(MAX(ROW(E$1:E2668)*(E2=E$1:E2668))))))</f>
        <v> </v>
      </c>
      <c r="K2669" s="25" t="str">
        <f>IF(OR(E2669="",E2669="!!!",F2669="NEW"),"",INDEX(J$1:J2668,SUMPRODUCT(MAX(ROW(E$1:E2668)*(E2669=E$1:E2668)))))</f>
        <v> </v>
      </c>
      <c r="L2669" s="26"/>
    </row>
    <row r="2670" spans="1:12">
      <c r="A2670" s="20" t="s">
        <v>1981</v>
      </c>
      <c r="E2670" s="21">
        <f>IF(D2670="?OLD","!!!","")</f>
        <v/>
      </c>
      <c r="F2670" s="22" t="str">
        <f>IF(OR(E2670="",E2670="!!!"),"",IF(NOT(ISNA(VLOOKUP(E2670,E$1:E2669,1,FALSE()))),"OLD",IF(AND(E2670&lt;&gt;"",E2670&lt;&gt;"!!!"),"NEW","")))</f>
        <v> </v>
      </c>
      <c r="G2670" s="23" t="str">
        <f>IF(OR(E2670="",E2670="!!!"),"",IF(OR(J2670=0,AND(J2670=1,K2670=1),AND(J2670=1,I2670="SBJ"),AND(J2670=1,I2670=0)),"?IN_FOCUS",IF(J2670&lt;=2,"?ACTIVATED",IF(J2670&lt;&gt;"","?FAMILIAR",IF(F2670="NEW",IF(ISNA(VLOOKUP(E2670,#REF!,1,FALSE())),"?TYPE_IDENTIFIABLE","?REFERENTIAL"),"_")))))</f>
        <v> </v>
      </c>
      <c r="H2670" s="24" t="str">
        <f>IF(J2670&lt;&gt;1,"",IF(I2670="SBJ","CB","?"))</f>
        <v> </v>
      </c>
      <c r="I2670" s="25" t="str">
        <f>IF(OR(E2670="",E2670="!!!",F2670="NEW"),"",INDEX(B2669:B$2,-1+SUMPRODUCT(MAX(ROW(E2669:E$2)*(E2670=E2669:E$2)))))</f>
        <v> </v>
      </c>
      <c r="J2670" s="25" t="str">
        <f>IF(OR(E2670="",E2670="!!!",F2670="NEW"),"",COUNTBLANK(OFFSET(A$1,,,SUMPRODUCT(MAX(ROW(E$2:E2670)*(E2670=E$2:E2670)))))-COUNTBLANK(OFFSET(A$1,,,SUMPRODUCT(MAX(ROW(E$1:E2669)*(E2=E$1:E2669))))))</f>
        <v> </v>
      </c>
      <c r="K2670" s="25" t="str">
        <f>IF(OR(E2670="",E2670="!!!",F2670="NEW"),"",INDEX(J$1:J2669,SUMPRODUCT(MAX(ROW(E$1:E2669)*(E2670=E$1:E2669)))))</f>
        <v> </v>
      </c>
      <c r="L2670" s="26"/>
    </row>
    <row r="2671" spans="1:12">
      <c r="A2671" s="20" t="s">
        <v>1275</v>
      </c>
      <c r="E2671" s="21">
        <f>IF(D2671="?OLD","!!!","")</f>
        <v/>
      </c>
      <c r="F2671" s="22" t="str">
        <f>IF(OR(E2671="",E2671="!!!"),"",IF(NOT(ISNA(VLOOKUP(E2671,E$1:E2670,1,FALSE()))),"OLD",IF(AND(E2671&lt;&gt;"",E2671&lt;&gt;"!!!"),"NEW","")))</f>
        <v> </v>
      </c>
      <c r="G2671" s="23" t="str">
        <f>IF(OR(E2671="",E2671="!!!"),"",IF(OR(J2671=0,AND(J2671=1,K2671=1),AND(J2671=1,I2671="SBJ"),AND(J2671=1,I2671=0)),"?IN_FOCUS",IF(J2671&lt;=2,"?ACTIVATED",IF(J2671&lt;&gt;"","?FAMILIAR",IF(F2671="NEW",IF(ISNA(VLOOKUP(E2671,#REF!,1,FALSE())),"?TYPE_IDENTIFIABLE","?REFERENTIAL"),"_")))))</f>
        <v> </v>
      </c>
      <c r="H2671" s="24" t="str">
        <f>IF(J2671&lt;&gt;1,"",IF(I2671="SBJ","CB","?"))</f>
        <v> </v>
      </c>
      <c r="I2671" s="25" t="str">
        <f>IF(OR(E2671="",E2671="!!!",F2671="NEW"),"",INDEX(B2670:B$2,-1+SUMPRODUCT(MAX(ROW(E2670:E$2)*(E2671=E2670:E$2)))))</f>
        <v> </v>
      </c>
      <c r="J2671" s="25" t="str">
        <f>IF(OR(E2671="",E2671="!!!",F2671="NEW"),"",COUNTBLANK(OFFSET(A$1,,,SUMPRODUCT(MAX(ROW(E$2:E2671)*(E2671=E$2:E2671)))))-COUNTBLANK(OFFSET(A$1,,,SUMPRODUCT(MAX(ROW(E$1:E2670)*(E2=E$1:E2670))))))</f>
        <v> </v>
      </c>
      <c r="K2671" s="25" t="str">
        <f>IF(OR(E2671="",E2671="!!!",F2671="NEW"),"",INDEX(J$1:J2670,SUMPRODUCT(MAX(ROW(E$1:E2670)*(E2671=E$1:E2670)))))</f>
        <v> </v>
      </c>
      <c r="L2671" s="26"/>
    </row>
    <row r="2672" spans="1:12">
      <c r="A2672" s="20" t="s">
        <v>1123</v>
      </c>
      <c r="B2672" s="27" t="s">
        <v>1278</v>
      </c>
      <c r="C2672" s="27" t="s">
        <v>1050</v>
      </c>
      <c r="D2672" s="27" t="s">
        <v>1030</v>
      </c>
      <c r="E2672" s="21">
        <f>IF(D2672="?OLD","!!!","")</f>
        <v/>
      </c>
      <c r="F2672" s="22" t="str">
        <f>IF(OR(E2672="",E2672="!!!"),"",IF(NOT(ISNA(VLOOKUP(E2672,E$1:E2671,1,FALSE()))),"OLD",IF(AND(E2672&lt;&gt;"",E2672&lt;&gt;"!!!"),"NEW","")))</f>
        <v> </v>
      </c>
      <c r="G2672" s="23" t="str">
        <f>IF(OR(E2672="",E2672="!!!"),"",IF(OR(J2672=0,AND(J2672=1,K2672=1),AND(J2672=1,I2672="SBJ"),AND(J2672=1,I2672=0)),"?IN_FOCUS",IF(J2672&lt;=2,"?ACTIVATED",IF(J2672&lt;&gt;"","?FAMILIAR",IF(F2672="NEW",IF(ISNA(VLOOKUP(E2672,#REF!,1,FALSE())),"?TYPE_IDENTIFIABLE","?REFERENTIAL"),"_")))))</f>
        <v> </v>
      </c>
      <c r="H2672" s="24" t="str">
        <f>IF(J2672&lt;&gt;1,"",IF(I2672="SBJ","CB","?"))</f>
        <v> </v>
      </c>
      <c r="I2672" s="25" t="str">
        <f>IF(OR(E2672="",E2672="!!!",F2672="NEW"),"",INDEX(B2671:B$2,-1+SUMPRODUCT(MAX(ROW(E2671:E$2)*(E2672=E2671:E$2)))))</f>
        <v> </v>
      </c>
      <c r="J2672" s="25" t="str">
        <f>IF(OR(E2672="",E2672="!!!",F2672="NEW"),"",COUNTBLANK(OFFSET(A$1,,,SUMPRODUCT(MAX(ROW(E$2:E2672)*(E2672=E$2:E2672)))))-COUNTBLANK(OFFSET(A$1,,,SUMPRODUCT(MAX(ROW(E$1:E2671)*(E2=E$1:E2671))))))</f>
        <v> </v>
      </c>
      <c r="K2672" s="25" t="str">
        <f>IF(OR(E2672="",E2672="!!!",F2672="NEW"),"",INDEX(J$1:J2671,SUMPRODUCT(MAX(ROW(E$1:E2671)*(E2672=E$1:E2671)))))</f>
        <v> </v>
      </c>
      <c r="L2672" s="26"/>
    </row>
    <row r="2673" spans="1:12">
      <c r="A2673" s="20" t="s">
        <v>135</v>
      </c>
      <c r="E2673" s="21">
        <f>IF(D2673="?OLD","!!!","")</f>
        <v/>
      </c>
      <c r="F2673" s="22" t="str">
        <f>IF(OR(E2673="",E2673="!!!"),"",IF(NOT(ISNA(VLOOKUP(E2673,E$1:E2672,1,FALSE()))),"OLD",IF(AND(E2673&lt;&gt;"",E2673&lt;&gt;"!!!"),"NEW","")))</f>
        <v> </v>
      </c>
      <c r="G2673" s="23" t="str">
        <f>IF(OR(E2673="",E2673="!!!"),"",IF(OR(J2673=0,AND(J2673=1,K2673=1),AND(J2673=1,I2673="SBJ"),AND(J2673=1,I2673=0)),"?IN_FOCUS",IF(J2673&lt;=2,"?ACTIVATED",IF(J2673&lt;&gt;"","?FAMILIAR",IF(F2673="NEW",IF(ISNA(VLOOKUP(E2673,#REF!,1,FALSE())),"?TYPE_IDENTIFIABLE","?REFERENTIAL"),"_")))))</f>
        <v> </v>
      </c>
      <c r="H2673" s="24" t="str">
        <f>IF(J2673&lt;&gt;1,"",IF(I2673="SBJ","CB","?"))</f>
        <v> </v>
      </c>
      <c r="I2673" s="25" t="str">
        <f>IF(OR(E2673="",E2673="!!!",F2673="NEW"),"",INDEX(B2672:B$2,-1+SUMPRODUCT(MAX(ROW(E2672:E$2)*(E2673=E2672:E$2)))))</f>
        <v> </v>
      </c>
      <c r="J2673" s="25" t="str">
        <f>IF(OR(E2673="",E2673="!!!",F2673="NEW"),"",COUNTBLANK(OFFSET(A$1,,,SUMPRODUCT(MAX(ROW(E$2:E2673)*(E2673=E$2:E2673)))))-COUNTBLANK(OFFSET(A$1,,,SUMPRODUCT(MAX(ROW(E$1:E2672)*(E2=E$1:E2672))))))</f>
        <v> </v>
      </c>
      <c r="K2673" s="25" t="str">
        <f>IF(OR(E2673="",E2673="!!!",F2673="NEW"),"",INDEX(J$1:J2672,SUMPRODUCT(MAX(ROW(E$1:E2672)*(E2673=E$1:E2672)))))</f>
        <v> </v>
      </c>
      <c r="L2673" s="26"/>
    </row>
    <row r="2674" spans="1:12">
      <c r="A2674" s="20"/>
    </row>
    <row r="2675" spans="1:12">
      <c r="A2675" s="20" t="s">
        <v>1982</v>
      </c>
    </row>
    <row r="2676" spans="1:12">
      <c r="A2676" s="20" t="s">
        <v>1137</v>
      </c>
      <c r="E2676" s="21">
        <f>IF(D2676="?OLD","!!!","")</f>
        <v/>
      </c>
      <c r="F2676" s="22" t="str">
        <f>IF(OR(E2676="",E2676="!!!"),"",IF(NOT(ISNA(VLOOKUP(E2676,E$1:E2675,1,FALSE()))),"OLD",IF(AND(E2676&lt;&gt;"",E2676&lt;&gt;"!!!"),"NEW","")))</f>
        <v> </v>
      </c>
      <c r="G2676" s="23" t="str">
        <f>IF(OR(E2676="",E2676="!!!"),"",IF(OR(J2676=0,AND(J2676=1,K2676=1),AND(J2676=1,I2676="SBJ"),AND(J2676=1,I2676=0)),"?IN_FOCUS",IF(J2676&lt;=2,"?ACTIVATED",IF(J2676&lt;&gt;"","?FAMILIAR",IF(F2676="NEW",IF(ISNA(VLOOKUP(E2676,#REF!,1,FALSE())),"?TYPE_IDENTIFIABLE","?REFERENTIAL"),"_")))))</f>
        <v> </v>
      </c>
      <c r="H2676" s="24" t="str">
        <f>IF(J2676&lt;&gt;1,"",IF(I2676="SBJ","CB","?"))</f>
        <v> </v>
      </c>
      <c r="I2676" s="25" t="str">
        <f>IF(OR(E2676="",E2676="!!!",F2676="NEW"),"",INDEX(B2675:B$2,-1+SUMPRODUCT(MAX(ROW(E2675:E$2)*(E2676=E2675:E$2)))))</f>
        <v> </v>
      </c>
      <c r="J2676" s="25" t="str">
        <f>IF(OR(E2676="",E2676="!!!",F2676="NEW"),"",COUNTBLANK(OFFSET(A$1,,,SUMPRODUCT(MAX(ROW(E$2:E2676)*(E2676=E$2:E2676)))))-COUNTBLANK(OFFSET(A$1,,,SUMPRODUCT(MAX(ROW(E$1:E2675)*(E2=E$1:E2675))))))</f>
        <v> </v>
      </c>
      <c r="K2676" s="25" t="str">
        <f>IF(OR(E2676="",E2676="!!!",F2676="NEW"),"",INDEX(J$1:J2675,SUMPRODUCT(MAX(ROW(E$1:E2675)*(E2676=E$1:E2675)))))</f>
        <v> </v>
      </c>
      <c r="L2676" s="26"/>
    </row>
    <row r="2677" spans="1:12">
      <c r="A2677" s="20" t="s">
        <v>1983</v>
      </c>
      <c r="E2677" s="21">
        <f>IF(D2677="?OLD","!!!","")</f>
        <v/>
      </c>
      <c r="F2677" s="22" t="str">
        <f>IF(OR(E2677="",E2677="!!!"),"",IF(NOT(ISNA(VLOOKUP(E2677,E$1:E2676,1,FALSE()))),"OLD",IF(AND(E2677&lt;&gt;"",E2677&lt;&gt;"!!!"),"NEW","")))</f>
        <v> </v>
      </c>
      <c r="G2677" s="23" t="str">
        <f>IF(OR(E2677="",E2677="!!!"),"",IF(OR(J2677=0,AND(J2677=1,K2677=1),AND(J2677=1,I2677="SBJ"),AND(J2677=1,I2677=0)),"?IN_FOCUS",IF(J2677&lt;=2,"?ACTIVATED",IF(J2677&lt;&gt;"","?FAMILIAR",IF(F2677="NEW",IF(ISNA(VLOOKUP(E2677,#REF!,1,FALSE())),"?TYPE_IDENTIFIABLE","?REFERENTIAL"),"_")))))</f>
        <v> </v>
      </c>
      <c r="H2677" s="24" t="str">
        <f>IF(J2677&lt;&gt;1,"",IF(I2677="SBJ","CB","?"))</f>
        <v> </v>
      </c>
      <c r="I2677" s="25" t="str">
        <f>IF(OR(E2677="",E2677="!!!",F2677="NEW"),"",INDEX(B2676:B$2,-1+SUMPRODUCT(MAX(ROW(E2676:E$2)*(E2677=E2676:E$2)))))</f>
        <v> </v>
      </c>
      <c r="J2677" s="25" t="str">
        <f>IF(OR(E2677="",E2677="!!!",F2677="NEW"),"",COUNTBLANK(OFFSET(A$1,,,SUMPRODUCT(MAX(ROW(E$2:E2677)*(E2677=E$2:E2677)))))-COUNTBLANK(OFFSET(A$1,,,SUMPRODUCT(MAX(ROW(E$1:E2676)*(E2=E$1:E2676))))))</f>
        <v> </v>
      </c>
      <c r="K2677" s="25" t="str">
        <f>IF(OR(E2677="",E2677="!!!",F2677="NEW"),"",INDEX(J$1:J2676,SUMPRODUCT(MAX(ROW(E$1:E2676)*(E2677=E$1:E2676)))))</f>
        <v> </v>
      </c>
      <c r="L2677" s="26"/>
    </row>
    <row r="2678" spans="1:12">
      <c r="A2678" s="20" t="s">
        <v>1984</v>
      </c>
      <c r="E2678" s="21">
        <f>IF(D2678="?OLD","!!!","")</f>
        <v/>
      </c>
      <c r="F2678" s="22" t="str">
        <f>IF(OR(E2678="",E2678="!!!"),"",IF(NOT(ISNA(VLOOKUP(E2678,E$1:E2677,1,FALSE()))),"OLD",IF(AND(E2678&lt;&gt;"",E2678&lt;&gt;"!!!"),"NEW","")))</f>
        <v> </v>
      </c>
      <c r="G2678" s="23" t="str">
        <f>IF(OR(E2678="",E2678="!!!"),"",IF(OR(J2678=0,AND(J2678=1,K2678=1),AND(J2678=1,I2678="SBJ"),AND(J2678=1,I2678=0)),"?IN_FOCUS",IF(J2678&lt;=2,"?ACTIVATED",IF(J2678&lt;&gt;"","?FAMILIAR",IF(F2678="NEW",IF(ISNA(VLOOKUP(E2678,#REF!,1,FALSE())),"?TYPE_IDENTIFIABLE","?REFERENTIAL"),"_")))))</f>
        <v> </v>
      </c>
      <c r="H2678" s="24" t="str">
        <f>IF(J2678&lt;&gt;1,"",IF(I2678="SBJ","CB","?"))</f>
        <v> </v>
      </c>
      <c r="I2678" s="25" t="str">
        <f>IF(OR(E2678="",E2678="!!!",F2678="NEW"),"",INDEX(B2677:B$2,-1+SUMPRODUCT(MAX(ROW(E2677:E$2)*(E2678=E2677:E$2)))))</f>
        <v> </v>
      </c>
      <c r="J2678" s="25" t="str">
        <f>IF(OR(E2678="",E2678="!!!",F2678="NEW"),"",COUNTBLANK(OFFSET(A$1,,,SUMPRODUCT(MAX(ROW(E$2:E2678)*(E2678=E$2:E2678)))))-COUNTBLANK(OFFSET(A$1,,,SUMPRODUCT(MAX(ROW(E$1:E2677)*(E2=E$1:E2677))))))</f>
        <v> </v>
      </c>
      <c r="K2678" s="25" t="str">
        <f>IF(OR(E2678="",E2678="!!!",F2678="NEW"),"",INDEX(J$1:J2677,SUMPRODUCT(MAX(ROW(E$1:E2677)*(E2678=E$1:E2677)))))</f>
        <v> </v>
      </c>
      <c r="L2678" s="26"/>
    </row>
    <row r="2679" spans="1:12">
      <c r="A2679" s="20" t="s">
        <v>1022</v>
      </c>
      <c r="E2679" s="21">
        <f>IF(D2679="?OLD","!!!","")</f>
        <v/>
      </c>
      <c r="F2679" s="22" t="str">
        <f>IF(OR(E2679="",E2679="!!!"),"",IF(NOT(ISNA(VLOOKUP(E2679,E$1:E2678,1,FALSE()))),"OLD",IF(AND(E2679&lt;&gt;"",E2679&lt;&gt;"!!!"),"NEW","")))</f>
        <v> </v>
      </c>
      <c r="G2679" s="23" t="str">
        <f>IF(OR(E2679="",E2679="!!!"),"",IF(OR(J2679=0,AND(J2679=1,K2679=1),AND(J2679=1,I2679="SBJ"),AND(J2679=1,I2679=0)),"?IN_FOCUS",IF(J2679&lt;=2,"?ACTIVATED",IF(J2679&lt;&gt;"","?FAMILIAR",IF(F2679="NEW",IF(ISNA(VLOOKUP(E2679,#REF!,1,FALSE())),"?TYPE_IDENTIFIABLE","?REFERENTIAL"),"_")))))</f>
        <v> </v>
      </c>
      <c r="H2679" s="24" t="str">
        <f>IF(J2679&lt;&gt;1,"",IF(I2679="SBJ","CB","?"))</f>
        <v> </v>
      </c>
      <c r="I2679" s="25" t="str">
        <f>IF(OR(E2679="",E2679="!!!",F2679="NEW"),"",INDEX(B2678:B$2,-1+SUMPRODUCT(MAX(ROW(E2678:E$2)*(E2679=E2678:E$2)))))</f>
        <v> </v>
      </c>
      <c r="J2679" s="25" t="str">
        <f>IF(OR(E2679="",E2679="!!!",F2679="NEW"),"",COUNTBLANK(OFFSET(A$1,,,SUMPRODUCT(MAX(ROW(E$2:E2679)*(E2679=E$2:E2679)))))-COUNTBLANK(OFFSET(A$1,,,SUMPRODUCT(MAX(ROW(E$1:E2678)*(E2=E$1:E2678))))))</f>
        <v> </v>
      </c>
      <c r="K2679" s="25" t="str">
        <f>IF(OR(E2679="",E2679="!!!",F2679="NEW"),"",INDEX(J$1:J2678,SUMPRODUCT(MAX(ROW(E$1:E2678)*(E2679=E$1:E2678)))))</f>
        <v> </v>
      </c>
      <c r="L2679" s="26"/>
    </row>
    <row r="2680" spans="1:12">
      <c r="A2680" s="20" t="s">
        <v>1083</v>
      </c>
      <c r="E2680" s="21">
        <f>IF(D2680="?OLD","!!!","")</f>
        <v/>
      </c>
      <c r="F2680" s="22" t="str">
        <f>IF(OR(E2680="",E2680="!!!"),"",IF(NOT(ISNA(VLOOKUP(E2680,E$1:E2679,1,FALSE()))),"OLD",IF(AND(E2680&lt;&gt;"",E2680&lt;&gt;"!!!"),"NEW","")))</f>
        <v> </v>
      </c>
      <c r="G2680" s="23" t="str">
        <f>IF(OR(E2680="",E2680="!!!"),"",IF(OR(J2680=0,AND(J2680=1,K2680=1),AND(J2680=1,I2680="SBJ"),AND(J2680=1,I2680=0)),"?IN_FOCUS",IF(J2680&lt;=2,"?ACTIVATED",IF(J2680&lt;&gt;"","?FAMILIAR",IF(F2680="NEW",IF(ISNA(VLOOKUP(E2680,#REF!,1,FALSE())),"?TYPE_IDENTIFIABLE","?REFERENTIAL"),"_")))))</f>
        <v> </v>
      </c>
      <c r="H2680" s="24" t="str">
        <f>IF(J2680&lt;&gt;1,"",IF(I2680="SBJ","CB","?"))</f>
        <v> </v>
      </c>
      <c r="I2680" s="25" t="str">
        <f>IF(OR(E2680="",E2680="!!!",F2680="NEW"),"",INDEX(B2679:B$2,-1+SUMPRODUCT(MAX(ROW(E2679:E$2)*(E2680=E2679:E$2)))))</f>
        <v> </v>
      </c>
      <c r="J2680" s="25" t="str">
        <f>IF(OR(E2680="",E2680="!!!",F2680="NEW"),"",COUNTBLANK(OFFSET(A$1,,,SUMPRODUCT(MAX(ROW(E$2:E2680)*(E2680=E$2:E2680)))))-COUNTBLANK(OFFSET(A$1,,,SUMPRODUCT(MAX(ROW(E$1:E2679)*(E2=E$1:E2679))))))</f>
        <v> </v>
      </c>
      <c r="K2680" s="25" t="str">
        <f>IF(OR(E2680="",E2680="!!!",F2680="NEW"),"",INDEX(J$1:J2679,SUMPRODUCT(MAX(ROW(E$1:E2679)*(E2680=E$1:E2679)))))</f>
        <v> </v>
      </c>
      <c r="L2680" s="26"/>
    </row>
    <row r="2681" spans="1:12">
      <c r="A2681" s="20" t="s">
        <v>1337</v>
      </c>
      <c r="E2681" s="21">
        <f>IF(D2681="?OLD","!!!","")</f>
        <v/>
      </c>
      <c r="F2681" s="22" t="str">
        <f>IF(OR(E2681="",E2681="!!!"),"",IF(NOT(ISNA(VLOOKUP(E2681,E$1:E2680,1,FALSE()))),"OLD",IF(AND(E2681&lt;&gt;"",E2681&lt;&gt;"!!!"),"NEW","")))</f>
        <v> </v>
      </c>
      <c r="G2681" s="23" t="str">
        <f>IF(OR(E2681="",E2681="!!!"),"",IF(OR(J2681=0,AND(J2681=1,K2681=1),AND(J2681=1,I2681="SBJ"),AND(J2681=1,I2681=0)),"?IN_FOCUS",IF(J2681&lt;=2,"?ACTIVATED",IF(J2681&lt;&gt;"","?FAMILIAR",IF(F2681="NEW",IF(ISNA(VLOOKUP(E2681,#REF!,1,FALSE())),"?TYPE_IDENTIFIABLE","?REFERENTIAL"),"_")))))</f>
        <v> </v>
      </c>
      <c r="H2681" s="24" t="str">
        <f>IF(J2681&lt;&gt;1,"",IF(I2681="SBJ","CB","?"))</f>
        <v> </v>
      </c>
      <c r="I2681" s="25" t="str">
        <f>IF(OR(E2681="",E2681="!!!",F2681="NEW"),"",INDEX(B2680:B$2,-1+SUMPRODUCT(MAX(ROW(E2680:E$2)*(E2681=E2680:E$2)))))</f>
        <v> </v>
      </c>
      <c r="J2681" s="25" t="str">
        <f>IF(OR(E2681="",E2681="!!!",F2681="NEW"),"",COUNTBLANK(OFFSET(A$1,,,SUMPRODUCT(MAX(ROW(E$2:E2681)*(E2681=E$2:E2681)))))-COUNTBLANK(OFFSET(A$1,,,SUMPRODUCT(MAX(ROW(E$1:E2680)*(E2=E$1:E2680))))))</f>
        <v> </v>
      </c>
      <c r="K2681" s="25" t="str">
        <f>IF(OR(E2681="",E2681="!!!",F2681="NEW"),"",INDEX(J$1:J2680,SUMPRODUCT(MAX(ROW(E$1:E2680)*(E2681=E$1:E2680)))))</f>
        <v> </v>
      </c>
      <c r="L2681" s="26"/>
    </row>
    <row r="2682" spans="1:12">
      <c r="A2682" s="20" t="s">
        <v>1985</v>
      </c>
      <c r="E2682" s="21">
        <f>IF(D2682="?OLD","!!!","")</f>
        <v/>
      </c>
      <c r="F2682" s="22" t="str">
        <f>IF(OR(E2682="",E2682="!!!"),"",IF(NOT(ISNA(VLOOKUP(E2682,E$1:E2681,1,FALSE()))),"OLD",IF(AND(E2682&lt;&gt;"",E2682&lt;&gt;"!!!"),"NEW","")))</f>
        <v> </v>
      </c>
      <c r="G2682" s="23" t="str">
        <f>IF(OR(E2682="",E2682="!!!"),"",IF(OR(J2682=0,AND(J2682=1,K2682=1),AND(J2682=1,I2682="SBJ"),AND(J2682=1,I2682=0)),"?IN_FOCUS",IF(J2682&lt;=2,"?ACTIVATED",IF(J2682&lt;&gt;"","?FAMILIAR",IF(F2682="NEW",IF(ISNA(VLOOKUP(E2682,#REF!,1,FALSE())),"?TYPE_IDENTIFIABLE","?REFERENTIAL"),"_")))))</f>
        <v> </v>
      </c>
      <c r="H2682" s="24" t="str">
        <f>IF(J2682&lt;&gt;1,"",IF(I2682="SBJ","CB","?"))</f>
        <v> </v>
      </c>
      <c r="I2682" s="25" t="str">
        <f>IF(OR(E2682="",E2682="!!!",F2682="NEW"),"",INDEX(B2681:B$2,-1+SUMPRODUCT(MAX(ROW(E2681:E$2)*(E2682=E2681:E$2)))))</f>
        <v> </v>
      </c>
      <c r="J2682" s="25" t="str">
        <f>IF(OR(E2682="",E2682="!!!",F2682="NEW"),"",COUNTBLANK(OFFSET(A$1,,,SUMPRODUCT(MAX(ROW(E$2:E2682)*(E2682=E$2:E2682)))))-COUNTBLANK(OFFSET(A$1,,,SUMPRODUCT(MAX(ROW(E$1:E2681)*(E2=E$1:E2681))))))</f>
        <v> </v>
      </c>
      <c r="K2682" s="25" t="str">
        <f>IF(OR(E2682="",E2682="!!!",F2682="NEW"),"",INDEX(J$1:J2681,SUMPRODUCT(MAX(ROW(E$1:E2681)*(E2682=E$1:E2681)))))</f>
        <v> </v>
      </c>
      <c r="L2682" s="26"/>
    </row>
    <row r="2683" spans="1:12">
      <c r="A2683" s="20" t="s">
        <v>1049</v>
      </c>
      <c r="B2683" s="27" t="s">
        <v>1020</v>
      </c>
      <c r="C2683" s="27" t="s">
        <v>1050</v>
      </c>
      <c r="D2683" s="27" t="s">
        <v>1030</v>
      </c>
      <c r="E2683" s="21">
        <f>IF(D2683="?OLD","!!!","")</f>
        <v/>
      </c>
      <c r="F2683" s="22" t="str">
        <f>IF(OR(E2683="",E2683="!!!"),"",IF(NOT(ISNA(VLOOKUP(E2683,E$1:E2682,1,FALSE()))),"OLD",IF(AND(E2683&lt;&gt;"",E2683&lt;&gt;"!!!"),"NEW","")))</f>
        <v> </v>
      </c>
      <c r="G2683" s="23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4" t="str">
        <f>IF(J2683&lt;&gt;1,"",IF(I2683="SBJ","CB","?"))</f>
        <v> </v>
      </c>
      <c r="I2683" s="25" t="str">
        <f>IF(OR(E2683="",E2683="!!!",F2683="NEW"),"",INDEX(B2682:B$2,-1+SUMPRODUCT(MAX(ROW(E2682:E$2)*(E2683=E2682:E$2)))))</f>
        <v> </v>
      </c>
      <c r="J2683" s="25" t="str">
        <f>IF(OR(E2683="",E2683="!!!",F2683="NEW"),"",COUNTBLANK(OFFSET(A$1,,,SUMPRODUCT(MAX(ROW(E$2:E2683)*(E2683=E$2:E2683)))))-COUNTBLANK(OFFSET(A$1,,,SUMPRODUCT(MAX(ROW(E$1:E2682)*(E2=E$1:E2682))))))</f>
        <v> </v>
      </c>
      <c r="K2683" s="25" t="str">
        <f>IF(OR(E2683="",E2683="!!!",F2683="NEW"),"",INDEX(J$1:J2682,SUMPRODUCT(MAX(ROW(E$1:E2682)*(E2683=E$1:E2682)))))</f>
        <v> </v>
      </c>
      <c r="L2683" s="26"/>
    </row>
    <row r="2684" spans="1:12">
      <c r="A2684" s="20" t="s">
        <v>1986</v>
      </c>
      <c r="E2684" s="21">
        <f>IF(D2684="?OLD","!!!","")</f>
        <v/>
      </c>
      <c r="F2684" s="22" t="str">
        <f>IF(OR(E2684="",E2684="!!!"),"",IF(NOT(ISNA(VLOOKUP(E2684,E$1:E2683,1,FALSE()))),"OLD",IF(AND(E2684&lt;&gt;"",E2684&lt;&gt;"!!!"),"NEW","")))</f>
        <v> </v>
      </c>
      <c r="G2684" s="23" t="str">
        <f>IF(OR(E2684="",E2684="!!!"),"",IF(OR(J2684=0,AND(J2684=1,K2684=1),AND(J2684=1,I2684="SBJ"),AND(J2684=1,I2684=0)),"?IN_FOCUS",IF(J2684&lt;=2,"?ACTIVATED",IF(J2684&lt;&gt;"","?FAMILIAR",IF(F2684="NEW",IF(ISNA(VLOOKUP(E2684,#REF!,1,FALSE())),"?TYPE_IDENTIFIABLE","?REFERENTIAL"),"_")))))</f>
        <v> </v>
      </c>
      <c r="H2684" s="24" t="str">
        <f>IF(J2684&lt;&gt;1,"",IF(I2684="SBJ","CB","?"))</f>
        <v> </v>
      </c>
      <c r="I2684" s="25" t="str">
        <f>IF(OR(E2684="",E2684="!!!",F2684="NEW"),"",INDEX(B2683:B$2,-1+SUMPRODUCT(MAX(ROW(E2683:E$2)*(E2684=E2683:E$2)))))</f>
        <v> </v>
      </c>
      <c r="J2684" s="25" t="str">
        <f>IF(OR(E2684="",E2684="!!!",F2684="NEW"),"",COUNTBLANK(OFFSET(A$1,,,SUMPRODUCT(MAX(ROW(E$2:E2684)*(E2684=E$2:E2684)))))-COUNTBLANK(OFFSET(A$1,,,SUMPRODUCT(MAX(ROW(E$1:E2683)*(E2=E$1:E2683))))))</f>
        <v> </v>
      </c>
      <c r="K2684" s="25" t="str">
        <f>IF(OR(E2684="",E2684="!!!",F2684="NEW"),"",INDEX(J$1:J2683,SUMPRODUCT(MAX(ROW(E$1:E2683)*(E2684=E$1:E2683)))))</f>
        <v> </v>
      </c>
      <c r="L2684" s="26"/>
    </row>
    <row r="2685" spans="1:12">
      <c r="A2685" s="20" t="s">
        <v>1215</v>
      </c>
      <c r="E2685" s="21">
        <f>IF(D2685="?OLD","!!!","")</f>
        <v/>
      </c>
      <c r="F2685" s="22" t="str">
        <f>IF(OR(E2685="",E2685="!!!"),"",IF(NOT(ISNA(VLOOKUP(E2685,E$1:E2684,1,FALSE()))),"OLD",IF(AND(E2685&lt;&gt;"",E2685&lt;&gt;"!!!"),"NEW","")))</f>
        <v> </v>
      </c>
      <c r="G2685" s="23" t="str">
        <f>IF(OR(E2685="",E2685="!!!"),"",IF(OR(J2685=0,AND(J2685=1,K2685=1),AND(J2685=1,I2685="SBJ"),AND(J2685=1,I2685=0)),"?IN_FOCUS",IF(J2685&lt;=2,"?ACTIVATED",IF(J2685&lt;&gt;"","?FAMILIAR",IF(F2685="NEW",IF(ISNA(VLOOKUP(E2685,#REF!,1,FALSE())),"?TYPE_IDENTIFIABLE","?REFERENTIAL"),"_")))))</f>
        <v> </v>
      </c>
      <c r="H2685" s="24" t="str">
        <f>IF(J2685&lt;&gt;1,"",IF(I2685="SBJ","CB","?"))</f>
        <v> </v>
      </c>
      <c r="I2685" s="25" t="str">
        <f>IF(OR(E2685="",E2685="!!!",F2685="NEW"),"",INDEX(B2684:B$2,-1+SUMPRODUCT(MAX(ROW(E2684:E$2)*(E2685=E2684:E$2)))))</f>
        <v> </v>
      </c>
      <c r="J2685" s="25" t="str">
        <f>IF(OR(E2685="",E2685="!!!",F2685="NEW"),"",COUNTBLANK(OFFSET(A$1,,,SUMPRODUCT(MAX(ROW(E$2:E2685)*(E2685=E$2:E2685)))))-COUNTBLANK(OFFSET(A$1,,,SUMPRODUCT(MAX(ROW(E$1:E2684)*(E2=E$1:E2684))))))</f>
        <v> </v>
      </c>
      <c r="K2685" s="25" t="str">
        <f>IF(OR(E2685="",E2685="!!!",F2685="NEW"),"",INDEX(J$1:J2684,SUMPRODUCT(MAX(ROW(E$1:E2684)*(E2685=E$1:E2684)))))</f>
        <v> </v>
      </c>
      <c r="L2685" s="26"/>
    </row>
    <row r="2686" spans="1:12">
      <c r="A2686" s="20"/>
    </row>
    <row r="2687" spans="1:12">
      <c r="A2687" s="20" t="s">
        <v>1987</v>
      </c>
    </row>
    <row r="2688" spans="1:12">
      <c r="A2688" s="20" t="s">
        <v>1988</v>
      </c>
      <c r="E2688" s="21">
        <f>IF(D2688="?OLD","!!!","")</f>
        <v/>
      </c>
      <c r="F2688" s="22" t="str">
        <f>IF(OR(E2688="",E2688="!!!"),"",IF(NOT(ISNA(VLOOKUP(E2688,E$1:E2687,1,FALSE()))),"OLD",IF(AND(E2688&lt;&gt;"",E2688&lt;&gt;"!!!"),"NEW","")))</f>
        <v> </v>
      </c>
      <c r="G2688" s="23" t="str">
        <f>IF(OR(E2688="",E2688="!!!"),"",IF(OR(J2688=0,AND(J2688=1,K2688=1),AND(J2688=1,I2688="SBJ"),AND(J2688=1,I2688=0)),"?IN_FOCUS",IF(J2688&lt;=2,"?ACTIVATED",IF(J2688&lt;&gt;"","?FAMILIAR",IF(F2688="NEW",IF(ISNA(VLOOKUP(E2688,#REF!,1,FALSE())),"?TYPE_IDENTIFIABLE","?REFERENTIAL"),"_")))))</f>
        <v> </v>
      </c>
      <c r="H2688" s="24" t="str">
        <f>IF(J2688&lt;&gt;1,"",IF(I2688="SBJ","CB","?"))</f>
        <v> </v>
      </c>
      <c r="I2688" s="25" t="str">
        <f>IF(OR(E2688="",E2688="!!!",F2688="NEW"),"",INDEX(B2687:B$2,-1+SUMPRODUCT(MAX(ROW(E2687:E$2)*(E2688=E2687:E$2)))))</f>
        <v> </v>
      </c>
      <c r="J2688" s="25" t="str">
        <f>IF(OR(E2688="",E2688="!!!",F2688="NEW"),"",COUNTBLANK(OFFSET(A$1,,,SUMPRODUCT(MAX(ROW(E$2:E2688)*(E2688=E$2:E2688)))))-COUNTBLANK(OFFSET(A$1,,,SUMPRODUCT(MAX(ROW(E$1:E2687)*(E2=E$1:E2687))))))</f>
        <v> </v>
      </c>
      <c r="K2688" s="25" t="str">
        <f>IF(OR(E2688="",E2688="!!!",F2688="NEW"),"",INDEX(J$1:J2687,SUMPRODUCT(MAX(ROW(E$1:E2687)*(E2688=E$1:E2687)))))</f>
        <v> </v>
      </c>
      <c r="L2688" s="26"/>
    </row>
    <row r="2689" spans="1:12">
      <c r="A2689" s="20" t="s">
        <v>1635</v>
      </c>
      <c r="E2689" s="21">
        <f>IF(D2689="?OLD","!!!","")</f>
        <v/>
      </c>
      <c r="F2689" s="22" t="str">
        <f>IF(OR(E2689="",E2689="!!!"),"",IF(NOT(ISNA(VLOOKUP(E2689,E$1:E2688,1,FALSE()))),"OLD",IF(AND(E2689&lt;&gt;"",E2689&lt;&gt;"!!!"),"NEW","")))</f>
        <v> </v>
      </c>
      <c r="G2689" s="23" t="str">
        <f>IF(OR(E2689="",E2689="!!!"),"",IF(OR(J2689=0,AND(J2689=1,K2689=1),AND(J2689=1,I2689="SBJ"),AND(J2689=1,I2689=0)),"?IN_FOCUS",IF(J2689&lt;=2,"?ACTIVATED",IF(J2689&lt;&gt;"","?FAMILIAR",IF(F2689="NEW",IF(ISNA(VLOOKUP(E2689,#REF!,1,FALSE())),"?TYPE_IDENTIFIABLE","?REFERENTIAL"),"_")))))</f>
        <v> </v>
      </c>
      <c r="H2689" s="24" t="str">
        <f>IF(J2689&lt;&gt;1,"",IF(I2689="SBJ","CB","?"))</f>
        <v> </v>
      </c>
      <c r="I2689" s="25" t="str">
        <f>IF(OR(E2689="",E2689="!!!",F2689="NEW"),"",INDEX(B2688:B$2,-1+SUMPRODUCT(MAX(ROW(E2688:E$2)*(E2689=E2688:E$2)))))</f>
        <v> </v>
      </c>
      <c r="J2689" s="25" t="str">
        <f>IF(OR(E2689="",E2689="!!!",F2689="NEW"),"",COUNTBLANK(OFFSET(A$1,,,SUMPRODUCT(MAX(ROW(E$2:E2689)*(E2689=E$2:E2689)))))-COUNTBLANK(OFFSET(A$1,,,SUMPRODUCT(MAX(ROW(E$1:E2688)*(E2=E$1:E2688))))))</f>
        <v> </v>
      </c>
      <c r="K2689" s="25" t="str">
        <f>IF(OR(E2689="",E2689="!!!",F2689="NEW"),"",INDEX(J$1:J2688,SUMPRODUCT(MAX(ROW(E$1:E2688)*(E2689=E$1:E2688)))))</f>
        <v> </v>
      </c>
      <c r="L2689" s="26"/>
    </row>
    <row r="2690" spans="1:12">
      <c r="A2690" s="20" t="s">
        <v>1096</v>
      </c>
      <c r="E2690" s="21">
        <f>IF(D2690="?OLD","!!!","")</f>
        <v/>
      </c>
      <c r="F2690" s="22" t="str">
        <f>IF(OR(E2690="",E2690="!!!"),"",IF(NOT(ISNA(VLOOKUP(E2690,E$1:E2689,1,FALSE()))),"OLD",IF(AND(E2690&lt;&gt;"",E2690&lt;&gt;"!!!"),"NEW","")))</f>
        <v> </v>
      </c>
      <c r="G2690" s="23" t="str">
        <f>IF(OR(E2690="",E2690="!!!"),"",IF(OR(J2690=0,AND(J2690=1,K2690=1),AND(J2690=1,I2690="SBJ"),AND(J2690=1,I2690=0)),"?IN_FOCUS",IF(J2690&lt;=2,"?ACTIVATED",IF(J2690&lt;&gt;"","?FAMILIAR",IF(F2690="NEW",IF(ISNA(VLOOKUP(E2690,#REF!,1,FALSE())),"?TYPE_IDENTIFIABLE","?REFERENTIAL"),"_")))))</f>
        <v> </v>
      </c>
      <c r="H2690" s="24" t="str">
        <f>IF(J2690&lt;&gt;1,"",IF(I2690="SBJ","CB","?"))</f>
        <v> </v>
      </c>
      <c r="I2690" s="25" t="str">
        <f>IF(OR(E2690="",E2690="!!!",F2690="NEW"),"",INDEX(B2689:B$2,-1+SUMPRODUCT(MAX(ROW(E2689:E$2)*(E2690=E2689:E$2)))))</f>
        <v> </v>
      </c>
      <c r="J2690" s="25" t="str">
        <f>IF(OR(E2690="",E2690="!!!",F2690="NEW"),"",COUNTBLANK(OFFSET(A$1,,,SUMPRODUCT(MAX(ROW(E$2:E2690)*(E2690=E$2:E2690)))))-COUNTBLANK(OFFSET(A$1,,,SUMPRODUCT(MAX(ROW(E$1:E2689)*(E2=E$1:E2689))))))</f>
        <v> </v>
      </c>
      <c r="K2690" s="25" t="str">
        <f>IF(OR(E2690="",E2690="!!!",F2690="NEW"),"",INDEX(J$1:J2689,SUMPRODUCT(MAX(ROW(E$1:E2689)*(E2690=E$1:E2689)))))</f>
        <v> </v>
      </c>
      <c r="L2690" s="26"/>
    </row>
    <row r="2691" spans="1:12">
      <c r="A2691" s="20" t="s">
        <v>1989</v>
      </c>
      <c r="B2691" s="27" t="s">
        <v>1045</v>
      </c>
      <c r="C2691" s="27" t="s">
        <v>1029</v>
      </c>
      <c r="D2691" s="27" t="s">
        <v>1030</v>
      </c>
      <c r="E2691" s="21">
        <f>IF(D2691="?OLD","!!!","")</f>
        <v/>
      </c>
      <c r="F2691" s="22" t="str">
        <f>IF(OR(E2691="",E2691="!!!"),"",IF(NOT(ISNA(VLOOKUP(E2691,E$1:E2690,1,FALSE()))),"OLD",IF(AND(E2691&lt;&gt;"",E2691&lt;&gt;"!!!"),"NEW","")))</f>
        <v> </v>
      </c>
      <c r="G2691" s="23" t="str">
        <f>IF(OR(E2691="",E2691="!!!"),"",IF(OR(J2691=0,AND(J2691=1,K2691=1),AND(J2691=1,I2691="SBJ"),AND(J2691=1,I2691=0)),"?IN_FOCUS",IF(J2691&lt;=2,"?ACTIVATED",IF(J2691&lt;&gt;"","?FAMILIAR",IF(F2691="NEW",IF(ISNA(VLOOKUP(E2691,#REF!,1,FALSE())),"?TYPE_IDENTIFIABLE","?REFERENTIAL"),"_")))))</f>
        <v> </v>
      </c>
      <c r="H2691" s="24" t="str">
        <f>IF(J2691&lt;&gt;1,"",IF(I2691="SBJ","CB","?"))</f>
        <v> </v>
      </c>
      <c r="I2691" s="25" t="str">
        <f>IF(OR(E2691="",E2691="!!!",F2691="NEW"),"",INDEX(B2690:B$2,-1+SUMPRODUCT(MAX(ROW(E2690:E$2)*(E2691=E2690:E$2)))))</f>
        <v> </v>
      </c>
      <c r="J2691" s="25" t="str">
        <f>IF(OR(E2691="",E2691="!!!",F2691="NEW"),"",COUNTBLANK(OFFSET(A$1,,,SUMPRODUCT(MAX(ROW(E$2:E2691)*(E2691=E$2:E2691)))))-COUNTBLANK(OFFSET(A$1,,,SUMPRODUCT(MAX(ROW(E$1:E2690)*(E2=E$1:E2690))))))</f>
        <v> </v>
      </c>
      <c r="K2691" s="25" t="str">
        <f>IF(OR(E2691="",E2691="!!!",F2691="NEW"),"",INDEX(J$1:J2690,SUMPRODUCT(MAX(ROW(E$1:E2690)*(E2691=E$1:E2690)))))</f>
        <v> </v>
      </c>
      <c r="L2691" s="26"/>
    </row>
    <row r="2692" spans="1:12">
      <c r="A2692" s="20" t="s">
        <v>1016</v>
      </c>
      <c r="E2692" s="21">
        <f>IF(D2692="?OLD","!!!","")</f>
        <v/>
      </c>
      <c r="F2692" s="22" t="str">
        <f>IF(OR(E2692="",E2692="!!!"),"",IF(NOT(ISNA(VLOOKUP(E2692,E$1:E2691,1,FALSE()))),"OLD",IF(AND(E2692&lt;&gt;"",E2692&lt;&gt;"!!!"),"NEW","")))</f>
        <v> </v>
      </c>
      <c r="G2692" s="23" t="str">
        <f>IF(OR(E2692="",E2692="!!!"),"",IF(OR(J2692=0,AND(J2692=1,K2692=1),AND(J2692=1,I2692="SBJ"),AND(J2692=1,I2692=0)),"?IN_FOCUS",IF(J2692&lt;=2,"?ACTIVATED",IF(J2692&lt;&gt;"","?FAMILIAR",IF(F2692="NEW",IF(ISNA(VLOOKUP(E2692,#REF!,1,FALSE())),"?TYPE_IDENTIFIABLE","?REFERENTIAL"),"_")))))</f>
        <v> </v>
      </c>
      <c r="H2692" s="24" t="str">
        <f>IF(J2692&lt;&gt;1,"",IF(I2692="SBJ","CB","?"))</f>
        <v> </v>
      </c>
      <c r="I2692" s="25" t="str">
        <f>IF(OR(E2692="",E2692="!!!",F2692="NEW"),"",INDEX(B2691:B$2,-1+SUMPRODUCT(MAX(ROW(E2691:E$2)*(E2692=E2691:E$2)))))</f>
        <v> </v>
      </c>
      <c r="J2692" s="25" t="str">
        <f>IF(OR(E2692="",E2692="!!!",F2692="NEW"),"",COUNTBLANK(OFFSET(A$1,,,SUMPRODUCT(MAX(ROW(E$2:E2692)*(E2692=E$2:E2692)))))-COUNTBLANK(OFFSET(A$1,,,SUMPRODUCT(MAX(ROW(E$1:E2691)*(E2=E$1:E2691))))))</f>
        <v> </v>
      </c>
      <c r="K2692" s="25" t="str">
        <f>IF(OR(E2692="",E2692="!!!",F2692="NEW"),"",INDEX(J$1:J2691,SUMPRODUCT(MAX(ROW(E$1:E2691)*(E2692=E$1:E2691)))))</f>
        <v> </v>
      </c>
      <c r="L2692" s="26"/>
    </row>
    <row r="2693" spans="1:12">
      <c r="A2693" s="20" t="s">
        <v>1036</v>
      </c>
      <c r="E2693" s="21">
        <f>IF(D2693="?OLD","!!!","")</f>
        <v/>
      </c>
      <c r="F2693" s="22" t="str">
        <f>IF(OR(E2693="",E2693="!!!"),"",IF(NOT(ISNA(VLOOKUP(E2693,E$1:E2692,1,FALSE()))),"OLD",IF(AND(E2693&lt;&gt;"",E2693&lt;&gt;"!!!"),"NEW","")))</f>
        <v> </v>
      </c>
      <c r="G2693" s="23" t="str">
        <f>IF(OR(E2693="",E2693="!!!"),"",IF(OR(J2693=0,AND(J2693=1,K2693=1),AND(J2693=1,I2693="SBJ"),AND(J2693=1,I2693=0)),"?IN_FOCUS",IF(J2693&lt;=2,"?ACTIVATED",IF(J2693&lt;&gt;"","?FAMILIAR",IF(F2693="NEW",IF(ISNA(VLOOKUP(E2693,#REF!,1,FALSE())),"?TYPE_IDENTIFIABLE","?REFERENTIAL"),"_")))))</f>
        <v> </v>
      </c>
      <c r="H2693" s="24" t="str">
        <f>IF(J2693&lt;&gt;1,"",IF(I2693="SBJ","CB","?"))</f>
        <v> </v>
      </c>
      <c r="I2693" s="25" t="str">
        <f>IF(OR(E2693="",E2693="!!!",F2693="NEW"),"",INDEX(B2692:B$2,-1+SUMPRODUCT(MAX(ROW(E2692:E$2)*(E2693=E2692:E$2)))))</f>
        <v> </v>
      </c>
      <c r="J2693" s="25" t="str">
        <f>IF(OR(E2693="",E2693="!!!",F2693="NEW"),"",COUNTBLANK(OFFSET(A$1,,,SUMPRODUCT(MAX(ROW(E$2:E2693)*(E2693=E$2:E2693)))))-COUNTBLANK(OFFSET(A$1,,,SUMPRODUCT(MAX(ROW(E$1:E2692)*(E2=E$1:E2692))))))</f>
        <v> </v>
      </c>
      <c r="K2693" s="25" t="str">
        <f>IF(OR(E2693="",E2693="!!!",F2693="NEW"),"",INDEX(J$1:J2692,SUMPRODUCT(MAX(ROW(E$1:E2692)*(E2693=E$1:E2692)))))</f>
        <v> </v>
      </c>
      <c r="L2693" s="26"/>
    </row>
    <row r="2694" spans="1:12">
      <c r="A2694" s="20" t="s">
        <v>1023</v>
      </c>
      <c r="E2694" s="21">
        <f>IF(D2694="?OLD","!!!","")</f>
        <v/>
      </c>
      <c r="F2694" s="22" t="str">
        <f>IF(OR(E2694="",E2694="!!!"),"",IF(NOT(ISNA(VLOOKUP(E2694,E$1:E2693,1,FALSE()))),"OLD",IF(AND(E2694&lt;&gt;"",E2694&lt;&gt;"!!!"),"NEW","")))</f>
        <v> </v>
      </c>
      <c r="G2694" s="23" t="str">
        <f>IF(OR(E2694="",E2694="!!!"),"",IF(OR(J2694=0,AND(J2694=1,K2694=1),AND(J2694=1,I2694="SBJ"),AND(J2694=1,I2694=0)),"?IN_FOCUS",IF(J2694&lt;=2,"?ACTIVATED",IF(J2694&lt;&gt;"","?FAMILIAR",IF(F2694="NEW",IF(ISNA(VLOOKUP(E2694,#REF!,1,FALSE())),"?TYPE_IDENTIFIABLE","?REFERENTIAL"),"_")))))</f>
        <v> </v>
      </c>
      <c r="H2694" s="24" t="str">
        <f>IF(J2694&lt;&gt;1,"",IF(I2694="SBJ","CB","?"))</f>
        <v> </v>
      </c>
      <c r="I2694" s="25" t="str">
        <f>IF(OR(E2694="",E2694="!!!",F2694="NEW"),"",INDEX(B2693:B$2,-1+SUMPRODUCT(MAX(ROW(E2693:E$2)*(E2694=E2693:E$2)))))</f>
        <v> </v>
      </c>
      <c r="J2694" s="25" t="str">
        <f>IF(OR(E2694="",E2694="!!!",F2694="NEW"),"",COUNTBLANK(OFFSET(A$1,,,SUMPRODUCT(MAX(ROW(E$2:E2694)*(E2694=E$2:E2694)))))-COUNTBLANK(OFFSET(A$1,,,SUMPRODUCT(MAX(ROW(E$1:E2693)*(E2=E$1:E2693))))))</f>
        <v> </v>
      </c>
      <c r="K2694" s="25" t="str">
        <f>IF(OR(E2694="",E2694="!!!",F2694="NEW"),"",INDEX(J$1:J2693,SUMPRODUCT(MAX(ROW(E$1:E2693)*(E2694=E$1:E2693)))))</f>
        <v> </v>
      </c>
      <c r="L2694" s="26"/>
    </row>
    <row r="2695" spans="1:12">
      <c r="A2695" s="20" t="s">
        <v>1990</v>
      </c>
      <c r="B2695" s="27" t="s">
        <v>1079</v>
      </c>
      <c r="C2695" s="27" t="s">
        <v>1038</v>
      </c>
      <c r="D2695" s="27" t="s">
        <v>1030</v>
      </c>
      <c r="E2695" s="21">
        <f>IF(D2695="?OLD","!!!","")</f>
        <v/>
      </c>
      <c r="F2695" s="22" t="str">
        <f>IF(OR(E2695="",E2695="!!!"),"",IF(NOT(ISNA(VLOOKUP(E2695,E$1:E2694,1,FALSE()))),"OLD",IF(AND(E2695&lt;&gt;"",E2695&lt;&gt;"!!!"),"NEW","")))</f>
        <v> </v>
      </c>
      <c r="G2695" s="23" t="str">
        <f>IF(OR(E2695="",E2695="!!!"),"",IF(OR(J2695=0,AND(J2695=1,K2695=1),AND(J2695=1,I2695="SBJ"),AND(J2695=1,I2695=0)),"?IN_FOCUS",IF(J2695&lt;=2,"?ACTIVATED",IF(J2695&lt;&gt;"","?FAMILIAR",IF(F2695="NEW",IF(ISNA(VLOOKUP(E2695,#REF!,1,FALSE())),"?TYPE_IDENTIFIABLE","?REFERENTIAL"),"_")))))</f>
        <v> </v>
      </c>
      <c r="H2695" s="24" t="str">
        <f>IF(J2695&lt;&gt;1,"",IF(I2695="SBJ","CB","?"))</f>
        <v> </v>
      </c>
      <c r="I2695" s="25" t="str">
        <f>IF(OR(E2695="",E2695="!!!",F2695="NEW"),"",INDEX(B2694:B$2,-1+SUMPRODUCT(MAX(ROW(E2694:E$2)*(E2695=E2694:E$2)))))</f>
        <v> </v>
      </c>
      <c r="J2695" s="25" t="str">
        <f>IF(OR(E2695="",E2695="!!!",F2695="NEW"),"",COUNTBLANK(OFFSET(A$1,,,SUMPRODUCT(MAX(ROW(E$2:E2695)*(E2695=E$2:E2695)))))-COUNTBLANK(OFFSET(A$1,,,SUMPRODUCT(MAX(ROW(E$1:E2694)*(E2=E$1:E2694))))))</f>
        <v> </v>
      </c>
      <c r="K2695" s="25" t="str">
        <f>IF(OR(E2695="",E2695="!!!",F2695="NEW"),"",INDEX(J$1:J2694,SUMPRODUCT(MAX(ROW(E$1:E2694)*(E2695=E$1:E2694)))))</f>
        <v> </v>
      </c>
      <c r="L2695" s="26"/>
    </row>
    <row r="2696" spans="1:12">
      <c r="A2696" s="20" t="s">
        <v>135</v>
      </c>
      <c r="E2696" s="21">
        <f>IF(D2696="?OLD","!!!","")</f>
        <v/>
      </c>
      <c r="F2696" s="22" t="str">
        <f>IF(OR(E2696="",E2696="!!!"),"",IF(NOT(ISNA(VLOOKUP(E2696,E$1:E2695,1,FALSE()))),"OLD",IF(AND(E2696&lt;&gt;"",E2696&lt;&gt;"!!!"),"NEW","")))</f>
        <v> </v>
      </c>
      <c r="G2696" s="23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4" t="str">
        <f>IF(J2696&lt;&gt;1,"",IF(I2696="SBJ","CB","?"))</f>
        <v> </v>
      </c>
      <c r="I2696" s="25" t="str">
        <f>IF(OR(E2696="",E2696="!!!",F2696="NEW"),"",INDEX(B2695:B$2,-1+SUMPRODUCT(MAX(ROW(E2695:E$2)*(E2696=E2695:E$2)))))</f>
        <v> </v>
      </c>
      <c r="J2696" s="25" t="str">
        <f>IF(OR(E2696="",E2696="!!!",F2696="NEW"),"",COUNTBLANK(OFFSET(A$1,,,SUMPRODUCT(MAX(ROW(E$2:E2696)*(E2696=E$2:E2696)))))-COUNTBLANK(OFFSET(A$1,,,SUMPRODUCT(MAX(ROW(E$1:E2695)*(E2=E$1:E2695))))))</f>
        <v> </v>
      </c>
      <c r="K2696" s="25" t="str">
        <f>IF(OR(E2696="",E2696="!!!",F2696="NEW"),"",INDEX(J$1:J2695,SUMPRODUCT(MAX(ROW(E$1:E2695)*(E2696=E$1:E2695)))))</f>
        <v> </v>
      </c>
      <c r="L2696" s="26"/>
    </row>
    <row r="2697" spans="1:12">
      <c r="A2697" s="20"/>
    </row>
    <row r="2698" spans="1:12">
      <c r="A2698" s="20" t="s">
        <v>1991</v>
      </c>
    </row>
    <row r="2699" spans="1:12">
      <c r="A2699" s="20" t="s">
        <v>1699</v>
      </c>
      <c r="E2699" s="21">
        <f>IF(D2699="?OLD","!!!","")</f>
        <v/>
      </c>
      <c r="F2699" s="22" t="str">
        <f>IF(OR(E2699="",E2699="!!!"),"",IF(NOT(ISNA(VLOOKUP(E2699,E$1:E2698,1,FALSE()))),"OLD",IF(AND(E2699&lt;&gt;"",E2699&lt;&gt;"!!!"),"NEW","")))</f>
        <v> </v>
      </c>
      <c r="G2699" s="23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4" t="str">
        <f>IF(J2699&lt;&gt;1,"",IF(I2699="SBJ","CB","?"))</f>
        <v> </v>
      </c>
      <c r="I2699" s="25" t="str">
        <f>IF(OR(E2699="",E2699="!!!",F2699="NEW"),"",INDEX(B2698:B$2,-1+SUMPRODUCT(MAX(ROW(E2698:E$2)*(E2699=E2698:E$2)))))</f>
        <v> </v>
      </c>
      <c r="J2699" s="25" t="str">
        <f>IF(OR(E2699="",E2699="!!!",F2699="NEW"),"",COUNTBLANK(OFFSET(A$1,,,SUMPRODUCT(MAX(ROW(E$2:E2699)*(E2699=E$2:E2699)))))-COUNTBLANK(OFFSET(A$1,,,SUMPRODUCT(MAX(ROW(E$1:E2698)*(E2=E$1:E2698))))))</f>
        <v> </v>
      </c>
      <c r="K2699" s="25" t="str">
        <f>IF(OR(E2699="",E2699="!!!",F2699="NEW"),"",INDEX(J$1:J2698,SUMPRODUCT(MAX(ROW(E$1:E2698)*(E2699=E$1:E2698)))))</f>
        <v> </v>
      </c>
      <c r="L2699" s="26"/>
    </row>
    <row r="2700" spans="1:12">
      <c r="A2700" s="20" t="s">
        <v>1992</v>
      </c>
      <c r="E2700" s="21">
        <f>IF(D2700="?OLD","!!!","")</f>
        <v/>
      </c>
      <c r="F2700" s="22" t="str">
        <f>IF(OR(E2700="",E2700="!!!"),"",IF(NOT(ISNA(VLOOKUP(E2700,E$1:E2699,1,FALSE()))),"OLD",IF(AND(E2700&lt;&gt;"",E2700&lt;&gt;"!!!"),"NEW","")))</f>
        <v> </v>
      </c>
      <c r="G2700" s="23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4" t="str">
        <f>IF(J2700&lt;&gt;1,"",IF(I2700="SBJ","CB","?"))</f>
        <v> </v>
      </c>
      <c r="I2700" s="25" t="str">
        <f>IF(OR(E2700="",E2700="!!!",F2700="NEW"),"",INDEX(B2699:B$2,-1+SUMPRODUCT(MAX(ROW(E2699:E$2)*(E2700=E2699:E$2)))))</f>
        <v> </v>
      </c>
      <c r="J2700" s="25" t="str">
        <f>IF(OR(E2700="",E2700="!!!",F2700="NEW"),"",COUNTBLANK(OFFSET(A$1,,,SUMPRODUCT(MAX(ROW(E$2:E2700)*(E2700=E$2:E2700)))))-COUNTBLANK(OFFSET(A$1,,,SUMPRODUCT(MAX(ROW(E$1:E2699)*(E2=E$1:E2699))))))</f>
        <v> </v>
      </c>
      <c r="K2700" s="25" t="str">
        <f>IF(OR(E2700="",E2700="!!!",F2700="NEW"),"",INDEX(J$1:J2699,SUMPRODUCT(MAX(ROW(E$1:E2699)*(E2700=E$1:E2699)))))</f>
        <v> </v>
      </c>
      <c r="L2700" s="26"/>
    </row>
    <row r="2701" spans="1:12">
      <c r="A2701" s="20" t="s">
        <v>135</v>
      </c>
      <c r="E2701" s="21">
        <f>IF(D2701="?OLD","!!!","")</f>
        <v/>
      </c>
      <c r="F2701" s="22" t="str">
        <f>IF(OR(E2701="",E2701="!!!"),"",IF(NOT(ISNA(VLOOKUP(E2701,E$1:E2700,1,FALSE()))),"OLD",IF(AND(E2701&lt;&gt;"",E2701&lt;&gt;"!!!"),"NEW","")))</f>
        <v> </v>
      </c>
      <c r="G2701" s="23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4" t="str">
        <f>IF(J2701&lt;&gt;1,"",IF(I2701="SBJ","CB","?"))</f>
        <v> </v>
      </c>
      <c r="I2701" s="25" t="str">
        <f>IF(OR(E2701="",E2701="!!!",F2701="NEW"),"",INDEX(B2700:B$2,-1+SUMPRODUCT(MAX(ROW(E2700:E$2)*(E2701=E2700:E$2)))))</f>
        <v> </v>
      </c>
      <c r="J2701" s="25" t="str">
        <f>IF(OR(E2701="",E2701="!!!",F2701="NEW"),"",COUNTBLANK(OFFSET(A$1,,,SUMPRODUCT(MAX(ROW(E$2:E2701)*(E2701=E$2:E2701)))))-COUNTBLANK(OFFSET(A$1,,,SUMPRODUCT(MAX(ROW(E$1:E2700)*(E2=E$1:E2700))))))</f>
        <v> </v>
      </c>
      <c r="K2701" s="25" t="str">
        <f>IF(OR(E2701="",E2701="!!!",F2701="NEW"),"",INDEX(J$1:J2700,SUMPRODUCT(MAX(ROW(E$1:E2700)*(E2701=E$1:E2700)))))</f>
        <v> </v>
      </c>
      <c r="L2701" s="26"/>
    </row>
    <row r="2702" spans="1:12">
      <c r="A2702" s="20"/>
    </row>
    <row r="2703" spans="1:12">
      <c r="A2703" s="20" t="s">
        <v>1993</v>
      </c>
    </row>
    <row r="2704" spans="1:12">
      <c r="A2704" s="20" t="s">
        <v>1913</v>
      </c>
      <c r="B2704" s="27" t="s">
        <v>1041</v>
      </c>
      <c r="C2704" s="27" t="s">
        <v>1050</v>
      </c>
      <c r="D2704" s="27" t="s">
        <v>1030</v>
      </c>
      <c r="E2704" s="21">
        <f>IF(D2704="?OLD","!!!","")</f>
        <v/>
      </c>
      <c r="F2704" s="22" t="str">
        <f>IF(OR(E2704="",E2704="!!!"),"",IF(NOT(ISNA(VLOOKUP(E2704,E$1:E2703,1,FALSE()))),"OLD",IF(AND(E2704&lt;&gt;"",E2704&lt;&gt;"!!!"),"NEW","")))</f>
        <v> </v>
      </c>
      <c r="G2704" s="23" t="str">
        <f>IF(OR(E2704="",E2704="!!!"),"",IF(OR(J2704=0,AND(J2704=1,K2704=1),AND(J2704=1,I2704="SBJ"),AND(J2704=1,I2704=0)),"?IN_FOCUS",IF(J2704&lt;=2,"?ACTIVATED",IF(J2704&lt;&gt;"","?FAMILIAR",IF(F2704="NEW",IF(ISNA(VLOOKUP(E2704,#REF!,1,FALSE())),"?TYPE_IDENTIFIABLE","?REFERENTIAL"),"_")))))</f>
        <v> </v>
      </c>
      <c r="H2704" s="24" t="str">
        <f>IF(J2704&lt;&gt;1,"",IF(I2704="SBJ","CB","?"))</f>
        <v> </v>
      </c>
      <c r="I2704" s="25" t="str">
        <f>IF(OR(E2704="",E2704="!!!",F2704="NEW"),"",INDEX(B2703:B$2,-1+SUMPRODUCT(MAX(ROW(E2703:E$2)*(E2704=E2703:E$2)))))</f>
        <v> </v>
      </c>
      <c r="J2704" s="25" t="str">
        <f>IF(OR(E2704="",E2704="!!!",F2704="NEW"),"",COUNTBLANK(OFFSET(A$1,,,SUMPRODUCT(MAX(ROW(E$2:E2704)*(E2704=E$2:E2704)))))-COUNTBLANK(OFFSET(A$1,,,SUMPRODUCT(MAX(ROW(E$1:E2703)*(E2=E$1:E2703))))))</f>
        <v> </v>
      </c>
      <c r="K2704" s="25" t="str">
        <f>IF(OR(E2704="",E2704="!!!",F2704="NEW"),"",INDEX(J$1:J2703,SUMPRODUCT(MAX(ROW(E$1:E2703)*(E2704=E$1:E2703)))))</f>
        <v> </v>
      </c>
      <c r="L2704" s="26"/>
    </row>
    <row r="2705" spans="1:12">
      <c r="A2705" s="20" t="s">
        <v>1994</v>
      </c>
      <c r="E2705" s="21">
        <f>IF(D2705="?OLD","!!!","")</f>
        <v/>
      </c>
      <c r="F2705" s="22" t="str">
        <f>IF(OR(E2705="",E2705="!!!"),"",IF(NOT(ISNA(VLOOKUP(E2705,E$1:E2704,1,FALSE()))),"OLD",IF(AND(E2705&lt;&gt;"",E2705&lt;&gt;"!!!"),"NEW","")))</f>
        <v> </v>
      </c>
      <c r="G2705" s="23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4" t="str">
        <f>IF(J2705&lt;&gt;1,"",IF(I2705="SBJ","CB","?"))</f>
        <v> </v>
      </c>
      <c r="I2705" s="25" t="str">
        <f>IF(OR(E2705="",E2705="!!!",F2705="NEW"),"",INDEX(B2704:B$2,-1+SUMPRODUCT(MAX(ROW(E2704:E$2)*(E2705=E2704:E$2)))))</f>
        <v> </v>
      </c>
      <c r="J2705" s="25" t="str">
        <f>IF(OR(E2705="",E2705="!!!",F2705="NEW"),"",COUNTBLANK(OFFSET(A$1,,,SUMPRODUCT(MAX(ROW(E$2:E2705)*(E2705=E$2:E2705)))))-COUNTBLANK(OFFSET(A$1,,,SUMPRODUCT(MAX(ROW(E$1:E2704)*(E2=E$1:E2704))))))</f>
        <v> </v>
      </c>
      <c r="K2705" s="25" t="str">
        <f>IF(OR(E2705="",E2705="!!!",F2705="NEW"),"",INDEX(J$1:J2704,SUMPRODUCT(MAX(ROW(E$1:E2704)*(E2705=E$1:E2704)))))</f>
        <v> </v>
      </c>
      <c r="L2705" s="26"/>
    </row>
    <row r="2706" spans="1:12">
      <c r="A2706" s="20" t="s">
        <v>1036</v>
      </c>
      <c r="E2706" s="21">
        <f>IF(D2706="?OLD","!!!","")</f>
        <v/>
      </c>
      <c r="F2706" s="22" t="str">
        <f>IF(OR(E2706="",E2706="!!!"),"",IF(NOT(ISNA(VLOOKUP(E2706,E$1:E2705,1,FALSE()))),"OLD",IF(AND(E2706&lt;&gt;"",E2706&lt;&gt;"!!!"),"NEW","")))</f>
        <v> </v>
      </c>
      <c r="G2706" s="23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4" t="str">
        <f>IF(J2706&lt;&gt;1,"",IF(I2706="SBJ","CB","?"))</f>
        <v> </v>
      </c>
      <c r="I2706" s="25" t="str">
        <f>IF(OR(E2706="",E2706="!!!",F2706="NEW"),"",INDEX(B2705:B$2,-1+SUMPRODUCT(MAX(ROW(E2705:E$2)*(E2706=E2705:E$2)))))</f>
        <v> </v>
      </c>
      <c r="J2706" s="25" t="str">
        <f>IF(OR(E2706="",E2706="!!!",F2706="NEW"),"",COUNTBLANK(OFFSET(A$1,,,SUMPRODUCT(MAX(ROW(E$2:E2706)*(E2706=E$2:E2706)))))-COUNTBLANK(OFFSET(A$1,,,SUMPRODUCT(MAX(ROW(E$1:E2705)*(E2=E$1:E2705))))))</f>
        <v> </v>
      </c>
      <c r="K2706" s="25" t="str">
        <f>IF(OR(E2706="",E2706="!!!",F2706="NEW"),"",INDEX(J$1:J2705,SUMPRODUCT(MAX(ROW(E$1:E2705)*(E2706=E$1:E2705)))))</f>
        <v> </v>
      </c>
      <c r="L2706" s="26"/>
    </row>
    <row r="2707" spans="1:12">
      <c r="A2707" s="20" t="s">
        <v>1023</v>
      </c>
      <c r="E2707" s="21">
        <f>IF(D2707="?OLD","!!!","")</f>
        <v/>
      </c>
      <c r="F2707" s="22" t="str">
        <f>IF(OR(E2707="",E2707="!!!"),"",IF(NOT(ISNA(VLOOKUP(E2707,E$1:E2706,1,FALSE()))),"OLD",IF(AND(E2707&lt;&gt;"",E2707&lt;&gt;"!!!"),"NEW","")))</f>
        <v> </v>
      </c>
      <c r="G2707" s="23" t="str">
        <f>IF(OR(E2707="",E2707="!!!"),"",IF(OR(J2707=0,AND(J2707=1,K2707=1),AND(J2707=1,I2707="SBJ"),AND(J2707=1,I2707=0)),"?IN_FOCUS",IF(J2707&lt;=2,"?ACTIVATED",IF(J2707&lt;&gt;"","?FAMILIAR",IF(F2707="NEW",IF(ISNA(VLOOKUP(E2707,#REF!,1,FALSE())),"?TYPE_IDENTIFIABLE","?REFERENTIAL"),"_")))))</f>
        <v> </v>
      </c>
      <c r="H2707" s="24" t="str">
        <f>IF(J2707&lt;&gt;1,"",IF(I2707="SBJ","CB","?"))</f>
        <v> </v>
      </c>
      <c r="I2707" s="25" t="str">
        <f>IF(OR(E2707="",E2707="!!!",F2707="NEW"),"",INDEX(B2706:B$2,-1+SUMPRODUCT(MAX(ROW(E2706:E$2)*(E2707=E2706:E$2)))))</f>
        <v> </v>
      </c>
      <c r="J2707" s="25" t="str">
        <f>IF(OR(E2707="",E2707="!!!",F2707="NEW"),"",COUNTBLANK(OFFSET(A$1,,,SUMPRODUCT(MAX(ROW(E$2:E2707)*(E2707=E$2:E2707)))))-COUNTBLANK(OFFSET(A$1,,,SUMPRODUCT(MAX(ROW(E$1:E2706)*(E2=E$1:E2706))))))</f>
        <v> </v>
      </c>
      <c r="K2707" s="25" t="str">
        <f>IF(OR(E2707="",E2707="!!!",F2707="NEW"),"",INDEX(J$1:J2706,SUMPRODUCT(MAX(ROW(E$1:E2706)*(E2707=E$1:E2706)))))</f>
        <v> </v>
      </c>
      <c r="L2707" s="26"/>
    </row>
    <row r="2708" spans="1:12">
      <c r="A2708" s="20" t="s">
        <v>1990</v>
      </c>
      <c r="B2708" s="27" t="s">
        <v>1014</v>
      </c>
      <c r="C2708" s="27" t="s">
        <v>1038</v>
      </c>
      <c r="D2708" s="27" t="s">
        <v>1030</v>
      </c>
      <c r="E2708" s="21">
        <f>IF(D2708="?OLD","!!!","")</f>
        <v/>
      </c>
      <c r="F2708" s="22" t="str">
        <f>IF(OR(E2708="",E2708="!!!"),"",IF(NOT(ISNA(VLOOKUP(E2708,E$1:E2707,1,FALSE()))),"OLD",IF(AND(E2708&lt;&gt;"",E2708&lt;&gt;"!!!"),"NEW","")))</f>
        <v> </v>
      </c>
      <c r="G2708" s="23" t="str">
        <f>IF(OR(E2708="",E2708="!!!"),"",IF(OR(J2708=0,AND(J2708=1,K2708=1),AND(J2708=1,I2708="SBJ"),AND(J2708=1,I2708=0)),"?IN_FOCUS",IF(J2708&lt;=2,"?ACTIVATED",IF(J2708&lt;&gt;"","?FAMILIAR",IF(F2708="NEW",IF(ISNA(VLOOKUP(E2708,#REF!,1,FALSE())),"?TYPE_IDENTIFIABLE","?REFERENTIAL"),"_")))))</f>
        <v> </v>
      </c>
      <c r="H2708" s="24" t="str">
        <f>IF(J2708&lt;&gt;1,"",IF(I2708="SBJ","CB","?"))</f>
        <v> </v>
      </c>
      <c r="I2708" s="25" t="str">
        <f>IF(OR(E2708="",E2708="!!!",F2708="NEW"),"",INDEX(B2707:B$2,-1+SUMPRODUCT(MAX(ROW(E2707:E$2)*(E2708=E2707:E$2)))))</f>
        <v> </v>
      </c>
      <c r="J2708" s="25" t="str">
        <f>IF(OR(E2708="",E2708="!!!",F2708="NEW"),"",COUNTBLANK(OFFSET(A$1,,,SUMPRODUCT(MAX(ROW(E$2:E2708)*(E2708=E$2:E2708)))))-COUNTBLANK(OFFSET(A$1,,,SUMPRODUCT(MAX(ROW(E$1:E2707)*(E2=E$1:E2707))))))</f>
        <v> </v>
      </c>
      <c r="K2708" s="25" t="str">
        <f>IF(OR(E2708="",E2708="!!!",F2708="NEW"),"",INDEX(J$1:J2707,SUMPRODUCT(MAX(ROW(E$1:E2707)*(E2708=E$1:E2707)))))</f>
        <v> </v>
      </c>
      <c r="L2708" s="26"/>
    </row>
    <row r="2709" spans="1:12">
      <c r="A2709" s="20" t="s">
        <v>135</v>
      </c>
      <c r="E2709" s="21">
        <f>IF(D2709="?OLD","!!!","")</f>
        <v/>
      </c>
      <c r="F2709" s="22" t="str">
        <f>IF(OR(E2709="",E2709="!!!"),"",IF(NOT(ISNA(VLOOKUP(E2709,E$1:E2708,1,FALSE()))),"OLD",IF(AND(E2709&lt;&gt;"",E2709&lt;&gt;"!!!"),"NEW","")))</f>
        <v> </v>
      </c>
      <c r="G2709" s="23" t="str">
        <f>IF(OR(E2709="",E2709="!!!"),"",IF(OR(J2709=0,AND(J2709=1,K2709=1),AND(J2709=1,I2709="SBJ"),AND(J2709=1,I2709=0)),"?IN_FOCUS",IF(J2709&lt;=2,"?ACTIVATED",IF(J2709&lt;&gt;"","?FAMILIAR",IF(F2709="NEW",IF(ISNA(VLOOKUP(E2709,#REF!,1,FALSE())),"?TYPE_IDENTIFIABLE","?REFERENTIAL"),"_")))))</f>
        <v> </v>
      </c>
      <c r="H2709" s="24" t="str">
        <f>IF(J2709&lt;&gt;1,"",IF(I2709="SBJ","CB","?"))</f>
        <v> </v>
      </c>
      <c r="I2709" s="25" t="str">
        <f>IF(OR(E2709="",E2709="!!!",F2709="NEW"),"",INDEX(B2708:B$2,-1+SUMPRODUCT(MAX(ROW(E2708:E$2)*(E2709=E2708:E$2)))))</f>
        <v> </v>
      </c>
      <c r="J2709" s="25" t="str">
        <f>IF(OR(E2709="",E2709="!!!",F2709="NEW"),"",COUNTBLANK(OFFSET(A$1,,,SUMPRODUCT(MAX(ROW(E$2:E2709)*(E2709=E$2:E2709)))))-COUNTBLANK(OFFSET(A$1,,,SUMPRODUCT(MAX(ROW(E$1:E2708)*(E2=E$1:E2708))))))</f>
        <v> </v>
      </c>
      <c r="K2709" s="25" t="str">
        <f>IF(OR(E2709="",E2709="!!!",F2709="NEW"),"",INDEX(J$1:J2708,SUMPRODUCT(MAX(ROW(E$1:E2708)*(E2709=E$1:E2708)))))</f>
        <v> </v>
      </c>
      <c r="L2709" s="26"/>
    </row>
    <row r="2710" spans="1:12">
      <c r="A2710" s="20"/>
    </row>
    <row r="2711" spans="1:12">
      <c r="A2711" s="20" t="s">
        <v>1995</v>
      </c>
    </row>
    <row r="2712" spans="1:12">
      <c r="A2712" s="20" t="s">
        <v>1514</v>
      </c>
      <c r="E2712" s="21">
        <f>IF(D2712="?OLD","!!!","")</f>
        <v/>
      </c>
      <c r="F2712" s="22" t="str">
        <f>IF(OR(E2712="",E2712="!!!"),"",IF(NOT(ISNA(VLOOKUP(E2712,E$1:E2711,1,FALSE()))),"OLD",IF(AND(E2712&lt;&gt;"",E2712&lt;&gt;"!!!"),"NEW","")))</f>
        <v> </v>
      </c>
      <c r="G2712" s="23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4" t="str">
        <f>IF(J2712&lt;&gt;1,"",IF(I2712="SBJ","CB","?"))</f>
        <v> </v>
      </c>
      <c r="I2712" s="25" t="str">
        <f>IF(OR(E2712="",E2712="!!!",F2712="NEW"),"",INDEX(B2711:B$2,-1+SUMPRODUCT(MAX(ROW(E2711:E$2)*(E2712=E2711:E$2)))))</f>
        <v> </v>
      </c>
      <c r="J2712" s="25" t="str">
        <f>IF(OR(E2712="",E2712="!!!",F2712="NEW"),"",COUNTBLANK(OFFSET(A$1,,,SUMPRODUCT(MAX(ROW(E$2:E2712)*(E2712=E$2:E2712)))))-COUNTBLANK(OFFSET(A$1,,,SUMPRODUCT(MAX(ROW(E$1:E2711)*(E2=E$1:E2711))))))</f>
        <v> </v>
      </c>
      <c r="K2712" s="25" t="str">
        <f>IF(OR(E2712="",E2712="!!!",F2712="NEW"),"",INDEX(J$1:J2711,SUMPRODUCT(MAX(ROW(E$1:E2711)*(E2712=E$1:E2711)))))</f>
        <v> </v>
      </c>
      <c r="L2712" s="26"/>
    </row>
    <row r="2713" spans="1:12">
      <c r="A2713" s="20" t="s">
        <v>1996</v>
      </c>
      <c r="B2713" s="27" t="s">
        <v>1045</v>
      </c>
      <c r="C2713" s="27" t="s">
        <v>1033</v>
      </c>
      <c r="D2713" s="27" t="s">
        <v>1030</v>
      </c>
      <c r="E2713" s="21">
        <f>IF(D2713="?OLD","!!!","")</f>
        <v/>
      </c>
      <c r="F2713" s="22" t="str">
        <f>IF(OR(E2713="",E2713="!!!"),"",IF(NOT(ISNA(VLOOKUP(E2713,E$1:E2712,1,FALSE()))),"OLD",IF(AND(E2713&lt;&gt;"",E2713&lt;&gt;"!!!"),"NEW","")))</f>
        <v> </v>
      </c>
      <c r="G2713" s="23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4" t="str">
        <f>IF(J2713&lt;&gt;1,"",IF(I2713="SBJ","CB","?"))</f>
        <v> </v>
      </c>
      <c r="I2713" s="25" t="str">
        <f>IF(OR(E2713="",E2713="!!!",F2713="NEW"),"",INDEX(B2712:B$2,-1+SUMPRODUCT(MAX(ROW(E2712:E$2)*(E2713=E2712:E$2)))))</f>
        <v> </v>
      </c>
      <c r="J2713" s="25" t="str">
        <f>IF(OR(E2713="",E2713="!!!",F2713="NEW"),"",COUNTBLANK(OFFSET(A$1,,,SUMPRODUCT(MAX(ROW(E$2:E2713)*(E2713=E$2:E2713)))))-COUNTBLANK(OFFSET(A$1,,,SUMPRODUCT(MAX(ROW(E$1:E2712)*(E2=E$1:E2712))))))</f>
        <v> </v>
      </c>
      <c r="K2713" s="25" t="str">
        <f>IF(OR(E2713="",E2713="!!!",F2713="NEW"),"",INDEX(J$1:J2712,SUMPRODUCT(MAX(ROW(E$1:E2712)*(E2713=E$1:E2712)))))</f>
        <v> </v>
      </c>
      <c r="L2713" s="26"/>
    </row>
    <row r="2714" spans="1:12">
      <c r="A2714" s="20" t="s">
        <v>1516</v>
      </c>
      <c r="E2714" s="21">
        <f>IF(D2714="?OLD","!!!","")</f>
        <v/>
      </c>
      <c r="F2714" s="22" t="str">
        <f>IF(OR(E2714="",E2714="!!!"),"",IF(NOT(ISNA(VLOOKUP(E2714,E$1:E2713,1,FALSE()))),"OLD",IF(AND(E2714&lt;&gt;"",E2714&lt;&gt;"!!!"),"NEW","")))</f>
        <v> </v>
      </c>
      <c r="G2714" s="23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4" t="str">
        <f>IF(J2714&lt;&gt;1,"",IF(I2714="SBJ","CB","?"))</f>
        <v> </v>
      </c>
      <c r="I2714" s="25" t="str">
        <f>IF(OR(E2714="",E2714="!!!",F2714="NEW"),"",INDEX(B2713:B$2,-1+SUMPRODUCT(MAX(ROW(E2713:E$2)*(E2714=E2713:E$2)))))</f>
        <v> </v>
      </c>
      <c r="J2714" s="25" t="str">
        <f>IF(OR(E2714="",E2714="!!!",F2714="NEW"),"",COUNTBLANK(OFFSET(A$1,,,SUMPRODUCT(MAX(ROW(E$2:E2714)*(E2714=E$2:E2714)))))-COUNTBLANK(OFFSET(A$1,,,SUMPRODUCT(MAX(ROW(E$1:E2713)*(E2=E$1:E2713))))))</f>
        <v> </v>
      </c>
      <c r="K2714" s="25" t="str">
        <f>IF(OR(E2714="",E2714="!!!",F2714="NEW"),"",INDEX(J$1:J2713,SUMPRODUCT(MAX(ROW(E$1:E2713)*(E2714=E$1:E2713)))))</f>
        <v> </v>
      </c>
      <c r="L2714" s="26"/>
    </row>
    <row r="2715" spans="1:12">
      <c r="A2715" s="20" t="s">
        <v>1997</v>
      </c>
      <c r="B2715" s="27" t="s">
        <v>1041</v>
      </c>
      <c r="C2715" s="27" t="s">
        <v>1015</v>
      </c>
      <c r="E2715" s="21">
        <f>IF(D2715="?OLD","!!!","")</f>
        <v/>
      </c>
      <c r="F2715" s="22" t="str">
        <f>IF(OR(E2715="",E2715="!!!"),"",IF(NOT(ISNA(VLOOKUP(E2715,E$1:E2714,1,FALSE()))),"OLD",IF(AND(E2715&lt;&gt;"",E2715&lt;&gt;"!!!"),"NEW","")))</f>
        <v> </v>
      </c>
      <c r="G2715" s="23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4" t="str">
        <f>IF(J2715&lt;&gt;1,"",IF(I2715="SBJ","CB","?"))</f>
        <v> </v>
      </c>
      <c r="I2715" s="25" t="str">
        <f>IF(OR(E2715="",E2715="!!!",F2715="NEW"),"",INDEX(B2714:B$2,-1+SUMPRODUCT(MAX(ROW(E2714:E$2)*(E2715=E2714:E$2)))))</f>
        <v> </v>
      </c>
      <c r="J2715" s="25" t="str">
        <f>IF(OR(E2715="",E2715="!!!",F2715="NEW"),"",COUNTBLANK(OFFSET(A$1,,,SUMPRODUCT(MAX(ROW(E$2:E2715)*(E2715=E$2:E2715)))))-COUNTBLANK(OFFSET(A$1,,,SUMPRODUCT(MAX(ROW(E$1:E2714)*(E2=E$1:E2714))))))</f>
        <v> </v>
      </c>
      <c r="K2715" s="25" t="str">
        <f>IF(OR(E2715="",E2715="!!!",F2715="NEW"),"",INDEX(J$1:J2714,SUMPRODUCT(MAX(ROW(E$1:E2714)*(E2715=E$1:E2714)))))</f>
        <v> </v>
      </c>
      <c r="L2715" s="26"/>
    </row>
    <row r="2716" spans="1:12">
      <c r="A2716" s="20" t="s">
        <v>1022</v>
      </c>
      <c r="E2716" s="21">
        <f>IF(D2716="?OLD","!!!","")</f>
        <v/>
      </c>
      <c r="F2716" s="22" t="str">
        <f>IF(OR(E2716="",E2716="!!!"),"",IF(NOT(ISNA(VLOOKUP(E2716,E$1:E2715,1,FALSE()))),"OLD",IF(AND(E2716&lt;&gt;"",E2716&lt;&gt;"!!!"),"NEW","")))</f>
        <v> </v>
      </c>
      <c r="G2716" s="23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4" t="str">
        <f>IF(J2716&lt;&gt;1,"",IF(I2716="SBJ","CB","?"))</f>
        <v> </v>
      </c>
      <c r="I2716" s="25" t="str">
        <f>IF(OR(E2716="",E2716="!!!",F2716="NEW"),"",INDEX(B2715:B$2,-1+SUMPRODUCT(MAX(ROW(E2715:E$2)*(E2716=E2715:E$2)))))</f>
        <v> </v>
      </c>
      <c r="J2716" s="25" t="str">
        <f>IF(OR(E2716="",E2716="!!!",F2716="NEW"),"",COUNTBLANK(OFFSET(A$1,,,SUMPRODUCT(MAX(ROW(E$2:E2716)*(E2716=E$2:E2716)))))-COUNTBLANK(OFFSET(A$1,,,SUMPRODUCT(MAX(ROW(E$1:E2715)*(E2=E$1:E2715))))))</f>
        <v> </v>
      </c>
      <c r="K2716" s="25" t="str">
        <f>IF(OR(E2716="",E2716="!!!",F2716="NEW"),"",INDEX(J$1:J2715,SUMPRODUCT(MAX(ROW(E$1:E2715)*(E2716=E$1:E2715)))))</f>
        <v> </v>
      </c>
      <c r="L2716" s="26"/>
    </row>
    <row r="2717" spans="1:12">
      <c r="A2717" s="20" t="s">
        <v>1034</v>
      </c>
      <c r="E2717" s="21">
        <f>IF(D2717="?OLD","!!!","")</f>
        <v/>
      </c>
      <c r="F2717" s="22" t="str">
        <f>IF(OR(E2717="",E2717="!!!"),"",IF(NOT(ISNA(VLOOKUP(E2717,E$1:E2716,1,FALSE()))),"OLD",IF(AND(E2717&lt;&gt;"",E2717&lt;&gt;"!!!"),"NEW","")))</f>
        <v> </v>
      </c>
      <c r="G2717" s="23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4" t="str">
        <f>IF(J2717&lt;&gt;1,"",IF(I2717="SBJ","CB","?"))</f>
        <v> </v>
      </c>
      <c r="I2717" s="25" t="str">
        <f>IF(OR(E2717="",E2717="!!!",F2717="NEW"),"",INDEX(B2716:B$2,-1+SUMPRODUCT(MAX(ROW(E2716:E$2)*(E2717=E2716:E$2)))))</f>
        <v> </v>
      </c>
      <c r="J2717" s="25" t="str">
        <f>IF(OR(E2717="",E2717="!!!",F2717="NEW"),"",COUNTBLANK(OFFSET(A$1,,,SUMPRODUCT(MAX(ROW(E$2:E2717)*(E2717=E$2:E2717)))))-COUNTBLANK(OFFSET(A$1,,,SUMPRODUCT(MAX(ROW(E$1:E2716)*(E2=E$1:E2716))))))</f>
        <v> </v>
      </c>
      <c r="K2717" s="25" t="str">
        <f>IF(OR(E2717="",E2717="!!!",F2717="NEW"),"",INDEX(J$1:J2716,SUMPRODUCT(MAX(ROW(E$1:E2716)*(E2717=E$1:E2716)))))</f>
        <v> </v>
      </c>
      <c r="L2717" s="26"/>
    </row>
    <row r="2718" spans="1:12">
      <c r="A2718" s="20" t="s">
        <v>1160</v>
      </c>
      <c r="E2718" s="21">
        <f>IF(D2718="?OLD","!!!","")</f>
        <v/>
      </c>
      <c r="F2718" s="22" t="str">
        <f>IF(OR(E2718="",E2718="!!!"),"",IF(NOT(ISNA(VLOOKUP(E2718,E$1:E2717,1,FALSE()))),"OLD",IF(AND(E2718&lt;&gt;"",E2718&lt;&gt;"!!!"),"NEW","")))</f>
        <v> </v>
      </c>
      <c r="G2718" s="23" t="str">
        <f>IF(OR(E2718="",E2718="!!!"),"",IF(OR(J2718=0,AND(J2718=1,K2718=1),AND(J2718=1,I2718="SBJ"),AND(J2718=1,I2718=0)),"?IN_FOCUS",IF(J2718&lt;=2,"?ACTIVATED",IF(J2718&lt;&gt;"","?FAMILIAR",IF(F2718="NEW",IF(ISNA(VLOOKUP(E2718,#REF!,1,FALSE())),"?TYPE_IDENTIFIABLE","?REFERENTIAL"),"_")))))</f>
        <v> </v>
      </c>
      <c r="H2718" s="24" t="str">
        <f>IF(J2718&lt;&gt;1,"",IF(I2718="SBJ","CB","?"))</f>
        <v> </v>
      </c>
      <c r="I2718" s="25" t="str">
        <f>IF(OR(E2718="",E2718="!!!",F2718="NEW"),"",INDEX(B2717:B$2,-1+SUMPRODUCT(MAX(ROW(E2717:E$2)*(E2718=E2717:E$2)))))</f>
        <v> </v>
      </c>
      <c r="J2718" s="25" t="str">
        <f>IF(OR(E2718="",E2718="!!!",F2718="NEW"),"",COUNTBLANK(OFFSET(A$1,,,SUMPRODUCT(MAX(ROW(E$2:E2718)*(E2718=E$2:E2718)))))-COUNTBLANK(OFFSET(A$1,,,SUMPRODUCT(MAX(ROW(E$1:E2717)*(E2=E$1:E2717))))))</f>
        <v> </v>
      </c>
      <c r="K2718" s="25" t="str">
        <f>IF(OR(E2718="",E2718="!!!",F2718="NEW"),"",INDEX(J$1:J2717,SUMPRODUCT(MAX(ROW(E$1:E2717)*(E2718=E$1:E2717)))))</f>
        <v> </v>
      </c>
      <c r="L2718" s="26"/>
    </row>
    <row r="2719" spans="1:12">
      <c r="A2719" s="20" t="s">
        <v>1524</v>
      </c>
      <c r="B2719" s="27" t="s">
        <v>1045</v>
      </c>
      <c r="C2719" s="27" t="s">
        <v>1029</v>
      </c>
      <c r="D2719" s="27" t="s">
        <v>1030</v>
      </c>
      <c r="E2719" s="21">
        <f>IF(D2719="?OLD","!!!","")</f>
        <v/>
      </c>
      <c r="F2719" s="22" t="str">
        <f>IF(OR(E2719="",E2719="!!!"),"",IF(NOT(ISNA(VLOOKUP(E2719,E$1:E2718,1,FALSE()))),"OLD",IF(AND(E2719&lt;&gt;"",E2719&lt;&gt;"!!!"),"NEW","")))</f>
        <v> </v>
      </c>
      <c r="G2719" s="23" t="str">
        <f>IF(OR(E2719="",E2719="!!!"),"",IF(OR(J2719=0,AND(J2719=1,K2719=1),AND(J2719=1,I2719="SBJ"),AND(J2719=1,I2719=0)),"?IN_FOCUS",IF(J2719&lt;=2,"?ACTIVATED",IF(J2719&lt;&gt;"","?FAMILIAR",IF(F2719="NEW",IF(ISNA(VLOOKUP(E2719,#REF!,1,FALSE())),"?TYPE_IDENTIFIABLE","?REFERENTIAL"),"_")))))</f>
        <v> </v>
      </c>
      <c r="H2719" s="24" t="str">
        <f>IF(J2719&lt;&gt;1,"",IF(I2719="SBJ","CB","?"))</f>
        <v> </v>
      </c>
      <c r="I2719" s="25" t="str">
        <f>IF(OR(E2719="",E2719="!!!",F2719="NEW"),"",INDEX(B2718:B$2,-1+SUMPRODUCT(MAX(ROW(E2718:E$2)*(E2719=E2718:E$2)))))</f>
        <v> </v>
      </c>
      <c r="J2719" s="25" t="str">
        <f>IF(OR(E2719="",E2719="!!!",F2719="NEW"),"",COUNTBLANK(OFFSET(A$1,,,SUMPRODUCT(MAX(ROW(E$2:E2719)*(E2719=E$2:E2719)))))-COUNTBLANK(OFFSET(A$1,,,SUMPRODUCT(MAX(ROW(E$1:E2718)*(E2=E$1:E2718))))))</f>
        <v> </v>
      </c>
      <c r="K2719" s="25" t="str">
        <f>IF(OR(E2719="",E2719="!!!",F2719="NEW"),"",INDEX(J$1:J2718,SUMPRODUCT(MAX(ROW(E$1:E2718)*(E2719=E$1:E2718)))))</f>
        <v> </v>
      </c>
      <c r="L2719" s="26"/>
    </row>
    <row r="2720" spans="1:12">
      <c r="A2720" s="20" t="s">
        <v>1998</v>
      </c>
      <c r="E2720" s="21">
        <f>IF(D2720="?OLD","!!!","")</f>
        <v/>
      </c>
      <c r="F2720" s="22" t="str">
        <f>IF(OR(E2720="",E2720="!!!"),"",IF(NOT(ISNA(VLOOKUP(E2720,E$1:E2719,1,FALSE()))),"OLD",IF(AND(E2720&lt;&gt;"",E2720&lt;&gt;"!!!"),"NEW","")))</f>
        <v> </v>
      </c>
      <c r="G2720" s="23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4" t="str">
        <f>IF(J2720&lt;&gt;1,"",IF(I2720="SBJ","CB","?"))</f>
        <v> </v>
      </c>
      <c r="I2720" s="25" t="str">
        <f>IF(OR(E2720="",E2720="!!!",F2720="NEW"),"",INDEX(B2719:B$2,-1+SUMPRODUCT(MAX(ROW(E2719:E$2)*(E2720=E2719:E$2)))))</f>
        <v> </v>
      </c>
      <c r="J2720" s="25" t="str">
        <f>IF(OR(E2720="",E2720="!!!",F2720="NEW"),"",COUNTBLANK(OFFSET(A$1,,,SUMPRODUCT(MAX(ROW(E$2:E2720)*(E2720=E$2:E2720)))))-COUNTBLANK(OFFSET(A$1,,,SUMPRODUCT(MAX(ROW(E$1:E2719)*(E2=E$1:E2719))))))</f>
        <v> </v>
      </c>
      <c r="K2720" s="25" t="str">
        <f>IF(OR(E2720="",E2720="!!!",F2720="NEW"),"",INDEX(J$1:J2719,SUMPRODUCT(MAX(ROW(E$1:E2719)*(E2720=E$1:E2719)))))</f>
        <v> </v>
      </c>
      <c r="L2720" s="26"/>
    </row>
    <row r="2721" spans="1:12">
      <c r="A2721" s="20" t="s">
        <v>505</v>
      </c>
      <c r="E2721" s="21">
        <f>IF(D2721="?OLD","!!!","")</f>
        <v/>
      </c>
      <c r="F2721" s="22" t="str">
        <f>IF(OR(E2721="",E2721="!!!"),"",IF(NOT(ISNA(VLOOKUP(E2721,E$1:E2720,1,FALSE()))),"OLD",IF(AND(E2721&lt;&gt;"",E2721&lt;&gt;"!!!"),"NEW","")))</f>
        <v> </v>
      </c>
      <c r="G2721" s="23" t="str">
        <f>IF(OR(E2721="",E2721="!!!"),"",IF(OR(J2721=0,AND(J2721=1,K2721=1),AND(J2721=1,I2721="SBJ"),AND(J2721=1,I2721=0)),"?IN_FOCUS",IF(J2721&lt;=2,"?ACTIVATED",IF(J2721&lt;&gt;"","?FAMILIAR",IF(F2721="NEW",IF(ISNA(VLOOKUP(E2721,#REF!,1,FALSE())),"?TYPE_IDENTIFIABLE","?REFERENTIAL"),"_")))))</f>
        <v> </v>
      </c>
      <c r="H2721" s="24" t="str">
        <f>IF(J2721&lt;&gt;1,"",IF(I2721="SBJ","CB","?"))</f>
        <v> </v>
      </c>
      <c r="I2721" s="25" t="str">
        <f>IF(OR(E2721="",E2721="!!!",F2721="NEW"),"",INDEX(B2720:B$2,-1+SUMPRODUCT(MAX(ROW(E2720:E$2)*(E2721=E2720:E$2)))))</f>
        <v> </v>
      </c>
      <c r="J2721" s="25" t="str">
        <f>IF(OR(E2721="",E2721="!!!",F2721="NEW"),"",COUNTBLANK(OFFSET(A$1,,,SUMPRODUCT(MAX(ROW(E$2:E2721)*(E2721=E$2:E2721)))))-COUNTBLANK(OFFSET(A$1,,,SUMPRODUCT(MAX(ROW(E$1:E2720)*(E2=E$1:E2720))))))</f>
        <v> </v>
      </c>
      <c r="K2721" s="25" t="str">
        <f>IF(OR(E2721="",E2721="!!!",F2721="NEW"),"",INDEX(J$1:J2720,SUMPRODUCT(MAX(ROW(E$1:E2720)*(E2721=E$1:E2720)))))</f>
        <v> </v>
      </c>
      <c r="L2721" s="26"/>
    </row>
    <row r="2722" spans="1:12">
      <c r="A2722" s="20" t="s">
        <v>1043</v>
      </c>
      <c r="E2722" s="21">
        <f>IF(D2722="?OLD","!!!","")</f>
        <v/>
      </c>
      <c r="F2722" s="22" t="str">
        <f>IF(OR(E2722="",E2722="!!!"),"",IF(NOT(ISNA(VLOOKUP(E2722,E$1:E2721,1,FALSE()))),"OLD",IF(AND(E2722&lt;&gt;"",E2722&lt;&gt;"!!!"),"NEW","")))</f>
        <v> </v>
      </c>
      <c r="G2722" s="23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4" t="str">
        <f>IF(J2722&lt;&gt;1,"",IF(I2722="SBJ","CB","?"))</f>
        <v> </v>
      </c>
      <c r="I2722" s="25" t="str">
        <f>IF(OR(E2722="",E2722="!!!",F2722="NEW"),"",INDEX(B2721:B$2,-1+SUMPRODUCT(MAX(ROW(E2721:E$2)*(E2722=E2721:E$2)))))</f>
        <v> </v>
      </c>
      <c r="J2722" s="25" t="str">
        <f>IF(OR(E2722="",E2722="!!!",F2722="NEW"),"",COUNTBLANK(OFFSET(A$1,,,SUMPRODUCT(MAX(ROW(E$2:E2722)*(E2722=E$2:E2722)))))-COUNTBLANK(OFFSET(A$1,,,SUMPRODUCT(MAX(ROW(E$1:E2721)*(E2=E$1:E2721))))))</f>
        <v> </v>
      </c>
      <c r="K2722" s="25" t="str">
        <f>IF(OR(E2722="",E2722="!!!",F2722="NEW"),"",INDEX(J$1:J2721,SUMPRODUCT(MAX(ROW(E$1:E2721)*(E2722=E$1:E2721)))))</f>
        <v> </v>
      </c>
      <c r="L2722" s="26"/>
    </row>
    <row r="2723" spans="1:12">
      <c r="A2723" s="20" t="s">
        <v>1932</v>
      </c>
      <c r="B2723" s="27" t="s">
        <v>1098</v>
      </c>
      <c r="C2723" s="27" t="s">
        <v>1046</v>
      </c>
      <c r="D2723" s="27" t="s">
        <v>1030</v>
      </c>
      <c r="E2723" s="21">
        <f>IF(D2723="?OLD","!!!","")</f>
        <v/>
      </c>
      <c r="F2723" s="22" t="str">
        <f>IF(OR(E2723="",E2723="!!!"),"",IF(NOT(ISNA(VLOOKUP(E2723,E$1:E2722,1,FALSE()))),"OLD",IF(AND(E2723&lt;&gt;"",E2723&lt;&gt;"!!!"),"NEW","")))</f>
        <v> </v>
      </c>
      <c r="G2723" s="23" t="str">
        <f>IF(OR(E2723="",E2723="!!!"),"",IF(OR(J2723=0,AND(J2723=1,K2723=1),AND(J2723=1,I2723="SBJ"),AND(J2723=1,I2723=0)),"?IN_FOCUS",IF(J2723&lt;=2,"?ACTIVATED",IF(J2723&lt;&gt;"","?FAMILIAR",IF(F2723="NEW",IF(ISNA(VLOOKUP(E2723,#REF!,1,FALSE())),"?TYPE_IDENTIFIABLE","?REFERENTIAL"),"_")))))</f>
        <v> </v>
      </c>
      <c r="H2723" s="24" t="str">
        <f>IF(J2723&lt;&gt;1,"",IF(I2723="SBJ","CB","?"))</f>
        <v> </v>
      </c>
      <c r="I2723" s="25" t="str">
        <f>IF(OR(E2723="",E2723="!!!",F2723="NEW"),"",INDEX(B2722:B$2,-1+SUMPRODUCT(MAX(ROW(E2722:E$2)*(E2723=E2722:E$2)))))</f>
        <v> </v>
      </c>
      <c r="J2723" s="25" t="str">
        <f>IF(OR(E2723="",E2723="!!!",F2723="NEW"),"",COUNTBLANK(OFFSET(A$1,,,SUMPRODUCT(MAX(ROW(E$2:E2723)*(E2723=E$2:E2723)))))-COUNTBLANK(OFFSET(A$1,,,SUMPRODUCT(MAX(ROW(E$1:E2722)*(E2=E$1:E2722))))))</f>
        <v> </v>
      </c>
      <c r="K2723" s="25" t="str">
        <f>IF(OR(E2723="",E2723="!!!",F2723="NEW"),"",INDEX(J$1:J2722,SUMPRODUCT(MAX(ROW(E$1:E2722)*(E2723=E$1:E2722)))))</f>
        <v> </v>
      </c>
      <c r="L2723" s="26"/>
    </row>
    <row r="2724" spans="1:12">
      <c r="A2724" s="20" t="s">
        <v>1034</v>
      </c>
      <c r="E2724" s="21">
        <f>IF(D2724="?OLD","!!!","")</f>
        <v/>
      </c>
      <c r="F2724" s="22" t="str">
        <f>IF(OR(E2724="",E2724="!!!"),"",IF(NOT(ISNA(VLOOKUP(E2724,E$1:E2723,1,FALSE()))),"OLD",IF(AND(E2724&lt;&gt;"",E2724&lt;&gt;"!!!"),"NEW","")))</f>
        <v> </v>
      </c>
      <c r="G2724" s="23" t="str">
        <f>IF(OR(E2724="",E2724="!!!"),"",IF(OR(J2724=0,AND(J2724=1,K2724=1),AND(J2724=1,I2724="SBJ"),AND(J2724=1,I2724=0)),"?IN_FOCUS",IF(J2724&lt;=2,"?ACTIVATED",IF(J2724&lt;&gt;"","?FAMILIAR",IF(F2724="NEW",IF(ISNA(VLOOKUP(E2724,#REF!,1,FALSE())),"?TYPE_IDENTIFIABLE","?REFERENTIAL"),"_")))))</f>
        <v> </v>
      </c>
      <c r="H2724" s="24" t="str">
        <f>IF(J2724&lt;&gt;1,"",IF(I2724="SBJ","CB","?"))</f>
        <v> </v>
      </c>
      <c r="I2724" s="25" t="str">
        <f>IF(OR(E2724="",E2724="!!!",F2724="NEW"),"",INDEX(B2723:B$2,-1+SUMPRODUCT(MAX(ROW(E2723:E$2)*(E2724=E2723:E$2)))))</f>
        <v> </v>
      </c>
      <c r="J2724" s="25" t="str">
        <f>IF(OR(E2724="",E2724="!!!",F2724="NEW"),"",COUNTBLANK(OFFSET(A$1,,,SUMPRODUCT(MAX(ROW(E$2:E2724)*(E2724=E$2:E2724)))))-COUNTBLANK(OFFSET(A$1,,,SUMPRODUCT(MAX(ROW(E$1:E2723)*(E2=E$1:E2723))))))</f>
        <v> </v>
      </c>
      <c r="K2724" s="25" t="str">
        <f>IF(OR(E2724="",E2724="!!!",F2724="NEW"),"",INDEX(J$1:J2723,SUMPRODUCT(MAX(ROW(E$1:E2723)*(E2724=E$1:E2723)))))</f>
        <v> </v>
      </c>
      <c r="L2724" s="26"/>
    </row>
    <row r="2725" spans="1:12">
      <c r="A2725" s="20" t="s">
        <v>1018</v>
      </c>
      <c r="E2725" s="21">
        <f>IF(D2725="?OLD","!!!","")</f>
        <v/>
      </c>
      <c r="F2725" s="22" t="str">
        <f>IF(OR(E2725="",E2725="!!!"),"",IF(NOT(ISNA(VLOOKUP(E2725,E$1:E2724,1,FALSE()))),"OLD",IF(AND(E2725&lt;&gt;"",E2725&lt;&gt;"!!!"),"NEW","")))</f>
        <v> </v>
      </c>
      <c r="G2725" s="23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4" t="str">
        <f>IF(J2725&lt;&gt;1,"",IF(I2725="SBJ","CB","?"))</f>
        <v> </v>
      </c>
      <c r="I2725" s="25" t="str">
        <f>IF(OR(E2725="",E2725="!!!",F2725="NEW"),"",INDEX(B2724:B$2,-1+SUMPRODUCT(MAX(ROW(E2724:E$2)*(E2725=E2724:E$2)))))</f>
        <v> </v>
      </c>
      <c r="J2725" s="25" t="str">
        <f>IF(OR(E2725="",E2725="!!!",F2725="NEW"),"",COUNTBLANK(OFFSET(A$1,,,SUMPRODUCT(MAX(ROW(E$2:E2725)*(E2725=E$2:E2725)))))-COUNTBLANK(OFFSET(A$1,,,SUMPRODUCT(MAX(ROW(E$1:E2724)*(E2=E$1:E2724))))))</f>
        <v> </v>
      </c>
      <c r="K2725" s="25" t="str">
        <f>IF(OR(E2725="",E2725="!!!",F2725="NEW"),"",INDEX(J$1:J2724,SUMPRODUCT(MAX(ROW(E$1:E2724)*(E2725=E$1:E2724)))))</f>
        <v> </v>
      </c>
      <c r="L2725" s="26"/>
    </row>
    <row r="2726" spans="1:12">
      <c r="A2726" s="20" t="s">
        <v>1999</v>
      </c>
      <c r="B2726" s="27" t="s">
        <v>1045</v>
      </c>
      <c r="C2726" s="27" t="s">
        <v>1021</v>
      </c>
      <c r="E2726" s="21">
        <f>IF(D2726="?OLD","!!!","")</f>
        <v/>
      </c>
      <c r="F2726" s="22" t="str">
        <f>IF(OR(E2726="",E2726="!!!"),"",IF(NOT(ISNA(VLOOKUP(E2726,E$1:E2725,1,FALSE()))),"OLD",IF(AND(E2726&lt;&gt;"",E2726&lt;&gt;"!!!"),"NEW","")))</f>
        <v> </v>
      </c>
      <c r="G2726" s="23" t="str">
        <f>IF(OR(E2726="",E2726="!!!"),"",IF(OR(J2726=0,AND(J2726=1,K2726=1),AND(J2726=1,I2726="SBJ"),AND(J2726=1,I2726=0)),"?IN_FOCUS",IF(J2726&lt;=2,"?ACTIVATED",IF(J2726&lt;&gt;"","?FAMILIAR",IF(F2726="NEW",IF(ISNA(VLOOKUP(E2726,#REF!,1,FALSE())),"?TYPE_IDENTIFIABLE","?REFERENTIAL"),"_")))))</f>
        <v> </v>
      </c>
      <c r="H2726" s="24" t="str">
        <f>IF(J2726&lt;&gt;1,"",IF(I2726="SBJ","CB","?"))</f>
        <v> </v>
      </c>
      <c r="I2726" s="25" t="str">
        <f>IF(OR(E2726="",E2726="!!!",F2726="NEW"),"",INDEX(B2725:B$2,-1+SUMPRODUCT(MAX(ROW(E2725:E$2)*(E2726=E2725:E$2)))))</f>
        <v> </v>
      </c>
      <c r="J2726" s="25" t="str">
        <f>IF(OR(E2726="",E2726="!!!",F2726="NEW"),"",COUNTBLANK(OFFSET(A$1,,,SUMPRODUCT(MAX(ROW(E$2:E2726)*(E2726=E$2:E2726)))))-COUNTBLANK(OFFSET(A$1,,,SUMPRODUCT(MAX(ROW(E$1:E2725)*(E2=E$1:E2725))))))</f>
        <v> </v>
      </c>
      <c r="K2726" s="25" t="str">
        <f>IF(OR(E2726="",E2726="!!!",F2726="NEW"),"",INDEX(J$1:J2725,SUMPRODUCT(MAX(ROW(E$1:E2725)*(E2726=E$1:E2725)))))</f>
        <v> </v>
      </c>
      <c r="L2726" s="26"/>
    </row>
    <row r="2727" spans="1:12">
      <c r="A2727" s="20" t="s">
        <v>1022</v>
      </c>
      <c r="E2727" s="21">
        <f>IF(D2727="?OLD","!!!","")</f>
        <v/>
      </c>
      <c r="F2727" s="22" t="str">
        <f>IF(OR(E2727="",E2727="!!!"),"",IF(NOT(ISNA(VLOOKUP(E2727,E$1:E2726,1,FALSE()))),"OLD",IF(AND(E2727&lt;&gt;"",E2727&lt;&gt;"!!!"),"NEW","")))</f>
        <v> </v>
      </c>
      <c r="G2727" s="23" t="str">
        <f>IF(OR(E2727="",E2727="!!!"),"",IF(OR(J2727=0,AND(J2727=1,K2727=1),AND(J2727=1,I2727="SBJ"),AND(J2727=1,I2727=0)),"?IN_FOCUS",IF(J2727&lt;=2,"?ACTIVATED",IF(J2727&lt;&gt;"","?FAMILIAR",IF(F2727="NEW",IF(ISNA(VLOOKUP(E2727,#REF!,1,FALSE())),"?TYPE_IDENTIFIABLE","?REFERENTIAL"),"_")))))</f>
        <v> </v>
      </c>
      <c r="H2727" s="24" t="str">
        <f>IF(J2727&lt;&gt;1,"",IF(I2727="SBJ","CB","?"))</f>
        <v> </v>
      </c>
      <c r="I2727" s="25" t="str">
        <f>IF(OR(E2727="",E2727="!!!",F2727="NEW"),"",INDEX(B2726:B$2,-1+SUMPRODUCT(MAX(ROW(E2726:E$2)*(E2727=E2726:E$2)))))</f>
        <v> </v>
      </c>
      <c r="J2727" s="25" t="str">
        <f>IF(OR(E2727="",E2727="!!!",F2727="NEW"),"",COUNTBLANK(OFFSET(A$1,,,SUMPRODUCT(MAX(ROW(E$2:E2727)*(E2727=E$2:E2727)))))-COUNTBLANK(OFFSET(A$1,,,SUMPRODUCT(MAX(ROW(E$1:E2726)*(E2=E$1:E2726))))))</f>
        <v> </v>
      </c>
      <c r="K2727" s="25" t="str">
        <f>IF(OR(E2727="",E2727="!!!",F2727="NEW"),"",INDEX(J$1:J2726,SUMPRODUCT(MAX(ROW(E$1:E2726)*(E2727=E$1:E2726)))))</f>
        <v> </v>
      </c>
      <c r="L2727" s="26"/>
    </row>
    <row r="2728" spans="1:12">
      <c r="A2728" s="20" t="s">
        <v>1083</v>
      </c>
      <c r="E2728" s="21">
        <f>IF(D2728="?OLD","!!!","")</f>
        <v/>
      </c>
      <c r="F2728" s="22" t="str">
        <f>IF(OR(E2728="",E2728="!!!"),"",IF(NOT(ISNA(VLOOKUP(E2728,E$1:E2727,1,FALSE()))),"OLD",IF(AND(E2728&lt;&gt;"",E2728&lt;&gt;"!!!"),"NEW","")))</f>
        <v> </v>
      </c>
      <c r="G2728" s="23" t="str">
        <f>IF(OR(E2728="",E2728="!!!"),"",IF(OR(J2728=0,AND(J2728=1,K2728=1),AND(J2728=1,I2728="SBJ"),AND(J2728=1,I2728=0)),"?IN_FOCUS",IF(J2728&lt;=2,"?ACTIVATED",IF(J2728&lt;&gt;"","?FAMILIAR",IF(F2728="NEW",IF(ISNA(VLOOKUP(E2728,#REF!,1,FALSE())),"?TYPE_IDENTIFIABLE","?REFERENTIAL"),"_")))))</f>
        <v> </v>
      </c>
      <c r="H2728" s="24" t="str">
        <f>IF(J2728&lt;&gt;1,"",IF(I2728="SBJ","CB","?"))</f>
        <v> </v>
      </c>
      <c r="I2728" s="25" t="str">
        <f>IF(OR(E2728="",E2728="!!!",F2728="NEW"),"",INDEX(B2727:B$2,-1+SUMPRODUCT(MAX(ROW(E2727:E$2)*(E2728=E2727:E$2)))))</f>
        <v> </v>
      </c>
      <c r="J2728" s="25" t="str">
        <f>IF(OR(E2728="",E2728="!!!",F2728="NEW"),"",COUNTBLANK(OFFSET(A$1,,,SUMPRODUCT(MAX(ROW(E$2:E2728)*(E2728=E$2:E2728)))))-COUNTBLANK(OFFSET(A$1,,,SUMPRODUCT(MAX(ROW(E$1:E2727)*(E2=E$1:E2727))))))</f>
        <v> </v>
      </c>
      <c r="K2728" s="25" t="str">
        <f>IF(OR(E2728="",E2728="!!!",F2728="NEW"),"",INDEX(J$1:J2727,SUMPRODUCT(MAX(ROW(E$1:E2727)*(E2728=E$1:E2727)))))</f>
        <v> </v>
      </c>
      <c r="L2728" s="26"/>
    </row>
    <row r="2729" spans="1:12">
      <c r="A2729" s="20" t="s">
        <v>1049</v>
      </c>
      <c r="E2729" s="21">
        <f>IF(D2729="?OLD","!!!","")</f>
        <v/>
      </c>
      <c r="F2729" s="22" t="str">
        <f>IF(OR(E2729="",E2729="!!!"),"",IF(NOT(ISNA(VLOOKUP(E2729,E$1:E2728,1,FALSE()))),"OLD",IF(AND(E2729&lt;&gt;"",E2729&lt;&gt;"!!!"),"NEW","")))</f>
        <v> </v>
      </c>
      <c r="G2729" s="23" t="str">
        <f>IF(OR(E2729="",E2729="!!!"),"",IF(OR(J2729=0,AND(J2729=1,K2729=1),AND(J2729=1,I2729="SBJ"),AND(J2729=1,I2729=0)),"?IN_FOCUS",IF(J2729&lt;=2,"?ACTIVATED",IF(J2729&lt;&gt;"","?FAMILIAR",IF(F2729="NEW",IF(ISNA(VLOOKUP(E2729,#REF!,1,FALSE())),"?TYPE_IDENTIFIABLE","?REFERENTIAL"),"_")))))</f>
        <v> </v>
      </c>
      <c r="H2729" s="24" t="str">
        <f>IF(J2729&lt;&gt;1,"",IF(I2729="SBJ","CB","?"))</f>
        <v> </v>
      </c>
      <c r="I2729" s="25" t="str">
        <f>IF(OR(E2729="",E2729="!!!",F2729="NEW"),"",INDEX(B2728:B$2,-1+SUMPRODUCT(MAX(ROW(E2728:E$2)*(E2729=E2728:E$2)))))</f>
        <v> </v>
      </c>
      <c r="J2729" s="25" t="str">
        <f>IF(OR(E2729="",E2729="!!!",F2729="NEW"),"",COUNTBLANK(OFFSET(A$1,,,SUMPRODUCT(MAX(ROW(E$2:E2729)*(E2729=E$2:E2729)))))-COUNTBLANK(OFFSET(A$1,,,SUMPRODUCT(MAX(ROW(E$1:E2728)*(E2=E$1:E2728))))))</f>
        <v> </v>
      </c>
      <c r="K2729" s="25" t="str">
        <f>IF(OR(E2729="",E2729="!!!",F2729="NEW"),"",INDEX(J$1:J2728,SUMPRODUCT(MAX(ROW(E$1:E2728)*(E2729=E$1:E2728)))))</f>
        <v> </v>
      </c>
      <c r="L2729" s="26"/>
    </row>
    <row r="2730" spans="1:12">
      <c r="A2730" s="20" t="s">
        <v>2000</v>
      </c>
      <c r="E2730" s="21">
        <f>IF(D2730="?OLD","!!!","")</f>
        <v/>
      </c>
      <c r="F2730" s="22" t="str">
        <f>IF(OR(E2730="",E2730="!!!"),"",IF(NOT(ISNA(VLOOKUP(E2730,E$1:E2729,1,FALSE()))),"OLD",IF(AND(E2730&lt;&gt;"",E2730&lt;&gt;"!!!"),"NEW","")))</f>
        <v> </v>
      </c>
      <c r="G2730" s="23" t="str">
        <f>IF(OR(E2730="",E2730="!!!"),"",IF(OR(J2730=0,AND(J2730=1,K2730=1),AND(J2730=1,I2730="SBJ"),AND(J2730=1,I2730=0)),"?IN_FOCUS",IF(J2730&lt;=2,"?ACTIVATED",IF(J2730&lt;&gt;"","?FAMILIAR",IF(F2730="NEW",IF(ISNA(VLOOKUP(E2730,#REF!,1,FALSE())),"?TYPE_IDENTIFIABLE","?REFERENTIAL"),"_")))))</f>
        <v> </v>
      </c>
      <c r="H2730" s="24" t="str">
        <f>IF(J2730&lt;&gt;1,"",IF(I2730="SBJ","CB","?"))</f>
        <v> </v>
      </c>
      <c r="I2730" s="25" t="str">
        <f>IF(OR(E2730="",E2730="!!!",F2730="NEW"),"",INDEX(B2729:B$2,-1+SUMPRODUCT(MAX(ROW(E2729:E$2)*(E2730=E2729:E$2)))))</f>
        <v> </v>
      </c>
      <c r="J2730" s="25" t="str">
        <f>IF(OR(E2730="",E2730="!!!",F2730="NEW"),"",COUNTBLANK(OFFSET(A$1,,,SUMPRODUCT(MAX(ROW(E$2:E2730)*(E2730=E$2:E2730)))))-COUNTBLANK(OFFSET(A$1,,,SUMPRODUCT(MAX(ROW(E$1:E2729)*(E2=E$1:E2729))))))</f>
        <v> </v>
      </c>
      <c r="K2730" s="25" t="str">
        <f>IF(OR(E2730="",E2730="!!!",F2730="NEW"),"",INDEX(J$1:J2729,SUMPRODUCT(MAX(ROW(E$1:E2729)*(E2730=E$1:E2729)))))</f>
        <v> </v>
      </c>
      <c r="L2730" s="26"/>
    </row>
    <row r="2731" spans="1:12">
      <c r="A2731" s="20" t="s">
        <v>1222</v>
      </c>
      <c r="B2731" s="27" t="s">
        <v>1020</v>
      </c>
      <c r="C2731" s="27" t="s">
        <v>1029</v>
      </c>
      <c r="D2731" s="27" t="s">
        <v>1030</v>
      </c>
      <c r="E2731" s="21">
        <f>IF(D2731="?OLD","!!!","")</f>
        <v/>
      </c>
      <c r="F2731" s="22" t="str">
        <f>IF(OR(E2731="",E2731="!!!"),"",IF(NOT(ISNA(VLOOKUP(E2731,E$1:E2730,1,FALSE()))),"OLD",IF(AND(E2731&lt;&gt;"",E2731&lt;&gt;"!!!"),"NEW","")))</f>
        <v> </v>
      </c>
      <c r="G2731" s="23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4" t="str">
        <f>IF(J2731&lt;&gt;1,"",IF(I2731="SBJ","CB","?"))</f>
        <v> </v>
      </c>
      <c r="I2731" s="25" t="str">
        <f>IF(OR(E2731="",E2731="!!!",F2731="NEW"),"",INDEX(B2730:B$2,-1+SUMPRODUCT(MAX(ROW(E2730:E$2)*(E2731=E2730:E$2)))))</f>
        <v> </v>
      </c>
      <c r="J2731" s="25" t="str">
        <f>IF(OR(E2731="",E2731="!!!",F2731="NEW"),"",COUNTBLANK(OFFSET(A$1,,,SUMPRODUCT(MAX(ROW(E$2:E2731)*(E2731=E$2:E2731)))))-COUNTBLANK(OFFSET(A$1,,,SUMPRODUCT(MAX(ROW(E$1:E2730)*(E2=E$1:E2730))))))</f>
        <v> </v>
      </c>
      <c r="K2731" s="25" t="str">
        <f>IF(OR(E2731="",E2731="!!!",F2731="NEW"),"",INDEX(J$1:J2730,SUMPRODUCT(MAX(ROW(E$1:E2730)*(E2731=E$1:E2730)))))</f>
        <v> </v>
      </c>
      <c r="L2731" s="26"/>
    </row>
    <row r="2732" spans="1:12">
      <c r="A2732" s="20" t="s">
        <v>1016</v>
      </c>
      <c r="E2732" s="21">
        <f>IF(D2732="?OLD","!!!","")</f>
        <v/>
      </c>
      <c r="F2732" s="22" t="str">
        <f>IF(OR(E2732="",E2732="!!!"),"",IF(NOT(ISNA(VLOOKUP(E2732,E$1:E2731,1,FALSE()))),"OLD",IF(AND(E2732&lt;&gt;"",E2732&lt;&gt;"!!!"),"NEW","")))</f>
        <v> </v>
      </c>
      <c r="G2732" s="23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4" t="str">
        <f>IF(J2732&lt;&gt;1,"",IF(I2732="SBJ","CB","?"))</f>
        <v> </v>
      </c>
      <c r="I2732" s="25" t="str">
        <f>IF(OR(E2732="",E2732="!!!",F2732="NEW"),"",INDEX(B2731:B$2,-1+SUMPRODUCT(MAX(ROW(E2731:E$2)*(E2732=E2731:E$2)))))</f>
        <v> </v>
      </c>
      <c r="J2732" s="25" t="str">
        <f>IF(OR(E2732="",E2732="!!!",F2732="NEW"),"",COUNTBLANK(OFFSET(A$1,,,SUMPRODUCT(MAX(ROW(E$2:E2732)*(E2732=E$2:E2732)))))-COUNTBLANK(OFFSET(A$1,,,SUMPRODUCT(MAX(ROW(E$1:E2731)*(E2=E$1:E2731))))))</f>
        <v> </v>
      </c>
      <c r="K2732" s="25" t="str">
        <f>IF(OR(E2732="",E2732="!!!",F2732="NEW"),"",INDEX(J$1:J2731,SUMPRODUCT(MAX(ROW(E$1:E2731)*(E2732=E$1:E2731)))))</f>
        <v> </v>
      </c>
      <c r="L2732" s="26"/>
    </row>
    <row r="2733" spans="1:12">
      <c r="A2733" s="20" t="s">
        <v>1949</v>
      </c>
      <c r="B2733" s="27" t="s">
        <v>1103</v>
      </c>
      <c r="C2733" s="27" t="s">
        <v>1015</v>
      </c>
      <c r="E2733" s="21">
        <f>IF(D2733="?OLD","!!!","")</f>
        <v/>
      </c>
      <c r="F2733" s="22" t="str">
        <f>IF(OR(E2733="",E2733="!!!"),"",IF(NOT(ISNA(VLOOKUP(E2733,E$1:E2732,1,FALSE()))),"OLD",IF(AND(E2733&lt;&gt;"",E2733&lt;&gt;"!!!"),"NEW","")))</f>
        <v> </v>
      </c>
      <c r="G2733" s="23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4" t="str">
        <f>IF(J2733&lt;&gt;1,"",IF(I2733="SBJ","CB","?"))</f>
        <v> </v>
      </c>
      <c r="I2733" s="25" t="str">
        <f>IF(OR(E2733="",E2733="!!!",F2733="NEW"),"",INDEX(B2732:B$2,-1+SUMPRODUCT(MAX(ROW(E2732:E$2)*(E2733=E2732:E$2)))))</f>
        <v> </v>
      </c>
      <c r="J2733" s="25" t="str">
        <f>IF(OR(E2733="",E2733="!!!",F2733="NEW"),"",COUNTBLANK(OFFSET(A$1,,,SUMPRODUCT(MAX(ROW(E$2:E2733)*(E2733=E$2:E2733)))))-COUNTBLANK(OFFSET(A$1,,,SUMPRODUCT(MAX(ROW(E$1:E2732)*(E2=E$1:E2732))))))</f>
        <v> </v>
      </c>
      <c r="K2733" s="25" t="str">
        <f>IF(OR(E2733="",E2733="!!!",F2733="NEW"),"",INDEX(J$1:J2732,SUMPRODUCT(MAX(ROW(E$1:E2732)*(E2733=E$1:E2732)))))</f>
        <v> </v>
      </c>
      <c r="L2733" s="26"/>
    </row>
    <row r="2734" spans="1:12">
      <c r="A2734" s="20" t="s">
        <v>135</v>
      </c>
      <c r="E2734" s="21">
        <f>IF(D2734="?OLD","!!!","")</f>
        <v/>
      </c>
      <c r="F2734" s="22" t="str">
        <f>IF(OR(E2734="",E2734="!!!"),"",IF(NOT(ISNA(VLOOKUP(E2734,E$1:E2733,1,FALSE()))),"OLD",IF(AND(E2734&lt;&gt;"",E2734&lt;&gt;"!!!"),"NEW","")))</f>
        <v> </v>
      </c>
      <c r="G2734" s="23" t="str">
        <f>IF(OR(E2734="",E2734="!!!"),"",IF(OR(J2734=0,AND(J2734=1,K2734=1),AND(J2734=1,I2734="SBJ"),AND(J2734=1,I2734=0)),"?IN_FOCUS",IF(J2734&lt;=2,"?ACTIVATED",IF(J2734&lt;&gt;"","?FAMILIAR",IF(F2734="NEW",IF(ISNA(VLOOKUP(E2734,#REF!,1,FALSE())),"?TYPE_IDENTIFIABLE","?REFERENTIAL"),"_")))))</f>
        <v> </v>
      </c>
      <c r="H2734" s="24" t="str">
        <f>IF(J2734&lt;&gt;1,"",IF(I2734="SBJ","CB","?"))</f>
        <v> </v>
      </c>
      <c r="I2734" s="25" t="str">
        <f>IF(OR(E2734="",E2734="!!!",F2734="NEW"),"",INDEX(B2733:B$2,-1+SUMPRODUCT(MAX(ROW(E2733:E$2)*(E2734=E2733:E$2)))))</f>
        <v> </v>
      </c>
      <c r="J2734" s="25" t="str">
        <f>IF(OR(E2734="",E2734="!!!",F2734="NEW"),"",COUNTBLANK(OFFSET(A$1,,,SUMPRODUCT(MAX(ROW(E$2:E2734)*(E2734=E$2:E2734)))))-COUNTBLANK(OFFSET(A$1,,,SUMPRODUCT(MAX(ROW(E$1:E2733)*(E2=E$1:E2733))))))</f>
        <v> </v>
      </c>
      <c r="K2734" s="25" t="str">
        <f>IF(OR(E2734="",E2734="!!!",F2734="NEW"),"",INDEX(J$1:J2733,SUMPRODUCT(MAX(ROW(E$1:E2733)*(E2734=E$1:E2733)))))</f>
        <v> </v>
      </c>
      <c r="L2734" s="26"/>
    </row>
    <row r="2735" spans="1:12">
      <c r="A2735" s="20"/>
    </row>
    <row r="2736" spans="1:12">
      <c r="A2736" s="20" t="s">
        <v>2001</v>
      </c>
    </row>
    <row r="2737" spans="1:12">
      <c r="A2737" s="20" t="s">
        <v>1502</v>
      </c>
      <c r="E2737" s="21">
        <f>IF(D2737="?OLD","!!!","")</f>
        <v/>
      </c>
      <c r="F2737" s="22" t="str">
        <f>IF(OR(E2737="",E2737="!!!"),"",IF(NOT(ISNA(VLOOKUP(E2737,E$1:E2736,1,FALSE()))),"OLD",IF(AND(E2737&lt;&gt;"",E2737&lt;&gt;"!!!"),"NEW","")))</f>
        <v> </v>
      </c>
      <c r="G2737" s="23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4" t="str">
        <f>IF(J2737&lt;&gt;1,"",IF(I2737="SBJ","CB","?"))</f>
        <v> </v>
      </c>
      <c r="I2737" s="25" t="str">
        <f>IF(OR(E2737="",E2737="!!!",F2737="NEW"),"",INDEX(B2736:B$2,-1+SUMPRODUCT(MAX(ROW(E2736:E$2)*(E2737=E2736:E$2)))))</f>
        <v> </v>
      </c>
      <c r="J2737" s="25" t="str">
        <f>IF(OR(E2737="",E2737="!!!",F2737="NEW"),"",COUNTBLANK(OFFSET(A$1,,,SUMPRODUCT(MAX(ROW(E$2:E2737)*(E2737=E$2:E2737)))))-COUNTBLANK(OFFSET(A$1,,,SUMPRODUCT(MAX(ROW(E$1:E2736)*(E2=E$1:E2736))))))</f>
        <v> </v>
      </c>
      <c r="K2737" s="25" t="str">
        <f>IF(OR(E2737="",E2737="!!!",F2737="NEW"),"",INDEX(J$1:J2736,SUMPRODUCT(MAX(ROW(E$1:E2736)*(E2737=E$1:E2736)))))</f>
        <v> </v>
      </c>
      <c r="L2737" s="26"/>
    </row>
    <row r="2738" spans="1:12">
      <c r="A2738" s="20" t="s">
        <v>1465</v>
      </c>
      <c r="E2738" s="21">
        <f>IF(D2738="?OLD","!!!","")</f>
        <v/>
      </c>
      <c r="F2738" s="22" t="str">
        <f>IF(OR(E2738="",E2738="!!!"),"",IF(NOT(ISNA(VLOOKUP(E2738,E$1:E2737,1,FALSE()))),"OLD",IF(AND(E2738&lt;&gt;"",E2738&lt;&gt;"!!!"),"NEW","")))</f>
        <v> </v>
      </c>
      <c r="G2738" s="23" t="str">
        <f>IF(OR(E2738="",E2738="!!!"),"",IF(OR(J2738=0,AND(J2738=1,K2738=1),AND(J2738=1,I2738="SBJ"),AND(J2738=1,I2738=0)),"?IN_FOCUS",IF(J2738&lt;=2,"?ACTIVATED",IF(J2738&lt;&gt;"","?FAMILIAR",IF(F2738="NEW",IF(ISNA(VLOOKUP(E2738,#REF!,1,FALSE())),"?TYPE_IDENTIFIABLE","?REFERENTIAL"),"_")))))</f>
        <v> </v>
      </c>
      <c r="H2738" s="24" t="str">
        <f>IF(J2738&lt;&gt;1,"",IF(I2738="SBJ","CB","?"))</f>
        <v> </v>
      </c>
      <c r="I2738" s="25" t="str">
        <f>IF(OR(E2738="",E2738="!!!",F2738="NEW"),"",INDEX(B2737:B$2,-1+SUMPRODUCT(MAX(ROW(E2737:E$2)*(E2738=E2737:E$2)))))</f>
        <v> </v>
      </c>
      <c r="J2738" s="25" t="str">
        <f>IF(OR(E2738="",E2738="!!!",F2738="NEW"),"",COUNTBLANK(OFFSET(A$1,,,SUMPRODUCT(MAX(ROW(E$2:E2738)*(E2738=E$2:E2738)))))-COUNTBLANK(OFFSET(A$1,,,SUMPRODUCT(MAX(ROW(E$1:E2737)*(E2=E$1:E2737))))))</f>
        <v> </v>
      </c>
      <c r="K2738" s="25" t="str">
        <f>IF(OR(E2738="",E2738="!!!",F2738="NEW"),"",INDEX(J$1:J2737,SUMPRODUCT(MAX(ROW(E$1:E2737)*(E2738=E$1:E2737)))))</f>
        <v> </v>
      </c>
      <c r="L2738" s="26"/>
    </row>
    <row r="2739" spans="1:12">
      <c r="A2739" s="20" t="s">
        <v>1018</v>
      </c>
      <c r="E2739" s="21">
        <f>IF(D2739="?OLD","!!!","")</f>
        <v/>
      </c>
      <c r="F2739" s="22" t="str">
        <f>IF(OR(E2739="",E2739="!!!"),"",IF(NOT(ISNA(VLOOKUP(E2739,E$1:E2738,1,FALSE()))),"OLD",IF(AND(E2739&lt;&gt;"",E2739&lt;&gt;"!!!"),"NEW","")))</f>
        <v> </v>
      </c>
      <c r="G2739" s="23" t="str">
        <f>IF(OR(E2739="",E2739="!!!"),"",IF(OR(J2739=0,AND(J2739=1,K2739=1),AND(J2739=1,I2739="SBJ"),AND(J2739=1,I2739=0)),"?IN_FOCUS",IF(J2739&lt;=2,"?ACTIVATED",IF(J2739&lt;&gt;"","?FAMILIAR",IF(F2739="NEW",IF(ISNA(VLOOKUP(E2739,#REF!,1,FALSE())),"?TYPE_IDENTIFIABLE","?REFERENTIAL"),"_")))))</f>
        <v> </v>
      </c>
      <c r="H2739" s="24" t="str">
        <f>IF(J2739&lt;&gt;1,"",IF(I2739="SBJ","CB","?"))</f>
        <v> </v>
      </c>
      <c r="I2739" s="25" t="str">
        <f>IF(OR(E2739="",E2739="!!!",F2739="NEW"),"",INDEX(B2738:B$2,-1+SUMPRODUCT(MAX(ROW(E2738:E$2)*(E2739=E2738:E$2)))))</f>
        <v> </v>
      </c>
      <c r="J2739" s="25" t="str">
        <f>IF(OR(E2739="",E2739="!!!",F2739="NEW"),"",COUNTBLANK(OFFSET(A$1,,,SUMPRODUCT(MAX(ROW(E$2:E2739)*(E2739=E$2:E2739)))))-COUNTBLANK(OFFSET(A$1,,,SUMPRODUCT(MAX(ROW(E$1:E2738)*(E2=E$1:E2738))))))</f>
        <v> </v>
      </c>
      <c r="K2739" s="25" t="str">
        <f>IF(OR(E2739="",E2739="!!!",F2739="NEW"),"",INDEX(J$1:J2738,SUMPRODUCT(MAX(ROW(E$1:E2738)*(E2739=E$1:E2738)))))</f>
        <v> </v>
      </c>
      <c r="L2739" s="26"/>
    </row>
    <row r="2740" spans="1:12">
      <c r="A2740" s="20" t="s">
        <v>2002</v>
      </c>
      <c r="B2740" s="27" t="s">
        <v>1014</v>
      </c>
      <c r="C2740" s="27" t="s">
        <v>1029</v>
      </c>
      <c r="D2740" s="27" t="s">
        <v>1030</v>
      </c>
      <c r="E2740" s="21">
        <f>IF(D2740="?OLD","!!!","")</f>
        <v/>
      </c>
      <c r="F2740" s="22" t="str">
        <f>IF(OR(E2740="",E2740="!!!"),"",IF(NOT(ISNA(VLOOKUP(E2740,E$1:E2739,1,FALSE()))),"OLD",IF(AND(E2740&lt;&gt;"",E2740&lt;&gt;"!!!"),"NEW","")))</f>
        <v> </v>
      </c>
      <c r="G2740" s="23" t="str">
        <f>IF(OR(E2740="",E2740="!!!"),"",IF(OR(J2740=0,AND(J2740=1,K2740=1),AND(J2740=1,I2740="SBJ"),AND(J2740=1,I2740=0)),"?IN_FOCUS",IF(J2740&lt;=2,"?ACTIVATED",IF(J2740&lt;&gt;"","?FAMILIAR",IF(F2740="NEW",IF(ISNA(VLOOKUP(E2740,#REF!,1,FALSE())),"?TYPE_IDENTIFIABLE","?REFERENTIAL"),"_")))))</f>
        <v> </v>
      </c>
      <c r="H2740" s="24" t="str">
        <f>IF(J2740&lt;&gt;1,"",IF(I2740="SBJ","CB","?"))</f>
        <v> </v>
      </c>
      <c r="I2740" s="25" t="str">
        <f>IF(OR(E2740="",E2740="!!!",F2740="NEW"),"",INDEX(B2739:B$2,-1+SUMPRODUCT(MAX(ROW(E2739:E$2)*(E2740=E2739:E$2)))))</f>
        <v> </v>
      </c>
      <c r="J2740" s="25" t="str">
        <f>IF(OR(E2740="",E2740="!!!",F2740="NEW"),"",COUNTBLANK(OFFSET(A$1,,,SUMPRODUCT(MAX(ROW(E$2:E2740)*(E2740=E$2:E2740)))))-COUNTBLANK(OFFSET(A$1,,,SUMPRODUCT(MAX(ROW(E$1:E2739)*(E2=E$1:E2739))))))</f>
        <v> </v>
      </c>
      <c r="K2740" s="25" t="str">
        <f>IF(OR(E2740="",E2740="!!!",F2740="NEW"),"",INDEX(J$1:J2739,SUMPRODUCT(MAX(ROW(E$1:E2739)*(E2740=E$1:E2739)))))</f>
        <v> </v>
      </c>
      <c r="L2740" s="26"/>
    </row>
    <row r="2741" spans="1:12">
      <c r="A2741" s="20" t="s">
        <v>1016</v>
      </c>
      <c r="E2741" s="21">
        <f>IF(D2741="?OLD","!!!","")</f>
        <v/>
      </c>
      <c r="F2741" s="22" t="str">
        <f>IF(OR(E2741="",E2741="!!!"),"",IF(NOT(ISNA(VLOOKUP(E2741,E$1:E2740,1,FALSE()))),"OLD",IF(AND(E2741&lt;&gt;"",E2741&lt;&gt;"!!!"),"NEW","")))</f>
        <v> </v>
      </c>
      <c r="G2741" s="23" t="str">
        <f>IF(OR(E2741="",E2741="!!!"),"",IF(OR(J2741=0,AND(J2741=1,K2741=1),AND(J2741=1,I2741="SBJ"),AND(J2741=1,I2741=0)),"?IN_FOCUS",IF(J2741&lt;=2,"?ACTIVATED",IF(J2741&lt;&gt;"","?FAMILIAR",IF(F2741="NEW",IF(ISNA(VLOOKUP(E2741,#REF!,1,FALSE())),"?TYPE_IDENTIFIABLE","?REFERENTIAL"),"_")))))</f>
        <v> </v>
      </c>
      <c r="H2741" s="24" t="str">
        <f>IF(J2741&lt;&gt;1,"",IF(I2741="SBJ","CB","?"))</f>
        <v> </v>
      </c>
      <c r="I2741" s="25" t="str">
        <f>IF(OR(E2741="",E2741="!!!",F2741="NEW"),"",INDEX(B2740:B$2,-1+SUMPRODUCT(MAX(ROW(E2740:E$2)*(E2741=E2740:E$2)))))</f>
        <v> </v>
      </c>
      <c r="J2741" s="25" t="str">
        <f>IF(OR(E2741="",E2741="!!!",F2741="NEW"),"",COUNTBLANK(OFFSET(A$1,,,SUMPRODUCT(MAX(ROW(E$2:E2741)*(E2741=E$2:E2741)))))-COUNTBLANK(OFFSET(A$1,,,SUMPRODUCT(MAX(ROW(E$1:E2740)*(E2=E$1:E2740))))))</f>
        <v> </v>
      </c>
      <c r="K2741" s="25" t="str">
        <f>IF(OR(E2741="",E2741="!!!",F2741="NEW"),"",INDEX(J$1:J2740,SUMPRODUCT(MAX(ROW(E$1:E2740)*(E2741=E$1:E2740)))))</f>
        <v> </v>
      </c>
      <c r="L2741" s="26"/>
    </row>
    <row r="2742" spans="1:12">
      <c r="A2742" s="20" t="s">
        <v>2003</v>
      </c>
      <c r="B2742" s="27" t="s">
        <v>1079</v>
      </c>
      <c r="C2742" s="27" t="s">
        <v>1015</v>
      </c>
      <c r="E2742" s="21">
        <f>IF(D2742="?OLD","!!!","")</f>
        <v/>
      </c>
      <c r="F2742" s="22" t="str">
        <f>IF(OR(E2742="",E2742="!!!"),"",IF(NOT(ISNA(VLOOKUP(E2742,E$1:E2741,1,FALSE()))),"OLD",IF(AND(E2742&lt;&gt;"",E2742&lt;&gt;"!!!"),"NEW","")))</f>
        <v> </v>
      </c>
      <c r="G2742" s="23" t="str">
        <f>IF(OR(E2742="",E2742="!!!"),"",IF(OR(J2742=0,AND(J2742=1,K2742=1),AND(J2742=1,I2742="SBJ"),AND(J2742=1,I2742=0)),"?IN_FOCUS",IF(J2742&lt;=2,"?ACTIVATED",IF(J2742&lt;&gt;"","?FAMILIAR",IF(F2742="NEW",IF(ISNA(VLOOKUP(E2742,#REF!,1,FALSE())),"?TYPE_IDENTIFIABLE","?REFERENTIAL"),"_")))))</f>
        <v> </v>
      </c>
      <c r="H2742" s="24" t="str">
        <f>IF(J2742&lt;&gt;1,"",IF(I2742="SBJ","CB","?"))</f>
        <v> </v>
      </c>
      <c r="I2742" s="25" t="str">
        <f>IF(OR(E2742="",E2742="!!!",F2742="NEW"),"",INDEX(B2741:B$2,-1+SUMPRODUCT(MAX(ROW(E2741:E$2)*(E2742=E2741:E$2)))))</f>
        <v> </v>
      </c>
      <c r="J2742" s="25" t="str">
        <f>IF(OR(E2742="",E2742="!!!",F2742="NEW"),"",COUNTBLANK(OFFSET(A$1,,,SUMPRODUCT(MAX(ROW(E$2:E2742)*(E2742=E$2:E2742)))))-COUNTBLANK(OFFSET(A$1,,,SUMPRODUCT(MAX(ROW(E$1:E2741)*(E2=E$1:E2741))))))</f>
        <v> </v>
      </c>
      <c r="K2742" s="25" t="str">
        <f>IF(OR(E2742="",E2742="!!!",F2742="NEW"),"",INDEX(J$1:J2741,SUMPRODUCT(MAX(ROW(E$1:E2741)*(E2742=E$1:E2741)))))</f>
        <v> </v>
      </c>
      <c r="L2742" s="26"/>
    </row>
    <row r="2743" spans="1:12">
      <c r="A2743" s="20" t="s">
        <v>1017</v>
      </c>
      <c r="E2743" s="21">
        <f>IF(D2743="?OLD","!!!","")</f>
        <v/>
      </c>
      <c r="F2743" s="22" t="str">
        <f>IF(OR(E2743="",E2743="!!!"),"",IF(NOT(ISNA(VLOOKUP(E2743,E$1:E2742,1,FALSE()))),"OLD",IF(AND(E2743&lt;&gt;"",E2743&lt;&gt;"!!!"),"NEW","")))</f>
        <v> </v>
      </c>
      <c r="G2743" s="23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4" t="str">
        <f>IF(J2743&lt;&gt;1,"",IF(I2743="SBJ","CB","?"))</f>
        <v> </v>
      </c>
      <c r="I2743" s="25" t="str">
        <f>IF(OR(E2743="",E2743="!!!",F2743="NEW"),"",INDEX(B2742:B$2,-1+SUMPRODUCT(MAX(ROW(E2742:E$2)*(E2743=E2742:E$2)))))</f>
        <v> </v>
      </c>
      <c r="J2743" s="25" t="str">
        <f>IF(OR(E2743="",E2743="!!!",F2743="NEW"),"",COUNTBLANK(OFFSET(A$1,,,SUMPRODUCT(MAX(ROW(E$2:E2743)*(E2743=E$2:E2743)))))-COUNTBLANK(OFFSET(A$1,,,SUMPRODUCT(MAX(ROW(E$1:E2742)*(E2=E$1:E2742))))))</f>
        <v> </v>
      </c>
      <c r="K2743" s="25" t="str">
        <f>IF(OR(E2743="",E2743="!!!",F2743="NEW"),"",INDEX(J$1:J2742,SUMPRODUCT(MAX(ROW(E$1:E2742)*(E2743=E$1:E2742)))))</f>
        <v> </v>
      </c>
      <c r="L2743" s="26"/>
    </row>
    <row r="2744" spans="1:12">
      <c r="A2744" s="20" t="s">
        <v>135</v>
      </c>
      <c r="E2744" s="21">
        <f>IF(D2744="?OLD","!!!","")</f>
        <v/>
      </c>
      <c r="F2744" s="22" t="str">
        <f>IF(OR(E2744="",E2744="!!!"),"",IF(NOT(ISNA(VLOOKUP(E2744,E$1:E2743,1,FALSE()))),"OLD",IF(AND(E2744&lt;&gt;"",E2744&lt;&gt;"!!!"),"NEW","")))</f>
        <v> </v>
      </c>
      <c r="G2744" s="23" t="str">
        <f>IF(OR(E2744="",E2744="!!!"),"",IF(OR(J2744=0,AND(J2744=1,K2744=1),AND(J2744=1,I2744="SBJ"),AND(J2744=1,I2744=0)),"?IN_FOCUS",IF(J2744&lt;=2,"?ACTIVATED",IF(J2744&lt;&gt;"","?FAMILIAR",IF(F2744="NEW",IF(ISNA(VLOOKUP(E2744,#REF!,1,FALSE())),"?TYPE_IDENTIFIABLE","?REFERENTIAL"),"_")))))</f>
        <v> </v>
      </c>
      <c r="H2744" s="24" t="str">
        <f>IF(J2744&lt;&gt;1,"",IF(I2744="SBJ","CB","?"))</f>
        <v> </v>
      </c>
      <c r="I2744" s="25" t="str">
        <f>IF(OR(E2744="",E2744="!!!",F2744="NEW"),"",INDEX(B2743:B$2,-1+SUMPRODUCT(MAX(ROW(E2743:E$2)*(E2744=E2743:E$2)))))</f>
        <v> </v>
      </c>
      <c r="J2744" s="25" t="str">
        <f>IF(OR(E2744="",E2744="!!!",F2744="NEW"),"",COUNTBLANK(OFFSET(A$1,,,SUMPRODUCT(MAX(ROW(E$2:E2744)*(E2744=E$2:E2744)))))-COUNTBLANK(OFFSET(A$1,,,SUMPRODUCT(MAX(ROW(E$1:E2743)*(E2=E$1:E2743))))))</f>
        <v> </v>
      </c>
      <c r="K2744" s="25" t="str">
        <f>IF(OR(E2744="",E2744="!!!",F2744="NEW"),"",INDEX(J$1:J2743,SUMPRODUCT(MAX(ROW(E$1:E2743)*(E2744=E$1:E2743)))))</f>
        <v> </v>
      </c>
      <c r="L2744" s="26"/>
    </row>
    <row r="2745" spans="1:12">
      <c r="A2745" s="20"/>
    </row>
    <row r="2746" spans="1:12">
      <c r="A2746" s="20" t="s">
        <v>2004</v>
      </c>
    </row>
    <row r="2747" spans="1:12">
      <c r="A2747" s="20" t="s">
        <v>1860</v>
      </c>
      <c r="B2747" s="27" t="s">
        <v>1045</v>
      </c>
      <c r="C2747" s="27" t="s">
        <v>1042</v>
      </c>
      <c r="E2747" s="21">
        <f>IF(D2747="?OLD","!!!","")</f>
        <v/>
      </c>
      <c r="F2747" s="22" t="str">
        <f>IF(OR(E2747="",E2747="!!!"),"",IF(NOT(ISNA(VLOOKUP(E2747,E$1:E2746,1,FALSE()))),"OLD",IF(AND(E2747&lt;&gt;"",E2747&lt;&gt;"!!!"),"NEW","")))</f>
        <v> </v>
      </c>
      <c r="G2747" s="23" t="str">
        <f>IF(OR(E2747="",E2747="!!!"),"",IF(OR(J2747=0,AND(J2747=1,K2747=1),AND(J2747=1,I2747="SBJ"),AND(J2747=1,I2747=0)),"?IN_FOCUS",IF(J2747&lt;=2,"?ACTIVATED",IF(J2747&lt;&gt;"","?FAMILIAR",IF(F2747="NEW",IF(ISNA(VLOOKUP(E2747,#REF!,1,FALSE())),"?TYPE_IDENTIFIABLE","?REFERENTIAL"),"_")))))</f>
        <v> </v>
      </c>
      <c r="H2747" s="24" t="str">
        <f>IF(J2747&lt;&gt;1,"",IF(I2747="SBJ","CB","?"))</f>
        <v> </v>
      </c>
      <c r="I2747" s="25" t="str">
        <f>IF(OR(E2747="",E2747="!!!",F2747="NEW"),"",INDEX(B2746:B$2,-1+SUMPRODUCT(MAX(ROW(E2746:E$2)*(E2747=E2746:E$2)))))</f>
        <v> </v>
      </c>
      <c r="J2747" s="25" t="str">
        <f>IF(OR(E2747="",E2747="!!!",F2747="NEW"),"",COUNTBLANK(OFFSET(A$1,,,SUMPRODUCT(MAX(ROW(E$2:E2747)*(E2747=E$2:E2747)))))-COUNTBLANK(OFFSET(A$1,,,SUMPRODUCT(MAX(ROW(E$1:E2746)*(E2=E$1:E2746))))))</f>
        <v> </v>
      </c>
      <c r="K2747" s="25" t="str">
        <f>IF(OR(E2747="",E2747="!!!",F2747="NEW"),"",INDEX(J$1:J2746,SUMPRODUCT(MAX(ROW(E$1:E2746)*(E2747=E$1:E2746)))))</f>
        <v> </v>
      </c>
      <c r="L2747" s="26"/>
    </row>
    <row r="2748" spans="1:12">
      <c r="A2748" s="20" t="s">
        <v>1016</v>
      </c>
      <c r="E2748" s="21">
        <f>IF(D2748="?OLD","!!!","")</f>
        <v/>
      </c>
      <c r="F2748" s="22" t="str">
        <f>IF(OR(E2748="",E2748="!!!"),"",IF(NOT(ISNA(VLOOKUP(E2748,E$1:E2747,1,FALSE()))),"OLD",IF(AND(E2748&lt;&gt;"",E2748&lt;&gt;"!!!"),"NEW","")))</f>
        <v> </v>
      </c>
      <c r="G2748" s="23" t="str">
        <f>IF(OR(E2748="",E2748="!!!"),"",IF(OR(J2748=0,AND(J2748=1,K2748=1),AND(J2748=1,I2748="SBJ"),AND(J2748=1,I2748=0)),"?IN_FOCUS",IF(J2748&lt;=2,"?ACTIVATED",IF(J2748&lt;&gt;"","?FAMILIAR",IF(F2748="NEW",IF(ISNA(VLOOKUP(E2748,#REF!,1,FALSE())),"?TYPE_IDENTIFIABLE","?REFERENTIAL"),"_")))))</f>
        <v> </v>
      </c>
      <c r="H2748" s="24" t="str">
        <f>IF(J2748&lt;&gt;1,"",IF(I2748="SBJ","CB","?"))</f>
        <v> </v>
      </c>
      <c r="I2748" s="25" t="str">
        <f>IF(OR(E2748="",E2748="!!!",F2748="NEW"),"",INDEX(B2747:B$2,-1+SUMPRODUCT(MAX(ROW(E2747:E$2)*(E2748=E2747:E$2)))))</f>
        <v> </v>
      </c>
      <c r="J2748" s="25" t="str">
        <f>IF(OR(E2748="",E2748="!!!",F2748="NEW"),"",COUNTBLANK(OFFSET(A$1,,,SUMPRODUCT(MAX(ROW(E$2:E2748)*(E2748=E$2:E2748)))))-COUNTBLANK(OFFSET(A$1,,,SUMPRODUCT(MAX(ROW(E$1:E2747)*(E2=E$1:E2747))))))</f>
        <v> </v>
      </c>
      <c r="K2748" s="25" t="str">
        <f>IF(OR(E2748="",E2748="!!!",F2748="NEW"),"",INDEX(J$1:J2747,SUMPRODUCT(MAX(ROW(E$1:E2747)*(E2748=E$1:E2747)))))</f>
        <v> </v>
      </c>
      <c r="L2748" s="26"/>
    </row>
    <row r="2749" spans="1:12">
      <c r="A2749" s="20" t="s">
        <v>2005</v>
      </c>
      <c r="E2749" s="21">
        <f>IF(D2749="?OLD","!!!","")</f>
        <v/>
      </c>
      <c r="F2749" s="22" t="str">
        <f>IF(OR(E2749="",E2749="!!!"),"",IF(NOT(ISNA(VLOOKUP(E2749,E$1:E2748,1,FALSE()))),"OLD",IF(AND(E2749&lt;&gt;"",E2749&lt;&gt;"!!!"),"NEW","")))</f>
        <v> </v>
      </c>
      <c r="G2749" s="23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4" t="str">
        <f>IF(J2749&lt;&gt;1,"",IF(I2749="SBJ","CB","?"))</f>
        <v> </v>
      </c>
      <c r="I2749" s="25" t="str">
        <f>IF(OR(E2749="",E2749="!!!",F2749="NEW"),"",INDEX(B2748:B$2,-1+SUMPRODUCT(MAX(ROW(E2748:E$2)*(E2749=E2748:E$2)))))</f>
        <v> </v>
      </c>
      <c r="J2749" s="25" t="str">
        <f>IF(OR(E2749="",E2749="!!!",F2749="NEW"),"",COUNTBLANK(OFFSET(A$1,,,SUMPRODUCT(MAX(ROW(E$2:E2749)*(E2749=E$2:E2749)))))-COUNTBLANK(OFFSET(A$1,,,SUMPRODUCT(MAX(ROW(E$1:E2748)*(E2=E$1:E2748))))))</f>
        <v> </v>
      </c>
      <c r="K2749" s="25" t="str">
        <f>IF(OR(E2749="",E2749="!!!",F2749="NEW"),"",INDEX(J$1:J2748,SUMPRODUCT(MAX(ROW(E$1:E2748)*(E2749=E$1:E2748)))))</f>
        <v> </v>
      </c>
      <c r="L2749" s="26"/>
    </row>
    <row r="2750" spans="1:12">
      <c r="A2750" s="20" t="s">
        <v>135</v>
      </c>
      <c r="E2750" s="21">
        <f>IF(D2750="?OLD","!!!","")</f>
        <v/>
      </c>
      <c r="F2750" s="22" t="str">
        <f>IF(OR(E2750="",E2750="!!!"),"",IF(NOT(ISNA(VLOOKUP(E2750,E$1:E2749,1,FALSE()))),"OLD",IF(AND(E2750&lt;&gt;"",E2750&lt;&gt;"!!!"),"NEW","")))</f>
        <v> </v>
      </c>
      <c r="G2750" s="23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4" t="str">
        <f>IF(J2750&lt;&gt;1,"",IF(I2750="SBJ","CB","?"))</f>
        <v> </v>
      </c>
      <c r="I2750" s="25" t="str">
        <f>IF(OR(E2750="",E2750="!!!",F2750="NEW"),"",INDEX(B2749:B$2,-1+SUMPRODUCT(MAX(ROW(E2749:E$2)*(E2750=E2749:E$2)))))</f>
        <v> </v>
      </c>
      <c r="J2750" s="25" t="str">
        <f>IF(OR(E2750="",E2750="!!!",F2750="NEW"),"",COUNTBLANK(OFFSET(A$1,,,SUMPRODUCT(MAX(ROW(E$2:E2750)*(E2750=E$2:E2750)))))-COUNTBLANK(OFFSET(A$1,,,SUMPRODUCT(MAX(ROW(E$1:E2749)*(E2=E$1:E2749))))))</f>
        <v> </v>
      </c>
      <c r="K2750" s="25" t="str">
        <f>IF(OR(E2750="",E2750="!!!",F2750="NEW"),"",INDEX(J$1:J2749,SUMPRODUCT(MAX(ROW(E$1:E2749)*(E2750=E$1:E2749)))))</f>
        <v> </v>
      </c>
      <c r="L2750" s="26"/>
    </row>
    <row r="2751" spans="1:12">
      <c r="A2751" s="20"/>
    </row>
    <row r="2752" spans="1:12">
      <c r="A2752" s="20" t="s">
        <v>2006</v>
      </c>
    </row>
    <row r="2753" spans="1:12">
      <c r="A2753" s="20" t="s">
        <v>2007</v>
      </c>
      <c r="B2753" s="27" t="s">
        <v>1045</v>
      </c>
      <c r="C2753" s="27" t="s">
        <v>1015</v>
      </c>
      <c r="E2753" s="21">
        <f>IF(D2753="?OLD","!!!","")</f>
        <v/>
      </c>
      <c r="F2753" s="22" t="str">
        <f>IF(OR(E2753="",E2753="!!!"),"",IF(NOT(ISNA(VLOOKUP(E2753,E$1:E2752,1,FALSE()))),"OLD",IF(AND(E2753&lt;&gt;"",E2753&lt;&gt;"!!!"),"NEW","")))</f>
        <v> </v>
      </c>
      <c r="G2753" s="23" t="str">
        <f>IF(OR(E2753="",E2753="!!!"),"",IF(OR(J2753=0,AND(J2753=1,K2753=1),AND(J2753=1,I2753="SBJ"),AND(J2753=1,I2753=0)),"?IN_FOCUS",IF(J2753&lt;=2,"?ACTIVATED",IF(J2753&lt;&gt;"","?FAMILIAR",IF(F2753="NEW",IF(ISNA(VLOOKUP(E2753,#REF!,1,FALSE())),"?TYPE_IDENTIFIABLE","?REFERENTIAL"),"_")))))</f>
        <v> </v>
      </c>
      <c r="H2753" s="24" t="str">
        <f>IF(J2753&lt;&gt;1,"",IF(I2753="SBJ","CB","?"))</f>
        <v> </v>
      </c>
      <c r="I2753" s="25" t="str">
        <f>IF(OR(E2753="",E2753="!!!",F2753="NEW"),"",INDEX(B2752:B$2,-1+SUMPRODUCT(MAX(ROW(E2752:E$2)*(E2753=E2752:E$2)))))</f>
        <v> </v>
      </c>
      <c r="J2753" s="25" t="str">
        <f>IF(OR(E2753="",E2753="!!!",F2753="NEW"),"",COUNTBLANK(OFFSET(A$1,,,SUMPRODUCT(MAX(ROW(E$2:E2753)*(E2753=E$2:E2753)))))-COUNTBLANK(OFFSET(A$1,,,SUMPRODUCT(MAX(ROW(E$1:E2752)*(E2=E$1:E2752))))))</f>
        <v> </v>
      </c>
      <c r="K2753" s="25" t="str">
        <f>IF(OR(E2753="",E2753="!!!",F2753="NEW"),"",INDEX(J$1:J2752,SUMPRODUCT(MAX(ROW(E$1:E2752)*(E2753=E$1:E2752)))))</f>
        <v> </v>
      </c>
      <c r="L2753" s="26"/>
    </row>
    <row r="2754" spans="1:12">
      <c r="A2754" s="20" t="s">
        <v>11</v>
      </c>
      <c r="E2754" s="21">
        <f>IF(D2754="?OLD","!!!","")</f>
        <v/>
      </c>
      <c r="F2754" s="22" t="str">
        <f>IF(OR(E2754="",E2754="!!!"),"",IF(NOT(ISNA(VLOOKUP(E2754,E$1:E2753,1,FALSE()))),"OLD",IF(AND(E2754&lt;&gt;"",E2754&lt;&gt;"!!!"),"NEW","")))</f>
        <v> </v>
      </c>
      <c r="G2754" s="23" t="str">
        <f>IF(OR(E2754="",E2754="!!!"),"",IF(OR(J2754=0,AND(J2754=1,K2754=1),AND(J2754=1,I2754="SBJ"),AND(J2754=1,I2754=0)),"?IN_FOCUS",IF(J2754&lt;=2,"?ACTIVATED",IF(J2754&lt;&gt;"","?FAMILIAR",IF(F2754="NEW",IF(ISNA(VLOOKUP(E2754,#REF!,1,FALSE())),"?TYPE_IDENTIFIABLE","?REFERENTIAL"),"_")))))</f>
        <v> </v>
      </c>
      <c r="H2754" s="24" t="str">
        <f>IF(J2754&lt;&gt;1,"",IF(I2754="SBJ","CB","?"))</f>
        <v> </v>
      </c>
      <c r="I2754" s="25" t="str">
        <f>IF(OR(E2754="",E2754="!!!",F2754="NEW"),"",INDEX(B2753:B$2,-1+SUMPRODUCT(MAX(ROW(E2753:E$2)*(E2754=E2753:E$2)))))</f>
        <v> </v>
      </c>
      <c r="J2754" s="25" t="str">
        <f>IF(OR(E2754="",E2754="!!!",F2754="NEW"),"",COUNTBLANK(OFFSET(A$1,,,SUMPRODUCT(MAX(ROW(E$2:E2754)*(E2754=E$2:E2754)))))-COUNTBLANK(OFFSET(A$1,,,SUMPRODUCT(MAX(ROW(E$1:E2753)*(E2=E$1:E2753))))))</f>
        <v> </v>
      </c>
      <c r="K2754" s="25" t="str">
        <f>IF(OR(E2754="",E2754="!!!",F2754="NEW"),"",INDEX(J$1:J2753,SUMPRODUCT(MAX(ROW(E$1:E2753)*(E2754=E$1:E2753)))))</f>
        <v> </v>
      </c>
      <c r="L2754" s="26"/>
    </row>
    <row r="2755" spans="1:12">
      <c r="A2755" s="20" t="s">
        <v>1018</v>
      </c>
      <c r="E2755" s="21">
        <f>IF(D2755="?OLD","!!!","")</f>
        <v/>
      </c>
      <c r="F2755" s="22" t="str">
        <f>IF(OR(E2755="",E2755="!!!"),"",IF(NOT(ISNA(VLOOKUP(E2755,E$1:E2754,1,FALSE()))),"OLD",IF(AND(E2755&lt;&gt;"",E2755&lt;&gt;"!!!"),"NEW","")))</f>
        <v> </v>
      </c>
      <c r="G2755" s="23" t="str">
        <f>IF(OR(E2755="",E2755="!!!"),"",IF(OR(J2755=0,AND(J2755=1,K2755=1),AND(J2755=1,I2755="SBJ"),AND(J2755=1,I2755=0)),"?IN_FOCUS",IF(J2755&lt;=2,"?ACTIVATED",IF(J2755&lt;&gt;"","?FAMILIAR",IF(F2755="NEW",IF(ISNA(VLOOKUP(E2755,#REF!,1,FALSE())),"?TYPE_IDENTIFIABLE","?REFERENTIAL"),"_")))))</f>
        <v> </v>
      </c>
      <c r="H2755" s="24" t="str">
        <f>IF(J2755&lt;&gt;1,"",IF(I2755="SBJ","CB","?"))</f>
        <v> </v>
      </c>
      <c r="I2755" s="25" t="str">
        <f>IF(OR(E2755="",E2755="!!!",F2755="NEW"),"",INDEX(B2754:B$2,-1+SUMPRODUCT(MAX(ROW(E2754:E$2)*(E2755=E2754:E$2)))))</f>
        <v> </v>
      </c>
      <c r="J2755" s="25" t="str">
        <f>IF(OR(E2755="",E2755="!!!",F2755="NEW"),"",COUNTBLANK(OFFSET(A$1,,,SUMPRODUCT(MAX(ROW(E$2:E2755)*(E2755=E$2:E2755)))))-COUNTBLANK(OFFSET(A$1,,,SUMPRODUCT(MAX(ROW(E$1:E2754)*(E2=E$1:E2754))))))</f>
        <v> </v>
      </c>
      <c r="K2755" s="25" t="str">
        <f>IF(OR(E2755="",E2755="!!!",F2755="NEW"),"",INDEX(J$1:J2754,SUMPRODUCT(MAX(ROW(E$1:E2754)*(E2755=E$1:E2754)))))</f>
        <v> </v>
      </c>
      <c r="L2755" s="26"/>
    </row>
    <row r="2756" spans="1:12">
      <c r="A2756" s="20" t="s">
        <v>2008</v>
      </c>
      <c r="B2756" s="27" t="s">
        <v>1041</v>
      </c>
      <c r="C2756" s="27" t="s">
        <v>1021</v>
      </c>
      <c r="E2756" s="21">
        <f>IF(D2756="?OLD","!!!","")</f>
        <v/>
      </c>
      <c r="F2756" s="22" t="str">
        <f>IF(OR(E2756="",E2756="!!!"),"",IF(NOT(ISNA(VLOOKUP(E2756,E$1:E2755,1,FALSE()))),"OLD",IF(AND(E2756&lt;&gt;"",E2756&lt;&gt;"!!!"),"NEW","")))</f>
        <v> </v>
      </c>
      <c r="G2756" s="23" t="str">
        <f>IF(OR(E2756="",E2756="!!!"),"",IF(OR(J2756=0,AND(J2756=1,K2756=1),AND(J2756=1,I2756="SBJ"),AND(J2756=1,I2756=0)),"?IN_FOCUS",IF(J2756&lt;=2,"?ACTIVATED",IF(J2756&lt;&gt;"","?FAMILIAR",IF(F2756="NEW",IF(ISNA(VLOOKUP(E2756,#REF!,1,FALSE())),"?TYPE_IDENTIFIABLE","?REFERENTIAL"),"_")))))</f>
        <v> </v>
      </c>
      <c r="H2756" s="24" t="str">
        <f>IF(J2756&lt;&gt;1,"",IF(I2756="SBJ","CB","?"))</f>
        <v> </v>
      </c>
      <c r="I2756" s="25" t="str">
        <f>IF(OR(E2756="",E2756="!!!",F2756="NEW"),"",INDEX(B2755:B$2,-1+SUMPRODUCT(MAX(ROW(E2755:E$2)*(E2756=E2755:E$2)))))</f>
        <v> </v>
      </c>
      <c r="J2756" s="25" t="str">
        <f>IF(OR(E2756="",E2756="!!!",F2756="NEW"),"",COUNTBLANK(OFFSET(A$1,,,SUMPRODUCT(MAX(ROW(E$2:E2756)*(E2756=E$2:E2756)))))-COUNTBLANK(OFFSET(A$1,,,SUMPRODUCT(MAX(ROW(E$1:E2755)*(E2=E$1:E2755))))))</f>
        <v> </v>
      </c>
      <c r="K2756" s="25" t="str">
        <f>IF(OR(E2756="",E2756="!!!",F2756="NEW"),"",INDEX(J$1:J2755,SUMPRODUCT(MAX(ROW(E$1:E2755)*(E2756=E$1:E2755)))))</f>
        <v> </v>
      </c>
      <c r="L2756" s="26"/>
    </row>
    <row r="2757" spans="1:12">
      <c r="A2757" s="20" t="s">
        <v>1022</v>
      </c>
      <c r="E2757" s="21">
        <f>IF(D2757="?OLD","!!!","")</f>
        <v/>
      </c>
      <c r="F2757" s="22" t="str">
        <f>IF(OR(E2757="",E2757="!!!"),"",IF(NOT(ISNA(VLOOKUP(E2757,E$1:E2756,1,FALSE()))),"OLD",IF(AND(E2757&lt;&gt;"",E2757&lt;&gt;"!!!"),"NEW","")))</f>
        <v> </v>
      </c>
      <c r="G2757" s="23" t="str">
        <f>IF(OR(E2757="",E2757="!!!"),"",IF(OR(J2757=0,AND(J2757=1,K2757=1),AND(J2757=1,I2757="SBJ"),AND(J2757=1,I2757=0)),"?IN_FOCUS",IF(J2757&lt;=2,"?ACTIVATED",IF(J2757&lt;&gt;"","?FAMILIAR",IF(F2757="NEW",IF(ISNA(VLOOKUP(E2757,#REF!,1,FALSE())),"?TYPE_IDENTIFIABLE","?REFERENTIAL"),"_")))))</f>
        <v> </v>
      </c>
      <c r="H2757" s="24" t="str">
        <f>IF(J2757&lt;&gt;1,"",IF(I2757="SBJ","CB","?"))</f>
        <v> </v>
      </c>
      <c r="I2757" s="25" t="str">
        <f>IF(OR(E2757="",E2757="!!!",F2757="NEW"),"",INDEX(B2756:B$2,-1+SUMPRODUCT(MAX(ROW(E2756:E$2)*(E2757=E2756:E$2)))))</f>
        <v> </v>
      </c>
      <c r="J2757" s="25" t="str">
        <f>IF(OR(E2757="",E2757="!!!",F2757="NEW"),"",COUNTBLANK(OFFSET(A$1,,,SUMPRODUCT(MAX(ROW(E$2:E2757)*(E2757=E$2:E2757)))))-COUNTBLANK(OFFSET(A$1,,,SUMPRODUCT(MAX(ROW(E$1:E2756)*(E2=E$1:E2756))))))</f>
        <v> </v>
      </c>
      <c r="K2757" s="25" t="str">
        <f>IF(OR(E2757="",E2757="!!!",F2757="NEW"),"",INDEX(J$1:J2756,SUMPRODUCT(MAX(ROW(E$1:E2756)*(E2757=E$1:E2756)))))</f>
        <v> </v>
      </c>
      <c r="L2757" s="26"/>
    </row>
    <row r="2758" spans="1:12">
      <c r="A2758" s="20" t="s">
        <v>2009</v>
      </c>
      <c r="E2758" s="21">
        <f>IF(D2758="?OLD","!!!","")</f>
        <v/>
      </c>
      <c r="F2758" s="22" t="str">
        <f>IF(OR(E2758="",E2758="!!!"),"",IF(NOT(ISNA(VLOOKUP(E2758,E$1:E2757,1,FALSE()))),"OLD",IF(AND(E2758&lt;&gt;"",E2758&lt;&gt;"!!!"),"NEW","")))</f>
        <v> </v>
      </c>
      <c r="G2758" s="23" t="str">
        <f>IF(OR(E2758="",E2758="!!!"),"",IF(OR(J2758=0,AND(J2758=1,K2758=1),AND(J2758=1,I2758="SBJ"),AND(J2758=1,I2758=0)),"?IN_FOCUS",IF(J2758&lt;=2,"?ACTIVATED",IF(J2758&lt;&gt;"","?FAMILIAR",IF(F2758="NEW",IF(ISNA(VLOOKUP(E2758,#REF!,1,FALSE())),"?TYPE_IDENTIFIABLE","?REFERENTIAL"),"_")))))</f>
        <v> </v>
      </c>
      <c r="H2758" s="24" t="str">
        <f>IF(J2758&lt;&gt;1,"",IF(I2758="SBJ","CB","?"))</f>
        <v> </v>
      </c>
      <c r="I2758" s="25" t="str">
        <f>IF(OR(E2758="",E2758="!!!",F2758="NEW"),"",INDEX(B2757:B$2,-1+SUMPRODUCT(MAX(ROW(E2757:E$2)*(E2758=E2757:E$2)))))</f>
        <v> </v>
      </c>
      <c r="J2758" s="25" t="str">
        <f>IF(OR(E2758="",E2758="!!!",F2758="NEW"),"",COUNTBLANK(OFFSET(A$1,,,SUMPRODUCT(MAX(ROW(E$2:E2758)*(E2758=E$2:E2758)))))-COUNTBLANK(OFFSET(A$1,,,SUMPRODUCT(MAX(ROW(E$1:E2757)*(E2=E$1:E2757))))))</f>
        <v> </v>
      </c>
      <c r="K2758" s="25" t="str">
        <f>IF(OR(E2758="",E2758="!!!",F2758="NEW"),"",INDEX(J$1:J2757,SUMPRODUCT(MAX(ROW(E$1:E2757)*(E2758=E$1:E2757)))))</f>
        <v> </v>
      </c>
      <c r="L2758" s="26"/>
    </row>
    <row r="2759" spans="1:12">
      <c r="A2759" s="20" t="s">
        <v>11</v>
      </c>
      <c r="E2759" s="21">
        <f>IF(D2759="?OLD","!!!","")</f>
        <v/>
      </c>
      <c r="F2759" s="22" t="str">
        <f>IF(OR(E2759="",E2759="!!!"),"",IF(NOT(ISNA(VLOOKUP(E2759,E$1:E2758,1,FALSE()))),"OLD",IF(AND(E2759&lt;&gt;"",E2759&lt;&gt;"!!!"),"NEW","")))</f>
        <v> </v>
      </c>
      <c r="G2759" s="23" t="str">
        <f>IF(OR(E2759="",E2759="!!!"),"",IF(OR(J2759=0,AND(J2759=1,K2759=1),AND(J2759=1,I2759="SBJ"),AND(J2759=1,I2759=0)),"?IN_FOCUS",IF(J2759&lt;=2,"?ACTIVATED",IF(J2759&lt;&gt;"","?FAMILIAR",IF(F2759="NEW",IF(ISNA(VLOOKUP(E2759,#REF!,1,FALSE())),"?TYPE_IDENTIFIABLE","?REFERENTIAL"),"_")))))</f>
        <v> </v>
      </c>
      <c r="H2759" s="24" t="str">
        <f>IF(J2759&lt;&gt;1,"",IF(I2759="SBJ","CB","?"))</f>
        <v> </v>
      </c>
      <c r="I2759" s="25" t="str">
        <f>IF(OR(E2759="",E2759="!!!",F2759="NEW"),"",INDEX(B2758:B$2,-1+SUMPRODUCT(MAX(ROW(E2758:E$2)*(E2759=E2758:E$2)))))</f>
        <v> </v>
      </c>
      <c r="J2759" s="25" t="str">
        <f>IF(OR(E2759="",E2759="!!!",F2759="NEW"),"",COUNTBLANK(OFFSET(A$1,,,SUMPRODUCT(MAX(ROW(E$2:E2759)*(E2759=E$2:E2759)))))-COUNTBLANK(OFFSET(A$1,,,SUMPRODUCT(MAX(ROW(E$1:E2758)*(E2=E$1:E2758))))))</f>
        <v> </v>
      </c>
      <c r="K2759" s="25" t="str">
        <f>IF(OR(E2759="",E2759="!!!",F2759="NEW"),"",INDEX(J$1:J2758,SUMPRODUCT(MAX(ROW(E$1:E2758)*(E2759=E$1:E2758)))))</f>
        <v> </v>
      </c>
      <c r="L2759" s="26"/>
    </row>
    <row r="2760" spans="1:12">
      <c r="A2760" s="20" t="s">
        <v>1018</v>
      </c>
      <c r="E2760" s="21">
        <f>IF(D2760="?OLD","!!!","")</f>
        <v/>
      </c>
      <c r="F2760" s="22" t="str">
        <f>IF(OR(E2760="",E2760="!!!"),"",IF(NOT(ISNA(VLOOKUP(E2760,E$1:E2759,1,FALSE()))),"OLD",IF(AND(E2760&lt;&gt;"",E2760&lt;&gt;"!!!"),"NEW","")))</f>
        <v> </v>
      </c>
      <c r="G2760" s="23" t="str">
        <f>IF(OR(E2760="",E2760="!!!"),"",IF(OR(J2760=0,AND(J2760=1,K2760=1),AND(J2760=1,I2760="SBJ"),AND(J2760=1,I2760=0)),"?IN_FOCUS",IF(J2760&lt;=2,"?ACTIVATED",IF(J2760&lt;&gt;"","?FAMILIAR",IF(F2760="NEW",IF(ISNA(VLOOKUP(E2760,#REF!,1,FALSE())),"?TYPE_IDENTIFIABLE","?REFERENTIAL"),"_")))))</f>
        <v> </v>
      </c>
      <c r="H2760" s="24" t="str">
        <f>IF(J2760&lt;&gt;1,"",IF(I2760="SBJ","CB","?"))</f>
        <v> </v>
      </c>
      <c r="I2760" s="25" t="str">
        <f>IF(OR(E2760="",E2760="!!!",F2760="NEW"),"",INDEX(B2759:B$2,-1+SUMPRODUCT(MAX(ROW(E2759:E$2)*(E2760=E2759:E$2)))))</f>
        <v> </v>
      </c>
      <c r="J2760" s="25" t="str">
        <f>IF(OR(E2760="",E2760="!!!",F2760="NEW"),"",COUNTBLANK(OFFSET(A$1,,,SUMPRODUCT(MAX(ROW(E$2:E2760)*(E2760=E$2:E2760)))))-COUNTBLANK(OFFSET(A$1,,,SUMPRODUCT(MAX(ROW(E$1:E2759)*(E2=E$1:E2759))))))</f>
        <v> </v>
      </c>
      <c r="K2760" s="25" t="str">
        <f>IF(OR(E2760="",E2760="!!!",F2760="NEW"),"",INDEX(J$1:J2759,SUMPRODUCT(MAX(ROW(E$1:E2759)*(E2760=E$1:E2759)))))</f>
        <v> </v>
      </c>
      <c r="L2760" s="26"/>
    </row>
    <row r="2761" spans="1:12">
      <c r="A2761" s="20" t="s">
        <v>2008</v>
      </c>
      <c r="B2761" s="27" t="s">
        <v>1079</v>
      </c>
      <c r="C2761" s="27" t="s">
        <v>1021</v>
      </c>
      <c r="E2761" s="21">
        <f>IF(D2761="?OLD","!!!","")</f>
        <v/>
      </c>
      <c r="F2761" s="22" t="str">
        <f>IF(OR(E2761="",E2761="!!!"),"",IF(NOT(ISNA(VLOOKUP(E2761,E$1:E2760,1,FALSE()))),"OLD",IF(AND(E2761&lt;&gt;"",E2761&lt;&gt;"!!!"),"NEW","")))</f>
        <v> </v>
      </c>
      <c r="G2761" s="23" t="str">
        <f>IF(OR(E2761="",E2761="!!!"),"",IF(OR(J2761=0,AND(J2761=1,K2761=1),AND(J2761=1,I2761="SBJ"),AND(J2761=1,I2761=0)),"?IN_FOCUS",IF(J2761&lt;=2,"?ACTIVATED",IF(J2761&lt;&gt;"","?FAMILIAR",IF(F2761="NEW",IF(ISNA(VLOOKUP(E2761,#REF!,1,FALSE())),"?TYPE_IDENTIFIABLE","?REFERENTIAL"),"_")))))</f>
        <v> </v>
      </c>
      <c r="H2761" s="24" t="str">
        <f>IF(J2761&lt;&gt;1,"",IF(I2761="SBJ","CB","?"))</f>
        <v> </v>
      </c>
      <c r="I2761" s="25" t="str">
        <f>IF(OR(E2761="",E2761="!!!",F2761="NEW"),"",INDEX(B2760:B$2,-1+SUMPRODUCT(MAX(ROW(E2760:E$2)*(E2761=E2760:E$2)))))</f>
        <v> </v>
      </c>
      <c r="J2761" s="25" t="str">
        <f>IF(OR(E2761="",E2761="!!!",F2761="NEW"),"",COUNTBLANK(OFFSET(A$1,,,SUMPRODUCT(MAX(ROW(E$2:E2761)*(E2761=E$2:E2761)))))-COUNTBLANK(OFFSET(A$1,,,SUMPRODUCT(MAX(ROW(E$1:E2760)*(E2=E$1:E2760))))))</f>
        <v> </v>
      </c>
      <c r="K2761" s="25" t="str">
        <f>IF(OR(E2761="",E2761="!!!",F2761="NEW"),"",INDEX(J$1:J2760,SUMPRODUCT(MAX(ROW(E$1:E2760)*(E2761=E$1:E2760)))))</f>
        <v> </v>
      </c>
      <c r="L2761" s="26"/>
    </row>
    <row r="2762" spans="1:12">
      <c r="A2762" s="20" t="s">
        <v>1022</v>
      </c>
      <c r="E2762" s="21">
        <f>IF(D2762="?OLD","!!!","")</f>
        <v/>
      </c>
      <c r="F2762" s="22" t="str">
        <f>IF(OR(E2762="",E2762="!!!"),"",IF(NOT(ISNA(VLOOKUP(E2762,E$1:E2761,1,FALSE()))),"OLD",IF(AND(E2762&lt;&gt;"",E2762&lt;&gt;"!!!"),"NEW","")))</f>
        <v> </v>
      </c>
      <c r="G2762" s="23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4" t="str">
        <f>IF(J2762&lt;&gt;1,"",IF(I2762="SBJ","CB","?"))</f>
        <v> </v>
      </c>
      <c r="I2762" s="25" t="str">
        <f>IF(OR(E2762="",E2762="!!!",F2762="NEW"),"",INDEX(B2761:B$2,-1+SUMPRODUCT(MAX(ROW(E2761:E$2)*(E2762=E2761:E$2)))))</f>
        <v> </v>
      </c>
      <c r="J2762" s="25" t="str">
        <f>IF(OR(E2762="",E2762="!!!",F2762="NEW"),"",COUNTBLANK(OFFSET(A$1,,,SUMPRODUCT(MAX(ROW(E$2:E2762)*(E2762=E$2:E2762)))))-COUNTBLANK(OFFSET(A$1,,,SUMPRODUCT(MAX(ROW(E$1:E2761)*(E2=E$1:E2761))))))</f>
        <v> </v>
      </c>
      <c r="K2762" s="25" t="str">
        <f>IF(OR(E2762="",E2762="!!!",F2762="NEW"),"",INDEX(J$1:J2761,SUMPRODUCT(MAX(ROW(E$1:E2761)*(E2762=E$1:E2761)))))</f>
        <v> </v>
      </c>
      <c r="L2762" s="26"/>
    </row>
    <row r="2763" spans="1:12">
      <c r="A2763" s="20" t="s">
        <v>2010</v>
      </c>
      <c r="E2763" s="21">
        <f>IF(D2763="?OLD","!!!","")</f>
        <v/>
      </c>
      <c r="F2763" s="22" t="str">
        <f>IF(OR(E2763="",E2763="!!!"),"",IF(NOT(ISNA(VLOOKUP(E2763,E$1:E2762,1,FALSE()))),"OLD",IF(AND(E2763&lt;&gt;"",E2763&lt;&gt;"!!!"),"NEW","")))</f>
        <v> </v>
      </c>
      <c r="G2763" s="23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4" t="str">
        <f>IF(J2763&lt;&gt;1,"",IF(I2763="SBJ","CB","?"))</f>
        <v> </v>
      </c>
      <c r="I2763" s="25" t="str">
        <f>IF(OR(E2763="",E2763="!!!",F2763="NEW"),"",INDEX(B2762:B$2,-1+SUMPRODUCT(MAX(ROW(E2762:E$2)*(E2763=E2762:E$2)))))</f>
        <v> </v>
      </c>
      <c r="J2763" s="25" t="str">
        <f>IF(OR(E2763="",E2763="!!!",F2763="NEW"),"",COUNTBLANK(OFFSET(A$1,,,SUMPRODUCT(MAX(ROW(E$2:E2763)*(E2763=E$2:E2763)))))-COUNTBLANK(OFFSET(A$1,,,SUMPRODUCT(MAX(ROW(E$1:E2762)*(E2=E$1:E2762))))))</f>
        <v> </v>
      </c>
      <c r="K2763" s="25" t="str">
        <f>IF(OR(E2763="",E2763="!!!",F2763="NEW"),"",INDEX(J$1:J2762,SUMPRODUCT(MAX(ROW(E$1:E2762)*(E2763=E$1:E2762)))))</f>
        <v> </v>
      </c>
      <c r="L2763" s="26"/>
    </row>
    <row r="2764" spans="1:12">
      <c r="A2764" s="20" t="s">
        <v>11</v>
      </c>
      <c r="E2764" s="21">
        <f>IF(D2764="?OLD","!!!","")</f>
        <v/>
      </c>
      <c r="F2764" s="22" t="str">
        <f>IF(OR(E2764="",E2764="!!!"),"",IF(NOT(ISNA(VLOOKUP(E2764,E$1:E2763,1,FALSE()))),"OLD",IF(AND(E2764&lt;&gt;"",E2764&lt;&gt;"!!!"),"NEW","")))</f>
        <v> </v>
      </c>
      <c r="G2764" s="23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4" t="str">
        <f>IF(J2764&lt;&gt;1,"",IF(I2764="SBJ","CB","?"))</f>
        <v> </v>
      </c>
      <c r="I2764" s="25" t="str">
        <f>IF(OR(E2764="",E2764="!!!",F2764="NEW"),"",INDEX(B2763:B$2,-1+SUMPRODUCT(MAX(ROW(E2763:E$2)*(E2764=E2763:E$2)))))</f>
        <v> </v>
      </c>
      <c r="J2764" s="25" t="str">
        <f>IF(OR(E2764="",E2764="!!!",F2764="NEW"),"",COUNTBLANK(OFFSET(A$1,,,SUMPRODUCT(MAX(ROW(E$2:E2764)*(E2764=E$2:E2764)))))-COUNTBLANK(OFFSET(A$1,,,SUMPRODUCT(MAX(ROW(E$1:E2763)*(E2=E$1:E2763))))))</f>
        <v> </v>
      </c>
      <c r="K2764" s="25" t="str">
        <f>IF(OR(E2764="",E2764="!!!",F2764="NEW"),"",INDEX(J$1:J2763,SUMPRODUCT(MAX(ROW(E$1:E2763)*(E2764=E$1:E2763)))))</f>
        <v> </v>
      </c>
      <c r="L2764" s="26"/>
    </row>
    <row r="2765" spans="1:12">
      <c r="A2765" s="20" t="s">
        <v>1057</v>
      </c>
      <c r="E2765" s="21">
        <f>IF(D2765="?OLD","!!!","")</f>
        <v/>
      </c>
      <c r="F2765" s="22" t="str">
        <f>IF(OR(E2765="",E2765="!!!"),"",IF(NOT(ISNA(VLOOKUP(E2765,E$1:E2764,1,FALSE()))),"OLD",IF(AND(E2765&lt;&gt;"",E2765&lt;&gt;"!!!"),"NEW","")))</f>
        <v> </v>
      </c>
      <c r="G2765" s="23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4" t="str">
        <f>IF(J2765&lt;&gt;1,"",IF(I2765="SBJ","CB","?"))</f>
        <v> </v>
      </c>
      <c r="I2765" s="25" t="str">
        <f>IF(OR(E2765="",E2765="!!!",F2765="NEW"),"",INDEX(B2764:B$2,-1+SUMPRODUCT(MAX(ROW(E2764:E$2)*(E2765=E2764:E$2)))))</f>
        <v> </v>
      </c>
      <c r="J2765" s="25" t="str">
        <f>IF(OR(E2765="",E2765="!!!",F2765="NEW"),"",COUNTBLANK(OFFSET(A$1,,,SUMPRODUCT(MAX(ROW(E$2:E2765)*(E2765=E$2:E2765)))))-COUNTBLANK(OFFSET(A$1,,,SUMPRODUCT(MAX(ROW(E$1:E2764)*(E2=E$1:E2764))))))</f>
        <v> </v>
      </c>
      <c r="K2765" s="25" t="str">
        <f>IF(OR(E2765="",E2765="!!!",F2765="NEW"),"",INDEX(J$1:J2764,SUMPRODUCT(MAX(ROW(E$1:E2764)*(E2765=E$1:E2764)))))</f>
        <v> </v>
      </c>
      <c r="L2765" s="26"/>
    </row>
    <row r="2766" spans="1:12">
      <c r="A2766" s="20" t="s">
        <v>1089</v>
      </c>
      <c r="E2766" s="21">
        <f>IF(D2766="?OLD","!!!","")</f>
        <v/>
      </c>
      <c r="F2766" s="22" t="str">
        <f>IF(OR(E2766="",E2766="!!!"),"",IF(NOT(ISNA(VLOOKUP(E2766,E$1:E2765,1,FALSE()))),"OLD",IF(AND(E2766&lt;&gt;"",E2766&lt;&gt;"!!!"),"NEW","")))</f>
        <v> </v>
      </c>
      <c r="G2766" s="23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4" t="str">
        <f>IF(J2766&lt;&gt;1,"",IF(I2766="SBJ","CB","?"))</f>
        <v> </v>
      </c>
      <c r="I2766" s="25" t="str">
        <f>IF(OR(E2766="",E2766="!!!",F2766="NEW"),"",INDEX(B2765:B$2,-1+SUMPRODUCT(MAX(ROW(E2765:E$2)*(E2766=E2765:E$2)))))</f>
        <v> </v>
      </c>
      <c r="J2766" s="25" t="str">
        <f>IF(OR(E2766="",E2766="!!!",F2766="NEW"),"",COUNTBLANK(OFFSET(A$1,,,SUMPRODUCT(MAX(ROW(E$2:E2766)*(E2766=E$2:E2766)))))-COUNTBLANK(OFFSET(A$1,,,SUMPRODUCT(MAX(ROW(E$1:E2765)*(E2=E$1:E2765))))))</f>
        <v> </v>
      </c>
      <c r="K2766" s="25" t="str">
        <f>IF(OR(E2766="",E2766="!!!",F2766="NEW"),"",INDEX(J$1:J2765,SUMPRODUCT(MAX(ROW(E$1:E2765)*(E2766=E$1:E2765)))))</f>
        <v> </v>
      </c>
      <c r="L2766" s="26"/>
    </row>
    <row r="2767" spans="1:12">
      <c r="A2767" s="20" t="s">
        <v>1907</v>
      </c>
      <c r="E2767" s="21">
        <f>IF(D2767="?OLD","!!!","")</f>
        <v/>
      </c>
      <c r="F2767" s="22" t="str">
        <f>IF(OR(E2767="",E2767="!!!"),"",IF(NOT(ISNA(VLOOKUP(E2767,E$1:E2766,1,FALSE()))),"OLD",IF(AND(E2767&lt;&gt;"",E2767&lt;&gt;"!!!"),"NEW","")))</f>
        <v> </v>
      </c>
      <c r="G2767" s="23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4" t="str">
        <f>IF(J2767&lt;&gt;1,"",IF(I2767="SBJ","CB","?"))</f>
        <v> </v>
      </c>
      <c r="I2767" s="25" t="str">
        <f>IF(OR(E2767="",E2767="!!!",F2767="NEW"),"",INDEX(B2766:B$2,-1+SUMPRODUCT(MAX(ROW(E2766:E$2)*(E2767=E2766:E$2)))))</f>
        <v> </v>
      </c>
      <c r="J2767" s="25" t="str">
        <f>IF(OR(E2767="",E2767="!!!",F2767="NEW"),"",COUNTBLANK(OFFSET(A$1,,,SUMPRODUCT(MAX(ROW(E$2:E2767)*(E2767=E$2:E2767)))))-COUNTBLANK(OFFSET(A$1,,,SUMPRODUCT(MAX(ROW(E$1:E2766)*(E2=E$1:E2766))))))</f>
        <v> </v>
      </c>
      <c r="K2767" s="25" t="str">
        <f>IF(OR(E2767="",E2767="!!!",F2767="NEW"),"",INDEX(J$1:J2766,SUMPRODUCT(MAX(ROW(E$1:E2766)*(E2767=E$1:E2766)))))</f>
        <v> </v>
      </c>
      <c r="L2767" s="26"/>
    </row>
    <row r="2768" spans="1:12">
      <c r="A2768" s="20" t="s">
        <v>247</v>
      </c>
      <c r="B2768" s="27" t="s">
        <v>1098</v>
      </c>
      <c r="C2768" s="27" t="s">
        <v>1067</v>
      </c>
      <c r="E2768" s="21">
        <f>IF(D2768="?OLD","!!!","")</f>
        <v/>
      </c>
      <c r="F2768" s="22" t="str">
        <f>IF(OR(E2768="",E2768="!!!"),"",IF(NOT(ISNA(VLOOKUP(E2768,E$1:E2767,1,FALSE()))),"OLD",IF(AND(E2768&lt;&gt;"",E2768&lt;&gt;"!!!"),"NEW","")))</f>
        <v> </v>
      </c>
      <c r="G2768" s="23" t="str">
        <f>IF(OR(E2768="",E2768="!!!"),"",IF(OR(J2768=0,AND(J2768=1,K2768=1),AND(J2768=1,I2768="SBJ"),AND(J2768=1,I2768=0)),"?IN_FOCUS",IF(J2768&lt;=2,"?ACTIVATED",IF(J2768&lt;&gt;"","?FAMILIAR",IF(F2768="NEW",IF(ISNA(VLOOKUP(E2768,#REF!,1,FALSE())),"?TYPE_IDENTIFIABLE","?REFERENTIAL"),"_")))))</f>
        <v> </v>
      </c>
      <c r="H2768" s="24" t="str">
        <f>IF(J2768&lt;&gt;1,"",IF(I2768="SBJ","CB","?"))</f>
        <v> </v>
      </c>
      <c r="I2768" s="25" t="str">
        <f>IF(OR(E2768="",E2768="!!!",F2768="NEW"),"",INDEX(B2767:B$2,-1+SUMPRODUCT(MAX(ROW(E2767:E$2)*(E2768=E2767:E$2)))))</f>
        <v> </v>
      </c>
      <c r="J2768" s="25" t="str">
        <f>IF(OR(E2768="",E2768="!!!",F2768="NEW"),"",COUNTBLANK(OFFSET(A$1,,,SUMPRODUCT(MAX(ROW(E$2:E2768)*(E2768=E$2:E2768)))))-COUNTBLANK(OFFSET(A$1,,,SUMPRODUCT(MAX(ROW(E$1:E2767)*(E2=E$1:E2767))))))</f>
        <v> </v>
      </c>
      <c r="K2768" s="25" t="str">
        <f>IF(OR(E2768="",E2768="!!!",F2768="NEW"),"",INDEX(J$1:J2767,SUMPRODUCT(MAX(ROW(E$1:E2767)*(E2768=E$1:E2767)))))</f>
        <v> </v>
      </c>
      <c r="L2768" s="26"/>
    </row>
    <row r="2769" spans="1:12">
      <c r="A2769" s="20" t="s">
        <v>1108</v>
      </c>
      <c r="E2769" s="21">
        <f>IF(D2769="?OLD","!!!","")</f>
        <v/>
      </c>
      <c r="F2769" s="22" t="str">
        <f>IF(OR(E2769="",E2769="!!!"),"",IF(NOT(ISNA(VLOOKUP(E2769,E$1:E2768,1,FALSE()))),"OLD",IF(AND(E2769&lt;&gt;"",E2769&lt;&gt;"!!!"),"NEW","")))</f>
        <v> </v>
      </c>
      <c r="G2769" s="23" t="str">
        <f>IF(OR(E2769="",E2769="!!!"),"",IF(OR(J2769=0,AND(J2769=1,K2769=1),AND(J2769=1,I2769="SBJ"),AND(J2769=1,I2769=0)),"?IN_FOCUS",IF(J2769&lt;=2,"?ACTIVATED",IF(J2769&lt;&gt;"","?FAMILIAR",IF(F2769="NEW",IF(ISNA(VLOOKUP(E2769,#REF!,1,FALSE())),"?TYPE_IDENTIFIABLE","?REFERENTIAL"),"_")))))</f>
        <v> </v>
      </c>
      <c r="H2769" s="24" t="str">
        <f>IF(J2769&lt;&gt;1,"",IF(I2769="SBJ","CB","?"))</f>
        <v> </v>
      </c>
      <c r="I2769" s="25" t="str">
        <f>IF(OR(E2769="",E2769="!!!",F2769="NEW"),"",INDEX(B2768:B$2,-1+SUMPRODUCT(MAX(ROW(E2768:E$2)*(E2769=E2768:E$2)))))</f>
        <v> </v>
      </c>
      <c r="J2769" s="25" t="str">
        <f>IF(OR(E2769="",E2769="!!!",F2769="NEW"),"",COUNTBLANK(OFFSET(A$1,,,SUMPRODUCT(MAX(ROW(E$2:E2769)*(E2769=E$2:E2769)))))-COUNTBLANK(OFFSET(A$1,,,SUMPRODUCT(MAX(ROW(E$1:E2768)*(E2=E$1:E2768))))))</f>
        <v> </v>
      </c>
      <c r="K2769" s="25" t="str">
        <f>IF(OR(E2769="",E2769="!!!",F2769="NEW"),"",INDEX(J$1:J2768,SUMPRODUCT(MAX(ROW(E$1:E2768)*(E2769=E$1:E2768)))))</f>
        <v> </v>
      </c>
      <c r="L2769" s="26"/>
    </row>
    <row r="2770" spans="1:12">
      <c r="A2770" s="20" t="s">
        <v>1429</v>
      </c>
      <c r="E2770" s="21">
        <f>IF(D2770="?OLD","!!!","")</f>
        <v/>
      </c>
      <c r="F2770" s="22" t="str">
        <f>IF(OR(E2770="",E2770="!!!"),"",IF(NOT(ISNA(VLOOKUP(E2770,E$1:E2769,1,FALSE()))),"OLD",IF(AND(E2770&lt;&gt;"",E2770&lt;&gt;"!!!"),"NEW","")))</f>
        <v> </v>
      </c>
      <c r="G2770" s="23" t="str">
        <f>IF(OR(E2770="",E2770="!!!"),"",IF(OR(J2770=0,AND(J2770=1,K2770=1),AND(J2770=1,I2770="SBJ"),AND(J2770=1,I2770=0)),"?IN_FOCUS",IF(J2770&lt;=2,"?ACTIVATED",IF(J2770&lt;&gt;"","?FAMILIAR",IF(F2770="NEW",IF(ISNA(VLOOKUP(E2770,#REF!,1,FALSE())),"?TYPE_IDENTIFIABLE","?REFERENTIAL"),"_")))))</f>
        <v> </v>
      </c>
      <c r="H2770" s="24" t="str">
        <f>IF(J2770&lt;&gt;1,"",IF(I2770="SBJ","CB","?"))</f>
        <v> </v>
      </c>
      <c r="I2770" s="25" t="str">
        <f>IF(OR(E2770="",E2770="!!!",F2770="NEW"),"",INDEX(B2769:B$2,-1+SUMPRODUCT(MAX(ROW(E2769:E$2)*(E2770=E2769:E$2)))))</f>
        <v> </v>
      </c>
      <c r="J2770" s="25" t="str">
        <f>IF(OR(E2770="",E2770="!!!",F2770="NEW"),"",COUNTBLANK(OFFSET(A$1,,,SUMPRODUCT(MAX(ROW(E$2:E2770)*(E2770=E$2:E2770)))))-COUNTBLANK(OFFSET(A$1,,,SUMPRODUCT(MAX(ROW(E$1:E2769)*(E2=E$1:E2769))))))</f>
        <v> </v>
      </c>
      <c r="K2770" s="25" t="str">
        <f>IF(OR(E2770="",E2770="!!!",F2770="NEW"),"",INDEX(J$1:J2769,SUMPRODUCT(MAX(ROW(E$1:E2769)*(E2770=E$1:E2769)))))</f>
        <v> </v>
      </c>
      <c r="L2770" s="26"/>
    </row>
    <row r="2771" spans="1:12">
      <c r="A2771" s="20" t="s">
        <v>1049</v>
      </c>
      <c r="B2771" s="27" t="s">
        <v>1069</v>
      </c>
      <c r="C2771" s="27" t="s">
        <v>1050</v>
      </c>
      <c r="D2771" s="27" t="s">
        <v>1030</v>
      </c>
      <c r="E2771" s="21">
        <f>IF(D2771="?OLD","!!!","")</f>
        <v/>
      </c>
      <c r="F2771" s="22" t="str">
        <f>IF(OR(E2771="",E2771="!!!"),"",IF(NOT(ISNA(VLOOKUP(E2771,E$1:E2770,1,FALSE()))),"OLD",IF(AND(E2771&lt;&gt;"",E2771&lt;&gt;"!!!"),"NEW","")))</f>
        <v> </v>
      </c>
      <c r="G2771" s="23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4" t="str">
        <f>IF(J2771&lt;&gt;1,"",IF(I2771="SBJ","CB","?"))</f>
        <v> </v>
      </c>
      <c r="I2771" s="25" t="str">
        <f>IF(OR(E2771="",E2771="!!!",F2771="NEW"),"",INDEX(B2770:B$2,-1+SUMPRODUCT(MAX(ROW(E2770:E$2)*(E2771=E2770:E$2)))))</f>
        <v> </v>
      </c>
      <c r="J2771" s="25" t="str">
        <f>IF(OR(E2771="",E2771="!!!",F2771="NEW"),"",COUNTBLANK(OFFSET(A$1,,,SUMPRODUCT(MAX(ROW(E$2:E2771)*(E2771=E$2:E2771)))))-COUNTBLANK(OFFSET(A$1,,,SUMPRODUCT(MAX(ROW(E$1:E2770)*(E2=E$1:E2770))))))</f>
        <v> </v>
      </c>
      <c r="K2771" s="25" t="str">
        <f>IF(OR(E2771="",E2771="!!!",F2771="NEW"),"",INDEX(J$1:J2770,SUMPRODUCT(MAX(ROW(E$1:E2770)*(E2771=E$1:E2770)))))</f>
        <v> </v>
      </c>
      <c r="L2771" s="26"/>
    </row>
    <row r="2772" spans="1:12">
      <c r="A2772" s="20" t="s">
        <v>2000</v>
      </c>
      <c r="E2772" s="21">
        <f>IF(D2772="?OLD","!!!","")</f>
        <v/>
      </c>
      <c r="F2772" s="22" t="str">
        <f>IF(OR(E2772="",E2772="!!!"),"",IF(NOT(ISNA(VLOOKUP(E2772,E$1:E2771,1,FALSE()))),"OLD",IF(AND(E2772&lt;&gt;"",E2772&lt;&gt;"!!!"),"NEW","")))</f>
        <v> </v>
      </c>
      <c r="G2772" s="23" t="str">
        <f>IF(OR(E2772="",E2772="!!!"),"",IF(OR(J2772=0,AND(J2772=1,K2772=1),AND(J2772=1,I2772="SBJ"),AND(J2772=1,I2772=0)),"?IN_FOCUS",IF(J2772&lt;=2,"?ACTIVATED",IF(J2772&lt;&gt;"","?FAMILIAR",IF(F2772="NEW",IF(ISNA(VLOOKUP(E2772,#REF!,1,FALSE())),"?TYPE_IDENTIFIABLE","?REFERENTIAL"),"_")))))</f>
        <v> </v>
      </c>
      <c r="H2772" s="24" t="str">
        <f>IF(J2772&lt;&gt;1,"",IF(I2772="SBJ","CB","?"))</f>
        <v> </v>
      </c>
      <c r="I2772" s="25" t="str">
        <f>IF(OR(E2772="",E2772="!!!",F2772="NEW"),"",INDEX(B2771:B$2,-1+SUMPRODUCT(MAX(ROW(E2771:E$2)*(E2772=E2771:E$2)))))</f>
        <v> </v>
      </c>
      <c r="J2772" s="25" t="str">
        <f>IF(OR(E2772="",E2772="!!!",F2772="NEW"),"",COUNTBLANK(OFFSET(A$1,,,SUMPRODUCT(MAX(ROW(E$2:E2772)*(E2772=E$2:E2772)))))-COUNTBLANK(OFFSET(A$1,,,SUMPRODUCT(MAX(ROW(E$1:E2771)*(E2=E$1:E2771))))))</f>
        <v> </v>
      </c>
      <c r="K2772" s="25" t="str">
        <f>IF(OR(E2772="",E2772="!!!",F2772="NEW"),"",INDEX(J$1:J2771,SUMPRODUCT(MAX(ROW(E$1:E2771)*(E2772=E$1:E2771)))))</f>
        <v> </v>
      </c>
      <c r="L2772" s="26"/>
    </row>
    <row r="2773" spans="1:12">
      <c r="A2773" s="20" t="s">
        <v>1222</v>
      </c>
      <c r="B2773" s="27" t="s">
        <v>1069</v>
      </c>
      <c r="C2773" s="27" t="s">
        <v>1029</v>
      </c>
      <c r="D2773" s="27" t="s">
        <v>1030</v>
      </c>
      <c r="E2773" s="21">
        <f>IF(D2773="?OLD","!!!","")</f>
        <v/>
      </c>
      <c r="F2773" s="22" t="str">
        <f>IF(OR(E2773="",E2773="!!!"),"",IF(NOT(ISNA(VLOOKUP(E2773,E$1:E2772,1,FALSE()))),"OLD",IF(AND(E2773&lt;&gt;"",E2773&lt;&gt;"!!!"),"NEW","")))</f>
        <v> </v>
      </c>
      <c r="G2773" s="23" t="str">
        <f>IF(OR(E2773="",E2773="!!!"),"",IF(OR(J2773=0,AND(J2773=1,K2773=1),AND(J2773=1,I2773="SBJ"),AND(J2773=1,I2773=0)),"?IN_FOCUS",IF(J2773&lt;=2,"?ACTIVATED",IF(J2773&lt;&gt;"","?FAMILIAR",IF(F2773="NEW",IF(ISNA(VLOOKUP(E2773,#REF!,1,FALSE())),"?TYPE_IDENTIFIABLE","?REFERENTIAL"),"_")))))</f>
        <v> </v>
      </c>
      <c r="H2773" s="24" t="str">
        <f>IF(J2773&lt;&gt;1,"",IF(I2773="SBJ","CB","?"))</f>
        <v> </v>
      </c>
      <c r="I2773" s="25" t="str">
        <f>IF(OR(E2773="",E2773="!!!",F2773="NEW"),"",INDEX(B2772:B$2,-1+SUMPRODUCT(MAX(ROW(E2772:E$2)*(E2773=E2772:E$2)))))</f>
        <v> </v>
      </c>
      <c r="J2773" s="25" t="str">
        <f>IF(OR(E2773="",E2773="!!!",F2773="NEW"),"",COUNTBLANK(OFFSET(A$1,,,SUMPRODUCT(MAX(ROW(E$2:E2773)*(E2773=E$2:E2773)))))-COUNTBLANK(OFFSET(A$1,,,SUMPRODUCT(MAX(ROW(E$1:E2772)*(E2=E$1:E2772))))))</f>
        <v> </v>
      </c>
      <c r="K2773" s="25" t="str">
        <f>IF(OR(E2773="",E2773="!!!",F2773="NEW"),"",INDEX(J$1:J2772,SUMPRODUCT(MAX(ROW(E$1:E2772)*(E2773=E$1:E2772)))))</f>
        <v> </v>
      </c>
      <c r="L2773" s="26"/>
    </row>
    <row r="2774" spans="1:12">
      <c r="A2774" s="20" t="s">
        <v>1016</v>
      </c>
      <c r="E2774" s="21">
        <f>IF(D2774="?OLD","!!!","")</f>
        <v/>
      </c>
      <c r="F2774" s="22" t="str">
        <f>IF(OR(E2774="",E2774="!!!"),"",IF(NOT(ISNA(VLOOKUP(E2774,E$1:E2773,1,FALSE()))),"OLD",IF(AND(E2774&lt;&gt;"",E2774&lt;&gt;"!!!"),"NEW","")))</f>
        <v> </v>
      </c>
      <c r="G2774" s="23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4" t="str">
        <f>IF(J2774&lt;&gt;1,"",IF(I2774="SBJ","CB","?"))</f>
        <v> </v>
      </c>
      <c r="I2774" s="25" t="str">
        <f>IF(OR(E2774="",E2774="!!!",F2774="NEW"),"",INDEX(B2773:B$2,-1+SUMPRODUCT(MAX(ROW(E2773:E$2)*(E2774=E2773:E$2)))))</f>
        <v> </v>
      </c>
      <c r="J2774" s="25" t="str">
        <f>IF(OR(E2774="",E2774="!!!",F2774="NEW"),"",COUNTBLANK(OFFSET(A$1,,,SUMPRODUCT(MAX(ROW(E$2:E2774)*(E2774=E$2:E2774)))))-COUNTBLANK(OFFSET(A$1,,,SUMPRODUCT(MAX(ROW(E$1:E2773)*(E2=E$1:E2773))))))</f>
        <v> </v>
      </c>
      <c r="K2774" s="25" t="str">
        <f>IF(OR(E2774="",E2774="!!!",F2774="NEW"),"",INDEX(J$1:J2773,SUMPRODUCT(MAX(ROW(E$1:E2773)*(E2774=E$1:E2773)))))</f>
        <v> </v>
      </c>
      <c r="L2774" s="26"/>
    </row>
    <row r="2775" spans="1:12">
      <c r="A2775" s="20" t="s">
        <v>1949</v>
      </c>
      <c r="B2775" s="27" t="s">
        <v>1066</v>
      </c>
      <c r="C2775" s="27" t="s">
        <v>1015</v>
      </c>
      <c r="E2775" s="21">
        <f>IF(D2775="?OLD","!!!","")</f>
        <v/>
      </c>
      <c r="F2775" s="22" t="str">
        <f>IF(OR(E2775="",E2775="!!!"),"",IF(NOT(ISNA(VLOOKUP(E2775,E$1:E2774,1,FALSE()))),"OLD",IF(AND(E2775&lt;&gt;"",E2775&lt;&gt;"!!!"),"NEW","")))</f>
        <v> </v>
      </c>
      <c r="G2775" s="23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4" t="str">
        <f>IF(J2775&lt;&gt;1,"",IF(I2775="SBJ","CB","?"))</f>
        <v> </v>
      </c>
      <c r="I2775" s="25" t="str">
        <f>IF(OR(E2775="",E2775="!!!",F2775="NEW"),"",INDEX(B2774:B$2,-1+SUMPRODUCT(MAX(ROW(E2774:E$2)*(E2775=E2774:E$2)))))</f>
        <v> </v>
      </c>
      <c r="J2775" s="25" t="str">
        <f>IF(OR(E2775="",E2775="!!!",F2775="NEW"),"",COUNTBLANK(OFFSET(A$1,,,SUMPRODUCT(MAX(ROW(E$2:E2775)*(E2775=E$2:E2775)))))-COUNTBLANK(OFFSET(A$1,,,SUMPRODUCT(MAX(ROW(E$1:E2774)*(E2=E$1:E2774))))))</f>
        <v> </v>
      </c>
      <c r="K2775" s="25" t="str">
        <f>IF(OR(E2775="",E2775="!!!",F2775="NEW"),"",INDEX(J$1:J2774,SUMPRODUCT(MAX(ROW(E$1:E2774)*(E2775=E$1:E2774)))))</f>
        <v> </v>
      </c>
      <c r="L2775" s="26"/>
    </row>
    <row r="2776" spans="1:12">
      <c r="A2776" s="20" t="s">
        <v>1022</v>
      </c>
      <c r="E2776" s="21">
        <f>IF(D2776="?OLD","!!!","")</f>
        <v/>
      </c>
      <c r="F2776" s="22" t="str">
        <f>IF(OR(E2776="",E2776="!!!"),"",IF(NOT(ISNA(VLOOKUP(E2776,E$1:E2775,1,FALSE()))),"OLD",IF(AND(E2776&lt;&gt;"",E2776&lt;&gt;"!!!"),"NEW","")))</f>
        <v> </v>
      </c>
      <c r="G2776" s="23" t="str">
        <f>IF(OR(E2776="",E2776="!!!"),"",IF(OR(J2776=0,AND(J2776=1,K2776=1),AND(J2776=1,I2776="SBJ"),AND(J2776=1,I2776=0)),"?IN_FOCUS",IF(J2776&lt;=2,"?ACTIVATED",IF(J2776&lt;&gt;"","?FAMILIAR",IF(F2776="NEW",IF(ISNA(VLOOKUP(E2776,#REF!,1,FALSE())),"?TYPE_IDENTIFIABLE","?REFERENTIAL"),"_")))))</f>
        <v> </v>
      </c>
      <c r="H2776" s="24" t="str">
        <f>IF(J2776&lt;&gt;1,"",IF(I2776="SBJ","CB","?"))</f>
        <v> </v>
      </c>
      <c r="I2776" s="25" t="str">
        <f>IF(OR(E2776="",E2776="!!!",F2776="NEW"),"",INDEX(B2775:B$2,-1+SUMPRODUCT(MAX(ROW(E2775:E$2)*(E2776=E2775:E$2)))))</f>
        <v> </v>
      </c>
      <c r="J2776" s="25" t="str">
        <f>IF(OR(E2776="",E2776="!!!",F2776="NEW"),"",COUNTBLANK(OFFSET(A$1,,,SUMPRODUCT(MAX(ROW(E$2:E2776)*(E2776=E$2:E2776)))))-COUNTBLANK(OFFSET(A$1,,,SUMPRODUCT(MAX(ROW(E$1:E2775)*(E2=E$1:E2775))))))</f>
        <v> </v>
      </c>
      <c r="K2776" s="25" t="str">
        <f>IF(OR(E2776="",E2776="!!!",F2776="NEW"),"",INDEX(J$1:J2775,SUMPRODUCT(MAX(ROW(E$1:E2775)*(E2776=E$1:E2775)))))</f>
        <v> </v>
      </c>
      <c r="L2776" s="26"/>
    </row>
    <row r="2777" spans="1:12">
      <c r="A2777" s="20" t="s">
        <v>1313</v>
      </c>
      <c r="E2777" s="21">
        <f>IF(D2777="?OLD","!!!","")</f>
        <v/>
      </c>
      <c r="F2777" s="22" t="str">
        <f>IF(OR(E2777="",E2777="!!!"),"",IF(NOT(ISNA(VLOOKUP(E2777,E$1:E2776,1,FALSE()))),"OLD",IF(AND(E2777&lt;&gt;"",E2777&lt;&gt;"!!!"),"NEW","")))</f>
        <v> </v>
      </c>
      <c r="G2777" s="23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4" t="str">
        <f>IF(J2777&lt;&gt;1,"",IF(I2777="SBJ","CB","?"))</f>
        <v> </v>
      </c>
      <c r="I2777" s="25" t="str">
        <f>IF(OR(E2777="",E2777="!!!",F2777="NEW"),"",INDEX(B2776:B$2,-1+SUMPRODUCT(MAX(ROW(E2776:E$2)*(E2777=E2776:E$2)))))</f>
        <v> </v>
      </c>
      <c r="J2777" s="25" t="str">
        <f>IF(OR(E2777="",E2777="!!!",F2777="NEW"),"",COUNTBLANK(OFFSET(A$1,,,SUMPRODUCT(MAX(ROW(E$2:E2777)*(E2777=E$2:E2777)))))-COUNTBLANK(OFFSET(A$1,,,SUMPRODUCT(MAX(ROW(E$1:E2776)*(E2=E$1:E2776))))))</f>
        <v> </v>
      </c>
      <c r="K2777" s="25" t="str">
        <f>IF(OR(E2777="",E2777="!!!",F2777="NEW"),"",INDEX(J$1:J2776,SUMPRODUCT(MAX(ROW(E$1:E2776)*(E2777=E$1:E2776)))))</f>
        <v> </v>
      </c>
      <c r="L2777" s="26"/>
    </row>
    <row r="2778" spans="1:12">
      <c r="A2778" s="20" t="s">
        <v>1034</v>
      </c>
      <c r="E2778" s="21">
        <f>IF(D2778="?OLD","!!!","")</f>
        <v/>
      </c>
      <c r="F2778" s="22" t="str">
        <f>IF(OR(E2778="",E2778="!!!"),"",IF(NOT(ISNA(VLOOKUP(E2778,E$1:E2777,1,FALSE()))),"OLD",IF(AND(E2778&lt;&gt;"",E2778&lt;&gt;"!!!"),"NEW","")))</f>
        <v> </v>
      </c>
      <c r="G2778" s="23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4" t="str">
        <f>IF(J2778&lt;&gt;1,"",IF(I2778="SBJ","CB","?"))</f>
        <v> </v>
      </c>
      <c r="I2778" s="25" t="str">
        <f>IF(OR(E2778="",E2778="!!!",F2778="NEW"),"",INDEX(B2777:B$2,-1+SUMPRODUCT(MAX(ROW(E2777:E$2)*(E2778=E2777:E$2)))))</f>
        <v> </v>
      </c>
      <c r="J2778" s="25" t="str">
        <f>IF(OR(E2778="",E2778="!!!",F2778="NEW"),"",COUNTBLANK(OFFSET(A$1,,,SUMPRODUCT(MAX(ROW(E$2:E2778)*(E2778=E$2:E2778)))))-COUNTBLANK(OFFSET(A$1,,,SUMPRODUCT(MAX(ROW(E$1:E2777)*(E2=E$1:E2777))))))</f>
        <v> </v>
      </c>
      <c r="K2778" s="25" t="str">
        <f>IF(OR(E2778="",E2778="!!!",F2778="NEW"),"",INDEX(J$1:J2777,SUMPRODUCT(MAX(ROW(E$1:E2777)*(E2778=E$1:E2777)))))</f>
        <v> </v>
      </c>
      <c r="L2778" s="26"/>
    </row>
    <row r="2779" spans="1:12">
      <c r="A2779" s="20" t="s">
        <v>1018</v>
      </c>
      <c r="E2779" s="21">
        <f>IF(D2779="?OLD","!!!","")</f>
        <v/>
      </c>
      <c r="F2779" s="22" t="str">
        <f>IF(OR(E2779="",E2779="!!!"),"",IF(NOT(ISNA(VLOOKUP(E2779,E$1:E2778,1,FALSE()))),"OLD",IF(AND(E2779&lt;&gt;"",E2779&lt;&gt;"!!!"),"NEW","")))</f>
        <v> </v>
      </c>
      <c r="G2779" s="23" t="str">
        <f>IF(OR(E2779="",E2779="!!!"),"",IF(OR(J2779=0,AND(J2779=1,K2779=1),AND(J2779=1,I2779="SBJ"),AND(J2779=1,I2779=0)),"?IN_FOCUS",IF(J2779&lt;=2,"?ACTIVATED",IF(J2779&lt;&gt;"","?FAMILIAR",IF(F2779="NEW",IF(ISNA(VLOOKUP(E2779,#REF!,1,FALSE())),"?TYPE_IDENTIFIABLE","?REFERENTIAL"),"_")))))</f>
        <v> </v>
      </c>
      <c r="H2779" s="24" t="str">
        <f>IF(J2779&lt;&gt;1,"",IF(I2779="SBJ","CB","?"))</f>
        <v> </v>
      </c>
      <c r="I2779" s="25" t="str">
        <f>IF(OR(E2779="",E2779="!!!",F2779="NEW"),"",INDEX(B2778:B$2,-1+SUMPRODUCT(MAX(ROW(E2778:E$2)*(E2779=E2778:E$2)))))</f>
        <v> </v>
      </c>
      <c r="J2779" s="25" t="str">
        <f>IF(OR(E2779="",E2779="!!!",F2779="NEW"),"",COUNTBLANK(OFFSET(A$1,,,SUMPRODUCT(MAX(ROW(E$2:E2779)*(E2779=E$2:E2779)))))-COUNTBLANK(OFFSET(A$1,,,SUMPRODUCT(MAX(ROW(E$1:E2778)*(E2=E$1:E2778))))))</f>
        <v> </v>
      </c>
      <c r="K2779" s="25" t="str">
        <f>IF(OR(E2779="",E2779="!!!",F2779="NEW"),"",INDEX(J$1:J2778,SUMPRODUCT(MAX(ROW(E$1:E2778)*(E2779=E$1:E2778)))))</f>
        <v> </v>
      </c>
      <c r="L2779" s="26"/>
    </row>
    <row r="2780" spans="1:12">
      <c r="A2780" s="20" t="s">
        <v>2008</v>
      </c>
      <c r="B2780" s="27" t="s">
        <v>1079</v>
      </c>
      <c r="C2780" s="27" t="s">
        <v>1021</v>
      </c>
      <c r="E2780" s="21">
        <f>IF(D2780="?OLD","!!!","")</f>
        <v/>
      </c>
      <c r="F2780" s="22" t="str">
        <f>IF(OR(E2780="",E2780="!!!"),"",IF(NOT(ISNA(VLOOKUP(E2780,E$1:E2779,1,FALSE()))),"OLD",IF(AND(E2780&lt;&gt;"",E2780&lt;&gt;"!!!"),"NEW","")))</f>
        <v> </v>
      </c>
      <c r="G2780" s="23" t="str">
        <f>IF(OR(E2780="",E2780="!!!"),"",IF(OR(J2780=0,AND(J2780=1,K2780=1),AND(J2780=1,I2780="SBJ"),AND(J2780=1,I2780=0)),"?IN_FOCUS",IF(J2780&lt;=2,"?ACTIVATED",IF(J2780&lt;&gt;"","?FAMILIAR",IF(F2780="NEW",IF(ISNA(VLOOKUP(E2780,#REF!,1,FALSE())),"?TYPE_IDENTIFIABLE","?REFERENTIAL"),"_")))))</f>
        <v> </v>
      </c>
      <c r="H2780" s="24" t="str">
        <f>IF(J2780&lt;&gt;1,"",IF(I2780="SBJ","CB","?"))</f>
        <v> </v>
      </c>
      <c r="I2780" s="25" t="str">
        <f>IF(OR(E2780="",E2780="!!!",F2780="NEW"),"",INDEX(B2779:B$2,-1+SUMPRODUCT(MAX(ROW(E2779:E$2)*(E2780=E2779:E$2)))))</f>
        <v> </v>
      </c>
      <c r="J2780" s="25" t="str">
        <f>IF(OR(E2780="",E2780="!!!",F2780="NEW"),"",COUNTBLANK(OFFSET(A$1,,,SUMPRODUCT(MAX(ROW(E$2:E2780)*(E2780=E$2:E2780)))))-COUNTBLANK(OFFSET(A$1,,,SUMPRODUCT(MAX(ROW(E$1:E2779)*(E2=E$1:E2779))))))</f>
        <v> </v>
      </c>
      <c r="K2780" s="25" t="str">
        <f>IF(OR(E2780="",E2780="!!!",F2780="NEW"),"",INDEX(J$1:J2779,SUMPRODUCT(MAX(ROW(E$1:E2779)*(E2780=E$1:E2779)))))</f>
        <v> </v>
      </c>
      <c r="L2780" s="26"/>
    </row>
    <row r="2781" spans="1:12">
      <c r="A2781" s="20" t="s">
        <v>135</v>
      </c>
      <c r="E2781" s="21">
        <f>IF(D2781="?OLD","!!!","")</f>
        <v/>
      </c>
      <c r="F2781" s="22" t="str">
        <f>IF(OR(E2781="",E2781="!!!"),"",IF(NOT(ISNA(VLOOKUP(E2781,E$1:E2780,1,FALSE()))),"OLD",IF(AND(E2781&lt;&gt;"",E2781&lt;&gt;"!!!"),"NEW","")))</f>
        <v> </v>
      </c>
      <c r="G2781" s="23" t="str">
        <f>IF(OR(E2781="",E2781="!!!"),"",IF(OR(J2781=0,AND(J2781=1,K2781=1),AND(J2781=1,I2781="SBJ"),AND(J2781=1,I2781=0)),"?IN_FOCUS",IF(J2781&lt;=2,"?ACTIVATED",IF(J2781&lt;&gt;"","?FAMILIAR",IF(F2781="NEW",IF(ISNA(VLOOKUP(E2781,#REF!,1,FALSE())),"?TYPE_IDENTIFIABLE","?REFERENTIAL"),"_")))))</f>
        <v> </v>
      </c>
      <c r="H2781" s="24" t="str">
        <f>IF(J2781&lt;&gt;1,"",IF(I2781="SBJ","CB","?"))</f>
        <v> </v>
      </c>
      <c r="I2781" s="25" t="str">
        <f>IF(OR(E2781="",E2781="!!!",F2781="NEW"),"",INDEX(B2780:B$2,-1+SUMPRODUCT(MAX(ROW(E2780:E$2)*(E2781=E2780:E$2)))))</f>
        <v> </v>
      </c>
      <c r="J2781" s="25" t="str">
        <f>IF(OR(E2781="",E2781="!!!",F2781="NEW"),"",COUNTBLANK(OFFSET(A$1,,,SUMPRODUCT(MAX(ROW(E$2:E2781)*(E2781=E$2:E2781)))))-COUNTBLANK(OFFSET(A$1,,,SUMPRODUCT(MAX(ROW(E$1:E2780)*(E2=E$1:E2780))))))</f>
        <v> </v>
      </c>
      <c r="K2781" s="25" t="str">
        <f>IF(OR(E2781="",E2781="!!!",F2781="NEW"),"",INDEX(J$1:J2780,SUMPRODUCT(MAX(ROW(E$1:E2780)*(E2781=E$1:E2780)))))</f>
        <v> </v>
      </c>
      <c r="L2781" s="26"/>
    </row>
    <row r="2782" spans="1:12">
      <c r="A2782" s="20"/>
    </row>
    <row r="2783" spans="1:12">
      <c r="A2783" s="20" t="s">
        <v>2011</v>
      </c>
    </row>
    <row r="2784" spans="1:12">
      <c r="A2784" s="20" t="s">
        <v>1997</v>
      </c>
      <c r="E2784" s="21">
        <f>IF(D2784="?OLD","!!!","")</f>
        <v/>
      </c>
      <c r="F2784" s="22" t="str">
        <f>IF(OR(E2784="",E2784="!!!"),"",IF(NOT(ISNA(VLOOKUP(E2784,E$1:E2783,1,FALSE()))),"OLD",IF(AND(E2784&lt;&gt;"",E2784&lt;&gt;"!!!"),"NEW","")))</f>
        <v> </v>
      </c>
      <c r="G2784" s="23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4" t="str">
        <f>IF(J2784&lt;&gt;1,"",IF(I2784="SBJ","CB","?"))</f>
        <v> </v>
      </c>
      <c r="I2784" s="25" t="str">
        <f>IF(OR(E2784="",E2784="!!!",F2784="NEW"),"",INDEX(B2783:B$2,-1+SUMPRODUCT(MAX(ROW(E2783:E$2)*(E2784=E2783:E$2)))))</f>
        <v> </v>
      </c>
      <c r="J2784" s="25" t="str">
        <f>IF(OR(E2784="",E2784="!!!",F2784="NEW"),"",COUNTBLANK(OFFSET(A$1,,,SUMPRODUCT(MAX(ROW(E$2:E2784)*(E2784=E$2:E2784)))))-COUNTBLANK(OFFSET(A$1,,,SUMPRODUCT(MAX(ROW(E$1:E2783)*(E2=E$1:E2783))))))</f>
        <v> </v>
      </c>
      <c r="K2784" s="25" t="str">
        <f>IF(OR(E2784="",E2784="!!!",F2784="NEW"),"",INDEX(J$1:J2783,SUMPRODUCT(MAX(ROW(E$1:E2783)*(E2784=E$1:E2783)))))</f>
        <v> </v>
      </c>
      <c r="L2784" s="26"/>
    </row>
    <row r="2785" spans="1:12">
      <c r="A2785" s="20" t="s">
        <v>1018</v>
      </c>
      <c r="E2785" s="21">
        <f>IF(D2785="?OLD","!!!","")</f>
        <v/>
      </c>
      <c r="F2785" s="22" t="str">
        <f>IF(OR(E2785="",E2785="!!!"),"",IF(NOT(ISNA(VLOOKUP(E2785,E$1:E2784,1,FALSE()))),"OLD",IF(AND(E2785&lt;&gt;"",E2785&lt;&gt;"!!!"),"NEW","")))</f>
        <v> </v>
      </c>
      <c r="G2785" s="23" t="str">
        <f>IF(OR(E2785="",E2785="!!!"),"",IF(OR(J2785=0,AND(J2785=1,K2785=1),AND(J2785=1,I2785="SBJ"),AND(J2785=1,I2785=0)),"?IN_FOCUS",IF(J2785&lt;=2,"?ACTIVATED",IF(J2785&lt;&gt;"","?FAMILIAR",IF(F2785="NEW",IF(ISNA(VLOOKUP(E2785,#REF!,1,FALSE())),"?TYPE_IDENTIFIABLE","?REFERENTIAL"),"_")))))</f>
        <v> </v>
      </c>
      <c r="H2785" s="24" t="str">
        <f>IF(J2785&lt;&gt;1,"",IF(I2785="SBJ","CB","?"))</f>
        <v> </v>
      </c>
      <c r="I2785" s="25" t="str">
        <f>IF(OR(E2785="",E2785="!!!",F2785="NEW"),"",INDEX(B2784:B$2,-1+SUMPRODUCT(MAX(ROW(E2784:E$2)*(E2785=E2784:E$2)))))</f>
        <v> </v>
      </c>
      <c r="J2785" s="25" t="str">
        <f>IF(OR(E2785="",E2785="!!!",F2785="NEW"),"",COUNTBLANK(OFFSET(A$1,,,SUMPRODUCT(MAX(ROW(E$2:E2785)*(E2785=E$2:E2785)))))-COUNTBLANK(OFFSET(A$1,,,SUMPRODUCT(MAX(ROW(E$1:E2784)*(E2=E$1:E2784))))))</f>
        <v> </v>
      </c>
      <c r="K2785" s="25" t="str">
        <f>IF(OR(E2785="",E2785="!!!",F2785="NEW"),"",INDEX(J$1:J2784,SUMPRODUCT(MAX(ROW(E$1:E2784)*(E2785=E$1:E2784)))))</f>
        <v> </v>
      </c>
      <c r="L2785" s="26"/>
    </row>
    <row r="2786" spans="1:12">
      <c r="A2786" s="20" t="s">
        <v>247</v>
      </c>
      <c r="B2786" s="27" t="s">
        <v>1041</v>
      </c>
      <c r="C2786" s="27" t="s">
        <v>1021</v>
      </c>
      <c r="E2786" s="21">
        <f>IF(D2786="?OLD","!!!","")</f>
        <v/>
      </c>
      <c r="F2786" s="22" t="str">
        <f>IF(OR(E2786="",E2786="!!!"),"",IF(NOT(ISNA(VLOOKUP(E2786,E$1:E2785,1,FALSE()))),"OLD",IF(AND(E2786&lt;&gt;"",E2786&lt;&gt;"!!!"),"NEW","")))</f>
        <v> </v>
      </c>
      <c r="G2786" s="23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4" t="str">
        <f>IF(J2786&lt;&gt;1,"",IF(I2786="SBJ","CB","?"))</f>
        <v> </v>
      </c>
      <c r="I2786" s="25" t="str">
        <f>IF(OR(E2786="",E2786="!!!",F2786="NEW"),"",INDEX(B2785:B$2,-1+SUMPRODUCT(MAX(ROW(E2785:E$2)*(E2786=E2785:E$2)))))</f>
        <v> </v>
      </c>
      <c r="J2786" s="25" t="str">
        <f>IF(OR(E2786="",E2786="!!!",F2786="NEW"),"",COUNTBLANK(OFFSET(A$1,,,SUMPRODUCT(MAX(ROW(E$2:E2786)*(E2786=E$2:E2786)))))-COUNTBLANK(OFFSET(A$1,,,SUMPRODUCT(MAX(ROW(E$1:E2785)*(E2=E$1:E2785))))))</f>
        <v> </v>
      </c>
      <c r="K2786" s="25" t="str">
        <f>IF(OR(E2786="",E2786="!!!",F2786="NEW"),"",INDEX(J$1:J2785,SUMPRODUCT(MAX(ROW(E$1:E2785)*(E2786=E$1:E2785)))))</f>
        <v> </v>
      </c>
      <c r="L2786" s="26"/>
    </row>
    <row r="2787" spans="1:12">
      <c r="A2787" s="20" t="s">
        <v>1215</v>
      </c>
      <c r="E2787" s="21">
        <f>IF(D2787="?OLD","!!!","")</f>
        <v/>
      </c>
      <c r="F2787" s="22" t="str">
        <f>IF(OR(E2787="",E2787="!!!"),"",IF(NOT(ISNA(VLOOKUP(E2787,E$1:E2786,1,FALSE()))),"OLD",IF(AND(E2787&lt;&gt;"",E2787&lt;&gt;"!!!"),"NEW","")))</f>
        <v> </v>
      </c>
      <c r="G2787" s="23" t="str">
        <f>IF(OR(E2787="",E2787="!!!"),"",IF(OR(J2787=0,AND(J2787=1,K2787=1),AND(J2787=1,I2787="SBJ"),AND(J2787=1,I2787=0)),"?IN_FOCUS",IF(J2787&lt;=2,"?ACTIVATED",IF(J2787&lt;&gt;"","?FAMILIAR",IF(F2787="NEW",IF(ISNA(VLOOKUP(E2787,#REF!,1,FALSE())),"?TYPE_IDENTIFIABLE","?REFERENTIAL"),"_")))))</f>
        <v> </v>
      </c>
      <c r="H2787" s="24" t="str">
        <f>IF(J2787&lt;&gt;1,"",IF(I2787="SBJ","CB","?"))</f>
        <v> </v>
      </c>
      <c r="I2787" s="25" t="str">
        <f>IF(OR(E2787="",E2787="!!!",F2787="NEW"),"",INDEX(B2786:B$2,-1+SUMPRODUCT(MAX(ROW(E2786:E$2)*(E2787=E2786:E$2)))))</f>
        <v> </v>
      </c>
      <c r="J2787" s="25" t="str">
        <f>IF(OR(E2787="",E2787="!!!",F2787="NEW"),"",COUNTBLANK(OFFSET(A$1,,,SUMPRODUCT(MAX(ROW(E$2:E2787)*(E2787=E$2:E2787)))))-COUNTBLANK(OFFSET(A$1,,,SUMPRODUCT(MAX(ROW(E$1:E2786)*(E2=E$1:E2786))))))</f>
        <v> </v>
      </c>
      <c r="K2787" s="25" t="str">
        <f>IF(OR(E2787="",E2787="!!!",F2787="NEW"),"",INDEX(J$1:J2786,SUMPRODUCT(MAX(ROW(E$1:E2786)*(E2787=E$1:E2786)))))</f>
        <v> </v>
      </c>
      <c r="L2787" s="26"/>
    </row>
    <row r="2788" spans="1:12">
      <c r="A2788" s="20"/>
    </row>
    <row r="2789" spans="1:12">
      <c r="A2789" s="20" t="s">
        <v>1090</v>
      </c>
      <c r="E2789" s="21">
        <f>IF(D2789="?OLD","!!!","")</f>
        <v/>
      </c>
      <c r="F2789" s="22" t="str">
        <f>IF(OR(E2789="",E2789="!!!"),"",IF(NOT(ISNA(VLOOKUP(E2789,E$1:E2788,1,FALSE()))),"OLD",IF(AND(E2789&lt;&gt;"",E2789&lt;&gt;"!!!"),"NEW","")))</f>
        <v> </v>
      </c>
      <c r="G2789" s="23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4" t="str">
        <f>IF(J2789&lt;&gt;1,"",IF(I2789="SBJ","CB","?"))</f>
        <v> </v>
      </c>
      <c r="I2789" s="25" t="str">
        <f>IF(OR(E2789="",E2789="!!!",F2789="NEW"),"",INDEX(B2788:B$2,-1+SUMPRODUCT(MAX(ROW(E2788:E$2)*(E2789=E2788:E$2)))))</f>
        <v> </v>
      </c>
      <c r="J2789" s="25" t="str">
        <f>IF(OR(E2789="",E2789="!!!",F2789="NEW"),"",COUNTBLANK(OFFSET(A$1,,,SUMPRODUCT(MAX(ROW(E$2:E2789)*(E2789=E$2:E2789)))))-COUNTBLANK(OFFSET(A$1,,,SUMPRODUCT(MAX(ROW(E$1:E2788)*(E2=E$1:E2788))))))</f>
        <v> </v>
      </c>
      <c r="K2789" s="25" t="str">
        <f>IF(OR(E2789="",E2789="!!!",F2789="NEW"),"",INDEX(J$1:J2788,SUMPRODUCT(MAX(ROW(E$1:E2788)*(E2789=E$1:E2788)))))</f>
        <v> </v>
      </c>
      <c r="L2789" s="26"/>
    </row>
    <row r="2790" spans="1:12">
      <c r="A2790" s="20" t="s">
        <v>2012</v>
      </c>
    </row>
    <row r="2791" spans="1:12">
      <c r="A2791" s="20" t="s">
        <v>1811</v>
      </c>
      <c r="E2791" s="21">
        <f>IF(D2791="?OLD","!!!","")</f>
        <v/>
      </c>
      <c r="F2791" s="22" t="str">
        <f>IF(OR(E2791="",E2791="!!!"),"",IF(NOT(ISNA(VLOOKUP(E2791,E$1:E2790,1,FALSE()))),"OLD",IF(AND(E2791&lt;&gt;"",E2791&lt;&gt;"!!!"),"NEW","")))</f>
        <v> </v>
      </c>
      <c r="G2791" s="23" t="str">
        <f>IF(OR(E2791="",E2791="!!!"),"",IF(OR(J2791=0,AND(J2791=1,K2791=1),AND(J2791=1,I2791="SBJ"),AND(J2791=1,I2791=0)),"?IN_FOCUS",IF(J2791&lt;=2,"?ACTIVATED",IF(J2791&lt;&gt;"","?FAMILIAR",IF(F2791="NEW",IF(ISNA(VLOOKUP(E2791,#REF!,1,FALSE())),"?TYPE_IDENTIFIABLE","?REFERENTIAL"),"_")))))</f>
        <v> </v>
      </c>
      <c r="H2791" s="24" t="str">
        <f>IF(J2791&lt;&gt;1,"",IF(I2791="SBJ","CB","?"))</f>
        <v> </v>
      </c>
      <c r="I2791" s="25" t="str">
        <f>IF(OR(E2791="",E2791="!!!",F2791="NEW"),"",INDEX(B2790:B$2,-1+SUMPRODUCT(MAX(ROW(E2790:E$2)*(E2791=E2790:E$2)))))</f>
        <v> </v>
      </c>
      <c r="J2791" s="25" t="str">
        <f>IF(OR(E2791="",E2791="!!!",F2791="NEW"),"",COUNTBLANK(OFFSET(A$1,,,SUMPRODUCT(MAX(ROW(E$2:E2791)*(E2791=E$2:E2791)))))-COUNTBLANK(OFFSET(A$1,,,SUMPRODUCT(MAX(ROW(E$1:E2790)*(E2=E$1:E2790))))))</f>
        <v> </v>
      </c>
      <c r="K2791" s="25" t="str">
        <f>IF(OR(E2791="",E2791="!!!",F2791="NEW"),"",INDEX(J$1:J2790,SUMPRODUCT(MAX(ROW(E$1:E2790)*(E2791=E$1:E2790)))))</f>
        <v> </v>
      </c>
      <c r="L2791" s="26"/>
    </row>
    <row r="2792" spans="1:12">
      <c r="A2792" s="20" t="s">
        <v>2013</v>
      </c>
      <c r="E2792" s="21">
        <f>IF(D2792="?OLD","!!!","")</f>
        <v/>
      </c>
      <c r="F2792" s="22" t="str">
        <f>IF(OR(E2792="",E2792="!!!"),"",IF(NOT(ISNA(VLOOKUP(E2792,E$1:E2791,1,FALSE()))),"OLD",IF(AND(E2792&lt;&gt;"",E2792&lt;&gt;"!!!"),"NEW","")))</f>
        <v> </v>
      </c>
      <c r="G2792" s="23" t="str">
        <f>IF(OR(E2792="",E2792="!!!"),"",IF(OR(J2792=0,AND(J2792=1,K2792=1),AND(J2792=1,I2792="SBJ"),AND(J2792=1,I2792=0)),"?IN_FOCUS",IF(J2792&lt;=2,"?ACTIVATED",IF(J2792&lt;&gt;"","?FAMILIAR",IF(F2792="NEW",IF(ISNA(VLOOKUP(E2792,#REF!,1,FALSE())),"?TYPE_IDENTIFIABLE","?REFERENTIAL"),"_")))))</f>
        <v> </v>
      </c>
      <c r="H2792" s="24" t="str">
        <f>IF(J2792&lt;&gt;1,"",IF(I2792="SBJ","CB","?"))</f>
        <v> </v>
      </c>
      <c r="I2792" s="25" t="str">
        <f>IF(OR(E2792="",E2792="!!!",F2792="NEW"),"",INDEX(B2791:B$2,-1+SUMPRODUCT(MAX(ROW(E2791:E$2)*(E2792=E2791:E$2)))))</f>
        <v> </v>
      </c>
      <c r="J2792" s="25" t="str">
        <f>IF(OR(E2792="",E2792="!!!",F2792="NEW"),"",COUNTBLANK(OFFSET(A$1,,,SUMPRODUCT(MAX(ROW(E$2:E2792)*(E2792=E$2:E2792)))))-COUNTBLANK(OFFSET(A$1,,,SUMPRODUCT(MAX(ROW(E$1:E2791)*(E2=E$1:E2791))))))</f>
        <v> </v>
      </c>
      <c r="K2792" s="25" t="str">
        <f>IF(OR(E2792="",E2792="!!!",F2792="NEW"),"",INDEX(J$1:J2791,SUMPRODUCT(MAX(ROW(E$1:E2791)*(E2792=E$1:E2791)))))</f>
        <v> </v>
      </c>
      <c r="L2792" s="26"/>
    </row>
    <row r="2793" spans="1:12">
      <c r="A2793" s="20" t="s">
        <v>1517</v>
      </c>
      <c r="E2793" s="21">
        <f>IF(D2793="?OLD","!!!","")</f>
        <v/>
      </c>
      <c r="F2793" s="22" t="str">
        <f>IF(OR(E2793="",E2793="!!!"),"",IF(NOT(ISNA(VLOOKUP(E2793,E$1:E2792,1,FALSE()))),"OLD",IF(AND(E2793&lt;&gt;"",E2793&lt;&gt;"!!!"),"NEW","")))</f>
        <v> </v>
      </c>
      <c r="G2793" s="23" t="str">
        <f>IF(OR(E2793="",E2793="!!!"),"",IF(OR(J2793=0,AND(J2793=1,K2793=1),AND(J2793=1,I2793="SBJ"),AND(J2793=1,I2793=0)),"?IN_FOCUS",IF(J2793&lt;=2,"?ACTIVATED",IF(J2793&lt;&gt;"","?FAMILIAR",IF(F2793="NEW",IF(ISNA(VLOOKUP(E2793,#REF!,1,FALSE())),"?TYPE_IDENTIFIABLE","?REFERENTIAL"),"_")))))</f>
        <v> </v>
      </c>
      <c r="H2793" s="24" t="str">
        <f>IF(J2793&lt;&gt;1,"",IF(I2793="SBJ","CB","?"))</f>
        <v> </v>
      </c>
      <c r="I2793" s="25" t="str">
        <f>IF(OR(E2793="",E2793="!!!",F2793="NEW"),"",INDEX(B2792:B$2,-1+SUMPRODUCT(MAX(ROW(E2792:E$2)*(E2793=E2792:E$2)))))</f>
        <v> </v>
      </c>
      <c r="J2793" s="25" t="str">
        <f>IF(OR(E2793="",E2793="!!!",F2793="NEW"),"",COUNTBLANK(OFFSET(A$1,,,SUMPRODUCT(MAX(ROW(E$2:E2793)*(E2793=E$2:E2793)))))-COUNTBLANK(OFFSET(A$1,,,SUMPRODUCT(MAX(ROW(E$1:E2792)*(E2=E$1:E2792))))))</f>
        <v> </v>
      </c>
      <c r="K2793" s="25" t="str">
        <f>IF(OR(E2793="",E2793="!!!",F2793="NEW"),"",INDEX(J$1:J2792,SUMPRODUCT(MAX(ROW(E$1:E2792)*(E2793=E$1:E2792)))))</f>
        <v> </v>
      </c>
      <c r="L2793" s="26"/>
    </row>
    <row r="2794" spans="1:12">
      <c r="A2794" s="20" t="s">
        <v>1274</v>
      </c>
      <c r="B2794" s="27" t="s">
        <v>1069</v>
      </c>
      <c r="C2794" s="27" t="s">
        <v>1046</v>
      </c>
      <c r="D2794" s="27" t="s">
        <v>1030</v>
      </c>
      <c r="E2794" s="21">
        <f>IF(D2794="?OLD","!!!","")</f>
        <v/>
      </c>
      <c r="F2794" s="22" t="str">
        <f>IF(OR(E2794="",E2794="!!!"),"",IF(NOT(ISNA(VLOOKUP(E2794,E$1:E2793,1,FALSE()))),"OLD",IF(AND(E2794&lt;&gt;"",E2794&lt;&gt;"!!!"),"NEW","")))</f>
        <v> </v>
      </c>
      <c r="G2794" s="23" t="str">
        <f>IF(OR(E2794="",E2794="!!!"),"",IF(OR(J2794=0,AND(J2794=1,K2794=1),AND(J2794=1,I2794="SBJ"),AND(J2794=1,I2794=0)),"?IN_FOCUS",IF(J2794&lt;=2,"?ACTIVATED",IF(J2794&lt;&gt;"","?FAMILIAR",IF(F2794="NEW",IF(ISNA(VLOOKUP(E2794,#REF!,1,FALSE())),"?TYPE_IDENTIFIABLE","?REFERENTIAL"),"_")))))</f>
        <v> </v>
      </c>
      <c r="H2794" s="24" t="str">
        <f>IF(J2794&lt;&gt;1,"",IF(I2794="SBJ","CB","?"))</f>
        <v> </v>
      </c>
      <c r="I2794" s="25" t="str">
        <f>IF(OR(E2794="",E2794="!!!",F2794="NEW"),"",INDEX(B2793:B$2,-1+SUMPRODUCT(MAX(ROW(E2793:E$2)*(E2794=E2793:E$2)))))</f>
        <v> </v>
      </c>
      <c r="J2794" s="25" t="str">
        <f>IF(OR(E2794="",E2794="!!!",F2794="NEW"),"",COUNTBLANK(OFFSET(A$1,,,SUMPRODUCT(MAX(ROW(E$2:E2794)*(E2794=E$2:E2794)))))-COUNTBLANK(OFFSET(A$1,,,SUMPRODUCT(MAX(ROW(E$1:E2793)*(E2=E$1:E2793))))))</f>
        <v> </v>
      </c>
      <c r="K2794" s="25" t="str">
        <f>IF(OR(E2794="",E2794="!!!",F2794="NEW"),"",INDEX(J$1:J2793,SUMPRODUCT(MAX(ROW(E$1:E2793)*(E2794=E$1:E2793)))))</f>
        <v> </v>
      </c>
      <c r="L2794" s="26"/>
    </row>
    <row r="2795" spans="1:12">
      <c r="A2795" s="20" t="s">
        <v>1022</v>
      </c>
      <c r="E2795" s="21">
        <f>IF(D2795="?OLD","!!!","")</f>
        <v/>
      </c>
      <c r="F2795" s="22" t="str">
        <f>IF(OR(E2795="",E2795="!!!"),"",IF(NOT(ISNA(VLOOKUP(E2795,E$1:E2794,1,FALSE()))),"OLD",IF(AND(E2795&lt;&gt;"",E2795&lt;&gt;"!!!"),"NEW","")))</f>
        <v> </v>
      </c>
      <c r="G2795" s="23" t="str">
        <f>IF(OR(E2795="",E2795="!!!"),"",IF(OR(J2795=0,AND(J2795=1,K2795=1),AND(J2795=1,I2795="SBJ"),AND(J2795=1,I2795=0)),"?IN_FOCUS",IF(J2795&lt;=2,"?ACTIVATED",IF(J2795&lt;&gt;"","?FAMILIAR",IF(F2795="NEW",IF(ISNA(VLOOKUP(E2795,#REF!,1,FALSE())),"?TYPE_IDENTIFIABLE","?REFERENTIAL"),"_")))))</f>
        <v> </v>
      </c>
      <c r="H2795" s="24" t="str">
        <f>IF(J2795&lt;&gt;1,"",IF(I2795="SBJ","CB","?"))</f>
        <v> </v>
      </c>
      <c r="I2795" s="25" t="str">
        <f>IF(OR(E2795="",E2795="!!!",F2795="NEW"),"",INDEX(B2794:B$2,-1+SUMPRODUCT(MAX(ROW(E2794:E$2)*(E2795=E2794:E$2)))))</f>
        <v> </v>
      </c>
      <c r="J2795" s="25" t="str">
        <f>IF(OR(E2795="",E2795="!!!",F2795="NEW"),"",COUNTBLANK(OFFSET(A$1,,,SUMPRODUCT(MAX(ROW(E$2:E2795)*(E2795=E$2:E2795)))))-COUNTBLANK(OFFSET(A$1,,,SUMPRODUCT(MAX(ROW(E$1:E2794)*(E2=E$1:E2794))))))</f>
        <v> </v>
      </c>
      <c r="K2795" s="25" t="str">
        <f>IF(OR(E2795="",E2795="!!!",F2795="NEW"),"",INDEX(J$1:J2794,SUMPRODUCT(MAX(ROW(E$1:E2794)*(E2795=E$1:E2794)))))</f>
        <v> </v>
      </c>
      <c r="L2795" s="26"/>
    </row>
    <row r="2796" spans="1:12">
      <c r="A2796" s="20" t="s">
        <v>1096</v>
      </c>
      <c r="E2796" s="21">
        <f>IF(D2796="?OLD","!!!","")</f>
        <v/>
      </c>
      <c r="F2796" s="22" t="str">
        <f>IF(OR(E2796="",E2796="!!!"),"",IF(NOT(ISNA(VLOOKUP(E2796,E$1:E2795,1,FALSE()))),"OLD",IF(AND(E2796&lt;&gt;"",E2796&lt;&gt;"!!!"),"NEW","")))</f>
        <v> </v>
      </c>
      <c r="G2796" s="23" t="str">
        <f>IF(OR(E2796="",E2796="!!!"),"",IF(OR(J2796=0,AND(J2796=1,K2796=1),AND(J2796=1,I2796="SBJ"),AND(J2796=1,I2796=0)),"?IN_FOCUS",IF(J2796&lt;=2,"?ACTIVATED",IF(J2796&lt;&gt;"","?FAMILIAR",IF(F2796="NEW",IF(ISNA(VLOOKUP(E2796,#REF!,1,FALSE())),"?TYPE_IDENTIFIABLE","?REFERENTIAL"),"_")))))</f>
        <v> </v>
      </c>
      <c r="H2796" s="24" t="str">
        <f>IF(J2796&lt;&gt;1,"",IF(I2796="SBJ","CB","?"))</f>
        <v> </v>
      </c>
      <c r="I2796" s="25" t="str">
        <f>IF(OR(E2796="",E2796="!!!",F2796="NEW"),"",INDEX(B2795:B$2,-1+SUMPRODUCT(MAX(ROW(E2795:E$2)*(E2796=E2795:E$2)))))</f>
        <v> </v>
      </c>
      <c r="J2796" s="25" t="str">
        <f>IF(OR(E2796="",E2796="!!!",F2796="NEW"),"",COUNTBLANK(OFFSET(A$1,,,SUMPRODUCT(MAX(ROW(E$2:E2796)*(E2796=E$2:E2796)))))-COUNTBLANK(OFFSET(A$1,,,SUMPRODUCT(MAX(ROW(E$1:E2795)*(E2=E$1:E2795))))))</f>
        <v> </v>
      </c>
      <c r="K2796" s="25" t="str">
        <f>IF(OR(E2796="",E2796="!!!",F2796="NEW"),"",INDEX(J$1:J2795,SUMPRODUCT(MAX(ROW(E$1:E2795)*(E2796=E$1:E2795)))))</f>
        <v> </v>
      </c>
      <c r="L2796" s="26"/>
    </row>
    <row r="2797" spans="1:12">
      <c r="A2797" s="20" t="s">
        <v>1185</v>
      </c>
      <c r="B2797" s="27" t="s">
        <v>1041</v>
      </c>
      <c r="C2797" s="27" t="s">
        <v>1038</v>
      </c>
      <c r="D2797" s="27" t="s">
        <v>1030</v>
      </c>
      <c r="E2797" s="21">
        <f>IF(D2797="?OLD","!!!","")</f>
        <v/>
      </c>
      <c r="F2797" s="22" t="str">
        <f>IF(OR(E2797="",E2797="!!!"),"",IF(NOT(ISNA(VLOOKUP(E2797,E$1:E2796,1,FALSE()))),"OLD",IF(AND(E2797&lt;&gt;"",E2797&lt;&gt;"!!!"),"NEW","")))</f>
        <v> </v>
      </c>
      <c r="G2797" s="23" t="str">
        <f>IF(OR(E2797="",E2797="!!!"),"",IF(OR(J2797=0,AND(J2797=1,K2797=1),AND(J2797=1,I2797="SBJ"),AND(J2797=1,I2797=0)),"?IN_FOCUS",IF(J2797&lt;=2,"?ACTIVATED",IF(J2797&lt;&gt;"","?FAMILIAR",IF(F2797="NEW",IF(ISNA(VLOOKUP(E2797,#REF!,1,FALSE())),"?TYPE_IDENTIFIABLE","?REFERENTIAL"),"_")))))</f>
        <v> </v>
      </c>
      <c r="H2797" s="24" t="str">
        <f>IF(J2797&lt;&gt;1,"",IF(I2797="SBJ","CB","?"))</f>
        <v> </v>
      </c>
      <c r="I2797" s="25" t="str">
        <f>IF(OR(E2797="",E2797="!!!",F2797="NEW"),"",INDEX(B2796:B$2,-1+SUMPRODUCT(MAX(ROW(E2796:E$2)*(E2797=E2796:E$2)))))</f>
        <v> </v>
      </c>
      <c r="J2797" s="25" t="str">
        <f>IF(OR(E2797="",E2797="!!!",F2797="NEW"),"",COUNTBLANK(OFFSET(A$1,,,SUMPRODUCT(MAX(ROW(E$2:E2797)*(E2797=E$2:E2797)))))-COUNTBLANK(OFFSET(A$1,,,SUMPRODUCT(MAX(ROW(E$1:E2796)*(E2=E$1:E2796))))))</f>
        <v> </v>
      </c>
      <c r="K2797" s="25" t="str">
        <f>IF(OR(E2797="",E2797="!!!",F2797="NEW"),"",INDEX(J$1:J2796,SUMPRODUCT(MAX(ROW(E$1:E2796)*(E2797=E$1:E2796)))))</f>
        <v> </v>
      </c>
      <c r="L2797" s="26"/>
    </row>
    <row r="2798" spans="1:12">
      <c r="A2798" s="20" t="s">
        <v>1369</v>
      </c>
      <c r="B2798" s="27" t="s">
        <v>1014</v>
      </c>
      <c r="C2798" s="27" t="s">
        <v>1050</v>
      </c>
      <c r="D2798" s="27" t="s">
        <v>1030</v>
      </c>
      <c r="E2798" s="21">
        <f>IF(D2798="?OLD","!!!","")</f>
        <v/>
      </c>
      <c r="F2798" s="22" t="str">
        <f>IF(OR(E2798="",E2798="!!!"),"",IF(NOT(ISNA(VLOOKUP(E2798,E$1:E2797,1,FALSE()))),"OLD",IF(AND(E2798&lt;&gt;"",E2798&lt;&gt;"!!!"),"NEW","")))</f>
        <v> </v>
      </c>
      <c r="G2798" s="23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4" t="str">
        <f>IF(J2798&lt;&gt;1,"",IF(I2798="SBJ","CB","?"))</f>
        <v> </v>
      </c>
      <c r="I2798" s="25" t="str">
        <f>IF(OR(E2798="",E2798="!!!",F2798="NEW"),"",INDEX(B2797:B$2,-1+SUMPRODUCT(MAX(ROW(E2797:E$2)*(E2798=E2797:E$2)))))</f>
        <v> </v>
      </c>
      <c r="J2798" s="25" t="str">
        <f>IF(OR(E2798="",E2798="!!!",F2798="NEW"),"",COUNTBLANK(OFFSET(A$1,,,SUMPRODUCT(MAX(ROW(E$2:E2798)*(E2798=E$2:E2798)))))-COUNTBLANK(OFFSET(A$1,,,SUMPRODUCT(MAX(ROW(E$1:E2797)*(E2=E$1:E2797))))))</f>
        <v> </v>
      </c>
      <c r="K2798" s="25" t="str">
        <f>IF(OR(E2798="",E2798="!!!",F2798="NEW"),"",INDEX(J$1:J2797,SUMPRODUCT(MAX(ROW(E$1:E2797)*(E2798=E$1:E2797)))))</f>
        <v> </v>
      </c>
      <c r="L2798" s="26"/>
    </row>
    <row r="2799" spans="1:12">
      <c r="A2799" s="20" t="s">
        <v>2014</v>
      </c>
      <c r="E2799" s="21">
        <f>IF(D2799="?OLD","!!!","")</f>
        <v/>
      </c>
      <c r="F2799" s="22" t="str">
        <f>IF(OR(E2799="",E2799="!!!"),"",IF(NOT(ISNA(VLOOKUP(E2799,E$1:E2798,1,FALSE()))),"OLD",IF(AND(E2799&lt;&gt;"",E2799&lt;&gt;"!!!"),"NEW","")))</f>
        <v> </v>
      </c>
      <c r="G2799" s="23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4" t="str">
        <f>IF(J2799&lt;&gt;1,"",IF(I2799="SBJ","CB","?"))</f>
        <v> </v>
      </c>
      <c r="I2799" s="25" t="str">
        <f>IF(OR(E2799="",E2799="!!!",F2799="NEW"),"",INDEX(B2798:B$2,-1+SUMPRODUCT(MAX(ROW(E2798:E$2)*(E2799=E2798:E$2)))))</f>
        <v> </v>
      </c>
      <c r="J2799" s="25" t="str">
        <f>IF(OR(E2799="",E2799="!!!",F2799="NEW"),"",COUNTBLANK(OFFSET(A$1,,,SUMPRODUCT(MAX(ROW(E$2:E2799)*(E2799=E$2:E2799)))))-COUNTBLANK(OFFSET(A$1,,,SUMPRODUCT(MAX(ROW(E$1:E2798)*(E2=E$1:E2798))))))</f>
        <v> </v>
      </c>
      <c r="K2799" s="25" t="str">
        <f>IF(OR(E2799="",E2799="!!!",F2799="NEW"),"",INDEX(J$1:J2798,SUMPRODUCT(MAX(ROW(E$1:E2798)*(E2799=E$1:E2798)))))</f>
        <v> </v>
      </c>
      <c r="L2799" s="26"/>
    </row>
    <row r="2800" spans="1:12">
      <c r="A2800" s="20" t="s">
        <v>1637</v>
      </c>
      <c r="E2800" s="21">
        <f>IF(D2800="?OLD","!!!","")</f>
        <v/>
      </c>
      <c r="F2800" s="22" t="str">
        <f>IF(OR(E2800="",E2800="!!!"),"",IF(NOT(ISNA(VLOOKUP(E2800,E$1:E2799,1,FALSE()))),"OLD",IF(AND(E2800&lt;&gt;"",E2800&lt;&gt;"!!!"),"NEW","")))</f>
        <v> </v>
      </c>
      <c r="G2800" s="23" t="str">
        <f>IF(OR(E2800="",E2800="!!!"),"",IF(OR(J2800=0,AND(J2800=1,K2800=1),AND(J2800=1,I2800="SBJ"),AND(J2800=1,I2800=0)),"?IN_FOCUS",IF(J2800&lt;=2,"?ACTIVATED",IF(J2800&lt;&gt;"","?FAMILIAR",IF(F2800="NEW",IF(ISNA(VLOOKUP(E2800,#REF!,1,FALSE())),"?TYPE_IDENTIFIABLE","?REFERENTIAL"),"_")))))</f>
        <v> </v>
      </c>
      <c r="H2800" s="24" t="str">
        <f>IF(J2800&lt;&gt;1,"",IF(I2800="SBJ","CB","?"))</f>
        <v> </v>
      </c>
      <c r="I2800" s="25" t="str">
        <f>IF(OR(E2800="",E2800="!!!",F2800="NEW"),"",INDEX(B2799:B$2,-1+SUMPRODUCT(MAX(ROW(E2799:E$2)*(E2800=E2799:E$2)))))</f>
        <v> </v>
      </c>
      <c r="J2800" s="25" t="str">
        <f>IF(OR(E2800="",E2800="!!!",F2800="NEW"),"",COUNTBLANK(OFFSET(A$1,,,SUMPRODUCT(MAX(ROW(E$2:E2800)*(E2800=E$2:E2800)))))-COUNTBLANK(OFFSET(A$1,,,SUMPRODUCT(MAX(ROW(E$1:E2799)*(E2=E$1:E2799))))))</f>
        <v> </v>
      </c>
      <c r="K2800" s="25" t="str">
        <f>IF(OR(E2800="",E2800="!!!",F2800="NEW"),"",INDEX(J$1:J2799,SUMPRODUCT(MAX(ROW(E$1:E2799)*(E2800=E$1:E2799)))))</f>
        <v> </v>
      </c>
      <c r="L2800" s="26"/>
    </row>
    <row r="2801" spans="1:12">
      <c r="A2801" s="20" t="s">
        <v>1022</v>
      </c>
      <c r="E2801" s="21">
        <f>IF(D2801="?OLD","!!!","")</f>
        <v/>
      </c>
      <c r="F2801" s="22" t="str">
        <f>IF(OR(E2801="",E2801="!!!"),"",IF(NOT(ISNA(VLOOKUP(E2801,E$1:E2800,1,FALSE()))),"OLD",IF(AND(E2801&lt;&gt;"",E2801&lt;&gt;"!!!"),"NEW","")))</f>
        <v> </v>
      </c>
      <c r="G2801" s="23" t="str">
        <f>IF(OR(E2801="",E2801="!!!"),"",IF(OR(J2801=0,AND(J2801=1,K2801=1),AND(J2801=1,I2801="SBJ"),AND(J2801=1,I2801=0)),"?IN_FOCUS",IF(J2801&lt;=2,"?ACTIVATED",IF(J2801&lt;&gt;"","?FAMILIAR",IF(F2801="NEW",IF(ISNA(VLOOKUP(E2801,#REF!,1,FALSE())),"?TYPE_IDENTIFIABLE","?REFERENTIAL"),"_")))))</f>
        <v> </v>
      </c>
      <c r="H2801" s="24" t="str">
        <f>IF(J2801&lt;&gt;1,"",IF(I2801="SBJ","CB","?"))</f>
        <v> </v>
      </c>
      <c r="I2801" s="25" t="str">
        <f>IF(OR(E2801="",E2801="!!!",F2801="NEW"),"",INDEX(B2800:B$2,-1+SUMPRODUCT(MAX(ROW(E2800:E$2)*(E2801=E2800:E$2)))))</f>
        <v> </v>
      </c>
      <c r="J2801" s="25" t="str">
        <f>IF(OR(E2801="",E2801="!!!",F2801="NEW"),"",COUNTBLANK(OFFSET(A$1,,,SUMPRODUCT(MAX(ROW(E$2:E2801)*(E2801=E$2:E2801)))))-COUNTBLANK(OFFSET(A$1,,,SUMPRODUCT(MAX(ROW(E$1:E2800)*(E2=E$1:E2800))))))</f>
        <v> </v>
      </c>
      <c r="K2801" s="25" t="str">
        <f>IF(OR(E2801="",E2801="!!!",F2801="NEW"),"",INDEX(J$1:J2800,SUMPRODUCT(MAX(ROW(E$1:E2800)*(E2801=E$1:E2800)))))</f>
        <v> </v>
      </c>
      <c r="L2801" s="26"/>
    </row>
    <row r="2802" spans="1:12">
      <c r="A2802" s="20" t="s">
        <v>1083</v>
      </c>
      <c r="E2802" s="21">
        <f>IF(D2802="?OLD","!!!","")</f>
        <v/>
      </c>
      <c r="F2802" s="22" t="str">
        <f>IF(OR(E2802="",E2802="!!!"),"",IF(NOT(ISNA(VLOOKUP(E2802,E$1:E2801,1,FALSE()))),"OLD",IF(AND(E2802&lt;&gt;"",E2802&lt;&gt;"!!!"),"NEW","")))</f>
        <v> </v>
      </c>
      <c r="G2802" s="23" t="str">
        <f>IF(OR(E2802="",E2802="!!!"),"",IF(OR(J2802=0,AND(J2802=1,K2802=1),AND(J2802=1,I2802="SBJ"),AND(J2802=1,I2802=0)),"?IN_FOCUS",IF(J2802&lt;=2,"?ACTIVATED",IF(J2802&lt;&gt;"","?FAMILIAR",IF(F2802="NEW",IF(ISNA(VLOOKUP(E2802,#REF!,1,FALSE())),"?TYPE_IDENTIFIABLE","?REFERENTIAL"),"_")))))</f>
        <v> </v>
      </c>
      <c r="H2802" s="24" t="str">
        <f>IF(J2802&lt;&gt;1,"",IF(I2802="SBJ","CB","?"))</f>
        <v> </v>
      </c>
      <c r="I2802" s="25" t="str">
        <f>IF(OR(E2802="",E2802="!!!",F2802="NEW"),"",INDEX(B2801:B$2,-1+SUMPRODUCT(MAX(ROW(E2801:E$2)*(E2802=E2801:E$2)))))</f>
        <v> </v>
      </c>
      <c r="J2802" s="25" t="str">
        <f>IF(OR(E2802="",E2802="!!!",F2802="NEW"),"",COUNTBLANK(OFFSET(A$1,,,SUMPRODUCT(MAX(ROW(E$2:E2802)*(E2802=E$2:E2802)))))-COUNTBLANK(OFFSET(A$1,,,SUMPRODUCT(MAX(ROW(E$1:E2801)*(E2=E$1:E2801))))))</f>
        <v> </v>
      </c>
      <c r="K2802" s="25" t="str">
        <f>IF(OR(E2802="",E2802="!!!",F2802="NEW"),"",INDEX(J$1:J2801,SUMPRODUCT(MAX(ROW(E$1:E2801)*(E2802=E$1:E2801)))))</f>
        <v> </v>
      </c>
      <c r="L2802" s="26"/>
    </row>
    <row r="2803" spans="1:12">
      <c r="A2803" s="20" t="s">
        <v>2015</v>
      </c>
      <c r="E2803" s="21">
        <f>IF(D2803="?OLD","!!!","")</f>
        <v/>
      </c>
      <c r="F2803" s="22" t="str">
        <f>IF(OR(E2803="",E2803="!!!"),"",IF(NOT(ISNA(VLOOKUP(E2803,E$1:E2802,1,FALSE()))),"OLD",IF(AND(E2803&lt;&gt;"",E2803&lt;&gt;"!!!"),"NEW","")))</f>
        <v> </v>
      </c>
      <c r="G2803" s="23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4" t="str">
        <f>IF(J2803&lt;&gt;1,"",IF(I2803="SBJ","CB","?"))</f>
        <v> </v>
      </c>
      <c r="I2803" s="25" t="str">
        <f>IF(OR(E2803="",E2803="!!!",F2803="NEW"),"",INDEX(B2802:B$2,-1+SUMPRODUCT(MAX(ROW(E2802:E$2)*(E2803=E2802:E$2)))))</f>
        <v> </v>
      </c>
      <c r="J2803" s="25" t="str">
        <f>IF(OR(E2803="",E2803="!!!",F2803="NEW"),"",COUNTBLANK(OFFSET(A$1,,,SUMPRODUCT(MAX(ROW(E$2:E2803)*(E2803=E$2:E2803)))))-COUNTBLANK(OFFSET(A$1,,,SUMPRODUCT(MAX(ROW(E$1:E2802)*(E2=E$1:E2802))))))</f>
        <v> </v>
      </c>
      <c r="K2803" s="25" t="str">
        <f>IF(OR(E2803="",E2803="!!!",F2803="NEW"),"",INDEX(J$1:J2802,SUMPRODUCT(MAX(ROW(E$1:E2802)*(E2803=E$1:E2802)))))</f>
        <v> </v>
      </c>
      <c r="L2803" s="26"/>
    </row>
    <row r="2804" spans="1:12">
      <c r="A2804" s="20" t="s">
        <v>1101</v>
      </c>
      <c r="E2804" s="21">
        <f>IF(D2804="?OLD","!!!","")</f>
        <v/>
      </c>
      <c r="F2804" s="22" t="str">
        <f>IF(OR(E2804="",E2804="!!!"),"",IF(NOT(ISNA(VLOOKUP(E2804,E$1:E2803,1,FALSE()))),"OLD",IF(AND(E2804&lt;&gt;"",E2804&lt;&gt;"!!!"),"NEW","")))</f>
        <v> </v>
      </c>
      <c r="G2804" s="23" t="str">
        <f>IF(OR(E2804="",E2804="!!!"),"",IF(OR(J2804=0,AND(J2804=1,K2804=1),AND(J2804=1,I2804="SBJ"),AND(J2804=1,I2804=0)),"?IN_FOCUS",IF(J2804&lt;=2,"?ACTIVATED",IF(J2804&lt;&gt;"","?FAMILIAR",IF(F2804="NEW",IF(ISNA(VLOOKUP(E2804,#REF!,1,FALSE())),"?TYPE_IDENTIFIABLE","?REFERENTIAL"),"_")))))</f>
        <v> </v>
      </c>
      <c r="H2804" s="24" t="str">
        <f>IF(J2804&lt;&gt;1,"",IF(I2804="SBJ","CB","?"))</f>
        <v> </v>
      </c>
      <c r="I2804" s="25" t="str">
        <f>IF(OR(E2804="",E2804="!!!",F2804="NEW"),"",INDEX(B2803:B$2,-1+SUMPRODUCT(MAX(ROW(E2803:E$2)*(E2804=E2803:E$2)))))</f>
        <v> </v>
      </c>
      <c r="J2804" s="25" t="str">
        <f>IF(OR(E2804="",E2804="!!!",F2804="NEW"),"",COUNTBLANK(OFFSET(A$1,,,SUMPRODUCT(MAX(ROW(E$2:E2804)*(E2804=E$2:E2804)))))-COUNTBLANK(OFFSET(A$1,,,SUMPRODUCT(MAX(ROW(E$1:E2803)*(E2=E$1:E2803))))))</f>
        <v> </v>
      </c>
      <c r="K2804" s="25" t="str">
        <f>IF(OR(E2804="",E2804="!!!",F2804="NEW"),"",INDEX(J$1:J2803,SUMPRODUCT(MAX(ROW(E$1:E2803)*(E2804=E$1:E2803)))))</f>
        <v> </v>
      </c>
      <c r="L2804" s="26"/>
    </row>
    <row r="2805" spans="1:12">
      <c r="A2805" s="20" t="s">
        <v>1118</v>
      </c>
      <c r="E2805" s="21">
        <f>IF(D2805="?OLD","!!!","")</f>
        <v/>
      </c>
      <c r="F2805" s="22" t="str">
        <f>IF(OR(E2805="",E2805="!!!"),"",IF(NOT(ISNA(VLOOKUP(E2805,E$1:E2804,1,FALSE()))),"OLD",IF(AND(E2805&lt;&gt;"",E2805&lt;&gt;"!!!"),"NEW","")))</f>
        <v> </v>
      </c>
      <c r="G2805" s="23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4" t="str">
        <f>IF(J2805&lt;&gt;1,"",IF(I2805="SBJ","CB","?"))</f>
        <v> </v>
      </c>
      <c r="I2805" s="25" t="str">
        <f>IF(OR(E2805="",E2805="!!!",F2805="NEW"),"",INDEX(B2804:B$2,-1+SUMPRODUCT(MAX(ROW(E2804:E$2)*(E2805=E2804:E$2)))))</f>
        <v> </v>
      </c>
      <c r="J2805" s="25" t="str">
        <f>IF(OR(E2805="",E2805="!!!",F2805="NEW"),"",COUNTBLANK(OFFSET(A$1,,,SUMPRODUCT(MAX(ROW(E$2:E2805)*(E2805=E$2:E2805)))))-COUNTBLANK(OFFSET(A$1,,,SUMPRODUCT(MAX(ROW(E$1:E2804)*(E2=E$1:E2804))))))</f>
        <v> </v>
      </c>
      <c r="K2805" s="25" t="str">
        <f>IF(OR(E2805="",E2805="!!!",F2805="NEW"),"",INDEX(J$1:J2804,SUMPRODUCT(MAX(ROW(E$1:E2804)*(E2805=E$1:E2804)))))</f>
        <v> </v>
      </c>
      <c r="L2805" s="26"/>
    </row>
    <row r="2806" spans="1:12">
      <c r="A2806" s="20" t="s">
        <v>247</v>
      </c>
      <c r="B2806" s="27" t="s">
        <v>1085</v>
      </c>
      <c r="C2806" s="27" t="s">
        <v>1067</v>
      </c>
      <c r="E2806" s="21">
        <f>IF(D2806="?OLD","!!!","")</f>
        <v/>
      </c>
      <c r="F2806" s="22" t="str">
        <f>IF(OR(E2806="",E2806="!!!"),"",IF(NOT(ISNA(VLOOKUP(E2806,E$1:E2805,1,FALSE()))),"OLD",IF(AND(E2806&lt;&gt;"",E2806&lt;&gt;"!!!"),"NEW","")))</f>
        <v> </v>
      </c>
      <c r="G2806" s="23" t="str">
        <f>IF(OR(E2806="",E2806="!!!"),"",IF(OR(J2806=0,AND(J2806=1,K2806=1),AND(J2806=1,I2806="SBJ"),AND(J2806=1,I2806=0)),"?IN_FOCUS",IF(J2806&lt;=2,"?ACTIVATED",IF(J2806&lt;&gt;"","?FAMILIAR",IF(F2806="NEW",IF(ISNA(VLOOKUP(E2806,#REF!,1,FALSE())),"?TYPE_IDENTIFIABLE","?REFERENTIAL"),"_")))))</f>
        <v> </v>
      </c>
      <c r="H2806" s="24" t="str">
        <f>IF(J2806&lt;&gt;1,"",IF(I2806="SBJ","CB","?"))</f>
        <v> </v>
      </c>
      <c r="I2806" s="25" t="str">
        <f>IF(OR(E2806="",E2806="!!!",F2806="NEW"),"",INDEX(B2805:B$2,-1+SUMPRODUCT(MAX(ROW(E2805:E$2)*(E2806=E2805:E$2)))))</f>
        <v> </v>
      </c>
      <c r="J2806" s="25" t="str">
        <f>IF(OR(E2806="",E2806="!!!",F2806="NEW"),"",COUNTBLANK(OFFSET(A$1,,,SUMPRODUCT(MAX(ROW(E$2:E2806)*(E2806=E$2:E2806)))))-COUNTBLANK(OFFSET(A$1,,,SUMPRODUCT(MAX(ROW(E$1:E2805)*(E2=E$1:E2805))))))</f>
        <v> </v>
      </c>
      <c r="K2806" s="25" t="str">
        <f>IF(OR(E2806="",E2806="!!!",F2806="NEW"),"",INDEX(J$1:J2805,SUMPRODUCT(MAX(ROW(E$1:E2805)*(E2806=E$1:E2805)))))</f>
        <v> </v>
      </c>
      <c r="L2806" s="26"/>
    </row>
    <row r="2807" spans="1:12">
      <c r="A2807" s="20" t="s">
        <v>2016</v>
      </c>
      <c r="B2807" s="27" t="s">
        <v>1020</v>
      </c>
      <c r="C2807" s="27" t="s">
        <v>1050</v>
      </c>
      <c r="D2807" s="27" t="s">
        <v>1030</v>
      </c>
      <c r="E2807" s="21">
        <f>IF(D2807="?OLD","!!!","")</f>
        <v/>
      </c>
      <c r="F2807" s="22" t="str">
        <f>IF(OR(E2807="",E2807="!!!"),"",IF(NOT(ISNA(VLOOKUP(E2807,E$1:E2806,1,FALSE()))),"OLD",IF(AND(E2807&lt;&gt;"",E2807&lt;&gt;"!!!"),"NEW","")))</f>
        <v> </v>
      </c>
      <c r="G2807" s="23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4" t="str">
        <f>IF(J2807&lt;&gt;1,"",IF(I2807="SBJ","CB","?"))</f>
        <v> </v>
      </c>
      <c r="I2807" s="25" t="str">
        <f>IF(OR(E2807="",E2807="!!!",F2807="NEW"),"",INDEX(B2806:B$2,-1+SUMPRODUCT(MAX(ROW(E2806:E$2)*(E2807=E2806:E$2)))))</f>
        <v> </v>
      </c>
      <c r="J2807" s="25" t="str">
        <f>IF(OR(E2807="",E2807="!!!",F2807="NEW"),"",COUNTBLANK(OFFSET(A$1,,,SUMPRODUCT(MAX(ROW(E$2:E2807)*(E2807=E$2:E2807)))))-COUNTBLANK(OFFSET(A$1,,,SUMPRODUCT(MAX(ROW(E$1:E2806)*(E2=E$1:E2806))))))</f>
        <v> </v>
      </c>
      <c r="K2807" s="25" t="str">
        <f>IF(OR(E2807="",E2807="!!!",F2807="NEW"),"",INDEX(J$1:J2806,SUMPRODUCT(MAX(ROW(E$1:E2806)*(E2807=E$1:E2806)))))</f>
        <v> </v>
      </c>
      <c r="L2807" s="26"/>
    </row>
    <row r="2808" spans="1:12">
      <c r="A2808" s="20" t="s">
        <v>2017</v>
      </c>
      <c r="E2808" s="21">
        <f>IF(D2808="?OLD","!!!","")</f>
        <v/>
      </c>
      <c r="F2808" s="22" t="str">
        <f>IF(OR(E2808="",E2808="!!!"),"",IF(NOT(ISNA(VLOOKUP(E2808,E$1:E2807,1,FALSE()))),"OLD",IF(AND(E2808&lt;&gt;"",E2808&lt;&gt;"!!!"),"NEW","")))</f>
        <v> </v>
      </c>
      <c r="G2808" s="23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4" t="str">
        <f>IF(J2808&lt;&gt;1,"",IF(I2808="SBJ","CB","?"))</f>
        <v> </v>
      </c>
      <c r="I2808" s="25" t="str">
        <f>IF(OR(E2808="",E2808="!!!",F2808="NEW"),"",INDEX(B2807:B$2,-1+SUMPRODUCT(MAX(ROW(E2807:E$2)*(E2808=E2807:E$2)))))</f>
        <v> </v>
      </c>
      <c r="J2808" s="25" t="str">
        <f>IF(OR(E2808="",E2808="!!!",F2808="NEW"),"",COUNTBLANK(OFFSET(A$1,,,SUMPRODUCT(MAX(ROW(E$2:E2808)*(E2808=E$2:E2808)))))-COUNTBLANK(OFFSET(A$1,,,SUMPRODUCT(MAX(ROW(E$1:E2807)*(E2=E$1:E2807))))))</f>
        <v> </v>
      </c>
      <c r="K2808" s="25" t="str">
        <f>IF(OR(E2808="",E2808="!!!",F2808="NEW"),"",INDEX(J$1:J2807,SUMPRODUCT(MAX(ROW(E$1:E2807)*(E2808=E$1:E2807)))))</f>
        <v> </v>
      </c>
      <c r="L2808" s="26"/>
    </row>
    <row r="2809" spans="1:12">
      <c r="A2809" s="20" t="s">
        <v>1215</v>
      </c>
      <c r="E2809" s="21">
        <f>IF(D2809="?OLD","!!!","")</f>
        <v/>
      </c>
      <c r="F2809" s="22" t="str">
        <f>IF(OR(E2809="",E2809="!!!"),"",IF(NOT(ISNA(VLOOKUP(E2809,E$1:E2808,1,FALSE()))),"OLD",IF(AND(E2809&lt;&gt;"",E2809&lt;&gt;"!!!"),"NEW","")))</f>
        <v> </v>
      </c>
      <c r="G2809" s="23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4" t="str">
        <f>IF(J2809&lt;&gt;1,"",IF(I2809="SBJ","CB","?"))</f>
        <v> </v>
      </c>
      <c r="I2809" s="25" t="str">
        <f>IF(OR(E2809="",E2809="!!!",F2809="NEW"),"",INDEX(B2808:B$2,-1+SUMPRODUCT(MAX(ROW(E2808:E$2)*(E2809=E2808:E$2)))))</f>
        <v> </v>
      </c>
      <c r="J2809" s="25" t="str">
        <f>IF(OR(E2809="",E2809="!!!",F2809="NEW"),"",COUNTBLANK(OFFSET(A$1,,,SUMPRODUCT(MAX(ROW(E$2:E2809)*(E2809=E$2:E2809)))))-COUNTBLANK(OFFSET(A$1,,,SUMPRODUCT(MAX(ROW(E$1:E2808)*(E2=E$1:E2808))))))</f>
        <v> </v>
      </c>
      <c r="K2809" s="25" t="str">
        <f>IF(OR(E2809="",E2809="!!!",F2809="NEW"),"",INDEX(J$1:J2808,SUMPRODUCT(MAX(ROW(E$1:E2808)*(E2809=E$1:E2808)))))</f>
        <v> </v>
      </c>
      <c r="L2809" s="26"/>
    </row>
    <row r="2810" spans="1:12">
      <c r="A2810" s="20"/>
    </row>
    <row r="2811" spans="1:12">
      <c r="A2811" s="20" t="s">
        <v>2018</v>
      </c>
    </row>
    <row r="2812" spans="1:12">
      <c r="A2812" s="20" t="s">
        <v>2019</v>
      </c>
      <c r="E2812" s="21">
        <f>IF(D2812="?OLD","!!!","")</f>
        <v/>
      </c>
      <c r="F2812" s="22" t="str">
        <f>IF(OR(E2812="",E2812="!!!"),"",IF(NOT(ISNA(VLOOKUP(E2812,E$1:E2811,1,FALSE()))),"OLD",IF(AND(E2812&lt;&gt;"",E2812&lt;&gt;"!!!"),"NEW","")))</f>
        <v> </v>
      </c>
      <c r="G2812" s="23" t="str">
        <f>IF(OR(E2812="",E2812="!!!"),"",IF(OR(J2812=0,AND(J2812=1,K2812=1),AND(J2812=1,I2812="SBJ"),AND(J2812=1,I2812=0)),"?IN_FOCUS",IF(J2812&lt;=2,"?ACTIVATED",IF(J2812&lt;&gt;"","?FAMILIAR",IF(F2812="NEW",IF(ISNA(VLOOKUP(E2812,#REF!,1,FALSE())),"?TYPE_IDENTIFIABLE","?REFERENTIAL"),"_")))))</f>
        <v> </v>
      </c>
      <c r="H2812" s="24" t="str">
        <f>IF(J2812&lt;&gt;1,"",IF(I2812="SBJ","CB","?"))</f>
        <v> </v>
      </c>
      <c r="I2812" s="25" t="str">
        <f>IF(OR(E2812="",E2812="!!!",F2812="NEW"),"",INDEX(B2811:B$2,-1+SUMPRODUCT(MAX(ROW(E2811:E$2)*(E2812=E2811:E$2)))))</f>
        <v> </v>
      </c>
      <c r="J2812" s="25" t="str">
        <f>IF(OR(E2812="",E2812="!!!",F2812="NEW"),"",COUNTBLANK(OFFSET(A$1,,,SUMPRODUCT(MAX(ROW(E$2:E2812)*(E2812=E$2:E2812)))))-COUNTBLANK(OFFSET(A$1,,,SUMPRODUCT(MAX(ROW(E$1:E2811)*(E2=E$1:E2811))))))</f>
        <v> </v>
      </c>
      <c r="K2812" s="25" t="str">
        <f>IF(OR(E2812="",E2812="!!!",F2812="NEW"),"",INDEX(J$1:J2811,SUMPRODUCT(MAX(ROW(E$1:E2811)*(E2812=E$1:E2811)))))</f>
        <v> </v>
      </c>
      <c r="L2812" s="26"/>
    </row>
    <row r="2813" spans="1:12">
      <c r="A2813" s="20" t="s">
        <v>1094</v>
      </c>
      <c r="E2813" s="21">
        <f>IF(D2813="?OLD","!!!","")</f>
        <v/>
      </c>
      <c r="F2813" s="22" t="str">
        <f>IF(OR(E2813="",E2813="!!!"),"",IF(NOT(ISNA(VLOOKUP(E2813,E$1:E2812,1,FALSE()))),"OLD",IF(AND(E2813&lt;&gt;"",E2813&lt;&gt;"!!!"),"NEW","")))</f>
        <v> </v>
      </c>
      <c r="G2813" s="23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4" t="str">
        <f>IF(J2813&lt;&gt;1,"",IF(I2813="SBJ","CB","?"))</f>
        <v> </v>
      </c>
      <c r="I2813" s="25" t="str">
        <f>IF(OR(E2813="",E2813="!!!",F2813="NEW"),"",INDEX(B2812:B$2,-1+SUMPRODUCT(MAX(ROW(E2812:E$2)*(E2813=E2812:E$2)))))</f>
        <v> </v>
      </c>
      <c r="J2813" s="25" t="str">
        <f>IF(OR(E2813="",E2813="!!!",F2813="NEW"),"",COUNTBLANK(OFFSET(A$1,,,SUMPRODUCT(MAX(ROW(E$2:E2813)*(E2813=E$2:E2813)))))-COUNTBLANK(OFFSET(A$1,,,SUMPRODUCT(MAX(ROW(E$1:E2812)*(E2=E$1:E2812))))))</f>
        <v> </v>
      </c>
      <c r="K2813" s="25" t="str">
        <f>IF(OR(E2813="",E2813="!!!",F2813="NEW"),"",INDEX(J$1:J2812,SUMPRODUCT(MAX(ROW(E$1:E2812)*(E2813=E$1:E2812)))))</f>
        <v> </v>
      </c>
      <c r="L2813" s="26"/>
    </row>
    <row r="2814" spans="1:12">
      <c r="A2814" s="20" t="s">
        <v>1111</v>
      </c>
      <c r="E2814" s="21">
        <f>IF(D2814="?OLD","!!!","")</f>
        <v/>
      </c>
      <c r="F2814" s="22" t="str">
        <f>IF(OR(E2814="",E2814="!!!"),"",IF(NOT(ISNA(VLOOKUP(E2814,E$1:E2813,1,FALSE()))),"OLD",IF(AND(E2814&lt;&gt;"",E2814&lt;&gt;"!!!"),"NEW","")))</f>
        <v> </v>
      </c>
      <c r="G2814" s="23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4" t="str">
        <f>IF(J2814&lt;&gt;1,"",IF(I2814="SBJ","CB","?"))</f>
        <v> </v>
      </c>
      <c r="I2814" s="25" t="str">
        <f>IF(OR(E2814="",E2814="!!!",F2814="NEW"),"",INDEX(B2813:B$2,-1+SUMPRODUCT(MAX(ROW(E2813:E$2)*(E2814=E2813:E$2)))))</f>
        <v> </v>
      </c>
      <c r="J2814" s="25" t="str">
        <f>IF(OR(E2814="",E2814="!!!",F2814="NEW"),"",COUNTBLANK(OFFSET(A$1,,,SUMPRODUCT(MAX(ROW(E$2:E2814)*(E2814=E$2:E2814)))))-COUNTBLANK(OFFSET(A$1,,,SUMPRODUCT(MAX(ROW(E$1:E2813)*(E2=E$1:E2813))))))</f>
        <v> </v>
      </c>
      <c r="K2814" s="25" t="str">
        <f>IF(OR(E2814="",E2814="!!!",F2814="NEW"),"",INDEX(J$1:J2813,SUMPRODUCT(MAX(ROW(E$1:E2813)*(E2814=E$1:E2813)))))</f>
        <v> </v>
      </c>
      <c r="L2814" s="26"/>
    </row>
    <row r="2815" spans="1:12">
      <c r="A2815" s="20" t="s">
        <v>1579</v>
      </c>
      <c r="B2815" s="27" t="s">
        <v>1098</v>
      </c>
      <c r="C2815" s="27" t="s">
        <v>1038</v>
      </c>
      <c r="D2815" s="27" t="s">
        <v>1030</v>
      </c>
      <c r="E2815" s="21">
        <f>IF(D2815="?OLD","!!!","")</f>
        <v/>
      </c>
      <c r="F2815" s="22" t="str">
        <f>IF(OR(E2815="",E2815="!!!"),"",IF(NOT(ISNA(VLOOKUP(E2815,E$1:E2814,1,FALSE()))),"OLD",IF(AND(E2815&lt;&gt;"",E2815&lt;&gt;"!!!"),"NEW","")))</f>
        <v> </v>
      </c>
      <c r="G2815" s="23" t="str">
        <f>IF(OR(E2815="",E2815="!!!"),"",IF(OR(J2815=0,AND(J2815=1,K2815=1),AND(J2815=1,I2815="SBJ"),AND(J2815=1,I2815=0)),"?IN_FOCUS",IF(J2815&lt;=2,"?ACTIVATED",IF(J2815&lt;&gt;"","?FAMILIAR",IF(F2815="NEW",IF(ISNA(VLOOKUP(E2815,#REF!,1,FALSE())),"?TYPE_IDENTIFIABLE","?REFERENTIAL"),"_")))))</f>
        <v> </v>
      </c>
      <c r="H2815" s="24" t="str">
        <f>IF(J2815&lt;&gt;1,"",IF(I2815="SBJ","CB","?"))</f>
        <v> </v>
      </c>
      <c r="I2815" s="25" t="str">
        <f>IF(OR(E2815="",E2815="!!!",F2815="NEW"),"",INDEX(B2814:B$2,-1+SUMPRODUCT(MAX(ROW(E2814:E$2)*(E2815=E2814:E$2)))))</f>
        <v> </v>
      </c>
      <c r="J2815" s="25" t="str">
        <f>IF(OR(E2815="",E2815="!!!",F2815="NEW"),"",COUNTBLANK(OFFSET(A$1,,,SUMPRODUCT(MAX(ROW(E$2:E2815)*(E2815=E$2:E2815)))))-COUNTBLANK(OFFSET(A$1,,,SUMPRODUCT(MAX(ROW(E$1:E2814)*(E2=E$1:E2814))))))</f>
        <v> </v>
      </c>
      <c r="K2815" s="25" t="str">
        <f>IF(OR(E2815="",E2815="!!!",F2815="NEW"),"",INDEX(J$1:J2814,SUMPRODUCT(MAX(ROW(E$1:E2814)*(E2815=E$1:E2814)))))</f>
        <v> </v>
      </c>
      <c r="L2815" s="26"/>
    </row>
    <row r="2816" spans="1:12">
      <c r="A2816" s="20" t="s">
        <v>2020</v>
      </c>
      <c r="E2816" s="21">
        <f>IF(D2816="?OLD","!!!","")</f>
        <v/>
      </c>
      <c r="F2816" s="22" t="str">
        <f>IF(OR(E2816="",E2816="!!!"),"",IF(NOT(ISNA(VLOOKUP(E2816,E$1:E2815,1,FALSE()))),"OLD",IF(AND(E2816&lt;&gt;"",E2816&lt;&gt;"!!!"),"NEW","")))</f>
        <v> </v>
      </c>
      <c r="G2816" s="23" t="str">
        <f>IF(OR(E2816="",E2816="!!!"),"",IF(OR(J2816=0,AND(J2816=1,K2816=1),AND(J2816=1,I2816="SBJ"),AND(J2816=1,I2816=0)),"?IN_FOCUS",IF(J2816&lt;=2,"?ACTIVATED",IF(J2816&lt;&gt;"","?FAMILIAR",IF(F2816="NEW",IF(ISNA(VLOOKUP(E2816,#REF!,1,FALSE())),"?TYPE_IDENTIFIABLE","?REFERENTIAL"),"_")))))</f>
        <v> </v>
      </c>
      <c r="H2816" s="24" t="str">
        <f>IF(J2816&lt;&gt;1,"",IF(I2816="SBJ","CB","?"))</f>
        <v> </v>
      </c>
      <c r="I2816" s="25" t="str">
        <f>IF(OR(E2816="",E2816="!!!",F2816="NEW"),"",INDEX(B2815:B$2,-1+SUMPRODUCT(MAX(ROW(E2815:E$2)*(E2816=E2815:E$2)))))</f>
        <v> </v>
      </c>
      <c r="J2816" s="25" t="str">
        <f>IF(OR(E2816="",E2816="!!!",F2816="NEW"),"",COUNTBLANK(OFFSET(A$1,,,SUMPRODUCT(MAX(ROW(E$2:E2816)*(E2816=E$2:E2816)))))-COUNTBLANK(OFFSET(A$1,,,SUMPRODUCT(MAX(ROW(E$1:E2815)*(E2=E$1:E2815))))))</f>
        <v> </v>
      </c>
      <c r="K2816" s="25" t="str">
        <f>IF(OR(E2816="",E2816="!!!",F2816="NEW"),"",INDEX(J$1:J2815,SUMPRODUCT(MAX(ROW(E$1:E2815)*(E2816=E$1:E2815)))))</f>
        <v> </v>
      </c>
      <c r="L2816" s="26"/>
    </row>
    <row r="2817" spans="1:12">
      <c r="A2817" s="20" t="s">
        <v>378</v>
      </c>
      <c r="B2817" s="27" t="s">
        <v>1041</v>
      </c>
      <c r="C2817" s="27" t="s">
        <v>1140</v>
      </c>
      <c r="D2817" s="27" t="s">
        <v>1030</v>
      </c>
      <c r="E2817" s="21">
        <f>IF(D2817="?OLD","!!!","")</f>
        <v/>
      </c>
      <c r="F2817" s="22" t="str">
        <f>IF(OR(E2817="",E2817="!!!"),"",IF(NOT(ISNA(VLOOKUP(E2817,E$1:E2816,1,FALSE()))),"OLD",IF(AND(E2817&lt;&gt;"",E2817&lt;&gt;"!!!"),"NEW","")))</f>
        <v> </v>
      </c>
      <c r="G2817" s="23" t="str">
        <f>IF(OR(E2817="",E2817="!!!"),"",IF(OR(J2817=0,AND(J2817=1,K2817=1),AND(J2817=1,I2817="SBJ"),AND(J2817=1,I2817=0)),"?IN_FOCUS",IF(J2817&lt;=2,"?ACTIVATED",IF(J2817&lt;&gt;"","?FAMILIAR",IF(F2817="NEW",IF(ISNA(VLOOKUP(E2817,#REF!,1,FALSE())),"?TYPE_IDENTIFIABLE","?REFERENTIAL"),"_")))))</f>
        <v> </v>
      </c>
      <c r="H2817" s="24" t="str">
        <f>IF(J2817&lt;&gt;1,"",IF(I2817="SBJ","CB","?"))</f>
        <v> </v>
      </c>
      <c r="I2817" s="25" t="str">
        <f>IF(OR(E2817="",E2817="!!!",F2817="NEW"),"",INDEX(B2816:B$2,-1+SUMPRODUCT(MAX(ROW(E2816:E$2)*(E2817=E2816:E$2)))))</f>
        <v> </v>
      </c>
      <c r="J2817" s="25" t="str">
        <f>IF(OR(E2817="",E2817="!!!",F2817="NEW"),"",COUNTBLANK(OFFSET(A$1,,,SUMPRODUCT(MAX(ROW(E$2:E2817)*(E2817=E$2:E2817)))))-COUNTBLANK(OFFSET(A$1,,,SUMPRODUCT(MAX(ROW(E$1:E2816)*(E2=E$1:E2816))))))</f>
        <v> </v>
      </c>
      <c r="K2817" s="25" t="str">
        <f>IF(OR(E2817="",E2817="!!!",F2817="NEW"),"",INDEX(J$1:J2816,SUMPRODUCT(MAX(ROW(E$1:E2816)*(E2817=E$1:E2816)))))</f>
        <v> </v>
      </c>
      <c r="L2817" s="26"/>
    </row>
    <row r="2818" spans="1:12">
      <c r="A2818" s="20" t="s">
        <v>1094</v>
      </c>
      <c r="B2818" s="27" t="s">
        <v>1085</v>
      </c>
      <c r="E2818" s="21">
        <f>IF(D2818="?OLD","!!!","")</f>
        <v/>
      </c>
      <c r="F2818" s="22" t="str">
        <f>IF(OR(E2818="",E2818="!!!"),"",IF(NOT(ISNA(VLOOKUP(E2818,E$1:E2817,1,FALSE()))),"OLD",IF(AND(E2818&lt;&gt;"",E2818&lt;&gt;"!!!"),"NEW","")))</f>
        <v> </v>
      </c>
      <c r="G2818" s="23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4" t="str">
        <f>IF(J2818&lt;&gt;1,"",IF(I2818="SBJ","CB","?"))</f>
        <v> </v>
      </c>
      <c r="I2818" s="25" t="str">
        <f>IF(OR(E2818="",E2818="!!!",F2818="NEW"),"",INDEX(B2817:B$2,-1+SUMPRODUCT(MAX(ROW(E2817:E$2)*(E2818=E2817:E$2)))))</f>
        <v> </v>
      </c>
      <c r="J2818" s="25" t="str">
        <f>IF(OR(E2818="",E2818="!!!",F2818="NEW"),"",COUNTBLANK(OFFSET(A$1,,,SUMPRODUCT(MAX(ROW(E$2:E2818)*(E2818=E$2:E2818)))))-COUNTBLANK(OFFSET(A$1,,,SUMPRODUCT(MAX(ROW(E$1:E2817)*(E2=E$1:E2817))))))</f>
        <v> </v>
      </c>
      <c r="K2818" s="25" t="str">
        <f>IF(OR(E2818="",E2818="!!!",F2818="NEW"),"",INDEX(J$1:J2817,SUMPRODUCT(MAX(ROW(E$1:E2817)*(E2818=E$1:E2817)))))</f>
        <v> </v>
      </c>
      <c r="L2818" s="26"/>
    </row>
    <row r="2819" spans="1:12">
      <c r="A2819" s="20" t="s">
        <v>2021</v>
      </c>
      <c r="E2819" s="21">
        <f>IF(D2819="?OLD","!!!","")</f>
        <v/>
      </c>
      <c r="F2819" s="22" t="str">
        <f>IF(OR(E2819="",E2819="!!!"),"",IF(NOT(ISNA(VLOOKUP(E2819,E$1:E2818,1,FALSE()))),"OLD",IF(AND(E2819&lt;&gt;"",E2819&lt;&gt;"!!!"),"NEW","")))</f>
        <v> </v>
      </c>
      <c r="G2819" s="23" t="str">
        <f>IF(OR(E2819="",E2819="!!!"),"",IF(OR(J2819=0,AND(J2819=1,K2819=1),AND(J2819=1,I2819="SBJ"),AND(J2819=1,I2819=0)),"?IN_FOCUS",IF(J2819&lt;=2,"?ACTIVATED",IF(J2819&lt;&gt;"","?FAMILIAR",IF(F2819="NEW",IF(ISNA(VLOOKUP(E2819,#REF!,1,FALSE())),"?TYPE_IDENTIFIABLE","?REFERENTIAL"),"_")))))</f>
        <v> </v>
      </c>
      <c r="H2819" s="24" t="str">
        <f>IF(J2819&lt;&gt;1,"",IF(I2819="SBJ","CB","?"))</f>
        <v> </v>
      </c>
      <c r="I2819" s="25" t="str">
        <f>IF(OR(E2819="",E2819="!!!",F2819="NEW"),"",INDEX(B2818:B$2,-1+SUMPRODUCT(MAX(ROW(E2818:E$2)*(E2819=E2818:E$2)))))</f>
        <v> </v>
      </c>
      <c r="J2819" s="25" t="str">
        <f>IF(OR(E2819="",E2819="!!!",F2819="NEW"),"",COUNTBLANK(OFFSET(A$1,,,SUMPRODUCT(MAX(ROW(E$2:E2819)*(E2819=E$2:E2819)))))-COUNTBLANK(OFFSET(A$1,,,SUMPRODUCT(MAX(ROW(E$1:E2818)*(E2=E$1:E2818))))))</f>
        <v> </v>
      </c>
      <c r="K2819" s="25" t="str">
        <f>IF(OR(E2819="",E2819="!!!",F2819="NEW"),"",INDEX(J$1:J2818,SUMPRODUCT(MAX(ROW(E$1:E2818)*(E2819=E$1:E2818)))))</f>
        <v> </v>
      </c>
      <c r="L2819" s="26"/>
    </row>
    <row r="2820" spans="1:12">
      <c r="A2820" s="20" t="s">
        <v>135</v>
      </c>
      <c r="E2820" s="21">
        <f>IF(D2820="?OLD","!!!","")</f>
        <v/>
      </c>
      <c r="F2820" s="22" t="str">
        <f>IF(OR(E2820="",E2820="!!!"),"",IF(NOT(ISNA(VLOOKUP(E2820,E$1:E2819,1,FALSE()))),"OLD",IF(AND(E2820&lt;&gt;"",E2820&lt;&gt;"!!!"),"NEW","")))</f>
        <v> </v>
      </c>
      <c r="G2820" s="23" t="str">
        <f>IF(OR(E2820="",E2820="!!!"),"",IF(OR(J2820=0,AND(J2820=1,K2820=1),AND(J2820=1,I2820="SBJ"),AND(J2820=1,I2820=0)),"?IN_FOCUS",IF(J2820&lt;=2,"?ACTIVATED",IF(J2820&lt;&gt;"","?FAMILIAR",IF(F2820="NEW",IF(ISNA(VLOOKUP(E2820,#REF!,1,FALSE())),"?TYPE_IDENTIFIABLE","?REFERENTIAL"),"_")))))</f>
        <v> </v>
      </c>
      <c r="H2820" s="24" t="str">
        <f>IF(J2820&lt;&gt;1,"",IF(I2820="SBJ","CB","?"))</f>
        <v> </v>
      </c>
      <c r="I2820" s="25" t="str">
        <f>IF(OR(E2820="",E2820="!!!",F2820="NEW"),"",INDEX(B2819:B$2,-1+SUMPRODUCT(MAX(ROW(E2819:E$2)*(E2820=E2819:E$2)))))</f>
        <v> </v>
      </c>
      <c r="J2820" s="25" t="str">
        <f>IF(OR(E2820="",E2820="!!!",F2820="NEW"),"",COUNTBLANK(OFFSET(A$1,,,SUMPRODUCT(MAX(ROW(E$2:E2820)*(E2820=E$2:E2820)))))-COUNTBLANK(OFFSET(A$1,,,SUMPRODUCT(MAX(ROW(E$1:E2819)*(E2=E$1:E2819))))))</f>
        <v> </v>
      </c>
      <c r="K2820" s="25" t="str">
        <f>IF(OR(E2820="",E2820="!!!",F2820="NEW"),"",INDEX(J$1:J2819,SUMPRODUCT(MAX(ROW(E$1:E2819)*(E2820=E$1:E2819)))))</f>
        <v> </v>
      </c>
      <c r="L2820" s="26"/>
    </row>
    <row r="2821" spans="1:12">
      <c r="A2821" s="20"/>
    </row>
    <row r="2822" spans="1:12">
      <c r="A2822" s="20" t="s">
        <v>1090</v>
      </c>
      <c r="E2822" s="21">
        <f>IF(D2822="?OLD","!!!","")</f>
        <v/>
      </c>
      <c r="F2822" s="22" t="str">
        <f>IF(OR(E2822="",E2822="!!!"),"",IF(NOT(ISNA(VLOOKUP(E2822,E$1:E2821,1,FALSE()))),"OLD",IF(AND(E2822&lt;&gt;"",E2822&lt;&gt;"!!!"),"NEW","")))</f>
        <v> </v>
      </c>
      <c r="G2822" s="23" t="str">
        <f>IF(OR(E2822="",E2822="!!!"),"",IF(OR(J2822=0,AND(J2822=1,K2822=1),AND(J2822=1,I2822="SBJ"),AND(J2822=1,I2822=0)),"?IN_FOCUS",IF(J2822&lt;=2,"?ACTIVATED",IF(J2822&lt;&gt;"","?FAMILIAR",IF(F2822="NEW",IF(ISNA(VLOOKUP(E2822,#REF!,1,FALSE())),"?TYPE_IDENTIFIABLE","?REFERENTIAL"),"_")))))</f>
        <v> </v>
      </c>
      <c r="H2822" s="24" t="str">
        <f>IF(J2822&lt;&gt;1,"",IF(I2822="SBJ","CB","?"))</f>
        <v> </v>
      </c>
      <c r="I2822" s="25" t="str">
        <f>IF(OR(E2822="",E2822="!!!",F2822="NEW"),"",INDEX(B2821:B$2,-1+SUMPRODUCT(MAX(ROW(E2821:E$2)*(E2822=E2821:E$2)))))</f>
        <v> </v>
      </c>
      <c r="J2822" s="25" t="str">
        <f>IF(OR(E2822="",E2822="!!!",F2822="NEW"),"",COUNTBLANK(OFFSET(A$1,,,SUMPRODUCT(MAX(ROW(E$2:E2822)*(E2822=E$2:E2822)))))-COUNTBLANK(OFFSET(A$1,,,SUMPRODUCT(MAX(ROW(E$1:E2821)*(E2=E$1:E2821))))))</f>
        <v> </v>
      </c>
      <c r="K2822" s="25" t="str">
        <f>IF(OR(E2822="",E2822="!!!",F2822="NEW"),"",INDEX(J$1:J2821,SUMPRODUCT(MAX(ROW(E$1:E2821)*(E2822=E$1:E2821)))))</f>
        <v> </v>
      </c>
      <c r="L2822" s="26"/>
    </row>
    <row r="2823" spans="1:12">
      <c r="A2823" s="20" t="s">
        <v>2022</v>
      </c>
    </row>
    <row r="2824" spans="1:12">
      <c r="A2824" s="20" t="s">
        <v>2023</v>
      </c>
      <c r="B2824" s="27" t="s">
        <v>1014</v>
      </c>
      <c r="C2824" s="27" t="s">
        <v>1050</v>
      </c>
      <c r="D2824" s="27" t="s">
        <v>1030</v>
      </c>
      <c r="E2824" s="21">
        <f>IF(D2824="?OLD","!!!","")</f>
        <v/>
      </c>
      <c r="F2824" s="22" t="str">
        <f>IF(OR(E2824="",E2824="!!!"),"",IF(NOT(ISNA(VLOOKUP(E2824,E$1:E2823,1,FALSE()))),"OLD",IF(AND(E2824&lt;&gt;"",E2824&lt;&gt;"!!!"),"NEW","")))</f>
        <v> </v>
      </c>
      <c r="G2824" s="23" t="str">
        <f>IF(OR(E2824="",E2824="!!!"),"",IF(OR(J2824=0,AND(J2824=1,K2824=1),AND(J2824=1,I2824="SBJ"),AND(J2824=1,I2824=0)),"?IN_FOCUS",IF(J2824&lt;=2,"?ACTIVATED",IF(J2824&lt;&gt;"","?FAMILIAR",IF(F2824="NEW",IF(ISNA(VLOOKUP(E2824,#REF!,1,FALSE())),"?TYPE_IDENTIFIABLE","?REFERENTIAL"),"_")))))</f>
        <v> </v>
      </c>
      <c r="H2824" s="24" t="str">
        <f>IF(J2824&lt;&gt;1,"",IF(I2824="SBJ","CB","?"))</f>
        <v> </v>
      </c>
      <c r="I2824" s="25" t="str">
        <f>IF(OR(E2824="",E2824="!!!",F2824="NEW"),"",INDEX(B2823:B$2,-1+SUMPRODUCT(MAX(ROW(E2823:E$2)*(E2824=E2823:E$2)))))</f>
        <v> </v>
      </c>
      <c r="J2824" s="25" t="str">
        <f>IF(OR(E2824="",E2824="!!!",F2824="NEW"),"",COUNTBLANK(OFFSET(A$1,,,SUMPRODUCT(MAX(ROW(E$2:E2824)*(E2824=E$2:E2824)))))-COUNTBLANK(OFFSET(A$1,,,SUMPRODUCT(MAX(ROW(E$1:E2823)*(E2=E$1:E2823))))))</f>
        <v> </v>
      </c>
      <c r="K2824" s="25" t="str">
        <f>IF(OR(E2824="",E2824="!!!",F2824="NEW"),"",INDEX(J$1:J2823,SUMPRODUCT(MAX(ROW(E$1:E2823)*(E2824=E$1:E2823)))))</f>
        <v> </v>
      </c>
      <c r="L2824" s="26"/>
    </row>
    <row r="2825" spans="1:12">
      <c r="A2825" s="20" t="s">
        <v>1205</v>
      </c>
      <c r="E2825" s="21">
        <f>IF(D2825="?OLD","!!!","")</f>
        <v/>
      </c>
      <c r="F2825" s="22" t="str">
        <f>IF(OR(E2825="",E2825="!!!"),"",IF(NOT(ISNA(VLOOKUP(E2825,E$1:E2824,1,FALSE()))),"OLD",IF(AND(E2825&lt;&gt;"",E2825&lt;&gt;"!!!"),"NEW","")))</f>
        <v> </v>
      </c>
      <c r="G2825" s="23" t="str">
        <f>IF(OR(E2825="",E2825="!!!"),"",IF(OR(J2825=0,AND(J2825=1,K2825=1),AND(J2825=1,I2825="SBJ"),AND(J2825=1,I2825=0)),"?IN_FOCUS",IF(J2825&lt;=2,"?ACTIVATED",IF(J2825&lt;&gt;"","?FAMILIAR",IF(F2825="NEW",IF(ISNA(VLOOKUP(E2825,#REF!,1,FALSE())),"?TYPE_IDENTIFIABLE","?REFERENTIAL"),"_")))))</f>
        <v> </v>
      </c>
      <c r="H2825" s="24" t="str">
        <f>IF(J2825&lt;&gt;1,"",IF(I2825="SBJ","CB","?"))</f>
        <v> </v>
      </c>
      <c r="I2825" s="25" t="str">
        <f>IF(OR(E2825="",E2825="!!!",F2825="NEW"),"",INDEX(B2824:B$2,-1+SUMPRODUCT(MAX(ROW(E2824:E$2)*(E2825=E2824:E$2)))))</f>
        <v> </v>
      </c>
      <c r="J2825" s="25" t="str">
        <f>IF(OR(E2825="",E2825="!!!",F2825="NEW"),"",COUNTBLANK(OFFSET(A$1,,,SUMPRODUCT(MAX(ROW(E$2:E2825)*(E2825=E$2:E2825)))))-COUNTBLANK(OFFSET(A$1,,,SUMPRODUCT(MAX(ROW(E$1:E2824)*(E2=E$1:E2824))))))</f>
        <v> </v>
      </c>
      <c r="K2825" s="25" t="str">
        <f>IF(OR(E2825="",E2825="!!!",F2825="NEW"),"",INDEX(J$1:J2824,SUMPRODUCT(MAX(ROW(E$1:E2824)*(E2825=E$1:E2824)))))</f>
        <v> </v>
      </c>
      <c r="L2825" s="26"/>
    </row>
    <row r="2826" spans="1:12">
      <c r="A2826" s="20" t="s">
        <v>80</v>
      </c>
      <c r="E2826" s="21">
        <f>IF(D2826="?OLD","!!!","")</f>
        <v/>
      </c>
      <c r="F2826" s="22" t="str">
        <f>IF(OR(E2826="",E2826="!!!"),"",IF(NOT(ISNA(VLOOKUP(E2826,E$1:E2825,1,FALSE()))),"OLD",IF(AND(E2826&lt;&gt;"",E2826&lt;&gt;"!!!"),"NEW","")))</f>
        <v> </v>
      </c>
      <c r="G2826" s="23" t="str">
        <f>IF(OR(E2826="",E2826="!!!"),"",IF(OR(J2826=0,AND(J2826=1,K2826=1),AND(J2826=1,I2826="SBJ"),AND(J2826=1,I2826=0)),"?IN_FOCUS",IF(J2826&lt;=2,"?ACTIVATED",IF(J2826&lt;&gt;"","?FAMILIAR",IF(F2826="NEW",IF(ISNA(VLOOKUP(E2826,#REF!,1,FALSE())),"?TYPE_IDENTIFIABLE","?REFERENTIAL"),"_")))))</f>
        <v> </v>
      </c>
      <c r="H2826" s="24" t="str">
        <f>IF(J2826&lt;&gt;1,"",IF(I2826="SBJ","CB","?"))</f>
        <v> </v>
      </c>
      <c r="I2826" s="25" t="str">
        <f>IF(OR(E2826="",E2826="!!!",F2826="NEW"),"",INDEX(B2825:B$2,-1+SUMPRODUCT(MAX(ROW(E2825:E$2)*(E2826=E2825:E$2)))))</f>
        <v> </v>
      </c>
      <c r="J2826" s="25" t="str">
        <f>IF(OR(E2826="",E2826="!!!",F2826="NEW"),"",COUNTBLANK(OFFSET(A$1,,,SUMPRODUCT(MAX(ROW(E$2:E2826)*(E2826=E$2:E2826)))))-COUNTBLANK(OFFSET(A$1,,,SUMPRODUCT(MAX(ROW(E$1:E2825)*(E2=E$1:E2825))))))</f>
        <v> </v>
      </c>
      <c r="K2826" s="25" t="str">
        <f>IF(OR(E2826="",E2826="!!!",F2826="NEW"),"",INDEX(J$1:J2825,SUMPRODUCT(MAX(ROW(E$1:E2825)*(E2826=E$1:E2825)))))</f>
        <v> </v>
      </c>
      <c r="L2826" s="26"/>
    </row>
    <row r="2827" spans="1:12">
      <c r="A2827" s="20" t="s">
        <v>1535</v>
      </c>
      <c r="E2827" s="21">
        <f>IF(D2827="?OLD","!!!","")</f>
        <v/>
      </c>
      <c r="F2827" s="22" t="str">
        <f>IF(OR(E2827="",E2827="!!!"),"",IF(NOT(ISNA(VLOOKUP(E2827,E$1:E2826,1,FALSE()))),"OLD",IF(AND(E2827&lt;&gt;"",E2827&lt;&gt;"!!!"),"NEW","")))</f>
        <v> </v>
      </c>
      <c r="G2827" s="23" t="str">
        <f>IF(OR(E2827="",E2827="!!!"),"",IF(OR(J2827=0,AND(J2827=1,K2827=1),AND(J2827=1,I2827="SBJ"),AND(J2827=1,I2827=0)),"?IN_FOCUS",IF(J2827&lt;=2,"?ACTIVATED",IF(J2827&lt;&gt;"","?FAMILIAR",IF(F2827="NEW",IF(ISNA(VLOOKUP(E2827,#REF!,1,FALSE())),"?TYPE_IDENTIFIABLE","?REFERENTIAL"),"_")))))</f>
        <v> </v>
      </c>
      <c r="H2827" s="24" t="str">
        <f>IF(J2827&lt;&gt;1,"",IF(I2827="SBJ","CB","?"))</f>
        <v> </v>
      </c>
      <c r="I2827" s="25" t="str">
        <f>IF(OR(E2827="",E2827="!!!",F2827="NEW"),"",INDEX(B2826:B$2,-1+SUMPRODUCT(MAX(ROW(E2826:E$2)*(E2827=E2826:E$2)))))</f>
        <v> </v>
      </c>
      <c r="J2827" s="25" t="str">
        <f>IF(OR(E2827="",E2827="!!!",F2827="NEW"),"",COUNTBLANK(OFFSET(A$1,,,SUMPRODUCT(MAX(ROW(E$2:E2827)*(E2827=E$2:E2827)))))-COUNTBLANK(OFFSET(A$1,,,SUMPRODUCT(MAX(ROW(E$1:E2826)*(E2=E$1:E2826))))))</f>
        <v> </v>
      </c>
      <c r="K2827" s="25" t="str">
        <f>IF(OR(E2827="",E2827="!!!",F2827="NEW"),"",INDEX(J$1:J2826,SUMPRODUCT(MAX(ROW(E$1:E2826)*(E2827=E$1:E2826)))))</f>
        <v> </v>
      </c>
      <c r="L2827" s="26"/>
    </row>
    <row r="2828" spans="1:12">
      <c r="A2828" s="20" t="s">
        <v>135</v>
      </c>
      <c r="E2828" s="21">
        <f>IF(D2828="?OLD","!!!","")</f>
        <v/>
      </c>
      <c r="F2828" s="22" t="str">
        <f>IF(OR(E2828="",E2828="!!!"),"",IF(NOT(ISNA(VLOOKUP(E2828,E$1:E2827,1,FALSE()))),"OLD",IF(AND(E2828&lt;&gt;"",E2828&lt;&gt;"!!!"),"NEW","")))</f>
        <v> </v>
      </c>
      <c r="G2828" s="23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4" t="str">
        <f>IF(J2828&lt;&gt;1,"",IF(I2828="SBJ","CB","?"))</f>
        <v> </v>
      </c>
      <c r="I2828" s="25" t="str">
        <f>IF(OR(E2828="",E2828="!!!",F2828="NEW"),"",INDEX(B2827:B$2,-1+SUMPRODUCT(MAX(ROW(E2827:E$2)*(E2828=E2827:E$2)))))</f>
        <v> </v>
      </c>
      <c r="J2828" s="25" t="str">
        <f>IF(OR(E2828="",E2828="!!!",F2828="NEW"),"",COUNTBLANK(OFFSET(A$1,,,SUMPRODUCT(MAX(ROW(E$2:E2828)*(E2828=E$2:E2828)))))-COUNTBLANK(OFFSET(A$1,,,SUMPRODUCT(MAX(ROW(E$1:E2827)*(E2=E$1:E2827))))))</f>
        <v> </v>
      </c>
      <c r="K2828" s="25" t="str">
        <f>IF(OR(E2828="",E2828="!!!",F2828="NEW"),"",INDEX(J$1:J2827,SUMPRODUCT(MAX(ROW(E$1:E2827)*(E2828=E$1:E2827)))))</f>
        <v> </v>
      </c>
      <c r="L2828" s="26"/>
    </row>
    <row r="2829" spans="1:12">
      <c r="A2829" s="20" t="s">
        <v>1101</v>
      </c>
      <c r="E2829" s="21">
        <f>IF(D2829="?OLD","!!!","")</f>
        <v/>
      </c>
      <c r="F2829" s="22" t="str">
        <f>IF(OR(E2829="",E2829="!!!"),"",IF(NOT(ISNA(VLOOKUP(E2829,E$1:E2828,1,FALSE()))),"OLD",IF(AND(E2829&lt;&gt;"",E2829&lt;&gt;"!!!"),"NEW","")))</f>
        <v> </v>
      </c>
      <c r="G2829" s="23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4" t="str">
        <f>IF(J2829&lt;&gt;1,"",IF(I2829="SBJ","CB","?"))</f>
        <v> </v>
      </c>
      <c r="I2829" s="25" t="str">
        <f>IF(OR(E2829="",E2829="!!!",F2829="NEW"),"",INDEX(B2828:B$2,-1+SUMPRODUCT(MAX(ROW(E2828:E$2)*(E2829=E2828:E$2)))))</f>
        <v> </v>
      </c>
      <c r="J2829" s="25" t="str">
        <f>IF(OR(E2829="",E2829="!!!",F2829="NEW"),"",COUNTBLANK(OFFSET(A$1,,,SUMPRODUCT(MAX(ROW(E$2:E2829)*(E2829=E$2:E2829)))))-COUNTBLANK(OFFSET(A$1,,,SUMPRODUCT(MAX(ROW(E$1:E2828)*(E2=E$1:E2828))))))</f>
        <v> </v>
      </c>
      <c r="K2829" s="25" t="str">
        <f>IF(OR(E2829="",E2829="!!!",F2829="NEW"),"",INDEX(J$1:J2828,SUMPRODUCT(MAX(ROW(E$1:E2828)*(E2829=E$1:E2828)))))</f>
        <v> </v>
      </c>
      <c r="L2829" s="26"/>
    </row>
    <row r="2830" spans="1:12">
      <c r="A2830" s="20"/>
    </row>
    <row r="2831" spans="1:12">
      <c r="A2831" s="20" t="s">
        <v>2024</v>
      </c>
    </row>
    <row r="2832" spans="1:12">
      <c r="A2832" s="20" t="s">
        <v>2025</v>
      </c>
      <c r="E2832" s="21">
        <f>IF(D2832="?OLD","!!!","")</f>
        <v/>
      </c>
      <c r="F2832" s="22" t="str">
        <f>IF(OR(E2832="",E2832="!!!"),"",IF(NOT(ISNA(VLOOKUP(E2832,E$1:E2831,1,FALSE()))),"OLD",IF(AND(E2832&lt;&gt;"",E2832&lt;&gt;"!!!"),"NEW","")))</f>
        <v> </v>
      </c>
      <c r="G2832" s="23" t="str">
        <f>IF(OR(E2832="",E2832="!!!"),"",IF(OR(J2832=0,AND(J2832=1,K2832=1),AND(J2832=1,I2832="SBJ"),AND(J2832=1,I2832=0)),"?IN_FOCUS",IF(J2832&lt;=2,"?ACTIVATED",IF(J2832&lt;&gt;"","?FAMILIAR",IF(F2832="NEW",IF(ISNA(VLOOKUP(E2832,#REF!,1,FALSE())),"?TYPE_IDENTIFIABLE","?REFERENTIAL"),"_")))))</f>
        <v> </v>
      </c>
      <c r="H2832" s="24" t="str">
        <f>IF(J2832&lt;&gt;1,"",IF(I2832="SBJ","CB","?"))</f>
        <v> </v>
      </c>
      <c r="I2832" s="25" t="str">
        <f>IF(OR(E2832="",E2832="!!!",F2832="NEW"),"",INDEX(B2831:B$2,-1+SUMPRODUCT(MAX(ROW(E2831:E$2)*(E2832=E2831:E$2)))))</f>
        <v> </v>
      </c>
      <c r="J2832" s="25" t="str">
        <f>IF(OR(E2832="",E2832="!!!",F2832="NEW"),"",COUNTBLANK(OFFSET(A$1,,,SUMPRODUCT(MAX(ROW(E$2:E2832)*(E2832=E$2:E2832)))))-COUNTBLANK(OFFSET(A$1,,,SUMPRODUCT(MAX(ROW(E$1:E2831)*(E2=E$1:E2831))))))</f>
        <v> </v>
      </c>
      <c r="K2832" s="25" t="str">
        <f>IF(OR(E2832="",E2832="!!!",F2832="NEW"),"",INDEX(J$1:J2831,SUMPRODUCT(MAX(ROW(E$1:E2831)*(E2832=E$1:E2831)))))</f>
        <v> </v>
      </c>
      <c r="L2832" s="26"/>
    </row>
    <row r="2833" spans="1:12">
      <c r="A2833" s="20" t="s">
        <v>1160</v>
      </c>
      <c r="E2833" s="21">
        <f>IF(D2833="?OLD","!!!","")</f>
        <v/>
      </c>
      <c r="F2833" s="22" t="str">
        <f>IF(OR(E2833="",E2833="!!!"),"",IF(NOT(ISNA(VLOOKUP(E2833,E$1:E2832,1,FALSE()))),"OLD",IF(AND(E2833&lt;&gt;"",E2833&lt;&gt;"!!!"),"NEW","")))</f>
        <v> </v>
      </c>
      <c r="G2833" s="23" t="str">
        <f>IF(OR(E2833="",E2833="!!!"),"",IF(OR(J2833=0,AND(J2833=1,K2833=1),AND(J2833=1,I2833="SBJ"),AND(J2833=1,I2833=0)),"?IN_FOCUS",IF(J2833&lt;=2,"?ACTIVATED",IF(J2833&lt;&gt;"","?FAMILIAR",IF(F2833="NEW",IF(ISNA(VLOOKUP(E2833,#REF!,1,FALSE())),"?TYPE_IDENTIFIABLE","?REFERENTIAL"),"_")))))</f>
        <v> </v>
      </c>
      <c r="H2833" s="24" t="str">
        <f>IF(J2833&lt;&gt;1,"",IF(I2833="SBJ","CB","?"))</f>
        <v> </v>
      </c>
      <c r="I2833" s="25" t="str">
        <f>IF(OR(E2833="",E2833="!!!",F2833="NEW"),"",INDEX(B2832:B$2,-1+SUMPRODUCT(MAX(ROW(E2832:E$2)*(E2833=E2832:E$2)))))</f>
        <v> </v>
      </c>
      <c r="J2833" s="25" t="str">
        <f>IF(OR(E2833="",E2833="!!!",F2833="NEW"),"",COUNTBLANK(OFFSET(A$1,,,SUMPRODUCT(MAX(ROW(E$2:E2833)*(E2833=E$2:E2833)))))-COUNTBLANK(OFFSET(A$1,,,SUMPRODUCT(MAX(ROW(E$1:E2832)*(E2=E$1:E2832))))))</f>
        <v> </v>
      </c>
      <c r="K2833" s="25" t="str">
        <f>IF(OR(E2833="",E2833="!!!",F2833="NEW"),"",INDEX(J$1:J2832,SUMPRODUCT(MAX(ROW(E$1:E2832)*(E2833=E$1:E2832)))))</f>
        <v> </v>
      </c>
      <c r="L2833" s="26"/>
    </row>
    <row r="2834" spans="1:12">
      <c r="A2834" s="20" t="s">
        <v>1441</v>
      </c>
      <c r="E2834" s="21">
        <f>IF(D2834="?OLD","!!!","")</f>
        <v/>
      </c>
      <c r="F2834" s="22" t="str">
        <f>IF(OR(E2834="",E2834="!!!"),"",IF(NOT(ISNA(VLOOKUP(E2834,E$1:E2833,1,FALSE()))),"OLD",IF(AND(E2834&lt;&gt;"",E2834&lt;&gt;"!!!"),"NEW","")))</f>
        <v> </v>
      </c>
      <c r="G2834" s="23" t="str">
        <f>IF(OR(E2834="",E2834="!!!"),"",IF(OR(J2834=0,AND(J2834=1,K2834=1),AND(J2834=1,I2834="SBJ"),AND(J2834=1,I2834=0)),"?IN_FOCUS",IF(J2834&lt;=2,"?ACTIVATED",IF(J2834&lt;&gt;"","?FAMILIAR",IF(F2834="NEW",IF(ISNA(VLOOKUP(E2834,#REF!,1,FALSE())),"?TYPE_IDENTIFIABLE","?REFERENTIAL"),"_")))))</f>
        <v> </v>
      </c>
      <c r="H2834" s="24" t="str">
        <f>IF(J2834&lt;&gt;1,"",IF(I2834="SBJ","CB","?"))</f>
        <v> </v>
      </c>
      <c r="I2834" s="25" t="str">
        <f>IF(OR(E2834="",E2834="!!!",F2834="NEW"),"",INDEX(B2833:B$2,-1+SUMPRODUCT(MAX(ROW(E2833:E$2)*(E2834=E2833:E$2)))))</f>
        <v> </v>
      </c>
      <c r="J2834" s="25" t="str">
        <f>IF(OR(E2834="",E2834="!!!",F2834="NEW"),"",COUNTBLANK(OFFSET(A$1,,,SUMPRODUCT(MAX(ROW(E$2:E2834)*(E2834=E$2:E2834)))))-COUNTBLANK(OFFSET(A$1,,,SUMPRODUCT(MAX(ROW(E$1:E2833)*(E2=E$1:E2833))))))</f>
        <v> </v>
      </c>
      <c r="K2834" s="25" t="str">
        <f>IF(OR(E2834="",E2834="!!!",F2834="NEW"),"",INDEX(J$1:J2833,SUMPRODUCT(MAX(ROW(E$1:E2833)*(E2834=E$1:E2833)))))</f>
        <v> </v>
      </c>
      <c r="L2834" s="26"/>
    </row>
    <row r="2835" spans="1:12">
      <c r="A2835" s="20" t="s">
        <v>1215</v>
      </c>
      <c r="E2835" s="21">
        <f>IF(D2835="?OLD","!!!","")</f>
        <v/>
      </c>
      <c r="F2835" s="22" t="str">
        <f>IF(OR(E2835="",E2835="!!!"),"",IF(NOT(ISNA(VLOOKUP(E2835,E$1:E2834,1,FALSE()))),"OLD",IF(AND(E2835&lt;&gt;"",E2835&lt;&gt;"!!!"),"NEW","")))</f>
        <v> </v>
      </c>
      <c r="G2835" s="23" t="str">
        <f>IF(OR(E2835="",E2835="!!!"),"",IF(OR(J2835=0,AND(J2835=1,K2835=1),AND(J2835=1,I2835="SBJ"),AND(J2835=1,I2835=0)),"?IN_FOCUS",IF(J2835&lt;=2,"?ACTIVATED",IF(J2835&lt;&gt;"","?FAMILIAR",IF(F2835="NEW",IF(ISNA(VLOOKUP(E2835,#REF!,1,FALSE())),"?TYPE_IDENTIFIABLE","?REFERENTIAL"),"_")))))</f>
        <v> </v>
      </c>
      <c r="H2835" s="24" t="str">
        <f>IF(J2835&lt;&gt;1,"",IF(I2835="SBJ","CB","?"))</f>
        <v> </v>
      </c>
      <c r="I2835" s="25" t="str">
        <f>IF(OR(E2835="",E2835="!!!",F2835="NEW"),"",INDEX(B2834:B$2,-1+SUMPRODUCT(MAX(ROW(E2834:E$2)*(E2835=E2834:E$2)))))</f>
        <v> </v>
      </c>
      <c r="J2835" s="25" t="str">
        <f>IF(OR(E2835="",E2835="!!!",F2835="NEW"),"",COUNTBLANK(OFFSET(A$1,,,SUMPRODUCT(MAX(ROW(E$2:E2835)*(E2835=E$2:E2835)))))-COUNTBLANK(OFFSET(A$1,,,SUMPRODUCT(MAX(ROW(E$1:E2834)*(E2=E$1:E2834))))))</f>
        <v> </v>
      </c>
      <c r="K2835" s="25" t="str">
        <f>IF(OR(E2835="",E2835="!!!",F2835="NEW"),"",INDEX(J$1:J2834,SUMPRODUCT(MAX(ROW(E$1:E2834)*(E2835=E$1:E2834)))))</f>
        <v> </v>
      </c>
      <c r="L2835" s="26"/>
    </row>
    <row r="2836" spans="1:12">
      <c r="A2836" s="20"/>
    </row>
    <row r="2837" spans="1:12">
      <c r="A2837" s="20" t="s">
        <v>2026</v>
      </c>
    </row>
    <row r="2838" spans="1:12">
      <c r="A2838" s="20" t="s">
        <v>2027</v>
      </c>
      <c r="E2838" s="21">
        <f>IF(D2838="?OLD","!!!","")</f>
        <v/>
      </c>
      <c r="F2838" s="22" t="str">
        <f>IF(OR(E2838="",E2838="!!!"),"",IF(NOT(ISNA(VLOOKUP(E2838,E$1:E2837,1,FALSE()))),"OLD",IF(AND(E2838&lt;&gt;"",E2838&lt;&gt;"!!!"),"NEW","")))</f>
        <v> </v>
      </c>
      <c r="G2838" s="23" t="str">
        <f>IF(OR(E2838="",E2838="!!!"),"",IF(OR(J2838=0,AND(J2838=1,K2838=1),AND(J2838=1,I2838="SBJ"),AND(J2838=1,I2838=0)),"?IN_FOCUS",IF(J2838&lt;=2,"?ACTIVATED",IF(J2838&lt;&gt;"","?FAMILIAR",IF(F2838="NEW",IF(ISNA(VLOOKUP(E2838,#REF!,1,FALSE())),"?TYPE_IDENTIFIABLE","?REFERENTIAL"),"_")))))</f>
        <v> </v>
      </c>
      <c r="H2838" s="24" t="str">
        <f>IF(J2838&lt;&gt;1,"",IF(I2838="SBJ","CB","?"))</f>
        <v> </v>
      </c>
      <c r="I2838" s="25" t="str">
        <f>IF(OR(E2838="",E2838="!!!",F2838="NEW"),"",INDEX(B2837:B$2,-1+SUMPRODUCT(MAX(ROW(E2837:E$2)*(E2838=E2837:E$2)))))</f>
        <v> </v>
      </c>
      <c r="J2838" s="25" t="str">
        <f>IF(OR(E2838="",E2838="!!!",F2838="NEW"),"",COUNTBLANK(OFFSET(A$1,,,SUMPRODUCT(MAX(ROW(E$2:E2838)*(E2838=E$2:E2838)))))-COUNTBLANK(OFFSET(A$1,,,SUMPRODUCT(MAX(ROW(E$1:E2837)*(E2=E$1:E2837))))))</f>
        <v> </v>
      </c>
      <c r="K2838" s="25" t="str">
        <f>IF(OR(E2838="",E2838="!!!",F2838="NEW"),"",INDEX(J$1:J2837,SUMPRODUCT(MAX(ROW(E$1:E2837)*(E2838=E$1:E2837)))))</f>
        <v> </v>
      </c>
      <c r="L2838" s="26"/>
    </row>
    <row r="2839" spans="1:12">
      <c r="A2839" s="20" t="s">
        <v>707</v>
      </c>
      <c r="E2839" s="21">
        <f>IF(D2839="?OLD","!!!","")</f>
        <v/>
      </c>
      <c r="F2839" s="22" t="str">
        <f>IF(OR(E2839="",E2839="!!!"),"",IF(NOT(ISNA(VLOOKUP(E2839,E$1:E2838,1,FALSE()))),"OLD",IF(AND(E2839&lt;&gt;"",E2839&lt;&gt;"!!!"),"NEW","")))</f>
        <v> </v>
      </c>
      <c r="G2839" s="23" t="str">
        <f>IF(OR(E2839="",E2839="!!!"),"",IF(OR(J2839=0,AND(J2839=1,K2839=1),AND(J2839=1,I2839="SBJ"),AND(J2839=1,I2839=0)),"?IN_FOCUS",IF(J2839&lt;=2,"?ACTIVATED",IF(J2839&lt;&gt;"","?FAMILIAR",IF(F2839="NEW",IF(ISNA(VLOOKUP(E2839,#REF!,1,FALSE())),"?TYPE_IDENTIFIABLE","?REFERENTIAL"),"_")))))</f>
        <v> </v>
      </c>
      <c r="H2839" s="24" t="str">
        <f>IF(J2839&lt;&gt;1,"",IF(I2839="SBJ","CB","?"))</f>
        <v> </v>
      </c>
      <c r="I2839" s="25" t="str">
        <f>IF(OR(E2839="",E2839="!!!",F2839="NEW"),"",INDEX(B2838:B$2,-1+SUMPRODUCT(MAX(ROW(E2838:E$2)*(E2839=E2838:E$2)))))</f>
        <v> </v>
      </c>
      <c r="J2839" s="25" t="str">
        <f>IF(OR(E2839="",E2839="!!!",F2839="NEW"),"",COUNTBLANK(OFFSET(A$1,,,SUMPRODUCT(MAX(ROW(E$2:E2839)*(E2839=E$2:E2839)))))-COUNTBLANK(OFFSET(A$1,,,SUMPRODUCT(MAX(ROW(E$1:E2838)*(E2=E$1:E2838))))))</f>
        <v> </v>
      </c>
      <c r="K2839" s="25" t="str">
        <f>IF(OR(E2839="",E2839="!!!",F2839="NEW"),"",INDEX(J$1:J2838,SUMPRODUCT(MAX(ROW(E$1:E2838)*(E2839=E$1:E2838)))))</f>
        <v> </v>
      </c>
      <c r="L2839" s="26"/>
    </row>
    <row r="2840" spans="1:12">
      <c r="A2840" s="20" t="s">
        <v>135</v>
      </c>
      <c r="E2840" s="21">
        <f>IF(D2840="?OLD","!!!","")</f>
        <v/>
      </c>
      <c r="F2840" s="22" t="str">
        <f>IF(OR(E2840="",E2840="!!!"),"",IF(NOT(ISNA(VLOOKUP(E2840,E$1:E2839,1,FALSE()))),"OLD",IF(AND(E2840&lt;&gt;"",E2840&lt;&gt;"!!!"),"NEW","")))</f>
        <v> </v>
      </c>
      <c r="G2840" s="23" t="str">
        <f>IF(OR(E2840="",E2840="!!!"),"",IF(OR(J2840=0,AND(J2840=1,K2840=1),AND(J2840=1,I2840="SBJ"),AND(J2840=1,I2840=0)),"?IN_FOCUS",IF(J2840&lt;=2,"?ACTIVATED",IF(J2840&lt;&gt;"","?FAMILIAR",IF(F2840="NEW",IF(ISNA(VLOOKUP(E2840,#REF!,1,FALSE())),"?TYPE_IDENTIFIABLE","?REFERENTIAL"),"_")))))</f>
        <v> </v>
      </c>
      <c r="H2840" s="24" t="str">
        <f>IF(J2840&lt;&gt;1,"",IF(I2840="SBJ","CB","?"))</f>
        <v> </v>
      </c>
      <c r="I2840" s="25" t="str">
        <f>IF(OR(E2840="",E2840="!!!",F2840="NEW"),"",INDEX(B2839:B$2,-1+SUMPRODUCT(MAX(ROW(E2839:E$2)*(E2840=E2839:E$2)))))</f>
        <v> </v>
      </c>
      <c r="J2840" s="25" t="str">
        <f>IF(OR(E2840="",E2840="!!!",F2840="NEW"),"",COUNTBLANK(OFFSET(A$1,,,SUMPRODUCT(MAX(ROW(E$2:E2840)*(E2840=E$2:E2840)))))-COUNTBLANK(OFFSET(A$1,,,SUMPRODUCT(MAX(ROW(E$1:E2839)*(E2=E$1:E2839))))))</f>
        <v> </v>
      </c>
      <c r="K2840" s="25" t="str">
        <f>IF(OR(E2840="",E2840="!!!",F2840="NEW"),"",INDEX(J$1:J2839,SUMPRODUCT(MAX(ROW(E$1:E2839)*(E2840=E$1:E2839)))))</f>
        <v> </v>
      </c>
      <c r="L2840" s="26"/>
    </row>
    <row r="2841" spans="1:12">
      <c r="A2841" s="20"/>
    </row>
    <row r="2842" spans="1:12">
      <c r="A2842" s="20" t="s">
        <v>1090</v>
      </c>
      <c r="E2842" s="21">
        <f>IF(D2842="?OLD","!!!","")</f>
        <v/>
      </c>
      <c r="F2842" s="22" t="str">
        <f>IF(OR(E2842="",E2842="!!!"),"",IF(NOT(ISNA(VLOOKUP(E2842,E$1:E2841,1,FALSE()))),"OLD",IF(AND(E2842&lt;&gt;"",E2842&lt;&gt;"!!!"),"NEW","")))</f>
        <v> </v>
      </c>
      <c r="G2842" s="23" t="str">
        <f>IF(OR(E2842="",E2842="!!!"),"",IF(OR(J2842=0,AND(J2842=1,K2842=1),AND(J2842=1,I2842="SBJ"),AND(J2842=1,I2842=0)),"?IN_FOCUS",IF(J2842&lt;=2,"?ACTIVATED",IF(J2842&lt;&gt;"","?FAMILIAR",IF(F2842="NEW",IF(ISNA(VLOOKUP(E2842,#REF!,1,FALSE())),"?TYPE_IDENTIFIABLE","?REFERENTIAL"),"_")))))</f>
        <v> </v>
      </c>
      <c r="H2842" s="24" t="str">
        <f>IF(J2842&lt;&gt;1,"",IF(I2842="SBJ","CB","?"))</f>
        <v> </v>
      </c>
      <c r="I2842" s="25" t="str">
        <f>IF(OR(E2842="",E2842="!!!",F2842="NEW"),"",INDEX(B2841:B$2,-1+SUMPRODUCT(MAX(ROW(E2841:E$2)*(E2842=E2841:E$2)))))</f>
        <v> </v>
      </c>
      <c r="J2842" s="25" t="str">
        <f>IF(OR(E2842="",E2842="!!!",F2842="NEW"),"",COUNTBLANK(OFFSET(A$1,,,SUMPRODUCT(MAX(ROW(E$2:E2842)*(E2842=E$2:E2842)))))-COUNTBLANK(OFFSET(A$1,,,SUMPRODUCT(MAX(ROW(E$1:E2841)*(E2=E$1:E2841))))))</f>
        <v> </v>
      </c>
      <c r="K2842" s="25" t="str">
        <f>IF(OR(E2842="",E2842="!!!",F2842="NEW"),"",INDEX(J$1:J2841,SUMPRODUCT(MAX(ROW(E$1:E2841)*(E2842=E$1:E2841)))))</f>
        <v> </v>
      </c>
      <c r="L2842" s="26"/>
    </row>
    <row r="2843" spans="1:12">
      <c r="A2843" s="20" t="s">
        <v>2028</v>
      </c>
    </row>
    <row r="2844" spans="1:12">
      <c r="A2844" s="20" t="s">
        <v>1825</v>
      </c>
      <c r="E2844" s="21">
        <f>IF(D2844="?OLD","!!!","")</f>
        <v/>
      </c>
      <c r="F2844" s="22" t="str">
        <f>IF(OR(E2844="",E2844="!!!"),"",IF(NOT(ISNA(VLOOKUP(E2844,E$1:E2843,1,FALSE()))),"OLD",IF(AND(E2844&lt;&gt;"",E2844&lt;&gt;"!!!"),"NEW","")))</f>
        <v> </v>
      </c>
      <c r="G2844" s="23" t="str">
        <f>IF(OR(E2844="",E2844="!!!"),"",IF(OR(J2844=0,AND(J2844=1,K2844=1),AND(J2844=1,I2844="SBJ"),AND(J2844=1,I2844=0)),"?IN_FOCUS",IF(J2844&lt;=2,"?ACTIVATED",IF(J2844&lt;&gt;"","?FAMILIAR",IF(F2844="NEW",IF(ISNA(VLOOKUP(E2844,#REF!,1,FALSE())),"?TYPE_IDENTIFIABLE","?REFERENTIAL"),"_")))))</f>
        <v> </v>
      </c>
      <c r="H2844" s="24" t="str">
        <f>IF(J2844&lt;&gt;1,"",IF(I2844="SBJ","CB","?"))</f>
        <v> </v>
      </c>
      <c r="I2844" s="25" t="str">
        <f>IF(OR(E2844="",E2844="!!!",F2844="NEW"),"",INDEX(B2843:B$2,-1+SUMPRODUCT(MAX(ROW(E2843:E$2)*(E2844=E2843:E$2)))))</f>
        <v> </v>
      </c>
      <c r="J2844" s="25" t="str">
        <f>IF(OR(E2844="",E2844="!!!",F2844="NEW"),"",COUNTBLANK(OFFSET(A$1,,,SUMPRODUCT(MAX(ROW(E$2:E2844)*(E2844=E$2:E2844)))))-COUNTBLANK(OFFSET(A$1,,,SUMPRODUCT(MAX(ROW(E$1:E2843)*(E2=E$1:E2843))))))</f>
        <v> </v>
      </c>
      <c r="K2844" s="25" t="str">
        <f>IF(OR(E2844="",E2844="!!!",F2844="NEW"),"",INDEX(J$1:J2843,SUMPRODUCT(MAX(ROW(E$1:E2843)*(E2844=E$1:E2843)))))</f>
        <v> </v>
      </c>
      <c r="L2844" s="26"/>
    </row>
    <row r="2845" spans="1:12">
      <c r="A2845" s="20" t="s">
        <v>1057</v>
      </c>
      <c r="E2845" s="21">
        <f>IF(D2845="?OLD","!!!","")</f>
        <v/>
      </c>
      <c r="F2845" s="22" t="str">
        <f>IF(OR(E2845="",E2845="!!!"),"",IF(NOT(ISNA(VLOOKUP(E2845,E$1:E2844,1,FALSE()))),"OLD",IF(AND(E2845&lt;&gt;"",E2845&lt;&gt;"!!!"),"NEW","")))</f>
        <v> </v>
      </c>
      <c r="G2845" s="23" t="str">
        <f>IF(OR(E2845="",E2845="!!!"),"",IF(OR(J2845=0,AND(J2845=1,K2845=1),AND(J2845=1,I2845="SBJ"),AND(J2845=1,I2845=0)),"?IN_FOCUS",IF(J2845&lt;=2,"?ACTIVATED",IF(J2845&lt;&gt;"","?FAMILIAR",IF(F2845="NEW",IF(ISNA(VLOOKUP(E2845,#REF!,1,FALSE())),"?TYPE_IDENTIFIABLE","?REFERENTIAL"),"_")))))</f>
        <v> </v>
      </c>
      <c r="H2845" s="24" t="str">
        <f>IF(J2845&lt;&gt;1,"",IF(I2845="SBJ","CB","?"))</f>
        <v> </v>
      </c>
      <c r="I2845" s="25" t="str">
        <f>IF(OR(E2845="",E2845="!!!",F2845="NEW"),"",INDEX(B2844:B$2,-1+SUMPRODUCT(MAX(ROW(E2844:E$2)*(E2845=E2844:E$2)))))</f>
        <v> </v>
      </c>
      <c r="J2845" s="25" t="str">
        <f>IF(OR(E2845="",E2845="!!!",F2845="NEW"),"",COUNTBLANK(OFFSET(A$1,,,SUMPRODUCT(MAX(ROW(E$2:E2845)*(E2845=E$2:E2845)))))-COUNTBLANK(OFFSET(A$1,,,SUMPRODUCT(MAX(ROW(E$1:E2844)*(E2=E$1:E2844))))))</f>
        <v> </v>
      </c>
      <c r="K2845" s="25" t="str">
        <f>IF(OR(E2845="",E2845="!!!",F2845="NEW"),"",INDEX(J$1:J2844,SUMPRODUCT(MAX(ROW(E$1:E2844)*(E2845=E$1:E2844)))))</f>
        <v> </v>
      </c>
      <c r="L2845" s="26"/>
    </row>
    <row r="2846" spans="1:12">
      <c r="A2846" s="20" t="s">
        <v>1369</v>
      </c>
      <c r="B2846" s="27" t="s">
        <v>1014</v>
      </c>
      <c r="C2846" s="27" t="s">
        <v>1050</v>
      </c>
      <c r="D2846" s="27" t="s">
        <v>1030</v>
      </c>
      <c r="E2846" s="21">
        <f>IF(D2846="?OLD","!!!","")</f>
        <v/>
      </c>
      <c r="F2846" s="22" t="str">
        <f>IF(OR(E2846="",E2846="!!!"),"",IF(NOT(ISNA(VLOOKUP(E2846,E$1:E2845,1,FALSE()))),"OLD",IF(AND(E2846&lt;&gt;"",E2846&lt;&gt;"!!!"),"NEW","")))</f>
        <v> </v>
      </c>
      <c r="G2846" s="23" t="str">
        <f>IF(OR(E2846="",E2846="!!!"),"",IF(OR(J2846=0,AND(J2846=1,K2846=1),AND(J2846=1,I2846="SBJ"),AND(J2846=1,I2846=0)),"?IN_FOCUS",IF(J2846&lt;=2,"?ACTIVATED",IF(J2846&lt;&gt;"","?FAMILIAR",IF(F2846="NEW",IF(ISNA(VLOOKUP(E2846,#REF!,1,FALSE())),"?TYPE_IDENTIFIABLE","?REFERENTIAL"),"_")))))</f>
        <v> </v>
      </c>
      <c r="H2846" s="24" t="str">
        <f>IF(J2846&lt;&gt;1,"",IF(I2846="SBJ","CB","?"))</f>
        <v> </v>
      </c>
      <c r="I2846" s="25" t="str">
        <f>IF(OR(E2846="",E2846="!!!",F2846="NEW"),"",INDEX(B2845:B$2,-1+SUMPRODUCT(MAX(ROW(E2845:E$2)*(E2846=E2845:E$2)))))</f>
        <v> </v>
      </c>
      <c r="J2846" s="25" t="str">
        <f>IF(OR(E2846="",E2846="!!!",F2846="NEW"),"",COUNTBLANK(OFFSET(A$1,,,SUMPRODUCT(MAX(ROW(E$2:E2846)*(E2846=E$2:E2846)))))-COUNTBLANK(OFFSET(A$1,,,SUMPRODUCT(MAX(ROW(E$1:E2845)*(E2=E$1:E2845))))))</f>
        <v> </v>
      </c>
      <c r="K2846" s="25" t="str">
        <f>IF(OR(E2846="",E2846="!!!",F2846="NEW"),"",INDEX(J$1:J2845,SUMPRODUCT(MAX(ROW(E$1:E2845)*(E2846=E$1:E2845)))))</f>
        <v> </v>
      </c>
      <c r="L2846" s="26"/>
    </row>
    <row r="2847" spans="1:12">
      <c r="A2847" s="20" t="s">
        <v>2017</v>
      </c>
      <c r="E2847" s="21">
        <f>IF(D2847="?OLD","!!!","")</f>
        <v/>
      </c>
      <c r="F2847" s="22" t="str">
        <f>IF(OR(E2847="",E2847="!!!"),"",IF(NOT(ISNA(VLOOKUP(E2847,E$1:E2846,1,FALSE()))),"OLD",IF(AND(E2847&lt;&gt;"",E2847&lt;&gt;"!!!"),"NEW","")))</f>
        <v> </v>
      </c>
      <c r="G2847" s="23" t="str">
        <f>IF(OR(E2847="",E2847="!!!"),"",IF(OR(J2847=0,AND(J2847=1,K2847=1),AND(J2847=1,I2847="SBJ"),AND(J2847=1,I2847=0)),"?IN_FOCUS",IF(J2847&lt;=2,"?ACTIVATED",IF(J2847&lt;&gt;"","?FAMILIAR",IF(F2847="NEW",IF(ISNA(VLOOKUP(E2847,#REF!,1,FALSE())),"?TYPE_IDENTIFIABLE","?REFERENTIAL"),"_")))))</f>
        <v> </v>
      </c>
      <c r="H2847" s="24" t="str">
        <f>IF(J2847&lt;&gt;1,"",IF(I2847="SBJ","CB","?"))</f>
        <v> </v>
      </c>
      <c r="I2847" s="25" t="str">
        <f>IF(OR(E2847="",E2847="!!!",F2847="NEW"),"",INDEX(B2846:B$2,-1+SUMPRODUCT(MAX(ROW(E2846:E$2)*(E2847=E2846:E$2)))))</f>
        <v> </v>
      </c>
      <c r="J2847" s="25" t="str">
        <f>IF(OR(E2847="",E2847="!!!",F2847="NEW"),"",COUNTBLANK(OFFSET(A$1,,,SUMPRODUCT(MAX(ROW(E$2:E2847)*(E2847=E$2:E2847)))))-COUNTBLANK(OFFSET(A$1,,,SUMPRODUCT(MAX(ROW(E$1:E2846)*(E2=E$1:E2846))))))</f>
        <v> </v>
      </c>
      <c r="K2847" s="25" t="str">
        <f>IF(OR(E2847="",E2847="!!!",F2847="NEW"),"",INDEX(J$1:J2846,SUMPRODUCT(MAX(ROW(E$1:E2846)*(E2847=E$1:E2846)))))</f>
        <v> </v>
      </c>
      <c r="L2847" s="26"/>
    </row>
    <row r="2848" spans="1:12">
      <c r="A2848" s="20" t="s">
        <v>1275</v>
      </c>
      <c r="E2848" s="21">
        <f>IF(D2848="?OLD","!!!","")</f>
        <v/>
      </c>
      <c r="F2848" s="22" t="str">
        <f>IF(OR(E2848="",E2848="!!!"),"",IF(NOT(ISNA(VLOOKUP(E2848,E$1:E2847,1,FALSE()))),"OLD",IF(AND(E2848&lt;&gt;"",E2848&lt;&gt;"!!!"),"NEW","")))</f>
        <v> </v>
      </c>
      <c r="G2848" s="23" t="str">
        <f>IF(OR(E2848="",E2848="!!!"),"",IF(OR(J2848=0,AND(J2848=1,K2848=1),AND(J2848=1,I2848="SBJ"),AND(J2848=1,I2848=0)),"?IN_FOCUS",IF(J2848&lt;=2,"?ACTIVATED",IF(J2848&lt;&gt;"","?FAMILIAR",IF(F2848="NEW",IF(ISNA(VLOOKUP(E2848,#REF!,1,FALSE())),"?TYPE_IDENTIFIABLE","?REFERENTIAL"),"_")))))</f>
        <v> </v>
      </c>
      <c r="H2848" s="24" t="str">
        <f>IF(J2848&lt;&gt;1,"",IF(I2848="SBJ","CB","?"))</f>
        <v> </v>
      </c>
      <c r="I2848" s="25" t="str">
        <f>IF(OR(E2848="",E2848="!!!",F2848="NEW"),"",INDEX(B2847:B$2,-1+SUMPRODUCT(MAX(ROW(E2847:E$2)*(E2848=E2847:E$2)))))</f>
        <v> </v>
      </c>
      <c r="J2848" s="25" t="str">
        <f>IF(OR(E2848="",E2848="!!!",F2848="NEW"),"",COUNTBLANK(OFFSET(A$1,,,SUMPRODUCT(MAX(ROW(E$2:E2848)*(E2848=E$2:E2848)))))-COUNTBLANK(OFFSET(A$1,,,SUMPRODUCT(MAX(ROW(E$1:E2847)*(E2=E$1:E2847))))))</f>
        <v> </v>
      </c>
      <c r="K2848" s="25" t="str">
        <f>IF(OR(E2848="",E2848="!!!",F2848="NEW"),"",INDEX(J$1:J2847,SUMPRODUCT(MAX(ROW(E$1:E2847)*(E2848=E$1:E2847)))))</f>
        <v> </v>
      </c>
      <c r="L2848" s="26"/>
    </row>
    <row r="2849" spans="1:12">
      <c r="A2849" s="20" t="s">
        <v>1034</v>
      </c>
      <c r="E2849" s="21">
        <f>IF(D2849="?OLD","!!!","")</f>
        <v/>
      </c>
      <c r="F2849" s="22" t="str">
        <f>IF(OR(E2849="",E2849="!!!"),"",IF(NOT(ISNA(VLOOKUP(E2849,E$1:E2848,1,FALSE()))),"OLD",IF(AND(E2849&lt;&gt;"",E2849&lt;&gt;"!!!"),"NEW","")))</f>
        <v> </v>
      </c>
      <c r="G2849" s="23" t="str">
        <f>IF(OR(E2849="",E2849="!!!"),"",IF(OR(J2849=0,AND(J2849=1,K2849=1),AND(J2849=1,I2849="SBJ"),AND(J2849=1,I2849=0)),"?IN_FOCUS",IF(J2849&lt;=2,"?ACTIVATED",IF(J2849&lt;&gt;"","?FAMILIAR",IF(F2849="NEW",IF(ISNA(VLOOKUP(E2849,#REF!,1,FALSE())),"?TYPE_IDENTIFIABLE","?REFERENTIAL"),"_")))))</f>
        <v> </v>
      </c>
      <c r="H2849" s="24" t="str">
        <f>IF(J2849&lt;&gt;1,"",IF(I2849="SBJ","CB","?"))</f>
        <v> </v>
      </c>
      <c r="I2849" s="25" t="str">
        <f>IF(OR(E2849="",E2849="!!!",F2849="NEW"),"",INDEX(B2848:B$2,-1+SUMPRODUCT(MAX(ROW(E2848:E$2)*(E2849=E2848:E$2)))))</f>
        <v> </v>
      </c>
      <c r="J2849" s="25" t="str">
        <f>IF(OR(E2849="",E2849="!!!",F2849="NEW"),"",COUNTBLANK(OFFSET(A$1,,,SUMPRODUCT(MAX(ROW(E$2:E2849)*(E2849=E$2:E2849)))))-COUNTBLANK(OFFSET(A$1,,,SUMPRODUCT(MAX(ROW(E$1:E2848)*(E2=E$1:E2848))))))</f>
        <v> </v>
      </c>
      <c r="K2849" s="25" t="str">
        <f>IF(OR(E2849="",E2849="!!!",F2849="NEW"),"",INDEX(J$1:J2848,SUMPRODUCT(MAX(ROW(E$1:E2848)*(E2849=E$1:E2848)))))</f>
        <v> </v>
      </c>
      <c r="L2849" s="26"/>
    </row>
    <row r="2850" spans="1:12">
      <c r="A2850" s="20" t="s">
        <v>1036</v>
      </c>
      <c r="E2850" s="21">
        <f>IF(D2850="?OLD","!!!","")</f>
        <v/>
      </c>
      <c r="F2850" s="22" t="str">
        <f>IF(OR(E2850="",E2850="!!!"),"",IF(NOT(ISNA(VLOOKUP(E2850,E$1:E2849,1,FALSE()))),"OLD",IF(AND(E2850&lt;&gt;"",E2850&lt;&gt;"!!!"),"NEW","")))</f>
        <v> </v>
      </c>
      <c r="G2850" s="23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4" t="str">
        <f>IF(J2850&lt;&gt;1,"",IF(I2850="SBJ","CB","?"))</f>
        <v> </v>
      </c>
      <c r="I2850" s="25" t="str">
        <f>IF(OR(E2850="",E2850="!!!",F2850="NEW"),"",INDEX(B2849:B$2,-1+SUMPRODUCT(MAX(ROW(E2849:E$2)*(E2850=E2849:E$2)))))</f>
        <v> </v>
      </c>
      <c r="J2850" s="25" t="str">
        <f>IF(OR(E2850="",E2850="!!!",F2850="NEW"),"",COUNTBLANK(OFFSET(A$1,,,SUMPRODUCT(MAX(ROW(E$2:E2850)*(E2850=E$2:E2850)))))-COUNTBLANK(OFFSET(A$1,,,SUMPRODUCT(MAX(ROW(E$1:E2849)*(E2=E$1:E2849))))))</f>
        <v> </v>
      </c>
      <c r="K2850" s="25" t="str">
        <f>IF(OR(E2850="",E2850="!!!",F2850="NEW"),"",INDEX(J$1:J2849,SUMPRODUCT(MAX(ROW(E$1:E2849)*(E2850=E$1:E2849)))))</f>
        <v> </v>
      </c>
      <c r="L2850" s="26"/>
    </row>
    <row r="2851" spans="1:12">
      <c r="A2851" s="20" t="s">
        <v>2029</v>
      </c>
      <c r="B2851" s="27" t="s">
        <v>1079</v>
      </c>
      <c r="C2851" s="27" t="s">
        <v>1029</v>
      </c>
      <c r="D2851" s="27" t="s">
        <v>1030</v>
      </c>
      <c r="E2851" s="21">
        <f>IF(D2851="?OLD","!!!","")</f>
        <v/>
      </c>
      <c r="F2851" s="22" t="str">
        <f>IF(OR(E2851="",E2851="!!!"),"",IF(NOT(ISNA(VLOOKUP(E2851,E$1:E2850,1,FALSE()))),"OLD",IF(AND(E2851&lt;&gt;"",E2851&lt;&gt;"!!!"),"NEW","")))</f>
        <v> </v>
      </c>
      <c r="G2851" s="23" t="str">
        <f>IF(OR(E2851="",E2851="!!!"),"",IF(OR(J2851=0,AND(J2851=1,K2851=1),AND(J2851=1,I2851="SBJ"),AND(J2851=1,I2851=0)),"?IN_FOCUS",IF(J2851&lt;=2,"?ACTIVATED",IF(J2851&lt;&gt;"","?FAMILIAR",IF(F2851="NEW",IF(ISNA(VLOOKUP(E2851,#REF!,1,FALSE())),"?TYPE_IDENTIFIABLE","?REFERENTIAL"),"_")))))</f>
        <v> </v>
      </c>
      <c r="H2851" s="24" t="str">
        <f>IF(J2851&lt;&gt;1,"",IF(I2851="SBJ","CB","?"))</f>
        <v> </v>
      </c>
      <c r="I2851" s="25" t="str">
        <f>IF(OR(E2851="",E2851="!!!",F2851="NEW"),"",INDEX(B2850:B$2,-1+SUMPRODUCT(MAX(ROW(E2850:E$2)*(E2851=E2850:E$2)))))</f>
        <v> </v>
      </c>
      <c r="J2851" s="25" t="str">
        <f>IF(OR(E2851="",E2851="!!!",F2851="NEW"),"",COUNTBLANK(OFFSET(A$1,,,SUMPRODUCT(MAX(ROW(E$2:E2851)*(E2851=E$2:E2851)))))-COUNTBLANK(OFFSET(A$1,,,SUMPRODUCT(MAX(ROW(E$1:E2850)*(E2=E$1:E2850))))))</f>
        <v> </v>
      </c>
      <c r="K2851" s="25" t="str">
        <f>IF(OR(E2851="",E2851="!!!",F2851="NEW"),"",INDEX(J$1:J2850,SUMPRODUCT(MAX(ROW(E$1:E2850)*(E2851=E$1:E2850)))))</f>
        <v> </v>
      </c>
      <c r="L2851" s="26"/>
    </row>
    <row r="2852" spans="1:12">
      <c r="A2852" s="20" t="s">
        <v>1016</v>
      </c>
      <c r="E2852" s="21">
        <f>IF(D2852="?OLD","!!!","")</f>
        <v/>
      </c>
      <c r="F2852" s="22" t="str">
        <f>IF(OR(E2852="",E2852="!!!"),"",IF(NOT(ISNA(VLOOKUP(E2852,E$1:E2851,1,FALSE()))),"OLD",IF(AND(E2852&lt;&gt;"",E2852&lt;&gt;"!!!"),"NEW","")))</f>
        <v> </v>
      </c>
      <c r="G2852" s="23" t="str">
        <f>IF(OR(E2852="",E2852="!!!"),"",IF(OR(J2852=0,AND(J2852=1,K2852=1),AND(J2852=1,I2852="SBJ"),AND(J2852=1,I2852=0)),"?IN_FOCUS",IF(J2852&lt;=2,"?ACTIVATED",IF(J2852&lt;&gt;"","?FAMILIAR",IF(F2852="NEW",IF(ISNA(VLOOKUP(E2852,#REF!,1,FALSE())),"?TYPE_IDENTIFIABLE","?REFERENTIAL"),"_")))))</f>
        <v> </v>
      </c>
      <c r="H2852" s="24" t="str">
        <f>IF(J2852&lt;&gt;1,"",IF(I2852="SBJ","CB","?"))</f>
        <v> </v>
      </c>
      <c r="I2852" s="25" t="str">
        <f>IF(OR(E2852="",E2852="!!!",F2852="NEW"),"",INDEX(B2851:B$2,-1+SUMPRODUCT(MAX(ROW(E2851:E$2)*(E2852=E2851:E$2)))))</f>
        <v> </v>
      </c>
      <c r="J2852" s="25" t="str">
        <f>IF(OR(E2852="",E2852="!!!",F2852="NEW"),"",COUNTBLANK(OFFSET(A$1,,,SUMPRODUCT(MAX(ROW(E$2:E2852)*(E2852=E$2:E2852)))))-COUNTBLANK(OFFSET(A$1,,,SUMPRODUCT(MAX(ROW(E$1:E2851)*(E2=E$1:E2851))))))</f>
        <v> </v>
      </c>
      <c r="K2852" s="25" t="str">
        <f>IF(OR(E2852="",E2852="!!!",F2852="NEW"),"",INDEX(J$1:J2851,SUMPRODUCT(MAX(ROW(E$1:E2851)*(E2852=E$1:E2851)))))</f>
        <v> </v>
      </c>
      <c r="L2852" s="26"/>
    </row>
    <row r="2853" spans="1:12">
      <c r="A2853" s="20" t="s">
        <v>1036</v>
      </c>
      <c r="E2853" s="21">
        <f>IF(D2853="?OLD","!!!","")</f>
        <v/>
      </c>
      <c r="F2853" s="22" t="str">
        <f>IF(OR(E2853="",E2853="!!!"),"",IF(NOT(ISNA(VLOOKUP(E2853,E$1:E2852,1,FALSE()))),"OLD",IF(AND(E2853&lt;&gt;"",E2853&lt;&gt;"!!!"),"NEW","")))</f>
        <v> </v>
      </c>
      <c r="G2853" s="23" t="str">
        <f>IF(OR(E2853="",E2853="!!!"),"",IF(OR(J2853=0,AND(J2853=1,K2853=1),AND(J2853=1,I2853="SBJ"),AND(J2853=1,I2853=0)),"?IN_FOCUS",IF(J2853&lt;=2,"?ACTIVATED",IF(J2853&lt;&gt;"","?FAMILIAR",IF(F2853="NEW",IF(ISNA(VLOOKUP(E2853,#REF!,1,FALSE())),"?TYPE_IDENTIFIABLE","?REFERENTIAL"),"_")))))</f>
        <v> </v>
      </c>
      <c r="H2853" s="24" t="str">
        <f>IF(J2853&lt;&gt;1,"",IF(I2853="SBJ","CB","?"))</f>
        <v> </v>
      </c>
      <c r="I2853" s="25" t="str">
        <f>IF(OR(E2853="",E2853="!!!",F2853="NEW"),"",INDEX(B2852:B$2,-1+SUMPRODUCT(MAX(ROW(E2852:E$2)*(E2853=E2852:E$2)))))</f>
        <v> </v>
      </c>
      <c r="J2853" s="25" t="str">
        <f>IF(OR(E2853="",E2853="!!!",F2853="NEW"),"",COUNTBLANK(OFFSET(A$1,,,SUMPRODUCT(MAX(ROW(E$2:E2853)*(E2853=E$2:E2853)))))-COUNTBLANK(OFFSET(A$1,,,SUMPRODUCT(MAX(ROW(E$1:E2852)*(E2=E$1:E2852))))))</f>
        <v> </v>
      </c>
      <c r="K2853" s="25" t="str">
        <f>IF(OR(E2853="",E2853="!!!",F2853="NEW"),"",INDEX(J$1:J2852,SUMPRODUCT(MAX(ROW(E$1:E2852)*(E2853=E$1:E2852)))))</f>
        <v> </v>
      </c>
      <c r="L2853" s="26"/>
    </row>
    <row r="2854" spans="1:12">
      <c r="A2854" s="20" t="s">
        <v>2030</v>
      </c>
      <c r="B2854" s="27" t="s">
        <v>1066</v>
      </c>
      <c r="C2854" s="27" t="s">
        <v>1029</v>
      </c>
      <c r="D2854" s="27" t="s">
        <v>1030</v>
      </c>
      <c r="E2854" s="21">
        <f>IF(D2854="?OLD","!!!","")</f>
        <v/>
      </c>
      <c r="F2854" s="22" t="str">
        <f>IF(OR(E2854="",E2854="!!!"),"",IF(NOT(ISNA(VLOOKUP(E2854,E$1:E2853,1,FALSE()))),"OLD",IF(AND(E2854&lt;&gt;"",E2854&lt;&gt;"!!!"),"NEW","")))</f>
        <v> </v>
      </c>
      <c r="G2854" s="23" t="str">
        <f>IF(OR(E2854="",E2854="!!!"),"",IF(OR(J2854=0,AND(J2854=1,K2854=1),AND(J2854=1,I2854="SBJ"),AND(J2854=1,I2854=0)),"?IN_FOCUS",IF(J2854&lt;=2,"?ACTIVATED",IF(J2854&lt;&gt;"","?FAMILIAR",IF(F2854="NEW",IF(ISNA(VLOOKUP(E2854,#REF!,1,FALSE())),"?TYPE_IDENTIFIABLE","?REFERENTIAL"),"_")))))</f>
        <v> </v>
      </c>
      <c r="H2854" s="24" t="str">
        <f>IF(J2854&lt;&gt;1,"",IF(I2854="SBJ","CB","?"))</f>
        <v> </v>
      </c>
      <c r="I2854" s="25" t="str">
        <f>IF(OR(E2854="",E2854="!!!",F2854="NEW"),"",INDEX(B2853:B$2,-1+SUMPRODUCT(MAX(ROW(E2853:E$2)*(E2854=E2853:E$2)))))</f>
        <v> </v>
      </c>
      <c r="J2854" s="25" t="str">
        <f>IF(OR(E2854="",E2854="!!!",F2854="NEW"),"",COUNTBLANK(OFFSET(A$1,,,SUMPRODUCT(MAX(ROW(E$2:E2854)*(E2854=E$2:E2854)))))-COUNTBLANK(OFFSET(A$1,,,SUMPRODUCT(MAX(ROW(E$1:E2853)*(E2=E$1:E2853))))))</f>
        <v> </v>
      </c>
      <c r="K2854" s="25" t="str">
        <f>IF(OR(E2854="",E2854="!!!",F2854="NEW"),"",INDEX(J$1:J2853,SUMPRODUCT(MAX(ROW(E$1:E2853)*(E2854=E$1:E2853)))))</f>
        <v> </v>
      </c>
      <c r="L2854" s="26"/>
    </row>
    <row r="2855" spans="1:12">
      <c r="A2855" s="20" t="s">
        <v>1175</v>
      </c>
      <c r="E2855" s="21">
        <f>IF(D2855="?OLD","!!!","")</f>
        <v/>
      </c>
      <c r="F2855" s="22" t="str">
        <f>IF(OR(E2855="",E2855="!!!"),"",IF(NOT(ISNA(VLOOKUP(E2855,E$1:E2854,1,FALSE()))),"OLD",IF(AND(E2855&lt;&gt;"",E2855&lt;&gt;"!!!"),"NEW","")))</f>
        <v> </v>
      </c>
      <c r="G2855" s="23" t="str">
        <f>IF(OR(E2855="",E2855="!!!"),"",IF(OR(J2855=0,AND(J2855=1,K2855=1),AND(J2855=1,I2855="SBJ"),AND(J2855=1,I2855=0)),"?IN_FOCUS",IF(J2855&lt;=2,"?ACTIVATED",IF(J2855&lt;&gt;"","?FAMILIAR",IF(F2855="NEW",IF(ISNA(VLOOKUP(E2855,#REF!,1,FALSE())),"?TYPE_IDENTIFIABLE","?REFERENTIAL"),"_")))))</f>
        <v> </v>
      </c>
      <c r="H2855" s="24" t="str">
        <f>IF(J2855&lt;&gt;1,"",IF(I2855="SBJ","CB","?"))</f>
        <v> </v>
      </c>
      <c r="I2855" s="25" t="str">
        <f>IF(OR(E2855="",E2855="!!!",F2855="NEW"),"",INDEX(B2854:B$2,-1+SUMPRODUCT(MAX(ROW(E2854:E$2)*(E2855=E2854:E$2)))))</f>
        <v> </v>
      </c>
      <c r="J2855" s="25" t="str">
        <f>IF(OR(E2855="",E2855="!!!",F2855="NEW"),"",COUNTBLANK(OFFSET(A$1,,,SUMPRODUCT(MAX(ROW(E$2:E2855)*(E2855=E$2:E2855)))))-COUNTBLANK(OFFSET(A$1,,,SUMPRODUCT(MAX(ROW(E$1:E2854)*(E2=E$1:E2854))))))</f>
        <v> </v>
      </c>
      <c r="K2855" s="25" t="str">
        <f>IF(OR(E2855="",E2855="!!!",F2855="NEW"),"",INDEX(J$1:J2854,SUMPRODUCT(MAX(ROW(E$1:E2854)*(E2855=E$1:E2854)))))</f>
        <v> </v>
      </c>
      <c r="L2855" s="26"/>
    </row>
    <row r="2856" spans="1:12">
      <c r="A2856" s="20" t="s">
        <v>1111</v>
      </c>
      <c r="E2856" s="21">
        <f>IF(D2856="?OLD","!!!","")</f>
        <v/>
      </c>
      <c r="F2856" s="22" t="str">
        <f>IF(OR(E2856="",E2856="!!!"),"",IF(NOT(ISNA(VLOOKUP(E2856,E$1:E2855,1,FALSE()))),"OLD",IF(AND(E2856&lt;&gt;"",E2856&lt;&gt;"!!!"),"NEW","")))</f>
        <v> </v>
      </c>
      <c r="G2856" s="23" t="str">
        <f>IF(OR(E2856="",E2856="!!!"),"",IF(OR(J2856=0,AND(J2856=1,K2856=1),AND(J2856=1,I2856="SBJ"),AND(J2856=1,I2856=0)),"?IN_FOCUS",IF(J2856&lt;=2,"?ACTIVATED",IF(J2856&lt;&gt;"","?FAMILIAR",IF(F2856="NEW",IF(ISNA(VLOOKUP(E2856,#REF!,1,FALSE())),"?TYPE_IDENTIFIABLE","?REFERENTIAL"),"_")))))</f>
        <v> </v>
      </c>
      <c r="H2856" s="24" t="str">
        <f>IF(J2856&lt;&gt;1,"",IF(I2856="SBJ","CB","?"))</f>
        <v> </v>
      </c>
      <c r="I2856" s="25" t="str">
        <f>IF(OR(E2856="",E2856="!!!",F2856="NEW"),"",INDEX(B2855:B$2,-1+SUMPRODUCT(MAX(ROW(E2855:E$2)*(E2856=E2855:E$2)))))</f>
        <v> </v>
      </c>
      <c r="J2856" s="25" t="str">
        <f>IF(OR(E2856="",E2856="!!!",F2856="NEW"),"",COUNTBLANK(OFFSET(A$1,,,SUMPRODUCT(MAX(ROW(E$2:E2856)*(E2856=E$2:E2856)))))-COUNTBLANK(OFFSET(A$1,,,SUMPRODUCT(MAX(ROW(E$1:E2855)*(E2=E$1:E2855))))))</f>
        <v> </v>
      </c>
      <c r="K2856" s="25" t="str">
        <f>IF(OR(E2856="",E2856="!!!",F2856="NEW"),"",INDEX(J$1:J2855,SUMPRODUCT(MAX(ROW(E$1:E2855)*(E2856=E$1:E2855)))))</f>
        <v> </v>
      </c>
      <c r="L2856" s="26"/>
    </row>
    <row r="2857" spans="1:12">
      <c r="A2857" s="20" t="s">
        <v>2031</v>
      </c>
      <c r="B2857" s="27" t="s">
        <v>1103</v>
      </c>
      <c r="C2857" s="27" t="s">
        <v>1033</v>
      </c>
      <c r="D2857" s="27" t="s">
        <v>1030</v>
      </c>
      <c r="E2857" s="21">
        <f>IF(D2857="?OLD","!!!","")</f>
        <v/>
      </c>
      <c r="F2857" s="22" t="str">
        <f>IF(OR(E2857="",E2857="!!!"),"",IF(NOT(ISNA(VLOOKUP(E2857,E$1:E2856,1,FALSE()))),"OLD",IF(AND(E2857&lt;&gt;"",E2857&lt;&gt;"!!!"),"NEW","")))</f>
        <v> </v>
      </c>
      <c r="G2857" s="23" t="str">
        <f>IF(OR(E2857="",E2857="!!!"),"",IF(OR(J2857=0,AND(J2857=1,K2857=1),AND(J2857=1,I2857="SBJ"),AND(J2857=1,I2857=0)),"?IN_FOCUS",IF(J2857&lt;=2,"?ACTIVATED",IF(J2857&lt;&gt;"","?FAMILIAR",IF(F2857="NEW",IF(ISNA(VLOOKUP(E2857,#REF!,1,FALSE())),"?TYPE_IDENTIFIABLE","?REFERENTIAL"),"_")))))</f>
        <v> </v>
      </c>
      <c r="H2857" s="24" t="str">
        <f>IF(J2857&lt;&gt;1,"",IF(I2857="SBJ","CB","?"))</f>
        <v> </v>
      </c>
      <c r="I2857" s="25" t="str">
        <f>IF(OR(E2857="",E2857="!!!",F2857="NEW"),"",INDEX(B2856:B$2,-1+SUMPRODUCT(MAX(ROW(E2856:E$2)*(E2857=E2856:E$2)))))</f>
        <v> </v>
      </c>
      <c r="J2857" s="25" t="str">
        <f>IF(OR(E2857="",E2857="!!!",F2857="NEW"),"",COUNTBLANK(OFFSET(A$1,,,SUMPRODUCT(MAX(ROW(E$2:E2857)*(E2857=E$2:E2857)))))-COUNTBLANK(OFFSET(A$1,,,SUMPRODUCT(MAX(ROW(E$1:E2856)*(E2=E$1:E2856))))))</f>
        <v> </v>
      </c>
      <c r="K2857" s="25" t="str">
        <f>IF(OR(E2857="",E2857="!!!",F2857="NEW"),"",INDEX(J$1:J2856,SUMPRODUCT(MAX(ROW(E$1:E2856)*(E2857=E$1:E2856)))))</f>
        <v> </v>
      </c>
      <c r="L2857" s="26"/>
    </row>
    <row r="2858" spans="1:12">
      <c r="A2858" s="20" t="s">
        <v>1313</v>
      </c>
      <c r="E2858" s="21">
        <f>IF(D2858="?OLD","!!!","")</f>
        <v/>
      </c>
      <c r="F2858" s="22" t="str">
        <f>IF(OR(E2858="",E2858="!!!"),"",IF(NOT(ISNA(VLOOKUP(E2858,E$1:E2857,1,FALSE()))),"OLD",IF(AND(E2858&lt;&gt;"",E2858&lt;&gt;"!!!"),"NEW","")))</f>
        <v> </v>
      </c>
      <c r="G2858" s="23" t="str">
        <f>IF(OR(E2858="",E2858="!!!"),"",IF(OR(J2858=0,AND(J2858=1,K2858=1),AND(J2858=1,I2858="SBJ"),AND(J2858=1,I2858=0)),"?IN_FOCUS",IF(J2858&lt;=2,"?ACTIVATED",IF(J2858&lt;&gt;"","?FAMILIAR",IF(F2858="NEW",IF(ISNA(VLOOKUP(E2858,#REF!,1,FALSE())),"?TYPE_IDENTIFIABLE","?REFERENTIAL"),"_")))))</f>
        <v> </v>
      </c>
      <c r="H2858" s="24" t="str">
        <f>IF(J2858&lt;&gt;1,"",IF(I2858="SBJ","CB","?"))</f>
        <v> </v>
      </c>
      <c r="I2858" s="25" t="str">
        <f>IF(OR(E2858="",E2858="!!!",F2858="NEW"),"",INDEX(B2857:B$2,-1+SUMPRODUCT(MAX(ROW(E2857:E$2)*(E2858=E2857:E$2)))))</f>
        <v> </v>
      </c>
      <c r="J2858" s="25" t="str">
        <f>IF(OR(E2858="",E2858="!!!",F2858="NEW"),"",COUNTBLANK(OFFSET(A$1,,,SUMPRODUCT(MAX(ROW(E$2:E2858)*(E2858=E$2:E2858)))))-COUNTBLANK(OFFSET(A$1,,,SUMPRODUCT(MAX(ROW(E$1:E2857)*(E2=E$1:E2857))))))</f>
        <v> </v>
      </c>
      <c r="K2858" s="25" t="str">
        <f>IF(OR(E2858="",E2858="!!!",F2858="NEW"),"",INDEX(J$1:J2857,SUMPRODUCT(MAX(ROW(E$1:E2857)*(E2858=E$1:E2857)))))</f>
        <v> </v>
      </c>
      <c r="L2858" s="26"/>
    </row>
    <row r="2859" spans="1:12">
      <c r="A2859" s="20" t="s">
        <v>1075</v>
      </c>
      <c r="E2859" s="21">
        <f>IF(D2859="?OLD","!!!","")</f>
        <v/>
      </c>
      <c r="F2859" s="22" t="str">
        <f>IF(OR(E2859="",E2859="!!!"),"",IF(NOT(ISNA(VLOOKUP(E2859,E$1:E2858,1,FALSE()))),"OLD",IF(AND(E2859&lt;&gt;"",E2859&lt;&gt;"!!!"),"NEW","")))</f>
        <v> </v>
      </c>
      <c r="G2859" s="23" t="str">
        <f>IF(OR(E2859="",E2859="!!!"),"",IF(OR(J2859=0,AND(J2859=1,K2859=1),AND(J2859=1,I2859="SBJ"),AND(J2859=1,I2859=0)),"?IN_FOCUS",IF(J2859&lt;=2,"?ACTIVATED",IF(J2859&lt;&gt;"","?FAMILIAR",IF(F2859="NEW",IF(ISNA(VLOOKUP(E2859,#REF!,1,FALSE())),"?TYPE_IDENTIFIABLE","?REFERENTIAL"),"_")))))</f>
        <v> </v>
      </c>
      <c r="H2859" s="24" t="str">
        <f>IF(J2859&lt;&gt;1,"",IF(I2859="SBJ","CB","?"))</f>
        <v> </v>
      </c>
      <c r="I2859" s="25" t="str">
        <f>IF(OR(E2859="",E2859="!!!",F2859="NEW"),"",INDEX(B2858:B$2,-1+SUMPRODUCT(MAX(ROW(E2858:E$2)*(E2859=E2858:E$2)))))</f>
        <v> </v>
      </c>
      <c r="J2859" s="25" t="str">
        <f>IF(OR(E2859="",E2859="!!!",F2859="NEW"),"",COUNTBLANK(OFFSET(A$1,,,SUMPRODUCT(MAX(ROW(E$2:E2859)*(E2859=E$2:E2859)))))-COUNTBLANK(OFFSET(A$1,,,SUMPRODUCT(MAX(ROW(E$1:E2858)*(E2=E$1:E2858))))))</f>
        <v> </v>
      </c>
      <c r="K2859" s="25" t="str">
        <f>IF(OR(E2859="",E2859="!!!",F2859="NEW"),"",INDEX(J$1:J2858,SUMPRODUCT(MAX(ROW(E$1:E2858)*(E2859=E$1:E2858)))))</f>
        <v> </v>
      </c>
      <c r="L2859" s="26"/>
    </row>
    <row r="2860" spans="1:12">
      <c r="A2860" s="20" t="s">
        <v>2032</v>
      </c>
      <c r="B2860" s="27" t="s">
        <v>1066</v>
      </c>
      <c r="C2860" s="27" t="s">
        <v>1038</v>
      </c>
      <c r="D2860" s="27" t="s">
        <v>1030</v>
      </c>
      <c r="E2860" s="21">
        <f>IF(D2860="?OLD","!!!","")</f>
        <v/>
      </c>
      <c r="F2860" s="22" t="str">
        <f>IF(OR(E2860="",E2860="!!!"),"",IF(NOT(ISNA(VLOOKUP(E2860,E$1:E2859,1,FALSE()))),"OLD",IF(AND(E2860&lt;&gt;"",E2860&lt;&gt;"!!!"),"NEW","")))</f>
        <v> </v>
      </c>
      <c r="G2860" s="23" t="str">
        <f>IF(OR(E2860="",E2860="!!!"),"",IF(OR(J2860=0,AND(J2860=1,K2860=1),AND(J2860=1,I2860="SBJ"),AND(J2860=1,I2860=0)),"?IN_FOCUS",IF(J2860&lt;=2,"?ACTIVATED",IF(J2860&lt;&gt;"","?FAMILIAR",IF(F2860="NEW",IF(ISNA(VLOOKUP(E2860,#REF!,1,FALSE())),"?TYPE_IDENTIFIABLE","?REFERENTIAL"),"_")))))</f>
        <v> </v>
      </c>
      <c r="H2860" s="24" t="str">
        <f>IF(J2860&lt;&gt;1,"",IF(I2860="SBJ","CB","?"))</f>
        <v> </v>
      </c>
      <c r="I2860" s="25" t="str">
        <f>IF(OR(E2860="",E2860="!!!",F2860="NEW"),"",INDEX(B2859:B$2,-1+SUMPRODUCT(MAX(ROW(E2859:E$2)*(E2860=E2859:E$2)))))</f>
        <v> </v>
      </c>
      <c r="J2860" s="25" t="str">
        <f>IF(OR(E2860="",E2860="!!!",F2860="NEW"),"",COUNTBLANK(OFFSET(A$1,,,SUMPRODUCT(MAX(ROW(E$2:E2860)*(E2860=E$2:E2860)))))-COUNTBLANK(OFFSET(A$1,,,SUMPRODUCT(MAX(ROW(E$1:E2859)*(E2=E$1:E2859))))))</f>
        <v> </v>
      </c>
      <c r="K2860" s="25" t="str">
        <f>IF(OR(E2860="",E2860="!!!",F2860="NEW"),"",INDEX(J$1:J2859,SUMPRODUCT(MAX(ROW(E$1:E2859)*(E2860=E$1:E2859)))))</f>
        <v> </v>
      </c>
      <c r="L2860" s="26"/>
    </row>
    <row r="2861" spans="1:12">
      <c r="A2861" s="20" t="s">
        <v>2033</v>
      </c>
      <c r="E2861" s="21">
        <f>IF(D2861="?OLD","!!!","")</f>
        <v/>
      </c>
      <c r="F2861" s="22" t="str">
        <f>IF(OR(E2861="",E2861="!!!"),"",IF(NOT(ISNA(VLOOKUP(E2861,E$1:E2860,1,FALSE()))),"OLD",IF(AND(E2861&lt;&gt;"",E2861&lt;&gt;"!!!"),"NEW","")))</f>
        <v> </v>
      </c>
      <c r="G2861" s="23" t="str">
        <f>IF(OR(E2861="",E2861="!!!"),"",IF(OR(J2861=0,AND(J2861=1,K2861=1),AND(J2861=1,I2861="SBJ"),AND(J2861=1,I2861=0)),"?IN_FOCUS",IF(J2861&lt;=2,"?ACTIVATED",IF(J2861&lt;&gt;"","?FAMILIAR",IF(F2861="NEW",IF(ISNA(VLOOKUP(E2861,#REF!,1,FALSE())),"?TYPE_IDENTIFIABLE","?REFERENTIAL"),"_")))))</f>
        <v> </v>
      </c>
      <c r="H2861" s="24" t="str">
        <f>IF(J2861&lt;&gt;1,"",IF(I2861="SBJ","CB","?"))</f>
        <v> </v>
      </c>
      <c r="I2861" s="25" t="str">
        <f>IF(OR(E2861="",E2861="!!!",F2861="NEW"),"",INDEX(B2860:B$2,-1+SUMPRODUCT(MAX(ROW(E2860:E$2)*(E2861=E2860:E$2)))))</f>
        <v> </v>
      </c>
      <c r="J2861" s="25" t="str">
        <f>IF(OR(E2861="",E2861="!!!",F2861="NEW"),"",COUNTBLANK(OFFSET(A$1,,,SUMPRODUCT(MAX(ROW(E$2:E2861)*(E2861=E$2:E2861)))))-COUNTBLANK(OFFSET(A$1,,,SUMPRODUCT(MAX(ROW(E$1:E2860)*(E2=E$1:E2860))))))</f>
        <v> </v>
      </c>
      <c r="K2861" s="25" t="str">
        <f>IF(OR(E2861="",E2861="!!!",F2861="NEW"),"",INDEX(J$1:J2860,SUMPRODUCT(MAX(ROW(E$1:E2860)*(E2861=E$1:E2860)))))</f>
        <v> </v>
      </c>
      <c r="L2861" s="26"/>
    </row>
    <row r="2862" spans="1:12">
      <c r="A2862" s="20" t="s">
        <v>1074</v>
      </c>
      <c r="E2862" s="21">
        <f>IF(D2862="?OLD","!!!","")</f>
        <v/>
      </c>
      <c r="F2862" s="22" t="str">
        <f>IF(OR(E2862="",E2862="!!!"),"",IF(NOT(ISNA(VLOOKUP(E2862,E$1:E2861,1,FALSE()))),"OLD",IF(AND(E2862&lt;&gt;"",E2862&lt;&gt;"!!!"),"NEW","")))</f>
        <v> </v>
      </c>
      <c r="G2862" s="23" t="str">
        <f>IF(OR(E2862="",E2862="!!!"),"",IF(OR(J2862=0,AND(J2862=1,K2862=1),AND(J2862=1,I2862="SBJ"),AND(J2862=1,I2862=0)),"?IN_FOCUS",IF(J2862&lt;=2,"?ACTIVATED",IF(J2862&lt;&gt;"","?FAMILIAR",IF(F2862="NEW",IF(ISNA(VLOOKUP(E2862,#REF!,1,FALSE())),"?TYPE_IDENTIFIABLE","?REFERENTIAL"),"_")))))</f>
        <v> </v>
      </c>
      <c r="H2862" s="24" t="str">
        <f>IF(J2862&lt;&gt;1,"",IF(I2862="SBJ","CB","?"))</f>
        <v> </v>
      </c>
      <c r="I2862" s="25" t="str">
        <f>IF(OR(E2862="",E2862="!!!",F2862="NEW"),"",INDEX(B2861:B$2,-1+SUMPRODUCT(MAX(ROW(E2861:E$2)*(E2862=E2861:E$2)))))</f>
        <v> </v>
      </c>
      <c r="J2862" s="25" t="str">
        <f>IF(OR(E2862="",E2862="!!!",F2862="NEW"),"",COUNTBLANK(OFFSET(A$1,,,SUMPRODUCT(MAX(ROW(E$2:E2862)*(E2862=E$2:E2862)))))-COUNTBLANK(OFFSET(A$1,,,SUMPRODUCT(MAX(ROW(E$1:E2861)*(E2=E$1:E2861))))))</f>
        <v> </v>
      </c>
      <c r="K2862" s="25" t="str">
        <f>IF(OR(E2862="",E2862="!!!",F2862="NEW"),"",INDEX(J$1:J2861,SUMPRODUCT(MAX(ROW(E$1:E2861)*(E2862=E$1:E2861)))))</f>
        <v> </v>
      </c>
      <c r="L2862" s="26"/>
    </row>
    <row r="2863" spans="1:12">
      <c r="A2863" s="20" t="s">
        <v>489</v>
      </c>
      <c r="E2863" s="21">
        <f>IF(D2863="?OLD","!!!","")</f>
        <v/>
      </c>
      <c r="F2863" s="22" t="str">
        <f>IF(OR(E2863="",E2863="!!!"),"",IF(NOT(ISNA(VLOOKUP(E2863,E$1:E2862,1,FALSE()))),"OLD",IF(AND(E2863&lt;&gt;"",E2863&lt;&gt;"!!!"),"NEW","")))</f>
        <v> </v>
      </c>
      <c r="G2863" s="23" t="str">
        <f>IF(OR(E2863="",E2863="!!!"),"",IF(OR(J2863=0,AND(J2863=1,K2863=1),AND(J2863=1,I2863="SBJ"),AND(J2863=1,I2863=0)),"?IN_FOCUS",IF(J2863&lt;=2,"?ACTIVATED",IF(J2863&lt;&gt;"","?FAMILIAR",IF(F2863="NEW",IF(ISNA(VLOOKUP(E2863,#REF!,1,FALSE())),"?TYPE_IDENTIFIABLE","?REFERENTIAL"),"_")))))</f>
        <v> </v>
      </c>
      <c r="H2863" s="24" t="str">
        <f>IF(J2863&lt;&gt;1,"",IF(I2863="SBJ","CB","?"))</f>
        <v> </v>
      </c>
      <c r="I2863" s="25" t="str">
        <f>IF(OR(E2863="",E2863="!!!",F2863="NEW"),"",INDEX(B2862:B$2,-1+SUMPRODUCT(MAX(ROW(E2862:E$2)*(E2863=E2862:E$2)))))</f>
        <v> </v>
      </c>
      <c r="J2863" s="25" t="str">
        <f>IF(OR(E2863="",E2863="!!!",F2863="NEW"),"",COUNTBLANK(OFFSET(A$1,,,SUMPRODUCT(MAX(ROW(E$2:E2863)*(E2863=E$2:E2863)))))-COUNTBLANK(OFFSET(A$1,,,SUMPRODUCT(MAX(ROW(E$1:E2862)*(E2=E$1:E2862))))))</f>
        <v> </v>
      </c>
      <c r="K2863" s="25" t="str">
        <f>IF(OR(E2863="",E2863="!!!",F2863="NEW"),"",INDEX(J$1:J2862,SUMPRODUCT(MAX(ROW(E$1:E2862)*(E2863=E$1:E2862)))))</f>
        <v> </v>
      </c>
      <c r="L2863" s="26"/>
    </row>
    <row r="2864" spans="1:12">
      <c r="A2864" s="20" t="s">
        <v>1101</v>
      </c>
      <c r="E2864" s="21">
        <f>IF(D2864="?OLD","!!!","")</f>
        <v/>
      </c>
      <c r="F2864" s="22" t="str">
        <f>IF(OR(E2864="",E2864="!!!"),"",IF(NOT(ISNA(VLOOKUP(E2864,E$1:E2863,1,FALSE()))),"OLD",IF(AND(E2864&lt;&gt;"",E2864&lt;&gt;"!!!"),"NEW","")))</f>
        <v> </v>
      </c>
      <c r="G2864" s="23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4" t="str">
        <f>IF(J2864&lt;&gt;1,"",IF(I2864="SBJ","CB","?"))</f>
        <v> </v>
      </c>
      <c r="I2864" s="25" t="str">
        <f>IF(OR(E2864="",E2864="!!!",F2864="NEW"),"",INDEX(B2863:B$2,-1+SUMPRODUCT(MAX(ROW(E2863:E$2)*(E2864=E2863:E$2)))))</f>
        <v> </v>
      </c>
      <c r="J2864" s="25" t="str">
        <f>IF(OR(E2864="",E2864="!!!",F2864="NEW"),"",COUNTBLANK(OFFSET(A$1,,,SUMPRODUCT(MAX(ROW(E$2:E2864)*(E2864=E$2:E2864)))))-COUNTBLANK(OFFSET(A$1,,,SUMPRODUCT(MAX(ROW(E$1:E2863)*(E2=E$1:E2863))))))</f>
        <v> </v>
      </c>
      <c r="K2864" s="25" t="str">
        <f>IF(OR(E2864="",E2864="!!!",F2864="NEW"),"",INDEX(J$1:J2863,SUMPRODUCT(MAX(ROW(E$1:E2863)*(E2864=E$1:E2863)))))</f>
        <v> </v>
      </c>
      <c r="L2864" s="26"/>
    </row>
    <row r="2865" spans="1:12">
      <c r="A2865" s="20" t="s">
        <v>2034</v>
      </c>
      <c r="B2865" s="27" t="s">
        <v>1354</v>
      </c>
      <c r="C2865" s="27" t="s">
        <v>1033</v>
      </c>
      <c r="D2865" s="27" t="s">
        <v>1030</v>
      </c>
      <c r="E2865" s="21">
        <f>IF(D2865="?OLD","!!!","")</f>
        <v/>
      </c>
      <c r="F2865" s="22" t="str">
        <f>IF(OR(E2865="",E2865="!!!"),"",IF(NOT(ISNA(VLOOKUP(E2865,E$1:E2864,1,FALSE()))),"OLD",IF(AND(E2865&lt;&gt;"",E2865&lt;&gt;"!!!"),"NEW","")))</f>
        <v> </v>
      </c>
      <c r="G2865" s="23" t="str">
        <f>IF(OR(E2865="",E2865="!!!"),"",IF(OR(J2865=0,AND(J2865=1,K2865=1),AND(J2865=1,I2865="SBJ"),AND(J2865=1,I2865=0)),"?IN_FOCUS",IF(J2865&lt;=2,"?ACTIVATED",IF(J2865&lt;&gt;"","?FAMILIAR",IF(F2865="NEW",IF(ISNA(VLOOKUP(E2865,#REF!,1,FALSE())),"?TYPE_IDENTIFIABLE","?REFERENTIAL"),"_")))))</f>
        <v> </v>
      </c>
      <c r="H2865" s="24" t="str">
        <f>IF(J2865&lt;&gt;1,"",IF(I2865="SBJ","CB","?"))</f>
        <v> </v>
      </c>
      <c r="I2865" s="25" t="str">
        <f>IF(OR(E2865="",E2865="!!!",F2865="NEW"),"",INDEX(B2864:B$2,-1+SUMPRODUCT(MAX(ROW(E2864:E$2)*(E2865=E2864:E$2)))))</f>
        <v> </v>
      </c>
      <c r="J2865" s="25" t="str">
        <f>IF(OR(E2865="",E2865="!!!",F2865="NEW"),"",COUNTBLANK(OFFSET(A$1,,,SUMPRODUCT(MAX(ROW(E$2:E2865)*(E2865=E$2:E2865)))))-COUNTBLANK(OFFSET(A$1,,,SUMPRODUCT(MAX(ROW(E$1:E2864)*(E2=E$1:E2864))))))</f>
        <v> </v>
      </c>
      <c r="K2865" s="25" t="str">
        <f>IF(OR(E2865="",E2865="!!!",F2865="NEW"),"",INDEX(J$1:J2864,SUMPRODUCT(MAX(ROW(E$1:E2864)*(E2865=E$1:E2864)))))</f>
        <v> </v>
      </c>
      <c r="L2865" s="26"/>
    </row>
    <row r="2866" spans="1:12">
      <c r="A2866" s="20" t="s">
        <v>1022</v>
      </c>
      <c r="E2866" s="21">
        <f>IF(D2866="?OLD","!!!","")</f>
        <v/>
      </c>
      <c r="F2866" s="22" t="str">
        <f>IF(OR(E2866="",E2866="!!!"),"",IF(NOT(ISNA(VLOOKUP(E2866,E$1:E2865,1,FALSE()))),"OLD",IF(AND(E2866&lt;&gt;"",E2866&lt;&gt;"!!!"),"NEW","")))</f>
        <v> </v>
      </c>
      <c r="G2866" s="23" t="str">
        <f>IF(OR(E2866="",E2866="!!!"),"",IF(OR(J2866=0,AND(J2866=1,K2866=1),AND(J2866=1,I2866="SBJ"),AND(J2866=1,I2866=0)),"?IN_FOCUS",IF(J2866&lt;=2,"?ACTIVATED",IF(J2866&lt;&gt;"","?FAMILIAR",IF(F2866="NEW",IF(ISNA(VLOOKUP(E2866,#REF!,1,FALSE())),"?TYPE_IDENTIFIABLE","?REFERENTIAL"),"_")))))</f>
        <v> </v>
      </c>
      <c r="H2866" s="24" t="str">
        <f>IF(J2866&lt;&gt;1,"",IF(I2866="SBJ","CB","?"))</f>
        <v> </v>
      </c>
      <c r="I2866" s="25" t="str">
        <f>IF(OR(E2866="",E2866="!!!",F2866="NEW"),"",INDEX(B2865:B$2,-1+SUMPRODUCT(MAX(ROW(E2865:E$2)*(E2866=E2865:E$2)))))</f>
        <v> </v>
      </c>
      <c r="J2866" s="25" t="str">
        <f>IF(OR(E2866="",E2866="!!!",F2866="NEW"),"",COUNTBLANK(OFFSET(A$1,,,SUMPRODUCT(MAX(ROW(E$2:E2866)*(E2866=E$2:E2866)))))-COUNTBLANK(OFFSET(A$1,,,SUMPRODUCT(MAX(ROW(E$1:E2865)*(E2=E$1:E2865))))))</f>
        <v> </v>
      </c>
      <c r="K2866" s="25" t="str">
        <f>IF(OR(E2866="",E2866="!!!",F2866="NEW"),"",INDEX(J$1:J2865,SUMPRODUCT(MAX(ROW(E$1:E2865)*(E2866=E$1:E2865)))))</f>
        <v> </v>
      </c>
      <c r="L2866" s="26"/>
    </row>
    <row r="2867" spans="1:12">
      <c r="A2867" s="20" t="s">
        <v>1057</v>
      </c>
      <c r="E2867" s="21">
        <f>IF(D2867="?OLD","!!!","")</f>
        <v/>
      </c>
      <c r="F2867" s="22" t="str">
        <f>IF(OR(E2867="",E2867="!!!"),"",IF(NOT(ISNA(VLOOKUP(E2867,E$1:E2866,1,FALSE()))),"OLD",IF(AND(E2867&lt;&gt;"",E2867&lt;&gt;"!!!"),"NEW","")))</f>
        <v> </v>
      </c>
      <c r="G2867" s="23" t="str">
        <f>IF(OR(E2867="",E2867="!!!"),"",IF(OR(J2867=0,AND(J2867=1,K2867=1),AND(J2867=1,I2867="SBJ"),AND(J2867=1,I2867=0)),"?IN_FOCUS",IF(J2867&lt;=2,"?ACTIVATED",IF(J2867&lt;&gt;"","?FAMILIAR",IF(F2867="NEW",IF(ISNA(VLOOKUP(E2867,#REF!,1,FALSE())),"?TYPE_IDENTIFIABLE","?REFERENTIAL"),"_")))))</f>
        <v> </v>
      </c>
      <c r="H2867" s="24" t="str">
        <f>IF(J2867&lt;&gt;1,"",IF(I2867="SBJ","CB","?"))</f>
        <v> </v>
      </c>
      <c r="I2867" s="25" t="str">
        <f>IF(OR(E2867="",E2867="!!!",F2867="NEW"),"",INDEX(B2866:B$2,-1+SUMPRODUCT(MAX(ROW(E2866:E$2)*(E2867=E2866:E$2)))))</f>
        <v> </v>
      </c>
      <c r="J2867" s="25" t="str">
        <f>IF(OR(E2867="",E2867="!!!",F2867="NEW"),"",COUNTBLANK(OFFSET(A$1,,,SUMPRODUCT(MAX(ROW(E$2:E2867)*(E2867=E$2:E2867)))))-COUNTBLANK(OFFSET(A$1,,,SUMPRODUCT(MAX(ROW(E$1:E2866)*(E2=E$1:E2866))))))</f>
        <v> </v>
      </c>
      <c r="K2867" s="25" t="str">
        <f>IF(OR(E2867="",E2867="!!!",F2867="NEW"),"",INDEX(J$1:J2866,SUMPRODUCT(MAX(ROW(E$1:E2866)*(E2867=E$1:E2866)))))</f>
        <v> </v>
      </c>
      <c r="L2867" s="26"/>
    </row>
    <row r="2868" spans="1:12">
      <c r="A2868" s="20" t="s">
        <v>1072</v>
      </c>
      <c r="E2868" s="21">
        <f>IF(D2868="?OLD","!!!","")</f>
        <v/>
      </c>
      <c r="F2868" s="22" t="str">
        <f>IF(OR(E2868="",E2868="!!!"),"",IF(NOT(ISNA(VLOOKUP(E2868,E$1:E2867,1,FALSE()))),"OLD",IF(AND(E2868&lt;&gt;"",E2868&lt;&gt;"!!!"),"NEW","")))</f>
        <v> </v>
      </c>
      <c r="G2868" s="23" t="str">
        <f>IF(OR(E2868="",E2868="!!!"),"",IF(OR(J2868=0,AND(J2868=1,K2868=1),AND(J2868=1,I2868="SBJ"),AND(J2868=1,I2868=0)),"?IN_FOCUS",IF(J2868&lt;=2,"?ACTIVATED",IF(J2868&lt;&gt;"","?FAMILIAR",IF(F2868="NEW",IF(ISNA(VLOOKUP(E2868,#REF!,1,FALSE())),"?TYPE_IDENTIFIABLE","?REFERENTIAL"),"_")))))</f>
        <v> </v>
      </c>
      <c r="H2868" s="24" t="str">
        <f>IF(J2868&lt;&gt;1,"",IF(I2868="SBJ","CB","?"))</f>
        <v> </v>
      </c>
      <c r="I2868" s="25" t="str">
        <f>IF(OR(E2868="",E2868="!!!",F2868="NEW"),"",INDEX(B2867:B$2,-1+SUMPRODUCT(MAX(ROW(E2867:E$2)*(E2868=E2867:E$2)))))</f>
        <v> </v>
      </c>
      <c r="J2868" s="25" t="str">
        <f>IF(OR(E2868="",E2868="!!!",F2868="NEW"),"",COUNTBLANK(OFFSET(A$1,,,SUMPRODUCT(MAX(ROW(E$2:E2868)*(E2868=E$2:E2868)))))-COUNTBLANK(OFFSET(A$1,,,SUMPRODUCT(MAX(ROW(E$1:E2867)*(E2=E$1:E2867))))))</f>
        <v> </v>
      </c>
      <c r="K2868" s="25" t="str">
        <f>IF(OR(E2868="",E2868="!!!",F2868="NEW"),"",INDEX(J$1:J2867,SUMPRODUCT(MAX(ROW(E$1:E2867)*(E2868=E$1:E2867)))))</f>
        <v> </v>
      </c>
      <c r="L2868" s="26"/>
    </row>
    <row r="2869" spans="1:12">
      <c r="A2869" s="20" t="s">
        <v>2035</v>
      </c>
      <c r="B2869" s="27" t="s">
        <v>1069</v>
      </c>
      <c r="C2869" s="27" t="s">
        <v>1015</v>
      </c>
      <c r="E2869" s="21">
        <f>IF(D2869="?OLD","!!!","")</f>
        <v/>
      </c>
      <c r="F2869" s="22" t="str">
        <f>IF(OR(E2869="",E2869="!!!"),"",IF(NOT(ISNA(VLOOKUP(E2869,E$1:E2868,1,FALSE()))),"OLD",IF(AND(E2869&lt;&gt;"",E2869&lt;&gt;"!!!"),"NEW","")))</f>
        <v> </v>
      </c>
      <c r="G2869" s="23" t="str">
        <f>IF(OR(E2869="",E2869="!!!"),"",IF(OR(J2869=0,AND(J2869=1,K2869=1),AND(J2869=1,I2869="SBJ"),AND(J2869=1,I2869=0)),"?IN_FOCUS",IF(J2869&lt;=2,"?ACTIVATED",IF(J2869&lt;&gt;"","?FAMILIAR",IF(F2869="NEW",IF(ISNA(VLOOKUP(E2869,#REF!,1,FALSE())),"?TYPE_IDENTIFIABLE","?REFERENTIAL"),"_")))))</f>
        <v> </v>
      </c>
      <c r="H2869" s="24" t="str">
        <f>IF(J2869&lt;&gt;1,"",IF(I2869="SBJ","CB","?"))</f>
        <v> </v>
      </c>
      <c r="I2869" s="25" t="str">
        <f>IF(OR(E2869="",E2869="!!!",F2869="NEW"),"",INDEX(B2868:B$2,-1+SUMPRODUCT(MAX(ROW(E2868:E$2)*(E2869=E2868:E$2)))))</f>
        <v> </v>
      </c>
      <c r="J2869" s="25" t="str">
        <f>IF(OR(E2869="",E2869="!!!",F2869="NEW"),"",COUNTBLANK(OFFSET(A$1,,,SUMPRODUCT(MAX(ROW(E$2:E2869)*(E2869=E$2:E2869)))))-COUNTBLANK(OFFSET(A$1,,,SUMPRODUCT(MAX(ROW(E$1:E2868)*(E2=E$1:E2868))))))</f>
        <v> </v>
      </c>
      <c r="K2869" s="25" t="str">
        <f>IF(OR(E2869="",E2869="!!!",F2869="NEW"),"",INDEX(J$1:J2868,SUMPRODUCT(MAX(ROW(E$1:E2868)*(E2869=E$1:E2868)))))</f>
        <v> </v>
      </c>
      <c r="L2869" s="26"/>
    </row>
    <row r="2870" spans="1:12">
      <c r="A2870" s="20" t="s">
        <v>1016</v>
      </c>
      <c r="E2870" s="21">
        <f>IF(D2870="?OLD","!!!","")</f>
        <v/>
      </c>
      <c r="F2870" s="22" t="str">
        <f>IF(OR(E2870="",E2870="!!!"),"",IF(NOT(ISNA(VLOOKUP(E2870,E$1:E2869,1,FALSE()))),"OLD",IF(AND(E2870&lt;&gt;"",E2870&lt;&gt;"!!!"),"NEW","")))</f>
        <v> </v>
      </c>
      <c r="G2870" s="23" t="str">
        <f>IF(OR(E2870="",E2870="!!!"),"",IF(OR(J2870=0,AND(J2870=1,K2870=1),AND(J2870=1,I2870="SBJ"),AND(J2870=1,I2870=0)),"?IN_FOCUS",IF(J2870&lt;=2,"?ACTIVATED",IF(J2870&lt;&gt;"","?FAMILIAR",IF(F2870="NEW",IF(ISNA(VLOOKUP(E2870,#REF!,1,FALSE())),"?TYPE_IDENTIFIABLE","?REFERENTIAL"),"_")))))</f>
        <v> </v>
      </c>
      <c r="H2870" s="24" t="str">
        <f>IF(J2870&lt;&gt;1,"",IF(I2870="SBJ","CB","?"))</f>
        <v> </v>
      </c>
      <c r="I2870" s="25" t="str">
        <f>IF(OR(E2870="",E2870="!!!",F2870="NEW"),"",INDEX(B2869:B$2,-1+SUMPRODUCT(MAX(ROW(E2869:E$2)*(E2870=E2869:E$2)))))</f>
        <v> </v>
      </c>
      <c r="J2870" s="25" t="str">
        <f>IF(OR(E2870="",E2870="!!!",F2870="NEW"),"",COUNTBLANK(OFFSET(A$1,,,SUMPRODUCT(MAX(ROW(E$2:E2870)*(E2870=E$2:E2870)))))-COUNTBLANK(OFFSET(A$1,,,SUMPRODUCT(MAX(ROW(E$1:E2869)*(E2=E$1:E2869))))))</f>
        <v> </v>
      </c>
      <c r="K2870" s="25" t="str">
        <f>IF(OR(E2870="",E2870="!!!",F2870="NEW"),"",INDEX(J$1:J2869,SUMPRODUCT(MAX(ROW(E$1:E2869)*(E2870=E$1:E2869)))))</f>
        <v> </v>
      </c>
      <c r="L2870" s="26"/>
    </row>
    <row r="2871" spans="1:12">
      <c r="A2871" s="20" t="s">
        <v>2036</v>
      </c>
      <c r="E2871" s="21">
        <f>IF(D2871="?OLD","!!!","")</f>
        <v/>
      </c>
      <c r="F2871" s="22" t="str">
        <f>IF(OR(E2871="",E2871="!!!"),"",IF(NOT(ISNA(VLOOKUP(E2871,E$1:E2870,1,FALSE()))),"OLD",IF(AND(E2871&lt;&gt;"",E2871&lt;&gt;"!!!"),"NEW","")))</f>
        <v> </v>
      </c>
      <c r="G2871" s="23" t="str">
        <f>IF(OR(E2871="",E2871="!!!"),"",IF(OR(J2871=0,AND(J2871=1,K2871=1),AND(J2871=1,I2871="SBJ"),AND(J2871=1,I2871=0)),"?IN_FOCUS",IF(J2871&lt;=2,"?ACTIVATED",IF(J2871&lt;&gt;"","?FAMILIAR",IF(F2871="NEW",IF(ISNA(VLOOKUP(E2871,#REF!,1,FALSE())),"?TYPE_IDENTIFIABLE","?REFERENTIAL"),"_")))))</f>
        <v> </v>
      </c>
      <c r="H2871" s="24" t="str">
        <f>IF(J2871&lt;&gt;1,"",IF(I2871="SBJ","CB","?"))</f>
        <v> </v>
      </c>
      <c r="I2871" s="25" t="str">
        <f>IF(OR(E2871="",E2871="!!!",F2871="NEW"),"",INDEX(B2870:B$2,-1+SUMPRODUCT(MAX(ROW(E2870:E$2)*(E2871=E2870:E$2)))))</f>
        <v> </v>
      </c>
      <c r="J2871" s="25" t="str">
        <f>IF(OR(E2871="",E2871="!!!",F2871="NEW"),"",COUNTBLANK(OFFSET(A$1,,,SUMPRODUCT(MAX(ROW(E$2:E2871)*(E2871=E$2:E2871)))))-COUNTBLANK(OFFSET(A$1,,,SUMPRODUCT(MAX(ROW(E$1:E2870)*(E2=E$1:E2870))))))</f>
        <v> </v>
      </c>
      <c r="K2871" s="25" t="str">
        <f>IF(OR(E2871="",E2871="!!!",F2871="NEW"),"",INDEX(J$1:J2870,SUMPRODUCT(MAX(ROW(E$1:E2870)*(E2871=E$1:E2870)))))</f>
        <v> </v>
      </c>
      <c r="L2871" s="26"/>
    </row>
    <row r="2872" spans="1:12">
      <c r="A2872" s="20" t="s">
        <v>1096</v>
      </c>
      <c r="E2872" s="21">
        <f>IF(D2872="?OLD","!!!","")</f>
        <v/>
      </c>
      <c r="F2872" s="22" t="str">
        <f>IF(OR(E2872="",E2872="!!!"),"",IF(NOT(ISNA(VLOOKUP(E2872,E$1:E2871,1,FALSE()))),"OLD",IF(AND(E2872&lt;&gt;"",E2872&lt;&gt;"!!!"),"NEW","")))</f>
        <v> </v>
      </c>
      <c r="G2872" s="23" t="str">
        <f>IF(OR(E2872="",E2872="!!!"),"",IF(OR(J2872=0,AND(J2872=1,K2872=1),AND(J2872=1,I2872="SBJ"),AND(J2872=1,I2872=0)),"?IN_FOCUS",IF(J2872&lt;=2,"?ACTIVATED",IF(J2872&lt;&gt;"","?FAMILIAR",IF(F2872="NEW",IF(ISNA(VLOOKUP(E2872,#REF!,1,FALSE())),"?TYPE_IDENTIFIABLE","?REFERENTIAL"),"_")))))</f>
        <v> </v>
      </c>
      <c r="H2872" s="24" t="str">
        <f>IF(J2872&lt;&gt;1,"",IF(I2872="SBJ","CB","?"))</f>
        <v> </v>
      </c>
      <c r="I2872" s="25" t="str">
        <f>IF(OR(E2872="",E2872="!!!",F2872="NEW"),"",INDEX(B2871:B$2,-1+SUMPRODUCT(MAX(ROW(E2871:E$2)*(E2872=E2871:E$2)))))</f>
        <v> </v>
      </c>
      <c r="J2872" s="25" t="str">
        <f>IF(OR(E2872="",E2872="!!!",F2872="NEW"),"",COUNTBLANK(OFFSET(A$1,,,SUMPRODUCT(MAX(ROW(E$2:E2872)*(E2872=E$2:E2872)))))-COUNTBLANK(OFFSET(A$1,,,SUMPRODUCT(MAX(ROW(E$1:E2871)*(E2=E$1:E2871))))))</f>
        <v> </v>
      </c>
      <c r="K2872" s="25" t="str">
        <f>IF(OR(E2872="",E2872="!!!",F2872="NEW"),"",INDEX(J$1:J2871,SUMPRODUCT(MAX(ROW(E$1:E2871)*(E2872=E$1:E2871)))))</f>
        <v> </v>
      </c>
      <c r="L2872" s="26"/>
    </row>
    <row r="2873" spans="1:12">
      <c r="A2873" s="20" t="s">
        <v>1607</v>
      </c>
      <c r="B2873" s="27" t="s">
        <v>1278</v>
      </c>
      <c r="C2873" s="27" t="s">
        <v>1029</v>
      </c>
      <c r="D2873" s="27" t="s">
        <v>1030</v>
      </c>
      <c r="E2873" s="21">
        <f>IF(D2873="?OLD","!!!","")</f>
        <v/>
      </c>
      <c r="F2873" s="22" t="str">
        <f>IF(OR(E2873="",E2873="!!!"),"",IF(NOT(ISNA(VLOOKUP(E2873,E$1:E2872,1,FALSE()))),"OLD",IF(AND(E2873&lt;&gt;"",E2873&lt;&gt;"!!!"),"NEW","")))</f>
        <v> </v>
      </c>
      <c r="G2873" s="23" t="str">
        <f>IF(OR(E2873="",E2873="!!!"),"",IF(OR(J2873=0,AND(J2873=1,K2873=1),AND(J2873=1,I2873="SBJ"),AND(J2873=1,I2873=0)),"?IN_FOCUS",IF(J2873&lt;=2,"?ACTIVATED",IF(J2873&lt;&gt;"","?FAMILIAR",IF(F2873="NEW",IF(ISNA(VLOOKUP(E2873,#REF!,1,FALSE())),"?TYPE_IDENTIFIABLE","?REFERENTIAL"),"_")))))</f>
        <v> </v>
      </c>
      <c r="H2873" s="24" t="str">
        <f>IF(J2873&lt;&gt;1,"",IF(I2873="SBJ","CB","?"))</f>
        <v> </v>
      </c>
      <c r="I2873" s="25" t="str">
        <f>IF(OR(E2873="",E2873="!!!",F2873="NEW"),"",INDEX(B2872:B$2,-1+SUMPRODUCT(MAX(ROW(E2872:E$2)*(E2873=E2872:E$2)))))</f>
        <v> </v>
      </c>
      <c r="J2873" s="25" t="str">
        <f>IF(OR(E2873="",E2873="!!!",F2873="NEW"),"",COUNTBLANK(OFFSET(A$1,,,SUMPRODUCT(MAX(ROW(E$2:E2873)*(E2873=E$2:E2873)))))-COUNTBLANK(OFFSET(A$1,,,SUMPRODUCT(MAX(ROW(E$1:E2872)*(E2=E$1:E2872))))))</f>
        <v> </v>
      </c>
      <c r="K2873" s="25" t="str">
        <f>IF(OR(E2873="",E2873="!!!",F2873="NEW"),"",INDEX(J$1:J2872,SUMPRODUCT(MAX(ROW(E$1:E2872)*(E2873=E$1:E2872)))))</f>
        <v> </v>
      </c>
      <c r="L2873" s="26"/>
    </row>
    <row r="2874" spans="1:12">
      <c r="A2874" s="20" t="s">
        <v>1016</v>
      </c>
      <c r="E2874" s="21">
        <f>IF(D2874="?OLD","!!!","")</f>
        <v/>
      </c>
      <c r="F2874" s="22" t="str">
        <f>IF(OR(E2874="",E2874="!!!"),"",IF(NOT(ISNA(VLOOKUP(E2874,E$1:E2873,1,FALSE()))),"OLD",IF(AND(E2874&lt;&gt;"",E2874&lt;&gt;"!!!"),"NEW","")))</f>
        <v> </v>
      </c>
      <c r="G2874" s="23" t="str">
        <f>IF(OR(E2874="",E2874="!!!"),"",IF(OR(J2874=0,AND(J2874=1,K2874=1),AND(J2874=1,I2874="SBJ"),AND(J2874=1,I2874=0)),"?IN_FOCUS",IF(J2874&lt;=2,"?ACTIVATED",IF(J2874&lt;&gt;"","?FAMILIAR",IF(F2874="NEW",IF(ISNA(VLOOKUP(E2874,#REF!,1,FALSE())),"?TYPE_IDENTIFIABLE","?REFERENTIAL"),"_")))))</f>
        <v> </v>
      </c>
      <c r="H2874" s="24" t="str">
        <f>IF(J2874&lt;&gt;1,"",IF(I2874="SBJ","CB","?"))</f>
        <v> </v>
      </c>
      <c r="I2874" s="25" t="str">
        <f>IF(OR(E2874="",E2874="!!!",F2874="NEW"),"",INDEX(B2873:B$2,-1+SUMPRODUCT(MAX(ROW(E2873:E$2)*(E2874=E2873:E$2)))))</f>
        <v> </v>
      </c>
      <c r="J2874" s="25" t="str">
        <f>IF(OR(E2874="",E2874="!!!",F2874="NEW"),"",COUNTBLANK(OFFSET(A$1,,,SUMPRODUCT(MAX(ROW(E$2:E2874)*(E2874=E$2:E2874)))))-COUNTBLANK(OFFSET(A$1,,,SUMPRODUCT(MAX(ROW(E$1:E2873)*(E2=E$1:E2873))))))</f>
        <v> </v>
      </c>
      <c r="K2874" s="25" t="str">
        <f>IF(OR(E2874="",E2874="!!!",F2874="NEW"),"",INDEX(J$1:J2873,SUMPRODUCT(MAX(ROW(E$1:E2873)*(E2874=E$1:E2873)))))</f>
        <v> </v>
      </c>
      <c r="L2874" s="26"/>
    </row>
    <row r="2875" spans="1:12">
      <c r="A2875" s="20" t="s">
        <v>1080</v>
      </c>
      <c r="E2875" s="21">
        <f>IF(D2875="?OLD","!!!","")</f>
        <v/>
      </c>
      <c r="F2875" s="22" t="str">
        <f>IF(OR(E2875="",E2875="!!!"),"",IF(NOT(ISNA(VLOOKUP(E2875,E$1:E2874,1,FALSE()))),"OLD",IF(AND(E2875&lt;&gt;"",E2875&lt;&gt;"!!!"),"NEW","")))</f>
        <v> </v>
      </c>
      <c r="G2875" s="23" t="str">
        <f>IF(OR(E2875="",E2875="!!!"),"",IF(OR(J2875=0,AND(J2875=1,K2875=1),AND(J2875=1,I2875="SBJ"),AND(J2875=1,I2875=0)),"?IN_FOCUS",IF(J2875&lt;=2,"?ACTIVATED",IF(J2875&lt;&gt;"","?FAMILIAR",IF(F2875="NEW",IF(ISNA(VLOOKUP(E2875,#REF!,1,FALSE())),"?TYPE_IDENTIFIABLE","?REFERENTIAL"),"_")))))</f>
        <v> </v>
      </c>
      <c r="H2875" s="24" t="str">
        <f>IF(J2875&lt;&gt;1,"",IF(I2875="SBJ","CB","?"))</f>
        <v> </v>
      </c>
      <c r="I2875" s="25" t="str">
        <f>IF(OR(E2875="",E2875="!!!",F2875="NEW"),"",INDEX(B2874:B$2,-1+SUMPRODUCT(MAX(ROW(E2874:E$2)*(E2875=E2874:E$2)))))</f>
        <v> </v>
      </c>
      <c r="J2875" s="25" t="str">
        <f>IF(OR(E2875="",E2875="!!!",F2875="NEW"),"",COUNTBLANK(OFFSET(A$1,,,SUMPRODUCT(MAX(ROW(E$2:E2875)*(E2875=E$2:E2875)))))-COUNTBLANK(OFFSET(A$1,,,SUMPRODUCT(MAX(ROW(E$1:E2874)*(E2=E$1:E2874))))))</f>
        <v> </v>
      </c>
      <c r="K2875" s="25" t="str">
        <f>IF(OR(E2875="",E2875="!!!",F2875="NEW"),"",INDEX(J$1:J2874,SUMPRODUCT(MAX(ROW(E$1:E2874)*(E2875=E$1:E2874)))))</f>
        <v> </v>
      </c>
      <c r="L2875" s="26"/>
    </row>
    <row r="2876" spans="1:12">
      <c r="A2876" s="20" t="s">
        <v>2037</v>
      </c>
      <c r="B2876" s="27" t="s">
        <v>1035</v>
      </c>
      <c r="C2876" s="27" t="s">
        <v>1038</v>
      </c>
      <c r="D2876" s="27" t="s">
        <v>1030</v>
      </c>
      <c r="E2876" s="21">
        <f>IF(D2876="?OLD","!!!","")</f>
        <v/>
      </c>
      <c r="F2876" s="22" t="str">
        <f>IF(OR(E2876="",E2876="!!!"),"",IF(NOT(ISNA(VLOOKUP(E2876,E$1:E2875,1,FALSE()))),"OLD",IF(AND(E2876&lt;&gt;"",E2876&lt;&gt;"!!!"),"NEW","")))</f>
        <v> </v>
      </c>
      <c r="G2876" s="23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4" t="str">
        <f>IF(J2876&lt;&gt;1,"",IF(I2876="SBJ","CB","?"))</f>
        <v> </v>
      </c>
      <c r="I2876" s="25" t="str">
        <f>IF(OR(E2876="",E2876="!!!",F2876="NEW"),"",INDEX(B2875:B$2,-1+SUMPRODUCT(MAX(ROW(E2875:E$2)*(E2876=E2875:E$2)))))</f>
        <v> </v>
      </c>
      <c r="J2876" s="25" t="str">
        <f>IF(OR(E2876="",E2876="!!!",F2876="NEW"),"",COUNTBLANK(OFFSET(A$1,,,SUMPRODUCT(MAX(ROW(E$2:E2876)*(E2876=E$2:E2876)))))-COUNTBLANK(OFFSET(A$1,,,SUMPRODUCT(MAX(ROW(E$1:E2875)*(E2=E$1:E2875))))))</f>
        <v> </v>
      </c>
      <c r="K2876" s="25" t="str">
        <f>IF(OR(E2876="",E2876="!!!",F2876="NEW"),"",INDEX(J$1:J2875,SUMPRODUCT(MAX(ROW(E$1:E2875)*(E2876=E$1:E2875)))))</f>
        <v> </v>
      </c>
      <c r="L2876" s="26"/>
    </row>
    <row r="2877" spans="1:12">
      <c r="A2877" s="20" t="s">
        <v>1131</v>
      </c>
      <c r="E2877" s="21">
        <f>IF(D2877="?OLD","!!!","")</f>
        <v/>
      </c>
      <c r="F2877" s="22" t="str">
        <f>IF(OR(E2877="",E2877="!!!"),"",IF(NOT(ISNA(VLOOKUP(E2877,E$1:E2876,1,FALSE()))),"OLD",IF(AND(E2877&lt;&gt;"",E2877&lt;&gt;"!!!"),"NEW","")))</f>
        <v> </v>
      </c>
      <c r="G2877" s="23" t="str">
        <f>IF(OR(E2877="",E2877="!!!"),"",IF(OR(J2877=0,AND(J2877=1,K2877=1),AND(J2877=1,I2877="SBJ"),AND(J2877=1,I2877=0)),"?IN_FOCUS",IF(J2877&lt;=2,"?ACTIVATED",IF(J2877&lt;&gt;"","?FAMILIAR",IF(F2877="NEW",IF(ISNA(VLOOKUP(E2877,#REF!,1,FALSE())),"?TYPE_IDENTIFIABLE","?REFERENTIAL"),"_")))))</f>
        <v> </v>
      </c>
      <c r="H2877" s="24" t="str">
        <f>IF(J2877&lt;&gt;1,"",IF(I2877="SBJ","CB","?"))</f>
        <v> </v>
      </c>
      <c r="I2877" s="25" t="str">
        <f>IF(OR(E2877="",E2877="!!!",F2877="NEW"),"",INDEX(B2876:B$2,-1+SUMPRODUCT(MAX(ROW(E2876:E$2)*(E2877=E2876:E$2)))))</f>
        <v> </v>
      </c>
      <c r="J2877" s="25" t="str">
        <f>IF(OR(E2877="",E2877="!!!",F2877="NEW"),"",COUNTBLANK(OFFSET(A$1,,,SUMPRODUCT(MAX(ROW(E$2:E2877)*(E2877=E$2:E2877)))))-COUNTBLANK(OFFSET(A$1,,,SUMPRODUCT(MAX(ROW(E$1:E2876)*(E2=E$1:E2876))))))</f>
        <v> </v>
      </c>
      <c r="K2877" s="25" t="str">
        <f>IF(OR(E2877="",E2877="!!!",F2877="NEW"),"",INDEX(J$1:J2876,SUMPRODUCT(MAX(ROW(E$1:E2876)*(E2877=E$1:E2876)))))</f>
        <v> </v>
      </c>
      <c r="L2877" s="26"/>
    </row>
    <row r="2878" spans="1:12">
      <c r="A2878" s="20" t="s">
        <v>1111</v>
      </c>
      <c r="E2878" s="21">
        <f>IF(D2878="?OLD","!!!","")</f>
        <v/>
      </c>
      <c r="F2878" s="22" t="str">
        <f>IF(OR(E2878="",E2878="!!!"),"",IF(NOT(ISNA(VLOOKUP(E2878,E$1:E2877,1,FALSE()))),"OLD",IF(AND(E2878&lt;&gt;"",E2878&lt;&gt;"!!!"),"NEW","")))</f>
        <v> </v>
      </c>
      <c r="G2878" s="23" t="str">
        <f>IF(OR(E2878="",E2878="!!!"),"",IF(OR(J2878=0,AND(J2878=1,K2878=1),AND(J2878=1,I2878="SBJ"),AND(J2878=1,I2878=0)),"?IN_FOCUS",IF(J2878&lt;=2,"?ACTIVATED",IF(J2878&lt;&gt;"","?FAMILIAR",IF(F2878="NEW",IF(ISNA(VLOOKUP(E2878,#REF!,1,FALSE())),"?TYPE_IDENTIFIABLE","?REFERENTIAL"),"_")))))</f>
        <v> </v>
      </c>
      <c r="H2878" s="24" t="str">
        <f>IF(J2878&lt;&gt;1,"",IF(I2878="SBJ","CB","?"))</f>
        <v> </v>
      </c>
      <c r="I2878" s="25" t="str">
        <f>IF(OR(E2878="",E2878="!!!",F2878="NEW"),"",INDEX(B2877:B$2,-1+SUMPRODUCT(MAX(ROW(E2877:E$2)*(E2878=E2877:E$2)))))</f>
        <v> </v>
      </c>
      <c r="J2878" s="25" t="str">
        <f>IF(OR(E2878="",E2878="!!!",F2878="NEW"),"",COUNTBLANK(OFFSET(A$1,,,SUMPRODUCT(MAX(ROW(E$2:E2878)*(E2878=E$2:E2878)))))-COUNTBLANK(OFFSET(A$1,,,SUMPRODUCT(MAX(ROW(E$1:E2877)*(E2=E$1:E2877))))))</f>
        <v> </v>
      </c>
      <c r="K2878" s="25" t="str">
        <f>IF(OR(E2878="",E2878="!!!",F2878="NEW"),"",INDEX(J$1:J2877,SUMPRODUCT(MAX(ROW(E$1:E2877)*(E2878=E$1:E2877)))))</f>
        <v> </v>
      </c>
      <c r="L2878" s="26"/>
    </row>
    <row r="2879" spans="1:12">
      <c r="A2879" s="20" t="s">
        <v>2038</v>
      </c>
      <c r="B2879" s="27" t="s">
        <v>1103</v>
      </c>
      <c r="C2879" s="27" t="s">
        <v>1038</v>
      </c>
      <c r="D2879" s="27" t="s">
        <v>1030</v>
      </c>
      <c r="E2879" s="21">
        <f>IF(D2879="?OLD","!!!","")</f>
        <v/>
      </c>
      <c r="F2879" s="22" t="str">
        <f>IF(OR(E2879="",E2879="!!!"),"",IF(NOT(ISNA(VLOOKUP(E2879,E$1:E2878,1,FALSE()))),"OLD",IF(AND(E2879&lt;&gt;"",E2879&lt;&gt;"!!!"),"NEW","")))</f>
        <v> </v>
      </c>
      <c r="G2879" s="23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4" t="str">
        <f>IF(J2879&lt;&gt;1,"",IF(I2879="SBJ","CB","?"))</f>
        <v> </v>
      </c>
      <c r="I2879" s="25" t="str">
        <f>IF(OR(E2879="",E2879="!!!",F2879="NEW"),"",INDEX(B2878:B$2,-1+SUMPRODUCT(MAX(ROW(E2878:E$2)*(E2879=E2878:E$2)))))</f>
        <v> </v>
      </c>
      <c r="J2879" s="25" t="str">
        <f>IF(OR(E2879="",E2879="!!!",F2879="NEW"),"",COUNTBLANK(OFFSET(A$1,,,SUMPRODUCT(MAX(ROW(E$2:E2879)*(E2879=E$2:E2879)))))-COUNTBLANK(OFFSET(A$1,,,SUMPRODUCT(MAX(ROW(E$1:E2878)*(E2=E$1:E2878))))))</f>
        <v> </v>
      </c>
      <c r="K2879" s="25" t="str">
        <f>IF(OR(E2879="",E2879="!!!",F2879="NEW"),"",INDEX(J$1:J2878,SUMPRODUCT(MAX(ROW(E$1:E2878)*(E2879=E$1:E2878)))))</f>
        <v> </v>
      </c>
      <c r="L2879" s="26"/>
    </row>
    <row r="2880" spans="1:12">
      <c r="A2880" s="20" t="s">
        <v>1101</v>
      </c>
      <c r="E2880" s="21">
        <f>IF(D2880="?OLD","!!!","")</f>
        <v/>
      </c>
      <c r="F2880" s="22" t="str">
        <f>IF(OR(E2880="",E2880="!!!"),"",IF(NOT(ISNA(VLOOKUP(E2880,E$1:E2879,1,FALSE()))),"OLD",IF(AND(E2880&lt;&gt;"",E2880&lt;&gt;"!!!"),"NEW","")))</f>
        <v> </v>
      </c>
      <c r="G2880" s="23" t="str">
        <f>IF(OR(E2880="",E2880="!!!"),"",IF(OR(J2880=0,AND(J2880=1,K2880=1),AND(J2880=1,I2880="SBJ"),AND(J2880=1,I2880=0)),"?IN_FOCUS",IF(J2880&lt;=2,"?ACTIVATED",IF(J2880&lt;&gt;"","?FAMILIAR",IF(F2880="NEW",IF(ISNA(VLOOKUP(E2880,#REF!,1,FALSE())),"?TYPE_IDENTIFIABLE","?REFERENTIAL"),"_")))))</f>
        <v> </v>
      </c>
      <c r="H2880" s="24" t="str">
        <f>IF(J2880&lt;&gt;1,"",IF(I2880="SBJ","CB","?"))</f>
        <v> </v>
      </c>
      <c r="I2880" s="25" t="str">
        <f>IF(OR(E2880="",E2880="!!!",F2880="NEW"),"",INDEX(B2879:B$2,-1+SUMPRODUCT(MAX(ROW(E2879:E$2)*(E2880=E2879:E$2)))))</f>
        <v> </v>
      </c>
      <c r="J2880" s="25" t="str">
        <f>IF(OR(E2880="",E2880="!!!",F2880="NEW"),"",COUNTBLANK(OFFSET(A$1,,,SUMPRODUCT(MAX(ROW(E$2:E2880)*(E2880=E$2:E2880)))))-COUNTBLANK(OFFSET(A$1,,,SUMPRODUCT(MAX(ROW(E$1:E2879)*(E2=E$1:E2879))))))</f>
        <v> </v>
      </c>
      <c r="K2880" s="25" t="str">
        <f>IF(OR(E2880="",E2880="!!!",F2880="NEW"),"",INDEX(J$1:J2879,SUMPRODUCT(MAX(ROW(E$1:E2879)*(E2880=E$1:E2879)))))</f>
        <v> </v>
      </c>
      <c r="L2880" s="26"/>
    </row>
    <row r="2881" spans="1:12">
      <c r="A2881" s="20" t="s">
        <v>1099</v>
      </c>
      <c r="E2881" s="21">
        <f>IF(D2881="?OLD","!!!","")</f>
        <v/>
      </c>
      <c r="F2881" s="22" t="str">
        <f>IF(OR(E2881="",E2881="!!!"),"",IF(NOT(ISNA(VLOOKUP(E2881,E$1:E2880,1,FALSE()))),"OLD",IF(AND(E2881&lt;&gt;"",E2881&lt;&gt;"!!!"),"NEW","")))</f>
        <v> </v>
      </c>
      <c r="G2881" s="23" t="str">
        <f>IF(OR(E2881="",E2881="!!!"),"",IF(OR(J2881=0,AND(J2881=1,K2881=1),AND(J2881=1,I2881="SBJ"),AND(J2881=1,I2881=0)),"?IN_FOCUS",IF(J2881&lt;=2,"?ACTIVATED",IF(J2881&lt;&gt;"","?FAMILIAR",IF(F2881="NEW",IF(ISNA(VLOOKUP(E2881,#REF!,1,FALSE())),"?TYPE_IDENTIFIABLE","?REFERENTIAL"),"_")))))</f>
        <v> </v>
      </c>
      <c r="H2881" s="24" t="str">
        <f>IF(J2881&lt;&gt;1,"",IF(I2881="SBJ","CB","?"))</f>
        <v> </v>
      </c>
      <c r="I2881" s="25" t="str">
        <f>IF(OR(E2881="",E2881="!!!",F2881="NEW"),"",INDEX(B2880:B$2,-1+SUMPRODUCT(MAX(ROW(E2880:E$2)*(E2881=E2880:E$2)))))</f>
        <v> </v>
      </c>
      <c r="J2881" s="25" t="str">
        <f>IF(OR(E2881="",E2881="!!!",F2881="NEW"),"",COUNTBLANK(OFFSET(A$1,,,SUMPRODUCT(MAX(ROW(E$2:E2881)*(E2881=E$2:E2881)))))-COUNTBLANK(OFFSET(A$1,,,SUMPRODUCT(MAX(ROW(E$1:E2880)*(E2=E$1:E2880))))))</f>
        <v> </v>
      </c>
      <c r="K2881" s="25" t="str">
        <f>IF(OR(E2881="",E2881="!!!",F2881="NEW"),"",INDEX(J$1:J2880,SUMPRODUCT(MAX(ROW(E$1:E2880)*(E2881=E$1:E2880)))))</f>
        <v> </v>
      </c>
      <c r="L2881" s="26"/>
    </row>
    <row r="2882" spans="1:12">
      <c r="A2882" s="20" t="s">
        <v>1275</v>
      </c>
      <c r="E2882" s="21">
        <f>IF(D2882="?OLD","!!!","")</f>
        <v/>
      </c>
      <c r="F2882" s="22" t="str">
        <f>IF(OR(E2882="",E2882="!!!"),"",IF(NOT(ISNA(VLOOKUP(E2882,E$1:E2881,1,FALSE()))),"OLD",IF(AND(E2882&lt;&gt;"",E2882&lt;&gt;"!!!"),"NEW","")))</f>
        <v> </v>
      </c>
      <c r="G2882" s="23" t="str">
        <f>IF(OR(E2882="",E2882="!!!"),"",IF(OR(J2882=0,AND(J2882=1,K2882=1),AND(J2882=1,I2882="SBJ"),AND(J2882=1,I2882=0)),"?IN_FOCUS",IF(J2882&lt;=2,"?ACTIVATED",IF(J2882&lt;&gt;"","?FAMILIAR",IF(F2882="NEW",IF(ISNA(VLOOKUP(E2882,#REF!,1,FALSE())),"?TYPE_IDENTIFIABLE","?REFERENTIAL"),"_")))))</f>
        <v> </v>
      </c>
      <c r="H2882" s="24" t="str">
        <f>IF(J2882&lt;&gt;1,"",IF(I2882="SBJ","CB","?"))</f>
        <v> </v>
      </c>
      <c r="I2882" s="25" t="str">
        <f>IF(OR(E2882="",E2882="!!!",F2882="NEW"),"",INDEX(B2881:B$2,-1+SUMPRODUCT(MAX(ROW(E2881:E$2)*(E2882=E2881:E$2)))))</f>
        <v> </v>
      </c>
      <c r="J2882" s="25" t="str">
        <f>IF(OR(E2882="",E2882="!!!",F2882="NEW"),"",COUNTBLANK(OFFSET(A$1,,,SUMPRODUCT(MAX(ROW(E$2:E2882)*(E2882=E$2:E2882)))))-COUNTBLANK(OFFSET(A$1,,,SUMPRODUCT(MAX(ROW(E$1:E2881)*(E2=E$1:E2881))))))</f>
        <v> </v>
      </c>
      <c r="K2882" s="25" t="str">
        <f>IF(OR(E2882="",E2882="!!!",F2882="NEW"),"",INDEX(J$1:J2881,SUMPRODUCT(MAX(ROW(E$1:E2881)*(E2882=E$1:E2881)))))</f>
        <v> </v>
      </c>
      <c r="L2882" s="26"/>
    </row>
    <row r="2883" spans="1:12">
      <c r="A2883" s="20" t="s">
        <v>1123</v>
      </c>
      <c r="B2883" s="27" t="s">
        <v>1354</v>
      </c>
      <c r="C2883" s="27" t="s">
        <v>1050</v>
      </c>
      <c r="D2883" s="27" t="s">
        <v>1030</v>
      </c>
      <c r="E2883" s="21">
        <f>IF(D2883="?OLD","!!!","")</f>
        <v/>
      </c>
      <c r="F2883" s="22" t="str">
        <f>IF(OR(E2883="",E2883="!!!"),"",IF(NOT(ISNA(VLOOKUP(E2883,E$1:E2882,1,FALSE()))),"OLD",IF(AND(E2883&lt;&gt;"",E2883&lt;&gt;"!!!"),"NEW","")))</f>
        <v> </v>
      </c>
      <c r="G2883" s="23" t="str">
        <f>IF(OR(E2883="",E2883="!!!"),"",IF(OR(J2883=0,AND(J2883=1,K2883=1),AND(J2883=1,I2883="SBJ"),AND(J2883=1,I2883=0)),"?IN_FOCUS",IF(J2883&lt;=2,"?ACTIVATED",IF(J2883&lt;&gt;"","?FAMILIAR",IF(F2883="NEW",IF(ISNA(VLOOKUP(E2883,#REF!,1,FALSE())),"?TYPE_IDENTIFIABLE","?REFERENTIAL"),"_")))))</f>
        <v> </v>
      </c>
      <c r="H2883" s="24" t="str">
        <f>IF(J2883&lt;&gt;1,"",IF(I2883="SBJ","CB","?"))</f>
        <v> </v>
      </c>
      <c r="I2883" s="25" t="str">
        <f>IF(OR(E2883="",E2883="!!!",F2883="NEW"),"",INDEX(B2882:B$2,-1+SUMPRODUCT(MAX(ROW(E2882:E$2)*(E2883=E2882:E$2)))))</f>
        <v> </v>
      </c>
      <c r="J2883" s="25" t="str">
        <f>IF(OR(E2883="",E2883="!!!",F2883="NEW"),"",COUNTBLANK(OFFSET(A$1,,,SUMPRODUCT(MAX(ROW(E$2:E2883)*(E2883=E$2:E2883)))))-COUNTBLANK(OFFSET(A$1,,,SUMPRODUCT(MAX(ROW(E$1:E2882)*(E2=E$1:E2882))))))</f>
        <v> </v>
      </c>
      <c r="K2883" s="25" t="str">
        <f>IF(OR(E2883="",E2883="!!!",F2883="NEW"),"",INDEX(J$1:J2882,SUMPRODUCT(MAX(ROW(E$1:E2882)*(E2883=E$1:E2882)))))</f>
        <v> </v>
      </c>
      <c r="L2883" s="26"/>
    </row>
    <row r="2884" spans="1:12">
      <c r="A2884" s="20" t="s">
        <v>1801</v>
      </c>
      <c r="E2884" s="21">
        <f>IF(D2884="?OLD","!!!","")</f>
        <v/>
      </c>
      <c r="F2884" s="22" t="str">
        <f>IF(OR(E2884="",E2884="!!!"),"",IF(NOT(ISNA(VLOOKUP(E2884,E$1:E2883,1,FALSE()))),"OLD",IF(AND(E2884&lt;&gt;"",E2884&lt;&gt;"!!!"),"NEW","")))</f>
        <v> </v>
      </c>
      <c r="G2884" s="23" t="str">
        <f>IF(OR(E2884="",E2884="!!!"),"",IF(OR(J2884=0,AND(J2884=1,K2884=1),AND(J2884=1,I2884="SBJ"),AND(J2884=1,I2884=0)),"?IN_FOCUS",IF(J2884&lt;=2,"?ACTIVATED",IF(J2884&lt;&gt;"","?FAMILIAR",IF(F2884="NEW",IF(ISNA(VLOOKUP(E2884,#REF!,1,FALSE())),"?TYPE_IDENTIFIABLE","?REFERENTIAL"),"_")))))</f>
        <v> </v>
      </c>
      <c r="H2884" s="24" t="str">
        <f>IF(J2884&lt;&gt;1,"",IF(I2884="SBJ","CB","?"))</f>
        <v> </v>
      </c>
      <c r="I2884" s="25" t="str">
        <f>IF(OR(E2884="",E2884="!!!",F2884="NEW"),"",INDEX(B2883:B$2,-1+SUMPRODUCT(MAX(ROW(E2883:E$2)*(E2884=E2883:E$2)))))</f>
        <v> </v>
      </c>
      <c r="J2884" s="25" t="str">
        <f>IF(OR(E2884="",E2884="!!!",F2884="NEW"),"",COUNTBLANK(OFFSET(A$1,,,SUMPRODUCT(MAX(ROW(E$2:E2884)*(E2884=E$2:E2884)))))-COUNTBLANK(OFFSET(A$1,,,SUMPRODUCT(MAX(ROW(E$1:E2883)*(E2=E$1:E2883))))))</f>
        <v> </v>
      </c>
      <c r="K2884" s="25" t="str">
        <f>IF(OR(E2884="",E2884="!!!",F2884="NEW"),"",INDEX(J$1:J2883,SUMPRODUCT(MAX(ROW(E$1:E2883)*(E2884=E$1:E2883)))))</f>
        <v> </v>
      </c>
      <c r="L2884" s="26"/>
    </row>
    <row r="2885" spans="1:12">
      <c r="A2885" s="20" t="s">
        <v>2039</v>
      </c>
      <c r="E2885" s="21">
        <f>IF(D2885="?OLD","!!!","")</f>
        <v/>
      </c>
      <c r="F2885" s="22" t="str">
        <f>IF(OR(E2885="",E2885="!!!"),"",IF(NOT(ISNA(VLOOKUP(E2885,E$1:E2884,1,FALSE()))),"OLD",IF(AND(E2885&lt;&gt;"",E2885&lt;&gt;"!!!"),"NEW","")))</f>
        <v> </v>
      </c>
      <c r="G2885" s="23" t="str">
        <f>IF(OR(E2885="",E2885="!!!"),"",IF(OR(J2885=0,AND(J2885=1,K2885=1),AND(J2885=1,I2885="SBJ"),AND(J2885=1,I2885=0)),"?IN_FOCUS",IF(J2885&lt;=2,"?ACTIVATED",IF(J2885&lt;&gt;"","?FAMILIAR",IF(F2885="NEW",IF(ISNA(VLOOKUP(E2885,#REF!,1,FALSE())),"?TYPE_IDENTIFIABLE","?REFERENTIAL"),"_")))))</f>
        <v> </v>
      </c>
      <c r="H2885" s="24" t="str">
        <f>IF(J2885&lt;&gt;1,"",IF(I2885="SBJ","CB","?"))</f>
        <v> </v>
      </c>
      <c r="I2885" s="25" t="str">
        <f>IF(OR(E2885="",E2885="!!!",F2885="NEW"),"",INDEX(B2884:B$2,-1+SUMPRODUCT(MAX(ROW(E2884:E$2)*(E2885=E2884:E$2)))))</f>
        <v> </v>
      </c>
      <c r="J2885" s="25" t="str">
        <f>IF(OR(E2885="",E2885="!!!",F2885="NEW"),"",COUNTBLANK(OFFSET(A$1,,,SUMPRODUCT(MAX(ROW(E$2:E2885)*(E2885=E$2:E2885)))))-COUNTBLANK(OFFSET(A$1,,,SUMPRODUCT(MAX(ROW(E$1:E2884)*(E2=E$1:E2884))))))</f>
        <v> </v>
      </c>
      <c r="K2885" s="25" t="str">
        <f>IF(OR(E2885="",E2885="!!!",F2885="NEW"),"",INDEX(J$1:J2884,SUMPRODUCT(MAX(ROW(E$1:E2884)*(E2885=E$1:E2884)))))</f>
        <v> </v>
      </c>
      <c r="L2885" s="26"/>
    </row>
    <row r="2886" spans="1:12">
      <c r="A2886" s="20" t="s">
        <v>2040</v>
      </c>
      <c r="B2886" s="27" t="s">
        <v>1460</v>
      </c>
      <c r="C2886" s="27" t="s">
        <v>1029</v>
      </c>
      <c r="D2886" s="27" t="s">
        <v>1030</v>
      </c>
      <c r="E2886" s="21">
        <f>IF(D2886="?OLD","!!!","")</f>
        <v/>
      </c>
      <c r="F2886" s="22" t="str">
        <f>IF(OR(E2886="",E2886="!!!"),"",IF(NOT(ISNA(VLOOKUP(E2886,E$1:E2885,1,FALSE()))),"OLD",IF(AND(E2886&lt;&gt;"",E2886&lt;&gt;"!!!"),"NEW","")))</f>
        <v> </v>
      </c>
      <c r="G2886" s="23" t="str">
        <f>IF(OR(E2886="",E2886="!!!"),"",IF(OR(J2886=0,AND(J2886=1,K2886=1),AND(J2886=1,I2886="SBJ"),AND(J2886=1,I2886=0)),"?IN_FOCUS",IF(J2886&lt;=2,"?ACTIVATED",IF(J2886&lt;&gt;"","?FAMILIAR",IF(F2886="NEW",IF(ISNA(VLOOKUP(E2886,#REF!,1,FALSE())),"?TYPE_IDENTIFIABLE","?REFERENTIAL"),"_")))))</f>
        <v> </v>
      </c>
      <c r="H2886" s="24" t="str">
        <f>IF(J2886&lt;&gt;1,"",IF(I2886="SBJ","CB","?"))</f>
        <v> </v>
      </c>
      <c r="I2886" s="25" t="str">
        <f>IF(OR(E2886="",E2886="!!!",F2886="NEW"),"",INDEX(B2885:B$2,-1+SUMPRODUCT(MAX(ROW(E2885:E$2)*(E2886=E2885:E$2)))))</f>
        <v> </v>
      </c>
      <c r="J2886" s="25" t="str">
        <f>IF(OR(E2886="",E2886="!!!",F2886="NEW"),"",COUNTBLANK(OFFSET(A$1,,,SUMPRODUCT(MAX(ROW(E$2:E2886)*(E2886=E$2:E2886)))))-COUNTBLANK(OFFSET(A$1,,,SUMPRODUCT(MAX(ROW(E$1:E2885)*(E2=E$1:E2885))))))</f>
        <v> </v>
      </c>
      <c r="K2886" s="25" t="str">
        <f>IF(OR(E2886="",E2886="!!!",F2886="NEW"),"",INDEX(J$1:J2885,SUMPRODUCT(MAX(ROW(E$1:E2885)*(E2886=E$1:E2885)))))</f>
        <v> </v>
      </c>
      <c r="L2886" s="26"/>
    </row>
    <row r="2887" spans="1:12">
      <c r="A2887" s="20" t="s">
        <v>1016</v>
      </c>
      <c r="E2887" s="21">
        <f>IF(D2887="?OLD","!!!","")</f>
        <v/>
      </c>
      <c r="F2887" s="22" t="str">
        <f>IF(OR(E2887="",E2887="!!!"),"",IF(NOT(ISNA(VLOOKUP(E2887,E$1:E2886,1,FALSE()))),"OLD",IF(AND(E2887&lt;&gt;"",E2887&lt;&gt;"!!!"),"NEW","")))</f>
        <v> </v>
      </c>
      <c r="G2887" s="23" t="str">
        <f>IF(OR(E2887="",E2887="!!!"),"",IF(OR(J2887=0,AND(J2887=1,K2887=1),AND(J2887=1,I2887="SBJ"),AND(J2887=1,I2887=0)),"?IN_FOCUS",IF(J2887&lt;=2,"?ACTIVATED",IF(J2887&lt;&gt;"","?FAMILIAR",IF(F2887="NEW",IF(ISNA(VLOOKUP(E2887,#REF!,1,FALSE())),"?TYPE_IDENTIFIABLE","?REFERENTIAL"),"_")))))</f>
        <v> </v>
      </c>
      <c r="H2887" s="24" t="str">
        <f>IF(J2887&lt;&gt;1,"",IF(I2887="SBJ","CB","?"))</f>
        <v> </v>
      </c>
      <c r="I2887" s="25" t="str">
        <f>IF(OR(E2887="",E2887="!!!",F2887="NEW"),"",INDEX(B2886:B$2,-1+SUMPRODUCT(MAX(ROW(E2886:E$2)*(E2887=E2886:E$2)))))</f>
        <v> </v>
      </c>
      <c r="J2887" s="25" t="str">
        <f>IF(OR(E2887="",E2887="!!!",F2887="NEW"),"",COUNTBLANK(OFFSET(A$1,,,SUMPRODUCT(MAX(ROW(E$2:E2887)*(E2887=E$2:E2887)))))-COUNTBLANK(OFFSET(A$1,,,SUMPRODUCT(MAX(ROW(E$1:E2886)*(E2=E$1:E2886))))))</f>
        <v> </v>
      </c>
      <c r="K2887" s="25" t="str">
        <f>IF(OR(E2887="",E2887="!!!",F2887="NEW"),"",INDEX(J$1:J2886,SUMPRODUCT(MAX(ROW(E$1:E2886)*(E2887=E$1:E2886)))))</f>
        <v> </v>
      </c>
      <c r="L2887" s="26"/>
    </row>
    <row r="2888" spans="1:12">
      <c r="A2888" s="20" t="s">
        <v>1036</v>
      </c>
      <c r="E2888" s="21">
        <f>IF(D2888="?OLD","!!!","")</f>
        <v/>
      </c>
      <c r="F2888" s="22" t="str">
        <f>IF(OR(E2888="",E2888="!!!"),"",IF(NOT(ISNA(VLOOKUP(E2888,E$1:E2887,1,FALSE()))),"OLD",IF(AND(E2888&lt;&gt;"",E2888&lt;&gt;"!!!"),"NEW","")))</f>
        <v> </v>
      </c>
      <c r="G2888" s="23" t="str">
        <f>IF(OR(E2888="",E2888="!!!"),"",IF(OR(J2888=0,AND(J2888=1,K2888=1),AND(J2888=1,I2888="SBJ"),AND(J2888=1,I2888=0)),"?IN_FOCUS",IF(J2888&lt;=2,"?ACTIVATED",IF(J2888&lt;&gt;"","?FAMILIAR",IF(F2888="NEW",IF(ISNA(VLOOKUP(E2888,#REF!,1,FALSE())),"?TYPE_IDENTIFIABLE","?REFERENTIAL"),"_")))))</f>
        <v> </v>
      </c>
      <c r="H2888" s="24" t="str">
        <f>IF(J2888&lt;&gt;1,"",IF(I2888="SBJ","CB","?"))</f>
        <v> </v>
      </c>
      <c r="I2888" s="25" t="str">
        <f>IF(OR(E2888="",E2888="!!!",F2888="NEW"),"",INDEX(B2887:B$2,-1+SUMPRODUCT(MAX(ROW(E2887:E$2)*(E2888=E2887:E$2)))))</f>
        <v> </v>
      </c>
      <c r="J2888" s="25" t="str">
        <f>IF(OR(E2888="",E2888="!!!",F2888="NEW"),"",COUNTBLANK(OFFSET(A$1,,,SUMPRODUCT(MAX(ROW(E$2:E2888)*(E2888=E$2:E2888)))))-COUNTBLANK(OFFSET(A$1,,,SUMPRODUCT(MAX(ROW(E$1:E2887)*(E2=E$1:E2887))))))</f>
        <v> </v>
      </c>
      <c r="K2888" s="25" t="str">
        <f>IF(OR(E2888="",E2888="!!!",F2888="NEW"),"",INDEX(J$1:J2887,SUMPRODUCT(MAX(ROW(E$1:E2887)*(E2888=E$1:E2887)))))</f>
        <v> </v>
      </c>
      <c r="L2888" s="26"/>
    </row>
    <row r="2889" spans="1:12">
      <c r="A2889" s="20" t="s">
        <v>2041</v>
      </c>
      <c r="B2889" s="27" t="s">
        <v>1028</v>
      </c>
      <c r="C2889" s="27" t="s">
        <v>1038</v>
      </c>
      <c r="D2889" s="27" t="s">
        <v>1030</v>
      </c>
      <c r="E2889" s="21">
        <f>IF(D2889="?OLD","!!!","")</f>
        <v/>
      </c>
      <c r="F2889" s="22" t="str">
        <f>IF(OR(E2889="",E2889="!!!"),"",IF(NOT(ISNA(VLOOKUP(E2889,E$1:E2888,1,FALSE()))),"OLD",IF(AND(E2889&lt;&gt;"",E2889&lt;&gt;"!!!"),"NEW","")))</f>
        <v> </v>
      </c>
      <c r="G2889" s="23" t="str">
        <f>IF(OR(E2889="",E2889="!!!"),"",IF(OR(J2889=0,AND(J2889=1,K2889=1),AND(J2889=1,I2889="SBJ"),AND(J2889=1,I2889=0)),"?IN_FOCUS",IF(J2889&lt;=2,"?ACTIVATED",IF(J2889&lt;&gt;"","?FAMILIAR",IF(F2889="NEW",IF(ISNA(VLOOKUP(E2889,#REF!,1,FALSE())),"?TYPE_IDENTIFIABLE","?REFERENTIAL"),"_")))))</f>
        <v> </v>
      </c>
      <c r="H2889" s="24" t="str">
        <f>IF(J2889&lt;&gt;1,"",IF(I2889="SBJ","CB","?"))</f>
        <v> </v>
      </c>
      <c r="I2889" s="25" t="str">
        <f>IF(OR(E2889="",E2889="!!!",F2889="NEW"),"",INDEX(B2888:B$2,-1+SUMPRODUCT(MAX(ROW(E2888:E$2)*(E2889=E2888:E$2)))))</f>
        <v> </v>
      </c>
      <c r="J2889" s="25" t="str">
        <f>IF(OR(E2889="",E2889="!!!",F2889="NEW"),"",COUNTBLANK(OFFSET(A$1,,,SUMPRODUCT(MAX(ROW(E$2:E2889)*(E2889=E$2:E2889)))))-COUNTBLANK(OFFSET(A$1,,,SUMPRODUCT(MAX(ROW(E$1:E2888)*(E2=E$1:E2888))))))</f>
        <v> </v>
      </c>
      <c r="K2889" s="25" t="str">
        <f>IF(OR(E2889="",E2889="!!!",F2889="NEW"),"",INDEX(J$1:J2888,SUMPRODUCT(MAX(ROW(E$1:E2888)*(E2889=E$1:E2888)))))</f>
        <v> </v>
      </c>
      <c r="L2889" s="26"/>
    </row>
    <row r="2890" spans="1:12">
      <c r="A2890" s="20" t="s">
        <v>1094</v>
      </c>
      <c r="B2890" s="27" t="s">
        <v>2042</v>
      </c>
      <c r="E2890" s="21">
        <f>IF(D2890="?OLD","!!!","")</f>
        <v/>
      </c>
      <c r="F2890" s="22" t="str">
        <f>IF(OR(E2890="",E2890="!!!"),"",IF(NOT(ISNA(VLOOKUP(E2890,E$1:E2889,1,FALSE()))),"OLD",IF(AND(E2890&lt;&gt;"",E2890&lt;&gt;"!!!"),"NEW","")))</f>
        <v> </v>
      </c>
      <c r="G2890" s="23" t="str">
        <f>IF(OR(E2890="",E2890="!!!"),"",IF(OR(J2890=0,AND(J2890=1,K2890=1),AND(J2890=1,I2890="SBJ"),AND(J2890=1,I2890=0)),"?IN_FOCUS",IF(J2890&lt;=2,"?ACTIVATED",IF(J2890&lt;&gt;"","?FAMILIAR",IF(F2890="NEW",IF(ISNA(VLOOKUP(E2890,#REF!,1,FALSE())),"?TYPE_IDENTIFIABLE","?REFERENTIAL"),"_")))))</f>
        <v> </v>
      </c>
      <c r="H2890" s="24" t="str">
        <f>IF(J2890&lt;&gt;1,"",IF(I2890="SBJ","CB","?"))</f>
        <v> </v>
      </c>
      <c r="I2890" s="25" t="str">
        <f>IF(OR(E2890="",E2890="!!!",F2890="NEW"),"",INDEX(B2889:B$2,-1+SUMPRODUCT(MAX(ROW(E2889:E$2)*(E2890=E2889:E$2)))))</f>
        <v> </v>
      </c>
      <c r="J2890" s="25" t="str">
        <f>IF(OR(E2890="",E2890="!!!",F2890="NEW"),"",COUNTBLANK(OFFSET(A$1,,,SUMPRODUCT(MAX(ROW(E$2:E2890)*(E2890=E$2:E2890)))))-COUNTBLANK(OFFSET(A$1,,,SUMPRODUCT(MAX(ROW(E$1:E2889)*(E2=E$1:E2889))))))</f>
        <v> </v>
      </c>
      <c r="K2890" s="25" t="str">
        <f>IF(OR(E2890="",E2890="!!!",F2890="NEW"),"",INDEX(J$1:J2889,SUMPRODUCT(MAX(ROW(E$1:E2889)*(E2890=E$1:E2889)))))</f>
        <v> </v>
      </c>
      <c r="L2890" s="26"/>
    </row>
    <row r="2891" spans="1:12">
      <c r="A2891" s="20" t="s">
        <v>2021</v>
      </c>
      <c r="E2891" s="21">
        <f>IF(D2891="?OLD","!!!","")</f>
        <v/>
      </c>
      <c r="F2891" s="22" t="str">
        <f>IF(OR(E2891="",E2891="!!!"),"",IF(NOT(ISNA(VLOOKUP(E2891,E$1:E2890,1,FALSE()))),"OLD",IF(AND(E2891&lt;&gt;"",E2891&lt;&gt;"!!!"),"NEW","")))</f>
        <v> </v>
      </c>
      <c r="G2891" s="23" t="str">
        <f>IF(OR(E2891="",E2891="!!!"),"",IF(OR(J2891=0,AND(J2891=1,K2891=1),AND(J2891=1,I2891="SBJ"),AND(J2891=1,I2891=0)),"?IN_FOCUS",IF(J2891&lt;=2,"?ACTIVATED",IF(J2891&lt;&gt;"","?FAMILIAR",IF(F2891="NEW",IF(ISNA(VLOOKUP(E2891,#REF!,1,FALSE())),"?TYPE_IDENTIFIABLE","?REFERENTIAL"),"_")))))</f>
        <v> </v>
      </c>
      <c r="H2891" s="24" t="str">
        <f>IF(J2891&lt;&gt;1,"",IF(I2891="SBJ","CB","?"))</f>
        <v> </v>
      </c>
      <c r="I2891" s="25" t="str">
        <f>IF(OR(E2891="",E2891="!!!",F2891="NEW"),"",INDEX(B2890:B$2,-1+SUMPRODUCT(MAX(ROW(E2890:E$2)*(E2891=E2890:E$2)))))</f>
        <v> </v>
      </c>
      <c r="J2891" s="25" t="str">
        <f>IF(OR(E2891="",E2891="!!!",F2891="NEW"),"",COUNTBLANK(OFFSET(A$1,,,SUMPRODUCT(MAX(ROW(E$2:E2891)*(E2891=E$2:E2891)))))-COUNTBLANK(OFFSET(A$1,,,SUMPRODUCT(MAX(ROW(E$1:E2890)*(E2=E$1:E2890))))))</f>
        <v> </v>
      </c>
      <c r="K2891" s="25" t="str">
        <f>IF(OR(E2891="",E2891="!!!",F2891="NEW"),"",INDEX(J$1:J2890,SUMPRODUCT(MAX(ROW(E$1:E2890)*(E2891=E$1:E2890)))))</f>
        <v> </v>
      </c>
      <c r="L2891" s="26"/>
    </row>
    <row r="2892" spans="1:12">
      <c r="A2892" s="20" t="s">
        <v>2043</v>
      </c>
      <c r="E2892" s="21">
        <f>IF(D2892="?OLD","!!!","")</f>
        <v/>
      </c>
      <c r="F2892" s="22" t="str">
        <f>IF(OR(E2892="",E2892="!!!"),"",IF(NOT(ISNA(VLOOKUP(E2892,E$1:E2891,1,FALSE()))),"OLD",IF(AND(E2892&lt;&gt;"",E2892&lt;&gt;"!!!"),"NEW","")))</f>
        <v> </v>
      </c>
      <c r="G2892" s="23" t="str">
        <f>IF(OR(E2892="",E2892="!!!"),"",IF(OR(J2892=0,AND(J2892=1,K2892=1),AND(J2892=1,I2892="SBJ"),AND(J2892=1,I2892=0)),"?IN_FOCUS",IF(J2892&lt;=2,"?ACTIVATED",IF(J2892&lt;&gt;"","?FAMILIAR",IF(F2892="NEW",IF(ISNA(VLOOKUP(E2892,#REF!,1,FALSE())),"?TYPE_IDENTIFIABLE","?REFERENTIAL"),"_")))))</f>
        <v> </v>
      </c>
      <c r="H2892" s="24" t="str">
        <f>IF(J2892&lt;&gt;1,"",IF(I2892="SBJ","CB","?"))</f>
        <v> </v>
      </c>
      <c r="I2892" s="25" t="str">
        <f>IF(OR(E2892="",E2892="!!!",F2892="NEW"),"",INDEX(B2891:B$2,-1+SUMPRODUCT(MAX(ROW(E2891:E$2)*(E2892=E2891:E$2)))))</f>
        <v> </v>
      </c>
      <c r="J2892" s="25" t="str">
        <f>IF(OR(E2892="",E2892="!!!",F2892="NEW"),"",COUNTBLANK(OFFSET(A$1,,,SUMPRODUCT(MAX(ROW(E$2:E2892)*(E2892=E$2:E2892)))))-COUNTBLANK(OFFSET(A$1,,,SUMPRODUCT(MAX(ROW(E$1:E2891)*(E2=E$1:E2891))))))</f>
        <v> </v>
      </c>
      <c r="K2892" s="25" t="str">
        <f>IF(OR(E2892="",E2892="!!!",F2892="NEW"),"",INDEX(J$1:J2891,SUMPRODUCT(MAX(ROW(E$1:E2891)*(E2892=E$1:E2891)))))</f>
        <v> </v>
      </c>
      <c r="L2892" s="26"/>
    </row>
    <row r="2893" spans="1:12">
      <c r="A2893" s="20" t="s">
        <v>1075</v>
      </c>
      <c r="E2893" s="21">
        <f>IF(D2893="?OLD","!!!","")</f>
        <v/>
      </c>
      <c r="F2893" s="22" t="str">
        <f>IF(OR(E2893="",E2893="!!!"),"",IF(NOT(ISNA(VLOOKUP(E2893,E$1:E2892,1,FALSE()))),"OLD",IF(AND(E2893&lt;&gt;"",E2893&lt;&gt;"!!!"),"NEW","")))</f>
        <v> </v>
      </c>
      <c r="G2893" s="23" t="str">
        <f>IF(OR(E2893="",E2893="!!!"),"",IF(OR(J2893=0,AND(J2893=1,K2893=1),AND(J2893=1,I2893="SBJ"),AND(J2893=1,I2893=0)),"?IN_FOCUS",IF(J2893&lt;=2,"?ACTIVATED",IF(J2893&lt;&gt;"","?FAMILIAR",IF(F2893="NEW",IF(ISNA(VLOOKUP(E2893,#REF!,1,FALSE())),"?TYPE_IDENTIFIABLE","?REFERENTIAL"),"_")))))</f>
        <v> </v>
      </c>
      <c r="H2893" s="24" t="str">
        <f>IF(J2893&lt;&gt;1,"",IF(I2893="SBJ","CB","?"))</f>
        <v> </v>
      </c>
      <c r="I2893" s="25" t="str">
        <f>IF(OR(E2893="",E2893="!!!",F2893="NEW"),"",INDEX(B2892:B$2,-1+SUMPRODUCT(MAX(ROW(E2892:E$2)*(E2893=E2892:E$2)))))</f>
        <v> </v>
      </c>
      <c r="J2893" s="25" t="str">
        <f>IF(OR(E2893="",E2893="!!!",F2893="NEW"),"",COUNTBLANK(OFFSET(A$1,,,SUMPRODUCT(MAX(ROW(E$2:E2893)*(E2893=E$2:E2893)))))-COUNTBLANK(OFFSET(A$1,,,SUMPRODUCT(MAX(ROW(E$1:E2892)*(E2=E$1:E2892))))))</f>
        <v> </v>
      </c>
      <c r="K2893" s="25" t="str">
        <f>IF(OR(E2893="",E2893="!!!",F2893="NEW"),"",INDEX(J$1:J2892,SUMPRODUCT(MAX(ROW(E$1:E2892)*(E2893=E$1:E2892)))))</f>
        <v> </v>
      </c>
      <c r="L2893" s="26"/>
    </row>
    <row r="2894" spans="1:12">
      <c r="A2894" s="20" t="s">
        <v>2044</v>
      </c>
      <c r="B2894" s="27" t="s">
        <v>1490</v>
      </c>
      <c r="C2894" s="27" t="s">
        <v>1038</v>
      </c>
      <c r="D2894" s="27" t="s">
        <v>1030</v>
      </c>
      <c r="E2894" s="21">
        <f>IF(D2894="?OLD","!!!","")</f>
        <v/>
      </c>
      <c r="F2894" s="22" t="str">
        <f>IF(OR(E2894="",E2894="!!!"),"",IF(NOT(ISNA(VLOOKUP(E2894,E$1:E2893,1,FALSE()))),"OLD",IF(AND(E2894&lt;&gt;"",E2894&lt;&gt;"!!!"),"NEW","")))</f>
        <v> </v>
      </c>
      <c r="G2894" s="23" t="str">
        <f>IF(OR(E2894="",E2894="!!!"),"",IF(OR(J2894=0,AND(J2894=1,K2894=1),AND(J2894=1,I2894="SBJ"),AND(J2894=1,I2894=0)),"?IN_FOCUS",IF(J2894&lt;=2,"?ACTIVATED",IF(J2894&lt;&gt;"","?FAMILIAR",IF(F2894="NEW",IF(ISNA(VLOOKUP(E2894,#REF!,1,FALSE())),"?TYPE_IDENTIFIABLE","?REFERENTIAL"),"_")))))</f>
        <v> </v>
      </c>
      <c r="H2894" s="24" t="str">
        <f>IF(J2894&lt;&gt;1,"",IF(I2894="SBJ","CB","?"))</f>
        <v> </v>
      </c>
      <c r="I2894" s="25" t="str">
        <f>IF(OR(E2894="",E2894="!!!",F2894="NEW"),"",INDEX(B2893:B$2,-1+SUMPRODUCT(MAX(ROW(E2893:E$2)*(E2894=E2893:E$2)))))</f>
        <v> </v>
      </c>
      <c r="J2894" s="25" t="str">
        <f>IF(OR(E2894="",E2894="!!!",F2894="NEW"),"",COUNTBLANK(OFFSET(A$1,,,SUMPRODUCT(MAX(ROW(E$2:E2894)*(E2894=E$2:E2894)))))-COUNTBLANK(OFFSET(A$1,,,SUMPRODUCT(MAX(ROW(E$1:E2893)*(E2=E$1:E2893))))))</f>
        <v> </v>
      </c>
      <c r="K2894" s="25" t="str">
        <f>IF(OR(E2894="",E2894="!!!",F2894="NEW"),"",INDEX(J$1:J2893,SUMPRODUCT(MAX(ROW(E$1:E2893)*(E2894=E$1:E2893)))))</f>
        <v> </v>
      </c>
      <c r="L2894" s="26"/>
    </row>
    <row r="2895" spans="1:12">
      <c r="A2895" s="20" t="s">
        <v>1311</v>
      </c>
      <c r="E2895" s="21">
        <f>IF(D2895="?OLD","!!!","")</f>
        <v/>
      </c>
      <c r="F2895" s="22" t="str">
        <f>IF(OR(E2895="",E2895="!!!"),"",IF(NOT(ISNA(VLOOKUP(E2895,E$1:E2894,1,FALSE()))),"OLD",IF(AND(E2895&lt;&gt;"",E2895&lt;&gt;"!!!"),"NEW","")))</f>
        <v> </v>
      </c>
      <c r="G2895" s="23" t="str">
        <f>IF(OR(E2895="",E2895="!!!"),"",IF(OR(J2895=0,AND(J2895=1,K2895=1),AND(J2895=1,I2895="SBJ"),AND(J2895=1,I2895=0)),"?IN_FOCUS",IF(J2895&lt;=2,"?ACTIVATED",IF(J2895&lt;&gt;"","?FAMILIAR",IF(F2895="NEW",IF(ISNA(VLOOKUP(E2895,#REF!,1,FALSE())),"?TYPE_IDENTIFIABLE","?REFERENTIAL"),"_")))))</f>
        <v> </v>
      </c>
      <c r="H2895" s="24" t="str">
        <f>IF(J2895&lt;&gt;1,"",IF(I2895="SBJ","CB","?"))</f>
        <v> </v>
      </c>
      <c r="I2895" s="25" t="str">
        <f>IF(OR(E2895="",E2895="!!!",F2895="NEW"),"",INDEX(B2894:B$2,-1+SUMPRODUCT(MAX(ROW(E2894:E$2)*(E2895=E2894:E$2)))))</f>
        <v> </v>
      </c>
      <c r="J2895" s="25" t="str">
        <f>IF(OR(E2895="",E2895="!!!",F2895="NEW"),"",COUNTBLANK(OFFSET(A$1,,,SUMPRODUCT(MAX(ROW(E$2:E2895)*(E2895=E$2:E2895)))))-COUNTBLANK(OFFSET(A$1,,,SUMPRODUCT(MAX(ROW(E$1:E2894)*(E2=E$1:E2894))))))</f>
        <v> </v>
      </c>
      <c r="K2895" s="25" t="str">
        <f>IF(OR(E2895="",E2895="!!!",F2895="NEW"),"",INDEX(J$1:J2894,SUMPRODUCT(MAX(ROW(E$1:E2894)*(E2895=E$1:E2894)))))</f>
        <v> </v>
      </c>
      <c r="L2895" s="26"/>
    </row>
    <row r="2896" spans="1:12">
      <c r="A2896" s="20" t="s">
        <v>2045</v>
      </c>
      <c r="B2896" s="27" t="s">
        <v>1402</v>
      </c>
      <c r="C2896" s="27" t="s">
        <v>1029</v>
      </c>
      <c r="D2896" s="27" t="s">
        <v>1030</v>
      </c>
      <c r="E2896" s="21">
        <f>IF(D2896="?OLD","!!!","")</f>
        <v/>
      </c>
      <c r="F2896" s="22" t="str">
        <f>IF(OR(E2896="",E2896="!!!"),"",IF(NOT(ISNA(VLOOKUP(E2896,E$1:E2895,1,FALSE()))),"OLD",IF(AND(E2896&lt;&gt;"",E2896&lt;&gt;"!!!"),"NEW","")))</f>
        <v> </v>
      </c>
      <c r="G2896" s="23" t="str">
        <f>IF(OR(E2896="",E2896="!!!"),"",IF(OR(J2896=0,AND(J2896=1,K2896=1),AND(J2896=1,I2896="SBJ"),AND(J2896=1,I2896=0)),"?IN_FOCUS",IF(J2896&lt;=2,"?ACTIVATED",IF(J2896&lt;&gt;"","?FAMILIAR",IF(F2896="NEW",IF(ISNA(VLOOKUP(E2896,#REF!,1,FALSE())),"?TYPE_IDENTIFIABLE","?REFERENTIAL"),"_")))))</f>
        <v> </v>
      </c>
      <c r="H2896" s="24" t="str">
        <f>IF(J2896&lt;&gt;1,"",IF(I2896="SBJ","CB","?"))</f>
        <v> </v>
      </c>
      <c r="I2896" s="25" t="str">
        <f>IF(OR(E2896="",E2896="!!!",F2896="NEW"),"",INDEX(B2895:B$2,-1+SUMPRODUCT(MAX(ROW(E2895:E$2)*(E2896=E2895:E$2)))))</f>
        <v> </v>
      </c>
      <c r="J2896" s="25" t="str">
        <f>IF(OR(E2896="",E2896="!!!",F2896="NEW"),"",COUNTBLANK(OFFSET(A$1,,,SUMPRODUCT(MAX(ROW(E$2:E2896)*(E2896=E$2:E2896)))))-COUNTBLANK(OFFSET(A$1,,,SUMPRODUCT(MAX(ROW(E$1:E2895)*(E2=E$1:E2895))))))</f>
        <v> </v>
      </c>
      <c r="K2896" s="25" t="str">
        <f>IF(OR(E2896="",E2896="!!!",F2896="NEW"),"",INDEX(J$1:J2895,SUMPRODUCT(MAX(ROW(E$1:E2895)*(E2896=E$1:E2895)))))</f>
        <v> </v>
      </c>
      <c r="L2896" s="26"/>
    </row>
    <row r="2897" spans="1:12">
      <c r="A2897" s="20" t="s">
        <v>1074</v>
      </c>
      <c r="E2897" s="21">
        <f>IF(D2897="?OLD","!!!","")</f>
        <v/>
      </c>
      <c r="F2897" s="22" t="str">
        <f>IF(OR(E2897="",E2897="!!!"),"",IF(NOT(ISNA(VLOOKUP(E2897,E$1:E2896,1,FALSE()))),"OLD",IF(AND(E2897&lt;&gt;"",E2897&lt;&gt;"!!!"),"NEW","")))</f>
        <v> </v>
      </c>
      <c r="G2897" s="23" t="str">
        <f>IF(OR(E2897="",E2897="!!!"),"",IF(OR(J2897=0,AND(J2897=1,K2897=1),AND(J2897=1,I2897="SBJ"),AND(J2897=1,I2897=0)),"?IN_FOCUS",IF(J2897&lt;=2,"?ACTIVATED",IF(J2897&lt;&gt;"","?FAMILIAR",IF(F2897="NEW",IF(ISNA(VLOOKUP(E2897,#REF!,1,FALSE())),"?TYPE_IDENTIFIABLE","?REFERENTIAL"),"_")))))</f>
        <v> </v>
      </c>
      <c r="H2897" s="24" t="str">
        <f>IF(J2897&lt;&gt;1,"",IF(I2897="SBJ","CB","?"))</f>
        <v> </v>
      </c>
      <c r="I2897" s="25" t="str">
        <f>IF(OR(E2897="",E2897="!!!",F2897="NEW"),"",INDEX(B2896:B$2,-1+SUMPRODUCT(MAX(ROW(E2896:E$2)*(E2897=E2896:E$2)))))</f>
        <v> </v>
      </c>
      <c r="J2897" s="25" t="str">
        <f>IF(OR(E2897="",E2897="!!!",F2897="NEW"),"",COUNTBLANK(OFFSET(A$1,,,SUMPRODUCT(MAX(ROW(E$2:E2897)*(E2897=E$2:E2897)))))-COUNTBLANK(OFFSET(A$1,,,SUMPRODUCT(MAX(ROW(E$1:E2896)*(E2=E$1:E2896))))))</f>
        <v> </v>
      </c>
      <c r="K2897" s="25" t="str">
        <f>IF(OR(E2897="",E2897="!!!",F2897="NEW"),"",INDEX(J$1:J2896,SUMPRODUCT(MAX(ROW(E$1:E2896)*(E2897=E$1:E2896)))))</f>
        <v> </v>
      </c>
      <c r="L2897" s="26"/>
    </row>
    <row r="2898" spans="1:12">
      <c r="A2898" s="20" t="s">
        <v>1036</v>
      </c>
      <c r="E2898" s="21">
        <f>IF(D2898="?OLD","!!!","")</f>
        <v/>
      </c>
      <c r="F2898" s="22" t="str">
        <f>IF(OR(E2898="",E2898="!!!"),"",IF(NOT(ISNA(VLOOKUP(E2898,E$1:E2897,1,FALSE()))),"OLD",IF(AND(E2898&lt;&gt;"",E2898&lt;&gt;"!!!"),"NEW","")))</f>
        <v> </v>
      </c>
      <c r="G2898" s="23" t="str">
        <f>IF(OR(E2898="",E2898="!!!"),"",IF(OR(J2898=0,AND(J2898=1,K2898=1),AND(J2898=1,I2898="SBJ"),AND(J2898=1,I2898=0)),"?IN_FOCUS",IF(J2898&lt;=2,"?ACTIVATED",IF(J2898&lt;&gt;"","?FAMILIAR",IF(F2898="NEW",IF(ISNA(VLOOKUP(E2898,#REF!,1,FALSE())),"?TYPE_IDENTIFIABLE","?REFERENTIAL"),"_")))))</f>
        <v> </v>
      </c>
      <c r="H2898" s="24" t="str">
        <f>IF(J2898&lt;&gt;1,"",IF(I2898="SBJ","CB","?"))</f>
        <v> </v>
      </c>
      <c r="I2898" s="25" t="str">
        <f>IF(OR(E2898="",E2898="!!!",F2898="NEW"),"",INDEX(B2897:B$2,-1+SUMPRODUCT(MAX(ROW(E2897:E$2)*(E2898=E2897:E$2)))))</f>
        <v> </v>
      </c>
      <c r="J2898" s="25" t="str">
        <f>IF(OR(E2898="",E2898="!!!",F2898="NEW"),"",COUNTBLANK(OFFSET(A$1,,,SUMPRODUCT(MAX(ROW(E$2:E2898)*(E2898=E$2:E2898)))))-COUNTBLANK(OFFSET(A$1,,,SUMPRODUCT(MAX(ROW(E$1:E2897)*(E2=E$1:E2897))))))</f>
        <v> </v>
      </c>
      <c r="K2898" s="25" t="str">
        <f>IF(OR(E2898="",E2898="!!!",F2898="NEW"),"",INDEX(J$1:J2897,SUMPRODUCT(MAX(ROW(E$1:E2897)*(E2898=E$1:E2897)))))</f>
        <v> </v>
      </c>
      <c r="L2898" s="26"/>
    </row>
    <row r="2899" spans="1:12">
      <c r="A2899" s="20" t="s">
        <v>2046</v>
      </c>
      <c r="B2899" s="27" t="s">
        <v>2047</v>
      </c>
      <c r="C2899" s="27" t="s">
        <v>1038</v>
      </c>
      <c r="D2899" s="27" t="s">
        <v>1030</v>
      </c>
      <c r="E2899" s="21">
        <f>IF(D2899="?OLD","!!!","")</f>
        <v/>
      </c>
      <c r="F2899" s="22" t="str">
        <f>IF(OR(E2899="",E2899="!!!"),"",IF(NOT(ISNA(VLOOKUP(E2899,E$1:E2898,1,FALSE()))),"OLD",IF(AND(E2899&lt;&gt;"",E2899&lt;&gt;"!!!"),"NEW","")))</f>
        <v> </v>
      </c>
      <c r="G2899" s="23" t="str">
        <f>IF(OR(E2899="",E2899="!!!"),"",IF(OR(J2899=0,AND(J2899=1,K2899=1),AND(J2899=1,I2899="SBJ"),AND(J2899=1,I2899=0)),"?IN_FOCUS",IF(J2899&lt;=2,"?ACTIVATED",IF(J2899&lt;&gt;"","?FAMILIAR",IF(F2899="NEW",IF(ISNA(VLOOKUP(E2899,#REF!,1,FALSE())),"?TYPE_IDENTIFIABLE","?REFERENTIAL"),"_")))))</f>
        <v> </v>
      </c>
      <c r="H2899" s="24" t="str">
        <f>IF(J2899&lt;&gt;1,"",IF(I2899="SBJ","CB","?"))</f>
        <v> </v>
      </c>
      <c r="I2899" s="25" t="str">
        <f>IF(OR(E2899="",E2899="!!!",F2899="NEW"),"",INDEX(B2898:B$2,-1+SUMPRODUCT(MAX(ROW(E2898:E$2)*(E2899=E2898:E$2)))))</f>
        <v> </v>
      </c>
      <c r="J2899" s="25" t="str">
        <f>IF(OR(E2899="",E2899="!!!",F2899="NEW"),"",COUNTBLANK(OFFSET(A$1,,,SUMPRODUCT(MAX(ROW(E$2:E2899)*(E2899=E$2:E2899)))))-COUNTBLANK(OFFSET(A$1,,,SUMPRODUCT(MAX(ROW(E$1:E2898)*(E2=E$1:E2898))))))</f>
        <v> </v>
      </c>
      <c r="K2899" s="25" t="str">
        <f>IF(OR(E2899="",E2899="!!!",F2899="NEW"),"",INDEX(J$1:J2898,SUMPRODUCT(MAX(ROW(E$1:E2898)*(E2899=E$1:E2898)))))</f>
        <v> </v>
      </c>
      <c r="L2899" s="26"/>
    </row>
    <row r="2900" spans="1:12">
      <c r="A2900" s="20" t="s">
        <v>135</v>
      </c>
      <c r="E2900" s="21">
        <f>IF(D2900="?OLD","!!!","")</f>
        <v/>
      </c>
      <c r="F2900" s="22" t="str">
        <f>IF(OR(E2900="",E2900="!!!"),"",IF(NOT(ISNA(VLOOKUP(E2900,E$1:E2899,1,FALSE()))),"OLD",IF(AND(E2900&lt;&gt;"",E2900&lt;&gt;"!!!"),"NEW","")))</f>
        <v> </v>
      </c>
      <c r="G2900" s="23" t="str">
        <f>IF(OR(E2900="",E2900="!!!"),"",IF(OR(J2900=0,AND(J2900=1,K2900=1),AND(J2900=1,I2900="SBJ"),AND(J2900=1,I2900=0)),"?IN_FOCUS",IF(J2900&lt;=2,"?ACTIVATED",IF(J2900&lt;&gt;"","?FAMILIAR",IF(F2900="NEW",IF(ISNA(VLOOKUP(E2900,#REF!,1,FALSE())),"?TYPE_IDENTIFIABLE","?REFERENTIAL"),"_")))))</f>
        <v> </v>
      </c>
      <c r="H2900" s="24" t="str">
        <f>IF(J2900&lt;&gt;1,"",IF(I2900="SBJ","CB","?"))</f>
        <v> </v>
      </c>
      <c r="I2900" s="25" t="str">
        <f>IF(OR(E2900="",E2900="!!!",F2900="NEW"),"",INDEX(B2899:B$2,-1+SUMPRODUCT(MAX(ROW(E2899:E$2)*(E2900=E2899:E$2)))))</f>
        <v> </v>
      </c>
      <c r="J2900" s="25" t="str">
        <f>IF(OR(E2900="",E2900="!!!",F2900="NEW"),"",COUNTBLANK(OFFSET(A$1,,,SUMPRODUCT(MAX(ROW(E$2:E2900)*(E2900=E$2:E2900)))))-COUNTBLANK(OFFSET(A$1,,,SUMPRODUCT(MAX(ROW(E$1:E2899)*(E2=E$1:E2899))))))</f>
        <v> </v>
      </c>
      <c r="K2900" s="25" t="str">
        <f>IF(OR(E2900="",E2900="!!!",F2900="NEW"),"",INDEX(J$1:J2899,SUMPRODUCT(MAX(ROW(E$1:E2899)*(E2900=E$1:E2899)))))</f>
        <v> </v>
      </c>
      <c r="L2900" s="26"/>
    </row>
    <row r="2901" spans="1:12">
      <c r="A2901" s="20"/>
    </row>
    <row r="2902" spans="1:12">
      <c r="A2902" s="20" t="s">
        <v>2048</v>
      </c>
    </row>
    <row r="2903" spans="1:12">
      <c r="A2903" s="20" t="s">
        <v>1811</v>
      </c>
      <c r="E2903" s="21">
        <f>IF(D2903="?OLD","!!!","")</f>
        <v/>
      </c>
      <c r="F2903" s="22" t="str">
        <f>IF(OR(E2903="",E2903="!!!"),"",IF(NOT(ISNA(VLOOKUP(E2903,E$1:E2902,1,FALSE()))),"OLD",IF(AND(E2903&lt;&gt;"",E2903&lt;&gt;"!!!"),"NEW","")))</f>
        <v> </v>
      </c>
      <c r="G2903" s="23" t="str">
        <f>IF(OR(E2903="",E2903="!!!"),"",IF(OR(J2903=0,AND(J2903=1,K2903=1),AND(J2903=1,I2903="SBJ"),AND(J2903=1,I2903=0)),"?IN_FOCUS",IF(J2903&lt;=2,"?ACTIVATED",IF(J2903&lt;&gt;"","?FAMILIAR",IF(F2903="NEW",IF(ISNA(VLOOKUP(E2903,#REF!,1,FALSE())),"?TYPE_IDENTIFIABLE","?REFERENTIAL"),"_")))))</f>
        <v> </v>
      </c>
      <c r="H2903" s="24" t="str">
        <f>IF(J2903&lt;&gt;1,"",IF(I2903="SBJ","CB","?"))</f>
        <v> </v>
      </c>
      <c r="I2903" s="25" t="str">
        <f>IF(OR(E2903="",E2903="!!!",F2903="NEW"),"",INDEX(B2902:B$2,-1+SUMPRODUCT(MAX(ROW(E2902:E$2)*(E2903=E2902:E$2)))))</f>
        <v> </v>
      </c>
      <c r="J2903" s="25" t="str">
        <f>IF(OR(E2903="",E2903="!!!",F2903="NEW"),"",COUNTBLANK(OFFSET(A$1,,,SUMPRODUCT(MAX(ROW(E$2:E2903)*(E2903=E$2:E2903)))))-COUNTBLANK(OFFSET(A$1,,,SUMPRODUCT(MAX(ROW(E$1:E2902)*(E2=E$1:E2902))))))</f>
        <v> </v>
      </c>
      <c r="K2903" s="25" t="str">
        <f>IF(OR(E2903="",E2903="!!!",F2903="NEW"),"",INDEX(J$1:J2902,SUMPRODUCT(MAX(ROW(E$1:E2902)*(E2903=E$1:E2902)))))</f>
        <v> </v>
      </c>
      <c r="L2903" s="26"/>
    </row>
    <row r="2904" spans="1:12">
      <c r="A2904" s="20" t="s">
        <v>2049</v>
      </c>
      <c r="E2904" s="21">
        <f>IF(D2904="?OLD","!!!","")</f>
        <v/>
      </c>
      <c r="F2904" s="22" t="str">
        <f>IF(OR(E2904="",E2904="!!!"),"",IF(NOT(ISNA(VLOOKUP(E2904,E$1:E2903,1,FALSE()))),"OLD",IF(AND(E2904&lt;&gt;"",E2904&lt;&gt;"!!!"),"NEW","")))</f>
        <v> </v>
      </c>
      <c r="G2904" s="23" t="str">
        <f>IF(OR(E2904="",E2904="!!!"),"",IF(OR(J2904=0,AND(J2904=1,K2904=1),AND(J2904=1,I2904="SBJ"),AND(J2904=1,I2904=0)),"?IN_FOCUS",IF(J2904&lt;=2,"?ACTIVATED",IF(J2904&lt;&gt;"","?FAMILIAR",IF(F2904="NEW",IF(ISNA(VLOOKUP(E2904,#REF!,1,FALSE())),"?TYPE_IDENTIFIABLE","?REFERENTIAL"),"_")))))</f>
        <v> </v>
      </c>
      <c r="H2904" s="24" t="str">
        <f>IF(J2904&lt;&gt;1,"",IF(I2904="SBJ","CB","?"))</f>
        <v> </v>
      </c>
      <c r="I2904" s="25" t="str">
        <f>IF(OR(E2904="",E2904="!!!",F2904="NEW"),"",INDEX(B2903:B$2,-1+SUMPRODUCT(MAX(ROW(E2903:E$2)*(E2904=E2903:E$2)))))</f>
        <v> </v>
      </c>
      <c r="J2904" s="25" t="str">
        <f>IF(OR(E2904="",E2904="!!!",F2904="NEW"),"",COUNTBLANK(OFFSET(A$1,,,SUMPRODUCT(MAX(ROW(E$2:E2904)*(E2904=E$2:E2904)))))-COUNTBLANK(OFFSET(A$1,,,SUMPRODUCT(MAX(ROW(E$1:E2903)*(E2=E$1:E2903))))))</f>
        <v> </v>
      </c>
      <c r="K2904" s="25" t="str">
        <f>IF(OR(E2904="",E2904="!!!",F2904="NEW"),"",INDEX(J$1:J2903,SUMPRODUCT(MAX(ROW(E$1:E2903)*(E2904=E$1:E2903)))))</f>
        <v> </v>
      </c>
      <c r="L2904" s="26"/>
    </row>
    <row r="2905" spans="1:12">
      <c r="A2905" s="20" t="s">
        <v>1111</v>
      </c>
      <c r="E2905" s="21">
        <f>IF(D2905="?OLD","!!!","")</f>
        <v/>
      </c>
      <c r="F2905" s="22" t="str">
        <f>IF(OR(E2905="",E2905="!!!"),"",IF(NOT(ISNA(VLOOKUP(E2905,E$1:E2904,1,FALSE()))),"OLD",IF(AND(E2905&lt;&gt;"",E2905&lt;&gt;"!!!"),"NEW","")))</f>
        <v> </v>
      </c>
      <c r="G2905" s="23" t="str">
        <f>IF(OR(E2905="",E2905="!!!"),"",IF(OR(J2905=0,AND(J2905=1,K2905=1),AND(J2905=1,I2905="SBJ"),AND(J2905=1,I2905=0)),"?IN_FOCUS",IF(J2905&lt;=2,"?ACTIVATED",IF(J2905&lt;&gt;"","?FAMILIAR",IF(F2905="NEW",IF(ISNA(VLOOKUP(E2905,#REF!,1,FALSE())),"?TYPE_IDENTIFIABLE","?REFERENTIAL"),"_")))))</f>
        <v> </v>
      </c>
      <c r="H2905" s="24" t="str">
        <f>IF(J2905&lt;&gt;1,"",IF(I2905="SBJ","CB","?"))</f>
        <v> </v>
      </c>
      <c r="I2905" s="25" t="str">
        <f>IF(OR(E2905="",E2905="!!!",F2905="NEW"),"",INDEX(B2904:B$2,-1+SUMPRODUCT(MAX(ROW(E2904:E$2)*(E2905=E2904:E$2)))))</f>
        <v> </v>
      </c>
      <c r="J2905" s="25" t="str">
        <f>IF(OR(E2905="",E2905="!!!",F2905="NEW"),"",COUNTBLANK(OFFSET(A$1,,,SUMPRODUCT(MAX(ROW(E$2:E2905)*(E2905=E$2:E2905)))))-COUNTBLANK(OFFSET(A$1,,,SUMPRODUCT(MAX(ROW(E$1:E2904)*(E2=E$1:E2904))))))</f>
        <v> </v>
      </c>
      <c r="K2905" s="25" t="str">
        <f>IF(OR(E2905="",E2905="!!!",F2905="NEW"),"",INDEX(J$1:J2904,SUMPRODUCT(MAX(ROW(E$1:E2904)*(E2905=E$1:E2904)))))</f>
        <v> </v>
      </c>
      <c r="L2905" s="26"/>
    </row>
    <row r="2906" spans="1:12">
      <c r="A2906" s="20" t="s">
        <v>2050</v>
      </c>
      <c r="B2906" s="27" t="s">
        <v>1069</v>
      </c>
      <c r="C2906" s="27" t="s">
        <v>1038</v>
      </c>
      <c r="D2906" s="27" t="s">
        <v>1030</v>
      </c>
      <c r="E2906" s="21">
        <f>IF(D2906="?OLD","!!!","")</f>
        <v/>
      </c>
      <c r="F2906" s="22" t="str">
        <f>IF(OR(E2906="",E2906="!!!"),"",IF(NOT(ISNA(VLOOKUP(E2906,E$1:E2905,1,FALSE()))),"OLD",IF(AND(E2906&lt;&gt;"",E2906&lt;&gt;"!!!"),"NEW","")))</f>
        <v> </v>
      </c>
      <c r="G2906" s="23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4" t="str">
        <f>IF(J2906&lt;&gt;1,"",IF(I2906="SBJ","CB","?"))</f>
        <v> </v>
      </c>
      <c r="I2906" s="25" t="str">
        <f>IF(OR(E2906="",E2906="!!!",F2906="NEW"),"",INDEX(B2905:B$2,-1+SUMPRODUCT(MAX(ROW(E2905:E$2)*(E2906=E2905:E$2)))))</f>
        <v> </v>
      </c>
      <c r="J2906" s="25" t="str">
        <f>IF(OR(E2906="",E2906="!!!",F2906="NEW"),"",COUNTBLANK(OFFSET(A$1,,,SUMPRODUCT(MAX(ROW(E$2:E2906)*(E2906=E$2:E2906)))))-COUNTBLANK(OFFSET(A$1,,,SUMPRODUCT(MAX(ROW(E$1:E2905)*(E2=E$1:E2905))))))</f>
        <v> </v>
      </c>
      <c r="K2906" s="25" t="str">
        <f>IF(OR(E2906="",E2906="!!!",F2906="NEW"),"",INDEX(J$1:J2905,SUMPRODUCT(MAX(ROW(E$1:E2905)*(E2906=E$1:E2905)))))</f>
        <v> </v>
      </c>
      <c r="L2906" s="26"/>
    </row>
    <row r="2907" spans="1:12">
      <c r="A2907" s="20" t="s">
        <v>1094</v>
      </c>
      <c r="B2907" s="27" t="s">
        <v>1146</v>
      </c>
      <c r="E2907" s="21">
        <f>IF(D2907="?OLD","!!!","")</f>
        <v/>
      </c>
      <c r="F2907" s="22" t="str">
        <f>IF(OR(E2907="",E2907="!!!"),"",IF(NOT(ISNA(VLOOKUP(E2907,E$1:E2906,1,FALSE()))),"OLD",IF(AND(E2907&lt;&gt;"",E2907&lt;&gt;"!!!"),"NEW","")))</f>
        <v> </v>
      </c>
      <c r="G2907" s="23" t="str">
        <f>IF(OR(E2907="",E2907="!!!"),"",IF(OR(J2907=0,AND(J2907=1,K2907=1),AND(J2907=1,I2907="SBJ"),AND(J2907=1,I2907=0)),"?IN_FOCUS",IF(J2907&lt;=2,"?ACTIVATED",IF(J2907&lt;&gt;"","?FAMILIAR",IF(F2907="NEW",IF(ISNA(VLOOKUP(E2907,#REF!,1,FALSE())),"?TYPE_IDENTIFIABLE","?REFERENTIAL"),"_")))))</f>
        <v> </v>
      </c>
      <c r="H2907" s="24" t="str">
        <f>IF(J2907&lt;&gt;1,"",IF(I2907="SBJ","CB","?"))</f>
        <v> </v>
      </c>
      <c r="I2907" s="25" t="str">
        <f>IF(OR(E2907="",E2907="!!!",F2907="NEW"),"",INDEX(B2906:B$2,-1+SUMPRODUCT(MAX(ROW(E2906:E$2)*(E2907=E2906:E$2)))))</f>
        <v> </v>
      </c>
      <c r="J2907" s="25" t="str">
        <f>IF(OR(E2907="",E2907="!!!",F2907="NEW"),"",COUNTBLANK(OFFSET(A$1,,,SUMPRODUCT(MAX(ROW(E$2:E2907)*(E2907=E$2:E2907)))))-COUNTBLANK(OFFSET(A$1,,,SUMPRODUCT(MAX(ROW(E$1:E2906)*(E2=E$1:E2906))))))</f>
        <v> </v>
      </c>
      <c r="K2907" s="25" t="str">
        <f>IF(OR(E2907="",E2907="!!!",F2907="NEW"),"",INDEX(J$1:J2906,SUMPRODUCT(MAX(ROW(E$1:E2906)*(E2907=E$1:E2906)))))</f>
        <v> </v>
      </c>
      <c r="L2907" s="26"/>
    </row>
    <row r="2908" spans="1:12">
      <c r="A2908" s="20" t="s">
        <v>2051</v>
      </c>
      <c r="E2908" s="21">
        <f>IF(D2908="?OLD","!!!","")</f>
        <v/>
      </c>
      <c r="F2908" s="22" t="str">
        <f>IF(OR(E2908="",E2908="!!!"),"",IF(NOT(ISNA(VLOOKUP(E2908,E$1:E2907,1,FALSE()))),"OLD",IF(AND(E2908&lt;&gt;"",E2908&lt;&gt;"!!!"),"NEW","")))</f>
        <v> </v>
      </c>
      <c r="G2908" s="23" t="str">
        <f>IF(OR(E2908="",E2908="!!!"),"",IF(OR(J2908=0,AND(J2908=1,K2908=1),AND(J2908=1,I2908="SBJ"),AND(J2908=1,I2908=0)),"?IN_FOCUS",IF(J2908&lt;=2,"?ACTIVATED",IF(J2908&lt;&gt;"","?FAMILIAR",IF(F2908="NEW",IF(ISNA(VLOOKUP(E2908,#REF!,1,FALSE())),"?TYPE_IDENTIFIABLE","?REFERENTIAL"),"_")))))</f>
        <v> </v>
      </c>
      <c r="H2908" s="24" t="str">
        <f>IF(J2908&lt;&gt;1,"",IF(I2908="SBJ","CB","?"))</f>
        <v> </v>
      </c>
      <c r="I2908" s="25" t="str">
        <f>IF(OR(E2908="",E2908="!!!",F2908="NEW"),"",INDEX(B2907:B$2,-1+SUMPRODUCT(MAX(ROW(E2907:E$2)*(E2908=E2907:E$2)))))</f>
        <v> </v>
      </c>
      <c r="J2908" s="25" t="str">
        <f>IF(OR(E2908="",E2908="!!!",F2908="NEW"),"",COUNTBLANK(OFFSET(A$1,,,SUMPRODUCT(MAX(ROW(E$2:E2908)*(E2908=E$2:E2908)))))-COUNTBLANK(OFFSET(A$1,,,SUMPRODUCT(MAX(ROW(E$1:E2907)*(E2=E$1:E2907))))))</f>
        <v> </v>
      </c>
      <c r="K2908" s="25" t="str">
        <f>IF(OR(E2908="",E2908="!!!",F2908="NEW"),"",INDEX(J$1:J2907,SUMPRODUCT(MAX(ROW(E$1:E2907)*(E2908=E$1:E2907)))))</f>
        <v> </v>
      </c>
      <c r="L2908" s="26"/>
    </row>
    <row r="2909" spans="1:12">
      <c r="A2909" s="20" t="s">
        <v>1074</v>
      </c>
      <c r="E2909" s="21">
        <f>IF(D2909="?OLD","!!!","")</f>
        <v/>
      </c>
      <c r="F2909" s="22" t="str">
        <f>IF(OR(E2909="",E2909="!!!"),"",IF(NOT(ISNA(VLOOKUP(E2909,E$1:E2908,1,FALSE()))),"OLD",IF(AND(E2909&lt;&gt;"",E2909&lt;&gt;"!!!"),"NEW","")))</f>
        <v> </v>
      </c>
      <c r="G2909" s="23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4" t="str">
        <f>IF(J2909&lt;&gt;1,"",IF(I2909="SBJ","CB","?"))</f>
        <v> </v>
      </c>
      <c r="I2909" s="25" t="str">
        <f>IF(OR(E2909="",E2909="!!!",F2909="NEW"),"",INDEX(B2908:B$2,-1+SUMPRODUCT(MAX(ROW(E2908:E$2)*(E2909=E2908:E$2)))))</f>
        <v> </v>
      </c>
      <c r="J2909" s="25" t="str">
        <f>IF(OR(E2909="",E2909="!!!",F2909="NEW"),"",COUNTBLANK(OFFSET(A$1,,,SUMPRODUCT(MAX(ROW(E$2:E2909)*(E2909=E$2:E2909)))))-COUNTBLANK(OFFSET(A$1,,,SUMPRODUCT(MAX(ROW(E$1:E2908)*(E2=E$1:E2908))))))</f>
        <v> </v>
      </c>
      <c r="K2909" s="25" t="str">
        <f>IF(OR(E2909="",E2909="!!!",F2909="NEW"),"",INDEX(J$1:J2908,SUMPRODUCT(MAX(ROW(E$1:E2908)*(E2909=E$1:E2908)))))</f>
        <v> </v>
      </c>
      <c r="L2909" s="26"/>
    </row>
    <row r="2910" spans="1:12">
      <c r="A2910" s="20" t="s">
        <v>2052</v>
      </c>
      <c r="E2910" s="21">
        <f>IF(D2910="?OLD","!!!","")</f>
        <v/>
      </c>
      <c r="F2910" s="22" t="str">
        <f>IF(OR(E2910="",E2910="!!!"),"",IF(NOT(ISNA(VLOOKUP(E2910,E$1:E2909,1,FALSE()))),"OLD",IF(AND(E2910&lt;&gt;"",E2910&lt;&gt;"!!!"),"NEW","")))</f>
        <v> </v>
      </c>
      <c r="G2910" s="23" t="str">
        <f>IF(OR(E2910="",E2910="!!!"),"",IF(OR(J2910=0,AND(J2910=1,K2910=1),AND(J2910=1,I2910="SBJ"),AND(J2910=1,I2910=0)),"?IN_FOCUS",IF(J2910&lt;=2,"?ACTIVATED",IF(J2910&lt;&gt;"","?FAMILIAR",IF(F2910="NEW",IF(ISNA(VLOOKUP(E2910,#REF!,1,FALSE())),"?TYPE_IDENTIFIABLE","?REFERENTIAL"),"_")))))</f>
        <v> </v>
      </c>
      <c r="H2910" s="24" t="str">
        <f>IF(J2910&lt;&gt;1,"",IF(I2910="SBJ","CB","?"))</f>
        <v> </v>
      </c>
      <c r="I2910" s="25" t="str">
        <f>IF(OR(E2910="",E2910="!!!",F2910="NEW"),"",INDEX(B2909:B$2,-1+SUMPRODUCT(MAX(ROW(E2909:E$2)*(E2910=E2909:E$2)))))</f>
        <v> </v>
      </c>
      <c r="J2910" s="25" t="str">
        <f>IF(OR(E2910="",E2910="!!!",F2910="NEW"),"",COUNTBLANK(OFFSET(A$1,,,SUMPRODUCT(MAX(ROW(E$2:E2910)*(E2910=E$2:E2910)))))-COUNTBLANK(OFFSET(A$1,,,SUMPRODUCT(MAX(ROW(E$1:E2909)*(E2=E$1:E2909))))))</f>
        <v> </v>
      </c>
      <c r="K2910" s="25" t="str">
        <f>IF(OR(E2910="",E2910="!!!",F2910="NEW"),"",INDEX(J$1:J2909,SUMPRODUCT(MAX(ROW(E$1:E2909)*(E2910=E$1:E2909)))))</f>
        <v> </v>
      </c>
      <c r="L2910" s="26"/>
    </row>
    <row r="2911" spans="1:12">
      <c r="A2911" s="20" t="s">
        <v>1571</v>
      </c>
      <c r="B2911" s="27" t="s">
        <v>1354</v>
      </c>
      <c r="C2911" s="27" t="s">
        <v>1015</v>
      </c>
      <c r="E2911" s="21">
        <f>IF(D2911="?OLD","!!!","")</f>
        <v/>
      </c>
      <c r="F2911" s="22" t="str">
        <f>IF(OR(E2911="",E2911="!!!"),"",IF(NOT(ISNA(VLOOKUP(E2911,E$1:E2910,1,FALSE()))),"OLD",IF(AND(E2911&lt;&gt;"",E2911&lt;&gt;"!!!"),"NEW","")))</f>
        <v> </v>
      </c>
      <c r="G2911" s="23" t="str">
        <f>IF(OR(E2911="",E2911="!!!"),"",IF(OR(J2911=0,AND(J2911=1,K2911=1),AND(J2911=1,I2911="SBJ"),AND(J2911=1,I2911=0)),"?IN_FOCUS",IF(J2911&lt;=2,"?ACTIVATED",IF(J2911&lt;&gt;"","?FAMILIAR",IF(F2911="NEW",IF(ISNA(VLOOKUP(E2911,#REF!,1,FALSE())),"?TYPE_IDENTIFIABLE","?REFERENTIAL"),"_")))))</f>
        <v> </v>
      </c>
      <c r="H2911" s="24" t="str">
        <f>IF(J2911&lt;&gt;1,"",IF(I2911="SBJ","CB","?"))</f>
        <v> </v>
      </c>
      <c r="I2911" s="25" t="str">
        <f>IF(OR(E2911="",E2911="!!!",F2911="NEW"),"",INDEX(B2910:B$2,-1+SUMPRODUCT(MAX(ROW(E2910:E$2)*(E2911=E2910:E$2)))))</f>
        <v> </v>
      </c>
      <c r="J2911" s="25" t="str">
        <f>IF(OR(E2911="",E2911="!!!",F2911="NEW"),"",COUNTBLANK(OFFSET(A$1,,,SUMPRODUCT(MAX(ROW(E$2:E2911)*(E2911=E$2:E2911)))))-COUNTBLANK(OFFSET(A$1,,,SUMPRODUCT(MAX(ROW(E$1:E2910)*(E2=E$1:E2910))))))</f>
        <v> </v>
      </c>
      <c r="K2911" s="25" t="str">
        <f>IF(OR(E2911="",E2911="!!!",F2911="NEW"),"",INDEX(J$1:J2910,SUMPRODUCT(MAX(ROW(E$1:E2910)*(E2911=E$1:E2910)))))</f>
        <v> </v>
      </c>
      <c r="L2911" s="26"/>
    </row>
    <row r="2912" spans="1:12">
      <c r="A2912" s="20" t="s">
        <v>1083</v>
      </c>
      <c r="E2912" s="21">
        <f>IF(D2912="?OLD","!!!","")</f>
        <v/>
      </c>
      <c r="F2912" s="22" t="str">
        <f>IF(OR(E2912="",E2912="!!!"),"",IF(NOT(ISNA(VLOOKUP(E2912,E$1:E2911,1,FALSE()))),"OLD",IF(AND(E2912&lt;&gt;"",E2912&lt;&gt;"!!!"),"NEW","")))</f>
        <v> </v>
      </c>
      <c r="G2912" s="23" t="str">
        <f>IF(OR(E2912="",E2912="!!!"),"",IF(OR(J2912=0,AND(J2912=1,K2912=1),AND(J2912=1,I2912="SBJ"),AND(J2912=1,I2912=0)),"?IN_FOCUS",IF(J2912&lt;=2,"?ACTIVATED",IF(J2912&lt;&gt;"","?FAMILIAR",IF(F2912="NEW",IF(ISNA(VLOOKUP(E2912,#REF!,1,FALSE())),"?TYPE_IDENTIFIABLE","?REFERENTIAL"),"_")))))</f>
        <v> </v>
      </c>
      <c r="H2912" s="24" t="str">
        <f>IF(J2912&lt;&gt;1,"",IF(I2912="SBJ","CB","?"))</f>
        <v> </v>
      </c>
      <c r="I2912" s="25" t="str">
        <f>IF(OR(E2912="",E2912="!!!",F2912="NEW"),"",INDEX(B2911:B$2,-1+SUMPRODUCT(MAX(ROW(E2911:E$2)*(E2912=E2911:E$2)))))</f>
        <v> </v>
      </c>
      <c r="J2912" s="25" t="str">
        <f>IF(OR(E2912="",E2912="!!!",F2912="NEW"),"",COUNTBLANK(OFFSET(A$1,,,SUMPRODUCT(MAX(ROW(E$2:E2912)*(E2912=E$2:E2912)))))-COUNTBLANK(OFFSET(A$1,,,SUMPRODUCT(MAX(ROW(E$1:E2911)*(E2=E$1:E2911))))))</f>
        <v> </v>
      </c>
      <c r="K2912" s="25" t="str">
        <f>IF(OR(E2912="",E2912="!!!",F2912="NEW"),"",INDEX(J$1:J2911,SUMPRODUCT(MAX(ROW(E$1:E2911)*(E2912=E$1:E2911)))))</f>
        <v> </v>
      </c>
      <c r="L2912" s="26"/>
    </row>
    <row r="2913" spans="1:12">
      <c r="A2913" s="20" t="s">
        <v>1607</v>
      </c>
      <c r="B2913" s="27" t="s">
        <v>1028</v>
      </c>
      <c r="C2913" s="27" t="s">
        <v>1029</v>
      </c>
      <c r="D2913" s="27" t="s">
        <v>1030</v>
      </c>
      <c r="E2913" s="21">
        <f>IF(D2913="?OLD","!!!","")</f>
        <v/>
      </c>
      <c r="F2913" s="22" t="str">
        <f>IF(OR(E2913="",E2913="!!!"),"",IF(NOT(ISNA(VLOOKUP(E2913,E$1:E2912,1,FALSE()))),"OLD",IF(AND(E2913&lt;&gt;"",E2913&lt;&gt;"!!!"),"NEW","")))</f>
        <v> </v>
      </c>
      <c r="G2913" s="23" t="str">
        <f>IF(OR(E2913="",E2913="!!!"),"",IF(OR(J2913=0,AND(J2913=1,K2913=1),AND(J2913=1,I2913="SBJ"),AND(J2913=1,I2913=0)),"?IN_FOCUS",IF(J2913&lt;=2,"?ACTIVATED",IF(J2913&lt;&gt;"","?FAMILIAR",IF(F2913="NEW",IF(ISNA(VLOOKUP(E2913,#REF!,1,FALSE())),"?TYPE_IDENTIFIABLE","?REFERENTIAL"),"_")))))</f>
        <v> </v>
      </c>
      <c r="H2913" s="24" t="str">
        <f>IF(J2913&lt;&gt;1,"",IF(I2913="SBJ","CB","?"))</f>
        <v> </v>
      </c>
      <c r="I2913" s="25" t="str">
        <f>IF(OR(E2913="",E2913="!!!",F2913="NEW"),"",INDEX(B2912:B$2,-1+SUMPRODUCT(MAX(ROW(E2912:E$2)*(E2913=E2912:E$2)))))</f>
        <v> </v>
      </c>
      <c r="J2913" s="25" t="str">
        <f>IF(OR(E2913="",E2913="!!!",F2913="NEW"),"",COUNTBLANK(OFFSET(A$1,,,SUMPRODUCT(MAX(ROW(E$2:E2913)*(E2913=E$2:E2913)))))-COUNTBLANK(OFFSET(A$1,,,SUMPRODUCT(MAX(ROW(E$1:E2912)*(E2=E$1:E2912))))))</f>
        <v> </v>
      </c>
      <c r="K2913" s="25" t="str">
        <f>IF(OR(E2913="",E2913="!!!",F2913="NEW"),"",INDEX(J$1:J2912,SUMPRODUCT(MAX(ROW(E$1:E2912)*(E2913=E$1:E2912)))))</f>
        <v> </v>
      </c>
      <c r="L2913" s="26"/>
    </row>
    <row r="2914" spans="1:12">
      <c r="A2914" s="20" t="s">
        <v>1311</v>
      </c>
      <c r="E2914" s="21">
        <f>IF(D2914="?OLD","!!!","")</f>
        <v/>
      </c>
      <c r="F2914" s="22" t="str">
        <f>IF(OR(E2914="",E2914="!!!"),"",IF(NOT(ISNA(VLOOKUP(E2914,E$1:E2913,1,FALSE()))),"OLD",IF(AND(E2914&lt;&gt;"",E2914&lt;&gt;"!!!"),"NEW","")))</f>
        <v> </v>
      </c>
      <c r="G2914" s="23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4" t="str">
        <f>IF(J2914&lt;&gt;1,"",IF(I2914="SBJ","CB","?"))</f>
        <v> </v>
      </c>
      <c r="I2914" s="25" t="str">
        <f>IF(OR(E2914="",E2914="!!!",F2914="NEW"),"",INDEX(B2913:B$2,-1+SUMPRODUCT(MAX(ROW(E2913:E$2)*(E2914=E2913:E$2)))))</f>
        <v> </v>
      </c>
      <c r="J2914" s="25" t="str">
        <f>IF(OR(E2914="",E2914="!!!",F2914="NEW"),"",COUNTBLANK(OFFSET(A$1,,,SUMPRODUCT(MAX(ROW(E$2:E2914)*(E2914=E$2:E2914)))))-COUNTBLANK(OFFSET(A$1,,,SUMPRODUCT(MAX(ROW(E$1:E2913)*(E2=E$1:E2913))))))</f>
        <v> </v>
      </c>
      <c r="K2914" s="25" t="str">
        <f>IF(OR(E2914="",E2914="!!!",F2914="NEW"),"",INDEX(J$1:J2913,SUMPRODUCT(MAX(ROW(E$1:E2913)*(E2914=E$1:E2913)))))</f>
        <v> </v>
      </c>
      <c r="L2914" s="26"/>
    </row>
    <row r="2915" spans="1:12">
      <c r="A2915" s="20" t="s">
        <v>2053</v>
      </c>
      <c r="B2915" s="27" t="s">
        <v>1032</v>
      </c>
      <c r="C2915" s="27" t="s">
        <v>1015</v>
      </c>
      <c r="E2915" s="21">
        <f>IF(D2915="?OLD","!!!","")</f>
        <v/>
      </c>
      <c r="F2915" s="22" t="str">
        <f>IF(OR(E2915="",E2915="!!!"),"",IF(NOT(ISNA(VLOOKUP(E2915,E$1:E2914,1,FALSE()))),"OLD",IF(AND(E2915&lt;&gt;"",E2915&lt;&gt;"!!!"),"NEW","")))</f>
        <v> </v>
      </c>
      <c r="G2915" s="23" t="str">
        <f>IF(OR(E2915="",E2915="!!!"),"",IF(OR(J2915=0,AND(J2915=1,K2915=1),AND(J2915=1,I2915="SBJ"),AND(J2915=1,I2915=0)),"?IN_FOCUS",IF(J2915&lt;=2,"?ACTIVATED",IF(J2915&lt;&gt;"","?FAMILIAR",IF(F2915="NEW",IF(ISNA(VLOOKUP(E2915,#REF!,1,FALSE())),"?TYPE_IDENTIFIABLE","?REFERENTIAL"),"_")))))</f>
        <v> </v>
      </c>
      <c r="H2915" s="24" t="str">
        <f>IF(J2915&lt;&gt;1,"",IF(I2915="SBJ","CB","?"))</f>
        <v> </v>
      </c>
      <c r="I2915" s="25" t="str">
        <f>IF(OR(E2915="",E2915="!!!",F2915="NEW"),"",INDEX(B2914:B$2,-1+SUMPRODUCT(MAX(ROW(E2914:E$2)*(E2915=E2914:E$2)))))</f>
        <v> </v>
      </c>
      <c r="J2915" s="25" t="str">
        <f>IF(OR(E2915="",E2915="!!!",F2915="NEW"),"",COUNTBLANK(OFFSET(A$1,,,SUMPRODUCT(MAX(ROW(E$2:E2915)*(E2915=E$2:E2915)))))-COUNTBLANK(OFFSET(A$1,,,SUMPRODUCT(MAX(ROW(E$1:E2914)*(E2=E$1:E2914))))))</f>
        <v> </v>
      </c>
      <c r="K2915" s="25" t="str">
        <f>IF(OR(E2915="",E2915="!!!",F2915="NEW"),"",INDEX(J$1:J2914,SUMPRODUCT(MAX(ROW(E$1:E2914)*(E2915=E$1:E2914)))))</f>
        <v> </v>
      </c>
      <c r="L2915" s="26"/>
    </row>
    <row r="2916" spans="1:12">
      <c r="A2916" s="20" t="s">
        <v>1083</v>
      </c>
      <c r="E2916" s="21">
        <f>IF(D2916="?OLD","!!!","")</f>
        <v/>
      </c>
      <c r="F2916" s="22" t="str">
        <f>IF(OR(E2916="",E2916="!!!"),"",IF(NOT(ISNA(VLOOKUP(E2916,E$1:E2915,1,FALSE()))),"OLD",IF(AND(E2916&lt;&gt;"",E2916&lt;&gt;"!!!"),"NEW","")))</f>
        <v> </v>
      </c>
      <c r="G2916" s="23" t="str">
        <f>IF(OR(E2916="",E2916="!!!"),"",IF(OR(J2916=0,AND(J2916=1,K2916=1),AND(J2916=1,I2916="SBJ"),AND(J2916=1,I2916=0)),"?IN_FOCUS",IF(J2916&lt;=2,"?ACTIVATED",IF(J2916&lt;&gt;"","?FAMILIAR",IF(F2916="NEW",IF(ISNA(VLOOKUP(E2916,#REF!,1,FALSE())),"?TYPE_IDENTIFIABLE","?REFERENTIAL"),"_")))))</f>
        <v> </v>
      </c>
      <c r="H2916" s="24" t="str">
        <f>IF(J2916&lt;&gt;1,"",IF(I2916="SBJ","CB","?"))</f>
        <v> </v>
      </c>
      <c r="I2916" s="25" t="str">
        <f>IF(OR(E2916="",E2916="!!!",F2916="NEW"),"",INDEX(B2915:B$2,-1+SUMPRODUCT(MAX(ROW(E2915:E$2)*(E2916=E2915:E$2)))))</f>
        <v> </v>
      </c>
      <c r="J2916" s="25" t="str">
        <f>IF(OR(E2916="",E2916="!!!",F2916="NEW"),"",COUNTBLANK(OFFSET(A$1,,,SUMPRODUCT(MAX(ROW(E$2:E2916)*(E2916=E$2:E2916)))))-COUNTBLANK(OFFSET(A$1,,,SUMPRODUCT(MAX(ROW(E$1:E2915)*(E2=E$1:E2915))))))</f>
        <v> </v>
      </c>
      <c r="K2916" s="25" t="str">
        <f>IF(OR(E2916="",E2916="!!!",F2916="NEW"),"",INDEX(J$1:J2915,SUMPRODUCT(MAX(ROW(E$1:E2915)*(E2916=E$1:E2915)))))</f>
        <v> </v>
      </c>
      <c r="L2916" s="26"/>
    </row>
    <row r="2917" spans="1:12">
      <c r="A2917" s="20" t="s">
        <v>2054</v>
      </c>
      <c r="B2917" s="27" t="s">
        <v>1402</v>
      </c>
      <c r="C2917" s="27" t="s">
        <v>1015</v>
      </c>
      <c r="E2917" s="21">
        <f>IF(D2917="?OLD","!!!","")</f>
        <v/>
      </c>
      <c r="F2917" s="22" t="str">
        <f>IF(OR(E2917="",E2917="!!!"),"",IF(NOT(ISNA(VLOOKUP(E2917,E$1:E2916,1,FALSE()))),"OLD",IF(AND(E2917&lt;&gt;"",E2917&lt;&gt;"!!!"),"NEW","")))</f>
        <v> </v>
      </c>
      <c r="G2917" s="23" t="str">
        <f>IF(OR(E2917="",E2917="!!!"),"",IF(OR(J2917=0,AND(J2917=1,K2917=1),AND(J2917=1,I2917="SBJ"),AND(J2917=1,I2917=0)),"?IN_FOCUS",IF(J2917&lt;=2,"?ACTIVATED",IF(J2917&lt;&gt;"","?FAMILIAR",IF(F2917="NEW",IF(ISNA(VLOOKUP(E2917,#REF!,1,FALSE())),"?TYPE_IDENTIFIABLE","?REFERENTIAL"),"_")))))</f>
        <v> </v>
      </c>
      <c r="H2917" s="24" t="str">
        <f>IF(J2917&lt;&gt;1,"",IF(I2917="SBJ","CB","?"))</f>
        <v> </v>
      </c>
      <c r="I2917" s="25" t="str">
        <f>IF(OR(E2917="",E2917="!!!",F2917="NEW"),"",INDEX(B2916:B$2,-1+SUMPRODUCT(MAX(ROW(E2916:E$2)*(E2917=E2916:E$2)))))</f>
        <v> </v>
      </c>
      <c r="J2917" s="25" t="str">
        <f>IF(OR(E2917="",E2917="!!!",F2917="NEW"),"",COUNTBLANK(OFFSET(A$1,,,SUMPRODUCT(MAX(ROW(E$2:E2917)*(E2917=E$2:E2917)))))-COUNTBLANK(OFFSET(A$1,,,SUMPRODUCT(MAX(ROW(E$1:E2916)*(E2=E$1:E2916))))))</f>
        <v> </v>
      </c>
      <c r="K2917" s="25" t="str">
        <f>IF(OR(E2917="",E2917="!!!",F2917="NEW"),"",INDEX(J$1:J2916,SUMPRODUCT(MAX(ROW(E$1:E2916)*(E2917=E$1:E2916)))))</f>
        <v> </v>
      </c>
      <c r="L2917" s="26"/>
    </row>
    <row r="2918" spans="1:12">
      <c r="A2918" s="20" t="s">
        <v>1022</v>
      </c>
      <c r="E2918" s="21">
        <f>IF(D2918="?OLD","!!!","")</f>
        <v/>
      </c>
      <c r="F2918" s="22" t="str">
        <f>IF(OR(E2918="",E2918="!!!"),"",IF(NOT(ISNA(VLOOKUP(E2918,E$1:E2917,1,FALSE()))),"OLD",IF(AND(E2918&lt;&gt;"",E2918&lt;&gt;"!!!"),"NEW","")))</f>
        <v> </v>
      </c>
      <c r="G2918" s="23" t="str">
        <f>IF(OR(E2918="",E2918="!!!"),"",IF(OR(J2918=0,AND(J2918=1,K2918=1),AND(J2918=1,I2918="SBJ"),AND(J2918=1,I2918=0)),"?IN_FOCUS",IF(J2918&lt;=2,"?ACTIVATED",IF(J2918&lt;&gt;"","?FAMILIAR",IF(F2918="NEW",IF(ISNA(VLOOKUP(E2918,#REF!,1,FALSE())),"?TYPE_IDENTIFIABLE","?REFERENTIAL"),"_")))))</f>
        <v> </v>
      </c>
      <c r="H2918" s="24" t="str">
        <f>IF(J2918&lt;&gt;1,"",IF(I2918="SBJ","CB","?"))</f>
        <v> </v>
      </c>
      <c r="I2918" s="25" t="str">
        <f>IF(OR(E2918="",E2918="!!!",F2918="NEW"),"",INDEX(B2917:B$2,-1+SUMPRODUCT(MAX(ROW(E2917:E$2)*(E2918=E2917:E$2)))))</f>
        <v> </v>
      </c>
      <c r="J2918" s="25" t="str">
        <f>IF(OR(E2918="",E2918="!!!",F2918="NEW"),"",COUNTBLANK(OFFSET(A$1,,,SUMPRODUCT(MAX(ROW(E$2:E2918)*(E2918=E$2:E2918)))))-COUNTBLANK(OFFSET(A$1,,,SUMPRODUCT(MAX(ROW(E$1:E2917)*(E2=E$1:E2917))))))</f>
        <v> </v>
      </c>
      <c r="K2918" s="25" t="str">
        <f>IF(OR(E2918="",E2918="!!!",F2918="NEW"),"",INDEX(J$1:J2917,SUMPRODUCT(MAX(ROW(E$1:E2917)*(E2918=E$1:E2917)))))</f>
        <v> </v>
      </c>
      <c r="L2918" s="26"/>
    </row>
    <row r="2919" spans="1:12">
      <c r="A2919" s="20" t="s">
        <v>2055</v>
      </c>
      <c r="E2919" s="21">
        <f>IF(D2919="?OLD","!!!","")</f>
        <v/>
      </c>
      <c r="F2919" s="22" t="str">
        <f>IF(OR(E2919="",E2919="!!!"),"",IF(NOT(ISNA(VLOOKUP(E2919,E$1:E2918,1,FALSE()))),"OLD",IF(AND(E2919&lt;&gt;"",E2919&lt;&gt;"!!!"),"NEW","")))</f>
        <v> </v>
      </c>
      <c r="G2919" s="23" t="str">
        <f>IF(OR(E2919="",E2919="!!!"),"",IF(OR(J2919=0,AND(J2919=1,K2919=1),AND(J2919=1,I2919="SBJ"),AND(J2919=1,I2919=0)),"?IN_FOCUS",IF(J2919&lt;=2,"?ACTIVATED",IF(J2919&lt;&gt;"","?FAMILIAR",IF(F2919="NEW",IF(ISNA(VLOOKUP(E2919,#REF!,1,FALSE())),"?TYPE_IDENTIFIABLE","?REFERENTIAL"),"_")))))</f>
        <v> </v>
      </c>
      <c r="H2919" s="24" t="str">
        <f>IF(J2919&lt;&gt;1,"",IF(I2919="SBJ","CB","?"))</f>
        <v> </v>
      </c>
      <c r="I2919" s="25" t="str">
        <f>IF(OR(E2919="",E2919="!!!",F2919="NEW"),"",INDEX(B2918:B$2,-1+SUMPRODUCT(MAX(ROW(E2918:E$2)*(E2919=E2918:E$2)))))</f>
        <v> </v>
      </c>
      <c r="J2919" s="25" t="str">
        <f>IF(OR(E2919="",E2919="!!!",F2919="NEW"),"",COUNTBLANK(OFFSET(A$1,,,SUMPRODUCT(MAX(ROW(E$2:E2919)*(E2919=E$2:E2919)))))-COUNTBLANK(OFFSET(A$1,,,SUMPRODUCT(MAX(ROW(E$1:E2918)*(E2=E$1:E2918))))))</f>
        <v> </v>
      </c>
      <c r="K2919" s="25" t="str">
        <f>IF(OR(E2919="",E2919="!!!",F2919="NEW"),"",INDEX(J$1:J2918,SUMPRODUCT(MAX(ROW(E$1:E2918)*(E2919=E$1:E2918)))))</f>
        <v> </v>
      </c>
      <c r="L2919" s="26"/>
    </row>
    <row r="2920" spans="1:12">
      <c r="A2920" s="20" t="s">
        <v>1025</v>
      </c>
      <c r="E2920" s="21">
        <f>IF(D2920="?OLD","!!!","")</f>
        <v/>
      </c>
      <c r="F2920" s="22" t="str">
        <f>IF(OR(E2920="",E2920="!!!"),"",IF(NOT(ISNA(VLOOKUP(E2920,E$1:E2919,1,FALSE()))),"OLD",IF(AND(E2920&lt;&gt;"",E2920&lt;&gt;"!!!"),"NEW","")))</f>
        <v> </v>
      </c>
      <c r="G2920" s="23" t="str">
        <f>IF(OR(E2920="",E2920="!!!"),"",IF(OR(J2920=0,AND(J2920=1,K2920=1),AND(J2920=1,I2920="SBJ"),AND(J2920=1,I2920=0)),"?IN_FOCUS",IF(J2920&lt;=2,"?ACTIVATED",IF(J2920&lt;&gt;"","?FAMILIAR",IF(F2920="NEW",IF(ISNA(VLOOKUP(E2920,#REF!,1,FALSE())),"?TYPE_IDENTIFIABLE","?REFERENTIAL"),"_")))))</f>
        <v> </v>
      </c>
      <c r="H2920" s="24" t="str">
        <f>IF(J2920&lt;&gt;1,"",IF(I2920="SBJ","CB","?"))</f>
        <v> </v>
      </c>
      <c r="I2920" s="25" t="str">
        <f>IF(OR(E2920="",E2920="!!!",F2920="NEW"),"",INDEX(B2919:B$2,-1+SUMPRODUCT(MAX(ROW(E2919:E$2)*(E2920=E2919:E$2)))))</f>
        <v> </v>
      </c>
      <c r="J2920" s="25" t="str">
        <f>IF(OR(E2920="",E2920="!!!",F2920="NEW"),"",COUNTBLANK(OFFSET(A$1,,,SUMPRODUCT(MAX(ROW(E$2:E2920)*(E2920=E$2:E2920)))))-COUNTBLANK(OFFSET(A$1,,,SUMPRODUCT(MAX(ROW(E$1:E2919)*(E2=E$1:E2919))))))</f>
        <v> </v>
      </c>
      <c r="K2920" s="25" t="str">
        <f>IF(OR(E2920="",E2920="!!!",F2920="NEW"),"",INDEX(J$1:J2919,SUMPRODUCT(MAX(ROW(E$1:E2919)*(E2920=E$1:E2919)))))</f>
        <v> </v>
      </c>
      <c r="L2920" s="26"/>
    </row>
    <row r="2921" spans="1:12">
      <c r="A2921" s="20" t="s">
        <v>1160</v>
      </c>
      <c r="E2921" s="21">
        <f>IF(D2921="?OLD","!!!","")</f>
        <v/>
      </c>
      <c r="F2921" s="22" t="str">
        <f>IF(OR(E2921="",E2921="!!!"),"",IF(NOT(ISNA(VLOOKUP(E2921,E$1:E2920,1,FALSE()))),"OLD",IF(AND(E2921&lt;&gt;"",E2921&lt;&gt;"!!!"),"NEW","")))</f>
        <v> </v>
      </c>
      <c r="G2921" s="23" t="str">
        <f>IF(OR(E2921="",E2921="!!!"),"",IF(OR(J2921=0,AND(J2921=1,K2921=1),AND(J2921=1,I2921="SBJ"),AND(J2921=1,I2921=0)),"?IN_FOCUS",IF(J2921&lt;=2,"?ACTIVATED",IF(J2921&lt;&gt;"","?FAMILIAR",IF(F2921="NEW",IF(ISNA(VLOOKUP(E2921,#REF!,1,FALSE())),"?TYPE_IDENTIFIABLE","?REFERENTIAL"),"_")))))</f>
        <v> </v>
      </c>
      <c r="H2921" s="24" t="str">
        <f>IF(J2921&lt;&gt;1,"",IF(I2921="SBJ","CB","?"))</f>
        <v> </v>
      </c>
      <c r="I2921" s="25" t="str">
        <f>IF(OR(E2921="",E2921="!!!",F2921="NEW"),"",INDEX(B2920:B$2,-1+SUMPRODUCT(MAX(ROW(E2920:E$2)*(E2921=E2920:E$2)))))</f>
        <v> </v>
      </c>
      <c r="J2921" s="25" t="str">
        <f>IF(OR(E2921="",E2921="!!!",F2921="NEW"),"",COUNTBLANK(OFFSET(A$1,,,SUMPRODUCT(MAX(ROW(E$2:E2921)*(E2921=E$2:E2921)))))-COUNTBLANK(OFFSET(A$1,,,SUMPRODUCT(MAX(ROW(E$1:E2920)*(E2=E$1:E2920))))))</f>
        <v> </v>
      </c>
      <c r="K2921" s="25" t="str">
        <f>IF(OR(E2921="",E2921="!!!",F2921="NEW"),"",INDEX(J$1:J2920,SUMPRODUCT(MAX(ROW(E$1:E2920)*(E2921=E$1:E2920)))))</f>
        <v> </v>
      </c>
      <c r="L2921" s="26"/>
    </row>
    <row r="2922" spans="1:12">
      <c r="A2922" s="20" t="s">
        <v>2056</v>
      </c>
      <c r="B2922" s="27" t="s">
        <v>1045</v>
      </c>
      <c r="C2922" s="27" t="s">
        <v>1021</v>
      </c>
      <c r="E2922" s="21">
        <f>IF(D2922="?OLD","!!!","")</f>
        <v/>
      </c>
      <c r="F2922" s="22" t="str">
        <f>IF(OR(E2922="",E2922="!!!"),"",IF(NOT(ISNA(VLOOKUP(E2922,E$1:E2921,1,FALSE()))),"OLD",IF(AND(E2922&lt;&gt;"",E2922&lt;&gt;"!!!"),"NEW","")))</f>
        <v> </v>
      </c>
      <c r="G2922" s="23" t="str">
        <f>IF(OR(E2922="",E2922="!!!"),"",IF(OR(J2922=0,AND(J2922=1,K2922=1),AND(J2922=1,I2922="SBJ"),AND(J2922=1,I2922=0)),"?IN_FOCUS",IF(J2922&lt;=2,"?ACTIVATED",IF(J2922&lt;&gt;"","?FAMILIAR",IF(F2922="NEW",IF(ISNA(VLOOKUP(E2922,#REF!,1,FALSE())),"?TYPE_IDENTIFIABLE","?REFERENTIAL"),"_")))))</f>
        <v> </v>
      </c>
      <c r="H2922" s="24" t="str">
        <f>IF(J2922&lt;&gt;1,"",IF(I2922="SBJ","CB","?"))</f>
        <v> </v>
      </c>
      <c r="I2922" s="25" t="str">
        <f>IF(OR(E2922="",E2922="!!!",F2922="NEW"),"",INDEX(B2921:B$2,-1+SUMPRODUCT(MAX(ROW(E2921:E$2)*(E2922=E2921:E$2)))))</f>
        <v> </v>
      </c>
      <c r="J2922" s="25" t="str">
        <f>IF(OR(E2922="",E2922="!!!",F2922="NEW"),"",COUNTBLANK(OFFSET(A$1,,,SUMPRODUCT(MAX(ROW(E$2:E2922)*(E2922=E$2:E2922)))))-COUNTBLANK(OFFSET(A$1,,,SUMPRODUCT(MAX(ROW(E$1:E2921)*(E2=E$1:E2921))))))</f>
        <v> </v>
      </c>
      <c r="K2922" s="25" t="str">
        <f>IF(OR(E2922="",E2922="!!!",F2922="NEW"),"",INDEX(J$1:J2921,SUMPRODUCT(MAX(ROW(E$1:E2921)*(E2922=E$1:E2921)))))</f>
        <v> </v>
      </c>
      <c r="L2922" s="26"/>
    </row>
    <row r="2923" spans="1:12">
      <c r="A2923" s="20" t="s">
        <v>1059</v>
      </c>
      <c r="E2923" s="21">
        <f>IF(D2923="?OLD","!!!","")</f>
        <v/>
      </c>
      <c r="F2923" s="22" t="str">
        <f>IF(OR(E2923="",E2923="!!!"),"",IF(NOT(ISNA(VLOOKUP(E2923,E$1:E2922,1,FALSE()))),"OLD",IF(AND(E2923&lt;&gt;"",E2923&lt;&gt;"!!!"),"NEW","")))</f>
        <v> </v>
      </c>
      <c r="G2923" s="23" t="str">
        <f>IF(OR(E2923="",E2923="!!!"),"",IF(OR(J2923=0,AND(J2923=1,K2923=1),AND(J2923=1,I2923="SBJ"),AND(J2923=1,I2923=0)),"?IN_FOCUS",IF(J2923&lt;=2,"?ACTIVATED",IF(J2923&lt;&gt;"","?FAMILIAR",IF(F2923="NEW",IF(ISNA(VLOOKUP(E2923,#REF!,1,FALSE())),"?TYPE_IDENTIFIABLE","?REFERENTIAL"),"_")))))</f>
        <v> </v>
      </c>
      <c r="H2923" s="24" t="str">
        <f>IF(J2923&lt;&gt;1,"",IF(I2923="SBJ","CB","?"))</f>
        <v> </v>
      </c>
      <c r="I2923" s="25" t="str">
        <f>IF(OR(E2923="",E2923="!!!",F2923="NEW"),"",INDEX(B2922:B$2,-1+SUMPRODUCT(MAX(ROW(E2922:E$2)*(E2923=E2922:E$2)))))</f>
        <v> </v>
      </c>
      <c r="J2923" s="25" t="str">
        <f>IF(OR(E2923="",E2923="!!!",F2923="NEW"),"",COUNTBLANK(OFFSET(A$1,,,SUMPRODUCT(MAX(ROW(E$2:E2923)*(E2923=E$2:E2923)))))-COUNTBLANK(OFFSET(A$1,,,SUMPRODUCT(MAX(ROW(E$1:E2922)*(E2=E$1:E2922))))))</f>
        <v> </v>
      </c>
      <c r="K2923" s="25" t="str">
        <f>IF(OR(E2923="",E2923="!!!",F2923="NEW"),"",INDEX(J$1:J2922,SUMPRODUCT(MAX(ROW(E$1:E2922)*(E2923=E$1:E2922)))))</f>
        <v> </v>
      </c>
      <c r="L2923" s="26"/>
    </row>
    <row r="2924" spans="1:12">
      <c r="A2924" s="20" t="s">
        <v>1057</v>
      </c>
      <c r="E2924" s="21">
        <f>IF(D2924="?OLD","!!!","")</f>
        <v/>
      </c>
      <c r="F2924" s="22" t="str">
        <f>IF(OR(E2924="",E2924="!!!"),"",IF(NOT(ISNA(VLOOKUP(E2924,E$1:E2923,1,FALSE()))),"OLD",IF(AND(E2924&lt;&gt;"",E2924&lt;&gt;"!!!"),"NEW","")))</f>
        <v> </v>
      </c>
      <c r="G2924" s="23" t="str">
        <f>IF(OR(E2924="",E2924="!!!"),"",IF(OR(J2924=0,AND(J2924=1,K2924=1),AND(J2924=1,I2924="SBJ"),AND(J2924=1,I2924=0)),"?IN_FOCUS",IF(J2924&lt;=2,"?ACTIVATED",IF(J2924&lt;&gt;"","?FAMILIAR",IF(F2924="NEW",IF(ISNA(VLOOKUP(E2924,#REF!,1,FALSE())),"?TYPE_IDENTIFIABLE","?REFERENTIAL"),"_")))))</f>
        <v> </v>
      </c>
      <c r="H2924" s="24" t="str">
        <f>IF(J2924&lt;&gt;1,"",IF(I2924="SBJ","CB","?"))</f>
        <v> </v>
      </c>
      <c r="I2924" s="25" t="str">
        <f>IF(OR(E2924="",E2924="!!!",F2924="NEW"),"",INDEX(B2923:B$2,-1+SUMPRODUCT(MAX(ROW(E2923:E$2)*(E2924=E2923:E$2)))))</f>
        <v> </v>
      </c>
      <c r="J2924" s="25" t="str">
        <f>IF(OR(E2924="",E2924="!!!",F2924="NEW"),"",COUNTBLANK(OFFSET(A$1,,,SUMPRODUCT(MAX(ROW(E$2:E2924)*(E2924=E$2:E2924)))))-COUNTBLANK(OFFSET(A$1,,,SUMPRODUCT(MAX(ROW(E$1:E2923)*(E2=E$1:E2923))))))</f>
        <v> </v>
      </c>
      <c r="K2924" s="25" t="str">
        <f>IF(OR(E2924="",E2924="!!!",F2924="NEW"),"",INDEX(J$1:J2923,SUMPRODUCT(MAX(ROW(E$1:E2923)*(E2924=E$1:E2923)))))</f>
        <v> </v>
      </c>
      <c r="L2924" s="26"/>
    </row>
    <row r="2925" spans="1:12">
      <c r="A2925" s="20" t="s">
        <v>2057</v>
      </c>
      <c r="E2925" s="21">
        <f>IF(D2925="?OLD","!!!","")</f>
        <v/>
      </c>
      <c r="F2925" s="22" t="str">
        <f>IF(OR(E2925="",E2925="!!!"),"",IF(NOT(ISNA(VLOOKUP(E2925,E$1:E2924,1,FALSE()))),"OLD",IF(AND(E2925&lt;&gt;"",E2925&lt;&gt;"!!!"),"NEW","")))</f>
        <v> </v>
      </c>
      <c r="G2925" s="23" t="str">
        <f>IF(OR(E2925="",E2925="!!!"),"",IF(OR(J2925=0,AND(J2925=1,K2925=1),AND(J2925=1,I2925="SBJ"),AND(J2925=1,I2925=0)),"?IN_FOCUS",IF(J2925&lt;=2,"?ACTIVATED",IF(J2925&lt;&gt;"","?FAMILIAR",IF(F2925="NEW",IF(ISNA(VLOOKUP(E2925,#REF!,1,FALSE())),"?TYPE_IDENTIFIABLE","?REFERENTIAL"),"_")))))</f>
        <v> </v>
      </c>
      <c r="H2925" s="24" t="str">
        <f>IF(J2925&lt;&gt;1,"",IF(I2925="SBJ","CB","?"))</f>
        <v> </v>
      </c>
      <c r="I2925" s="25" t="str">
        <f>IF(OR(E2925="",E2925="!!!",F2925="NEW"),"",INDEX(B2924:B$2,-1+SUMPRODUCT(MAX(ROW(E2924:E$2)*(E2925=E2924:E$2)))))</f>
        <v> </v>
      </c>
      <c r="J2925" s="25" t="str">
        <f>IF(OR(E2925="",E2925="!!!",F2925="NEW"),"",COUNTBLANK(OFFSET(A$1,,,SUMPRODUCT(MAX(ROW(E$2:E2925)*(E2925=E$2:E2925)))))-COUNTBLANK(OFFSET(A$1,,,SUMPRODUCT(MAX(ROW(E$1:E2924)*(E2=E$1:E2924))))))</f>
        <v> </v>
      </c>
      <c r="K2925" s="25" t="str">
        <f>IF(OR(E2925="",E2925="!!!",F2925="NEW"),"",INDEX(J$1:J2924,SUMPRODUCT(MAX(ROW(E$1:E2924)*(E2925=E$1:E2924)))))</f>
        <v> </v>
      </c>
      <c r="L2925" s="26"/>
    </row>
    <row r="2926" spans="1:12">
      <c r="A2926" s="20" t="s">
        <v>275</v>
      </c>
      <c r="E2926" s="21">
        <f>IF(D2926="?OLD","!!!","")</f>
        <v/>
      </c>
      <c r="F2926" s="22" t="str">
        <f>IF(OR(E2926="",E2926="!!!"),"",IF(NOT(ISNA(VLOOKUP(E2926,E$1:E2925,1,FALSE()))),"OLD",IF(AND(E2926&lt;&gt;"",E2926&lt;&gt;"!!!"),"NEW","")))</f>
        <v> </v>
      </c>
      <c r="G2926" s="23" t="str">
        <f>IF(OR(E2926="",E2926="!!!"),"",IF(OR(J2926=0,AND(J2926=1,K2926=1),AND(J2926=1,I2926="SBJ"),AND(J2926=1,I2926=0)),"?IN_FOCUS",IF(J2926&lt;=2,"?ACTIVATED",IF(J2926&lt;&gt;"","?FAMILIAR",IF(F2926="NEW",IF(ISNA(VLOOKUP(E2926,#REF!,1,FALSE())),"?TYPE_IDENTIFIABLE","?REFERENTIAL"),"_")))))</f>
        <v> </v>
      </c>
      <c r="H2926" s="24" t="str">
        <f>IF(J2926&lt;&gt;1,"",IF(I2926="SBJ","CB","?"))</f>
        <v> </v>
      </c>
      <c r="I2926" s="25" t="str">
        <f>IF(OR(E2926="",E2926="!!!",F2926="NEW"),"",INDEX(B2925:B$2,-1+SUMPRODUCT(MAX(ROW(E2925:E$2)*(E2926=E2925:E$2)))))</f>
        <v> </v>
      </c>
      <c r="J2926" s="25" t="str">
        <f>IF(OR(E2926="",E2926="!!!",F2926="NEW"),"",COUNTBLANK(OFFSET(A$1,,,SUMPRODUCT(MAX(ROW(E$2:E2926)*(E2926=E$2:E2926)))))-COUNTBLANK(OFFSET(A$1,,,SUMPRODUCT(MAX(ROW(E$1:E2925)*(E2=E$1:E2925))))))</f>
        <v> </v>
      </c>
      <c r="K2926" s="25" t="str">
        <f>IF(OR(E2926="",E2926="!!!",F2926="NEW"),"",INDEX(J$1:J2925,SUMPRODUCT(MAX(ROW(E$1:E2925)*(E2926=E$1:E2925)))))</f>
        <v> </v>
      </c>
      <c r="L2926" s="26"/>
    </row>
    <row r="2927" spans="1:12">
      <c r="A2927" s="20" t="s">
        <v>135</v>
      </c>
      <c r="E2927" s="21">
        <f>IF(D2927="?OLD","!!!","")</f>
        <v/>
      </c>
      <c r="F2927" s="22" t="str">
        <f>IF(OR(E2927="",E2927="!!!"),"",IF(NOT(ISNA(VLOOKUP(E2927,E$1:E2926,1,FALSE()))),"OLD",IF(AND(E2927&lt;&gt;"",E2927&lt;&gt;"!!!"),"NEW","")))</f>
        <v> </v>
      </c>
      <c r="G2927" s="23" t="str">
        <f>IF(OR(E2927="",E2927="!!!"),"",IF(OR(J2927=0,AND(J2927=1,K2927=1),AND(J2927=1,I2927="SBJ"),AND(J2927=1,I2927=0)),"?IN_FOCUS",IF(J2927&lt;=2,"?ACTIVATED",IF(J2927&lt;&gt;"","?FAMILIAR",IF(F2927="NEW",IF(ISNA(VLOOKUP(E2927,#REF!,1,FALSE())),"?TYPE_IDENTIFIABLE","?REFERENTIAL"),"_")))))</f>
        <v> </v>
      </c>
      <c r="H2927" s="24" t="str">
        <f>IF(J2927&lt;&gt;1,"",IF(I2927="SBJ","CB","?"))</f>
        <v> </v>
      </c>
      <c r="I2927" s="25" t="str">
        <f>IF(OR(E2927="",E2927="!!!",F2927="NEW"),"",INDEX(B2926:B$2,-1+SUMPRODUCT(MAX(ROW(E2926:E$2)*(E2927=E2926:E$2)))))</f>
        <v> </v>
      </c>
      <c r="J2927" s="25" t="str">
        <f>IF(OR(E2927="",E2927="!!!",F2927="NEW"),"",COUNTBLANK(OFFSET(A$1,,,SUMPRODUCT(MAX(ROW(E$2:E2927)*(E2927=E$2:E2927)))))-COUNTBLANK(OFFSET(A$1,,,SUMPRODUCT(MAX(ROW(E$1:E2926)*(E2=E$1:E2926))))))</f>
        <v> </v>
      </c>
      <c r="K2927" s="25" t="str">
        <f>IF(OR(E2927="",E2927="!!!",F2927="NEW"),"",INDEX(J$1:J2926,SUMPRODUCT(MAX(ROW(E$1:E2926)*(E2927=E$1:E2926)))))</f>
        <v> </v>
      </c>
      <c r="L2927" s="26"/>
    </row>
    <row r="2928" spans="1:12">
      <c r="A2928" s="20"/>
    </row>
    <row r="2929" spans="1:12">
      <c r="A2929" s="20" t="s">
        <v>2058</v>
      </c>
    </row>
    <row r="2930" spans="1:12">
      <c r="A2930" s="20" t="s">
        <v>2059</v>
      </c>
      <c r="B2930" s="27" t="s">
        <v>1045</v>
      </c>
      <c r="C2930" s="27" t="s">
        <v>1033</v>
      </c>
      <c r="D2930" s="27" t="s">
        <v>1030</v>
      </c>
      <c r="E2930" s="21">
        <f>IF(D2930="?OLD","!!!","")</f>
        <v/>
      </c>
      <c r="F2930" s="22" t="str">
        <f>IF(OR(E2930="",E2930="!!!"),"",IF(NOT(ISNA(VLOOKUP(E2930,E$1:E2929,1,FALSE()))),"OLD",IF(AND(E2930&lt;&gt;"",E2930&lt;&gt;"!!!"),"NEW","")))</f>
        <v> </v>
      </c>
      <c r="G2930" s="23" t="str">
        <f>IF(OR(E2930="",E2930="!!!"),"",IF(OR(J2930=0,AND(J2930=1,K2930=1),AND(J2930=1,I2930="SBJ"),AND(J2930=1,I2930=0)),"?IN_FOCUS",IF(J2930&lt;=2,"?ACTIVATED",IF(J2930&lt;&gt;"","?FAMILIAR",IF(F2930="NEW",IF(ISNA(VLOOKUP(E2930,#REF!,1,FALSE())),"?TYPE_IDENTIFIABLE","?REFERENTIAL"),"_")))))</f>
        <v> </v>
      </c>
      <c r="H2930" s="24" t="str">
        <f>IF(J2930&lt;&gt;1,"",IF(I2930="SBJ","CB","?"))</f>
        <v> </v>
      </c>
      <c r="I2930" s="25" t="str">
        <f>IF(OR(E2930="",E2930="!!!",F2930="NEW"),"",INDEX(B2929:B$2,-1+SUMPRODUCT(MAX(ROW(E2929:E$2)*(E2930=E2929:E$2)))))</f>
        <v> </v>
      </c>
      <c r="J2930" s="25" t="str">
        <f>IF(OR(E2930="",E2930="!!!",F2930="NEW"),"",COUNTBLANK(OFFSET(A$1,,,SUMPRODUCT(MAX(ROW(E$2:E2930)*(E2930=E$2:E2930)))))-COUNTBLANK(OFFSET(A$1,,,SUMPRODUCT(MAX(ROW(E$1:E2929)*(E2=E$1:E2929))))))</f>
        <v> </v>
      </c>
      <c r="K2930" s="25" t="str">
        <f>IF(OR(E2930="",E2930="!!!",F2930="NEW"),"",INDEX(J$1:J2929,SUMPRODUCT(MAX(ROW(E$1:E2929)*(E2930=E$1:E2929)))))</f>
        <v> </v>
      </c>
      <c r="L2930" s="26"/>
    </row>
    <row r="2931" spans="1:12">
      <c r="A2931" s="20" t="s">
        <v>1161</v>
      </c>
      <c r="E2931" s="21">
        <f>IF(D2931="?OLD","!!!","")</f>
        <v/>
      </c>
      <c r="F2931" s="22" t="str">
        <f>IF(OR(E2931="",E2931="!!!"),"",IF(NOT(ISNA(VLOOKUP(E2931,E$1:E2930,1,FALSE()))),"OLD",IF(AND(E2931&lt;&gt;"",E2931&lt;&gt;"!!!"),"NEW","")))</f>
        <v> </v>
      </c>
      <c r="G2931" s="23" t="str">
        <f>IF(OR(E2931="",E2931="!!!"),"",IF(OR(J2931=0,AND(J2931=1,K2931=1),AND(J2931=1,I2931="SBJ"),AND(J2931=1,I2931=0)),"?IN_FOCUS",IF(J2931&lt;=2,"?ACTIVATED",IF(J2931&lt;&gt;"","?FAMILIAR",IF(F2931="NEW",IF(ISNA(VLOOKUP(E2931,#REF!,1,FALSE())),"?TYPE_IDENTIFIABLE","?REFERENTIAL"),"_")))))</f>
        <v> </v>
      </c>
      <c r="H2931" s="24" t="str">
        <f>IF(J2931&lt;&gt;1,"",IF(I2931="SBJ","CB","?"))</f>
        <v> </v>
      </c>
      <c r="I2931" s="25" t="str">
        <f>IF(OR(E2931="",E2931="!!!",F2931="NEW"),"",INDEX(B2930:B$2,-1+SUMPRODUCT(MAX(ROW(E2930:E$2)*(E2931=E2930:E$2)))))</f>
        <v> </v>
      </c>
      <c r="J2931" s="25" t="str">
        <f>IF(OR(E2931="",E2931="!!!",F2931="NEW"),"",COUNTBLANK(OFFSET(A$1,,,SUMPRODUCT(MAX(ROW(E$2:E2931)*(E2931=E$2:E2931)))))-COUNTBLANK(OFFSET(A$1,,,SUMPRODUCT(MAX(ROW(E$1:E2930)*(E2=E$1:E2930))))))</f>
        <v> </v>
      </c>
      <c r="K2931" s="25" t="str">
        <f>IF(OR(E2931="",E2931="!!!",F2931="NEW"),"",INDEX(J$1:J2930,SUMPRODUCT(MAX(ROW(E$1:E2930)*(E2931=E$1:E2930)))))</f>
        <v> </v>
      </c>
      <c r="L2931" s="26"/>
    </row>
    <row r="2932" spans="1:12">
      <c r="A2932" s="20" t="s">
        <v>2060</v>
      </c>
      <c r="B2932" s="27" t="s">
        <v>1045</v>
      </c>
      <c r="C2932" s="27" t="s">
        <v>1033</v>
      </c>
      <c r="D2932" s="27" t="s">
        <v>1030</v>
      </c>
      <c r="E2932" s="21">
        <f>IF(D2932="?OLD","!!!","")</f>
        <v/>
      </c>
      <c r="F2932" s="22" t="str">
        <f>IF(OR(E2932="",E2932="!!!"),"",IF(NOT(ISNA(VLOOKUP(E2932,E$1:E2931,1,FALSE()))),"OLD",IF(AND(E2932&lt;&gt;"",E2932&lt;&gt;"!!!"),"NEW","")))</f>
        <v> </v>
      </c>
      <c r="G2932" s="23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4" t="str">
        <f>IF(J2932&lt;&gt;1,"",IF(I2932="SBJ","CB","?"))</f>
        <v> </v>
      </c>
      <c r="I2932" s="25" t="str">
        <f>IF(OR(E2932="",E2932="!!!",F2932="NEW"),"",INDEX(B2931:B$2,-1+SUMPRODUCT(MAX(ROW(E2931:E$2)*(E2932=E2931:E$2)))))</f>
        <v> </v>
      </c>
      <c r="J2932" s="25" t="str">
        <f>IF(OR(E2932="",E2932="!!!",F2932="NEW"),"",COUNTBLANK(OFFSET(A$1,,,SUMPRODUCT(MAX(ROW(E$2:E2932)*(E2932=E$2:E2932)))))-COUNTBLANK(OFFSET(A$1,,,SUMPRODUCT(MAX(ROW(E$1:E2931)*(E2=E$1:E2931))))))</f>
        <v> </v>
      </c>
      <c r="K2932" s="25" t="str">
        <f>IF(OR(E2932="",E2932="!!!",F2932="NEW"),"",INDEX(J$1:J2931,SUMPRODUCT(MAX(ROW(E$1:E2931)*(E2932=E$1:E2931)))))</f>
        <v> </v>
      </c>
      <c r="L2932" s="26"/>
    </row>
    <row r="2933" spans="1:12">
      <c r="A2933" s="20" t="s">
        <v>2061</v>
      </c>
      <c r="B2933" s="27" t="s">
        <v>1079</v>
      </c>
      <c r="C2933" s="27" t="s">
        <v>1033</v>
      </c>
      <c r="D2933" s="27" t="s">
        <v>1030</v>
      </c>
      <c r="E2933" s="21">
        <f>IF(D2933="?OLD","!!!","")</f>
        <v/>
      </c>
      <c r="F2933" s="22" t="str">
        <f>IF(OR(E2933="",E2933="!!!"),"",IF(NOT(ISNA(VLOOKUP(E2933,E$1:E2932,1,FALSE()))),"OLD",IF(AND(E2933&lt;&gt;"",E2933&lt;&gt;"!!!"),"NEW","")))</f>
        <v> </v>
      </c>
      <c r="G2933" s="23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4" t="str">
        <f>IF(J2933&lt;&gt;1,"",IF(I2933="SBJ","CB","?"))</f>
        <v> </v>
      </c>
      <c r="I2933" s="25" t="str">
        <f>IF(OR(E2933="",E2933="!!!",F2933="NEW"),"",INDEX(B2932:B$2,-1+SUMPRODUCT(MAX(ROW(E2932:E$2)*(E2933=E2932:E$2)))))</f>
        <v> </v>
      </c>
      <c r="J2933" s="25" t="str">
        <f>IF(OR(E2933="",E2933="!!!",F2933="NEW"),"",COUNTBLANK(OFFSET(A$1,,,SUMPRODUCT(MAX(ROW(E$2:E2933)*(E2933=E$2:E2933)))))-COUNTBLANK(OFFSET(A$1,,,SUMPRODUCT(MAX(ROW(E$1:E2932)*(E2=E$1:E2932))))))</f>
        <v> </v>
      </c>
      <c r="K2933" s="25" t="str">
        <f>IF(OR(E2933="",E2933="!!!",F2933="NEW"),"",INDEX(J$1:J2932,SUMPRODUCT(MAX(ROW(E$1:E2932)*(E2933=E$1:E2932)))))</f>
        <v> </v>
      </c>
      <c r="L2933" s="26"/>
    </row>
    <row r="2934" spans="1:12">
      <c r="A2934" s="20" t="s">
        <v>1025</v>
      </c>
      <c r="E2934" s="21">
        <f>IF(D2934="?OLD","!!!","")</f>
        <v/>
      </c>
      <c r="F2934" s="22" t="str">
        <f>IF(OR(E2934="",E2934="!!!"),"",IF(NOT(ISNA(VLOOKUP(E2934,E$1:E2933,1,FALSE()))),"OLD",IF(AND(E2934&lt;&gt;"",E2934&lt;&gt;"!!!"),"NEW","")))</f>
        <v> </v>
      </c>
      <c r="G2934" s="23" t="str">
        <f>IF(OR(E2934="",E2934="!!!"),"",IF(OR(J2934=0,AND(J2934=1,K2934=1),AND(J2934=1,I2934="SBJ"),AND(J2934=1,I2934=0)),"?IN_FOCUS",IF(J2934&lt;=2,"?ACTIVATED",IF(J2934&lt;&gt;"","?FAMILIAR",IF(F2934="NEW",IF(ISNA(VLOOKUP(E2934,#REF!,1,FALSE())),"?TYPE_IDENTIFIABLE","?REFERENTIAL"),"_")))))</f>
        <v> </v>
      </c>
      <c r="H2934" s="24" t="str">
        <f>IF(J2934&lt;&gt;1,"",IF(I2934="SBJ","CB","?"))</f>
        <v> </v>
      </c>
      <c r="I2934" s="25" t="str">
        <f>IF(OR(E2934="",E2934="!!!",F2934="NEW"),"",INDEX(B2933:B$2,-1+SUMPRODUCT(MAX(ROW(E2933:E$2)*(E2934=E2933:E$2)))))</f>
        <v> </v>
      </c>
      <c r="J2934" s="25" t="str">
        <f>IF(OR(E2934="",E2934="!!!",F2934="NEW"),"",COUNTBLANK(OFFSET(A$1,,,SUMPRODUCT(MAX(ROW(E$2:E2934)*(E2934=E$2:E2934)))))-COUNTBLANK(OFFSET(A$1,,,SUMPRODUCT(MAX(ROW(E$1:E2933)*(E2=E$1:E2933))))))</f>
        <v> </v>
      </c>
      <c r="K2934" s="25" t="str">
        <f>IF(OR(E2934="",E2934="!!!",F2934="NEW"),"",INDEX(J$1:J2933,SUMPRODUCT(MAX(ROW(E$1:E2933)*(E2934=E$1:E2933)))))</f>
        <v> </v>
      </c>
      <c r="L2934" s="26"/>
    </row>
    <row r="2935" spans="1:12">
      <c r="A2935" s="20" t="s">
        <v>2062</v>
      </c>
      <c r="B2935" s="27" t="s">
        <v>1079</v>
      </c>
      <c r="C2935" s="27" t="s">
        <v>1033</v>
      </c>
      <c r="D2935" s="27" t="s">
        <v>1030</v>
      </c>
      <c r="E2935" s="21">
        <f>IF(D2935="?OLD","!!!","")</f>
        <v/>
      </c>
      <c r="F2935" s="22" t="str">
        <f>IF(OR(E2935="",E2935="!!!"),"",IF(NOT(ISNA(VLOOKUP(E2935,E$1:E2934,1,FALSE()))),"OLD",IF(AND(E2935&lt;&gt;"",E2935&lt;&gt;"!!!"),"NEW","")))</f>
        <v> </v>
      </c>
      <c r="G2935" s="23" t="str">
        <f>IF(OR(E2935="",E2935="!!!"),"",IF(OR(J2935=0,AND(J2935=1,K2935=1),AND(J2935=1,I2935="SBJ"),AND(J2935=1,I2935=0)),"?IN_FOCUS",IF(J2935&lt;=2,"?ACTIVATED",IF(J2935&lt;&gt;"","?FAMILIAR",IF(F2935="NEW",IF(ISNA(VLOOKUP(E2935,#REF!,1,FALSE())),"?TYPE_IDENTIFIABLE","?REFERENTIAL"),"_")))))</f>
        <v> </v>
      </c>
      <c r="H2935" s="24" t="str">
        <f>IF(J2935&lt;&gt;1,"",IF(I2935="SBJ","CB","?"))</f>
        <v> </v>
      </c>
      <c r="I2935" s="25" t="str">
        <f>IF(OR(E2935="",E2935="!!!",F2935="NEW"),"",INDEX(B2934:B$2,-1+SUMPRODUCT(MAX(ROW(E2934:E$2)*(E2935=E2934:E$2)))))</f>
        <v> </v>
      </c>
      <c r="J2935" s="25" t="str">
        <f>IF(OR(E2935="",E2935="!!!",F2935="NEW"),"",COUNTBLANK(OFFSET(A$1,,,SUMPRODUCT(MAX(ROW(E$2:E2935)*(E2935=E$2:E2935)))))-COUNTBLANK(OFFSET(A$1,,,SUMPRODUCT(MAX(ROW(E$1:E2934)*(E2=E$1:E2934))))))</f>
        <v> </v>
      </c>
      <c r="K2935" s="25" t="str">
        <f>IF(OR(E2935="",E2935="!!!",F2935="NEW"),"",INDEX(J$1:J2934,SUMPRODUCT(MAX(ROW(E$1:E2934)*(E2935=E$1:E2934)))))</f>
        <v> </v>
      </c>
      <c r="L2935" s="26"/>
    </row>
    <row r="2936" spans="1:12">
      <c r="A2936" s="20" t="s">
        <v>2063</v>
      </c>
      <c r="B2936" s="27" t="s">
        <v>1066</v>
      </c>
      <c r="C2936" s="27" t="s">
        <v>1033</v>
      </c>
      <c r="D2936" s="27" t="s">
        <v>1030</v>
      </c>
      <c r="E2936" s="21">
        <f>IF(D2936="?OLD","!!!","")</f>
        <v/>
      </c>
      <c r="F2936" s="22" t="str">
        <f>IF(OR(E2936="",E2936="!!!"),"",IF(NOT(ISNA(VLOOKUP(E2936,E$1:E2935,1,FALSE()))),"OLD",IF(AND(E2936&lt;&gt;"",E2936&lt;&gt;"!!!"),"NEW","")))</f>
        <v> </v>
      </c>
      <c r="G2936" s="23" t="str">
        <f>IF(OR(E2936="",E2936="!!!"),"",IF(OR(J2936=0,AND(J2936=1,K2936=1),AND(J2936=1,I2936="SBJ"),AND(J2936=1,I2936=0)),"?IN_FOCUS",IF(J2936&lt;=2,"?ACTIVATED",IF(J2936&lt;&gt;"","?FAMILIAR",IF(F2936="NEW",IF(ISNA(VLOOKUP(E2936,#REF!,1,FALSE())),"?TYPE_IDENTIFIABLE","?REFERENTIAL"),"_")))))</f>
        <v> </v>
      </c>
      <c r="H2936" s="24" t="str">
        <f>IF(J2936&lt;&gt;1,"",IF(I2936="SBJ","CB","?"))</f>
        <v> </v>
      </c>
      <c r="I2936" s="25" t="str">
        <f>IF(OR(E2936="",E2936="!!!",F2936="NEW"),"",INDEX(B2935:B$2,-1+SUMPRODUCT(MAX(ROW(E2935:E$2)*(E2936=E2935:E$2)))))</f>
        <v> </v>
      </c>
      <c r="J2936" s="25" t="str">
        <f>IF(OR(E2936="",E2936="!!!",F2936="NEW"),"",COUNTBLANK(OFFSET(A$1,,,SUMPRODUCT(MAX(ROW(E$2:E2936)*(E2936=E$2:E2936)))))-COUNTBLANK(OFFSET(A$1,,,SUMPRODUCT(MAX(ROW(E$1:E2935)*(E2=E$1:E2935))))))</f>
        <v> </v>
      </c>
      <c r="K2936" s="25" t="str">
        <f>IF(OR(E2936="",E2936="!!!",F2936="NEW"),"",INDEX(J$1:J2935,SUMPRODUCT(MAX(ROW(E$1:E2935)*(E2936=E$1:E2935)))))</f>
        <v> </v>
      </c>
      <c r="L2936" s="26"/>
    </row>
    <row r="2937" spans="1:12">
      <c r="A2937" s="20" t="s">
        <v>135</v>
      </c>
      <c r="E2937" s="21">
        <f>IF(D2937="?OLD","!!!","")</f>
        <v/>
      </c>
      <c r="F2937" s="22" t="str">
        <f>IF(OR(E2937="",E2937="!!!"),"",IF(NOT(ISNA(VLOOKUP(E2937,E$1:E2936,1,FALSE()))),"OLD",IF(AND(E2937&lt;&gt;"",E2937&lt;&gt;"!!!"),"NEW","")))</f>
        <v> </v>
      </c>
      <c r="G2937" s="23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4" t="str">
        <f>IF(J2937&lt;&gt;1,"",IF(I2937="SBJ","CB","?"))</f>
        <v> </v>
      </c>
      <c r="I2937" s="25" t="str">
        <f>IF(OR(E2937="",E2937="!!!",F2937="NEW"),"",INDEX(B2936:B$2,-1+SUMPRODUCT(MAX(ROW(E2936:E$2)*(E2937=E2936:E$2)))))</f>
        <v> </v>
      </c>
      <c r="J2937" s="25" t="str">
        <f>IF(OR(E2937="",E2937="!!!",F2937="NEW"),"",COUNTBLANK(OFFSET(A$1,,,SUMPRODUCT(MAX(ROW(E$2:E2937)*(E2937=E$2:E2937)))))-COUNTBLANK(OFFSET(A$1,,,SUMPRODUCT(MAX(ROW(E$1:E2936)*(E2=E$1:E2936))))))</f>
        <v> </v>
      </c>
      <c r="K2937" s="25" t="str">
        <f>IF(OR(E2937="",E2937="!!!",F2937="NEW"),"",INDEX(J$1:J2936,SUMPRODUCT(MAX(ROW(E$1:E2936)*(E2937=E$1:E2936)))))</f>
        <v> </v>
      </c>
      <c r="L2937" s="26"/>
    </row>
    <row r="2938" spans="1:12">
      <c r="A2938" s="20"/>
    </row>
    <row r="2939" spans="1:12">
      <c r="A2939" s="20" t="s">
        <v>2064</v>
      </c>
    </row>
    <row r="2940" spans="1:12">
      <c r="A2940" s="20" t="s">
        <v>1224</v>
      </c>
      <c r="E2940" s="21">
        <f>IF(D2940="?OLD","!!!","")</f>
        <v/>
      </c>
      <c r="F2940" s="22" t="str">
        <f>IF(OR(E2940="",E2940="!!!"),"",IF(NOT(ISNA(VLOOKUP(E2940,E$1:E2939,1,FALSE()))),"OLD",IF(AND(E2940&lt;&gt;"",E2940&lt;&gt;"!!!"),"NEW","")))</f>
        <v> </v>
      </c>
      <c r="G2940" s="23" t="str">
        <f>IF(OR(E2940="",E2940="!!!"),"",IF(OR(J2940=0,AND(J2940=1,K2940=1),AND(J2940=1,I2940="SBJ"),AND(J2940=1,I2940=0)),"?IN_FOCUS",IF(J2940&lt;=2,"?ACTIVATED",IF(J2940&lt;&gt;"","?FAMILIAR",IF(F2940="NEW",IF(ISNA(VLOOKUP(E2940,#REF!,1,FALSE())),"?TYPE_IDENTIFIABLE","?REFERENTIAL"),"_")))))</f>
        <v> </v>
      </c>
      <c r="H2940" s="24" t="str">
        <f>IF(J2940&lt;&gt;1,"",IF(I2940="SBJ","CB","?"))</f>
        <v> </v>
      </c>
      <c r="I2940" s="25" t="str">
        <f>IF(OR(E2940="",E2940="!!!",F2940="NEW"),"",INDEX(B2939:B$2,-1+SUMPRODUCT(MAX(ROW(E2939:E$2)*(E2940=E2939:E$2)))))</f>
        <v> </v>
      </c>
      <c r="J2940" s="25" t="str">
        <f>IF(OR(E2940="",E2940="!!!",F2940="NEW"),"",COUNTBLANK(OFFSET(A$1,,,SUMPRODUCT(MAX(ROW(E$2:E2940)*(E2940=E$2:E2940)))))-COUNTBLANK(OFFSET(A$1,,,SUMPRODUCT(MAX(ROW(E$1:E2939)*(E2=E$1:E2939))))))</f>
        <v> </v>
      </c>
      <c r="K2940" s="25" t="str">
        <f>IF(OR(E2940="",E2940="!!!",F2940="NEW"),"",INDEX(J$1:J2939,SUMPRODUCT(MAX(ROW(E$1:E2939)*(E2940=E$1:E2939)))))</f>
        <v> </v>
      </c>
      <c r="L2940" s="26"/>
    </row>
    <row r="2941" spans="1:12">
      <c r="A2941" s="20" t="s">
        <v>1221</v>
      </c>
      <c r="E2941" s="21">
        <f>IF(D2941="?OLD","!!!","")</f>
        <v/>
      </c>
      <c r="F2941" s="22" t="str">
        <f>IF(OR(E2941="",E2941="!!!"),"",IF(NOT(ISNA(VLOOKUP(E2941,E$1:E2940,1,FALSE()))),"OLD",IF(AND(E2941&lt;&gt;"",E2941&lt;&gt;"!!!"),"NEW","")))</f>
        <v> </v>
      </c>
      <c r="G2941" s="23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4" t="str">
        <f>IF(J2941&lt;&gt;1,"",IF(I2941="SBJ","CB","?"))</f>
        <v> </v>
      </c>
      <c r="I2941" s="25" t="str">
        <f>IF(OR(E2941="",E2941="!!!",F2941="NEW"),"",INDEX(B2940:B$2,-1+SUMPRODUCT(MAX(ROW(E2940:E$2)*(E2941=E2940:E$2)))))</f>
        <v> </v>
      </c>
      <c r="J2941" s="25" t="str">
        <f>IF(OR(E2941="",E2941="!!!",F2941="NEW"),"",COUNTBLANK(OFFSET(A$1,,,SUMPRODUCT(MAX(ROW(E$2:E2941)*(E2941=E$2:E2941)))))-COUNTBLANK(OFFSET(A$1,,,SUMPRODUCT(MAX(ROW(E$1:E2940)*(E2=E$1:E2940))))))</f>
        <v> </v>
      </c>
      <c r="K2941" s="25" t="str">
        <f>IF(OR(E2941="",E2941="!!!",F2941="NEW"),"",INDEX(J$1:J2940,SUMPRODUCT(MAX(ROW(E$1:E2940)*(E2941=E$1:E2940)))))</f>
        <v> </v>
      </c>
      <c r="L2941" s="26"/>
    </row>
    <row r="2942" spans="1:12">
      <c r="A2942" s="20" t="s">
        <v>1789</v>
      </c>
      <c r="B2942" s="27" t="s">
        <v>1069</v>
      </c>
      <c r="E2942" s="21">
        <f>IF(D2942="?OLD","!!!","")</f>
        <v/>
      </c>
      <c r="F2942" s="22" t="str">
        <f>IF(OR(E2942="",E2942="!!!"),"",IF(NOT(ISNA(VLOOKUP(E2942,E$1:E2941,1,FALSE()))),"OLD",IF(AND(E2942&lt;&gt;"",E2942&lt;&gt;"!!!"),"NEW","")))</f>
        <v> </v>
      </c>
      <c r="G2942" s="23" t="str">
        <f>IF(OR(E2942="",E2942="!!!"),"",IF(OR(J2942=0,AND(J2942=1,K2942=1),AND(J2942=1,I2942="SBJ"),AND(J2942=1,I2942=0)),"?IN_FOCUS",IF(J2942&lt;=2,"?ACTIVATED",IF(J2942&lt;&gt;"","?FAMILIAR",IF(F2942="NEW",IF(ISNA(VLOOKUP(E2942,#REF!,1,FALSE())),"?TYPE_IDENTIFIABLE","?REFERENTIAL"),"_")))))</f>
        <v> </v>
      </c>
      <c r="H2942" s="24" t="str">
        <f>IF(J2942&lt;&gt;1,"",IF(I2942="SBJ","CB","?"))</f>
        <v> </v>
      </c>
      <c r="I2942" s="25" t="str">
        <f>IF(OR(E2942="",E2942="!!!",F2942="NEW"),"",INDEX(B2941:B$2,-1+SUMPRODUCT(MAX(ROW(E2941:E$2)*(E2942=E2941:E$2)))))</f>
        <v> </v>
      </c>
      <c r="J2942" s="25" t="str">
        <f>IF(OR(E2942="",E2942="!!!",F2942="NEW"),"",COUNTBLANK(OFFSET(A$1,,,SUMPRODUCT(MAX(ROW(E$2:E2942)*(E2942=E$2:E2942)))))-COUNTBLANK(OFFSET(A$1,,,SUMPRODUCT(MAX(ROW(E$1:E2941)*(E2=E$1:E2941))))))</f>
        <v> </v>
      </c>
      <c r="K2942" s="25" t="str">
        <f>IF(OR(E2942="",E2942="!!!",F2942="NEW"),"",INDEX(J$1:J2941,SUMPRODUCT(MAX(ROW(E$1:E2941)*(E2942=E$1:E2941)))))</f>
        <v> </v>
      </c>
      <c r="L2942" s="26"/>
    </row>
    <row r="2943" spans="1:12">
      <c r="A2943" s="20" t="s">
        <v>1791</v>
      </c>
      <c r="E2943" s="21">
        <f>IF(D2943="?OLD","!!!","")</f>
        <v/>
      </c>
      <c r="F2943" s="22" t="str">
        <f>IF(OR(E2943="",E2943="!!!"),"",IF(NOT(ISNA(VLOOKUP(E2943,E$1:E2942,1,FALSE()))),"OLD",IF(AND(E2943&lt;&gt;"",E2943&lt;&gt;"!!!"),"NEW","")))</f>
        <v> </v>
      </c>
      <c r="G2943" s="23" t="str">
        <f>IF(OR(E2943="",E2943="!!!"),"",IF(OR(J2943=0,AND(J2943=1,K2943=1),AND(J2943=1,I2943="SBJ"),AND(J2943=1,I2943=0)),"?IN_FOCUS",IF(J2943&lt;=2,"?ACTIVATED",IF(J2943&lt;&gt;"","?FAMILIAR",IF(F2943="NEW",IF(ISNA(VLOOKUP(E2943,#REF!,1,FALSE())),"?TYPE_IDENTIFIABLE","?REFERENTIAL"),"_")))))</f>
        <v> </v>
      </c>
      <c r="H2943" s="24" t="str">
        <f>IF(J2943&lt;&gt;1,"",IF(I2943="SBJ","CB","?"))</f>
        <v> </v>
      </c>
      <c r="I2943" s="25" t="str">
        <f>IF(OR(E2943="",E2943="!!!",F2943="NEW"),"",INDEX(B2942:B$2,-1+SUMPRODUCT(MAX(ROW(E2942:E$2)*(E2943=E2942:E$2)))))</f>
        <v> </v>
      </c>
      <c r="J2943" s="25" t="str">
        <f>IF(OR(E2943="",E2943="!!!",F2943="NEW"),"",COUNTBLANK(OFFSET(A$1,,,SUMPRODUCT(MAX(ROW(E$2:E2943)*(E2943=E$2:E2943)))))-COUNTBLANK(OFFSET(A$1,,,SUMPRODUCT(MAX(ROW(E$1:E2942)*(E2=E$1:E2942))))))</f>
        <v> </v>
      </c>
      <c r="K2943" s="25" t="str">
        <f>IF(OR(E2943="",E2943="!!!",F2943="NEW"),"",INDEX(J$1:J2942,SUMPRODUCT(MAX(ROW(E$1:E2942)*(E2943=E$1:E2942)))))</f>
        <v> </v>
      </c>
      <c r="L2943" s="26"/>
    </row>
    <row r="2944" spans="1:12">
      <c r="A2944" s="20" t="s">
        <v>1016</v>
      </c>
      <c r="E2944" s="21">
        <f>IF(D2944="?OLD","!!!","")</f>
        <v/>
      </c>
      <c r="F2944" s="22" t="str">
        <f>IF(OR(E2944="",E2944="!!!"),"",IF(NOT(ISNA(VLOOKUP(E2944,E$1:E2943,1,FALSE()))),"OLD",IF(AND(E2944&lt;&gt;"",E2944&lt;&gt;"!!!"),"NEW","")))</f>
        <v> </v>
      </c>
      <c r="G2944" s="23" t="str">
        <f>IF(OR(E2944="",E2944="!!!"),"",IF(OR(J2944=0,AND(J2944=1,K2944=1),AND(J2944=1,I2944="SBJ"),AND(J2944=1,I2944=0)),"?IN_FOCUS",IF(J2944&lt;=2,"?ACTIVATED",IF(J2944&lt;&gt;"","?FAMILIAR",IF(F2944="NEW",IF(ISNA(VLOOKUP(E2944,#REF!,1,FALSE())),"?TYPE_IDENTIFIABLE","?REFERENTIAL"),"_")))))</f>
        <v> </v>
      </c>
      <c r="H2944" s="24" t="str">
        <f>IF(J2944&lt;&gt;1,"",IF(I2944="SBJ","CB","?"))</f>
        <v> </v>
      </c>
      <c r="I2944" s="25" t="str">
        <f>IF(OR(E2944="",E2944="!!!",F2944="NEW"),"",INDEX(B2943:B$2,-1+SUMPRODUCT(MAX(ROW(E2943:E$2)*(E2944=E2943:E$2)))))</f>
        <v> </v>
      </c>
      <c r="J2944" s="25" t="str">
        <f>IF(OR(E2944="",E2944="!!!",F2944="NEW"),"",COUNTBLANK(OFFSET(A$1,,,SUMPRODUCT(MAX(ROW(E$2:E2944)*(E2944=E$2:E2944)))))-COUNTBLANK(OFFSET(A$1,,,SUMPRODUCT(MAX(ROW(E$1:E2943)*(E2=E$1:E2943))))))</f>
        <v> </v>
      </c>
      <c r="K2944" s="25" t="str">
        <f>IF(OR(E2944="",E2944="!!!",F2944="NEW"),"",INDEX(J$1:J2943,SUMPRODUCT(MAX(ROW(E$1:E2943)*(E2944=E$1:E2943)))))</f>
        <v> </v>
      </c>
      <c r="L2944" s="26"/>
    </row>
    <row r="2945" spans="1:12">
      <c r="A2945" s="20" t="s">
        <v>1075</v>
      </c>
      <c r="E2945" s="21">
        <f>IF(D2945="?OLD","!!!","")</f>
        <v/>
      </c>
      <c r="F2945" s="22" t="str">
        <f>IF(OR(E2945="",E2945="!!!"),"",IF(NOT(ISNA(VLOOKUP(E2945,E$1:E2944,1,FALSE()))),"OLD",IF(AND(E2945&lt;&gt;"",E2945&lt;&gt;"!!!"),"NEW","")))</f>
        <v> </v>
      </c>
      <c r="G2945" s="23" t="str">
        <f>IF(OR(E2945="",E2945="!!!"),"",IF(OR(J2945=0,AND(J2945=1,K2945=1),AND(J2945=1,I2945="SBJ"),AND(J2945=1,I2945=0)),"?IN_FOCUS",IF(J2945&lt;=2,"?ACTIVATED",IF(J2945&lt;&gt;"","?FAMILIAR",IF(F2945="NEW",IF(ISNA(VLOOKUP(E2945,#REF!,1,FALSE())),"?TYPE_IDENTIFIABLE","?REFERENTIAL"),"_")))))</f>
        <v> </v>
      </c>
      <c r="H2945" s="24" t="str">
        <f>IF(J2945&lt;&gt;1,"",IF(I2945="SBJ","CB","?"))</f>
        <v> </v>
      </c>
      <c r="I2945" s="25" t="str">
        <f>IF(OR(E2945="",E2945="!!!",F2945="NEW"),"",INDEX(B2944:B$2,-1+SUMPRODUCT(MAX(ROW(E2944:E$2)*(E2945=E2944:E$2)))))</f>
        <v> </v>
      </c>
      <c r="J2945" s="25" t="str">
        <f>IF(OR(E2945="",E2945="!!!",F2945="NEW"),"",COUNTBLANK(OFFSET(A$1,,,SUMPRODUCT(MAX(ROW(E$2:E2945)*(E2945=E$2:E2945)))))-COUNTBLANK(OFFSET(A$1,,,SUMPRODUCT(MAX(ROW(E$1:E2944)*(E2=E$1:E2944))))))</f>
        <v> </v>
      </c>
      <c r="K2945" s="25" t="str">
        <f>IF(OR(E2945="",E2945="!!!",F2945="NEW"),"",INDEX(J$1:J2944,SUMPRODUCT(MAX(ROW(E$1:E2944)*(E2945=E$1:E2944)))))</f>
        <v> </v>
      </c>
      <c r="L2945" s="26"/>
    </row>
    <row r="2946" spans="1:12">
      <c r="A2946" s="20" t="s">
        <v>1762</v>
      </c>
      <c r="B2946" s="27" t="s">
        <v>1103</v>
      </c>
      <c r="C2946" s="27" t="s">
        <v>1077</v>
      </c>
      <c r="D2946" s="27" t="s">
        <v>1030</v>
      </c>
      <c r="E2946" s="21">
        <f>IF(D2946="?OLD","!!!","")</f>
        <v/>
      </c>
      <c r="F2946" s="22" t="str">
        <f>IF(OR(E2946="",E2946="!!!"),"",IF(NOT(ISNA(VLOOKUP(E2946,E$1:E2945,1,FALSE()))),"OLD",IF(AND(E2946&lt;&gt;"",E2946&lt;&gt;"!!!"),"NEW","")))</f>
        <v> </v>
      </c>
      <c r="G2946" s="23" t="str">
        <f>IF(OR(E2946="",E2946="!!!"),"",IF(OR(J2946=0,AND(J2946=1,K2946=1),AND(J2946=1,I2946="SBJ"),AND(J2946=1,I2946=0)),"?IN_FOCUS",IF(J2946&lt;=2,"?ACTIVATED",IF(J2946&lt;&gt;"","?FAMILIAR",IF(F2946="NEW",IF(ISNA(VLOOKUP(E2946,#REF!,1,FALSE())),"?TYPE_IDENTIFIABLE","?REFERENTIAL"),"_")))))</f>
        <v> </v>
      </c>
      <c r="H2946" s="24" t="str">
        <f>IF(J2946&lt;&gt;1,"",IF(I2946="SBJ","CB","?"))</f>
        <v> </v>
      </c>
      <c r="I2946" s="25" t="str">
        <f>IF(OR(E2946="",E2946="!!!",F2946="NEW"),"",INDEX(B2945:B$2,-1+SUMPRODUCT(MAX(ROW(E2945:E$2)*(E2946=E2945:E$2)))))</f>
        <v> </v>
      </c>
      <c r="J2946" s="25" t="str">
        <f>IF(OR(E2946="",E2946="!!!",F2946="NEW"),"",COUNTBLANK(OFFSET(A$1,,,SUMPRODUCT(MAX(ROW(E$2:E2946)*(E2946=E$2:E2946)))))-COUNTBLANK(OFFSET(A$1,,,SUMPRODUCT(MAX(ROW(E$1:E2945)*(E2=E$1:E2945))))))</f>
        <v> </v>
      </c>
      <c r="K2946" s="25" t="str">
        <f>IF(OR(E2946="",E2946="!!!",F2946="NEW"),"",INDEX(J$1:J2945,SUMPRODUCT(MAX(ROW(E$1:E2945)*(E2946=E$1:E2945)))))</f>
        <v> </v>
      </c>
      <c r="L2946" s="26"/>
    </row>
    <row r="2947" spans="1:12">
      <c r="A2947" s="20" t="s">
        <v>2065</v>
      </c>
      <c r="B2947" s="27" t="s">
        <v>1066</v>
      </c>
      <c r="C2947" s="27" t="s">
        <v>1038</v>
      </c>
      <c r="D2947" s="27" t="s">
        <v>1030</v>
      </c>
      <c r="E2947" s="21">
        <f>IF(D2947="?OLD","!!!","")</f>
        <v/>
      </c>
      <c r="F2947" s="22" t="str">
        <f>IF(OR(E2947="",E2947="!!!"),"",IF(NOT(ISNA(VLOOKUP(E2947,E$1:E2946,1,FALSE()))),"OLD",IF(AND(E2947&lt;&gt;"",E2947&lt;&gt;"!!!"),"NEW","")))</f>
        <v> </v>
      </c>
      <c r="G2947" s="23" t="str">
        <f>IF(OR(E2947="",E2947="!!!"),"",IF(OR(J2947=0,AND(J2947=1,K2947=1),AND(J2947=1,I2947="SBJ"),AND(J2947=1,I2947=0)),"?IN_FOCUS",IF(J2947&lt;=2,"?ACTIVATED",IF(J2947&lt;&gt;"","?FAMILIAR",IF(F2947="NEW",IF(ISNA(VLOOKUP(E2947,#REF!,1,FALSE())),"?TYPE_IDENTIFIABLE","?REFERENTIAL"),"_")))))</f>
        <v> </v>
      </c>
      <c r="H2947" s="24" t="str">
        <f>IF(J2947&lt;&gt;1,"",IF(I2947="SBJ","CB","?"))</f>
        <v> </v>
      </c>
      <c r="I2947" s="25" t="str">
        <f>IF(OR(E2947="",E2947="!!!",F2947="NEW"),"",INDEX(B2946:B$2,-1+SUMPRODUCT(MAX(ROW(E2946:E$2)*(E2947=E2946:E$2)))))</f>
        <v> </v>
      </c>
      <c r="J2947" s="25" t="str">
        <f>IF(OR(E2947="",E2947="!!!",F2947="NEW"),"",COUNTBLANK(OFFSET(A$1,,,SUMPRODUCT(MAX(ROW(E$2:E2947)*(E2947=E$2:E2947)))))-COUNTBLANK(OFFSET(A$1,,,SUMPRODUCT(MAX(ROW(E$1:E2946)*(E2=E$1:E2946))))))</f>
        <v> </v>
      </c>
      <c r="K2947" s="25" t="str">
        <f>IF(OR(E2947="",E2947="!!!",F2947="NEW"),"",INDEX(J$1:J2946,SUMPRODUCT(MAX(ROW(E$1:E2946)*(E2947=E$1:E2946)))))</f>
        <v> </v>
      </c>
      <c r="L2947" s="26"/>
    </row>
    <row r="2948" spans="1:12">
      <c r="A2948" s="20" t="s">
        <v>2066</v>
      </c>
      <c r="E2948" s="21">
        <f>IF(D2948="?OLD","!!!","")</f>
        <v/>
      </c>
      <c r="F2948" s="22" t="str">
        <f>IF(OR(E2948="",E2948="!!!"),"",IF(NOT(ISNA(VLOOKUP(E2948,E$1:E2947,1,FALSE()))),"OLD",IF(AND(E2948&lt;&gt;"",E2948&lt;&gt;"!!!"),"NEW","")))</f>
        <v> </v>
      </c>
      <c r="G2948" s="23" t="str">
        <f>IF(OR(E2948="",E2948="!!!"),"",IF(OR(J2948=0,AND(J2948=1,K2948=1),AND(J2948=1,I2948="SBJ"),AND(J2948=1,I2948=0)),"?IN_FOCUS",IF(J2948&lt;=2,"?ACTIVATED",IF(J2948&lt;&gt;"","?FAMILIAR",IF(F2948="NEW",IF(ISNA(VLOOKUP(E2948,#REF!,1,FALSE())),"?TYPE_IDENTIFIABLE","?REFERENTIAL"),"_")))))</f>
        <v> </v>
      </c>
      <c r="H2948" s="24" t="str">
        <f>IF(J2948&lt;&gt;1,"",IF(I2948="SBJ","CB","?"))</f>
        <v> </v>
      </c>
      <c r="I2948" s="25" t="str">
        <f>IF(OR(E2948="",E2948="!!!",F2948="NEW"),"",INDEX(B2947:B$2,-1+SUMPRODUCT(MAX(ROW(E2947:E$2)*(E2948=E2947:E$2)))))</f>
        <v> </v>
      </c>
      <c r="J2948" s="25" t="str">
        <f>IF(OR(E2948="",E2948="!!!",F2948="NEW"),"",COUNTBLANK(OFFSET(A$1,,,SUMPRODUCT(MAX(ROW(E$2:E2948)*(E2948=E$2:E2948)))))-COUNTBLANK(OFFSET(A$1,,,SUMPRODUCT(MAX(ROW(E$1:E2947)*(E2=E$1:E2947))))))</f>
        <v> </v>
      </c>
      <c r="K2948" s="25" t="str">
        <f>IF(OR(E2948="",E2948="!!!",F2948="NEW"),"",INDEX(J$1:J2947,SUMPRODUCT(MAX(ROW(E$1:E2947)*(E2948=E$1:E2947)))))</f>
        <v> </v>
      </c>
      <c r="L2948" s="26"/>
    </row>
    <row r="2949" spans="1:12">
      <c r="A2949" s="20" t="s">
        <v>1074</v>
      </c>
      <c r="E2949" s="21">
        <f>IF(D2949="?OLD","!!!","")</f>
        <v/>
      </c>
      <c r="F2949" s="22" t="str">
        <f>IF(OR(E2949="",E2949="!!!"),"",IF(NOT(ISNA(VLOOKUP(E2949,E$1:E2948,1,FALSE()))),"OLD",IF(AND(E2949&lt;&gt;"",E2949&lt;&gt;"!!!"),"NEW","")))</f>
        <v> </v>
      </c>
      <c r="G2949" s="23" t="str">
        <f>IF(OR(E2949="",E2949="!!!"),"",IF(OR(J2949=0,AND(J2949=1,K2949=1),AND(J2949=1,I2949="SBJ"),AND(J2949=1,I2949=0)),"?IN_FOCUS",IF(J2949&lt;=2,"?ACTIVATED",IF(J2949&lt;&gt;"","?FAMILIAR",IF(F2949="NEW",IF(ISNA(VLOOKUP(E2949,#REF!,1,FALSE())),"?TYPE_IDENTIFIABLE","?REFERENTIAL"),"_")))))</f>
        <v> </v>
      </c>
      <c r="H2949" s="24" t="str">
        <f>IF(J2949&lt;&gt;1,"",IF(I2949="SBJ","CB","?"))</f>
        <v> </v>
      </c>
      <c r="I2949" s="25" t="str">
        <f>IF(OR(E2949="",E2949="!!!",F2949="NEW"),"",INDEX(B2948:B$2,-1+SUMPRODUCT(MAX(ROW(E2948:E$2)*(E2949=E2948:E$2)))))</f>
        <v> </v>
      </c>
      <c r="J2949" s="25" t="str">
        <f>IF(OR(E2949="",E2949="!!!",F2949="NEW"),"",COUNTBLANK(OFFSET(A$1,,,SUMPRODUCT(MAX(ROW(E$2:E2949)*(E2949=E$2:E2949)))))-COUNTBLANK(OFFSET(A$1,,,SUMPRODUCT(MAX(ROW(E$1:E2948)*(E2=E$1:E2948))))))</f>
        <v> </v>
      </c>
      <c r="K2949" s="25" t="str">
        <f>IF(OR(E2949="",E2949="!!!",F2949="NEW"),"",INDEX(J$1:J2948,SUMPRODUCT(MAX(ROW(E$1:E2948)*(E2949=E$1:E2948)))))</f>
        <v> </v>
      </c>
      <c r="L2949" s="26"/>
    </row>
    <row r="2950" spans="1:12">
      <c r="A2950" s="20" t="s">
        <v>489</v>
      </c>
      <c r="E2950" s="21">
        <f>IF(D2950="?OLD","!!!","")</f>
        <v/>
      </c>
      <c r="F2950" s="22" t="str">
        <f>IF(OR(E2950="",E2950="!!!"),"",IF(NOT(ISNA(VLOOKUP(E2950,E$1:E2949,1,FALSE()))),"OLD",IF(AND(E2950&lt;&gt;"",E2950&lt;&gt;"!!!"),"NEW","")))</f>
        <v> </v>
      </c>
      <c r="G2950" s="23" t="str">
        <f>IF(OR(E2950="",E2950="!!!"),"",IF(OR(J2950=0,AND(J2950=1,K2950=1),AND(J2950=1,I2950="SBJ"),AND(J2950=1,I2950=0)),"?IN_FOCUS",IF(J2950&lt;=2,"?ACTIVATED",IF(J2950&lt;&gt;"","?FAMILIAR",IF(F2950="NEW",IF(ISNA(VLOOKUP(E2950,#REF!,1,FALSE())),"?TYPE_IDENTIFIABLE","?REFERENTIAL"),"_")))))</f>
        <v> </v>
      </c>
      <c r="H2950" s="24" t="str">
        <f>IF(J2950&lt;&gt;1,"",IF(I2950="SBJ","CB","?"))</f>
        <v> </v>
      </c>
      <c r="I2950" s="25" t="str">
        <f>IF(OR(E2950="",E2950="!!!",F2950="NEW"),"",INDEX(B2949:B$2,-1+SUMPRODUCT(MAX(ROW(E2949:E$2)*(E2950=E2949:E$2)))))</f>
        <v> </v>
      </c>
      <c r="J2950" s="25" t="str">
        <f>IF(OR(E2950="",E2950="!!!",F2950="NEW"),"",COUNTBLANK(OFFSET(A$1,,,SUMPRODUCT(MAX(ROW(E$2:E2950)*(E2950=E$2:E2950)))))-COUNTBLANK(OFFSET(A$1,,,SUMPRODUCT(MAX(ROW(E$1:E2949)*(E2=E$1:E2949))))))</f>
        <v> </v>
      </c>
      <c r="K2950" s="25" t="str">
        <f>IF(OR(E2950="",E2950="!!!",F2950="NEW"),"",INDEX(J$1:J2949,SUMPRODUCT(MAX(ROW(E$1:E2949)*(E2950=E$1:E2949)))))</f>
        <v> </v>
      </c>
      <c r="L2950" s="26"/>
    </row>
    <row r="2951" spans="1:12">
      <c r="A2951" s="20" t="s">
        <v>1094</v>
      </c>
      <c r="E2951" s="21">
        <f>IF(D2951="?OLD","!!!","")</f>
        <v/>
      </c>
      <c r="F2951" s="22" t="str">
        <f>IF(OR(E2951="",E2951="!!!"),"",IF(NOT(ISNA(VLOOKUP(E2951,E$1:E2950,1,FALSE()))),"OLD",IF(AND(E2951&lt;&gt;"",E2951&lt;&gt;"!!!"),"NEW","")))</f>
        <v> </v>
      </c>
      <c r="G2951" s="23" t="str">
        <f>IF(OR(E2951="",E2951="!!!"),"",IF(OR(J2951=0,AND(J2951=1,K2951=1),AND(J2951=1,I2951="SBJ"),AND(J2951=1,I2951=0)),"?IN_FOCUS",IF(J2951&lt;=2,"?ACTIVATED",IF(J2951&lt;&gt;"","?FAMILIAR",IF(F2951="NEW",IF(ISNA(VLOOKUP(E2951,#REF!,1,FALSE())),"?TYPE_IDENTIFIABLE","?REFERENTIAL"),"_")))))</f>
        <v> </v>
      </c>
      <c r="H2951" s="24" t="str">
        <f>IF(J2951&lt;&gt;1,"",IF(I2951="SBJ","CB","?"))</f>
        <v> </v>
      </c>
      <c r="I2951" s="25" t="str">
        <f>IF(OR(E2951="",E2951="!!!",F2951="NEW"),"",INDEX(B2950:B$2,-1+SUMPRODUCT(MAX(ROW(E2950:E$2)*(E2951=E2950:E$2)))))</f>
        <v> </v>
      </c>
      <c r="J2951" s="25" t="str">
        <f>IF(OR(E2951="",E2951="!!!",F2951="NEW"),"",COUNTBLANK(OFFSET(A$1,,,SUMPRODUCT(MAX(ROW(E$2:E2951)*(E2951=E$2:E2951)))))-COUNTBLANK(OFFSET(A$1,,,SUMPRODUCT(MAX(ROW(E$1:E2950)*(E2=E$1:E2950))))))</f>
        <v> </v>
      </c>
      <c r="K2951" s="25" t="str">
        <f>IF(OR(E2951="",E2951="!!!",F2951="NEW"),"",INDEX(J$1:J2950,SUMPRODUCT(MAX(ROW(E$1:E2950)*(E2951=E$1:E2950)))))</f>
        <v> </v>
      </c>
      <c r="L2951" s="26"/>
    </row>
    <row r="2952" spans="1:12">
      <c r="A2952" s="20" t="s">
        <v>2067</v>
      </c>
      <c r="B2952" s="27" t="s">
        <v>1460</v>
      </c>
      <c r="E2952" s="21">
        <f>IF(D2952="?OLD","!!!","")</f>
        <v/>
      </c>
      <c r="F2952" s="22" t="str">
        <f>IF(OR(E2952="",E2952="!!!"),"",IF(NOT(ISNA(VLOOKUP(E2952,E$1:E2951,1,FALSE()))),"OLD",IF(AND(E2952&lt;&gt;"",E2952&lt;&gt;"!!!"),"NEW","")))</f>
        <v> </v>
      </c>
      <c r="G2952" s="23" t="str">
        <f>IF(OR(E2952="",E2952="!!!"),"",IF(OR(J2952=0,AND(J2952=1,K2952=1),AND(J2952=1,I2952="SBJ"),AND(J2952=1,I2952=0)),"?IN_FOCUS",IF(J2952&lt;=2,"?ACTIVATED",IF(J2952&lt;&gt;"","?FAMILIAR",IF(F2952="NEW",IF(ISNA(VLOOKUP(E2952,#REF!,1,FALSE())),"?TYPE_IDENTIFIABLE","?REFERENTIAL"),"_")))))</f>
        <v> </v>
      </c>
      <c r="H2952" s="24" t="str">
        <f>IF(J2952&lt;&gt;1,"",IF(I2952="SBJ","CB","?"))</f>
        <v> </v>
      </c>
      <c r="I2952" s="25" t="str">
        <f>IF(OR(E2952="",E2952="!!!",F2952="NEW"),"",INDEX(B2951:B$2,-1+SUMPRODUCT(MAX(ROW(E2951:E$2)*(E2952=E2951:E$2)))))</f>
        <v> </v>
      </c>
      <c r="J2952" s="25" t="str">
        <f>IF(OR(E2952="",E2952="!!!",F2952="NEW"),"",COUNTBLANK(OFFSET(A$1,,,SUMPRODUCT(MAX(ROW(E$2:E2952)*(E2952=E$2:E2952)))))-COUNTBLANK(OFFSET(A$1,,,SUMPRODUCT(MAX(ROW(E$1:E2951)*(E2=E$1:E2951))))))</f>
        <v> </v>
      </c>
      <c r="K2952" s="25" t="str">
        <f>IF(OR(E2952="",E2952="!!!",F2952="NEW"),"",INDEX(J$1:J2951,SUMPRODUCT(MAX(ROW(E$1:E2951)*(E2952=E$1:E2951)))))</f>
        <v> </v>
      </c>
      <c r="L2952" s="26"/>
    </row>
    <row r="2953" spans="1:12">
      <c r="A2953" s="20" t="s">
        <v>1022</v>
      </c>
      <c r="E2953" s="21">
        <f>IF(D2953="?OLD","!!!","")</f>
        <v/>
      </c>
      <c r="F2953" s="22" t="str">
        <f>IF(OR(E2953="",E2953="!!!"),"",IF(NOT(ISNA(VLOOKUP(E2953,E$1:E2952,1,FALSE()))),"OLD",IF(AND(E2953&lt;&gt;"",E2953&lt;&gt;"!!!"),"NEW","")))</f>
        <v> </v>
      </c>
      <c r="G2953" s="23" t="str">
        <f>IF(OR(E2953="",E2953="!!!"),"",IF(OR(J2953=0,AND(J2953=1,K2953=1),AND(J2953=1,I2953="SBJ"),AND(J2953=1,I2953=0)),"?IN_FOCUS",IF(J2953&lt;=2,"?ACTIVATED",IF(J2953&lt;&gt;"","?FAMILIAR",IF(F2953="NEW",IF(ISNA(VLOOKUP(E2953,#REF!,1,FALSE())),"?TYPE_IDENTIFIABLE","?REFERENTIAL"),"_")))))</f>
        <v> </v>
      </c>
      <c r="H2953" s="24" t="str">
        <f>IF(J2953&lt;&gt;1,"",IF(I2953="SBJ","CB","?"))</f>
        <v> </v>
      </c>
      <c r="I2953" s="25" t="str">
        <f>IF(OR(E2953="",E2953="!!!",F2953="NEW"),"",INDEX(B2952:B$2,-1+SUMPRODUCT(MAX(ROW(E2952:E$2)*(E2953=E2952:E$2)))))</f>
        <v> </v>
      </c>
      <c r="J2953" s="25" t="str">
        <f>IF(OR(E2953="",E2953="!!!",F2953="NEW"),"",COUNTBLANK(OFFSET(A$1,,,SUMPRODUCT(MAX(ROW(E$2:E2953)*(E2953=E$2:E2953)))))-COUNTBLANK(OFFSET(A$1,,,SUMPRODUCT(MAX(ROW(E$1:E2952)*(E2=E$1:E2952))))))</f>
        <v> </v>
      </c>
      <c r="K2953" s="25" t="str">
        <f>IF(OR(E2953="",E2953="!!!",F2953="NEW"),"",INDEX(J$1:J2952,SUMPRODUCT(MAX(ROW(E$1:E2952)*(E2953=E$1:E2952)))))</f>
        <v> </v>
      </c>
      <c r="L2953" s="26"/>
    </row>
    <row r="2954" spans="1:12">
      <c r="A2954" s="20" t="s">
        <v>2068</v>
      </c>
      <c r="E2954" s="21">
        <f>IF(D2954="?OLD","!!!","")</f>
        <v/>
      </c>
      <c r="F2954" s="22" t="str">
        <f>IF(OR(E2954="",E2954="!!!"),"",IF(NOT(ISNA(VLOOKUP(E2954,E$1:E2953,1,FALSE()))),"OLD",IF(AND(E2954&lt;&gt;"",E2954&lt;&gt;"!!!"),"NEW","")))</f>
        <v> </v>
      </c>
      <c r="G2954" s="23" t="str">
        <f>IF(OR(E2954="",E2954="!!!"),"",IF(OR(J2954=0,AND(J2954=1,K2954=1),AND(J2954=1,I2954="SBJ"),AND(J2954=1,I2954=0)),"?IN_FOCUS",IF(J2954&lt;=2,"?ACTIVATED",IF(J2954&lt;&gt;"","?FAMILIAR",IF(F2954="NEW",IF(ISNA(VLOOKUP(E2954,#REF!,1,FALSE())),"?TYPE_IDENTIFIABLE","?REFERENTIAL"),"_")))))</f>
        <v> </v>
      </c>
      <c r="H2954" s="24" t="str">
        <f>IF(J2954&lt;&gt;1,"",IF(I2954="SBJ","CB","?"))</f>
        <v> </v>
      </c>
      <c r="I2954" s="25" t="str">
        <f>IF(OR(E2954="",E2954="!!!",F2954="NEW"),"",INDEX(B2953:B$2,-1+SUMPRODUCT(MAX(ROW(E2953:E$2)*(E2954=E2953:E$2)))))</f>
        <v> </v>
      </c>
      <c r="J2954" s="25" t="str">
        <f>IF(OR(E2954="",E2954="!!!",F2954="NEW"),"",COUNTBLANK(OFFSET(A$1,,,SUMPRODUCT(MAX(ROW(E$2:E2954)*(E2954=E$2:E2954)))))-COUNTBLANK(OFFSET(A$1,,,SUMPRODUCT(MAX(ROW(E$1:E2953)*(E2=E$1:E2953))))))</f>
        <v> </v>
      </c>
      <c r="K2954" s="25" t="str">
        <f>IF(OR(E2954="",E2954="!!!",F2954="NEW"),"",INDEX(J$1:J2953,SUMPRODUCT(MAX(ROW(E$1:E2953)*(E2954=E$1:E2953)))))</f>
        <v> </v>
      </c>
      <c r="L2954" s="26"/>
    </row>
    <row r="2955" spans="1:12">
      <c r="A2955" s="20" t="s">
        <v>1083</v>
      </c>
      <c r="E2955" s="21">
        <f>IF(D2955="?OLD","!!!","")</f>
        <v/>
      </c>
      <c r="F2955" s="22" t="str">
        <f>IF(OR(E2955="",E2955="!!!"),"",IF(NOT(ISNA(VLOOKUP(E2955,E$1:E2954,1,FALSE()))),"OLD",IF(AND(E2955&lt;&gt;"",E2955&lt;&gt;"!!!"),"NEW","")))</f>
        <v> </v>
      </c>
      <c r="G2955" s="23" t="str">
        <f>IF(OR(E2955="",E2955="!!!"),"",IF(OR(J2955=0,AND(J2955=1,K2955=1),AND(J2955=1,I2955="SBJ"),AND(J2955=1,I2955=0)),"?IN_FOCUS",IF(J2955&lt;=2,"?ACTIVATED",IF(J2955&lt;&gt;"","?FAMILIAR",IF(F2955="NEW",IF(ISNA(VLOOKUP(E2955,#REF!,1,FALSE())),"?TYPE_IDENTIFIABLE","?REFERENTIAL"),"_")))))</f>
        <v> </v>
      </c>
      <c r="H2955" s="24" t="str">
        <f>IF(J2955&lt;&gt;1,"",IF(I2955="SBJ","CB","?"))</f>
        <v> </v>
      </c>
      <c r="I2955" s="25" t="str">
        <f>IF(OR(E2955="",E2955="!!!",F2955="NEW"),"",INDEX(B2954:B$2,-1+SUMPRODUCT(MAX(ROW(E2954:E$2)*(E2955=E2954:E$2)))))</f>
        <v> </v>
      </c>
      <c r="J2955" s="25" t="str">
        <f>IF(OR(E2955="",E2955="!!!",F2955="NEW"),"",COUNTBLANK(OFFSET(A$1,,,SUMPRODUCT(MAX(ROW(E$2:E2955)*(E2955=E$2:E2955)))))-COUNTBLANK(OFFSET(A$1,,,SUMPRODUCT(MAX(ROW(E$1:E2954)*(E2=E$1:E2954))))))</f>
        <v> </v>
      </c>
      <c r="K2955" s="25" t="str">
        <f>IF(OR(E2955="",E2955="!!!",F2955="NEW"),"",INDEX(J$1:J2954,SUMPRODUCT(MAX(ROW(E$1:E2954)*(E2955=E$1:E2954)))))</f>
        <v> </v>
      </c>
      <c r="L2955" s="26"/>
    </row>
    <row r="2956" spans="1:12">
      <c r="A2956" s="20" t="s">
        <v>2069</v>
      </c>
      <c r="E2956" s="21">
        <f>IF(D2956="?OLD","!!!","")</f>
        <v/>
      </c>
      <c r="F2956" s="22" t="str">
        <f>IF(OR(E2956="",E2956="!!!"),"",IF(NOT(ISNA(VLOOKUP(E2956,E$1:E2955,1,FALSE()))),"OLD",IF(AND(E2956&lt;&gt;"",E2956&lt;&gt;"!!!"),"NEW","")))</f>
        <v> </v>
      </c>
      <c r="G2956" s="23" t="str">
        <f>IF(OR(E2956="",E2956="!!!"),"",IF(OR(J2956=0,AND(J2956=1,K2956=1),AND(J2956=1,I2956="SBJ"),AND(J2956=1,I2956=0)),"?IN_FOCUS",IF(J2956&lt;=2,"?ACTIVATED",IF(J2956&lt;&gt;"","?FAMILIAR",IF(F2956="NEW",IF(ISNA(VLOOKUP(E2956,#REF!,1,FALSE())),"?TYPE_IDENTIFIABLE","?REFERENTIAL"),"_")))))</f>
        <v> </v>
      </c>
      <c r="H2956" s="24" t="str">
        <f>IF(J2956&lt;&gt;1,"",IF(I2956="SBJ","CB","?"))</f>
        <v> </v>
      </c>
      <c r="I2956" s="25" t="str">
        <f>IF(OR(E2956="",E2956="!!!",F2956="NEW"),"",INDEX(B2955:B$2,-1+SUMPRODUCT(MAX(ROW(E2955:E$2)*(E2956=E2955:E$2)))))</f>
        <v> </v>
      </c>
      <c r="J2956" s="25" t="str">
        <f>IF(OR(E2956="",E2956="!!!",F2956="NEW"),"",COUNTBLANK(OFFSET(A$1,,,SUMPRODUCT(MAX(ROW(E$2:E2956)*(E2956=E$2:E2956)))))-COUNTBLANK(OFFSET(A$1,,,SUMPRODUCT(MAX(ROW(E$1:E2955)*(E2=E$1:E2955))))))</f>
        <v> </v>
      </c>
      <c r="K2956" s="25" t="str">
        <f>IF(OR(E2956="",E2956="!!!",F2956="NEW"),"",INDEX(J$1:J2955,SUMPRODUCT(MAX(ROW(E$1:E2955)*(E2956=E$1:E2955)))))</f>
        <v> </v>
      </c>
      <c r="L2956" s="26"/>
    </row>
    <row r="2957" spans="1:12">
      <c r="A2957" s="20" t="s">
        <v>1016</v>
      </c>
      <c r="E2957" s="21">
        <f>IF(D2957="?OLD","!!!","")</f>
        <v/>
      </c>
      <c r="F2957" s="22" t="str">
        <f>IF(OR(E2957="",E2957="!!!"),"",IF(NOT(ISNA(VLOOKUP(E2957,E$1:E2956,1,FALSE()))),"OLD",IF(AND(E2957&lt;&gt;"",E2957&lt;&gt;"!!!"),"NEW","")))</f>
        <v> </v>
      </c>
      <c r="G2957" s="23" t="str">
        <f>IF(OR(E2957="",E2957="!!!"),"",IF(OR(J2957=0,AND(J2957=1,K2957=1),AND(J2957=1,I2957="SBJ"),AND(J2957=1,I2957=0)),"?IN_FOCUS",IF(J2957&lt;=2,"?ACTIVATED",IF(J2957&lt;&gt;"","?FAMILIAR",IF(F2957="NEW",IF(ISNA(VLOOKUP(E2957,#REF!,1,FALSE())),"?TYPE_IDENTIFIABLE","?REFERENTIAL"),"_")))))</f>
        <v> </v>
      </c>
      <c r="H2957" s="24" t="str">
        <f>IF(J2957&lt;&gt;1,"",IF(I2957="SBJ","CB","?"))</f>
        <v> </v>
      </c>
      <c r="I2957" s="25" t="str">
        <f>IF(OR(E2957="",E2957="!!!",F2957="NEW"),"",INDEX(B2956:B$2,-1+SUMPRODUCT(MAX(ROW(E2956:E$2)*(E2957=E2956:E$2)))))</f>
        <v> </v>
      </c>
      <c r="J2957" s="25" t="str">
        <f>IF(OR(E2957="",E2957="!!!",F2957="NEW"),"",COUNTBLANK(OFFSET(A$1,,,SUMPRODUCT(MAX(ROW(E$2:E2957)*(E2957=E$2:E2957)))))-COUNTBLANK(OFFSET(A$1,,,SUMPRODUCT(MAX(ROW(E$1:E2956)*(E2=E$1:E2956))))))</f>
        <v> </v>
      </c>
      <c r="K2957" s="25" t="str">
        <f>IF(OR(E2957="",E2957="!!!",F2957="NEW"),"",INDEX(J$1:J2956,SUMPRODUCT(MAX(ROW(E$1:E2956)*(E2957=E$1:E2956)))))</f>
        <v> </v>
      </c>
      <c r="L2957" s="26"/>
    </row>
    <row r="2958" spans="1:12">
      <c r="A2958" s="20" t="s">
        <v>2070</v>
      </c>
      <c r="B2958" s="27" t="s">
        <v>1028</v>
      </c>
      <c r="C2958" s="27" t="s">
        <v>1015</v>
      </c>
      <c r="E2958" s="21">
        <f>IF(D2958="?OLD","!!!","")</f>
        <v/>
      </c>
      <c r="F2958" s="22" t="str">
        <f>IF(OR(E2958="",E2958="!!!"),"",IF(NOT(ISNA(VLOOKUP(E2958,E$1:E2957,1,FALSE()))),"OLD",IF(AND(E2958&lt;&gt;"",E2958&lt;&gt;"!!!"),"NEW","")))</f>
        <v> </v>
      </c>
      <c r="G2958" s="23" t="str">
        <f>IF(OR(E2958="",E2958="!!!"),"",IF(OR(J2958=0,AND(J2958=1,K2958=1),AND(J2958=1,I2958="SBJ"),AND(J2958=1,I2958=0)),"?IN_FOCUS",IF(J2958&lt;=2,"?ACTIVATED",IF(J2958&lt;&gt;"","?FAMILIAR",IF(F2958="NEW",IF(ISNA(VLOOKUP(E2958,#REF!,1,FALSE())),"?TYPE_IDENTIFIABLE","?REFERENTIAL"),"_")))))</f>
        <v> </v>
      </c>
      <c r="H2958" s="24" t="str">
        <f>IF(J2958&lt;&gt;1,"",IF(I2958="SBJ","CB","?"))</f>
        <v> </v>
      </c>
      <c r="I2958" s="25" t="str">
        <f>IF(OR(E2958="",E2958="!!!",F2958="NEW"),"",INDEX(B2957:B$2,-1+SUMPRODUCT(MAX(ROW(E2957:E$2)*(E2958=E2957:E$2)))))</f>
        <v> </v>
      </c>
      <c r="J2958" s="25" t="str">
        <f>IF(OR(E2958="",E2958="!!!",F2958="NEW"),"",COUNTBLANK(OFFSET(A$1,,,SUMPRODUCT(MAX(ROW(E$2:E2958)*(E2958=E$2:E2958)))))-COUNTBLANK(OFFSET(A$1,,,SUMPRODUCT(MAX(ROW(E$1:E2957)*(E2=E$1:E2957))))))</f>
        <v> </v>
      </c>
      <c r="K2958" s="25" t="str">
        <f>IF(OR(E2958="",E2958="!!!",F2958="NEW"),"",INDEX(J$1:J2957,SUMPRODUCT(MAX(ROW(E$1:E2957)*(E2958=E$1:E2957)))))</f>
        <v> </v>
      </c>
      <c r="L2958" s="26"/>
    </row>
    <row r="2959" spans="1:12">
      <c r="A2959" s="20" t="s">
        <v>2071</v>
      </c>
      <c r="E2959" s="21">
        <f>IF(D2959="?OLD","!!!","")</f>
        <v/>
      </c>
      <c r="F2959" s="22" t="str">
        <f>IF(OR(E2959="",E2959="!!!"),"",IF(NOT(ISNA(VLOOKUP(E2959,E$1:E2958,1,FALSE()))),"OLD",IF(AND(E2959&lt;&gt;"",E2959&lt;&gt;"!!!"),"NEW","")))</f>
        <v> </v>
      </c>
      <c r="G2959" s="23" t="str">
        <f>IF(OR(E2959="",E2959="!!!"),"",IF(OR(J2959=0,AND(J2959=1,K2959=1),AND(J2959=1,I2959="SBJ"),AND(J2959=1,I2959=0)),"?IN_FOCUS",IF(J2959&lt;=2,"?ACTIVATED",IF(J2959&lt;&gt;"","?FAMILIAR",IF(F2959="NEW",IF(ISNA(VLOOKUP(E2959,#REF!,1,FALSE())),"?TYPE_IDENTIFIABLE","?REFERENTIAL"),"_")))))</f>
        <v> </v>
      </c>
      <c r="H2959" s="24" t="str">
        <f>IF(J2959&lt;&gt;1,"",IF(I2959="SBJ","CB","?"))</f>
        <v> </v>
      </c>
      <c r="I2959" s="25" t="str">
        <f>IF(OR(E2959="",E2959="!!!",F2959="NEW"),"",INDEX(B2958:B$2,-1+SUMPRODUCT(MAX(ROW(E2958:E$2)*(E2959=E2958:E$2)))))</f>
        <v> </v>
      </c>
      <c r="J2959" s="25" t="str">
        <f>IF(OR(E2959="",E2959="!!!",F2959="NEW"),"",COUNTBLANK(OFFSET(A$1,,,SUMPRODUCT(MAX(ROW(E$2:E2959)*(E2959=E$2:E2959)))))-COUNTBLANK(OFFSET(A$1,,,SUMPRODUCT(MAX(ROW(E$1:E2958)*(E2=E$1:E2958))))))</f>
        <v> </v>
      </c>
      <c r="K2959" s="25" t="str">
        <f>IF(OR(E2959="",E2959="!!!",F2959="NEW"),"",INDEX(J$1:J2958,SUMPRODUCT(MAX(ROW(E$1:E2958)*(E2959=E$1:E2958)))))</f>
        <v> </v>
      </c>
      <c r="L2959" s="26"/>
    </row>
    <row r="2960" spans="1:12">
      <c r="A2960" s="20" t="s">
        <v>1178</v>
      </c>
      <c r="E2960" s="21">
        <f>IF(D2960="?OLD","!!!","")</f>
        <v/>
      </c>
      <c r="F2960" s="22" t="str">
        <f>IF(OR(E2960="",E2960="!!!"),"",IF(NOT(ISNA(VLOOKUP(E2960,E$1:E2959,1,FALSE()))),"OLD",IF(AND(E2960&lt;&gt;"",E2960&lt;&gt;"!!!"),"NEW","")))</f>
        <v> </v>
      </c>
      <c r="G2960" s="23" t="str">
        <f>IF(OR(E2960="",E2960="!!!"),"",IF(OR(J2960=0,AND(J2960=1,K2960=1),AND(J2960=1,I2960="SBJ"),AND(J2960=1,I2960=0)),"?IN_FOCUS",IF(J2960&lt;=2,"?ACTIVATED",IF(J2960&lt;&gt;"","?FAMILIAR",IF(F2960="NEW",IF(ISNA(VLOOKUP(E2960,#REF!,1,FALSE())),"?TYPE_IDENTIFIABLE","?REFERENTIAL"),"_")))))</f>
        <v> </v>
      </c>
      <c r="H2960" s="24" t="str">
        <f>IF(J2960&lt;&gt;1,"",IF(I2960="SBJ","CB","?"))</f>
        <v> </v>
      </c>
      <c r="I2960" s="25" t="str">
        <f>IF(OR(E2960="",E2960="!!!",F2960="NEW"),"",INDEX(B2959:B$2,-1+SUMPRODUCT(MAX(ROW(E2959:E$2)*(E2960=E2959:E$2)))))</f>
        <v> </v>
      </c>
      <c r="J2960" s="25" t="str">
        <f>IF(OR(E2960="",E2960="!!!",F2960="NEW"),"",COUNTBLANK(OFFSET(A$1,,,SUMPRODUCT(MAX(ROW(E$2:E2960)*(E2960=E$2:E2960)))))-COUNTBLANK(OFFSET(A$1,,,SUMPRODUCT(MAX(ROW(E$1:E2959)*(E2=E$1:E2959))))))</f>
        <v> </v>
      </c>
      <c r="K2960" s="25" t="str">
        <f>IF(OR(E2960="",E2960="!!!",F2960="NEW"),"",INDEX(J$1:J2959,SUMPRODUCT(MAX(ROW(E$1:E2959)*(E2960=E$1:E2959)))))</f>
        <v> </v>
      </c>
      <c r="L2960" s="26"/>
    </row>
    <row r="2961" spans="1:12">
      <c r="A2961" s="20" t="s">
        <v>1016</v>
      </c>
      <c r="E2961" s="21">
        <f>IF(D2961="?OLD","!!!","")</f>
        <v/>
      </c>
      <c r="F2961" s="22" t="str">
        <f>IF(OR(E2961="",E2961="!!!"),"",IF(NOT(ISNA(VLOOKUP(E2961,E$1:E2960,1,FALSE()))),"OLD",IF(AND(E2961&lt;&gt;"",E2961&lt;&gt;"!!!"),"NEW","")))</f>
        <v> </v>
      </c>
      <c r="G2961" s="23" t="str">
        <f>IF(OR(E2961="",E2961="!!!"),"",IF(OR(J2961=0,AND(J2961=1,K2961=1),AND(J2961=1,I2961="SBJ"),AND(J2961=1,I2961=0)),"?IN_FOCUS",IF(J2961&lt;=2,"?ACTIVATED",IF(J2961&lt;&gt;"","?FAMILIAR",IF(F2961="NEW",IF(ISNA(VLOOKUP(E2961,#REF!,1,FALSE())),"?TYPE_IDENTIFIABLE","?REFERENTIAL"),"_")))))</f>
        <v> </v>
      </c>
      <c r="H2961" s="24" t="str">
        <f>IF(J2961&lt;&gt;1,"",IF(I2961="SBJ","CB","?"))</f>
        <v> </v>
      </c>
      <c r="I2961" s="25" t="str">
        <f>IF(OR(E2961="",E2961="!!!",F2961="NEW"),"",INDEX(B2960:B$2,-1+SUMPRODUCT(MAX(ROW(E2960:E$2)*(E2961=E2960:E$2)))))</f>
        <v> </v>
      </c>
      <c r="J2961" s="25" t="str">
        <f>IF(OR(E2961="",E2961="!!!",F2961="NEW"),"",COUNTBLANK(OFFSET(A$1,,,SUMPRODUCT(MAX(ROW(E$2:E2961)*(E2961=E$2:E2961)))))-COUNTBLANK(OFFSET(A$1,,,SUMPRODUCT(MAX(ROW(E$1:E2960)*(E2=E$1:E2960))))))</f>
        <v> </v>
      </c>
      <c r="K2961" s="25" t="str">
        <f>IF(OR(E2961="",E2961="!!!",F2961="NEW"),"",INDEX(J$1:J2960,SUMPRODUCT(MAX(ROW(E$1:E2960)*(E2961=E$1:E2960)))))</f>
        <v> </v>
      </c>
      <c r="L2961" s="26"/>
    </row>
    <row r="2962" spans="1:12">
      <c r="A2962" s="20" t="s">
        <v>1075</v>
      </c>
      <c r="E2962" s="21">
        <f>IF(D2962="?OLD","!!!","")</f>
        <v/>
      </c>
      <c r="F2962" s="22" t="str">
        <f>IF(OR(E2962="",E2962="!!!"),"",IF(NOT(ISNA(VLOOKUP(E2962,E$1:E2961,1,FALSE()))),"OLD",IF(AND(E2962&lt;&gt;"",E2962&lt;&gt;"!!!"),"NEW","")))</f>
        <v> </v>
      </c>
      <c r="G2962" s="23" t="str">
        <f>IF(OR(E2962="",E2962="!!!"),"",IF(OR(J2962=0,AND(J2962=1,K2962=1),AND(J2962=1,I2962="SBJ"),AND(J2962=1,I2962=0)),"?IN_FOCUS",IF(J2962&lt;=2,"?ACTIVATED",IF(J2962&lt;&gt;"","?FAMILIAR",IF(F2962="NEW",IF(ISNA(VLOOKUP(E2962,#REF!,1,FALSE())),"?TYPE_IDENTIFIABLE","?REFERENTIAL"),"_")))))</f>
        <v> </v>
      </c>
      <c r="H2962" s="24" t="str">
        <f>IF(J2962&lt;&gt;1,"",IF(I2962="SBJ","CB","?"))</f>
        <v> </v>
      </c>
      <c r="I2962" s="25" t="str">
        <f>IF(OR(E2962="",E2962="!!!",F2962="NEW"),"",INDEX(B2961:B$2,-1+SUMPRODUCT(MAX(ROW(E2961:E$2)*(E2962=E2961:E$2)))))</f>
        <v> </v>
      </c>
      <c r="J2962" s="25" t="str">
        <f>IF(OR(E2962="",E2962="!!!",F2962="NEW"),"",COUNTBLANK(OFFSET(A$1,,,SUMPRODUCT(MAX(ROW(E$2:E2962)*(E2962=E$2:E2962)))))-COUNTBLANK(OFFSET(A$1,,,SUMPRODUCT(MAX(ROW(E$1:E2961)*(E2=E$1:E2961))))))</f>
        <v> </v>
      </c>
      <c r="K2962" s="25" t="str">
        <f>IF(OR(E2962="",E2962="!!!",F2962="NEW"),"",INDEX(J$1:J2961,SUMPRODUCT(MAX(ROW(E$1:E2961)*(E2962=E$1:E2961)))))</f>
        <v> </v>
      </c>
      <c r="L2962" s="26"/>
    </row>
    <row r="2963" spans="1:12">
      <c r="A2963" s="20" t="s">
        <v>2072</v>
      </c>
      <c r="B2963" s="27" t="s">
        <v>1035</v>
      </c>
      <c r="C2963" s="27" t="s">
        <v>1038</v>
      </c>
      <c r="D2963" s="27" t="s">
        <v>1030</v>
      </c>
      <c r="E2963" s="21">
        <f>IF(D2963="?OLD","!!!","")</f>
        <v/>
      </c>
      <c r="F2963" s="22" t="str">
        <f>IF(OR(E2963="",E2963="!!!"),"",IF(NOT(ISNA(VLOOKUP(E2963,E$1:E2962,1,FALSE()))),"OLD",IF(AND(E2963&lt;&gt;"",E2963&lt;&gt;"!!!"),"NEW","")))</f>
        <v> </v>
      </c>
      <c r="G2963" s="23" t="str">
        <f>IF(OR(E2963="",E2963="!!!"),"",IF(OR(J2963=0,AND(J2963=1,K2963=1),AND(J2963=1,I2963="SBJ"),AND(J2963=1,I2963=0)),"?IN_FOCUS",IF(J2963&lt;=2,"?ACTIVATED",IF(J2963&lt;&gt;"","?FAMILIAR",IF(F2963="NEW",IF(ISNA(VLOOKUP(E2963,#REF!,1,FALSE())),"?TYPE_IDENTIFIABLE","?REFERENTIAL"),"_")))))</f>
        <v> </v>
      </c>
      <c r="H2963" s="24" t="str">
        <f>IF(J2963&lt;&gt;1,"",IF(I2963="SBJ","CB","?"))</f>
        <v> </v>
      </c>
      <c r="I2963" s="25" t="str">
        <f>IF(OR(E2963="",E2963="!!!",F2963="NEW"),"",INDEX(B2962:B$2,-1+SUMPRODUCT(MAX(ROW(E2962:E$2)*(E2963=E2962:E$2)))))</f>
        <v> </v>
      </c>
      <c r="J2963" s="25" t="str">
        <f>IF(OR(E2963="",E2963="!!!",F2963="NEW"),"",COUNTBLANK(OFFSET(A$1,,,SUMPRODUCT(MAX(ROW(E$2:E2963)*(E2963=E$2:E2963)))))-COUNTBLANK(OFFSET(A$1,,,SUMPRODUCT(MAX(ROW(E$1:E2962)*(E2=E$1:E2962))))))</f>
        <v> </v>
      </c>
      <c r="K2963" s="25" t="str">
        <f>IF(OR(E2963="",E2963="!!!",F2963="NEW"),"",INDEX(J$1:J2962,SUMPRODUCT(MAX(ROW(E$1:E2962)*(E2963=E$1:E2962)))))</f>
        <v> </v>
      </c>
      <c r="L2963" s="26"/>
    </row>
    <row r="2964" spans="1:12">
      <c r="A2964" s="20" t="s">
        <v>2073</v>
      </c>
      <c r="E2964" s="21">
        <f>IF(D2964="?OLD","!!!","")</f>
        <v/>
      </c>
      <c r="F2964" s="22" t="str">
        <f>IF(OR(E2964="",E2964="!!!"),"",IF(NOT(ISNA(VLOOKUP(E2964,E$1:E2963,1,FALSE()))),"OLD",IF(AND(E2964&lt;&gt;"",E2964&lt;&gt;"!!!"),"NEW","")))</f>
        <v> </v>
      </c>
      <c r="G2964" s="23" t="str">
        <f>IF(OR(E2964="",E2964="!!!"),"",IF(OR(J2964=0,AND(J2964=1,K2964=1),AND(J2964=1,I2964="SBJ"),AND(J2964=1,I2964=0)),"?IN_FOCUS",IF(J2964&lt;=2,"?ACTIVATED",IF(J2964&lt;&gt;"","?FAMILIAR",IF(F2964="NEW",IF(ISNA(VLOOKUP(E2964,#REF!,1,FALSE())),"?TYPE_IDENTIFIABLE","?REFERENTIAL"),"_")))))</f>
        <v> </v>
      </c>
      <c r="H2964" s="24" t="str">
        <f>IF(J2964&lt;&gt;1,"",IF(I2964="SBJ","CB","?"))</f>
        <v> </v>
      </c>
      <c r="I2964" s="25" t="str">
        <f>IF(OR(E2964="",E2964="!!!",F2964="NEW"),"",INDEX(B2963:B$2,-1+SUMPRODUCT(MAX(ROW(E2963:E$2)*(E2964=E2963:E$2)))))</f>
        <v> </v>
      </c>
      <c r="J2964" s="25" t="str">
        <f>IF(OR(E2964="",E2964="!!!",F2964="NEW"),"",COUNTBLANK(OFFSET(A$1,,,SUMPRODUCT(MAX(ROW(E$2:E2964)*(E2964=E$2:E2964)))))-COUNTBLANK(OFFSET(A$1,,,SUMPRODUCT(MAX(ROW(E$1:E2963)*(E2=E$1:E2963))))))</f>
        <v> </v>
      </c>
      <c r="K2964" s="25" t="str">
        <f>IF(OR(E2964="",E2964="!!!",F2964="NEW"),"",INDEX(J$1:J2963,SUMPRODUCT(MAX(ROW(E$1:E2963)*(E2964=E$1:E2963)))))</f>
        <v> </v>
      </c>
      <c r="L2964" s="26"/>
    </row>
    <row r="2965" spans="1:12">
      <c r="A2965" s="20" t="s">
        <v>11</v>
      </c>
      <c r="E2965" s="21">
        <f>IF(D2965="?OLD","!!!","")</f>
        <v/>
      </c>
      <c r="F2965" s="22" t="str">
        <f>IF(OR(E2965="",E2965="!!!"),"",IF(NOT(ISNA(VLOOKUP(E2965,E$1:E2964,1,FALSE()))),"OLD",IF(AND(E2965&lt;&gt;"",E2965&lt;&gt;"!!!"),"NEW","")))</f>
        <v> </v>
      </c>
      <c r="G2965" s="23" t="str">
        <f>IF(OR(E2965="",E2965="!!!"),"",IF(OR(J2965=0,AND(J2965=1,K2965=1),AND(J2965=1,I2965="SBJ"),AND(J2965=1,I2965=0)),"?IN_FOCUS",IF(J2965&lt;=2,"?ACTIVATED",IF(J2965&lt;&gt;"","?FAMILIAR",IF(F2965="NEW",IF(ISNA(VLOOKUP(E2965,#REF!,1,FALSE())),"?TYPE_IDENTIFIABLE","?REFERENTIAL"),"_")))))</f>
        <v> </v>
      </c>
      <c r="H2965" s="24" t="str">
        <f>IF(J2965&lt;&gt;1,"",IF(I2965="SBJ","CB","?"))</f>
        <v> </v>
      </c>
      <c r="I2965" s="25" t="str">
        <f>IF(OR(E2965="",E2965="!!!",F2965="NEW"),"",INDEX(B2964:B$2,-1+SUMPRODUCT(MAX(ROW(E2964:E$2)*(E2965=E2964:E$2)))))</f>
        <v> </v>
      </c>
      <c r="J2965" s="25" t="str">
        <f>IF(OR(E2965="",E2965="!!!",F2965="NEW"),"",COUNTBLANK(OFFSET(A$1,,,SUMPRODUCT(MAX(ROW(E$2:E2965)*(E2965=E$2:E2965)))))-COUNTBLANK(OFFSET(A$1,,,SUMPRODUCT(MAX(ROW(E$1:E2964)*(E2=E$1:E2964))))))</f>
        <v> </v>
      </c>
      <c r="K2965" s="25" t="str">
        <f>IF(OR(E2965="",E2965="!!!",F2965="NEW"),"",INDEX(J$1:J2964,SUMPRODUCT(MAX(ROW(E$1:E2964)*(E2965=E$1:E2964)))))</f>
        <v> </v>
      </c>
      <c r="L2965" s="26"/>
    </row>
    <row r="2966" spans="1:12">
      <c r="A2966" s="20" t="s">
        <v>2074</v>
      </c>
      <c r="E2966" s="21">
        <f>IF(D2966="?OLD","!!!","")</f>
        <v/>
      </c>
      <c r="F2966" s="22" t="str">
        <f>IF(OR(E2966="",E2966="!!!"),"",IF(NOT(ISNA(VLOOKUP(E2966,E$1:E2965,1,FALSE()))),"OLD",IF(AND(E2966&lt;&gt;"",E2966&lt;&gt;"!!!"),"NEW","")))</f>
        <v> </v>
      </c>
      <c r="G2966" s="23" t="str">
        <f>IF(OR(E2966="",E2966="!!!"),"",IF(OR(J2966=0,AND(J2966=1,K2966=1),AND(J2966=1,I2966="SBJ"),AND(J2966=1,I2966=0)),"?IN_FOCUS",IF(J2966&lt;=2,"?ACTIVATED",IF(J2966&lt;&gt;"","?FAMILIAR",IF(F2966="NEW",IF(ISNA(VLOOKUP(E2966,#REF!,1,FALSE())),"?TYPE_IDENTIFIABLE","?REFERENTIAL"),"_")))))</f>
        <v> </v>
      </c>
      <c r="H2966" s="24" t="str">
        <f>IF(J2966&lt;&gt;1,"",IF(I2966="SBJ","CB","?"))</f>
        <v> </v>
      </c>
      <c r="I2966" s="25" t="str">
        <f>IF(OR(E2966="",E2966="!!!",F2966="NEW"),"",INDEX(B2965:B$2,-1+SUMPRODUCT(MAX(ROW(E2965:E$2)*(E2966=E2965:E$2)))))</f>
        <v> </v>
      </c>
      <c r="J2966" s="25" t="str">
        <f>IF(OR(E2966="",E2966="!!!",F2966="NEW"),"",COUNTBLANK(OFFSET(A$1,,,SUMPRODUCT(MAX(ROW(E$2:E2966)*(E2966=E$2:E2966)))))-COUNTBLANK(OFFSET(A$1,,,SUMPRODUCT(MAX(ROW(E$1:E2965)*(E2=E$1:E2965))))))</f>
        <v> </v>
      </c>
      <c r="K2966" s="25" t="str">
        <f>IF(OR(E2966="",E2966="!!!",F2966="NEW"),"",INDEX(J$1:J2965,SUMPRODUCT(MAX(ROW(E$1:E2965)*(E2966=E$1:E2965)))))</f>
        <v> </v>
      </c>
      <c r="L2966" s="26"/>
    </row>
    <row r="2967" spans="1:12">
      <c r="A2967" s="20" t="s">
        <v>1094</v>
      </c>
      <c r="B2967" s="27" t="s">
        <v>1685</v>
      </c>
      <c r="E2967" s="21">
        <f>IF(D2967="?OLD","!!!","")</f>
        <v/>
      </c>
      <c r="F2967" s="22" t="str">
        <f>IF(OR(E2967="",E2967="!!!"),"",IF(NOT(ISNA(VLOOKUP(E2967,E$1:E2966,1,FALSE()))),"OLD",IF(AND(E2967&lt;&gt;"",E2967&lt;&gt;"!!!"),"NEW","")))</f>
        <v> </v>
      </c>
      <c r="G2967" s="23" t="str">
        <f>IF(OR(E2967="",E2967="!!!"),"",IF(OR(J2967=0,AND(J2967=1,K2967=1),AND(J2967=1,I2967="SBJ"),AND(J2967=1,I2967=0)),"?IN_FOCUS",IF(J2967&lt;=2,"?ACTIVATED",IF(J2967&lt;&gt;"","?FAMILIAR",IF(F2967="NEW",IF(ISNA(VLOOKUP(E2967,#REF!,1,FALSE())),"?TYPE_IDENTIFIABLE","?REFERENTIAL"),"_")))))</f>
        <v> </v>
      </c>
      <c r="H2967" s="24" t="str">
        <f>IF(J2967&lt;&gt;1,"",IF(I2967="SBJ","CB","?"))</f>
        <v> </v>
      </c>
      <c r="I2967" s="25" t="str">
        <f>IF(OR(E2967="",E2967="!!!",F2967="NEW"),"",INDEX(B2966:B$2,-1+SUMPRODUCT(MAX(ROW(E2966:E$2)*(E2967=E2966:E$2)))))</f>
        <v> </v>
      </c>
      <c r="J2967" s="25" t="str">
        <f>IF(OR(E2967="",E2967="!!!",F2967="NEW"),"",COUNTBLANK(OFFSET(A$1,,,SUMPRODUCT(MAX(ROW(E$2:E2967)*(E2967=E$2:E2967)))))-COUNTBLANK(OFFSET(A$1,,,SUMPRODUCT(MAX(ROW(E$1:E2966)*(E2=E$1:E2966))))))</f>
        <v> </v>
      </c>
      <c r="K2967" s="25" t="str">
        <f>IF(OR(E2967="",E2967="!!!",F2967="NEW"),"",INDEX(J$1:J2966,SUMPRODUCT(MAX(ROW(E$1:E2966)*(E2967=E$1:E2966)))))</f>
        <v> </v>
      </c>
      <c r="L2967" s="26"/>
    </row>
    <row r="2968" spans="1:12">
      <c r="A2968" s="20" t="s">
        <v>1563</v>
      </c>
      <c r="E2968" s="21">
        <f>IF(D2968="?OLD","!!!","")</f>
        <v/>
      </c>
      <c r="F2968" s="22" t="str">
        <f>IF(OR(E2968="",E2968="!!!"),"",IF(NOT(ISNA(VLOOKUP(E2968,E$1:E2967,1,FALSE()))),"OLD",IF(AND(E2968&lt;&gt;"",E2968&lt;&gt;"!!!"),"NEW","")))</f>
        <v> </v>
      </c>
      <c r="G2968" s="23" t="str">
        <f>IF(OR(E2968="",E2968="!!!"),"",IF(OR(J2968=0,AND(J2968=1,K2968=1),AND(J2968=1,I2968="SBJ"),AND(J2968=1,I2968=0)),"?IN_FOCUS",IF(J2968&lt;=2,"?ACTIVATED",IF(J2968&lt;&gt;"","?FAMILIAR",IF(F2968="NEW",IF(ISNA(VLOOKUP(E2968,#REF!,1,FALSE())),"?TYPE_IDENTIFIABLE","?REFERENTIAL"),"_")))))</f>
        <v> </v>
      </c>
      <c r="H2968" s="24" t="str">
        <f>IF(J2968&lt;&gt;1,"",IF(I2968="SBJ","CB","?"))</f>
        <v> </v>
      </c>
      <c r="I2968" s="25" t="str">
        <f>IF(OR(E2968="",E2968="!!!",F2968="NEW"),"",INDEX(B2967:B$2,-1+SUMPRODUCT(MAX(ROW(E2967:E$2)*(E2968=E2967:E$2)))))</f>
        <v> </v>
      </c>
      <c r="J2968" s="25" t="str">
        <f>IF(OR(E2968="",E2968="!!!",F2968="NEW"),"",COUNTBLANK(OFFSET(A$1,,,SUMPRODUCT(MAX(ROW(E$2:E2968)*(E2968=E$2:E2968)))))-COUNTBLANK(OFFSET(A$1,,,SUMPRODUCT(MAX(ROW(E$1:E2967)*(E2=E$1:E2967))))))</f>
        <v> </v>
      </c>
      <c r="K2968" s="25" t="str">
        <f>IF(OR(E2968="",E2968="!!!",F2968="NEW"),"",INDEX(J$1:J2967,SUMPRODUCT(MAX(ROW(E$1:E2967)*(E2968=E$1:E2967)))))</f>
        <v> </v>
      </c>
      <c r="L2968" s="26"/>
    </row>
    <row r="2969" spans="1:12">
      <c r="A2969" s="20" t="s">
        <v>1733</v>
      </c>
      <c r="E2969" s="21">
        <f>IF(D2969="?OLD","!!!","")</f>
        <v/>
      </c>
      <c r="F2969" s="22" t="str">
        <f>IF(OR(E2969="",E2969="!!!"),"",IF(NOT(ISNA(VLOOKUP(E2969,E$1:E2968,1,FALSE()))),"OLD",IF(AND(E2969&lt;&gt;"",E2969&lt;&gt;"!!!"),"NEW","")))</f>
        <v> </v>
      </c>
      <c r="G2969" s="23" t="str">
        <f>IF(OR(E2969="",E2969="!!!"),"",IF(OR(J2969=0,AND(J2969=1,K2969=1),AND(J2969=1,I2969="SBJ"),AND(J2969=1,I2969=0)),"?IN_FOCUS",IF(J2969&lt;=2,"?ACTIVATED",IF(J2969&lt;&gt;"","?FAMILIAR",IF(F2969="NEW",IF(ISNA(VLOOKUP(E2969,#REF!,1,FALSE())),"?TYPE_IDENTIFIABLE","?REFERENTIAL"),"_")))))</f>
        <v> </v>
      </c>
      <c r="H2969" s="24" t="str">
        <f>IF(J2969&lt;&gt;1,"",IF(I2969="SBJ","CB","?"))</f>
        <v> </v>
      </c>
      <c r="I2969" s="25" t="str">
        <f>IF(OR(E2969="",E2969="!!!",F2969="NEW"),"",INDEX(B2968:B$2,-1+SUMPRODUCT(MAX(ROW(E2968:E$2)*(E2969=E2968:E$2)))))</f>
        <v> </v>
      </c>
      <c r="J2969" s="25" t="str">
        <f>IF(OR(E2969="",E2969="!!!",F2969="NEW"),"",COUNTBLANK(OFFSET(A$1,,,SUMPRODUCT(MAX(ROW(E$2:E2969)*(E2969=E$2:E2969)))))-COUNTBLANK(OFFSET(A$1,,,SUMPRODUCT(MAX(ROW(E$1:E2968)*(E2=E$1:E2968))))))</f>
        <v> </v>
      </c>
      <c r="K2969" s="25" t="str">
        <f>IF(OR(E2969="",E2969="!!!",F2969="NEW"),"",INDEX(J$1:J2968,SUMPRODUCT(MAX(ROW(E$1:E2968)*(E2969=E$1:E2968)))))</f>
        <v> </v>
      </c>
      <c r="L2969" s="26"/>
    </row>
    <row r="2970" spans="1:12">
      <c r="A2970" s="20" t="s">
        <v>723</v>
      </c>
      <c r="E2970" s="21">
        <f>IF(D2970="?OLD","!!!","")</f>
        <v/>
      </c>
      <c r="F2970" s="22" t="str">
        <f>IF(OR(E2970="",E2970="!!!"),"",IF(NOT(ISNA(VLOOKUP(E2970,E$1:E2969,1,FALSE()))),"OLD",IF(AND(E2970&lt;&gt;"",E2970&lt;&gt;"!!!"),"NEW","")))</f>
        <v> </v>
      </c>
      <c r="G2970" s="23" t="str">
        <f>IF(OR(E2970="",E2970="!!!"),"",IF(OR(J2970=0,AND(J2970=1,K2970=1),AND(J2970=1,I2970="SBJ"),AND(J2970=1,I2970=0)),"?IN_FOCUS",IF(J2970&lt;=2,"?ACTIVATED",IF(J2970&lt;&gt;"","?FAMILIAR",IF(F2970="NEW",IF(ISNA(VLOOKUP(E2970,#REF!,1,FALSE())),"?TYPE_IDENTIFIABLE","?REFERENTIAL"),"_")))))</f>
        <v> </v>
      </c>
      <c r="H2970" s="24" t="str">
        <f>IF(J2970&lt;&gt;1,"",IF(I2970="SBJ","CB","?"))</f>
        <v> </v>
      </c>
      <c r="I2970" s="25" t="str">
        <f>IF(OR(E2970="",E2970="!!!",F2970="NEW"),"",INDEX(B2969:B$2,-1+SUMPRODUCT(MAX(ROW(E2969:E$2)*(E2970=E2969:E$2)))))</f>
        <v> </v>
      </c>
      <c r="J2970" s="25" t="str">
        <f>IF(OR(E2970="",E2970="!!!",F2970="NEW"),"",COUNTBLANK(OFFSET(A$1,,,SUMPRODUCT(MAX(ROW(E$2:E2970)*(E2970=E$2:E2970)))))-COUNTBLANK(OFFSET(A$1,,,SUMPRODUCT(MAX(ROW(E$1:E2969)*(E2=E$1:E2969))))))</f>
        <v> </v>
      </c>
      <c r="K2970" s="25" t="str">
        <f>IF(OR(E2970="",E2970="!!!",F2970="NEW"),"",INDEX(J$1:J2969,SUMPRODUCT(MAX(ROW(E$1:E2969)*(E2970=E$1:E2969)))))</f>
        <v> </v>
      </c>
      <c r="L2970" s="26"/>
    </row>
    <row r="2971" spans="1:12">
      <c r="A2971" s="20" t="s">
        <v>1036</v>
      </c>
      <c r="E2971" s="21">
        <f>IF(D2971="?OLD","!!!","")</f>
        <v/>
      </c>
      <c r="F2971" s="22" t="str">
        <f>IF(OR(E2971="",E2971="!!!"),"",IF(NOT(ISNA(VLOOKUP(E2971,E$1:E2970,1,FALSE()))),"OLD",IF(AND(E2971&lt;&gt;"",E2971&lt;&gt;"!!!"),"NEW","")))</f>
        <v> </v>
      </c>
      <c r="G2971" s="23" t="str">
        <f>IF(OR(E2971="",E2971="!!!"),"",IF(OR(J2971=0,AND(J2971=1,K2971=1),AND(J2971=1,I2971="SBJ"),AND(J2971=1,I2971=0)),"?IN_FOCUS",IF(J2971&lt;=2,"?ACTIVATED",IF(J2971&lt;&gt;"","?FAMILIAR",IF(F2971="NEW",IF(ISNA(VLOOKUP(E2971,#REF!,1,FALSE())),"?TYPE_IDENTIFIABLE","?REFERENTIAL"),"_")))))</f>
        <v> </v>
      </c>
      <c r="H2971" s="24" t="str">
        <f>IF(J2971&lt;&gt;1,"",IF(I2971="SBJ","CB","?"))</f>
        <v> </v>
      </c>
      <c r="I2971" s="25" t="str">
        <f>IF(OR(E2971="",E2971="!!!",F2971="NEW"),"",INDEX(B2970:B$2,-1+SUMPRODUCT(MAX(ROW(E2970:E$2)*(E2971=E2970:E$2)))))</f>
        <v> </v>
      </c>
      <c r="J2971" s="25" t="str">
        <f>IF(OR(E2971="",E2971="!!!",F2971="NEW"),"",COUNTBLANK(OFFSET(A$1,,,SUMPRODUCT(MAX(ROW(E$2:E2971)*(E2971=E$2:E2971)))))-COUNTBLANK(OFFSET(A$1,,,SUMPRODUCT(MAX(ROW(E$1:E2970)*(E2=E$1:E2970))))))</f>
        <v> </v>
      </c>
      <c r="K2971" s="25" t="str">
        <f>IF(OR(E2971="",E2971="!!!",F2971="NEW"),"",INDEX(J$1:J2970,SUMPRODUCT(MAX(ROW(E$1:E2970)*(E2971=E$1:E2970)))))</f>
        <v> </v>
      </c>
      <c r="L2971" s="26"/>
    </row>
    <row r="2972" spans="1:12">
      <c r="A2972" s="20" t="s">
        <v>2075</v>
      </c>
      <c r="B2972" s="27" t="s">
        <v>1041</v>
      </c>
      <c r="C2972" s="27" t="s">
        <v>1029</v>
      </c>
      <c r="D2972" s="27" t="s">
        <v>1030</v>
      </c>
      <c r="E2972" s="21">
        <f>IF(D2972="?OLD","!!!","")</f>
        <v/>
      </c>
      <c r="F2972" s="22" t="str">
        <f>IF(OR(E2972="",E2972="!!!"),"",IF(NOT(ISNA(VLOOKUP(E2972,E$1:E2971,1,FALSE()))),"OLD",IF(AND(E2972&lt;&gt;"",E2972&lt;&gt;"!!!"),"NEW","")))</f>
        <v> </v>
      </c>
      <c r="G2972" s="23" t="str">
        <f>IF(OR(E2972="",E2972="!!!"),"",IF(OR(J2972=0,AND(J2972=1,K2972=1),AND(J2972=1,I2972="SBJ"),AND(J2972=1,I2972=0)),"?IN_FOCUS",IF(J2972&lt;=2,"?ACTIVATED",IF(J2972&lt;&gt;"","?FAMILIAR",IF(F2972="NEW",IF(ISNA(VLOOKUP(E2972,#REF!,1,FALSE())),"?TYPE_IDENTIFIABLE","?REFERENTIAL"),"_")))))</f>
        <v> </v>
      </c>
      <c r="H2972" s="24" t="str">
        <f>IF(J2972&lt;&gt;1,"",IF(I2972="SBJ","CB","?"))</f>
        <v> </v>
      </c>
      <c r="I2972" s="25" t="str">
        <f>IF(OR(E2972="",E2972="!!!",F2972="NEW"),"",INDEX(B2971:B$2,-1+SUMPRODUCT(MAX(ROW(E2971:E$2)*(E2972=E2971:E$2)))))</f>
        <v> </v>
      </c>
      <c r="J2972" s="25" t="str">
        <f>IF(OR(E2972="",E2972="!!!",F2972="NEW"),"",COUNTBLANK(OFFSET(A$1,,,SUMPRODUCT(MAX(ROW(E$2:E2972)*(E2972=E$2:E2972)))))-COUNTBLANK(OFFSET(A$1,,,SUMPRODUCT(MAX(ROW(E$1:E2971)*(E2=E$1:E2971))))))</f>
        <v> </v>
      </c>
      <c r="K2972" s="25" t="str">
        <f>IF(OR(E2972="",E2972="!!!",F2972="NEW"),"",INDEX(J$1:J2971,SUMPRODUCT(MAX(ROW(E$1:E2971)*(E2972=E$1:E2971)))))</f>
        <v> </v>
      </c>
      <c r="L2972" s="26"/>
    </row>
    <row r="2973" spans="1:12">
      <c r="A2973" s="20" t="s">
        <v>1016</v>
      </c>
      <c r="E2973" s="21">
        <f>IF(D2973="?OLD","!!!","")</f>
        <v/>
      </c>
      <c r="F2973" s="22" t="str">
        <f>IF(OR(E2973="",E2973="!!!"),"",IF(NOT(ISNA(VLOOKUP(E2973,E$1:E2972,1,FALSE()))),"OLD",IF(AND(E2973&lt;&gt;"",E2973&lt;&gt;"!!!"),"NEW","")))</f>
        <v> </v>
      </c>
      <c r="G2973" s="23" t="str">
        <f>IF(OR(E2973="",E2973="!!!"),"",IF(OR(J2973=0,AND(J2973=1,K2973=1),AND(J2973=1,I2973="SBJ"),AND(J2973=1,I2973=0)),"?IN_FOCUS",IF(J2973&lt;=2,"?ACTIVATED",IF(J2973&lt;&gt;"","?FAMILIAR",IF(F2973="NEW",IF(ISNA(VLOOKUP(E2973,#REF!,1,FALSE())),"?TYPE_IDENTIFIABLE","?REFERENTIAL"),"_")))))</f>
        <v> </v>
      </c>
      <c r="H2973" s="24" t="str">
        <f>IF(J2973&lt;&gt;1,"",IF(I2973="SBJ","CB","?"))</f>
        <v> </v>
      </c>
      <c r="I2973" s="25" t="str">
        <f>IF(OR(E2973="",E2973="!!!",F2973="NEW"),"",INDEX(B2972:B$2,-1+SUMPRODUCT(MAX(ROW(E2972:E$2)*(E2973=E2972:E$2)))))</f>
        <v> </v>
      </c>
      <c r="J2973" s="25" t="str">
        <f>IF(OR(E2973="",E2973="!!!",F2973="NEW"),"",COUNTBLANK(OFFSET(A$1,,,SUMPRODUCT(MAX(ROW(E$2:E2973)*(E2973=E$2:E2973)))))-COUNTBLANK(OFFSET(A$1,,,SUMPRODUCT(MAX(ROW(E$1:E2972)*(E2=E$1:E2972))))))</f>
        <v> </v>
      </c>
      <c r="K2973" s="25" t="str">
        <f>IF(OR(E2973="",E2973="!!!",F2973="NEW"),"",INDEX(J$1:J2972,SUMPRODUCT(MAX(ROW(E$1:E2972)*(E2973=E$1:E2972)))))</f>
        <v> </v>
      </c>
      <c r="L2973" s="26"/>
    </row>
    <row r="2974" spans="1:12">
      <c r="A2974" s="20" t="s">
        <v>1071</v>
      </c>
      <c r="E2974" s="21">
        <f>IF(D2974="?OLD","!!!","")</f>
        <v/>
      </c>
      <c r="F2974" s="22" t="str">
        <f>IF(OR(E2974="",E2974="!!!"),"",IF(NOT(ISNA(VLOOKUP(E2974,E$1:E2973,1,FALSE()))),"OLD",IF(AND(E2974&lt;&gt;"",E2974&lt;&gt;"!!!"),"NEW","")))</f>
        <v> </v>
      </c>
      <c r="G2974" s="23" t="str">
        <f>IF(OR(E2974="",E2974="!!!"),"",IF(OR(J2974=0,AND(J2974=1,K2974=1),AND(J2974=1,I2974="SBJ"),AND(J2974=1,I2974=0)),"?IN_FOCUS",IF(J2974&lt;=2,"?ACTIVATED",IF(J2974&lt;&gt;"","?FAMILIAR",IF(F2974="NEW",IF(ISNA(VLOOKUP(E2974,#REF!,1,FALSE())),"?TYPE_IDENTIFIABLE","?REFERENTIAL"),"_")))))</f>
        <v> </v>
      </c>
      <c r="H2974" s="24" t="str">
        <f>IF(J2974&lt;&gt;1,"",IF(I2974="SBJ","CB","?"))</f>
        <v> </v>
      </c>
      <c r="I2974" s="25" t="str">
        <f>IF(OR(E2974="",E2974="!!!",F2974="NEW"),"",INDEX(B2973:B$2,-1+SUMPRODUCT(MAX(ROW(E2973:E$2)*(E2974=E2973:E$2)))))</f>
        <v> </v>
      </c>
      <c r="J2974" s="25" t="str">
        <f>IF(OR(E2974="",E2974="!!!",F2974="NEW"),"",COUNTBLANK(OFFSET(A$1,,,SUMPRODUCT(MAX(ROW(E$2:E2974)*(E2974=E$2:E2974)))))-COUNTBLANK(OFFSET(A$1,,,SUMPRODUCT(MAX(ROW(E$1:E2973)*(E2=E$1:E2973))))))</f>
        <v> </v>
      </c>
      <c r="K2974" s="25" t="str">
        <f>IF(OR(E2974="",E2974="!!!",F2974="NEW"),"",INDEX(J$1:J2973,SUMPRODUCT(MAX(ROW(E$1:E2973)*(E2974=E$1:E2973)))))</f>
        <v> </v>
      </c>
      <c r="L2974" s="26"/>
    </row>
    <row r="2975" spans="1:12">
      <c r="A2975" s="20" t="s">
        <v>2076</v>
      </c>
      <c r="B2975" s="27" t="s">
        <v>1079</v>
      </c>
      <c r="C2975" s="27" t="s">
        <v>1033</v>
      </c>
      <c r="D2975" s="27" t="s">
        <v>1030</v>
      </c>
      <c r="E2975" s="21">
        <f>IF(D2975="?OLD","!!!","")</f>
        <v/>
      </c>
      <c r="F2975" s="22" t="str">
        <f>IF(OR(E2975="",E2975="!!!"),"",IF(NOT(ISNA(VLOOKUP(E2975,E$1:E2974,1,FALSE()))),"OLD",IF(AND(E2975&lt;&gt;"",E2975&lt;&gt;"!!!"),"NEW","")))</f>
        <v> </v>
      </c>
      <c r="G2975" s="23" t="str">
        <f>IF(OR(E2975="",E2975="!!!"),"",IF(OR(J2975=0,AND(J2975=1,K2975=1),AND(J2975=1,I2975="SBJ"),AND(J2975=1,I2975=0)),"?IN_FOCUS",IF(J2975&lt;=2,"?ACTIVATED",IF(J2975&lt;&gt;"","?FAMILIAR",IF(F2975="NEW",IF(ISNA(VLOOKUP(E2975,#REF!,1,FALSE())),"?TYPE_IDENTIFIABLE","?REFERENTIAL"),"_")))))</f>
        <v> </v>
      </c>
      <c r="H2975" s="24" t="str">
        <f>IF(J2975&lt;&gt;1,"",IF(I2975="SBJ","CB","?"))</f>
        <v> </v>
      </c>
      <c r="I2975" s="25" t="str">
        <f>IF(OR(E2975="",E2975="!!!",F2975="NEW"),"",INDEX(B2974:B$2,-1+SUMPRODUCT(MAX(ROW(E2974:E$2)*(E2975=E2974:E$2)))))</f>
        <v> </v>
      </c>
      <c r="J2975" s="25" t="str">
        <f>IF(OR(E2975="",E2975="!!!",F2975="NEW"),"",COUNTBLANK(OFFSET(A$1,,,SUMPRODUCT(MAX(ROW(E$2:E2975)*(E2975=E$2:E2975)))))-COUNTBLANK(OFFSET(A$1,,,SUMPRODUCT(MAX(ROW(E$1:E2974)*(E2=E$1:E2974))))))</f>
        <v> </v>
      </c>
      <c r="K2975" s="25" t="str">
        <f>IF(OR(E2975="",E2975="!!!",F2975="NEW"),"",INDEX(J$1:J2974,SUMPRODUCT(MAX(ROW(E$1:E2974)*(E2975=E$1:E2974)))))</f>
        <v> </v>
      </c>
      <c r="L2975" s="26"/>
    </row>
    <row r="2976" spans="1:12">
      <c r="A2976" s="20" t="s">
        <v>1643</v>
      </c>
      <c r="B2976" s="27" t="s">
        <v>1066</v>
      </c>
      <c r="C2976" s="27" t="s">
        <v>1033</v>
      </c>
      <c r="D2976" s="27" t="s">
        <v>1030</v>
      </c>
      <c r="E2976" s="21">
        <f>IF(D2976="?OLD","!!!","")</f>
        <v/>
      </c>
      <c r="F2976" s="22" t="str">
        <f>IF(OR(E2976="",E2976="!!!"),"",IF(NOT(ISNA(VLOOKUP(E2976,E$1:E2975,1,FALSE()))),"OLD",IF(AND(E2976&lt;&gt;"",E2976&lt;&gt;"!!!"),"NEW","")))</f>
        <v> </v>
      </c>
      <c r="G2976" s="23" t="str">
        <f>IF(OR(E2976="",E2976="!!!"),"",IF(OR(J2976=0,AND(J2976=1,K2976=1),AND(J2976=1,I2976="SBJ"),AND(J2976=1,I2976=0)),"?IN_FOCUS",IF(J2976&lt;=2,"?ACTIVATED",IF(J2976&lt;&gt;"","?FAMILIAR",IF(F2976="NEW",IF(ISNA(VLOOKUP(E2976,#REF!,1,FALSE())),"?TYPE_IDENTIFIABLE","?REFERENTIAL"),"_")))))</f>
        <v> </v>
      </c>
      <c r="H2976" s="24" t="str">
        <f>IF(J2976&lt;&gt;1,"",IF(I2976="SBJ","CB","?"))</f>
        <v> </v>
      </c>
      <c r="I2976" s="25" t="str">
        <f>IF(OR(E2976="",E2976="!!!",F2976="NEW"),"",INDEX(B2975:B$2,-1+SUMPRODUCT(MAX(ROW(E2975:E$2)*(E2976=E2975:E$2)))))</f>
        <v> </v>
      </c>
      <c r="J2976" s="25" t="str">
        <f>IF(OR(E2976="",E2976="!!!",F2976="NEW"),"",COUNTBLANK(OFFSET(A$1,,,SUMPRODUCT(MAX(ROW(E$2:E2976)*(E2976=E$2:E2976)))))-COUNTBLANK(OFFSET(A$1,,,SUMPRODUCT(MAX(ROW(E$1:E2975)*(E2=E$1:E2975))))))</f>
        <v> </v>
      </c>
      <c r="K2976" s="25" t="str">
        <f>IF(OR(E2976="",E2976="!!!",F2976="NEW"),"",INDEX(J$1:J2975,SUMPRODUCT(MAX(ROW(E$1:E2975)*(E2976=E$1:E2975)))))</f>
        <v> </v>
      </c>
      <c r="L2976" s="26"/>
    </row>
    <row r="2977" spans="1:12">
      <c r="A2977" s="20" t="s">
        <v>1016</v>
      </c>
      <c r="E2977" s="21">
        <f>IF(D2977="?OLD","!!!","")</f>
        <v/>
      </c>
      <c r="F2977" s="22" t="str">
        <f>IF(OR(E2977="",E2977="!!!"),"",IF(NOT(ISNA(VLOOKUP(E2977,E$1:E2976,1,FALSE()))),"OLD",IF(AND(E2977&lt;&gt;"",E2977&lt;&gt;"!!!"),"NEW","")))</f>
        <v> </v>
      </c>
      <c r="G2977" s="23" t="str">
        <f>IF(OR(E2977="",E2977="!!!"),"",IF(OR(J2977=0,AND(J2977=1,K2977=1),AND(J2977=1,I2977="SBJ"),AND(J2977=1,I2977=0)),"?IN_FOCUS",IF(J2977&lt;=2,"?ACTIVATED",IF(J2977&lt;&gt;"","?FAMILIAR",IF(F2977="NEW",IF(ISNA(VLOOKUP(E2977,#REF!,1,FALSE())),"?TYPE_IDENTIFIABLE","?REFERENTIAL"),"_")))))</f>
        <v> </v>
      </c>
      <c r="H2977" s="24" t="str">
        <f>IF(J2977&lt;&gt;1,"",IF(I2977="SBJ","CB","?"))</f>
        <v> </v>
      </c>
      <c r="I2977" s="25" t="str">
        <f>IF(OR(E2977="",E2977="!!!",F2977="NEW"),"",INDEX(B2976:B$2,-1+SUMPRODUCT(MAX(ROW(E2976:E$2)*(E2977=E2976:E$2)))))</f>
        <v> </v>
      </c>
      <c r="J2977" s="25" t="str">
        <f>IF(OR(E2977="",E2977="!!!",F2977="NEW"),"",COUNTBLANK(OFFSET(A$1,,,SUMPRODUCT(MAX(ROW(E$2:E2977)*(E2977=E$2:E2977)))))-COUNTBLANK(OFFSET(A$1,,,SUMPRODUCT(MAX(ROW(E$1:E2976)*(E2=E$1:E2976))))))</f>
        <v> </v>
      </c>
      <c r="K2977" s="25" t="str">
        <f>IF(OR(E2977="",E2977="!!!",F2977="NEW"),"",INDEX(J$1:J2976,SUMPRODUCT(MAX(ROW(E$1:E2976)*(E2977=E$1:E2976)))))</f>
        <v> </v>
      </c>
      <c r="L2977" s="26"/>
    </row>
    <row r="2978" spans="1:12">
      <c r="A2978" s="20" t="s">
        <v>2077</v>
      </c>
      <c r="B2978" s="27" t="s">
        <v>1066</v>
      </c>
      <c r="C2978" s="27" t="s">
        <v>1029</v>
      </c>
      <c r="D2978" s="27" t="s">
        <v>1030</v>
      </c>
      <c r="E2978" s="21">
        <f>IF(D2978="?OLD","!!!","")</f>
        <v/>
      </c>
      <c r="F2978" s="22" t="str">
        <f>IF(OR(E2978="",E2978="!!!"),"",IF(NOT(ISNA(VLOOKUP(E2978,E$1:E2977,1,FALSE()))),"OLD",IF(AND(E2978&lt;&gt;"",E2978&lt;&gt;"!!!"),"NEW","")))</f>
        <v> </v>
      </c>
      <c r="G2978" s="23" t="str">
        <f>IF(OR(E2978="",E2978="!!!"),"",IF(OR(J2978=0,AND(J2978=1,K2978=1),AND(J2978=1,I2978="SBJ"),AND(J2978=1,I2978=0)),"?IN_FOCUS",IF(J2978&lt;=2,"?ACTIVATED",IF(J2978&lt;&gt;"","?FAMILIAR",IF(F2978="NEW",IF(ISNA(VLOOKUP(E2978,#REF!,1,FALSE())),"?TYPE_IDENTIFIABLE","?REFERENTIAL"),"_")))))</f>
        <v> </v>
      </c>
      <c r="H2978" s="24" t="str">
        <f>IF(J2978&lt;&gt;1,"",IF(I2978="SBJ","CB","?"))</f>
        <v> </v>
      </c>
      <c r="I2978" s="25" t="str">
        <f>IF(OR(E2978="",E2978="!!!",F2978="NEW"),"",INDEX(B2977:B$2,-1+SUMPRODUCT(MAX(ROW(E2977:E$2)*(E2978=E2977:E$2)))))</f>
        <v> </v>
      </c>
      <c r="J2978" s="25" t="str">
        <f>IF(OR(E2978="",E2978="!!!",F2978="NEW"),"",COUNTBLANK(OFFSET(A$1,,,SUMPRODUCT(MAX(ROW(E$2:E2978)*(E2978=E$2:E2978)))))-COUNTBLANK(OFFSET(A$1,,,SUMPRODUCT(MAX(ROW(E$1:E2977)*(E2=E$1:E2977))))))</f>
        <v> </v>
      </c>
      <c r="K2978" s="25" t="str">
        <f>IF(OR(E2978="",E2978="!!!",F2978="NEW"),"",INDEX(J$1:J2977,SUMPRODUCT(MAX(ROW(E$1:E2977)*(E2978=E$1:E2977)))))</f>
        <v> </v>
      </c>
      <c r="L2978" s="26"/>
    </row>
    <row r="2979" spans="1:12">
      <c r="A2979" s="20" t="s">
        <v>1016</v>
      </c>
      <c r="E2979" s="21">
        <f>IF(D2979="?OLD","!!!","")</f>
        <v/>
      </c>
      <c r="F2979" s="22" t="str">
        <f>IF(OR(E2979="",E2979="!!!"),"",IF(NOT(ISNA(VLOOKUP(E2979,E$1:E2978,1,FALSE()))),"OLD",IF(AND(E2979&lt;&gt;"",E2979&lt;&gt;"!!!"),"NEW","")))</f>
        <v> </v>
      </c>
      <c r="G2979" s="23" t="str">
        <f>IF(OR(E2979="",E2979="!!!"),"",IF(OR(J2979=0,AND(J2979=1,K2979=1),AND(J2979=1,I2979="SBJ"),AND(J2979=1,I2979=0)),"?IN_FOCUS",IF(J2979&lt;=2,"?ACTIVATED",IF(J2979&lt;&gt;"","?FAMILIAR",IF(F2979="NEW",IF(ISNA(VLOOKUP(E2979,#REF!,1,FALSE())),"?TYPE_IDENTIFIABLE","?REFERENTIAL"),"_")))))</f>
        <v> </v>
      </c>
      <c r="H2979" s="24" t="str">
        <f>IF(J2979&lt;&gt;1,"",IF(I2979="SBJ","CB","?"))</f>
        <v> </v>
      </c>
      <c r="I2979" s="25" t="str">
        <f>IF(OR(E2979="",E2979="!!!",F2979="NEW"),"",INDEX(B2978:B$2,-1+SUMPRODUCT(MAX(ROW(E2978:E$2)*(E2979=E2978:E$2)))))</f>
        <v> </v>
      </c>
      <c r="J2979" s="25" t="str">
        <f>IF(OR(E2979="",E2979="!!!",F2979="NEW"),"",COUNTBLANK(OFFSET(A$1,,,SUMPRODUCT(MAX(ROW(E$2:E2979)*(E2979=E$2:E2979)))))-COUNTBLANK(OFFSET(A$1,,,SUMPRODUCT(MAX(ROW(E$1:E2978)*(E2=E$1:E2978))))))</f>
        <v> </v>
      </c>
      <c r="K2979" s="25" t="str">
        <f>IF(OR(E2979="",E2979="!!!",F2979="NEW"),"",INDEX(J$1:J2978,SUMPRODUCT(MAX(ROW(E$1:E2978)*(E2979=E$1:E2978)))))</f>
        <v> </v>
      </c>
      <c r="L2979" s="26"/>
    </row>
    <row r="2980" spans="1:12">
      <c r="A2980" s="20" t="s">
        <v>1727</v>
      </c>
      <c r="B2980" s="27" t="s">
        <v>1103</v>
      </c>
      <c r="C2980" s="27" t="s">
        <v>1015</v>
      </c>
      <c r="E2980" s="21">
        <f>IF(D2980="?OLD","!!!","")</f>
        <v/>
      </c>
      <c r="F2980" s="22" t="str">
        <f>IF(OR(E2980="",E2980="!!!"),"",IF(NOT(ISNA(VLOOKUP(E2980,E$1:E2979,1,FALSE()))),"OLD",IF(AND(E2980&lt;&gt;"",E2980&lt;&gt;"!!!"),"NEW","")))</f>
        <v> </v>
      </c>
      <c r="G2980" s="23" t="str">
        <f>IF(OR(E2980="",E2980="!!!"),"",IF(OR(J2980=0,AND(J2980=1,K2980=1),AND(J2980=1,I2980="SBJ"),AND(J2980=1,I2980=0)),"?IN_FOCUS",IF(J2980&lt;=2,"?ACTIVATED",IF(J2980&lt;&gt;"","?FAMILIAR",IF(F2980="NEW",IF(ISNA(VLOOKUP(E2980,#REF!,1,FALSE())),"?TYPE_IDENTIFIABLE","?REFERENTIAL"),"_")))))</f>
        <v> </v>
      </c>
      <c r="H2980" s="24" t="str">
        <f>IF(J2980&lt;&gt;1,"",IF(I2980="SBJ","CB","?"))</f>
        <v> </v>
      </c>
      <c r="I2980" s="25" t="str">
        <f>IF(OR(E2980="",E2980="!!!",F2980="NEW"),"",INDEX(B2979:B$2,-1+SUMPRODUCT(MAX(ROW(E2979:E$2)*(E2980=E2979:E$2)))))</f>
        <v> </v>
      </c>
      <c r="J2980" s="25" t="str">
        <f>IF(OR(E2980="",E2980="!!!",F2980="NEW"),"",COUNTBLANK(OFFSET(A$1,,,SUMPRODUCT(MAX(ROW(E$2:E2980)*(E2980=E$2:E2980)))))-COUNTBLANK(OFFSET(A$1,,,SUMPRODUCT(MAX(ROW(E$1:E2979)*(E2=E$1:E2979))))))</f>
        <v> </v>
      </c>
      <c r="K2980" s="25" t="str">
        <f>IF(OR(E2980="",E2980="!!!",F2980="NEW"),"",INDEX(J$1:J2979,SUMPRODUCT(MAX(ROW(E$1:E2979)*(E2980=E$1:E2979)))))</f>
        <v> </v>
      </c>
      <c r="L2980" s="26"/>
    </row>
    <row r="2981" spans="1:12">
      <c r="A2981" s="20" t="s">
        <v>1937</v>
      </c>
      <c r="E2981" s="21">
        <f>IF(D2981="?OLD","!!!","")</f>
        <v/>
      </c>
      <c r="F2981" s="22" t="str">
        <f>IF(OR(E2981="",E2981="!!!"),"",IF(NOT(ISNA(VLOOKUP(E2981,E$1:E2980,1,FALSE()))),"OLD",IF(AND(E2981&lt;&gt;"",E2981&lt;&gt;"!!!"),"NEW","")))</f>
        <v> </v>
      </c>
      <c r="G2981" s="23" t="str">
        <f>IF(OR(E2981="",E2981="!!!"),"",IF(OR(J2981=0,AND(J2981=1,K2981=1),AND(J2981=1,I2981="SBJ"),AND(J2981=1,I2981=0)),"?IN_FOCUS",IF(J2981&lt;=2,"?ACTIVATED",IF(J2981&lt;&gt;"","?FAMILIAR",IF(F2981="NEW",IF(ISNA(VLOOKUP(E2981,#REF!,1,FALSE())),"?TYPE_IDENTIFIABLE","?REFERENTIAL"),"_")))))</f>
        <v> </v>
      </c>
      <c r="H2981" s="24" t="str">
        <f>IF(J2981&lt;&gt;1,"",IF(I2981="SBJ","CB","?"))</f>
        <v> </v>
      </c>
      <c r="I2981" s="25" t="str">
        <f>IF(OR(E2981="",E2981="!!!",F2981="NEW"),"",INDEX(B2980:B$2,-1+SUMPRODUCT(MAX(ROW(E2980:E$2)*(E2981=E2980:E$2)))))</f>
        <v> </v>
      </c>
      <c r="J2981" s="25" t="str">
        <f>IF(OR(E2981="",E2981="!!!",F2981="NEW"),"",COUNTBLANK(OFFSET(A$1,,,SUMPRODUCT(MAX(ROW(E$2:E2981)*(E2981=E$2:E2981)))))-COUNTBLANK(OFFSET(A$1,,,SUMPRODUCT(MAX(ROW(E$1:E2980)*(E2=E$1:E2980))))))</f>
        <v> </v>
      </c>
      <c r="K2981" s="25" t="str">
        <f>IF(OR(E2981="",E2981="!!!",F2981="NEW"),"",INDEX(J$1:J2980,SUMPRODUCT(MAX(ROW(E$1:E2980)*(E2981=E$1:E2980)))))</f>
        <v> </v>
      </c>
      <c r="L2981" s="26"/>
    </row>
    <row r="2982" spans="1:12">
      <c r="A2982" s="20" t="s">
        <v>1025</v>
      </c>
      <c r="E2982" s="21">
        <f>IF(D2982="?OLD","!!!","")</f>
        <v/>
      </c>
      <c r="F2982" s="22" t="str">
        <f>IF(OR(E2982="",E2982="!!!"),"",IF(NOT(ISNA(VLOOKUP(E2982,E$1:E2981,1,FALSE()))),"OLD",IF(AND(E2982&lt;&gt;"",E2982&lt;&gt;"!!!"),"NEW","")))</f>
        <v> </v>
      </c>
      <c r="G2982" s="23" t="str">
        <f>IF(OR(E2982="",E2982="!!!"),"",IF(OR(J2982=0,AND(J2982=1,K2982=1),AND(J2982=1,I2982="SBJ"),AND(J2982=1,I2982=0)),"?IN_FOCUS",IF(J2982&lt;=2,"?ACTIVATED",IF(J2982&lt;&gt;"","?FAMILIAR",IF(F2982="NEW",IF(ISNA(VLOOKUP(E2982,#REF!,1,FALSE())),"?TYPE_IDENTIFIABLE","?REFERENTIAL"),"_")))))</f>
        <v> </v>
      </c>
      <c r="H2982" s="24" t="str">
        <f>IF(J2982&lt;&gt;1,"",IF(I2982="SBJ","CB","?"))</f>
        <v> </v>
      </c>
      <c r="I2982" s="25" t="str">
        <f>IF(OR(E2982="",E2982="!!!",F2982="NEW"),"",INDEX(B2981:B$2,-1+SUMPRODUCT(MAX(ROW(E2981:E$2)*(E2982=E2981:E$2)))))</f>
        <v> </v>
      </c>
      <c r="J2982" s="25" t="str">
        <f>IF(OR(E2982="",E2982="!!!",F2982="NEW"),"",COUNTBLANK(OFFSET(A$1,,,SUMPRODUCT(MAX(ROW(E$2:E2982)*(E2982=E$2:E2982)))))-COUNTBLANK(OFFSET(A$1,,,SUMPRODUCT(MAX(ROW(E$1:E2981)*(E2=E$1:E2981))))))</f>
        <v> </v>
      </c>
      <c r="K2982" s="25" t="str">
        <f>IF(OR(E2982="",E2982="!!!",F2982="NEW"),"",INDEX(J$1:J2981,SUMPRODUCT(MAX(ROW(E$1:E2981)*(E2982=E$1:E2981)))))</f>
        <v> </v>
      </c>
      <c r="L2982" s="26"/>
    </row>
    <row r="2983" spans="1:12">
      <c r="A2983" s="20" t="s">
        <v>1018</v>
      </c>
      <c r="E2983" s="21">
        <f>IF(D2983="?OLD","!!!","")</f>
        <v/>
      </c>
      <c r="F2983" s="22" t="str">
        <f>IF(OR(E2983="",E2983="!!!"),"",IF(NOT(ISNA(VLOOKUP(E2983,E$1:E2982,1,FALSE()))),"OLD",IF(AND(E2983&lt;&gt;"",E2983&lt;&gt;"!!!"),"NEW","")))</f>
        <v> </v>
      </c>
      <c r="G2983" s="23" t="str">
        <f>IF(OR(E2983="",E2983="!!!"),"",IF(OR(J2983=0,AND(J2983=1,K2983=1),AND(J2983=1,I2983="SBJ"),AND(J2983=1,I2983=0)),"?IN_FOCUS",IF(J2983&lt;=2,"?ACTIVATED",IF(J2983&lt;&gt;"","?FAMILIAR",IF(F2983="NEW",IF(ISNA(VLOOKUP(E2983,#REF!,1,FALSE())),"?TYPE_IDENTIFIABLE","?REFERENTIAL"),"_")))))</f>
        <v> </v>
      </c>
      <c r="H2983" s="24" t="str">
        <f>IF(J2983&lt;&gt;1,"",IF(I2983="SBJ","CB","?"))</f>
        <v> </v>
      </c>
      <c r="I2983" s="25" t="str">
        <f>IF(OR(E2983="",E2983="!!!",F2983="NEW"),"",INDEX(B2982:B$2,-1+SUMPRODUCT(MAX(ROW(E2982:E$2)*(E2983=E2982:E$2)))))</f>
        <v> </v>
      </c>
      <c r="J2983" s="25" t="str">
        <f>IF(OR(E2983="",E2983="!!!",F2983="NEW"),"",COUNTBLANK(OFFSET(A$1,,,SUMPRODUCT(MAX(ROW(E$2:E2983)*(E2983=E$2:E2983)))))-COUNTBLANK(OFFSET(A$1,,,SUMPRODUCT(MAX(ROW(E$1:E2982)*(E2=E$1:E2982))))))</f>
        <v> </v>
      </c>
      <c r="K2983" s="25" t="str">
        <f>IF(OR(E2983="",E2983="!!!",F2983="NEW"),"",INDEX(J$1:J2982,SUMPRODUCT(MAX(ROW(E$1:E2982)*(E2983=E$1:E2982)))))</f>
        <v> </v>
      </c>
      <c r="L2983" s="26"/>
    </row>
    <row r="2984" spans="1:12">
      <c r="A2984" s="20" t="s">
        <v>2078</v>
      </c>
      <c r="B2984" s="27" t="s">
        <v>1045</v>
      </c>
      <c r="C2984" s="27" t="s">
        <v>1021</v>
      </c>
      <c r="E2984" s="21">
        <f>IF(D2984="?OLD","!!!","")</f>
        <v/>
      </c>
      <c r="F2984" s="22" t="str">
        <f>IF(OR(E2984="",E2984="!!!"),"",IF(NOT(ISNA(VLOOKUP(E2984,E$1:E2983,1,FALSE()))),"OLD",IF(AND(E2984&lt;&gt;"",E2984&lt;&gt;"!!!"),"NEW","")))</f>
        <v> </v>
      </c>
      <c r="G2984" s="23" t="str">
        <f>IF(OR(E2984="",E2984="!!!"),"",IF(OR(J2984=0,AND(J2984=1,K2984=1),AND(J2984=1,I2984="SBJ"),AND(J2984=1,I2984=0)),"?IN_FOCUS",IF(J2984&lt;=2,"?ACTIVATED",IF(J2984&lt;&gt;"","?FAMILIAR",IF(F2984="NEW",IF(ISNA(VLOOKUP(E2984,#REF!,1,FALSE())),"?TYPE_IDENTIFIABLE","?REFERENTIAL"),"_")))))</f>
        <v> </v>
      </c>
      <c r="H2984" s="24" t="str">
        <f>IF(J2984&lt;&gt;1,"",IF(I2984="SBJ","CB","?"))</f>
        <v> </v>
      </c>
      <c r="I2984" s="25" t="str">
        <f>IF(OR(E2984="",E2984="!!!",F2984="NEW"),"",INDEX(B2983:B$2,-1+SUMPRODUCT(MAX(ROW(E2983:E$2)*(E2984=E2983:E$2)))))</f>
        <v> </v>
      </c>
      <c r="J2984" s="25" t="str">
        <f>IF(OR(E2984="",E2984="!!!",F2984="NEW"),"",COUNTBLANK(OFFSET(A$1,,,SUMPRODUCT(MAX(ROW(E$2:E2984)*(E2984=E$2:E2984)))))-COUNTBLANK(OFFSET(A$1,,,SUMPRODUCT(MAX(ROW(E$1:E2983)*(E2=E$1:E2983))))))</f>
        <v> </v>
      </c>
      <c r="K2984" s="25" t="str">
        <f>IF(OR(E2984="",E2984="!!!",F2984="NEW"),"",INDEX(J$1:J2983,SUMPRODUCT(MAX(ROW(E$1:E2983)*(E2984=E$1:E2983)))))</f>
        <v> </v>
      </c>
      <c r="L2984" s="26"/>
    </row>
    <row r="2985" spans="1:12">
      <c r="A2985" s="20" t="s">
        <v>1094</v>
      </c>
      <c r="B2985" s="27" t="s">
        <v>1085</v>
      </c>
      <c r="E2985" s="21">
        <f>IF(D2985="?OLD","!!!","")</f>
        <v/>
      </c>
      <c r="F2985" s="22" t="str">
        <f>IF(OR(E2985="",E2985="!!!"),"",IF(NOT(ISNA(VLOOKUP(E2985,E$1:E2984,1,FALSE()))),"OLD",IF(AND(E2985&lt;&gt;"",E2985&lt;&gt;"!!!"),"NEW","")))</f>
        <v> </v>
      </c>
      <c r="G2985" s="23" t="str">
        <f>IF(OR(E2985="",E2985="!!!"),"",IF(OR(J2985=0,AND(J2985=1,K2985=1),AND(J2985=1,I2985="SBJ"),AND(J2985=1,I2985=0)),"?IN_FOCUS",IF(J2985&lt;=2,"?ACTIVATED",IF(J2985&lt;&gt;"","?FAMILIAR",IF(F2985="NEW",IF(ISNA(VLOOKUP(E2985,#REF!,1,FALSE())),"?TYPE_IDENTIFIABLE","?REFERENTIAL"),"_")))))</f>
        <v> </v>
      </c>
      <c r="H2985" s="24" t="str">
        <f>IF(J2985&lt;&gt;1,"",IF(I2985="SBJ","CB","?"))</f>
        <v> </v>
      </c>
      <c r="I2985" s="25" t="str">
        <f>IF(OR(E2985="",E2985="!!!",F2985="NEW"),"",INDEX(B2984:B$2,-1+SUMPRODUCT(MAX(ROW(E2984:E$2)*(E2985=E2984:E$2)))))</f>
        <v> </v>
      </c>
      <c r="J2985" s="25" t="str">
        <f>IF(OR(E2985="",E2985="!!!",F2985="NEW"),"",COUNTBLANK(OFFSET(A$1,,,SUMPRODUCT(MAX(ROW(E$2:E2985)*(E2985=E$2:E2985)))))-COUNTBLANK(OFFSET(A$1,,,SUMPRODUCT(MAX(ROW(E$1:E2984)*(E2=E$1:E2984))))))</f>
        <v> </v>
      </c>
      <c r="K2985" s="25" t="str">
        <f>IF(OR(E2985="",E2985="!!!",F2985="NEW"),"",INDEX(J$1:J2984,SUMPRODUCT(MAX(ROW(E$1:E2984)*(E2985=E$1:E2984)))))</f>
        <v> </v>
      </c>
      <c r="L2985" s="26"/>
    </row>
    <row r="2986" spans="1:12">
      <c r="A2986" s="20" t="s">
        <v>1034</v>
      </c>
      <c r="E2986" s="21">
        <f>IF(D2986="?OLD","!!!","")</f>
        <v/>
      </c>
      <c r="F2986" s="22" t="str">
        <f>IF(OR(E2986="",E2986="!!!"),"",IF(NOT(ISNA(VLOOKUP(E2986,E$1:E2985,1,FALSE()))),"OLD",IF(AND(E2986&lt;&gt;"",E2986&lt;&gt;"!!!"),"NEW","")))</f>
        <v> </v>
      </c>
      <c r="G2986" s="23" t="str">
        <f>IF(OR(E2986="",E2986="!!!"),"",IF(OR(J2986=0,AND(J2986=1,K2986=1),AND(J2986=1,I2986="SBJ"),AND(J2986=1,I2986=0)),"?IN_FOCUS",IF(J2986&lt;=2,"?ACTIVATED",IF(J2986&lt;&gt;"","?FAMILIAR",IF(F2986="NEW",IF(ISNA(VLOOKUP(E2986,#REF!,1,FALSE())),"?TYPE_IDENTIFIABLE","?REFERENTIAL"),"_")))))</f>
        <v> </v>
      </c>
      <c r="H2986" s="24" t="str">
        <f>IF(J2986&lt;&gt;1,"",IF(I2986="SBJ","CB","?"))</f>
        <v> </v>
      </c>
      <c r="I2986" s="25" t="str">
        <f>IF(OR(E2986="",E2986="!!!",F2986="NEW"),"",INDEX(B2985:B$2,-1+SUMPRODUCT(MAX(ROW(E2985:E$2)*(E2986=E2985:E$2)))))</f>
        <v> </v>
      </c>
      <c r="J2986" s="25" t="str">
        <f>IF(OR(E2986="",E2986="!!!",F2986="NEW"),"",COUNTBLANK(OFFSET(A$1,,,SUMPRODUCT(MAX(ROW(E$2:E2986)*(E2986=E$2:E2986)))))-COUNTBLANK(OFFSET(A$1,,,SUMPRODUCT(MAX(ROW(E$1:E2985)*(E2=E$1:E2985))))))</f>
        <v> </v>
      </c>
      <c r="K2986" s="25" t="str">
        <f>IF(OR(E2986="",E2986="!!!",F2986="NEW"),"",INDEX(J$1:J2985,SUMPRODUCT(MAX(ROW(E$1:E2985)*(E2986=E$1:E2985)))))</f>
        <v> </v>
      </c>
      <c r="L2986" s="26"/>
    </row>
    <row r="2987" spans="1:12">
      <c r="A2987" s="20" t="s">
        <v>2079</v>
      </c>
      <c r="E2987" s="21">
        <f>IF(D2987="?OLD","!!!","")</f>
        <v/>
      </c>
      <c r="F2987" s="22" t="str">
        <f>IF(OR(E2987="",E2987="!!!"),"",IF(NOT(ISNA(VLOOKUP(E2987,E$1:E2986,1,FALSE()))),"OLD",IF(AND(E2987&lt;&gt;"",E2987&lt;&gt;"!!!"),"NEW","")))</f>
        <v> </v>
      </c>
      <c r="G2987" s="23" t="str">
        <f>IF(OR(E2987="",E2987="!!!"),"",IF(OR(J2987=0,AND(J2987=1,K2987=1),AND(J2987=1,I2987="SBJ"),AND(J2987=1,I2987=0)),"?IN_FOCUS",IF(J2987&lt;=2,"?ACTIVATED",IF(J2987&lt;&gt;"","?FAMILIAR",IF(F2987="NEW",IF(ISNA(VLOOKUP(E2987,#REF!,1,FALSE())),"?TYPE_IDENTIFIABLE","?REFERENTIAL"),"_")))))</f>
        <v> </v>
      </c>
      <c r="H2987" s="24" t="str">
        <f>IF(J2987&lt;&gt;1,"",IF(I2987="SBJ","CB","?"))</f>
        <v> </v>
      </c>
      <c r="I2987" s="25" t="str">
        <f>IF(OR(E2987="",E2987="!!!",F2987="NEW"),"",INDEX(B2986:B$2,-1+SUMPRODUCT(MAX(ROW(E2986:E$2)*(E2987=E2986:E$2)))))</f>
        <v> </v>
      </c>
      <c r="J2987" s="25" t="str">
        <f>IF(OR(E2987="",E2987="!!!",F2987="NEW"),"",COUNTBLANK(OFFSET(A$1,,,SUMPRODUCT(MAX(ROW(E$2:E2987)*(E2987=E$2:E2987)))))-COUNTBLANK(OFFSET(A$1,,,SUMPRODUCT(MAX(ROW(E$1:E2986)*(E2=E$1:E2986))))))</f>
        <v> </v>
      </c>
      <c r="K2987" s="25" t="str">
        <f>IF(OR(E2987="",E2987="!!!",F2987="NEW"),"",INDEX(J$1:J2986,SUMPRODUCT(MAX(ROW(E$1:E2986)*(E2987=E$1:E2986)))))</f>
        <v> </v>
      </c>
      <c r="L2987" s="26"/>
    </row>
    <row r="2988" spans="1:12">
      <c r="A2988" s="20" t="s">
        <v>2080</v>
      </c>
      <c r="E2988" s="21">
        <f>IF(D2988="?OLD","!!!","")</f>
        <v/>
      </c>
      <c r="F2988" s="22" t="str">
        <f>IF(OR(E2988="",E2988="!!!"),"",IF(NOT(ISNA(VLOOKUP(E2988,E$1:E2987,1,FALSE()))),"OLD",IF(AND(E2988&lt;&gt;"",E2988&lt;&gt;"!!!"),"NEW","")))</f>
        <v> </v>
      </c>
      <c r="G2988" s="23" t="str">
        <f>IF(OR(E2988="",E2988="!!!"),"",IF(OR(J2988=0,AND(J2988=1,K2988=1),AND(J2988=1,I2988="SBJ"),AND(J2988=1,I2988=0)),"?IN_FOCUS",IF(J2988&lt;=2,"?ACTIVATED",IF(J2988&lt;&gt;"","?FAMILIAR",IF(F2988="NEW",IF(ISNA(VLOOKUP(E2988,#REF!,1,FALSE())),"?TYPE_IDENTIFIABLE","?REFERENTIAL"),"_")))))</f>
        <v> </v>
      </c>
      <c r="H2988" s="24" t="str">
        <f>IF(J2988&lt;&gt;1,"",IF(I2988="SBJ","CB","?"))</f>
        <v> </v>
      </c>
      <c r="I2988" s="25" t="str">
        <f>IF(OR(E2988="",E2988="!!!",F2988="NEW"),"",INDEX(B2987:B$2,-1+SUMPRODUCT(MAX(ROW(E2987:E$2)*(E2988=E2987:E$2)))))</f>
        <v> </v>
      </c>
      <c r="J2988" s="25" t="str">
        <f>IF(OR(E2988="",E2988="!!!",F2988="NEW"),"",COUNTBLANK(OFFSET(A$1,,,SUMPRODUCT(MAX(ROW(E$2:E2988)*(E2988=E$2:E2988)))))-COUNTBLANK(OFFSET(A$1,,,SUMPRODUCT(MAX(ROW(E$1:E2987)*(E2=E$1:E2987))))))</f>
        <v> </v>
      </c>
      <c r="K2988" s="25" t="str">
        <f>IF(OR(E2988="",E2988="!!!",F2988="NEW"),"",INDEX(J$1:J2987,SUMPRODUCT(MAX(ROW(E$1:E2987)*(E2988=E$1:E2987)))))</f>
        <v> </v>
      </c>
      <c r="L2988" s="26"/>
    </row>
    <row r="2989" spans="1:12">
      <c r="A2989" s="20" t="s">
        <v>1188</v>
      </c>
      <c r="E2989" s="21">
        <f>IF(D2989="?OLD","!!!","")</f>
        <v/>
      </c>
      <c r="F2989" s="22" t="str">
        <f>IF(OR(E2989="",E2989="!!!"),"",IF(NOT(ISNA(VLOOKUP(E2989,E$1:E2988,1,FALSE()))),"OLD",IF(AND(E2989&lt;&gt;"",E2989&lt;&gt;"!!!"),"NEW","")))</f>
        <v> </v>
      </c>
      <c r="G2989" s="23" t="str">
        <f>IF(OR(E2989="",E2989="!!!"),"",IF(OR(J2989=0,AND(J2989=1,K2989=1),AND(J2989=1,I2989="SBJ"),AND(J2989=1,I2989=0)),"?IN_FOCUS",IF(J2989&lt;=2,"?ACTIVATED",IF(J2989&lt;&gt;"","?FAMILIAR",IF(F2989="NEW",IF(ISNA(VLOOKUP(E2989,#REF!,1,FALSE())),"?TYPE_IDENTIFIABLE","?REFERENTIAL"),"_")))))</f>
        <v> </v>
      </c>
      <c r="H2989" s="24" t="str">
        <f>IF(J2989&lt;&gt;1,"",IF(I2989="SBJ","CB","?"))</f>
        <v> </v>
      </c>
      <c r="I2989" s="25" t="str">
        <f>IF(OR(E2989="",E2989="!!!",F2989="NEW"),"",INDEX(B2988:B$2,-1+SUMPRODUCT(MAX(ROW(E2988:E$2)*(E2989=E2988:E$2)))))</f>
        <v> </v>
      </c>
      <c r="J2989" s="25" t="str">
        <f>IF(OR(E2989="",E2989="!!!",F2989="NEW"),"",COUNTBLANK(OFFSET(A$1,,,SUMPRODUCT(MAX(ROW(E$2:E2989)*(E2989=E$2:E2989)))))-COUNTBLANK(OFFSET(A$1,,,SUMPRODUCT(MAX(ROW(E$1:E2988)*(E2=E$1:E2988))))))</f>
        <v> </v>
      </c>
      <c r="K2989" s="25" t="str">
        <f>IF(OR(E2989="",E2989="!!!",F2989="NEW"),"",INDEX(J$1:J2988,SUMPRODUCT(MAX(ROW(E$1:E2988)*(E2989=E$1:E2988)))))</f>
        <v> </v>
      </c>
      <c r="L2989" s="26"/>
    </row>
    <row r="2990" spans="1:12">
      <c r="A2990" s="20" t="s">
        <v>1016</v>
      </c>
      <c r="E2990" s="21">
        <f>IF(D2990="?OLD","!!!","")</f>
        <v/>
      </c>
      <c r="F2990" s="22" t="str">
        <f>IF(OR(E2990="",E2990="!!!"),"",IF(NOT(ISNA(VLOOKUP(E2990,E$1:E2989,1,FALSE()))),"OLD",IF(AND(E2990&lt;&gt;"",E2990&lt;&gt;"!!!"),"NEW","")))</f>
        <v> </v>
      </c>
      <c r="G2990" s="23" t="str">
        <f>IF(OR(E2990="",E2990="!!!"),"",IF(OR(J2990=0,AND(J2990=1,K2990=1),AND(J2990=1,I2990="SBJ"),AND(J2990=1,I2990=0)),"?IN_FOCUS",IF(J2990&lt;=2,"?ACTIVATED",IF(J2990&lt;&gt;"","?FAMILIAR",IF(F2990="NEW",IF(ISNA(VLOOKUP(E2990,#REF!,1,FALSE())),"?TYPE_IDENTIFIABLE","?REFERENTIAL"),"_")))))</f>
        <v> </v>
      </c>
      <c r="H2990" s="24" t="str">
        <f>IF(J2990&lt;&gt;1,"",IF(I2990="SBJ","CB","?"))</f>
        <v> </v>
      </c>
      <c r="I2990" s="25" t="str">
        <f>IF(OR(E2990="",E2990="!!!",F2990="NEW"),"",INDEX(B2989:B$2,-1+SUMPRODUCT(MAX(ROW(E2989:E$2)*(E2990=E2989:E$2)))))</f>
        <v> </v>
      </c>
      <c r="J2990" s="25" t="str">
        <f>IF(OR(E2990="",E2990="!!!",F2990="NEW"),"",COUNTBLANK(OFFSET(A$1,,,SUMPRODUCT(MAX(ROW(E$2:E2990)*(E2990=E$2:E2990)))))-COUNTBLANK(OFFSET(A$1,,,SUMPRODUCT(MAX(ROW(E$1:E2989)*(E2=E$1:E2989))))))</f>
        <v> </v>
      </c>
      <c r="K2990" s="25" t="str">
        <f>IF(OR(E2990="",E2990="!!!",F2990="NEW"),"",INDEX(J$1:J2989,SUMPRODUCT(MAX(ROW(E$1:E2989)*(E2990=E$1:E2989)))))</f>
        <v> </v>
      </c>
      <c r="L2990" s="26"/>
    </row>
    <row r="2991" spans="1:12">
      <c r="A2991" s="20" t="s">
        <v>1144</v>
      </c>
      <c r="E2991" s="21">
        <f>IF(D2991="?OLD","!!!","")</f>
        <v/>
      </c>
      <c r="F2991" s="22" t="str">
        <f>IF(OR(E2991="",E2991="!!!"),"",IF(NOT(ISNA(VLOOKUP(E2991,E$1:E2990,1,FALSE()))),"OLD",IF(AND(E2991&lt;&gt;"",E2991&lt;&gt;"!!!"),"NEW","")))</f>
        <v> </v>
      </c>
      <c r="G2991" s="23" t="str">
        <f>IF(OR(E2991="",E2991="!!!"),"",IF(OR(J2991=0,AND(J2991=1,K2991=1),AND(J2991=1,I2991="SBJ"),AND(J2991=1,I2991=0)),"?IN_FOCUS",IF(J2991&lt;=2,"?ACTIVATED",IF(J2991&lt;&gt;"","?FAMILIAR",IF(F2991="NEW",IF(ISNA(VLOOKUP(E2991,#REF!,1,FALSE())),"?TYPE_IDENTIFIABLE","?REFERENTIAL"),"_")))))</f>
        <v> </v>
      </c>
      <c r="H2991" s="24" t="str">
        <f>IF(J2991&lt;&gt;1,"",IF(I2991="SBJ","CB","?"))</f>
        <v> </v>
      </c>
      <c r="I2991" s="25" t="str">
        <f>IF(OR(E2991="",E2991="!!!",F2991="NEW"),"",INDEX(B2990:B$2,-1+SUMPRODUCT(MAX(ROW(E2990:E$2)*(E2991=E2990:E$2)))))</f>
        <v> </v>
      </c>
      <c r="J2991" s="25" t="str">
        <f>IF(OR(E2991="",E2991="!!!",F2991="NEW"),"",COUNTBLANK(OFFSET(A$1,,,SUMPRODUCT(MAX(ROW(E$2:E2991)*(E2991=E$2:E2991)))))-COUNTBLANK(OFFSET(A$1,,,SUMPRODUCT(MAX(ROW(E$1:E2990)*(E2=E$1:E2990))))))</f>
        <v> </v>
      </c>
      <c r="K2991" s="25" t="str">
        <f>IF(OR(E2991="",E2991="!!!",F2991="NEW"),"",INDEX(J$1:J2990,SUMPRODUCT(MAX(ROW(E$1:E2990)*(E2991=E$1:E2990)))))</f>
        <v> </v>
      </c>
      <c r="L2991" s="26"/>
    </row>
    <row r="2992" spans="1:12">
      <c r="A2992" s="20" t="s">
        <v>1472</v>
      </c>
      <c r="B2992" s="27" t="s">
        <v>1103</v>
      </c>
      <c r="C2992" s="27" t="s">
        <v>1042</v>
      </c>
      <c r="E2992" s="21">
        <f>IF(D2992="?OLD","!!!","")</f>
        <v/>
      </c>
      <c r="F2992" s="22" t="str">
        <f>IF(OR(E2992="",E2992="!!!"),"",IF(NOT(ISNA(VLOOKUP(E2992,E$1:E2991,1,FALSE()))),"OLD",IF(AND(E2992&lt;&gt;"",E2992&lt;&gt;"!!!"),"NEW","")))</f>
        <v> </v>
      </c>
      <c r="G2992" s="23" t="str">
        <f>IF(OR(E2992="",E2992="!!!"),"",IF(OR(J2992=0,AND(J2992=1,K2992=1),AND(J2992=1,I2992="SBJ"),AND(J2992=1,I2992=0)),"?IN_FOCUS",IF(J2992&lt;=2,"?ACTIVATED",IF(J2992&lt;&gt;"","?FAMILIAR",IF(F2992="NEW",IF(ISNA(VLOOKUP(E2992,#REF!,1,FALSE())),"?TYPE_IDENTIFIABLE","?REFERENTIAL"),"_")))))</f>
        <v> </v>
      </c>
      <c r="H2992" s="24" t="str">
        <f>IF(J2992&lt;&gt;1,"",IF(I2992="SBJ","CB","?"))</f>
        <v> </v>
      </c>
      <c r="I2992" s="25" t="str">
        <f>IF(OR(E2992="",E2992="!!!",F2992="NEW"),"",INDEX(B2991:B$2,-1+SUMPRODUCT(MAX(ROW(E2991:E$2)*(E2992=E2991:E$2)))))</f>
        <v> </v>
      </c>
      <c r="J2992" s="25" t="str">
        <f>IF(OR(E2992="",E2992="!!!",F2992="NEW"),"",COUNTBLANK(OFFSET(A$1,,,SUMPRODUCT(MAX(ROW(E$2:E2992)*(E2992=E$2:E2992)))))-COUNTBLANK(OFFSET(A$1,,,SUMPRODUCT(MAX(ROW(E$1:E2991)*(E2=E$1:E2991))))))</f>
        <v> </v>
      </c>
      <c r="K2992" s="25" t="str">
        <f>IF(OR(E2992="",E2992="!!!",F2992="NEW"),"",INDEX(J$1:J2991,SUMPRODUCT(MAX(ROW(E$1:E2991)*(E2992=E$1:E2991)))))</f>
        <v> </v>
      </c>
      <c r="L2992" s="26"/>
    </row>
    <row r="2993" spans="1:12">
      <c r="A2993" s="20" t="s">
        <v>1337</v>
      </c>
      <c r="E2993" s="21">
        <f>IF(D2993="?OLD","!!!","")</f>
        <v/>
      </c>
      <c r="F2993" s="22" t="str">
        <f>IF(OR(E2993="",E2993="!!!"),"",IF(NOT(ISNA(VLOOKUP(E2993,E$1:E2992,1,FALSE()))),"OLD",IF(AND(E2993&lt;&gt;"",E2993&lt;&gt;"!!!"),"NEW","")))</f>
        <v> </v>
      </c>
      <c r="G2993" s="23" t="str">
        <f>IF(OR(E2993="",E2993="!!!"),"",IF(OR(J2993=0,AND(J2993=1,K2993=1),AND(J2993=1,I2993="SBJ"),AND(J2993=1,I2993=0)),"?IN_FOCUS",IF(J2993&lt;=2,"?ACTIVATED",IF(J2993&lt;&gt;"","?FAMILIAR",IF(F2993="NEW",IF(ISNA(VLOOKUP(E2993,#REF!,1,FALSE())),"?TYPE_IDENTIFIABLE","?REFERENTIAL"),"_")))))</f>
        <v> </v>
      </c>
      <c r="H2993" s="24" t="str">
        <f>IF(J2993&lt;&gt;1,"",IF(I2993="SBJ","CB","?"))</f>
        <v> </v>
      </c>
      <c r="I2993" s="25" t="str">
        <f>IF(OR(E2993="",E2993="!!!",F2993="NEW"),"",INDEX(B2992:B$2,-1+SUMPRODUCT(MAX(ROW(E2992:E$2)*(E2993=E2992:E$2)))))</f>
        <v> </v>
      </c>
      <c r="J2993" s="25" t="str">
        <f>IF(OR(E2993="",E2993="!!!",F2993="NEW"),"",COUNTBLANK(OFFSET(A$1,,,SUMPRODUCT(MAX(ROW(E$2:E2993)*(E2993=E$2:E2993)))))-COUNTBLANK(OFFSET(A$1,,,SUMPRODUCT(MAX(ROW(E$1:E2992)*(E2=E$1:E2992))))))</f>
        <v> </v>
      </c>
      <c r="K2993" s="25" t="str">
        <f>IF(OR(E2993="",E2993="!!!",F2993="NEW"),"",INDEX(J$1:J2992,SUMPRODUCT(MAX(ROW(E$1:E2992)*(E2993=E$1:E2992)))))</f>
        <v> </v>
      </c>
      <c r="L2993" s="26"/>
    </row>
    <row r="2994" spans="1:12">
      <c r="A2994" s="20" t="s">
        <v>1043</v>
      </c>
      <c r="E2994" s="21">
        <f>IF(D2994="?OLD","!!!","")</f>
        <v/>
      </c>
      <c r="F2994" s="22" t="str">
        <f>IF(OR(E2994="",E2994="!!!"),"",IF(NOT(ISNA(VLOOKUP(E2994,E$1:E2993,1,FALSE()))),"OLD",IF(AND(E2994&lt;&gt;"",E2994&lt;&gt;"!!!"),"NEW","")))</f>
        <v> </v>
      </c>
      <c r="G2994" s="23" t="str">
        <f>IF(OR(E2994="",E2994="!!!"),"",IF(OR(J2994=0,AND(J2994=1,K2994=1),AND(J2994=1,I2994="SBJ"),AND(J2994=1,I2994=0)),"?IN_FOCUS",IF(J2994&lt;=2,"?ACTIVATED",IF(J2994&lt;&gt;"","?FAMILIAR",IF(F2994="NEW",IF(ISNA(VLOOKUP(E2994,#REF!,1,FALSE())),"?TYPE_IDENTIFIABLE","?REFERENTIAL"),"_")))))</f>
        <v> </v>
      </c>
      <c r="H2994" s="24" t="str">
        <f>IF(J2994&lt;&gt;1,"",IF(I2994="SBJ","CB","?"))</f>
        <v> </v>
      </c>
      <c r="I2994" s="25" t="str">
        <f>IF(OR(E2994="",E2994="!!!",F2994="NEW"),"",INDEX(B2993:B$2,-1+SUMPRODUCT(MAX(ROW(E2993:E$2)*(E2994=E2993:E$2)))))</f>
        <v> </v>
      </c>
      <c r="J2994" s="25" t="str">
        <f>IF(OR(E2994="",E2994="!!!",F2994="NEW"),"",COUNTBLANK(OFFSET(A$1,,,SUMPRODUCT(MAX(ROW(E$2:E2994)*(E2994=E$2:E2994)))))-COUNTBLANK(OFFSET(A$1,,,SUMPRODUCT(MAX(ROW(E$1:E2993)*(E2=E$1:E2993))))))</f>
        <v> </v>
      </c>
      <c r="K2994" s="25" t="str">
        <f>IF(OR(E2994="",E2994="!!!",F2994="NEW"),"",INDEX(J$1:J2993,SUMPRODUCT(MAX(ROW(E$1:E2993)*(E2994=E$1:E2993)))))</f>
        <v> </v>
      </c>
      <c r="L2994" s="26"/>
    </row>
    <row r="2995" spans="1:12">
      <c r="A2995" s="20" t="s">
        <v>1156</v>
      </c>
      <c r="B2995" s="27" t="s">
        <v>1066</v>
      </c>
      <c r="C2995" s="27" t="s">
        <v>1046</v>
      </c>
      <c r="D2995" s="27" t="s">
        <v>1030</v>
      </c>
      <c r="E2995" s="21">
        <f>IF(D2995="?OLD","!!!","")</f>
        <v/>
      </c>
      <c r="F2995" s="22" t="str">
        <f>IF(OR(E2995="",E2995="!!!"),"",IF(NOT(ISNA(VLOOKUP(E2995,E$1:E2994,1,FALSE()))),"OLD",IF(AND(E2995&lt;&gt;"",E2995&lt;&gt;"!!!"),"NEW","")))</f>
        <v> </v>
      </c>
      <c r="G2995" s="23" t="str">
        <f>IF(OR(E2995="",E2995="!!!"),"",IF(OR(J2995=0,AND(J2995=1,K2995=1),AND(J2995=1,I2995="SBJ"),AND(J2995=1,I2995=0)),"?IN_FOCUS",IF(J2995&lt;=2,"?ACTIVATED",IF(J2995&lt;&gt;"","?FAMILIAR",IF(F2995="NEW",IF(ISNA(VLOOKUP(E2995,#REF!,1,FALSE())),"?TYPE_IDENTIFIABLE","?REFERENTIAL"),"_")))))</f>
        <v> </v>
      </c>
      <c r="H2995" s="24" t="str">
        <f>IF(J2995&lt;&gt;1,"",IF(I2995="SBJ","CB","?"))</f>
        <v> </v>
      </c>
      <c r="I2995" s="25" t="str">
        <f>IF(OR(E2995="",E2995="!!!",F2995="NEW"),"",INDEX(B2994:B$2,-1+SUMPRODUCT(MAX(ROW(E2994:E$2)*(E2995=E2994:E$2)))))</f>
        <v> </v>
      </c>
      <c r="J2995" s="25" t="str">
        <f>IF(OR(E2995="",E2995="!!!",F2995="NEW"),"",COUNTBLANK(OFFSET(A$1,,,SUMPRODUCT(MAX(ROW(E$2:E2995)*(E2995=E$2:E2995)))))-COUNTBLANK(OFFSET(A$1,,,SUMPRODUCT(MAX(ROW(E$1:E2994)*(E2=E$1:E2994))))))</f>
        <v> </v>
      </c>
      <c r="K2995" s="25" t="str">
        <f>IF(OR(E2995="",E2995="!!!",F2995="NEW"),"",INDEX(J$1:J2994,SUMPRODUCT(MAX(ROW(E$1:E2994)*(E2995=E$1:E2994)))))</f>
        <v> </v>
      </c>
      <c r="L2995" s="26"/>
    </row>
    <row r="2996" spans="1:12">
      <c r="A2996" s="20" t="s">
        <v>135</v>
      </c>
      <c r="E2996" s="21">
        <f>IF(D2996="?OLD","!!!","")</f>
        <v/>
      </c>
      <c r="F2996" s="22" t="str">
        <f>IF(OR(E2996="",E2996="!!!"),"",IF(NOT(ISNA(VLOOKUP(E2996,E$1:E2995,1,FALSE()))),"OLD",IF(AND(E2996&lt;&gt;"",E2996&lt;&gt;"!!!"),"NEW","")))</f>
        <v> </v>
      </c>
      <c r="G2996" s="23" t="str">
        <f>IF(OR(E2996="",E2996="!!!"),"",IF(OR(J2996=0,AND(J2996=1,K2996=1),AND(J2996=1,I2996="SBJ"),AND(J2996=1,I2996=0)),"?IN_FOCUS",IF(J2996&lt;=2,"?ACTIVATED",IF(J2996&lt;&gt;"","?FAMILIAR",IF(F2996="NEW",IF(ISNA(VLOOKUP(E2996,#REF!,1,FALSE())),"?TYPE_IDENTIFIABLE","?REFERENTIAL"),"_")))))</f>
        <v> </v>
      </c>
      <c r="H2996" s="24" t="str">
        <f>IF(J2996&lt;&gt;1,"",IF(I2996="SBJ","CB","?"))</f>
        <v> </v>
      </c>
      <c r="I2996" s="25" t="str">
        <f>IF(OR(E2996="",E2996="!!!",F2996="NEW"),"",INDEX(B2995:B$2,-1+SUMPRODUCT(MAX(ROW(E2995:E$2)*(E2996=E2995:E$2)))))</f>
        <v> </v>
      </c>
      <c r="J2996" s="25" t="str">
        <f>IF(OR(E2996="",E2996="!!!",F2996="NEW"),"",COUNTBLANK(OFFSET(A$1,,,SUMPRODUCT(MAX(ROW(E$2:E2996)*(E2996=E$2:E2996)))))-COUNTBLANK(OFFSET(A$1,,,SUMPRODUCT(MAX(ROW(E$1:E2995)*(E2=E$1:E2995))))))</f>
        <v> </v>
      </c>
      <c r="K2996" s="25" t="str">
        <f>IF(OR(E2996="",E2996="!!!",F2996="NEW"),"",INDEX(J$1:J2995,SUMPRODUCT(MAX(ROW(E$1:E2995)*(E2996=E$1:E2995)))))</f>
        <v> </v>
      </c>
      <c r="L2996" s="26"/>
    </row>
    <row r="2997" spans="1:12">
      <c r="A2997" s="20"/>
    </row>
    <row r="2998" spans="1:12">
      <c r="A2998" s="20" t="s">
        <v>2081</v>
      </c>
    </row>
    <row r="2999" spans="1:12">
      <c r="A2999" s="20" t="s">
        <v>2082</v>
      </c>
      <c r="E2999" s="21">
        <f>IF(D2999="?OLD","!!!","")</f>
        <v/>
      </c>
      <c r="F2999" s="22" t="str">
        <f>IF(OR(E2999="",E2999="!!!"),"",IF(NOT(ISNA(VLOOKUP(E2999,E$1:E2998,1,FALSE()))),"OLD",IF(AND(E2999&lt;&gt;"",E2999&lt;&gt;"!!!"),"NEW","")))</f>
        <v> </v>
      </c>
      <c r="G2999" s="23" t="str">
        <f>IF(OR(E2999="",E2999="!!!"),"",IF(OR(J2999=0,AND(J2999=1,K2999=1),AND(J2999=1,I2999="SBJ"),AND(J2999=1,I2999=0)),"?IN_FOCUS",IF(J2999&lt;=2,"?ACTIVATED",IF(J2999&lt;&gt;"","?FAMILIAR",IF(F2999="NEW",IF(ISNA(VLOOKUP(E2999,#REF!,1,FALSE())),"?TYPE_IDENTIFIABLE","?REFERENTIAL"),"_")))))</f>
        <v> </v>
      </c>
      <c r="H2999" s="24" t="str">
        <f>IF(J2999&lt;&gt;1,"",IF(I2999="SBJ","CB","?"))</f>
        <v> </v>
      </c>
      <c r="I2999" s="25" t="str">
        <f>IF(OR(E2999="",E2999="!!!",F2999="NEW"),"",INDEX(B2998:B$2,-1+SUMPRODUCT(MAX(ROW(E2998:E$2)*(E2999=E2998:E$2)))))</f>
        <v> </v>
      </c>
      <c r="J2999" s="25" t="str">
        <f>IF(OR(E2999="",E2999="!!!",F2999="NEW"),"",COUNTBLANK(OFFSET(A$1,,,SUMPRODUCT(MAX(ROW(E$2:E2999)*(E2999=E$2:E2999)))))-COUNTBLANK(OFFSET(A$1,,,SUMPRODUCT(MAX(ROW(E$1:E2998)*(E2=E$1:E2998))))))</f>
        <v> </v>
      </c>
      <c r="K2999" s="25" t="str">
        <f>IF(OR(E2999="",E2999="!!!",F2999="NEW"),"",INDEX(J$1:J2998,SUMPRODUCT(MAX(ROW(E$1:E2998)*(E2999=E$1:E2998)))))</f>
        <v> </v>
      </c>
      <c r="L2999" s="26"/>
    </row>
    <row r="3000" spans="1:12">
      <c r="A3000" s="20" t="s">
        <v>2083</v>
      </c>
      <c r="B3000" s="27" t="s">
        <v>1045</v>
      </c>
      <c r="C3000" s="27" t="s">
        <v>1015</v>
      </c>
      <c r="E3000" s="21">
        <f>IF(D3000="?OLD","!!!","")</f>
        <v/>
      </c>
      <c r="F3000" s="22" t="str">
        <f>IF(OR(E3000="",E3000="!!!"),"",IF(NOT(ISNA(VLOOKUP(E3000,E$1:E2999,1,FALSE()))),"OLD",IF(AND(E3000&lt;&gt;"",E3000&lt;&gt;"!!!"),"NEW","")))</f>
        <v> </v>
      </c>
      <c r="G3000" s="23" t="str">
        <f>IF(OR(E3000="",E3000="!!!"),"",IF(OR(J3000=0,AND(J3000=1,K3000=1),AND(J3000=1,I3000="SBJ"),AND(J3000=1,I3000=0)),"?IN_FOCUS",IF(J3000&lt;=2,"?ACTIVATED",IF(J3000&lt;&gt;"","?FAMILIAR",IF(F3000="NEW",IF(ISNA(VLOOKUP(E3000,#REF!,1,FALSE())),"?TYPE_IDENTIFIABLE","?REFERENTIAL"),"_")))))</f>
        <v> </v>
      </c>
      <c r="H3000" s="24" t="str">
        <f>IF(J3000&lt;&gt;1,"",IF(I3000="SBJ","CB","?"))</f>
        <v> </v>
      </c>
      <c r="I3000" s="25" t="str">
        <f>IF(OR(E3000="",E3000="!!!",F3000="NEW"),"",INDEX(B2999:B$2,-1+SUMPRODUCT(MAX(ROW(E2999:E$2)*(E3000=E2999:E$2)))))</f>
        <v> </v>
      </c>
      <c r="J3000" s="25" t="str">
        <f>IF(OR(E3000="",E3000="!!!",F3000="NEW"),"",COUNTBLANK(OFFSET(A$1,,,SUMPRODUCT(MAX(ROW(E$2:E3000)*(E3000=E$2:E3000)))))-COUNTBLANK(OFFSET(A$1,,,SUMPRODUCT(MAX(ROW(E$1:E2999)*(E2=E$1:E2999))))))</f>
        <v> </v>
      </c>
      <c r="K3000" s="25" t="str">
        <f>IF(OR(E3000="",E3000="!!!",F3000="NEW"),"",INDEX(J$1:J2999,SUMPRODUCT(MAX(ROW(E$1:E2999)*(E3000=E$1:E2999)))))</f>
        <v> </v>
      </c>
      <c r="L3000" s="26"/>
    </row>
    <row r="3001" spans="1:12">
      <c r="A3001" s="20" t="s">
        <v>1022</v>
      </c>
      <c r="E3001" s="21">
        <f>IF(D3001="?OLD","!!!","")</f>
        <v/>
      </c>
      <c r="F3001" s="22" t="str">
        <f>IF(OR(E3001="",E3001="!!!"),"",IF(NOT(ISNA(VLOOKUP(E3001,E$1:E3000,1,FALSE()))),"OLD",IF(AND(E3001&lt;&gt;"",E3001&lt;&gt;"!!!"),"NEW","")))</f>
        <v> </v>
      </c>
      <c r="G3001" s="23" t="str">
        <f>IF(OR(E3001="",E3001="!!!"),"",IF(OR(J3001=0,AND(J3001=1,K3001=1),AND(J3001=1,I3001="SBJ"),AND(J3001=1,I3001=0)),"?IN_FOCUS",IF(J3001&lt;=2,"?ACTIVATED",IF(J3001&lt;&gt;"","?FAMILIAR",IF(F3001="NEW",IF(ISNA(VLOOKUP(E3001,#REF!,1,FALSE())),"?TYPE_IDENTIFIABLE","?REFERENTIAL"),"_")))))</f>
        <v> </v>
      </c>
      <c r="H3001" s="24" t="str">
        <f>IF(J3001&lt;&gt;1,"",IF(I3001="SBJ","CB","?"))</f>
        <v> </v>
      </c>
      <c r="I3001" s="25" t="str">
        <f>IF(OR(E3001="",E3001="!!!",F3001="NEW"),"",INDEX(B3000:B$2,-1+SUMPRODUCT(MAX(ROW(E3000:E$2)*(E3001=E3000:E$2)))))</f>
        <v> </v>
      </c>
      <c r="J3001" s="25" t="str">
        <f>IF(OR(E3001="",E3001="!!!",F3001="NEW"),"",COUNTBLANK(OFFSET(A$1,,,SUMPRODUCT(MAX(ROW(E$2:E3001)*(E3001=E$2:E3001)))))-COUNTBLANK(OFFSET(A$1,,,SUMPRODUCT(MAX(ROW(E$1:E3000)*(E2=E$1:E3000))))))</f>
        <v> </v>
      </c>
      <c r="K3001" s="25" t="str">
        <f>IF(OR(E3001="",E3001="!!!",F3001="NEW"),"",INDEX(J$1:J3000,SUMPRODUCT(MAX(ROW(E$1:E3000)*(E3001=E$1:E3000)))))</f>
        <v> </v>
      </c>
      <c r="L3001" s="26"/>
    </row>
    <row r="3002" spans="1:12">
      <c r="A3002" s="20" t="s">
        <v>1057</v>
      </c>
      <c r="E3002" s="21">
        <f>IF(D3002="?OLD","!!!","")</f>
        <v/>
      </c>
      <c r="F3002" s="22" t="str">
        <f>IF(OR(E3002="",E3002="!!!"),"",IF(NOT(ISNA(VLOOKUP(E3002,E$1:E3001,1,FALSE()))),"OLD",IF(AND(E3002&lt;&gt;"",E3002&lt;&gt;"!!!"),"NEW","")))</f>
        <v> </v>
      </c>
      <c r="G3002" s="23" t="str">
        <f>IF(OR(E3002="",E3002="!!!"),"",IF(OR(J3002=0,AND(J3002=1,K3002=1),AND(J3002=1,I3002="SBJ"),AND(J3002=1,I3002=0)),"?IN_FOCUS",IF(J3002&lt;=2,"?ACTIVATED",IF(J3002&lt;&gt;"","?FAMILIAR",IF(F3002="NEW",IF(ISNA(VLOOKUP(E3002,#REF!,1,FALSE())),"?TYPE_IDENTIFIABLE","?REFERENTIAL"),"_")))))</f>
        <v> </v>
      </c>
      <c r="H3002" s="24" t="str">
        <f>IF(J3002&lt;&gt;1,"",IF(I3002="SBJ","CB","?"))</f>
        <v> </v>
      </c>
      <c r="I3002" s="25" t="str">
        <f>IF(OR(E3002="",E3002="!!!",F3002="NEW"),"",INDEX(B3001:B$2,-1+SUMPRODUCT(MAX(ROW(E3001:E$2)*(E3002=E3001:E$2)))))</f>
        <v> </v>
      </c>
      <c r="J3002" s="25" t="str">
        <f>IF(OR(E3002="",E3002="!!!",F3002="NEW"),"",COUNTBLANK(OFFSET(A$1,,,SUMPRODUCT(MAX(ROW(E$2:E3002)*(E3002=E$2:E3002)))))-COUNTBLANK(OFFSET(A$1,,,SUMPRODUCT(MAX(ROW(E$1:E3001)*(E2=E$1:E3001))))))</f>
        <v> </v>
      </c>
      <c r="K3002" s="25" t="str">
        <f>IF(OR(E3002="",E3002="!!!",F3002="NEW"),"",INDEX(J$1:J3001,SUMPRODUCT(MAX(ROW(E$1:E3001)*(E3002=E$1:E3001)))))</f>
        <v> </v>
      </c>
      <c r="L3002" s="26"/>
    </row>
    <row r="3003" spans="1:12">
      <c r="A3003" s="20" t="s">
        <v>2084</v>
      </c>
      <c r="E3003" s="21">
        <f>IF(D3003="?OLD","!!!","")</f>
        <v/>
      </c>
      <c r="F3003" s="22" t="str">
        <f>IF(OR(E3003="",E3003="!!!"),"",IF(NOT(ISNA(VLOOKUP(E3003,E$1:E3002,1,FALSE()))),"OLD",IF(AND(E3003&lt;&gt;"",E3003&lt;&gt;"!!!"),"NEW","")))</f>
        <v> </v>
      </c>
      <c r="G3003" s="23" t="str">
        <f>IF(OR(E3003="",E3003="!!!"),"",IF(OR(J3003=0,AND(J3003=1,K3003=1),AND(J3003=1,I3003="SBJ"),AND(J3003=1,I3003=0)),"?IN_FOCUS",IF(J3003&lt;=2,"?ACTIVATED",IF(J3003&lt;&gt;"","?FAMILIAR",IF(F3003="NEW",IF(ISNA(VLOOKUP(E3003,#REF!,1,FALSE())),"?TYPE_IDENTIFIABLE","?REFERENTIAL"),"_")))))</f>
        <v> </v>
      </c>
      <c r="H3003" s="24" t="str">
        <f>IF(J3003&lt;&gt;1,"",IF(I3003="SBJ","CB","?"))</f>
        <v> </v>
      </c>
      <c r="I3003" s="25" t="str">
        <f>IF(OR(E3003="",E3003="!!!",F3003="NEW"),"",INDEX(B3002:B$2,-1+SUMPRODUCT(MAX(ROW(E3002:E$2)*(E3003=E3002:E$2)))))</f>
        <v> </v>
      </c>
      <c r="J3003" s="25" t="str">
        <f>IF(OR(E3003="",E3003="!!!",F3003="NEW"),"",COUNTBLANK(OFFSET(A$1,,,SUMPRODUCT(MAX(ROW(E$2:E3003)*(E3003=E$2:E3003)))))-COUNTBLANK(OFFSET(A$1,,,SUMPRODUCT(MAX(ROW(E$1:E3002)*(E2=E$1:E3002))))))</f>
        <v> </v>
      </c>
      <c r="K3003" s="25" t="str">
        <f>IF(OR(E3003="",E3003="!!!",F3003="NEW"),"",INDEX(J$1:J3002,SUMPRODUCT(MAX(ROW(E$1:E3002)*(E3003=E$1:E3002)))))</f>
        <v> </v>
      </c>
      <c r="L3003" s="26"/>
    </row>
    <row r="3004" spans="1:12">
      <c r="A3004" s="20" t="s">
        <v>1074</v>
      </c>
      <c r="E3004" s="21">
        <f>IF(D3004="?OLD","!!!","")</f>
        <v/>
      </c>
      <c r="F3004" s="22" t="str">
        <f>IF(OR(E3004="",E3004="!!!"),"",IF(NOT(ISNA(VLOOKUP(E3004,E$1:E3003,1,FALSE()))),"OLD",IF(AND(E3004&lt;&gt;"",E3004&lt;&gt;"!!!"),"NEW","")))</f>
        <v> </v>
      </c>
      <c r="G3004" s="23" t="str">
        <f>IF(OR(E3004="",E3004="!!!"),"",IF(OR(J3004=0,AND(J3004=1,K3004=1),AND(J3004=1,I3004="SBJ"),AND(J3004=1,I3004=0)),"?IN_FOCUS",IF(J3004&lt;=2,"?ACTIVATED",IF(J3004&lt;&gt;"","?FAMILIAR",IF(F3004="NEW",IF(ISNA(VLOOKUP(E3004,#REF!,1,FALSE())),"?TYPE_IDENTIFIABLE","?REFERENTIAL"),"_")))))</f>
        <v> </v>
      </c>
      <c r="H3004" s="24" t="str">
        <f>IF(J3004&lt;&gt;1,"",IF(I3004="SBJ","CB","?"))</f>
        <v> </v>
      </c>
      <c r="I3004" s="25" t="str">
        <f>IF(OR(E3004="",E3004="!!!",F3004="NEW"),"",INDEX(B3003:B$2,-1+SUMPRODUCT(MAX(ROW(E3003:E$2)*(E3004=E3003:E$2)))))</f>
        <v> </v>
      </c>
      <c r="J3004" s="25" t="str">
        <f>IF(OR(E3004="",E3004="!!!",F3004="NEW"),"",COUNTBLANK(OFFSET(A$1,,,SUMPRODUCT(MAX(ROW(E$2:E3004)*(E3004=E$2:E3004)))))-COUNTBLANK(OFFSET(A$1,,,SUMPRODUCT(MAX(ROW(E$1:E3003)*(E2=E$1:E3003))))))</f>
        <v> </v>
      </c>
      <c r="K3004" s="25" t="str">
        <f>IF(OR(E3004="",E3004="!!!",F3004="NEW"),"",INDEX(J$1:J3003,SUMPRODUCT(MAX(ROW(E$1:E3003)*(E3004=E$1:E3003)))))</f>
        <v> </v>
      </c>
      <c r="L3004" s="26"/>
    </row>
    <row r="3005" spans="1:12">
      <c r="A3005" s="20" t="s">
        <v>1829</v>
      </c>
      <c r="E3005" s="21">
        <f>IF(D3005="?OLD","!!!","")</f>
        <v/>
      </c>
      <c r="F3005" s="22" t="str">
        <f>IF(OR(E3005="",E3005="!!!"),"",IF(NOT(ISNA(VLOOKUP(E3005,E$1:E3004,1,FALSE()))),"OLD",IF(AND(E3005&lt;&gt;"",E3005&lt;&gt;"!!!"),"NEW","")))</f>
        <v> </v>
      </c>
      <c r="G3005" s="23" t="str">
        <f>IF(OR(E3005="",E3005="!!!"),"",IF(OR(J3005=0,AND(J3005=1,K3005=1),AND(J3005=1,I3005="SBJ"),AND(J3005=1,I3005=0)),"?IN_FOCUS",IF(J3005&lt;=2,"?ACTIVATED",IF(J3005&lt;&gt;"","?FAMILIAR",IF(F3005="NEW",IF(ISNA(VLOOKUP(E3005,#REF!,1,FALSE())),"?TYPE_IDENTIFIABLE","?REFERENTIAL"),"_")))))</f>
        <v> </v>
      </c>
      <c r="H3005" s="24" t="str">
        <f>IF(J3005&lt;&gt;1,"",IF(I3005="SBJ","CB","?"))</f>
        <v> </v>
      </c>
      <c r="I3005" s="25" t="str">
        <f>IF(OR(E3005="",E3005="!!!",F3005="NEW"),"",INDEX(B3004:B$2,-1+SUMPRODUCT(MAX(ROW(E3004:E$2)*(E3005=E3004:E$2)))))</f>
        <v> </v>
      </c>
      <c r="J3005" s="25" t="str">
        <f>IF(OR(E3005="",E3005="!!!",F3005="NEW"),"",COUNTBLANK(OFFSET(A$1,,,SUMPRODUCT(MAX(ROW(E$2:E3005)*(E3005=E$2:E3005)))))-COUNTBLANK(OFFSET(A$1,,,SUMPRODUCT(MAX(ROW(E$1:E3004)*(E2=E$1:E3004))))))</f>
        <v> </v>
      </c>
      <c r="K3005" s="25" t="str">
        <f>IF(OR(E3005="",E3005="!!!",F3005="NEW"),"",INDEX(J$1:J3004,SUMPRODUCT(MAX(ROW(E$1:E3004)*(E3005=E$1:E3004)))))</f>
        <v> </v>
      </c>
      <c r="L3005" s="26"/>
    </row>
    <row r="3006" spans="1:12">
      <c r="A3006" s="20" t="s">
        <v>1369</v>
      </c>
      <c r="B3006" s="27" t="s">
        <v>1069</v>
      </c>
      <c r="C3006" s="27" t="s">
        <v>1050</v>
      </c>
      <c r="D3006" s="27" t="s">
        <v>1030</v>
      </c>
      <c r="E3006" s="21">
        <f>IF(D3006="?OLD","!!!","")</f>
        <v/>
      </c>
      <c r="F3006" s="22" t="str">
        <f>IF(OR(E3006="",E3006="!!!"),"",IF(NOT(ISNA(VLOOKUP(E3006,E$1:E3005,1,FALSE()))),"OLD",IF(AND(E3006&lt;&gt;"",E3006&lt;&gt;"!!!"),"NEW","")))</f>
        <v> </v>
      </c>
      <c r="G3006" s="23" t="str">
        <f>IF(OR(E3006="",E3006="!!!"),"",IF(OR(J3006=0,AND(J3006=1,K3006=1),AND(J3006=1,I3006="SBJ"),AND(J3006=1,I3006=0)),"?IN_FOCUS",IF(J3006&lt;=2,"?ACTIVATED",IF(J3006&lt;&gt;"","?FAMILIAR",IF(F3006="NEW",IF(ISNA(VLOOKUP(E3006,#REF!,1,FALSE())),"?TYPE_IDENTIFIABLE","?REFERENTIAL"),"_")))))</f>
        <v> </v>
      </c>
      <c r="H3006" s="24" t="str">
        <f>IF(J3006&lt;&gt;1,"",IF(I3006="SBJ","CB","?"))</f>
        <v> </v>
      </c>
      <c r="I3006" s="25" t="str">
        <f>IF(OR(E3006="",E3006="!!!",F3006="NEW"),"",INDEX(B3005:B$2,-1+SUMPRODUCT(MAX(ROW(E3005:E$2)*(E3006=E3005:E$2)))))</f>
        <v> </v>
      </c>
      <c r="J3006" s="25" t="str">
        <f>IF(OR(E3006="",E3006="!!!",F3006="NEW"),"",COUNTBLANK(OFFSET(A$1,,,SUMPRODUCT(MAX(ROW(E$2:E3006)*(E3006=E$2:E3006)))))-COUNTBLANK(OFFSET(A$1,,,SUMPRODUCT(MAX(ROW(E$1:E3005)*(E2=E$1:E3005))))))</f>
        <v> </v>
      </c>
      <c r="K3006" s="25" t="str">
        <f>IF(OR(E3006="",E3006="!!!",F3006="NEW"),"",INDEX(J$1:J3005,SUMPRODUCT(MAX(ROW(E$1:E3005)*(E3006=E$1:E3005)))))</f>
        <v> </v>
      </c>
      <c r="L3006" s="26"/>
    </row>
    <row r="3007" spans="1:12">
      <c r="A3007" s="20" t="s">
        <v>1094</v>
      </c>
      <c r="E3007" s="21">
        <f>IF(D3007="?OLD","!!!","")</f>
        <v/>
      </c>
      <c r="F3007" s="22" t="str">
        <f>IF(OR(E3007="",E3007="!!!"),"",IF(NOT(ISNA(VLOOKUP(E3007,E$1:E3006,1,FALSE()))),"OLD",IF(AND(E3007&lt;&gt;"",E3007&lt;&gt;"!!!"),"NEW","")))</f>
        <v> </v>
      </c>
      <c r="G3007" s="23" t="str">
        <f>IF(OR(E3007="",E3007="!!!"),"",IF(OR(J3007=0,AND(J3007=1,K3007=1),AND(J3007=1,I3007="SBJ"),AND(J3007=1,I3007=0)),"?IN_FOCUS",IF(J3007&lt;=2,"?ACTIVATED",IF(J3007&lt;&gt;"","?FAMILIAR",IF(F3007="NEW",IF(ISNA(VLOOKUP(E3007,#REF!,1,FALSE())),"?TYPE_IDENTIFIABLE","?REFERENTIAL"),"_")))))</f>
        <v> </v>
      </c>
      <c r="H3007" s="24" t="str">
        <f>IF(J3007&lt;&gt;1,"",IF(I3007="SBJ","CB","?"))</f>
        <v> </v>
      </c>
      <c r="I3007" s="25" t="str">
        <f>IF(OR(E3007="",E3007="!!!",F3007="NEW"),"",INDEX(B3006:B$2,-1+SUMPRODUCT(MAX(ROW(E3006:E$2)*(E3007=E3006:E$2)))))</f>
        <v> </v>
      </c>
      <c r="J3007" s="25" t="str">
        <f>IF(OR(E3007="",E3007="!!!",F3007="NEW"),"",COUNTBLANK(OFFSET(A$1,,,SUMPRODUCT(MAX(ROW(E$2:E3007)*(E3007=E$2:E3007)))))-COUNTBLANK(OFFSET(A$1,,,SUMPRODUCT(MAX(ROW(E$1:E3006)*(E2=E$1:E3006))))))</f>
        <v> </v>
      </c>
      <c r="K3007" s="25" t="str">
        <f>IF(OR(E3007="",E3007="!!!",F3007="NEW"),"",INDEX(J$1:J3006,SUMPRODUCT(MAX(ROW(E$1:E3006)*(E3007=E$1:E3006)))))</f>
        <v> </v>
      </c>
      <c r="L3007" s="26"/>
    </row>
    <row r="3008" spans="1:12">
      <c r="A3008" s="20" t="s">
        <v>1057</v>
      </c>
      <c r="E3008" s="21">
        <f>IF(D3008="?OLD","!!!","")</f>
        <v/>
      </c>
      <c r="F3008" s="22" t="str">
        <f>IF(OR(E3008="",E3008="!!!"),"",IF(NOT(ISNA(VLOOKUP(E3008,E$1:E3007,1,FALSE()))),"OLD",IF(AND(E3008&lt;&gt;"",E3008&lt;&gt;"!!!"),"NEW","")))</f>
        <v> </v>
      </c>
      <c r="G3008" s="23" t="str">
        <f>IF(OR(E3008="",E3008="!!!"),"",IF(OR(J3008=0,AND(J3008=1,K3008=1),AND(J3008=1,I3008="SBJ"),AND(J3008=1,I3008=0)),"?IN_FOCUS",IF(J3008&lt;=2,"?ACTIVATED",IF(J3008&lt;&gt;"","?FAMILIAR",IF(F3008="NEW",IF(ISNA(VLOOKUP(E3008,#REF!,1,FALSE())),"?TYPE_IDENTIFIABLE","?REFERENTIAL"),"_")))))</f>
        <v> </v>
      </c>
      <c r="H3008" s="24" t="str">
        <f>IF(J3008&lt;&gt;1,"",IF(I3008="SBJ","CB","?"))</f>
        <v> </v>
      </c>
      <c r="I3008" s="25" t="str">
        <f>IF(OR(E3008="",E3008="!!!",F3008="NEW"),"",INDEX(B3007:B$2,-1+SUMPRODUCT(MAX(ROW(E3007:E$2)*(E3008=E3007:E$2)))))</f>
        <v> </v>
      </c>
      <c r="J3008" s="25" t="str">
        <f>IF(OR(E3008="",E3008="!!!",F3008="NEW"),"",COUNTBLANK(OFFSET(A$1,,,SUMPRODUCT(MAX(ROW(E$2:E3008)*(E3008=E$2:E3008)))))-COUNTBLANK(OFFSET(A$1,,,SUMPRODUCT(MAX(ROW(E$1:E3007)*(E2=E$1:E3007))))))</f>
        <v> </v>
      </c>
      <c r="K3008" s="25" t="str">
        <f>IF(OR(E3008="",E3008="!!!",F3008="NEW"),"",INDEX(J$1:J3007,SUMPRODUCT(MAX(ROW(E$1:E3007)*(E3008=E$1:E3007)))))</f>
        <v> </v>
      </c>
      <c r="L3008" s="26"/>
    </row>
    <row r="3009" spans="1:12">
      <c r="A3009" s="20" t="s">
        <v>1049</v>
      </c>
      <c r="E3009" s="21">
        <f>IF(D3009="?OLD","!!!","")</f>
        <v/>
      </c>
      <c r="F3009" s="22" t="str">
        <f>IF(OR(E3009="",E3009="!!!"),"",IF(NOT(ISNA(VLOOKUP(E3009,E$1:E3008,1,FALSE()))),"OLD",IF(AND(E3009&lt;&gt;"",E3009&lt;&gt;"!!!"),"NEW","")))</f>
        <v> </v>
      </c>
      <c r="G3009" s="23" t="str">
        <f>IF(OR(E3009="",E3009="!!!"),"",IF(OR(J3009=0,AND(J3009=1,K3009=1),AND(J3009=1,I3009="SBJ"),AND(J3009=1,I3009=0)),"?IN_FOCUS",IF(J3009&lt;=2,"?ACTIVATED",IF(J3009&lt;&gt;"","?FAMILIAR",IF(F3009="NEW",IF(ISNA(VLOOKUP(E3009,#REF!,1,FALSE())),"?TYPE_IDENTIFIABLE","?REFERENTIAL"),"_")))))</f>
        <v> </v>
      </c>
      <c r="H3009" s="24" t="str">
        <f>IF(J3009&lt;&gt;1,"",IF(I3009="SBJ","CB","?"))</f>
        <v> </v>
      </c>
      <c r="I3009" s="25" t="str">
        <f>IF(OR(E3009="",E3009="!!!",F3009="NEW"),"",INDEX(B3008:B$2,-1+SUMPRODUCT(MAX(ROW(E3008:E$2)*(E3009=E3008:E$2)))))</f>
        <v> </v>
      </c>
      <c r="J3009" s="25" t="str">
        <f>IF(OR(E3009="",E3009="!!!",F3009="NEW"),"",COUNTBLANK(OFFSET(A$1,,,SUMPRODUCT(MAX(ROW(E$2:E3009)*(E3009=E$2:E3009)))))-COUNTBLANK(OFFSET(A$1,,,SUMPRODUCT(MAX(ROW(E$1:E3008)*(E2=E$1:E3008))))))</f>
        <v> </v>
      </c>
      <c r="K3009" s="25" t="str">
        <f>IF(OR(E3009="",E3009="!!!",F3009="NEW"),"",INDEX(J$1:J3008,SUMPRODUCT(MAX(ROW(E$1:E3008)*(E3009=E$1:E3008)))))</f>
        <v> </v>
      </c>
      <c r="L3009" s="26"/>
    </row>
    <row r="3010" spans="1:12">
      <c r="A3010" s="20" t="s">
        <v>1266</v>
      </c>
      <c r="E3010" s="21">
        <f>IF(D3010="?OLD","!!!","")</f>
        <v/>
      </c>
      <c r="F3010" s="22" t="str">
        <f>IF(OR(E3010="",E3010="!!!"),"",IF(NOT(ISNA(VLOOKUP(E3010,E$1:E3009,1,FALSE()))),"OLD",IF(AND(E3010&lt;&gt;"",E3010&lt;&gt;"!!!"),"NEW","")))</f>
        <v> </v>
      </c>
      <c r="G3010" s="23" t="str">
        <f>IF(OR(E3010="",E3010="!!!"),"",IF(OR(J3010=0,AND(J3010=1,K3010=1),AND(J3010=1,I3010="SBJ"),AND(J3010=1,I3010=0)),"?IN_FOCUS",IF(J3010&lt;=2,"?ACTIVATED",IF(J3010&lt;&gt;"","?FAMILIAR",IF(F3010="NEW",IF(ISNA(VLOOKUP(E3010,#REF!,1,FALSE())),"?TYPE_IDENTIFIABLE","?REFERENTIAL"),"_")))))</f>
        <v> </v>
      </c>
      <c r="H3010" s="24" t="str">
        <f>IF(J3010&lt;&gt;1,"",IF(I3010="SBJ","CB","?"))</f>
        <v> </v>
      </c>
      <c r="I3010" s="25" t="str">
        <f>IF(OR(E3010="",E3010="!!!",F3010="NEW"),"",INDEX(B3009:B$2,-1+SUMPRODUCT(MAX(ROW(E3009:E$2)*(E3010=E3009:E$2)))))</f>
        <v> </v>
      </c>
      <c r="J3010" s="25" t="str">
        <f>IF(OR(E3010="",E3010="!!!",F3010="NEW"),"",COUNTBLANK(OFFSET(A$1,,,SUMPRODUCT(MAX(ROW(E$2:E3010)*(E3010=E$2:E3010)))))-COUNTBLANK(OFFSET(A$1,,,SUMPRODUCT(MAX(ROW(E$1:E3009)*(E2=E$1:E3009))))))</f>
        <v> </v>
      </c>
      <c r="K3010" s="25" t="str">
        <f>IF(OR(E3010="",E3010="!!!",F3010="NEW"),"",INDEX(J$1:J3009,SUMPRODUCT(MAX(ROW(E$1:E3009)*(E3010=E$1:E3009)))))</f>
        <v> </v>
      </c>
      <c r="L3010" s="26"/>
    </row>
    <row r="3011" spans="1:12">
      <c r="A3011" s="20" t="s">
        <v>2085</v>
      </c>
      <c r="B3011" s="27" t="s">
        <v>1085</v>
      </c>
      <c r="C3011" s="27" t="s">
        <v>1015</v>
      </c>
      <c r="E3011" s="21">
        <f>IF(D3011="?OLD","!!!","")</f>
        <v/>
      </c>
      <c r="F3011" s="22" t="str">
        <f>IF(OR(E3011="",E3011="!!!"),"",IF(NOT(ISNA(VLOOKUP(E3011,E$1:E3010,1,FALSE()))),"OLD",IF(AND(E3011&lt;&gt;"",E3011&lt;&gt;"!!!"),"NEW","")))</f>
        <v> </v>
      </c>
      <c r="G3011" s="23" t="str">
        <f>IF(OR(E3011="",E3011="!!!"),"",IF(OR(J3011=0,AND(J3011=1,K3011=1),AND(J3011=1,I3011="SBJ"),AND(J3011=1,I3011=0)),"?IN_FOCUS",IF(J3011&lt;=2,"?ACTIVATED",IF(J3011&lt;&gt;"","?FAMILIAR",IF(F3011="NEW",IF(ISNA(VLOOKUP(E3011,#REF!,1,FALSE())),"?TYPE_IDENTIFIABLE","?REFERENTIAL"),"_")))))</f>
        <v> </v>
      </c>
      <c r="H3011" s="24" t="str">
        <f>IF(J3011&lt;&gt;1,"",IF(I3011="SBJ","CB","?"))</f>
        <v> </v>
      </c>
      <c r="I3011" s="25" t="str">
        <f>IF(OR(E3011="",E3011="!!!",F3011="NEW"),"",INDEX(B3010:B$2,-1+SUMPRODUCT(MAX(ROW(E3010:E$2)*(E3011=E3010:E$2)))))</f>
        <v> </v>
      </c>
      <c r="J3011" s="25" t="str">
        <f>IF(OR(E3011="",E3011="!!!",F3011="NEW"),"",COUNTBLANK(OFFSET(A$1,,,SUMPRODUCT(MAX(ROW(E$2:E3011)*(E3011=E$2:E3011)))))-COUNTBLANK(OFFSET(A$1,,,SUMPRODUCT(MAX(ROW(E$1:E3010)*(E2=E$1:E3010))))))</f>
        <v> </v>
      </c>
      <c r="K3011" s="25" t="str">
        <f>IF(OR(E3011="",E3011="!!!",F3011="NEW"),"",INDEX(J$1:J3010,SUMPRODUCT(MAX(ROW(E$1:E3010)*(E3011=E$1:E3010)))))</f>
        <v> </v>
      </c>
      <c r="L3011" s="26"/>
    </row>
    <row r="3012" spans="1:12">
      <c r="A3012" s="20" t="s">
        <v>1175</v>
      </c>
      <c r="E3012" s="21">
        <f>IF(D3012="?OLD","!!!","")</f>
        <v/>
      </c>
      <c r="F3012" s="22" t="str">
        <f>IF(OR(E3012="",E3012="!!!"),"",IF(NOT(ISNA(VLOOKUP(E3012,E$1:E3011,1,FALSE()))),"OLD",IF(AND(E3012&lt;&gt;"",E3012&lt;&gt;"!!!"),"NEW","")))</f>
        <v> </v>
      </c>
      <c r="G3012" s="23" t="str">
        <f>IF(OR(E3012="",E3012="!!!"),"",IF(OR(J3012=0,AND(J3012=1,K3012=1),AND(J3012=1,I3012="SBJ"),AND(J3012=1,I3012=0)),"?IN_FOCUS",IF(J3012&lt;=2,"?ACTIVATED",IF(J3012&lt;&gt;"","?FAMILIAR",IF(F3012="NEW",IF(ISNA(VLOOKUP(E3012,#REF!,1,FALSE())),"?TYPE_IDENTIFIABLE","?REFERENTIAL"),"_")))))</f>
        <v> </v>
      </c>
      <c r="H3012" s="24" t="str">
        <f>IF(J3012&lt;&gt;1,"",IF(I3012="SBJ","CB","?"))</f>
        <v> </v>
      </c>
      <c r="I3012" s="25" t="str">
        <f>IF(OR(E3012="",E3012="!!!",F3012="NEW"),"",INDEX(B3011:B$2,-1+SUMPRODUCT(MAX(ROW(E3011:E$2)*(E3012=E3011:E$2)))))</f>
        <v> </v>
      </c>
      <c r="J3012" s="25" t="str">
        <f>IF(OR(E3012="",E3012="!!!",F3012="NEW"),"",COUNTBLANK(OFFSET(A$1,,,SUMPRODUCT(MAX(ROW(E$2:E3012)*(E3012=E$2:E3012)))))-COUNTBLANK(OFFSET(A$1,,,SUMPRODUCT(MAX(ROW(E$1:E3011)*(E2=E$1:E3011))))))</f>
        <v> </v>
      </c>
      <c r="K3012" s="25" t="str">
        <f>IF(OR(E3012="",E3012="!!!",F3012="NEW"),"",INDEX(J$1:J3011,SUMPRODUCT(MAX(ROW(E$1:E3011)*(E3012=E$1:E3011)))))</f>
        <v> </v>
      </c>
      <c r="L3012" s="26"/>
    </row>
    <row r="3013" spans="1:12">
      <c r="A3013" s="20" t="s">
        <v>1517</v>
      </c>
      <c r="E3013" s="21">
        <f>IF(D3013="?OLD","!!!","")</f>
        <v/>
      </c>
      <c r="F3013" s="22" t="str">
        <f>IF(OR(E3013="",E3013="!!!"),"",IF(NOT(ISNA(VLOOKUP(E3013,E$1:E3012,1,FALSE()))),"OLD",IF(AND(E3013&lt;&gt;"",E3013&lt;&gt;"!!!"),"NEW","")))</f>
        <v> </v>
      </c>
      <c r="G3013" s="23" t="str">
        <f>IF(OR(E3013="",E3013="!!!"),"",IF(OR(J3013=0,AND(J3013=1,K3013=1),AND(J3013=1,I3013="SBJ"),AND(J3013=1,I3013=0)),"?IN_FOCUS",IF(J3013&lt;=2,"?ACTIVATED",IF(J3013&lt;&gt;"","?FAMILIAR",IF(F3013="NEW",IF(ISNA(VLOOKUP(E3013,#REF!,1,FALSE())),"?TYPE_IDENTIFIABLE","?REFERENTIAL"),"_")))))</f>
        <v> </v>
      </c>
      <c r="H3013" s="24" t="str">
        <f>IF(J3013&lt;&gt;1,"",IF(I3013="SBJ","CB","?"))</f>
        <v> </v>
      </c>
      <c r="I3013" s="25" t="str">
        <f>IF(OR(E3013="",E3013="!!!",F3013="NEW"),"",INDEX(B3012:B$2,-1+SUMPRODUCT(MAX(ROW(E3012:E$2)*(E3013=E3012:E$2)))))</f>
        <v> </v>
      </c>
      <c r="J3013" s="25" t="str">
        <f>IF(OR(E3013="",E3013="!!!",F3013="NEW"),"",COUNTBLANK(OFFSET(A$1,,,SUMPRODUCT(MAX(ROW(E$2:E3013)*(E3013=E$2:E3013)))))-COUNTBLANK(OFFSET(A$1,,,SUMPRODUCT(MAX(ROW(E$1:E3012)*(E2=E$1:E3012))))))</f>
        <v> </v>
      </c>
      <c r="K3013" s="25" t="str">
        <f>IF(OR(E3013="",E3013="!!!",F3013="NEW"),"",INDEX(J$1:J3012,SUMPRODUCT(MAX(ROW(E$1:E3012)*(E3013=E$1:E3012)))))</f>
        <v> </v>
      </c>
      <c r="L3013" s="26"/>
    </row>
    <row r="3014" spans="1:12">
      <c r="A3014" s="20" t="s">
        <v>1334</v>
      </c>
      <c r="B3014" s="27" t="s">
        <v>1066</v>
      </c>
      <c r="C3014" s="27" t="s">
        <v>1046</v>
      </c>
      <c r="D3014" s="27" t="s">
        <v>1030</v>
      </c>
      <c r="E3014" s="21">
        <f>IF(D3014="?OLD","!!!","")</f>
        <v/>
      </c>
      <c r="F3014" s="22" t="str">
        <f>IF(OR(E3014="",E3014="!!!"),"",IF(NOT(ISNA(VLOOKUP(E3014,E$1:E3013,1,FALSE()))),"OLD",IF(AND(E3014&lt;&gt;"",E3014&lt;&gt;"!!!"),"NEW","")))</f>
        <v> </v>
      </c>
      <c r="G3014" s="23" t="str">
        <f>IF(OR(E3014="",E3014="!!!"),"",IF(OR(J3014=0,AND(J3014=1,K3014=1),AND(J3014=1,I3014="SBJ"),AND(J3014=1,I3014=0)),"?IN_FOCUS",IF(J3014&lt;=2,"?ACTIVATED",IF(J3014&lt;&gt;"","?FAMILIAR",IF(F3014="NEW",IF(ISNA(VLOOKUP(E3014,#REF!,1,FALSE())),"?TYPE_IDENTIFIABLE","?REFERENTIAL"),"_")))))</f>
        <v> </v>
      </c>
      <c r="H3014" s="24" t="str">
        <f>IF(J3014&lt;&gt;1,"",IF(I3014="SBJ","CB","?"))</f>
        <v> </v>
      </c>
      <c r="I3014" s="25" t="str">
        <f>IF(OR(E3014="",E3014="!!!",F3014="NEW"),"",INDEX(B3013:B$2,-1+SUMPRODUCT(MAX(ROW(E3013:E$2)*(E3014=E3013:E$2)))))</f>
        <v> </v>
      </c>
      <c r="J3014" s="25" t="str">
        <f>IF(OR(E3014="",E3014="!!!",F3014="NEW"),"",COUNTBLANK(OFFSET(A$1,,,SUMPRODUCT(MAX(ROW(E$2:E3014)*(E3014=E$2:E3014)))))-COUNTBLANK(OFFSET(A$1,,,SUMPRODUCT(MAX(ROW(E$1:E3013)*(E2=E$1:E3013))))))</f>
        <v> </v>
      </c>
      <c r="K3014" s="25" t="str">
        <f>IF(OR(E3014="",E3014="!!!",F3014="NEW"),"",INDEX(J$1:J3013,SUMPRODUCT(MAX(ROW(E$1:E3013)*(E3014=E$1:E3013)))))</f>
        <v> </v>
      </c>
      <c r="L3014" s="26"/>
    </row>
    <row r="3015" spans="1:12">
      <c r="A3015" s="20" t="s">
        <v>135</v>
      </c>
      <c r="E3015" s="21">
        <f>IF(D3015="?OLD","!!!","")</f>
        <v/>
      </c>
      <c r="F3015" s="22" t="str">
        <f>IF(OR(E3015="",E3015="!!!"),"",IF(NOT(ISNA(VLOOKUP(E3015,E$1:E3014,1,FALSE()))),"OLD",IF(AND(E3015&lt;&gt;"",E3015&lt;&gt;"!!!"),"NEW","")))</f>
        <v> </v>
      </c>
      <c r="G3015" s="23" t="str">
        <f>IF(OR(E3015="",E3015="!!!"),"",IF(OR(J3015=0,AND(J3015=1,K3015=1),AND(J3015=1,I3015="SBJ"),AND(J3015=1,I3015=0)),"?IN_FOCUS",IF(J3015&lt;=2,"?ACTIVATED",IF(J3015&lt;&gt;"","?FAMILIAR",IF(F3015="NEW",IF(ISNA(VLOOKUP(E3015,#REF!,1,FALSE())),"?TYPE_IDENTIFIABLE","?REFERENTIAL"),"_")))))</f>
        <v> </v>
      </c>
      <c r="H3015" s="24" t="str">
        <f>IF(J3015&lt;&gt;1,"",IF(I3015="SBJ","CB","?"))</f>
        <v> </v>
      </c>
      <c r="I3015" s="25" t="str">
        <f>IF(OR(E3015="",E3015="!!!",F3015="NEW"),"",INDEX(B3014:B$2,-1+SUMPRODUCT(MAX(ROW(E3014:E$2)*(E3015=E3014:E$2)))))</f>
        <v> </v>
      </c>
      <c r="J3015" s="25" t="str">
        <f>IF(OR(E3015="",E3015="!!!",F3015="NEW"),"",COUNTBLANK(OFFSET(A$1,,,SUMPRODUCT(MAX(ROW(E$2:E3015)*(E3015=E$2:E3015)))))-COUNTBLANK(OFFSET(A$1,,,SUMPRODUCT(MAX(ROW(E$1:E3014)*(E2=E$1:E3014))))))</f>
        <v> </v>
      </c>
      <c r="K3015" s="25" t="str">
        <f>IF(OR(E3015="",E3015="!!!",F3015="NEW"),"",INDEX(J$1:J3014,SUMPRODUCT(MAX(ROW(E$1:E3014)*(E3015=E$1:E3014)))))</f>
        <v> </v>
      </c>
      <c r="L3015" s="26"/>
    </row>
    <row r="3016" spans="1:12">
      <c r="A3016" s="20"/>
    </row>
    <row r="3017" spans="1:12">
      <c r="A3017" s="20" t="s">
        <v>2086</v>
      </c>
    </row>
    <row r="3018" spans="1:12">
      <c r="A3018" s="20" t="s">
        <v>1439</v>
      </c>
      <c r="E3018" s="21">
        <f>IF(D3018="?OLD","!!!","")</f>
        <v/>
      </c>
      <c r="F3018" s="22" t="str">
        <f>IF(OR(E3018="",E3018="!!!"),"",IF(NOT(ISNA(VLOOKUP(E3018,E$1:E3017,1,FALSE()))),"OLD",IF(AND(E3018&lt;&gt;"",E3018&lt;&gt;"!!!"),"NEW","")))</f>
        <v> </v>
      </c>
      <c r="G3018" s="23" t="str">
        <f>IF(OR(E3018="",E3018="!!!"),"",IF(OR(J3018=0,AND(J3018=1,K3018=1),AND(J3018=1,I3018="SBJ"),AND(J3018=1,I3018=0)),"?IN_FOCUS",IF(J3018&lt;=2,"?ACTIVATED",IF(J3018&lt;&gt;"","?FAMILIAR",IF(F3018="NEW",IF(ISNA(VLOOKUP(E3018,#REF!,1,FALSE())),"?TYPE_IDENTIFIABLE","?REFERENTIAL"),"_")))))</f>
        <v> </v>
      </c>
      <c r="H3018" s="24" t="str">
        <f>IF(J3018&lt;&gt;1,"",IF(I3018="SBJ","CB","?"))</f>
        <v> </v>
      </c>
      <c r="I3018" s="25" t="str">
        <f>IF(OR(E3018="",E3018="!!!",F3018="NEW"),"",INDEX(B3017:B$2,-1+SUMPRODUCT(MAX(ROW(E3017:E$2)*(E3018=E3017:E$2)))))</f>
        <v> </v>
      </c>
      <c r="J3018" s="25" t="str">
        <f>IF(OR(E3018="",E3018="!!!",F3018="NEW"),"",COUNTBLANK(OFFSET(A$1,,,SUMPRODUCT(MAX(ROW(E$2:E3018)*(E3018=E$2:E3018)))))-COUNTBLANK(OFFSET(A$1,,,SUMPRODUCT(MAX(ROW(E$1:E3017)*(E2=E$1:E3017))))))</f>
        <v> </v>
      </c>
      <c r="K3018" s="25" t="str">
        <f>IF(OR(E3018="",E3018="!!!",F3018="NEW"),"",INDEX(J$1:J3017,SUMPRODUCT(MAX(ROW(E$1:E3017)*(E3018=E$1:E3017)))))</f>
        <v> </v>
      </c>
      <c r="L3018" s="26"/>
    </row>
    <row r="3019" spans="1:12">
      <c r="A3019" s="20" t="s">
        <v>1266</v>
      </c>
      <c r="E3019" s="21">
        <f>IF(D3019="?OLD","!!!","")</f>
        <v/>
      </c>
      <c r="F3019" s="22" t="str">
        <f>IF(OR(E3019="",E3019="!!!"),"",IF(NOT(ISNA(VLOOKUP(E3019,E$1:E3018,1,FALSE()))),"OLD",IF(AND(E3019&lt;&gt;"",E3019&lt;&gt;"!!!"),"NEW","")))</f>
        <v> </v>
      </c>
      <c r="G3019" s="23" t="str">
        <f>IF(OR(E3019="",E3019="!!!"),"",IF(OR(J3019=0,AND(J3019=1,K3019=1),AND(J3019=1,I3019="SBJ"),AND(J3019=1,I3019=0)),"?IN_FOCUS",IF(J3019&lt;=2,"?ACTIVATED",IF(J3019&lt;&gt;"","?FAMILIAR",IF(F3019="NEW",IF(ISNA(VLOOKUP(E3019,#REF!,1,FALSE())),"?TYPE_IDENTIFIABLE","?REFERENTIAL"),"_")))))</f>
        <v> </v>
      </c>
      <c r="H3019" s="24" t="str">
        <f>IF(J3019&lt;&gt;1,"",IF(I3019="SBJ","CB","?"))</f>
        <v> </v>
      </c>
      <c r="I3019" s="25" t="str">
        <f>IF(OR(E3019="",E3019="!!!",F3019="NEW"),"",INDEX(B3018:B$2,-1+SUMPRODUCT(MAX(ROW(E3018:E$2)*(E3019=E3018:E$2)))))</f>
        <v> </v>
      </c>
      <c r="J3019" s="25" t="str">
        <f>IF(OR(E3019="",E3019="!!!",F3019="NEW"),"",COUNTBLANK(OFFSET(A$1,,,SUMPRODUCT(MAX(ROW(E$2:E3019)*(E3019=E$2:E3019)))))-COUNTBLANK(OFFSET(A$1,,,SUMPRODUCT(MAX(ROW(E$1:E3018)*(E2=E$1:E3018))))))</f>
        <v> </v>
      </c>
      <c r="K3019" s="25" t="str">
        <f>IF(OR(E3019="",E3019="!!!",F3019="NEW"),"",INDEX(J$1:J3018,SUMPRODUCT(MAX(ROW(E$1:E3018)*(E3019=E$1:E3018)))))</f>
        <v> </v>
      </c>
      <c r="L3019" s="26"/>
    </row>
    <row r="3020" spans="1:12">
      <c r="A3020" s="20" t="s">
        <v>135</v>
      </c>
      <c r="E3020" s="21">
        <f>IF(D3020="?OLD","!!!","")</f>
        <v/>
      </c>
      <c r="F3020" s="22" t="str">
        <f>IF(OR(E3020="",E3020="!!!"),"",IF(NOT(ISNA(VLOOKUP(E3020,E$1:E3019,1,FALSE()))),"OLD",IF(AND(E3020&lt;&gt;"",E3020&lt;&gt;"!!!"),"NEW","")))</f>
        <v> </v>
      </c>
      <c r="G3020" s="23" t="str">
        <f>IF(OR(E3020="",E3020="!!!"),"",IF(OR(J3020=0,AND(J3020=1,K3020=1),AND(J3020=1,I3020="SBJ"),AND(J3020=1,I3020=0)),"?IN_FOCUS",IF(J3020&lt;=2,"?ACTIVATED",IF(J3020&lt;&gt;"","?FAMILIAR",IF(F3020="NEW",IF(ISNA(VLOOKUP(E3020,#REF!,1,FALSE())),"?TYPE_IDENTIFIABLE","?REFERENTIAL"),"_")))))</f>
        <v> </v>
      </c>
      <c r="H3020" s="24" t="str">
        <f>IF(J3020&lt;&gt;1,"",IF(I3020="SBJ","CB","?"))</f>
        <v> </v>
      </c>
      <c r="I3020" s="25" t="str">
        <f>IF(OR(E3020="",E3020="!!!",F3020="NEW"),"",INDEX(B3019:B$2,-1+SUMPRODUCT(MAX(ROW(E3019:E$2)*(E3020=E3019:E$2)))))</f>
        <v> </v>
      </c>
      <c r="J3020" s="25" t="str">
        <f>IF(OR(E3020="",E3020="!!!",F3020="NEW"),"",COUNTBLANK(OFFSET(A$1,,,SUMPRODUCT(MAX(ROW(E$2:E3020)*(E3020=E$2:E3020)))))-COUNTBLANK(OFFSET(A$1,,,SUMPRODUCT(MAX(ROW(E$1:E3019)*(E2=E$1:E3019))))))</f>
        <v> </v>
      </c>
      <c r="K3020" s="25" t="str">
        <f>IF(OR(E3020="",E3020="!!!",F3020="NEW"),"",INDEX(J$1:J3019,SUMPRODUCT(MAX(ROW(E$1:E3019)*(E3020=E$1:E3019)))))</f>
        <v> </v>
      </c>
      <c r="L3020" s="26"/>
    </row>
    <row r="3021" spans="1:12">
      <c r="A3021" s="20"/>
    </row>
    <row r="3022" spans="1:12">
      <c r="A3022" s="20" t="s">
        <v>2087</v>
      </c>
    </row>
    <row r="3023" spans="1:12">
      <c r="A3023" s="20" t="s">
        <v>1439</v>
      </c>
      <c r="E3023" s="21">
        <f>IF(D3023="?OLD","!!!","")</f>
        <v/>
      </c>
      <c r="F3023" s="22" t="str">
        <f>IF(OR(E3023="",E3023="!!!"),"",IF(NOT(ISNA(VLOOKUP(E3023,E$1:E3022,1,FALSE()))),"OLD",IF(AND(E3023&lt;&gt;"",E3023&lt;&gt;"!!!"),"NEW","")))</f>
        <v> </v>
      </c>
      <c r="G3023" s="23" t="str">
        <f>IF(OR(E3023="",E3023="!!!"),"",IF(OR(J3023=0,AND(J3023=1,K3023=1),AND(J3023=1,I3023="SBJ"),AND(J3023=1,I3023=0)),"?IN_FOCUS",IF(J3023&lt;=2,"?ACTIVATED",IF(J3023&lt;&gt;"","?FAMILIAR",IF(F3023="NEW",IF(ISNA(VLOOKUP(E3023,#REF!,1,FALSE())),"?TYPE_IDENTIFIABLE","?REFERENTIAL"),"_")))))</f>
        <v> </v>
      </c>
      <c r="H3023" s="24" t="str">
        <f>IF(J3023&lt;&gt;1,"",IF(I3023="SBJ","CB","?"))</f>
        <v> </v>
      </c>
      <c r="I3023" s="25" t="str">
        <f>IF(OR(E3023="",E3023="!!!",F3023="NEW"),"",INDEX(B3022:B$2,-1+SUMPRODUCT(MAX(ROW(E3022:E$2)*(E3023=E3022:E$2)))))</f>
        <v> </v>
      </c>
      <c r="J3023" s="25" t="str">
        <f>IF(OR(E3023="",E3023="!!!",F3023="NEW"),"",COUNTBLANK(OFFSET(A$1,,,SUMPRODUCT(MAX(ROW(E$2:E3023)*(E3023=E$2:E3023)))))-COUNTBLANK(OFFSET(A$1,,,SUMPRODUCT(MAX(ROW(E$1:E3022)*(E2=E$1:E3022))))))</f>
        <v> </v>
      </c>
      <c r="K3023" s="25" t="str">
        <f>IF(OR(E3023="",E3023="!!!",F3023="NEW"),"",INDEX(J$1:J3022,SUMPRODUCT(MAX(ROW(E$1:E3022)*(E3023=E$1:E3022)))))</f>
        <v> </v>
      </c>
      <c r="L3023" s="26"/>
    </row>
    <row r="3024" spans="1:12">
      <c r="A3024" s="20" t="s">
        <v>1266</v>
      </c>
      <c r="E3024" s="21">
        <f>IF(D3024="?OLD","!!!","")</f>
        <v/>
      </c>
      <c r="F3024" s="22" t="str">
        <f>IF(OR(E3024="",E3024="!!!"),"",IF(NOT(ISNA(VLOOKUP(E3024,E$1:E3023,1,FALSE()))),"OLD",IF(AND(E3024&lt;&gt;"",E3024&lt;&gt;"!!!"),"NEW","")))</f>
        <v> </v>
      </c>
      <c r="G3024" s="23" t="str">
        <f>IF(OR(E3024="",E3024="!!!"),"",IF(OR(J3024=0,AND(J3024=1,K3024=1),AND(J3024=1,I3024="SBJ"),AND(J3024=1,I3024=0)),"?IN_FOCUS",IF(J3024&lt;=2,"?ACTIVATED",IF(J3024&lt;&gt;"","?FAMILIAR",IF(F3024="NEW",IF(ISNA(VLOOKUP(E3024,#REF!,1,FALSE())),"?TYPE_IDENTIFIABLE","?REFERENTIAL"),"_")))))</f>
        <v> </v>
      </c>
      <c r="H3024" s="24" t="str">
        <f>IF(J3024&lt;&gt;1,"",IF(I3024="SBJ","CB","?"))</f>
        <v> </v>
      </c>
      <c r="I3024" s="25" t="str">
        <f>IF(OR(E3024="",E3024="!!!",F3024="NEW"),"",INDEX(B3023:B$2,-1+SUMPRODUCT(MAX(ROW(E3023:E$2)*(E3024=E3023:E$2)))))</f>
        <v> </v>
      </c>
      <c r="J3024" s="25" t="str">
        <f>IF(OR(E3024="",E3024="!!!",F3024="NEW"),"",COUNTBLANK(OFFSET(A$1,,,SUMPRODUCT(MAX(ROW(E$2:E3024)*(E3024=E$2:E3024)))))-COUNTBLANK(OFFSET(A$1,,,SUMPRODUCT(MAX(ROW(E$1:E3023)*(E2=E$1:E3023))))))</f>
        <v> </v>
      </c>
      <c r="K3024" s="25" t="str">
        <f>IF(OR(E3024="",E3024="!!!",F3024="NEW"),"",INDEX(J$1:J3023,SUMPRODUCT(MAX(ROW(E$1:E3023)*(E3024=E$1:E3023)))))</f>
        <v> </v>
      </c>
      <c r="L3024" s="26"/>
    </row>
    <row r="3025" spans="1:12">
      <c r="A3025" s="20" t="s">
        <v>1499</v>
      </c>
      <c r="E3025" s="21">
        <f>IF(D3025="?OLD","!!!","")</f>
        <v/>
      </c>
      <c r="F3025" s="22" t="str">
        <f>IF(OR(E3025="",E3025="!!!"),"",IF(NOT(ISNA(VLOOKUP(E3025,E$1:E3024,1,FALSE()))),"OLD",IF(AND(E3025&lt;&gt;"",E3025&lt;&gt;"!!!"),"NEW","")))</f>
        <v> </v>
      </c>
      <c r="G3025" s="23" t="str">
        <f>IF(OR(E3025="",E3025="!!!"),"",IF(OR(J3025=0,AND(J3025=1,K3025=1),AND(J3025=1,I3025="SBJ"),AND(J3025=1,I3025=0)),"?IN_FOCUS",IF(J3025&lt;=2,"?ACTIVATED",IF(J3025&lt;&gt;"","?FAMILIAR",IF(F3025="NEW",IF(ISNA(VLOOKUP(E3025,#REF!,1,FALSE())),"?TYPE_IDENTIFIABLE","?REFERENTIAL"),"_")))))</f>
        <v> </v>
      </c>
      <c r="H3025" s="24" t="str">
        <f>IF(J3025&lt;&gt;1,"",IF(I3025="SBJ","CB","?"))</f>
        <v> </v>
      </c>
      <c r="I3025" s="25" t="str">
        <f>IF(OR(E3025="",E3025="!!!",F3025="NEW"),"",INDEX(B3024:B$2,-1+SUMPRODUCT(MAX(ROW(E3024:E$2)*(E3025=E3024:E$2)))))</f>
        <v> </v>
      </c>
      <c r="J3025" s="25" t="str">
        <f>IF(OR(E3025="",E3025="!!!",F3025="NEW"),"",COUNTBLANK(OFFSET(A$1,,,SUMPRODUCT(MAX(ROW(E$2:E3025)*(E3025=E$2:E3025)))))-COUNTBLANK(OFFSET(A$1,,,SUMPRODUCT(MAX(ROW(E$1:E3024)*(E2=E$1:E3024))))))</f>
        <v> </v>
      </c>
      <c r="K3025" s="25" t="str">
        <f>IF(OR(E3025="",E3025="!!!",F3025="NEW"),"",INDEX(J$1:J3024,SUMPRODUCT(MAX(ROW(E$1:E3024)*(E3025=E$1:E3024)))))</f>
        <v> </v>
      </c>
      <c r="L3025" s="26"/>
    </row>
    <row r="3026" spans="1:12">
      <c r="A3026" s="20" t="s">
        <v>135</v>
      </c>
      <c r="E3026" s="21">
        <f>IF(D3026="?OLD","!!!","")</f>
        <v/>
      </c>
      <c r="F3026" s="22" t="str">
        <f>IF(OR(E3026="",E3026="!!!"),"",IF(NOT(ISNA(VLOOKUP(E3026,E$1:E3025,1,FALSE()))),"OLD",IF(AND(E3026&lt;&gt;"",E3026&lt;&gt;"!!!"),"NEW","")))</f>
        <v> </v>
      </c>
      <c r="G3026" s="23" t="str">
        <f>IF(OR(E3026="",E3026="!!!"),"",IF(OR(J3026=0,AND(J3026=1,K3026=1),AND(J3026=1,I3026="SBJ"),AND(J3026=1,I3026=0)),"?IN_FOCUS",IF(J3026&lt;=2,"?ACTIVATED",IF(J3026&lt;&gt;"","?FAMILIAR",IF(F3026="NEW",IF(ISNA(VLOOKUP(E3026,#REF!,1,FALSE())),"?TYPE_IDENTIFIABLE","?REFERENTIAL"),"_")))))</f>
        <v> </v>
      </c>
      <c r="H3026" s="24" t="str">
        <f>IF(J3026&lt;&gt;1,"",IF(I3026="SBJ","CB","?"))</f>
        <v> </v>
      </c>
      <c r="I3026" s="25" t="str">
        <f>IF(OR(E3026="",E3026="!!!",F3026="NEW"),"",INDEX(B3025:B$2,-1+SUMPRODUCT(MAX(ROW(E3025:E$2)*(E3026=E3025:E$2)))))</f>
        <v> </v>
      </c>
      <c r="J3026" s="25" t="str">
        <f>IF(OR(E3026="",E3026="!!!",F3026="NEW"),"",COUNTBLANK(OFFSET(A$1,,,SUMPRODUCT(MAX(ROW(E$2:E3026)*(E3026=E$2:E3026)))))-COUNTBLANK(OFFSET(A$1,,,SUMPRODUCT(MAX(ROW(E$1:E3025)*(E2=E$1:E3025))))))</f>
        <v> </v>
      </c>
      <c r="K3026" s="25" t="str">
        <f>IF(OR(E3026="",E3026="!!!",F3026="NEW"),"",INDEX(J$1:J3025,SUMPRODUCT(MAX(ROW(E$1:E3025)*(E3026=E$1:E3025)))))</f>
        <v> </v>
      </c>
      <c r="L3026" s="26"/>
    </row>
    <row r="3027" spans="1:12">
      <c r="A3027" s="20"/>
    </row>
    <row r="3028" spans="1:12">
      <c r="A3028" s="20" t="s">
        <v>2088</v>
      </c>
    </row>
    <row r="3029" spans="1:12">
      <c r="A3029" s="20" t="s">
        <v>1709</v>
      </c>
      <c r="E3029" s="21">
        <f>IF(D3029="?OLD","!!!","")</f>
        <v/>
      </c>
      <c r="F3029" s="22" t="str">
        <f>IF(OR(E3029="",E3029="!!!"),"",IF(NOT(ISNA(VLOOKUP(E3029,E$1:E3028,1,FALSE()))),"OLD",IF(AND(E3029&lt;&gt;"",E3029&lt;&gt;"!!!"),"NEW","")))</f>
        <v> </v>
      </c>
      <c r="G3029" s="23" t="str">
        <f>IF(OR(E3029="",E3029="!!!"),"",IF(OR(J3029=0,AND(J3029=1,K3029=1),AND(J3029=1,I3029="SBJ"),AND(J3029=1,I3029=0)),"?IN_FOCUS",IF(J3029&lt;=2,"?ACTIVATED",IF(J3029&lt;&gt;"","?FAMILIAR",IF(F3029="NEW",IF(ISNA(VLOOKUP(E3029,#REF!,1,FALSE())),"?TYPE_IDENTIFIABLE","?REFERENTIAL"),"_")))))</f>
        <v> </v>
      </c>
      <c r="H3029" s="24" t="str">
        <f>IF(J3029&lt;&gt;1,"",IF(I3029="SBJ","CB","?"))</f>
        <v> </v>
      </c>
      <c r="I3029" s="25" t="str">
        <f>IF(OR(E3029="",E3029="!!!",F3029="NEW"),"",INDEX(B3028:B$2,-1+SUMPRODUCT(MAX(ROW(E3028:E$2)*(E3029=E3028:E$2)))))</f>
        <v> </v>
      </c>
      <c r="J3029" s="25" t="str">
        <f>IF(OR(E3029="",E3029="!!!",F3029="NEW"),"",COUNTBLANK(OFFSET(A$1,,,SUMPRODUCT(MAX(ROW(E$2:E3029)*(E3029=E$2:E3029)))))-COUNTBLANK(OFFSET(A$1,,,SUMPRODUCT(MAX(ROW(E$1:E3028)*(E2=E$1:E3028))))))</f>
        <v> </v>
      </c>
      <c r="K3029" s="25" t="str">
        <f>IF(OR(E3029="",E3029="!!!",F3029="NEW"),"",INDEX(J$1:J3028,SUMPRODUCT(MAX(ROW(E$1:E3028)*(E3029=E$1:E3028)))))</f>
        <v> </v>
      </c>
      <c r="L3029" s="26"/>
    </row>
    <row r="3030" spans="1:12">
      <c r="A3030" s="20" t="s">
        <v>1022</v>
      </c>
      <c r="E3030" s="21">
        <f>IF(D3030="?OLD","!!!","")</f>
        <v/>
      </c>
      <c r="F3030" s="22" t="str">
        <f>IF(OR(E3030="",E3030="!!!"),"",IF(NOT(ISNA(VLOOKUP(E3030,E$1:E3029,1,FALSE()))),"OLD",IF(AND(E3030&lt;&gt;"",E3030&lt;&gt;"!!!"),"NEW","")))</f>
        <v> </v>
      </c>
      <c r="G3030" s="23" t="str">
        <f>IF(OR(E3030="",E3030="!!!"),"",IF(OR(J3030=0,AND(J3030=1,K3030=1),AND(J3030=1,I3030="SBJ"),AND(J3030=1,I3030=0)),"?IN_FOCUS",IF(J3030&lt;=2,"?ACTIVATED",IF(J3030&lt;&gt;"","?FAMILIAR",IF(F3030="NEW",IF(ISNA(VLOOKUP(E3030,#REF!,1,FALSE())),"?TYPE_IDENTIFIABLE","?REFERENTIAL"),"_")))))</f>
        <v> </v>
      </c>
      <c r="H3030" s="24" t="str">
        <f>IF(J3030&lt;&gt;1,"",IF(I3030="SBJ","CB","?"))</f>
        <v> </v>
      </c>
      <c r="I3030" s="25" t="str">
        <f>IF(OR(E3030="",E3030="!!!",F3030="NEW"),"",INDEX(B3029:B$2,-1+SUMPRODUCT(MAX(ROW(E3029:E$2)*(E3030=E3029:E$2)))))</f>
        <v> </v>
      </c>
      <c r="J3030" s="25" t="str">
        <f>IF(OR(E3030="",E3030="!!!",F3030="NEW"),"",COUNTBLANK(OFFSET(A$1,,,SUMPRODUCT(MAX(ROW(E$2:E3030)*(E3030=E$2:E3030)))))-COUNTBLANK(OFFSET(A$1,,,SUMPRODUCT(MAX(ROW(E$1:E3029)*(E2=E$1:E3029))))))</f>
        <v> </v>
      </c>
      <c r="K3030" s="25" t="str">
        <f>IF(OR(E3030="",E3030="!!!",F3030="NEW"),"",INDEX(J$1:J3029,SUMPRODUCT(MAX(ROW(E$1:E3029)*(E3030=E$1:E3029)))))</f>
        <v> </v>
      </c>
      <c r="L3030" s="26"/>
    </row>
    <row r="3031" spans="1:12">
      <c r="A3031" s="20" t="s">
        <v>1071</v>
      </c>
      <c r="E3031" s="21">
        <f>IF(D3031="?OLD","!!!","")</f>
        <v/>
      </c>
      <c r="F3031" s="22" t="str">
        <f>IF(OR(E3031="",E3031="!!!"),"",IF(NOT(ISNA(VLOOKUP(E3031,E$1:E3030,1,FALSE()))),"OLD",IF(AND(E3031&lt;&gt;"",E3031&lt;&gt;"!!!"),"NEW","")))</f>
        <v> </v>
      </c>
      <c r="G3031" s="23" t="str">
        <f>IF(OR(E3031="",E3031="!!!"),"",IF(OR(J3031=0,AND(J3031=1,K3031=1),AND(J3031=1,I3031="SBJ"),AND(J3031=1,I3031=0)),"?IN_FOCUS",IF(J3031&lt;=2,"?ACTIVATED",IF(J3031&lt;&gt;"","?FAMILIAR",IF(F3031="NEW",IF(ISNA(VLOOKUP(E3031,#REF!,1,FALSE())),"?TYPE_IDENTIFIABLE","?REFERENTIAL"),"_")))))</f>
        <v> </v>
      </c>
      <c r="H3031" s="24" t="str">
        <f>IF(J3031&lt;&gt;1,"",IF(I3031="SBJ","CB","?"))</f>
        <v> </v>
      </c>
      <c r="I3031" s="25" t="str">
        <f>IF(OR(E3031="",E3031="!!!",F3031="NEW"),"",INDEX(B3030:B$2,-1+SUMPRODUCT(MAX(ROW(E3030:E$2)*(E3031=E3030:E$2)))))</f>
        <v> </v>
      </c>
      <c r="J3031" s="25" t="str">
        <f>IF(OR(E3031="",E3031="!!!",F3031="NEW"),"",COUNTBLANK(OFFSET(A$1,,,SUMPRODUCT(MAX(ROW(E$2:E3031)*(E3031=E$2:E3031)))))-COUNTBLANK(OFFSET(A$1,,,SUMPRODUCT(MAX(ROW(E$1:E3030)*(E2=E$1:E3030))))))</f>
        <v> </v>
      </c>
      <c r="K3031" s="25" t="str">
        <f>IF(OR(E3031="",E3031="!!!",F3031="NEW"),"",INDEX(J$1:J3030,SUMPRODUCT(MAX(ROW(E$1:E3030)*(E3031=E$1:E3030)))))</f>
        <v> </v>
      </c>
      <c r="L3031" s="26"/>
    </row>
    <row r="3032" spans="1:12">
      <c r="A3032" s="20" t="s">
        <v>1623</v>
      </c>
      <c r="B3032" s="27" t="s">
        <v>1041</v>
      </c>
      <c r="C3032" s="27" t="s">
        <v>1038</v>
      </c>
      <c r="D3032" s="27" t="s">
        <v>1030</v>
      </c>
      <c r="E3032" s="21">
        <f>IF(D3032="?OLD","!!!","")</f>
        <v/>
      </c>
      <c r="F3032" s="22" t="str">
        <f>IF(OR(E3032="",E3032="!!!"),"",IF(NOT(ISNA(VLOOKUP(E3032,E$1:E3031,1,FALSE()))),"OLD",IF(AND(E3032&lt;&gt;"",E3032&lt;&gt;"!!!"),"NEW","")))</f>
        <v> </v>
      </c>
      <c r="G3032" s="23" t="str">
        <f>IF(OR(E3032="",E3032="!!!"),"",IF(OR(J3032=0,AND(J3032=1,K3032=1),AND(J3032=1,I3032="SBJ"),AND(J3032=1,I3032=0)),"?IN_FOCUS",IF(J3032&lt;=2,"?ACTIVATED",IF(J3032&lt;&gt;"","?FAMILIAR",IF(F3032="NEW",IF(ISNA(VLOOKUP(E3032,#REF!,1,FALSE())),"?TYPE_IDENTIFIABLE","?REFERENTIAL"),"_")))))</f>
        <v> </v>
      </c>
      <c r="H3032" s="24" t="str">
        <f>IF(J3032&lt;&gt;1,"",IF(I3032="SBJ","CB","?"))</f>
        <v> </v>
      </c>
      <c r="I3032" s="25" t="str">
        <f>IF(OR(E3032="",E3032="!!!",F3032="NEW"),"",INDEX(B3031:B$2,-1+SUMPRODUCT(MAX(ROW(E3031:E$2)*(E3032=E3031:E$2)))))</f>
        <v> </v>
      </c>
      <c r="J3032" s="25" t="str">
        <f>IF(OR(E3032="",E3032="!!!",F3032="NEW"),"",COUNTBLANK(OFFSET(A$1,,,SUMPRODUCT(MAX(ROW(E$2:E3032)*(E3032=E$2:E3032)))))-COUNTBLANK(OFFSET(A$1,,,SUMPRODUCT(MAX(ROW(E$1:E3031)*(E2=E$1:E3031))))))</f>
        <v> </v>
      </c>
      <c r="K3032" s="25" t="str">
        <f>IF(OR(E3032="",E3032="!!!",F3032="NEW"),"",INDEX(J$1:J3031,SUMPRODUCT(MAX(ROW(E$1:E3031)*(E3032=E$1:E3031)))))</f>
        <v> </v>
      </c>
      <c r="L3032" s="26"/>
    </row>
    <row r="3033" spans="1:12">
      <c r="A3033" s="20" t="s">
        <v>1188</v>
      </c>
      <c r="E3033" s="21">
        <f>IF(D3033="?OLD","!!!","")</f>
        <v/>
      </c>
      <c r="F3033" s="22" t="str">
        <f>IF(OR(E3033="",E3033="!!!"),"",IF(NOT(ISNA(VLOOKUP(E3033,E$1:E3032,1,FALSE()))),"OLD",IF(AND(E3033&lt;&gt;"",E3033&lt;&gt;"!!!"),"NEW","")))</f>
        <v> </v>
      </c>
      <c r="G3033" s="23" t="str">
        <f>IF(OR(E3033="",E3033="!!!"),"",IF(OR(J3033=0,AND(J3033=1,K3033=1),AND(J3033=1,I3033="SBJ"),AND(J3033=1,I3033=0)),"?IN_FOCUS",IF(J3033&lt;=2,"?ACTIVATED",IF(J3033&lt;&gt;"","?FAMILIAR",IF(F3033="NEW",IF(ISNA(VLOOKUP(E3033,#REF!,1,FALSE())),"?TYPE_IDENTIFIABLE","?REFERENTIAL"),"_")))))</f>
        <v> </v>
      </c>
      <c r="H3033" s="24" t="str">
        <f>IF(J3033&lt;&gt;1,"",IF(I3033="SBJ","CB","?"))</f>
        <v> </v>
      </c>
      <c r="I3033" s="25" t="str">
        <f>IF(OR(E3033="",E3033="!!!",F3033="NEW"),"",INDEX(B3032:B$2,-1+SUMPRODUCT(MAX(ROW(E3032:E$2)*(E3033=E3032:E$2)))))</f>
        <v> </v>
      </c>
      <c r="J3033" s="25" t="str">
        <f>IF(OR(E3033="",E3033="!!!",F3033="NEW"),"",COUNTBLANK(OFFSET(A$1,,,SUMPRODUCT(MAX(ROW(E$2:E3033)*(E3033=E$2:E3033)))))-COUNTBLANK(OFFSET(A$1,,,SUMPRODUCT(MAX(ROW(E$1:E3032)*(E2=E$1:E3032))))))</f>
        <v> </v>
      </c>
      <c r="K3033" s="25" t="str">
        <f>IF(OR(E3033="",E3033="!!!",F3033="NEW"),"",INDEX(J$1:J3032,SUMPRODUCT(MAX(ROW(E$1:E3032)*(E3033=E$1:E3032)))))</f>
        <v> </v>
      </c>
      <c r="L3033" s="26"/>
    </row>
    <row r="3034" spans="1:12">
      <c r="A3034" s="20" t="s">
        <v>2089</v>
      </c>
      <c r="E3034" s="21">
        <f>IF(D3034="?OLD","!!!","")</f>
        <v/>
      </c>
      <c r="F3034" s="22" t="str">
        <f>IF(OR(E3034="",E3034="!!!"),"",IF(NOT(ISNA(VLOOKUP(E3034,E$1:E3033,1,FALSE()))),"OLD",IF(AND(E3034&lt;&gt;"",E3034&lt;&gt;"!!!"),"NEW","")))</f>
        <v> </v>
      </c>
      <c r="G3034" s="23" t="str">
        <f>IF(OR(E3034="",E3034="!!!"),"",IF(OR(J3034=0,AND(J3034=1,K3034=1),AND(J3034=1,I3034="SBJ"),AND(J3034=1,I3034=0)),"?IN_FOCUS",IF(J3034&lt;=2,"?ACTIVATED",IF(J3034&lt;&gt;"","?FAMILIAR",IF(F3034="NEW",IF(ISNA(VLOOKUP(E3034,#REF!,1,FALSE())),"?TYPE_IDENTIFIABLE","?REFERENTIAL"),"_")))))</f>
        <v> </v>
      </c>
      <c r="H3034" s="24" t="str">
        <f>IF(J3034&lt;&gt;1,"",IF(I3034="SBJ","CB","?"))</f>
        <v> </v>
      </c>
      <c r="I3034" s="25" t="str">
        <f>IF(OR(E3034="",E3034="!!!",F3034="NEW"),"",INDEX(B3033:B$2,-1+SUMPRODUCT(MAX(ROW(E3033:E$2)*(E3034=E3033:E$2)))))</f>
        <v> </v>
      </c>
      <c r="J3034" s="25" t="str">
        <f>IF(OR(E3034="",E3034="!!!",F3034="NEW"),"",COUNTBLANK(OFFSET(A$1,,,SUMPRODUCT(MAX(ROW(E$2:E3034)*(E3034=E$2:E3034)))))-COUNTBLANK(OFFSET(A$1,,,SUMPRODUCT(MAX(ROW(E$1:E3033)*(E2=E$1:E3033))))))</f>
        <v> </v>
      </c>
      <c r="K3034" s="25" t="str">
        <f>IF(OR(E3034="",E3034="!!!",F3034="NEW"),"",INDEX(J$1:J3033,SUMPRODUCT(MAX(ROW(E$1:E3033)*(E3034=E$1:E3033)))))</f>
        <v> </v>
      </c>
      <c r="L3034" s="26"/>
    </row>
    <row r="3035" spans="1:12">
      <c r="A3035" s="20" t="s">
        <v>1025</v>
      </c>
      <c r="E3035" s="21">
        <f>IF(D3035="?OLD","!!!","")</f>
        <v/>
      </c>
      <c r="F3035" s="22" t="str">
        <f>IF(OR(E3035="",E3035="!!!"),"",IF(NOT(ISNA(VLOOKUP(E3035,E$1:E3034,1,FALSE()))),"OLD",IF(AND(E3035&lt;&gt;"",E3035&lt;&gt;"!!!"),"NEW","")))</f>
        <v> </v>
      </c>
      <c r="G3035" s="23" t="str">
        <f>IF(OR(E3035="",E3035="!!!"),"",IF(OR(J3035=0,AND(J3035=1,K3035=1),AND(J3035=1,I3035="SBJ"),AND(J3035=1,I3035=0)),"?IN_FOCUS",IF(J3035&lt;=2,"?ACTIVATED",IF(J3035&lt;&gt;"","?FAMILIAR",IF(F3035="NEW",IF(ISNA(VLOOKUP(E3035,#REF!,1,FALSE())),"?TYPE_IDENTIFIABLE","?REFERENTIAL"),"_")))))</f>
        <v> </v>
      </c>
      <c r="H3035" s="24" t="str">
        <f>IF(J3035&lt;&gt;1,"",IF(I3035="SBJ","CB","?"))</f>
        <v> </v>
      </c>
      <c r="I3035" s="25" t="str">
        <f>IF(OR(E3035="",E3035="!!!",F3035="NEW"),"",INDEX(B3034:B$2,-1+SUMPRODUCT(MAX(ROW(E3034:E$2)*(E3035=E3034:E$2)))))</f>
        <v> </v>
      </c>
      <c r="J3035" s="25" t="str">
        <f>IF(OR(E3035="",E3035="!!!",F3035="NEW"),"",COUNTBLANK(OFFSET(A$1,,,SUMPRODUCT(MAX(ROW(E$2:E3035)*(E3035=E$2:E3035)))))-COUNTBLANK(OFFSET(A$1,,,SUMPRODUCT(MAX(ROW(E$1:E3034)*(E2=E$1:E3034))))))</f>
        <v> </v>
      </c>
      <c r="K3035" s="25" t="str">
        <f>IF(OR(E3035="",E3035="!!!",F3035="NEW"),"",INDEX(J$1:J3034,SUMPRODUCT(MAX(ROW(E$1:E3034)*(E3035=E$1:E3034)))))</f>
        <v> </v>
      </c>
      <c r="L3035" s="26"/>
    </row>
    <row r="3036" spans="1:12">
      <c r="A3036" s="20" t="s">
        <v>1357</v>
      </c>
      <c r="E3036" s="21">
        <f>IF(D3036="?OLD","!!!","")</f>
        <v/>
      </c>
      <c r="F3036" s="22" t="str">
        <f>IF(OR(E3036="",E3036="!!!"),"",IF(NOT(ISNA(VLOOKUP(E3036,E$1:E3035,1,FALSE()))),"OLD",IF(AND(E3036&lt;&gt;"",E3036&lt;&gt;"!!!"),"NEW","")))</f>
        <v> </v>
      </c>
      <c r="G3036" s="23" t="str">
        <f>IF(OR(E3036="",E3036="!!!"),"",IF(OR(J3036=0,AND(J3036=1,K3036=1),AND(J3036=1,I3036="SBJ"),AND(J3036=1,I3036=0)),"?IN_FOCUS",IF(J3036&lt;=2,"?ACTIVATED",IF(J3036&lt;&gt;"","?FAMILIAR",IF(F3036="NEW",IF(ISNA(VLOOKUP(E3036,#REF!,1,FALSE())),"?TYPE_IDENTIFIABLE","?REFERENTIAL"),"_")))))</f>
        <v> </v>
      </c>
      <c r="H3036" s="24" t="str">
        <f>IF(J3036&lt;&gt;1,"",IF(I3036="SBJ","CB","?"))</f>
        <v> </v>
      </c>
      <c r="I3036" s="25" t="str">
        <f>IF(OR(E3036="",E3036="!!!",F3036="NEW"),"",INDEX(B3035:B$2,-1+SUMPRODUCT(MAX(ROW(E3035:E$2)*(E3036=E3035:E$2)))))</f>
        <v> </v>
      </c>
      <c r="J3036" s="25" t="str">
        <f>IF(OR(E3036="",E3036="!!!",F3036="NEW"),"",COUNTBLANK(OFFSET(A$1,,,SUMPRODUCT(MAX(ROW(E$2:E3036)*(E3036=E$2:E3036)))))-COUNTBLANK(OFFSET(A$1,,,SUMPRODUCT(MAX(ROW(E$1:E3035)*(E2=E$1:E3035))))))</f>
        <v> </v>
      </c>
      <c r="K3036" s="25" t="str">
        <f>IF(OR(E3036="",E3036="!!!",F3036="NEW"),"",INDEX(J$1:J3035,SUMPRODUCT(MAX(ROW(E$1:E3035)*(E3036=E$1:E3035)))))</f>
        <v> </v>
      </c>
      <c r="L3036" s="26"/>
    </row>
    <row r="3037" spans="1:12">
      <c r="A3037" s="20" t="s">
        <v>1381</v>
      </c>
      <c r="E3037" s="21">
        <f>IF(D3037="?OLD","!!!","")</f>
        <v/>
      </c>
      <c r="F3037" s="22" t="str">
        <f>IF(OR(E3037="",E3037="!!!"),"",IF(NOT(ISNA(VLOOKUP(E3037,E$1:E3036,1,FALSE()))),"OLD",IF(AND(E3037&lt;&gt;"",E3037&lt;&gt;"!!!"),"NEW","")))</f>
        <v> </v>
      </c>
      <c r="G3037" s="23" t="str">
        <f>IF(OR(E3037="",E3037="!!!"),"",IF(OR(J3037=0,AND(J3037=1,K3037=1),AND(J3037=1,I3037="SBJ"),AND(J3037=1,I3037=0)),"?IN_FOCUS",IF(J3037&lt;=2,"?ACTIVATED",IF(J3037&lt;&gt;"","?FAMILIAR",IF(F3037="NEW",IF(ISNA(VLOOKUP(E3037,#REF!,1,FALSE())),"?TYPE_IDENTIFIABLE","?REFERENTIAL"),"_")))))</f>
        <v> </v>
      </c>
      <c r="H3037" s="24" t="str">
        <f>IF(J3037&lt;&gt;1,"",IF(I3037="SBJ","CB","?"))</f>
        <v> </v>
      </c>
      <c r="I3037" s="25" t="str">
        <f>IF(OR(E3037="",E3037="!!!",F3037="NEW"),"",INDEX(B3036:B$2,-1+SUMPRODUCT(MAX(ROW(E3036:E$2)*(E3037=E3036:E$2)))))</f>
        <v> </v>
      </c>
      <c r="J3037" s="25" t="str">
        <f>IF(OR(E3037="",E3037="!!!",F3037="NEW"),"",COUNTBLANK(OFFSET(A$1,,,SUMPRODUCT(MAX(ROW(E$2:E3037)*(E3037=E$2:E3037)))))-COUNTBLANK(OFFSET(A$1,,,SUMPRODUCT(MAX(ROW(E$1:E3036)*(E2=E$1:E3036))))))</f>
        <v> </v>
      </c>
      <c r="K3037" s="25" t="str">
        <f>IF(OR(E3037="",E3037="!!!",F3037="NEW"),"",INDEX(J$1:J3036,SUMPRODUCT(MAX(ROW(E$1:E3036)*(E3037=E$1:E3036)))))</f>
        <v> </v>
      </c>
      <c r="L3037" s="26"/>
    </row>
    <row r="3038" spans="1:12">
      <c r="A3038" s="20" t="s">
        <v>1025</v>
      </c>
      <c r="E3038" s="21">
        <f>IF(D3038="?OLD","!!!","")</f>
        <v/>
      </c>
      <c r="F3038" s="22" t="str">
        <f>IF(OR(E3038="",E3038="!!!"),"",IF(NOT(ISNA(VLOOKUP(E3038,E$1:E3037,1,FALSE()))),"OLD",IF(AND(E3038&lt;&gt;"",E3038&lt;&gt;"!!!"),"NEW","")))</f>
        <v> </v>
      </c>
      <c r="G3038" s="23" t="str">
        <f>IF(OR(E3038="",E3038="!!!"),"",IF(OR(J3038=0,AND(J3038=1,K3038=1),AND(J3038=1,I3038="SBJ"),AND(J3038=1,I3038=0)),"?IN_FOCUS",IF(J3038&lt;=2,"?ACTIVATED",IF(J3038&lt;&gt;"","?FAMILIAR",IF(F3038="NEW",IF(ISNA(VLOOKUP(E3038,#REF!,1,FALSE())),"?TYPE_IDENTIFIABLE","?REFERENTIAL"),"_")))))</f>
        <v> </v>
      </c>
      <c r="H3038" s="24" t="str">
        <f>IF(J3038&lt;&gt;1,"",IF(I3038="SBJ","CB","?"))</f>
        <v> </v>
      </c>
      <c r="I3038" s="25" t="str">
        <f>IF(OR(E3038="",E3038="!!!",F3038="NEW"),"",INDEX(B3037:B$2,-1+SUMPRODUCT(MAX(ROW(E3037:E$2)*(E3038=E3037:E$2)))))</f>
        <v> </v>
      </c>
      <c r="J3038" s="25" t="str">
        <f>IF(OR(E3038="",E3038="!!!",F3038="NEW"),"",COUNTBLANK(OFFSET(A$1,,,SUMPRODUCT(MAX(ROW(E$2:E3038)*(E3038=E$2:E3038)))))-COUNTBLANK(OFFSET(A$1,,,SUMPRODUCT(MAX(ROW(E$1:E3037)*(E2=E$1:E3037))))))</f>
        <v> </v>
      </c>
      <c r="K3038" s="25" t="str">
        <f>IF(OR(E3038="",E3038="!!!",F3038="NEW"),"",INDEX(J$1:J3037,SUMPRODUCT(MAX(ROW(E$1:E3037)*(E3038=E$1:E3037)))))</f>
        <v> </v>
      </c>
      <c r="L3038" s="26"/>
    </row>
    <row r="3039" spans="1:12">
      <c r="A3039" s="20" t="s">
        <v>2090</v>
      </c>
      <c r="B3039" s="27" t="s">
        <v>1079</v>
      </c>
      <c r="C3039" s="27" t="s">
        <v>1015</v>
      </c>
      <c r="E3039" s="21">
        <f>IF(D3039="?OLD","!!!","")</f>
        <v/>
      </c>
      <c r="F3039" s="22" t="str">
        <f>IF(OR(E3039="",E3039="!!!"),"",IF(NOT(ISNA(VLOOKUP(E3039,E$1:E3038,1,FALSE()))),"OLD",IF(AND(E3039&lt;&gt;"",E3039&lt;&gt;"!!!"),"NEW","")))</f>
        <v> </v>
      </c>
      <c r="G3039" s="23" t="str">
        <f>IF(OR(E3039="",E3039="!!!"),"",IF(OR(J3039=0,AND(J3039=1,K3039=1),AND(J3039=1,I3039="SBJ"),AND(J3039=1,I3039=0)),"?IN_FOCUS",IF(J3039&lt;=2,"?ACTIVATED",IF(J3039&lt;&gt;"","?FAMILIAR",IF(F3039="NEW",IF(ISNA(VLOOKUP(E3039,#REF!,1,FALSE())),"?TYPE_IDENTIFIABLE","?REFERENTIAL"),"_")))))</f>
        <v> </v>
      </c>
      <c r="H3039" s="24" t="str">
        <f>IF(J3039&lt;&gt;1,"",IF(I3039="SBJ","CB","?"))</f>
        <v> </v>
      </c>
      <c r="I3039" s="25" t="str">
        <f>IF(OR(E3039="",E3039="!!!",F3039="NEW"),"",INDEX(B3038:B$2,-1+SUMPRODUCT(MAX(ROW(E3038:E$2)*(E3039=E3038:E$2)))))</f>
        <v> </v>
      </c>
      <c r="J3039" s="25" t="str">
        <f>IF(OR(E3039="",E3039="!!!",F3039="NEW"),"",COUNTBLANK(OFFSET(A$1,,,SUMPRODUCT(MAX(ROW(E$2:E3039)*(E3039=E$2:E3039)))))-COUNTBLANK(OFFSET(A$1,,,SUMPRODUCT(MAX(ROW(E$1:E3038)*(E2=E$1:E3038))))))</f>
        <v> </v>
      </c>
      <c r="K3039" s="25" t="str">
        <f>IF(OR(E3039="",E3039="!!!",F3039="NEW"),"",INDEX(J$1:J3038,SUMPRODUCT(MAX(ROW(E$1:E3038)*(E3039=E$1:E3038)))))</f>
        <v> </v>
      </c>
      <c r="L3039" s="26"/>
    </row>
    <row r="3040" spans="1:12">
      <c r="A3040" s="20" t="s">
        <v>1721</v>
      </c>
      <c r="E3040" s="21">
        <f>IF(D3040="?OLD","!!!","")</f>
        <v/>
      </c>
      <c r="F3040" s="22" t="str">
        <f>IF(OR(E3040="",E3040="!!!"),"",IF(NOT(ISNA(VLOOKUP(E3040,E$1:E3039,1,FALSE()))),"OLD",IF(AND(E3040&lt;&gt;"",E3040&lt;&gt;"!!!"),"NEW","")))</f>
        <v> </v>
      </c>
      <c r="G3040" s="23" t="str">
        <f>IF(OR(E3040="",E3040="!!!"),"",IF(OR(J3040=0,AND(J3040=1,K3040=1),AND(J3040=1,I3040="SBJ"),AND(J3040=1,I3040=0)),"?IN_FOCUS",IF(J3040&lt;=2,"?ACTIVATED",IF(J3040&lt;&gt;"","?FAMILIAR",IF(F3040="NEW",IF(ISNA(VLOOKUP(E3040,#REF!,1,FALSE())),"?TYPE_IDENTIFIABLE","?REFERENTIAL"),"_")))))</f>
        <v> </v>
      </c>
      <c r="H3040" s="24" t="str">
        <f>IF(J3040&lt;&gt;1,"",IF(I3040="SBJ","CB","?"))</f>
        <v> </v>
      </c>
      <c r="I3040" s="25" t="str">
        <f>IF(OR(E3040="",E3040="!!!",F3040="NEW"),"",INDEX(B3039:B$2,-1+SUMPRODUCT(MAX(ROW(E3039:E$2)*(E3040=E3039:E$2)))))</f>
        <v> </v>
      </c>
      <c r="J3040" s="25" t="str">
        <f>IF(OR(E3040="",E3040="!!!",F3040="NEW"),"",COUNTBLANK(OFFSET(A$1,,,SUMPRODUCT(MAX(ROW(E$2:E3040)*(E3040=E$2:E3040)))))-COUNTBLANK(OFFSET(A$1,,,SUMPRODUCT(MAX(ROW(E$1:E3039)*(E2=E$1:E3039))))))</f>
        <v> </v>
      </c>
      <c r="K3040" s="25" t="str">
        <f>IF(OR(E3040="",E3040="!!!",F3040="NEW"),"",INDEX(J$1:J3039,SUMPRODUCT(MAX(ROW(E$1:E3039)*(E3040=E$1:E3039)))))</f>
        <v> </v>
      </c>
      <c r="L3040" s="26"/>
    </row>
    <row r="3041" spans="1:12">
      <c r="A3041" s="20" t="s">
        <v>1380</v>
      </c>
      <c r="E3041" s="21">
        <f>IF(D3041="?OLD","!!!","")</f>
        <v/>
      </c>
      <c r="F3041" s="22" t="str">
        <f>IF(OR(E3041="",E3041="!!!"),"",IF(NOT(ISNA(VLOOKUP(E3041,E$1:E3040,1,FALSE()))),"OLD",IF(AND(E3041&lt;&gt;"",E3041&lt;&gt;"!!!"),"NEW","")))</f>
        <v> </v>
      </c>
      <c r="G3041" s="23" t="str">
        <f>IF(OR(E3041="",E3041="!!!"),"",IF(OR(J3041=0,AND(J3041=1,K3041=1),AND(J3041=1,I3041="SBJ"),AND(J3041=1,I3041=0)),"?IN_FOCUS",IF(J3041&lt;=2,"?ACTIVATED",IF(J3041&lt;&gt;"","?FAMILIAR",IF(F3041="NEW",IF(ISNA(VLOOKUP(E3041,#REF!,1,FALSE())),"?TYPE_IDENTIFIABLE","?REFERENTIAL"),"_")))))</f>
        <v> </v>
      </c>
      <c r="H3041" s="24" t="str">
        <f>IF(J3041&lt;&gt;1,"",IF(I3041="SBJ","CB","?"))</f>
        <v> </v>
      </c>
      <c r="I3041" s="25" t="str">
        <f>IF(OR(E3041="",E3041="!!!",F3041="NEW"),"",INDEX(B3040:B$2,-1+SUMPRODUCT(MAX(ROW(E3040:E$2)*(E3041=E3040:E$2)))))</f>
        <v> </v>
      </c>
      <c r="J3041" s="25" t="str">
        <f>IF(OR(E3041="",E3041="!!!",F3041="NEW"),"",COUNTBLANK(OFFSET(A$1,,,SUMPRODUCT(MAX(ROW(E$2:E3041)*(E3041=E$2:E3041)))))-COUNTBLANK(OFFSET(A$1,,,SUMPRODUCT(MAX(ROW(E$1:E3040)*(E2=E$1:E3040))))))</f>
        <v> </v>
      </c>
      <c r="K3041" s="25" t="str">
        <f>IF(OR(E3041="",E3041="!!!",F3041="NEW"),"",INDEX(J$1:J3040,SUMPRODUCT(MAX(ROW(E$1:E3040)*(E3041=E$1:E3040)))))</f>
        <v> </v>
      </c>
      <c r="L3041" s="26"/>
    </row>
    <row r="3042" spans="1:12">
      <c r="A3042" s="20" t="s">
        <v>1034</v>
      </c>
      <c r="E3042" s="21">
        <f>IF(D3042="?OLD","!!!","")</f>
        <v/>
      </c>
      <c r="F3042" s="22" t="str">
        <f>IF(OR(E3042="",E3042="!!!"),"",IF(NOT(ISNA(VLOOKUP(E3042,E$1:E3041,1,FALSE()))),"OLD",IF(AND(E3042&lt;&gt;"",E3042&lt;&gt;"!!!"),"NEW","")))</f>
        <v> </v>
      </c>
      <c r="G3042" s="23" t="str">
        <f>IF(OR(E3042="",E3042="!!!"),"",IF(OR(J3042=0,AND(J3042=1,K3042=1),AND(J3042=1,I3042="SBJ"),AND(J3042=1,I3042=0)),"?IN_FOCUS",IF(J3042&lt;=2,"?ACTIVATED",IF(J3042&lt;&gt;"","?FAMILIAR",IF(F3042="NEW",IF(ISNA(VLOOKUP(E3042,#REF!,1,FALSE())),"?TYPE_IDENTIFIABLE","?REFERENTIAL"),"_")))))</f>
        <v> </v>
      </c>
      <c r="H3042" s="24" t="str">
        <f>IF(J3042&lt;&gt;1,"",IF(I3042="SBJ","CB","?"))</f>
        <v> </v>
      </c>
      <c r="I3042" s="25" t="str">
        <f>IF(OR(E3042="",E3042="!!!",F3042="NEW"),"",INDEX(B3041:B$2,-1+SUMPRODUCT(MAX(ROW(E3041:E$2)*(E3042=E3041:E$2)))))</f>
        <v> </v>
      </c>
      <c r="J3042" s="25" t="str">
        <f>IF(OR(E3042="",E3042="!!!",F3042="NEW"),"",COUNTBLANK(OFFSET(A$1,,,SUMPRODUCT(MAX(ROW(E$2:E3042)*(E3042=E$2:E3042)))))-COUNTBLANK(OFFSET(A$1,,,SUMPRODUCT(MAX(ROW(E$1:E3041)*(E2=E$1:E3041))))))</f>
        <v> </v>
      </c>
      <c r="K3042" s="25" t="str">
        <f>IF(OR(E3042="",E3042="!!!",F3042="NEW"),"",INDEX(J$1:J3041,SUMPRODUCT(MAX(ROW(E$1:E3041)*(E3042=E$1:E3041)))))</f>
        <v> </v>
      </c>
      <c r="L3042" s="26"/>
    </row>
    <row r="3043" spans="1:12">
      <c r="A3043" s="20" t="s">
        <v>1111</v>
      </c>
      <c r="E3043" s="21">
        <f>IF(D3043="?OLD","!!!","")</f>
        <v/>
      </c>
      <c r="F3043" s="22" t="str">
        <f>IF(OR(E3043="",E3043="!!!"),"",IF(NOT(ISNA(VLOOKUP(E3043,E$1:E3042,1,FALSE()))),"OLD",IF(AND(E3043&lt;&gt;"",E3043&lt;&gt;"!!!"),"NEW","")))</f>
        <v> </v>
      </c>
      <c r="G3043" s="23" t="str">
        <f>IF(OR(E3043="",E3043="!!!"),"",IF(OR(J3043=0,AND(J3043=1,K3043=1),AND(J3043=1,I3043="SBJ"),AND(J3043=1,I3043=0)),"?IN_FOCUS",IF(J3043&lt;=2,"?ACTIVATED",IF(J3043&lt;&gt;"","?FAMILIAR",IF(F3043="NEW",IF(ISNA(VLOOKUP(E3043,#REF!,1,FALSE())),"?TYPE_IDENTIFIABLE","?REFERENTIAL"),"_")))))</f>
        <v> </v>
      </c>
      <c r="H3043" s="24" t="str">
        <f>IF(J3043&lt;&gt;1,"",IF(I3043="SBJ","CB","?"))</f>
        <v> </v>
      </c>
      <c r="I3043" s="25" t="str">
        <f>IF(OR(E3043="",E3043="!!!",F3043="NEW"),"",INDEX(B3042:B$2,-1+SUMPRODUCT(MAX(ROW(E3042:E$2)*(E3043=E3042:E$2)))))</f>
        <v> </v>
      </c>
      <c r="J3043" s="25" t="str">
        <f>IF(OR(E3043="",E3043="!!!",F3043="NEW"),"",COUNTBLANK(OFFSET(A$1,,,SUMPRODUCT(MAX(ROW(E$2:E3043)*(E3043=E$2:E3043)))))-COUNTBLANK(OFFSET(A$1,,,SUMPRODUCT(MAX(ROW(E$1:E3042)*(E2=E$1:E3042))))))</f>
        <v> </v>
      </c>
      <c r="K3043" s="25" t="str">
        <f>IF(OR(E3043="",E3043="!!!",F3043="NEW"),"",INDEX(J$1:J3042,SUMPRODUCT(MAX(ROW(E$1:E3042)*(E3043=E$1:E3042)))))</f>
        <v> </v>
      </c>
      <c r="L3043" s="26"/>
    </row>
    <row r="3044" spans="1:12">
      <c r="A3044" s="20" t="s">
        <v>1229</v>
      </c>
      <c r="B3044" s="27" t="s">
        <v>1045</v>
      </c>
      <c r="C3044" s="27" t="s">
        <v>1029</v>
      </c>
      <c r="D3044" s="27" t="s">
        <v>1030</v>
      </c>
      <c r="E3044" s="21">
        <f>IF(D3044="?OLD","!!!","")</f>
        <v/>
      </c>
      <c r="F3044" s="22" t="str">
        <f>IF(OR(E3044="",E3044="!!!"),"",IF(NOT(ISNA(VLOOKUP(E3044,E$1:E3043,1,FALSE()))),"OLD",IF(AND(E3044&lt;&gt;"",E3044&lt;&gt;"!!!"),"NEW","")))</f>
        <v> </v>
      </c>
      <c r="G3044" s="23" t="str">
        <f>IF(OR(E3044="",E3044="!!!"),"",IF(OR(J3044=0,AND(J3044=1,K3044=1),AND(J3044=1,I3044="SBJ"),AND(J3044=1,I3044=0)),"?IN_FOCUS",IF(J3044&lt;=2,"?ACTIVATED",IF(J3044&lt;&gt;"","?FAMILIAR",IF(F3044="NEW",IF(ISNA(VLOOKUP(E3044,#REF!,1,FALSE())),"?TYPE_IDENTIFIABLE","?REFERENTIAL"),"_")))))</f>
        <v> </v>
      </c>
      <c r="H3044" s="24" t="str">
        <f>IF(J3044&lt;&gt;1,"",IF(I3044="SBJ","CB","?"))</f>
        <v> </v>
      </c>
      <c r="I3044" s="25" t="str">
        <f>IF(OR(E3044="",E3044="!!!",F3044="NEW"),"",INDEX(B3043:B$2,-1+SUMPRODUCT(MAX(ROW(E3043:E$2)*(E3044=E3043:E$2)))))</f>
        <v> </v>
      </c>
      <c r="J3044" s="25" t="str">
        <f>IF(OR(E3044="",E3044="!!!",F3044="NEW"),"",COUNTBLANK(OFFSET(A$1,,,SUMPRODUCT(MAX(ROW(E$2:E3044)*(E3044=E$2:E3044)))))-COUNTBLANK(OFFSET(A$1,,,SUMPRODUCT(MAX(ROW(E$1:E3043)*(E2=E$1:E3043))))))</f>
        <v> </v>
      </c>
      <c r="K3044" s="25" t="str">
        <f>IF(OR(E3044="",E3044="!!!",F3044="NEW"),"",INDEX(J$1:J3043,SUMPRODUCT(MAX(ROW(E$1:E3043)*(E3044=E$1:E3043)))))</f>
        <v> </v>
      </c>
      <c r="L3044" s="26"/>
    </row>
    <row r="3045" spans="1:12">
      <c r="A3045" s="20" t="s">
        <v>2091</v>
      </c>
      <c r="E3045" s="21">
        <f>IF(D3045="?OLD","!!!","")</f>
        <v/>
      </c>
      <c r="F3045" s="22" t="str">
        <f>IF(OR(E3045="",E3045="!!!"),"",IF(NOT(ISNA(VLOOKUP(E3045,E$1:E3044,1,FALSE()))),"OLD",IF(AND(E3045&lt;&gt;"",E3045&lt;&gt;"!!!"),"NEW","")))</f>
        <v> </v>
      </c>
      <c r="G3045" s="23" t="str">
        <f>IF(OR(E3045="",E3045="!!!"),"",IF(OR(J3045=0,AND(J3045=1,K3045=1),AND(J3045=1,I3045="SBJ"),AND(J3045=1,I3045=0)),"?IN_FOCUS",IF(J3045&lt;=2,"?ACTIVATED",IF(J3045&lt;&gt;"","?FAMILIAR",IF(F3045="NEW",IF(ISNA(VLOOKUP(E3045,#REF!,1,FALSE())),"?TYPE_IDENTIFIABLE","?REFERENTIAL"),"_")))))</f>
        <v> </v>
      </c>
      <c r="H3045" s="24" t="str">
        <f>IF(J3045&lt;&gt;1,"",IF(I3045="SBJ","CB","?"))</f>
        <v> </v>
      </c>
      <c r="I3045" s="25" t="str">
        <f>IF(OR(E3045="",E3045="!!!",F3045="NEW"),"",INDEX(B3044:B$2,-1+SUMPRODUCT(MAX(ROW(E3044:E$2)*(E3045=E3044:E$2)))))</f>
        <v> </v>
      </c>
      <c r="J3045" s="25" t="str">
        <f>IF(OR(E3045="",E3045="!!!",F3045="NEW"),"",COUNTBLANK(OFFSET(A$1,,,SUMPRODUCT(MAX(ROW(E$2:E3045)*(E3045=E$2:E3045)))))-COUNTBLANK(OFFSET(A$1,,,SUMPRODUCT(MAX(ROW(E$1:E3044)*(E2=E$1:E3044))))))</f>
        <v> </v>
      </c>
      <c r="K3045" s="25" t="str">
        <f>IF(OR(E3045="",E3045="!!!",F3045="NEW"),"",INDEX(J$1:J3044,SUMPRODUCT(MAX(ROW(E$1:E3044)*(E3045=E$1:E3044)))))</f>
        <v> </v>
      </c>
      <c r="L3045" s="26"/>
    </row>
    <row r="3046" spans="1:12">
      <c r="A3046" s="20" t="s">
        <v>1635</v>
      </c>
      <c r="E3046" s="21">
        <f>IF(D3046="?OLD","!!!","")</f>
        <v/>
      </c>
      <c r="F3046" s="22" t="str">
        <f>IF(OR(E3046="",E3046="!!!"),"",IF(NOT(ISNA(VLOOKUP(E3046,E$1:E3045,1,FALSE()))),"OLD",IF(AND(E3046&lt;&gt;"",E3046&lt;&gt;"!!!"),"NEW","")))</f>
        <v> </v>
      </c>
      <c r="G3046" s="23" t="str">
        <f>IF(OR(E3046="",E3046="!!!"),"",IF(OR(J3046=0,AND(J3046=1,K3046=1),AND(J3046=1,I3046="SBJ"),AND(J3046=1,I3046=0)),"?IN_FOCUS",IF(J3046&lt;=2,"?ACTIVATED",IF(J3046&lt;&gt;"","?FAMILIAR",IF(F3046="NEW",IF(ISNA(VLOOKUP(E3046,#REF!,1,FALSE())),"?TYPE_IDENTIFIABLE","?REFERENTIAL"),"_")))))</f>
        <v> </v>
      </c>
      <c r="H3046" s="24" t="str">
        <f>IF(J3046&lt;&gt;1,"",IF(I3046="SBJ","CB","?"))</f>
        <v> </v>
      </c>
      <c r="I3046" s="25" t="str">
        <f>IF(OR(E3046="",E3046="!!!",F3046="NEW"),"",INDEX(B3045:B$2,-1+SUMPRODUCT(MAX(ROW(E3045:E$2)*(E3046=E3045:E$2)))))</f>
        <v> </v>
      </c>
      <c r="J3046" s="25" t="str">
        <f>IF(OR(E3046="",E3046="!!!",F3046="NEW"),"",COUNTBLANK(OFFSET(A$1,,,SUMPRODUCT(MAX(ROW(E$2:E3046)*(E3046=E$2:E3046)))))-COUNTBLANK(OFFSET(A$1,,,SUMPRODUCT(MAX(ROW(E$1:E3045)*(E2=E$1:E3045))))))</f>
        <v> </v>
      </c>
      <c r="K3046" s="25" t="str">
        <f>IF(OR(E3046="",E3046="!!!",F3046="NEW"),"",INDEX(J$1:J3045,SUMPRODUCT(MAX(ROW(E$1:E3045)*(E3046=E$1:E3045)))))</f>
        <v> </v>
      </c>
      <c r="L3046" s="26"/>
    </row>
    <row r="3047" spans="1:12">
      <c r="A3047" s="20" t="s">
        <v>1075</v>
      </c>
      <c r="E3047" s="21">
        <f>IF(D3047="?OLD","!!!","")</f>
        <v/>
      </c>
      <c r="F3047" s="22" t="str">
        <f>IF(OR(E3047="",E3047="!!!"),"",IF(NOT(ISNA(VLOOKUP(E3047,E$1:E3046,1,FALSE()))),"OLD",IF(AND(E3047&lt;&gt;"",E3047&lt;&gt;"!!!"),"NEW","")))</f>
        <v> </v>
      </c>
      <c r="G3047" s="23" t="str">
        <f>IF(OR(E3047="",E3047="!!!"),"",IF(OR(J3047=0,AND(J3047=1,K3047=1),AND(J3047=1,I3047="SBJ"),AND(J3047=1,I3047=0)),"?IN_FOCUS",IF(J3047&lt;=2,"?ACTIVATED",IF(J3047&lt;&gt;"","?FAMILIAR",IF(F3047="NEW",IF(ISNA(VLOOKUP(E3047,#REF!,1,FALSE())),"?TYPE_IDENTIFIABLE","?REFERENTIAL"),"_")))))</f>
        <v> </v>
      </c>
      <c r="H3047" s="24" t="str">
        <f>IF(J3047&lt;&gt;1,"",IF(I3047="SBJ","CB","?"))</f>
        <v> </v>
      </c>
      <c r="I3047" s="25" t="str">
        <f>IF(OR(E3047="",E3047="!!!",F3047="NEW"),"",INDEX(B3046:B$2,-1+SUMPRODUCT(MAX(ROW(E3046:E$2)*(E3047=E3046:E$2)))))</f>
        <v> </v>
      </c>
      <c r="J3047" s="25" t="str">
        <f>IF(OR(E3047="",E3047="!!!",F3047="NEW"),"",COUNTBLANK(OFFSET(A$1,,,SUMPRODUCT(MAX(ROW(E$2:E3047)*(E3047=E$2:E3047)))))-COUNTBLANK(OFFSET(A$1,,,SUMPRODUCT(MAX(ROW(E$1:E3046)*(E2=E$1:E3046))))))</f>
        <v> </v>
      </c>
      <c r="K3047" s="25" t="str">
        <f>IF(OR(E3047="",E3047="!!!",F3047="NEW"),"",INDEX(J$1:J3046,SUMPRODUCT(MAX(ROW(E$1:E3046)*(E3047=E$1:E3046)))))</f>
        <v> </v>
      </c>
      <c r="L3047" s="26"/>
    </row>
    <row r="3048" spans="1:12">
      <c r="A3048" s="20" t="s">
        <v>2092</v>
      </c>
      <c r="B3048" s="27" t="s">
        <v>1045</v>
      </c>
      <c r="C3048" s="27" t="s">
        <v>1029</v>
      </c>
      <c r="D3048" s="27" t="s">
        <v>1030</v>
      </c>
      <c r="E3048" s="21">
        <f>IF(D3048="?OLD","!!!","")</f>
        <v/>
      </c>
      <c r="F3048" s="22" t="str">
        <f>IF(OR(E3048="",E3048="!!!"),"",IF(NOT(ISNA(VLOOKUP(E3048,E$1:E3047,1,FALSE()))),"OLD",IF(AND(E3048&lt;&gt;"",E3048&lt;&gt;"!!!"),"NEW","")))</f>
        <v> </v>
      </c>
      <c r="G3048" s="23" t="str">
        <f>IF(OR(E3048="",E3048="!!!"),"",IF(OR(J3048=0,AND(J3048=1,K3048=1),AND(J3048=1,I3048="SBJ"),AND(J3048=1,I3048=0)),"?IN_FOCUS",IF(J3048&lt;=2,"?ACTIVATED",IF(J3048&lt;&gt;"","?FAMILIAR",IF(F3048="NEW",IF(ISNA(VLOOKUP(E3048,#REF!,1,FALSE())),"?TYPE_IDENTIFIABLE","?REFERENTIAL"),"_")))))</f>
        <v> </v>
      </c>
      <c r="H3048" s="24" t="str">
        <f>IF(J3048&lt;&gt;1,"",IF(I3048="SBJ","CB","?"))</f>
        <v> </v>
      </c>
      <c r="I3048" s="25" t="str">
        <f>IF(OR(E3048="",E3048="!!!",F3048="NEW"),"",INDEX(B3047:B$2,-1+SUMPRODUCT(MAX(ROW(E3047:E$2)*(E3048=E3047:E$2)))))</f>
        <v> </v>
      </c>
      <c r="J3048" s="25" t="str">
        <f>IF(OR(E3048="",E3048="!!!",F3048="NEW"),"",COUNTBLANK(OFFSET(A$1,,,SUMPRODUCT(MAX(ROW(E$2:E3048)*(E3048=E$2:E3048)))))-COUNTBLANK(OFFSET(A$1,,,SUMPRODUCT(MAX(ROW(E$1:E3047)*(E2=E$1:E3047))))))</f>
        <v> </v>
      </c>
      <c r="K3048" s="25" t="str">
        <f>IF(OR(E3048="",E3048="!!!",F3048="NEW"),"",INDEX(J$1:J3047,SUMPRODUCT(MAX(ROW(E$1:E3047)*(E3048=E$1:E3047)))))</f>
        <v> </v>
      </c>
      <c r="L3048" s="26"/>
    </row>
    <row r="3049" spans="1:12">
      <c r="A3049" s="20" t="s">
        <v>1016</v>
      </c>
      <c r="E3049" s="21">
        <f>IF(D3049="?OLD","!!!","")</f>
        <v/>
      </c>
      <c r="F3049" s="22" t="str">
        <f>IF(OR(E3049="",E3049="!!!"),"",IF(NOT(ISNA(VLOOKUP(E3049,E$1:E3048,1,FALSE()))),"OLD",IF(AND(E3049&lt;&gt;"",E3049&lt;&gt;"!!!"),"NEW","")))</f>
        <v> </v>
      </c>
      <c r="G3049" s="23" t="str">
        <f>IF(OR(E3049="",E3049="!!!"),"",IF(OR(J3049=0,AND(J3049=1,K3049=1),AND(J3049=1,I3049="SBJ"),AND(J3049=1,I3049=0)),"?IN_FOCUS",IF(J3049&lt;=2,"?ACTIVATED",IF(J3049&lt;&gt;"","?FAMILIAR",IF(F3049="NEW",IF(ISNA(VLOOKUP(E3049,#REF!,1,FALSE())),"?TYPE_IDENTIFIABLE","?REFERENTIAL"),"_")))))</f>
        <v> </v>
      </c>
      <c r="H3049" s="24" t="str">
        <f>IF(J3049&lt;&gt;1,"",IF(I3049="SBJ","CB","?"))</f>
        <v> </v>
      </c>
      <c r="I3049" s="25" t="str">
        <f>IF(OR(E3049="",E3049="!!!",F3049="NEW"),"",INDEX(B3048:B$2,-1+SUMPRODUCT(MAX(ROW(E3048:E$2)*(E3049=E3048:E$2)))))</f>
        <v> </v>
      </c>
      <c r="J3049" s="25" t="str">
        <f>IF(OR(E3049="",E3049="!!!",F3049="NEW"),"",COUNTBLANK(OFFSET(A$1,,,SUMPRODUCT(MAX(ROW(E$2:E3049)*(E3049=E$2:E3049)))))-COUNTBLANK(OFFSET(A$1,,,SUMPRODUCT(MAX(ROW(E$1:E3048)*(E2=E$1:E3048))))))</f>
        <v> </v>
      </c>
      <c r="K3049" s="25" t="str">
        <f>IF(OR(E3049="",E3049="!!!",F3049="NEW"),"",INDEX(J$1:J3048,SUMPRODUCT(MAX(ROW(E$1:E3048)*(E3049=E$1:E3048)))))</f>
        <v> </v>
      </c>
      <c r="L3049" s="26"/>
    </row>
    <row r="3050" spans="1:12">
      <c r="A3050" s="20" t="s">
        <v>1075</v>
      </c>
      <c r="E3050" s="21">
        <f>IF(D3050="?OLD","!!!","")</f>
        <v/>
      </c>
      <c r="F3050" s="22" t="str">
        <f>IF(OR(E3050="",E3050="!!!"),"",IF(NOT(ISNA(VLOOKUP(E3050,E$1:E3049,1,FALSE()))),"OLD",IF(AND(E3050&lt;&gt;"",E3050&lt;&gt;"!!!"),"NEW","")))</f>
        <v> </v>
      </c>
      <c r="G3050" s="23" t="str">
        <f>IF(OR(E3050="",E3050="!!!"),"",IF(OR(J3050=0,AND(J3050=1,K3050=1),AND(J3050=1,I3050="SBJ"),AND(J3050=1,I3050=0)),"?IN_FOCUS",IF(J3050&lt;=2,"?ACTIVATED",IF(J3050&lt;&gt;"","?FAMILIAR",IF(F3050="NEW",IF(ISNA(VLOOKUP(E3050,#REF!,1,FALSE())),"?TYPE_IDENTIFIABLE","?REFERENTIAL"),"_")))))</f>
        <v> </v>
      </c>
      <c r="H3050" s="24" t="str">
        <f>IF(J3050&lt;&gt;1,"",IF(I3050="SBJ","CB","?"))</f>
        <v> </v>
      </c>
      <c r="I3050" s="25" t="str">
        <f>IF(OR(E3050="",E3050="!!!",F3050="NEW"),"",INDEX(B3049:B$2,-1+SUMPRODUCT(MAX(ROW(E3049:E$2)*(E3050=E3049:E$2)))))</f>
        <v> </v>
      </c>
      <c r="J3050" s="25" t="str">
        <f>IF(OR(E3050="",E3050="!!!",F3050="NEW"),"",COUNTBLANK(OFFSET(A$1,,,SUMPRODUCT(MAX(ROW(E$2:E3050)*(E3050=E$2:E3050)))))-COUNTBLANK(OFFSET(A$1,,,SUMPRODUCT(MAX(ROW(E$1:E3049)*(E2=E$1:E3049))))))</f>
        <v> </v>
      </c>
      <c r="K3050" s="25" t="str">
        <f>IF(OR(E3050="",E3050="!!!",F3050="NEW"),"",INDEX(J$1:J3049,SUMPRODUCT(MAX(ROW(E$1:E3049)*(E3050=E$1:E3049)))))</f>
        <v> </v>
      </c>
      <c r="L3050" s="26"/>
    </row>
    <row r="3051" spans="1:12">
      <c r="A3051" s="20" t="s">
        <v>2093</v>
      </c>
      <c r="B3051" s="27" t="s">
        <v>1079</v>
      </c>
      <c r="C3051" s="27" t="s">
        <v>1038</v>
      </c>
      <c r="D3051" s="27" t="s">
        <v>1030</v>
      </c>
      <c r="E3051" s="21">
        <f>IF(D3051="?OLD","!!!","")</f>
        <v/>
      </c>
      <c r="F3051" s="22" t="str">
        <f>IF(OR(E3051="",E3051="!!!"),"",IF(NOT(ISNA(VLOOKUP(E3051,E$1:E3050,1,FALSE()))),"OLD",IF(AND(E3051&lt;&gt;"",E3051&lt;&gt;"!!!"),"NEW","")))</f>
        <v> </v>
      </c>
      <c r="G3051" s="23" t="str">
        <f>IF(OR(E3051="",E3051="!!!"),"",IF(OR(J3051=0,AND(J3051=1,K3051=1),AND(J3051=1,I3051="SBJ"),AND(J3051=1,I3051=0)),"?IN_FOCUS",IF(J3051&lt;=2,"?ACTIVATED",IF(J3051&lt;&gt;"","?FAMILIAR",IF(F3051="NEW",IF(ISNA(VLOOKUP(E3051,#REF!,1,FALSE())),"?TYPE_IDENTIFIABLE","?REFERENTIAL"),"_")))))</f>
        <v> </v>
      </c>
      <c r="H3051" s="24" t="str">
        <f>IF(J3051&lt;&gt;1,"",IF(I3051="SBJ","CB","?"))</f>
        <v> </v>
      </c>
      <c r="I3051" s="25" t="str">
        <f>IF(OR(E3051="",E3051="!!!",F3051="NEW"),"",INDEX(B3050:B$2,-1+SUMPRODUCT(MAX(ROW(E3050:E$2)*(E3051=E3050:E$2)))))</f>
        <v> </v>
      </c>
      <c r="J3051" s="25" t="str">
        <f>IF(OR(E3051="",E3051="!!!",F3051="NEW"),"",COUNTBLANK(OFFSET(A$1,,,SUMPRODUCT(MAX(ROW(E$2:E3051)*(E3051=E$2:E3051)))))-COUNTBLANK(OFFSET(A$1,,,SUMPRODUCT(MAX(ROW(E$1:E3050)*(E2=E$1:E3050))))))</f>
        <v> </v>
      </c>
      <c r="K3051" s="25" t="str">
        <f>IF(OR(E3051="",E3051="!!!",F3051="NEW"),"",INDEX(J$1:J3050,SUMPRODUCT(MAX(ROW(E$1:E3050)*(E3051=E$1:E3050)))))</f>
        <v> </v>
      </c>
      <c r="L3051" s="26"/>
    </row>
    <row r="3052" spans="1:12">
      <c r="A3052" s="20" t="s">
        <v>1475</v>
      </c>
      <c r="E3052" s="21">
        <f>IF(D3052="?OLD","!!!","")</f>
        <v/>
      </c>
      <c r="F3052" s="22" t="str">
        <f>IF(OR(E3052="",E3052="!!!"),"",IF(NOT(ISNA(VLOOKUP(E3052,E$1:E3051,1,FALSE()))),"OLD",IF(AND(E3052&lt;&gt;"",E3052&lt;&gt;"!!!"),"NEW","")))</f>
        <v> </v>
      </c>
      <c r="G3052" s="23" t="str">
        <f>IF(OR(E3052="",E3052="!!!"),"",IF(OR(J3052=0,AND(J3052=1,K3052=1),AND(J3052=1,I3052="SBJ"),AND(J3052=1,I3052=0)),"?IN_FOCUS",IF(J3052&lt;=2,"?ACTIVATED",IF(J3052&lt;&gt;"","?FAMILIAR",IF(F3052="NEW",IF(ISNA(VLOOKUP(E3052,#REF!,1,FALSE())),"?TYPE_IDENTIFIABLE","?REFERENTIAL"),"_")))))</f>
        <v> </v>
      </c>
      <c r="H3052" s="24" t="str">
        <f>IF(J3052&lt;&gt;1,"",IF(I3052="SBJ","CB","?"))</f>
        <v> </v>
      </c>
      <c r="I3052" s="25" t="str">
        <f>IF(OR(E3052="",E3052="!!!",F3052="NEW"),"",INDEX(B3051:B$2,-1+SUMPRODUCT(MAX(ROW(E3051:E$2)*(E3052=E3051:E$2)))))</f>
        <v> </v>
      </c>
      <c r="J3052" s="25" t="str">
        <f>IF(OR(E3052="",E3052="!!!",F3052="NEW"),"",COUNTBLANK(OFFSET(A$1,,,SUMPRODUCT(MAX(ROW(E$2:E3052)*(E3052=E$2:E3052)))))-COUNTBLANK(OFFSET(A$1,,,SUMPRODUCT(MAX(ROW(E$1:E3051)*(E2=E$1:E3051))))))</f>
        <v> </v>
      </c>
      <c r="K3052" s="25" t="str">
        <f>IF(OR(E3052="",E3052="!!!",F3052="NEW"),"",INDEX(J$1:J3051,SUMPRODUCT(MAX(ROW(E$1:E3051)*(E3052=E$1:E3051)))))</f>
        <v> </v>
      </c>
      <c r="L3052" s="26"/>
    </row>
    <row r="3053" spans="1:12">
      <c r="A3053" s="20" t="s">
        <v>2094</v>
      </c>
      <c r="E3053" s="21">
        <f>IF(D3053="?OLD","!!!","")</f>
        <v/>
      </c>
      <c r="F3053" s="22" t="str">
        <f>IF(OR(E3053="",E3053="!!!"),"",IF(NOT(ISNA(VLOOKUP(E3053,E$1:E3052,1,FALSE()))),"OLD",IF(AND(E3053&lt;&gt;"",E3053&lt;&gt;"!!!"),"NEW","")))</f>
        <v> </v>
      </c>
      <c r="G3053" s="23" t="str">
        <f>IF(OR(E3053="",E3053="!!!"),"",IF(OR(J3053=0,AND(J3053=1,K3053=1),AND(J3053=1,I3053="SBJ"),AND(J3053=1,I3053=0)),"?IN_FOCUS",IF(J3053&lt;=2,"?ACTIVATED",IF(J3053&lt;&gt;"","?FAMILIAR",IF(F3053="NEW",IF(ISNA(VLOOKUP(E3053,#REF!,1,FALSE())),"?TYPE_IDENTIFIABLE","?REFERENTIAL"),"_")))))</f>
        <v> </v>
      </c>
      <c r="H3053" s="24" t="str">
        <f>IF(J3053&lt;&gt;1,"",IF(I3053="SBJ","CB","?"))</f>
        <v> </v>
      </c>
      <c r="I3053" s="25" t="str">
        <f>IF(OR(E3053="",E3053="!!!",F3053="NEW"),"",INDEX(B3052:B$2,-1+SUMPRODUCT(MAX(ROW(E3052:E$2)*(E3053=E3052:E$2)))))</f>
        <v> </v>
      </c>
      <c r="J3053" s="25" t="str">
        <f>IF(OR(E3053="",E3053="!!!",F3053="NEW"),"",COUNTBLANK(OFFSET(A$1,,,SUMPRODUCT(MAX(ROW(E$2:E3053)*(E3053=E$2:E3053)))))-COUNTBLANK(OFFSET(A$1,,,SUMPRODUCT(MAX(ROW(E$1:E3052)*(E2=E$1:E3052))))))</f>
        <v> </v>
      </c>
      <c r="K3053" s="25" t="str">
        <f>IF(OR(E3053="",E3053="!!!",F3053="NEW"),"",INDEX(J$1:J3052,SUMPRODUCT(MAX(ROW(E$1:E3052)*(E3053=E$1:E3052)))))</f>
        <v> </v>
      </c>
      <c r="L3053" s="26"/>
    </row>
    <row r="3054" spans="1:12">
      <c r="A3054" s="20" t="s">
        <v>1083</v>
      </c>
      <c r="E3054" s="21">
        <f>IF(D3054="?OLD","!!!","")</f>
        <v/>
      </c>
      <c r="F3054" s="22" t="str">
        <f>IF(OR(E3054="",E3054="!!!"),"",IF(NOT(ISNA(VLOOKUP(E3054,E$1:E3053,1,FALSE()))),"OLD",IF(AND(E3054&lt;&gt;"",E3054&lt;&gt;"!!!"),"NEW","")))</f>
        <v> </v>
      </c>
      <c r="G3054" s="23" t="str">
        <f>IF(OR(E3054="",E3054="!!!"),"",IF(OR(J3054=0,AND(J3054=1,K3054=1),AND(J3054=1,I3054="SBJ"),AND(J3054=1,I3054=0)),"?IN_FOCUS",IF(J3054&lt;=2,"?ACTIVATED",IF(J3054&lt;&gt;"","?FAMILIAR",IF(F3054="NEW",IF(ISNA(VLOOKUP(E3054,#REF!,1,FALSE())),"?TYPE_IDENTIFIABLE","?REFERENTIAL"),"_")))))</f>
        <v> </v>
      </c>
      <c r="H3054" s="24" t="str">
        <f>IF(J3054&lt;&gt;1,"",IF(I3054="SBJ","CB","?"))</f>
        <v> </v>
      </c>
      <c r="I3054" s="25" t="str">
        <f>IF(OR(E3054="",E3054="!!!",F3054="NEW"),"",INDEX(B3053:B$2,-1+SUMPRODUCT(MAX(ROW(E3053:E$2)*(E3054=E3053:E$2)))))</f>
        <v> </v>
      </c>
      <c r="J3054" s="25" t="str">
        <f>IF(OR(E3054="",E3054="!!!",F3054="NEW"),"",COUNTBLANK(OFFSET(A$1,,,SUMPRODUCT(MAX(ROW(E$2:E3054)*(E3054=E$2:E3054)))))-COUNTBLANK(OFFSET(A$1,,,SUMPRODUCT(MAX(ROW(E$1:E3053)*(E2=E$1:E3053))))))</f>
        <v> </v>
      </c>
      <c r="K3054" s="25" t="str">
        <f>IF(OR(E3054="",E3054="!!!",F3054="NEW"),"",INDEX(J$1:J3053,SUMPRODUCT(MAX(ROW(E$1:E3053)*(E3054=E$1:E3053)))))</f>
        <v> </v>
      </c>
      <c r="L3054" s="26"/>
    </row>
    <row r="3055" spans="1:12">
      <c r="A3055" s="20" t="s">
        <v>1071</v>
      </c>
      <c r="E3055" s="21">
        <f>IF(D3055="?OLD","!!!","")</f>
        <v/>
      </c>
      <c r="F3055" s="22" t="str">
        <f>IF(OR(E3055="",E3055="!!!"),"",IF(NOT(ISNA(VLOOKUP(E3055,E$1:E3054,1,FALSE()))),"OLD",IF(AND(E3055&lt;&gt;"",E3055&lt;&gt;"!!!"),"NEW","")))</f>
        <v> </v>
      </c>
      <c r="G3055" s="23" t="str">
        <f>IF(OR(E3055="",E3055="!!!"),"",IF(OR(J3055=0,AND(J3055=1,K3055=1),AND(J3055=1,I3055="SBJ"),AND(J3055=1,I3055=0)),"?IN_FOCUS",IF(J3055&lt;=2,"?ACTIVATED",IF(J3055&lt;&gt;"","?FAMILIAR",IF(F3055="NEW",IF(ISNA(VLOOKUP(E3055,#REF!,1,FALSE())),"?TYPE_IDENTIFIABLE","?REFERENTIAL"),"_")))))</f>
        <v> </v>
      </c>
      <c r="H3055" s="24" t="str">
        <f>IF(J3055&lt;&gt;1,"",IF(I3055="SBJ","CB","?"))</f>
        <v> </v>
      </c>
      <c r="I3055" s="25" t="str">
        <f>IF(OR(E3055="",E3055="!!!",F3055="NEW"),"",INDEX(B3054:B$2,-1+SUMPRODUCT(MAX(ROW(E3054:E$2)*(E3055=E3054:E$2)))))</f>
        <v> </v>
      </c>
      <c r="J3055" s="25" t="str">
        <f>IF(OR(E3055="",E3055="!!!",F3055="NEW"),"",COUNTBLANK(OFFSET(A$1,,,SUMPRODUCT(MAX(ROW(E$2:E3055)*(E3055=E$2:E3055)))))-COUNTBLANK(OFFSET(A$1,,,SUMPRODUCT(MAX(ROW(E$1:E3054)*(E2=E$1:E3054))))))</f>
        <v> </v>
      </c>
      <c r="K3055" s="25" t="str">
        <f>IF(OR(E3055="",E3055="!!!",F3055="NEW"),"",INDEX(J$1:J3054,SUMPRODUCT(MAX(ROW(E$1:E3054)*(E3055=E$1:E3054)))))</f>
        <v> </v>
      </c>
      <c r="L3055" s="26"/>
    </row>
    <row r="3056" spans="1:12">
      <c r="A3056" s="20" t="s">
        <v>2095</v>
      </c>
      <c r="B3056" s="27" t="s">
        <v>1079</v>
      </c>
      <c r="C3056" s="27" t="s">
        <v>1029</v>
      </c>
      <c r="D3056" s="27" t="s">
        <v>1030</v>
      </c>
      <c r="E3056" s="21">
        <f>IF(D3056="?OLD","!!!","")</f>
        <v/>
      </c>
      <c r="F3056" s="22" t="str">
        <f>IF(OR(E3056="",E3056="!!!"),"",IF(NOT(ISNA(VLOOKUP(E3056,E$1:E3055,1,FALSE()))),"OLD",IF(AND(E3056&lt;&gt;"",E3056&lt;&gt;"!!!"),"NEW","")))</f>
        <v> </v>
      </c>
      <c r="G3056" s="23" t="str">
        <f>IF(OR(E3056="",E3056="!!!"),"",IF(OR(J3056=0,AND(J3056=1,K3056=1),AND(J3056=1,I3056="SBJ"),AND(J3056=1,I3056=0)),"?IN_FOCUS",IF(J3056&lt;=2,"?ACTIVATED",IF(J3056&lt;&gt;"","?FAMILIAR",IF(F3056="NEW",IF(ISNA(VLOOKUP(E3056,#REF!,1,FALSE())),"?TYPE_IDENTIFIABLE","?REFERENTIAL"),"_")))))</f>
        <v> </v>
      </c>
      <c r="H3056" s="24" t="str">
        <f>IF(J3056&lt;&gt;1,"",IF(I3056="SBJ","CB","?"))</f>
        <v> </v>
      </c>
      <c r="I3056" s="25" t="str">
        <f>IF(OR(E3056="",E3056="!!!",F3056="NEW"),"",INDEX(B3055:B$2,-1+SUMPRODUCT(MAX(ROW(E3055:E$2)*(E3056=E3055:E$2)))))</f>
        <v> </v>
      </c>
      <c r="J3056" s="25" t="str">
        <f>IF(OR(E3056="",E3056="!!!",F3056="NEW"),"",COUNTBLANK(OFFSET(A$1,,,SUMPRODUCT(MAX(ROW(E$2:E3056)*(E3056=E$2:E3056)))))-COUNTBLANK(OFFSET(A$1,,,SUMPRODUCT(MAX(ROW(E$1:E3055)*(E2=E$1:E3055))))))</f>
        <v> </v>
      </c>
      <c r="K3056" s="25" t="str">
        <f>IF(OR(E3056="",E3056="!!!",F3056="NEW"),"",INDEX(J$1:J3055,SUMPRODUCT(MAX(ROW(E$1:E3055)*(E3056=E$1:E3055)))))</f>
        <v> </v>
      </c>
      <c r="L3056" s="26"/>
    </row>
    <row r="3057" spans="1:12">
      <c r="A3057" s="20" t="s">
        <v>1016</v>
      </c>
      <c r="E3057" s="21">
        <f>IF(D3057="?OLD","!!!","")</f>
        <v/>
      </c>
      <c r="F3057" s="22" t="str">
        <f>IF(OR(E3057="",E3057="!!!"),"",IF(NOT(ISNA(VLOOKUP(E3057,E$1:E3056,1,FALSE()))),"OLD",IF(AND(E3057&lt;&gt;"",E3057&lt;&gt;"!!!"),"NEW","")))</f>
        <v> </v>
      </c>
      <c r="G3057" s="23" t="str">
        <f>IF(OR(E3057="",E3057="!!!"),"",IF(OR(J3057=0,AND(J3057=1,K3057=1),AND(J3057=1,I3057="SBJ"),AND(J3057=1,I3057=0)),"?IN_FOCUS",IF(J3057&lt;=2,"?ACTIVATED",IF(J3057&lt;&gt;"","?FAMILIAR",IF(F3057="NEW",IF(ISNA(VLOOKUP(E3057,#REF!,1,FALSE())),"?TYPE_IDENTIFIABLE","?REFERENTIAL"),"_")))))</f>
        <v> </v>
      </c>
      <c r="H3057" s="24" t="str">
        <f>IF(J3057&lt;&gt;1,"",IF(I3057="SBJ","CB","?"))</f>
        <v> </v>
      </c>
      <c r="I3057" s="25" t="str">
        <f>IF(OR(E3057="",E3057="!!!",F3057="NEW"),"",INDEX(B3056:B$2,-1+SUMPRODUCT(MAX(ROW(E3056:E$2)*(E3057=E3056:E$2)))))</f>
        <v> </v>
      </c>
      <c r="J3057" s="25" t="str">
        <f>IF(OR(E3057="",E3057="!!!",F3057="NEW"),"",COUNTBLANK(OFFSET(A$1,,,SUMPRODUCT(MAX(ROW(E$2:E3057)*(E3057=E$2:E3057)))))-COUNTBLANK(OFFSET(A$1,,,SUMPRODUCT(MAX(ROW(E$1:E3056)*(E2=E$1:E3056))))))</f>
        <v> </v>
      </c>
      <c r="K3057" s="25" t="str">
        <f>IF(OR(E3057="",E3057="!!!",F3057="NEW"),"",INDEX(J$1:J3056,SUMPRODUCT(MAX(ROW(E$1:E3056)*(E3057=E$1:E3056)))))</f>
        <v> </v>
      </c>
      <c r="L3057" s="26"/>
    </row>
    <row r="3058" spans="1:12">
      <c r="A3058" s="20" t="s">
        <v>1036</v>
      </c>
      <c r="E3058" s="21">
        <f>IF(D3058="?OLD","!!!","")</f>
        <v/>
      </c>
      <c r="F3058" s="22" t="str">
        <f>IF(OR(E3058="",E3058="!!!"),"",IF(NOT(ISNA(VLOOKUP(E3058,E$1:E3057,1,FALSE()))),"OLD",IF(AND(E3058&lt;&gt;"",E3058&lt;&gt;"!!!"),"NEW","")))</f>
        <v> </v>
      </c>
      <c r="G3058" s="23" t="str">
        <f>IF(OR(E3058="",E3058="!!!"),"",IF(OR(J3058=0,AND(J3058=1,K3058=1),AND(J3058=1,I3058="SBJ"),AND(J3058=1,I3058=0)),"?IN_FOCUS",IF(J3058&lt;=2,"?ACTIVATED",IF(J3058&lt;&gt;"","?FAMILIAR",IF(F3058="NEW",IF(ISNA(VLOOKUP(E3058,#REF!,1,FALSE())),"?TYPE_IDENTIFIABLE","?REFERENTIAL"),"_")))))</f>
        <v> </v>
      </c>
      <c r="H3058" s="24" t="str">
        <f>IF(J3058&lt;&gt;1,"",IF(I3058="SBJ","CB","?"))</f>
        <v> </v>
      </c>
      <c r="I3058" s="25" t="str">
        <f>IF(OR(E3058="",E3058="!!!",F3058="NEW"),"",INDEX(B3057:B$2,-1+SUMPRODUCT(MAX(ROW(E3057:E$2)*(E3058=E3057:E$2)))))</f>
        <v> </v>
      </c>
      <c r="J3058" s="25" t="str">
        <f>IF(OR(E3058="",E3058="!!!",F3058="NEW"),"",COUNTBLANK(OFFSET(A$1,,,SUMPRODUCT(MAX(ROW(E$2:E3058)*(E3058=E$2:E3058)))))-COUNTBLANK(OFFSET(A$1,,,SUMPRODUCT(MAX(ROW(E$1:E3057)*(E2=E$1:E3057))))))</f>
        <v> </v>
      </c>
      <c r="K3058" s="25" t="str">
        <f>IF(OR(E3058="",E3058="!!!",F3058="NEW"),"",INDEX(J$1:J3057,SUMPRODUCT(MAX(ROW(E$1:E3057)*(E3058=E$1:E3057)))))</f>
        <v> </v>
      </c>
      <c r="L3058" s="26"/>
    </row>
    <row r="3059" spans="1:12">
      <c r="A3059" s="20" t="s">
        <v>876</v>
      </c>
      <c r="B3059" s="27" t="s">
        <v>1066</v>
      </c>
      <c r="C3059" s="27" t="s">
        <v>1038</v>
      </c>
      <c r="D3059" s="27" t="s">
        <v>1030</v>
      </c>
      <c r="E3059" s="21">
        <f>IF(D3059="?OLD","!!!","")</f>
        <v/>
      </c>
      <c r="F3059" s="22" t="str">
        <f>IF(OR(E3059="",E3059="!!!"),"",IF(NOT(ISNA(VLOOKUP(E3059,E$1:E3058,1,FALSE()))),"OLD",IF(AND(E3059&lt;&gt;"",E3059&lt;&gt;"!!!"),"NEW","")))</f>
        <v> </v>
      </c>
      <c r="G3059" s="23" t="str">
        <f>IF(OR(E3059="",E3059="!!!"),"",IF(OR(J3059=0,AND(J3059=1,K3059=1),AND(J3059=1,I3059="SBJ"),AND(J3059=1,I3059=0)),"?IN_FOCUS",IF(J3059&lt;=2,"?ACTIVATED",IF(J3059&lt;&gt;"","?FAMILIAR",IF(F3059="NEW",IF(ISNA(VLOOKUP(E3059,#REF!,1,FALSE())),"?TYPE_IDENTIFIABLE","?REFERENTIAL"),"_")))))</f>
        <v> </v>
      </c>
      <c r="H3059" s="24" t="str">
        <f>IF(J3059&lt;&gt;1,"",IF(I3059="SBJ","CB","?"))</f>
        <v> </v>
      </c>
      <c r="I3059" s="25" t="str">
        <f>IF(OR(E3059="",E3059="!!!",F3059="NEW"),"",INDEX(B3058:B$2,-1+SUMPRODUCT(MAX(ROW(E3058:E$2)*(E3059=E3058:E$2)))))</f>
        <v> </v>
      </c>
      <c r="J3059" s="25" t="str">
        <f>IF(OR(E3059="",E3059="!!!",F3059="NEW"),"",COUNTBLANK(OFFSET(A$1,,,SUMPRODUCT(MAX(ROW(E$2:E3059)*(E3059=E$2:E3059)))))-COUNTBLANK(OFFSET(A$1,,,SUMPRODUCT(MAX(ROW(E$1:E3058)*(E2=E$1:E3058))))))</f>
        <v> </v>
      </c>
      <c r="K3059" s="25" t="str">
        <f>IF(OR(E3059="",E3059="!!!",F3059="NEW"),"",INDEX(J$1:J3058,SUMPRODUCT(MAX(ROW(E$1:E3058)*(E3059=E$1:E3058)))))</f>
        <v> </v>
      </c>
      <c r="L3059" s="26"/>
    </row>
    <row r="3060" spans="1:12">
      <c r="A3060" s="20" t="s">
        <v>2096</v>
      </c>
      <c r="E3060" s="21">
        <f>IF(D3060="?OLD","!!!","")</f>
        <v/>
      </c>
      <c r="F3060" s="22" t="str">
        <f>IF(OR(E3060="",E3060="!!!"),"",IF(NOT(ISNA(VLOOKUP(E3060,E$1:E3059,1,FALSE()))),"OLD",IF(AND(E3060&lt;&gt;"",E3060&lt;&gt;"!!!"),"NEW","")))</f>
        <v> </v>
      </c>
      <c r="G3060" s="23" t="str">
        <f>IF(OR(E3060="",E3060="!!!"),"",IF(OR(J3060=0,AND(J3060=1,K3060=1),AND(J3060=1,I3060="SBJ"),AND(J3060=1,I3060=0)),"?IN_FOCUS",IF(J3060&lt;=2,"?ACTIVATED",IF(J3060&lt;&gt;"","?FAMILIAR",IF(F3060="NEW",IF(ISNA(VLOOKUP(E3060,#REF!,1,FALSE())),"?TYPE_IDENTIFIABLE","?REFERENTIAL"),"_")))))</f>
        <v> </v>
      </c>
      <c r="H3060" s="24" t="str">
        <f>IF(J3060&lt;&gt;1,"",IF(I3060="SBJ","CB","?"))</f>
        <v> </v>
      </c>
      <c r="I3060" s="25" t="str">
        <f>IF(OR(E3060="",E3060="!!!",F3060="NEW"),"",INDEX(B3059:B$2,-1+SUMPRODUCT(MAX(ROW(E3059:E$2)*(E3060=E3059:E$2)))))</f>
        <v> </v>
      </c>
      <c r="J3060" s="25" t="str">
        <f>IF(OR(E3060="",E3060="!!!",F3060="NEW"),"",COUNTBLANK(OFFSET(A$1,,,SUMPRODUCT(MAX(ROW(E$2:E3060)*(E3060=E$2:E3060)))))-COUNTBLANK(OFFSET(A$1,,,SUMPRODUCT(MAX(ROW(E$1:E3059)*(E2=E$1:E3059))))))</f>
        <v> </v>
      </c>
      <c r="K3060" s="25" t="str">
        <f>IF(OR(E3060="",E3060="!!!",F3060="NEW"),"",INDEX(J$1:J3059,SUMPRODUCT(MAX(ROW(E$1:E3059)*(E3060=E$1:E3059)))))</f>
        <v> </v>
      </c>
      <c r="L3060" s="26"/>
    </row>
    <row r="3061" spans="1:12">
      <c r="A3061" s="20" t="s">
        <v>135</v>
      </c>
      <c r="E3061" s="21">
        <f>IF(D3061="?OLD","!!!","")</f>
        <v/>
      </c>
      <c r="F3061" s="22" t="str">
        <f>IF(OR(E3061="",E3061="!!!"),"",IF(NOT(ISNA(VLOOKUP(E3061,E$1:E3060,1,FALSE()))),"OLD",IF(AND(E3061&lt;&gt;"",E3061&lt;&gt;"!!!"),"NEW","")))</f>
        <v> </v>
      </c>
      <c r="G3061" s="23" t="str">
        <f>IF(OR(E3061="",E3061="!!!"),"",IF(OR(J3061=0,AND(J3061=1,K3061=1),AND(J3061=1,I3061="SBJ"),AND(J3061=1,I3061=0)),"?IN_FOCUS",IF(J3061&lt;=2,"?ACTIVATED",IF(J3061&lt;&gt;"","?FAMILIAR",IF(F3061="NEW",IF(ISNA(VLOOKUP(E3061,#REF!,1,FALSE())),"?TYPE_IDENTIFIABLE","?REFERENTIAL"),"_")))))</f>
        <v> </v>
      </c>
      <c r="H3061" s="24" t="str">
        <f>IF(J3061&lt;&gt;1,"",IF(I3061="SBJ","CB","?"))</f>
        <v> </v>
      </c>
      <c r="I3061" s="25" t="str">
        <f>IF(OR(E3061="",E3061="!!!",F3061="NEW"),"",INDEX(B3060:B$2,-1+SUMPRODUCT(MAX(ROW(E3060:E$2)*(E3061=E3060:E$2)))))</f>
        <v> </v>
      </c>
      <c r="J3061" s="25" t="str">
        <f>IF(OR(E3061="",E3061="!!!",F3061="NEW"),"",COUNTBLANK(OFFSET(A$1,,,SUMPRODUCT(MAX(ROW(E$2:E3061)*(E3061=E$2:E3061)))))-COUNTBLANK(OFFSET(A$1,,,SUMPRODUCT(MAX(ROW(E$1:E3060)*(E2=E$1:E3060))))))</f>
        <v> </v>
      </c>
      <c r="K3061" s="25" t="str">
        <f>IF(OR(E3061="",E3061="!!!",F3061="NEW"),"",INDEX(J$1:J3060,SUMPRODUCT(MAX(ROW(E$1:E3060)*(E3061=E$1:E3060)))))</f>
        <v> </v>
      </c>
      <c r="L3061" s="26"/>
    </row>
    <row r="3062" spans="1:12">
      <c r="A3062" s="20"/>
    </row>
    <row r="3063" spans="1:12">
      <c r="A3063" s="20" t="s">
        <v>2097</v>
      </c>
    </row>
    <row r="3064" spans="1:12">
      <c r="A3064" s="20" t="s">
        <v>1209</v>
      </c>
      <c r="E3064" s="21">
        <f>IF(D3064="?OLD","!!!","")</f>
        <v/>
      </c>
      <c r="F3064" s="22" t="str">
        <f>IF(OR(E3064="",E3064="!!!"),"",IF(NOT(ISNA(VLOOKUP(E3064,E$1:E3063,1,FALSE()))),"OLD",IF(AND(E3064&lt;&gt;"",E3064&lt;&gt;"!!!"),"NEW","")))</f>
        <v> </v>
      </c>
      <c r="G3064" s="23" t="str">
        <f>IF(OR(E3064="",E3064="!!!"),"",IF(OR(J3064=0,AND(J3064=1,K3064=1),AND(J3064=1,I3064="SBJ"),AND(J3064=1,I3064=0)),"?IN_FOCUS",IF(J3064&lt;=2,"?ACTIVATED",IF(J3064&lt;&gt;"","?FAMILIAR",IF(F3064="NEW",IF(ISNA(VLOOKUP(E3064,#REF!,1,FALSE())),"?TYPE_IDENTIFIABLE","?REFERENTIAL"),"_")))))</f>
        <v> </v>
      </c>
      <c r="H3064" s="24" t="str">
        <f>IF(J3064&lt;&gt;1,"",IF(I3064="SBJ","CB","?"))</f>
        <v> </v>
      </c>
      <c r="I3064" s="25" t="str">
        <f>IF(OR(E3064="",E3064="!!!",F3064="NEW"),"",INDEX(B3063:B$2,-1+SUMPRODUCT(MAX(ROW(E3063:E$2)*(E3064=E3063:E$2)))))</f>
        <v> </v>
      </c>
      <c r="J3064" s="25" t="str">
        <f>IF(OR(E3064="",E3064="!!!",F3064="NEW"),"",COUNTBLANK(OFFSET(A$1,,,SUMPRODUCT(MAX(ROW(E$2:E3064)*(E3064=E$2:E3064)))))-COUNTBLANK(OFFSET(A$1,,,SUMPRODUCT(MAX(ROW(E$1:E3063)*(E2=E$1:E3063))))))</f>
        <v> </v>
      </c>
      <c r="K3064" s="25" t="str">
        <f>IF(OR(E3064="",E3064="!!!",F3064="NEW"),"",INDEX(J$1:J3063,SUMPRODUCT(MAX(ROW(E$1:E3063)*(E3064=E$1:E3063)))))</f>
        <v> </v>
      </c>
      <c r="L3064" s="26"/>
    </row>
    <row r="3065" spans="1:12">
      <c r="A3065" s="20" t="s">
        <v>1018</v>
      </c>
      <c r="E3065" s="21">
        <f>IF(D3065="?OLD","!!!","")</f>
        <v/>
      </c>
      <c r="F3065" s="22" t="str">
        <f>IF(OR(E3065="",E3065="!!!"),"",IF(NOT(ISNA(VLOOKUP(E3065,E$1:E3064,1,FALSE()))),"OLD",IF(AND(E3065&lt;&gt;"",E3065&lt;&gt;"!!!"),"NEW","")))</f>
        <v> </v>
      </c>
      <c r="G3065" s="23" t="str">
        <f>IF(OR(E3065="",E3065="!!!"),"",IF(OR(J3065=0,AND(J3065=1,K3065=1),AND(J3065=1,I3065="SBJ"),AND(J3065=1,I3065=0)),"?IN_FOCUS",IF(J3065&lt;=2,"?ACTIVATED",IF(J3065&lt;&gt;"","?FAMILIAR",IF(F3065="NEW",IF(ISNA(VLOOKUP(E3065,#REF!,1,FALSE())),"?TYPE_IDENTIFIABLE","?REFERENTIAL"),"_")))))</f>
        <v> </v>
      </c>
      <c r="H3065" s="24" t="str">
        <f>IF(J3065&lt;&gt;1,"",IF(I3065="SBJ","CB","?"))</f>
        <v> </v>
      </c>
      <c r="I3065" s="25" t="str">
        <f>IF(OR(E3065="",E3065="!!!",F3065="NEW"),"",INDEX(B3064:B$2,-1+SUMPRODUCT(MAX(ROW(E3064:E$2)*(E3065=E3064:E$2)))))</f>
        <v> </v>
      </c>
      <c r="J3065" s="25" t="str">
        <f>IF(OR(E3065="",E3065="!!!",F3065="NEW"),"",COUNTBLANK(OFFSET(A$1,,,SUMPRODUCT(MAX(ROW(E$2:E3065)*(E3065=E$2:E3065)))))-COUNTBLANK(OFFSET(A$1,,,SUMPRODUCT(MAX(ROW(E$1:E3064)*(E2=E$1:E3064))))))</f>
        <v> </v>
      </c>
      <c r="K3065" s="25" t="str">
        <f>IF(OR(E3065="",E3065="!!!",F3065="NEW"),"",INDEX(J$1:J3064,SUMPRODUCT(MAX(ROW(E$1:E3064)*(E3065=E$1:E3064)))))</f>
        <v> </v>
      </c>
      <c r="L3065" s="26"/>
    </row>
    <row r="3066" spans="1:12">
      <c r="A3066" s="20" t="s">
        <v>2098</v>
      </c>
      <c r="B3066" s="27" t="s">
        <v>1045</v>
      </c>
      <c r="C3066" s="27" t="s">
        <v>1021</v>
      </c>
      <c r="E3066" s="21">
        <f>IF(D3066="?OLD","!!!","")</f>
        <v/>
      </c>
      <c r="F3066" s="22" t="str">
        <f>IF(OR(E3066="",E3066="!!!"),"",IF(NOT(ISNA(VLOOKUP(E3066,E$1:E3065,1,FALSE()))),"OLD",IF(AND(E3066&lt;&gt;"",E3066&lt;&gt;"!!!"),"NEW","")))</f>
        <v> </v>
      </c>
      <c r="G3066" s="23" t="str">
        <f>IF(OR(E3066="",E3066="!!!"),"",IF(OR(J3066=0,AND(J3066=1,K3066=1),AND(J3066=1,I3066="SBJ"),AND(J3066=1,I3066=0)),"?IN_FOCUS",IF(J3066&lt;=2,"?ACTIVATED",IF(J3066&lt;&gt;"","?FAMILIAR",IF(F3066="NEW",IF(ISNA(VLOOKUP(E3066,#REF!,1,FALSE())),"?TYPE_IDENTIFIABLE","?REFERENTIAL"),"_")))))</f>
        <v> </v>
      </c>
      <c r="H3066" s="24" t="str">
        <f>IF(J3066&lt;&gt;1,"",IF(I3066="SBJ","CB","?"))</f>
        <v> </v>
      </c>
      <c r="I3066" s="25" t="str">
        <f>IF(OR(E3066="",E3066="!!!",F3066="NEW"),"",INDEX(B3065:B$2,-1+SUMPRODUCT(MAX(ROW(E3065:E$2)*(E3066=E3065:E$2)))))</f>
        <v> </v>
      </c>
      <c r="J3066" s="25" t="str">
        <f>IF(OR(E3066="",E3066="!!!",F3066="NEW"),"",COUNTBLANK(OFFSET(A$1,,,SUMPRODUCT(MAX(ROW(E$2:E3066)*(E3066=E$2:E3066)))))-COUNTBLANK(OFFSET(A$1,,,SUMPRODUCT(MAX(ROW(E$1:E3065)*(E2=E$1:E3065))))))</f>
        <v> </v>
      </c>
      <c r="K3066" s="25" t="str">
        <f>IF(OR(E3066="",E3066="!!!",F3066="NEW"),"",INDEX(J$1:J3065,SUMPRODUCT(MAX(ROW(E$1:E3065)*(E3066=E$1:E3065)))))</f>
        <v> </v>
      </c>
      <c r="L3066" s="26"/>
    </row>
    <row r="3067" spans="1:12">
      <c r="A3067" s="20" t="s">
        <v>2099</v>
      </c>
      <c r="E3067" s="21">
        <f>IF(D3067="?OLD","!!!","")</f>
        <v/>
      </c>
      <c r="F3067" s="22" t="str">
        <f>IF(OR(E3067="",E3067="!!!"),"",IF(NOT(ISNA(VLOOKUP(E3067,E$1:E3066,1,FALSE()))),"OLD",IF(AND(E3067&lt;&gt;"",E3067&lt;&gt;"!!!"),"NEW","")))</f>
        <v> </v>
      </c>
      <c r="G3067" s="23" t="str">
        <f>IF(OR(E3067="",E3067="!!!"),"",IF(OR(J3067=0,AND(J3067=1,K3067=1),AND(J3067=1,I3067="SBJ"),AND(J3067=1,I3067=0)),"?IN_FOCUS",IF(J3067&lt;=2,"?ACTIVATED",IF(J3067&lt;&gt;"","?FAMILIAR",IF(F3067="NEW",IF(ISNA(VLOOKUP(E3067,#REF!,1,FALSE())),"?TYPE_IDENTIFIABLE","?REFERENTIAL"),"_")))))</f>
        <v> </v>
      </c>
      <c r="H3067" s="24" t="str">
        <f>IF(J3067&lt;&gt;1,"",IF(I3067="SBJ","CB","?"))</f>
        <v> </v>
      </c>
      <c r="I3067" s="25" t="str">
        <f>IF(OR(E3067="",E3067="!!!",F3067="NEW"),"",INDEX(B3066:B$2,-1+SUMPRODUCT(MAX(ROW(E3066:E$2)*(E3067=E3066:E$2)))))</f>
        <v> </v>
      </c>
      <c r="J3067" s="25" t="str">
        <f>IF(OR(E3067="",E3067="!!!",F3067="NEW"),"",COUNTBLANK(OFFSET(A$1,,,SUMPRODUCT(MAX(ROW(E$2:E3067)*(E3067=E$2:E3067)))))-COUNTBLANK(OFFSET(A$1,,,SUMPRODUCT(MAX(ROW(E$1:E3066)*(E2=E$1:E3066))))))</f>
        <v> </v>
      </c>
      <c r="K3067" s="25" t="str">
        <f>IF(OR(E3067="",E3067="!!!",F3067="NEW"),"",INDEX(J$1:J3066,SUMPRODUCT(MAX(ROW(E$1:E3066)*(E3067=E$1:E3066)))))</f>
        <v> </v>
      </c>
      <c r="L3067" s="26"/>
    </row>
    <row r="3068" spans="1:12">
      <c r="A3068" s="20" t="s">
        <v>135</v>
      </c>
      <c r="E3068" s="21">
        <f>IF(D3068="?OLD","!!!","")</f>
        <v/>
      </c>
      <c r="F3068" s="22" t="str">
        <f>IF(OR(E3068="",E3068="!!!"),"",IF(NOT(ISNA(VLOOKUP(E3068,E$1:E3067,1,FALSE()))),"OLD",IF(AND(E3068&lt;&gt;"",E3068&lt;&gt;"!!!"),"NEW","")))</f>
        <v> </v>
      </c>
      <c r="G3068" s="23" t="str">
        <f>IF(OR(E3068="",E3068="!!!"),"",IF(OR(J3068=0,AND(J3068=1,K3068=1),AND(J3068=1,I3068="SBJ"),AND(J3068=1,I3068=0)),"?IN_FOCUS",IF(J3068&lt;=2,"?ACTIVATED",IF(J3068&lt;&gt;"","?FAMILIAR",IF(F3068="NEW",IF(ISNA(VLOOKUP(E3068,#REF!,1,FALSE())),"?TYPE_IDENTIFIABLE","?REFERENTIAL"),"_")))))</f>
        <v> </v>
      </c>
      <c r="H3068" s="24" t="str">
        <f>IF(J3068&lt;&gt;1,"",IF(I3068="SBJ","CB","?"))</f>
        <v> </v>
      </c>
      <c r="I3068" s="25" t="str">
        <f>IF(OR(E3068="",E3068="!!!",F3068="NEW"),"",INDEX(B3067:B$2,-1+SUMPRODUCT(MAX(ROW(E3067:E$2)*(E3068=E3067:E$2)))))</f>
        <v> </v>
      </c>
      <c r="J3068" s="25" t="str">
        <f>IF(OR(E3068="",E3068="!!!",F3068="NEW"),"",COUNTBLANK(OFFSET(A$1,,,SUMPRODUCT(MAX(ROW(E$2:E3068)*(E3068=E$2:E3068)))))-COUNTBLANK(OFFSET(A$1,,,SUMPRODUCT(MAX(ROW(E$1:E3067)*(E2=E$1:E3067))))))</f>
        <v> </v>
      </c>
      <c r="K3068" s="25" t="str">
        <f>IF(OR(E3068="",E3068="!!!",F3068="NEW"),"",INDEX(J$1:J3067,SUMPRODUCT(MAX(ROW(E$1:E3067)*(E3068=E$1:E3067)))))</f>
        <v> </v>
      </c>
      <c r="L3068" s="26"/>
    </row>
    <row r="3069" spans="1:12">
      <c r="A3069" s="20"/>
    </row>
    <row r="3070" spans="1:12">
      <c r="A3070" s="20" t="s">
        <v>2100</v>
      </c>
    </row>
    <row r="3071" spans="1:12">
      <c r="A3071" s="20" t="s">
        <v>2101</v>
      </c>
      <c r="E3071" s="21">
        <f>IF(D3071="?OLD","!!!","")</f>
        <v/>
      </c>
      <c r="F3071" s="22" t="str">
        <f>IF(OR(E3071="",E3071="!!!"),"",IF(NOT(ISNA(VLOOKUP(E3071,E$1:E3070,1,FALSE()))),"OLD",IF(AND(E3071&lt;&gt;"",E3071&lt;&gt;"!!!"),"NEW","")))</f>
        <v> </v>
      </c>
      <c r="G3071" s="23" t="str">
        <f>IF(OR(E3071="",E3071="!!!"),"",IF(OR(J3071=0,AND(J3071=1,K3071=1),AND(J3071=1,I3071="SBJ"),AND(J3071=1,I3071=0)),"?IN_FOCUS",IF(J3071&lt;=2,"?ACTIVATED",IF(J3071&lt;&gt;"","?FAMILIAR",IF(F3071="NEW",IF(ISNA(VLOOKUP(E3071,#REF!,1,FALSE())),"?TYPE_IDENTIFIABLE","?REFERENTIAL"),"_")))))</f>
        <v> </v>
      </c>
      <c r="H3071" s="24" t="str">
        <f>IF(J3071&lt;&gt;1,"",IF(I3071="SBJ","CB","?"))</f>
        <v> </v>
      </c>
      <c r="I3071" s="25" t="str">
        <f>IF(OR(E3071="",E3071="!!!",F3071="NEW"),"",INDEX(B3070:B$2,-1+SUMPRODUCT(MAX(ROW(E3070:E$2)*(E3071=E3070:E$2)))))</f>
        <v> </v>
      </c>
      <c r="J3071" s="25" t="str">
        <f>IF(OR(E3071="",E3071="!!!",F3071="NEW"),"",COUNTBLANK(OFFSET(A$1,,,SUMPRODUCT(MAX(ROW(E$2:E3071)*(E3071=E$2:E3071)))))-COUNTBLANK(OFFSET(A$1,,,SUMPRODUCT(MAX(ROW(E$1:E3070)*(E2=E$1:E3070))))))</f>
        <v> </v>
      </c>
      <c r="K3071" s="25" t="str">
        <f>IF(OR(E3071="",E3071="!!!",F3071="NEW"),"",INDEX(J$1:J3070,SUMPRODUCT(MAX(ROW(E$1:E3070)*(E3071=E$1:E3070)))))</f>
        <v> </v>
      </c>
      <c r="L3071" s="26"/>
    </row>
    <row r="3072" spans="1:12">
      <c r="A3072" s="20" t="s">
        <v>715</v>
      </c>
      <c r="E3072" s="21">
        <f>IF(D3072="?OLD","!!!","")</f>
        <v/>
      </c>
      <c r="F3072" s="22" t="str">
        <f>IF(OR(E3072="",E3072="!!!"),"",IF(NOT(ISNA(VLOOKUP(E3072,E$1:E3071,1,FALSE()))),"OLD",IF(AND(E3072&lt;&gt;"",E3072&lt;&gt;"!!!"),"NEW","")))</f>
        <v> </v>
      </c>
      <c r="G3072" s="23" t="str">
        <f>IF(OR(E3072="",E3072="!!!"),"",IF(OR(J3072=0,AND(J3072=1,K3072=1),AND(J3072=1,I3072="SBJ"),AND(J3072=1,I3072=0)),"?IN_FOCUS",IF(J3072&lt;=2,"?ACTIVATED",IF(J3072&lt;&gt;"","?FAMILIAR",IF(F3072="NEW",IF(ISNA(VLOOKUP(E3072,#REF!,1,FALSE())),"?TYPE_IDENTIFIABLE","?REFERENTIAL"),"_")))))</f>
        <v> </v>
      </c>
      <c r="H3072" s="24" t="str">
        <f>IF(J3072&lt;&gt;1,"",IF(I3072="SBJ","CB","?"))</f>
        <v> </v>
      </c>
      <c r="I3072" s="25" t="str">
        <f>IF(OR(E3072="",E3072="!!!",F3072="NEW"),"",INDEX(B3071:B$2,-1+SUMPRODUCT(MAX(ROW(E3071:E$2)*(E3072=E3071:E$2)))))</f>
        <v> </v>
      </c>
      <c r="J3072" s="25" t="str">
        <f>IF(OR(E3072="",E3072="!!!",F3072="NEW"),"",COUNTBLANK(OFFSET(A$1,,,SUMPRODUCT(MAX(ROW(E$2:E3072)*(E3072=E$2:E3072)))))-COUNTBLANK(OFFSET(A$1,,,SUMPRODUCT(MAX(ROW(E$1:E3071)*(E2=E$1:E3071))))))</f>
        <v> </v>
      </c>
      <c r="K3072" s="25" t="str">
        <f>IF(OR(E3072="",E3072="!!!",F3072="NEW"),"",INDEX(J$1:J3071,SUMPRODUCT(MAX(ROW(E$1:E3071)*(E3072=E$1:E3071)))))</f>
        <v> </v>
      </c>
      <c r="L3072" s="26"/>
    </row>
    <row r="3073" spans="1:12">
      <c r="A3073" s="20" t="s">
        <v>135</v>
      </c>
      <c r="E3073" s="21">
        <f>IF(D3073="?OLD","!!!","")</f>
        <v/>
      </c>
      <c r="F3073" s="22" t="str">
        <f>IF(OR(E3073="",E3073="!!!"),"",IF(NOT(ISNA(VLOOKUP(E3073,E$1:E3072,1,FALSE()))),"OLD",IF(AND(E3073&lt;&gt;"",E3073&lt;&gt;"!!!"),"NEW","")))</f>
        <v> </v>
      </c>
      <c r="G3073" s="23" t="str">
        <f>IF(OR(E3073="",E3073="!!!"),"",IF(OR(J3073=0,AND(J3073=1,K3073=1),AND(J3073=1,I3073="SBJ"),AND(J3073=1,I3073=0)),"?IN_FOCUS",IF(J3073&lt;=2,"?ACTIVATED",IF(J3073&lt;&gt;"","?FAMILIAR",IF(F3073="NEW",IF(ISNA(VLOOKUP(E3073,#REF!,1,FALSE())),"?TYPE_IDENTIFIABLE","?REFERENTIAL"),"_")))))</f>
        <v> </v>
      </c>
      <c r="H3073" s="24" t="str">
        <f>IF(J3073&lt;&gt;1,"",IF(I3073="SBJ","CB","?"))</f>
        <v> </v>
      </c>
      <c r="I3073" s="25" t="str">
        <f>IF(OR(E3073="",E3073="!!!",F3073="NEW"),"",INDEX(B3072:B$2,-1+SUMPRODUCT(MAX(ROW(E3072:E$2)*(E3073=E3072:E$2)))))</f>
        <v> </v>
      </c>
      <c r="J3073" s="25" t="str">
        <f>IF(OR(E3073="",E3073="!!!",F3073="NEW"),"",COUNTBLANK(OFFSET(A$1,,,SUMPRODUCT(MAX(ROW(E$2:E3073)*(E3073=E$2:E3073)))))-COUNTBLANK(OFFSET(A$1,,,SUMPRODUCT(MAX(ROW(E$1:E3072)*(E2=E$1:E3072))))))</f>
        <v> </v>
      </c>
      <c r="K3073" s="25" t="str">
        <f>IF(OR(E3073="",E3073="!!!",F3073="NEW"),"",INDEX(J$1:J3072,SUMPRODUCT(MAX(ROW(E$1:E3072)*(E3073=E$1:E3072)))))</f>
        <v> </v>
      </c>
      <c r="L3073" s="26"/>
    </row>
    <row r="3074" spans="1:12">
      <c r="A3074" s="20"/>
    </row>
    <row r="3075" spans="1:12">
      <c r="A3075" s="20" t="s">
        <v>2102</v>
      </c>
    </row>
    <row r="3076" spans="1:12">
      <c r="A3076" s="20" t="s">
        <v>1209</v>
      </c>
      <c r="E3076" s="21">
        <f>IF(D3076="?OLD","!!!","")</f>
        <v/>
      </c>
      <c r="F3076" s="22" t="str">
        <f>IF(OR(E3076="",E3076="!!!"),"",IF(NOT(ISNA(VLOOKUP(E3076,E$1:E3075,1,FALSE()))),"OLD",IF(AND(E3076&lt;&gt;"",E3076&lt;&gt;"!!!"),"NEW","")))</f>
        <v> </v>
      </c>
      <c r="G3076" s="23" t="str">
        <f>IF(OR(E3076="",E3076="!!!"),"",IF(OR(J3076=0,AND(J3076=1,K3076=1),AND(J3076=1,I3076="SBJ"),AND(J3076=1,I3076=0)),"?IN_FOCUS",IF(J3076&lt;=2,"?ACTIVATED",IF(J3076&lt;&gt;"","?FAMILIAR",IF(F3076="NEW",IF(ISNA(VLOOKUP(E3076,#REF!,1,FALSE())),"?TYPE_IDENTIFIABLE","?REFERENTIAL"),"_")))))</f>
        <v> </v>
      </c>
      <c r="H3076" s="24" t="str">
        <f>IF(J3076&lt;&gt;1,"",IF(I3076="SBJ","CB","?"))</f>
        <v> </v>
      </c>
      <c r="I3076" s="25" t="str">
        <f>IF(OR(E3076="",E3076="!!!",F3076="NEW"),"",INDEX(B3075:B$2,-1+SUMPRODUCT(MAX(ROW(E3075:E$2)*(E3076=E3075:E$2)))))</f>
        <v> </v>
      </c>
      <c r="J3076" s="25" t="str">
        <f>IF(OR(E3076="",E3076="!!!",F3076="NEW"),"",COUNTBLANK(OFFSET(A$1,,,SUMPRODUCT(MAX(ROW(E$2:E3076)*(E3076=E$2:E3076)))))-COUNTBLANK(OFFSET(A$1,,,SUMPRODUCT(MAX(ROW(E$1:E3075)*(E2=E$1:E3075))))))</f>
        <v> </v>
      </c>
      <c r="K3076" s="25" t="str">
        <f>IF(OR(E3076="",E3076="!!!",F3076="NEW"),"",INDEX(J$1:J3075,SUMPRODUCT(MAX(ROW(E$1:E3075)*(E3076=E$1:E3075)))))</f>
        <v> </v>
      </c>
      <c r="L3076" s="26"/>
    </row>
    <row r="3077" spans="1:12">
      <c r="A3077" s="20" t="s">
        <v>1018</v>
      </c>
      <c r="E3077" s="21">
        <f>IF(D3077="?OLD","!!!","")</f>
        <v/>
      </c>
      <c r="F3077" s="22" t="str">
        <f>IF(OR(E3077="",E3077="!!!"),"",IF(NOT(ISNA(VLOOKUP(E3077,E$1:E3076,1,FALSE()))),"OLD",IF(AND(E3077&lt;&gt;"",E3077&lt;&gt;"!!!"),"NEW","")))</f>
        <v> </v>
      </c>
      <c r="G3077" s="23" t="str">
        <f>IF(OR(E3077="",E3077="!!!"),"",IF(OR(J3077=0,AND(J3077=1,K3077=1),AND(J3077=1,I3077="SBJ"),AND(J3077=1,I3077=0)),"?IN_FOCUS",IF(J3077&lt;=2,"?ACTIVATED",IF(J3077&lt;&gt;"","?FAMILIAR",IF(F3077="NEW",IF(ISNA(VLOOKUP(E3077,#REF!,1,FALSE())),"?TYPE_IDENTIFIABLE","?REFERENTIAL"),"_")))))</f>
        <v> </v>
      </c>
      <c r="H3077" s="24" t="str">
        <f>IF(J3077&lt;&gt;1,"",IF(I3077="SBJ","CB","?"))</f>
        <v> </v>
      </c>
      <c r="I3077" s="25" t="str">
        <f>IF(OR(E3077="",E3077="!!!",F3077="NEW"),"",INDEX(B3076:B$2,-1+SUMPRODUCT(MAX(ROW(E3076:E$2)*(E3077=E3076:E$2)))))</f>
        <v> </v>
      </c>
      <c r="J3077" s="25" t="str">
        <f>IF(OR(E3077="",E3077="!!!",F3077="NEW"),"",COUNTBLANK(OFFSET(A$1,,,SUMPRODUCT(MAX(ROW(E$2:E3077)*(E3077=E$2:E3077)))))-COUNTBLANK(OFFSET(A$1,,,SUMPRODUCT(MAX(ROW(E$1:E3076)*(E2=E$1:E3076))))))</f>
        <v> </v>
      </c>
      <c r="K3077" s="25" t="str">
        <f>IF(OR(E3077="",E3077="!!!",F3077="NEW"),"",INDEX(J$1:J3076,SUMPRODUCT(MAX(ROW(E$1:E3076)*(E3077=E$1:E3076)))))</f>
        <v> </v>
      </c>
      <c r="L3077" s="26"/>
    </row>
    <row r="3078" spans="1:12">
      <c r="A3078" s="20" t="s">
        <v>2098</v>
      </c>
      <c r="B3078" s="27" t="s">
        <v>1045</v>
      </c>
      <c r="C3078" s="27" t="s">
        <v>1029</v>
      </c>
      <c r="D3078" s="27" t="s">
        <v>1030</v>
      </c>
      <c r="E3078" s="21">
        <f>IF(D3078="?OLD","!!!","")</f>
        <v/>
      </c>
      <c r="F3078" s="22" t="str">
        <f>IF(OR(E3078="",E3078="!!!"),"",IF(NOT(ISNA(VLOOKUP(E3078,E$1:E3077,1,FALSE()))),"OLD",IF(AND(E3078&lt;&gt;"",E3078&lt;&gt;"!!!"),"NEW","")))</f>
        <v> </v>
      </c>
      <c r="G3078" s="23" t="str">
        <f>IF(OR(E3078="",E3078="!!!"),"",IF(OR(J3078=0,AND(J3078=1,K3078=1),AND(J3078=1,I3078="SBJ"),AND(J3078=1,I3078=0)),"?IN_FOCUS",IF(J3078&lt;=2,"?ACTIVATED",IF(J3078&lt;&gt;"","?FAMILIAR",IF(F3078="NEW",IF(ISNA(VLOOKUP(E3078,#REF!,1,FALSE())),"?TYPE_IDENTIFIABLE","?REFERENTIAL"),"_")))))</f>
        <v> </v>
      </c>
      <c r="H3078" s="24" t="str">
        <f>IF(J3078&lt;&gt;1,"",IF(I3078="SBJ","CB","?"))</f>
        <v> </v>
      </c>
      <c r="I3078" s="25" t="str">
        <f>IF(OR(E3078="",E3078="!!!",F3078="NEW"),"",INDEX(B3077:B$2,-1+SUMPRODUCT(MAX(ROW(E3077:E$2)*(E3078=E3077:E$2)))))</f>
        <v> </v>
      </c>
      <c r="J3078" s="25" t="str">
        <f>IF(OR(E3078="",E3078="!!!",F3078="NEW"),"",COUNTBLANK(OFFSET(A$1,,,SUMPRODUCT(MAX(ROW(E$2:E3078)*(E3078=E$2:E3078)))))-COUNTBLANK(OFFSET(A$1,,,SUMPRODUCT(MAX(ROW(E$1:E3077)*(E2=E$1:E3077))))))</f>
        <v> </v>
      </c>
      <c r="K3078" s="25" t="str">
        <f>IF(OR(E3078="",E3078="!!!",F3078="NEW"),"",INDEX(J$1:J3077,SUMPRODUCT(MAX(ROW(E$1:E3077)*(E3078=E$1:E3077)))))</f>
        <v> </v>
      </c>
      <c r="L3078" s="26"/>
    </row>
    <row r="3079" spans="1:12">
      <c r="A3079" s="20" t="s">
        <v>1131</v>
      </c>
      <c r="E3079" s="21">
        <f>IF(D3079="?OLD","!!!","")</f>
        <v/>
      </c>
      <c r="F3079" s="22" t="str">
        <f>IF(OR(E3079="",E3079="!!!"),"",IF(NOT(ISNA(VLOOKUP(E3079,E$1:E3078,1,FALSE()))),"OLD",IF(AND(E3079&lt;&gt;"",E3079&lt;&gt;"!!!"),"NEW","")))</f>
        <v> </v>
      </c>
      <c r="G3079" s="23" t="str">
        <f>IF(OR(E3079="",E3079="!!!"),"",IF(OR(J3079=0,AND(J3079=1,K3079=1),AND(J3079=1,I3079="SBJ"),AND(J3079=1,I3079=0)),"?IN_FOCUS",IF(J3079&lt;=2,"?ACTIVATED",IF(J3079&lt;&gt;"","?FAMILIAR",IF(F3079="NEW",IF(ISNA(VLOOKUP(E3079,#REF!,1,FALSE())),"?TYPE_IDENTIFIABLE","?REFERENTIAL"),"_")))))</f>
        <v> </v>
      </c>
      <c r="H3079" s="24" t="str">
        <f>IF(J3079&lt;&gt;1,"",IF(I3079="SBJ","CB","?"))</f>
        <v> </v>
      </c>
      <c r="I3079" s="25" t="str">
        <f>IF(OR(E3079="",E3079="!!!",F3079="NEW"),"",INDEX(B3078:B$2,-1+SUMPRODUCT(MAX(ROW(E3078:E$2)*(E3079=E3078:E$2)))))</f>
        <v> </v>
      </c>
      <c r="J3079" s="25" t="str">
        <f>IF(OR(E3079="",E3079="!!!",F3079="NEW"),"",COUNTBLANK(OFFSET(A$1,,,SUMPRODUCT(MAX(ROW(E$2:E3079)*(E3079=E$2:E3079)))))-COUNTBLANK(OFFSET(A$1,,,SUMPRODUCT(MAX(ROW(E$1:E3078)*(E2=E$1:E3078))))))</f>
        <v> </v>
      </c>
      <c r="K3079" s="25" t="str">
        <f>IF(OR(E3079="",E3079="!!!",F3079="NEW"),"",INDEX(J$1:J3078,SUMPRODUCT(MAX(ROW(E$1:E3078)*(E3079=E$1:E3078)))))</f>
        <v> </v>
      </c>
      <c r="L3079" s="26"/>
    </row>
    <row r="3080" spans="1:12">
      <c r="A3080" s="20" t="s">
        <v>1096</v>
      </c>
      <c r="E3080" s="21">
        <f>IF(D3080="?OLD","!!!","")</f>
        <v/>
      </c>
      <c r="F3080" s="22" t="str">
        <f>IF(OR(E3080="",E3080="!!!"),"",IF(NOT(ISNA(VLOOKUP(E3080,E$1:E3079,1,FALSE()))),"OLD",IF(AND(E3080&lt;&gt;"",E3080&lt;&gt;"!!!"),"NEW","")))</f>
        <v> </v>
      </c>
      <c r="G3080" s="23" t="str">
        <f>IF(OR(E3080="",E3080="!!!"),"",IF(OR(J3080=0,AND(J3080=1,K3080=1),AND(J3080=1,I3080="SBJ"),AND(J3080=1,I3080=0)),"?IN_FOCUS",IF(J3080&lt;=2,"?ACTIVATED",IF(J3080&lt;&gt;"","?FAMILIAR",IF(F3080="NEW",IF(ISNA(VLOOKUP(E3080,#REF!,1,FALSE())),"?TYPE_IDENTIFIABLE","?REFERENTIAL"),"_")))))</f>
        <v> </v>
      </c>
      <c r="H3080" s="24" t="str">
        <f>IF(J3080&lt;&gt;1,"",IF(I3080="SBJ","CB","?"))</f>
        <v> </v>
      </c>
      <c r="I3080" s="25" t="str">
        <f>IF(OR(E3080="",E3080="!!!",F3080="NEW"),"",INDEX(B3079:B$2,-1+SUMPRODUCT(MAX(ROW(E3079:E$2)*(E3080=E3079:E$2)))))</f>
        <v> </v>
      </c>
      <c r="J3080" s="25" t="str">
        <f>IF(OR(E3080="",E3080="!!!",F3080="NEW"),"",COUNTBLANK(OFFSET(A$1,,,SUMPRODUCT(MAX(ROW(E$2:E3080)*(E3080=E$2:E3080)))))-COUNTBLANK(OFFSET(A$1,,,SUMPRODUCT(MAX(ROW(E$1:E3079)*(E2=E$1:E3079))))))</f>
        <v> </v>
      </c>
      <c r="K3080" s="25" t="str">
        <f>IF(OR(E3080="",E3080="!!!",F3080="NEW"),"",INDEX(J$1:J3079,SUMPRODUCT(MAX(ROW(E$1:E3079)*(E3080=E$1:E3079)))))</f>
        <v> </v>
      </c>
      <c r="L3080" s="26"/>
    </row>
    <row r="3081" spans="1:12">
      <c r="A3081" s="20" t="s">
        <v>2103</v>
      </c>
      <c r="B3081" s="27" t="s">
        <v>1045</v>
      </c>
      <c r="C3081" s="27" t="s">
        <v>1038</v>
      </c>
      <c r="D3081" s="27" t="s">
        <v>1030</v>
      </c>
      <c r="E3081" s="21">
        <f>IF(D3081="?OLD","!!!","")</f>
        <v/>
      </c>
      <c r="F3081" s="22" t="str">
        <f>IF(OR(E3081="",E3081="!!!"),"",IF(NOT(ISNA(VLOOKUP(E3081,E$1:E3080,1,FALSE()))),"OLD",IF(AND(E3081&lt;&gt;"",E3081&lt;&gt;"!!!"),"NEW","")))</f>
        <v> </v>
      </c>
      <c r="G3081" s="23" t="str">
        <f>IF(OR(E3081="",E3081="!!!"),"",IF(OR(J3081=0,AND(J3081=1,K3081=1),AND(J3081=1,I3081="SBJ"),AND(J3081=1,I3081=0)),"?IN_FOCUS",IF(J3081&lt;=2,"?ACTIVATED",IF(J3081&lt;&gt;"","?FAMILIAR",IF(F3081="NEW",IF(ISNA(VLOOKUP(E3081,#REF!,1,FALSE())),"?TYPE_IDENTIFIABLE","?REFERENTIAL"),"_")))))</f>
        <v> </v>
      </c>
      <c r="H3081" s="24" t="str">
        <f>IF(J3081&lt;&gt;1,"",IF(I3081="SBJ","CB","?"))</f>
        <v> </v>
      </c>
      <c r="I3081" s="25" t="str">
        <f>IF(OR(E3081="",E3081="!!!",F3081="NEW"),"",INDEX(B3080:B$2,-1+SUMPRODUCT(MAX(ROW(E3080:E$2)*(E3081=E3080:E$2)))))</f>
        <v> </v>
      </c>
      <c r="J3081" s="25" t="str">
        <f>IF(OR(E3081="",E3081="!!!",F3081="NEW"),"",COUNTBLANK(OFFSET(A$1,,,SUMPRODUCT(MAX(ROW(E$2:E3081)*(E3081=E$2:E3081)))))-COUNTBLANK(OFFSET(A$1,,,SUMPRODUCT(MAX(ROW(E$1:E3080)*(E2=E$1:E3080))))))</f>
        <v> </v>
      </c>
      <c r="K3081" s="25" t="str">
        <f>IF(OR(E3081="",E3081="!!!",F3081="NEW"),"",INDEX(J$1:J3080,SUMPRODUCT(MAX(ROW(E$1:E3080)*(E3081=E$1:E3080)))))</f>
        <v> </v>
      </c>
      <c r="L3081" s="26"/>
    </row>
    <row r="3082" spans="1:12">
      <c r="A3082" s="20" t="s">
        <v>1022</v>
      </c>
      <c r="E3082" s="21">
        <f>IF(D3082="?OLD","!!!","")</f>
        <v/>
      </c>
      <c r="F3082" s="22" t="str">
        <f>IF(OR(E3082="",E3082="!!!"),"",IF(NOT(ISNA(VLOOKUP(E3082,E$1:E3081,1,FALSE()))),"OLD",IF(AND(E3082&lt;&gt;"",E3082&lt;&gt;"!!!"),"NEW","")))</f>
        <v> </v>
      </c>
      <c r="G3082" s="23" t="str">
        <f>IF(OR(E3082="",E3082="!!!"),"",IF(OR(J3082=0,AND(J3082=1,K3082=1),AND(J3082=1,I3082="SBJ"),AND(J3082=1,I3082=0)),"?IN_FOCUS",IF(J3082&lt;=2,"?ACTIVATED",IF(J3082&lt;&gt;"","?FAMILIAR",IF(F3082="NEW",IF(ISNA(VLOOKUP(E3082,#REF!,1,FALSE())),"?TYPE_IDENTIFIABLE","?REFERENTIAL"),"_")))))</f>
        <v> </v>
      </c>
      <c r="H3082" s="24" t="str">
        <f>IF(J3082&lt;&gt;1,"",IF(I3082="SBJ","CB","?"))</f>
        <v> </v>
      </c>
      <c r="I3082" s="25" t="str">
        <f>IF(OR(E3082="",E3082="!!!",F3082="NEW"),"",INDEX(B3081:B$2,-1+SUMPRODUCT(MAX(ROW(E3081:E$2)*(E3082=E3081:E$2)))))</f>
        <v> </v>
      </c>
      <c r="J3082" s="25" t="str">
        <f>IF(OR(E3082="",E3082="!!!",F3082="NEW"),"",COUNTBLANK(OFFSET(A$1,,,SUMPRODUCT(MAX(ROW(E$2:E3082)*(E3082=E$2:E3082)))))-COUNTBLANK(OFFSET(A$1,,,SUMPRODUCT(MAX(ROW(E$1:E3081)*(E2=E$1:E3081))))))</f>
        <v> </v>
      </c>
      <c r="K3082" s="25" t="str">
        <f>IF(OR(E3082="",E3082="!!!",F3082="NEW"),"",INDEX(J$1:J3081,SUMPRODUCT(MAX(ROW(E$1:E3081)*(E3082=E$1:E3081)))))</f>
        <v> </v>
      </c>
      <c r="L3082" s="26"/>
    </row>
    <row r="3083" spans="1:12">
      <c r="A3083" s="20" t="s">
        <v>1131</v>
      </c>
      <c r="E3083" s="21">
        <f>IF(D3083="?OLD","!!!","")</f>
        <v/>
      </c>
      <c r="F3083" s="22" t="str">
        <f>IF(OR(E3083="",E3083="!!!"),"",IF(NOT(ISNA(VLOOKUP(E3083,E$1:E3082,1,FALSE()))),"OLD",IF(AND(E3083&lt;&gt;"",E3083&lt;&gt;"!!!"),"NEW","")))</f>
        <v> </v>
      </c>
      <c r="G3083" s="23" t="str">
        <f>IF(OR(E3083="",E3083="!!!"),"",IF(OR(J3083=0,AND(J3083=1,K3083=1),AND(J3083=1,I3083="SBJ"),AND(J3083=1,I3083=0)),"?IN_FOCUS",IF(J3083&lt;=2,"?ACTIVATED",IF(J3083&lt;&gt;"","?FAMILIAR",IF(F3083="NEW",IF(ISNA(VLOOKUP(E3083,#REF!,1,FALSE())),"?TYPE_IDENTIFIABLE","?REFERENTIAL"),"_")))))</f>
        <v> </v>
      </c>
      <c r="H3083" s="24" t="str">
        <f>IF(J3083&lt;&gt;1,"",IF(I3083="SBJ","CB","?"))</f>
        <v> </v>
      </c>
      <c r="I3083" s="25" t="str">
        <f>IF(OR(E3083="",E3083="!!!",F3083="NEW"),"",INDEX(B3082:B$2,-1+SUMPRODUCT(MAX(ROW(E3082:E$2)*(E3083=E3082:E$2)))))</f>
        <v> </v>
      </c>
      <c r="J3083" s="25" t="str">
        <f>IF(OR(E3083="",E3083="!!!",F3083="NEW"),"",COUNTBLANK(OFFSET(A$1,,,SUMPRODUCT(MAX(ROW(E$2:E3083)*(E3083=E$2:E3083)))))-COUNTBLANK(OFFSET(A$1,,,SUMPRODUCT(MAX(ROW(E$1:E3082)*(E2=E$1:E3082))))))</f>
        <v> </v>
      </c>
      <c r="K3083" s="25" t="str">
        <f>IF(OR(E3083="",E3083="!!!",F3083="NEW"),"",INDEX(J$1:J3082,SUMPRODUCT(MAX(ROW(E$1:E3082)*(E3083=E$1:E3082)))))</f>
        <v> </v>
      </c>
      <c r="L3083" s="26"/>
    </row>
    <row r="3084" spans="1:12">
      <c r="A3084" s="20" t="s">
        <v>1096</v>
      </c>
      <c r="E3084" s="21">
        <f>IF(D3084="?OLD","!!!","")</f>
        <v/>
      </c>
      <c r="F3084" s="22" t="str">
        <f>IF(OR(E3084="",E3084="!!!"),"",IF(NOT(ISNA(VLOOKUP(E3084,E$1:E3083,1,FALSE()))),"OLD",IF(AND(E3084&lt;&gt;"",E3084&lt;&gt;"!!!"),"NEW","")))</f>
        <v> </v>
      </c>
      <c r="G3084" s="23" t="str">
        <f>IF(OR(E3084="",E3084="!!!"),"",IF(OR(J3084=0,AND(J3084=1,K3084=1),AND(J3084=1,I3084="SBJ"),AND(J3084=1,I3084=0)),"?IN_FOCUS",IF(J3084&lt;=2,"?ACTIVATED",IF(J3084&lt;&gt;"","?FAMILIAR",IF(F3084="NEW",IF(ISNA(VLOOKUP(E3084,#REF!,1,FALSE())),"?TYPE_IDENTIFIABLE","?REFERENTIAL"),"_")))))</f>
        <v> </v>
      </c>
      <c r="H3084" s="24" t="str">
        <f>IF(J3084&lt;&gt;1,"",IF(I3084="SBJ","CB","?"))</f>
        <v> </v>
      </c>
      <c r="I3084" s="25" t="str">
        <f>IF(OR(E3084="",E3084="!!!",F3084="NEW"),"",INDEX(B3083:B$2,-1+SUMPRODUCT(MAX(ROW(E3083:E$2)*(E3084=E3083:E$2)))))</f>
        <v> </v>
      </c>
      <c r="J3084" s="25" t="str">
        <f>IF(OR(E3084="",E3084="!!!",F3084="NEW"),"",COUNTBLANK(OFFSET(A$1,,,SUMPRODUCT(MAX(ROW(E$2:E3084)*(E3084=E$2:E3084)))))-COUNTBLANK(OFFSET(A$1,,,SUMPRODUCT(MAX(ROW(E$1:E3083)*(E2=E$1:E3083))))))</f>
        <v> </v>
      </c>
      <c r="K3084" s="25" t="str">
        <f>IF(OR(E3084="",E3084="!!!",F3084="NEW"),"",INDEX(J$1:J3083,SUMPRODUCT(MAX(ROW(E$1:E3083)*(E3084=E$1:E3083)))))</f>
        <v> </v>
      </c>
      <c r="L3084" s="26"/>
    </row>
    <row r="3085" spans="1:12">
      <c r="A3085" s="20" t="s">
        <v>2104</v>
      </c>
      <c r="B3085" s="27" t="s">
        <v>1045</v>
      </c>
      <c r="C3085" s="27" t="s">
        <v>1038</v>
      </c>
      <c r="D3085" s="27" t="s">
        <v>1030</v>
      </c>
      <c r="E3085" s="21">
        <f>IF(D3085="?OLD","!!!","")</f>
        <v/>
      </c>
      <c r="F3085" s="22" t="str">
        <f>IF(OR(E3085="",E3085="!!!"),"",IF(NOT(ISNA(VLOOKUP(E3085,E$1:E3084,1,FALSE()))),"OLD",IF(AND(E3085&lt;&gt;"",E3085&lt;&gt;"!!!"),"NEW","")))</f>
        <v> </v>
      </c>
      <c r="G3085" s="23" t="str">
        <f>IF(OR(E3085="",E3085="!!!"),"",IF(OR(J3085=0,AND(J3085=1,K3085=1),AND(J3085=1,I3085="SBJ"),AND(J3085=1,I3085=0)),"?IN_FOCUS",IF(J3085&lt;=2,"?ACTIVATED",IF(J3085&lt;&gt;"","?FAMILIAR",IF(F3085="NEW",IF(ISNA(VLOOKUP(E3085,#REF!,1,FALSE())),"?TYPE_IDENTIFIABLE","?REFERENTIAL"),"_")))))</f>
        <v> </v>
      </c>
      <c r="H3085" s="24" t="str">
        <f>IF(J3085&lt;&gt;1,"",IF(I3085="SBJ","CB","?"))</f>
        <v> </v>
      </c>
      <c r="I3085" s="25" t="str">
        <f>IF(OR(E3085="",E3085="!!!",F3085="NEW"),"",INDEX(B3084:B$2,-1+SUMPRODUCT(MAX(ROW(E3084:E$2)*(E3085=E3084:E$2)))))</f>
        <v> </v>
      </c>
      <c r="J3085" s="25" t="str">
        <f>IF(OR(E3085="",E3085="!!!",F3085="NEW"),"",COUNTBLANK(OFFSET(A$1,,,SUMPRODUCT(MAX(ROW(E$2:E3085)*(E3085=E$2:E3085)))))-COUNTBLANK(OFFSET(A$1,,,SUMPRODUCT(MAX(ROW(E$1:E3084)*(E2=E$1:E3084))))))</f>
        <v> </v>
      </c>
      <c r="K3085" s="25" t="str">
        <f>IF(OR(E3085="",E3085="!!!",F3085="NEW"),"",INDEX(J$1:J3084,SUMPRODUCT(MAX(ROW(E$1:E3084)*(E3085=E$1:E3084)))))</f>
        <v> </v>
      </c>
      <c r="L3085" s="26"/>
    </row>
    <row r="3086" spans="1:12">
      <c r="A3086" s="20" t="s">
        <v>135</v>
      </c>
      <c r="E3086" s="21">
        <f>IF(D3086="?OLD","!!!","")</f>
        <v/>
      </c>
      <c r="F3086" s="22" t="str">
        <f>IF(OR(E3086="",E3086="!!!"),"",IF(NOT(ISNA(VLOOKUP(E3086,E$1:E3085,1,FALSE()))),"OLD",IF(AND(E3086&lt;&gt;"",E3086&lt;&gt;"!!!"),"NEW","")))</f>
        <v> </v>
      </c>
      <c r="G3086" s="23" t="str">
        <f>IF(OR(E3086="",E3086="!!!"),"",IF(OR(J3086=0,AND(J3086=1,K3086=1),AND(J3086=1,I3086="SBJ"),AND(J3086=1,I3086=0)),"?IN_FOCUS",IF(J3086&lt;=2,"?ACTIVATED",IF(J3086&lt;&gt;"","?FAMILIAR",IF(F3086="NEW",IF(ISNA(VLOOKUP(E3086,#REF!,1,FALSE())),"?TYPE_IDENTIFIABLE","?REFERENTIAL"),"_")))))</f>
        <v> </v>
      </c>
      <c r="H3086" s="24" t="str">
        <f>IF(J3086&lt;&gt;1,"",IF(I3086="SBJ","CB","?"))</f>
        <v> </v>
      </c>
      <c r="I3086" s="25" t="str">
        <f>IF(OR(E3086="",E3086="!!!",F3086="NEW"),"",INDEX(B3085:B$2,-1+SUMPRODUCT(MAX(ROW(E3085:E$2)*(E3086=E3085:E$2)))))</f>
        <v> </v>
      </c>
      <c r="J3086" s="25" t="str">
        <f>IF(OR(E3086="",E3086="!!!",F3086="NEW"),"",COUNTBLANK(OFFSET(A$1,,,SUMPRODUCT(MAX(ROW(E$2:E3086)*(E3086=E$2:E3086)))))-COUNTBLANK(OFFSET(A$1,,,SUMPRODUCT(MAX(ROW(E$1:E3085)*(E2=E$1:E3085))))))</f>
        <v> </v>
      </c>
      <c r="K3086" s="25" t="str">
        <f>IF(OR(E3086="",E3086="!!!",F3086="NEW"),"",INDEX(J$1:J3085,SUMPRODUCT(MAX(ROW(E$1:E3085)*(E3086=E$1:E3085)))))</f>
        <v> </v>
      </c>
      <c r="L3086" s="26"/>
    </row>
    <row r="3087" spans="1:12">
      <c r="A3087" s="20"/>
    </row>
    <row r="3088" spans="1:12">
      <c r="A3088" s="20" t="s">
        <v>2105</v>
      </c>
    </row>
    <row r="3089" spans="1:12">
      <c r="A3089" s="20" t="s">
        <v>1699</v>
      </c>
      <c r="E3089" s="21">
        <f>IF(D3089="?OLD","!!!","")</f>
        <v/>
      </c>
      <c r="F3089" s="22" t="str">
        <f>IF(OR(E3089="",E3089="!!!"),"",IF(NOT(ISNA(VLOOKUP(E3089,E$1:E3088,1,FALSE()))),"OLD",IF(AND(E3089&lt;&gt;"",E3089&lt;&gt;"!!!"),"NEW","")))</f>
        <v> </v>
      </c>
      <c r="G3089" s="23" t="str">
        <f>IF(OR(E3089="",E3089="!!!"),"",IF(OR(J3089=0,AND(J3089=1,K3089=1),AND(J3089=1,I3089="SBJ"),AND(J3089=1,I3089=0)),"?IN_FOCUS",IF(J3089&lt;=2,"?ACTIVATED",IF(J3089&lt;&gt;"","?FAMILIAR",IF(F3089="NEW",IF(ISNA(VLOOKUP(E3089,#REF!,1,FALSE())),"?TYPE_IDENTIFIABLE","?REFERENTIAL"),"_")))))</f>
        <v> </v>
      </c>
      <c r="H3089" s="24" t="str">
        <f>IF(J3089&lt;&gt;1,"",IF(I3089="SBJ","CB","?"))</f>
        <v> </v>
      </c>
      <c r="I3089" s="25" t="str">
        <f>IF(OR(E3089="",E3089="!!!",F3089="NEW"),"",INDEX(B3088:B$2,-1+SUMPRODUCT(MAX(ROW(E3088:E$2)*(E3089=E3088:E$2)))))</f>
        <v> </v>
      </c>
      <c r="J3089" s="25" t="str">
        <f>IF(OR(E3089="",E3089="!!!",F3089="NEW"),"",COUNTBLANK(OFFSET(A$1,,,SUMPRODUCT(MAX(ROW(E$2:E3089)*(E3089=E$2:E3089)))))-COUNTBLANK(OFFSET(A$1,,,SUMPRODUCT(MAX(ROW(E$1:E3088)*(E2=E$1:E3088))))))</f>
        <v> </v>
      </c>
      <c r="K3089" s="25" t="str">
        <f>IF(OR(E3089="",E3089="!!!",F3089="NEW"),"",INDEX(J$1:J3088,SUMPRODUCT(MAX(ROW(E$1:E3088)*(E3089=E$1:E3088)))))</f>
        <v> </v>
      </c>
      <c r="L3089" s="26"/>
    </row>
    <row r="3090" spans="1:12">
      <c r="A3090" s="20" t="s">
        <v>2106</v>
      </c>
      <c r="E3090" s="21">
        <f>IF(D3090="?OLD","!!!","")</f>
        <v/>
      </c>
      <c r="F3090" s="22" t="str">
        <f>IF(OR(E3090="",E3090="!!!"),"",IF(NOT(ISNA(VLOOKUP(E3090,E$1:E3089,1,FALSE()))),"OLD",IF(AND(E3090&lt;&gt;"",E3090&lt;&gt;"!!!"),"NEW","")))</f>
        <v> </v>
      </c>
      <c r="G3090" s="23" t="str">
        <f>IF(OR(E3090="",E3090="!!!"),"",IF(OR(J3090=0,AND(J3090=1,K3090=1),AND(J3090=1,I3090="SBJ"),AND(J3090=1,I3090=0)),"?IN_FOCUS",IF(J3090&lt;=2,"?ACTIVATED",IF(J3090&lt;&gt;"","?FAMILIAR",IF(F3090="NEW",IF(ISNA(VLOOKUP(E3090,#REF!,1,FALSE())),"?TYPE_IDENTIFIABLE","?REFERENTIAL"),"_")))))</f>
        <v> </v>
      </c>
      <c r="H3090" s="24" t="str">
        <f>IF(J3090&lt;&gt;1,"",IF(I3090="SBJ","CB","?"))</f>
        <v> </v>
      </c>
      <c r="I3090" s="25" t="str">
        <f>IF(OR(E3090="",E3090="!!!",F3090="NEW"),"",INDEX(B3089:B$2,-1+SUMPRODUCT(MAX(ROW(E3089:E$2)*(E3090=E3089:E$2)))))</f>
        <v> </v>
      </c>
      <c r="J3090" s="25" t="str">
        <f>IF(OR(E3090="",E3090="!!!",F3090="NEW"),"",COUNTBLANK(OFFSET(A$1,,,SUMPRODUCT(MAX(ROW(E$2:E3090)*(E3090=E$2:E3090)))))-COUNTBLANK(OFFSET(A$1,,,SUMPRODUCT(MAX(ROW(E$1:E3089)*(E2=E$1:E3089))))))</f>
        <v> </v>
      </c>
      <c r="K3090" s="25" t="str">
        <f>IF(OR(E3090="",E3090="!!!",F3090="NEW"),"",INDEX(J$1:J3089,SUMPRODUCT(MAX(ROW(E$1:E3089)*(E3090=E$1:E3089)))))</f>
        <v> </v>
      </c>
      <c r="L3090" s="26"/>
    </row>
    <row r="3091" spans="1:12">
      <c r="A3091" s="20" t="s">
        <v>1022</v>
      </c>
      <c r="E3091" s="21">
        <f>IF(D3091="?OLD","!!!","")</f>
        <v/>
      </c>
      <c r="F3091" s="22" t="str">
        <f>IF(OR(E3091="",E3091="!!!"),"",IF(NOT(ISNA(VLOOKUP(E3091,E$1:E3090,1,FALSE()))),"OLD",IF(AND(E3091&lt;&gt;"",E3091&lt;&gt;"!!!"),"NEW","")))</f>
        <v> </v>
      </c>
      <c r="G3091" s="23" t="str">
        <f>IF(OR(E3091="",E3091="!!!"),"",IF(OR(J3091=0,AND(J3091=1,K3091=1),AND(J3091=1,I3091="SBJ"),AND(J3091=1,I3091=0)),"?IN_FOCUS",IF(J3091&lt;=2,"?ACTIVATED",IF(J3091&lt;&gt;"","?FAMILIAR",IF(F3091="NEW",IF(ISNA(VLOOKUP(E3091,#REF!,1,FALSE())),"?TYPE_IDENTIFIABLE","?REFERENTIAL"),"_")))))</f>
        <v> </v>
      </c>
      <c r="H3091" s="24" t="str">
        <f>IF(J3091&lt;&gt;1,"",IF(I3091="SBJ","CB","?"))</f>
        <v> </v>
      </c>
      <c r="I3091" s="25" t="str">
        <f>IF(OR(E3091="",E3091="!!!",F3091="NEW"),"",INDEX(B3090:B$2,-1+SUMPRODUCT(MAX(ROW(E3090:E$2)*(E3091=E3090:E$2)))))</f>
        <v> </v>
      </c>
      <c r="J3091" s="25" t="str">
        <f>IF(OR(E3091="",E3091="!!!",F3091="NEW"),"",COUNTBLANK(OFFSET(A$1,,,SUMPRODUCT(MAX(ROW(E$2:E3091)*(E3091=E$2:E3091)))))-COUNTBLANK(OFFSET(A$1,,,SUMPRODUCT(MAX(ROW(E$1:E3090)*(E2=E$1:E3090))))))</f>
        <v> </v>
      </c>
      <c r="K3091" s="25" t="str">
        <f>IF(OR(E3091="",E3091="!!!",F3091="NEW"),"",INDEX(J$1:J3090,SUMPRODUCT(MAX(ROW(E$1:E3090)*(E3091=E$1:E3090)))))</f>
        <v> </v>
      </c>
      <c r="L3091" s="26"/>
    </row>
    <row r="3092" spans="1:12">
      <c r="A3092" s="20" t="s">
        <v>1057</v>
      </c>
      <c r="E3092" s="21">
        <f>IF(D3092="?OLD","!!!","")</f>
        <v/>
      </c>
      <c r="F3092" s="22" t="str">
        <f>IF(OR(E3092="",E3092="!!!"),"",IF(NOT(ISNA(VLOOKUP(E3092,E$1:E3091,1,FALSE()))),"OLD",IF(AND(E3092&lt;&gt;"",E3092&lt;&gt;"!!!"),"NEW","")))</f>
        <v> </v>
      </c>
      <c r="G3092" s="23" t="str">
        <f>IF(OR(E3092="",E3092="!!!"),"",IF(OR(J3092=0,AND(J3092=1,K3092=1),AND(J3092=1,I3092="SBJ"),AND(J3092=1,I3092=0)),"?IN_FOCUS",IF(J3092&lt;=2,"?ACTIVATED",IF(J3092&lt;&gt;"","?FAMILIAR",IF(F3092="NEW",IF(ISNA(VLOOKUP(E3092,#REF!,1,FALSE())),"?TYPE_IDENTIFIABLE","?REFERENTIAL"),"_")))))</f>
        <v> </v>
      </c>
      <c r="H3092" s="24" t="str">
        <f>IF(J3092&lt;&gt;1,"",IF(I3092="SBJ","CB","?"))</f>
        <v> </v>
      </c>
      <c r="I3092" s="25" t="str">
        <f>IF(OR(E3092="",E3092="!!!",F3092="NEW"),"",INDEX(B3091:B$2,-1+SUMPRODUCT(MAX(ROW(E3091:E$2)*(E3092=E3091:E$2)))))</f>
        <v> </v>
      </c>
      <c r="J3092" s="25" t="str">
        <f>IF(OR(E3092="",E3092="!!!",F3092="NEW"),"",COUNTBLANK(OFFSET(A$1,,,SUMPRODUCT(MAX(ROW(E$2:E3092)*(E3092=E$2:E3092)))))-COUNTBLANK(OFFSET(A$1,,,SUMPRODUCT(MAX(ROW(E$1:E3091)*(E2=E$1:E3091))))))</f>
        <v> </v>
      </c>
      <c r="K3092" s="25" t="str">
        <f>IF(OR(E3092="",E3092="!!!",F3092="NEW"),"",INDEX(J$1:J3091,SUMPRODUCT(MAX(ROW(E$1:E3091)*(E3092=E$1:E3091)))))</f>
        <v> </v>
      </c>
      <c r="L3092" s="26"/>
    </row>
    <row r="3093" spans="1:12">
      <c r="A3093" s="20" t="s">
        <v>1034</v>
      </c>
      <c r="E3093" s="21">
        <f>IF(D3093="?OLD","!!!","")</f>
        <v/>
      </c>
      <c r="F3093" s="22" t="str">
        <f>IF(OR(E3093="",E3093="!!!"),"",IF(NOT(ISNA(VLOOKUP(E3093,E$1:E3092,1,FALSE()))),"OLD",IF(AND(E3093&lt;&gt;"",E3093&lt;&gt;"!!!"),"NEW","")))</f>
        <v> </v>
      </c>
      <c r="G3093" s="23" t="str">
        <f>IF(OR(E3093="",E3093="!!!"),"",IF(OR(J3093=0,AND(J3093=1,K3093=1),AND(J3093=1,I3093="SBJ"),AND(J3093=1,I3093=0)),"?IN_FOCUS",IF(J3093&lt;=2,"?ACTIVATED",IF(J3093&lt;&gt;"","?FAMILIAR",IF(F3093="NEW",IF(ISNA(VLOOKUP(E3093,#REF!,1,FALSE())),"?TYPE_IDENTIFIABLE","?REFERENTIAL"),"_")))))</f>
        <v> </v>
      </c>
      <c r="H3093" s="24" t="str">
        <f>IF(J3093&lt;&gt;1,"",IF(I3093="SBJ","CB","?"))</f>
        <v> </v>
      </c>
      <c r="I3093" s="25" t="str">
        <f>IF(OR(E3093="",E3093="!!!",F3093="NEW"),"",INDEX(B3092:B$2,-1+SUMPRODUCT(MAX(ROW(E3092:E$2)*(E3093=E3092:E$2)))))</f>
        <v> </v>
      </c>
      <c r="J3093" s="25" t="str">
        <f>IF(OR(E3093="",E3093="!!!",F3093="NEW"),"",COUNTBLANK(OFFSET(A$1,,,SUMPRODUCT(MAX(ROW(E$2:E3093)*(E3093=E$2:E3093)))))-COUNTBLANK(OFFSET(A$1,,,SUMPRODUCT(MAX(ROW(E$1:E3092)*(E2=E$1:E3092))))))</f>
        <v> </v>
      </c>
      <c r="K3093" s="25" t="str">
        <f>IF(OR(E3093="",E3093="!!!",F3093="NEW"),"",INDEX(J$1:J3092,SUMPRODUCT(MAX(ROW(E$1:E3092)*(E3093=E$1:E3092)))))</f>
        <v> </v>
      </c>
      <c r="L3093" s="26"/>
    </row>
    <row r="3094" spans="1:12">
      <c r="A3094" s="20" t="s">
        <v>1571</v>
      </c>
      <c r="B3094" s="27" t="s">
        <v>1045</v>
      </c>
      <c r="C3094" s="27" t="s">
        <v>1204</v>
      </c>
      <c r="E3094" s="21">
        <f>IF(D3094="?OLD","!!!","")</f>
        <v/>
      </c>
      <c r="F3094" s="22" t="str">
        <f>IF(OR(E3094="",E3094="!!!"),"",IF(NOT(ISNA(VLOOKUP(E3094,E$1:E3093,1,FALSE()))),"OLD",IF(AND(E3094&lt;&gt;"",E3094&lt;&gt;"!!!"),"NEW","")))</f>
        <v> </v>
      </c>
      <c r="G3094" s="23" t="str">
        <f>IF(OR(E3094="",E3094="!!!"),"",IF(OR(J3094=0,AND(J3094=1,K3094=1),AND(J3094=1,I3094="SBJ"),AND(J3094=1,I3094=0)),"?IN_FOCUS",IF(J3094&lt;=2,"?ACTIVATED",IF(J3094&lt;&gt;"","?FAMILIAR",IF(F3094="NEW",IF(ISNA(VLOOKUP(E3094,#REF!,1,FALSE())),"?TYPE_IDENTIFIABLE","?REFERENTIAL"),"_")))))</f>
        <v> </v>
      </c>
      <c r="H3094" s="24" t="str">
        <f>IF(J3094&lt;&gt;1,"",IF(I3094="SBJ","CB","?"))</f>
        <v> </v>
      </c>
      <c r="I3094" s="25" t="str">
        <f>IF(OR(E3094="",E3094="!!!",F3094="NEW"),"",INDEX(B3093:B$2,-1+SUMPRODUCT(MAX(ROW(E3093:E$2)*(E3094=E3093:E$2)))))</f>
        <v> </v>
      </c>
      <c r="J3094" s="25" t="str">
        <f>IF(OR(E3094="",E3094="!!!",F3094="NEW"),"",COUNTBLANK(OFFSET(A$1,,,SUMPRODUCT(MAX(ROW(E$2:E3094)*(E3094=E$2:E3094)))))-COUNTBLANK(OFFSET(A$1,,,SUMPRODUCT(MAX(ROW(E$1:E3093)*(E2=E$1:E3093))))))</f>
        <v> </v>
      </c>
      <c r="K3094" s="25" t="str">
        <f>IF(OR(E3094="",E3094="!!!",F3094="NEW"),"",INDEX(J$1:J3093,SUMPRODUCT(MAX(ROW(E$1:E3093)*(E3094=E$1:E3093)))))</f>
        <v> </v>
      </c>
      <c r="L3094" s="26"/>
    </row>
    <row r="3095" spans="1:12">
      <c r="A3095" s="20" t="s">
        <v>135</v>
      </c>
      <c r="E3095" s="21">
        <f>IF(D3095="?OLD","!!!","")</f>
        <v/>
      </c>
      <c r="F3095" s="22" t="str">
        <f>IF(OR(E3095="",E3095="!!!"),"",IF(NOT(ISNA(VLOOKUP(E3095,E$1:E3094,1,FALSE()))),"OLD",IF(AND(E3095&lt;&gt;"",E3095&lt;&gt;"!!!"),"NEW","")))</f>
        <v> </v>
      </c>
      <c r="G3095" s="23" t="str">
        <f>IF(OR(E3095="",E3095="!!!"),"",IF(OR(J3095=0,AND(J3095=1,K3095=1),AND(J3095=1,I3095="SBJ"),AND(J3095=1,I3095=0)),"?IN_FOCUS",IF(J3095&lt;=2,"?ACTIVATED",IF(J3095&lt;&gt;"","?FAMILIAR",IF(F3095="NEW",IF(ISNA(VLOOKUP(E3095,#REF!,1,FALSE())),"?TYPE_IDENTIFIABLE","?REFERENTIAL"),"_")))))</f>
        <v> </v>
      </c>
      <c r="H3095" s="24" t="str">
        <f>IF(J3095&lt;&gt;1,"",IF(I3095="SBJ","CB","?"))</f>
        <v> </v>
      </c>
      <c r="I3095" s="25" t="str">
        <f>IF(OR(E3095="",E3095="!!!",F3095="NEW"),"",INDEX(B3094:B$2,-1+SUMPRODUCT(MAX(ROW(E3094:E$2)*(E3095=E3094:E$2)))))</f>
        <v> </v>
      </c>
      <c r="J3095" s="25" t="str">
        <f>IF(OR(E3095="",E3095="!!!",F3095="NEW"),"",COUNTBLANK(OFFSET(A$1,,,SUMPRODUCT(MAX(ROW(E$2:E3095)*(E3095=E$2:E3095)))))-COUNTBLANK(OFFSET(A$1,,,SUMPRODUCT(MAX(ROW(E$1:E3094)*(E2=E$1:E3094))))))</f>
        <v> </v>
      </c>
      <c r="K3095" s="25" t="str">
        <f>IF(OR(E3095="",E3095="!!!",F3095="NEW"),"",INDEX(J$1:J3094,SUMPRODUCT(MAX(ROW(E$1:E3094)*(E3095=E$1:E3094)))))</f>
        <v> </v>
      </c>
      <c r="L3095" s="26"/>
    </row>
    <row r="3096" spans="1:12">
      <c r="A3096" s="20"/>
    </row>
    <row r="3097" spans="1:12">
      <c r="A3097" s="20" t="s">
        <v>2107</v>
      </c>
    </row>
    <row r="3098" spans="1:12">
      <c r="A3098" s="20" t="s">
        <v>2108</v>
      </c>
      <c r="E3098" s="21">
        <f>IF(D3098="?OLD","!!!","")</f>
        <v/>
      </c>
      <c r="F3098" s="22" t="str">
        <f>IF(OR(E3098="",E3098="!!!"),"",IF(NOT(ISNA(VLOOKUP(E3098,E$1:E3097,1,FALSE()))),"OLD",IF(AND(E3098&lt;&gt;"",E3098&lt;&gt;"!!!"),"NEW","")))</f>
        <v> </v>
      </c>
      <c r="G3098" s="23" t="str">
        <f>IF(OR(E3098="",E3098="!!!"),"",IF(OR(J3098=0,AND(J3098=1,K3098=1),AND(J3098=1,I3098="SBJ"),AND(J3098=1,I3098=0)),"?IN_FOCUS",IF(J3098&lt;=2,"?ACTIVATED",IF(J3098&lt;&gt;"","?FAMILIAR",IF(F3098="NEW",IF(ISNA(VLOOKUP(E3098,#REF!,1,FALSE())),"?TYPE_IDENTIFIABLE","?REFERENTIAL"),"_")))))</f>
        <v> </v>
      </c>
      <c r="H3098" s="24" t="str">
        <f>IF(J3098&lt;&gt;1,"",IF(I3098="SBJ","CB","?"))</f>
        <v> </v>
      </c>
      <c r="I3098" s="25" t="str">
        <f>IF(OR(E3098="",E3098="!!!",F3098="NEW"),"",INDEX(B3097:B$2,-1+SUMPRODUCT(MAX(ROW(E3097:E$2)*(E3098=E3097:E$2)))))</f>
        <v> </v>
      </c>
      <c r="J3098" s="25" t="str">
        <f>IF(OR(E3098="",E3098="!!!",F3098="NEW"),"",COUNTBLANK(OFFSET(A$1,,,SUMPRODUCT(MAX(ROW(E$2:E3098)*(E3098=E$2:E3098)))))-COUNTBLANK(OFFSET(A$1,,,SUMPRODUCT(MAX(ROW(E$1:E3097)*(E2=E$1:E3097))))))</f>
        <v> </v>
      </c>
      <c r="K3098" s="25" t="str">
        <f>IF(OR(E3098="",E3098="!!!",F3098="NEW"),"",INDEX(J$1:J3097,SUMPRODUCT(MAX(ROW(E$1:E3097)*(E3098=E$1:E3097)))))</f>
        <v> </v>
      </c>
      <c r="L3098" s="26"/>
    </row>
    <row r="3099" spans="1:12">
      <c r="A3099" s="20" t="s">
        <v>2109</v>
      </c>
      <c r="E3099" s="21">
        <f>IF(D3099="?OLD","!!!","")</f>
        <v/>
      </c>
      <c r="F3099" s="22" t="str">
        <f>IF(OR(E3099="",E3099="!!!"),"",IF(NOT(ISNA(VLOOKUP(E3099,E$1:E3098,1,FALSE()))),"OLD",IF(AND(E3099&lt;&gt;"",E3099&lt;&gt;"!!!"),"NEW","")))</f>
        <v> </v>
      </c>
      <c r="G3099" s="23" t="str">
        <f>IF(OR(E3099="",E3099="!!!"),"",IF(OR(J3099=0,AND(J3099=1,K3099=1),AND(J3099=1,I3099="SBJ"),AND(J3099=1,I3099=0)),"?IN_FOCUS",IF(J3099&lt;=2,"?ACTIVATED",IF(J3099&lt;&gt;"","?FAMILIAR",IF(F3099="NEW",IF(ISNA(VLOOKUP(E3099,#REF!,1,FALSE())),"?TYPE_IDENTIFIABLE","?REFERENTIAL"),"_")))))</f>
        <v> </v>
      </c>
      <c r="H3099" s="24" t="str">
        <f>IF(J3099&lt;&gt;1,"",IF(I3099="SBJ","CB","?"))</f>
        <v> </v>
      </c>
      <c r="I3099" s="25" t="str">
        <f>IF(OR(E3099="",E3099="!!!",F3099="NEW"),"",INDEX(B3098:B$2,-1+SUMPRODUCT(MAX(ROW(E3098:E$2)*(E3099=E3098:E$2)))))</f>
        <v> </v>
      </c>
      <c r="J3099" s="25" t="str">
        <f>IF(OR(E3099="",E3099="!!!",F3099="NEW"),"",COUNTBLANK(OFFSET(A$1,,,SUMPRODUCT(MAX(ROW(E$2:E3099)*(E3099=E$2:E3099)))))-COUNTBLANK(OFFSET(A$1,,,SUMPRODUCT(MAX(ROW(E$1:E3098)*(E2=E$1:E3098))))))</f>
        <v> </v>
      </c>
      <c r="K3099" s="25" t="str">
        <f>IF(OR(E3099="",E3099="!!!",F3099="NEW"),"",INDEX(J$1:J3098,SUMPRODUCT(MAX(ROW(E$1:E3098)*(E3099=E$1:E3098)))))</f>
        <v> </v>
      </c>
      <c r="L3099" s="26"/>
    </row>
    <row r="3100" spans="1:12">
      <c r="A3100" s="20" t="s">
        <v>247</v>
      </c>
      <c r="B3100" s="27" t="s">
        <v>1041</v>
      </c>
      <c r="C3100" s="27" t="s">
        <v>1070</v>
      </c>
      <c r="E3100" s="21">
        <f>IF(D3100="?OLD","!!!","")</f>
        <v/>
      </c>
      <c r="F3100" s="22" t="str">
        <f>IF(OR(E3100="",E3100="!!!"),"",IF(NOT(ISNA(VLOOKUP(E3100,E$1:E3099,1,FALSE()))),"OLD",IF(AND(E3100&lt;&gt;"",E3100&lt;&gt;"!!!"),"NEW","")))</f>
        <v> </v>
      </c>
      <c r="G3100" s="23" t="str">
        <f>IF(OR(E3100="",E3100="!!!"),"",IF(OR(J3100=0,AND(J3100=1,K3100=1),AND(J3100=1,I3100="SBJ"),AND(J3100=1,I3100=0)),"?IN_FOCUS",IF(J3100&lt;=2,"?ACTIVATED",IF(J3100&lt;&gt;"","?FAMILIAR",IF(F3100="NEW",IF(ISNA(VLOOKUP(E3100,#REF!,1,FALSE())),"?TYPE_IDENTIFIABLE","?REFERENTIAL"),"_")))))</f>
        <v> </v>
      </c>
      <c r="H3100" s="24" t="str">
        <f>IF(J3100&lt;&gt;1,"",IF(I3100="SBJ","CB","?"))</f>
        <v> </v>
      </c>
      <c r="I3100" s="25" t="str">
        <f>IF(OR(E3100="",E3100="!!!",F3100="NEW"),"",INDEX(B3099:B$2,-1+SUMPRODUCT(MAX(ROW(E3099:E$2)*(E3100=E3099:E$2)))))</f>
        <v> </v>
      </c>
      <c r="J3100" s="25" t="str">
        <f>IF(OR(E3100="",E3100="!!!",F3100="NEW"),"",COUNTBLANK(OFFSET(A$1,,,SUMPRODUCT(MAX(ROW(E$2:E3100)*(E3100=E$2:E3100)))))-COUNTBLANK(OFFSET(A$1,,,SUMPRODUCT(MAX(ROW(E$1:E3099)*(E2=E$1:E3099))))))</f>
        <v> </v>
      </c>
      <c r="K3100" s="25" t="str">
        <f>IF(OR(E3100="",E3100="!!!",F3100="NEW"),"",INDEX(J$1:J3099,SUMPRODUCT(MAX(ROW(E$1:E3099)*(E3100=E$1:E3099)))))</f>
        <v> </v>
      </c>
      <c r="L3100" s="26"/>
    </row>
    <row r="3101" spans="1:12">
      <c r="A3101" s="20" t="s">
        <v>1094</v>
      </c>
      <c r="B3101" s="27" t="s">
        <v>1085</v>
      </c>
      <c r="E3101" s="21">
        <f>IF(D3101="?OLD","!!!","")</f>
        <v/>
      </c>
      <c r="F3101" s="22" t="str">
        <f>IF(OR(E3101="",E3101="!!!"),"",IF(NOT(ISNA(VLOOKUP(E3101,E$1:E3100,1,FALSE()))),"OLD",IF(AND(E3101&lt;&gt;"",E3101&lt;&gt;"!!!"),"NEW","")))</f>
        <v> </v>
      </c>
      <c r="G3101" s="23" t="str">
        <f>IF(OR(E3101="",E3101="!!!"),"",IF(OR(J3101=0,AND(J3101=1,K3101=1),AND(J3101=1,I3101="SBJ"),AND(J3101=1,I3101=0)),"?IN_FOCUS",IF(J3101&lt;=2,"?ACTIVATED",IF(J3101&lt;&gt;"","?FAMILIAR",IF(F3101="NEW",IF(ISNA(VLOOKUP(E3101,#REF!,1,FALSE())),"?TYPE_IDENTIFIABLE","?REFERENTIAL"),"_")))))</f>
        <v> </v>
      </c>
      <c r="H3101" s="24" t="str">
        <f>IF(J3101&lt;&gt;1,"",IF(I3101="SBJ","CB","?"))</f>
        <v> </v>
      </c>
      <c r="I3101" s="25" t="str">
        <f>IF(OR(E3101="",E3101="!!!",F3101="NEW"),"",INDEX(B3100:B$2,-1+SUMPRODUCT(MAX(ROW(E3100:E$2)*(E3101=E3100:E$2)))))</f>
        <v> </v>
      </c>
      <c r="J3101" s="25" t="str">
        <f>IF(OR(E3101="",E3101="!!!",F3101="NEW"),"",COUNTBLANK(OFFSET(A$1,,,SUMPRODUCT(MAX(ROW(E$2:E3101)*(E3101=E$2:E3101)))))-COUNTBLANK(OFFSET(A$1,,,SUMPRODUCT(MAX(ROW(E$1:E3100)*(E2=E$1:E3100))))))</f>
        <v> </v>
      </c>
      <c r="K3101" s="25" t="str">
        <f>IF(OR(E3101="",E3101="!!!",F3101="NEW"),"",INDEX(J$1:J3100,SUMPRODUCT(MAX(ROW(E$1:E3100)*(E3101=E$1:E3100)))))</f>
        <v> </v>
      </c>
      <c r="L3101" s="26"/>
    </row>
    <row r="3102" spans="1:12">
      <c r="A3102" s="20" t="s">
        <v>2110</v>
      </c>
      <c r="E3102" s="21">
        <f>IF(D3102="?OLD","!!!","")</f>
        <v/>
      </c>
      <c r="F3102" s="22" t="str">
        <f>IF(OR(E3102="",E3102="!!!"),"",IF(NOT(ISNA(VLOOKUP(E3102,E$1:E3101,1,FALSE()))),"OLD",IF(AND(E3102&lt;&gt;"",E3102&lt;&gt;"!!!"),"NEW","")))</f>
        <v> </v>
      </c>
      <c r="G3102" s="23" t="str">
        <f>IF(OR(E3102="",E3102="!!!"),"",IF(OR(J3102=0,AND(J3102=1,K3102=1),AND(J3102=1,I3102="SBJ"),AND(J3102=1,I3102=0)),"?IN_FOCUS",IF(J3102&lt;=2,"?ACTIVATED",IF(J3102&lt;&gt;"","?FAMILIAR",IF(F3102="NEW",IF(ISNA(VLOOKUP(E3102,#REF!,1,FALSE())),"?TYPE_IDENTIFIABLE","?REFERENTIAL"),"_")))))</f>
        <v> </v>
      </c>
      <c r="H3102" s="24" t="str">
        <f>IF(J3102&lt;&gt;1,"",IF(I3102="SBJ","CB","?"))</f>
        <v> </v>
      </c>
      <c r="I3102" s="25" t="str">
        <f>IF(OR(E3102="",E3102="!!!",F3102="NEW"),"",INDEX(B3101:B$2,-1+SUMPRODUCT(MAX(ROW(E3101:E$2)*(E3102=E3101:E$2)))))</f>
        <v> </v>
      </c>
      <c r="J3102" s="25" t="str">
        <f>IF(OR(E3102="",E3102="!!!",F3102="NEW"),"",COUNTBLANK(OFFSET(A$1,,,SUMPRODUCT(MAX(ROW(E$2:E3102)*(E3102=E$2:E3102)))))-COUNTBLANK(OFFSET(A$1,,,SUMPRODUCT(MAX(ROW(E$1:E3101)*(E2=E$1:E3101))))))</f>
        <v> </v>
      </c>
      <c r="K3102" s="25" t="str">
        <f>IF(OR(E3102="",E3102="!!!",F3102="NEW"),"",INDEX(J$1:J3101,SUMPRODUCT(MAX(ROW(E$1:E3101)*(E3102=E$1:E3101)))))</f>
        <v> </v>
      </c>
      <c r="L3102" s="26"/>
    </row>
    <row r="3103" spans="1:12">
      <c r="A3103" s="20" t="s">
        <v>1022</v>
      </c>
      <c r="E3103" s="21">
        <f>IF(D3103="?OLD","!!!","")</f>
        <v/>
      </c>
      <c r="F3103" s="22" t="str">
        <f>IF(OR(E3103="",E3103="!!!"),"",IF(NOT(ISNA(VLOOKUP(E3103,E$1:E3102,1,FALSE()))),"OLD",IF(AND(E3103&lt;&gt;"",E3103&lt;&gt;"!!!"),"NEW","")))</f>
        <v> </v>
      </c>
      <c r="G3103" s="23" t="str">
        <f>IF(OR(E3103="",E3103="!!!"),"",IF(OR(J3103=0,AND(J3103=1,K3103=1),AND(J3103=1,I3103="SBJ"),AND(J3103=1,I3103=0)),"?IN_FOCUS",IF(J3103&lt;=2,"?ACTIVATED",IF(J3103&lt;&gt;"","?FAMILIAR",IF(F3103="NEW",IF(ISNA(VLOOKUP(E3103,#REF!,1,FALSE())),"?TYPE_IDENTIFIABLE","?REFERENTIAL"),"_")))))</f>
        <v> </v>
      </c>
      <c r="H3103" s="24" t="str">
        <f>IF(J3103&lt;&gt;1,"",IF(I3103="SBJ","CB","?"))</f>
        <v> </v>
      </c>
      <c r="I3103" s="25" t="str">
        <f>IF(OR(E3103="",E3103="!!!",F3103="NEW"),"",INDEX(B3102:B$2,-1+SUMPRODUCT(MAX(ROW(E3102:E$2)*(E3103=E3102:E$2)))))</f>
        <v> </v>
      </c>
      <c r="J3103" s="25" t="str">
        <f>IF(OR(E3103="",E3103="!!!",F3103="NEW"),"",COUNTBLANK(OFFSET(A$1,,,SUMPRODUCT(MAX(ROW(E$2:E3103)*(E3103=E$2:E3103)))))-COUNTBLANK(OFFSET(A$1,,,SUMPRODUCT(MAX(ROW(E$1:E3102)*(E2=E$1:E3102))))))</f>
        <v> </v>
      </c>
      <c r="K3103" s="25" t="str">
        <f>IF(OR(E3103="",E3103="!!!",F3103="NEW"),"",INDEX(J$1:J3102,SUMPRODUCT(MAX(ROW(E$1:E3102)*(E3103=E$1:E3102)))))</f>
        <v> </v>
      </c>
      <c r="L3103" s="26"/>
    </row>
    <row r="3104" spans="1:12">
      <c r="A3104" s="20" t="s">
        <v>1144</v>
      </c>
      <c r="E3104" s="21">
        <f>IF(D3104="?OLD","!!!","")</f>
        <v/>
      </c>
      <c r="F3104" s="22" t="str">
        <f>IF(OR(E3104="",E3104="!!!"),"",IF(NOT(ISNA(VLOOKUP(E3104,E$1:E3103,1,FALSE()))),"OLD",IF(AND(E3104&lt;&gt;"",E3104&lt;&gt;"!!!"),"NEW","")))</f>
        <v> </v>
      </c>
      <c r="G3104" s="23" t="str">
        <f>IF(OR(E3104="",E3104="!!!"),"",IF(OR(J3104=0,AND(J3104=1,K3104=1),AND(J3104=1,I3104="SBJ"),AND(J3104=1,I3104=0)),"?IN_FOCUS",IF(J3104&lt;=2,"?ACTIVATED",IF(J3104&lt;&gt;"","?FAMILIAR",IF(F3104="NEW",IF(ISNA(VLOOKUP(E3104,#REF!,1,FALSE())),"?TYPE_IDENTIFIABLE","?REFERENTIAL"),"_")))))</f>
        <v> </v>
      </c>
      <c r="H3104" s="24" t="str">
        <f>IF(J3104&lt;&gt;1,"",IF(I3104="SBJ","CB","?"))</f>
        <v> </v>
      </c>
      <c r="I3104" s="25" t="str">
        <f>IF(OR(E3104="",E3104="!!!",F3104="NEW"),"",INDEX(B3103:B$2,-1+SUMPRODUCT(MAX(ROW(E3103:E$2)*(E3104=E3103:E$2)))))</f>
        <v> </v>
      </c>
      <c r="J3104" s="25" t="str">
        <f>IF(OR(E3104="",E3104="!!!",F3104="NEW"),"",COUNTBLANK(OFFSET(A$1,,,SUMPRODUCT(MAX(ROW(E$2:E3104)*(E3104=E$2:E3104)))))-COUNTBLANK(OFFSET(A$1,,,SUMPRODUCT(MAX(ROW(E$1:E3103)*(E2=E$1:E3103))))))</f>
        <v> </v>
      </c>
      <c r="K3104" s="25" t="str">
        <f>IF(OR(E3104="",E3104="!!!",F3104="NEW"),"",INDEX(J$1:J3103,SUMPRODUCT(MAX(ROW(E$1:E3103)*(E3104=E$1:E3103)))))</f>
        <v> </v>
      </c>
      <c r="L3104" s="26"/>
    </row>
    <row r="3105" spans="1:12">
      <c r="A3105" s="20" t="s">
        <v>2111</v>
      </c>
      <c r="B3105" s="27" t="s">
        <v>1045</v>
      </c>
      <c r="C3105" s="27" t="s">
        <v>1029</v>
      </c>
      <c r="D3105" s="27" t="s">
        <v>1030</v>
      </c>
      <c r="E3105" s="21">
        <f>IF(D3105="?OLD","!!!","")</f>
        <v/>
      </c>
      <c r="F3105" s="22" t="str">
        <f>IF(OR(E3105="",E3105="!!!"),"",IF(NOT(ISNA(VLOOKUP(E3105,E$1:E3104,1,FALSE()))),"OLD",IF(AND(E3105&lt;&gt;"",E3105&lt;&gt;"!!!"),"NEW","")))</f>
        <v> </v>
      </c>
      <c r="G3105" s="23" t="str">
        <f>IF(OR(E3105="",E3105="!!!"),"",IF(OR(J3105=0,AND(J3105=1,K3105=1),AND(J3105=1,I3105="SBJ"),AND(J3105=1,I3105=0)),"?IN_FOCUS",IF(J3105&lt;=2,"?ACTIVATED",IF(J3105&lt;&gt;"","?FAMILIAR",IF(F3105="NEW",IF(ISNA(VLOOKUP(E3105,#REF!,1,FALSE())),"?TYPE_IDENTIFIABLE","?REFERENTIAL"),"_")))))</f>
        <v> </v>
      </c>
      <c r="H3105" s="24" t="str">
        <f>IF(J3105&lt;&gt;1,"",IF(I3105="SBJ","CB","?"))</f>
        <v> </v>
      </c>
      <c r="I3105" s="25" t="str">
        <f>IF(OR(E3105="",E3105="!!!",F3105="NEW"),"",INDEX(B3104:B$2,-1+SUMPRODUCT(MAX(ROW(E3104:E$2)*(E3105=E3104:E$2)))))</f>
        <v> </v>
      </c>
      <c r="J3105" s="25" t="str">
        <f>IF(OR(E3105="",E3105="!!!",F3105="NEW"),"",COUNTBLANK(OFFSET(A$1,,,SUMPRODUCT(MAX(ROW(E$2:E3105)*(E3105=E$2:E3105)))))-COUNTBLANK(OFFSET(A$1,,,SUMPRODUCT(MAX(ROW(E$1:E3104)*(E2=E$1:E3104))))))</f>
        <v> </v>
      </c>
      <c r="K3105" s="25" t="str">
        <f>IF(OR(E3105="",E3105="!!!",F3105="NEW"),"",INDEX(J$1:J3104,SUMPRODUCT(MAX(ROW(E$1:E3104)*(E3105=E$1:E3104)))))</f>
        <v> </v>
      </c>
      <c r="L3105" s="26"/>
    </row>
    <row r="3106" spans="1:12">
      <c r="A3106" s="20" t="s">
        <v>1016</v>
      </c>
      <c r="E3106" s="21">
        <f>IF(D3106="?OLD","!!!","")</f>
        <v/>
      </c>
      <c r="F3106" s="22" t="str">
        <f>IF(OR(E3106="",E3106="!!!"),"",IF(NOT(ISNA(VLOOKUP(E3106,E$1:E3105,1,FALSE()))),"OLD",IF(AND(E3106&lt;&gt;"",E3106&lt;&gt;"!!!"),"NEW","")))</f>
        <v> </v>
      </c>
      <c r="G3106" s="23" t="str">
        <f>IF(OR(E3106="",E3106="!!!"),"",IF(OR(J3106=0,AND(J3106=1,K3106=1),AND(J3106=1,I3106="SBJ"),AND(J3106=1,I3106=0)),"?IN_FOCUS",IF(J3106&lt;=2,"?ACTIVATED",IF(J3106&lt;&gt;"","?FAMILIAR",IF(F3106="NEW",IF(ISNA(VLOOKUP(E3106,#REF!,1,FALSE())),"?TYPE_IDENTIFIABLE","?REFERENTIAL"),"_")))))</f>
        <v> </v>
      </c>
      <c r="H3106" s="24" t="str">
        <f>IF(J3106&lt;&gt;1,"",IF(I3106="SBJ","CB","?"))</f>
        <v> </v>
      </c>
      <c r="I3106" s="25" t="str">
        <f>IF(OR(E3106="",E3106="!!!",F3106="NEW"),"",INDEX(B3105:B$2,-1+SUMPRODUCT(MAX(ROW(E3105:E$2)*(E3106=E3105:E$2)))))</f>
        <v> </v>
      </c>
      <c r="J3106" s="25" t="str">
        <f>IF(OR(E3106="",E3106="!!!",F3106="NEW"),"",COUNTBLANK(OFFSET(A$1,,,SUMPRODUCT(MAX(ROW(E$2:E3106)*(E3106=E$2:E3106)))))-COUNTBLANK(OFFSET(A$1,,,SUMPRODUCT(MAX(ROW(E$1:E3105)*(E2=E$1:E3105))))))</f>
        <v> </v>
      </c>
      <c r="K3106" s="25" t="str">
        <f>IF(OR(E3106="",E3106="!!!",F3106="NEW"),"",INDEX(J$1:J3105,SUMPRODUCT(MAX(ROW(E$1:E3105)*(E3106=E$1:E3105)))))</f>
        <v> </v>
      </c>
      <c r="L3106" s="26"/>
    </row>
    <row r="3107" spans="1:12">
      <c r="A3107" s="20" t="s">
        <v>2112</v>
      </c>
      <c r="B3107" s="27" t="s">
        <v>1079</v>
      </c>
      <c r="C3107" s="27" t="s">
        <v>1015</v>
      </c>
      <c r="E3107" s="21">
        <f>IF(D3107="?OLD","!!!","")</f>
        <v/>
      </c>
      <c r="F3107" s="22" t="str">
        <f>IF(OR(E3107="",E3107="!!!"),"",IF(NOT(ISNA(VLOOKUP(E3107,E$1:E3106,1,FALSE()))),"OLD",IF(AND(E3107&lt;&gt;"",E3107&lt;&gt;"!!!"),"NEW","")))</f>
        <v> </v>
      </c>
      <c r="G3107" s="23" t="str">
        <f>IF(OR(E3107="",E3107="!!!"),"",IF(OR(J3107=0,AND(J3107=1,K3107=1),AND(J3107=1,I3107="SBJ"),AND(J3107=1,I3107=0)),"?IN_FOCUS",IF(J3107&lt;=2,"?ACTIVATED",IF(J3107&lt;&gt;"","?FAMILIAR",IF(F3107="NEW",IF(ISNA(VLOOKUP(E3107,#REF!,1,FALSE())),"?TYPE_IDENTIFIABLE","?REFERENTIAL"),"_")))))</f>
        <v> </v>
      </c>
      <c r="H3107" s="24" t="str">
        <f>IF(J3107&lt;&gt;1,"",IF(I3107="SBJ","CB","?"))</f>
        <v> </v>
      </c>
      <c r="I3107" s="25" t="str">
        <f>IF(OR(E3107="",E3107="!!!",F3107="NEW"),"",INDEX(B3106:B$2,-1+SUMPRODUCT(MAX(ROW(E3106:E$2)*(E3107=E3106:E$2)))))</f>
        <v> </v>
      </c>
      <c r="J3107" s="25" t="str">
        <f>IF(OR(E3107="",E3107="!!!",F3107="NEW"),"",COUNTBLANK(OFFSET(A$1,,,SUMPRODUCT(MAX(ROW(E$2:E3107)*(E3107=E$2:E3107)))))-COUNTBLANK(OFFSET(A$1,,,SUMPRODUCT(MAX(ROW(E$1:E3106)*(E2=E$1:E3106))))))</f>
        <v> </v>
      </c>
      <c r="K3107" s="25" t="str">
        <f>IF(OR(E3107="",E3107="!!!",F3107="NEW"),"",INDEX(J$1:J3106,SUMPRODUCT(MAX(ROW(E$1:E3106)*(E3107=E$1:E3106)))))</f>
        <v> </v>
      </c>
      <c r="L3107" s="26"/>
    </row>
    <row r="3108" spans="1:12">
      <c r="A3108" s="20" t="s">
        <v>1022</v>
      </c>
      <c r="E3108" s="21">
        <f>IF(D3108="?OLD","!!!","")</f>
        <v/>
      </c>
      <c r="F3108" s="22" t="str">
        <f>IF(OR(E3108="",E3108="!!!"),"",IF(NOT(ISNA(VLOOKUP(E3108,E$1:E3107,1,FALSE()))),"OLD",IF(AND(E3108&lt;&gt;"",E3108&lt;&gt;"!!!"),"NEW","")))</f>
        <v> </v>
      </c>
      <c r="G3108" s="23" t="str">
        <f>IF(OR(E3108="",E3108="!!!"),"",IF(OR(J3108=0,AND(J3108=1,K3108=1),AND(J3108=1,I3108="SBJ"),AND(J3108=1,I3108=0)),"?IN_FOCUS",IF(J3108&lt;=2,"?ACTIVATED",IF(J3108&lt;&gt;"","?FAMILIAR",IF(F3108="NEW",IF(ISNA(VLOOKUP(E3108,#REF!,1,FALSE())),"?TYPE_IDENTIFIABLE","?REFERENTIAL"),"_")))))</f>
        <v> </v>
      </c>
      <c r="H3108" s="24" t="str">
        <f>IF(J3108&lt;&gt;1,"",IF(I3108="SBJ","CB","?"))</f>
        <v> </v>
      </c>
      <c r="I3108" s="25" t="str">
        <f>IF(OR(E3108="",E3108="!!!",F3108="NEW"),"",INDEX(B3107:B$2,-1+SUMPRODUCT(MAX(ROW(E3107:E$2)*(E3108=E3107:E$2)))))</f>
        <v> </v>
      </c>
      <c r="J3108" s="25" t="str">
        <f>IF(OR(E3108="",E3108="!!!",F3108="NEW"),"",COUNTBLANK(OFFSET(A$1,,,SUMPRODUCT(MAX(ROW(E$2:E3108)*(E3108=E$2:E3108)))))-COUNTBLANK(OFFSET(A$1,,,SUMPRODUCT(MAX(ROW(E$1:E3107)*(E2=E$1:E3107))))))</f>
        <v> </v>
      </c>
      <c r="K3108" s="25" t="str">
        <f>IF(OR(E3108="",E3108="!!!",F3108="NEW"),"",INDEX(J$1:J3107,SUMPRODUCT(MAX(ROW(E$1:E3107)*(E3108=E$1:E3107)))))</f>
        <v> </v>
      </c>
      <c r="L3108" s="26"/>
    </row>
    <row r="3109" spans="1:12">
      <c r="A3109" s="20" t="s">
        <v>1144</v>
      </c>
      <c r="E3109" s="21">
        <f>IF(D3109="?OLD","!!!","")</f>
        <v/>
      </c>
      <c r="F3109" s="22" t="str">
        <f>IF(OR(E3109="",E3109="!!!"),"",IF(NOT(ISNA(VLOOKUP(E3109,E$1:E3108,1,FALSE()))),"OLD",IF(AND(E3109&lt;&gt;"",E3109&lt;&gt;"!!!"),"NEW","")))</f>
        <v> </v>
      </c>
      <c r="G3109" s="23" t="str">
        <f>IF(OR(E3109="",E3109="!!!"),"",IF(OR(J3109=0,AND(J3109=1,K3109=1),AND(J3109=1,I3109="SBJ"),AND(J3109=1,I3109=0)),"?IN_FOCUS",IF(J3109&lt;=2,"?ACTIVATED",IF(J3109&lt;&gt;"","?FAMILIAR",IF(F3109="NEW",IF(ISNA(VLOOKUP(E3109,#REF!,1,FALSE())),"?TYPE_IDENTIFIABLE","?REFERENTIAL"),"_")))))</f>
        <v> </v>
      </c>
      <c r="H3109" s="24" t="str">
        <f>IF(J3109&lt;&gt;1,"",IF(I3109="SBJ","CB","?"))</f>
        <v> </v>
      </c>
      <c r="I3109" s="25" t="str">
        <f>IF(OR(E3109="",E3109="!!!",F3109="NEW"),"",INDEX(B3108:B$2,-1+SUMPRODUCT(MAX(ROW(E3108:E$2)*(E3109=E3108:E$2)))))</f>
        <v> </v>
      </c>
      <c r="J3109" s="25" t="str">
        <f>IF(OR(E3109="",E3109="!!!",F3109="NEW"),"",COUNTBLANK(OFFSET(A$1,,,SUMPRODUCT(MAX(ROW(E$2:E3109)*(E3109=E$2:E3109)))))-COUNTBLANK(OFFSET(A$1,,,SUMPRODUCT(MAX(ROW(E$1:E3108)*(E2=E$1:E3108))))))</f>
        <v> </v>
      </c>
      <c r="K3109" s="25" t="str">
        <f>IF(OR(E3109="",E3109="!!!",F3109="NEW"),"",INDEX(J$1:J3108,SUMPRODUCT(MAX(ROW(E$1:E3108)*(E3109=E$1:E3108)))))</f>
        <v> </v>
      </c>
      <c r="L3109" s="26"/>
    </row>
    <row r="3110" spans="1:12">
      <c r="A3110" s="20" t="s">
        <v>2113</v>
      </c>
      <c r="B3110" s="27" t="s">
        <v>1045</v>
      </c>
      <c r="C3110" s="27" t="s">
        <v>1029</v>
      </c>
      <c r="D3110" s="27" t="s">
        <v>1030</v>
      </c>
      <c r="E3110" s="21">
        <f>IF(D3110="?OLD","!!!","")</f>
        <v/>
      </c>
      <c r="F3110" s="22" t="str">
        <f>IF(OR(E3110="",E3110="!!!"),"",IF(NOT(ISNA(VLOOKUP(E3110,E$1:E3109,1,FALSE()))),"OLD",IF(AND(E3110&lt;&gt;"",E3110&lt;&gt;"!!!"),"NEW","")))</f>
        <v> </v>
      </c>
      <c r="G3110" s="23" t="str">
        <f>IF(OR(E3110="",E3110="!!!"),"",IF(OR(J3110=0,AND(J3110=1,K3110=1),AND(J3110=1,I3110="SBJ"),AND(J3110=1,I3110=0)),"?IN_FOCUS",IF(J3110&lt;=2,"?ACTIVATED",IF(J3110&lt;&gt;"","?FAMILIAR",IF(F3110="NEW",IF(ISNA(VLOOKUP(E3110,#REF!,1,FALSE())),"?TYPE_IDENTIFIABLE","?REFERENTIAL"),"_")))))</f>
        <v> </v>
      </c>
      <c r="H3110" s="24" t="str">
        <f>IF(J3110&lt;&gt;1,"",IF(I3110="SBJ","CB","?"))</f>
        <v> </v>
      </c>
      <c r="I3110" s="25" t="str">
        <f>IF(OR(E3110="",E3110="!!!",F3110="NEW"),"",INDEX(B3109:B$2,-1+SUMPRODUCT(MAX(ROW(E3109:E$2)*(E3110=E3109:E$2)))))</f>
        <v> </v>
      </c>
      <c r="J3110" s="25" t="str">
        <f>IF(OR(E3110="",E3110="!!!",F3110="NEW"),"",COUNTBLANK(OFFSET(A$1,,,SUMPRODUCT(MAX(ROW(E$2:E3110)*(E3110=E$2:E3110)))))-COUNTBLANK(OFFSET(A$1,,,SUMPRODUCT(MAX(ROW(E$1:E3109)*(E2=E$1:E3109))))))</f>
        <v> </v>
      </c>
      <c r="K3110" s="25" t="str">
        <f>IF(OR(E3110="",E3110="!!!",F3110="NEW"),"",INDEX(J$1:J3109,SUMPRODUCT(MAX(ROW(E$1:E3109)*(E3110=E$1:E3109)))))</f>
        <v> </v>
      </c>
      <c r="L3110" s="26"/>
    </row>
    <row r="3111" spans="1:12">
      <c r="A3111" s="20" t="s">
        <v>1016</v>
      </c>
      <c r="E3111" s="21">
        <f>IF(D3111="?OLD","!!!","")</f>
        <v/>
      </c>
      <c r="F3111" s="22" t="str">
        <f>IF(OR(E3111="",E3111="!!!"),"",IF(NOT(ISNA(VLOOKUP(E3111,E$1:E3110,1,FALSE()))),"OLD",IF(AND(E3111&lt;&gt;"",E3111&lt;&gt;"!!!"),"NEW","")))</f>
        <v> </v>
      </c>
      <c r="G3111" s="23" t="str">
        <f>IF(OR(E3111="",E3111="!!!"),"",IF(OR(J3111=0,AND(J3111=1,K3111=1),AND(J3111=1,I3111="SBJ"),AND(J3111=1,I3111=0)),"?IN_FOCUS",IF(J3111&lt;=2,"?ACTIVATED",IF(J3111&lt;&gt;"","?FAMILIAR",IF(F3111="NEW",IF(ISNA(VLOOKUP(E3111,#REF!,1,FALSE())),"?TYPE_IDENTIFIABLE","?REFERENTIAL"),"_")))))</f>
        <v> </v>
      </c>
      <c r="H3111" s="24" t="str">
        <f>IF(J3111&lt;&gt;1,"",IF(I3111="SBJ","CB","?"))</f>
        <v> </v>
      </c>
      <c r="I3111" s="25" t="str">
        <f>IF(OR(E3111="",E3111="!!!",F3111="NEW"),"",INDEX(B3110:B$2,-1+SUMPRODUCT(MAX(ROW(E3110:E$2)*(E3111=E3110:E$2)))))</f>
        <v> </v>
      </c>
      <c r="J3111" s="25" t="str">
        <f>IF(OR(E3111="",E3111="!!!",F3111="NEW"),"",COUNTBLANK(OFFSET(A$1,,,SUMPRODUCT(MAX(ROW(E$2:E3111)*(E3111=E$2:E3111)))))-COUNTBLANK(OFFSET(A$1,,,SUMPRODUCT(MAX(ROW(E$1:E3110)*(E2=E$1:E3110))))))</f>
        <v> </v>
      </c>
      <c r="K3111" s="25" t="str">
        <f>IF(OR(E3111="",E3111="!!!",F3111="NEW"),"",INDEX(J$1:J3110,SUMPRODUCT(MAX(ROW(E$1:E3110)*(E3111=E$1:E3110)))))</f>
        <v> </v>
      </c>
      <c r="L3111" s="26"/>
    </row>
    <row r="3112" spans="1:12">
      <c r="A3112" s="20" t="s">
        <v>2114</v>
      </c>
      <c r="B3112" s="27" t="s">
        <v>1079</v>
      </c>
      <c r="C3112" s="27" t="s">
        <v>1015</v>
      </c>
      <c r="E3112" s="21">
        <f>IF(D3112="?OLD","!!!","")</f>
        <v/>
      </c>
      <c r="F3112" s="22" t="str">
        <f>IF(OR(E3112="",E3112="!!!"),"",IF(NOT(ISNA(VLOOKUP(E3112,E$1:E3111,1,FALSE()))),"OLD",IF(AND(E3112&lt;&gt;"",E3112&lt;&gt;"!!!"),"NEW","")))</f>
        <v> </v>
      </c>
      <c r="G3112" s="23" t="str">
        <f>IF(OR(E3112="",E3112="!!!"),"",IF(OR(J3112=0,AND(J3112=1,K3112=1),AND(J3112=1,I3112="SBJ"),AND(J3112=1,I3112=0)),"?IN_FOCUS",IF(J3112&lt;=2,"?ACTIVATED",IF(J3112&lt;&gt;"","?FAMILIAR",IF(F3112="NEW",IF(ISNA(VLOOKUP(E3112,#REF!,1,FALSE())),"?TYPE_IDENTIFIABLE","?REFERENTIAL"),"_")))))</f>
        <v> </v>
      </c>
      <c r="H3112" s="24" t="str">
        <f>IF(J3112&lt;&gt;1,"",IF(I3112="SBJ","CB","?"))</f>
        <v> </v>
      </c>
      <c r="I3112" s="25" t="str">
        <f>IF(OR(E3112="",E3112="!!!",F3112="NEW"),"",INDEX(B3111:B$2,-1+SUMPRODUCT(MAX(ROW(E3111:E$2)*(E3112=E3111:E$2)))))</f>
        <v> </v>
      </c>
      <c r="J3112" s="25" t="str">
        <f>IF(OR(E3112="",E3112="!!!",F3112="NEW"),"",COUNTBLANK(OFFSET(A$1,,,SUMPRODUCT(MAX(ROW(E$2:E3112)*(E3112=E$2:E3112)))))-COUNTBLANK(OFFSET(A$1,,,SUMPRODUCT(MAX(ROW(E$1:E3111)*(E2=E$1:E3111))))))</f>
        <v> </v>
      </c>
      <c r="K3112" s="25" t="str">
        <f>IF(OR(E3112="",E3112="!!!",F3112="NEW"),"",INDEX(J$1:J3111,SUMPRODUCT(MAX(ROW(E$1:E3111)*(E3112=E$1:E3111)))))</f>
        <v> </v>
      </c>
      <c r="L3112" s="26"/>
    </row>
    <row r="3113" spans="1:12">
      <c r="A3113" s="20" t="s">
        <v>1022</v>
      </c>
      <c r="E3113" s="21">
        <f>IF(D3113="?OLD","!!!","")</f>
        <v/>
      </c>
      <c r="F3113" s="22" t="str">
        <f>IF(OR(E3113="",E3113="!!!"),"",IF(NOT(ISNA(VLOOKUP(E3113,E$1:E3112,1,FALSE()))),"OLD",IF(AND(E3113&lt;&gt;"",E3113&lt;&gt;"!!!"),"NEW","")))</f>
        <v> </v>
      </c>
      <c r="G3113" s="23" t="str">
        <f>IF(OR(E3113="",E3113="!!!"),"",IF(OR(J3113=0,AND(J3113=1,K3113=1),AND(J3113=1,I3113="SBJ"),AND(J3113=1,I3113=0)),"?IN_FOCUS",IF(J3113&lt;=2,"?ACTIVATED",IF(J3113&lt;&gt;"","?FAMILIAR",IF(F3113="NEW",IF(ISNA(VLOOKUP(E3113,#REF!,1,FALSE())),"?TYPE_IDENTIFIABLE","?REFERENTIAL"),"_")))))</f>
        <v> </v>
      </c>
      <c r="H3113" s="24" t="str">
        <f>IF(J3113&lt;&gt;1,"",IF(I3113="SBJ","CB","?"))</f>
        <v> </v>
      </c>
      <c r="I3113" s="25" t="str">
        <f>IF(OR(E3113="",E3113="!!!",F3113="NEW"),"",INDEX(B3112:B$2,-1+SUMPRODUCT(MAX(ROW(E3112:E$2)*(E3113=E3112:E$2)))))</f>
        <v> </v>
      </c>
      <c r="J3113" s="25" t="str">
        <f>IF(OR(E3113="",E3113="!!!",F3113="NEW"),"",COUNTBLANK(OFFSET(A$1,,,SUMPRODUCT(MAX(ROW(E$2:E3113)*(E3113=E$2:E3113)))))-COUNTBLANK(OFFSET(A$1,,,SUMPRODUCT(MAX(ROW(E$1:E3112)*(E2=E$1:E3112))))))</f>
        <v> </v>
      </c>
      <c r="K3113" s="25" t="str">
        <f>IF(OR(E3113="",E3113="!!!",F3113="NEW"),"",INDEX(J$1:J3112,SUMPRODUCT(MAX(ROW(E$1:E3112)*(E3113=E$1:E3112)))))</f>
        <v> </v>
      </c>
      <c r="L3113" s="26"/>
    </row>
    <row r="3114" spans="1:12">
      <c r="A3114" s="20" t="s">
        <v>1144</v>
      </c>
      <c r="E3114" s="21">
        <f>IF(D3114="?OLD","!!!","")</f>
        <v/>
      </c>
      <c r="F3114" s="22" t="str">
        <f>IF(OR(E3114="",E3114="!!!"),"",IF(NOT(ISNA(VLOOKUP(E3114,E$1:E3113,1,FALSE()))),"OLD",IF(AND(E3114&lt;&gt;"",E3114&lt;&gt;"!!!"),"NEW","")))</f>
        <v> </v>
      </c>
      <c r="G3114" s="23" t="str">
        <f>IF(OR(E3114="",E3114="!!!"),"",IF(OR(J3114=0,AND(J3114=1,K3114=1),AND(J3114=1,I3114="SBJ"),AND(J3114=1,I3114=0)),"?IN_FOCUS",IF(J3114&lt;=2,"?ACTIVATED",IF(J3114&lt;&gt;"","?FAMILIAR",IF(F3114="NEW",IF(ISNA(VLOOKUP(E3114,#REF!,1,FALSE())),"?TYPE_IDENTIFIABLE","?REFERENTIAL"),"_")))))</f>
        <v> </v>
      </c>
      <c r="H3114" s="24" t="str">
        <f>IF(J3114&lt;&gt;1,"",IF(I3114="SBJ","CB","?"))</f>
        <v> </v>
      </c>
      <c r="I3114" s="25" t="str">
        <f>IF(OR(E3114="",E3114="!!!",F3114="NEW"),"",INDEX(B3113:B$2,-1+SUMPRODUCT(MAX(ROW(E3113:E$2)*(E3114=E3113:E$2)))))</f>
        <v> </v>
      </c>
      <c r="J3114" s="25" t="str">
        <f>IF(OR(E3114="",E3114="!!!",F3114="NEW"),"",COUNTBLANK(OFFSET(A$1,,,SUMPRODUCT(MAX(ROW(E$2:E3114)*(E3114=E$2:E3114)))))-COUNTBLANK(OFFSET(A$1,,,SUMPRODUCT(MAX(ROW(E$1:E3113)*(E2=E$1:E3113))))))</f>
        <v> </v>
      </c>
      <c r="K3114" s="25" t="str">
        <f>IF(OR(E3114="",E3114="!!!",F3114="NEW"),"",INDEX(J$1:J3113,SUMPRODUCT(MAX(ROW(E$1:E3113)*(E3114=E$1:E3113)))))</f>
        <v> </v>
      </c>
      <c r="L3114" s="26"/>
    </row>
    <row r="3115" spans="1:12">
      <c r="A3115" s="20" t="s">
        <v>2115</v>
      </c>
      <c r="B3115" s="27" t="s">
        <v>1041</v>
      </c>
      <c r="C3115" s="27" t="s">
        <v>1029</v>
      </c>
      <c r="D3115" s="27" t="s">
        <v>1030</v>
      </c>
      <c r="E3115" s="21">
        <f>IF(D3115="?OLD","!!!","")</f>
        <v/>
      </c>
      <c r="F3115" s="22" t="str">
        <f>IF(OR(E3115="",E3115="!!!"),"",IF(NOT(ISNA(VLOOKUP(E3115,E$1:E3114,1,FALSE()))),"OLD",IF(AND(E3115&lt;&gt;"",E3115&lt;&gt;"!!!"),"NEW","")))</f>
        <v> </v>
      </c>
      <c r="G3115" s="23" t="str">
        <f>IF(OR(E3115="",E3115="!!!"),"",IF(OR(J3115=0,AND(J3115=1,K3115=1),AND(J3115=1,I3115="SBJ"),AND(J3115=1,I3115=0)),"?IN_FOCUS",IF(J3115&lt;=2,"?ACTIVATED",IF(J3115&lt;&gt;"","?FAMILIAR",IF(F3115="NEW",IF(ISNA(VLOOKUP(E3115,#REF!,1,FALSE())),"?TYPE_IDENTIFIABLE","?REFERENTIAL"),"_")))))</f>
        <v> </v>
      </c>
      <c r="H3115" s="24" t="str">
        <f>IF(J3115&lt;&gt;1,"",IF(I3115="SBJ","CB","?"))</f>
        <v> </v>
      </c>
      <c r="I3115" s="25" t="str">
        <f>IF(OR(E3115="",E3115="!!!",F3115="NEW"),"",INDEX(B3114:B$2,-1+SUMPRODUCT(MAX(ROW(E3114:E$2)*(E3115=E3114:E$2)))))</f>
        <v> </v>
      </c>
      <c r="J3115" s="25" t="str">
        <f>IF(OR(E3115="",E3115="!!!",F3115="NEW"),"",COUNTBLANK(OFFSET(A$1,,,SUMPRODUCT(MAX(ROW(E$2:E3115)*(E3115=E$2:E3115)))))-COUNTBLANK(OFFSET(A$1,,,SUMPRODUCT(MAX(ROW(E$1:E3114)*(E2=E$1:E3114))))))</f>
        <v> </v>
      </c>
      <c r="K3115" s="25" t="str">
        <f>IF(OR(E3115="",E3115="!!!",F3115="NEW"),"",INDEX(J$1:J3114,SUMPRODUCT(MAX(ROW(E$1:E3114)*(E3115=E$1:E3114)))))</f>
        <v> </v>
      </c>
      <c r="L3115" s="26"/>
    </row>
    <row r="3116" spans="1:12">
      <c r="A3116" s="20" t="s">
        <v>1016</v>
      </c>
      <c r="E3116" s="21">
        <f>IF(D3116="?OLD","!!!","")</f>
        <v/>
      </c>
      <c r="F3116" s="22" t="str">
        <f>IF(OR(E3116="",E3116="!!!"),"",IF(NOT(ISNA(VLOOKUP(E3116,E$1:E3115,1,FALSE()))),"OLD",IF(AND(E3116&lt;&gt;"",E3116&lt;&gt;"!!!"),"NEW","")))</f>
        <v> </v>
      </c>
      <c r="G3116" s="23" t="str">
        <f>IF(OR(E3116="",E3116="!!!"),"",IF(OR(J3116=0,AND(J3116=1,K3116=1),AND(J3116=1,I3116="SBJ"),AND(J3116=1,I3116=0)),"?IN_FOCUS",IF(J3116&lt;=2,"?ACTIVATED",IF(J3116&lt;&gt;"","?FAMILIAR",IF(F3116="NEW",IF(ISNA(VLOOKUP(E3116,#REF!,1,FALSE())),"?TYPE_IDENTIFIABLE","?REFERENTIAL"),"_")))))</f>
        <v> </v>
      </c>
      <c r="H3116" s="24" t="str">
        <f>IF(J3116&lt;&gt;1,"",IF(I3116="SBJ","CB","?"))</f>
        <v> </v>
      </c>
      <c r="I3116" s="25" t="str">
        <f>IF(OR(E3116="",E3116="!!!",F3116="NEW"),"",INDEX(B3115:B$2,-1+SUMPRODUCT(MAX(ROW(E3115:E$2)*(E3116=E3115:E$2)))))</f>
        <v> </v>
      </c>
      <c r="J3116" s="25" t="str">
        <f>IF(OR(E3116="",E3116="!!!",F3116="NEW"),"",COUNTBLANK(OFFSET(A$1,,,SUMPRODUCT(MAX(ROW(E$2:E3116)*(E3116=E$2:E3116)))))-COUNTBLANK(OFFSET(A$1,,,SUMPRODUCT(MAX(ROW(E$1:E3115)*(E2=E$1:E3115))))))</f>
        <v> </v>
      </c>
      <c r="K3116" s="25" t="str">
        <f>IF(OR(E3116="",E3116="!!!",F3116="NEW"),"",INDEX(J$1:J3115,SUMPRODUCT(MAX(ROW(E$1:E3115)*(E3116=E$1:E3115)))))</f>
        <v> </v>
      </c>
      <c r="L3116" s="26"/>
    </row>
    <row r="3117" spans="1:12">
      <c r="A3117" s="20" t="s">
        <v>2116</v>
      </c>
      <c r="B3117" s="27" t="s">
        <v>1079</v>
      </c>
      <c r="C3117" s="27" t="s">
        <v>1033</v>
      </c>
      <c r="D3117" s="27" t="s">
        <v>1030</v>
      </c>
      <c r="E3117" s="21">
        <f>IF(D3117="?OLD","!!!","")</f>
        <v/>
      </c>
      <c r="F3117" s="22" t="str">
        <f>IF(OR(E3117="",E3117="!!!"),"",IF(NOT(ISNA(VLOOKUP(E3117,E$1:E3116,1,FALSE()))),"OLD",IF(AND(E3117&lt;&gt;"",E3117&lt;&gt;"!!!"),"NEW","")))</f>
        <v> </v>
      </c>
      <c r="G3117" s="23" t="str">
        <f>IF(OR(E3117="",E3117="!!!"),"",IF(OR(J3117=0,AND(J3117=1,K3117=1),AND(J3117=1,I3117="SBJ"),AND(J3117=1,I3117=0)),"?IN_FOCUS",IF(J3117&lt;=2,"?ACTIVATED",IF(J3117&lt;&gt;"","?FAMILIAR",IF(F3117="NEW",IF(ISNA(VLOOKUP(E3117,#REF!,1,FALSE())),"?TYPE_IDENTIFIABLE","?REFERENTIAL"),"_")))))</f>
        <v> </v>
      </c>
      <c r="H3117" s="24" t="str">
        <f>IF(J3117&lt;&gt;1,"",IF(I3117="SBJ","CB","?"))</f>
        <v> </v>
      </c>
      <c r="I3117" s="25" t="str">
        <f>IF(OR(E3117="",E3117="!!!",F3117="NEW"),"",INDEX(B3116:B$2,-1+SUMPRODUCT(MAX(ROW(E3116:E$2)*(E3117=E3116:E$2)))))</f>
        <v> </v>
      </c>
      <c r="J3117" s="25" t="str">
        <f>IF(OR(E3117="",E3117="!!!",F3117="NEW"),"",COUNTBLANK(OFFSET(A$1,,,SUMPRODUCT(MAX(ROW(E$2:E3117)*(E3117=E$2:E3117)))))-COUNTBLANK(OFFSET(A$1,,,SUMPRODUCT(MAX(ROW(E$1:E3116)*(E2=E$1:E3116))))))</f>
        <v> </v>
      </c>
      <c r="K3117" s="25" t="str">
        <f>IF(OR(E3117="",E3117="!!!",F3117="NEW"),"",INDEX(J$1:J3116,SUMPRODUCT(MAX(ROW(E$1:E3116)*(E3117=E$1:E3116)))))</f>
        <v> </v>
      </c>
      <c r="L3117" s="26"/>
    </row>
    <row r="3118" spans="1:12">
      <c r="A3118" s="20" t="s">
        <v>1034</v>
      </c>
      <c r="E3118" s="21">
        <f>IF(D3118="?OLD","!!!","")</f>
        <v/>
      </c>
      <c r="F3118" s="22" t="str">
        <f>IF(OR(E3118="",E3118="!!!"),"",IF(NOT(ISNA(VLOOKUP(E3118,E$1:E3117,1,FALSE()))),"OLD",IF(AND(E3118&lt;&gt;"",E3118&lt;&gt;"!!!"),"NEW","")))</f>
        <v> </v>
      </c>
      <c r="G3118" s="23" t="str">
        <f>IF(OR(E3118="",E3118="!!!"),"",IF(OR(J3118=0,AND(J3118=1,K3118=1),AND(J3118=1,I3118="SBJ"),AND(J3118=1,I3118=0)),"?IN_FOCUS",IF(J3118&lt;=2,"?ACTIVATED",IF(J3118&lt;&gt;"","?FAMILIAR",IF(F3118="NEW",IF(ISNA(VLOOKUP(E3118,#REF!,1,FALSE())),"?TYPE_IDENTIFIABLE","?REFERENTIAL"),"_")))))</f>
        <v> </v>
      </c>
      <c r="H3118" s="24" t="str">
        <f>IF(J3118&lt;&gt;1,"",IF(I3118="SBJ","CB","?"))</f>
        <v> </v>
      </c>
      <c r="I3118" s="25" t="str">
        <f>IF(OR(E3118="",E3118="!!!",F3118="NEW"),"",INDEX(B3117:B$2,-1+SUMPRODUCT(MAX(ROW(E3117:E$2)*(E3118=E3117:E$2)))))</f>
        <v> </v>
      </c>
      <c r="J3118" s="25" t="str">
        <f>IF(OR(E3118="",E3118="!!!",F3118="NEW"),"",COUNTBLANK(OFFSET(A$1,,,SUMPRODUCT(MAX(ROW(E$2:E3118)*(E3118=E$2:E3118)))))-COUNTBLANK(OFFSET(A$1,,,SUMPRODUCT(MAX(ROW(E$1:E3117)*(E2=E$1:E3117))))))</f>
        <v> </v>
      </c>
      <c r="K3118" s="25" t="str">
        <f>IF(OR(E3118="",E3118="!!!",F3118="NEW"),"",INDEX(J$1:J3117,SUMPRODUCT(MAX(ROW(E$1:E3117)*(E3118=E$1:E3117)))))</f>
        <v> </v>
      </c>
      <c r="L3118" s="26"/>
    </row>
    <row r="3119" spans="1:12">
      <c r="A3119" s="20" t="s">
        <v>1143</v>
      </c>
      <c r="E3119" s="21">
        <f>IF(D3119="?OLD","!!!","")</f>
        <v/>
      </c>
      <c r="F3119" s="22" t="str">
        <f>IF(OR(E3119="",E3119="!!!"),"",IF(NOT(ISNA(VLOOKUP(E3119,E$1:E3118,1,FALSE()))),"OLD",IF(AND(E3119&lt;&gt;"",E3119&lt;&gt;"!!!"),"NEW","")))</f>
        <v> </v>
      </c>
      <c r="G3119" s="23" t="str">
        <f>IF(OR(E3119="",E3119="!!!"),"",IF(OR(J3119=0,AND(J3119=1,K3119=1),AND(J3119=1,I3119="SBJ"),AND(J3119=1,I3119=0)),"?IN_FOCUS",IF(J3119&lt;=2,"?ACTIVATED",IF(J3119&lt;&gt;"","?FAMILIAR",IF(F3119="NEW",IF(ISNA(VLOOKUP(E3119,#REF!,1,FALSE())),"?TYPE_IDENTIFIABLE","?REFERENTIAL"),"_")))))</f>
        <v> </v>
      </c>
      <c r="H3119" s="24" t="str">
        <f>IF(J3119&lt;&gt;1,"",IF(I3119="SBJ","CB","?"))</f>
        <v> </v>
      </c>
      <c r="I3119" s="25" t="str">
        <f>IF(OR(E3119="",E3119="!!!",F3119="NEW"),"",INDEX(B3118:B$2,-1+SUMPRODUCT(MAX(ROW(E3118:E$2)*(E3119=E3118:E$2)))))</f>
        <v> </v>
      </c>
      <c r="J3119" s="25" t="str">
        <f>IF(OR(E3119="",E3119="!!!",F3119="NEW"),"",COUNTBLANK(OFFSET(A$1,,,SUMPRODUCT(MAX(ROW(E$2:E3119)*(E3119=E$2:E3119)))))-COUNTBLANK(OFFSET(A$1,,,SUMPRODUCT(MAX(ROW(E$1:E3118)*(E2=E$1:E3118))))))</f>
        <v> </v>
      </c>
      <c r="K3119" s="25" t="str">
        <f>IF(OR(E3119="",E3119="!!!",F3119="NEW"),"",INDEX(J$1:J3118,SUMPRODUCT(MAX(ROW(E$1:E3118)*(E3119=E$1:E3118)))))</f>
        <v> </v>
      </c>
      <c r="L3119" s="26"/>
    </row>
    <row r="3120" spans="1:12">
      <c r="A3120" s="20" t="s">
        <v>1476</v>
      </c>
      <c r="E3120" s="21">
        <f>IF(D3120="?OLD","!!!","")</f>
        <v/>
      </c>
      <c r="F3120" s="22" t="str">
        <f>IF(OR(E3120="",E3120="!!!"),"",IF(NOT(ISNA(VLOOKUP(E3120,E$1:E3119,1,FALSE()))),"OLD",IF(AND(E3120&lt;&gt;"",E3120&lt;&gt;"!!!"),"NEW","")))</f>
        <v> </v>
      </c>
      <c r="G3120" s="23" t="str">
        <f>IF(OR(E3120="",E3120="!!!"),"",IF(OR(J3120=0,AND(J3120=1,K3120=1),AND(J3120=1,I3120="SBJ"),AND(J3120=1,I3120=0)),"?IN_FOCUS",IF(J3120&lt;=2,"?ACTIVATED",IF(J3120&lt;&gt;"","?FAMILIAR",IF(F3120="NEW",IF(ISNA(VLOOKUP(E3120,#REF!,1,FALSE())),"?TYPE_IDENTIFIABLE","?REFERENTIAL"),"_")))))</f>
        <v> </v>
      </c>
      <c r="H3120" s="24" t="str">
        <f>IF(J3120&lt;&gt;1,"",IF(I3120="SBJ","CB","?"))</f>
        <v> </v>
      </c>
      <c r="I3120" s="25" t="str">
        <f>IF(OR(E3120="",E3120="!!!",F3120="NEW"),"",INDEX(B3119:B$2,-1+SUMPRODUCT(MAX(ROW(E3119:E$2)*(E3120=E3119:E$2)))))</f>
        <v> </v>
      </c>
      <c r="J3120" s="25" t="str">
        <f>IF(OR(E3120="",E3120="!!!",F3120="NEW"),"",COUNTBLANK(OFFSET(A$1,,,SUMPRODUCT(MAX(ROW(E$2:E3120)*(E3120=E$2:E3120)))))-COUNTBLANK(OFFSET(A$1,,,SUMPRODUCT(MAX(ROW(E$1:E3119)*(E2=E$1:E3119))))))</f>
        <v> </v>
      </c>
      <c r="K3120" s="25" t="str">
        <f>IF(OR(E3120="",E3120="!!!",F3120="NEW"),"",INDEX(J$1:J3119,SUMPRODUCT(MAX(ROW(E$1:E3119)*(E3120=E$1:E3119)))))</f>
        <v> </v>
      </c>
      <c r="L3120" s="26"/>
    </row>
    <row r="3121" spans="1:12">
      <c r="A3121" s="20" t="s">
        <v>1337</v>
      </c>
      <c r="E3121" s="21">
        <f>IF(D3121="?OLD","!!!","")</f>
        <v/>
      </c>
      <c r="F3121" s="22" t="str">
        <f>IF(OR(E3121="",E3121="!!!"),"",IF(NOT(ISNA(VLOOKUP(E3121,E$1:E3120,1,FALSE()))),"OLD",IF(AND(E3121&lt;&gt;"",E3121&lt;&gt;"!!!"),"NEW","")))</f>
        <v> </v>
      </c>
      <c r="G3121" s="23" t="str">
        <f>IF(OR(E3121="",E3121="!!!"),"",IF(OR(J3121=0,AND(J3121=1,K3121=1),AND(J3121=1,I3121="SBJ"),AND(J3121=1,I3121=0)),"?IN_FOCUS",IF(J3121&lt;=2,"?ACTIVATED",IF(J3121&lt;&gt;"","?FAMILIAR",IF(F3121="NEW",IF(ISNA(VLOOKUP(E3121,#REF!,1,FALSE())),"?TYPE_IDENTIFIABLE","?REFERENTIAL"),"_")))))</f>
        <v> </v>
      </c>
      <c r="H3121" s="24" t="str">
        <f>IF(J3121&lt;&gt;1,"",IF(I3121="SBJ","CB","?"))</f>
        <v> </v>
      </c>
      <c r="I3121" s="25" t="str">
        <f>IF(OR(E3121="",E3121="!!!",F3121="NEW"),"",INDEX(B3120:B$2,-1+SUMPRODUCT(MAX(ROW(E3120:E$2)*(E3121=E3120:E$2)))))</f>
        <v> </v>
      </c>
      <c r="J3121" s="25" t="str">
        <f>IF(OR(E3121="",E3121="!!!",F3121="NEW"),"",COUNTBLANK(OFFSET(A$1,,,SUMPRODUCT(MAX(ROW(E$2:E3121)*(E3121=E$2:E3121)))))-COUNTBLANK(OFFSET(A$1,,,SUMPRODUCT(MAX(ROW(E$1:E3120)*(E2=E$1:E3120))))))</f>
        <v> </v>
      </c>
      <c r="K3121" s="25" t="str">
        <f>IF(OR(E3121="",E3121="!!!",F3121="NEW"),"",INDEX(J$1:J3120,SUMPRODUCT(MAX(ROW(E$1:E3120)*(E3121=E$1:E3120)))))</f>
        <v> </v>
      </c>
      <c r="L3121" s="26"/>
    </row>
    <row r="3122" spans="1:12">
      <c r="A3122" s="20" t="s">
        <v>1071</v>
      </c>
      <c r="E3122" s="21">
        <f>IF(D3122="?OLD","!!!","")</f>
        <v/>
      </c>
      <c r="F3122" s="22" t="str">
        <f>IF(OR(E3122="",E3122="!!!"),"",IF(NOT(ISNA(VLOOKUP(E3122,E$1:E3121,1,FALSE()))),"OLD",IF(AND(E3122&lt;&gt;"",E3122&lt;&gt;"!!!"),"NEW","")))</f>
        <v> </v>
      </c>
      <c r="G3122" s="23" t="str">
        <f>IF(OR(E3122="",E3122="!!!"),"",IF(OR(J3122=0,AND(J3122=1,K3122=1),AND(J3122=1,I3122="SBJ"),AND(J3122=1,I3122=0)),"?IN_FOCUS",IF(J3122&lt;=2,"?ACTIVATED",IF(J3122&lt;&gt;"","?FAMILIAR",IF(F3122="NEW",IF(ISNA(VLOOKUP(E3122,#REF!,1,FALSE())),"?TYPE_IDENTIFIABLE","?REFERENTIAL"),"_")))))</f>
        <v> </v>
      </c>
      <c r="H3122" s="24" t="str">
        <f>IF(J3122&lt;&gt;1,"",IF(I3122="SBJ","CB","?"))</f>
        <v> </v>
      </c>
      <c r="I3122" s="25" t="str">
        <f>IF(OR(E3122="",E3122="!!!",F3122="NEW"),"",INDEX(B3121:B$2,-1+SUMPRODUCT(MAX(ROW(E3121:E$2)*(E3122=E3121:E$2)))))</f>
        <v> </v>
      </c>
      <c r="J3122" s="25" t="str">
        <f>IF(OR(E3122="",E3122="!!!",F3122="NEW"),"",COUNTBLANK(OFFSET(A$1,,,SUMPRODUCT(MAX(ROW(E$2:E3122)*(E3122=E$2:E3122)))))-COUNTBLANK(OFFSET(A$1,,,SUMPRODUCT(MAX(ROW(E$1:E3121)*(E2=E$1:E3121))))))</f>
        <v> </v>
      </c>
      <c r="K3122" s="25" t="str">
        <f>IF(OR(E3122="",E3122="!!!",F3122="NEW"),"",INDEX(J$1:J3121,SUMPRODUCT(MAX(ROW(E$1:E3121)*(E3122=E$1:E3121)))))</f>
        <v> </v>
      </c>
      <c r="L3122" s="26"/>
    </row>
    <row r="3123" spans="1:12">
      <c r="A3123" s="20" t="s">
        <v>465</v>
      </c>
      <c r="B3123" s="27" t="s">
        <v>1045</v>
      </c>
      <c r="C3123" s="27" t="s">
        <v>1038</v>
      </c>
      <c r="D3123" s="27" t="s">
        <v>1030</v>
      </c>
      <c r="E3123" s="21">
        <f>IF(D3123="?OLD","!!!","")</f>
        <v/>
      </c>
      <c r="F3123" s="22" t="str">
        <f>IF(OR(E3123="",E3123="!!!"),"",IF(NOT(ISNA(VLOOKUP(E3123,E$1:E3122,1,FALSE()))),"OLD",IF(AND(E3123&lt;&gt;"",E3123&lt;&gt;"!!!"),"NEW","")))</f>
        <v> </v>
      </c>
      <c r="G3123" s="23" t="str">
        <f>IF(OR(E3123="",E3123="!!!"),"",IF(OR(J3123=0,AND(J3123=1,K3123=1),AND(J3123=1,I3123="SBJ"),AND(J3123=1,I3123=0)),"?IN_FOCUS",IF(J3123&lt;=2,"?ACTIVATED",IF(J3123&lt;&gt;"","?FAMILIAR",IF(F3123="NEW",IF(ISNA(VLOOKUP(E3123,#REF!,1,FALSE())),"?TYPE_IDENTIFIABLE","?REFERENTIAL"),"_")))))</f>
        <v> </v>
      </c>
      <c r="H3123" s="24" t="str">
        <f>IF(J3123&lt;&gt;1,"",IF(I3123="SBJ","CB","?"))</f>
        <v> </v>
      </c>
      <c r="I3123" s="25" t="str">
        <f>IF(OR(E3123="",E3123="!!!",F3123="NEW"),"",INDEX(B3122:B$2,-1+SUMPRODUCT(MAX(ROW(E3122:E$2)*(E3123=E3122:E$2)))))</f>
        <v> </v>
      </c>
      <c r="J3123" s="25" t="str">
        <f>IF(OR(E3123="",E3123="!!!",F3123="NEW"),"",COUNTBLANK(OFFSET(A$1,,,SUMPRODUCT(MAX(ROW(E$2:E3123)*(E3123=E$2:E3123)))))-COUNTBLANK(OFFSET(A$1,,,SUMPRODUCT(MAX(ROW(E$1:E3122)*(E2=E$1:E3122))))))</f>
        <v> </v>
      </c>
      <c r="K3123" s="25" t="str">
        <f>IF(OR(E3123="",E3123="!!!",F3123="NEW"),"",INDEX(J$1:J3122,SUMPRODUCT(MAX(ROW(E$1:E3122)*(E3123=E$1:E3122)))))</f>
        <v> </v>
      </c>
      <c r="L3123" s="26"/>
    </row>
    <row r="3124" spans="1:12">
      <c r="A3124" s="20" t="s">
        <v>135</v>
      </c>
      <c r="E3124" s="21">
        <f>IF(D3124="?OLD","!!!","")</f>
        <v/>
      </c>
      <c r="F3124" s="22" t="str">
        <f>IF(OR(E3124="",E3124="!!!"),"",IF(NOT(ISNA(VLOOKUP(E3124,E$1:E3123,1,FALSE()))),"OLD",IF(AND(E3124&lt;&gt;"",E3124&lt;&gt;"!!!"),"NEW","")))</f>
        <v> </v>
      </c>
      <c r="G3124" s="23" t="str">
        <f>IF(OR(E3124="",E3124="!!!"),"",IF(OR(J3124=0,AND(J3124=1,K3124=1),AND(J3124=1,I3124="SBJ"),AND(J3124=1,I3124=0)),"?IN_FOCUS",IF(J3124&lt;=2,"?ACTIVATED",IF(J3124&lt;&gt;"","?FAMILIAR",IF(F3124="NEW",IF(ISNA(VLOOKUP(E3124,#REF!,1,FALSE())),"?TYPE_IDENTIFIABLE","?REFERENTIAL"),"_")))))</f>
        <v> </v>
      </c>
      <c r="H3124" s="24" t="str">
        <f>IF(J3124&lt;&gt;1,"",IF(I3124="SBJ","CB","?"))</f>
        <v> </v>
      </c>
      <c r="I3124" s="25" t="str">
        <f>IF(OR(E3124="",E3124="!!!",F3124="NEW"),"",INDEX(B3123:B$2,-1+SUMPRODUCT(MAX(ROW(E3123:E$2)*(E3124=E3123:E$2)))))</f>
        <v> </v>
      </c>
      <c r="J3124" s="25" t="str">
        <f>IF(OR(E3124="",E3124="!!!",F3124="NEW"),"",COUNTBLANK(OFFSET(A$1,,,SUMPRODUCT(MAX(ROW(E$2:E3124)*(E3124=E$2:E3124)))))-COUNTBLANK(OFFSET(A$1,,,SUMPRODUCT(MAX(ROW(E$1:E3123)*(E2=E$1:E3123))))))</f>
        <v> </v>
      </c>
      <c r="K3124" s="25" t="str">
        <f>IF(OR(E3124="",E3124="!!!",F3124="NEW"),"",INDEX(J$1:J3123,SUMPRODUCT(MAX(ROW(E$1:E3123)*(E3124=E$1:E3123)))))</f>
        <v> </v>
      </c>
      <c r="L3124" s="26"/>
    </row>
    <row r="3125" spans="1:12">
      <c r="A3125" s="20"/>
    </row>
    <row r="3126" spans="1:12">
      <c r="A3126" s="20" t="s">
        <v>2117</v>
      </c>
    </row>
    <row r="3127" spans="1:12">
      <c r="A3127" s="20" t="s">
        <v>2118</v>
      </c>
      <c r="E3127" s="21">
        <f>IF(D3127="?OLD","!!!","")</f>
        <v/>
      </c>
      <c r="F3127" s="22" t="str">
        <f>IF(OR(E3127="",E3127="!!!"),"",IF(NOT(ISNA(VLOOKUP(E3127,E$1:E3126,1,FALSE()))),"OLD",IF(AND(E3127&lt;&gt;"",E3127&lt;&gt;"!!!"),"NEW","")))</f>
        <v> </v>
      </c>
      <c r="G3127" s="23" t="str">
        <f>IF(OR(E3127="",E3127="!!!"),"",IF(OR(J3127=0,AND(J3127=1,K3127=1),AND(J3127=1,I3127="SBJ"),AND(J3127=1,I3127=0)),"?IN_FOCUS",IF(J3127&lt;=2,"?ACTIVATED",IF(J3127&lt;&gt;"","?FAMILIAR",IF(F3127="NEW",IF(ISNA(VLOOKUP(E3127,#REF!,1,FALSE())),"?TYPE_IDENTIFIABLE","?REFERENTIAL"),"_")))))</f>
        <v> </v>
      </c>
      <c r="H3127" s="24" t="str">
        <f>IF(J3127&lt;&gt;1,"",IF(I3127="SBJ","CB","?"))</f>
        <v> </v>
      </c>
      <c r="I3127" s="25" t="str">
        <f>IF(OR(E3127="",E3127="!!!",F3127="NEW"),"",INDEX(B3126:B$2,-1+SUMPRODUCT(MAX(ROW(E3126:E$2)*(E3127=E3126:E$2)))))</f>
        <v> </v>
      </c>
      <c r="J3127" s="25" t="str">
        <f>IF(OR(E3127="",E3127="!!!",F3127="NEW"),"",COUNTBLANK(OFFSET(A$1,,,SUMPRODUCT(MAX(ROW(E$2:E3127)*(E3127=E$2:E3127)))))-COUNTBLANK(OFFSET(A$1,,,SUMPRODUCT(MAX(ROW(E$1:E3126)*(E2=E$1:E3126))))))</f>
        <v> </v>
      </c>
      <c r="K3127" s="25" t="str">
        <f>IF(OR(E3127="",E3127="!!!",F3127="NEW"),"",INDEX(J$1:J3126,SUMPRODUCT(MAX(ROW(E$1:E3126)*(E3127=E$1:E3126)))))</f>
        <v> </v>
      </c>
      <c r="L3127" s="26"/>
    </row>
    <row r="3128" spans="1:12">
      <c r="A3128" s="20" t="s">
        <v>1022</v>
      </c>
      <c r="E3128" s="21">
        <f>IF(D3128="?OLD","!!!","")</f>
        <v/>
      </c>
      <c r="F3128" s="22" t="str">
        <f>IF(OR(E3128="",E3128="!!!"),"",IF(NOT(ISNA(VLOOKUP(E3128,E$1:E3127,1,FALSE()))),"OLD",IF(AND(E3128&lt;&gt;"",E3128&lt;&gt;"!!!"),"NEW","")))</f>
        <v> </v>
      </c>
      <c r="G3128" s="23" t="str">
        <f>IF(OR(E3128="",E3128="!!!"),"",IF(OR(J3128=0,AND(J3128=1,K3128=1),AND(J3128=1,I3128="SBJ"),AND(J3128=1,I3128=0)),"?IN_FOCUS",IF(J3128&lt;=2,"?ACTIVATED",IF(J3128&lt;&gt;"","?FAMILIAR",IF(F3128="NEW",IF(ISNA(VLOOKUP(E3128,#REF!,1,FALSE())),"?TYPE_IDENTIFIABLE","?REFERENTIAL"),"_")))))</f>
        <v> </v>
      </c>
      <c r="H3128" s="24" t="str">
        <f>IF(J3128&lt;&gt;1,"",IF(I3128="SBJ","CB","?"))</f>
        <v> </v>
      </c>
      <c r="I3128" s="25" t="str">
        <f>IF(OR(E3128="",E3128="!!!",F3128="NEW"),"",INDEX(B3127:B$2,-1+SUMPRODUCT(MAX(ROW(E3127:E$2)*(E3128=E3127:E$2)))))</f>
        <v> </v>
      </c>
      <c r="J3128" s="25" t="str">
        <f>IF(OR(E3128="",E3128="!!!",F3128="NEW"),"",COUNTBLANK(OFFSET(A$1,,,SUMPRODUCT(MAX(ROW(E$2:E3128)*(E3128=E$2:E3128)))))-COUNTBLANK(OFFSET(A$1,,,SUMPRODUCT(MAX(ROW(E$1:E3127)*(E2=E$1:E3127))))))</f>
        <v> </v>
      </c>
      <c r="K3128" s="25" t="str">
        <f>IF(OR(E3128="",E3128="!!!",F3128="NEW"),"",INDEX(J$1:J3127,SUMPRODUCT(MAX(ROW(E$1:E3127)*(E3128=E$1:E3127)))))</f>
        <v> </v>
      </c>
      <c r="L3128" s="26"/>
    </row>
    <row r="3129" spans="1:12">
      <c r="A3129" s="20" t="s">
        <v>1057</v>
      </c>
      <c r="E3129" s="21">
        <f>IF(D3129="?OLD","!!!","")</f>
        <v/>
      </c>
      <c r="F3129" s="22" t="str">
        <f>IF(OR(E3129="",E3129="!!!"),"",IF(NOT(ISNA(VLOOKUP(E3129,E$1:E3128,1,FALSE()))),"OLD",IF(AND(E3129&lt;&gt;"",E3129&lt;&gt;"!!!"),"NEW","")))</f>
        <v> </v>
      </c>
      <c r="G3129" s="23" t="str">
        <f>IF(OR(E3129="",E3129="!!!"),"",IF(OR(J3129=0,AND(J3129=1,K3129=1),AND(J3129=1,I3129="SBJ"),AND(J3129=1,I3129=0)),"?IN_FOCUS",IF(J3129&lt;=2,"?ACTIVATED",IF(J3129&lt;&gt;"","?FAMILIAR",IF(F3129="NEW",IF(ISNA(VLOOKUP(E3129,#REF!,1,FALSE())),"?TYPE_IDENTIFIABLE","?REFERENTIAL"),"_")))))</f>
        <v> </v>
      </c>
      <c r="H3129" s="24" t="str">
        <f>IF(J3129&lt;&gt;1,"",IF(I3129="SBJ","CB","?"))</f>
        <v> </v>
      </c>
      <c r="I3129" s="25" t="str">
        <f>IF(OR(E3129="",E3129="!!!",F3129="NEW"),"",INDEX(B3128:B$2,-1+SUMPRODUCT(MAX(ROW(E3128:E$2)*(E3129=E3128:E$2)))))</f>
        <v> </v>
      </c>
      <c r="J3129" s="25" t="str">
        <f>IF(OR(E3129="",E3129="!!!",F3129="NEW"),"",COUNTBLANK(OFFSET(A$1,,,SUMPRODUCT(MAX(ROW(E$2:E3129)*(E3129=E$2:E3129)))))-COUNTBLANK(OFFSET(A$1,,,SUMPRODUCT(MAX(ROW(E$1:E3128)*(E2=E$1:E3128))))))</f>
        <v> </v>
      </c>
      <c r="K3129" s="25" t="str">
        <f>IF(OR(E3129="",E3129="!!!",F3129="NEW"),"",INDEX(J$1:J3128,SUMPRODUCT(MAX(ROW(E$1:E3128)*(E3129=E$1:E3128)))))</f>
        <v> </v>
      </c>
      <c r="L3129" s="26"/>
    </row>
    <row r="3130" spans="1:12">
      <c r="A3130" s="20" t="s">
        <v>1158</v>
      </c>
      <c r="E3130" s="21">
        <f>IF(D3130="?OLD","!!!","")</f>
        <v/>
      </c>
      <c r="F3130" s="22" t="str">
        <f>IF(OR(E3130="",E3130="!!!"),"",IF(NOT(ISNA(VLOOKUP(E3130,E$1:E3129,1,FALSE()))),"OLD",IF(AND(E3130&lt;&gt;"",E3130&lt;&gt;"!!!"),"NEW","")))</f>
        <v> </v>
      </c>
      <c r="G3130" s="23" t="str">
        <f>IF(OR(E3130="",E3130="!!!"),"",IF(OR(J3130=0,AND(J3130=1,K3130=1),AND(J3130=1,I3130="SBJ"),AND(J3130=1,I3130=0)),"?IN_FOCUS",IF(J3130&lt;=2,"?ACTIVATED",IF(J3130&lt;&gt;"","?FAMILIAR",IF(F3130="NEW",IF(ISNA(VLOOKUP(E3130,#REF!,1,FALSE())),"?TYPE_IDENTIFIABLE","?REFERENTIAL"),"_")))))</f>
        <v> </v>
      </c>
      <c r="H3130" s="24" t="str">
        <f>IF(J3130&lt;&gt;1,"",IF(I3130="SBJ","CB","?"))</f>
        <v> </v>
      </c>
      <c r="I3130" s="25" t="str">
        <f>IF(OR(E3130="",E3130="!!!",F3130="NEW"),"",INDEX(B3129:B$2,-1+SUMPRODUCT(MAX(ROW(E3129:E$2)*(E3130=E3129:E$2)))))</f>
        <v> </v>
      </c>
      <c r="J3130" s="25" t="str">
        <f>IF(OR(E3130="",E3130="!!!",F3130="NEW"),"",COUNTBLANK(OFFSET(A$1,,,SUMPRODUCT(MAX(ROW(E$2:E3130)*(E3130=E$2:E3130)))))-COUNTBLANK(OFFSET(A$1,,,SUMPRODUCT(MAX(ROW(E$1:E3129)*(E2=E$1:E3129))))))</f>
        <v> </v>
      </c>
      <c r="K3130" s="25" t="str">
        <f>IF(OR(E3130="",E3130="!!!",F3130="NEW"),"",INDEX(J$1:J3129,SUMPRODUCT(MAX(ROW(E$1:E3129)*(E3130=E$1:E3129)))))</f>
        <v> </v>
      </c>
      <c r="L3130" s="26"/>
    </row>
    <row r="3131" spans="1:12">
      <c r="A3131" s="20" t="s">
        <v>1285</v>
      </c>
      <c r="E3131" s="21">
        <f>IF(D3131="?OLD","!!!","")</f>
        <v/>
      </c>
      <c r="F3131" s="22" t="str">
        <f>IF(OR(E3131="",E3131="!!!"),"",IF(NOT(ISNA(VLOOKUP(E3131,E$1:E3130,1,FALSE()))),"OLD",IF(AND(E3131&lt;&gt;"",E3131&lt;&gt;"!!!"),"NEW","")))</f>
        <v> </v>
      </c>
      <c r="G3131" s="23" t="str">
        <f>IF(OR(E3131="",E3131="!!!"),"",IF(OR(J3131=0,AND(J3131=1,K3131=1),AND(J3131=1,I3131="SBJ"),AND(J3131=1,I3131=0)),"?IN_FOCUS",IF(J3131&lt;=2,"?ACTIVATED",IF(J3131&lt;&gt;"","?FAMILIAR",IF(F3131="NEW",IF(ISNA(VLOOKUP(E3131,#REF!,1,FALSE())),"?TYPE_IDENTIFIABLE","?REFERENTIAL"),"_")))))</f>
        <v> </v>
      </c>
      <c r="H3131" s="24" t="str">
        <f>IF(J3131&lt;&gt;1,"",IF(I3131="SBJ","CB","?"))</f>
        <v> </v>
      </c>
      <c r="I3131" s="25" t="str">
        <f>IF(OR(E3131="",E3131="!!!",F3131="NEW"),"",INDEX(B3130:B$2,-1+SUMPRODUCT(MAX(ROW(E3130:E$2)*(E3131=E3130:E$2)))))</f>
        <v> </v>
      </c>
      <c r="J3131" s="25" t="str">
        <f>IF(OR(E3131="",E3131="!!!",F3131="NEW"),"",COUNTBLANK(OFFSET(A$1,,,SUMPRODUCT(MAX(ROW(E$2:E3131)*(E3131=E$2:E3131)))))-COUNTBLANK(OFFSET(A$1,,,SUMPRODUCT(MAX(ROW(E$1:E3130)*(E2=E$1:E3130))))))</f>
        <v> </v>
      </c>
      <c r="K3131" s="25" t="str">
        <f>IF(OR(E3131="",E3131="!!!",F3131="NEW"),"",INDEX(J$1:J3130,SUMPRODUCT(MAX(ROW(E$1:E3130)*(E3131=E$1:E3130)))))</f>
        <v> </v>
      </c>
      <c r="L3131" s="26"/>
    </row>
    <row r="3132" spans="1:12">
      <c r="A3132" s="20" t="s">
        <v>2119</v>
      </c>
      <c r="B3132" s="27" t="s">
        <v>1098</v>
      </c>
      <c r="C3132" s="27" t="s">
        <v>1015</v>
      </c>
      <c r="E3132" s="21">
        <f>IF(D3132="?OLD","!!!","")</f>
        <v/>
      </c>
      <c r="F3132" s="22" t="str">
        <f>IF(OR(E3132="",E3132="!!!"),"",IF(NOT(ISNA(VLOOKUP(E3132,E$1:E3131,1,FALSE()))),"OLD",IF(AND(E3132&lt;&gt;"",E3132&lt;&gt;"!!!"),"NEW","")))</f>
        <v> </v>
      </c>
      <c r="G3132" s="23" t="str">
        <f>IF(OR(E3132="",E3132="!!!"),"",IF(OR(J3132=0,AND(J3132=1,K3132=1),AND(J3132=1,I3132="SBJ"),AND(J3132=1,I3132=0)),"?IN_FOCUS",IF(J3132&lt;=2,"?ACTIVATED",IF(J3132&lt;&gt;"","?FAMILIAR",IF(F3132="NEW",IF(ISNA(VLOOKUP(E3132,#REF!,1,FALSE())),"?TYPE_IDENTIFIABLE","?REFERENTIAL"),"_")))))</f>
        <v> </v>
      </c>
      <c r="H3132" s="24" t="str">
        <f>IF(J3132&lt;&gt;1,"",IF(I3132="SBJ","CB","?"))</f>
        <v> </v>
      </c>
      <c r="I3132" s="25" t="str">
        <f>IF(OR(E3132="",E3132="!!!",F3132="NEW"),"",INDEX(B3131:B$2,-1+SUMPRODUCT(MAX(ROW(E3131:E$2)*(E3132=E3131:E$2)))))</f>
        <v> </v>
      </c>
      <c r="J3132" s="25" t="str">
        <f>IF(OR(E3132="",E3132="!!!",F3132="NEW"),"",COUNTBLANK(OFFSET(A$1,,,SUMPRODUCT(MAX(ROW(E$2:E3132)*(E3132=E$2:E3132)))))-COUNTBLANK(OFFSET(A$1,,,SUMPRODUCT(MAX(ROW(E$1:E3131)*(E2=E$1:E3131))))))</f>
        <v> </v>
      </c>
      <c r="K3132" s="25" t="str">
        <f>IF(OR(E3132="",E3132="!!!",F3132="NEW"),"",INDEX(J$1:J3131,SUMPRODUCT(MAX(ROW(E$1:E3131)*(E3132=E$1:E3131)))))</f>
        <v> </v>
      </c>
      <c r="L3132" s="26"/>
    </row>
    <row r="3133" spans="1:12">
      <c r="A3133" s="20" t="s">
        <v>1025</v>
      </c>
      <c r="E3133" s="21">
        <f>IF(D3133="?OLD","!!!","")</f>
        <v/>
      </c>
      <c r="F3133" s="22" t="str">
        <f>IF(OR(E3133="",E3133="!!!"),"",IF(NOT(ISNA(VLOOKUP(E3133,E$1:E3132,1,FALSE()))),"OLD",IF(AND(E3133&lt;&gt;"",E3133&lt;&gt;"!!!"),"NEW","")))</f>
        <v> </v>
      </c>
      <c r="G3133" s="23" t="str">
        <f>IF(OR(E3133="",E3133="!!!"),"",IF(OR(J3133=0,AND(J3133=1,K3133=1),AND(J3133=1,I3133="SBJ"),AND(J3133=1,I3133=0)),"?IN_FOCUS",IF(J3133&lt;=2,"?ACTIVATED",IF(J3133&lt;&gt;"","?FAMILIAR",IF(F3133="NEW",IF(ISNA(VLOOKUP(E3133,#REF!,1,FALSE())),"?TYPE_IDENTIFIABLE","?REFERENTIAL"),"_")))))</f>
        <v> </v>
      </c>
      <c r="H3133" s="24" t="str">
        <f>IF(J3133&lt;&gt;1,"",IF(I3133="SBJ","CB","?"))</f>
        <v> </v>
      </c>
      <c r="I3133" s="25" t="str">
        <f>IF(OR(E3133="",E3133="!!!",F3133="NEW"),"",INDEX(B3132:B$2,-1+SUMPRODUCT(MAX(ROW(E3132:E$2)*(E3133=E3132:E$2)))))</f>
        <v> </v>
      </c>
      <c r="J3133" s="25" t="str">
        <f>IF(OR(E3133="",E3133="!!!",F3133="NEW"),"",COUNTBLANK(OFFSET(A$1,,,SUMPRODUCT(MAX(ROW(E$2:E3133)*(E3133=E$2:E3133)))))-COUNTBLANK(OFFSET(A$1,,,SUMPRODUCT(MAX(ROW(E$1:E3132)*(E2=E$1:E3132))))))</f>
        <v> </v>
      </c>
      <c r="K3133" s="25" t="str">
        <f>IF(OR(E3133="",E3133="!!!",F3133="NEW"),"",INDEX(J$1:J3132,SUMPRODUCT(MAX(ROW(E$1:E3132)*(E3133=E$1:E3132)))))</f>
        <v> </v>
      </c>
      <c r="L3133" s="26"/>
    </row>
    <row r="3134" spans="1:12">
      <c r="A3134" s="20" t="s">
        <v>1036</v>
      </c>
      <c r="E3134" s="21">
        <f>IF(D3134="?OLD","!!!","")</f>
        <v/>
      </c>
      <c r="F3134" s="22" t="str">
        <f>IF(OR(E3134="",E3134="!!!"),"",IF(NOT(ISNA(VLOOKUP(E3134,E$1:E3133,1,FALSE()))),"OLD",IF(AND(E3134&lt;&gt;"",E3134&lt;&gt;"!!!"),"NEW","")))</f>
        <v> </v>
      </c>
      <c r="G3134" s="23" t="str">
        <f>IF(OR(E3134="",E3134="!!!"),"",IF(OR(J3134=0,AND(J3134=1,K3134=1),AND(J3134=1,I3134="SBJ"),AND(J3134=1,I3134=0)),"?IN_FOCUS",IF(J3134&lt;=2,"?ACTIVATED",IF(J3134&lt;&gt;"","?FAMILIAR",IF(F3134="NEW",IF(ISNA(VLOOKUP(E3134,#REF!,1,FALSE())),"?TYPE_IDENTIFIABLE","?REFERENTIAL"),"_")))))</f>
        <v> </v>
      </c>
      <c r="H3134" s="24" t="str">
        <f>IF(J3134&lt;&gt;1,"",IF(I3134="SBJ","CB","?"))</f>
        <v> </v>
      </c>
      <c r="I3134" s="25" t="str">
        <f>IF(OR(E3134="",E3134="!!!",F3134="NEW"),"",INDEX(B3133:B$2,-1+SUMPRODUCT(MAX(ROW(E3133:E$2)*(E3134=E3133:E$2)))))</f>
        <v> </v>
      </c>
      <c r="J3134" s="25" t="str">
        <f>IF(OR(E3134="",E3134="!!!",F3134="NEW"),"",COUNTBLANK(OFFSET(A$1,,,SUMPRODUCT(MAX(ROW(E$2:E3134)*(E3134=E$2:E3134)))))-COUNTBLANK(OFFSET(A$1,,,SUMPRODUCT(MAX(ROW(E$1:E3133)*(E2=E$1:E3133))))))</f>
        <v> </v>
      </c>
      <c r="K3134" s="25" t="str">
        <f>IF(OR(E3134="",E3134="!!!",F3134="NEW"),"",INDEX(J$1:J3133,SUMPRODUCT(MAX(ROW(E$1:E3133)*(E3134=E$1:E3133)))))</f>
        <v> </v>
      </c>
      <c r="L3134" s="26"/>
    </row>
    <row r="3135" spans="1:12">
      <c r="A3135" s="20" t="s">
        <v>2120</v>
      </c>
      <c r="B3135" s="27" t="s">
        <v>1079</v>
      </c>
      <c r="C3135" s="27" t="s">
        <v>1029</v>
      </c>
      <c r="D3135" s="27" t="s">
        <v>1030</v>
      </c>
      <c r="E3135" s="21">
        <f>IF(D3135="?OLD","!!!","")</f>
        <v/>
      </c>
      <c r="F3135" s="22" t="str">
        <f>IF(OR(E3135="",E3135="!!!"),"",IF(NOT(ISNA(VLOOKUP(E3135,E$1:E3134,1,FALSE()))),"OLD",IF(AND(E3135&lt;&gt;"",E3135&lt;&gt;"!!!"),"NEW","")))</f>
        <v> </v>
      </c>
      <c r="G3135" s="23" t="str">
        <f>IF(OR(E3135="",E3135="!!!"),"",IF(OR(J3135=0,AND(J3135=1,K3135=1),AND(J3135=1,I3135="SBJ"),AND(J3135=1,I3135=0)),"?IN_FOCUS",IF(J3135&lt;=2,"?ACTIVATED",IF(J3135&lt;&gt;"","?FAMILIAR",IF(F3135="NEW",IF(ISNA(VLOOKUP(E3135,#REF!,1,FALSE())),"?TYPE_IDENTIFIABLE","?REFERENTIAL"),"_")))))</f>
        <v> </v>
      </c>
      <c r="H3135" s="24" t="str">
        <f>IF(J3135&lt;&gt;1,"",IF(I3135="SBJ","CB","?"))</f>
        <v> </v>
      </c>
      <c r="I3135" s="25" t="str">
        <f>IF(OR(E3135="",E3135="!!!",F3135="NEW"),"",INDEX(B3134:B$2,-1+SUMPRODUCT(MAX(ROW(E3134:E$2)*(E3135=E3134:E$2)))))</f>
        <v> </v>
      </c>
      <c r="J3135" s="25" t="str">
        <f>IF(OR(E3135="",E3135="!!!",F3135="NEW"),"",COUNTBLANK(OFFSET(A$1,,,SUMPRODUCT(MAX(ROW(E$2:E3135)*(E3135=E$2:E3135)))))-COUNTBLANK(OFFSET(A$1,,,SUMPRODUCT(MAX(ROW(E$1:E3134)*(E2=E$1:E3134))))))</f>
        <v> </v>
      </c>
      <c r="K3135" s="25" t="str">
        <f>IF(OR(E3135="",E3135="!!!",F3135="NEW"),"",INDEX(J$1:J3134,SUMPRODUCT(MAX(ROW(E$1:E3134)*(E3135=E$1:E3134)))))</f>
        <v> </v>
      </c>
      <c r="L3135" s="26"/>
    </row>
    <row r="3136" spans="1:12">
      <c r="A3136" s="20" t="s">
        <v>1016</v>
      </c>
      <c r="E3136" s="21">
        <f>IF(D3136="?OLD","!!!","")</f>
        <v/>
      </c>
      <c r="F3136" s="22" t="str">
        <f>IF(OR(E3136="",E3136="!!!"),"",IF(NOT(ISNA(VLOOKUP(E3136,E$1:E3135,1,FALSE()))),"OLD",IF(AND(E3136&lt;&gt;"",E3136&lt;&gt;"!!!"),"NEW","")))</f>
        <v> </v>
      </c>
      <c r="G3136" s="23" t="str">
        <f>IF(OR(E3136="",E3136="!!!"),"",IF(OR(J3136=0,AND(J3136=1,K3136=1),AND(J3136=1,I3136="SBJ"),AND(J3136=1,I3136=0)),"?IN_FOCUS",IF(J3136&lt;=2,"?ACTIVATED",IF(J3136&lt;&gt;"","?FAMILIAR",IF(F3136="NEW",IF(ISNA(VLOOKUP(E3136,#REF!,1,FALSE())),"?TYPE_IDENTIFIABLE","?REFERENTIAL"),"_")))))</f>
        <v> </v>
      </c>
      <c r="H3136" s="24" t="str">
        <f>IF(J3136&lt;&gt;1,"",IF(I3136="SBJ","CB","?"))</f>
        <v> </v>
      </c>
      <c r="I3136" s="25" t="str">
        <f>IF(OR(E3136="",E3136="!!!",F3136="NEW"),"",INDEX(B3135:B$2,-1+SUMPRODUCT(MAX(ROW(E3135:E$2)*(E3136=E3135:E$2)))))</f>
        <v> </v>
      </c>
      <c r="J3136" s="25" t="str">
        <f>IF(OR(E3136="",E3136="!!!",F3136="NEW"),"",COUNTBLANK(OFFSET(A$1,,,SUMPRODUCT(MAX(ROW(E$2:E3136)*(E3136=E$2:E3136)))))-COUNTBLANK(OFFSET(A$1,,,SUMPRODUCT(MAX(ROW(E$1:E3135)*(E2=E$1:E3135))))))</f>
        <v> </v>
      </c>
      <c r="K3136" s="25" t="str">
        <f>IF(OR(E3136="",E3136="!!!",F3136="NEW"),"",INDEX(J$1:J3135,SUMPRODUCT(MAX(ROW(E$1:E3135)*(E3136=E$1:E3135)))))</f>
        <v> </v>
      </c>
      <c r="L3136" s="26"/>
    </row>
    <row r="3137" spans="1:12">
      <c r="A3137" s="20" t="s">
        <v>1071</v>
      </c>
      <c r="E3137" s="21">
        <f>IF(D3137="?OLD","!!!","")</f>
        <v/>
      </c>
      <c r="F3137" s="22" t="str">
        <f>IF(OR(E3137="",E3137="!!!"),"",IF(NOT(ISNA(VLOOKUP(E3137,E$1:E3136,1,FALSE()))),"OLD",IF(AND(E3137&lt;&gt;"",E3137&lt;&gt;"!!!"),"NEW","")))</f>
        <v> </v>
      </c>
      <c r="G3137" s="23" t="str">
        <f>IF(OR(E3137="",E3137="!!!"),"",IF(OR(J3137=0,AND(J3137=1,K3137=1),AND(J3137=1,I3137="SBJ"),AND(J3137=1,I3137=0)),"?IN_FOCUS",IF(J3137&lt;=2,"?ACTIVATED",IF(J3137&lt;&gt;"","?FAMILIAR",IF(F3137="NEW",IF(ISNA(VLOOKUP(E3137,#REF!,1,FALSE())),"?TYPE_IDENTIFIABLE","?REFERENTIAL"),"_")))))</f>
        <v> </v>
      </c>
      <c r="H3137" s="24" t="str">
        <f>IF(J3137&lt;&gt;1,"",IF(I3137="SBJ","CB","?"))</f>
        <v> </v>
      </c>
      <c r="I3137" s="25" t="str">
        <f>IF(OR(E3137="",E3137="!!!",F3137="NEW"),"",INDEX(B3136:B$2,-1+SUMPRODUCT(MAX(ROW(E3136:E$2)*(E3137=E3136:E$2)))))</f>
        <v> </v>
      </c>
      <c r="J3137" s="25" t="str">
        <f>IF(OR(E3137="",E3137="!!!",F3137="NEW"),"",COUNTBLANK(OFFSET(A$1,,,SUMPRODUCT(MAX(ROW(E$2:E3137)*(E3137=E$2:E3137)))))-COUNTBLANK(OFFSET(A$1,,,SUMPRODUCT(MAX(ROW(E$1:E3136)*(E2=E$1:E3136))))))</f>
        <v> </v>
      </c>
      <c r="K3137" s="25" t="str">
        <f>IF(OR(E3137="",E3137="!!!",F3137="NEW"),"",INDEX(J$1:J3136,SUMPRODUCT(MAX(ROW(E$1:E3136)*(E3137=E$1:E3136)))))</f>
        <v> </v>
      </c>
      <c r="L3137" s="26"/>
    </row>
    <row r="3138" spans="1:12">
      <c r="A3138" s="20" t="s">
        <v>2121</v>
      </c>
      <c r="B3138" s="27" t="s">
        <v>1066</v>
      </c>
      <c r="C3138" s="27" t="s">
        <v>1033</v>
      </c>
      <c r="D3138" s="27" t="s">
        <v>1030</v>
      </c>
      <c r="E3138" s="21">
        <f>IF(D3138="?OLD","!!!","")</f>
        <v/>
      </c>
      <c r="F3138" s="22" t="str">
        <f>IF(OR(E3138="",E3138="!!!"),"",IF(NOT(ISNA(VLOOKUP(E3138,E$1:E3137,1,FALSE()))),"OLD",IF(AND(E3138&lt;&gt;"",E3138&lt;&gt;"!!!"),"NEW","")))</f>
        <v> </v>
      </c>
      <c r="G3138" s="23" t="str">
        <f>IF(OR(E3138="",E3138="!!!"),"",IF(OR(J3138=0,AND(J3138=1,K3138=1),AND(J3138=1,I3138="SBJ"),AND(J3138=1,I3138=0)),"?IN_FOCUS",IF(J3138&lt;=2,"?ACTIVATED",IF(J3138&lt;&gt;"","?FAMILIAR",IF(F3138="NEW",IF(ISNA(VLOOKUP(E3138,#REF!,1,FALSE())),"?TYPE_IDENTIFIABLE","?REFERENTIAL"),"_")))))</f>
        <v> </v>
      </c>
      <c r="H3138" s="24" t="str">
        <f>IF(J3138&lt;&gt;1,"",IF(I3138="SBJ","CB","?"))</f>
        <v> </v>
      </c>
      <c r="I3138" s="25" t="str">
        <f>IF(OR(E3138="",E3138="!!!",F3138="NEW"),"",INDEX(B3137:B$2,-1+SUMPRODUCT(MAX(ROW(E3137:E$2)*(E3138=E3137:E$2)))))</f>
        <v> </v>
      </c>
      <c r="J3138" s="25" t="str">
        <f>IF(OR(E3138="",E3138="!!!",F3138="NEW"),"",COUNTBLANK(OFFSET(A$1,,,SUMPRODUCT(MAX(ROW(E$2:E3138)*(E3138=E$2:E3138)))))-COUNTBLANK(OFFSET(A$1,,,SUMPRODUCT(MAX(ROW(E$1:E3137)*(E2=E$1:E3137))))))</f>
        <v> </v>
      </c>
      <c r="K3138" s="25" t="str">
        <f>IF(OR(E3138="",E3138="!!!",F3138="NEW"),"",INDEX(J$1:J3137,SUMPRODUCT(MAX(ROW(E$1:E3137)*(E3138=E$1:E3137)))))</f>
        <v> </v>
      </c>
      <c r="L3138" s="26"/>
    </row>
    <row r="3139" spans="1:12">
      <c r="A3139" s="20" t="s">
        <v>135</v>
      </c>
      <c r="E3139" s="21">
        <f>IF(D3139="?OLD","!!!","")</f>
        <v/>
      </c>
      <c r="F3139" s="22" t="str">
        <f>IF(OR(E3139="",E3139="!!!"),"",IF(NOT(ISNA(VLOOKUP(E3139,E$1:E3138,1,FALSE()))),"OLD",IF(AND(E3139&lt;&gt;"",E3139&lt;&gt;"!!!"),"NEW","")))</f>
        <v> </v>
      </c>
      <c r="G3139" s="23" t="str">
        <f>IF(OR(E3139="",E3139="!!!"),"",IF(OR(J3139=0,AND(J3139=1,K3139=1),AND(J3139=1,I3139="SBJ"),AND(J3139=1,I3139=0)),"?IN_FOCUS",IF(J3139&lt;=2,"?ACTIVATED",IF(J3139&lt;&gt;"","?FAMILIAR",IF(F3139="NEW",IF(ISNA(VLOOKUP(E3139,#REF!,1,FALSE())),"?TYPE_IDENTIFIABLE","?REFERENTIAL"),"_")))))</f>
        <v> </v>
      </c>
      <c r="H3139" s="24" t="str">
        <f>IF(J3139&lt;&gt;1,"",IF(I3139="SBJ","CB","?"))</f>
        <v> </v>
      </c>
      <c r="I3139" s="25" t="str">
        <f>IF(OR(E3139="",E3139="!!!",F3139="NEW"),"",INDEX(B3138:B$2,-1+SUMPRODUCT(MAX(ROW(E3138:E$2)*(E3139=E3138:E$2)))))</f>
        <v> </v>
      </c>
      <c r="J3139" s="25" t="str">
        <f>IF(OR(E3139="",E3139="!!!",F3139="NEW"),"",COUNTBLANK(OFFSET(A$1,,,SUMPRODUCT(MAX(ROW(E$2:E3139)*(E3139=E$2:E3139)))))-COUNTBLANK(OFFSET(A$1,,,SUMPRODUCT(MAX(ROW(E$1:E3138)*(E2=E$1:E3138))))))</f>
        <v> </v>
      </c>
      <c r="K3139" s="25" t="str">
        <f>IF(OR(E3139="",E3139="!!!",F3139="NEW"),"",INDEX(J$1:J3138,SUMPRODUCT(MAX(ROW(E$1:E3138)*(E3139=E$1:E3138)))))</f>
        <v> </v>
      </c>
      <c r="L3139" s="26"/>
    </row>
    <row r="3140" spans="1:12">
      <c r="A3140" s="20"/>
    </row>
    <row r="3141" spans="1:12">
      <c r="A3141" s="20" t="s">
        <v>2122</v>
      </c>
    </row>
    <row r="3142" spans="1:12">
      <c r="A3142" s="20" t="s">
        <v>1088</v>
      </c>
      <c r="E3142" s="21">
        <f>IF(D3142="?OLD","!!!","")</f>
        <v/>
      </c>
      <c r="F3142" s="22" t="str">
        <f>IF(OR(E3142="",E3142="!!!"),"",IF(NOT(ISNA(VLOOKUP(E3142,E$1:E3141,1,FALSE()))),"OLD",IF(AND(E3142&lt;&gt;"",E3142&lt;&gt;"!!!"),"NEW","")))</f>
        <v> </v>
      </c>
      <c r="G3142" s="23" t="str">
        <f>IF(OR(E3142="",E3142="!!!"),"",IF(OR(J3142=0,AND(J3142=1,K3142=1),AND(J3142=1,I3142="SBJ"),AND(J3142=1,I3142=0)),"?IN_FOCUS",IF(J3142&lt;=2,"?ACTIVATED",IF(J3142&lt;&gt;"","?FAMILIAR",IF(F3142="NEW",IF(ISNA(VLOOKUP(E3142,#REF!,1,FALSE())),"?TYPE_IDENTIFIABLE","?REFERENTIAL"),"_")))))</f>
        <v> </v>
      </c>
      <c r="H3142" s="24" t="str">
        <f>IF(J3142&lt;&gt;1,"",IF(I3142="SBJ","CB","?"))</f>
        <v> </v>
      </c>
      <c r="I3142" s="25" t="str">
        <f>IF(OR(E3142="",E3142="!!!",F3142="NEW"),"",INDEX(B3141:B$2,-1+SUMPRODUCT(MAX(ROW(E3141:E$2)*(E3142=E3141:E$2)))))</f>
        <v> </v>
      </c>
      <c r="J3142" s="25" t="str">
        <f>IF(OR(E3142="",E3142="!!!",F3142="NEW"),"",COUNTBLANK(OFFSET(A$1,,,SUMPRODUCT(MAX(ROW(E$2:E3142)*(E3142=E$2:E3142)))))-COUNTBLANK(OFFSET(A$1,,,SUMPRODUCT(MAX(ROW(E$1:E3141)*(E2=E$1:E3141))))))</f>
        <v> </v>
      </c>
      <c r="K3142" s="25" t="str">
        <f>IF(OR(E3142="",E3142="!!!",F3142="NEW"),"",INDEX(J$1:J3141,SUMPRODUCT(MAX(ROW(E$1:E3141)*(E3142=E$1:E3141)))))</f>
        <v> </v>
      </c>
      <c r="L3142" s="26"/>
    </row>
    <row r="3143" spans="1:12">
      <c r="A3143" s="20" t="s">
        <v>1158</v>
      </c>
      <c r="E3143" s="21">
        <f>IF(D3143="?OLD","!!!","")</f>
        <v/>
      </c>
      <c r="F3143" s="22" t="str">
        <f>IF(OR(E3143="",E3143="!!!"),"",IF(NOT(ISNA(VLOOKUP(E3143,E$1:E3142,1,FALSE()))),"OLD",IF(AND(E3143&lt;&gt;"",E3143&lt;&gt;"!!!"),"NEW","")))</f>
        <v> </v>
      </c>
      <c r="G3143" s="23" t="str">
        <f>IF(OR(E3143="",E3143="!!!"),"",IF(OR(J3143=0,AND(J3143=1,K3143=1),AND(J3143=1,I3143="SBJ"),AND(J3143=1,I3143=0)),"?IN_FOCUS",IF(J3143&lt;=2,"?ACTIVATED",IF(J3143&lt;&gt;"","?FAMILIAR",IF(F3143="NEW",IF(ISNA(VLOOKUP(E3143,#REF!,1,FALSE())),"?TYPE_IDENTIFIABLE","?REFERENTIAL"),"_")))))</f>
        <v> </v>
      </c>
      <c r="H3143" s="24" t="str">
        <f>IF(J3143&lt;&gt;1,"",IF(I3143="SBJ","CB","?"))</f>
        <v> </v>
      </c>
      <c r="I3143" s="25" t="str">
        <f>IF(OR(E3143="",E3143="!!!",F3143="NEW"),"",INDEX(B3142:B$2,-1+SUMPRODUCT(MAX(ROW(E3142:E$2)*(E3143=E3142:E$2)))))</f>
        <v> </v>
      </c>
      <c r="J3143" s="25" t="str">
        <f>IF(OR(E3143="",E3143="!!!",F3143="NEW"),"",COUNTBLANK(OFFSET(A$1,,,SUMPRODUCT(MAX(ROW(E$2:E3143)*(E3143=E$2:E3143)))))-COUNTBLANK(OFFSET(A$1,,,SUMPRODUCT(MAX(ROW(E$1:E3142)*(E2=E$1:E3142))))))</f>
        <v> </v>
      </c>
      <c r="K3143" s="25" t="str">
        <f>IF(OR(E3143="",E3143="!!!",F3143="NEW"),"",INDEX(J$1:J3142,SUMPRODUCT(MAX(ROW(E$1:E3142)*(E3143=E$1:E3142)))))</f>
        <v> </v>
      </c>
      <c r="L3143" s="26"/>
    </row>
    <row r="3144" spans="1:12">
      <c r="A3144" s="20" t="s">
        <v>1285</v>
      </c>
      <c r="E3144" s="21">
        <f>IF(D3144="?OLD","!!!","")</f>
        <v/>
      </c>
      <c r="F3144" s="22" t="str">
        <f>IF(OR(E3144="",E3144="!!!"),"",IF(NOT(ISNA(VLOOKUP(E3144,E$1:E3143,1,FALSE()))),"OLD",IF(AND(E3144&lt;&gt;"",E3144&lt;&gt;"!!!"),"NEW","")))</f>
        <v> </v>
      </c>
      <c r="G3144" s="23" t="str">
        <f>IF(OR(E3144="",E3144="!!!"),"",IF(OR(J3144=0,AND(J3144=1,K3144=1),AND(J3144=1,I3144="SBJ"),AND(J3144=1,I3144=0)),"?IN_FOCUS",IF(J3144&lt;=2,"?ACTIVATED",IF(J3144&lt;&gt;"","?FAMILIAR",IF(F3144="NEW",IF(ISNA(VLOOKUP(E3144,#REF!,1,FALSE())),"?TYPE_IDENTIFIABLE","?REFERENTIAL"),"_")))))</f>
        <v> </v>
      </c>
      <c r="H3144" s="24" t="str">
        <f>IF(J3144&lt;&gt;1,"",IF(I3144="SBJ","CB","?"))</f>
        <v> </v>
      </c>
      <c r="I3144" s="25" t="str">
        <f>IF(OR(E3144="",E3144="!!!",F3144="NEW"),"",INDEX(B3143:B$2,-1+SUMPRODUCT(MAX(ROW(E3143:E$2)*(E3144=E3143:E$2)))))</f>
        <v> </v>
      </c>
      <c r="J3144" s="25" t="str">
        <f>IF(OR(E3144="",E3144="!!!",F3144="NEW"),"",COUNTBLANK(OFFSET(A$1,,,SUMPRODUCT(MAX(ROW(E$2:E3144)*(E3144=E$2:E3144)))))-COUNTBLANK(OFFSET(A$1,,,SUMPRODUCT(MAX(ROW(E$1:E3143)*(E2=E$1:E3143))))))</f>
        <v> </v>
      </c>
      <c r="K3144" s="25" t="str">
        <f>IF(OR(E3144="",E3144="!!!",F3144="NEW"),"",INDEX(J$1:J3143,SUMPRODUCT(MAX(ROW(E$1:E3143)*(E3144=E$1:E3143)))))</f>
        <v> </v>
      </c>
      <c r="L3144" s="26"/>
    </row>
    <row r="3145" spans="1:12">
      <c r="A3145" s="20" t="s">
        <v>2123</v>
      </c>
      <c r="B3145" s="27" t="s">
        <v>1041</v>
      </c>
      <c r="C3145" s="27" t="s">
        <v>1015</v>
      </c>
      <c r="E3145" s="21">
        <f>IF(D3145="?OLD","!!!","")</f>
        <v/>
      </c>
      <c r="F3145" s="22" t="str">
        <f>IF(OR(E3145="",E3145="!!!"),"",IF(NOT(ISNA(VLOOKUP(E3145,E$1:E3144,1,FALSE()))),"OLD",IF(AND(E3145&lt;&gt;"",E3145&lt;&gt;"!!!"),"NEW","")))</f>
        <v> </v>
      </c>
      <c r="G3145" s="23" t="str">
        <f>IF(OR(E3145="",E3145="!!!"),"",IF(OR(J3145=0,AND(J3145=1,K3145=1),AND(J3145=1,I3145="SBJ"),AND(J3145=1,I3145=0)),"?IN_FOCUS",IF(J3145&lt;=2,"?ACTIVATED",IF(J3145&lt;&gt;"","?FAMILIAR",IF(F3145="NEW",IF(ISNA(VLOOKUP(E3145,#REF!,1,FALSE())),"?TYPE_IDENTIFIABLE","?REFERENTIAL"),"_")))))</f>
        <v> </v>
      </c>
      <c r="H3145" s="24" t="str">
        <f>IF(J3145&lt;&gt;1,"",IF(I3145="SBJ","CB","?"))</f>
        <v> </v>
      </c>
      <c r="I3145" s="25" t="str">
        <f>IF(OR(E3145="",E3145="!!!",F3145="NEW"),"",INDEX(B3144:B$2,-1+SUMPRODUCT(MAX(ROW(E3144:E$2)*(E3145=E3144:E$2)))))</f>
        <v> </v>
      </c>
      <c r="J3145" s="25" t="str">
        <f>IF(OR(E3145="",E3145="!!!",F3145="NEW"),"",COUNTBLANK(OFFSET(A$1,,,SUMPRODUCT(MAX(ROW(E$2:E3145)*(E3145=E$2:E3145)))))-COUNTBLANK(OFFSET(A$1,,,SUMPRODUCT(MAX(ROW(E$1:E3144)*(E2=E$1:E3144))))))</f>
        <v> </v>
      </c>
      <c r="K3145" s="25" t="str">
        <f>IF(OR(E3145="",E3145="!!!",F3145="NEW"),"",INDEX(J$1:J3144,SUMPRODUCT(MAX(ROW(E$1:E3144)*(E3145=E$1:E3144)))))</f>
        <v> </v>
      </c>
      <c r="L3145" s="26"/>
    </row>
    <row r="3146" spans="1:12">
      <c r="A3146" s="20" t="s">
        <v>135</v>
      </c>
      <c r="E3146" s="21">
        <f>IF(D3146="?OLD","!!!","")</f>
        <v/>
      </c>
      <c r="F3146" s="22" t="str">
        <f>IF(OR(E3146="",E3146="!!!"),"",IF(NOT(ISNA(VLOOKUP(E3146,E$1:E3145,1,FALSE()))),"OLD",IF(AND(E3146&lt;&gt;"",E3146&lt;&gt;"!!!"),"NEW","")))</f>
        <v> </v>
      </c>
      <c r="G3146" s="23" t="str">
        <f>IF(OR(E3146="",E3146="!!!"),"",IF(OR(J3146=0,AND(J3146=1,K3146=1),AND(J3146=1,I3146="SBJ"),AND(J3146=1,I3146=0)),"?IN_FOCUS",IF(J3146&lt;=2,"?ACTIVATED",IF(J3146&lt;&gt;"","?FAMILIAR",IF(F3146="NEW",IF(ISNA(VLOOKUP(E3146,#REF!,1,FALSE())),"?TYPE_IDENTIFIABLE","?REFERENTIAL"),"_")))))</f>
        <v> </v>
      </c>
      <c r="H3146" s="24" t="str">
        <f>IF(J3146&lt;&gt;1,"",IF(I3146="SBJ","CB","?"))</f>
        <v> </v>
      </c>
      <c r="I3146" s="25" t="str">
        <f>IF(OR(E3146="",E3146="!!!",F3146="NEW"),"",INDEX(B3145:B$2,-1+SUMPRODUCT(MAX(ROW(E3145:E$2)*(E3146=E3145:E$2)))))</f>
        <v> </v>
      </c>
      <c r="J3146" s="25" t="str">
        <f>IF(OR(E3146="",E3146="!!!",F3146="NEW"),"",COUNTBLANK(OFFSET(A$1,,,SUMPRODUCT(MAX(ROW(E$2:E3146)*(E3146=E$2:E3146)))))-COUNTBLANK(OFFSET(A$1,,,SUMPRODUCT(MAX(ROW(E$1:E3145)*(E2=E$1:E3145))))))</f>
        <v> </v>
      </c>
      <c r="K3146" s="25" t="str">
        <f>IF(OR(E3146="",E3146="!!!",F3146="NEW"),"",INDEX(J$1:J3145,SUMPRODUCT(MAX(ROW(E$1:E3145)*(E3146=E$1:E3145)))))</f>
        <v> </v>
      </c>
      <c r="L3146" s="26"/>
    </row>
    <row r="3147" spans="1:12">
      <c r="A3147" s="20"/>
    </row>
    <row r="3148" spans="1:12">
      <c r="A3148" s="20" t="s">
        <v>2124</v>
      </c>
    </row>
    <row r="3149" spans="1:12">
      <c r="A3149" s="20" t="s">
        <v>1088</v>
      </c>
      <c r="E3149" s="21">
        <f>IF(D3149="?OLD","!!!","")</f>
        <v/>
      </c>
      <c r="F3149" s="22" t="str">
        <f>IF(OR(E3149="",E3149="!!!"),"",IF(NOT(ISNA(VLOOKUP(E3149,E$1:E3148,1,FALSE()))),"OLD",IF(AND(E3149&lt;&gt;"",E3149&lt;&gt;"!!!"),"NEW","")))</f>
        <v> </v>
      </c>
      <c r="G3149" s="23" t="str">
        <f>IF(OR(E3149="",E3149="!!!"),"",IF(OR(J3149=0,AND(J3149=1,K3149=1),AND(J3149=1,I3149="SBJ"),AND(J3149=1,I3149=0)),"?IN_FOCUS",IF(J3149&lt;=2,"?ACTIVATED",IF(J3149&lt;&gt;"","?FAMILIAR",IF(F3149="NEW",IF(ISNA(VLOOKUP(E3149,#REF!,1,FALSE())),"?TYPE_IDENTIFIABLE","?REFERENTIAL"),"_")))))</f>
        <v> </v>
      </c>
      <c r="H3149" s="24" t="str">
        <f>IF(J3149&lt;&gt;1,"",IF(I3149="SBJ","CB","?"))</f>
        <v> </v>
      </c>
      <c r="I3149" s="25" t="str">
        <f>IF(OR(E3149="",E3149="!!!",F3149="NEW"),"",INDEX(B3148:B$2,-1+SUMPRODUCT(MAX(ROW(E3148:E$2)*(E3149=E3148:E$2)))))</f>
        <v> </v>
      </c>
      <c r="J3149" s="25" t="str">
        <f>IF(OR(E3149="",E3149="!!!",F3149="NEW"),"",COUNTBLANK(OFFSET(A$1,,,SUMPRODUCT(MAX(ROW(E$2:E3149)*(E3149=E$2:E3149)))))-COUNTBLANK(OFFSET(A$1,,,SUMPRODUCT(MAX(ROW(E$1:E3148)*(E2=E$1:E3148))))))</f>
        <v> </v>
      </c>
      <c r="K3149" s="25" t="str">
        <f>IF(OR(E3149="",E3149="!!!",F3149="NEW"),"",INDEX(J$1:J3148,SUMPRODUCT(MAX(ROW(E$1:E3148)*(E3149=E$1:E3148)))))</f>
        <v> </v>
      </c>
      <c r="L3149" s="26"/>
    </row>
    <row r="3150" spans="1:12">
      <c r="A3150" s="20" t="s">
        <v>1158</v>
      </c>
      <c r="E3150" s="21">
        <f>IF(D3150="?OLD","!!!","")</f>
        <v/>
      </c>
      <c r="F3150" s="22" t="str">
        <f>IF(OR(E3150="",E3150="!!!"),"",IF(NOT(ISNA(VLOOKUP(E3150,E$1:E3149,1,FALSE()))),"OLD",IF(AND(E3150&lt;&gt;"",E3150&lt;&gt;"!!!"),"NEW","")))</f>
        <v> </v>
      </c>
      <c r="G3150" s="23" t="str">
        <f>IF(OR(E3150="",E3150="!!!"),"",IF(OR(J3150=0,AND(J3150=1,K3150=1),AND(J3150=1,I3150="SBJ"),AND(J3150=1,I3150=0)),"?IN_FOCUS",IF(J3150&lt;=2,"?ACTIVATED",IF(J3150&lt;&gt;"","?FAMILIAR",IF(F3150="NEW",IF(ISNA(VLOOKUP(E3150,#REF!,1,FALSE())),"?TYPE_IDENTIFIABLE","?REFERENTIAL"),"_")))))</f>
        <v> </v>
      </c>
      <c r="H3150" s="24" t="str">
        <f>IF(J3150&lt;&gt;1,"",IF(I3150="SBJ","CB","?"))</f>
        <v> </v>
      </c>
      <c r="I3150" s="25" t="str">
        <f>IF(OR(E3150="",E3150="!!!",F3150="NEW"),"",INDEX(B3149:B$2,-1+SUMPRODUCT(MAX(ROW(E3149:E$2)*(E3150=E3149:E$2)))))</f>
        <v> </v>
      </c>
      <c r="J3150" s="25" t="str">
        <f>IF(OR(E3150="",E3150="!!!",F3150="NEW"),"",COUNTBLANK(OFFSET(A$1,,,SUMPRODUCT(MAX(ROW(E$2:E3150)*(E3150=E$2:E3150)))))-COUNTBLANK(OFFSET(A$1,,,SUMPRODUCT(MAX(ROW(E$1:E3149)*(E2=E$1:E3149))))))</f>
        <v> </v>
      </c>
      <c r="K3150" s="25" t="str">
        <f>IF(OR(E3150="",E3150="!!!",F3150="NEW"),"",INDEX(J$1:J3149,SUMPRODUCT(MAX(ROW(E$1:E3149)*(E3150=E$1:E3149)))))</f>
        <v> </v>
      </c>
      <c r="L3150" s="26"/>
    </row>
    <row r="3151" spans="1:12">
      <c r="A3151" s="20" t="s">
        <v>1285</v>
      </c>
      <c r="E3151" s="21">
        <f>IF(D3151="?OLD","!!!","")</f>
        <v/>
      </c>
      <c r="F3151" s="22" t="str">
        <f>IF(OR(E3151="",E3151="!!!"),"",IF(NOT(ISNA(VLOOKUP(E3151,E$1:E3150,1,FALSE()))),"OLD",IF(AND(E3151&lt;&gt;"",E3151&lt;&gt;"!!!"),"NEW","")))</f>
        <v> </v>
      </c>
      <c r="G3151" s="23" t="str">
        <f>IF(OR(E3151="",E3151="!!!"),"",IF(OR(J3151=0,AND(J3151=1,K3151=1),AND(J3151=1,I3151="SBJ"),AND(J3151=1,I3151=0)),"?IN_FOCUS",IF(J3151&lt;=2,"?ACTIVATED",IF(J3151&lt;&gt;"","?FAMILIAR",IF(F3151="NEW",IF(ISNA(VLOOKUP(E3151,#REF!,1,FALSE())),"?TYPE_IDENTIFIABLE","?REFERENTIAL"),"_")))))</f>
        <v> </v>
      </c>
      <c r="H3151" s="24" t="str">
        <f>IF(J3151&lt;&gt;1,"",IF(I3151="SBJ","CB","?"))</f>
        <v> </v>
      </c>
      <c r="I3151" s="25" t="str">
        <f>IF(OR(E3151="",E3151="!!!",F3151="NEW"),"",INDEX(B3150:B$2,-1+SUMPRODUCT(MAX(ROW(E3150:E$2)*(E3151=E3150:E$2)))))</f>
        <v> </v>
      </c>
      <c r="J3151" s="25" t="str">
        <f>IF(OR(E3151="",E3151="!!!",F3151="NEW"),"",COUNTBLANK(OFFSET(A$1,,,SUMPRODUCT(MAX(ROW(E$2:E3151)*(E3151=E$2:E3151)))))-COUNTBLANK(OFFSET(A$1,,,SUMPRODUCT(MAX(ROW(E$1:E3150)*(E2=E$1:E3150))))))</f>
        <v> </v>
      </c>
      <c r="K3151" s="25" t="str">
        <f>IF(OR(E3151="",E3151="!!!",F3151="NEW"),"",INDEX(J$1:J3150,SUMPRODUCT(MAX(ROW(E$1:E3150)*(E3151=E$1:E3150)))))</f>
        <v> </v>
      </c>
      <c r="L3151" s="26"/>
    </row>
    <row r="3152" spans="1:12">
      <c r="A3152" s="20" t="s">
        <v>1907</v>
      </c>
      <c r="E3152" s="21">
        <f>IF(D3152="?OLD","!!!","")</f>
        <v/>
      </c>
      <c r="F3152" s="22" t="str">
        <f>IF(OR(E3152="",E3152="!!!"),"",IF(NOT(ISNA(VLOOKUP(E3152,E$1:E3151,1,FALSE()))),"OLD",IF(AND(E3152&lt;&gt;"",E3152&lt;&gt;"!!!"),"NEW","")))</f>
        <v> </v>
      </c>
      <c r="G3152" s="23" t="str">
        <f>IF(OR(E3152="",E3152="!!!"),"",IF(OR(J3152=0,AND(J3152=1,K3152=1),AND(J3152=1,I3152="SBJ"),AND(J3152=1,I3152=0)),"?IN_FOCUS",IF(J3152&lt;=2,"?ACTIVATED",IF(J3152&lt;&gt;"","?FAMILIAR",IF(F3152="NEW",IF(ISNA(VLOOKUP(E3152,#REF!,1,FALSE())),"?TYPE_IDENTIFIABLE","?REFERENTIAL"),"_")))))</f>
        <v> </v>
      </c>
      <c r="H3152" s="24" t="str">
        <f>IF(J3152&lt;&gt;1,"",IF(I3152="SBJ","CB","?"))</f>
        <v> </v>
      </c>
      <c r="I3152" s="25" t="str">
        <f>IF(OR(E3152="",E3152="!!!",F3152="NEW"),"",INDEX(B3151:B$2,-1+SUMPRODUCT(MAX(ROW(E3151:E$2)*(E3152=E3151:E$2)))))</f>
        <v> </v>
      </c>
      <c r="J3152" s="25" t="str">
        <f>IF(OR(E3152="",E3152="!!!",F3152="NEW"),"",COUNTBLANK(OFFSET(A$1,,,SUMPRODUCT(MAX(ROW(E$2:E3152)*(E3152=E$2:E3152)))))-COUNTBLANK(OFFSET(A$1,,,SUMPRODUCT(MAX(ROW(E$1:E3151)*(E2=E$1:E3151))))))</f>
        <v> </v>
      </c>
      <c r="K3152" s="25" t="str">
        <f>IF(OR(E3152="",E3152="!!!",F3152="NEW"),"",INDEX(J$1:J3151,SUMPRODUCT(MAX(ROW(E$1:E3151)*(E3152=E$1:E3151)))))</f>
        <v> </v>
      </c>
      <c r="L3152" s="26"/>
    </row>
    <row r="3153" spans="1:12">
      <c r="A3153" s="20" t="s">
        <v>1080</v>
      </c>
      <c r="E3153" s="21">
        <f>IF(D3153="?OLD","!!!","")</f>
        <v/>
      </c>
      <c r="F3153" s="22" t="str">
        <f>IF(OR(E3153="",E3153="!!!"),"",IF(NOT(ISNA(VLOOKUP(E3153,E$1:E3152,1,FALSE()))),"OLD",IF(AND(E3153&lt;&gt;"",E3153&lt;&gt;"!!!"),"NEW","")))</f>
        <v> </v>
      </c>
      <c r="G3153" s="23" t="str">
        <f>IF(OR(E3153="",E3153="!!!"),"",IF(OR(J3153=0,AND(J3153=1,K3153=1),AND(J3153=1,I3153="SBJ"),AND(J3153=1,I3153=0)),"?IN_FOCUS",IF(J3153&lt;=2,"?ACTIVATED",IF(J3153&lt;&gt;"","?FAMILIAR",IF(F3153="NEW",IF(ISNA(VLOOKUP(E3153,#REF!,1,FALSE())),"?TYPE_IDENTIFIABLE","?REFERENTIAL"),"_")))))</f>
        <v> </v>
      </c>
      <c r="H3153" s="24" t="str">
        <f>IF(J3153&lt;&gt;1,"",IF(I3153="SBJ","CB","?"))</f>
        <v> </v>
      </c>
      <c r="I3153" s="25" t="str">
        <f>IF(OR(E3153="",E3153="!!!",F3153="NEW"),"",INDEX(B3152:B$2,-1+SUMPRODUCT(MAX(ROW(E3152:E$2)*(E3153=E3152:E$2)))))</f>
        <v> </v>
      </c>
      <c r="J3153" s="25" t="str">
        <f>IF(OR(E3153="",E3153="!!!",F3153="NEW"),"",COUNTBLANK(OFFSET(A$1,,,SUMPRODUCT(MAX(ROW(E$2:E3153)*(E3153=E$2:E3153)))))-COUNTBLANK(OFFSET(A$1,,,SUMPRODUCT(MAX(ROW(E$1:E3152)*(E2=E$1:E3152))))))</f>
        <v> </v>
      </c>
      <c r="K3153" s="25" t="str">
        <f>IF(OR(E3153="",E3153="!!!",F3153="NEW"),"",INDEX(J$1:J3152,SUMPRODUCT(MAX(ROW(E$1:E3152)*(E3153=E$1:E3152)))))</f>
        <v> </v>
      </c>
      <c r="L3153" s="26"/>
    </row>
    <row r="3154" spans="1:12">
      <c r="A3154" s="20" t="s">
        <v>2125</v>
      </c>
      <c r="B3154" s="27" t="s">
        <v>1041</v>
      </c>
      <c r="C3154" s="27" t="s">
        <v>1029</v>
      </c>
      <c r="D3154" s="27" t="s">
        <v>1030</v>
      </c>
      <c r="E3154" s="21">
        <f>IF(D3154="?OLD","!!!","")</f>
        <v/>
      </c>
      <c r="F3154" s="22" t="str">
        <f>IF(OR(E3154="",E3154="!!!"),"",IF(NOT(ISNA(VLOOKUP(E3154,E$1:E3153,1,FALSE()))),"OLD",IF(AND(E3154&lt;&gt;"",E3154&lt;&gt;"!!!"),"NEW","")))</f>
        <v> </v>
      </c>
      <c r="G3154" s="23" t="str">
        <f>IF(OR(E3154="",E3154="!!!"),"",IF(OR(J3154=0,AND(J3154=1,K3154=1),AND(J3154=1,I3154="SBJ"),AND(J3154=1,I3154=0)),"?IN_FOCUS",IF(J3154&lt;=2,"?ACTIVATED",IF(J3154&lt;&gt;"","?FAMILIAR",IF(F3154="NEW",IF(ISNA(VLOOKUP(E3154,#REF!,1,FALSE())),"?TYPE_IDENTIFIABLE","?REFERENTIAL"),"_")))))</f>
        <v> </v>
      </c>
      <c r="H3154" s="24" t="str">
        <f>IF(J3154&lt;&gt;1,"",IF(I3154="SBJ","CB","?"))</f>
        <v> </v>
      </c>
      <c r="I3154" s="25" t="str">
        <f>IF(OR(E3154="",E3154="!!!",F3154="NEW"),"",INDEX(B3153:B$2,-1+SUMPRODUCT(MAX(ROW(E3153:E$2)*(E3154=E3153:E$2)))))</f>
        <v> </v>
      </c>
      <c r="J3154" s="25" t="str">
        <f>IF(OR(E3154="",E3154="!!!",F3154="NEW"),"",COUNTBLANK(OFFSET(A$1,,,SUMPRODUCT(MAX(ROW(E$2:E3154)*(E3154=E$2:E3154)))))-COUNTBLANK(OFFSET(A$1,,,SUMPRODUCT(MAX(ROW(E$1:E3153)*(E2=E$1:E3153))))))</f>
        <v> </v>
      </c>
      <c r="K3154" s="25" t="str">
        <f>IF(OR(E3154="",E3154="!!!",F3154="NEW"),"",INDEX(J$1:J3153,SUMPRODUCT(MAX(ROW(E$1:E3153)*(E3154=E$1:E3153)))))</f>
        <v> </v>
      </c>
      <c r="L3154" s="26"/>
    </row>
    <row r="3155" spans="1:12">
      <c r="A3155" s="20" t="s">
        <v>1016</v>
      </c>
      <c r="E3155" s="21">
        <f>IF(D3155="?OLD","!!!","")</f>
        <v/>
      </c>
      <c r="F3155" s="22" t="str">
        <f>IF(OR(E3155="",E3155="!!!"),"",IF(NOT(ISNA(VLOOKUP(E3155,E$1:E3154,1,FALSE()))),"OLD",IF(AND(E3155&lt;&gt;"",E3155&lt;&gt;"!!!"),"NEW","")))</f>
        <v> </v>
      </c>
      <c r="G3155" s="23" t="str">
        <f>IF(OR(E3155="",E3155="!!!"),"",IF(OR(J3155=0,AND(J3155=1,K3155=1),AND(J3155=1,I3155="SBJ"),AND(J3155=1,I3155=0)),"?IN_FOCUS",IF(J3155&lt;=2,"?ACTIVATED",IF(J3155&lt;&gt;"","?FAMILIAR",IF(F3155="NEW",IF(ISNA(VLOOKUP(E3155,#REF!,1,FALSE())),"?TYPE_IDENTIFIABLE","?REFERENTIAL"),"_")))))</f>
        <v> </v>
      </c>
      <c r="H3155" s="24" t="str">
        <f>IF(J3155&lt;&gt;1,"",IF(I3155="SBJ","CB","?"))</f>
        <v> </v>
      </c>
      <c r="I3155" s="25" t="str">
        <f>IF(OR(E3155="",E3155="!!!",F3155="NEW"),"",INDEX(B3154:B$2,-1+SUMPRODUCT(MAX(ROW(E3154:E$2)*(E3155=E3154:E$2)))))</f>
        <v> </v>
      </c>
      <c r="J3155" s="25" t="str">
        <f>IF(OR(E3155="",E3155="!!!",F3155="NEW"),"",COUNTBLANK(OFFSET(A$1,,,SUMPRODUCT(MAX(ROW(E$2:E3155)*(E3155=E$2:E3155)))))-COUNTBLANK(OFFSET(A$1,,,SUMPRODUCT(MAX(ROW(E$1:E3154)*(E2=E$1:E3154))))))</f>
        <v> </v>
      </c>
      <c r="K3155" s="25" t="str">
        <f>IF(OR(E3155="",E3155="!!!",F3155="NEW"),"",INDEX(J$1:J3154,SUMPRODUCT(MAX(ROW(E$1:E3154)*(E3155=E$1:E3154)))))</f>
        <v> </v>
      </c>
      <c r="L3155" s="26"/>
    </row>
    <row r="3156" spans="1:12">
      <c r="A3156" s="20" t="s">
        <v>2126</v>
      </c>
      <c r="B3156" s="27" t="s">
        <v>1079</v>
      </c>
      <c r="C3156" s="27" t="s">
        <v>1033</v>
      </c>
      <c r="D3156" s="27" t="s">
        <v>1030</v>
      </c>
      <c r="E3156" s="21">
        <f>IF(D3156="?OLD","!!!","")</f>
        <v/>
      </c>
      <c r="F3156" s="22" t="str">
        <f>IF(OR(E3156="",E3156="!!!"),"",IF(NOT(ISNA(VLOOKUP(E3156,E$1:E3155,1,FALSE()))),"OLD",IF(AND(E3156&lt;&gt;"",E3156&lt;&gt;"!!!"),"NEW","")))</f>
        <v> </v>
      </c>
      <c r="G3156" s="23" t="str">
        <f>IF(OR(E3156="",E3156="!!!"),"",IF(OR(J3156=0,AND(J3156=1,K3156=1),AND(J3156=1,I3156="SBJ"),AND(J3156=1,I3156=0)),"?IN_FOCUS",IF(J3156&lt;=2,"?ACTIVATED",IF(J3156&lt;&gt;"","?FAMILIAR",IF(F3156="NEW",IF(ISNA(VLOOKUP(E3156,#REF!,1,FALSE())),"?TYPE_IDENTIFIABLE","?REFERENTIAL"),"_")))))</f>
        <v> </v>
      </c>
      <c r="H3156" s="24" t="str">
        <f>IF(J3156&lt;&gt;1,"",IF(I3156="SBJ","CB","?"))</f>
        <v> </v>
      </c>
      <c r="I3156" s="25" t="str">
        <f>IF(OR(E3156="",E3156="!!!",F3156="NEW"),"",INDEX(B3155:B$2,-1+SUMPRODUCT(MAX(ROW(E3155:E$2)*(E3156=E3155:E$2)))))</f>
        <v> </v>
      </c>
      <c r="J3156" s="25" t="str">
        <f>IF(OR(E3156="",E3156="!!!",F3156="NEW"),"",COUNTBLANK(OFFSET(A$1,,,SUMPRODUCT(MAX(ROW(E$2:E3156)*(E3156=E$2:E3156)))))-COUNTBLANK(OFFSET(A$1,,,SUMPRODUCT(MAX(ROW(E$1:E3155)*(E2=E$1:E3155))))))</f>
        <v> </v>
      </c>
      <c r="K3156" s="25" t="str">
        <f>IF(OR(E3156="",E3156="!!!",F3156="NEW"),"",INDEX(J$1:J3155,SUMPRODUCT(MAX(ROW(E$1:E3155)*(E3156=E$1:E3155)))))</f>
        <v> </v>
      </c>
      <c r="L3156" s="26"/>
    </row>
    <row r="3157" spans="1:12">
      <c r="A3157" s="20" t="s">
        <v>135</v>
      </c>
      <c r="E3157" s="21">
        <f>IF(D3157="?OLD","!!!","")</f>
        <v/>
      </c>
      <c r="F3157" s="22" t="str">
        <f>IF(OR(E3157="",E3157="!!!"),"",IF(NOT(ISNA(VLOOKUP(E3157,E$1:E3156,1,FALSE()))),"OLD",IF(AND(E3157&lt;&gt;"",E3157&lt;&gt;"!!!"),"NEW","")))</f>
        <v> </v>
      </c>
      <c r="G3157" s="23" t="str">
        <f>IF(OR(E3157="",E3157="!!!"),"",IF(OR(J3157=0,AND(J3157=1,K3157=1),AND(J3157=1,I3157="SBJ"),AND(J3157=1,I3157=0)),"?IN_FOCUS",IF(J3157&lt;=2,"?ACTIVATED",IF(J3157&lt;&gt;"","?FAMILIAR",IF(F3157="NEW",IF(ISNA(VLOOKUP(E3157,#REF!,1,FALSE())),"?TYPE_IDENTIFIABLE","?REFERENTIAL"),"_")))))</f>
        <v> </v>
      </c>
      <c r="H3157" s="24" t="str">
        <f>IF(J3157&lt;&gt;1,"",IF(I3157="SBJ","CB","?"))</f>
        <v> </v>
      </c>
      <c r="I3157" s="25" t="str">
        <f>IF(OR(E3157="",E3157="!!!",F3157="NEW"),"",INDEX(B3156:B$2,-1+SUMPRODUCT(MAX(ROW(E3156:E$2)*(E3157=E3156:E$2)))))</f>
        <v> </v>
      </c>
      <c r="J3157" s="25" t="str">
        <f>IF(OR(E3157="",E3157="!!!",F3157="NEW"),"",COUNTBLANK(OFFSET(A$1,,,SUMPRODUCT(MAX(ROW(E$2:E3157)*(E3157=E$2:E3157)))))-COUNTBLANK(OFFSET(A$1,,,SUMPRODUCT(MAX(ROW(E$1:E3156)*(E2=E$1:E3156))))))</f>
        <v> </v>
      </c>
      <c r="K3157" s="25" t="str">
        <f>IF(OR(E3157="",E3157="!!!",F3157="NEW"),"",INDEX(J$1:J3156,SUMPRODUCT(MAX(ROW(E$1:E3156)*(E3157=E$1:E3156)))))</f>
        <v> </v>
      </c>
      <c r="L3157" s="26"/>
    </row>
    <row r="3158" spans="1:12">
      <c r="A3158" s="20"/>
    </row>
    <row r="3159" spans="1:12">
      <c r="A3159" s="20" t="s">
        <v>2127</v>
      </c>
    </row>
    <row r="3160" spans="1:12">
      <c r="A3160" s="20" t="s">
        <v>2023</v>
      </c>
      <c r="B3160" s="27" t="s">
        <v>1014</v>
      </c>
      <c r="C3160" s="27" t="s">
        <v>1050</v>
      </c>
      <c r="D3160" s="27" t="s">
        <v>1030</v>
      </c>
      <c r="E3160" s="21">
        <f>IF(D3160="?OLD","!!!","")</f>
        <v/>
      </c>
      <c r="F3160" s="22" t="str">
        <f>IF(OR(E3160="",E3160="!!!"),"",IF(NOT(ISNA(VLOOKUP(E3160,E$1:E3159,1,FALSE()))),"OLD",IF(AND(E3160&lt;&gt;"",E3160&lt;&gt;"!!!"),"NEW","")))</f>
        <v> </v>
      </c>
      <c r="G3160" s="23" t="str">
        <f>IF(OR(E3160="",E3160="!!!"),"",IF(OR(J3160=0,AND(J3160=1,K3160=1),AND(J3160=1,I3160="SBJ"),AND(J3160=1,I3160=0)),"?IN_FOCUS",IF(J3160&lt;=2,"?ACTIVATED",IF(J3160&lt;&gt;"","?FAMILIAR",IF(F3160="NEW",IF(ISNA(VLOOKUP(E3160,#REF!,1,FALSE())),"?TYPE_IDENTIFIABLE","?REFERENTIAL"),"_")))))</f>
        <v> </v>
      </c>
      <c r="H3160" s="24" t="str">
        <f>IF(J3160&lt;&gt;1,"",IF(I3160="SBJ","CB","?"))</f>
        <v> </v>
      </c>
      <c r="I3160" s="25" t="str">
        <f>IF(OR(E3160="",E3160="!!!",F3160="NEW"),"",INDEX(B3159:B$2,-1+SUMPRODUCT(MAX(ROW(E3159:E$2)*(E3160=E3159:E$2)))))</f>
        <v> </v>
      </c>
      <c r="J3160" s="25" t="str">
        <f>IF(OR(E3160="",E3160="!!!",F3160="NEW"),"",COUNTBLANK(OFFSET(A$1,,,SUMPRODUCT(MAX(ROW(E$2:E3160)*(E3160=E$2:E3160)))))-COUNTBLANK(OFFSET(A$1,,,SUMPRODUCT(MAX(ROW(E$1:E3159)*(E2=E$1:E3159))))))</f>
        <v> </v>
      </c>
      <c r="K3160" s="25" t="str">
        <f>IF(OR(E3160="",E3160="!!!",F3160="NEW"),"",INDEX(J$1:J3159,SUMPRODUCT(MAX(ROW(E$1:E3159)*(E3160=E$1:E3159)))))</f>
        <v> </v>
      </c>
      <c r="L3160" s="26"/>
    </row>
    <row r="3161" spans="1:12">
      <c r="A3161" s="20" t="s">
        <v>1237</v>
      </c>
      <c r="E3161" s="21">
        <f>IF(D3161="?OLD","!!!","")</f>
        <v/>
      </c>
      <c r="F3161" s="22" t="str">
        <f>IF(OR(E3161="",E3161="!!!"),"",IF(NOT(ISNA(VLOOKUP(E3161,E$1:E3160,1,FALSE()))),"OLD",IF(AND(E3161&lt;&gt;"",E3161&lt;&gt;"!!!"),"NEW","")))</f>
        <v> </v>
      </c>
      <c r="G3161" s="23" t="str">
        <f>IF(OR(E3161="",E3161="!!!"),"",IF(OR(J3161=0,AND(J3161=1,K3161=1),AND(J3161=1,I3161="SBJ"),AND(J3161=1,I3161=0)),"?IN_FOCUS",IF(J3161&lt;=2,"?ACTIVATED",IF(J3161&lt;&gt;"","?FAMILIAR",IF(F3161="NEW",IF(ISNA(VLOOKUP(E3161,#REF!,1,FALSE())),"?TYPE_IDENTIFIABLE","?REFERENTIAL"),"_")))))</f>
        <v> </v>
      </c>
      <c r="H3161" s="24" t="str">
        <f>IF(J3161&lt;&gt;1,"",IF(I3161="SBJ","CB","?"))</f>
        <v> </v>
      </c>
      <c r="I3161" s="25" t="str">
        <f>IF(OR(E3161="",E3161="!!!",F3161="NEW"),"",INDEX(B3160:B$2,-1+SUMPRODUCT(MAX(ROW(E3160:E$2)*(E3161=E3160:E$2)))))</f>
        <v> </v>
      </c>
      <c r="J3161" s="25" t="str">
        <f>IF(OR(E3161="",E3161="!!!",F3161="NEW"),"",COUNTBLANK(OFFSET(A$1,,,SUMPRODUCT(MAX(ROW(E$2:E3161)*(E3161=E$2:E3161)))))-COUNTBLANK(OFFSET(A$1,,,SUMPRODUCT(MAX(ROW(E$1:E3160)*(E2=E$1:E3160))))))</f>
        <v> </v>
      </c>
      <c r="K3161" s="25" t="str">
        <f>IF(OR(E3161="",E3161="!!!",F3161="NEW"),"",INDEX(J$1:J3160,SUMPRODUCT(MAX(ROW(E$1:E3160)*(E3161=E$1:E3160)))))</f>
        <v> </v>
      </c>
      <c r="L3161" s="26"/>
    </row>
    <row r="3162" spans="1:12">
      <c r="A3162" s="20" t="s">
        <v>2128</v>
      </c>
      <c r="E3162" s="21">
        <f>IF(D3162="?OLD","!!!","")</f>
        <v/>
      </c>
      <c r="F3162" s="22" t="str">
        <f>IF(OR(E3162="",E3162="!!!"),"",IF(NOT(ISNA(VLOOKUP(E3162,E$1:E3161,1,FALSE()))),"OLD",IF(AND(E3162&lt;&gt;"",E3162&lt;&gt;"!!!"),"NEW","")))</f>
        <v> </v>
      </c>
      <c r="G3162" s="23" t="str">
        <f>IF(OR(E3162="",E3162="!!!"),"",IF(OR(J3162=0,AND(J3162=1,K3162=1),AND(J3162=1,I3162="SBJ"),AND(J3162=1,I3162=0)),"?IN_FOCUS",IF(J3162&lt;=2,"?ACTIVATED",IF(J3162&lt;&gt;"","?FAMILIAR",IF(F3162="NEW",IF(ISNA(VLOOKUP(E3162,#REF!,1,FALSE())),"?TYPE_IDENTIFIABLE","?REFERENTIAL"),"_")))))</f>
        <v> </v>
      </c>
      <c r="H3162" s="24" t="str">
        <f>IF(J3162&lt;&gt;1,"",IF(I3162="SBJ","CB","?"))</f>
        <v> </v>
      </c>
      <c r="I3162" s="25" t="str">
        <f>IF(OR(E3162="",E3162="!!!",F3162="NEW"),"",INDEX(B3161:B$2,-1+SUMPRODUCT(MAX(ROW(E3161:E$2)*(E3162=E3161:E$2)))))</f>
        <v> </v>
      </c>
      <c r="J3162" s="25" t="str">
        <f>IF(OR(E3162="",E3162="!!!",F3162="NEW"),"",COUNTBLANK(OFFSET(A$1,,,SUMPRODUCT(MAX(ROW(E$2:E3162)*(E3162=E$2:E3162)))))-COUNTBLANK(OFFSET(A$1,,,SUMPRODUCT(MAX(ROW(E$1:E3161)*(E2=E$1:E3161))))))</f>
        <v> </v>
      </c>
      <c r="K3162" s="25" t="str">
        <f>IF(OR(E3162="",E3162="!!!",F3162="NEW"),"",INDEX(J$1:J3161,SUMPRODUCT(MAX(ROW(E$1:E3161)*(E3162=E$1:E3161)))))</f>
        <v> </v>
      </c>
      <c r="L3162" s="26"/>
    </row>
    <row r="3163" spans="1:12">
      <c r="A3163" s="20" t="s">
        <v>1186</v>
      </c>
      <c r="B3163" s="27" t="s">
        <v>1041</v>
      </c>
      <c r="C3163" s="27" t="s">
        <v>1050</v>
      </c>
      <c r="D3163" s="27" t="s">
        <v>1030</v>
      </c>
      <c r="E3163" s="21">
        <f>IF(D3163="?OLD","!!!","")</f>
        <v/>
      </c>
      <c r="F3163" s="22" t="str">
        <f>IF(OR(E3163="",E3163="!!!"),"",IF(NOT(ISNA(VLOOKUP(E3163,E$1:E3162,1,FALSE()))),"OLD",IF(AND(E3163&lt;&gt;"",E3163&lt;&gt;"!!!"),"NEW","")))</f>
        <v> </v>
      </c>
      <c r="G3163" s="23" t="str">
        <f>IF(OR(E3163="",E3163="!!!"),"",IF(OR(J3163=0,AND(J3163=1,K3163=1),AND(J3163=1,I3163="SBJ"),AND(J3163=1,I3163=0)),"?IN_FOCUS",IF(J3163&lt;=2,"?ACTIVATED",IF(J3163&lt;&gt;"","?FAMILIAR",IF(F3163="NEW",IF(ISNA(VLOOKUP(E3163,#REF!,1,FALSE())),"?TYPE_IDENTIFIABLE","?REFERENTIAL"),"_")))))</f>
        <v> </v>
      </c>
      <c r="H3163" s="24" t="str">
        <f>IF(J3163&lt;&gt;1,"",IF(I3163="SBJ","CB","?"))</f>
        <v> </v>
      </c>
      <c r="I3163" s="25" t="str">
        <f>IF(OR(E3163="",E3163="!!!",F3163="NEW"),"",INDEX(B3162:B$2,-1+SUMPRODUCT(MAX(ROW(E3162:E$2)*(E3163=E3162:E$2)))))</f>
        <v> </v>
      </c>
      <c r="J3163" s="25" t="str">
        <f>IF(OR(E3163="",E3163="!!!",F3163="NEW"),"",COUNTBLANK(OFFSET(A$1,,,SUMPRODUCT(MAX(ROW(E$2:E3163)*(E3163=E$2:E3163)))))-COUNTBLANK(OFFSET(A$1,,,SUMPRODUCT(MAX(ROW(E$1:E3162)*(E2=E$1:E3162))))))</f>
        <v> </v>
      </c>
      <c r="K3163" s="25" t="str">
        <f>IF(OR(E3163="",E3163="!!!",F3163="NEW"),"",INDEX(J$1:J3162,SUMPRODUCT(MAX(ROW(E$1:E3162)*(E3163=E$1:E3162)))))</f>
        <v> </v>
      </c>
      <c r="L3163" s="26"/>
    </row>
    <row r="3164" spans="1:12">
      <c r="A3164" s="20" t="s">
        <v>135</v>
      </c>
      <c r="E3164" s="21">
        <f>IF(D3164="?OLD","!!!","")</f>
        <v/>
      </c>
      <c r="F3164" s="22" t="str">
        <f>IF(OR(E3164="",E3164="!!!"),"",IF(NOT(ISNA(VLOOKUP(E3164,E$1:E3163,1,FALSE()))),"OLD",IF(AND(E3164&lt;&gt;"",E3164&lt;&gt;"!!!"),"NEW","")))</f>
        <v> </v>
      </c>
      <c r="G3164" s="23" t="str">
        <f>IF(OR(E3164="",E3164="!!!"),"",IF(OR(J3164=0,AND(J3164=1,K3164=1),AND(J3164=1,I3164="SBJ"),AND(J3164=1,I3164=0)),"?IN_FOCUS",IF(J3164&lt;=2,"?ACTIVATED",IF(J3164&lt;&gt;"","?FAMILIAR",IF(F3164="NEW",IF(ISNA(VLOOKUP(E3164,#REF!,1,FALSE())),"?TYPE_IDENTIFIABLE","?REFERENTIAL"),"_")))))</f>
        <v> </v>
      </c>
      <c r="H3164" s="24" t="str">
        <f>IF(J3164&lt;&gt;1,"",IF(I3164="SBJ","CB","?"))</f>
        <v> </v>
      </c>
      <c r="I3164" s="25" t="str">
        <f>IF(OR(E3164="",E3164="!!!",F3164="NEW"),"",INDEX(B3163:B$2,-1+SUMPRODUCT(MAX(ROW(E3163:E$2)*(E3164=E3163:E$2)))))</f>
        <v> </v>
      </c>
      <c r="J3164" s="25" t="str">
        <f>IF(OR(E3164="",E3164="!!!",F3164="NEW"),"",COUNTBLANK(OFFSET(A$1,,,SUMPRODUCT(MAX(ROW(E$2:E3164)*(E3164=E$2:E3164)))))-COUNTBLANK(OFFSET(A$1,,,SUMPRODUCT(MAX(ROW(E$1:E3163)*(E2=E$1:E3163))))))</f>
        <v> </v>
      </c>
      <c r="K3164" s="25" t="str">
        <f>IF(OR(E3164="",E3164="!!!",F3164="NEW"),"",INDEX(J$1:J3163,SUMPRODUCT(MAX(ROW(E$1:E3163)*(E3164=E$1:E3163)))))</f>
        <v> </v>
      </c>
      <c r="L3164" s="26"/>
    </row>
    <row r="3165" spans="1:12">
      <c r="A3165" s="20"/>
    </row>
    <row r="3166" spans="1:12">
      <c r="A3166" s="20" t="s">
        <v>2129</v>
      </c>
    </row>
    <row r="3167" spans="1:12">
      <c r="A3167" s="20" t="s">
        <v>1116</v>
      </c>
      <c r="B3167" s="27" t="s">
        <v>1014</v>
      </c>
      <c r="C3167" s="27" t="s">
        <v>1050</v>
      </c>
      <c r="D3167" s="27" t="s">
        <v>1030</v>
      </c>
      <c r="E3167" s="21">
        <f>IF(D3167="?OLD","!!!","")</f>
        <v/>
      </c>
      <c r="F3167" s="22" t="str">
        <f>IF(OR(E3167="",E3167="!!!"),"",IF(NOT(ISNA(VLOOKUP(E3167,E$1:E3166,1,FALSE()))),"OLD",IF(AND(E3167&lt;&gt;"",E3167&lt;&gt;"!!!"),"NEW","")))</f>
        <v> </v>
      </c>
      <c r="G3167" s="23" t="str">
        <f>IF(OR(E3167="",E3167="!!!"),"",IF(OR(J3167=0,AND(J3167=1,K3167=1),AND(J3167=1,I3167="SBJ"),AND(J3167=1,I3167=0)),"?IN_FOCUS",IF(J3167&lt;=2,"?ACTIVATED",IF(J3167&lt;&gt;"","?FAMILIAR",IF(F3167="NEW",IF(ISNA(VLOOKUP(E3167,#REF!,1,FALSE())),"?TYPE_IDENTIFIABLE","?REFERENTIAL"),"_")))))</f>
        <v> </v>
      </c>
      <c r="H3167" s="24" t="str">
        <f>IF(J3167&lt;&gt;1,"",IF(I3167="SBJ","CB","?"))</f>
        <v> </v>
      </c>
      <c r="I3167" s="25" t="str">
        <f>IF(OR(E3167="",E3167="!!!",F3167="NEW"),"",INDEX(B3166:B$2,-1+SUMPRODUCT(MAX(ROW(E3166:E$2)*(E3167=E3166:E$2)))))</f>
        <v> </v>
      </c>
      <c r="J3167" s="25" t="str">
        <f>IF(OR(E3167="",E3167="!!!",F3167="NEW"),"",COUNTBLANK(OFFSET(A$1,,,SUMPRODUCT(MAX(ROW(E$2:E3167)*(E3167=E$2:E3167)))))-COUNTBLANK(OFFSET(A$1,,,SUMPRODUCT(MAX(ROW(E$1:E3166)*(E2=E$1:E3166))))))</f>
        <v> </v>
      </c>
      <c r="K3167" s="25" t="str">
        <f>IF(OR(E3167="",E3167="!!!",F3167="NEW"),"",INDEX(J$1:J3166,SUMPRODUCT(MAX(ROW(E$1:E3166)*(E3167=E$1:E3166)))))</f>
        <v> </v>
      </c>
      <c r="L3167" s="26"/>
    </row>
    <row r="3168" spans="1:12">
      <c r="A3168" s="20" t="s">
        <v>1237</v>
      </c>
      <c r="E3168" s="21">
        <f>IF(D3168="?OLD","!!!","")</f>
        <v/>
      </c>
      <c r="F3168" s="22" t="str">
        <f>IF(OR(E3168="",E3168="!!!"),"",IF(NOT(ISNA(VLOOKUP(E3168,E$1:E3167,1,FALSE()))),"OLD",IF(AND(E3168&lt;&gt;"",E3168&lt;&gt;"!!!"),"NEW","")))</f>
        <v> </v>
      </c>
      <c r="G3168" s="23" t="str">
        <f>IF(OR(E3168="",E3168="!!!"),"",IF(OR(J3168=0,AND(J3168=1,K3168=1),AND(J3168=1,I3168="SBJ"),AND(J3168=1,I3168=0)),"?IN_FOCUS",IF(J3168&lt;=2,"?ACTIVATED",IF(J3168&lt;&gt;"","?FAMILIAR",IF(F3168="NEW",IF(ISNA(VLOOKUP(E3168,#REF!,1,FALSE())),"?TYPE_IDENTIFIABLE","?REFERENTIAL"),"_")))))</f>
        <v> </v>
      </c>
      <c r="H3168" s="24" t="str">
        <f>IF(J3168&lt;&gt;1,"",IF(I3168="SBJ","CB","?"))</f>
        <v> </v>
      </c>
      <c r="I3168" s="25" t="str">
        <f>IF(OR(E3168="",E3168="!!!",F3168="NEW"),"",INDEX(B3167:B$2,-1+SUMPRODUCT(MAX(ROW(E3167:E$2)*(E3168=E3167:E$2)))))</f>
        <v> </v>
      </c>
      <c r="J3168" s="25" t="str">
        <f>IF(OR(E3168="",E3168="!!!",F3168="NEW"),"",COUNTBLANK(OFFSET(A$1,,,SUMPRODUCT(MAX(ROW(E$2:E3168)*(E3168=E$2:E3168)))))-COUNTBLANK(OFFSET(A$1,,,SUMPRODUCT(MAX(ROW(E$1:E3167)*(E2=E$1:E3167))))))</f>
        <v> </v>
      </c>
      <c r="K3168" s="25" t="str">
        <f>IF(OR(E3168="",E3168="!!!",F3168="NEW"),"",INDEX(J$1:J3167,SUMPRODUCT(MAX(ROW(E$1:E3167)*(E3168=E$1:E3167)))))</f>
        <v> </v>
      </c>
      <c r="L3168" s="26"/>
    </row>
    <row r="3169" spans="1:12">
      <c r="A3169" s="20" t="s">
        <v>1210</v>
      </c>
      <c r="E3169" s="21">
        <f>IF(D3169="?OLD","!!!","")</f>
        <v/>
      </c>
      <c r="F3169" s="22" t="str">
        <f>IF(OR(E3169="",E3169="!!!"),"",IF(NOT(ISNA(VLOOKUP(E3169,E$1:E3168,1,FALSE()))),"OLD",IF(AND(E3169&lt;&gt;"",E3169&lt;&gt;"!!!"),"NEW","")))</f>
        <v> </v>
      </c>
      <c r="G3169" s="23" t="str">
        <f>IF(OR(E3169="",E3169="!!!"),"",IF(OR(J3169=0,AND(J3169=1,K3169=1),AND(J3169=1,I3169="SBJ"),AND(J3169=1,I3169=0)),"?IN_FOCUS",IF(J3169&lt;=2,"?ACTIVATED",IF(J3169&lt;&gt;"","?FAMILIAR",IF(F3169="NEW",IF(ISNA(VLOOKUP(E3169,#REF!,1,FALSE())),"?TYPE_IDENTIFIABLE","?REFERENTIAL"),"_")))))</f>
        <v> </v>
      </c>
      <c r="H3169" s="24" t="str">
        <f>IF(J3169&lt;&gt;1,"",IF(I3169="SBJ","CB","?"))</f>
        <v> </v>
      </c>
      <c r="I3169" s="25" t="str">
        <f>IF(OR(E3169="",E3169="!!!",F3169="NEW"),"",INDEX(B3168:B$2,-1+SUMPRODUCT(MAX(ROW(E3168:E$2)*(E3169=E3168:E$2)))))</f>
        <v> </v>
      </c>
      <c r="J3169" s="25" t="str">
        <f>IF(OR(E3169="",E3169="!!!",F3169="NEW"),"",COUNTBLANK(OFFSET(A$1,,,SUMPRODUCT(MAX(ROW(E$2:E3169)*(E3169=E$2:E3169)))))-COUNTBLANK(OFFSET(A$1,,,SUMPRODUCT(MAX(ROW(E$1:E3168)*(E2=E$1:E3168))))))</f>
        <v> </v>
      </c>
      <c r="K3169" s="25" t="str">
        <f>IF(OR(E3169="",E3169="!!!",F3169="NEW"),"",INDEX(J$1:J3168,SUMPRODUCT(MAX(ROW(E$1:E3168)*(E3169=E$1:E3168)))))</f>
        <v> </v>
      </c>
      <c r="L3169" s="26"/>
    </row>
    <row r="3170" spans="1:12">
      <c r="A3170" s="20" t="s">
        <v>1025</v>
      </c>
      <c r="E3170" s="21">
        <f>IF(D3170="?OLD","!!!","")</f>
        <v/>
      </c>
      <c r="F3170" s="22" t="str">
        <f>IF(OR(E3170="",E3170="!!!"),"",IF(NOT(ISNA(VLOOKUP(E3170,E$1:E3169,1,FALSE()))),"OLD",IF(AND(E3170&lt;&gt;"",E3170&lt;&gt;"!!!"),"NEW","")))</f>
        <v> </v>
      </c>
      <c r="G3170" s="23" t="str">
        <f>IF(OR(E3170="",E3170="!!!"),"",IF(OR(J3170=0,AND(J3170=1,K3170=1),AND(J3170=1,I3170="SBJ"),AND(J3170=1,I3170=0)),"?IN_FOCUS",IF(J3170&lt;=2,"?ACTIVATED",IF(J3170&lt;&gt;"","?FAMILIAR",IF(F3170="NEW",IF(ISNA(VLOOKUP(E3170,#REF!,1,FALSE())),"?TYPE_IDENTIFIABLE","?REFERENTIAL"),"_")))))</f>
        <v> </v>
      </c>
      <c r="H3170" s="24" t="str">
        <f>IF(J3170&lt;&gt;1,"",IF(I3170="SBJ","CB","?"))</f>
        <v> </v>
      </c>
      <c r="I3170" s="25" t="str">
        <f>IF(OR(E3170="",E3170="!!!",F3170="NEW"),"",INDEX(B3169:B$2,-1+SUMPRODUCT(MAX(ROW(E3169:E$2)*(E3170=E3169:E$2)))))</f>
        <v> </v>
      </c>
      <c r="J3170" s="25" t="str">
        <f>IF(OR(E3170="",E3170="!!!",F3170="NEW"),"",COUNTBLANK(OFFSET(A$1,,,SUMPRODUCT(MAX(ROW(E$2:E3170)*(E3170=E$2:E3170)))))-COUNTBLANK(OFFSET(A$1,,,SUMPRODUCT(MAX(ROW(E$1:E3169)*(E2=E$1:E3169))))))</f>
        <v> </v>
      </c>
      <c r="K3170" s="25" t="str">
        <f>IF(OR(E3170="",E3170="!!!",F3170="NEW"),"",INDEX(J$1:J3169,SUMPRODUCT(MAX(ROW(E$1:E3169)*(E3170=E$1:E3169)))))</f>
        <v> </v>
      </c>
      <c r="L3170" s="26"/>
    </row>
    <row r="3171" spans="1:12">
      <c r="A3171" s="20" t="s">
        <v>1036</v>
      </c>
      <c r="E3171" s="21">
        <f>IF(D3171="?OLD","!!!","")</f>
        <v/>
      </c>
      <c r="F3171" s="22" t="str">
        <f>IF(OR(E3171="",E3171="!!!"),"",IF(NOT(ISNA(VLOOKUP(E3171,E$1:E3170,1,FALSE()))),"OLD",IF(AND(E3171&lt;&gt;"",E3171&lt;&gt;"!!!"),"NEW","")))</f>
        <v> </v>
      </c>
      <c r="G3171" s="23" t="str">
        <f>IF(OR(E3171="",E3171="!!!"),"",IF(OR(J3171=0,AND(J3171=1,K3171=1),AND(J3171=1,I3171="SBJ"),AND(J3171=1,I3171=0)),"?IN_FOCUS",IF(J3171&lt;=2,"?ACTIVATED",IF(J3171&lt;&gt;"","?FAMILIAR",IF(F3171="NEW",IF(ISNA(VLOOKUP(E3171,#REF!,1,FALSE())),"?TYPE_IDENTIFIABLE","?REFERENTIAL"),"_")))))</f>
        <v> </v>
      </c>
      <c r="H3171" s="24" t="str">
        <f>IF(J3171&lt;&gt;1,"",IF(I3171="SBJ","CB","?"))</f>
        <v> </v>
      </c>
      <c r="I3171" s="25" t="str">
        <f>IF(OR(E3171="",E3171="!!!",F3171="NEW"),"",INDEX(B3170:B$2,-1+SUMPRODUCT(MAX(ROW(E3170:E$2)*(E3171=E3170:E$2)))))</f>
        <v> </v>
      </c>
      <c r="J3171" s="25" t="str">
        <f>IF(OR(E3171="",E3171="!!!",F3171="NEW"),"",COUNTBLANK(OFFSET(A$1,,,SUMPRODUCT(MAX(ROW(E$2:E3171)*(E3171=E$2:E3171)))))-COUNTBLANK(OFFSET(A$1,,,SUMPRODUCT(MAX(ROW(E$1:E3170)*(E2=E$1:E3170))))))</f>
        <v> </v>
      </c>
      <c r="K3171" s="25" t="str">
        <f>IF(OR(E3171="",E3171="!!!",F3171="NEW"),"",INDEX(J$1:J3170,SUMPRODUCT(MAX(ROW(E$1:E3170)*(E3171=E$1:E3170)))))</f>
        <v> </v>
      </c>
      <c r="L3171" s="26"/>
    </row>
    <row r="3172" spans="1:12">
      <c r="A3172" s="20" t="s">
        <v>2130</v>
      </c>
      <c r="B3172" s="27" t="s">
        <v>1045</v>
      </c>
      <c r="C3172" s="27" t="s">
        <v>1029</v>
      </c>
      <c r="D3172" s="27" t="s">
        <v>1030</v>
      </c>
      <c r="E3172" s="21">
        <f>IF(D3172="?OLD","!!!","")</f>
        <v/>
      </c>
      <c r="F3172" s="22" t="str">
        <f>IF(OR(E3172="",E3172="!!!"),"",IF(NOT(ISNA(VLOOKUP(E3172,E$1:E3171,1,FALSE()))),"OLD",IF(AND(E3172&lt;&gt;"",E3172&lt;&gt;"!!!"),"NEW","")))</f>
        <v> </v>
      </c>
      <c r="G3172" s="23" t="str">
        <f>IF(OR(E3172="",E3172="!!!"),"",IF(OR(J3172=0,AND(J3172=1,K3172=1),AND(J3172=1,I3172="SBJ"),AND(J3172=1,I3172=0)),"?IN_FOCUS",IF(J3172&lt;=2,"?ACTIVATED",IF(J3172&lt;&gt;"","?FAMILIAR",IF(F3172="NEW",IF(ISNA(VLOOKUP(E3172,#REF!,1,FALSE())),"?TYPE_IDENTIFIABLE","?REFERENTIAL"),"_")))))</f>
        <v> </v>
      </c>
      <c r="H3172" s="24" t="str">
        <f>IF(J3172&lt;&gt;1,"",IF(I3172="SBJ","CB","?"))</f>
        <v> </v>
      </c>
      <c r="I3172" s="25" t="str">
        <f>IF(OR(E3172="",E3172="!!!",F3172="NEW"),"",INDEX(B3171:B$2,-1+SUMPRODUCT(MAX(ROW(E3171:E$2)*(E3172=E3171:E$2)))))</f>
        <v> </v>
      </c>
      <c r="J3172" s="25" t="str">
        <f>IF(OR(E3172="",E3172="!!!",F3172="NEW"),"",COUNTBLANK(OFFSET(A$1,,,SUMPRODUCT(MAX(ROW(E$2:E3172)*(E3172=E$2:E3172)))))-COUNTBLANK(OFFSET(A$1,,,SUMPRODUCT(MAX(ROW(E$1:E3171)*(E2=E$1:E3171))))))</f>
        <v> </v>
      </c>
      <c r="K3172" s="25" t="str">
        <f>IF(OR(E3172="",E3172="!!!",F3172="NEW"),"",INDEX(J$1:J3171,SUMPRODUCT(MAX(ROW(E$1:E3171)*(E3172=E$1:E3171)))))</f>
        <v> </v>
      </c>
      <c r="L3172" s="26"/>
    </row>
    <row r="3173" spans="1:12">
      <c r="A3173" s="20" t="s">
        <v>1016</v>
      </c>
      <c r="E3173" s="21">
        <f>IF(D3173="?OLD","!!!","")</f>
        <v/>
      </c>
      <c r="F3173" s="22" t="str">
        <f>IF(OR(E3173="",E3173="!!!"),"",IF(NOT(ISNA(VLOOKUP(E3173,E$1:E3172,1,FALSE()))),"OLD",IF(AND(E3173&lt;&gt;"",E3173&lt;&gt;"!!!"),"NEW","")))</f>
        <v> </v>
      </c>
      <c r="G3173" s="23" t="str">
        <f>IF(OR(E3173="",E3173="!!!"),"",IF(OR(J3173=0,AND(J3173=1,K3173=1),AND(J3173=1,I3173="SBJ"),AND(J3173=1,I3173=0)),"?IN_FOCUS",IF(J3173&lt;=2,"?ACTIVATED",IF(J3173&lt;&gt;"","?FAMILIAR",IF(F3173="NEW",IF(ISNA(VLOOKUP(E3173,#REF!,1,FALSE())),"?TYPE_IDENTIFIABLE","?REFERENTIAL"),"_")))))</f>
        <v> </v>
      </c>
      <c r="H3173" s="24" t="str">
        <f>IF(J3173&lt;&gt;1,"",IF(I3173="SBJ","CB","?"))</f>
        <v> </v>
      </c>
      <c r="I3173" s="25" t="str">
        <f>IF(OR(E3173="",E3173="!!!",F3173="NEW"),"",INDEX(B3172:B$2,-1+SUMPRODUCT(MAX(ROW(E3172:E$2)*(E3173=E3172:E$2)))))</f>
        <v> </v>
      </c>
      <c r="J3173" s="25" t="str">
        <f>IF(OR(E3173="",E3173="!!!",F3173="NEW"),"",COUNTBLANK(OFFSET(A$1,,,SUMPRODUCT(MAX(ROW(E$2:E3173)*(E3173=E$2:E3173)))))-COUNTBLANK(OFFSET(A$1,,,SUMPRODUCT(MAX(ROW(E$1:E3172)*(E2=E$1:E3172))))))</f>
        <v> </v>
      </c>
      <c r="K3173" s="25" t="str">
        <f>IF(OR(E3173="",E3173="!!!",F3173="NEW"),"",INDEX(J$1:J3172,SUMPRODUCT(MAX(ROW(E$1:E3172)*(E3173=E$1:E3172)))))</f>
        <v> </v>
      </c>
      <c r="L3173" s="26"/>
    </row>
    <row r="3174" spans="1:12">
      <c r="A3174" s="20" t="s">
        <v>1080</v>
      </c>
      <c r="E3174" s="21">
        <f>IF(D3174="?OLD","!!!","")</f>
        <v/>
      </c>
      <c r="F3174" s="22" t="str">
        <f>IF(OR(E3174="",E3174="!!!"),"",IF(NOT(ISNA(VLOOKUP(E3174,E$1:E3173,1,FALSE()))),"OLD",IF(AND(E3174&lt;&gt;"",E3174&lt;&gt;"!!!"),"NEW","")))</f>
        <v> </v>
      </c>
      <c r="G3174" s="23" t="str">
        <f>IF(OR(E3174="",E3174="!!!"),"",IF(OR(J3174=0,AND(J3174=1,K3174=1),AND(J3174=1,I3174="SBJ"),AND(J3174=1,I3174=0)),"?IN_FOCUS",IF(J3174&lt;=2,"?ACTIVATED",IF(J3174&lt;&gt;"","?FAMILIAR",IF(F3174="NEW",IF(ISNA(VLOOKUP(E3174,#REF!,1,FALSE())),"?TYPE_IDENTIFIABLE","?REFERENTIAL"),"_")))))</f>
        <v> </v>
      </c>
      <c r="H3174" s="24" t="str">
        <f>IF(J3174&lt;&gt;1,"",IF(I3174="SBJ","CB","?"))</f>
        <v> </v>
      </c>
      <c r="I3174" s="25" t="str">
        <f>IF(OR(E3174="",E3174="!!!",F3174="NEW"),"",INDEX(B3173:B$2,-1+SUMPRODUCT(MAX(ROW(E3173:E$2)*(E3174=E3173:E$2)))))</f>
        <v> </v>
      </c>
      <c r="J3174" s="25" t="str">
        <f>IF(OR(E3174="",E3174="!!!",F3174="NEW"),"",COUNTBLANK(OFFSET(A$1,,,SUMPRODUCT(MAX(ROW(E$2:E3174)*(E3174=E$2:E3174)))))-COUNTBLANK(OFFSET(A$1,,,SUMPRODUCT(MAX(ROW(E$1:E3173)*(E2=E$1:E3173))))))</f>
        <v> </v>
      </c>
      <c r="K3174" s="25" t="str">
        <f>IF(OR(E3174="",E3174="!!!",F3174="NEW"),"",INDEX(J$1:J3173,SUMPRODUCT(MAX(ROW(E$1:E3173)*(E3174=E$1:E3173)))))</f>
        <v> </v>
      </c>
      <c r="L3174" s="26"/>
    </row>
    <row r="3175" spans="1:12">
      <c r="A3175" s="20" t="s">
        <v>1081</v>
      </c>
      <c r="E3175" s="21">
        <f>IF(D3175="?OLD","!!!","")</f>
        <v/>
      </c>
      <c r="F3175" s="22" t="str">
        <f>IF(OR(E3175="",E3175="!!!"),"",IF(NOT(ISNA(VLOOKUP(E3175,E$1:E3174,1,FALSE()))),"OLD",IF(AND(E3175&lt;&gt;"",E3175&lt;&gt;"!!!"),"NEW","")))</f>
        <v> </v>
      </c>
      <c r="G3175" s="23" t="str">
        <f>IF(OR(E3175="",E3175="!!!"),"",IF(OR(J3175=0,AND(J3175=1,K3175=1),AND(J3175=1,I3175="SBJ"),AND(J3175=1,I3175=0)),"?IN_FOCUS",IF(J3175&lt;=2,"?ACTIVATED",IF(J3175&lt;&gt;"","?FAMILIAR",IF(F3175="NEW",IF(ISNA(VLOOKUP(E3175,#REF!,1,FALSE())),"?TYPE_IDENTIFIABLE","?REFERENTIAL"),"_")))))</f>
        <v> </v>
      </c>
      <c r="H3175" s="24" t="str">
        <f>IF(J3175&lt;&gt;1,"",IF(I3175="SBJ","CB","?"))</f>
        <v> </v>
      </c>
      <c r="I3175" s="25" t="str">
        <f>IF(OR(E3175="",E3175="!!!",F3175="NEW"),"",INDEX(B3174:B$2,-1+SUMPRODUCT(MAX(ROW(E3174:E$2)*(E3175=E3174:E$2)))))</f>
        <v> </v>
      </c>
      <c r="J3175" s="25" t="str">
        <f>IF(OR(E3175="",E3175="!!!",F3175="NEW"),"",COUNTBLANK(OFFSET(A$1,,,SUMPRODUCT(MAX(ROW(E$2:E3175)*(E3175=E$2:E3175)))))-COUNTBLANK(OFFSET(A$1,,,SUMPRODUCT(MAX(ROW(E$1:E3174)*(E2=E$1:E3174))))))</f>
        <v> </v>
      </c>
      <c r="K3175" s="25" t="str">
        <f>IF(OR(E3175="",E3175="!!!",F3175="NEW"),"",INDEX(J$1:J3174,SUMPRODUCT(MAX(ROW(E$1:E3174)*(E3175=E$1:E3174)))))</f>
        <v> </v>
      </c>
      <c r="L3175" s="26"/>
    </row>
    <row r="3176" spans="1:12">
      <c r="A3176" s="20" t="s">
        <v>2131</v>
      </c>
      <c r="E3176" s="21">
        <f>IF(D3176="?OLD","!!!","")</f>
        <v/>
      </c>
      <c r="F3176" s="22" t="str">
        <f>IF(OR(E3176="",E3176="!!!"),"",IF(NOT(ISNA(VLOOKUP(E3176,E$1:E3175,1,FALSE()))),"OLD",IF(AND(E3176&lt;&gt;"",E3176&lt;&gt;"!!!"),"NEW","")))</f>
        <v> </v>
      </c>
      <c r="G3176" s="23" t="str">
        <f>IF(OR(E3176="",E3176="!!!"),"",IF(OR(J3176=0,AND(J3176=1,K3176=1),AND(J3176=1,I3176="SBJ"),AND(J3176=1,I3176=0)),"?IN_FOCUS",IF(J3176&lt;=2,"?ACTIVATED",IF(J3176&lt;&gt;"","?FAMILIAR",IF(F3176="NEW",IF(ISNA(VLOOKUP(E3176,#REF!,1,FALSE())),"?TYPE_IDENTIFIABLE","?REFERENTIAL"),"_")))))</f>
        <v> </v>
      </c>
      <c r="H3176" s="24" t="str">
        <f>IF(J3176&lt;&gt;1,"",IF(I3176="SBJ","CB","?"))</f>
        <v> </v>
      </c>
      <c r="I3176" s="25" t="str">
        <f>IF(OR(E3176="",E3176="!!!",F3176="NEW"),"",INDEX(B3175:B$2,-1+SUMPRODUCT(MAX(ROW(E3175:E$2)*(E3176=E3175:E$2)))))</f>
        <v> </v>
      </c>
      <c r="J3176" s="25" t="str">
        <f>IF(OR(E3176="",E3176="!!!",F3176="NEW"),"",COUNTBLANK(OFFSET(A$1,,,SUMPRODUCT(MAX(ROW(E$2:E3176)*(E3176=E$2:E3176)))))-COUNTBLANK(OFFSET(A$1,,,SUMPRODUCT(MAX(ROW(E$1:E3175)*(E2=E$1:E3175))))))</f>
        <v> </v>
      </c>
      <c r="K3176" s="25" t="str">
        <f>IF(OR(E3176="",E3176="!!!",F3176="NEW"),"",INDEX(J$1:J3175,SUMPRODUCT(MAX(ROW(E$1:E3175)*(E3176=E$1:E3175)))))</f>
        <v> </v>
      </c>
      <c r="L3176" s="26"/>
    </row>
    <row r="3177" spans="1:12">
      <c r="A3177" s="20" t="s">
        <v>1167</v>
      </c>
      <c r="B3177" s="27" t="s">
        <v>1079</v>
      </c>
      <c r="C3177" s="27" t="s">
        <v>1038</v>
      </c>
      <c r="D3177" s="27" t="s">
        <v>1030</v>
      </c>
      <c r="E3177" s="21">
        <f>IF(D3177="?OLD","!!!","")</f>
        <v/>
      </c>
      <c r="F3177" s="22" t="str">
        <f>IF(OR(E3177="",E3177="!!!"),"",IF(NOT(ISNA(VLOOKUP(E3177,E$1:E3176,1,FALSE()))),"OLD",IF(AND(E3177&lt;&gt;"",E3177&lt;&gt;"!!!"),"NEW","")))</f>
        <v> </v>
      </c>
      <c r="G3177" s="23" t="str">
        <f>IF(OR(E3177="",E3177="!!!"),"",IF(OR(J3177=0,AND(J3177=1,K3177=1),AND(J3177=1,I3177="SBJ"),AND(J3177=1,I3177=0)),"?IN_FOCUS",IF(J3177&lt;=2,"?ACTIVATED",IF(J3177&lt;&gt;"","?FAMILIAR",IF(F3177="NEW",IF(ISNA(VLOOKUP(E3177,#REF!,1,FALSE())),"?TYPE_IDENTIFIABLE","?REFERENTIAL"),"_")))))</f>
        <v> </v>
      </c>
      <c r="H3177" s="24" t="str">
        <f>IF(J3177&lt;&gt;1,"",IF(I3177="SBJ","CB","?"))</f>
        <v> </v>
      </c>
      <c r="I3177" s="25" t="str">
        <f>IF(OR(E3177="",E3177="!!!",F3177="NEW"),"",INDEX(B3176:B$2,-1+SUMPRODUCT(MAX(ROW(E3176:E$2)*(E3177=E3176:E$2)))))</f>
        <v> </v>
      </c>
      <c r="J3177" s="25" t="str">
        <f>IF(OR(E3177="",E3177="!!!",F3177="NEW"),"",COUNTBLANK(OFFSET(A$1,,,SUMPRODUCT(MAX(ROW(E$2:E3177)*(E3177=E$2:E3177)))))-COUNTBLANK(OFFSET(A$1,,,SUMPRODUCT(MAX(ROW(E$1:E3176)*(E2=E$1:E3176))))))</f>
        <v> </v>
      </c>
      <c r="K3177" s="25" t="str">
        <f>IF(OR(E3177="",E3177="!!!",F3177="NEW"),"",INDEX(J$1:J3176,SUMPRODUCT(MAX(ROW(E$1:E3176)*(E3177=E$1:E3176)))))</f>
        <v> </v>
      </c>
      <c r="L3177" s="26"/>
    </row>
    <row r="3178" spans="1:12">
      <c r="A3178" s="20" t="s">
        <v>135</v>
      </c>
      <c r="E3178" s="21">
        <f>IF(D3178="?OLD","!!!","")</f>
        <v/>
      </c>
      <c r="F3178" s="22" t="str">
        <f>IF(OR(E3178="",E3178="!!!"),"",IF(NOT(ISNA(VLOOKUP(E3178,E$1:E3177,1,FALSE()))),"OLD",IF(AND(E3178&lt;&gt;"",E3178&lt;&gt;"!!!"),"NEW","")))</f>
        <v> </v>
      </c>
      <c r="G3178" s="23" t="str">
        <f>IF(OR(E3178="",E3178="!!!"),"",IF(OR(J3178=0,AND(J3178=1,K3178=1),AND(J3178=1,I3178="SBJ"),AND(J3178=1,I3178=0)),"?IN_FOCUS",IF(J3178&lt;=2,"?ACTIVATED",IF(J3178&lt;&gt;"","?FAMILIAR",IF(F3178="NEW",IF(ISNA(VLOOKUP(E3178,#REF!,1,FALSE())),"?TYPE_IDENTIFIABLE","?REFERENTIAL"),"_")))))</f>
        <v> </v>
      </c>
      <c r="H3178" s="24" t="str">
        <f>IF(J3178&lt;&gt;1,"",IF(I3178="SBJ","CB","?"))</f>
        <v> </v>
      </c>
      <c r="I3178" s="25" t="str">
        <f>IF(OR(E3178="",E3178="!!!",F3178="NEW"),"",INDEX(B3177:B$2,-1+SUMPRODUCT(MAX(ROW(E3177:E$2)*(E3178=E3177:E$2)))))</f>
        <v> </v>
      </c>
      <c r="J3178" s="25" t="str">
        <f>IF(OR(E3178="",E3178="!!!",F3178="NEW"),"",COUNTBLANK(OFFSET(A$1,,,SUMPRODUCT(MAX(ROW(E$2:E3178)*(E3178=E$2:E3178)))))-COUNTBLANK(OFFSET(A$1,,,SUMPRODUCT(MAX(ROW(E$1:E3177)*(E2=E$1:E3177))))))</f>
        <v> </v>
      </c>
      <c r="K3178" s="25" t="str">
        <f>IF(OR(E3178="",E3178="!!!",F3178="NEW"),"",INDEX(J$1:J3177,SUMPRODUCT(MAX(ROW(E$1:E3177)*(E3178=E$1:E3177)))))</f>
        <v> </v>
      </c>
      <c r="L3178" s="26"/>
    </row>
    <row r="3179" spans="1:12">
      <c r="A3179" s="20"/>
    </row>
    <row r="3180" spans="1:12">
      <c r="A3180" s="20" t="s">
        <v>2132</v>
      </c>
    </row>
    <row r="3181" spans="1:12">
      <c r="A3181" s="20" t="s">
        <v>2133</v>
      </c>
      <c r="B3181" s="27" t="s">
        <v>1041</v>
      </c>
      <c r="C3181" s="27" t="s">
        <v>1042</v>
      </c>
      <c r="E3181" s="21">
        <f>IF(D3181="?OLD","!!!","")</f>
        <v/>
      </c>
      <c r="F3181" s="22" t="str">
        <f>IF(OR(E3181="",E3181="!!!"),"",IF(NOT(ISNA(VLOOKUP(E3181,E$1:E3180,1,FALSE()))),"OLD",IF(AND(E3181&lt;&gt;"",E3181&lt;&gt;"!!!"),"NEW","")))</f>
        <v> </v>
      </c>
      <c r="G3181" s="23" t="str">
        <f>IF(OR(E3181="",E3181="!!!"),"",IF(OR(J3181=0,AND(J3181=1,K3181=1),AND(J3181=1,I3181="SBJ"),AND(J3181=1,I3181=0)),"?IN_FOCUS",IF(J3181&lt;=2,"?ACTIVATED",IF(J3181&lt;&gt;"","?FAMILIAR",IF(F3181="NEW",IF(ISNA(VLOOKUP(E3181,#REF!,1,FALSE())),"?TYPE_IDENTIFIABLE","?REFERENTIAL"),"_")))))</f>
        <v> </v>
      </c>
      <c r="H3181" s="24" t="str">
        <f>IF(J3181&lt;&gt;1,"",IF(I3181="SBJ","CB","?"))</f>
        <v> </v>
      </c>
      <c r="I3181" s="25" t="str">
        <f>IF(OR(E3181="",E3181="!!!",F3181="NEW"),"",INDEX(B3180:B$2,-1+SUMPRODUCT(MAX(ROW(E3180:E$2)*(E3181=E3180:E$2)))))</f>
        <v> </v>
      </c>
      <c r="J3181" s="25" t="str">
        <f>IF(OR(E3181="",E3181="!!!",F3181="NEW"),"",COUNTBLANK(OFFSET(A$1,,,SUMPRODUCT(MAX(ROW(E$2:E3181)*(E3181=E$2:E3181)))))-COUNTBLANK(OFFSET(A$1,,,SUMPRODUCT(MAX(ROW(E$1:E3180)*(E2=E$1:E3180))))))</f>
        <v> </v>
      </c>
      <c r="K3181" s="25" t="str">
        <f>IF(OR(E3181="",E3181="!!!",F3181="NEW"),"",INDEX(J$1:J3180,SUMPRODUCT(MAX(ROW(E$1:E3180)*(E3181=E$1:E3180)))))</f>
        <v> </v>
      </c>
      <c r="L3181" s="26"/>
    </row>
    <row r="3182" spans="1:12">
      <c r="A3182" s="20" t="s">
        <v>1220</v>
      </c>
      <c r="E3182" s="21">
        <f>IF(D3182="?OLD","!!!","")</f>
        <v/>
      </c>
      <c r="F3182" s="22" t="str">
        <f>IF(OR(E3182="",E3182="!!!"),"",IF(NOT(ISNA(VLOOKUP(E3182,E$1:E3181,1,FALSE()))),"OLD",IF(AND(E3182&lt;&gt;"",E3182&lt;&gt;"!!!"),"NEW","")))</f>
        <v> </v>
      </c>
      <c r="G3182" s="23" t="str">
        <f>IF(OR(E3182="",E3182="!!!"),"",IF(OR(J3182=0,AND(J3182=1,K3182=1),AND(J3182=1,I3182="SBJ"),AND(J3182=1,I3182=0)),"?IN_FOCUS",IF(J3182&lt;=2,"?ACTIVATED",IF(J3182&lt;&gt;"","?FAMILIAR",IF(F3182="NEW",IF(ISNA(VLOOKUP(E3182,#REF!,1,FALSE())),"?TYPE_IDENTIFIABLE","?REFERENTIAL"),"_")))))</f>
        <v> </v>
      </c>
      <c r="H3182" s="24" t="str">
        <f>IF(J3182&lt;&gt;1,"",IF(I3182="SBJ","CB","?"))</f>
        <v> </v>
      </c>
      <c r="I3182" s="25" t="str">
        <f>IF(OR(E3182="",E3182="!!!",F3182="NEW"),"",INDEX(B3181:B$2,-1+SUMPRODUCT(MAX(ROW(E3181:E$2)*(E3182=E3181:E$2)))))</f>
        <v> </v>
      </c>
      <c r="J3182" s="25" t="str">
        <f>IF(OR(E3182="",E3182="!!!",F3182="NEW"),"",COUNTBLANK(OFFSET(A$1,,,SUMPRODUCT(MAX(ROW(E$2:E3182)*(E3182=E$2:E3182)))))-COUNTBLANK(OFFSET(A$1,,,SUMPRODUCT(MAX(ROW(E$1:E3181)*(E2=E$1:E3181))))))</f>
        <v> </v>
      </c>
      <c r="K3182" s="25" t="str">
        <f>IF(OR(E3182="",E3182="!!!",F3182="NEW"),"",INDEX(J$1:J3181,SUMPRODUCT(MAX(ROW(E$1:E3181)*(E3182=E$1:E3181)))))</f>
        <v> </v>
      </c>
      <c r="L3182" s="26"/>
    </row>
    <row r="3183" spans="1:12">
      <c r="A3183" s="20" t="s">
        <v>2134</v>
      </c>
      <c r="E3183" s="21">
        <f>IF(D3183="?OLD","!!!","")</f>
        <v/>
      </c>
      <c r="F3183" s="22" t="str">
        <f>IF(OR(E3183="",E3183="!!!"),"",IF(NOT(ISNA(VLOOKUP(E3183,E$1:E3182,1,FALSE()))),"OLD",IF(AND(E3183&lt;&gt;"",E3183&lt;&gt;"!!!"),"NEW","")))</f>
        <v> </v>
      </c>
      <c r="G3183" s="23" t="str">
        <f>IF(OR(E3183="",E3183="!!!"),"",IF(OR(J3183=0,AND(J3183=1,K3183=1),AND(J3183=1,I3183="SBJ"),AND(J3183=1,I3183=0)),"?IN_FOCUS",IF(J3183&lt;=2,"?ACTIVATED",IF(J3183&lt;&gt;"","?FAMILIAR",IF(F3183="NEW",IF(ISNA(VLOOKUP(E3183,#REF!,1,FALSE())),"?TYPE_IDENTIFIABLE","?REFERENTIAL"),"_")))))</f>
        <v> </v>
      </c>
      <c r="H3183" s="24" t="str">
        <f>IF(J3183&lt;&gt;1,"",IF(I3183="SBJ","CB","?"))</f>
        <v> </v>
      </c>
      <c r="I3183" s="25" t="str">
        <f>IF(OR(E3183="",E3183="!!!",F3183="NEW"),"",INDEX(B3182:B$2,-1+SUMPRODUCT(MAX(ROW(E3182:E$2)*(E3183=E3182:E$2)))))</f>
        <v> </v>
      </c>
      <c r="J3183" s="25" t="str">
        <f>IF(OR(E3183="",E3183="!!!",F3183="NEW"),"",COUNTBLANK(OFFSET(A$1,,,SUMPRODUCT(MAX(ROW(E$2:E3183)*(E3183=E$2:E3183)))))-COUNTBLANK(OFFSET(A$1,,,SUMPRODUCT(MAX(ROW(E$1:E3182)*(E2=E$1:E3182))))))</f>
        <v> </v>
      </c>
      <c r="K3183" s="25" t="str">
        <f>IF(OR(E3183="",E3183="!!!",F3183="NEW"),"",INDEX(J$1:J3182,SUMPRODUCT(MAX(ROW(E$1:E3182)*(E3183=E$1:E3182)))))</f>
        <v> </v>
      </c>
      <c r="L3183" s="26"/>
    </row>
    <row r="3184" spans="1:12">
      <c r="A3184" s="20" t="s">
        <v>1313</v>
      </c>
      <c r="E3184" s="21">
        <f>IF(D3184="?OLD","!!!","")</f>
        <v/>
      </c>
      <c r="F3184" s="22" t="str">
        <f>IF(OR(E3184="",E3184="!!!"),"",IF(NOT(ISNA(VLOOKUP(E3184,E$1:E3183,1,FALSE()))),"OLD",IF(AND(E3184&lt;&gt;"",E3184&lt;&gt;"!!!"),"NEW","")))</f>
        <v> </v>
      </c>
      <c r="G3184" s="23" t="str">
        <f>IF(OR(E3184="",E3184="!!!"),"",IF(OR(J3184=0,AND(J3184=1,K3184=1),AND(J3184=1,I3184="SBJ"),AND(J3184=1,I3184=0)),"?IN_FOCUS",IF(J3184&lt;=2,"?ACTIVATED",IF(J3184&lt;&gt;"","?FAMILIAR",IF(F3184="NEW",IF(ISNA(VLOOKUP(E3184,#REF!,1,FALSE())),"?TYPE_IDENTIFIABLE","?REFERENTIAL"),"_")))))</f>
        <v> </v>
      </c>
      <c r="H3184" s="24" t="str">
        <f>IF(J3184&lt;&gt;1,"",IF(I3184="SBJ","CB","?"))</f>
        <v> </v>
      </c>
      <c r="I3184" s="25" t="str">
        <f>IF(OR(E3184="",E3184="!!!",F3184="NEW"),"",INDEX(B3183:B$2,-1+SUMPRODUCT(MAX(ROW(E3183:E$2)*(E3184=E3183:E$2)))))</f>
        <v> </v>
      </c>
      <c r="J3184" s="25" t="str">
        <f>IF(OR(E3184="",E3184="!!!",F3184="NEW"),"",COUNTBLANK(OFFSET(A$1,,,SUMPRODUCT(MAX(ROW(E$2:E3184)*(E3184=E$2:E3184)))))-COUNTBLANK(OFFSET(A$1,,,SUMPRODUCT(MAX(ROW(E$1:E3183)*(E2=E$1:E3183))))))</f>
        <v> </v>
      </c>
      <c r="K3184" s="25" t="str">
        <f>IF(OR(E3184="",E3184="!!!",F3184="NEW"),"",INDEX(J$1:J3183,SUMPRODUCT(MAX(ROW(E$1:E3183)*(E3184=E$1:E3183)))))</f>
        <v> </v>
      </c>
      <c r="L3184" s="26"/>
    </row>
    <row r="3185" spans="1:12">
      <c r="A3185" s="20" t="s">
        <v>2135</v>
      </c>
      <c r="B3185" s="27" t="s">
        <v>1045</v>
      </c>
      <c r="C3185" s="27" t="s">
        <v>1050</v>
      </c>
      <c r="D3185" s="27" t="s">
        <v>1030</v>
      </c>
      <c r="E3185" s="21">
        <f>IF(D3185="?OLD","!!!","")</f>
        <v/>
      </c>
      <c r="F3185" s="22" t="str">
        <f>IF(OR(E3185="",E3185="!!!"),"",IF(NOT(ISNA(VLOOKUP(E3185,E$1:E3184,1,FALSE()))),"OLD",IF(AND(E3185&lt;&gt;"",E3185&lt;&gt;"!!!"),"NEW","")))</f>
        <v> </v>
      </c>
      <c r="G3185" s="23" t="str">
        <f>IF(OR(E3185="",E3185="!!!"),"",IF(OR(J3185=0,AND(J3185=1,K3185=1),AND(J3185=1,I3185="SBJ"),AND(J3185=1,I3185=0)),"?IN_FOCUS",IF(J3185&lt;=2,"?ACTIVATED",IF(J3185&lt;&gt;"","?FAMILIAR",IF(F3185="NEW",IF(ISNA(VLOOKUP(E3185,#REF!,1,FALSE())),"?TYPE_IDENTIFIABLE","?REFERENTIAL"),"_")))))</f>
        <v> </v>
      </c>
      <c r="H3185" s="24" t="str">
        <f>IF(J3185&lt;&gt;1,"",IF(I3185="SBJ","CB","?"))</f>
        <v> </v>
      </c>
      <c r="I3185" s="25" t="str">
        <f>IF(OR(E3185="",E3185="!!!",F3185="NEW"),"",INDEX(B3184:B$2,-1+SUMPRODUCT(MAX(ROW(E3184:E$2)*(E3185=E3184:E$2)))))</f>
        <v> </v>
      </c>
      <c r="J3185" s="25" t="str">
        <f>IF(OR(E3185="",E3185="!!!",F3185="NEW"),"",COUNTBLANK(OFFSET(A$1,,,SUMPRODUCT(MAX(ROW(E$2:E3185)*(E3185=E$2:E3185)))))-COUNTBLANK(OFFSET(A$1,,,SUMPRODUCT(MAX(ROW(E$1:E3184)*(E2=E$1:E3184))))))</f>
        <v> </v>
      </c>
      <c r="K3185" s="25" t="str">
        <f>IF(OR(E3185="",E3185="!!!",F3185="NEW"),"",INDEX(J$1:J3184,SUMPRODUCT(MAX(ROW(E$1:E3184)*(E3185=E$1:E3184)))))</f>
        <v> </v>
      </c>
      <c r="L3185" s="26"/>
    </row>
    <row r="3186" spans="1:12">
      <c r="A3186" s="20" t="s">
        <v>1472</v>
      </c>
      <c r="B3186" s="27" t="s">
        <v>1098</v>
      </c>
      <c r="C3186" s="27" t="s">
        <v>1042</v>
      </c>
      <c r="E3186" s="21">
        <f>IF(D3186="?OLD","!!!","")</f>
        <v/>
      </c>
      <c r="F3186" s="22" t="str">
        <f>IF(OR(E3186="",E3186="!!!"),"",IF(NOT(ISNA(VLOOKUP(E3186,E$1:E3185,1,FALSE()))),"OLD",IF(AND(E3186&lt;&gt;"",E3186&lt;&gt;"!!!"),"NEW","")))</f>
        <v> </v>
      </c>
      <c r="G3186" s="23" t="str">
        <f>IF(OR(E3186="",E3186="!!!"),"",IF(OR(J3186=0,AND(J3186=1,K3186=1),AND(J3186=1,I3186="SBJ"),AND(J3186=1,I3186=0)),"?IN_FOCUS",IF(J3186&lt;=2,"?ACTIVATED",IF(J3186&lt;&gt;"","?FAMILIAR",IF(F3186="NEW",IF(ISNA(VLOOKUP(E3186,#REF!,1,FALSE())),"?TYPE_IDENTIFIABLE","?REFERENTIAL"),"_")))))</f>
        <v> </v>
      </c>
      <c r="H3186" s="24" t="str">
        <f>IF(J3186&lt;&gt;1,"",IF(I3186="SBJ","CB","?"))</f>
        <v> </v>
      </c>
      <c r="I3186" s="25" t="str">
        <f>IF(OR(E3186="",E3186="!!!",F3186="NEW"),"",INDEX(B3185:B$2,-1+SUMPRODUCT(MAX(ROW(E3185:E$2)*(E3186=E3185:E$2)))))</f>
        <v> </v>
      </c>
      <c r="J3186" s="25" t="str">
        <f>IF(OR(E3186="",E3186="!!!",F3186="NEW"),"",COUNTBLANK(OFFSET(A$1,,,SUMPRODUCT(MAX(ROW(E$2:E3186)*(E3186=E$2:E3186)))))-COUNTBLANK(OFFSET(A$1,,,SUMPRODUCT(MAX(ROW(E$1:E3185)*(E2=E$1:E3185))))))</f>
        <v> </v>
      </c>
      <c r="K3186" s="25" t="str">
        <f>IF(OR(E3186="",E3186="!!!",F3186="NEW"),"",INDEX(J$1:J3185,SUMPRODUCT(MAX(ROW(E$1:E3185)*(E3186=E$1:E3185)))))</f>
        <v> </v>
      </c>
      <c r="L3186" s="26"/>
    </row>
    <row r="3187" spans="1:12">
      <c r="A3187" s="20" t="s">
        <v>532</v>
      </c>
      <c r="E3187" s="21">
        <f>IF(D3187="?OLD","!!!","")</f>
        <v/>
      </c>
      <c r="F3187" s="22" t="str">
        <f>IF(OR(E3187="",E3187="!!!"),"",IF(NOT(ISNA(VLOOKUP(E3187,E$1:E3186,1,FALSE()))),"OLD",IF(AND(E3187&lt;&gt;"",E3187&lt;&gt;"!!!"),"NEW","")))</f>
        <v> </v>
      </c>
      <c r="G3187" s="23" t="str">
        <f>IF(OR(E3187="",E3187="!!!"),"",IF(OR(J3187=0,AND(J3187=1,K3187=1),AND(J3187=1,I3187="SBJ"),AND(J3187=1,I3187=0)),"?IN_FOCUS",IF(J3187&lt;=2,"?ACTIVATED",IF(J3187&lt;&gt;"","?FAMILIAR",IF(F3187="NEW",IF(ISNA(VLOOKUP(E3187,#REF!,1,FALSE())),"?TYPE_IDENTIFIABLE","?REFERENTIAL"),"_")))))</f>
        <v> </v>
      </c>
      <c r="H3187" s="24" t="str">
        <f>IF(J3187&lt;&gt;1,"",IF(I3187="SBJ","CB","?"))</f>
        <v> </v>
      </c>
      <c r="I3187" s="25" t="str">
        <f>IF(OR(E3187="",E3187="!!!",F3187="NEW"),"",INDEX(B3186:B$2,-1+SUMPRODUCT(MAX(ROW(E3186:E$2)*(E3187=E3186:E$2)))))</f>
        <v> </v>
      </c>
      <c r="J3187" s="25" t="str">
        <f>IF(OR(E3187="",E3187="!!!",F3187="NEW"),"",COUNTBLANK(OFFSET(A$1,,,SUMPRODUCT(MAX(ROW(E$2:E3187)*(E3187=E$2:E3187)))))-COUNTBLANK(OFFSET(A$1,,,SUMPRODUCT(MAX(ROW(E$1:E3186)*(E2=E$1:E3186))))))</f>
        <v> </v>
      </c>
      <c r="K3187" s="25" t="str">
        <f>IF(OR(E3187="",E3187="!!!",F3187="NEW"),"",INDEX(J$1:J3186,SUMPRODUCT(MAX(ROW(E$1:E3186)*(E3187=E$1:E3186)))))</f>
        <v> </v>
      </c>
      <c r="L3187" s="26"/>
    </row>
    <row r="3188" spans="1:12">
      <c r="A3188" s="20" t="s">
        <v>135</v>
      </c>
      <c r="E3188" s="21">
        <f>IF(D3188="?OLD","!!!","")</f>
        <v/>
      </c>
      <c r="F3188" s="22" t="str">
        <f>IF(OR(E3188="",E3188="!!!"),"",IF(NOT(ISNA(VLOOKUP(E3188,E$1:E3187,1,FALSE()))),"OLD",IF(AND(E3188&lt;&gt;"",E3188&lt;&gt;"!!!"),"NEW","")))</f>
        <v> </v>
      </c>
      <c r="G3188" s="23" t="str">
        <f>IF(OR(E3188="",E3188="!!!"),"",IF(OR(J3188=0,AND(J3188=1,K3188=1),AND(J3188=1,I3188="SBJ"),AND(J3188=1,I3188=0)),"?IN_FOCUS",IF(J3188&lt;=2,"?ACTIVATED",IF(J3188&lt;&gt;"","?FAMILIAR",IF(F3188="NEW",IF(ISNA(VLOOKUP(E3188,#REF!,1,FALSE())),"?TYPE_IDENTIFIABLE","?REFERENTIAL"),"_")))))</f>
        <v> </v>
      </c>
      <c r="H3188" s="24" t="str">
        <f>IF(J3188&lt;&gt;1,"",IF(I3188="SBJ","CB","?"))</f>
        <v> </v>
      </c>
      <c r="I3188" s="25" t="str">
        <f>IF(OR(E3188="",E3188="!!!",F3188="NEW"),"",INDEX(B3187:B$2,-1+SUMPRODUCT(MAX(ROW(E3187:E$2)*(E3188=E3187:E$2)))))</f>
        <v> </v>
      </c>
      <c r="J3188" s="25" t="str">
        <f>IF(OR(E3188="",E3188="!!!",F3188="NEW"),"",COUNTBLANK(OFFSET(A$1,,,SUMPRODUCT(MAX(ROW(E$2:E3188)*(E3188=E$2:E3188)))))-COUNTBLANK(OFFSET(A$1,,,SUMPRODUCT(MAX(ROW(E$1:E3187)*(E2=E$1:E3187))))))</f>
        <v> </v>
      </c>
      <c r="K3188" s="25" t="str">
        <f>IF(OR(E3188="",E3188="!!!",F3188="NEW"),"",INDEX(J$1:J3187,SUMPRODUCT(MAX(ROW(E$1:E3187)*(E3188=E$1:E3187)))))</f>
        <v> </v>
      </c>
      <c r="L3188" s="26"/>
    </row>
    <row r="3189" spans="1:12">
      <c r="A3189" s="20"/>
    </row>
    <row r="3190" spans="1:12">
      <c r="A3190" s="20" t="s">
        <v>2136</v>
      </c>
    </row>
    <row r="3191" spans="1:12">
      <c r="A3191" s="20" t="s">
        <v>1453</v>
      </c>
      <c r="E3191" s="21">
        <f>IF(D3191="?OLD","!!!","")</f>
        <v/>
      </c>
      <c r="F3191" s="22" t="str">
        <f>IF(OR(E3191="",E3191="!!!"),"",IF(NOT(ISNA(VLOOKUP(E3191,E$1:E3190,1,FALSE()))),"OLD",IF(AND(E3191&lt;&gt;"",E3191&lt;&gt;"!!!"),"NEW","")))</f>
        <v> </v>
      </c>
      <c r="G3191" s="23" t="str">
        <f>IF(OR(E3191="",E3191="!!!"),"",IF(OR(J3191=0,AND(J3191=1,K3191=1),AND(J3191=1,I3191="SBJ"),AND(J3191=1,I3191=0)),"?IN_FOCUS",IF(J3191&lt;=2,"?ACTIVATED",IF(J3191&lt;&gt;"","?FAMILIAR",IF(F3191="NEW",IF(ISNA(VLOOKUP(E3191,#REF!,1,FALSE())),"?TYPE_IDENTIFIABLE","?REFERENTIAL"),"_")))))</f>
        <v> </v>
      </c>
      <c r="H3191" s="24" t="str">
        <f>IF(J3191&lt;&gt;1,"",IF(I3191="SBJ","CB","?"))</f>
        <v> </v>
      </c>
      <c r="I3191" s="25" t="str">
        <f>IF(OR(E3191="",E3191="!!!",F3191="NEW"),"",INDEX(B3190:B$2,-1+SUMPRODUCT(MAX(ROW(E3190:E$2)*(E3191=E3190:E$2)))))</f>
        <v> </v>
      </c>
      <c r="J3191" s="25" t="str">
        <f>IF(OR(E3191="",E3191="!!!",F3191="NEW"),"",COUNTBLANK(OFFSET(A$1,,,SUMPRODUCT(MAX(ROW(E$2:E3191)*(E3191=E$2:E3191)))))-COUNTBLANK(OFFSET(A$1,,,SUMPRODUCT(MAX(ROW(E$1:E3190)*(E2=E$1:E3190))))))</f>
        <v> </v>
      </c>
      <c r="K3191" s="25" t="str">
        <f>IF(OR(E3191="",E3191="!!!",F3191="NEW"),"",INDEX(J$1:J3190,SUMPRODUCT(MAX(ROW(E$1:E3190)*(E3191=E$1:E3190)))))</f>
        <v> </v>
      </c>
      <c r="L3191" s="26"/>
    </row>
    <row r="3192" spans="1:12">
      <c r="A3192" s="20" t="s">
        <v>1237</v>
      </c>
      <c r="E3192" s="21">
        <f>IF(D3192="?OLD","!!!","")</f>
        <v/>
      </c>
      <c r="F3192" s="22" t="str">
        <f>IF(OR(E3192="",E3192="!!!"),"",IF(NOT(ISNA(VLOOKUP(E3192,E$1:E3191,1,FALSE()))),"OLD",IF(AND(E3192&lt;&gt;"",E3192&lt;&gt;"!!!"),"NEW","")))</f>
        <v> </v>
      </c>
      <c r="G3192" s="23" t="str">
        <f>IF(OR(E3192="",E3192="!!!"),"",IF(OR(J3192=0,AND(J3192=1,K3192=1),AND(J3192=1,I3192="SBJ"),AND(J3192=1,I3192=0)),"?IN_FOCUS",IF(J3192&lt;=2,"?ACTIVATED",IF(J3192&lt;&gt;"","?FAMILIAR",IF(F3192="NEW",IF(ISNA(VLOOKUP(E3192,#REF!,1,FALSE())),"?TYPE_IDENTIFIABLE","?REFERENTIAL"),"_")))))</f>
        <v> </v>
      </c>
      <c r="H3192" s="24" t="str">
        <f>IF(J3192&lt;&gt;1,"",IF(I3192="SBJ","CB","?"))</f>
        <v> </v>
      </c>
      <c r="I3192" s="25" t="str">
        <f>IF(OR(E3192="",E3192="!!!",F3192="NEW"),"",INDEX(B3191:B$2,-1+SUMPRODUCT(MAX(ROW(E3191:E$2)*(E3192=E3191:E$2)))))</f>
        <v> </v>
      </c>
      <c r="J3192" s="25" t="str">
        <f>IF(OR(E3192="",E3192="!!!",F3192="NEW"),"",COUNTBLANK(OFFSET(A$1,,,SUMPRODUCT(MAX(ROW(E$2:E3192)*(E3192=E$2:E3192)))))-COUNTBLANK(OFFSET(A$1,,,SUMPRODUCT(MAX(ROW(E$1:E3191)*(E2=E$1:E3191))))))</f>
        <v> </v>
      </c>
      <c r="K3192" s="25" t="str">
        <f>IF(OR(E3192="",E3192="!!!",F3192="NEW"),"",INDEX(J$1:J3191,SUMPRODUCT(MAX(ROW(E$1:E3191)*(E3192=E$1:E3191)))))</f>
        <v> </v>
      </c>
      <c r="L3192" s="26"/>
    </row>
    <row r="3193" spans="1:12">
      <c r="A3193" s="20" t="s">
        <v>2137</v>
      </c>
      <c r="E3193" s="21">
        <f>IF(D3193="?OLD","!!!","")</f>
        <v/>
      </c>
      <c r="F3193" s="22" t="str">
        <f>IF(OR(E3193="",E3193="!!!"),"",IF(NOT(ISNA(VLOOKUP(E3193,E$1:E3192,1,FALSE()))),"OLD",IF(AND(E3193&lt;&gt;"",E3193&lt;&gt;"!!!"),"NEW","")))</f>
        <v> </v>
      </c>
      <c r="G3193" s="23" t="str">
        <f>IF(OR(E3193="",E3193="!!!"),"",IF(OR(J3193=0,AND(J3193=1,K3193=1),AND(J3193=1,I3193="SBJ"),AND(J3193=1,I3193=0)),"?IN_FOCUS",IF(J3193&lt;=2,"?ACTIVATED",IF(J3193&lt;&gt;"","?FAMILIAR",IF(F3193="NEW",IF(ISNA(VLOOKUP(E3193,#REF!,1,FALSE())),"?TYPE_IDENTIFIABLE","?REFERENTIAL"),"_")))))</f>
        <v> </v>
      </c>
      <c r="H3193" s="24" t="str">
        <f>IF(J3193&lt;&gt;1,"",IF(I3193="SBJ","CB","?"))</f>
        <v> </v>
      </c>
      <c r="I3193" s="25" t="str">
        <f>IF(OR(E3193="",E3193="!!!",F3193="NEW"),"",INDEX(B3192:B$2,-1+SUMPRODUCT(MAX(ROW(E3192:E$2)*(E3193=E3192:E$2)))))</f>
        <v> </v>
      </c>
      <c r="J3193" s="25" t="str">
        <f>IF(OR(E3193="",E3193="!!!",F3193="NEW"),"",COUNTBLANK(OFFSET(A$1,,,SUMPRODUCT(MAX(ROW(E$2:E3193)*(E3193=E$2:E3193)))))-COUNTBLANK(OFFSET(A$1,,,SUMPRODUCT(MAX(ROW(E$1:E3192)*(E2=E$1:E3192))))))</f>
        <v> </v>
      </c>
      <c r="K3193" s="25" t="str">
        <f>IF(OR(E3193="",E3193="!!!",F3193="NEW"),"",INDEX(J$1:J3192,SUMPRODUCT(MAX(ROW(E$1:E3192)*(E3193=E$1:E3192)))))</f>
        <v> </v>
      </c>
      <c r="L3193" s="26"/>
    </row>
    <row r="3194" spans="1:12">
      <c r="A3194" s="20" t="s">
        <v>378</v>
      </c>
      <c r="B3194" s="27" t="s">
        <v>1014</v>
      </c>
      <c r="C3194" s="27" t="s">
        <v>1140</v>
      </c>
      <c r="D3194" s="27" t="s">
        <v>1030</v>
      </c>
      <c r="E3194" s="21">
        <f>IF(D3194="?OLD","!!!","")</f>
        <v/>
      </c>
      <c r="F3194" s="22" t="str">
        <f>IF(OR(E3194="",E3194="!!!"),"",IF(NOT(ISNA(VLOOKUP(E3194,E$1:E3193,1,FALSE()))),"OLD",IF(AND(E3194&lt;&gt;"",E3194&lt;&gt;"!!!"),"NEW","")))</f>
        <v> </v>
      </c>
      <c r="G3194" s="23" t="str">
        <f>IF(OR(E3194="",E3194="!!!"),"",IF(OR(J3194=0,AND(J3194=1,K3194=1),AND(J3194=1,I3194="SBJ"),AND(J3194=1,I3194=0)),"?IN_FOCUS",IF(J3194&lt;=2,"?ACTIVATED",IF(J3194&lt;&gt;"","?FAMILIAR",IF(F3194="NEW",IF(ISNA(VLOOKUP(E3194,#REF!,1,FALSE())),"?TYPE_IDENTIFIABLE","?REFERENTIAL"),"_")))))</f>
        <v> </v>
      </c>
      <c r="H3194" s="24" t="str">
        <f>IF(J3194&lt;&gt;1,"",IF(I3194="SBJ","CB","?"))</f>
        <v> </v>
      </c>
      <c r="I3194" s="25" t="str">
        <f>IF(OR(E3194="",E3194="!!!",F3194="NEW"),"",INDEX(B3193:B$2,-1+SUMPRODUCT(MAX(ROW(E3193:E$2)*(E3194=E3193:E$2)))))</f>
        <v> </v>
      </c>
      <c r="J3194" s="25" t="str">
        <f>IF(OR(E3194="",E3194="!!!",F3194="NEW"),"",COUNTBLANK(OFFSET(A$1,,,SUMPRODUCT(MAX(ROW(E$2:E3194)*(E3194=E$2:E3194)))))-COUNTBLANK(OFFSET(A$1,,,SUMPRODUCT(MAX(ROW(E$1:E3193)*(E2=E$1:E3193))))))</f>
        <v> </v>
      </c>
      <c r="K3194" s="25" t="str">
        <f>IF(OR(E3194="",E3194="!!!",F3194="NEW"),"",INDEX(J$1:J3193,SUMPRODUCT(MAX(ROW(E$1:E3193)*(E3194=E$1:E3193)))))</f>
        <v> </v>
      </c>
      <c r="L3194" s="26"/>
    </row>
    <row r="3195" spans="1:12">
      <c r="A3195" s="20" t="s">
        <v>1094</v>
      </c>
      <c r="B3195" s="27" t="s">
        <v>1085</v>
      </c>
      <c r="E3195" s="21">
        <f>IF(D3195="?OLD","!!!","")</f>
        <v/>
      </c>
      <c r="F3195" s="22" t="str">
        <f>IF(OR(E3195="",E3195="!!!"),"",IF(NOT(ISNA(VLOOKUP(E3195,E$1:E3194,1,FALSE()))),"OLD",IF(AND(E3195&lt;&gt;"",E3195&lt;&gt;"!!!"),"NEW","")))</f>
        <v> </v>
      </c>
      <c r="G3195" s="23" t="str">
        <f>IF(OR(E3195="",E3195="!!!"),"",IF(OR(J3195=0,AND(J3195=1,K3195=1),AND(J3195=1,I3195="SBJ"),AND(J3195=1,I3195=0)),"?IN_FOCUS",IF(J3195&lt;=2,"?ACTIVATED",IF(J3195&lt;&gt;"","?FAMILIAR",IF(F3195="NEW",IF(ISNA(VLOOKUP(E3195,#REF!,1,FALSE())),"?TYPE_IDENTIFIABLE","?REFERENTIAL"),"_")))))</f>
        <v> </v>
      </c>
      <c r="H3195" s="24" t="str">
        <f>IF(J3195&lt;&gt;1,"",IF(I3195="SBJ","CB","?"))</f>
        <v> </v>
      </c>
      <c r="I3195" s="25" t="str">
        <f>IF(OR(E3195="",E3195="!!!",F3195="NEW"),"",INDEX(B3194:B$2,-1+SUMPRODUCT(MAX(ROW(E3194:E$2)*(E3195=E3194:E$2)))))</f>
        <v> </v>
      </c>
      <c r="J3195" s="25" t="str">
        <f>IF(OR(E3195="",E3195="!!!",F3195="NEW"),"",COUNTBLANK(OFFSET(A$1,,,SUMPRODUCT(MAX(ROW(E$2:E3195)*(E3195=E$2:E3195)))))-COUNTBLANK(OFFSET(A$1,,,SUMPRODUCT(MAX(ROW(E$1:E3194)*(E2=E$1:E3194))))))</f>
        <v> </v>
      </c>
      <c r="K3195" s="25" t="str">
        <f>IF(OR(E3195="",E3195="!!!",F3195="NEW"),"",INDEX(J$1:J3194,SUMPRODUCT(MAX(ROW(E$1:E3194)*(E3195=E$1:E3194)))))</f>
        <v> </v>
      </c>
      <c r="L3195" s="26"/>
    </row>
    <row r="3196" spans="1:12">
      <c r="A3196" s="20" t="s">
        <v>1057</v>
      </c>
      <c r="E3196" s="21">
        <f>IF(D3196="?OLD","!!!","")</f>
        <v/>
      </c>
      <c r="F3196" s="22" t="str">
        <f>IF(OR(E3196="",E3196="!!!"),"",IF(NOT(ISNA(VLOOKUP(E3196,E$1:E3195,1,FALSE()))),"OLD",IF(AND(E3196&lt;&gt;"",E3196&lt;&gt;"!!!"),"NEW","")))</f>
        <v> </v>
      </c>
      <c r="G3196" s="23" t="str">
        <f>IF(OR(E3196="",E3196="!!!"),"",IF(OR(J3196=0,AND(J3196=1,K3196=1),AND(J3196=1,I3196="SBJ"),AND(J3196=1,I3196=0)),"?IN_FOCUS",IF(J3196&lt;=2,"?ACTIVATED",IF(J3196&lt;&gt;"","?FAMILIAR",IF(F3196="NEW",IF(ISNA(VLOOKUP(E3196,#REF!,1,FALSE())),"?TYPE_IDENTIFIABLE","?REFERENTIAL"),"_")))))</f>
        <v> </v>
      </c>
      <c r="H3196" s="24" t="str">
        <f>IF(J3196&lt;&gt;1,"",IF(I3196="SBJ","CB","?"))</f>
        <v> </v>
      </c>
      <c r="I3196" s="25" t="str">
        <f>IF(OR(E3196="",E3196="!!!",F3196="NEW"),"",INDEX(B3195:B$2,-1+SUMPRODUCT(MAX(ROW(E3195:E$2)*(E3196=E3195:E$2)))))</f>
        <v> </v>
      </c>
      <c r="J3196" s="25" t="str">
        <f>IF(OR(E3196="",E3196="!!!",F3196="NEW"),"",COUNTBLANK(OFFSET(A$1,,,SUMPRODUCT(MAX(ROW(E$2:E3196)*(E3196=E$2:E3196)))))-COUNTBLANK(OFFSET(A$1,,,SUMPRODUCT(MAX(ROW(E$1:E3195)*(E2=E$1:E3195))))))</f>
        <v> </v>
      </c>
      <c r="K3196" s="25" t="str">
        <f>IF(OR(E3196="",E3196="!!!",F3196="NEW"),"",INDEX(J$1:J3195,SUMPRODUCT(MAX(ROW(E$1:E3195)*(E3196=E$1:E3195)))))</f>
        <v> </v>
      </c>
      <c r="L3196" s="26"/>
    </row>
    <row r="3197" spans="1:12">
      <c r="A3197" s="20" t="s">
        <v>2138</v>
      </c>
      <c r="E3197" s="21">
        <f>IF(D3197="?OLD","!!!","")</f>
        <v/>
      </c>
      <c r="F3197" s="22" t="str">
        <f>IF(OR(E3197="",E3197="!!!"),"",IF(NOT(ISNA(VLOOKUP(E3197,E$1:E3196,1,FALSE()))),"OLD",IF(AND(E3197&lt;&gt;"",E3197&lt;&gt;"!!!"),"NEW","")))</f>
        <v> </v>
      </c>
      <c r="G3197" s="23" t="str">
        <f>IF(OR(E3197="",E3197="!!!"),"",IF(OR(J3197=0,AND(J3197=1,K3197=1),AND(J3197=1,I3197="SBJ"),AND(J3197=1,I3197=0)),"?IN_FOCUS",IF(J3197&lt;=2,"?ACTIVATED",IF(J3197&lt;&gt;"","?FAMILIAR",IF(F3197="NEW",IF(ISNA(VLOOKUP(E3197,#REF!,1,FALSE())),"?TYPE_IDENTIFIABLE","?REFERENTIAL"),"_")))))</f>
        <v> </v>
      </c>
      <c r="H3197" s="24" t="str">
        <f>IF(J3197&lt;&gt;1,"",IF(I3197="SBJ","CB","?"))</f>
        <v> </v>
      </c>
      <c r="I3197" s="25" t="str">
        <f>IF(OR(E3197="",E3197="!!!",F3197="NEW"),"",INDEX(B3196:B$2,-1+SUMPRODUCT(MAX(ROW(E3196:E$2)*(E3197=E3196:E$2)))))</f>
        <v> </v>
      </c>
      <c r="J3197" s="25" t="str">
        <f>IF(OR(E3197="",E3197="!!!",F3197="NEW"),"",COUNTBLANK(OFFSET(A$1,,,SUMPRODUCT(MAX(ROW(E$2:E3197)*(E3197=E$2:E3197)))))-COUNTBLANK(OFFSET(A$1,,,SUMPRODUCT(MAX(ROW(E$1:E3196)*(E2=E$1:E3196))))))</f>
        <v> </v>
      </c>
      <c r="K3197" s="25" t="str">
        <f>IF(OR(E3197="",E3197="!!!",F3197="NEW"),"",INDEX(J$1:J3196,SUMPRODUCT(MAX(ROW(E$1:E3196)*(E3197=E$1:E3196)))))</f>
        <v> </v>
      </c>
      <c r="L3197" s="26"/>
    </row>
    <row r="3198" spans="1:12">
      <c r="A3198" s="20" t="s">
        <v>135</v>
      </c>
      <c r="E3198" s="21">
        <f>IF(D3198="?OLD","!!!","")</f>
        <v/>
      </c>
      <c r="F3198" s="22" t="str">
        <f>IF(OR(E3198="",E3198="!!!"),"",IF(NOT(ISNA(VLOOKUP(E3198,E$1:E3197,1,FALSE()))),"OLD",IF(AND(E3198&lt;&gt;"",E3198&lt;&gt;"!!!"),"NEW","")))</f>
        <v> </v>
      </c>
      <c r="G3198" s="23" t="str">
        <f>IF(OR(E3198="",E3198="!!!"),"",IF(OR(J3198=0,AND(J3198=1,K3198=1),AND(J3198=1,I3198="SBJ"),AND(J3198=1,I3198=0)),"?IN_FOCUS",IF(J3198&lt;=2,"?ACTIVATED",IF(J3198&lt;&gt;"","?FAMILIAR",IF(F3198="NEW",IF(ISNA(VLOOKUP(E3198,#REF!,1,FALSE())),"?TYPE_IDENTIFIABLE","?REFERENTIAL"),"_")))))</f>
        <v> </v>
      </c>
      <c r="H3198" s="24" t="str">
        <f>IF(J3198&lt;&gt;1,"",IF(I3198="SBJ","CB","?"))</f>
        <v> </v>
      </c>
      <c r="I3198" s="25" t="str">
        <f>IF(OR(E3198="",E3198="!!!",F3198="NEW"),"",INDEX(B3197:B$2,-1+SUMPRODUCT(MAX(ROW(E3197:E$2)*(E3198=E3197:E$2)))))</f>
        <v> </v>
      </c>
      <c r="J3198" s="25" t="str">
        <f>IF(OR(E3198="",E3198="!!!",F3198="NEW"),"",COUNTBLANK(OFFSET(A$1,,,SUMPRODUCT(MAX(ROW(E$2:E3198)*(E3198=E$2:E3198)))))-COUNTBLANK(OFFSET(A$1,,,SUMPRODUCT(MAX(ROW(E$1:E3197)*(E2=E$1:E3197))))))</f>
        <v> </v>
      </c>
      <c r="K3198" s="25" t="str">
        <f>IF(OR(E3198="",E3198="!!!",F3198="NEW"),"",INDEX(J$1:J3197,SUMPRODUCT(MAX(ROW(E$1:E3197)*(E3198=E$1:E3197)))))</f>
        <v> </v>
      </c>
      <c r="L3198" s="26"/>
    </row>
    <row r="3199" spans="1:12">
      <c r="A3199" s="20"/>
    </row>
    <row r="3200" spans="1:12">
      <c r="A3200" s="20" t="s">
        <v>2139</v>
      </c>
    </row>
    <row r="3201" spans="1:12">
      <c r="A3201" s="20" t="s">
        <v>1709</v>
      </c>
      <c r="E3201" s="21">
        <f>IF(D3201="?OLD","!!!","")</f>
        <v/>
      </c>
      <c r="F3201" s="22" t="str">
        <f>IF(OR(E3201="",E3201="!!!"),"",IF(NOT(ISNA(VLOOKUP(E3201,E$1:E3200,1,FALSE()))),"OLD",IF(AND(E3201&lt;&gt;"",E3201&lt;&gt;"!!!"),"NEW","")))</f>
        <v> </v>
      </c>
      <c r="G3201" s="23" t="str">
        <f>IF(OR(E3201="",E3201="!!!"),"",IF(OR(J3201=0,AND(J3201=1,K3201=1),AND(J3201=1,I3201="SBJ"),AND(J3201=1,I3201=0)),"?IN_FOCUS",IF(J3201&lt;=2,"?ACTIVATED",IF(J3201&lt;&gt;"","?FAMILIAR",IF(F3201="NEW",IF(ISNA(VLOOKUP(E3201,#REF!,1,FALSE())),"?TYPE_IDENTIFIABLE","?REFERENTIAL"),"_")))))</f>
        <v> </v>
      </c>
      <c r="H3201" s="24" t="str">
        <f>IF(J3201&lt;&gt;1,"",IF(I3201="SBJ","CB","?"))</f>
        <v> </v>
      </c>
      <c r="I3201" s="25" t="str">
        <f>IF(OR(E3201="",E3201="!!!",F3201="NEW"),"",INDEX(B3200:B$2,-1+SUMPRODUCT(MAX(ROW(E3200:E$2)*(E3201=E3200:E$2)))))</f>
        <v> </v>
      </c>
      <c r="J3201" s="25" t="str">
        <f>IF(OR(E3201="",E3201="!!!",F3201="NEW"),"",COUNTBLANK(OFFSET(A$1,,,SUMPRODUCT(MAX(ROW(E$2:E3201)*(E3201=E$2:E3201)))))-COUNTBLANK(OFFSET(A$1,,,SUMPRODUCT(MAX(ROW(E$1:E3200)*(E2=E$1:E3200))))))</f>
        <v> </v>
      </c>
      <c r="K3201" s="25" t="str">
        <f>IF(OR(E3201="",E3201="!!!",F3201="NEW"),"",INDEX(J$1:J3200,SUMPRODUCT(MAX(ROW(E$1:E3200)*(E3201=E$1:E3200)))))</f>
        <v> </v>
      </c>
      <c r="L3201" s="26"/>
    </row>
    <row r="3202" spans="1:12">
      <c r="A3202" s="20" t="s">
        <v>1147</v>
      </c>
      <c r="E3202" s="21">
        <f>IF(D3202="?OLD","!!!","")</f>
        <v/>
      </c>
      <c r="F3202" s="22" t="str">
        <f>IF(OR(E3202="",E3202="!!!"),"",IF(NOT(ISNA(VLOOKUP(E3202,E$1:E3201,1,FALSE()))),"OLD",IF(AND(E3202&lt;&gt;"",E3202&lt;&gt;"!!!"),"NEW","")))</f>
        <v> </v>
      </c>
      <c r="G3202" s="23" t="str">
        <f>IF(OR(E3202="",E3202="!!!"),"",IF(OR(J3202=0,AND(J3202=1,K3202=1),AND(J3202=1,I3202="SBJ"),AND(J3202=1,I3202=0)),"?IN_FOCUS",IF(J3202&lt;=2,"?ACTIVATED",IF(J3202&lt;&gt;"","?FAMILIAR",IF(F3202="NEW",IF(ISNA(VLOOKUP(E3202,#REF!,1,FALSE())),"?TYPE_IDENTIFIABLE","?REFERENTIAL"),"_")))))</f>
        <v> </v>
      </c>
      <c r="H3202" s="24" t="str">
        <f>IF(J3202&lt;&gt;1,"",IF(I3202="SBJ","CB","?"))</f>
        <v> </v>
      </c>
      <c r="I3202" s="25" t="str">
        <f>IF(OR(E3202="",E3202="!!!",F3202="NEW"),"",INDEX(B3201:B$2,-1+SUMPRODUCT(MAX(ROW(E3201:E$2)*(E3202=E3201:E$2)))))</f>
        <v> </v>
      </c>
      <c r="J3202" s="25" t="str">
        <f>IF(OR(E3202="",E3202="!!!",F3202="NEW"),"",COUNTBLANK(OFFSET(A$1,,,SUMPRODUCT(MAX(ROW(E$2:E3202)*(E3202=E$2:E3202)))))-COUNTBLANK(OFFSET(A$1,,,SUMPRODUCT(MAX(ROW(E$1:E3201)*(E2=E$1:E3201))))))</f>
        <v> </v>
      </c>
      <c r="K3202" s="25" t="str">
        <f>IF(OR(E3202="",E3202="!!!",F3202="NEW"),"",INDEX(J$1:J3201,SUMPRODUCT(MAX(ROW(E$1:E3201)*(E3202=E$1:E3201)))))</f>
        <v> </v>
      </c>
      <c r="L3202" s="26"/>
    </row>
    <row r="3203" spans="1:12">
      <c r="A3203" s="20" t="s">
        <v>1343</v>
      </c>
      <c r="E3203" s="21">
        <f>IF(D3203="?OLD","!!!","")</f>
        <v/>
      </c>
      <c r="F3203" s="22" t="str">
        <f>IF(OR(E3203="",E3203="!!!"),"",IF(NOT(ISNA(VLOOKUP(E3203,E$1:E3202,1,FALSE()))),"OLD",IF(AND(E3203&lt;&gt;"",E3203&lt;&gt;"!!!"),"NEW","")))</f>
        <v> </v>
      </c>
      <c r="G3203" s="23" t="str">
        <f>IF(OR(E3203="",E3203="!!!"),"",IF(OR(J3203=0,AND(J3203=1,K3203=1),AND(J3203=1,I3203="SBJ"),AND(J3203=1,I3203=0)),"?IN_FOCUS",IF(J3203&lt;=2,"?ACTIVATED",IF(J3203&lt;&gt;"","?FAMILIAR",IF(F3203="NEW",IF(ISNA(VLOOKUP(E3203,#REF!,1,FALSE())),"?TYPE_IDENTIFIABLE","?REFERENTIAL"),"_")))))</f>
        <v> </v>
      </c>
      <c r="H3203" s="24" t="str">
        <f>IF(J3203&lt;&gt;1,"",IF(I3203="SBJ","CB","?"))</f>
        <v> </v>
      </c>
      <c r="I3203" s="25" t="str">
        <f>IF(OR(E3203="",E3203="!!!",F3203="NEW"),"",INDEX(B3202:B$2,-1+SUMPRODUCT(MAX(ROW(E3202:E$2)*(E3203=E3202:E$2)))))</f>
        <v> </v>
      </c>
      <c r="J3203" s="25" t="str">
        <f>IF(OR(E3203="",E3203="!!!",F3203="NEW"),"",COUNTBLANK(OFFSET(A$1,,,SUMPRODUCT(MAX(ROW(E$2:E3203)*(E3203=E$2:E3203)))))-COUNTBLANK(OFFSET(A$1,,,SUMPRODUCT(MAX(ROW(E$1:E3202)*(E2=E$1:E3202))))))</f>
        <v> </v>
      </c>
      <c r="K3203" s="25" t="str">
        <f>IF(OR(E3203="",E3203="!!!",F3203="NEW"),"",INDEX(J$1:J3202,SUMPRODUCT(MAX(ROW(E$1:E3202)*(E3203=E$1:E3202)))))</f>
        <v> </v>
      </c>
      <c r="L3203" s="26"/>
    </row>
    <row r="3204" spans="1:12">
      <c r="A3204" s="20" t="s">
        <v>1123</v>
      </c>
      <c r="B3204" s="27" t="s">
        <v>1014</v>
      </c>
      <c r="C3204" s="27" t="s">
        <v>1050</v>
      </c>
      <c r="D3204" s="27" t="s">
        <v>1030</v>
      </c>
      <c r="E3204" s="21">
        <f>IF(D3204="?OLD","!!!","")</f>
        <v/>
      </c>
      <c r="F3204" s="22" t="str">
        <f>IF(OR(E3204="",E3204="!!!"),"",IF(NOT(ISNA(VLOOKUP(E3204,E$1:E3203,1,FALSE()))),"OLD",IF(AND(E3204&lt;&gt;"",E3204&lt;&gt;"!!!"),"NEW","")))</f>
        <v> </v>
      </c>
      <c r="G3204" s="23" t="str">
        <f>IF(OR(E3204="",E3204="!!!"),"",IF(OR(J3204=0,AND(J3204=1,K3204=1),AND(J3204=1,I3204="SBJ"),AND(J3204=1,I3204=0)),"?IN_FOCUS",IF(J3204&lt;=2,"?ACTIVATED",IF(J3204&lt;&gt;"","?FAMILIAR",IF(F3204="NEW",IF(ISNA(VLOOKUP(E3204,#REF!,1,FALSE())),"?TYPE_IDENTIFIABLE","?REFERENTIAL"),"_")))))</f>
        <v> </v>
      </c>
      <c r="H3204" s="24" t="str">
        <f>IF(J3204&lt;&gt;1,"",IF(I3204="SBJ","CB","?"))</f>
        <v> </v>
      </c>
      <c r="I3204" s="25" t="str">
        <f>IF(OR(E3204="",E3204="!!!",F3204="NEW"),"",INDEX(B3203:B$2,-1+SUMPRODUCT(MAX(ROW(E3203:E$2)*(E3204=E3203:E$2)))))</f>
        <v> </v>
      </c>
      <c r="J3204" s="25" t="str">
        <f>IF(OR(E3204="",E3204="!!!",F3204="NEW"),"",COUNTBLANK(OFFSET(A$1,,,SUMPRODUCT(MAX(ROW(E$2:E3204)*(E3204=E$2:E3204)))))-COUNTBLANK(OFFSET(A$1,,,SUMPRODUCT(MAX(ROW(E$1:E3203)*(E2=E$1:E3203))))))</f>
        <v> </v>
      </c>
      <c r="K3204" s="25" t="str">
        <f>IF(OR(E3204="",E3204="!!!",F3204="NEW"),"",INDEX(J$1:J3203,SUMPRODUCT(MAX(ROW(E$1:E3203)*(E3204=E$1:E3203)))))</f>
        <v> </v>
      </c>
      <c r="L3204" s="26"/>
    </row>
    <row r="3205" spans="1:12">
      <c r="A3205" s="20" t="s">
        <v>1025</v>
      </c>
      <c r="E3205" s="21">
        <f>IF(D3205="?OLD","!!!","")</f>
        <v/>
      </c>
      <c r="F3205" s="22" t="str">
        <f>IF(OR(E3205="",E3205="!!!"),"",IF(NOT(ISNA(VLOOKUP(E3205,E$1:E3204,1,FALSE()))),"OLD",IF(AND(E3205&lt;&gt;"",E3205&lt;&gt;"!!!"),"NEW","")))</f>
        <v> </v>
      </c>
      <c r="G3205" s="23" t="str">
        <f>IF(OR(E3205="",E3205="!!!"),"",IF(OR(J3205=0,AND(J3205=1,K3205=1),AND(J3205=1,I3205="SBJ"),AND(J3205=1,I3205=0)),"?IN_FOCUS",IF(J3205&lt;=2,"?ACTIVATED",IF(J3205&lt;&gt;"","?FAMILIAR",IF(F3205="NEW",IF(ISNA(VLOOKUP(E3205,#REF!,1,FALSE())),"?TYPE_IDENTIFIABLE","?REFERENTIAL"),"_")))))</f>
        <v> </v>
      </c>
      <c r="H3205" s="24" t="str">
        <f>IF(J3205&lt;&gt;1,"",IF(I3205="SBJ","CB","?"))</f>
        <v> </v>
      </c>
      <c r="I3205" s="25" t="str">
        <f>IF(OR(E3205="",E3205="!!!",F3205="NEW"),"",INDEX(B3204:B$2,-1+SUMPRODUCT(MAX(ROW(E3204:E$2)*(E3205=E3204:E$2)))))</f>
        <v> </v>
      </c>
      <c r="J3205" s="25" t="str">
        <f>IF(OR(E3205="",E3205="!!!",F3205="NEW"),"",COUNTBLANK(OFFSET(A$1,,,SUMPRODUCT(MAX(ROW(E$2:E3205)*(E3205=E$2:E3205)))))-COUNTBLANK(OFFSET(A$1,,,SUMPRODUCT(MAX(ROW(E$1:E3204)*(E2=E$1:E3204))))))</f>
        <v> </v>
      </c>
      <c r="K3205" s="25" t="str">
        <f>IF(OR(E3205="",E3205="!!!",F3205="NEW"),"",INDEX(J$1:J3204,SUMPRODUCT(MAX(ROW(E$1:E3204)*(E3205=E$1:E3204)))))</f>
        <v> </v>
      </c>
      <c r="L3205" s="26"/>
    </row>
    <row r="3206" spans="1:12">
      <c r="A3206" s="20" t="s">
        <v>1491</v>
      </c>
      <c r="B3206" s="27" t="s">
        <v>1045</v>
      </c>
      <c r="C3206" s="27" t="s">
        <v>1015</v>
      </c>
      <c r="E3206" s="21">
        <f>IF(D3206="?OLD","!!!","")</f>
        <v/>
      </c>
      <c r="F3206" s="22" t="str">
        <f>IF(OR(E3206="",E3206="!!!"),"",IF(NOT(ISNA(VLOOKUP(E3206,E$1:E3205,1,FALSE()))),"OLD",IF(AND(E3206&lt;&gt;"",E3206&lt;&gt;"!!!"),"NEW","")))</f>
        <v> </v>
      </c>
      <c r="G3206" s="23" t="str">
        <f>IF(OR(E3206="",E3206="!!!"),"",IF(OR(J3206=0,AND(J3206=1,K3206=1),AND(J3206=1,I3206="SBJ"),AND(J3206=1,I3206=0)),"?IN_FOCUS",IF(J3206&lt;=2,"?ACTIVATED",IF(J3206&lt;&gt;"","?FAMILIAR",IF(F3206="NEW",IF(ISNA(VLOOKUP(E3206,#REF!,1,FALSE())),"?TYPE_IDENTIFIABLE","?REFERENTIAL"),"_")))))</f>
        <v> </v>
      </c>
      <c r="H3206" s="24" t="str">
        <f>IF(J3206&lt;&gt;1,"",IF(I3206="SBJ","CB","?"))</f>
        <v> </v>
      </c>
      <c r="I3206" s="25" t="str">
        <f>IF(OR(E3206="",E3206="!!!",F3206="NEW"),"",INDEX(B3205:B$2,-1+SUMPRODUCT(MAX(ROW(E3205:E$2)*(E3206=E3205:E$2)))))</f>
        <v> </v>
      </c>
      <c r="J3206" s="25" t="str">
        <f>IF(OR(E3206="",E3206="!!!",F3206="NEW"),"",COUNTBLANK(OFFSET(A$1,,,SUMPRODUCT(MAX(ROW(E$2:E3206)*(E3206=E$2:E3206)))))-COUNTBLANK(OFFSET(A$1,,,SUMPRODUCT(MAX(ROW(E$1:E3205)*(E2=E$1:E3205))))))</f>
        <v> </v>
      </c>
      <c r="K3206" s="25" t="str">
        <f>IF(OR(E3206="",E3206="!!!",F3206="NEW"),"",INDEX(J$1:J3205,SUMPRODUCT(MAX(ROW(E$1:E3205)*(E3206=E$1:E3205)))))</f>
        <v> </v>
      </c>
      <c r="L3206" s="26"/>
    </row>
    <row r="3207" spans="1:12">
      <c r="A3207" s="20" t="s">
        <v>1188</v>
      </c>
      <c r="E3207" s="21">
        <f>IF(D3207="?OLD","!!!","")</f>
        <v/>
      </c>
      <c r="F3207" s="22" t="str">
        <f>IF(OR(E3207="",E3207="!!!"),"",IF(NOT(ISNA(VLOOKUP(E3207,E$1:E3206,1,FALSE()))),"OLD",IF(AND(E3207&lt;&gt;"",E3207&lt;&gt;"!!!"),"NEW","")))</f>
        <v> </v>
      </c>
      <c r="G3207" s="23" t="str">
        <f>IF(OR(E3207="",E3207="!!!"),"",IF(OR(J3207=0,AND(J3207=1,K3207=1),AND(J3207=1,I3207="SBJ"),AND(J3207=1,I3207=0)),"?IN_FOCUS",IF(J3207&lt;=2,"?ACTIVATED",IF(J3207&lt;&gt;"","?FAMILIAR",IF(F3207="NEW",IF(ISNA(VLOOKUP(E3207,#REF!,1,FALSE())),"?TYPE_IDENTIFIABLE","?REFERENTIAL"),"_")))))</f>
        <v> </v>
      </c>
      <c r="H3207" s="24" t="str">
        <f>IF(J3207&lt;&gt;1,"",IF(I3207="SBJ","CB","?"))</f>
        <v> </v>
      </c>
      <c r="I3207" s="25" t="str">
        <f>IF(OR(E3207="",E3207="!!!",F3207="NEW"),"",INDEX(B3206:B$2,-1+SUMPRODUCT(MAX(ROW(E3206:E$2)*(E3207=E3206:E$2)))))</f>
        <v> </v>
      </c>
      <c r="J3207" s="25" t="str">
        <f>IF(OR(E3207="",E3207="!!!",F3207="NEW"),"",COUNTBLANK(OFFSET(A$1,,,SUMPRODUCT(MAX(ROW(E$2:E3207)*(E3207=E$2:E3207)))))-COUNTBLANK(OFFSET(A$1,,,SUMPRODUCT(MAX(ROW(E$1:E3206)*(E2=E$1:E3206))))))</f>
        <v> </v>
      </c>
      <c r="K3207" s="25" t="str">
        <f>IF(OR(E3207="",E3207="!!!",F3207="NEW"),"",INDEX(J$1:J3206,SUMPRODUCT(MAX(ROW(E$1:E3206)*(E3207=E$1:E3206)))))</f>
        <v> </v>
      </c>
      <c r="L3207" s="26"/>
    </row>
    <row r="3208" spans="1:12">
      <c r="A3208" s="20" t="s">
        <v>2140</v>
      </c>
      <c r="E3208" s="21">
        <f>IF(D3208="?OLD","!!!","")</f>
        <v/>
      </c>
      <c r="F3208" s="22" t="str">
        <f>IF(OR(E3208="",E3208="!!!"),"",IF(NOT(ISNA(VLOOKUP(E3208,E$1:E3207,1,FALSE()))),"OLD",IF(AND(E3208&lt;&gt;"",E3208&lt;&gt;"!!!"),"NEW","")))</f>
        <v> </v>
      </c>
      <c r="G3208" s="23" t="str">
        <f>IF(OR(E3208="",E3208="!!!"),"",IF(OR(J3208=0,AND(J3208=1,K3208=1),AND(J3208=1,I3208="SBJ"),AND(J3208=1,I3208=0)),"?IN_FOCUS",IF(J3208&lt;=2,"?ACTIVATED",IF(J3208&lt;&gt;"","?FAMILIAR",IF(F3208="NEW",IF(ISNA(VLOOKUP(E3208,#REF!,1,FALSE())),"?TYPE_IDENTIFIABLE","?REFERENTIAL"),"_")))))</f>
        <v> </v>
      </c>
      <c r="H3208" s="24" t="str">
        <f>IF(J3208&lt;&gt;1,"",IF(I3208="SBJ","CB","?"))</f>
        <v> </v>
      </c>
      <c r="I3208" s="25" t="str">
        <f>IF(OR(E3208="",E3208="!!!",F3208="NEW"),"",INDEX(B3207:B$2,-1+SUMPRODUCT(MAX(ROW(E3207:E$2)*(E3208=E3207:E$2)))))</f>
        <v> </v>
      </c>
      <c r="J3208" s="25" t="str">
        <f>IF(OR(E3208="",E3208="!!!",F3208="NEW"),"",COUNTBLANK(OFFSET(A$1,,,SUMPRODUCT(MAX(ROW(E$2:E3208)*(E3208=E$2:E3208)))))-COUNTBLANK(OFFSET(A$1,,,SUMPRODUCT(MAX(ROW(E$1:E3207)*(E2=E$1:E3207))))))</f>
        <v> </v>
      </c>
      <c r="K3208" s="25" t="str">
        <f>IF(OR(E3208="",E3208="!!!",F3208="NEW"),"",INDEX(J$1:J3207,SUMPRODUCT(MAX(ROW(E$1:E3207)*(E3208=E$1:E3207)))))</f>
        <v> </v>
      </c>
      <c r="L3208" s="26"/>
    </row>
    <row r="3209" spans="1:12">
      <c r="A3209" s="20" t="s">
        <v>135</v>
      </c>
      <c r="E3209" s="21">
        <f>IF(D3209="?OLD","!!!","")</f>
        <v/>
      </c>
      <c r="F3209" s="22" t="str">
        <f>IF(OR(E3209="",E3209="!!!"),"",IF(NOT(ISNA(VLOOKUP(E3209,E$1:E3208,1,FALSE()))),"OLD",IF(AND(E3209&lt;&gt;"",E3209&lt;&gt;"!!!"),"NEW","")))</f>
        <v> </v>
      </c>
      <c r="G3209" s="23" t="str">
        <f>IF(OR(E3209="",E3209="!!!"),"",IF(OR(J3209=0,AND(J3209=1,K3209=1),AND(J3209=1,I3209="SBJ"),AND(J3209=1,I3209=0)),"?IN_FOCUS",IF(J3209&lt;=2,"?ACTIVATED",IF(J3209&lt;&gt;"","?FAMILIAR",IF(F3209="NEW",IF(ISNA(VLOOKUP(E3209,#REF!,1,FALSE())),"?TYPE_IDENTIFIABLE","?REFERENTIAL"),"_")))))</f>
        <v> </v>
      </c>
      <c r="H3209" s="24" t="str">
        <f>IF(J3209&lt;&gt;1,"",IF(I3209="SBJ","CB","?"))</f>
        <v> </v>
      </c>
      <c r="I3209" s="25" t="str">
        <f>IF(OR(E3209="",E3209="!!!",F3209="NEW"),"",INDEX(B3208:B$2,-1+SUMPRODUCT(MAX(ROW(E3208:E$2)*(E3209=E3208:E$2)))))</f>
        <v> </v>
      </c>
      <c r="J3209" s="25" t="str">
        <f>IF(OR(E3209="",E3209="!!!",F3209="NEW"),"",COUNTBLANK(OFFSET(A$1,,,SUMPRODUCT(MAX(ROW(E$2:E3209)*(E3209=E$2:E3209)))))-COUNTBLANK(OFFSET(A$1,,,SUMPRODUCT(MAX(ROW(E$1:E3208)*(E2=E$1:E3208))))))</f>
        <v> </v>
      </c>
      <c r="K3209" s="25" t="str">
        <f>IF(OR(E3209="",E3209="!!!",F3209="NEW"),"",INDEX(J$1:J3208,SUMPRODUCT(MAX(ROW(E$1:E3208)*(E3209=E$1:E3208)))))</f>
        <v> </v>
      </c>
      <c r="L3209" s="26"/>
    </row>
    <row r="3210" spans="1:12">
      <c r="A3210" s="20"/>
    </row>
    <row r="3211" spans="1:12">
      <c r="A3211" s="20" t="s">
        <v>2141</v>
      </c>
    </row>
    <row r="3212" spans="1:12">
      <c r="A3212" s="20" t="s">
        <v>1062</v>
      </c>
      <c r="E3212" s="21">
        <f>IF(D3212="?OLD","!!!","")</f>
        <v/>
      </c>
      <c r="F3212" s="22" t="str">
        <f>IF(OR(E3212="",E3212="!!!"),"",IF(NOT(ISNA(VLOOKUP(E3212,E$1:E3211,1,FALSE()))),"OLD",IF(AND(E3212&lt;&gt;"",E3212&lt;&gt;"!!!"),"NEW","")))</f>
        <v> </v>
      </c>
      <c r="G3212" s="23" t="str">
        <f>IF(OR(E3212="",E3212="!!!"),"",IF(OR(J3212=0,AND(J3212=1,K3212=1),AND(J3212=1,I3212="SBJ"),AND(J3212=1,I3212=0)),"?IN_FOCUS",IF(J3212&lt;=2,"?ACTIVATED",IF(J3212&lt;&gt;"","?FAMILIAR",IF(F3212="NEW",IF(ISNA(VLOOKUP(E3212,#REF!,1,FALSE())),"?TYPE_IDENTIFIABLE","?REFERENTIAL"),"_")))))</f>
        <v> </v>
      </c>
      <c r="H3212" s="24" t="str">
        <f>IF(J3212&lt;&gt;1,"",IF(I3212="SBJ","CB","?"))</f>
        <v> </v>
      </c>
      <c r="I3212" s="25" t="str">
        <f>IF(OR(E3212="",E3212="!!!",F3212="NEW"),"",INDEX(B3211:B$2,-1+SUMPRODUCT(MAX(ROW(E3211:E$2)*(E3212=E3211:E$2)))))</f>
        <v> </v>
      </c>
      <c r="J3212" s="25" t="str">
        <f>IF(OR(E3212="",E3212="!!!",F3212="NEW"),"",COUNTBLANK(OFFSET(A$1,,,SUMPRODUCT(MAX(ROW(E$2:E3212)*(E3212=E$2:E3212)))))-COUNTBLANK(OFFSET(A$1,,,SUMPRODUCT(MAX(ROW(E$1:E3211)*(E2=E$1:E3211))))))</f>
        <v> </v>
      </c>
      <c r="K3212" s="25" t="str">
        <f>IF(OR(E3212="",E3212="!!!",F3212="NEW"),"",INDEX(J$1:J3211,SUMPRODUCT(MAX(ROW(E$1:E3211)*(E3212=E$1:E3211)))))</f>
        <v> </v>
      </c>
      <c r="L3212" s="26"/>
    </row>
    <row r="3213" spans="1:12">
      <c r="A3213" s="20" t="s">
        <v>1049</v>
      </c>
      <c r="E3213" s="21">
        <f>IF(D3213="?OLD","!!!","")</f>
        <v/>
      </c>
      <c r="F3213" s="22" t="str">
        <f>IF(OR(E3213="",E3213="!!!"),"",IF(NOT(ISNA(VLOOKUP(E3213,E$1:E3212,1,FALSE()))),"OLD",IF(AND(E3213&lt;&gt;"",E3213&lt;&gt;"!!!"),"NEW","")))</f>
        <v> </v>
      </c>
      <c r="G3213" s="23" t="str">
        <f>IF(OR(E3213="",E3213="!!!"),"",IF(OR(J3213=0,AND(J3213=1,K3213=1),AND(J3213=1,I3213="SBJ"),AND(J3213=1,I3213=0)),"?IN_FOCUS",IF(J3213&lt;=2,"?ACTIVATED",IF(J3213&lt;&gt;"","?FAMILIAR",IF(F3213="NEW",IF(ISNA(VLOOKUP(E3213,#REF!,1,FALSE())),"?TYPE_IDENTIFIABLE","?REFERENTIAL"),"_")))))</f>
        <v> </v>
      </c>
      <c r="H3213" s="24" t="str">
        <f>IF(J3213&lt;&gt;1,"",IF(I3213="SBJ","CB","?"))</f>
        <v> </v>
      </c>
      <c r="I3213" s="25" t="str">
        <f>IF(OR(E3213="",E3213="!!!",F3213="NEW"),"",INDEX(B3212:B$2,-1+SUMPRODUCT(MAX(ROW(E3212:E$2)*(E3213=E3212:E$2)))))</f>
        <v> </v>
      </c>
      <c r="J3213" s="25" t="str">
        <f>IF(OR(E3213="",E3213="!!!",F3213="NEW"),"",COUNTBLANK(OFFSET(A$1,,,SUMPRODUCT(MAX(ROW(E$2:E3213)*(E3213=E$2:E3213)))))-COUNTBLANK(OFFSET(A$1,,,SUMPRODUCT(MAX(ROW(E$1:E3212)*(E2=E$1:E3212))))))</f>
        <v> </v>
      </c>
      <c r="K3213" s="25" t="str">
        <f>IF(OR(E3213="",E3213="!!!",F3213="NEW"),"",INDEX(J$1:J3212,SUMPRODUCT(MAX(ROW(E$1:E3212)*(E3213=E$1:E3212)))))</f>
        <v> </v>
      </c>
      <c r="L3213" s="26"/>
    </row>
    <row r="3214" spans="1:12">
      <c r="A3214" s="20" t="s">
        <v>1266</v>
      </c>
      <c r="E3214" s="21">
        <f>IF(D3214="?OLD","!!!","")</f>
        <v/>
      </c>
      <c r="F3214" s="22" t="str">
        <f>IF(OR(E3214="",E3214="!!!"),"",IF(NOT(ISNA(VLOOKUP(E3214,E$1:E3213,1,FALSE()))),"OLD",IF(AND(E3214&lt;&gt;"",E3214&lt;&gt;"!!!"),"NEW","")))</f>
        <v> </v>
      </c>
      <c r="G3214" s="23" t="str">
        <f>IF(OR(E3214="",E3214="!!!"),"",IF(OR(J3214=0,AND(J3214=1,K3214=1),AND(J3214=1,I3214="SBJ"),AND(J3214=1,I3214=0)),"?IN_FOCUS",IF(J3214&lt;=2,"?ACTIVATED",IF(J3214&lt;&gt;"","?FAMILIAR",IF(F3214="NEW",IF(ISNA(VLOOKUP(E3214,#REF!,1,FALSE())),"?TYPE_IDENTIFIABLE","?REFERENTIAL"),"_")))))</f>
        <v> </v>
      </c>
      <c r="H3214" s="24" t="str">
        <f>IF(J3214&lt;&gt;1,"",IF(I3214="SBJ","CB","?"))</f>
        <v> </v>
      </c>
      <c r="I3214" s="25" t="str">
        <f>IF(OR(E3214="",E3214="!!!",F3214="NEW"),"",INDEX(B3213:B$2,-1+SUMPRODUCT(MAX(ROW(E3213:E$2)*(E3214=E3213:E$2)))))</f>
        <v> </v>
      </c>
      <c r="J3214" s="25" t="str">
        <f>IF(OR(E3214="",E3214="!!!",F3214="NEW"),"",COUNTBLANK(OFFSET(A$1,,,SUMPRODUCT(MAX(ROW(E$2:E3214)*(E3214=E$2:E3214)))))-COUNTBLANK(OFFSET(A$1,,,SUMPRODUCT(MAX(ROW(E$1:E3213)*(E2=E$1:E3213))))))</f>
        <v> </v>
      </c>
      <c r="K3214" s="25" t="str">
        <f>IF(OR(E3214="",E3214="!!!",F3214="NEW"),"",INDEX(J$1:J3213,SUMPRODUCT(MAX(ROW(E$1:E3213)*(E3214=E$1:E3213)))))</f>
        <v> </v>
      </c>
      <c r="L3214" s="26"/>
    </row>
    <row r="3215" spans="1:12">
      <c r="A3215" s="20" t="s">
        <v>1016</v>
      </c>
      <c r="E3215" s="21">
        <f>IF(D3215="?OLD","!!!","")</f>
        <v/>
      </c>
      <c r="F3215" s="22" t="str">
        <f>IF(OR(E3215="",E3215="!!!"),"",IF(NOT(ISNA(VLOOKUP(E3215,E$1:E3214,1,FALSE()))),"OLD",IF(AND(E3215&lt;&gt;"",E3215&lt;&gt;"!!!"),"NEW","")))</f>
        <v> </v>
      </c>
      <c r="G3215" s="23" t="str">
        <f>IF(OR(E3215="",E3215="!!!"),"",IF(OR(J3215=0,AND(J3215=1,K3215=1),AND(J3215=1,I3215="SBJ"),AND(J3215=1,I3215=0)),"?IN_FOCUS",IF(J3215&lt;=2,"?ACTIVATED",IF(J3215&lt;&gt;"","?FAMILIAR",IF(F3215="NEW",IF(ISNA(VLOOKUP(E3215,#REF!,1,FALSE())),"?TYPE_IDENTIFIABLE","?REFERENTIAL"),"_")))))</f>
        <v> </v>
      </c>
      <c r="H3215" s="24" t="str">
        <f>IF(J3215&lt;&gt;1,"",IF(I3215="SBJ","CB","?"))</f>
        <v> </v>
      </c>
      <c r="I3215" s="25" t="str">
        <f>IF(OR(E3215="",E3215="!!!",F3215="NEW"),"",INDEX(B3214:B$2,-1+SUMPRODUCT(MAX(ROW(E3214:E$2)*(E3215=E3214:E$2)))))</f>
        <v> </v>
      </c>
      <c r="J3215" s="25" t="str">
        <f>IF(OR(E3215="",E3215="!!!",F3215="NEW"),"",COUNTBLANK(OFFSET(A$1,,,SUMPRODUCT(MAX(ROW(E$2:E3215)*(E3215=E$2:E3215)))))-COUNTBLANK(OFFSET(A$1,,,SUMPRODUCT(MAX(ROW(E$1:E3214)*(E2=E$1:E3214))))))</f>
        <v> </v>
      </c>
      <c r="K3215" s="25" t="str">
        <f>IF(OR(E3215="",E3215="!!!",F3215="NEW"),"",INDEX(J$1:J3214,SUMPRODUCT(MAX(ROW(E$1:E3214)*(E3215=E$1:E3214)))))</f>
        <v> </v>
      </c>
      <c r="L3215" s="26"/>
    </row>
    <row r="3216" spans="1:12">
      <c r="A3216" s="20" t="s">
        <v>1075</v>
      </c>
      <c r="E3216" s="21">
        <f>IF(D3216="?OLD","!!!","")</f>
        <v/>
      </c>
      <c r="F3216" s="22" t="str">
        <f>IF(OR(E3216="",E3216="!!!"),"",IF(NOT(ISNA(VLOOKUP(E3216,E$1:E3215,1,FALSE()))),"OLD",IF(AND(E3216&lt;&gt;"",E3216&lt;&gt;"!!!"),"NEW","")))</f>
        <v> </v>
      </c>
      <c r="G3216" s="23" t="str">
        <f>IF(OR(E3216="",E3216="!!!"),"",IF(OR(J3216=0,AND(J3216=1,K3216=1),AND(J3216=1,I3216="SBJ"),AND(J3216=1,I3216=0)),"?IN_FOCUS",IF(J3216&lt;=2,"?ACTIVATED",IF(J3216&lt;&gt;"","?FAMILIAR",IF(F3216="NEW",IF(ISNA(VLOOKUP(E3216,#REF!,1,FALSE())),"?TYPE_IDENTIFIABLE","?REFERENTIAL"),"_")))))</f>
        <v> </v>
      </c>
      <c r="H3216" s="24" t="str">
        <f>IF(J3216&lt;&gt;1,"",IF(I3216="SBJ","CB","?"))</f>
        <v> </v>
      </c>
      <c r="I3216" s="25" t="str">
        <f>IF(OR(E3216="",E3216="!!!",F3216="NEW"),"",INDEX(B3215:B$2,-1+SUMPRODUCT(MAX(ROW(E3215:E$2)*(E3216=E3215:E$2)))))</f>
        <v> </v>
      </c>
      <c r="J3216" s="25" t="str">
        <f>IF(OR(E3216="",E3216="!!!",F3216="NEW"),"",COUNTBLANK(OFFSET(A$1,,,SUMPRODUCT(MAX(ROW(E$2:E3216)*(E3216=E$2:E3216)))))-COUNTBLANK(OFFSET(A$1,,,SUMPRODUCT(MAX(ROW(E$1:E3215)*(E2=E$1:E3215))))))</f>
        <v> </v>
      </c>
      <c r="K3216" s="25" t="str">
        <f>IF(OR(E3216="",E3216="!!!",F3216="NEW"),"",INDEX(J$1:J3215,SUMPRODUCT(MAX(ROW(E$1:E3215)*(E3216=E$1:E3215)))))</f>
        <v> </v>
      </c>
      <c r="L3216" s="26"/>
    </row>
    <row r="3217" spans="1:12">
      <c r="A3217" s="20" t="s">
        <v>2142</v>
      </c>
      <c r="B3217" s="27" t="s">
        <v>1045</v>
      </c>
      <c r="C3217" s="27" t="s">
        <v>1038</v>
      </c>
      <c r="D3217" s="27" t="s">
        <v>1030</v>
      </c>
      <c r="E3217" s="21">
        <f>IF(D3217="?OLD","!!!","")</f>
        <v/>
      </c>
      <c r="F3217" s="22" t="str">
        <f>IF(OR(E3217="",E3217="!!!"),"",IF(NOT(ISNA(VLOOKUP(E3217,E$1:E3216,1,FALSE()))),"OLD",IF(AND(E3217&lt;&gt;"",E3217&lt;&gt;"!!!"),"NEW","")))</f>
        <v> </v>
      </c>
      <c r="G3217" s="23" t="str">
        <f>IF(OR(E3217="",E3217="!!!"),"",IF(OR(J3217=0,AND(J3217=1,K3217=1),AND(J3217=1,I3217="SBJ"),AND(J3217=1,I3217=0)),"?IN_FOCUS",IF(J3217&lt;=2,"?ACTIVATED",IF(J3217&lt;&gt;"","?FAMILIAR",IF(F3217="NEW",IF(ISNA(VLOOKUP(E3217,#REF!,1,FALSE())),"?TYPE_IDENTIFIABLE","?REFERENTIAL"),"_")))))</f>
        <v> </v>
      </c>
      <c r="H3217" s="24" t="str">
        <f>IF(J3217&lt;&gt;1,"",IF(I3217="SBJ","CB","?"))</f>
        <v> </v>
      </c>
      <c r="I3217" s="25" t="str">
        <f>IF(OR(E3217="",E3217="!!!",F3217="NEW"),"",INDEX(B3216:B$2,-1+SUMPRODUCT(MAX(ROW(E3216:E$2)*(E3217=E3216:E$2)))))</f>
        <v> </v>
      </c>
      <c r="J3217" s="25" t="str">
        <f>IF(OR(E3217="",E3217="!!!",F3217="NEW"),"",COUNTBLANK(OFFSET(A$1,,,SUMPRODUCT(MAX(ROW(E$2:E3217)*(E3217=E$2:E3217)))))-COUNTBLANK(OFFSET(A$1,,,SUMPRODUCT(MAX(ROW(E$1:E3216)*(E2=E$1:E3216))))))</f>
        <v> </v>
      </c>
      <c r="K3217" s="25" t="str">
        <f>IF(OR(E3217="",E3217="!!!",F3217="NEW"),"",INDEX(J$1:J3216,SUMPRODUCT(MAX(ROW(E$1:E3216)*(E3217=E$1:E3216)))))</f>
        <v> </v>
      </c>
      <c r="L3217" s="26"/>
    </row>
    <row r="3218" spans="1:12">
      <c r="A3218" s="20" t="s">
        <v>1022</v>
      </c>
      <c r="E3218" s="21">
        <f>IF(D3218="?OLD","!!!","")</f>
        <v/>
      </c>
      <c r="F3218" s="22" t="str">
        <f>IF(OR(E3218="",E3218="!!!"),"",IF(NOT(ISNA(VLOOKUP(E3218,E$1:E3217,1,FALSE()))),"OLD",IF(AND(E3218&lt;&gt;"",E3218&lt;&gt;"!!!"),"NEW","")))</f>
        <v> </v>
      </c>
      <c r="G3218" s="23" t="str">
        <f>IF(OR(E3218="",E3218="!!!"),"",IF(OR(J3218=0,AND(J3218=1,K3218=1),AND(J3218=1,I3218="SBJ"),AND(J3218=1,I3218=0)),"?IN_FOCUS",IF(J3218&lt;=2,"?ACTIVATED",IF(J3218&lt;&gt;"","?FAMILIAR",IF(F3218="NEW",IF(ISNA(VLOOKUP(E3218,#REF!,1,FALSE())),"?TYPE_IDENTIFIABLE","?REFERENTIAL"),"_")))))</f>
        <v> </v>
      </c>
      <c r="H3218" s="24" t="str">
        <f>IF(J3218&lt;&gt;1,"",IF(I3218="SBJ","CB","?"))</f>
        <v> </v>
      </c>
      <c r="I3218" s="25" t="str">
        <f>IF(OR(E3218="",E3218="!!!",F3218="NEW"),"",INDEX(B3217:B$2,-1+SUMPRODUCT(MAX(ROW(E3217:E$2)*(E3218=E3217:E$2)))))</f>
        <v> </v>
      </c>
      <c r="J3218" s="25" t="str">
        <f>IF(OR(E3218="",E3218="!!!",F3218="NEW"),"",COUNTBLANK(OFFSET(A$1,,,SUMPRODUCT(MAX(ROW(E$2:E3218)*(E3218=E$2:E3218)))))-COUNTBLANK(OFFSET(A$1,,,SUMPRODUCT(MAX(ROW(E$1:E3217)*(E2=E$1:E3217))))))</f>
        <v> </v>
      </c>
      <c r="K3218" s="25" t="str">
        <f>IF(OR(E3218="",E3218="!!!",F3218="NEW"),"",INDEX(J$1:J3217,SUMPRODUCT(MAX(ROW(E$1:E3217)*(E3218=E$1:E3217)))))</f>
        <v> </v>
      </c>
      <c r="L3218" s="26"/>
    </row>
    <row r="3219" spans="1:12">
      <c r="A3219" s="20" t="s">
        <v>972</v>
      </c>
      <c r="E3219" s="21">
        <f>IF(D3219="?OLD","!!!","")</f>
        <v/>
      </c>
      <c r="F3219" s="22" t="str">
        <f>IF(OR(E3219="",E3219="!!!"),"",IF(NOT(ISNA(VLOOKUP(E3219,E$1:E3218,1,FALSE()))),"OLD",IF(AND(E3219&lt;&gt;"",E3219&lt;&gt;"!!!"),"NEW","")))</f>
        <v> </v>
      </c>
      <c r="G3219" s="23" t="str">
        <f>IF(OR(E3219="",E3219="!!!"),"",IF(OR(J3219=0,AND(J3219=1,K3219=1),AND(J3219=1,I3219="SBJ"),AND(J3219=1,I3219=0)),"?IN_FOCUS",IF(J3219&lt;=2,"?ACTIVATED",IF(J3219&lt;&gt;"","?FAMILIAR",IF(F3219="NEW",IF(ISNA(VLOOKUP(E3219,#REF!,1,FALSE())),"?TYPE_IDENTIFIABLE","?REFERENTIAL"),"_")))))</f>
        <v> </v>
      </c>
      <c r="H3219" s="24" t="str">
        <f>IF(J3219&lt;&gt;1,"",IF(I3219="SBJ","CB","?"))</f>
        <v> </v>
      </c>
      <c r="I3219" s="25" t="str">
        <f>IF(OR(E3219="",E3219="!!!",F3219="NEW"),"",INDEX(B3218:B$2,-1+SUMPRODUCT(MAX(ROW(E3218:E$2)*(E3219=E3218:E$2)))))</f>
        <v> </v>
      </c>
      <c r="J3219" s="25" t="str">
        <f>IF(OR(E3219="",E3219="!!!",F3219="NEW"),"",COUNTBLANK(OFFSET(A$1,,,SUMPRODUCT(MAX(ROW(E$2:E3219)*(E3219=E$2:E3219)))))-COUNTBLANK(OFFSET(A$1,,,SUMPRODUCT(MAX(ROW(E$1:E3218)*(E2=E$1:E3218))))))</f>
        <v> </v>
      </c>
      <c r="K3219" s="25" t="str">
        <f>IF(OR(E3219="",E3219="!!!",F3219="NEW"),"",INDEX(J$1:J3218,SUMPRODUCT(MAX(ROW(E$1:E3218)*(E3219=E$1:E3218)))))</f>
        <v> </v>
      </c>
      <c r="L3219" s="26"/>
    </row>
    <row r="3220" spans="1:12">
      <c r="A3220" s="20" t="s">
        <v>1094</v>
      </c>
      <c r="E3220" s="21">
        <f>IF(D3220="?OLD","!!!","")</f>
        <v/>
      </c>
      <c r="F3220" s="22" t="str">
        <f>IF(OR(E3220="",E3220="!!!"),"",IF(NOT(ISNA(VLOOKUP(E3220,E$1:E3219,1,FALSE()))),"OLD",IF(AND(E3220&lt;&gt;"",E3220&lt;&gt;"!!!"),"NEW","")))</f>
        <v> </v>
      </c>
      <c r="G3220" s="23" t="str">
        <f>IF(OR(E3220="",E3220="!!!"),"",IF(OR(J3220=0,AND(J3220=1,K3220=1),AND(J3220=1,I3220="SBJ"),AND(J3220=1,I3220=0)),"?IN_FOCUS",IF(J3220&lt;=2,"?ACTIVATED",IF(J3220&lt;&gt;"","?FAMILIAR",IF(F3220="NEW",IF(ISNA(VLOOKUP(E3220,#REF!,1,FALSE())),"?TYPE_IDENTIFIABLE","?REFERENTIAL"),"_")))))</f>
        <v> </v>
      </c>
      <c r="H3220" s="24" t="str">
        <f>IF(J3220&lt;&gt;1,"",IF(I3220="SBJ","CB","?"))</f>
        <v> </v>
      </c>
      <c r="I3220" s="25" t="str">
        <f>IF(OR(E3220="",E3220="!!!",F3220="NEW"),"",INDEX(B3219:B$2,-1+SUMPRODUCT(MAX(ROW(E3219:E$2)*(E3220=E3219:E$2)))))</f>
        <v> </v>
      </c>
      <c r="J3220" s="25" t="str">
        <f>IF(OR(E3220="",E3220="!!!",F3220="NEW"),"",COUNTBLANK(OFFSET(A$1,,,SUMPRODUCT(MAX(ROW(E$2:E3220)*(E3220=E$2:E3220)))))-COUNTBLANK(OFFSET(A$1,,,SUMPRODUCT(MAX(ROW(E$1:E3219)*(E2=E$1:E3219))))))</f>
        <v> </v>
      </c>
      <c r="K3220" s="25" t="str">
        <f>IF(OR(E3220="",E3220="!!!",F3220="NEW"),"",INDEX(J$1:J3219,SUMPRODUCT(MAX(ROW(E$1:E3219)*(E3220=E$1:E3219)))))</f>
        <v> </v>
      </c>
      <c r="L3220" s="26"/>
    </row>
    <row r="3221" spans="1:12">
      <c r="A3221" s="20" t="s">
        <v>1049</v>
      </c>
      <c r="E3221" s="21">
        <f>IF(D3221="?OLD","!!!","")</f>
        <v/>
      </c>
      <c r="F3221" s="22" t="str">
        <f>IF(OR(E3221="",E3221="!!!"),"",IF(NOT(ISNA(VLOOKUP(E3221,E$1:E3220,1,FALSE()))),"OLD",IF(AND(E3221&lt;&gt;"",E3221&lt;&gt;"!!!"),"NEW","")))</f>
        <v> </v>
      </c>
      <c r="G3221" s="23" t="str">
        <f>IF(OR(E3221="",E3221="!!!"),"",IF(OR(J3221=0,AND(J3221=1,K3221=1),AND(J3221=1,I3221="SBJ"),AND(J3221=1,I3221=0)),"?IN_FOCUS",IF(J3221&lt;=2,"?ACTIVATED",IF(J3221&lt;&gt;"","?FAMILIAR",IF(F3221="NEW",IF(ISNA(VLOOKUP(E3221,#REF!,1,FALSE())),"?TYPE_IDENTIFIABLE","?REFERENTIAL"),"_")))))</f>
        <v> </v>
      </c>
      <c r="H3221" s="24" t="str">
        <f>IF(J3221&lt;&gt;1,"",IF(I3221="SBJ","CB","?"))</f>
        <v> </v>
      </c>
      <c r="I3221" s="25" t="str">
        <f>IF(OR(E3221="",E3221="!!!",F3221="NEW"),"",INDEX(B3220:B$2,-1+SUMPRODUCT(MAX(ROW(E3220:E$2)*(E3221=E3220:E$2)))))</f>
        <v> </v>
      </c>
      <c r="J3221" s="25" t="str">
        <f>IF(OR(E3221="",E3221="!!!",F3221="NEW"),"",COUNTBLANK(OFFSET(A$1,,,SUMPRODUCT(MAX(ROW(E$2:E3221)*(E3221=E$2:E3221)))))-COUNTBLANK(OFFSET(A$1,,,SUMPRODUCT(MAX(ROW(E$1:E3220)*(E2=E$1:E3220))))))</f>
        <v> </v>
      </c>
      <c r="K3221" s="25" t="str">
        <f>IF(OR(E3221="",E3221="!!!",F3221="NEW"),"",INDEX(J$1:J3220,SUMPRODUCT(MAX(ROW(E$1:E3220)*(E3221=E$1:E3220)))))</f>
        <v> </v>
      </c>
      <c r="L3221" s="26"/>
    </row>
    <row r="3222" spans="1:12">
      <c r="A3222" s="20" t="s">
        <v>1266</v>
      </c>
      <c r="E3222" s="21">
        <f>IF(D3222="?OLD","!!!","")</f>
        <v/>
      </c>
      <c r="F3222" s="22" t="str">
        <f>IF(OR(E3222="",E3222="!!!"),"",IF(NOT(ISNA(VLOOKUP(E3222,E$1:E3221,1,FALSE()))),"OLD",IF(AND(E3222&lt;&gt;"",E3222&lt;&gt;"!!!"),"NEW","")))</f>
        <v> </v>
      </c>
      <c r="G3222" s="23" t="str">
        <f>IF(OR(E3222="",E3222="!!!"),"",IF(OR(J3222=0,AND(J3222=1,K3222=1),AND(J3222=1,I3222="SBJ"),AND(J3222=1,I3222=0)),"?IN_FOCUS",IF(J3222&lt;=2,"?ACTIVATED",IF(J3222&lt;&gt;"","?FAMILIAR",IF(F3222="NEW",IF(ISNA(VLOOKUP(E3222,#REF!,1,FALSE())),"?TYPE_IDENTIFIABLE","?REFERENTIAL"),"_")))))</f>
        <v> </v>
      </c>
      <c r="H3222" s="24" t="str">
        <f>IF(J3222&lt;&gt;1,"",IF(I3222="SBJ","CB","?"))</f>
        <v> </v>
      </c>
      <c r="I3222" s="25" t="str">
        <f>IF(OR(E3222="",E3222="!!!",F3222="NEW"),"",INDEX(B3221:B$2,-1+SUMPRODUCT(MAX(ROW(E3221:E$2)*(E3222=E3221:E$2)))))</f>
        <v> </v>
      </c>
      <c r="J3222" s="25" t="str">
        <f>IF(OR(E3222="",E3222="!!!",F3222="NEW"),"",COUNTBLANK(OFFSET(A$1,,,SUMPRODUCT(MAX(ROW(E$2:E3222)*(E3222=E$2:E3222)))))-COUNTBLANK(OFFSET(A$1,,,SUMPRODUCT(MAX(ROW(E$1:E3221)*(E2=E$1:E3221))))))</f>
        <v> </v>
      </c>
      <c r="K3222" s="25" t="str">
        <f>IF(OR(E3222="",E3222="!!!",F3222="NEW"),"",INDEX(J$1:J3221,SUMPRODUCT(MAX(ROW(E$1:E3221)*(E3222=E$1:E3221)))))</f>
        <v> </v>
      </c>
      <c r="L3222" s="26"/>
    </row>
    <row r="3223" spans="1:12">
      <c r="A3223" s="20" t="s">
        <v>135</v>
      </c>
      <c r="E3223" s="21">
        <f>IF(D3223="?OLD","!!!","")</f>
        <v/>
      </c>
      <c r="F3223" s="22" t="str">
        <f>IF(OR(E3223="",E3223="!!!"),"",IF(NOT(ISNA(VLOOKUP(E3223,E$1:E3222,1,FALSE()))),"OLD",IF(AND(E3223&lt;&gt;"",E3223&lt;&gt;"!!!"),"NEW","")))</f>
        <v> </v>
      </c>
      <c r="G3223" s="23" t="str">
        <f>IF(OR(E3223="",E3223="!!!"),"",IF(OR(J3223=0,AND(J3223=1,K3223=1),AND(J3223=1,I3223="SBJ"),AND(J3223=1,I3223=0)),"?IN_FOCUS",IF(J3223&lt;=2,"?ACTIVATED",IF(J3223&lt;&gt;"","?FAMILIAR",IF(F3223="NEW",IF(ISNA(VLOOKUP(E3223,#REF!,1,FALSE())),"?TYPE_IDENTIFIABLE","?REFERENTIAL"),"_")))))</f>
        <v> </v>
      </c>
      <c r="H3223" s="24" t="str">
        <f>IF(J3223&lt;&gt;1,"",IF(I3223="SBJ","CB","?"))</f>
        <v> </v>
      </c>
      <c r="I3223" s="25" t="str">
        <f>IF(OR(E3223="",E3223="!!!",F3223="NEW"),"",INDEX(B3222:B$2,-1+SUMPRODUCT(MAX(ROW(E3222:E$2)*(E3223=E3222:E$2)))))</f>
        <v> </v>
      </c>
      <c r="J3223" s="25" t="str">
        <f>IF(OR(E3223="",E3223="!!!",F3223="NEW"),"",COUNTBLANK(OFFSET(A$1,,,SUMPRODUCT(MAX(ROW(E$2:E3223)*(E3223=E$2:E3223)))))-COUNTBLANK(OFFSET(A$1,,,SUMPRODUCT(MAX(ROW(E$1:E3222)*(E2=E$1:E3222))))))</f>
        <v> </v>
      </c>
      <c r="K3223" s="25" t="str">
        <f>IF(OR(E3223="",E3223="!!!",F3223="NEW"),"",INDEX(J$1:J3222,SUMPRODUCT(MAX(ROW(E$1:E3222)*(E3223=E$1:E3222)))))</f>
        <v> </v>
      </c>
      <c r="L3223" s="26"/>
    </row>
    <row r="3224" spans="1:12">
      <c r="A3224" s="20"/>
    </row>
    <row r="3225" spans="1:12">
      <c r="A3225" s="20" t="s">
        <v>2143</v>
      </c>
    </row>
    <row r="3226" spans="1:12">
      <c r="A3226" s="20" t="s">
        <v>1118</v>
      </c>
      <c r="E3226" s="21">
        <f>IF(D3226="?OLD","!!!","")</f>
        <v/>
      </c>
      <c r="F3226" s="22" t="str">
        <f>IF(OR(E3226="",E3226="!!!"),"",IF(NOT(ISNA(VLOOKUP(E3226,E$1:E3225,1,FALSE()))),"OLD",IF(AND(E3226&lt;&gt;"",E3226&lt;&gt;"!!!"),"NEW","")))</f>
        <v> </v>
      </c>
      <c r="G3226" s="23" t="str">
        <f>IF(OR(E3226="",E3226="!!!"),"",IF(OR(J3226=0,AND(J3226=1,K3226=1),AND(J3226=1,I3226="SBJ"),AND(J3226=1,I3226=0)),"?IN_FOCUS",IF(J3226&lt;=2,"?ACTIVATED",IF(J3226&lt;&gt;"","?FAMILIAR",IF(F3226="NEW",IF(ISNA(VLOOKUP(E3226,#REF!,1,FALSE())),"?TYPE_IDENTIFIABLE","?REFERENTIAL"),"_")))))</f>
        <v> </v>
      </c>
      <c r="H3226" s="24" t="str">
        <f>IF(J3226&lt;&gt;1,"",IF(I3226="SBJ","CB","?"))</f>
        <v> </v>
      </c>
      <c r="I3226" s="25" t="str">
        <f>IF(OR(E3226="",E3226="!!!",F3226="NEW"),"",INDEX(B3225:B$2,-1+SUMPRODUCT(MAX(ROW(E3225:E$2)*(E3226=E3225:E$2)))))</f>
        <v> </v>
      </c>
      <c r="J3226" s="25" t="str">
        <f>IF(OR(E3226="",E3226="!!!",F3226="NEW"),"",COUNTBLANK(OFFSET(A$1,,,SUMPRODUCT(MAX(ROW(E$2:E3226)*(E3226=E$2:E3226)))))-COUNTBLANK(OFFSET(A$1,,,SUMPRODUCT(MAX(ROW(E$1:E3225)*(E2=E$1:E3225))))))</f>
        <v> </v>
      </c>
      <c r="K3226" s="25" t="str">
        <f>IF(OR(E3226="",E3226="!!!",F3226="NEW"),"",INDEX(J$1:J3225,SUMPRODUCT(MAX(ROW(E$1:E3225)*(E3226=E$1:E3225)))))</f>
        <v> </v>
      </c>
      <c r="L3226" s="26"/>
    </row>
    <row r="3227" spans="1:12">
      <c r="A3227" s="20" t="s">
        <v>1186</v>
      </c>
      <c r="B3227" s="27" t="s">
        <v>1041</v>
      </c>
      <c r="C3227" s="27" t="s">
        <v>1050</v>
      </c>
      <c r="D3227" s="27" t="s">
        <v>1030</v>
      </c>
      <c r="E3227" s="21">
        <f>IF(D3227="?OLD","!!!","")</f>
        <v/>
      </c>
      <c r="F3227" s="22" t="str">
        <f>IF(OR(E3227="",E3227="!!!"),"",IF(NOT(ISNA(VLOOKUP(E3227,E$1:E3226,1,FALSE()))),"OLD",IF(AND(E3227&lt;&gt;"",E3227&lt;&gt;"!!!"),"NEW","")))</f>
        <v> </v>
      </c>
      <c r="G3227" s="23" t="str">
        <f>IF(OR(E3227="",E3227="!!!"),"",IF(OR(J3227=0,AND(J3227=1,K3227=1),AND(J3227=1,I3227="SBJ"),AND(J3227=1,I3227=0)),"?IN_FOCUS",IF(J3227&lt;=2,"?ACTIVATED",IF(J3227&lt;&gt;"","?FAMILIAR",IF(F3227="NEW",IF(ISNA(VLOOKUP(E3227,#REF!,1,FALSE())),"?TYPE_IDENTIFIABLE","?REFERENTIAL"),"_")))))</f>
        <v> </v>
      </c>
      <c r="H3227" s="24" t="str">
        <f>IF(J3227&lt;&gt;1,"",IF(I3227="SBJ","CB","?"))</f>
        <v> </v>
      </c>
      <c r="I3227" s="25" t="str">
        <f>IF(OR(E3227="",E3227="!!!",F3227="NEW"),"",INDEX(B3226:B$2,-1+SUMPRODUCT(MAX(ROW(E3226:E$2)*(E3227=E3226:E$2)))))</f>
        <v> </v>
      </c>
      <c r="J3227" s="25" t="str">
        <f>IF(OR(E3227="",E3227="!!!",F3227="NEW"),"",COUNTBLANK(OFFSET(A$1,,,SUMPRODUCT(MAX(ROW(E$2:E3227)*(E3227=E$2:E3227)))))-COUNTBLANK(OFFSET(A$1,,,SUMPRODUCT(MAX(ROW(E$1:E3226)*(E2=E$1:E3226))))))</f>
        <v> </v>
      </c>
      <c r="K3227" s="25" t="str">
        <f>IF(OR(E3227="",E3227="!!!",F3227="NEW"),"",INDEX(J$1:J3226,SUMPRODUCT(MAX(ROW(E$1:E3226)*(E3227=E$1:E3226)))))</f>
        <v> </v>
      </c>
      <c r="L3227" s="26"/>
    </row>
    <row r="3228" spans="1:12">
      <c r="A3228" s="20" t="s">
        <v>1147</v>
      </c>
      <c r="E3228" s="21">
        <f>IF(D3228="?OLD","!!!","")</f>
        <v/>
      </c>
      <c r="F3228" s="22" t="str">
        <f>IF(OR(E3228="",E3228="!!!"),"",IF(NOT(ISNA(VLOOKUP(E3228,E$1:E3227,1,FALSE()))),"OLD",IF(AND(E3228&lt;&gt;"",E3228&lt;&gt;"!!!"),"NEW","")))</f>
        <v> </v>
      </c>
      <c r="G3228" s="23" t="str">
        <f>IF(OR(E3228="",E3228="!!!"),"",IF(OR(J3228=0,AND(J3228=1,K3228=1),AND(J3228=1,I3228="SBJ"),AND(J3228=1,I3228=0)),"?IN_FOCUS",IF(J3228&lt;=2,"?ACTIVATED",IF(J3228&lt;&gt;"","?FAMILIAR",IF(F3228="NEW",IF(ISNA(VLOOKUP(E3228,#REF!,1,FALSE())),"?TYPE_IDENTIFIABLE","?REFERENTIAL"),"_")))))</f>
        <v> </v>
      </c>
      <c r="H3228" s="24" t="str">
        <f>IF(J3228&lt;&gt;1,"",IF(I3228="SBJ","CB","?"))</f>
        <v> </v>
      </c>
      <c r="I3228" s="25" t="str">
        <f>IF(OR(E3228="",E3228="!!!",F3228="NEW"),"",INDEX(B3227:B$2,-1+SUMPRODUCT(MAX(ROW(E3227:E$2)*(E3228=E3227:E$2)))))</f>
        <v> </v>
      </c>
      <c r="J3228" s="25" t="str">
        <f>IF(OR(E3228="",E3228="!!!",F3228="NEW"),"",COUNTBLANK(OFFSET(A$1,,,SUMPRODUCT(MAX(ROW(E$2:E3228)*(E3228=E$2:E3228)))))-COUNTBLANK(OFFSET(A$1,,,SUMPRODUCT(MAX(ROW(E$1:E3227)*(E2=E$1:E3227))))))</f>
        <v> </v>
      </c>
      <c r="K3228" s="25" t="str">
        <f>IF(OR(E3228="",E3228="!!!",F3228="NEW"),"",INDEX(J$1:J3227,SUMPRODUCT(MAX(ROW(E$1:E3227)*(E3228=E$1:E3227)))))</f>
        <v> </v>
      </c>
      <c r="L3228" s="26"/>
    </row>
    <row r="3229" spans="1:12">
      <c r="A3229" s="20" t="s">
        <v>2144</v>
      </c>
      <c r="E3229" s="21">
        <f>IF(D3229="?OLD","!!!","")</f>
        <v/>
      </c>
      <c r="F3229" s="22" t="str">
        <f>IF(OR(E3229="",E3229="!!!"),"",IF(NOT(ISNA(VLOOKUP(E3229,E$1:E3228,1,FALSE()))),"OLD",IF(AND(E3229&lt;&gt;"",E3229&lt;&gt;"!!!"),"NEW","")))</f>
        <v> </v>
      </c>
      <c r="G3229" s="23" t="str">
        <f>IF(OR(E3229="",E3229="!!!"),"",IF(OR(J3229=0,AND(J3229=1,K3229=1),AND(J3229=1,I3229="SBJ"),AND(J3229=1,I3229=0)),"?IN_FOCUS",IF(J3229&lt;=2,"?ACTIVATED",IF(J3229&lt;&gt;"","?FAMILIAR",IF(F3229="NEW",IF(ISNA(VLOOKUP(E3229,#REF!,1,FALSE())),"?TYPE_IDENTIFIABLE","?REFERENTIAL"),"_")))))</f>
        <v> </v>
      </c>
      <c r="H3229" s="24" t="str">
        <f>IF(J3229&lt;&gt;1,"",IF(I3229="SBJ","CB","?"))</f>
        <v> </v>
      </c>
      <c r="I3229" s="25" t="str">
        <f>IF(OR(E3229="",E3229="!!!",F3229="NEW"),"",INDEX(B3228:B$2,-1+SUMPRODUCT(MAX(ROW(E3228:E$2)*(E3229=E3228:E$2)))))</f>
        <v> </v>
      </c>
      <c r="J3229" s="25" t="str">
        <f>IF(OR(E3229="",E3229="!!!",F3229="NEW"),"",COUNTBLANK(OFFSET(A$1,,,SUMPRODUCT(MAX(ROW(E$2:E3229)*(E3229=E$2:E3229)))))-COUNTBLANK(OFFSET(A$1,,,SUMPRODUCT(MAX(ROW(E$1:E3228)*(E2=E$1:E3228))))))</f>
        <v> </v>
      </c>
      <c r="K3229" s="25" t="str">
        <f>IF(OR(E3229="",E3229="!!!",F3229="NEW"),"",INDEX(J$1:J3228,SUMPRODUCT(MAX(ROW(E$1:E3228)*(E3229=E$1:E3228)))))</f>
        <v> </v>
      </c>
      <c r="L3229" s="26"/>
    </row>
    <row r="3230" spans="1:12">
      <c r="A3230" s="20" t="s">
        <v>1274</v>
      </c>
      <c r="B3230" s="27" t="s">
        <v>1014</v>
      </c>
      <c r="C3230" s="27" t="s">
        <v>1015</v>
      </c>
      <c r="E3230" s="21">
        <f>IF(D3230="?OLD","!!!","")</f>
        <v/>
      </c>
      <c r="F3230" s="22" t="str">
        <f>IF(OR(E3230="",E3230="!!!"),"",IF(NOT(ISNA(VLOOKUP(E3230,E$1:E3229,1,FALSE()))),"OLD",IF(AND(E3230&lt;&gt;"",E3230&lt;&gt;"!!!"),"NEW","")))</f>
        <v> </v>
      </c>
      <c r="G3230" s="23" t="str">
        <f>IF(OR(E3230="",E3230="!!!"),"",IF(OR(J3230=0,AND(J3230=1,K3230=1),AND(J3230=1,I3230="SBJ"),AND(J3230=1,I3230=0)),"?IN_FOCUS",IF(J3230&lt;=2,"?ACTIVATED",IF(J3230&lt;&gt;"","?FAMILIAR",IF(F3230="NEW",IF(ISNA(VLOOKUP(E3230,#REF!,1,FALSE())),"?TYPE_IDENTIFIABLE","?REFERENTIAL"),"_")))))</f>
        <v> </v>
      </c>
      <c r="H3230" s="24" t="str">
        <f>IF(J3230&lt;&gt;1,"",IF(I3230="SBJ","CB","?"))</f>
        <v> </v>
      </c>
      <c r="I3230" s="25" t="str">
        <f>IF(OR(E3230="",E3230="!!!",F3230="NEW"),"",INDEX(B3229:B$2,-1+SUMPRODUCT(MAX(ROW(E3229:E$2)*(E3230=E3229:E$2)))))</f>
        <v> </v>
      </c>
      <c r="J3230" s="25" t="str">
        <f>IF(OR(E3230="",E3230="!!!",F3230="NEW"),"",COUNTBLANK(OFFSET(A$1,,,SUMPRODUCT(MAX(ROW(E$2:E3230)*(E3230=E$2:E3230)))))-COUNTBLANK(OFFSET(A$1,,,SUMPRODUCT(MAX(ROW(E$1:E3229)*(E2=E$1:E3229))))))</f>
        <v> </v>
      </c>
      <c r="K3230" s="25" t="str">
        <f>IF(OR(E3230="",E3230="!!!",F3230="NEW"),"",INDEX(J$1:J3229,SUMPRODUCT(MAX(ROW(E$1:E3229)*(E3230=E$1:E3229)))))</f>
        <v> </v>
      </c>
      <c r="L3230" s="26"/>
    </row>
    <row r="3231" spans="1:12">
      <c r="A3231" s="20" t="s">
        <v>1161</v>
      </c>
      <c r="E3231" s="21">
        <f>IF(D3231="?OLD","!!!","")</f>
        <v/>
      </c>
      <c r="F3231" s="22" t="str">
        <f>IF(OR(E3231="",E3231="!!!"),"",IF(NOT(ISNA(VLOOKUP(E3231,E$1:E3230,1,FALSE()))),"OLD",IF(AND(E3231&lt;&gt;"",E3231&lt;&gt;"!!!"),"NEW","")))</f>
        <v> </v>
      </c>
      <c r="G3231" s="23" t="str">
        <f>IF(OR(E3231="",E3231="!!!"),"",IF(OR(J3231=0,AND(J3231=1,K3231=1),AND(J3231=1,I3231="SBJ"),AND(J3231=1,I3231=0)),"?IN_FOCUS",IF(J3231&lt;=2,"?ACTIVATED",IF(J3231&lt;&gt;"","?FAMILIAR",IF(F3231="NEW",IF(ISNA(VLOOKUP(E3231,#REF!,1,FALSE())),"?TYPE_IDENTIFIABLE","?REFERENTIAL"),"_")))))</f>
        <v> </v>
      </c>
      <c r="H3231" s="24" t="str">
        <f>IF(J3231&lt;&gt;1,"",IF(I3231="SBJ","CB","?"))</f>
        <v> </v>
      </c>
      <c r="I3231" s="25" t="str">
        <f>IF(OR(E3231="",E3231="!!!",F3231="NEW"),"",INDEX(B3230:B$2,-1+SUMPRODUCT(MAX(ROW(E3230:E$2)*(E3231=E3230:E$2)))))</f>
        <v> </v>
      </c>
      <c r="J3231" s="25" t="str">
        <f>IF(OR(E3231="",E3231="!!!",F3231="NEW"),"",COUNTBLANK(OFFSET(A$1,,,SUMPRODUCT(MAX(ROW(E$2:E3231)*(E3231=E$2:E3231)))))-COUNTBLANK(OFFSET(A$1,,,SUMPRODUCT(MAX(ROW(E$1:E3230)*(E2=E$1:E3230))))))</f>
        <v> </v>
      </c>
      <c r="K3231" s="25" t="str">
        <f>IF(OR(E3231="",E3231="!!!",F3231="NEW"),"",INDEX(J$1:J3230,SUMPRODUCT(MAX(ROW(E$1:E3230)*(E3231=E$1:E3230)))))</f>
        <v> </v>
      </c>
      <c r="L3231" s="26"/>
    </row>
    <row r="3232" spans="1:12">
      <c r="A3232" s="20" t="s">
        <v>1111</v>
      </c>
      <c r="E3232" s="21">
        <f>IF(D3232="?OLD","!!!","")</f>
        <v/>
      </c>
      <c r="F3232" s="22" t="str">
        <f>IF(OR(E3232="",E3232="!!!"),"",IF(NOT(ISNA(VLOOKUP(E3232,E$1:E3231,1,FALSE()))),"OLD",IF(AND(E3232&lt;&gt;"",E3232&lt;&gt;"!!!"),"NEW","")))</f>
        <v> </v>
      </c>
      <c r="G3232" s="23" t="str">
        <f>IF(OR(E3232="",E3232="!!!"),"",IF(OR(J3232=0,AND(J3232=1,K3232=1),AND(J3232=1,I3232="SBJ"),AND(J3232=1,I3232=0)),"?IN_FOCUS",IF(J3232&lt;=2,"?ACTIVATED",IF(J3232&lt;&gt;"","?FAMILIAR",IF(F3232="NEW",IF(ISNA(VLOOKUP(E3232,#REF!,1,FALSE())),"?TYPE_IDENTIFIABLE","?REFERENTIAL"),"_")))))</f>
        <v> </v>
      </c>
      <c r="H3232" s="24" t="str">
        <f>IF(J3232&lt;&gt;1,"",IF(I3232="SBJ","CB","?"))</f>
        <v> </v>
      </c>
      <c r="I3232" s="25" t="str">
        <f>IF(OR(E3232="",E3232="!!!",F3232="NEW"),"",INDEX(B3231:B$2,-1+SUMPRODUCT(MAX(ROW(E3231:E$2)*(E3232=E3231:E$2)))))</f>
        <v> </v>
      </c>
      <c r="J3232" s="25" t="str">
        <f>IF(OR(E3232="",E3232="!!!",F3232="NEW"),"",COUNTBLANK(OFFSET(A$1,,,SUMPRODUCT(MAX(ROW(E$2:E3232)*(E3232=E$2:E3232)))))-COUNTBLANK(OFFSET(A$1,,,SUMPRODUCT(MAX(ROW(E$1:E3231)*(E2=E$1:E3231))))))</f>
        <v> </v>
      </c>
      <c r="K3232" s="25" t="str">
        <f>IF(OR(E3232="",E3232="!!!",F3232="NEW"),"",INDEX(J$1:J3231,SUMPRODUCT(MAX(ROW(E$1:E3231)*(E3232=E$1:E3231)))))</f>
        <v> </v>
      </c>
      <c r="L3232" s="26"/>
    </row>
    <row r="3233" spans="1:12">
      <c r="A3233" s="20" t="s">
        <v>2145</v>
      </c>
      <c r="B3233" s="27" t="s">
        <v>1045</v>
      </c>
      <c r="C3233" s="27" t="s">
        <v>1029</v>
      </c>
      <c r="D3233" s="27" t="s">
        <v>1030</v>
      </c>
      <c r="E3233" s="21">
        <f>IF(D3233="?OLD","!!!","")</f>
        <v/>
      </c>
      <c r="F3233" s="22" t="str">
        <f>IF(OR(E3233="",E3233="!!!"),"",IF(NOT(ISNA(VLOOKUP(E3233,E$1:E3232,1,FALSE()))),"OLD",IF(AND(E3233&lt;&gt;"",E3233&lt;&gt;"!!!"),"NEW","")))</f>
        <v> </v>
      </c>
      <c r="G3233" s="23" t="str">
        <f>IF(OR(E3233="",E3233="!!!"),"",IF(OR(J3233=0,AND(J3233=1,K3233=1),AND(J3233=1,I3233="SBJ"),AND(J3233=1,I3233=0)),"?IN_FOCUS",IF(J3233&lt;=2,"?ACTIVATED",IF(J3233&lt;&gt;"","?FAMILIAR",IF(F3233="NEW",IF(ISNA(VLOOKUP(E3233,#REF!,1,FALSE())),"?TYPE_IDENTIFIABLE","?REFERENTIAL"),"_")))))</f>
        <v> </v>
      </c>
      <c r="H3233" s="24" t="str">
        <f>IF(J3233&lt;&gt;1,"",IF(I3233="SBJ","CB","?"))</f>
        <v> </v>
      </c>
      <c r="I3233" s="25" t="str">
        <f>IF(OR(E3233="",E3233="!!!",F3233="NEW"),"",INDEX(B3232:B$2,-1+SUMPRODUCT(MAX(ROW(E3232:E$2)*(E3233=E3232:E$2)))))</f>
        <v> </v>
      </c>
      <c r="J3233" s="25" t="str">
        <f>IF(OR(E3233="",E3233="!!!",F3233="NEW"),"",COUNTBLANK(OFFSET(A$1,,,SUMPRODUCT(MAX(ROW(E$2:E3233)*(E3233=E$2:E3233)))))-COUNTBLANK(OFFSET(A$1,,,SUMPRODUCT(MAX(ROW(E$1:E3232)*(E2=E$1:E3232))))))</f>
        <v> </v>
      </c>
      <c r="K3233" s="25" t="str">
        <f>IF(OR(E3233="",E3233="!!!",F3233="NEW"),"",INDEX(J$1:J3232,SUMPRODUCT(MAX(ROW(E$1:E3232)*(E3233=E$1:E3232)))))</f>
        <v> </v>
      </c>
      <c r="L3233" s="26"/>
    </row>
    <row r="3234" spans="1:12">
      <c r="A3234" s="20" t="s">
        <v>1653</v>
      </c>
      <c r="B3234" s="27" t="s">
        <v>1079</v>
      </c>
      <c r="C3234" s="27" t="s">
        <v>1033</v>
      </c>
      <c r="D3234" s="27" t="s">
        <v>1030</v>
      </c>
      <c r="E3234" s="21">
        <f>IF(D3234="?OLD","!!!","")</f>
        <v/>
      </c>
      <c r="F3234" s="22" t="str">
        <f>IF(OR(E3234="",E3234="!!!"),"",IF(NOT(ISNA(VLOOKUP(E3234,E$1:E3233,1,FALSE()))),"OLD",IF(AND(E3234&lt;&gt;"",E3234&lt;&gt;"!!!"),"NEW","")))</f>
        <v> </v>
      </c>
      <c r="G3234" s="23" t="str">
        <f>IF(OR(E3234="",E3234="!!!"),"",IF(OR(J3234=0,AND(J3234=1,K3234=1),AND(J3234=1,I3234="SBJ"),AND(J3234=1,I3234=0)),"?IN_FOCUS",IF(J3234&lt;=2,"?ACTIVATED",IF(J3234&lt;&gt;"","?FAMILIAR",IF(F3234="NEW",IF(ISNA(VLOOKUP(E3234,#REF!,1,FALSE())),"?TYPE_IDENTIFIABLE","?REFERENTIAL"),"_")))))</f>
        <v> </v>
      </c>
      <c r="H3234" s="24" t="str">
        <f>IF(J3234&lt;&gt;1,"",IF(I3234="SBJ","CB","?"))</f>
        <v> </v>
      </c>
      <c r="I3234" s="25" t="str">
        <f>IF(OR(E3234="",E3234="!!!",F3234="NEW"),"",INDEX(B3233:B$2,-1+SUMPRODUCT(MAX(ROW(E3233:E$2)*(E3234=E3233:E$2)))))</f>
        <v> </v>
      </c>
      <c r="J3234" s="25" t="str">
        <f>IF(OR(E3234="",E3234="!!!",F3234="NEW"),"",COUNTBLANK(OFFSET(A$1,,,SUMPRODUCT(MAX(ROW(E$2:E3234)*(E3234=E$2:E3234)))))-COUNTBLANK(OFFSET(A$1,,,SUMPRODUCT(MAX(ROW(E$1:E3233)*(E2=E$1:E3233))))))</f>
        <v> </v>
      </c>
      <c r="K3234" s="25" t="str">
        <f>IF(OR(E3234="",E3234="!!!",F3234="NEW"),"",INDEX(J$1:J3233,SUMPRODUCT(MAX(ROW(E$1:E3233)*(E3234=E$1:E3233)))))</f>
        <v> </v>
      </c>
      <c r="L3234" s="26"/>
    </row>
    <row r="3235" spans="1:12">
      <c r="A3235" s="20" t="s">
        <v>1025</v>
      </c>
      <c r="E3235" s="21">
        <f>IF(D3235="?OLD","!!!","")</f>
        <v/>
      </c>
      <c r="F3235" s="22" t="str">
        <f>IF(OR(E3235="",E3235="!!!"),"",IF(NOT(ISNA(VLOOKUP(E3235,E$1:E3234,1,FALSE()))),"OLD",IF(AND(E3235&lt;&gt;"",E3235&lt;&gt;"!!!"),"NEW","")))</f>
        <v> </v>
      </c>
      <c r="G3235" s="23" t="str">
        <f>IF(OR(E3235="",E3235="!!!"),"",IF(OR(J3235=0,AND(J3235=1,K3235=1),AND(J3235=1,I3235="SBJ"),AND(J3235=1,I3235=0)),"?IN_FOCUS",IF(J3235&lt;=2,"?ACTIVATED",IF(J3235&lt;&gt;"","?FAMILIAR",IF(F3235="NEW",IF(ISNA(VLOOKUP(E3235,#REF!,1,FALSE())),"?TYPE_IDENTIFIABLE","?REFERENTIAL"),"_")))))</f>
        <v> </v>
      </c>
      <c r="H3235" s="24" t="str">
        <f>IF(J3235&lt;&gt;1,"",IF(I3235="SBJ","CB","?"))</f>
        <v> </v>
      </c>
      <c r="I3235" s="25" t="str">
        <f>IF(OR(E3235="",E3235="!!!",F3235="NEW"),"",INDEX(B3234:B$2,-1+SUMPRODUCT(MAX(ROW(E3234:E$2)*(E3235=E3234:E$2)))))</f>
        <v> </v>
      </c>
      <c r="J3235" s="25" t="str">
        <f>IF(OR(E3235="",E3235="!!!",F3235="NEW"),"",COUNTBLANK(OFFSET(A$1,,,SUMPRODUCT(MAX(ROW(E$2:E3235)*(E3235=E$2:E3235)))))-COUNTBLANK(OFFSET(A$1,,,SUMPRODUCT(MAX(ROW(E$1:E3234)*(E2=E$1:E3234))))))</f>
        <v> </v>
      </c>
      <c r="K3235" s="25" t="str">
        <f>IF(OR(E3235="",E3235="!!!",F3235="NEW"),"",INDEX(J$1:J3234,SUMPRODUCT(MAX(ROW(E$1:E3234)*(E3235=E$1:E3234)))))</f>
        <v> </v>
      </c>
      <c r="L3235" s="26"/>
    </row>
    <row r="3236" spans="1:12">
      <c r="A3236" s="20" t="s">
        <v>1036</v>
      </c>
      <c r="E3236" s="21">
        <f>IF(D3236="?OLD","!!!","")</f>
        <v/>
      </c>
      <c r="F3236" s="22" t="str">
        <f>IF(OR(E3236="",E3236="!!!"),"",IF(NOT(ISNA(VLOOKUP(E3236,E$1:E3235,1,FALSE()))),"OLD",IF(AND(E3236&lt;&gt;"",E3236&lt;&gt;"!!!"),"NEW","")))</f>
        <v> </v>
      </c>
      <c r="G3236" s="23" t="str">
        <f>IF(OR(E3236="",E3236="!!!"),"",IF(OR(J3236=0,AND(J3236=1,K3236=1),AND(J3236=1,I3236="SBJ"),AND(J3236=1,I3236=0)),"?IN_FOCUS",IF(J3236&lt;=2,"?ACTIVATED",IF(J3236&lt;&gt;"","?FAMILIAR",IF(F3236="NEW",IF(ISNA(VLOOKUP(E3236,#REF!,1,FALSE())),"?TYPE_IDENTIFIABLE","?REFERENTIAL"),"_")))))</f>
        <v> </v>
      </c>
      <c r="H3236" s="24" t="str">
        <f>IF(J3236&lt;&gt;1,"",IF(I3236="SBJ","CB","?"))</f>
        <v> </v>
      </c>
      <c r="I3236" s="25" t="str">
        <f>IF(OR(E3236="",E3236="!!!",F3236="NEW"),"",INDEX(B3235:B$2,-1+SUMPRODUCT(MAX(ROW(E3235:E$2)*(E3236=E3235:E$2)))))</f>
        <v> </v>
      </c>
      <c r="J3236" s="25" t="str">
        <f>IF(OR(E3236="",E3236="!!!",F3236="NEW"),"",COUNTBLANK(OFFSET(A$1,,,SUMPRODUCT(MAX(ROW(E$2:E3236)*(E3236=E$2:E3236)))))-COUNTBLANK(OFFSET(A$1,,,SUMPRODUCT(MAX(ROW(E$1:E3235)*(E2=E$1:E3235))))))</f>
        <v> </v>
      </c>
      <c r="K3236" s="25" t="str">
        <f>IF(OR(E3236="",E3236="!!!",F3236="NEW"),"",INDEX(J$1:J3235,SUMPRODUCT(MAX(ROW(E$1:E3235)*(E3236=E$1:E3235)))))</f>
        <v> </v>
      </c>
      <c r="L3236" s="26"/>
    </row>
    <row r="3237" spans="1:12">
      <c r="A3237" s="20" t="s">
        <v>2112</v>
      </c>
      <c r="B3237" s="27" t="s">
        <v>1045</v>
      </c>
      <c r="C3237" s="27" t="s">
        <v>1038</v>
      </c>
      <c r="D3237" s="27" t="s">
        <v>1030</v>
      </c>
      <c r="E3237" s="21">
        <f>IF(D3237="?OLD","!!!","")</f>
        <v/>
      </c>
      <c r="F3237" s="22" t="str">
        <f>IF(OR(E3237="",E3237="!!!"),"",IF(NOT(ISNA(VLOOKUP(E3237,E$1:E3236,1,FALSE()))),"OLD",IF(AND(E3237&lt;&gt;"",E3237&lt;&gt;"!!!"),"NEW","")))</f>
        <v> </v>
      </c>
      <c r="G3237" s="23" t="str">
        <f>IF(OR(E3237="",E3237="!!!"),"",IF(OR(J3237=0,AND(J3237=1,K3237=1),AND(J3237=1,I3237="SBJ"),AND(J3237=1,I3237=0)),"?IN_FOCUS",IF(J3237&lt;=2,"?ACTIVATED",IF(J3237&lt;&gt;"","?FAMILIAR",IF(F3237="NEW",IF(ISNA(VLOOKUP(E3237,#REF!,1,FALSE())),"?TYPE_IDENTIFIABLE","?REFERENTIAL"),"_")))))</f>
        <v> </v>
      </c>
      <c r="H3237" s="24" t="str">
        <f>IF(J3237&lt;&gt;1,"",IF(I3237="SBJ","CB","?"))</f>
        <v> </v>
      </c>
      <c r="I3237" s="25" t="str">
        <f>IF(OR(E3237="",E3237="!!!",F3237="NEW"),"",INDEX(B3236:B$2,-1+SUMPRODUCT(MAX(ROW(E3236:E$2)*(E3237=E3236:E$2)))))</f>
        <v> </v>
      </c>
      <c r="J3237" s="25" t="str">
        <f>IF(OR(E3237="",E3237="!!!",F3237="NEW"),"",COUNTBLANK(OFFSET(A$1,,,SUMPRODUCT(MAX(ROW(E$2:E3237)*(E3237=E$2:E3237)))))-COUNTBLANK(OFFSET(A$1,,,SUMPRODUCT(MAX(ROW(E$1:E3236)*(E2=E$1:E3236))))))</f>
        <v> </v>
      </c>
      <c r="K3237" s="25" t="str">
        <f>IF(OR(E3237="",E3237="!!!",F3237="NEW"),"",INDEX(J$1:J3236,SUMPRODUCT(MAX(ROW(E$1:E3236)*(E3237=E$1:E3236)))))</f>
        <v> </v>
      </c>
      <c r="L3237" s="26"/>
    </row>
    <row r="3238" spans="1:12">
      <c r="A3238" s="20" t="s">
        <v>1022</v>
      </c>
      <c r="E3238" s="21">
        <f>IF(D3238="?OLD","!!!","")</f>
        <v/>
      </c>
      <c r="F3238" s="22" t="str">
        <f>IF(OR(E3238="",E3238="!!!"),"",IF(NOT(ISNA(VLOOKUP(E3238,E$1:E3237,1,FALSE()))),"OLD",IF(AND(E3238&lt;&gt;"",E3238&lt;&gt;"!!!"),"NEW","")))</f>
        <v> </v>
      </c>
      <c r="G3238" s="23" t="str">
        <f>IF(OR(E3238="",E3238="!!!"),"",IF(OR(J3238=0,AND(J3238=1,K3238=1),AND(J3238=1,I3238="SBJ"),AND(J3238=1,I3238=0)),"?IN_FOCUS",IF(J3238&lt;=2,"?ACTIVATED",IF(J3238&lt;&gt;"","?FAMILIAR",IF(F3238="NEW",IF(ISNA(VLOOKUP(E3238,#REF!,1,FALSE())),"?TYPE_IDENTIFIABLE","?REFERENTIAL"),"_")))))</f>
        <v> </v>
      </c>
      <c r="H3238" s="24" t="str">
        <f>IF(J3238&lt;&gt;1,"",IF(I3238="SBJ","CB","?"))</f>
        <v> </v>
      </c>
      <c r="I3238" s="25" t="str">
        <f>IF(OR(E3238="",E3238="!!!",F3238="NEW"),"",INDEX(B3237:B$2,-1+SUMPRODUCT(MAX(ROW(E3237:E$2)*(E3238=E3237:E$2)))))</f>
        <v> </v>
      </c>
      <c r="J3238" s="25" t="str">
        <f>IF(OR(E3238="",E3238="!!!",F3238="NEW"),"",COUNTBLANK(OFFSET(A$1,,,SUMPRODUCT(MAX(ROW(E$2:E3238)*(E3238=E$2:E3238)))))-COUNTBLANK(OFFSET(A$1,,,SUMPRODUCT(MAX(ROW(E$1:E3237)*(E2=E$1:E3237))))))</f>
        <v> </v>
      </c>
      <c r="K3238" s="25" t="str">
        <f>IF(OR(E3238="",E3238="!!!",F3238="NEW"),"",INDEX(J$1:J3237,SUMPRODUCT(MAX(ROW(E$1:E3237)*(E3238=E$1:E3237)))))</f>
        <v> </v>
      </c>
      <c r="L3238" s="26"/>
    </row>
    <row r="3239" spans="1:12">
      <c r="A3239" s="20" t="s">
        <v>1083</v>
      </c>
      <c r="E3239" s="21">
        <f>IF(D3239="?OLD","!!!","")</f>
        <v/>
      </c>
      <c r="F3239" s="22" t="str">
        <f>IF(OR(E3239="",E3239="!!!"),"",IF(NOT(ISNA(VLOOKUP(E3239,E$1:E3238,1,FALSE()))),"OLD",IF(AND(E3239&lt;&gt;"",E3239&lt;&gt;"!!!"),"NEW","")))</f>
        <v> </v>
      </c>
      <c r="G3239" s="23" t="str">
        <f>IF(OR(E3239="",E3239="!!!"),"",IF(OR(J3239=0,AND(J3239=1,K3239=1),AND(J3239=1,I3239="SBJ"),AND(J3239=1,I3239=0)),"?IN_FOCUS",IF(J3239&lt;=2,"?ACTIVATED",IF(J3239&lt;&gt;"","?FAMILIAR",IF(F3239="NEW",IF(ISNA(VLOOKUP(E3239,#REF!,1,FALSE())),"?TYPE_IDENTIFIABLE","?REFERENTIAL"),"_")))))</f>
        <v> </v>
      </c>
      <c r="H3239" s="24" t="str">
        <f>IF(J3239&lt;&gt;1,"",IF(I3239="SBJ","CB","?"))</f>
        <v> </v>
      </c>
      <c r="I3239" s="25" t="str">
        <f>IF(OR(E3239="",E3239="!!!",F3239="NEW"),"",INDEX(B3238:B$2,-1+SUMPRODUCT(MAX(ROW(E3238:E$2)*(E3239=E3238:E$2)))))</f>
        <v> </v>
      </c>
      <c r="J3239" s="25" t="str">
        <f>IF(OR(E3239="",E3239="!!!",F3239="NEW"),"",COUNTBLANK(OFFSET(A$1,,,SUMPRODUCT(MAX(ROW(E$2:E3239)*(E3239=E$2:E3239)))))-COUNTBLANK(OFFSET(A$1,,,SUMPRODUCT(MAX(ROW(E$1:E3238)*(E2=E$1:E3238))))))</f>
        <v> </v>
      </c>
      <c r="K3239" s="25" t="str">
        <f>IF(OR(E3239="",E3239="!!!",F3239="NEW"),"",INDEX(J$1:J3238,SUMPRODUCT(MAX(ROW(E$1:E3238)*(E3239=E$1:E3238)))))</f>
        <v> </v>
      </c>
      <c r="L3239" s="26"/>
    </row>
    <row r="3240" spans="1:12">
      <c r="A3240" s="20" t="s">
        <v>1132</v>
      </c>
      <c r="B3240" s="27" t="s">
        <v>1098</v>
      </c>
      <c r="C3240" s="27" t="s">
        <v>1140</v>
      </c>
      <c r="D3240" s="27" t="s">
        <v>1030</v>
      </c>
      <c r="E3240" s="21">
        <f>IF(D3240="?OLD","!!!","")</f>
        <v/>
      </c>
      <c r="F3240" s="22" t="str">
        <f>IF(OR(E3240="",E3240="!!!"),"",IF(NOT(ISNA(VLOOKUP(E3240,E$1:E3239,1,FALSE()))),"OLD",IF(AND(E3240&lt;&gt;"",E3240&lt;&gt;"!!!"),"NEW","")))</f>
        <v> </v>
      </c>
      <c r="G3240" s="23" t="str">
        <f>IF(OR(E3240="",E3240="!!!"),"",IF(OR(J3240=0,AND(J3240=1,K3240=1),AND(J3240=1,I3240="SBJ"),AND(J3240=1,I3240=0)),"?IN_FOCUS",IF(J3240&lt;=2,"?ACTIVATED",IF(J3240&lt;&gt;"","?FAMILIAR",IF(F3240="NEW",IF(ISNA(VLOOKUP(E3240,#REF!,1,FALSE())),"?TYPE_IDENTIFIABLE","?REFERENTIAL"),"_")))))</f>
        <v> </v>
      </c>
      <c r="H3240" s="24" t="str">
        <f>IF(J3240&lt;&gt;1,"",IF(I3240="SBJ","CB","?"))</f>
        <v> </v>
      </c>
      <c r="I3240" s="25" t="str">
        <f>IF(OR(E3240="",E3240="!!!",F3240="NEW"),"",INDEX(B3239:B$2,-1+SUMPRODUCT(MAX(ROW(E3239:E$2)*(E3240=E3239:E$2)))))</f>
        <v> </v>
      </c>
      <c r="J3240" s="25" t="str">
        <f>IF(OR(E3240="",E3240="!!!",F3240="NEW"),"",COUNTBLANK(OFFSET(A$1,,,SUMPRODUCT(MAX(ROW(E$2:E3240)*(E3240=E$2:E3240)))))-COUNTBLANK(OFFSET(A$1,,,SUMPRODUCT(MAX(ROW(E$1:E3239)*(E2=E$1:E3239))))))</f>
        <v> </v>
      </c>
      <c r="K3240" s="25" t="str">
        <f>IF(OR(E3240="",E3240="!!!",F3240="NEW"),"",INDEX(J$1:J3239,SUMPRODUCT(MAX(ROW(E$1:E3239)*(E3240=E$1:E3239)))))</f>
        <v> </v>
      </c>
      <c r="L3240" s="26"/>
    </row>
    <row r="3241" spans="1:12">
      <c r="A3241" s="20" t="s">
        <v>2146</v>
      </c>
      <c r="E3241" s="21">
        <f>IF(D3241="?OLD","!!!","")</f>
        <v/>
      </c>
      <c r="F3241" s="22" t="str">
        <f>IF(OR(E3241="",E3241="!!!"),"",IF(NOT(ISNA(VLOOKUP(E3241,E$1:E3240,1,FALSE()))),"OLD",IF(AND(E3241&lt;&gt;"",E3241&lt;&gt;"!!!"),"NEW","")))</f>
        <v> </v>
      </c>
      <c r="G3241" s="23" t="str">
        <f>IF(OR(E3241="",E3241="!!!"),"",IF(OR(J3241=0,AND(J3241=1,K3241=1),AND(J3241=1,I3241="SBJ"),AND(J3241=1,I3241=0)),"?IN_FOCUS",IF(J3241&lt;=2,"?ACTIVATED",IF(J3241&lt;&gt;"","?FAMILIAR",IF(F3241="NEW",IF(ISNA(VLOOKUP(E3241,#REF!,1,FALSE())),"?TYPE_IDENTIFIABLE","?REFERENTIAL"),"_")))))</f>
        <v> </v>
      </c>
      <c r="H3241" s="24" t="str">
        <f>IF(J3241&lt;&gt;1,"",IF(I3241="SBJ","CB","?"))</f>
        <v> </v>
      </c>
      <c r="I3241" s="25" t="str">
        <f>IF(OR(E3241="",E3241="!!!",F3241="NEW"),"",INDEX(B3240:B$2,-1+SUMPRODUCT(MAX(ROW(E3240:E$2)*(E3241=E3240:E$2)))))</f>
        <v> </v>
      </c>
      <c r="J3241" s="25" t="str">
        <f>IF(OR(E3241="",E3241="!!!",F3241="NEW"),"",COUNTBLANK(OFFSET(A$1,,,SUMPRODUCT(MAX(ROW(E$2:E3241)*(E3241=E$2:E3241)))))-COUNTBLANK(OFFSET(A$1,,,SUMPRODUCT(MAX(ROW(E$1:E3240)*(E2=E$1:E3240))))))</f>
        <v> </v>
      </c>
      <c r="K3241" s="25" t="str">
        <f>IF(OR(E3241="",E3241="!!!",F3241="NEW"),"",INDEX(J$1:J3240,SUMPRODUCT(MAX(ROW(E$1:E3240)*(E3241=E$1:E3240)))))</f>
        <v> </v>
      </c>
      <c r="L3241" s="26"/>
    </row>
    <row r="3242" spans="1:12">
      <c r="A3242" s="20" t="s">
        <v>1244</v>
      </c>
      <c r="B3242" s="27" t="s">
        <v>1069</v>
      </c>
      <c r="C3242" s="27" t="s">
        <v>1029</v>
      </c>
      <c r="D3242" s="27" t="s">
        <v>1030</v>
      </c>
      <c r="E3242" s="21">
        <f>IF(D3242="?OLD","!!!","")</f>
        <v/>
      </c>
      <c r="F3242" s="22" t="str">
        <f>IF(OR(E3242="",E3242="!!!"),"",IF(NOT(ISNA(VLOOKUP(E3242,E$1:E3241,1,FALSE()))),"OLD",IF(AND(E3242&lt;&gt;"",E3242&lt;&gt;"!!!"),"NEW","")))</f>
        <v> </v>
      </c>
      <c r="G3242" s="23" t="str">
        <f>IF(OR(E3242="",E3242="!!!"),"",IF(OR(J3242=0,AND(J3242=1,K3242=1),AND(J3242=1,I3242="SBJ"),AND(J3242=1,I3242=0)),"?IN_FOCUS",IF(J3242&lt;=2,"?ACTIVATED",IF(J3242&lt;&gt;"","?FAMILIAR",IF(F3242="NEW",IF(ISNA(VLOOKUP(E3242,#REF!,1,FALSE())),"?TYPE_IDENTIFIABLE","?REFERENTIAL"),"_")))))</f>
        <v> </v>
      </c>
      <c r="H3242" s="24" t="str">
        <f>IF(J3242&lt;&gt;1,"",IF(I3242="SBJ","CB","?"))</f>
        <v> </v>
      </c>
      <c r="I3242" s="25" t="str">
        <f>IF(OR(E3242="",E3242="!!!",F3242="NEW"),"",INDEX(B3241:B$2,-1+SUMPRODUCT(MAX(ROW(E3241:E$2)*(E3242=E3241:E$2)))))</f>
        <v> </v>
      </c>
      <c r="J3242" s="25" t="str">
        <f>IF(OR(E3242="",E3242="!!!",F3242="NEW"),"",COUNTBLANK(OFFSET(A$1,,,SUMPRODUCT(MAX(ROW(E$2:E3242)*(E3242=E$2:E3242)))))-COUNTBLANK(OFFSET(A$1,,,SUMPRODUCT(MAX(ROW(E$1:E3241)*(E2=E$1:E3241))))))</f>
        <v> </v>
      </c>
      <c r="K3242" s="25" t="str">
        <f>IF(OR(E3242="",E3242="!!!",F3242="NEW"),"",INDEX(J$1:J3241,SUMPRODUCT(MAX(ROW(E$1:E3241)*(E3242=E$1:E3241)))))</f>
        <v> </v>
      </c>
      <c r="L3242" s="26"/>
    </row>
    <row r="3243" spans="1:12">
      <c r="A3243" s="20" t="s">
        <v>1016</v>
      </c>
      <c r="E3243" s="21">
        <f>IF(D3243="?OLD","!!!","")</f>
        <v/>
      </c>
      <c r="F3243" s="22" t="str">
        <f>IF(OR(E3243="",E3243="!!!"),"",IF(NOT(ISNA(VLOOKUP(E3243,E$1:E3242,1,FALSE()))),"OLD",IF(AND(E3243&lt;&gt;"",E3243&lt;&gt;"!!!"),"NEW","")))</f>
        <v> </v>
      </c>
      <c r="G3243" s="23" t="str">
        <f>IF(OR(E3243="",E3243="!!!"),"",IF(OR(J3243=0,AND(J3243=1,K3243=1),AND(J3243=1,I3243="SBJ"),AND(J3243=1,I3243=0)),"?IN_FOCUS",IF(J3243&lt;=2,"?ACTIVATED",IF(J3243&lt;&gt;"","?FAMILIAR",IF(F3243="NEW",IF(ISNA(VLOOKUP(E3243,#REF!,1,FALSE())),"?TYPE_IDENTIFIABLE","?REFERENTIAL"),"_")))))</f>
        <v> </v>
      </c>
      <c r="H3243" s="24" t="str">
        <f>IF(J3243&lt;&gt;1,"",IF(I3243="SBJ","CB","?"))</f>
        <v> </v>
      </c>
      <c r="I3243" s="25" t="str">
        <f>IF(OR(E3243="",E3243="!!!",F3243="NEW"),"",INDEX(B3242:B$2,-1+SUMPRODUCT(MAX(ROW(E3242:E$2)*(E3243=E3242:E$2)))))</f>
        <v> </v>
      </c>
      <c r="J3243" s="25" t="str">
        <f>IF(OR(E3243="",E3243="!!!",F3243="NEW"),"",COUNTBLANK(OFFSET(A$1,,,SUMPRODUCT(MAX(ROW(E$2:E3243)*(E3243=E$2:E3243)))))-COUNTBLANK(OFFSET(A$1,,,SUMPRODUCT(MAX(ROW(E$1:E3242)*(E2=E$1:E3242))))))</f>
        <v> </v>
      </c>
      <c r="K3243" s="25" t="str">
        <f>IF(OR(E3243="",E3243="!!!",F3243="NEW"),"",INDEX(J$1:J3242,SUMPRODUCT(MAX(ROW(E$1:E3242)*(E3243=E$1:E3242)))))</f>
        <v> </v>
      </c>
      <c r="L3243" s="26"/>
    </row>
    <row r="3244" spans="1:12">
      <c r="A3244" s="20" t="s">
        <v>1185</v>
      </c>
      <c r="B3244" s="27" t="s">
        <v>1066</v>
      </c>
      <c r="C3244" s="27" t="s">
        <v>1015</v>
      </c>
      <c r="E3244" s="21">
        <f>IF(D3244="?OLD","!!!","")</f>
        <v/>
      </c>
      <c r="F3244" s="22" t="str">
        <f>IF(OR(E3244="",E3244="!!!"),"",IF(NOT(ISNA(VLOOKUP(E3244,E$1:E3243,1,FALSE()))),"OLD",IF(AND(E3244&lt;&gt;"",E3244&lt;&gt;"!!!"),"NEW","")))</f>
        <v> </v>
      </c>
      <c r="G3244" s="23" t="str">
        <f>IF(OR(E3244="",E3244="!!!"),"",IF(OR(J3244=0,AND(J3244=1,K3244=1),AND(J3244=1,I3244="SBJ"),AND(J3244=1,I3244=0)),"?IN_FOCUS",IF(J3244&lt;=2,"?ACTIVATED",IF(J3244&lt;&gt;"","?FAMILIAR",IF(F3244="NEW",IF(ISNA(VLOOKUP(E3244,#REF!,1,FALSE())),"?TYPE_IDENTIFIABLE","?REFERENTIAL"),"_")))))</f>
        <v> </v>
      </c>
      <c r="H3244" s="24" t="str">
        <f>IF(J3244&lt;&gt;1,"",IF(I3244="SBJ","CB","?"))</f>
        <v> </v>
      </c>
      <c r="I3244" s="25" t="str">
        <f>IF(OR(E3244="",E3244="!!!",F3244="NEW"),"",INDEX(B3243:B$2,-1+SUMPRODUCT(MAX(ROW(E3243:E$2)*(E3244=E3243:E$2)))))</f>
        <v> </v>
      </c>
      <c r="J3244" s="25" t="str">
        <f>IF(OR(E3244="",E3244="!!!",F3244="NEW"),"",COUNTBLANK(OFFSET(A$1,,,SUMPRODUCT(MAX(ROW(E$2:E3244)*(E3244=E$2:E3244)))))-COUNTBLANK(OFFSET(A$1,,,SUMPRODUCT(MAX(ROW(E$1:E3243)*(E2=E$1:E3243))))))</f>
        <v> </v>
      </c>
      <c r="K3244" s="25" t="str">
        <f>IF(OR(E3244="",E3244="!!!",F3244="NEW"),"",INDEX(J$1:J3243,SUMPRODUCT(MAX(ROW(E$1:E3243)*(E3244=E$1:E3243)))))</f>
        <v> </v>
      </c>
      <c r="L3244" s="26"/>
    </row>
    <row r="3245" spans="1:12">
      <c r="A3245" s="20" t="s">
        <v>1022</v>
      </c>
      <c r="E3245" s="21">
        <f>IF(D3245="?OLD","!!!","")</f>
        <v/>
      </c>
      <c r="F3245" s="22" t="str">
        <f>IF(OR(E3245="",E3245="!!!"),"",IF(NOT(ISNA(VLOOKUP(E3245,E$1:E3244,1,FALSE()))),"OLD",IF(AND(E3245&lt;&gt;"",E3245&lt;&gt;"!!!"),"NEW","")))</f>
        <v> </v>
      </c>
      <c r="G3245" s="23" t="str">
        <f>IF(OR(E3245="",E3245="!!!"),"",IF(OR(J3245=0,AND(J3245=1,K3245=1),AND(J3245=1,I3245="SBJ"),AND(J3245=1,I3245=0)),"?IN_FOCUS",IF(J3245&lt;=2,"?ACTIVATED",IF(J3245&lt;&gt;"","?FAMILIAR",IF(F3245="NEW",IF(ISNA(VLOOKUP(E3245,#REF!,1,FALSE())),"?TYPE_IDENTIFIABLE","?REFERENTIAL"),"_")))))</f>
        <v> </v>
      </c>
      <c r="H3245" s="24" t="str">
        <f>IF(J3245&lt;&gt;1,"",IF(I3245="SBJ","CB","?"))</f>
        <v> </v>
      </c>
      <c r="I3245" s="25" t="str">
        <f>IF(OR(E3245="",E3245="!!!",F3245="NEW"),"",INDEX(B3244:B$2,-1+SUMPRODUCT(MAX(ROW(E3244:E$2)*(E3245=E3244:E$2)))))</f>
        <v> </v>
      </c>
      <c r="J3245" s="25" t="str">
        <f>IF(OR(E3245="",E3245="!!!",F3245="NEW"),"",COUNTBLANK(OFFSET(A$1,,,SUMPRODUCT(MAX(ROW(E$2:E3245)*(E3245=E$2:E3245)))))-COUNTBLANK(OFFSET(A$1,,,SUMPRODUCT(MAX(ROW(E$1:E3244)*(E2=E$1:E3244))))))</f>
        <v> </v>
      </c>
      <c r="K3245" s="25" t="str">
        <f>IF(OR(E3245="",E3245="!!!",F3245="NEW"),"",INDEX(J$1:J3244,SUMPRODUCT(MAX(ROW(E$1:E3244)*(E3245=E$1:E3244)))))</f>
        <v> </v>
      </c>
      <c r="L3245" s="26"/>
    </row>
    <row r="3246" spans="1:12">
      <c r="A3246" s="20" t="s">
        <v>1244</v>
      </c>
      <c r="B3246" s="27" t="s">
        <v>1103</v>
      </c>
      <c r="C3246" s="27" t="s">
        <v>1029</v>
      </c>
      <c r="D3246" s="27" t="s">
        <v>1030</v>
      </c>
      <c r="E3246" s="21">
        <f>IF(D3246="?OLD","!!!","")</f>
        <v/>
      </c>
      <c r="F3246" s="22" t="str">
        <f>IF(OR(E3246="",E3246="!!!"),"",IF(NOT(ISNA(VLOOKUP(E3246,E$1:E3245,1,FALSE()))),"OLD",IF(AND(E3246&lt;&gt;"",E3246&lt;&gt;"!!!"),"NEW","")))</f>
        <v> </v>
      </c>
      <c r="G3246" s="23" t="str">
        <f>IF(OR(E3246="",E3246="!!!"),"",IF(OR(J3246=0,AND(J3246=1,K3246=1),AND(J3246=1,I3246="SBJ"),AND(J3246=1,I3246=0)),"?IN_FOCUS",IF(J3246&lt;=2,"?ACTIVATED",IF(J3246&lt;&gt;"","?FAMILIAR",IF(F3246="NEW",IF(ISNA(VLOOKUP(E3246,#REF!,1,FALSE())),"?TYPE_IDENTIFIABLE","?REFERENTIAL"),"_")))))</f>
        <v> </v>
      </c>
      <c r="H3246" s="24" t="str">
        <f>IF(J3246&lt;&gt;1,"",IF(I3246="SBJ","CB","?"))</f>
        <v> </v>
      </c>
      <c r="I3246" s="25" t="str">
        <f>IF(OR(E3246="",E3246="!!!",F3246="NEW"),"",INDEX(B3245:B$2,-1+SUMPRODUCT(MAX(ROW(E3245:E$2)*(E3246=E3245:E$2)))))</f>
        <v> </v>
      </c>
      <c r="J3246" s="25" t="str">
        <f>IF(OR(E3246="",E3246="!!!",F3246="NEW"),"",COUNTBLANK(OFFSET(A$1,,,SUMPRODUCT(MAX(ROW(E$2:E3246)*(E3246=E$2:E3246)))))-COUNTBLANK(OFFSET(A$1,,,SUMPRODUCT(MAX(ROW(E$1:E3245)*(E2=E$1:E3245))))))</f>
        <v> </v>
      </c>
      <c r="K3246" s="25" t="str">
        <f>IF(OR(E3246="",E3246="!!!",F3246="NEW"),"",INDEX(J$1:J3245,SUMPRODUCT(MAX(ROW(E$1:E3245)*(E3246=E$1:E3245)))))</f>
        <v> </v>
      </c>
      <c r="L3246" s="26"/>
    </row>
    <row r="3247" spans="1:12">
      <c r="A3247" s="20" t="s">
        <v>1016</v>
      </c>
      <c r="E3247" s="21">
        <f>IF(D3247="?OLD","!!!","")</f>
        <v/>
      </c>
      <c r="F3247" s="22" t="str">
        <f>IF(OR(E3247="",E3247="!!!"),"",IF(NOT(ISNA(VLOOKUP(E3247,E$1:E3246,1,FALSE()))),"OLD",IF(AND(E3247&lt;&gt;"",E3247&lt;&gt;"!!!"),"NEW","")))</f>
        <v> </v>
      </c>
      <c r="G3247" s="23" t="str">
        <f>IF(OR(E3247="",E3247="!!!"),"",IF(OR(J3247=0,AND(J3247=1,K3247=1),AND(J3247=1,I3247="SBJ"),AND(J3247=1,I3247=0)),"?IN_FOCUS",IF(J3247&lt;=2,"?ACTIVATED",IF(J3247&lt;&gt;"","?FAMILIAR",IF(F3247="NEW",IF(ISNA(VLOOKUP(E3247,#REF!,1,FALSE())),"?TYPE_IDENTIFIABLE","?REFERENTIAL"),"_")))))</f>
        <v> </v>
      </c>
      <c r="H3247" s="24" t="str">
        <f>IF(J3247&lt;&gt;1,"",IF(I3247="SBJ","CB","?"))</f>
        <v> </v>
      </c>
      <c r="I3247" s="25" t="str">
        <f>IF(OR(E3247="",E3247="!!!",F3247="NEW"),"",INDEX(B3246:B$2,-1+SUMPRODUCT(MAX(ROW(E3246:E$2)*(E3247=E3246:E$2)))))</f>
        <v> </v>
      </c>
      <c r="J3247" s="25" t="str">
        <f>IF(OR(E3247="",E3247="!!!",F3247="NEW"),"",COUNTBLANK(OFFSET(A$1,,,SUMPRODUCT(MAX(ROW(E$2:E3247)*(E3247=E$2:E3247)))))-COUNTBLANK(OFFSET(A$1,,,SUMPRODUCT(MAX(ROW(E$1:E3246)*(E2=E$1:E3246))))))</f>
        <v> </v>
      </c>
      <c r="K3247" s="25" t="str">
        <f>IF(OR(E3247="",E3247="!!!",F3247="NEW"),"",INDEX(J$1:J3246,SUMPRODUCT(MAX(ROW(E$1:E3246)*(E3247=E$1:E3246)))))</f>
        <v> </v>
      </c>
      <c r="L3247" s="26"/>
    </row>
    <row r="3248" spans="1:12">
      <c r="A3248" s="20" t="s">
        <v>1185</v>
      </c>
      <c r="B3248" s="27" t="s">
        <v>1035</v>
      </c>
      <c r="C3248" s="27" t="s">
        <v>1015</v>
      </c>
      <c r="E3248" s="21">
        <f>IF(D3248="?OLD","!!!","")</f>
        <v/>
      </c>
      <c r="F3248" s="22" t="str">
        <f>IF(OR(E3248="",E3248="!!!"),"",IF(NOT(ISNA(VLOOKUP(E3248,E$1:E3247,1,FALSE()))),"OLD",IF(AND(E3248&lt;&gt;"",E3248&lt;&gt;"!!!"),"NEW","")))</f>
        <v> </v>
      </c>
      <c r="G3248" s="23" t="str">
        <f>IF(OR(E3248="",E3248="!!!"),"",IF(OR(J3248=0,AND(J3248=1,K3248=1),AND(J3248=1,I3248="SBJ"),AND(J3248=1,I3248=0)),"?IN_FOCUS",IF(J3248&lt;=2,"?ACTIVATED",IF(J3248&lt;&gt;"","?FAMILIAR",IF(F3248="NEW",IF(ISNA(VLOOKUP(E3248,#REF!,1,FALSE())),"?TYPE_IDENTIFIABLE","?REFERENTIAL"),"_")))))</f>
        <v> </v>
      </c>
      <c r="H3248" s="24" t="str">
        <f>IF(J3248&lt;&gt;1,"",IF(I3248="SBJ","CB","?"))</f>
        <v> </v>
      </c>
      <c r="I3248" s="25" t="str">
        <f>IF(OR(E3248="",E3248="!!!",F3248="NEW"),"",INDEX(B3247:B$2,-1+SUMPRODUCT(MAX(ROW(E3247:E$2)*(E3248=E3247:E$2)))))</f>
        <v> </v>
      </c>
      <c r="J3248" s="25" t="str">
        <f>IF(OR(E3248="",E3248="!!!",F3248="NEW"),"",COUNTBLANK(OFFSET(A$1,,,SUMPRODUCT(MAX(ROW(E$2:E3248)*(E3248=E$2:E3248)))))-COUNTBLANK(OFFSET(A$1,,,SUMPRODUCT(MAX(ROW(E$1:E3247)*(E2=E$1:E3247))))))</f>
        <v> </v>
      </c>
      <c r="K3248" s="25" t="str">
        <f>IF(OR(E3248="",E3248="!!!",F3248="NEW"),"",INDEX(J$1:J3247,SUMPRODUCT(MAX(ROW(E$1:E3247)*(E3248=E$1:E3247)))))</f>
        <v> </v>
      </c>
      <c r="L3248" s="26"/>
    </row>
    <row r="3249" spans="1:12">
      <c r="A3249" s="20" t="s">
        <v>1022</v>
      </c>
      <c r="E3249" s="21">
        <f>IF(D3249="?OLD","!!!","")</f>
        <v/>
      </c>
      <c r="F3249" s="22" t="str">
        <f>IF(OR(E3249="",E3249="!!!"),"",IF(NOT(ISNA(VLOOKUP(E3249,E$1:E3248,1,FALSE()))),"OLD",IF(AND(E3249&lt;&gt;"",E3249&lt;&gt;"!!!"),"NEW","")))</f>
        <v> </v>
      </c>
      <c r="G3249" s="23" t="str">
        <f>IF(OR(E3249="",E3249="!!!"),"",IF(OR(J3249=0,AND(J3249=1,K3249=1),AND(J3249=1,I3249="SBJ"),AND(J3249=1,I3249=0)),"?IN_FOCUS",IF(J3249&lt;=2,"?ACTIVATED",IF(J3249&lt;&gt;"","?FAMILIAR",IF(F3249="NEW",IF(ISNA(VLOOKUP(E3249,#REF!,1,FALSE())),"?TYPE_IDENTIFIABLE","?REFERENTIAL"),"_")))))</f>
        <v> </v>
      </c>
      <c r="H3249" s="24" t="str">
        <f>IF(J3249&lt;&gt;1,"",IF(I3249="SBJ","CB","?"))</f>
        <v> </v>
      </c>
      <c r="I3249" s="25" t="str">
        <f>IF(OR(E3249="",E3249="!!!",F3249="NEW"),"",INDEX(B3248:B$2,-1+SUMPRODUCT(MAX(ROW(E3248:E$2)*(E3249=E3248:E$2)))))</f>
        <v> </v>
      </c>
      <c r="J3249" s="25" t="str">
        <f>IF(OR(E3249="",E3249="!!!",F3249="NEW"),"",COUNTBLANK(OFFSET(A$1,,,SUMPRODUCT(MAX(ROW(E$2:E3249)*(E3249=E$2:E3249)))))-COUNTBLANK(OFFSET(A$1,,,SUMPRODUCT(MAX(ROW(E$1:E3248)*(E2=E$1:E3248))))))</f>
        <v> </v>
      </c>
      <c r="K3249" s="25" t="str">
        <f>IF(OR(E3249="",E3249="!!!",F3249="NEW"),"",INDEX(J$1:J3248,SUMPRODUCT(MAX(ROW(E$1:E3248)*(E3249=E$1:E3248)))))</f>
        <v> </v>
      </c>
      <c r="L3249" s="26"/>
    </row>
    <row r="3250" spans="1:12">
      <c r="A3250" s="20" t="s">
        <v>2147</v>
      </c>
      <c r="E3250" s="21">
        <f>IF(D3250="?OLD","!!!","")</f>
        <v/>
      </c>
      <c r="F3250" s="22" t="str">
        <f>IF(OR(E3250="",E3250="!!!"),"",IF(NOT(ISNA(VLOOKUP(E3250,E$1:E3249,1,FALSE()))),"OLD",IF(AND(E3250&lt;&gt;"",E3250&lt;&gt;"!!!"),"NEW","")))</f>
        <v> </v>
      </c>
      <c r="G3250" s="23" t="str">
        <f>IF(OR(E3250="",E3250="!!!"),"",IF(OR(J3250=0,AND(J3250=1,K3250=1),AND(J3250=1,I3250="SBJ"),AND(J3250=1,I3250=0)),"?IN_FOCUS",IF(J3250&lt;=2,"?ACTIVATED",IF(J3250&lt;&gt;"","?FAMILIAR",IF(F3250="NEW",IF(ISNA(VLOOKUP(E3250,#REF!,1,FALSE())),"?TYPE_IDENTIFIABLE","?REFERENTIAL"),"_")))))</f>
        <v> </v>
      </c>
      <c r="H3250" s="24" t="str">
        <f>IF(J3250&lt;&gt;1,"",IF(I3250="SBJ","CB","?"))</f>
        <v> </v>
      </c>
      <c r="I3250" s="25" t="str">
        <f>IF(OR(E3250="",E3250="!!!",F3250="NEW"),"",INDEX(B3249:B$2,-1+SUMPRODUCT(MAX(ROW(E3249:E$2)*(E3250=E3249:E$2)))))</f>
        <v> </v>
      </c>
      <c r="J3250" s="25" t="str">
        <f>IF(OR(E3250="",E3250="!!!",F3250="NEW"),"",COUNTBLANK(OFFSET(A$1,,,SUMPRODUCT(MAX(ROW(E$2:E3250)*(E3250=E$2:E3250)))))-COUNTBLANK(OFFSET(A$1,,,SUMPRODUCT(MAX(ROW(E$1:E3249)*(E2=E$1:E3249))))))</f>
        <v> </v>
      </c>
      <c r="K3250" s="25" t="str">
        <f>IF(OR(E3250="",E3250="!!!",F3250="NEW"),"",INDEX(J$1:J3249,SUMPRODUCT(MAX(ROW(E$1:E3249)*(E3250=E$1:E3249)))))</f>
        <v> </v>
      </c>
      <c r="L3250" s="26"/>
    </row>
    <row r="3251" spans="1:12">
      <c r="A3251" s="20" t="s">
        <v>1111</v>
      </c>
      <c r="E3251" s="21">
        <f>IF(D3251="?OLD","!!!","")</f>
        <v/>
      </c>
      <c r="F3251" s="22" t="str">
        <f>IF(OR(E3251="",E3251="!!!"),"",IF(NOT(ISNA(VLOOKUP(E3251,E$1:E3250,1,FALSE()))),"OLD",IF(AND(E3251&lt;&gt;"",E3251&lt;&gt;"!!!"),"NEW","")))</f>
        <v> </v>
      </c>
      <c r="G3251" s="23" t="str">
        <f>IF(OR(E3251="",E3251="!!!"),"",IF(OR(J3251=0,AND(J3251=1,K3251=1),AND(J3251=1,I3251="SBJ"),AND(J3251=1,I3251=0)),"?IN_FOCUS",IF(J3251&lt;=2,"?ACTIVATED",IF(J3251&lt;&gt;"","?FAMILIAR",IF(F3251="NEW",IF(ISNA(VLOOKUP(E3251,#REF!,1,FALSE())),"?TYPE_IDENTIFIABLE","?REFERENTIAL"),"_")))))</f>
        <v> </v>
      </c>
      <c r="H3251" s="24" t="str">
        <f>IF(J3251&lt;&gt;1,"",IF(I3251="SBJ","CB","?"))</f>
        <v> </v>
      </c>
      <c r="I3251" s="25" t="str">
        <f>IF(OR(E3251="",E3251="!!!",F3251="NEW"),"",INDEX(B3250:B$2,-1+SUMPRODUCT(MAX(ROW(E3250:E$2)*(E3251=E3250:E$2)))))</f>
        <v> </v>
      </c>
      <c r="J3251" s="25" t="str">
        <f>IF(OR(E3251="",E3251="!!!",F3251="NEW"),"",COUNTBLANK(OFFSET(A$1,,,SUMPRODUCT(MAX(ROW(E$2:E3251)*(E3251=E$2:E3251)))))-COUNTBLANK(OFFSET(A$1,,,SUMPRODUCT(MAX(ROW(E$1:E3250)*(E2=E$1:E3250))))))</f>
        <v> </v>
      </c>
      <c r="K3251" s="25" t="str">
        <f>IF(OR(E3251="",E3251="!!!",F3251="NEW"),"",INDEX(J$1:J3250,SUMPRODUCT(MAX(ROW(E$1:E3250)*(E3251=E$1:E3250)))))</f>
        <v> </v>
      </c>
      <c r="L3251" s="26"/>
    </row>
    <row r="3252" spans="1:12">
      <c r="A3252" s="20" t="s">
        <v>2148</v>
      </c>
      <c r="B3252" s="27" t="s">
        <v>1066</v>
      </c>
      <c r="C3252" s="27" t="s">
        <v>1077</v>
      </c>
      <c r="D3252" s="27" t="s">
        <v>1030</v>
      </c>
      <c r="E3252" s="21">
        <f>IF(D3252="?OLD","!!!","")</f>
        <v/>
      </c>
      <c r="F3252" s="22" t="str">
        <f>IF(OR(E3252="",E3252="!!!"),"",IF(NOT(ISNA(VLOOKUP(E3252,E$1:E3251,1,FALSE()))),"OLD",IF(AND(E3252&lt;&gt;"",E3252&lt;&gt;"!!!"),"NEW","")))</f>
        <v> </v>
      </c>
      <c r="G3252" s="23" t="str">
        <f>IF(OR(E3252="",E3252="!!!"),"",IF(OR(J3252=0,AND(J3252=1,K3252=1),AND(J3252=1,I3252="SBJ"),AND(J3252=1,I3252=0)),"?IN_FOCUS",IF(J3252&lt;=2,"?ACTIVATED",IF(J3252&lt;&gt;"","?FAMILIAR",IF(F3252="NEW",IF(ISNA(VLOOKUP(E3252,#REF!,1,FALSE())),"?TYPE_IDENTIFIABLE","?REFERENTIAL"),"_")))))</f>
        <v> </v>
      </c>
      <c r="H3252" s="24" t="str">
        <f>IF(J3252&lt;&gt;1,"",IF(I3252="SBJ","CB","?"))</f>
        <v> </v>
      </c>
      <c r="I3252" s="25" t="str">
        <f>IF(OR(E3252="",E3252="!!!",F3252="NEW"),"",INDEX(B3251:B$2,-1+SUMPRODUCT(MAX(ROW(E3251:E$2)*(E3252=E3251:E$2)))))</f>
        <v> </v>
      </c>
      <c r="J3252" s="25" t="str">
        <f>IF(OR(E3252="",E3252="!!!",F3252="NEW"),"",COUNTBLANK(OFFSET(A$1,,,SUMPRODUCT(MAX(ROW(E$2:E3252)*(E3252=E$2:E3252)))))-COUNTBLANK(OFFSET(A$1,,,SUMPRODUCT(MAX(ROW(E$1:E3251)*(E2=E$1:E3251))))))</f>
        <v> </v>
      </c>
      <c r="K3252" s="25" t="str">
        <f>IF(OR(E3252="",E3252="!!!",F3252="NEW"),"",INDEX(J$1:J3251,SUMPRODUCT(MAX(ROW(E$1:E3251)*(E3252=E$1:E3251)))))</f>
        <v> </v>
      </c>
      <c r="L3252" s="26"/>
    </row>
    <row r="3253" spans="1:12">
      <c r="A3253" s="20" t="s">
        <v>1788</v>
      </c>
      <c r="B3253" s="27" t="s">
        <v>1069</v>
      </c>
      <c r="C3253" s="27" t="s">
        <v>1038</v>
      </c>
      <c r="D3253" s="27" t="s">
        <v>1030</v>
      </c>
      <c r="E3253" s="21">
        <f>IF(D3253="?OLD","!!!","")</f>
        <v/>
      </c>
      <c r="F3253" s="22" t="str">
        <f>IF(OR(E3253="",E3253="!!!"),"",IF(NOT(ISNA(VLOOKUP(E3253,E$1:E3252,1,FALSE()))),"OLD",IF(AND(E3253&lt;&gt;"",E3253&lt;&gt;"!!!"),"NEW","")))</f>
        <v> </v>
      </c>
      <c r="G3253" s="23" t="str">
        <f>IF(OR(E3253="",E3253="!!!"),"",IF(OR(J3253=0,AND(J3253=1,K3253=1),AND(J3253=1,I3253="SBJ"),AND(J3253=1,I3253=0)),"?IN_FOCUS",IF(J3253&lt;=2,"?ACTIVATED",IF(J3253&lt;&gt;"","?FAMILIAR",IF(F3253="NEW",IF(ISNA(VLOOKUP(E3253,#REF!,1,FALSE())),"?TYPE_IDENTIFIABLE","?REFERENTIAL"),"_")))))</f>
        <v> </v>
      </c>
      <c r="H3253" s="24" t="str">
        <f>IF(J3253&lt;&gt;1,"",IF(I3253="SBJ","CB","?"))</f>
        <v> </v>
      </c>
      <c r="I3253" s="25" t="str">
        <f>IF(OR(E3253="",E3253="!!!",F3253="NEW"),"",INDEX(B3252:B$2,-1+SUMPRODUCT(MAX(ROW(E3252:E$2)*(E3253=E3252:E$2)))))</f>
        <v> </v>
      </c>
      <c r="J3253" s="25" t="str">
        <f>IF(OR(E3253="",E3253="!!!",F3253="NEW"),"",COUNTBLANK(OFFSET(A$1,,,SUMPRODUCT(MAX(ROW(E$2:E3253)*(E3253=E$2:E3253)))))-COUNTBLANK(OFFSET(A$1,,,SUMPRODUCT(MAX(ROW(E$1:E3252)*(E2=E$1:E3252))))))</f>
        <v> </v>
      </c>
      <c r="K3253" s="25" t="str">
        <f>IF(OR(E3253="",E3253="!!!",F3253="NEW"),"",INDEX(J$1:J3252,SUMPRODUCT(MAX(ROW(E$1:E3252)*(E3253=E$1:E3252)))))</f>
        <v> </v>
      </c>
      <c r="L3253" s="26"/>
    </row>
    <row r="3254" spans="1:12">
      <c r="A3254" s="20" t="s">
        <v>135</v>
      </c>
      <c r="E3254" s="21">
        <f>IF(D3254="?OLD","!!!","")</f>
        <v/>
      </c>
      <c r="F3254" s="22" t="str">
        <f>IF(OR(E3254="",E3254="!!!"),"",IF(NOT(ISNA(VLOOKUP(E3254,E$1:E3253,1,FALSE()))),"OLD",IF(AND(E3254&lt;&gt;"",E3254&lt;&gt;"!!!"),"NEW","")))</f>
        <v> </v>
      </c>
      <c r="G3254" s="23" t="str">
        <f>IF(OR(E3254="",E3254="!!!"),"",IF(OR(J3254=0,AND(J3254=1,K3254=1),AND(J3254=1,I3254="SBJ"),AND(J3254=1,I3254=0)),"?IN_FOCUS",IF(J3254&lt;=2,"?ACTIVATED",IF(J3254&lt;&gt;"","?FAMILIAR",IF(F3254="NEW",IF(ISNA(VLOOKUP(E3254,#REF!,1,FALSE())),"?TYPE_IDENTIFIABLE","?REFERENTIAL"),"_")))))</f>
        <v> </v>
      </c>
      <c r="H3254" s="24" t="str">
        <f>IF(J3254&lt;&gt;1,"",IF(I3254="SBJ","CB","?"))</f>
        <v> </v>
      </c>
      <c r="I3254" s="25" t="str">
        <f>IF(OR(E3254="",E3254="!!!",F3254="NEW"),"",INDEX(B3253:B$2,-1+SUMPRODUCT(MAX(ROW(E3253:E$2)*(E3254=E3253:E$2)))))</f>
        <v> </v>
      </c>
      <c r="J3254" s="25" t="str">
        <f>IF(OR(E3254="",E3254="!!!",F3254="NEW"),"",COUNTBLANK(OFFSET(A$1,,,SUMPRODUCT(MAX(ROW(E$2:E3254)*(E3254=E$2:E3254)))))-COUNTBLANK(OFFSET(A$1,,,SUMPRODUCT(MAX(ROW(E$1:E3253)*(E2=E$1:E3253))))))</f>
        <v> </v>
      </c>
      <c r="K3254" s="25" t="str">
        <f>IF(OR(E3254="",E3254="!!!",F3254="NEW"),"",INDEX(J$1:J3253,SUMPRODUCT(MAX(ROW(E$1:E3253)*(E3254=E$1:E3253)))))</f>
        <v> </v>
      </c>
      <c r="L3254" s="26"/>
    </row>
    <row r="3255" spans="1:12">
      <c r="A3255" s="20"/>
    </row>
    <row r="3256" spans="1:12">
      <c r="A3256" s="20" t="s">
        <v>2149</v>
      </c>
    </row>
    <row r="3257" spans="1:12">
      <c r="A3257" s="20" t="s">
        <v>1062</v>
      </c>
      <c r="E3257" s="21">
        <f>IF(D3257="?OLD","!!!","")</f>
        <v/>
      </c>
      <c r="F3257" s="22" t="str">
        <f>IF(OR(E3257="",E3257="!!!"),"",IF(NOT(ISNA(VLOOKUP(E3257,E$1:E3256,1,FALSE()))),"OLD",IF(AND(E3257&lt;&gt;"",E3257&lt;&gt;"!!!"),"NEW","")))</f>
        <v> </v>
      </c>
      <c r="G3257" s="23" t="str">
        <f>IF(OR(E3257="",E3257="!!!"),"",IF(OR(J3257=0,AND(J3257=1,K3257=1),AND(J3257=1,I3257="SBJ"),AND(J3257=1,I3257=0)),"?IN_FOCUS",IF(J3257&lt;=2,"?ACTIVATED",IF(J3257&lt;&gt;"","?FAMILIAR",IF(F3257="NEW",IF(ISNA(VLOOKUP(E3257,#REF!,1,FALSE())),"?TYPE_IDENTIFIABLE","?REFERENTIAL"),"_")))))</f>
        <v> </v>
      </c>
      <c r="H3257" s="24" t="str">
        <f>IF(J3257&lt;&gt;1,"",IF(I3257="SBJ","CB","?"))</f>
        <v> </v>
      </c>
      <c r="I3257" s="25" t="str">
        <f>IF(OR(E3257="",E3257="!!!",F3257="NEW"),"",INDEX(B3256:B$2,-1+SUMPRODUCT(MAX(ROW(E3256:E$2)*(E3257=E3256:E$2)))))</f>
        <v> </v>
      </c>
      <c r="J3257" s="25" t="str">
        <f>IF(OR(E3257="",E3257="!!!",F3257="NEW"),"",COUNTBLANK(OFFSET(A$1,,,SUMPRODUCT(MAX(ROW(E$2:E3257)*(E3257=E$2:E3257)))))-COUNTBLANK(OFFSET(A$1,,,SUMPRODUCT(MAX(ROW(E$1:E3256)*(E2=E$1:E3256))))))</f>
        <v> </v>
      </c>
      <c r="K3257" s="25" t="str">
        <f>IF(OR(E3257="",E3257="!!!",F3257="NEW"),"",INDEX(J$1:J3256,SUMPRODUCT(MAX(ROW(E$1:E3256)*(E3257=E$1:E3256)))))</f>
        <v> </v>
      </c>
      <c r="L3257" s="26"/>
    </row>
    <row r="3258" spans="1:12">
      <c r="A3258" s="20" t="s">
        <v>1057</v>
      </c>
      <c r="E3258" s="21">
        <f>IF(D3258="?OLD","!!!","")</f>
        <v/>
      </c>
      <c r="F3258" s="22" t="str">
        <f>IF(OR(E3258="",E3258="!!!"),"",IF(NOT(ISNA(VLOOKUP(E3258,E$1:E3257,1,FALSE()))),"OLD",IF(AND(E3258&lt;&gt;"",E3258&lt;&gt;"!!!"),"NEW","")))</f>
        <v> </v>
      </c>
      <c r="G3258" s="23" t="str">
        <f>IF(OR(E3258="",E3258="!!!"),"",IF(OR(J3258=0,AND(J3258=1,K3258=1),AND(J3258=1,I3258="SBJ"),AND(J3258=1,I3258=0)),"?IN_FOCUS",IF(J3258&lt;=2,"?ACTIVATED",IF(J3258&lt;&gt;"","?FAMILIAR",IF(F3258="NEW",IF(ISNA(VLOOKUP(E3258,#REF!,1,FALSE())),"?TYPE_IDENTIFIABLE","?REFERENTIAL"),"_")))))</f>
        <v> </v>
      </c>
      <c r="H3258" s="24" t="str">
        <f>IF(J3258&lt;&gt;1,"",IF(I3258="SBJ","CB","?"))</f>
        <v> </v>
      </c>
      <c r="I3258" s="25" t="str">
        <f>IF(OR(E3258="",E3258="!!!",F3258="NEW"),"",INDEX(B3257:B$2,-1+SUMPRODUCT(MAX(ROW(E3257:E$2)*(E3258=E3257:E$2)))))</f>
        <v> </v>
      </c>
      <c r="J3258" s="25" t="str">
        <f>IF(OR(E3258="",E3258="!!!",F3258="NEW"),"",COUNTBLANK(OFFSET(A$1,,,SUMPRODUCT(MAX(ROW(E$2:E3258)*(E3258=E$2:E3258)))))-COUNTBLANK(OFFSET(A$1,,,SUMPRODUCT(MAX(ROW(E$1:E3257)*(E2=E$1:E3257))))))</f>
        <v> </v>
      </c>
      <c r="K3258" s="25" t="str">
        <f>IF(OR(E3258="",E3258="!!!",F3258="NEW"),"",INDEX(J$1:J3257,SUMPRODUCT(MAX(ROW(E$1:E3257)*(E3258=E$1:E3257)))))</f>
        <v> </v>
      </c>
      <c r="L3258" s="26"/>
    </row>
    <row r="3259" spans="1:12">
      <c r="A3259" s="20" t="s">
        <v>2150</v>
      </c>
      <c r="E3259" s="21">
        <f>IF(D3259="?OLD","!!!","")</f>
        <v/>
      </c>
      <c r="F3259" s="22" t="str">
        <f>IF(OR(E3259="",E3259="!!!"),"",IF(NOT(ISNA(VLOOKUP(E3259,E$1:E3258,1,FALSE()))),"OLD",IF(AND(E3259&lt;&gt;"",E3259&lt;&gt;"!!!"),"NEW","")))</f>
        <v> </v>
      </c>
      <c r="G3259" s="23" t="str">
        <f>IF(OR(E3259="",E3259="!!!"),"",IF(OR(J3259=0,AND(J3259=1,K3259=1),AND(J3259=1,I3259="SBJ"),AND(J3259=1,I3259=0)),"?IN_FOCUS",IF(J3259&lt;=2,"?ACTIVATED",IF(J3259&lt;&gt;"","?FAMILIAR",IF(F3259="NEW",IF(ISNA(VLOOKUP(E3259,#REF!,1,FALSE())),"?TYPE_IDENTIFIABLE","?REFERENTIAL"),"_")))))</f>
        <v> </v>
      </c>
      <c r="H3259" s="24" t="str">
        <f>IF(J3259&lt;&gt;1,"",IF(I3259="SBJ","CB","?"))</f>
        <v> </v>
      </c>
      <c r="I3259" s="25" t="str">
        <f>IF(OR(E3259="",E3259="!!!",F3259="NEW"),"",INDEX(B3258:B$2,-1+SUMPRODUCT(MAX(ROW(E3258:E$2)*(E3259=E3258:E$2)))))</f>
        <v> </v>
      </c>
      <c r="J3259" s="25" t="str">
        <f>IF(OR(E3259="",E3259="!!!",F3259="NEW"),"",COUNTBLANK(OFFSET(A$1,,,SUMPRODUCT(MAX(ROW(E$2:E3259)*(E3259=E$2:E3259)))))-COUNTBLANK(OFFSET(A$1,,,SUMPRODUCT(MAX(ROW(E$1:E3258)*(E2=E$1:E3258))))))</f>
        <v> </v>
      </c>
      <c r="K3259" s="25" t="str">
        <f>IF(OR(E3259="",E3259="!!!",F3259="NEW"),"",INDEX(J$1:J3258,SUMPRODUCT(MAX(ROW(E$1:E3258)*(E3259=E$1:E3258)))))</f>
        <v> </v>
      </c>
      <c r="L3259" s="26"/>
    </row>
    <row r="3260" spans="1:12">
      <c r="A3260" s="20" t="s">
        <v>1343</v>
      </c>
      <c r="E3260" s="21">
        <f>IF(D3260="?OLD","!!!","")</f>
        <v/>
      </c>
      <c r="F3260" s="22" t="str">
        <f>IF(OR(E3260="",E3260="!!!"),"",IF(NOT(ISNA(VLOOKUP(E3260,E$1:E3259,1,FALSE()))),"OLD",IF(AND(E3260&lt;&gt;"",E3260&lt;&gt;"!!!"),"NEW","")))</f>
        <v> </v>
      </c>
      <c r="G3260" s="23" t="str">
        <f>IF(OR(E3260="",E3260="!!!"),"",IF(OR(J3260=0,AND(J3260=1,K3260=1),AND(J3260=1,I3260="SBJ"),AND(J3260=1,I3260=0)),"?IN_FOCUS",IF(J3260&lt;=2,"?ACTIVATED",IF(J3260&lt;&gt;"","?FAMILIAR",IF(F3260="NEW",IF(ISNA(VLOOKUP(E3260,#REF!,1,FALSE())),"?TYPE_IDENTIFIABLE","?REFERENTIAL"),"_")))))</f>
        <v> </v>
      </c>
      <c r="H3260" s="24" t="str">
        <f>IF(J3260&lt;&gt;1,"",IF(I3260="SBJ","CB","?"))</f>
        <v> </v>
      </c>
      <c r="I3260" s="25" t="str">
        <f>IF(OR(E3260="",E3260="!!!",F3260="NEW"),"",INDEX(B3259:B$2,-1+SUMPRODUCT(MAX(ROW(E3259:E$2)*(E3260=E3259:E$2)))))</f>
        <v> </v>
      </c>
      <c r="J3260" s="25" t="str">
        <f>IF(OR(E3260="",E3260="!!!",F3260="NEW"),"",COUNTBLANK(OFFSET(A$1,,,SUMPRODUCT(MAX(ROW(E$2:E3260)*(E3260=E$2:E3260)))))-COUNTBLANK(OFFSET(A$1,,,SUMPRODUCT(MAX(ROW(E$1:E3259)*(E2=E$1:E3259))))))</f>
        <v> </v>
      </c>
      <c r="K3260" s="25" t="str">
        <f>IF(OR(E3260="",E3260="!!!",F3260="NEW"),"",INDEX(J$1:J3259,SUMPRODUCT(MAX(ROW(E$1:E3259)*(E3260=E$1:E3259)))))</f>
        <v> </v>
      </c>
      <c r="L3260" s="26"/>
    </row>
    <row r="3261" spans="1:12">
      <c r="A3261" s="20" t="s">
        <v>1123</v>
      </c>
      <c r="B3261" s="27" t="s">
        <v>1014</v>
      </c>
      <c r="C3261" s="27" t="s">
        <v>1050</v>
      </c>
      <c r="D3261" s="27" t="s">
        <v>1030</v>
      </c>
      <c r="E3261" s="21">
        <f>IF(D3261="?OLD","!!!","")</f>
        <v/>
      </c>
      <c r="F3261" s="22" t="str">
        <f>IF(OR(E3261="",E3261="!!!"),"",IF(NOT(ISNA(VLOOKUP(E3261,E$1:E3260,1,FALSE()))),"OLD",IF(AND(E3261&lt;&gt;"",E3261&lt;&gt;"!!!"),"NEW","")))</f>
        <v> </v>
      </c>
      <c r="G3261" s="23" t="str">
        <f>IF(OR(E3261="",E3261="!!!"),"",IF(OR(J3261=0,AND(J3261=1,K3261=1),AND(J3261=1,I3261="SBJ"),AND(J3261=1,I3261=0)),"?IN_FOCUS",IF(J3261&lt;=2,"?ACTIVATED",IF(J3261&lt;&gt;"","?FAMILIAR",IF(F3261="NEW",IF(ISNA(VLOOKUP(E3261,#REF!,1,FALSE())),"?TYPE_IDENTIFIABLE","?REFERENTIAL"),"_")))))</f>
        <v> </v>
      </c>
      <c r="H3261" s="24" t="str">
        <f>IF(J3261&lt;&gt;1,"",IF(I3261="SBJ","CB","?"))</f>
        <v> </v>
      </c>
      <c r="I3261" s="25" t="str">
        <f>IF(OR(E3261="",E3261="!!!",F3261="NEW"),"",INDEX(B3260:B$2,-1+SUMPRODUCT(MAX(ROW(E3260:E$2)*(E3261=E3260:E$2)))))</f>
        <v> </v>
      </c>
      <c r="J3261" s="25" t="str">
        <f>IF(OR(E3261="",E3261="!!!",F3261="NEW"),"",COUNTBLANK(OFFSET(A$1,,,SUMPRODUCT(MAX(ROW(E$2:E3261)*(E3261=E$2:E3261)))))-COUNTBLANK(OFFSET(A$1,,,SUMPRODUCT(MAX(ROW(E$1:E3260)*(E2=E$1:E3260))))))</f>
        <v> </v>
      </c>
      <c r="K3261" s="25" t="str">
        <f>IF(OR(E3261="",E3261="!!!",F3261="NEW"),"",INDEX(J$1:J3260,SUMPRODUCT(MAX(ROW(E$1:E3260)*(E3261=E$1:E3260)))))</f>
        <v> </v>
      </c>
      <c r="L3261" s="26"/>
    </row>
    <row r="3262" spans="1:12">
      <c r="A3262" s="20" t="s">
        <v>1215</v>
      </c>
      <c r="E3262" s="21">
        <f>IF(D3262="?OLD","!!!","")</f>
        <v/>
      </c>
      <c r="F3262" s="22" t="str">
        <f>IF(OR(E3262="",E3262="!!!"),"",IF(NOT(ISNA(VLOOKUP(E3262,E$1:E3261,1,FALSE()))),"OLD",IF(AND(E3262&lt;&gt;"",E3262&lt;&gt;"!!!"),"NEW","")))</f>
        <v> </v>
      </c>
      <c r="G3262" s="23" t="str">
        <f>IF(OR(E3262="",E3262="!!!"),"",IF(OR(J3262=0,AND(J3262=1,K3262=1),AND(J3262=1,I3262="SBJ"),AND(J3262=1,I3262=0)),"?IN_FOCUS",IF(J3262&lt;=2,"?ACTIVATED",IF(J3262&lt;&gt;"","?FAMILIAR",IF(F3262="NEW",IF(ISNA(VLOOKUP(E3262,#REF!,1,FALSE())),"?TYPE_IDENTIFIABLE","?REFERENTIAL"),"_")))))</f>
        <v> </v>
      </c>
      <c r="H3262" s="24" t="str">
        <f>IF(J3262&lt;&gt;1,"",IF(I3262="SBJ","CB","?"))</f>
        <v> </v>
      </c>
      <c r="I3262" s="25" t="str">
        <f>IF(OR(E3262="",E3262="!!!",F3262="NEW"),"",INDEX(B3261:B$2,-1+SUMPRODUCT(MAX(ROW(E3261:E$2)*(E3262=E3261:E$2)))))</f>
        <v> </v>
      </c>
      <c r="J3262" s="25" t="str">
        <f>IF(OR(E3262="",E3262="!!!",F3262="NEW"),"",COUNTBLANK(OFFSET(A$1,,,SUMPRODUCT(MAX(ROW(E$2:E3262)*(E3262=E$2:E3262)))))-COUNTBLANK(OFFSET(A$1,,,SUMPRODUCT(MAX(ROW(E$1:E3261)*(E2=E$1:E3261))))))</f>
        <v> </v>
      </c>
      <c r="K3262" s="25" t="str">
        <f>IF(OR(E3262="",E3262="!!!",F3262="NEW"),"",INDEX(J$1:J3261,SUMPRODUCT(MAX(ROW(E$1:E3261)*(E3262=E$1:E3261)))))</f>
        <v> </v>
      </c>
      <c r="L3262" s="26"/>
    </row>
    <row r="3263" spans="1:12">
      <c r="A3263" s="20"/>
    </row>
    <row r="3264" spans="1:12">
      <c r="A3264" s="20" t="s">
        <v>2151</v>
      </c>
    </row>
    <row r="3265" spans="1:12">
      <c r="A3265" s="20" t="s">
        <v>2152</v>
      </c>
      <c r="B3265" s="27" t="s">
        <v>1045</v>
      </c>
      <c r="C3265" s="27" t="s">
        <v>1015</v>
      </c>
      <c r="E3265" s="21">
        <f>IF(D3265="?OLD","!!!","")</f>
        <v/>
      </c>
      <c r="F3265" s="22" t="str">
        <f>IF(OR(E3265="",E3265="!!!"),"",IF(NOT(ISNA(VLOOKUP(E3265,E$1:E3264,1,FALSE()))),"OLD",IF(AND(E3265&lt;&gt;"",E3265&lt;&gt;"!!!"),"NEW","")))</f>
        <v> </v>
      </c>
      <c r="G3265" s="23" t="str">
        <f>IF(OR(E3265="",E3265="!!!"),"",IF(OR(J3265=0,AND(J3265=1,K3265=1),AND(J3265=1,I3265="SBJ"),AND(J3265=1,I3265=0)),"?IN_FOCUS",IF(J3265&lt;=2,"?ACTIVATED",IF(J3265&lt;&gt;"","?FAMILIAR",IF(F3265="NEW",IF(ISNA(VLOOKUP(E3265,#REF!,1,FALSE())),"?TYPE_IDENTIFIABLE","?REFERENTIAL"),"_")))))</f>
        <v> </v>
      </c>
      <c r="H3265" s="24" t="str">
        <f>IF(J3265&lt;&gt;1,"",IF(I3265="SBJ","CB","?"))</f>
        <v> </v>
      </c>
      <c r="I3265" s="25" t="str">
        <f>IF(OR(E3265="",E3265="!!!",F3265="NEW"),"",INDEX(B3264:B$2,-1+SUMPRODUCT(MAX(ROW(E3264:E$2)*(E3265=E3264:E$2)))))</f>
        <v> </v>
      </c>
      <c r="J3265" s="25" t="str">
        <f>IF(OR(E3265="",E3265="!!!",F3265="NEW"),"",COUNTBLANK(OFFSET(A$1,,,SUMPRODUCT(MAX(ROW(E$2:E3265)*(E3265=E$2:E3265)))))-COUNTBLANK(OFFSET(A$1,,,SUMPRODUCT(MAX(ROW(E$1:E3264)*(E2=E$1:E3264))))))</f>
        <v> </v>
      </c>
      <c r="K3265" s="25" t="str">
        <f>IF(OR(E3265="",E3265="!!!",F3265="NEW"),"",INDEX(J$1:J3264,SUMPRODUCT(MAX(ROW(E$1:E3264)*(E3265=E$1:E3264)))))</f>
        <v> </v>
      </c>
      <c r="L3265" s="26"/>
    </row>
    <row r="3266" spans="1:12">
      <c r="A3266" s="20" t="s">
        <v>2153</v>
      </c>
      <c r="E3266" s="21">
        <f>IF(D3266="?OLD","!!!","")</f>
        <v/>
      </c>
      <c r="F3266" s="22" t="str">
        <f>IF(OR(E3266="",E3266="!!!"),"",IF(NOT(ISNA(VLOOKUP(E3266,E$1:E3265,1,FALSE()))),"OLD",IF(AND(E3266&lt;&gt;"",E3266&lt;&gt;"!!!"),"NEW","")))</f>
        <v> </v>
      </c>
      <c r="G3266" s="23" t="str">
        <f>IF(OR(E3266="",E3266="!!!"),"",IF(OR(J3266=0,AND(J3266=1,K3266=1),AND(J3266=1,I3266="SBJ"),AND(J3266=1,I3266=0)),"?IN_FOCUS",IF(J3266&lt;=2,"?ACTIVATED",IF(J3266&lt;&gt;"","?FAMILIAR",IF(F3266="NEW",IF(ISNA(VLOOKUP(E3266,#REF!,1,FALSE())),"?TYPE_IDENTIFIABLE","?REFERENTIAL"),"_")))))</f>
        <v> </v>
      </c>
      <c r="H3266" s="24" t="str">
        <f>IF(J3266&lt;&gt;1,"",IF(I3266="SBJ","CB","?"))</f>
        <v> </v>
      </c>
      <c r="I3266" s="25" t="str">
        <f>IF(OR(E3266="",E3266="!!!",F3266="NEW"),"",INDEX(B3265:B$2,-1+SUMPRODUCT(MAX(ROW(E3265:E$2)*(E3266=E3265:E$2)))))</f>
        <v> </v>
      </c>
      <c r="J3266" s="25" t="str">
        <f>IF(OR(E3266="",E3266="!!!",F3266="NEW"),"",COUNTBLANK(OFFSET(A$1,,,SUMPRODUCT(MAX(ROW(E$2:E3266)*(E3266=E$2:E3266)))))-COUNTBLANK(OFFSET(A$1,,,SUMPRODUCT(MAX(ROW(E$1:E3265)*(E2=E$1:E3265))))))</f>
        <v> </v>
      </c>
      <c r="K3266" s="25" t="str">
        <f>IF(OR(E3266="",E3266="!!!",F3266="NEW"),"",INDEX(J$1:J3265,SUMPRODUCT(MAX(ROW(E$1:E3265)*(E3266=E$1:E3265)))))</f>
        <v> </v>
      </c>
      <c r="L3266" s="26"/>
    </row>
    <row r="3267" spans="1:12">
      <c r="A3267" s="20" t="s">
        <v>1022</v>
      </c>
      <c r="E3267" s="21">
        <f>IF(D3267="?OLD","!!!","")</f>
        <v/>
      </c>
      <c r="F3267" s="22" t="str">
        <f>IF(OR(E3267="",E3267="!!!"),"",IF(NOT(ISNA(VLOOKUP(E3267,E$1:E3266,1,FALSE()))),"OLD",IF(AND(E3267&lt;&gt;"",E3267&lt;&gt;"!!!"),"NEW","")))</f>
        <v> </v>
      </c>
      <c r="G3267" s="23" t="str">
        <f>IF(OR(E3267="",E3267="!!!"),"",IF(OR(J3267=0,AND(J3267=1,K3267=1),AND(J3267=1,I3267="SBJ"),AND(J3267=1,I3267=0)),"?IN_FOCUS",IF(J3267&lt;=2,"?ACTIVATED",IF(J3267&lt;&gt;"","?FAMILIAR",IF(F3267="NEW",IF(ISNA(VLOOKUP(E3267,#REF!,1,FALSE())),"?TYPE_IDENTIFIABLE","?REFERENTIAL"),"_")))))</f>
        <v> </v>
      </c>
      <c r="H3267" s="24" t="str">
        <f>IF(J3267&lt;&gt;1,"",IF(I3267="SBJ","CB","?"))</f>
        <v> </v>
      </c>
      <c r="I3267" s="25" t="str">
        <f>IF(OR(E3267="",E3267="!!!",F3267="NEW"),"",INDEX(B3266:B$2,-1+SUMPRODUCT(MAX(ROW(E3266:E$2)*(E3267=E3266:E$2)))))</f>
        <v> </v>
      </c>
      <c r="J3267" s="25" t="str">
        <f>IF(OR(E3267="",E3267="!!!",F3267="NEW"),"",COUNTBLANK(OFFSET(A$1,,,SUMPRODUCT(MAX(ROW(E$2:E3267)*(E3267=E$2:E3267)))))-COUNTBLANK(OFFSET(A$1,,,SUMPRODUCT(MAX(ROW(E$1:E3266)*(E2=E$1:E3266))))))</f>
        <v> </v>
      </c>
      <c r="K3267" s="25" t="str">
        <f>IF(OR(E3267="",E3267="!!!",F3267="NEW"),"",INDEX(J$1:J3266,SUMPRODUCT(MAX(ROW(E$1:E3266)*(E3267=E$1:E3266)))))</f>
        <v> </v>
      </c>
      <c r="L3267" s="26"/>
    </row>
    <row r="3268" spans="1:12">
      <c r="A3268" s="20" t="s">
        <v>1128</v>
      </c>
      <c r="B3268" s="27" t="s">
        <v>1041</v>
      </c>
      <c r="C3268" s="27" t="s">
        <v>1050</v>
      </c>
      <c r="D3268" s="27" t="s">
        <v>1030</v>
      </c>
      <c r="E3268" s="21">
        <f>IF(D3268="?OLD","!!!","")</f>
        <v/>
      </c>
      <c r="F3268" s="22" t="str">
        <f>IF(OR(E3268="",E3268="!!!"),"",IF(NOT(ISNA(VLOOKUP(E3268,E$1:E3267,1,FALSE()))),"OLD",IF(AND(E3268&lt;&gt;"",E3268&lt;&gt;"!!!"),"NEW","")))</f>
        <v> </v>
      </c>
      <c r="G3268" s="23" t="str">
        <f>IF(OR(E3268="",E3268="!!!"),"",IF(OR(J3268=0,AND(J3268=1,K3268=1),AND(J3268=1,I3268="SBJ"),AND(J3268=1,I3268=0)),"?IN_FOCUS",IF(J3268&lt;=2,"?ACTIVATED",IF(J3268&lt;&gt;"","?FAMILIAR",IF(F3268="NEW",IF(ISNA(VLOOKUP(E3268,#REF!,1,FALSE())),"?TYPE_IDENTIFIABLE","?REFERENTIAL"),"_")))))</f>
        <v> </v>
      </c>
      <c r="H3268" s="24" t="str">
        <f>IF(J3268&lt;&gt;1,"",IF(I3268="SBJ","CB","?"))</f>
        <v> </v>
      </c>
      <c r="I3268" s="25" t="str">
        <f>IF(OR(E3268="",E3268="!!!",F3268="NEW"),"",INDEX(B3267:B$2,-1+SUMPRODUCT(MAX(ROW(E3267:E$2)*(E3268=E3267:E$2)))))</f>
        <v> </v>
      </c>
      <c r="J3268" s="25" t="str">
        <f>IF(OR(E3268="",E3268="!!!",F3268="NEW"),"",COUNTBLANK(OFFSET(A$1,,,SUMPRODUCT(MAX(ROW(E$2:E3268)*(E3268=E$2:E3268)))))-COUNTBLANK(OFFSET(A$1,,,SUMPRODUCT(MAX(ROW(E$1:E3267)*(E2=E$1:E3267))))))</f>
        <v> </v>
      </c>
      <c r="K3268" s="25" t="str">
        <f>IF(OR(E3268="",E3268="!!!",F3268="NEW"),"",INDEX(J$1:J3267,SUMPRODUCT(MAX(ROW(E$1:E3267)*(E3268=E$1:E3267)))))</f>
        <v> </v>
      </c>
      <c r="L3268" s="26"/>
    </row>
    <row r="3269" spans="1:12">
      <c r="A3269" s="20" t="s">
        <v>1057</v>
      </c>
      <c r="E3269" s="21">
        <f>IF(D3269="?OLD","!!!","")</f>
        <v/>
      </c>
      <c r="F3269" s="22" t="str">
        <f>IF(OR(E3269="",E3269="!!!"),"",IF(NOT(ISNA(VLOOKUP(E3269,E$1:E3268,1,FALSE()))),"OLD",IF(AND(E3269&lt;&gt;"",E3269&lt;&gt;"!!!"),"NEW","")))</f>
        <v> </v>
      </c>
      <c r="G3269" s="23" t="str">
        <f>IF(OR(E3269="",E3269="!!!"),"",IF(OR(J3269=0,AND(J3269=1,K3269=1),AND(J3269=1,I3269="SBJ"),AND(J3269=1,I3269=0)),"?IN_FOCUS",IF(J3269&lt;=2,"?ACTIVATED",IF(J3269&lt;&gt;"","?FAMILIAR",IF(F3269="NEW",IF(ISNA(VLOOKUP(E3269,#REF!,1,FALSE())),"?TYPE_IDENTIFIABLE","?REFERENTIAL"),"_")))))</f>
        <v> </v>
      </c>
      <c r="H3269" s="24" t="str">
        <f>IF(J3269&lt;&gt;1,"",IF(I3269="SBJ","CB","?"))</f>
        <v> </v>
      </c>
      <c r="I3269" s="25" t="str">
        <f>IF(OR(E3269="",E3269="!!!",F3269="NEW"),"",INDEX(B3268:B$2,-1+SUMPRODUCT(MAX(ROW(E3268:E$2)*(E3269=E3268:E$2)))))</f>
        <v> </v>
      </c>
      <c r="J3269" s="25" t="str">
        <f>IF(OR(E3269="",E3269="!!!",F3269="NEW"),"",COUNTBLANK(OFFSET(A$1,,,SUMPRODUCT(MAX(ROW(E$2:E3269)*(E3269=E$2:E3269)))))-COUNTBLANK(OFFSET(A$1,,,SUMPRODUCT(MAX(ROW(E$1:E3268)*(E2=E$1:E3268))))))</f>
        <v> </v>
      </c>
      <c r="K3269" s="25" t="str">
        <f>IF(OR(E3269="",E3269="!!!",F3269="NEW"),"",INDEX(J$1:J3268,SUMPRODUCT(MAX(ROW(E$1:E3268)*(E3269=E$1:E3268)))))</f>
        <v> </v>
      </c>
      <c r="L3269" s="26"/>
    </row>
    <row r="3270" spans="1:12">
      <c r="A3270" s="20" t="s">
        <v>1123</v>
      </c>
      <c r="B3270" s="27" t="s">
        <v>1014</v>
      </c>
      <c r="C3270" s="27" t="s">
        <v>1050</v>
      </c>
      <c r="D3270" s="27" t="s">
        <v>1030</v>
      </c>
      <c r="E3270" s="21">
        <f>IF(D3270="?OLD","!!!","")</f>
        <v/>
      </c>
      <c r="F3270" s="22" t="str">
        <f>IF(OR(E3270="",E3270="!!!"),"",IF(NOT(ISNA(VLOOKUP(E3270,E$1:E3269,1,FALSE()))),"OLD",IF(AND(E3270&lt;&gt;"",E3270&lt;&gt;"!!!"),"NEW","")))</f>
        <v> </v>
      </c>
      <c r="G3270" s="23" t="str">
        <f>IF(OR(E3270="",E3270="!!!"),"",IF(OR(J3270=0,AND(J3270=1,K3270=1),AND(J3270=1,I3270="SBJ"),AND(J3270=1,I3270=0)),"?IN_FOCUS",IF(J3270&lt;=2,"?ACTIVATED",IF(J3270&lt;&gt;"","?FAMILIAR",IF(F3270="NEW",IF(ISNA(VLOOKUP(E3270,#REF!,1,FALSE())),"?TYPE_IDENTIFIABLE","?REFERENTIAL"),"_")))))</f>
        <v> </v>
      </c>
      <c r="H3270" s="24" t="str">
        <f>IF(J3270&lt;&gt;1,"",IF(I3270="SBJ","CB","?"))</f>
        <v> </v>
      </c>
      <c r="I3270" s="25" t="str">
        <f>IF(OR(E3270="",E3270="!!!",F3270="NEW"),"",INDEX(B3269:B$2,-1+SUMPRODUCT(MAX(ROW(E3269:E$2)*(E3270=E3269:E$2)))))</f>
        <v> </v>
      </c>
      <c r="J3270" s="25" t="str">
        <f>IF(OR(E3270="",E3270="!!!",F3270="NEW"),"",COUNTBLANK(OFFSET(A$1,,,SUMPRODUCT(MAX(ROW(E$2:E3270)*(E3270=E$2:E3270)))))-COUNTBLANK(OFFSET(A$1,,,SUMPRODUCT(MAX(ROW(E$1:E3269)*(E2=E$1:E3269))))))</f>
        <v> </v>
      </c>
      <c r="K3270" s="25" t="str">
        <f>IF(OR(E3270="",E3270="!!!",F3270="NEW"),"",INDEX(J$1:J3269,SUMPRODUCT(MAX(ROW(E$1:E3269)*(E3270=E$1:E3269)))))</f>
        <v> </v>
      </c>
      <c r="L3270" s="26"/>
    </row>
    <row r="3271" spans="1:12">
      <c r="A3271" s="20" t="s">
        <v>44</v>
      </c>
      <c r="E3271" s="21">
        <f>IF(D3271="?OLD","!!!","")</f>
        <v/>
      </c>
      <c r="F3271" s="22" t="str">
        <f>IF(OR(E3271="",E3271="!!!"),"",IF(NOT(ISNA(VLOOKUP(E3271,E$1:E3270,1,FALSE()))),"OLD",IF(AND(E3271&lt;&gt;"",E3271&lt;&gt;"!!!"),"NEW","")))</f>
        <v> </v>
      </c>
      <c r="G3271" s="23" t="str">
        <f>IF(OR(E3271="",E3271="!!!"),"",IF(OR(J3271=0,AND(J3271=1,K3271=1),AND(J3271=1,I3271="SBJ"),AND(J3271=1,I3271=0)),"?IN_FOCUS",IF(J3271&lt;=2,"?ACTIVATED",IF(J3271&lt;&gt;"","?FAMILIAR",IF(F3271="NEW",IF(ISNA(VLOOKUP(E3271,#REF!,1,FALSE())),"?TYPE_IDENTIFIABLE","?REFERENTIAL"),"_")))))</f>
        <v> </v>
      </c>
      <c r="H3271" s="24" t="str">
        <f>IF(J3271&lt;&gt;1,"",IF(I3271="SBJ","CB","?"))</f>
        <v> </v>
      </c>
      <c r="I3271" s="25" t="str">
        <f>IF(OR(E3271="",E3271="!!!",F3271="NEW"),"",INDEX(B3270:B$2,-1+SUMPRODUCT(MAX(ROW(E3270:E$2)*(E3271=E3270:E$2)))))</f>
        <v> </v>
      </c>
      <c r="J3271" s="25" t="str">
        <f>IF(OR(E3271="",E3271="!!!",F3271="NEW"),"",COUNTBLANK(OFFSET(A$1,,,SUMPRODUCT(MAX(ROW(E$2:E3271)*(E3271=E$2:E3271)))))-COUNTBLANK(OFFSET(A$1,,,SUMPRODUCT(MAX(ROW(E$1:E3270)*(E2=E$1:E3270))))))</f>
        <v> </v>
      </c>
      <c r="K3271" s="25" t="str">
        <f>IF(OR(E3271="",E3271="!!!",F3271="NEW"),"",INDEX(J$1:J3270,SUMPRODUCT(MAX(ROW(E$1:E3270)*(E3271=E$1:E3270)))))</f>
        <v> </v>
      </c>
      <c r="L3271" s="26"/>
    </row>
    <row r="3272" spans="1:12">
      <c r="A3272" s="20" t="s">
        <v>135</v>
      </c>
      <c r="E3272" s="21">
        <f>IF(D3272="?OLD","!!!","")</f>
        <v/>
      </c>
      <c r="F3272" s="22" t="str">
        <f>IF(OR(E3272="",E3272="!!!"),"",IF(NOT(ISNA(VLOOKUP(E3272,E$1:E3271,1,FALSE()))),"OLD",IF(AND(E3272&lt;&gt;"",E3272&lt;&gt;"!!!"),"NEW","")))</f>
        <v> </v>
      </c>
      <c r="G3272" s="23" t="str">
        <f>IF(OR(E3272="",E3272="!!!"),"",IF(OR(J3272=0,AND(J3272=1,K3272=1),AND(J3272=1,I3272="SBJ"),AND(J3272=1,I3272=0)),"?IN_FOCUS",IF(J3272&lt;=2,"?ACTIVATED",IF(J3272&lt;&gt;"","?FAMILIAR",IF(F3272="NEW",IF(ISNA(VLOOKUP(E3272,#REF!,1,FALSE())),"?TYPE_IDENTIFIABLE","?REFERENTIAL"),"_")))))</f>
        <v> </v>
      </c>
      <c r="H3272" s="24" t="str">
        <f>IF(J3272&lt;&gt;1,"",IF(I3272="SBJ","CB","?"))</f>
        <v> </v>
      </c>
      <c r="I3272" s="25" t="str">
        <f>IF(OR(E3272="",E3272="!!!",F3272="NEW"),"",INDEX(B3271:B$2,-1+SUMPRODUCT(MAX(ROW(E3271:E$2)*(E3272=E3271:E$2)))))</f>
        <v> </v>
      </c>
      <c r="J3272" s="25" t="str">
        <f>IF(OR(E3272="",E3272="!!!",F3272="NEW"),"",COUNTBLANK(OFFSET(A$1,,,SUMPRODUCT(MAX(ROW(E$2:E3272)*(E3272=E$2:E3272)))))-COUNTBLANK(OFFSET(A$1,,,SUMPRODUCT(MAX(ROW(E$1:E3271)*(E2=E$1:E3271))))))</f>
        <v> </v>
      </c>
      <c r="K3272" s="25" t="str">
        <f>IF(OR(E3272="",E3272="!!!",F3272="NEW"),"",INDEX(J$1:J3271,SUMPRODUCT(MAX(ROW(E$1:E3271)*(E3272=E$1:E3271)))))</f>
        <v> </v>
      </c>
      <c r="L3272" s="26"/>
    </row>
    <row r="3273" spans="1:12">
      <c r="A3273" s="20"/>
    </row>
    <row r="3274" spans="1:12">
      <c r="A3274" s="20" t="s">
        <v>2154</v>
      </c>
    </row>
    <row r="3275" spans="1:12">
      <c r="A3275" s="20" t="s">
        <v>1388</v>
      </c>
      <c r="E3275" s="21">
        <f>IF(D3275="?OLD","!!!","")</f>
        <v/>
      </c>
      <c r="F3275" s="22" t="str">
        <f>IF(OR(E3275="",E3275="!!!"),"",IF(NOT(ISNA(VLOOKUP(E3275,E$1:E3274,1,FALSE()))),"OLD",IF(AND(E3275&lt;&gt;"",E3275&lt;&gt;"!!!"),"NEW","")))</f>
        <v> </v>
      </c>
      <c r="G3275" s="23" t="str">
        <f>IF(OR(E3275="",E3275="!!!"),"",IF(OR(J3275=0,AND(J3275=1,K3275=1),AND(J3275=1,I3275="SBJ"),AND(J3275=1,I3275=0)),"?IN_FOCUS",IF(J3275&lt;=2,"?ACTIVATED",IF(J3275&lt;&gt;"","?FAMILIAR",IF(F3275="NEW",IF(ISNA(VLOOKUP(E3275,#REF!,1,FALSE())),"?TYPE_IDENTIFIABLE","?REFERENTIAL"),"_")))))</f>
        <v> </v>
      </c>
      <c r="H3275" s="24" t="str">
        <f>IF(J3275&lt;&gt;1,"",IF(I3275="SBJ","CB","?"))</f>
        <v> </v>
      </c>
      <c r="I3275" s="25" t="str">
        <f>IF(OR(E3275="",E3275="!!!",F3275="NEW"),"",INDEX(B3274:B$2,-1+SUMPRODUCT(MAX(ROW(E3274:E$2)*(E3275=E3274:E$2)))))</f>
        <v> </v>
      </c>
      <c r="J3275" s="25" t="str">
        <f>IF(OR(E3275="",E3275="!!!",F3275="NEW"),"",COUNTBLANK(OFFSET(A$1,,,SUMPRODUCT(MAX(ROW(E$2:E3275)*(E3275=E$2:E3275)))))-COUNTBLANK(OFFSET(A$1,,,SUMPRODUCT(MAX(ROW(E$1:E3274)*(E2=E$1:E3274))))))</f>
        <v> </v>
      </c>
      <c r="K3275" s="25" t="str">
        <f>IF(OR(E3275="",E3275="!!!",F3275="NEW"),"",INDEX(J$1:J3274,SUMPRODUCT(MAX(ROW(E$1:E3274)*(E3275=E$1:E3274)))))</f>
        <v> </v>
      </c>
      <c r="L3275" s="26"/>
    </row>
    <row r="3276" spans="1:12">
      <c r="A3276" s="20" t="s">
        <v>2155</v>
      </c>
      <c r="E3276" s="21">
        <f>IF(D3276="?OLD","!!!","")</f>
        <v/>
      </c>
      <c r="F3276" s="22" t="str">
        <f>IF(OR(E3276="",E3276="!!!"),"",IF(NOT(ISNA(VLOOKUP(E3276,E$1:E3275,1,FALSE()))),"OLD",IF(AND(E3276&lt;&gt;"",E3276&lt;&gt;"!!!"),"NEW","")))</f>
        <v> </v>
      </c>
      <c r="G3276" s="23" t="str">
        <f>IF(OR(E3276="",E3276="!!!"),"",IF(OR(J3276=0,AND(J3276=1,K3276=1),AND(J3276=1,I3276="SBJ"),AND(J3276=1,I3276=0)),"?IN_FOCUS",IF(J3276&lt;=2,"?ACTIVATED",IF(J3276&lt;&gt;"","?FAMILIAR",IF(F3276="NEW",IF(ISNA(VLOOKUP(E3276,#REF!,1,FALSE())),"?TYPE_IDENTIFIABLE","?REFERENTIAL"),"_")))))</f>
        <v> </v>
      </c>
      <c r="H3276" s="24" t="str">
        <f>IF(J3276&lt;&gt;1,"",IF(I3276="SBJ","CB","?"))</f>
        <v> </v>
      </c>
      <c r="I3276" s="25" t="str">
        <f>IF(OR(E3276="",E3276="!!!",F3276="NEW"),"",INDEX(B3275:B$2,-1+SUMPRODUCT(MAX(ROW(E3275:E$2)*(E3276=E3275:E$2)))))</f>
        <v> </v>
      </c>
      <c r="J3276" s="25" t="str">
        <f>IF(OR(E3276="",E3276="!!!",F3276="NEW"),"",COUNTBLANK(OFFSET(A$1,,,SUMPRODUCT(MAX(ROW(E$2:E3276)*(E3276=E$2:E3276)))))-COUNTBLANK(OFFSET(A$1,,,SUMPRODUCT(MAX(ROW(E$1:E3275)*(E2=E$1:E3275))))))</f>
        <v> </v>
      </c>
      <c r="K3276" s="25" t="str">
        <f>IF(OR(E3276="",E3276="!!!",F3276="NEW"),"",INDEX(J$1:J3275,SUMPRODUCT(MAX(ROW(E$1:E3275)*(E3276=E$1:E3275)))))</f>
        <v> </v>
      </c>
      <c r="L3276" s="26"/>
    </row>
    <row r="3277" spans="1:12">
      <c r="A3277" s="20" t="s">
        <v>1074</v>
      </c>
      <c r="E3277" s="21">
        <f>IF(D3277="?OLD","!!!","")</f>
        <v/>
      </c>
      <c r="F3277" s="22" t="str">
        <f>IF(OR(E3277="",E3277="!!!"),"",IF(NOT(ISNA(VLOOKUP(E3277,E$1:E3276,1,FALSE()))),"OLD",IF(AND(E3277&lt;&gt;"",E3277&lt;&gt;"!!!"),"NEW","")))</f>
        <v> </v>
      </c>
      <c r="G3277" s="23" t="str">
        <f>IF(OR(E3277="",E3277="!!!"),"",IF(OR(J3277=0,AND(J3277=1,K3277=1),AND(J3277=1,I3277="SBJ"),AND(J3277=1,I3277=0)),"?IN_FOCUS",IF(J3277&lt;=2,"?ACTIVATED",IF(J3277&lt;&gt;"","?FAMILIAR",IF(F3277="NEW",IF(ISNA(VLOOKUP(E3277,#REF!,1,FALSE())),"?TYPE_IDENTIFIABLE","?REFERENTIAL"),"_")))))</f>
        <v> </v>
      </c>
      <c r="H3277" s="24" t="str">
        <f>IF(J3277&lt;&gt;1,"",IF(I3277="SBJ","CB","?"))</f>
        <v> </v>
      </c>
      <c r="I3277" s="25" t="str">
        <f>IF(OR(E3277="",E3277="!!!",F3277="NEW"),"",INDEX(B3276:B$2,-1+SUMPRODUCT(MAX(ROW(E3276:E$2)*(E3277=E3276:E$2)))))</f>
        <v> </v>
      </c>
      <c r="J3277" s="25" t="str">
        <f>IF(OR(E3277="",E3277="!!!",F3277="NEW"),"",COUNTBLANK(OFFSET(A$1,,,SUMPRODUCT(MAX(ROW(E$2:E3277)*(E3277=E$2:E3277)))))-COUNTBLANK(OFFSET(A$1,,,SUMPRODUCT(MAX(ROW(E$1:E3276)*(E2=E$1:E3276))))))</f>
        <v> </v>
      </c>
      <c r="K3277" s="25" t="str">
        <f>IF(OR(E3277="",E3277="!!!",F3277="NEW"),"",INDEX(J$1:J3276,SUMPRODUCT(MAX(ROW(E$1:E3276)*(E3277=E$1:E3276)))))</f>
        <v> </v>
      </c>
      <c r="L3277" s="26"/>
    </row>
    <row r="3278" spans="1:12">
      <c r="A3278" s="20" t="s">
        <v>1080</v>
      </c>
      <c r="E3278" s="21">
        <f>IF(D3278="?OLD","!!!","")</f>
        <v/>
      </c>
      <c r="F3278" s="22" t="str">
        <f>IF(OR(E3278="",E3278="!!!"),"",IF(NOT(ISNA(VLOOKUP(E3278,E$1:E3277,1,FALSE()))),"OLD",IF(AND(E3278&lt;&gt;"",E3278&lt;&gt;"!!!"),"NEW","")))</f>
        <v> </v>
      </c>
      <c r="G3278" s="23" t="str">
        <f>IF(OR(E3278="",E3278="!!!"),"",IF(OR(J3278=0,AND(J3278=1,K3278=1),AND(J3278=1,I3278="SBJ"),AND(J3278=1,I3278=0)),"?IN_FOCUS",IF(J3278&lt;=2,"?ACTIVATED",IF(J3278&lt;&gt;"","?FAMILIAR",IF(F3278="NEW",IF(ISNA(VLOOKUP(E3278,#REF!,1,FALSE())),"?TYPE_IDENTIFIABLE","?REFERENTIAL"),"_")))))</f>
        <v> </v>
      </c>
      <c r="H3278" s="24" t="str">
        <f>IF(J3278&lt;&gt;1,"",IF(I3278="SBJ","CB","?"))</f>
        <v> </v>
      </c>
      <c r="I3278" s="25" t="str">
        <f>IF(OR(E3278="",E3278="!!!",F3278="NEW"),"",INDEX(B3277:B$2,-1+SUMPRODUCT(MAX(ROW(E3277:E$2)*(E3278=E3277:E$2)))))</f>
        <v> </v>
      </c>
      <c r="J3278" s="25" t="str">
        <f>IF(OR(E3278="",E3278="!!!",F3278="NEW"),"",COUNTBLANK(OFFSET(A$1,,,SUMPRODUCT(MAX(ROW(E$2:E3278)*(E3278=E$2:E3278)))))-COUNTBLANK(OFFSET(A$1,,,SUMPRODUCT(MAX(ROW(E$1:E3277)*(E2=E$1:E3277))))))</f>
        <v> </v>
      </c>
      <c r="K3278" s="25" t="str">
        <f>IF(OR(E3278="",E3278="!!!",F3278="NEW"),"",INDEX(J$1:J3277,SUMPRODUCT(MAX(ROW(E$1:E3277)*(E3278=E$1:E3277)))))</f>
        <v> </v>
      </c>
      <c r="L3278" s="26"/>
    </row>
    <row r="3279" spans="1:12">
      <c r="A3279" s="20" t="s">
        <v>2156</v>
      </c>
      <c r="B3279" s="27" t="s">
        <v>1045</v>
      </c>
      <c r="C3279" s="27" t="s">
        <v>1033</v>
      </c>
      <c r="D3279" s="27" t="s">
        <v>1030</v>
      </c>
      <c r="E3279" s="21">
        <f>IF(D3279="?OLD","!!!","")</f>
        <v/>
      </c>
      <c r="F3279" s="22" t="str">
        <f>IF(OR(E3279="",E3279="!!!"),"",IF(NOT(ISNA(VLOOKUP(E3279,E$1:E3278,1,FALSE()))),"OLD",IF(AND(E3279&lt;&gt;"",E3279&lt;&gt;"!!!"),"NEW","")))</f>
        <v> </v>
      </c>
      <c r="G3279" s="23" t="str">
        <f>IF(OR(E3279="",E3279="!!!"),"",IF(OR(J3279=0,AND(J3279=1,K3279=1),AND(J3279=1,I3279="SBJ"),AND(J3279=1,I3279=0)),"?IN_FOCUS",IF(J3279&lt;=2,"?ACTIVATED",IF(J3279&lt;&gt;"","?FAMILIAR",IF(F3279="NEW",IF(ISNA(VLOOKUP(E3279,#REF!,1,FALSE())),"?TYPE_IDENTIFIABLE","?REFERENTIAL"),"_")))))</f>
        <v> </v>
      </c>
      <c r="H3279" s="24" t="str">
        <f>IF(J3279&lt;&gt;1,"",IF(I3279="SBJ","CB","?"))</f>
        <v> </v>
      </c>
      <c r="I3279" s="25" t="str">
        <f>IF(OR(E3279="",E3279="!!!",F3279="NEW"),"",INDEX(B3278:B$2,-1+SUMPRODUCT(MAX(ROW(E3278:E$2)*(E3279=E3278:E$2)))))</f>
        <v> </v>
      </c>
      <c r="J3279" s="25" t="str">
        <f>IF(OR(E3279="",E3279="!!!",F3279="NEW"),"",COUNTBLANK(OFFSET(A$1,,,SUMPRODUCT(MAX(ROW(E$2:E3279)*(E3279=E$2:E3279)))))-COUNTBLANK(OFFSET(A$1,,,SUMPRODUCT(MAX(ROW(E$1:E3278)*(E2=E$1:E3278))))))</f>
        <v> </v>
      </c>
      <c r="K3279" s="25" t="str">
        <f>IF(OR(E3279="",E3279="!!!",F3279="NEW"),"",INDEX(J$1:J3278,SUMPRODUCT(MAX(ROW(E$1:E3278)*(E3279=E$1:E3278)))))</f>
        <v> </v>
      </c>
      <c r="L3279" s="26"/>
    </row>
    <row r="3280" spans="1:12">
      <c r="A3280" s="20" t="s">
        <v>1825</v>
      </c>
      <c r="B3280" s="27" t="s">
        <v>1079</v>
      </c>
      <c r="C3280" s="27" t="s">
        <v>1033</v>
      </c>
      <c r="D3280" s="27" t="s">
        <v>1030</v>
      </c>
      <c r="E3280" s="21">
        <f>IF(D3280="?OLD","!!!","")</f>
        <v/>
      </c>
      <c r="F3280" s="22" t="str">
        <f>IF(OR(E3280="",E3280="!!!"),"",IF(NOT(ISNA(VLOOKUP(E3280,E$1:E3279,1,FALSE()))),"OLD",IF(AND(E3280&lt;&gt;"",E3280&lt;&gt;"!!!"),"NEW","")))</f>
        <v> </v>
      </c>
      <c r="G3280" s="23" t="str">
        <f>IF(OR(E3280="",E3280="!!!"),"",IF(OR(J3280=0,AND(J3280=1,K3280=1),AND(J3280=1,I3280="SBJ"),AND(J3280=1,I3280=0)),"?IN_FOCUS",IF(J3280&lt;=2,"?ACTIVATED",IF(J3280&lt;&gt;"","?FAMILIAR",IF(F3280="NEW",IF(ISNA(VLOOKUP(E3280,#REF!,1,FALSE())),"?TYPE_IDENTIFIABLE","?REFERENTIAL"),"_")))))</f>
        <v> </v>
      </c>
      <c r="H3280" s="24" t="str">
        <f>IF(J3280&lt;&gt;1,"",IF(I3280="SBJ","CB","?"))</f>
        <v> </v>
      </c>
      <c r="I3280" s="25" t="str">
        <f>IF(OR(E3280="",E3280="!!!",F3280="NEW"),"",INDEX(B3279:B$2,-1+SUMPRODUCT(MAX(ROW(E3279:E$2)*(E3280=E3279:E$2)))))</f>
        <v> </v>
      </c>
      <c r="J3280" s="25" t="str">
        <f>IF(OR(E3280="",E3280="!!!",F3280="NEW"),"",COUNTBLANK(OFFSET(A$1,,,SUMPRODUCT(MAX(ROW(E$2:E3280)*(E3280=E$2:E3280)))))-COUNTBLANK(OFFSET(A$1,,,SUMPRODUCT(MAX(ROW(E$1:E3279)*(E2=E$1:E3279))))))</f>
        <v> </v>
      </c>
      <c r="K3280" s="25" t="str">
        <f>IF(OR(E3280="",E3280="!!!",F3280="NEW"),"",INDEX(J$1:J3279,SUMPRODUCT(MAX(ROW(E$1:E3279)*(E3280=E$1:E3279)))))</f>
        <v> </v>
      </c>
      <c r="L3280" s="26"/>
    </row>
    <row r="3281" spans="1:12">
      <c r="A3281" s="20" t="s">
        <v>1215</v>
      </c>
      <c r="E3281" s="21">
        <f>IF(D3281="?OLD","!!!","")</f>
        <v/>
      </c>
      <c r="F3281" s="22" t="str">
        <f>IF(OR(E3281="",E3281="!!!"),"",IF(NOT(ISNA(VLOOKUP(E3281,E$1:E3280,1,FALSE()))),"OLD",IF(AND(E3281&lt;&gt;"",E3281&lt;&gt;"!!!"),"NEW","")))</f>
        <v> </v>
      </c>
      <c r="G3281" s="23" t="str">
        <f>IF(OR(E3281="",E3281="!!!"),"",IF(OR(J3281=0,AND(J3281=1,K3281=1),AND(J3281=1,I3281="SBJ"),AND(J3281=1,I3281=0)),"?IN_FOCUS",IF(J3281&lt;=2,"?ACTIVATED",IF(J3281&lt;&gt;"","?FAMILIAR",IF(F3281="NEW",IF(ISNA(VLOOKUP(E3281,#REF!,1,FALSE())),"?TYPE_IDENTIFIABLE","?REFERENTIAL"),"_")))))</f>
        <v> </v>
      </c>
      <c r="H3281" s="24" t="str">
        <f>IF(J3281&lt;&gt;1,"",IF(I3281="SBJ","CB","?"))</f>
        <v> </v>
      </c>
      <c r="I3281" s="25" t="str">
        <f>IF(OR(E3281="",E3281="!!!",F3281="NEW"),"",INDEX(B3280:B$2,-1+SUMPRODUCT(MAX(ROW(E3280:E$2)*(E3281=E3280:E$2)))))</f>
        <v> </v>
      </c>
      <c r="J3281" s="25" t="str">
        <f>IF(OR(E3281="",E3281="!!!",F3281="NEW"),"",COUNTBLANK(OFFSET(A$1,,,SUMPRODUCT(MAX(ROW(E$2:E3281)*(E3281=E$2:E3281)))))-COUNTBLANK(OFFSET(A$1,,,SUMPRODUCT(MAX(ROW(E$1:E3280)*(E2=E$1:E3280))))))</f>
        <v> </v>
      </c>
      <c r="K3281" s="25" t="str">
        <f>IF(OR(E3281="",E3281="!!!",F3281="NEW"),"",INDEX(J$1:J3280,SUMPRODUCT(MAX(ROW(E$1:E3280)*(E3281=E$1:E3280)))))</f>
        <v> </v>
      </c>
      <c r="L3281" s="26"/>
    </row>
    <row r="3282" spans="1:12">
      <c r="A3282" s="20"/>
    </row>
    <row r="3283" spans="1:12">
      <c r="A3283" s="20" t="s">
        <v>2157</v>
      </c>
    </row>
    <row r="3284" spans="1:12">
      <c r="A3284" s="20" t="s">
        <v>1410</v>
      </c>
      <c r="E3284" s="21">
        <f>IF(D3284="?OLD","!!!","")</f>
        <v/>
      </c>
      <c r="F3284" s="22" t="str">
        <f>IF(OR(E3284="",E3284="!!!"),"",IF(NOT(ISNA(VLOOKUP(E3284,E$1:E3283,1,FALSE()))),"OLD",IF(AND(E3284&lt;&gt;"",E3284&lt;&gt;"!!!"),"NEW","")))</f>
        <v> </v>
      </c>
      <c r="G3284" s="23" t="str">
        <f>IF(OR(E3284="",E3284="!!!"),"",IF(OR(J3284=0,AND(J3284=1,K3284=1),AND(J3284=1,I3284="SBJ"),AND(J3284=1,I3284=0)),"?IN_FOCUS",IF(J3284&lt;=2,"?ACTIVATED",IF(J3284&lt;&gt;"","?FAMILIAR",IF(F3284="NEW",IF(ISNA(VLOOKUP(E3284,#REF!,1,FALSE())),"?TYPE_IDENTIFIABLE","?REFERENTIAL"),"_")))))</f>
        <v> </v>
      </c>
      <c r="H3284" s="24" t="str">
        <f>IF(J3284&lt;&gt;1,"",IF(I3284="SBJ","CB","?"))</f>
        <v> </v>
      </c>
      <c r="I3284" s="25" t="str">
        <f>IF(OR(E3284="",E3284="!!!",F3284="NEW"),"",INDEX(B3283:B$2,-1+SUMPRODUCT(MAX(ROW(E3283:E$2)*(E3284=E3283:E$2)))))</f>
        <v> </v>
      </c>
      <c r="J3284" s="25" t="str">
        <f>IF(OR(E3284="",E3284="!!!",F3284="NEW"),"",COUNTBLANK(OFFSET(A$1,,,SUMPRODUCT(MAX(ROW(E$2:E3284)*(E3284=E$2:E3284)))))-COUNTBLANK(OFFSET(A$1,,,SUMPRODUCT(MAX(ROW(E$1:E3283)*(E2=E$1:E3283))))))</f>
        <v> </v>
      </c>
      <c r="K3284" s="25" t="str">
        <f>IF(OR(E3284="",E3284="!!!",F3284="NEW"),"",INDEX(J$1:J3283,SUMPRODUCT(MAX(ROW(E$1:E3283)*(E3284=E$1:E3283)))))</f>
        <v> </v>
      </c>
      <c r="L3284" s="26"/>
    </row>
    <row r="3285" spans="1:12">
      <c r="A3285" s="20" t="s">
        <v>1274</v>
      </c>
      <c r="B3285" s="27" t="s">
        <v>1041</v>
      </c>
      <c r="C3285" s="27" t="s">
        <v>1038</v>
      </c>
      <c r="D3285" s="27" t="s">
        <v>1030</v>
      </c>
      <c r="E3285" s="21">
        <f>IF(D3285="?OLD","!!!","")</f>
        <v/>
      </c>
      <c r="F3285" s="22" t="str">
        <f>IF(OR(E3285="",E3285="!!!"),"",IF(NOT(ISNA(VLOOKUP(E3285,E$1:E3284,1,FALSE()))),"OLD",IF(AND(E3285&lt;&gt;"",E3285&lt;&gt;"!!!"),"NEW","")))</f>
        <v> </v>
      </c>
      <c r="G3285" s="23" t="str">
        <f>IF(OR(E3285="",E3285="!!!"),"",IF(OR(J3285=0,AND(J3285=1,K3285=1),AND(J3285=1,I3285="SBJ"),AND(J3285=1,I3285=0)),"?IN_FOCUS",IF(J3285&lt;=2,"?ACTIVATED",IF(J3285&lt;&gt;"","?FAMILIAR",IF(F3285="NEW",IF(ISNA(VLOOKUP(E3285,#REF!,1,FALSE())),"?TYPE_IDENTIFIABLE","?REFERENTIAL"),"_")))))</f>
        <v> </v>
      </c>
      <c r="H3285" s="24" t="str">
        <f>IF(J3285&lt;&gt;1,"",IF(I3285="SBJ","CB","?"))</f>
        <v> </v>
      </c>
      <c r="I3285" s="25" t="str">
        <f>IF(OR(E3285="",E3285="!!!",F3285="NEW"),"",INDEX(B3284:B$2,-1+SUMPRODUCT(MAX(ROW(E3284:E$2)*(E3285=E3284:E$2)))))</f>
        <v> </v>
      </c>
      <c r="J3285" s="25" t="str">
        <f>IF(OR(E3285="",E3285="!!!",F3285="NEW"),"",COUNTBLANK(OFFSET(A$1,,,SUMPRODUCT(MAX(ROW(E$2:E3285)*(E3285=E$2:E3285)))))-COUNTBLANK(OFFSET(A$1,,,SUMPRODUCT(MAX(ROW(E$1:E3284)*(E2=E$1:E3284))))))</f>
        <v> </v>
      </c>
      <c r="K3285" s="25" t="str">
        <f>IF(OR(E3285="",E3285="!!!",F3285="NEW"),"",INDEX(J$1:J3284,SUMPRODUCT(MAX(ROW(E$1:E3284)*(E3285=E$1:E3284)))))</f>
        <v> </v>
      </c>
      <c r="L3285" s="26"/>
    </row>
    <row r="3286" spans="1:12">
      <c r="A3286" s="20" t="s">
        <v>1094</v>
      </c>
      <c r="B3286" s="27" t="s">
        <v>1020</v>
      </c>
      <c r="E3286" s="21">
        <f>IF(D3286="?OLD","!!!","")</f>
        <v/>
      </c>
      <c r="F3286" s="22" t="str">
        <f>IF(OR(E3286="",E3286="!!!"),"",IF(NOT(ISNA(VLOOKUP(E3286,E$1:E3285,1,FALSE()))),"OLD",IF(AND(E3286&lt;&gt;"",E3286&lt;&gt;"!!!"),"NEW","")))</f>
        <v> </v>
      </c>
      <c r="G3286" s="23" t="str">
        <f>IF(OR(E3286="",E3286="!!!"),"",IF(OR(J3286=0,AND(J3286=1,K3286=1),AND(J3286=1,I3286="SBJ"),AND(J3286=1,I3286=0)),"?IN_FOCUS",IF(J3286&lt;=2,"?ACTIVATED",IF(J3286&lt;&gt;"","?FAMILIAR",IF(F3286="NEW",IF(ISNA(VLOOKUP(E3286,#REF!,1,FALSE())),"?TYPE_IDENTIFIABLE","?REFERENTIAL"),"_")))))</f>
        <v> </v>
      </c>
      <c r="H3286" s="24" t="str">
        <f>IF(J3286&lt;&gt;1,"",IF(I3286="SBJ","CB","?"))</f>
        <v> </v>
      </c>
      <c r="I3286" s="25" t="str">
        <f>IF(OR(E3286="",E3286="!!!",F3286="NEW"),"",INDEX(B3285:B$2,-1+SUMPRODUCT(MAX(ROW(E3285:E$2)*(E3286=E3285:E$2)))))</f>
        <v> </v>
      </c>
      <c r="J3286" s="25" t="str">
        <f>IF(OR(E3286="",E3286="!!!",F3286="NEW"),"",COUNTBLANK(OFFSET(A$1,,,SUMPRODUCT(MAX(ROW(E$2:E3286)*(E3286=E$2:E3286)))))-COUNTBLANK(OFFSET(A$1,,,SUMPRODUCT(MAX(ROW(E$1:E3285)*(E2=E$1:E3285))))))</f>
        <v> </v>
      </c>
      <c r="K3286" s="25" t="str">
        <f>IF(OR(E3286="",E3286="!!!",F3286="NEW"),"",INDEX(J$1:J3285,SUMPRODUCT(MAX(ROW(E$1:E3285)*(E3286=E$1:E3285)))))</f>
        <v> </v>
      </c>
      <c r="L3286" s="26"/>
    </row>
    <row r="3287" spans="1:12">
      <c r="A3287" s="20" t="s">
        <v>2158</v>
      </c>
      <c r="E3287" s="21">
        <f>IF(D3287="?OLD","!!!","")</f>
        <v/>
      </c>
      <c r="F3287" s="22" t="str">
        <f>IF(OR(E3287="",E3287="!!!"),"",IF(NOT(ISNA(VLOOKUP(E3287,E$1:E3286,1,FALSE()))),"OLD",IF(AND(E3287&lt;&gt;"",E3287&lt;&gt;"!!!"),"NEW","")))</f>
        <v> </v>
      </c>
      <c r="G3287" s="23" t="str">
        <f>IF(OR(E3287="",E3287="!!!"),"",IF(OR(J3287=0,AND(J3287=1,K3287=1),AND(J3287=1,I3287="SBJ"),AND(J3287=1,I3287=0)),"?IN_FOCUS",IF(J3287&lt;=2,"?ACTIVATED",IF(J3287&lt;&gt;"","?FAMILIAR",IF(F3287="NEW",IF(ISNA(VLOOKUP(E3287,#REF!,1,FALSE())),"?TYPE_IDENTIFIABLE","?REFERENTIAL"),"_")))))</f>
        <v> </v>
      </c>
      <c r="H3287" s="24" t="str">
        <f>IF(J3287&lt;&gt;1,"",IF(I3287="SBJ","CB","?"))</f>
        <v> </v>
      </c>
      <c r="I3287" s="25" t="str">
        <f>IF(OR(E3287="",E3287="!!!",F3287="NEW"),"",INDEX(B3286:B$2,-1+SUMPRODUCT(MAX(ROW(E3286:E$2)*(E3287=E3286:E$2)))))</f>
        <v> </v>
      </c>
      <c r="J3287" s="25" t="str">
        <f>IF(OR(E3287="",E3287="!!!",F3287="NEW"),"",COUNTBLANK(OFFSET(A$1,,,SUMPRODUCT(MAX(ROW(E$2:E3287)*(E3287=E$2:E3287)))))-COUNTBLANK(OFFSET(A$1,,,SUMPRODUCT(MAX(ROW(E$1:E3286)*(E2=E$1:E3286))))))</f>
        <v> </v>
      </c>
      <c r="K3287" s="25" t="str">
        <f>IF(OR(E3287="",E3287="!!!",F3287="NEW"),"",INDEX(J$1:J3286,SUMPRODUCT(MAX(ROW(E$1:E3286)*(E3287=E$1:E3286)))))</f>
        <v> </v>
      </c>
      <c r="L3287" s="26"/>
    </row>
    <row r="3288" spans="1:12">
      <c r="A3288" s="20" t="s">
        <v>1499</v>
      </c>
      <c r="E3288" s="21">
        <f>IF(D3288="?OLD","!!!","")</f>
        <v/>
      </c>
      <c r="F3288" s="22" t="str">
        <f>IF(OR(E3288="",E3288="!!!"),"",IF(NOT(ISNA(VLOOKUP(E3288,E$1:E3287,1,FALSE()))),"OLD",IF(AND(E3288&lt;&gt;"",E3288&lt;&gt;"!!!"),"NEW","")))</f>
        <v> </v>
      </c>
      <c r="G3288" s="23" t="str">
        <f>IF(OR(E3288="",E3288="!!!"),"",IF(OR(J3288=0,AND(J3288=1,K3288=1),AND(J3288=1,I3288="SBJ"),AND(J3288=1,I3288=0)),"?IN_FOCUS",IF(J3288&lt;=2,"?ACTIVATED",IF(J3288&lt;&gt;"","?FAMILIAR",IF(F3288="NEW",IF(ISNA(VLOOKUP(E3288,#REF!,1,FALSE())),"?TYPE_IDENTIFIABLE","?REFERENTIAL"),"_")))))</f>
        <v> </v>
      </c>
      <c r="H3288" s="24" t="str">
        <f>IF(J3288&lt;&gt;1,"",IF(I3288="SBJ","CB","?"))</f>
        <v> </v>
      </c>
      <c r="I3288" s="25" t="str">
        <f>IF(OR(E3288="",E3288="!!!",F3288="NEW"),"",INDEX(B3287:B$2,-1+SUMPRODUCT(MAX(ROW(E3287:E$2)*(E3288=E3287:E$2)))))</f>
        <v> </v>
      </c>
      <c r="J3288" s="25" t="str">
        <f>IF(OR(E3288="",E3288="!!!",F3288="NEW"),"",COUNTBLANK(OFFSET(A$1,,,SUMPRODUCT(MAX(ROW(E$2:E3288)*(E3288=E$2:E3288)))))-COUNTBLANK(OFFSET(A$1,,,SUMPRODUCT(MAX(ROW(E$1:E3287)*(E2=E$1:E3287))))))</f>
        <v> </v>
      </c>
      <c r="K3288" s="25" t="str">
        <f>IF(OR(E3288="",E3288="!!!",F3288="NEW"),"",INDEX(J$1:J3287,SUMPRODUCT(MAX(ROW(E$1:E3287)*(E3288=E$1:E3287)))))</f>
        <v> </v>
      </c>
      <c r="L3288" s="26"/>
    </row>
    <row r="3289" spans="1:12">
      <c r="A3289" s="20" t="s">
        <v>1266</v>
      </c>
      <c r="E3289" s="21">
        <f>IF(D3289="?OLD","!!!","")</f>
        <v/>
      </c>
      <c r="F3289" s="22" t="str">
        <f>IF(OR(E3289="",E3289="!!!"),"",IF(NOT(ISNA(VLOOKUP(E3289,E$1:E3288,1,FALSE()))),"OLD",IF(AND(E3289&lt;&gt;"",E3289&lt;&gt;"!!!"),"NEW","")))</f>
        <v> </v>
      </c>
      <c r="G3289" s="23" t="str">
        <f>IF(OR(E3289="",E3289="!!!"),"",IF(OR(J3289=0,AND(J3289=1,K3289=1),AND(J3289=1,I3289="SBJ"),AND(J3289=1,I3289=0)),"?IN_FOCUS",IF(J3289&lt;=2,"?ACTIVATED",IF(J3289&lt;&gt;"","?FAMILIAR",IF(F3289="NEW",IF(ISNA(VLOOKUP(E3289,#REF!,1,FALSE())),"?TYPE_IDENTIFIABLE","?REFERENTIAL"),"_")))))</f>
        <v> </v>
      </c>
      <c r="H3289" s="24" t="str">
        <f>IF(J3289&lt;&gt;1,"",IF(I3289="SBJ","CB","?"))</f>
        <v> </v>
      </c>
      <c r="I3289" s="25" t="str">
        <f>IF(OR(E3289="",E3289="!!!",F3289="NEW"),"",INDEX(B3288:B$2,-1+SUMPRODUCT(MAX(ROW(E3288:E$2)*(E3289=E3288:E$2)))))</f>
        <v> </v>
      </c>
      <c r="J3289" s="25" t="str">
        <f>IF(OR(E3289="",E3289="!!!",F3289="NEW"),"",COUNTBLANK(OFFSET(A$1,,,SUMPRODUCT(MAX(ROW(E$2:E3289)*(E3289=E$2:E3289)))))-COUNTBLANK(OFFSET(A$1,,,SUMPRODUCT(MAX(ROW(E$1:E3288)*(E2=E$1:E3288))))))</f>
        <v> </v>
      </c>
      <c r="K3289" s="25" t="str">
        <f>IF(OR(E3289="",E3289="!!!",F3289="NEW"),"",INDEX(J$1:J3288,SUMPRODUCT(MAX(ROW(E$1:E3288)*(E3289=E$1:E3288)))))</f>
        <v> </v>
      </c>
      <c r="L3289" s="26"/>
    </row>
    <row r="3290" spans="1:12">
      <c r="A3290" s="20" t="s">
        <v>1149</v>
      </c>
      <c r="E3290" s="21">
        <f>IF(D3290="?OLD","!!!","")</f>
        <v/>
      </c>
      <c r="F3290" s="22" t="str">
        <f>IF(OR(E3290="",E3290="!!!"),"",IF(NOT(ISNA(VLOOKUP(E3290,E$1:E3289,1,FALSE()))),"OLD",IF(AND(E3290&lt;&gt;"",E3290&lt;&gt;"!!!"),"NEW","")))</f>
        <v> </v>
      </c>
      <c r="G3290" s="23" t="str">
        <f>IF(OR(E3290="",E3290="!!!"),"",IF(OR(J3290=0,AND(J3290=1,K3290=1),AND(J3290=1,I3290="SBJ"),AND(J3290=1,I3290=0)),"?IN_FOCUS",IF(J3290&lt;=2,"?ACTIVATED",IF(J3290&lt;&gt;"","?FAMILIAR",IF(F3290="NEW",IF(ISNA(VLOOKUP(E3290,#REF!,1,FALSE())),"?TYPE_IDENTIFIABLE","?REFERENTIAL"),"_")))))</f>
        <v> </v>
      </c>
      <c r="H3290" s="24" t="str">
        <f>IF(J3290&lt;&gt;1,"",IF(I3290="SBJ","CB","?"))</f>
        <v> </v>
      </c>
      <c r="I3290" s="25" t="str">
        <f>IF(OR(E3290="",E3290="!!!",F3290="NEW"),"",INDEX(B3289:B$2,-1+SUMPRODUCT(MAX(ROW(E3289:E$2)*(E3290=E3289:E$2)))))</f>
        <v> </v>
      </c>
      <c r="J3290" s="25" t="str">
        <f>IF(OR(E3290="",E3290="!!!",F3290="NEW"),"",COUNTBLANK(OFFSET(A$1,,,SUMPRODUCT(MAX(ROW(E$2:E3290)*(E3290=E$2:E3290)))))-COUNTBLANK(OFFSET(A$1,,,SUMPRODUCT(MAX(ROW(E$1:E3289)*(E2=E$1:E3289))))))</f>
        <v> </v>
      </c>
      <c r="K3290" s="25" t="str">
        <f>IF(OR(E3290="",E3290="!!!",F3290="NEW"),"",INDEX(J$1:J3289,SUMPRODUCT(MAX(ROW(E$1:E3289)*(E3290=E$1:E3289)))))</f>
        <v> </v>
      </c>
      <c r="L3290" s="26"/>
    </row>
    <row r="3291" spans="1:12">
      <c r="A3291" s="20"/>
    </row>
    <row r="3292" spans="1:12">
      <c r="A3292" s="20" t="s">
        <v>2159</v>
      </c>
    </row>
    <row r="3293" spans="1:12">
      <c r="A3293" s="20" t="s">
        <v>2160</v>
      </c>
      <c r="E3293" s="21">
        <f>IF(D3293="?OLD","!!!","")</f>
        <v/>
      </c>
      <c r="F3293" s="22" t="str">
        <f>IF(OR(E3293="",E3293="!!!"),"",IF(NOT(ISNA(VLOOKUP(E3293,E$1:E3292,1,FALSE()))),"OLD",IF(AND(E3293&lt;&gt;"",E3293&lt;&gt;"!!!"),"NEW","")))</f>
        <v> </v>
      </c>
      <c r="G3293" s="23" t="str">
        <f>IF(OR(E3293="",E3293="!!!"),"",IF(OR(J3293=0,AND(J3293=1,K3293=1),AND(J3293=1,I3293="SBJ"),AND(J3293=1,I3293=0)),"?IN_FOCUS",IF(J3293&lt;=2,"?ACTIVATED",IF(J3293&lt;&gt;"","?FAMILIAR",IF(F3293="NEW",IF(ISNA(VLOOKUP(E3293,#REF!,1,FALSE())),"?TYPE_IDENTIFIABLE","?REFERENTIAL"),"_")))))</f>
        <v> </v>
      </c>
      <c r="H3293" s="24" t="str">
        <f>IF(J3293&lt;&gt;1,"",IF(I3293="SBJ","CB","?"))</f>
        <v> </v>
      </c>
      <c r="I3293" s="25" t="str">
        <f>IF(OR(E3293="",E3293="!!!",F3293="NEW"),"",INDEX(B3292:B$2,-1+SUMPRODUCT(MAX(ROW(E3292:E$2)*(E3293=E3292:E$2)))))</f>
        <v> </v>
      </c>
      <c r="J3293" s="25" t="str">
        <f>IF(OR(E3293="",E3293="!!!",F3293="NEW"),"",COUNTBLANK(OFFSET(A$1,,,SUMPRODUCT(MAX(ROW(E$2:E3293)*(E3293=E$2:E3293)))))-COUNTBLANK(OFFSET(A$1,,,SUMPRODUCT(MAX(ROW(E$1:E3292)*(E2=E$1:E3292))))))</f>
        <v> </v>
      </c>
      <c r="K3293" s="25" t="str">
        <f>IF(OR(E3293="",E3293="!!!",F3293="NEW"),"",INDEX(J$1:J3292,SUMPRODUCT(MAX(ROW(E$1:E3292)*(E3293=E$1:E3292)))))</f>
        <v> </v>
      </c>
      <c r="L3293" s="26"/>
    </row>
    <row r="3294" spans="1:12">
      <c r="A3294" s="20" t="s">
        <v>2161</v>
      </c>
      <c r="B3294" s="27" t="s">
        <v>1041</v>
      </c>
      <c r="C3294" s="27" t="s">
        <v>1070</v>
      </c>
      <c r="E3294" s="21">
        <f>IF(D3294="?OLD","!!!","")</f>
        <v/>
      </c>
      <c r="F3294" s="22" t="str">
        <f>IF(OR(E3294="",E3294="!!!"),"",IF(NOT(ISNA(VLOOKUP(E3294,E$1:E3293,1,FALSE()))),"OLD",IF(AND(E3294&lt;&gt;"",E3294&lt;&gt;"!!!"),"NEW","")))</f>
        <v> </v>
      </c>
      <c r="G3294" s="23" t="str">
        <f>IF(OR(E3294="",E3294="!!!"),"",IF(OR(J3294=0,AND(J3294=1,K3294=1),AND(J3294=1,I3294="SBJ"),AND(J3294=1,I3294=0)),"?IN_FOCUS",IF(J3294&lt;=2,"?ACTIVATED",IF(J3294&lt;&gt;"","?FAMILIAR",IF(F3294="NEW",IF(ISNA(VLOOKUP(E3294,#REF!,1,FALSE())),"?TYPE_IDENTIFIABLE","?REFERENTIAL"),"_")))))</f>
        <v> </v>
      </c>
      <c r="H3294" s="24" t="str">
        <f>IF(J3294&lt;&gt;1,"",IF(I3294="SBJ","CB","?"))</f>
        <v> </v>
      </c>
      <c r="I3294" s="25" t="str">
        <f>IF(OR(E3294="",E3294="!!!",F3294="NEW"),"",INDEX(B3293:B$2,-1+SUMPRODUCT(MAX(ROW(E3293:E$2)*(E3294=E3293:E$2)))))</f>
        <v> </v>
      </c>
      <c r="J3294" s="25" t="str">
        <f>IF(OR(E3294="",E3294="!!!",F3294="NEW"),"",COUNTBLANK(OFFSET(A$1,,,SUMPRODUCT(MAX(ROW(E$2:E3294)*(E3294=E$2:E3294)))))-COUNTBLANK(OFFSET(A$1,,,SUMPRODUCT(MAX(ROW(E$1:E3293)*(E2=E$1:E3293))))))</f>
        <v> </v>
      </c>
      <c r="K3294" s="25" t="str">
        <f>IF(OR(E3294="",E3294="!!!",F3294="NEW"),"",INDEX(J$1:J3293,SUMPRODUCT(MAX(ROW(E$1:E3293)*(E3294=E$1:E3293)))))</f>
        <v> </v>
      </c>
      <c r="L3294" s="26"/>
    </row>
    <row r="3295" spans="1:12">
      <c r="A3295" s="20" t="s">
        <v>2162</v>
      </c>
      <c r="E3295" s="21">
        <f>IF(D3295="?OLD","!!!","")</f>
        <v/>
      </c>
      <c r="F3295" s="22" t="str">
        <f>IF(OR(E3295="",E3295="!!!"),"",IF(NOT(ISNA(VLOOKUP(E3295,E$1:E3294,1,FALSE()))),"OLD",IF(AND(E3295&lt;&gt;"",E3295&lt;&gt;"!!!"),"NEW","")))</f>
        <v> </v>
      </c>
      <c r="G3295" s="23" t="str">
        <f>IF(OR(E3295="",E3295="!!!"),"",IF(OR(J3295=0,AND(J3295=1,K3295=1),AND(J3295=1,I3295="SBJ"),AND(J3295=1,I3295=0)),"?IN_FOCUS",IF(J3295&lt;=2,"?ACTIVATED",IF(J3295&lt;&gt;"","?FAMILIAR",IF(F3295="NEW",IF(ISNA(VLOOKUP(E3295,#REF!,1,FALSE())),"?TYPE_IDENTIFIABLE","?REFERENTIAL"),"_")))))</f>
        <v> </v>
      </c>
      <c r="H3295" s="24" t="str">
        <f>IF(J3295&lt;&gt;1,"",IF(I3295="SBJ","CB","?"))</f>
        <v> </v>
      </c>
      <c r="I3295" s="25" t="str">
        <f>IF(OR(E3295="",E3295="!!!",F3295="NEW"),"",INDEX(B3294:B$2,-1+SUMPRODUCT(MAX(ROW(E3294:E$2)*(E3295=E3294:E$2)))))</f>
        <v> </v>
      </c>
      <c r="J3295" s="25" t="str">
        <f>IF(OR(E3295="",E3295="!!!",F3295="NEW"),"",COUNTBLANK(OFFSET(A$1,,,SUMPRODUCT(MAX(ROW(E$2:E3295)*(E3295=E$2:E3295)))))-COUNTBLANK(OFFSET(A$1,,,SUMPRODUCT(MAX(ROW(E$1:E3294)*(E2=E$1:E3294))))))</f>
        <v> </v>
      </c>
      <c r="K3295" s="25" t="str">
        <f>IF(OR(E3295="",E3295="!!!",F3295="NEW"),"",INDEX(J$1:J3294,SUMPRODUCT(MAX(ROW(E$1:E3294)*(E3295=E$1:E3294)))))</f>
        <v> </v>
      </c>
      <c r="L3295" s="26"/>
    </row>
    <row r="3296" spans="1:12">
      <c r="A3296" s="20" t="s">
        <v>1022</v>
      </c>
      <c r="E3296" s="21">
        <f>IF(D3296="?OLD","!!!","")</f>
        <v/>
      </c>
      <c r="F3296" s="22" t="str">
        <f>IF(OR(E3296="",E3296="!!!"),"",IF(NOT(ISNA(VLOOKUP(E3296,E$1:E3295,1,FALSE()))),"OLD",IF(AND(E3296&lt;&gt;"",E3296&lt;&gt;"!!!"),"NEW","")))</f>
        <v> </v>
      </c>
      <c r="G3296" s="23" t="str">
        <f>IF(OR(E3296="",E3296="!!!"),"",IF(OR(J3296=0,AND(J3296=1,K3296=1),AND(J3296=1,I3296="SBJ"),AND(J3296=1,I3296=0)),"?IN_FOCUS",IF(J3296&lt;=2,"?ACTIVATED",IF(J3296&lt;&gt;"","?FAMILIAR",IF(F3296="NEW",IF(ISNA(VLOOKUP(E3296,#REF!,1,FALSE())),"?TYPE_IDENTIFIABLE","?REFERENTIAL"),"_")))))</f>
        <v> </v>
      </c>
      <c r="H3296" s="24" t="str">
        <f>IF(J3296&lt;&gt;1,"",IF(I3296="SBJ","CB","?"))</f>
        <v> </v>
      </c>
      <c r="I3296" s="25" t="str">
        <f>IF(OR(E3296="",E3296="!!!",F3296="NEW"),"",INDEX(B3295:B$2,-1+SUMPRODUCT(MAX(ROW(E3295:E$2)*(E3296=E3295:E$2)))))</f>
        <v> </v>
      </c>
      <c r="J3296" s="25" t="str">
        <f>IF(OR(E3296="",E3296="!!!",F3296="NEW"),"",COUNTBLANK(OFFSET(A$1,,,SUMPRODUCT(MAX(ROW(E$2:E3296)*(E3296=E$2:E3296)))))-COUNTBLANK(OFFSET(A$1,,,SUMPRODUCT(MAX(ROW(E$1:E3295)*(E2=E$1:E3295))))))</f>
        <v> </v>
      </c>
      <c r="K3296" s="25" t="str">
        <f>IF(OR(E3296="",E3296="!!!",F3296="NEW"),"",INDEX(J$1:J3295,SUMPRODUCT(MAX(ROW(E$1:E3295)*(E3296=E$1:E3295)))))</f>
        <v> </v>
      </c>
      <c r="L3296" s="26"/>
    </row>
    <row r="3297" spans="1:12">
      <c r="A3297" s="20" t="s">
        <v>2163</v>
      </c>
      <c r="B3297" s="27" t="s">
        <v>1079</v>
      </c>
      <c r="C3297" s="27" t="s">
        <v>1015</v>
      </c>
      <c r="E3297" s="21">
        <f>IF(D3297="?OLD","!!!","")</f>
        <v/>
      </c>
      <c r="F3297" s="22" t="str">
        <f>IF(OR(E3297="",E3297="!!!"),"",IF(NOT(ISNA(VLOOKUP(E3297,E$1:E3296,1,FALSE()))),"OLD",IF(AND(E3297&lt;&gt;"",E3297&lt;&gt;"!!!"),"NEW","")))</f>
        <v> </v>
      </c>
      <c r="G3297" s="23" t="str">
        <f>IF(OR(E3297="",E3297="!!!"),"",IF(OR(J3297=0,AND(J3297=1,K3297=1),AND(J3297=1,I3297="SBJ"),AND(J3297=1,I3297=0)),"?IN_FOCUS",IF(J3297&lt;=2,"?ACTIVATED",IF(J3297&lt;&gt;"","?FAMILIAR",IF(F3297="NEW",IF(ISNA(VLOOKUP(E3297,#REF!,1,FALSE())),"?TYPE_IDENTIFIABLE","?REFERENTIAL"),"_")))))</f>
        <v> </v>
      </c>
      <c r="H3297" s="24" t="str">
        <f>IF(J3297&lt;&gt;1,"",IF(I3297="SBJ","CB","?"))</f>
        <v> </v>
      </c>
      <c r="I3297" s="25" t="str">
        <f>IF(OR(E3297="",E3297="!!!",F3297="NEW"),"",INDEX(B3296:B$2,-1+SUMPRODUCT(MAX(ROW(E3296:E$2)*(E3297=E3296:E$2)))))</f>
        <v> </v>
      </c>
      <c r="J3297" s="25" t="str">
        <f>IF(OR(E3297="",E3297="!!!",F3297="NEW"),"",COUNTBLANK(OFFSET(A$1,,,SUMPRODUCT(MAX(ROW(E$2:E3297)*(E3297=E$2:E3297)))))-COUNTBLANK(OFFSET(A$1,,,SUMPRODUCT(MAX(ROW(E$1:E3296)*(E2=E$1:E3296))))))</f>
        <v> </v>
      </c>
      <c r="K3297" s="25" t="str">
        <f>IF(OR(E3297="",E3297="!!!",F3297="NEW"),"",INDEX(J$1:J3296,SUMPRODUCT(MAX(ROW(E$1:E3296)*(E3297=E$1:E3296)))))</f>
        <v> </v>
      </c>
      <c r="L3297" s="26"/>
    </row>
    <row r="3298" spans="1:12">
      <c r="A3298" s="20" t="s">
        <v>1022</v>
      </c>
      <c r="E3298" s="21">
        <f>IF(D3298="?OLD","!!!","")</f>
        <v/>
      </c>
      <c r="F3298" s="22" t="str">
        <f>IF(OR(E3298="",E3298="!!!"),"",IF(NOT(ISNA(VLOOKUP(E3298,E$1:E3297,1,FALSE()))),"OLD",IF(AND(E3298&lt;&gt;"",E3298&lt;&gt;"!!!"),"NEW","")))</f>
        <v> </v>
      </c>
      <c r="G3298" s="23" t="str">
        <f>IF(OR(E3298="",E3298="!!!"),"",IF(OR(J3298=0,AND(J3298=1,K3298=1),AND(J3298=1,I3298="SBJ"),AND(J3298=1,I3298=0)),"?IN_FOCUS",IF(J3298&lt;=2,"?ACTIVATED",IF(J3298&lt;&gt;"","?FAMILIAR",IF(F3298="NEW",IF(ISNA(VLOOKUP(E3298,#REF!,1,FALSE())),"?TYPE_IDENTIFIABLE","?REFERENTIAL"),"_")))))</f>
        <v> </v>
      </c>
      <c r="H3298" s="24" t="str">
        <f>IF(J3298&lt;&gt;1,"",IF(I3298="SBJ","CB","?"))</f>
        <v> </v>
      </c>
      <c r="I3298" s="25" t="str">
        <f>IF(OR(E3298="",E3298="!!!",F3298="NEW"),"",INDEX(B3297:B$2,-1+SUMPRODUCT(MAX(ROW(E3297:E$2)*(E3298=E3297:E$2)))))</f>
        <v> </v>
      </c>
      <c r="J3298" s="25" t="str">
        <f>IF(OR(E3298="",E3298="!!!",F3298="NEW"),"",COUNTBLANK(OFFSET(A$1,,,SUMPRODUCT(MAX(ROW(E$2:E3298)*(E3298=E$2:E3298)))))-COUNTBLANK(OFFSET(A$1,,,SUMPRODUCT(MAX(ROW(E$1:E3297)*(E2=E$1:E3297))))))</f>
        <v> </v>
      </c>
      <c r="K3298" s="25" t="str">
        <f>IF(OR(E3298="",E3298="!!!",F3298="NEW"),"",INDEX(J$1:J3297,SUMPRODUCT(MAX(ROW(E$1:E3297)*(E3298=E$1:E3297)))))</f>
        <v> </v>
      </c>
      <c r="L3298" s="26"/>
    </row>
    <row r="3299" spans="1:12">
      <c r="A3299" s="20" t="s">
        <v>2164</v>
      </c>
      <c r="B3299" s="27" t="s">
        <v>1079</v>
      </c>
      <c r="C3299" s="27" t="s">
        <v>1015</v>
      </c>
      <c r="E3299" s="21">
        <f>IF(D3299="?OLD","!!!","")</f>
        <v/>
      </c>
      <c r="F3299" s="22" t="str">
        <f>IF(OR(E3299="",E3299="!!!"),"",IF(NOT(ISNA(VLOOKUP(E3299,E$1:E3298,1,FALSE()))),"OLD",IF(AND(E3299&lt;&gt;"",E3299&lt;&gt;"!!!"),"NEW","")))</f>
        <v> </v>
      </c>
      <c r="G3299" s="23" t="str">
        <f>IF(OR(E3299="",E3299="!!!"),"",IF(OR(J3299=0,AND(J3299=1,K3299=1),AND(J3299=1,I3299="SBJ"),AND(J3299=1,I3299=0)),"?IN_FOCUS",IF(J3299&lt;=2,"?ACTIVATED",IF(J3299&lt;&gt;"","?FAMILIAR",IF(F3299="NEW",IF(ISNA(VLOOKUP(E3299,#REF!,1,FALSE())),"?TYPE_IDENTIFIABLE","?REFERENTIAL"),"_")))))</f>
        <v> </v>
      </c>
      <c r="H3299" s="24" t="str">
        <f>IF(J3299&lt;&gt;1,"",IF(I3299="SBJ","CB","?"))</f>
        <v> </v>
      </c>
      <c r="I3299" s="25" t="str">
        <f>IF(OR(E3299="",E3299="!!!",F3299="NEW"),"",INDEX(B3298:B$2,-1+SUMPRODUCT(MAX(ROW(E3298:E$2)*(E3299=E3298:E$2)))))</f>
        <v> </v>
      </c>
      <c r="J3299" s="25" t="str">
        <f>IF(OR(E3299="",E3299="!!!",F3299="NEW"),"",COUNTBLANK(OFFSET(A$1,,,SUMPRODUCT(MAX(ROW(E$2:E3299)*(E3299=E$2:E3299)))))-COUNTBLANK(OFFSET(A$1,,,SUMPRODUCT(MAX(ROW(E$1:E3298)*(E2=E$1:E3298))))))</f>
        <v> </v>
      </c>
      <c r="K3299" s="25" t="str">
        <f>IF(OR(E3299="",E3299="!!!",F3299="NEW"),"",INDEX(J$1:J3298,SUMPRODUCT(MAX(ROW(E$1:E3298)*(E3299=E$1:E3298)))))</f>
        <v> </v>
      </c>
      <c r="L3299" s="26"/>
    </row>
    <row r="3300" spans="1:12">
      <c r="A3300" s="20" t="s">
        <v>1022</v>
      </c>
      <c r="E3300" s="21">
        <f>IF(D3300="?OLD","!!!","")</f>
        <v/>
      </c>
      <c r="F3300" s="22" t="str">
        <f>IF(OR(E3300="",E3300="!!!"),"",IF(NOT(ISNA(VLOOKUP(E3300,E$1:E3299,1,FALSE()))),"OLD",IF(AND(E3300&lt;&gt;"",E3300&lt;&gt;"!!!"),"NEW","")))</f>
        <v> </v>
      </c>
      <c r="G3300" s="23" t="str">
        <f>IF(OR(E3300="",E3300="!!!"),"",IF(OR(J3300=0,AND(J3300=1,K3300=1),AND(J3300=1,I3300="SBJ"),AND(J3300=1,I3300=0)),"?IN_FOCUS",IF(J3300&lt;=2,"?ACTIVATED",IF(J3300&lt;&gt;"","?FAMILIAR",IF(F3300="NEW",IF(ISNA(VLOOKUP(E3300,#REF!,1,FALSE())),"?TYPE_IDENTIFIABLE","?REFERENTIAL"),"_")))))</f>
        <v> </v>
      </c>
      <c r="H3300" s="24" t="str">
        <f>IF(J3300&lt;&gt;1,"",IF(I3300="SBJ","CB","?"))</f>
        <v> </v>
      </c>
      <c r="I3300" s="25" t="str">
        <f>IF(OR(E3300="",E3300="!!!",F3300="NEW"),"",INDEX(B3299:B$2,-1+SUMPRODUCT(MAX(ROW(E3299:E$2)*(E3300=E3299:E$2)))))</f>
        <v> </v>
      </c>
      <c r="J3300" s="25" t="str">
        <f>IF(OR(E3300="",E3300="!!!",F3300="NEW"),"",COUNTBLANK(OFFSET(A$1,,,SUMPRODUCT(MAX(ROW(E$2:E3300)*(E3300=E$2:E3300)))))-COUNTBLANK(OFFSET(A$1,,,SUMPRODUCT(MAX(ROW(E$1:E3299)*(E2=E$1:E3299))))))</f>
        <v> </v>
      </c>
      <c r="K3300" s="25" t="str">
        <f>IF(OR(E3300="",E3300="!!!",F3300="NEW"),"",INDEX(J$1:J3299,SUMPRODUCT(MAX(ROW(E$1:E3299)*(E3300=E$1:E3299)))))</f>
        <v> </v>
      </c>
      <c r="L3300" s="26"/>
    </row>
    <row r="3301" spans="1:12">
      <c r="A3301" s="20" t="s">
        <v>2165</v>
      </c>
      <c r="B3301" s="27" t="s">
        <v>1079</v>
      </c>
      <c r="C3301" s="27" t="s">
        <v>1015</v>
      </c>
      <c r="E3301" s="21">
        <f>IF(D3301="?OLD","!!!","")</f>
        <v/>
      </c>
      <c r="F3301" s="22" t="str">
        <f>IF(OR(E3301="",E3301="!!!"),"",IF(NOT(ISNA(VLOOKUP(E3301,E$1:E3300,1,FALSE()))),"OLD",IF(AND(E3301&lt;&gt;"",E3301&lt;&gt;"!!!"),"NEW","")))</f>
        <v> </v>
      </c>
      <c r="G3301" s="23" t="str">
        <f>IF(OR(E3301="",E3301="!!!"),"",IF(OR(J3301=0,AND(J3301=1,K3301=1),AND(J3301=1,I3301="SBJ"),AND(J3301=1,I3301=0)),"?IN_FOCUS",IF(J3301&lt;=2,"?ACTIVATED",IF(J3301&lt;&gt;"","?FAMILIAR",IF(F3301="NEW",IF(ISNA(VLOOKUP(E3301,#REF!,1,FALSE())),"?TYPE_IDENTIFIABLE","?REFERENTIAL"),"_")))))</f>
        <v> </v>
      </c>
      <c r="H3301" s="24" t="str">
        <f>IF(J3301&lt;&gt;1,"",IF(I3301="SBJ","CB","?"))</f>
        <v> </v>
      </c>
      <c r="I3301" s="25" t="str">
        <f>IF(OR(E3301="",E3301="!!!",F3301="NEW"),"",INDEX(B3300:B$2,-1+SUMPRODUCT(MAX(ROW(E3300:E$2)*(E3301=E3300:E$2)))))</f>
        <v> </v>
      </c>
      <c r="J3301" s="25" t="str">
        <f>IF(OR(E3301="",E3301="!!!",F3301="NEW"),"",COUNTBLANK(OFFSET(A$1,,,SUMPRODUCT(MAX(ROW(E$2:E3301)*(E3301=E$2:E3301)))))-COUNTBLANK(OFFSET(A$1,,,SUMPRODUCT(MAX(ROW(E$1:E3300)*(E2=E$1:E3300))))))</f>
        <v> </v>
      </c>
      <c r="K3301" s="25" t="str">
        <f>IF(OR(E3301="",E3301="!!!",F3301="NEW"),"",INDEX(J$1:J3300,SUMPRODUCT(MAX(ROW(E$1:E3300)*(E3301=E$1:E3300)))))</f>
        <v> </v>
      </c>
      <c r="L3301" s="26"/>
    </row>
    <row r="3302" spans="1:12">
      <c r="A3302" s="20" t="s">
        <v>1022</v>
      </c>
      <c r="E3302" s="21">
        <f>IF(D3302="?OLD","!!!","")</f>
        <v/>
      </c>
      <c r="F3302" s="22" t="str">
        <f>IF(OR(E3302="",E3302="!!!"),"",IF(NOT(ISNA(VLOOKUP(E3302,E$1:E3301,1,FALSE()))),"OLD",IF(AND(E3302&lt;&gt;"",E3302&lt;&gt;"!!!"),"NEW","")))</f>
        <v> </v>
      </c>
      <c r="G3302" s="23" t="str">
        <f>IF(OR(E3302="",E3302="!!!"),"",IF(OR(J3302=0,AND(J3302=1,K3302=1),AND(J3302=1,I3302="SBJ"),AND(J3302=1,I3302=0)),"?IN_FOCUS",IF(J3302&lt;=2,"?ACTIVATED",IF(J3302&lt;&gt;"","?FAMILIAR",IF(F3302="NEW",IF(ISNA(VLOOKUP(E3302,#REF!,1,FALSE())),"?TYPE_IDENTIFIABLE","?REFERENTIAL"),"_")))))</f>
        <v> </v>
      </c>
      <c r="H3302" s="24" t="str">
        <f>IF(J3302&lt;&gt;1,"",IF(I3302="SBJ","CB","?"))</f>
        <v> </v>
      </c>
      <c r="I3302" s="25" t="str">
        <f>IF(OR(E3302="",E3302="!!!",F3302="NEW"),"",INDEX(B3301:B$2,-1+SUMPRODUCT(MAX(ROW(E3301:E$2)*(E3302=E3301:E$2)))))</f>
        <v> </v>
      </c>
      <c r="J3302" s="25" t="str">
        <f>IF(OR(E3302="",E3302="!!!",F3302="NEW"),"",COUNTBLANK(OFFSET(A$1,,,SUMPRODUCT(MAX(ROW(E$2:E3302)*(E3302=E$2:E3302)))))-COUNTBLANK(OFFSET(A$1,,,SUMPRODUCT(MAX(ROW(E$1:E3301)*(E2=E$1:E3301))))))</f>
        <v> </v>
      </c>
      <c r="K3302" s="25" t="str">
        <f>IF(OR(E3302="",E3302="!!!",F3302="NEW"),"",INDEX(J$1:J3301,SUMPRODUCT(MAX(ROW(E$1:E3301)*(E3302=E$1:E3301)))))</f>
        <v> </v>
      </c>
      <c r="L3302" s="26"/>
    </row>
    <row r="3303" spans="1:12">
      <c r="A3303" s="20" t="s">
        <v>1057</v>
      </c>
      <c r="E3303" s="21">
        <f>IF(D3303="?OLD","!!!","")</f>
        <v/>
      </c>
      <c r="F3303" s="22" t="str">
        <f>IF(OR(E3303="",E3303="!!!"),"",IF(NOT(ISNA(VLOOKUP(E3303,E$1:E3302,1,FALSE()))),"OLD",IF(AND(E3303&lt;&gt;"",E3303&lt;&gt;"!!!"),"NEW","")))</f>
        <v> </v>
      </c>
      <c r="G3303" s="23" t="str">
        <f>IF(OR(E3303="",E3303="!!!"),"",IF(OR(J3303=0,AND(J3303=1,K3303=1),AND(J3303=1,I3303="SBJ"),AND(J3303=1,I3303=0)),"?IN_FOCUS",IF(J3303&lt;=2,"?ACTIVATED",IF(J3303&lt;&gt;"","?FAMILIAR",IF(F3303="NEW",IF(ISNA(VLOOKUP(E3303,#REF!,1,FALSE())),"?TYPE_IDENTIFIABLE","?REFERENTIAL"),"_")))))</f>
        <v> </v>
      </c>
      <c r="H3303" s="24" t="str">
        <f>IF(J3303&lt;&gt;1,"",IF(I3303="SBJ","CB","?"))</f>
        <v> </v>
      </c>
      <c r="I3303" s="25" t="str">
        <f>IF(OR(E3303="",E3303="!!!",F3303="NEW"),"",INDEX(B3302:B$2,-1+SUMPRODUCT(MAX(ROW(E3302:E$2)*(E3303=E3302:E$2)))))</f>
        <v> </v>
      </c>
      <c r="J3303" s="25" t="str">
        <f>IF(OR(E3303="",E3303="!!!",F3303="NEW"),"",COUNTBLANK(OFFSET(A$1,,,SUMPRODUCT(MAX(ROW(E$2:E3303)*(E3303=E$2:E3303)))))-COUNTBLANK(OFFSET(A$1,,,SUMPRODUCT(MAX(ROW(E$1:E3302)*(E2=E$1:E3302))))))</f>
        <v> </v>
      </c>
      <c r="K3303" s="25" t="str">
        <f>IF(OR(E3303="",E3303="!!!",F3303="NEW"),"",INDEX(J$1:J3302,SUMPRODUCT(MAX(ROW(E$1:E3302)*(E3303=E$1:E3302)))))</f>
        <v> </v>
      </c>
      <c r="L3303" s="26"/>
    </row>
    <row r="3304" spans="1:12">
      <c r="A3304" s="20" t="s">
        <v>2150</v>
      </c>
      <c r="E3304" s="21">
        <f>IF(D3304="?OLD","!!!","")</f>
        <v/>
      </c>
      <c r="F3304" s="22" t="str">
        <f>IF(OR(E3304="",E3304="!!!"),"",IF(NOT(ISNA(VLOOKUP(E3304,E$1:E3303,1,FALSE()))),"OLD",IF(AND(E3304&lt;&gt;"",E3304&lt;&gt;"!!!"),"NEW","")))</f>
        <v> </v>
      </c>
      <c r="G3304" s="23" t="str">
        <f>IF(OR(E3304="",E3304="!!!"),"",IF(OR(J3304=0,AND(J3304=1,K3304=1),AND(J3304=1,I3304="SBJ"),AND(J3304=1,I3304=0)),"?IN_FOCUS",IF(J3304&lt;=2,"?ACTIVATED",IF(J3304&lt;&gt;"","?FAMILIAR",IF(F3304="NEW",IF(ISNA(VLOOKUP(E3304,#REF!,1,FALSE())),"?TYPE_IDENTIFIABLE","?REFERENTIAL"),"_")))))</f>
        <v> </v>
      </c>
      <c r="H3304" s="24" t="str">
        <f>IF(J3304&lt;&gt;1,"",IF(I3304="SBJ","CB","?"))</f>
        <v> </v>
      </c>
      <c r="I3304" s="25" t="str">
        <f>IF(OR(E3304="",E3304="!!!",F3304="NEW"),"",INDEX(B3303:B$2,-1+SUMPRODUCT(MAX(ROW(E3303:E$2)*(E3304=E3303:E$2)))))</f>
        <v> </v>
      </c>
      <c r="J3304" s="25" t="str">
        <f>IF(OR(E3304="",E3304="!!!",F3304="NEW"),"",COUNTBLANK(OFFSET(A$1,,,SUMPRODUCT(MAX(ROW(E$2:E3304)*(E3304=E$2:E3304)))))-COUNTBLANK(OFFSET(A$1,,,SUMPRODUCT(MAX(ROW(E$1:E3303)*(E2=E$1:E3303))))))</f>
        <v> </v>
      </c>
      <c r="K3304" s="25" t="str">
        <f>IF(OR(E3304="",E3304="!!!",F3304="NEW"),"",INDEX(J$1:J3303,SUMPRODUCT(MAX(ROW(E$1:E3303)*(E3304=E$1:E3303)))))</f>
        <v> </v>
      </c>
      <c r="L3304" s="26"/>
    </row>
    <row r="3305" spans="1:12">
      <c r="A3305" s="20" t="s">
        <v>2166</v>
      </c>
      <c r="B3305" s="27" t="s">
        <v>1020</v>
      </c>
      <c r="C3305" s="27" t="s">
        <v>1015</v>
      </c>
      <c r="E3305" s="21">
        <f>IF(D3305="?OLD","!!!","")</f>
        <v/>
      </c>
      <c r="F3305" s="22" t="str">
        <f>IF(OR(E3305="",E3305="!!!"),"",IF(NOT(ISNA(VLOOKUP(E3305,E$1:E3304,1,FALSE()))),"OLD",IF(AND(E3305&lt;&gt;"",E3305&lt;&gt;"!!!"),"NEW","")))</f>
        <v> </v>
      </c>
      <c r="G3305" s="23" t="str">
        <f>IF(OR(E3305="",E3305="!!!"),"",IF(OR(J3305=0,AND(J3305=1,K3305=1),AND(J3305=1,I3305="SBJ"),AND(J3305=1,I3305=0)),"?IN_FOCUS",IF(J3305&lt;=2,"?ACTIVATED",IF(J3305&lt;&gt;"","?FAMILIAR",IF(F3305="NEW",IF(ISNA(VLOOKUP(E3305,#REF!,1,FALSE())),"?TYPE_IDENTIFIABLE","?REFERENTIAL"),"_")))))</f>
        <v> </v>
      </c>
      <c r="H3305" s="24" t="str">
        <f>IF(J3305&lt;&gt;1,"",IF(I3305="SBJ","CB","?"))</f>
        <v> </v>
      </c>
      <c r="I3305" s="25" t="str">
        <f>IF(OR(E3305="",E3305="!!!",F3305="NEW"),"",INDEX(B3304:B$2,-1+SUMPRODUCT(MAX(ROW(E3304:E$2)*(E3305=E3304:E$2)))))</f>
        <v> </v>
      </c>
      <c r="J3305" s="25" t="str">
        <f>IF(OR(E3305="",E3305="!!!",F3305="NEW"),"",COUNTBLANK(OFFSET(A$1,,,SUMPRODUCT(MAX(ROW(E$2:E3305)*(E3305=E$2:E3305)))))-COUNTBLANK(OFFSET(A$1,,,SUMPRODUCT(MAX(ROW(E$1:E3304)*(E2=E$1:E3304))))))</f>
        <v> </v>
      </c>
      <c r="K3305" s="25" t="str">
        <f>IF(OR(E3305="",E3305="!!!",F3305="NEW"),"",INDEX(J$1:J3304,SUMPRODUCT(MAX(ROW(E$1:E3304)*(E3305=E$1:E3304)))))</f>
        <v> </v>
      </c>
      <c r="L3305" s="26"/>
    </row>
    <row r="3306" spans="1:12">
      <c r="A3306" s="20" t="s">
        <v>2167</v>
      </c>
      <c r="E3306" s="21">
        <f>IF(D3306="?OLD","!!!","")</f>
        <v/>
      </c>
      <c r="F3306" s="22" t="str">
        <f>IF(OR(E3306="",E3306="!!!"),"",IF(NOT(ISNA(VLOOKUP(E3306,E$1:E3305,1,FALSE()))),"OLD",IF(AND(E3306&lt;&gt;"",E3306&lt;&gt;"!!!"),"NEW","")))</f>
        <v> </v>
      </c>
      <c r="G3306" s="23" t="str">
        <f>IF(OR(E3306="",E3306="!!!"),"",IF(OR(J3306=0,AND(J3306=1,K3306=1),AND(J3306=1,I3306="SBJ"),AND(J3306=1,I3306=0)),"?IN_FOCUS",IF(J3306&lt;=2,"?ACTIVATED",IF(J3306&lt;&gt;"","?FAMILIAR",IF(F3306="NEW",IF(ISNA(VLOOKUP(E3306,#REF!,1,FALSE())),"?TYPE_IDENTIFIABLE","?REFERENTIAL"),"_")))))</f>
        <v> </v>
      </c>
      <c r="H3306" s="24" t="str">
        <f>IF(J3306&lt;&gt;1,"",IF(I3306="SBJ","CB","?"))</f>
        <v> </v>
      </c>
      <c r="I3306" s="25" t="str">
        <f>IF(OR(E3306="",E3306="!!!",F3306="NEW"),"",INDEX(B3305:B$2,-1+SUMPRODUCT(MAX(ROW(E3305:E$2)*(E3306=E3305:E$2)))))</f>
        <v> </v>
      </c>
      <c r="J3306" s="25" t="str">
        <f>IF(OR(E3306="",E3306="!!!",F3306="NEW"),"",COUNTBLANK(OFFSET(A$1,,,SUMPRODUCT(MAX(ROW(E$2:E3306)*(E3306=E$2:E3306)))))-COUNTBLANK(OFFSET(A$1,,,SUMPRODUCT(MAX(ROW(E$1:E3305)*(E2=E$1:E3305))))))</f>
        <v> </v>
      </c>
      <c r="K3306" s="25" t="str">
        <f>IF(OR(E3306="",E3306="!!!",F3306="NEW"),"",INDEX(J$1:J3305,SUMPRODUCT(MAX(ROW(E$1:E3305)*(E3306=E$1:E3305)))))</f>
        <v> </v>
      </c>
      <c r="L3306" s="26"/>
    </row>
    <row r="3307" spans="1:12">
      <c r="A3307" s="20" t="s">
        <v>2168</v>
      </c>
      <c r="E3307" s="21">
        <f>IF(D3307="?OLD","!!!","")</f>
        <v/>
      </c>
      <c r="F3307" s="22" t="str">
        <f>IF(OR(E3307="",E3307="!!!"),"",IF(NOT(ISNA(VLOOKUP(E3307,E$1:E3306,1,FALSE()))),"OLD",IF(AND(E3307&lt;&gt;"",E3307&lt;&gt;"!!!"),"NEW","")))</f>
        <v> </v>
      </c>
      <c r="G3307" s="23" t="str">
        <f>IF(OR(E3307="",E3307="!!!"),"",IF(OR(J3307=0,AND(J3307=1,K3307=1),AND(J3307=1,I3307="SBJ"),AND(J3307=1,I3307=0)),"?IN_FOCUS",IF(J3307&lt;=2,"?ACTIVATED",IF(J3307&lt;&gt;"","?FAMILIAR",IF(F3307="NEW",IF(ISNA(VLOOKUP(E3307,#REF!,1,FALSE())),"?TYPE_IDENTIFIABLE","?REFERENTIAL"),"_")))))</f>
        <v> </v>
      </c>
      <c r="H3307" s="24" t="str">
        <f>IF(J3307&lt;&gt;1,"",IF(I3307="SBJ","CB","?"))</f>
        <v> </v>
      </c>
      <c r="I3307" s="25" t="str">
        <f>IF(OR(E3307="",E3307="!!!",F3307="NEW"),"",INDEX(B3306:B$2,-1+SUMPRODUCT(MAX(ROW(E3306:E$2)*(E3307=E3306:E$2)))))</f>
        <v> </v>
      </c>
      <c r="J3307" s="25" t="str">
        <f>IF(OR(E3307="",E3307="!!!",F3307="NEW"),"",COUNTBLANK(OFFSET(A$1,,,SUMPRODUCT(MAX(ROW(E$2:E3307)*(E3307=E$2:E3307)))))-COUNTBLANK(OFFSET(A$1,,,SUMPRODUCT(MAX(ROW(E$1:E3306)*(E2=E$1:E3306))))))</f>
        <v> </v>
      </c>
      <c r="K3307" s="25" t="str">
        <f>IF(OR(E3307="",E3307="!!!",F3307="NEW"),"",INDEX(J$1:J3306,SUMPRODUCT(MAX(ROW(E$1:E3306)*(E3307=E$1:E3306)))))</f>
        <v> </v>
      </c>
      <c r="L3307" s="26"/>
    </row>
    <row r="3308" spans="1:12">
      <c r="A3308" s="20" t="s">
        <v>1311</v>
      </c>
      <c r="E3308" s="21">
        <f>IF(D3308="?OLD","!!!","")</f>
        <v/>
      </c>
      <c r="F3308" s="22" t="str">
        <f>IF(OR(E3308="",E3308="!!!"),"",IF(NOT(ISNA(VLOOKUP(E3308,E$1:E3307,1,FALSE()))),"OLD",IF(AND(E3308&lt;&gt;"",E3308&lt;&gt;"!!!"),"NEW","")))</f>
        <v> </v>
      </c>
      <c r="G3308" s="23" t="str">
        <f>IF(OR(E3308="",E3308="!!!"),"",IF(OR(J3308=0,AND(J3308=1,K3308=1),AND(J3308=1,I3308="SBJ"),AND(J3308=1,I3308=0)),"?IN_FOCUS",IF(J3308&lt;=2,"?ACTIVATED",IF(J3308&lt;&gt;"","?FAMILIAR",IF(F3308="NEW",IF(ISNA(VLOOKUP(E3308,#REF!,1,FALSE())),"?TYPE_IDENTIFIABLE","?REFERENTIAL"),"_")))))</f>
        <v> </v>
      </c>
      <c r="H3308" s="24" t="str">
        <f>IF(J3308&lt;&gt;1,"",IF(I3308="SBJ","CB","?"))</f>
        <v> </v>
      </c>
      <c r="I3308" s="25" t="str">
        <f>IF(OR(E3308="",E3308="!!!",F3308="NEW"),"",INDEX(B3307:B$2,-1+SUMPRODUCT(MAX(ROW(E3307:E$2)*(E3308=E3307:E$2)))))</f>
        <v> </v>
      </c>
      <c r="J3308" s="25" t="str">
        <f>IF(OR(E3308="",E3308="!!!",F3308="NEW"),"",COUNTBLANK(OFFSET(A$1,,,SUMPRODUCT(MAX(ROW(E$2:E3308)*(E3308=E$2:E3308)))))-COUNTBLANK(OFFSET(A$1,,,SUMPRODUCT(MAX(ROW(E$1:E3307)*(E2=E$1:E3307))))))</f>
        <v> </v>
      </c>
      <c r="K3308" s="25" t="str">
        <f>IF(OR(E3308="",E3308="!!!",F3308="NEW"),"",INDEX(J$1:J3307,SUMPRODUCT(MAX(ROW(E$1:E3307)*(E3308=E$1:E3307)))))</f>
        <v> </v>
      </c>
      <c r="L3308" s="26"/>
    </row>
    <row r="3309" spans="1:12">
      <c r="A3309" s="20" t="s">
        <v>1111</v>
      </c>
      <c r="E3309" s="21">
        <f>IF(D3309="?OLD","!!!","")</f>
        <v/>
      </c>
      <c r="F3309" s="22" t="str">
        <f>IF(OR(E3309="",E3309="!!!"),"",IF(NOT(ISNA(VLOOKUP(E3309,E$1:E3308,1,FALSE()))),"OLD",IF(AND(E3309&lt;&gt;"",E3309&lt;&gt;"!!!"),"NEW","")))</f>
        <v> </v>
      </c>
      <c r="G3309" s="23" t="str">
        <f>IF(OR(E3309="",E3309="!!!"),"",IF(OR(J3309=0,AND(J3309=1,K3309=1),AND(J3309=1,I3309="SBJ"),AND(J3309=1,I3309=0)),"?IN_FOCUS",IF(J3309&lt;=2,"?ACTIVATED",IF(J3309&lt;&gt;"","?FAMILIAR",IF(F3309="NEW",IF(ISNA(VLOOKUP(E3309,#REF!,1,FALSE())),"?TYPE_IDENTIFIABLE","?REFERENTIAL"),"_")))))</f>
        <v> </v>
      </c>
      <c r="H3309" s="24" t="str">
        <f>IF(J3309&lt;&gt;1,"",IF(I3309="SBJ","CB","?"))</f>
        <v> </v>
      </c>
      <c r="I3309" s="25" t="str">
        <f>IF(OR(E3309="",E3309="!!!",F3309="NEW"),"",INDEX(B3308:B$2,-1+SUMPRODUCT(MAX(ROW(E3308:E$2)*(E3309=E3308:E$2)))))</f>
        <v> </v>
      </c>
      <c r="J3309" s="25" t="str">
        <f>IF(OR(E3309="",E3309="!!!",F3309="NEW"),"",COUNTBLANK(OFFSET(A$1,,,SUMPRODUCT(MAX(ROW(E$2:E3309)*(E3309=E$2:E3309)))))-COUNTBLANK(OFFSET(A$1,,,SUMPRODUCT(MAX(ROW(E$1:E3308)*(E2=E$1:E3308))))))</f>
        <v> </v>
      </c>
      <c r="K3309" s="25" t="str">
        <f>IF(OR(E3309="",E3309="!!!",F3309="NEW"),"",INDEX(J$1:J3308,SUMPRODUCT(MAX(ROW(E$1:E3308)*(E3309=E$1:E3308)))))</f>
        <v> </v>
      </c>
      <c r="L3309" s="26"/>
    </row>
    <row r="3310" spans="1:12">
      <c r="A3310" s="20" t="s">
        <v>1572</v>
      </c>
      <c r="E3310" s="21">
        <f>IF(D3310="?OLD","!!!","")</f>
        <v/>
      </c>
      <c r="F3310" s="22" t="str">
        <f>IF(OR(E3310="",E3310="!!!"),"",IF(NOT(ISNA(VLOOKUP(E3310,E$1:E3309,1,FALSE()))),"OLD",IF(AND(E3310&lt;&gt;"",E3310&lt;&gt;"!!!"),"NEW","")))</f>
        <v> </v>
      </c>
      <c r="G3310" s="23" t="str">
        <f>IF(OR(E3310="",E3310="!!!"),"",IF(OR(J3310=0,AND(J3310=1,K3310=1),AND(J3310=1,I3310="SBJ"),AND(J3310=1,I3310=0)),"?IN_FOCUS",IF(J3310&lt;=2,"?ACTIVATED",IF(J3310&lt;&gt;"","?FAMILIAR",IF(F3310="NEW",IF(ISNA(VLOOKUP(E3310,#REF!,1,FALSE())),"?TYPE_IDENTIFIABLE","?REFERENTIAL"),"_")))))</f>
        <v> </v>
      </c>
      <c r="H3310" s="24" t="str">
        <f>IF(J3310&lt;&gt;1,"",IF(I3310="SBJ","CB","?"))</f>
        <v> </v>
      </c>
      <c r="I3310" s="25" t="str">
        <f>IF(OR(E3310="",E3310="!!!",F3310="NEW"),"",INDEX(B3309:B$2,-1+SUMPRODUCT(MAX(ROW(E3309:E$2)*(E3310=E3309:E$2)))))</f>
        <v> </v>
      </c>
      <c r="J3310" s="25" t="str">
        <f>IF(OR(E3310="",E3310="!!!",F3310="NEW"),"",COUNTBLANK(OFFSET(A$1,,,SUMPRODUCT(MAX(ROW(E$2:E3310)*(E3310=E$2:E3310)))))-COUNTBLANK(OFFSET(A$1,,,SUMPRODUCT(MAX(ROW(E$1:E3309)*(E2=E$1:E3309))))))</f>
        <v> </v>
      </c>
      <c r="K3310" s="25" t="str">
        <f>IF(OR(E3310="",E3310="!!!",F3310="NEW"),"",INDEX(J$1:J3309,SUMPRODUCT(MAX(ROW(E$1:E3309)*(E3310=E$1:E3309)))))</f>
        <v> </v>
      </c>
      <c r="L3310" s="26"/>
    </row>
    <row r="3311" spans="1:12">
      <c r="A3311" s="20" t="s">
        <v>247</v>
      </c>
      <c r="B3311" s="27" t="s">
        <v>1035</v>
      </c>
      <c r="C3311" s="27" t="s">
        <v>1038</v>
      </c>
      <c r="D3311" s="27" t="s">
        <v>1030</v>
      </c>
      <c r="E3311" s="21">
        <f>IF(D3311="?OLD","!!!","")</f>
        <v/>
      </c>
      <c r="F3311" s="22" t="str">
        <f>IF(OR(E3311="",E3311="!!!"),"",IF(NOT(ISNA(VLOOKUP(E3311,E$1:E3310,1,FALSE()))),"OLD",IF(AND(E3311&lt;&gt;"",E3311&lt;&gt;"!!!"),"NEW","")))</f>
        <v> </v>
      </c>
      <c r="G3311" s="23" t="str">
        <f>IF(OR(E3311="",E3311="!!!"),"",IF(OR(J3311=0,AND(J3311=1,K3311=1),AND(J3311=1,I3311="SBJ"),AND(J3311=1,I3311=0)),"?IN_FOCUS",IF(J3311&lt;=2,"?ACTIVATED",IF(J3311&lt;&gt;"","?FAMILIAR",IF(F3311="NEW",IF(ISNA(VLOOKUP(E3311,#REF!,1,FALSE())),"?TYPE_IDENTIFIABLE","?REFERENTIAL"),"_")))))</f>
        <v> </v>
      </c>
      <c r="H3311" s="24" t="str">
        <f>IF(J3311&lt;&gt;1,"",IF(I3311="SBJ","CB","?"))</f>
        <v> </v>
      </c>
      <c r="I3311" s="25" t="str">
        <f>IF(OR(E3311="",E3311="!!!",F3311="NEW"),"",INDEX(B3310:B$2,-1+SUMPRODUCT(MAX(ROW(E3310:E$2)*(E3311=E3310:E$2)))))</f>
        <v> </v>
      </c>
      <c r="J3311" s="25" t="str">
        <f>IF(OR(E3311="",E3311="!!!",F3311="NEW"),"",COUNTBLANK(OFFSET(A$1,,,SUMPRODUCT(MAX(ROW(E$2:E3311)*(E3311=E$2:E3311)))))-COUNTBLANK(OFFSET(A$1,,,SUMPRODUCT(MAX(ROW(E$1:E3310)*(E2=E$1:E3310))))))</f>
        <v> </v>
      </c>
      <c r="K3311" s="25" t="str">
        <f>IF(OR(E3311="",E3311="!!!",F3311="NEW"),"",INDEX(J$1:J3310,SUMPRODUCT(MAX(ROW(E$1:E3310)*(E3311=E$1:E3310)))))</f>
        <v> </v>
      </c>
      <c r="L3311" s="26"/>
    </row>
    <row r="3312" spans="1:12">
      <c r="A3312" s="20" t="s">
        <v>1022</v>
      </c>
      <c r="E3312" s="21">
        <f>IF(D3312="?OLD","!!!","")</f>
        <v/>
      </c>
      <c r="F3312" s="22" t="str">
        <f>IF(OR(E3312="",E3312="!!!"),"",IF(NOT(ISNA(VLOOKUP(E3312,E$1:E3311,1,FALSE()))),"OLD",IF(AND(E3312&lt;&gt;"",E3312&lt;&gt;"!!!"),"NEW","")))</f>
        <v> </v>
      </c>
      <c r="G3312" s="23" t="str">
        <f>IF(OR(E3312="",E3312="!!!"),"",IF(OR(J3312=0,AND(J3312=1,K3312=1),AND(J3312=1,I3312="SBJ"),AND(J3312=1,I3312=0)),"?IN_FOCUS",IF(J3312&lt;=2,"?ACTIVATED",IF(J3312&lt;&gt;"","?FAMILIAR",IF(F3312="NEW",IF(ISNA(VLOOKUP(E3312,#REF!,1,FALSE())),"?TYPE_IDENTIFIABLE","?REFERENTIAL"),"_")))))</f>
        <v> </v>
      </c>
      <c r="H3312" s="24" t="str">
        <f>IF(J3312&lt;&gt;1,"",IF(I3312="SBJ","CB","?"))</f>
        <v> </v>
      </c>
      <c r="I3312" s="25" t="str">
        <f>IF(OR(E3312="",E3312="!!!",F3312="NEW"),"",INDEX(B3311:B$2,-1+SUMPRODUCT(MAX(ROW(E3311:E$2)*(E3312=E3311:E$2)))))</f>
        <v> </v>
      </c>
      <c r="J3312" s="25" t="str">
        <f>IF(OR(E3312="",E3312="!!!",F3312="NEW"),"",COUNTBLANK(OFFSET(A$1,,,SUMPRODUCT(MAX(ROW(E$2:E3312)*(E3312=E$2:E3312)))))-COUNTBLANK(OFFSET(A$1,,,SUMPRODUCT(MAX(ROW(E$1:E3311)*(E2=E$1:E3311))))))</f>
        <v> </v>
      </c>
      <c r="K3312" s="25" t="str">
        <f>IF(OR(E3312="",E3312="!!!",F3312="NEW"),"",INDEX(J$1:J3311,SUMPRODUCT(MAX(ROW(E$1:E3311)*(E3312=E$1:E3311)))))</f>
        <v> </v>
      </c>
      <c r="L3312" s="26"/>
    </row>
    <row r="3313" spans="1:12">
      <c r="A3313" s="20" t="s">
        <v>1034</v>
      </c>
      <c r="E3313" s="21">
        <f>IF(D3313="?OLD","!!!","")</f>
        <v/>
      </c>
      <c r="F3313" s="22" t="str">
        <f>IF(OR(E3313="",E3313="!!!"),"",IF(NOT(ISNA(VLOOKUP(E3313,E$1:E3312,1,FALSE()))),"OLD",IF(AND(E3313&lt;&gt;"",E3313&lt;&gt;"!!!"),"NEW","")))</f>
        <v> </v>
      </c>
      <c r="G3313" s="23" t="str">
        <f>IF(OR(E3313="",E3313="!!!"),"",IF(OR(J3313=0,AND(J3313=1,K3313=1),AND(J3313=1,I3313="SBJ"),AND(J3313=1,I3313=0)),"?IN_FOCUS",IF(J3313&lt;=2,"?ACTIVATED",IF(J3313&lt;&gt;"","?FAMILIAR",IF(F3313="NEW",IF(ISNA(VLOOKUP(E3313,#REF!,1,FALSE())),"?TYPE_IDENTIFIABLE","?REFERENTIAL"),"_")))))</f>
        <v> </v>
      </c>
      <c r="H3313" s="24" t="str">
        <f>IF(J3313&lt;&gt;1,"",IF(I3313="SBJ","CB","?"))</f>
        <v> </v>
      </c>
      <c r="I3313" s="25" t="str">
        <f>IF(OR(E3313="",E3313="!!!",F3313="NEW"),"",INDEX(B3312:B$2,-1+SUMPRODUCT(MAX(ROW(E3312:E$2)*(E3313=E3312:E$2)))))</f>
        <v> </v>
      </c>
      <c r="J3313" s="25" t="str">
        <f>IF(OR(E3313="",E3313="!!!",F3313="NEW"),"",COUNTBLANK(OFFSET(A$1,,,SUMPRODUCT(MAX(ROW(E$2:E3313)*(E3313=E$2:E3313)))))-COUNTBLANK(OFFSET(A$1,,,SUMPRODUCT(MAX(ROW(E$1:E3312)*(E2=E$1:E3312))))))</f>
        <v> </v>
      </c>
      <c r="K3313" s="25" t="str">
        <f>IF(OR(E3313="",E3313="!!!",F3313="NEW"),"",INDEX(J$1:J3312,SUMPRODUCT(MAX(ROW(E$1:E3312)*(E3313=E$1:E3312)))))</f>
        <v> </v>
      </c>
      <c r="L3313" s="26"/>
    </row>
    <row r="3314" spans="1:12">
      <c r="A3314" s="20" t="s">
        <v>2169</v>
      </c>
      <c r="E3314" s="21">
        <f>IF(D3314="?OLD","!!!","")</f>
        <v/>
      </c>
      <c r="F3314" s="22" t="str">
        <f>IF(OR(E3314="",E3314="!!!"),"",IF(NOT(ISNA(VLOOKUP(E3314,E$1:E3313,1,FALSE()))),"OLD",IF(AND(E3314&lt;&gt;"",E3314&lt;&gt;"!!!"),"NEW","")))</f>
        <v> </v>
      </c>
      <c r="G3314" s="23" t="str">
        <f>IF(OR(E3314="",E3314="!!!"),"",IF(OR(J3314=0,AND(J3314=1,K3314=1),AND(J3314=1,I3314="SBJ"),AND(J3314=1,I3314=0)),"?IN_FOCUS",IF(J3314&lt;=2,"?ACTIVATED",IF(J3314&lt;&gt;"","?FAMILIAR",IF(F3314="NEW",IF(ISNA(VLOOKUP(E3314,#REF!,1,FALSE())),"?TYPE_IDENTIFIABLE","?REFERENTIAL"),"_")))))</f>
        <v> </v>
      </c>
      <c r="H3314" s="24" t="str">
        <f>IF(J3314&lt;&gt;1,"",IF(I3314="SBJ","CB","?"))</f>
        <v> </v>
      </c>
      <c r="I3314" s="25" t="str">
        <f>IF(OR(E3314="",E3314="!!!",F3314="NEW"),"",INDEX(B3313:B$2,-1+SUMPRODUCT(MAX(ROW(E3313:E$2)*(E3314=E3313:E$2)))))</f>
        <v> </v>
      </c>
      <c r="J3314" s="25" t="str">
        <f>IF(OR(E3314="",E3314="!!!",F3314="NEW"),"",COUNTBLANK(OFFSET(A$1,,,SUMPRODUCT(MAX(ROW(E$2:E3314)*(E3314=E$2:E3314)))))-COUNTBLANK(OFFSET(A$1,,,SUMPRODUCT(MAX(ROW(E$1:E3313)*(E2=E$1:E3313))))))</f>
        <v> </v>
      </c>
      <c r="K3314" s="25" t="str">
        <f>IF(OR(E3314="",E3314="!!!",F3314="NEW"),"",INDEX(J$1:J3313,SUMPRODUCT(MAX(ROW(E$1:E3313)*(E3314=E$1:E3313)))))</f>
        <v> </v>
      </c>
      <c r="L3314" s="26"/>
    </row>
    <row r="3315" spans="1:12">
      <c r="A3315" s="20" t="s">
        <v>135</v>
      </c>
      <c r="E3315" s="21">
        <f>IF(D3315="?OLD","!!!","")</f>
        <v/>
      </c>
      <c r="F3315" s="22" t="str">
        <f>IF(OR(E3315="",E3315="!!!"),"",IF(NOT(ISNA(VLOOKUP(E3315,E$1:E3314,1,FALSE()))),"OLD",IF(AND(E3315&lt;&gt;"",E3315&lt;&gt;"!!!"),"NEW","")))</f>
        <v> </v>
      </c>
      <c r="G3315" s="23" t="str">
        <f>IF(OR(E3315="",E3315="!!!"),"",IF(OR(J3315=0,AND(J3315=1,K3315=1),AND(J3315=1,I3315="SBJ"),AND(J3315=1,I3315=0)),"?IN_FOCUS",IF(J3315&lt;=2,"?ACTIVATED",IF(J3315&lt;&gt;"","?FAMILIAR",IF(F3315="NEW",IF(ISNA(VLOOKUP(E3315,#REF!,1,FALSE())),"?TYPE_IDENTIFIABLE","?REFERENTIAL"),"_")))))</f>
        <v> </v>
      </c>
      <c r="H3315" s="24" t="str">
        <f>IF(J3315&lt;&gt;1,"",IF(I3315="SBJ","CB","?"))</f>
        <v> </v>
      </c>
      <c r="I3315" s="25" t="str">
        <f>IF(OR(E3315="",E3315="!!!",F3315="NEW"),"",INDEX(B3314:B$2,-1+SUMPRODUCT(MAX(ROW(E3314:E$2)*(E3315=E3314:E$2)))))</f>
        <v> </v>
      </c>
      <c r="J3315" s="25" t="str">
        <f>IF(OR(E3315="",E3315="!!!",F3315="NEW"),"",COUNTBLANK(OFFSET(A$1,,,SUMPRODUCT(MAX(ROW(E$2:E3315)*(E3315=E$2:E3315)))))-COUNTBLANK(OFFSET(A$1,,,SUMPRODUCT(MAX(ROW(E$1:E3314)*(E2=E$1:E3314))))))</f>
        <v> </v>
      </c>
      <c r="K3315" s="25" t="str">
        <f>IF(OR(E3315="",E3315="!!!",F3315="NEW"),"",INDEX(J$1:J3314,SUMPRODUCT(MAX(ROW(E$1:E3314)*(E3315=E$1:E3314)))))</f>
        <v> </v>
      </c>
      <c r="L3315" s="26"/>
    </row>
    <row r="3316" spans="1:12">
      <c r="A3316" s="20"/>
    </row>
    <row r="3317" spans="1:12">
      <c r="A3317" s="20" t="s">
        <v>2170</v>
      </c>
    </row>
    <row r="3318" spans="1:12">
      <c r="A3318" s="20" t="s">
        <v>1088</v>
      </c>
      <c r="E3318" s="21">
        <f>IF(D3318="?OLD","!!!","")</f>
        <v/>
      </c>
      <c r="F3318" s="22" t="str">
        <f>IF(OR(E3318="",E3318="!!!"),"",IF(NOT(ISNA(VLOOKUP(E3318,E$1:E3317,1,FALSE()))),"OLD",IF(AND(E3318&lt;&gt;"",E3318&lt;&gt;"!!!"),"NEW","")))</f>
        <v> </v>
      </c>
      <c r="G3318" s="23" t="str">
        <f>IF(OR(E3318="",E3318="!!!"),"",IF(OR(J3318=0,AND(J3318=1,K3318=1),AND(J3318=1,I3318="SBJ"),AND(J3318=1,I3318=0)),"?IN_FOCUS",IF(J3318&lt;=2,"?ACTIVATED",IF(J3318&lt;&gt;"","?FAMILIAR",IF(F3318="NEW",IF(ISNA(VLOOKUP(E3318,#REF!,1,FALSE())),"?TYPE_IDENTIFIABLE","?REFERENTIAL"),"_")))))</f>
        <v> </v>
      </c>
      <c r="H3318" s="24" t="str">
        <f>IF(J3318&lt;&gt;1,"",IF(I3318="SBJ","CB","?"))</f>
        <v> </v>
      </c>
      <c r="I3318" s="25" t="str">
        <f>IF(OR(E3318="",E3318="!!!",F3318="NEW"),"",INDEX(B3317:B$2,-1+SUMPRODUCT(MAX(ROW(E3317:E$2)*(E3318=E3317:E$2)))))</f>
        <v> </v>
      </c>
      <c r="J3318" s="25" t="str">
        <f>IF(OR(E3318="",E3318="!!!",F3318="NEW"),"",COUNTBLANK(OFFSET(A$1,,,SUMPRODUCT(MAX(ROW(E$2:E3318)*(E3318=E$2:E3318)))))-COUNTBLANK(OFFSET(A$1,,,SUMPRODUCT(MAX(ROW(E$1:E3317)*(E2=E$1:E3317))))))</f>
        <v> </v>
      </c>
      <c r="K3318" s="25" t="str">
        <f>IF(OR(E3318="",E3318="!!!",F3318="NEW"),"",INDEX(J$1:J3317,SUMPRODUCT(MAX(ROW(E$1:E3317)*(E3318=E$1:E3317)))))</f>
        <v> </v>
      </c>
      <c r="L3318" s="26"/>
    </row>
    <row r="3319" spans="1:12">
      <c r="A3319" s="20" t="s">
        <v>2150</v>
      </c>
      <c r="E3319" s="21">
        <f>IF(D3319="?OLD","!!!","")</f>
        <v/>
      </c>
      <c r="F3319" s="22" t="str">
        <f>IF(OR(E3319="",E3319="!!!"),"",IF(NOT(ISNA(VLOOKUP(E3319,E$1:E3318,1,FALSE()))),"OLD",IF(AND(E3319&lt;&gt;"",E3319&lt;&gt;"!!!"),"NEW","")))</f>
        <v> </v>
      </c>
      <c r="G3319" s="23" t="str">
        <f>IF(OR(E3319="",E3319="!!!"),"",IF(OR(J3319=0,AND(J3319=1,K3319=1),AND(J3319=1,I3319="SBJ"),AND(J3319=1,I3319=0)),"?IN_FOCUS",IF(J3319&lt;=2,"?ACTIVATED",IF(J3319&lt;&gt;"","?FAMILIAR",IF(F3319="NEW",IF(ISNA(VLOOKUP(E3319,#REF!,1,FALSE())),"?TYPE_IDENTIFIABLE","?REFERENTIAL"),"_")))))</f>
        <v> </v>
      </c>
      <c r="H3319" s="24" t="str">
        <f>IF(J3319&lt;&gt;1,"",IF(I3319="SBJ","CB","?"))</f>
        <v> </v>
      </c>
      <c r="I3319" s="25" t="str">
        <f>IF(OR(E3319="",E3319="!!!",F3319="NEW"),"",INDEX(B3318:B$2,-1+SUMPRODUCT(MAX(ROW(E3318:E$2)*(E3319=E3318:E$2)))))</f>
        <v> </v>
      </c>
      <c r="J3319" s="25" t="str">
        <f>IF(OR(E3319="",E3319="!!!",F3319="NEW"),"",COUNTBLANK(OFFSET(A$1,,,SUMPRODUCT(MAX(ROW(E$2:E3319)*(E3319=E$2:E3319)))))-COUNTBLANK(OFFSET(A$1,,,SUMPRODUCT(MAX(ROW(E$1:E3318)*(E2=E$1:E3318))))))</f>
        <v> </v>
      </c>
      <c r="K3319" s="25" t="str">
        <f>IF(OR(E3319="",E3319="!!!",F3319="NEW"),"",INDEX(J$1:J3318,SUMPRODUCT(MAX(ROW(E$1:E3318)*(E3319=E$1:E3318)))))</f>
        <v> </v>
      </c>
      <c r="L3319" s="26"/>
    </row>
    <row r="3320" spans="1:12">
      <c r="A3320" s="20" t="s">
        <v>1094</v>
      </c>
      <c r="E3320" s="21">
        <f>IF(D3320="?OLD","!!!","")</f>
        <v/>
      </c>
      <c r="F3320" s="22" t="str">
        <f>IF(OR(E3320="",E3320="!!!"),"",IF(NOT(ISNA(VLOOKUP(E3320,E$1:E3319,1,FALSE()))),"OLD",IF(AND(E3320&lt;&gt;"",E3320&lt;&gt;"!!!"),"NEW","")))</f>
        <v> </v>
      </c>
      <c r="G3320" s="23" t="str">
        <f>IF(OR(E3320="",E3320="!!!"),"",IF(OR(J3320=0,AND(J3320=1,K3320=1),AND(J3320=1,I3320="SBJ"),AND(J3320=1,I3320=0)),"?IN_FOCUS",IF(J3320&lt;=2,"?ACTIVATED",IF(J3320&lt;&gt;"","?FAMILIAR",IF(F3320="NEW",IF(ISNA(VLOOKUP(E3320,#REF!,1,FALSE())),"?TYPE_IDENTIFIABLE","?REFERENTIAL"),"_")))))</f>
        <v> </v>
      </c>
      <c r="H3320" s="24" t="str">
        <f>IF(J3320&lt;&gt;1,"",IF(I3320="SBJ","CB","?"))</f>
        <v> </v>
      </c>
      <c r="I3320" s="25" t="str">
        <f>IF(OR(E3320="",E3320="!!!",F3320="NEW"),"",INDEX(B3319:B$2,-1+SUMPRODUCT(MAX(ROW(E3319:E$2)*(E3320=E3319:E$2)))))</f>
        <v> </v>
      </c>
      <c r="J3320" s="25" t="str">
        <f>IF(OR(E3320="",E3320="!!!",F3320="NEW"),"",COUNTBLANK(OFFSET(A$1,,,SUMPRODUCT(MAX(ROW(E$2:E3320)*(E3320=E$2:E3320)))))-COUNTBLANK(OFFSET(A$1,,,SUMPRODUCT(MAX(ROW(E$1:E3319)*(E2=E$1:E3319))))))</f>
        <v> </v>
      </c>
      <c r="K3320" s="25" t="str">
        <f>IF(OR(E3320="",E3320="!!!",F3320="NEW"),"",INDEX(J$1:J3319,SUMPRODUCT(MAX(ROW(E$1:E3319)*(E3320=E$1:E3319)))))</f>
        <v> </v>
      </c>
      <c r="L3320" s="26"/>
    </row>
    <row r="3321" spans="1:12">
      <c r="A3321" s="20" t="s">
        <v>1096</v>
      </c>
      <c r="E3321" s="21">
        <f>IF(D3321="?OLD","!!!","")</f>
        <v/>
      </c>
      <c r="F3321" s="22" t="str">
        <f>IF(OR(E3321="",E3321="!!!"),"",IF(NOT(ISNA(VLOOKUP(E3321,E$1:E3320,1,FALSE()))),"OLD",IF(AND(E3321&lt;&gt;"",E3321&lt;&gt;"!!!"),"NEW","")))</f>
        <v> </v>
      </c>
      <c r="G3321" s="23" t="str">
        <f>IF(OR(E3321="",E3321="!!!"),"",IF(OR(J3321=0,AND(J3321=1,K3321=1),AND(J3321=1,I3321="SBJ"),AND(J3321=1,I3321=0)),"?IN_FOCUS",IF(J3321&lt;=2,"?ACTIVATED",IF(J3321&lt;&gt;"","?FAMILIAR",IF(F3321="NEW",IF(ISNA(VLOOKUP(E3321,#REF!,1,FALSE())),"?TYPE_IDENTIFIABLE","?REFERENTIAL"),"_")))))</f>
        <v> </v>
      </c>
      <c r="H3321" s="24" t="str">
        <f>IF(J3321&lt;&gt;1,"",IF(I3321="SBJ","CB","?"))</f>
        <v> </v>
      </c>
      <c r="I3321" s="25" t="str">
        <f>IF(OR(E3321="",E3321="!!!",F3321="NEW"),"",INDEX(B3320:B$2,-1+SUMPRODUCT(MAX(ROW(E3320:E$2)*(E3321=E3320:E$2)))))</f>
        <v> </v>
      </c>
      <c r="J3321" s="25" t="str">
        <f>IF(OR(E3321="",E3321="!!!",F3321="NEW"),"",COUNTBLANK(OFFSET(A$1,,,SUMPRODUCT(MAX(ROW(E$2:E3321)*(E3321=E$2:E3321)))))-COUNTBLANK(OFFSET(A$1,,,SUMPRODUCT(MAX(ROW(E$1:E3320)*(E2=E$1:E3320))))))</f>
        <v> </v>
      </c>
      <c r="K3321" s="25" t="str">
        <f>IF(OR(E3321="",E3321="!!!",F3321="NEW"),"",INDEX(J$1:J3320,SUMPRODUCT(MAX(ROW(E$1:E3320)*(E3321=E$1:E3320)))))</f>
        <v> </v>
      </c>
      <c r="L3321" s="26"/>
    </row>
    <row r="3322" spans="1:12">
      <c r="A3322" s="20" t="s">
        <v>2171</v>
      </c>
      <c r="B3322" s="27" t="s">
        <v>1098</v>
      </c>
      <c r="C3322" s="27" t="s">
        <v>1038</v>
      </c>
      <c r="D3322" s="27" t="s">
        <v>1030</v>
      </c>
      <c r="E3322" s="21">
        <f>IF(D3322="?OLD","!!!","")</f>
        <v/>
      </c>
      <c r="F3322" s="22" t="str">
        <f>IF(OR(E3322="",E3322="!!!"),"",IF(NOT(ISNA(VLOOKUP(E3322,E$1:E3321,1,FALSE()))),"OLD",IF(AND(E3322&lt;&gt;"",E3322&lt;&gt;"!!!"),"NEW","")))</f>
        <v> </v>
      </c>
      <c r="G3322" s="23" t="str">
        <f>IF(OR(E3322="",E3322="!!!"),"",IF(OR(J3322=0,AND(J3322=1,K3322=1),AND(J3322=1,I3322="SBJ"),AND(J3322=1,I3322=0)),"?IN_FOCUS",IF(J3322&lt;=2,"?ACTIVATED",IF(J3322&lt;&gt;"","?FAMILIAR",IF(F3322="NEW",IF(ISNA(VLOOKUP(E3322,#REF!,1,FALSE())),"?TYPE_IDENTIFIABLE","?REFERENTIAL"),"_")))))</f>
        <v> </v>
      </c>
      <c r="H3322" s="24" t="str">
        <f>IF(J3322&lt;&gt;1,"",IF(I3322="SBJ","CB","?"))</f>
        <v> </v>
      </c>
      <c r="I3322" s="25" t="str">
        <f>IF(OR(E3322="",E3322="!!!",F3322="NEW"),"",INDEX(B3321:B$2,-1+SUMPRODUCT(MAX(ROW(E3321:E$2)*(E3322=E3321:E$2)))))</f>
        <v> </v>
      </c>
      <c r="J3322" s="25" t="str">
        <f>IF(OR(E3322="",E3322="!!!",F3322="NEW"),"",COUNTBLANK(OFFSET(A$1,,,SUMPRODUCT(MAX(ROW(E$2:E3322)*(E3322=E$2:E3322)))))-COUNTBLANK(OFFSET(A$1,,,SUMPRODUCT(MAX(ROW(E$1:E3321)*(E2=E$1:E3321))))))</f>
        <v> </v>
      </c>
      <c r="K3322" s="25" t="str">
        <f>IF(OR(E3322="",E3322="!!!",F3322="NEW"),"",INDEX(J$1:J3321,SUMPRODUCT(MAX(ROW(E$1:E3321)*(E3322=E$1:E3321)))))</f>
        <v> </v>
      </c>
      <c r="L3322" s="26"/>
    </row>
    <row r="3323" spans="1:12">
      <c r="A3323" s="20" t="s">
        <v>2172</v>
      </c>
      <c r="E3323" s="21">
        <f>IF(D3323="?OLD","!!!","")</f>
        <v/>
      </c>
      <c r="F3323" s="22" t="str">
        <f>IF(OR(E3323="",E3323="!!!"),"",IF(NOT(ISNA(VLOOKUP(E3323,E$1:E3322,1,FALSE()))),"OLD",IF(AND(E3323&lt;&gt;"",E3323&lt;&gt;"!!!"),"NEW","")))</f>
        <v> </v>
      </c>
      <c r="G3323" s="23" t="str">
        <f>IF(OR(E3323="",E3323="!!!"),"",IF(OR(J3323=0,AND(J3323=1,K3323=1),AND(J3323=1,I3323="SBJ"),AND(J3323=1,I3323=0)),"?IN_FOCUS",IF(J3323&lt;=2,"?ACTIVATED",IF(J3323&lt;&gt;"","?FAMILIAR",IF(F3323="NEW",IF(ISNA(VLOOKUP(E3323,#REF!,1,FALSE())),"?TYPE_IDENTIFIABLE","?REFERENTIAL"),"_")))))</f>
        <v> </v>
      </c>
      <c r="H3323" s="24" t="str">
        <f>IF(J3323&lt;&gt;1,"",IF(I3323="SBJ","CB","?"))</f>
        <v> </v>
      </c>
      <c r="I3323" s="25" t="str">
        <f>IF(OR(E3323="",E3323="!!!",F3323="NEW"),"",INDEX(B3322:B$2,-1+SUMPRODUCT(MAX(ROW(E3322:E$2)*(E3323=E3322:E$2)))))</f>
        <v> </v>
      </c>
      <c r="J3323" s="25" t="str">
        <f>IF(OR(E3323="",E3323="!!!",F3323="NEW"),"",COUNTBLANK(OFFSET(A$1,,,SUMPRODUCT(MAX(ROW(E$2:E3323)*(E3323=E$2:E3323)))))-COUNTBLANK(OFFSET(A$1,,,SUMPRODUCT(MAX(ROW(E$1:E3322)*(E2=E$1:E3322))))))</f>
        <v> </v>
      </c>
      <c r="K3323" s="25" t="str">
        <f>IF(OR(E3323="",E3323="!!!",F3323="NEW"),"",INDEX(J$1:J3322,SUMPRODUCT(MAX(ROW(E$1:E3322)*(E3323=E$1:E3322)))))</f>
        <v> </v>
      </c>
      <c r="L3323" s="26"/>
    </row>
    <row r="3324" spans="1:12">
      <c r="A3324" s="20" t="s">
        <v>1016</v>
      </c>
      <c r="E3324" s="21">
        <f>IF(D3324="?OLD","!!!","")</f>
        <v/>
      </c>
      <c r="F3324" s="22" t="str">
        <f>IF(OR(E3324="",E3324="!!!"),"",IF(NOT(ISNA(VLOOKUP(E3324,E$1:E3323,1,FALSE()))),"OLD",IF(AND(E3324&lt;&gt;"",E3324&lt;&gt;"!!!"),"NEW","")))</f>
        <v> </v>
      </c>
      <c r="G3324" s="23" t="str">
        <f>IF(OR(E3324="",E3324="!!!"),"",IF(OR(J3324=0,AND(J3324=1,K3324=1),AND(J3324=1,I3324="SBJ"),AND(J3324=1,I3324=0)),"?IN_FOCUS",IF(J3324&lt;=2,"?ACTIVATED",IF(J3324&lt;&gt;"","?FAMILIAR",IF(F3324="NEW",IF(ISNA(VLOOKUP(E3324,#REF!,1,FALSE())),"?TYPE_IDENTIFIABLE","?REFERENTIAL"),"_")))))</f>
        <v> </v>
      </c>
      <c r="H3324" s="24" t="str">
        <f>IF(J3324&lt;&gt;1,"",IF(I3324="SBJ","CB","?"))</f>
        <v> </v>
      </c>
      <c r="I3324" s="25" t="str">
        <f>IF(OR(E3324="",E3324="!!!",F3324="NEW"),"",INDEX(B3323:B$2,-1+SUMPRODUCT(MAX(ROW(E3323:E$2)*(E3324=E3323:E$2)))))</f>
        <v> </v>
      </c>
      <c r="J3324" s="25" t="str">
        <f>IF(OR(E3324="",E3324="!!!",F3324="NEW"),"",COUNTBLANK(OFFSET(A$1,,,SUMPRODUCT(MAX(ROW(E$2:E3324)*(E3324=E$2:E3324)))))-COUNTBLANK(OFFSET(A$1,,,SUMPRODUCT(MAX(ROW(E$1:E3323)*(E2=E$1:E3323))))))</f>
        <v> </v>
      </c>
      <c r="K3324" s="25" t="str">
        <f>IF(OR(E3324="",E3324="!!!",F3324="NEW"),"",INDEX(J$1:J3323,SUMPRODUCT(MAX(ROW(E$1:E3323)*(E3324=E$1:E3323)))))</f>
        <v> </v>
      </c>
      <c r="L3324" s="26"/>
    </row>
    <row r="3325" spans="1:12">
      <c r="A3325" s="20" t="s">
        <v>1075</v>
      </c>
      <c r="E3325" s="21">
        <f>IF(D3325="?OLD","!!!","")</f>
        <v/>
      </c>
      <c r="F3325" s="22" t="str">
        <f>IF(OR(E3325="",E3325="!!!"),"",IF(NOT(ISNA(VLOOKUP(E3325,E$1:E3324,1,FALSE()))),"OLD",IF(AND(E3325&lt;&gt;"",E3325&lt;&gt;"!!!"),"NEW","")))</f>
        <v> </v>
      </c>
      <c r="G3325" s="23" t="str">
        <f>IF(OR(E3325="",E3325="!!!"),"",IF(OR(J3325=0,AND(J3325=1,K3325=1),AND(J3325=1,I3325="SBJ"),AND(J3325=1,I3325=0)),"?IN_FOCUS",IF(J3325&lt;=2,"?ACTIVATED",IF(J3325&lt;&gt;"","?FAMILIAR",IF(F3325="NEW",IF(ISNA(VLOOKUP(E3325,#REF!,1,FALSE())),"?TYPE_IDENTIFIABLE","?REFERENTIAL"),"_")))))</f>
        <v> </v>
      </c>
      <c r="H3325" s="24" t="str">
        <f>IF(J3325&lt;&gt;1,"",IF(I3325="SBJ","CB","?"))</f>
        <v> </v>
      </c>
      <c r="I3325" s="25" t="str">
        <f>IF(OR(E3325="",E3325="!!!",F3325="NEW"),"",INDEX(B3324:B$2,-1+SUMPRODUCT(MAX(ROW(E3324:E$2)*(E3325=E3324:E$2)))))</f>
        <v> </v>
      </c>
      <c r="J3325" s="25" t="str">
        <f>IF(OR(E3325="",E3325="!!!",F3325="NEW"),"",COUNTBLANK(OFFSET(A$1,,,SUMPRODUCT(MAX(ROW(E$2:E3325)*(E3325=E$2:E3325)))))-COUNTBLANK(OFFSET(A$1,,,SUMPRODUCT(MAX(ROW(E$1:E3324)*(E2=E$1:E3324))))))</f>
        <v> </v>
      </c>
      <c r="K3325" s="25" t="str">
        <f>IF(OR(E3325="",E3325="!!!",F3325="NEW"),"",INDEX(J$1:J3324,SUMPRODUCT(MAX(ROW(E$1:E3324)*(E3325=E$1:E3324)))))</f>
        <v> </v>
      </c>
      <c r="L3325" s="26"/>
    </row>
    <row r="3326" spans="1:12">
      <c r="A3326" s="20" t="s">
        <v>2173</v>
      </c>
      <c r="B3326" s="27" t="s">
        <v>1079</v>
      </c>
      <c r="C3326" s="27" t="s">
        <v>1029</v>
      </c>
      <c r="D3326" s="27" t="s">
        <v>1030</v>
      </c>
      <c r="E3326" s="21">
        <f>IF(D3326="?OLD","!!!","")</f>
        <v/>
      </c>
      <c r="F3326" s="22" t="str">
        <f>IF(OR(E3326="",E3326="!!!"),"",IF(NOT(ISNA(VLOOKUP(E3326,E$1:E3325,1,FALSE()))),"OLD",IF(AND(E3326&lt;&gt;"",E3326&lt;&gt;"!!!"),"NEW","")))</f>
        <v> </v>
      </c>
      <c r="G3326" s="23" t="str">
        <f>IF(OR(E3326="",E3326="!!!"),"",IF(OR(J3326=0,AND(J3326=1,K3326=1),AND(J3326=1,I3326="SBJ"),AND(J3326=1,I3326=0)),"?IN_FOCUS",IF(J3326&lt;=2,"?ACTIVATED",IF(J3326&lt;&gt;"","?FAMILIAR",IF(F3326="NEW",IF(ISNA(VLOOKUP(E3326,#REF!,1,FALSE())),"?TYPE_IDENTIFIABLE","?REFERENTIAL"),"_")))))</f>
        <v> </v>
      </c>
      <c r="H3326" s="24" t="str">
        <f>IF(J3326&lt;&gt;1,"",IF(I3326="SBJ","CB","?"))</f>
        <v> </v>
      </c>
      <c r="I3326" s="25" t="str">
        <f>IF(OR(E3326="",E3326="!!!",F3326="NEW"),"",INDEX(B3325:B$2,-1+SUMPRODUCT(MAX(ROW(E3325:E$2)*(E3326=E3325:E$2)))))</f>
        <v> </v>
      </c>
      <c r="J3326" s="25" t="str">
        <f>IF(OR(E3326="",E3326="!!!",F3326="NEW"),"",COUNTBLANK(OFFSET(A$1,,,SUMPRODUCT(MAX(ROW(E$2:E3326)*(E3326=E$2:E3326)))))-COUNTBLANK(OFFSET(A$1,,,SUMPRODUCT(MAX(ROW(E$1:E3325)*(E2=E$1:E3325))))))</f>
        <v> </v>
      </c>
      <c r="K3326" s="25" t="str">
        <f>IF(OR(E3326="",E3326="!!!",F3326="NEW"),"",INDEX(J$1:J3325,SUMPRODUCT(MAX(ROW(E$1:E3325)*(E3326=E$1:E3325)))))</f>
        <v> </v>
      </c>
      <c r="L3326" s="26"/>
    </row>
    <row r="3327" spans="1:12">
      <c r="A3327" s="20" t="s">
        <v>1131</v>
      </c>
      <c r="E3327" s="21">
        <f>IF(D3327="?OLD","!!!","")</f>
        <v/>
      </c>
      <c r="F3327" s="22" t="str">
        <f>IF(OR(E3327="",E3327="!!!"),"",IF(NOT(ISNA(VLOOKUP(E3327,E$1:E3326,1,FALSE()))),"OLD",IF(AND(E3327&lt;&gt;"",E3327&lt;&gt;"!!!"),"NEW","")))</f>
        <v> </v>
      </c>
      <c r="G3327" s="23" t="str">
        <f>IF(OR(E3327="",E3327="!!!"),"",IF(OR(J3327=0,AND(J3327=1,K3327=1),AND(J3327=1,I3327="SBJ"),AND(J3327=1,I3327=0)),"?IN_FOCUS",IF(J3327&lt;=2,"?ACTIVATED",IF(J3327&lt;&gt;"","?FAMILIAR",IF(F3327="NEW",IF(ISNA(VLOOKUP(E3327,#REF!,1,FALSE())),"?TYPE_IDENTIFIABLE","?REFERENTIAL"),"_")))))</f>
        <v> </v>
      </c>
      <c r="H3327" s="24" t="str">
        <f>IF(J3327&lt;&gt;1,"",IF(I3327="SBJ","CB","?"))</f>
        <v> </v>
      </c>
      <c r="I3327" s="25" t="str">
        <f>IF(OR(E3327="",E3327="!!!",F3327="NEW"),"",INDEX(B3326:B$2,-1+SUMPRODUCT(MAX(ROW(E3326:E$2)*(E3327=E3326:E$2)))))</f>
        <v> </v>
      </c>
      <c r="J3327" s="25" t="str">
        <f>IF(OR(E3327="",E3327="!!!",F3327="NEW"),"",COUNTBLANK(OFFSET(A$1,,,SUMPRODUCT(MAX(ROW(E$2:E3327)*(E3327=E$2:E3327)))))-COUNTBLANK(OFFSET(A$1,,,SUMPRODUCT(MAX(ROW(E$1:E3326)*(E2=E$1:E3326))))))</f>
        <v> </v>
      </c>
      <c r="K3327" s="25" t="str">
        <f>IF(OR(E3327="",E3327="!!!",F3327="NEW"),"",INDEX(J$1:J3326,SUMPRODUCT(MAX(ROW(E$1:E3326)*(E3327=E$1:E3326)))))</f>
        <v> </v>
      </c>
      <c r="L3327" s="26"/>
    </row>
    <row r="3328" spans="1:12">
      <c r="A3328" s="20" t="s">
        <v>1111</v>
      </c>
      <c r="E3328" s="21">
        <f>IF(D3328="?OLD","!!!","")</f>
        <v/>
      </c>
      <c r="F3328" s="22" t="str">
        <f>IF(OR(E3328="",E3328="!!!"),"",IF(NOT(ISNA(VLOOKUP(E3328,E$1:E3327,1,FALSE()))),"OLD",IF(AND(E3328&lt;&gt;"",E3328&lt;&gt;"!!!"),"NEW","")))</f>
        <v> </v>
      </c>
      <c r="G3328" s="23" t="str">
        <f>IF(OR(E3328="",E3328="!!!"),"",IF(OR(J3328=0,AND(J3328=1,K3328=1),AND(J3328=1,I3328="SBJ"),AND(J3328=1,I3328=0)),"?IN_FOCUS",IF(J3328&lt;=2,"?ACTIVATED",IF(J3328&lt;&gt;"","?FAMILIAR",IF(F3328="NEW",IF(ISNA(VLOOKUP(E3328,#REF!,1,FALSE())),"?TYPE_IDENTIFIABLE","?REFERENTIAL"),"_")))))</f>
        <v> </v>
      </c>
      <c r="H3328" s="24" t="str">
        <f>IF(J3328&lt;&gt;1,"",IF(I3328="SBJ","CB","?"))</f>
        <v> </v>
      </c>
      <c r="I3328" s="25" t="str">
        <f>IF(OR(E3328="",E3328="!!!",F3328="NEW"),"",INDEX(B3327:B$2,-1+SUMPRODUCT(MAX(ROW(E3327:E$2)*(E3328=E3327:E$2)))))</f>
        <v> </v>
      </c>
      <c r="J3328" s="25" t="str">
        <f>IF(OR(E3328="",E3328="!!!",F3328="NEW"),"",COUNTBLANK(OFFSET(A$1,,,SUMPRODUCT(MAX(ROW(E$2:E3328)*(E3328=E$2:E3328)))))-COUNTBLANK(OFFSET(A$1,,,SUMPRODUCT(MAX(ROW(E$1:E3327)*(E2=E$1:E3327))))))</f>
        <v> </v>
      </c>
      <c r="K3328" s="25" t="str">
        <f>IF(OR(E3328="",E3328="!!!",F3328="NEW"),"",INDEX(J$1:J3327,SUMPRODUCT(MAX(ROW(E$1:E3327)*(E3328=E$1:E3327)))))</f>
        <v> </v>
      </c>
      <c r="L3328" s="26"/>
    </row>
    <row r="3329" spans="1:12">
      <c r="A3329" s="20" t="s">
        <v>1788</v>
      </c>
      <c r="B3329" s="27" t="s">
        <v>1066</v>
      </c>
      <c r="C3329" s="27" t="s">
        <v>1038</v>
      </c>
      <c r="D3329" s="27" t="s">
        <v>1030</v>
      </c>
      <c r="E3329" s="21">
        <f>IF(D3329="?OLD","!!!","")</f>
        <v/>
      </c>
      <c r="F3329" s="22" t="str">
        <f>IF(OR(E3329="",E3329="!!!"),"",IF(NOT(ISNA(VLOOKUP(E3329,E$1:E3328,1,FALSE()))),"OLD",IF(AND(E3329&lt;&gt;"",E3329&lt;&gt;"!!!"),"NEW","")))</f>
        <v> </v>
      </c>
      <c r="G3329" s="23" t="str">
        <f>IF(OR(E3329="",E3329="!!!"),"",IF(OR(J3329=0,AND(J3329=1,K3329=1),AND(J3329=1,I3329="SBJ"),AND(J3329=1,I3329=0)),"?IN_FOCUS",IF(J3329&lt;=2,"?ACTIVATED",IF(J3329&lt;&gt;"","?FAMILIAR",IF(F3329="NEW",IF(ISNA(VLOOKUP(E3329,#REF!,1,FALSE())),"?TYPE_IDENTIFIABLE","?REFERENTIAL"),"_")))))</f>
        <v> </v>
      </c>
      <c r="H3329" s="24" t="str">
        <f>IF(J3329&lt;&gt;1,"",IF(I3329="SBJ","CB","?"))</f>
        <v> </v>
      </c>
      <c r="I3329" s="25" t="str">
        <f>IF(OR(E3329="",E3329="!!!",F3329="NEW"),"",INDEX(B3328:B$2,-1+SUMPRODUCT(MAX(ROW(E3328:E$2)*(E3329=E3328:E$2)))))</f>
        <v> </v>
      </c>
      <c r="J3329" s="25" t="str">
        <f>IF(OR(E3329="",E3329="!!!",F3329="NEW"),"",COUNTBLANK(OFFSET(A$1,,,SUMPRODUCT(MAX(ROW(E$2:E3329)*(E3329=E$2:E3329)))))-COUNTBLANK(OFFSET(A$1,,,SUMPRODUCT(MAX(ROW(E$1:E3328)*(E2=E$1:E3328))))))</f>
        <v> </v>
      </c>
      <c r="K3329" s="25" t="str">
        <f>IF(OR(E3329="",E3329="!!!",F3329="NEW"),"",INDEX(J$1:J3328,SUMPRODUCT(MAX(ROW(E$1:E3328)*(E3329=E$1:E3328)))))</f>
        <v> </v>
      </c>
      <c r="L3329" s="26"/>
    </row>
    <row r="3330" spans="1:12">
      <c r="A3330" s="20" t="s">
        <v>135</v>
      </c>
      <c r="E3330" s="21">
        <f>IF(D3330="?OLD","!!!","")</f>
        <v/>
      </c>
      <c r="F3330" s="22" t="str">
        <f>IF(OR(E3330="",E3330="!!!"),"",IF(NOT(ISNA(VLOOKUP(E3330,E$1:E3329,1,FALSE()))),"OLD",IF(AND(E3330&lt;&gt;"",E3330&lt;&gt;"!!!"),"NEW","")))</f>
        <v> </v>
      </c>
      <c r="G3330" s="23" t="str">
        <f>IF(OR(E3330="",E3330="!!!"),"",IF(OR(J3330=0,AND(J3330=1,K3330=1),AND(J3330=1,I3330="SBJ"),AND(J3330=1,I3330=0)),"?IN_FOCUS",IF(J3330&lt;=2,"?ACTIVATED",IF(J3330&lt;&gt;"","?FAMILIAR",IF(F3330="NEW",IF(ISNA(VLOOKUP(E3330,#REF!,1,FALSE())),"?TYPE_IDENTIFIABLE","?REFERENTIAL"),"_")))))</f>
        <v> </v>
      </c>
      <c r="H3330" s="24" t="str">
        <f>IF(J3330&lt;&gt;1,"",IF(I3330="SBJ","CB","?"))</f>
        <v> </v>
      </c>
      <c r="I3330" s="25" t="str">
        <f>IF(OR(E3330="",E3330="!!!",F3330="NEW"),"",INDEX(B3329:B$2,-1+SUMPRODUCT(MAX(ROW(E3329:E$2)*(E3330=E3329:E$2)))))</f>
        <v> </v>
      </c>
      <c r="J3330" s="25" t="str">
        <f>IF(OR(E3330="",E3330="!!!",F3330="NEW"),"",COUNTBLANK(OFFSET(A$1,,,SUMPRODUCT(MAX(ROW(E$2:E3330)*(E3330=E$2:E3330)))))-COUNTBLANK(OFFSET(A$1,,,SUMPRODUCT(MAX(ROW(E$1:E3329)*(E2=E$1:E3329))))))</f>
        <v> </v>
      </c>
      <c r="K3330" s="25" t="str">
        <f>IF(OR(E3330="",E3330="!!!",F3330="NEW"),"",INDEX(J$1:J3329,SUMPRODUCT(MAX(ROW(E$1:E3329)*(E3330=E$1:E3329)))))</f>
        <v> </v>
      </c>
      <c r="L3330" s="26"/>
    </row>
    <row r="3331" spans="1:12">
      <c r="A3331" s="20"/>
    </row>
    <row r="3332" spans="1:12">
      <c r="A3332" s="20" t="s">
        <v>2174</v>
      </c>
    </row>
    <row r="3333" spans="1:12">
      <c r="A3333" s="20" t="s">
        <v>1088</v>
      </c>
      <c r="E3333" s="21">
        <f>IF(D3333="?OLD","!!!","")</f>
        <v/>
      </c>
      <c r="F3333" s="22" t="str">
        <f>IF(OR(E3333="",E3333="!!!"),"",IF(NOT(ISNA(VLOOKUP(E3333,E$1:E3332,1,FALSE()))),"OLD",IF(AND(E3333&lt;&gt;"",E3333&lt;&gt;"!!!"),"NEW","")))</f>
        <v> </v>
      </c>
      <c r="G3333" s="23" t="str">
        <f>IF(OR(E3333="",E3333="!!!"),"",IF(OR(J3333=0,AND(J3333=1,K3333=1),AND(J3333=1,I3333="SBJ"),AND(J3333=1,I3333=0)),"?IN_FOCUS",IF(J3333&lt;=2,"?ACTIVATED",IF(J3333&lt;&gt;"","?FAMILIAR",IF(F3333="NEW",IF(ISNA(VLOOKUP(E3333,#REF!,1,FALSE())),"?TYPE_IDENTIFIABLE","?REFERENTIAL"),"_")))))</f>
        <v> </v>
      </c>
      <c r="H3333" s="24" t="str">
        <f>IF(J3333&lt;&gt;1,"",IF(I3333="SBJ","CB","?"))</f>
        <v> </v>
      </c>
      <c r="I3333" s="25" t="str">
        <f>IF(OR(E3333="",E3333="!!!",F3333="NEW"),"",INDEX(B3332:B$2,-1+SUMPRODUCT(MAX(ROW(E3332:E$2)*(E3333=E3332:E$2)))))</f>
        <v> </v>
      </c>
      <c r="J3333" s="25" t="str">
        <f>IF(OR(E3333="",E3333="!!!",F3333="NEW"),"",COUNTBLANK(OFFSET(A$1,,,SUMPRODUCT(MAX(ROW(E$2:E3333)*(E3333=E$2:E3333)))))-COUNTBLANK(OFFSET(A$1,,,SUMPRODUCT(MAX(ROW(E$1:E3332)*(E2=E$1:E3332))))))</f>
        <v> </v>
      </c>
      <c r="K3333" s="25" t="str">
        <f>IF(OR(E3333="",E3333="!!!",F3333="NEW"),"",INDEX(J$1:J3332,SUMPRODUCT(MAX(ROW(E$1:E3332)*(E3333=E$1:E3332)))))</f>
        <v> </v>
      </c>
      <c r="L3333" s="26"/>
    </row>
    <row r="3334" spans="1:12">
      <c r="A3334" s="20" t="s">
        <v>2150</v>
      </c>
      <c r="E3334" s="21">
        <f>IF(D3334="?OLD","!!!","")</f>
        <v/>
      </c>
      <c r="F3334" s="22" t="str">
        <f>IF(OR(E3334="",E3334="!!!"),"",IF(NOT(ISNA(VLOOKUP(E3334,E$1:E3333,1,FALSE()))),"OLD",IF(AND(E3334&lt;&gt;"",E3334&lt;&gt;"!!!"),"NEW","")))</f>
        <v> </v>
      </c>
      <c r="G3334" s="23" t="str">
        <f>IF(OR(E3334="",E3334="!!!"),"",IF(OR(J3334=0,AND(J3334=1,K3334=1),AND(J3334=1,I3334="SBJ"),AND(J3334=1,I3334=0)),"?IN_FOCUS",IF(J3334&lt;=2,"?ACTIVATED",IF(J3334&lt;&gt;"","?FAMILIAR",IF(F3334="NEW",IF(ISNA(VLOOKUP(E3334,#REF!,1,FALSE())),"?TYPE_IDENTIFIABLE","?REFERENTIAL"),"_")))))</f>
        <v> </v>
      </c>
      <c r="H3334" s="24" t="str">
        <f>IF(J3334&lt;&gt;1,"",IF(I3334="SBJ","CB","?"))</f>
        <v> </v>
      </c>
      <c r="I3334" s="25" t="str">
        <f>IF(OR(E3334="",E3334="!!!",F3334="NEW"),"",INDEX(B3333:B$2,-1+SUMPRODUCT(MAX(ROW(E3333:E$2)*(E3334=E3333:E$2)))))</f>
        <v> </v>
      </c>
      <c r="J3334" s="25" t="str">
        <f>IF(OR(E3334="",E3334="!!!",F3334="NEW"),"",COUNTBLANK(OFFSET(A$1,,,SUMPRODUCT(MAX(ROW(E$2:E3334)*(E3334=E$2:E3334)))))-COUNTBLANK(OFFSET(A$1,,,SUMPRODUCT(MAX(ROW(E$1:E3333)*(E2=E$1:E3333))))))</f>
        <v> </v>
      </c>
      <c r="K3334" s="25" t="str">
        <f>IF(OR(E3334="",E3334="!!!",F3334="NEW"),"",INDEX(J$1:J3333,SUMPRODUCT(MAX(ROW(E$1:E3333)*(E3334=E$1:E3333)))))</f>
        <v> </v>
      </c>
      <c r="L3334" s="26"/>
    </row>
    <row r="3335" spans="1:12">
      <c r="A3335" s="20" t="s">
        <v>1094</v>
      </c>
      <c r="E3335" s="21">
        <f>IF(D3335="?OLD","!!!","")</f>
        <v/>
      </c>
      <c r="F3335" s="22" t="str">
        <f>IF(OR(E3335="",E3335="!!!"),"",IF(NOT(ISNA(VLOOKUP(E3335,E$1:E3334,1,FALSE()))),"OLD",IF(AND(E3335&lt;&gt;"",E3335&lt;&gt;"!!!"),"NEW","")))</f>
        <v> </v>
      </c>
      <c r="G3335" s="23" t="str">
        <f>IF(OR(E3335="",E3335="!!!"),"",IF(OR(J3335=0,AND(J3335=1,K3335=1),AND(J3335=1,I3335="SBJ"),AND(J3335=1,I3335=0)),"?IN_FOCUS",IF(J3335&lt;=2,"?ACTIVATED",IF(J3335&lt;&gt;"","?FAMILIAR",IF(F3335="NEW",IF(ISNA(VLOOKUP(E3335,#REF!,1,FALSE())),"?TYPE_IDENTIFIABLE","?REFERENTIAL"),"_")))))</f>
        <v> </v>
      </c>
      <c r="H3335" s="24" t="str">
        <f>IF(J3335&lt;&gt;1,"",IF(I3335="SBJ","CB","?"))</f>
        <v> </v>
      </c>
      <c r="I3335" s="25" t="str">
        <f>IF(OR(E3335="",E3335="!!!",F3335="NEW"),"",INDEX(B3334:B$2,-1+SUMPRODUCT(MAX(ROW(E3334:E$2)*(E3335=E3334:E$2)))))</f>
        <v> </v>
      </c>
      <c r="J3335" s="25" t="str">
        <f>IF(OR(E3335="",E3335="!!!",F3335="NEW"),"",COUNTBLANK(OFFSET(A$1,,,SUMPRODUCT(MAX(ROW(E$2:E3335)*(E3335=E$2:E3335)))))-COUNTBLANK(OFFSET(A$1,,,SUMPRODUCT(MAX(ROW(E$1:E3334)*(E2=E$1:E3334))))))</f>
        <v> </v>
      </c>
      <c r="K3335" s="25" t="str">
        <f>IF(OR(E3335="",E3335="!!!",F3335="NEW"),"",INDEX(J$1:J3334,SUMPRODUCT(MAX(ROW(E$1:E3334)*(E3335=E$1:E3334)))))</f>
        <v> </v>
      </c>
      <c r="L3335" s="26"/>
    </row>
    <row r="3336" spans="1:12">
      <c r="A3336" s="20" t="s">
        <v>1096</v>
      </c>
      <c r="E3336" s="21">
        <f>IF(D3336="?OLD","!!!","")</f>
        <v/>
      </c>
      <c r="F3336" s="22" t="str">
        <f>IF(OR(E3336="",E3336="!!!"),"",IF(NOT(ISNA(VLOOKUP(E3336,E$1:E3335,1,FALSE()))),"OLD",IF(AND(E3336&lt;&gt;"",E3336&lt;&gt;"!!!"),"NEW","")))</f>
        <v> </v>
      </c>
      <c r="G3336" s="23" t="str">
        <f>IF(OR(E3336="",E3336="!!!"),"",IF(OR(J3336=0,AND(J3336=1,K3336=1),AND(J3336=1,I3336="SBJ"),AND(J3336=1,I3336=0)),"?IN_FOCUS",IF(J3336&lt;=2,"?ACTIVATED",IF(J3336&lt;&gt;"","?FAMILIAR",IF(F3336="NEW",IF(ISNA(VLOOKUP(E3336,#REF!,1,FALSE())),"?TYPE_IDENTIFIABLE","?REFERENTIAL"),"_")))))</f>
        <v> </v>
      </c>
      <c r="H3336" s="24" t="str">
        <f>IF(J3336&lt;&gt;1,"",IF(I3336="SBJ","CB","?"))</f>
        <v> </v>
      </c>
      <c r="I3336" s="25" t="str">
        <f>IF(OR(E3336="",E3336="!!!",F3336="NEW"),"",INDEX(B3335:B$2,-1+SUMPRODUCT(MAX(ROW(E3335:E$2)*(E3336=E3335:E$2)))))</f>
        <v> </v>
      </c>
      <c r="J3336" s="25" t="str">
        <f>IF(OR(E3336="",E3336="!!!",F3336="NEW"),"",COUNTBLANK(OFFSET(A$1,,,SUMPRODUCT(MAX(ROW(E$2:E3336)*(E3336=E$2:E3336)))))-COUNTBLANK(OFFSET(A$1,,,SUMPRODUCT(MAX(ROW(E$1:E3335)*(E2=E$1:E3335))))))</f>
        <v> </v>
      </c>
      <c r="K3336" s="25" t="str">
        <f>IF(OR(E3336="",E3336="!!!",F3336="NEW"),"",INDEX(J$1:J3335,SUMPRODUCT(MAX(ROW(E$1:E3335)*(E3336=E$1:E3335)))))</f>
        <v> </v>
      </c>
      <c r="L3336" s="26"/>
    </row>
    <row r="3337" spans="1:12">
      <c r="A3337" s="20" t="s">
        <v>2171</v>
      </c>
      <c r="B3337" s="27" t="s">
        <v>1098</v>
      </c>
      <c r="C3337" s="27" t="s">
        <v>1038</v>
      </c>
      <c r="D3337" s="27" t="s">
        <v>1030</v>
      </c>
      <c r="E3337" s="21">
        <f>IF(D3337="?OLD","!!!","")</f>
        <v/>
      </c>
      <c r="F3337" s="22" t="str">
        <f>IF(OR(E3337="",E3337="!!!"),"",IF(NOT(ISNA(VLOOKUP(E3337,E$1:E3336,1,FALSE()))),"OLD",IF(AND(E3337&lt;&gt;"",E3337&lt;&gt;"!!!"),"NEW","")))</f>
        <v> </v>
      </c>
      <c r="G3337" s="23" t="str">
        <f>IF(OR(E3337="",E3337="!!!"),"",IF(OR(J3337=0,AND(J3337=1,K3337=1),AND(J3337=1,I3337="SBJ"),AND(J3337=1,I3337=0)),"?IN_FOCUS",IF(J3337&lt;=2,"?ACTIVATED",IF(J3337&lt;&gt;"","?FAMILIAR",IF(F3337="NEW",IF(ISNA(VLOOKUP(E3337,#REF!,1,FALSE())),"?TYPE_IDENTIFIABLE","?REFERENTIAL"),"_")))))</f>
        <v> </v>
      </c>
      <c r="H3337" s="24" t="str">
        <f>IF(J3337&lt;&gt;1,"",IF(I3337="SBJ","CB","?"))</f>
        <v> </v>
      </c>
      <c r="I3337" s="25" t="str">
        <f>IF(OR(E3337="",E3337="!!!",F3337="NEW"),"",INDEX(B3336:B$2,-1+SUMPRODUCT(MAX(ROW(E3336:E$2)*(E3337=E3336:E$2)))))</f>
        <v> </v>
      </c>
      <c r="J3337" s="25" t="str">
        <f>IF(OR(E3337="",E3337="!!!",F3337="NEW"),"",COUNTBLANK(OFFSET(A$1,,,SUMPRODUCT(MAX(ROW(E$2:E3337)*(E3337=E$2:E3337)))))-COUNTBLANK(OFFSET(A$1,,,SUMPRODUCT(MAX(ROW(E$1:E3336)*(E2=E$1:E3336))))))</f>
        <v> </v>
      </c>
      <c r="K3337" s="25" t="str">
        <f>IF(OR(E3337="",E3337="!!!",F3337="NEW"),"",INDEX(J$1:J3336,SUMPRODUCT(MAX(ROW(E$1:E3336)*(E3337=E$1:E3336)))))</f>
        <v> </v>
      </c>
      <c r="L3337" s="26"/>
    </row>
    <row r="3338" spans="1:12">
      <c r="A3338" s="20" t="s">
        <v>1257</v>
      </c>
      <c r="E3338" s="21">
        <f>IF(D3338="?OLD","!!!","")</f>
        <v/>
      </c>
      <c r="F3338" s="22" t="str">
        <f>IF(OR(E3338="",E3338="!!!"),"",IF(NOT(ISNA(VLOOKUP(E3338,E$1:E3337,1,FALSE()))),"OLD",IF(AND(E3338&lt;&gt;"",E3338&lt;&gt;"!!!"),"NEW","")))</f>
        <v> </v>
      </c>
      <c r="G3338" s="23" t="str">
        <f>IF(OR(E3338="",E3338="!!!"),"",IF(OR(J3338=0,AND(J3338=1,K3338=1),AND(J3338=1,I3338="SBJ"),AND(J3338=1,I3338=0)),"?IN_FOCUS",IF(J3338&lt;=2,"?ACTIVATED",IF(J3338&lt;&gt;"","?FAMILIAR",IF(F3338="NEW",IF(ISNA(VLOOKUP(E3338,#REF!,1,FALSE())),"?TYPE_IDENTIFIABLE","?REFERENTIAL"),"_")))))</f>
        <v> </v>
      </c>
      <c r="H3338" s="24" t="str">
        <f>IF(J3338&lt;&gt;1,"",IF(I3338="SBJ","CB","?"))</f>
        <v> </v>
      </c>
      <c r="I3338" s="25" t="str">
        <f>IF(OR(E3338="",E3338="!!!",F3338="NEW"),"",INDEX(B3337:B$2,-1+SUMPRODUCT(MAX(ROW(E3337:E$2)*(E3338=E3337:E$2)))))</f>
        <v> </v>
      </c>
      <c r="J3338" s="25" t="str">
        <f>IF(OR(E3338="",E3338="!!!",F3338="NEW"),"",COUNTBLANK(OFFSET(A$1,,,SUMPRODUCT(MAX(ROW(E$2:E3338)*(E3338=E$2:E3338)))))-COUNTBLANK(OFFSET(A$1,,,SUMPRODUCT(MAX(ROW(E$1:E3337)*(E2=E$1:E3337))))))</f>
        <v> </v>
      </c>
      <c r="K3338" s="25" t="str">
        <f>IF(OR(E3338="",E3338="!!!",F3338="NEW"),"",INDEX(J$1:J3337,SUMPRODUCT(MAX(ROW(E$1:E3337)*(E3338=E$1:E3337)))))</f>
        <v> </v>
      </c>
      <c r="L3338" s="26"/>
    </row>
    <row r="3339" spans="1:12">
      <c r="A3339" s="20" t="s">
        <v>1290</v>
      </c>
      <c r="E3339" s="21">
        <f>IF(D3339="?OLD","!!!","")</f>
        <v/>
      </c>
      <c r="F3339" s="22" t="str">
        <f>IF(OR(E3339="",E3339="!!!"),"",IF(NOT(ISNA(VLOOKUP(E3339,E$1:E3338,1,FALSE()))),"OLD",IF(AND(E3339&lt;&gt;"",E3339&lt;&gt;"!!!"),"NEW","")))</f>
        <v> </v>
      </c>
      <c r="G3339" s="23" t="str">
        <f>IF(OR(E3339="",E3339="!!!"),"",IF(OR(J3339=0,AND(J3339=1,K3339=1),AND(J3339=1,I3339="SBJ"),AND(J3339=1,I3339=0)),"?IN_FOCUS",IF(J3339&lt;=2,"?ACTIVATED",IF(J3339&lt;&gt;"","?FAMILIAR",IF(F3339="NEW",IF(ISNA(VLOOKUP(E3339,#REF!,1,FALSE())),"?TYPE_IDENTIFIABLE","?REFERENTIAL"),"_")))))</f>
        <v> </v>
      </c>
      <c r="H3339" s="24" t="str">
        <f>IF(J3339&lt;&gt;1,"",IF(I3339="SBJ","CB","?"))</f>
        <v> </v>
      </c>
      <c r="I3339" s="25" t="str">
        <f>IF(OR(E3339="",E3339="!!!",F3339="NEW"),"",INDEX(B3338:B$2,-1+SUMPRODUCT(MAX(ROW(E3338:E$2)*(E3339=E3338:E$2)))))</f>
        <v> </v>
      </c>
      <c r="J3339" s="25" t="str">
        <f>IF(OR(E3339="",E3339="!!!",F3339="NEW"),"",COUNTBLANK(OFFSET(A$1,,,SUMPRODUCT(MAX(ROW(E$2:E3339)*(E3339=E$2:E3339)))))-COUNTBLANK(OFFSET(A$1,,,SUMPRODUCT(MAX(ROW(E$1:E3338)*(E2=E$1:E3338))))))</f>
        <v> </v>
      </c>
      <c r="K3339" s="25" t="str">
        <f>IF(OR(E3339="",E3339="!!!",F3339="NEW"),"",INDEX(J$1:J3338,SUMPRODUCT(MAX(ROW(E$1:E3338)*(E3339=E$1:E3338)))))</f>
        <v> </v>
      </c>
      <c r="L3339" s="26"/>
    </row>
    <row r="3340" spans="1:12">
      <c r="A3340" s="20" t="s">
        <v>2175</v>
      </c>
      <c r="B3340" s="27" t="s">
        <v>1045</v>
      </c>
      <c r="C3340" s="27" t="s">
        <v>1029</v>
      </c>
      <c r="D3340" s="27" t="s">
        <v>1030</v>
      </c>
      <c r="E3340" s="21">
        <f>IF(D3340="?OLD","!!!","")</f>
        <v/>
      </c>
      <c r="F3340" s="22" t="str">
        <f>IF(OR(E3340="",E3340="!!!"),"",IF(NOT(ISNA(VLOOKUP(E3340,E$1:E3339,1,FALSE()))),"OLD",IF(AND(E3340&lt;&gt;"",E3340&lt;&gt;"!!!"),"NEW","")))</f>
        <v> </v>
      </c>
      <c r="G3340" s="23" t="str">
        <f>IF(OR(E3340="",E3340="!!!"),"",IF(OR(J3340=0,AND(J3340=1,K3340=1),AND(J3340=1,I3340="SBJ"),AND(J3340=1,I3340=0)),"?IN_FOCUS",IF(J3340&lt;=2,"?ACTIVATED",IF(J3340&lt;&gt;"","?FAMILIAR",IF(F3340="NEW",IF(ISNA(VLOOKUP(E3340,#REF!,1,FALSE())),"?TYPE_IDENTIFIABLE","?REFERENTIAL"),"_")))))</f>
        <v> </v>
      </c>
      <c r="H3340" s="24" t="str">
        <f>IF(J3340&lt;&gt;1,"",IF(I3340="SBJ","CB","?"))</f>
        <v> </v>
      </c>
      <c r="I3340" s="25" t="str">
        <f>IF(OR(E3340="",E3340="!!!",F3340="NEW"),"",INDEX(B3339:B$2,-1+SUMPRODUCT(MAX(ROW(E3339:E$2)*(E3340=E3339:E$2)))))</f>
        <v> </v>
      </c>
      <c r="J3340" s="25" t="str">
        <f>IF(OR(E3340="",E3340="!!!",F3340="NEW"),"",COUNTBLANK(OFFSET(A$1,,,SUMPRODUCT(MAX(ROW(E$2:E3340)*(E3340=E$2:E3340)))))-COUNTBLANK(OFFSET(A$1,,,SUMPRODUCT(MAX(ROW(E$1:E3339)*(E2=E$1:E3339))))))</f>
        <v> </v>
      </c>
      <c r="K3340" s="25" t="str">
        <f>IF(OR(E3340="",E3340="!!!",F3340="NEW"),"",INDEX(J$1:J3339,SUMPRODUCT(MAX(ROW(E$1:E3339)*(E3340=E$1:E3339)))))</f>
        <v> </v>
      </c>
      <c r="L3340" s="26"/>
    </row>
    <row r="3341" spans="1:12">
      <c r="A3341" s="20" t="s">
        <v>1016</v>
      </c>
      <c r="E3341" s="21">
        <f>IF(D3341="?OLD","!!!","")</f>
        <v/>
      </c>
      <c r="F3341" s="22" t="str">
        <f>IF(OR(E3341="",E3341="!!!"),"",IF(NOT(ISNA(VLOOKUP(E3341,E$1:E3340,1,FALSE()))),"OLD",IF(AND(E3341&lt;&gt;"",E3341&lt;&gt;"!!!"),"NEW","")))</f>
        <v> </v>
      </c>
      <c r="G3341" s="23" t="str">
        <f>IF(OR(E3341="",E3341="!!!"),"",IF(OR(J3341=0,AND(J3341=1,K3341=1),AND(J3341=1,I3341="SBJ"),AND(J3341=1,I3341=0)),"?IN_FOCUS",IF(J3341&lt;=2,"?ACTIVATED",IF(J3341&lt;&gt;"","?FAMILIAR",IF(F3341="NEW",IF(ISNA(VLOOKUP(E3341,#REF!,1,FALSE())),"?TYPE_IDENTIFIABLE","?REFERENTIAL"),"_")))))</f>
        <v> </v>
      </c>
      <c r="H3341" s="24" t="str">
        <f>IF(J3341&lt;&gt;1,"",IF(I3341="SBJ","CB","?"))</f>
        <v> </v>
      </c>
      <c r="I3341" s="25" t="str">
        <f>IF(OR(E3341="",E3341="!!!",F3341="NEW"),"",INDEX(B3340:B$2,-1+SUMPRODUCT(MAX(ROW(E3340:E$2)*(E3341=E3340:E$2)))))</f>
        <v> </v>
      </c>
      <c r="J3341" s="25" t="str">
        <f>IF(OR(E3341="",E3341="!!!",F3341="NEW"),"",COUNTBLANK(OFFSET(A$1,,,SUMPRODUCT(MAX(ROW(E$2:E3341)*(E3341=E$2:E3341)))))-COUNTBLANK(OFFSET(A$1,,,SUMPRODUCT(MAX(ROW(E$1:E3340)*(E2=E$1:E3340))))))</f>
        <v> </v>
      </c>
      <c r="K3341" s="25" t="str">
        <f>IF(OR(E3341="",E3341="!!!",F3341="NEW"),"",INDEX(J$1:J3340,SUMPRODUCT(MAX(ROW(E$1:E3340)*(E3341=E$1:E3340)))))</f>
        <v> </v>
      </c>
      <c r="L3341" s="26"/>
    </row>
    <row r="3342" spans="1:12">
      <c r="A3342" s="20" t="s">
        <v>1075</v>
      </c>
      <c r="E3342" s="21">
        <f>IF(D3342="?OLD","!!!","")</f>
        <v/>
      </c>
      <c r="F3342" s="22" t="str">
        <f>IF(OR(E3342="",E3342="!!!"),"",IF(NOT(ISNA(VLOOKUP(E3342,E$1:E3341,1,FALSE()))),"OLD",IF(AND(E3342&lt;&gt;"",E3342&lt;&gt;"!!!"),"NEW","")))</f>
        <v> </v>
      </c>
      <c r="G3342" s="23" t="str">
        <f>IF(OR(E3342="",E3342="!!!"),"",IF(OR(J3342=0,AND(J3342=1,K3342=1),AND(J3342=1,I3342="SBJ"),AND(J3342=1,I3342=0)),"?IN_FOCUS",IF(J3342&lt;=2,"?ACTIVATED",IF(J3342&lt;&gt;"","?FAMILIAR",IF(F3342="NEW",IF(ISNA(VLOOKUP(E3342,#REF!,1,FALSE())),"?TYPE_IDENTIFIABLE","?REFERENTIAL"),"_")))))</f>
        <v> </v>
      </c>
      <c r="H3342" s="24" t="str">
        <f>IF(J3342&lt;&gt;1,"",IF(I3342="SBJ","CB","?"))</f>
        <v> </v>
      </c>
      <c r="I3342" s="25" t="str">
        <f>IF(OR(E3342="",E3342="!!!",F3342="NEW"),"",INDEX(B3341:B$2,-1+SUMPRODUCT(MAX(ROW(E3341:E$2)*(E3342=E3341:E$2)))))</f>
        <v> </v>
      </c>
      <c r="J3342" s="25" t="str">
        <f>IF(OR(E3342="",E3342="!!!",F3342="NEW"),"",COUNTBLANK(OFFSET(A$1,,,SUMPRODUCT(MAX(ROW(E$2:E3342)*(E3342=E$2:E3342)))))-COUNTBLANK(OFFSET(A$1,,,SUMPRODUCT(MAX(ROW(E$1:E3341)*(E2=E$1:E3341))))))</f>
        <v> </v>
      </c>
      <c r="K3342" s="25" t="str">
        <f>IF(OR(E3342="",E3342="!!!",F3342="NEW"),"",INDEX(J$1:J3341,SUMPRODUCT(MAX(ROW(E$1:E3341)*(E3342=E$1:E3341)))))</f>
        <v> </v>
      </c>
      <c r="L3342" s="26"/>
    </row>
    <row r="3343" spans="1:12">
      <c r="A3343" s="20" t="s">
        <v>2176</v>
      </c>
      <c r="B3343" s="27" t="s">
        <v>1079</v>
      </c>
      <c r="C3343" s="27" t="s">
        <v>1038</v>
      </c>
      <c r="D3343" s="27" t="s">
        <v>1030</v>
      </c>
      <c r="E3343" s="21">
        <f>IF(D3343="?OLD","!!!","")</f>
        <v/>
      </c>
      <c r="F3343" s="22" t="str">
        <f>IF(OR(E3343="",E3343="!!!"),"",IF(NOT(ISNA(VLOOKUP(E3343,E$1:E3342,1,FALSE()))),"OLD",IF(AND(E3343&lt;&gt;"",E3343&lt;&gt;"!!!"),"NEW","")))</f>
        <v> </v>
      </c>
      <c r="G3343" s="23" t="str">
        <f>IF(OR(E3343="",E3343="!!!"),"",IF(OR(J3343=0,AND(J3343=1,K3343=1),AND(J3343=1,I3343="SBJ"),AND(J3343=1,I3343=0)),"?IN_FOCUS",IF(J3343&lt;=2,"?ACTIVATED",IF(J3343&lt;&gt;"","?FAMILIAR",IF(F3343="NEW",IF(ISNA(VLOOKUP(E3343,#REF!,1,FALSE())),"?TYPE_IDENTIFIABLE","?REFERENTIAL"),"_")))))</f>
        <v> </v>
      </c>
      <c r="H3343" s="24" t="str">
        <f>IF(J3343&lt;&gt;1,"",IF(I3343="SBJ","CB","?"))</f>
        <v> </v>
      </c>
      <c r="I3343" s="25" t="str">
        <f>IF(OR(E3343="",E3343="!!!",F3343="NEW"),"",INDEX(B3342:B$2,-1+SUMPRODUCT(MAX(ROW(E3342:E$2)*(E3343=E3342:E$2)))))</f>
        <v> </v>
      </c>
      <c r="J3343" s="25" t="str">
        <f>IF(OR(E3343="",E3343="!!!",F3343="NEW"),"",COUNTBLANK(OFFSET(A$1,,,SUMPRODUCT(MAX(ROW(E$2:E3343)*(E3343=E$2:E3343)))))-COUNTBLANK(OFFSET(A$1,,,SUMPRODUCT(MAX(ROW(E$1:E3342)*(E2=E$1:E3342))))))</f>
        <v> </v>
      </c>
      <c r="K3343" s="25" t="str">
        <f>IF(OR(E3343="",E3343="!!!",F3343="NEW"),"",INDEX(J$1:J3342,SUMPRODUCT(MAX(ROW(E$1:E3342)*(E3343=E$1:E3342)))))</f>
        <v> </v>
      </c>
      <c r="L3343" s="26"/>
    </row>
    <row r="3344" spans="1:12">
      <c r="A3344" s="20" t="s">
        <v>135</v>
      </c>
      <c r="E3344" s="21">
        <f>IF(D3344="?OLD","!!!","")</f>
        <v/>
      </c>
      <c r="F3344" s="22" t="str">
        <f>IF(OR(E3344="",E3344="!!!"),"",IF(NOT(ISNA(VLOOKUP(E3344,E$1:E3343,1,FALSE()))),"OLD",IF(AND(E3344&lt;&gt;"",E3344&lt;&gt;"!!!"),"NEW","")))</f>
        <v> </v>
      </c>
      <c r="G3344" s="23" t="str">
        <f>IF(OR(E3344="",E3344="!!!"),"",IF(OR(J3344=0,AND(J3344=1,K3344=1),AND(J3344=1,I3344="SBJ"),AND(J3344=1,I3344=0)),"?IN_FOCUS",IF(J3344&lt;=2,"?ACTIVATED",IF(J3344&lt;&gt;"","?FAMILIAR",IF(F3344="NEW",IF(ISNA(VLOOKUP(E3344,#REF!,1,FALSE())),"?TYPE_IDENTIFIABLE","?REFERENTIAL"),"_")))))</f>
        <v> </v>
      </c>
      <c r="H3344" s="24" t="str">
        <f>IF(J3344&lt;&gt;1,"",IF(I3344="SBJ","CB","?"))</f>
        <v> </v>
      </c>
      <c r="I3344" s="25" t="str">
        <f>IF(OR(E3344="",E3344="!!!",F3344="NEW"),"",INDEX(B3343:B$2,-1+SUMPRODUCT(MAX(ROW(E3343:E$2)*(E3344=E3343:E$2)))))</f>
        <v> </v>
      </c>
      <c r="J3344" s="25" t="str">
        <f>IF(OR(E3344="",E3344="!!!",F3344="NEW"),"",COUNTBLANK(OFFSET(A$1,,,SUMPRODUCT(MAX(ROW(E$2:E3344)*(E3344=E$2:E3344)))))-COUNTBLANK(OFFSET(A$1,,,SUMPRODUCT(MAX(ROW(E$1:E3343)*(E2=E$1:E3343))))))</f>
        <v> </v>
      </c>
      <c r="K3344" s="25" t="str">
        <f>IF(OR(E3344="",E3344="!!!",F3344="NEW"),"",INDEX(J$1:J3343,SUMPRODUCT(MAX(ROW(E$1:E3343)*(E3344=E$1:E3343)))))</f>
        <v> </v>
      </c>
      <c r="L3344" s="26"/>
    </row>
    <row r="3345" spans="1:12">
      <c r="A3345" s="20"/>
    </row>
    <row r="3346" spans="1:12">
      <c r="A3346" s="20" t="s">
        <v>2177</v>
      </c>
    </row>
    <row r="3347" spans="1:12">
      <c r="A3347" s="20" t="s">
        <v>1997</v>
      </c>
      <c r="E3347" s="21">
        <f>IF(D3347="?OLD","!!!","")</f>
        <v/>
      </c>
      <c r="F3347" s="22" t="str">
        <f>IF(OR(E3347="",E3347="!!!"),"",IF(NOT(ISNA(VLOOKUP(E3347,E$1:E3346,1,FALSE()))),"OLD",IF(AND(E3347&lt;&gt;"",E3347&lt;&gt;"!!!"),"NEW","")))</f>
        <v> </v>
      </c>
      <c r="G3347" s="23" t="str">
        <f>IF(OR(E3347="",E3347="!!!"),"",IF(OR(J3347=0,AND(J3347=1,K3347=1),AND(J3347=1,I3347="SBJ"),AND(J3347=1,I3347=0)),"?IN_FOCUS",IF(J3347&lt;=2,"?ACTIVATED",IF(J3347&lt;&gt;"","?FAMILIAR",IF(F3347="NEW",IF(ISNA(VLOOKUP(E3347,#REF!,1,FALSE())),"?TYPE_IDENTIFIABLE","?REFERENTIAL"),"_")))))</f>
        <v> </v>
      </c>
      <c r="H3347" s="24" t="str">
        <f>IF(J3347&lt;&gt;1,"",IF(I3347="SBJ","CB","?"))</f>
        <v> </v>
      </c>
      <c r="I3347" s="25" t="str">
        <f>IF(OR(E3347="",E3347="!!!",F3347="NEW"),"",INDEX(B3346:B$2,-1+SUMPRODUCT(MAX(ROW(E3346:E$2)*(E3347=E3346:E$2)))))</f>
        <v> </v>
      </c>
      <c r="J3347" s="25" t="str">
        <f>IF(OR(E3347="",E3347="!!!",F3347="NEW"),"",COUNTBLANK(OFFSET(A$1,,,SUMPRODUCT(MAX(ROW(E$2:E3347)*(E3347=E$2:E3347)))))-COUNTBLANK(OFFSET(A$1,,,SUMPRODUCT(MAX(ROW(E$1:E3346)*(E2=E$1:E3346))))))</f>
        <v> </v>
      </c>
      <c r="K3347" s="25" t="str">
        <f>IF(OR(E3347="",E3347="!!!",F3347="NEW"),"",INDEX(J$1:J3346,SUMPRODUCT(MAX(ROW(E$1:E3346)*(E3347=E$1:E3346)))))</f>
        <v> </v>
      </c>
      <c r="L3347" s="26"/>
    </row>
    <row r="3348" spans="1:12">
      <c r="A3348" s="20" t="s">
        <v>2178</v>
      </c>
      <c r="B3348" s="27" t="s">
        <v>1045</v>
      </c>
      <c r="C3348" s="27" t="s">
        <v>1050</v>
      </c>
      <c r="D3348" s="27" t="s">
        <v>1030</v>
      </c>
      <c r="E3348" s="21">
        <f>IF(D3348="?OLD","!!!","")</f>
        <v/>
      </c>
      <c r="F3348" s="22" t="str">
        <f>IF(OR(E3348="",E3348="!!!"),"",IF(NOT(ISNA(VLOOKUP(E3348,E$1:E3347,1,FALSE()))),"OLD",IF(AND(E3348&lt;&gt;"",E3348&lt;&gt;"!!!"),"NEW","")))</f>
        <v> </v>
      </c>
      <c r="G3348" s="23" t="str">
        <f>IF(OR(E3348="",E3348="!!!"),"",IF(OR(J3348=0,AND(J3348=1,K3348=1),AND(J3348=1,I3348="SBJ"),AND(J3348=1,I3348=0)),"?IN_FOCUS",IF(J3348&lt;=2,"?ACTIVATED",IF(J3348&lt;&gt;"","?FAMILIAR",IF(F3348="NEW",IF(ISNA(VLOOKUP(E3348,#REF!,1,FALSE())),"?TYPE_IDENTIFIABLE","?REFERENTIAL"),"_")))))</f>
        <v> </v>
      </c>
      <c r="H3348" s="24" t="str">
        <f>IF(J3348&lt;&gt;1,"",IF(I3348="SBJ","CB","?"))</f>
        <v> </v>
      </c>
      <c r="I3348" s="25" t="str">
        <f>IF(OR(E3348="",E3348="!!!",F3348="NEW"),"",INDEX(B3347:B$2,-1+SUMPRODUCT(MAX(ROW(E3347:E$2)*(E3348=E3347:E$2)))))</f>
        <v> </v>
      </c>
      <c r="J3348" s="25" t="str">
        <f>IF(OR(E3348="",E3348="!!!",F3348="NEW"),"",COUNTBLANK(OFFSET(A$1,,,SUMPRODUCT(MAX(ROW(E$2:E3348)*(E3348=E$2:E3348)))))-COUNTBLANK(OFFSET(A$1,,,SUMPRODUCT(MAX(ROW(E$1:E3347)*(E2=E$1:E3347))))))</f>
        <v> </v>
      </c>
      <c r="K3348" s="25" t="str">
        <f>IF(OR(E3348="",E3348="!!!",F3348="NEW"),"",INDEX(J$1:J3347,SUMPRODUCT(MAX(ROW(E$1:E3347)*(E3348=E$1:E3347)))))</f>
        <v> </v>
      </c>
      <c r="L3348" s="26"/>
    </row>
    <row r="3349" spans="1:12">
      <c r="A3349" s="20" t="s">
        <v>1034</v>
      </c>
      <c r="E3349" s="21">
        <f>IF(D3349="?OLD","!!!","")</f>
        <v/>
      </c>
      <c r="F3349" s="22" t="str">
        <f>IF(OR(E3349="",E3349="!!!"),"",IF(NOT(ISNA(VLOOKUP(E3349,E$1:E3348,1,FALSE()))),"OLD",IF(AND(E3349&lt;&gt;"",E3349&lt;&gt;"!!!"),"NEW","")))</f>
        <v> </v>
      </c>
      <c r="G3349" s="23" t="str">
        <f>IF(OR(E3349="",E3349="!!!"),"",IF(OR(J3349=0,AND(J3349=1,K3349=1),AND(J3349=1,I3349="SBJ"),AND(J3349=1,I3349=0)),"?IN_FOCUS",IF(J3349&lt;=2,"?ACTIVATED",IF(J3349&lt;&gt;"","?FAMILIAR",IF(F3349="NEW",IF(ISNA(VLOOKUP(E3349,#REF!,1,FALSE())),"?TYPE_IDENTIFIABLE","?REFERENTIAL"),"_")))))</f>
        <v> </v>
      </c>
      <c r="H3349" s="24" t="str">
        <f>IF(J3349&lt;&gt;1,"",IF(I3349="SBJ","CB","?"))</f>
        <v> </v>
      </c>
      <c r="I3349" s="25" t="str">
        <f>IF(OR(E3349="",E3349="!!!",F3349="NEW"),"",INDEX(B3348:B$2,-1+SUMPRODUCT(MAX(ROW(E3348:E$2)*(E3349=E3348:E$2)))))</f>
        <v> </v>
      </c>
      <c r="J3349" s="25" t="str">
        <f>IF(OR(E3349="",E3349="!!!",F3349="NEW"),"",COUNTBLANK(OFFSET(A$1,,,SUMPRODUCT(MAX(ROW(E$2:E3349)*(E3349=E$2:E3349)))))-COUNTBLANK(OFFSET(A$1,,,SUMPRODUCT(MAX(ROW(E$1:E3348)*(E2=E$1:E3348))))))</f>
        <v> </v>
      </c>
      <c r="K3349" s="25" t="str">
        <f>IF(OR(E3349="",E3349="!!!",F3349="NEW"),"",INDEX(J$1:J3348,SUMPRODUCT(MAX(ROW(E$1:E3348)*(E3349=E$1:E3348)))))</f>
        <v> </v>
      </c>
      <c r="L3349" s="26"/>
    </row>
    <row r="3350" spans="1:12">
      <c r="A3350" s="20" t="s">
        <v>1111</v>
      </c>
      <c r="E3350" s="21">
        <f>IF(D3350="?OLD","!!!","")</f>
        <v/>
      </c>
      <c r="F3350" s="22" t="str">
        <f>IF(OR(E3350="",E3350="!!!"),"",IF(NOT(ISNA(VLOOKUP(E3350,E$1:E3349,1,FALSE()))),"OLD",IF(AND(E3350&lt;&gt;"",E3350&lt;&gt;"!!!"),"NEW","")))</f>
        <v> </v>
      </c>
      <c r="G3350" s="23" t="str">
        <f>IF(OR(E3350="",E3350="!!!"),"",IF(OR(J3350=0,AND(J3350=1,K3350=1),AND(J3350=1,I3350="SBJ"),AND(J3350=1,I3350=0)),"?IN_FOCUS",IF(J3350&lt;=2,"?ACTIVATED",IF(J3350&lt;&gt;"","?FAMILIAR",IF(F3350="NEW",IF(ISNA(VLOOKUP(E3350,#REF!,1,FALSE())),"?TYPE_IDENTIFIABLE","?REFERENTIAL"),"_")))))</f>
        <v> </v>
      </c>
      <c r="H3350" s="24" t="str">
        <f>IF(J3350&lt;&gt;1,"",IF(I3350="SBJ","CB","?"))</f>
        <v> </v>
      </c>
      <c r="I3350" s="25" t="str">
        <f>IF(OR(E3350="",E3350="!!!",F3350="NEW"),"",INDEX(B3349:B$2,-1+SUMPRODUCT(MAX(ROW(E3349:E$2)*(E3350=E3349:E$2)))))</f>
        <v> </v>
      </c>
      <c r="J3350" s="25" t="str">
        <f>IF(OR(E3350="",E3350="!!!",F3350="NEW"),"",COUNTBLANK(OFFSET(A$1,,,SUMPRODUCT(MAX(ROW(E$2:E3350)*(E3350=E$2:E3350)))))-COUNTBLANK(OFFSET(A$1,,,SUMPRODUCT(MAX(ROW(E$1:E3349)*(E2=E$1:E3349))))))</f>
        <v> </v>
      </c>
      <c r="K3350" s="25" t="str">
        <f>IF(OR(E3350="",E3350="!!!",F3350="NEW"),"",INDEX(J$1:J3349,SUMPRODUCT(MAX(ROW(E$1:E3349)*(E3350=E$1:E3349)))))</f>
        <v> </v>
      </c>
      <c r="L3350" s="26"/>
    </row>
    <row r="3351" spans="1:12">
      <c r="A3351" s="20" t="s">
        <v>1180</v>
      </c>
      <c r="B3351" s="27" t="s">
        <v>1045</v>
      </c>
      <c r="C3351" s="27" t="s">
        <v>1077</v>
      </c>
      <c r="D3351" s="27" t="s">
        <v>1030</v>
      </c>
      <c r="E3351" s="21">
        <f>IF(D3351="?OLD","!!!","")</f>
        <v/>
      </c>
      <c r="F3351" s="22" t="str">
        <f>IF(OR(E3351="",E3351="!!!"),"",IF(NOT(ISNA(VLOOKUP(E3351,E$1:E3350,1,FALSE()))),"OLD",IF(AND(E3351&lt;&gt;"",E3351&lt;&gt;"!!!"),"NEW","")))</f>
        <v> </v>
      </c>
      <c r="G3351" s="23" t="str">
        <f>IF(OR(E3351="",E3351="!!!"),"",IF(OR(J3351=0,AND(J3351=1,K3351=1),AND(J3351=1,I3351="SBJ"),AND(J3351=1,I3351=0)),"?IN_FOCUS",IF(J3351&lt;=2,"?ACTIVATED",IF(J3351&lt;&gt;"","?FAMILIAR",IF(F3351="NEW",IF(ISNA(VLOOKUP(E3351,#REF!,1,FALSE())),"?TYPE_IDENTIFIABLE","?REFERENTIAL"),"_")))))</f>
        <v> </v>
      </c>
      <c r="H3351" s="24" t="str">
        <f>IF(J3351&lt;&gt;1,"",IF(I3351="SBJ","CB","?"))</f>
        <v> </v>
      </c>
      <c r="I3351" s="25" t="str">
        <f>IF(OR(E3351="",E3351="!!!",F3351="NEW"),"",INDEX(B3350:B$2,-1+SUMPRODUCT(MAX(ROW(E3350:E$2)*(E3351=E3350:E$2)))))</f>
        <v> </v>
      </c>
      <c r="J3351" s="25" t="str">
        <f>IF(OR(E3351="",E3351="!!!",F3351="NEW"),"",COUNTBLANK(OFFSET(A$1,,,SUMPRODUCT(MAX(ROW(E$2:E3351)*(E3351=E$2:E3351)))))-COUNTBLANK(OFFSET(A$1,,,SUMPRODUCT(MAX(ROW(E$1:E3350)*(E2=E$1:E3350))))))</f>
        <v> </v>
      </c>
      <c r="K3351" s="25" t="str">
        <f>IF(OR(E3351="",E3351="!!!",F3351="NEW"),"",INDEX(J$1:J3350,SUMPRODUCT(MAX(ROW(E$1:E3350)*(E3351=E$1:E3350)))))</f>
        <v> </v>
      </c>
      <c r="L3351" s="26"/>
    </row>
    <row r="3352" spans="1:12">
      <c r="A3352" s="20" t="s">
        <v>2179</v>
      </c>
      <c r="B3352" s="27" t="s">
        <v>1045</v>
      </c>
      <c r="C3352" s="27" t="s">
        <v>1029</v>
      </c>
      <c r="D3352" s="27" t="s">
        <v>1030</v>
      </c>
      <c r="E3352" s="21">
        <f>IF(D3352="?OLD","!!!","")</f>
        <v/>
      </c>
      <c r="F3352" s="22" t="str">
        <f>IF(OR(E3352="",E3352="!!!"),"",IF(NOT(ISNA(VLOOKUP(E3352,E$1:E3351,1,FALSE()))),"OLD",IF(AND(E3352&lt;&gt;"",E3352&lt;&gt;"!!!"),"NEW","")))</f>
        <v> </v>
      </c>
      <c r="G3352" s="23" t="str">
        <f>IF(OR(E3352="",E3352="!!!"),"",IF(OR(J3352=0,AND(J3352=1,K3352=1),AND(J3352=1,I3352="SBJ"),AND(J3352=1,I3352=0)),"?IN_FOCUS",IF(J3352&lt;=2,"?ACTIVATED",IF(J3352&lt;&gt;"","?FAMILIAR",IF(F3352="NEW",IF(ISNA(VLOOKUP(E3352,#REF!,1,FALSE())),"?TYPE_IDENTIFIABLE","?REFERENTIAL"),"_")))))</f>
        <v> </v>
      </c>
      <c r="H3352" s="24" t="str">
        <f>IF(J3352&lt;&gt;1,"",IF(I3352="SBJ","CB","?"))</f>
        <v> </v>
      </c>
      <c r="I3352" s="25" t="str">
        <f>IF(OR(E3352="",E3352="!!!",F3352="NEW"),"",INDEX(B3351:B$2,-1+SUMPRODUCT(MAX(ROW(E3351:E$2)*(E3352=E3351:E$2)))))</f>
        <v> </v>
      </c>
      <c r="J3352" s="25" t="str">
        <f>IF(OR(E3352="",E3352="!!!",F3352="NEW"),"",COUNTBLANK(OFFSET(A$1,,,SUMPRODUCT(MAX(ROW(E$2:E3352)*(E3352=E$2:E3352)))))-COUNTBLANK(OFFSET(A$1,,,SUMPRODUCT(MAX(ROW(E$1:E3351)*(E2=E$1:E3351))))))</f>
        <v> </v>
      </c>
      <c r="K3352" s="25" t="str">
        <f>IF(OR(E3352="",E3352="!!!",F3352="NEW"),"",INDEX(J$1:J3351,SUMPRODUCT(MAX(ROW(E$1:E3351)*(E3352=E$1:E3351)))))</f>
        <v> </v>
      </c>
      <c r="L3352" s="26"/>
    </row>
    <row r="3353" spans="1:12">
      <c r="A3353" s="20" t="s">
        <v>1074</v>
      </c>
      <c r="E3353" s="21">
        <f>IF(D3353="?OLD","!!!","")</f>
        <v/>
      </c>
      <c r="F3353" s="22" t="str">
        <f>IF(OR(E3353="",E3353="!!!"),"",IF(NOT(ISNA(VLOOKUP(E3353,E$1:E3352,1,FALSE()))),"OLD",IF(AND(E3353&lt;&gt;"",E3353&lt;&gt;"!!!"),"NEW","")))</f>
        <v> </v>
      </c>
      <c r="G3353" s="23" t="str">
        <f>IF(OR(E3353="",E3353="!!!"),"",IF(OR(J3353=0,AND(J3353=1,K3353=1),AND(J3353=1,I3353="SBJ"),AND(J3353=1,I3353=0)),"?IN_FOCUS",IF(J3353&lt;=2,"?ACTIVATED",IF(J3353&lt;&gt;"","?FAMILIAR",IF(F3353="NEW",IF(ISNA(VLOOKUP(E3353,#REF!,1,FALSE())),"?TYPE_IDENTIFIABLE","?REFERENTIAL"),"_")))))</f>
        <v> </v>
      </c>
      <c r="H3353" s="24" t="str">
        <f>IF(J3353&lt;&gt;1,"",IF(I3353="SBJ","CB","?"))</f>
        <v> </v>
      </c>
      <c r="I3353" s="25" t="str">
        <f>IF(OR(E3353="",E3353="!!!",F3353="NEW"),"",INDEX(B3352:B$2,-1+SUMPRODUCT(MAX(ROW(E3352:E$2)*(E3353=E3352:E$2)))))</f>
        <v> </v>
      </c>
      <c r="J3353" s="25" t="str">
        <f>IF(OR(E3353="",E3353="!!!",F3353="NEW"),"",COUNTBLANK(OFFSET(A$1,,,SUMPRODUCT(MAX(ROW(E$2:E3353)*(E3353=E$2:E3353)))))-COUNTBLANK(OFFSET(A$1,,,SUMPRODUCT(MAX(ROW(E$1:E3352)*(E2=E$1:E3352))))))</f>
        <v> </v>
      </c>
      <c r="K3353" s="25" t="str">
        <f>IF(OR(E3353="",E3353="!!!",F3353="NEW"),"",INDEX(J$1:J3352,SUMPRODUCT(MAX(ROW(E$1:E3352)*(E3353=E$1:E3352)))))</f>
        <v> </v>
      </c>
      <c r="L3353" s="26"/>
    </row>
    <row r="3354" spans="1:12">
      <c r="A3354" s="20" t="s">
        <v>1132</v>
      </c>
      <c r="B3354" s="27" t="s">
        <v>1045</v>
      </c>
      <c r="C3354" s="27" t="s">
        <v>1140</v>
      </c>
      <c r="D3354" s="27" t="s">
        <v>1030</v>
      </c>
      <c r="E3354" s="21">
        <f>IF(D3354="?OLD","!!!","")</f>
        <v/>
      </c>
      <c r="F3354" s="22" t="str">
        <f>IF(OR(E3354="",E3354="!!!"),"",IF(NOT(ISNA(VLOOKUP(E3354,E$1:E3353,1,FALSE()))),"OLD",IF(AND(E3354&lt;&gt;"",E3354&lt;&gt;"!!!"),"NEW","")))</f>
        <v> </v>
      </c>
      <c r="G3354" s="23" t="str">
        <f>IF(OR(E3354="",E3354="!!!"),"",IF(OR(J3354=0,AND(J3354=1,K3354=1),AND(J3354=1,I3354="SBJ"),AND(J3354=1,I3354=0)),"?IN_FOCUS",IF(J3354&lt;=2,"?ACTIVATED",IF(J3354&lt;&gt;"","?FAMILIAR",IF(F3354="NEW",IF(ISNA(VLOOKUP(E3354,#REF!,1,FALSE())),"?TYPE_IDENTIFIABLE","?REFERENTIAL"),"_")))))</f>
        <v> </v>
      </c>
      <c r="H3354" s="24" t="str">
        <f>IF(J3354&lt;&gt;1,"",IF(I3354="SBJ","CB","?"))</f>
        <v> </v>
      </c>
      <c r="I3354" s="25" t="str">
        <f>IF(OR(E3354="",E3354="!!!",F3354="NEW"),"",INDEX(B3353:B$2,-1+SUMPRODUCT(MAX(ROW(E3353:E$2)*(E3354=E3353:E$2)))))</f>
        <v> </v>
      </c>
      <c r="J3354" s="25" t="str">
        <f>IF(OR(E3354="",E3354="!!!",F3354="NEW"),"",COUNTBLANK(OFFSET(A$1,,,SUMPRODUCT(MAX(ROW(E$2:E3354)*(E3354=E$2:E3354)))))-COUNTBLANK(OFFSET(A$1,,,SUMPRODUCT(MAX(ROW(E$1:E3353)*(E2=E$1:E3353))))))</f>
        <v> </v>
      </c>
      <c r="K3354" s="25" t="str">
        <f>IF(OR(E3354="",E3354="!!!",F3354="NEW"),"",INDEX(J$1:J3353,SUMPRODUCT(MAX(ROW(E$1:E3353)*(E3354=E$1:E3353)))))</f>
        <v> </v>
      </c>
      <c r="L3354" s="26"/>
    </row>
    <row r="3355" spans="1:12">
      <c r="A3355" s="20" t="s">
        <v>1215</v>
      </c>
      <c r="E3355" s="21">
        <f>IF(D3355="?OLD","!!!","")</f>
        <v/>
      </c>
      <c r="F3355" s="22" t="str">
        <f>IF(OR(E3355="",E3355="!!!"),"",IF(NOT(ISNA(VLOOKUP(E3355,E$1:E3354,1,FALSE()))),"OLD",IF(AND(E3355&lt;&gt;"",E3355&lt;&gt;"!!!"),"NEW","")))</f>
        <v> </v>
      </c>
      <c r="G3355" s="23" t="str">
        <f>IF(OR(E3355="",E3355="!!!"),"",IF(OR(J3355=0,AND(J3355=1,K3355=1),AND(J3355=1,I3355="SBJ"),AND(J3355=1,I3355=0)),"?IN_FOCUS",IF(J3355&lt;=2,"?ACTIVATED",IF(J3355&lt;&gt;"","?FAMILIAR",IF(F3355="NEW",IF(ISNA(VLOOKUP(E3355,#REF!,1,FALSE())),"?TYPE_IDENTIFIABLE","?REFERENTIAL"),"_")))))</f>
        <v> </v>
      </c>
      <c r="H3355" s="24" t="str">
        <f>IF(J3355&lt;&gt;1,"",IF(I3355="SBJ","CB","?"))</f>
        <v> </v>
      </c>
      <c r="I3355" s="25" t="str">
        <f>IF(OR(E3355="",E3355="!!!",F3355="NEW"),"",INDEX(B3354:B$2,-1+SUMPRODUCT(MAX(ROW(E3354:E$2)*(E3355=E3354:E$2)))))</f>
        <v> </v>
      </c>
      <c r="J3355" s="25" t="str">
        <f>IF(OR(E3355="",E3355="!!!",F3355="NEW"),"",COUNTBLANK(OFFSET(A$1,,,SUMPRODUCT(MAX(ROW(E$2:E3355)*(E3355=E$2:E3355)))))-COUNTBLANK(OFFSET(A$1,,,SUMPRODUCT(MAX(ROW(E$1:E3354)*(E2=E$1:E3354))))))</f>
        <v> </v>
      </c>
      <c r="K3355" s="25" t="str">
        <f>IF(OR(E3355="",E3355="!!!",F3355="NEW"),"",INDEX(J$1:J3354,SUMPRODUCT(MAX(ROW(E$1:E3354)*(E3355=E$1:E3354)))))</f>
        <v> </v>
      </c>
      <c r="L3355" s="26"/>
    </row>
    <row r="3356" spans="1:12">
      <c r="A3356" s="20"/>
    </row>
    <row r="3357" spans="1:12">
      <c r="A3357" s="20" t="s">
        <v>2180</v>
      </c>
    </row>
    <row r="3358" spans="1:12">
      <c r="A3358" s="20" t="s">
        <v>1699</v>
      </c>
      <c r="E3358" s="21">
        <f>IF(D3358="?OLD","!!!","")</f>
        <v/>
      </c>
      <c r="F3358" s="22" t="str">
        <f>IF(OR(E3358="",E3358="!!!"),"",IF(NOT(ISNA(VLOOKUP(E3358,E$1:E3357,1,FALSE()))),"OLD",IF(AND(E3358&lt;&gt;"",E3358&lt;&gt;"!!!"),"NEW","")))</f>
        <v> </v>
      </c>
      <c r="G3358" s="23" t="str">
        <f>IF(OR(E3358="",E3358="!!!"),"",IF(OR(J3358=0,AND(J3358=1,K3358=1),AND(J3358=1,I3358="SBJ"),AND(J3358=1,I3358=0)),"?IN_FOCUS",IF(J3358&lt;=2,"?ACTIVATED",IF(J3358&lt;&gt;"","?FAMILIAR",IF(F3358="NEW",IF(ISNA(VLOOKUP(E3358,#REF!,1,FALSE())),"?TYPE_IDENTIFIABLE","?REFERENTIAL"),"_")))))</f>
        <v> </v>
      </c>
      <c r="H3358" s="24" t="str">
        <f>IF(J3358&lt;&gt;1,"",IF(I3358="SBJ","CB","?"))</f>
        <v> </v>
      </c>
      <c r="I3358" s="25" t="str">
        <f>IF(OR(E3358="",E3358="!!!",F3358="NEW"),"",INDEX(B3357:B$2,-1+SUMPRODUCT(MAX(ROW(E3357:E$2)*(E3358=E3357:E$2)))))</f>
        <v> </v>
      </c>
      <c r="J3358" s="25" t="str">
        <f>IF(OR(E3358="",E3358="!!!",F3358="NEW"),"",COUNTBLANK(OFFSET(A$1,,,SUMPRODUCT(MAX(ROW(E$2:E3358)*(E3358=E$2:E3358)))))-COUNTBLANK(OFFSET(A$1,,,SUMPRODUCT(MAX(ROW(E$1:E3357)*(E2=E$1:E3357))))))</f>
        <v> </v>
      </c>
      <c r="K3358" s="25" t="str">
        <f>IF(OR(E3358="",E3358="!!!",F3358="NEW"),"",INDEX(J$1:J3357,SUMPRODUCT(MAX(ROW(E$1:E3357)*(E3358=E$1:E3357)))))</f>
        <v> </v>
      </c>
      <c r="L3358" s="26"/>
    </row>
    <row r="3359" spans="1:12">
      <c r="A3359" s="20" t="s">
        <v>1347</v>
      </c>
      <c r="E3359" s="21">
        <f>IF(D3359="?OLD","!!!","")</f>
        <v/>
      </c>
      <c r="F3359" s="22" t="str">
        <f>IF(OR(E3359="",E3359="!!!"),"",IF(NOT(ISNA(VLOOKUP(E3359,E$1:E3358,1,FALSE()))),"OLD",IF(AND(E3359&lt;&gt;"",E3359&lt;&gt;"!!!"),"NEW","")))</f>
        <v> </v>
      </c>
      <c r="G3359" s="23" t="str">
        <f>IF(OR(E3359="",E3359="!!!"),"",IF(OR(J3359=0,AND(J3359=1,K3359=1),AND(J3359=1,I3359="SBJ"),AND(J3359=1,I3359=0)),"?IN_FOCUS",IF(J3359&lt;=2,"?ACTIVATED",IF(J3359&lt;&gt;"","?FAMILIAR",IF(F3359="NEW",IF(ISNA(VLOOKUP(E3359,#REF!,1,FALSE())),"?TYPE_IDENTIFIABLE","?REFERENTIAL"),"_")))))</f>
        <v> </v>
      </c>
      <c r="H3359" s="24" t="str">
        <f>IF(J3359&lt;&gt;1,"",IF(I3359="SBJ","CB","?"))</f>
        <v> </v>
      </c>
      <c r="I3359" s="25" t="str">
        <f>IF(OR(E3359="",E3359="!!!",F3359="NEW"),"",INDEX(B3358:B$2,-1+SUMPRODUCT(MAX(ROW(E3358:E$2)*(E3359=E3358:E$2)))))</f>
        <v> </v>
      </c>
      <c r="J3359" s="25" t="str">
        <f>IF(OR(E3359="",E3359="!!!",F3359="NEW"),"",COUNTBLANK(OFFSET(A$1,,,SUMPRODUCT(MAX(ROW(E$2:E3359)*(E3359=E$2:E3359)))))-COUNTBLANK(OFFSET(A$1,,,SUMPRODUCT(MAX(ROW(E$1:E3358)*(E2=E$1:E3358))))))</f>
        <v> </v>
      </c>
      <c r="K3359" s="25" t="str">
        <f>IF(OR(E3359="",E3359="!!!",F3359="NEW"),"",INDEX(J$1:J3358,SUMPRODUCT(MAX(ROW(E$1:E3358)*(E3359=E$1:E3358)))))</f>
        <v> </v>
      </c>
      <c r="L3359" s="26"/>
    </row>
    <row r="3360" spans="1:12">
      <c r="A3360" s="20" t="s">
        <v>135</v>
      </c>
      <c r="E3360" s="21">
        <f>IF(D3360="?OLD","!!!","")</f>
        <v/>
      </c>
      <c r="F3360" s="22" t="str">
        <f>IF(OR(E3360="",E3360="!!!"),"",IF(NOT(ISNA(VLOOKUP(E3360,E$1:E3359,1,FALSE()))),"OLD",IF(AND(E3360&lt;&gt;"",E3360&lt;&gt;"!!!"),"NEW","")))</f>
        <v> </v>
      </c>
      <c r="G3360" s="23" t="str">
        <f>IF(OR(E3360="",E3360="!!!"),"",IF(OR(J3360=0,AND(J3360=1,K3360=1),AND(J3360=1,I3360="SBJ"),AND(J3360=1,I3360=0)),"?IN_FOCUS",IF(J3360&lt;=2,"?ACTIVATED",IF(J3360&lt;&gt;"","?FAMILIAR",IF(F3360="NEW",IF(ISNA(VLOOKUP(E3360,#REF!,1,FALSE())),"?TYPE_IDENTIFIABLE","?REFERENTIAL"),"_")))))</f>
        <v> </v>
      </c>
      <c r="H3360" s="24" t="str">
        <f>IF(J3360&lt;&gt;1,"",IF(I3360="SBJ","CB","?"))</f>
        <v> </v>
      </c>
      <c r="I3360" s="25" t="str">
        <f>IF(OR(E3360="",E3360="!!!",F3360="NEW"),"",INDEX(B3359:B$2,-1+SUMPRODUCT(MAX(ROW(E3359:E$2)*(E3360=E3359:E$2)))))</f>
        <v> </v>
      </c>
      <c r="J3360" s="25" t="str">
        <f>IF(OR(E3360="",E3360="!!!",F3360="NEW"),"",COUNTBLANK(OFFSET(A$1,,,SUMPRODUCT(MAX(ROW(E$2:E3360)*(E3360=E$2:E3360)))))-COUNTBLANK(OFFSET(A$1,,,SUMPRODUCT(MAX(ROW(E$1:E3359)*(E2=E$1:E3359))))))</f>
        <v> </v>
      </c>
      <c r="K3360" s="25" t="str">
        <f>IF(OR(E3360="",E3360="!!!",F3360="NEW"),"",INDEX(J$1:J3359,SUMPRODUCT(MAX(ROW(E$1:E3359)*(E3360=E$1:E3359)))))</f>
        <v> </v>
      </c>
      <c r="L3360" s="26"/>
    </row>
    <row r="3361" spans="1:12">
      <c r="A3361" s="20"/>
    </row>
    <row r="3362" spans="1:12">
      <c r="A3362" s="20" t="s">
        <v>2181</v>
      </c>
    </row>
    <row r="3363" spans="1:12">
      <c r="A3363" s="20" t="s">
        <v>2027</v>
      </c>
      <c r="E3363" s="21">
        <f>IF(D3363="?OLD","!!!","")</f>
        <v/>
      </c>
      <c r="F3363" s="22" t="str">
        <f>IF(OR(E3363="",E3363="!!!"),"",IF(NOT(ISNA(VLOOKUP(E3363,E$1:E3362,1,FALSE()))),"OLD",IF(AND(E3363&lt;&gt;"",E3363&lt;&gt;"!!!"),"NEW","")))</f>
        <v> </v>
      </c>
      <c r="G3363" s="23" t="str">
        <f>IF(OR(E3363="",E3363="!!!"),"",IF(OR(J3363=0,AND(J3363=1,K3363=1),AND(J3363=1,I3363="SBJ"),AND(J3363=1,I3363=0)),"?IN_FOCUS",IF(J3363&lt;=2,"?ACTIVATED",IF(J3363&lt;&gt;"","?FAMILIAR",IF(F3363="NEW",IF(ISNA(VLOOKUP(E3363,#REF!,1,FALSE())),"?TYPE_IDENTIFIABLE","?REFERENTIAL"),"_")))))</f>
        <v> </v>
      </c>
      <c r="H3363" s="24" t="str">
        <f>IF(J3363&lt;&gt;1,"",IF(I3363="SBJ","CB","?"))</f>
        <v> </v>
      </c>
      <c r="I3363" s="25" t="str">
        <f>IF(OR(E3363="",E3363="!!!",F3363="NEW"),"",INDEX(B3362:B$2,-1+SUMPRODUCT(MAX(ROW(E3362:E$2)*(E3363=E3362:E$2)))))</f>
        <v> </v>
      </c>
      <c r="J3363" s="25" t="str">
        <f>IF(OR(E3363="",E3363="!!!",F3363="NEW"),"",COUNTBLANK(OFFSET(A$1,,,SUMPRODUCT(MAX(ROW(E$2:E3363)*(E3363=E$2:E3363)))))-COUNTBLANK(OFFSET(A$1,,,SUMPRODUCT(MAX(ROW(E$1:E3362)*(E2=E$1:E3362))))))</f>
        <v> </v>
      </c>
      <c r="K3363" s="25" t="str">
        <f>IF(OR(E3363="",E3363="!!!",F3363="NEW"),"",INDEX(J$1:J3362,SUMPRODUCT(MAX(ROW(E$1:E3362)*(E3363=E$1:E3362)))))</f>
        <v> </v>
      </c>
      <c r="L3363" s="26"/>
    </row>
    <row r="3364" spans="1:12">
      <c r="A3364" s="20" t="s">
        <v>1598</v>
      </c>
      <c r="B3364" s="27" t="s">
        <v>1014</v>
      </c>
      <c r="C3364" s="27" t="s">
        <v>1015</v>
      </c>
      <c r="E3364" s="21">
        <f>IF(D3364="?OLD","!!!","")</f>
        <v/>
      </c>
      <c r="F3364" s="22" t="str">
        <f>IF(OR(E3364="",E3364="!!!"),"",IF(NOT(ISNA(VLOOKUP(E3364,E$1:E3363,1,FALSE()))),"OLD",IF(AND(E3364&lt;&gt;"",E3364&lt;&gt;"!!!"),"NEW","")))</f>
        <v> </v>
      </c>
      <c r="G3364" s="23" t="str">
        <f>IF(OR(E3364="",E3364="!!!"),"",IF(OR(J3364=0,AND(J3364=1,K3364=1),AND(J3364=1,I3364="SBJ"),AND(J3364=1,I3364=0)),"?IN_FOCUS",IF(J3364&lt;=2,"?ACTIVATED",IF(J3364&lt;&gt;"","?FAMILIAR",IF(F3364="NEW",IF(ISNA(VLOOKUP(E3364,#REF!,1,FALSE())),"?TYPE_IDENTIFIABLE","?REFERENTIAL"),"_")))))</f>
        <v> </v>
      </c>
      <c r="H3364" s="24" t="str">
        <f>IF(J3364&lt;&gt;1,"",IF(I3364="SBJ","CB","?"))</f>
        <v> </v>
      </c>
      <c r="I3364" s="25" t="str">
        <f>IF(OR(E3364="",E3364="!!!",F3364="NEW"),"",INDEX(B3363:B$2,-1+SUMPRODUCT(MAX(ROW(E3363:E$2)*(E3364=E3363:E$2)))))</f>
        <v> </v>
      </c>
      <c r="J3364" s="25" t="str">
        <f>IF(OR(E3364="",E3364="!!!",F3364="NEW"),"",COUNTBLANK(OFFSET(A$1,,,SUMPRODUCT(MAX(ROW(E$2:E3364)*(E3364=E$2:E3364)))))-COUNTBLANK(OFFSET(A$1,,,SUMPRODUCT(MAX(ROW(E$1:E3363)*(E2=E$1:E3363))))))</f>
        <v> </v>
      </c>
      <c r="K3364" s="25" t="str">
        <f>IF(OR(E3364="",E3364="!!!",F3364="NEW"),"",INDEX(J$1:J3363,SUMPRODUCT(MAX(ROW(E$1:E3363)*(E3364=E$1:E3363)))))</f>
        <v> </v>
      </c>
      <c r="L3364" s="26"/>
    </row>
    <row r="3365" spans="1:12">
      <c r="A3365" s="20" t="s">
        <v>135</v>
      </c>
      <c r="E3365" s="21">
        <f>IF(D3365="?OLD","!!!","")</f>
        <v/>
      </c>
      <c r="F3365" s="22" t="str">
        <f>IF(OR(E3365="",E3365="!!!"),"",IF(NOT(ISNA(VLOOKUP(E3365,E$1:E3364,1,FALSE()))),"OLD",IF(AND(E3365&lt;&gt;"",E3365&lt;&gt;"!!!"),"NEW","")))</f>
        <v> </v>
      </c>
      <c r="G3365" s="23" t="str">
        <f>IF(OR(E3365="",E3365="!!!"),"",IF(OR(J3365=0,AND(J3365=1,K3365=1),AND(J3365=1,I3365="SBJ"),AND(J3365=1,I3365=0)),"?IN_FOCUS",IF(J3365&lt;=2,"?ACTIVATED",IF(J3365&lt;&gt;"","?FAMILIAR",IF(F3365="NEW",IF(ISNA(VLOOKUP(E3365,#REF!,1,FALSE())),"?TYPE_IDENTIFIABLE","?REFERENTIAL"),"_")))))</f>
        <v> </v>
      </c>
      <c r="H3365" s="24" t="str">
        <f>IF(J3365&lt;&gt;1,"",IF(I3365="SBJ","CB","?"))</f>
        <v> </v>
      </c>
      <c r="I3365" s="25" t="str">
        <f>IF(OR(E3365="",E3365="!!!",F3365="NEW"),"",INDEX(B3364:B$2,-1+SUMPRODUCT(MAX(ROW(E3364:E$2)*(E3365=E3364:E$2)))))</f>
        <v> </v>
      </c>
      <c r="J3365" s="25" t="str">
        <f>IF(OR(E3365="",E3365="!!!",F3365="NEW"),"",COUNTBLANK(OFFSET(A$1,,,SUMPRODUCT(MAX(ROW(E$2:E3365)*(E3365=E$2:E3365)))))-COUNTBLANK(OFFSET(A$1,,,SUMPRODUCT(MAX(ROW(E$1:E3364)*(E2=E$1:E3364))))))</f>
        <v> </v>
      </c>
      <c r="K3365" s="25" t="str">
        <f>IF(OR(E3365="",E3365="!!!",F3365="NEW"),"",INDEX(J$1:J3364,SUMPRODUCT(MAX(ROW(E$1:E3364)*(E3365=E$1:E3364)))))</f>
        <v> </v>
      </c>
      <c r="L3365" s="26"/>
    </row>
    <row r="3366" spans="1:12">
      <c r="A3366" s="20"/>
    </row>
    <row r="3367" spans="1:12">
      <c r="A3367" s="20" t="s">
        <v>2182</v>
      </c>
    </row>
    <row r="3368" spans="1:12">
      <c r="A3368" s="20" t="s">
        <v>1012</v>
      </c>
      <c r="E3368" s="21">
        <f>IF(D3368="?OLD","!!!","")</f>
        <v/>
      </c>
      <c r="F3368" s="22" t="str">
        <f>IF(OR(E3368="",E3368="!!!"),"",IF(NOT(ISNA(VLOOKUP(E3368,E$1:E3367,1,FALSE()))),"OLD",IF(AND(E3368&lt;&gt;"",E3368&lt;&gt;"!!!"),"NEW","")))</f>
        <v> </v>
      </c>
      <c r="G3368" s="23" t="str">
        <f>IF(OR(E3368="",E3368="!!!"),"",IF(OR(J3368=0,AND(J3368=1,K3368=1),AND(J3368=1,I3368="SBJ"),AND(J3368=1,I3368=0)),"?IN_FOCUS",IF(J3368&lt;=2,"?ACTIVATED",IF(J3368&lt;&gt;"","?FAMILIAR",IF(F3368="NEW",IF(ISNA(VLOOKUP(E3368,#REF!,1,FALSE())),"?TYPE_IDENTIFIABLE","?REFERENTIAL"),"_")))))</f>
        <v> </v>
      </c>
      <c r="H3368" s="24" t="str">
        <f>IF(J3368&lt;&gt;1,"",IF(I3368="SBJ","CB","?"))</f>
        <v> </v>
      </c>
      <c r="I3368" s="25" t="str">
        <f>IF(OR(E3368="",E3368="!!!",F3368="NEW"),"",INDEX(B3367:B$2,-1+SUMPRODUCT(MAX(ROW(E3367:E$2)*(E3368=E3367:E$2)))))</f>
        <v> </v>
      </c>
      <c r="J3368" s="25" t="str">
        <f>IF(OR(E3368="",E3368="!!!",F3368="NEW"),"",COUNTBLANK(OFFSET(A$1,,,SUMPRODUCT(MAX(ROW(E$2:E3368)*(E3368=E$2:E3368)))))-COUNTBLANK(OFFSET(A$1,,,SUMPRODUCT(MAX(ROW(E$1:E3367)*(E2=E$1:E3367))))))</f>
        <v> </v>
      </c>
      <c r="K3368" s="25" t="str">
        <f>IF(OR(E3368="",E3368="!!!",F3368="NEW"),"",INDEX(J$1:J3367,SUMPRODUCT(MAX(ROW(E$1:E3367)*(E3368=E$1:E3367)))))</f>
        <v> </v>
      </c>
      <c r="L3368" s="26"/>
    </row>
    <row r="3369" spans="1:12">
      <c r="A3369" s="20" t="s">
        <v>1752</v>
      </c>
      <c r="B3369" s="27" t="s">
        <v>1014</v>
      </c>
      <c r="C3369" s="27" t="s">
        <v>1042</v>
      </c>
      <c r="E3369" s="21">
        <f>IF(D3369="?OLD","!!!","")</f>
        <v/>
      </c>
      <c r="F3369" s="22" t="str">
        <f>IF(OR(E3369="",E3369="!!!"),"",IF(NOT(ISNA(VLOOKUP(E3369,E$1:E3368,1,FALSE()))),"OLD",IF(AND(E3369&lt;&gt;"",E3369&lt;&gt;"!!!"),"NEW","")))</f>
        <v> </v>
      </c>
      <c r="G3369" s="23" t="str">
        <f>IF(OR(E3369="",E3369="!!!"),"",IF(OR(J3369=0,AND(J3369=1,K3369=1),AND(J3369=1,I3369="SBJ"),AND(J3369=1,I3369=0)),"?IN_FOCUS",IF(J3369&lt;=2,"?ACTIVATED",IF(J3369&lt;&gt;"","?FAMILIAR",IF(F3369="NEW",IF(ISNA(VLOOKUP(E3369,#REF!,1,FALSE())),"?TYPE_IDENTIFIABLE","?REFERENTIAL"),"_")))))</f>
        <v> </v>
      </c>
      <c r="H3369" s="24" t="str">
        <f>IF(J3369&lt;&gt;1,"",IF(I3369="SBJ","CB","?"))</f>
        <v> </v>
      </c>
      <c r="I3369" s="25" t="str">
        <f>IF(OR(E3369="",E3369="!!!",F3369="NEW"),"",INDEX(B3368:B$2,-1+SUMPRODUCT(MAX(ROW(E3368:E$2)*(E3369=E3368:E$2)))))</f>
        <v> </v>
      </c>
      <c r="J3369" s="25" t="str">
        <f>IF(OR(E3369="",E3369="!!!",F3369="NEW"),"",COUNTBLANK(OFFSET(A$1,,,SUMPRODUCT(MAX(ROW(E$2:E3369)*(E3369=E$2:E3369)))))-COUNTBLANK(OFFSET(A$1,,,SUMPRODUCT(MAX(ROW(E$1:E3368)*(E2=E$1:E3368))))))</f>
        <v> </v>
      </c>
      <c r="K3369" s="25" t="str">
        <f>IF(OR(E3369="",E3369="!!!",F3369="NEW"),"",INDEX(J$1:J3368,SUMPRODUCT(MAX(ROW(E$1:E3368)*(E3369=E$1:E3368)))))</f>
        <v> </v>
      </c>
      <c r="L3369" s="26"/>
    </row>
    <row r="3370" spans="1:12">
      <c r="A3370" s="20" t="s">
        <v>135</v>
      </c>
      <c r="E3370" s="21">
        <f>IF(D3370="?OLD","!!!","")</f>
        <v/>
      </c>
      <c r="F3370" s="22" t="str">
        <f>IF(OR(E3370="",E3370="!!!"),"",IF(NOT(ISNA(VLOOKUP(E3370,E$1:E3369,1,FALSE()))),"OLD",IF(AND(E3370&lt;&gt;"",E3370&lt;&gt;"!!!"),"NEW","")))</f>
        <v> </v>
      </c>
      <c r="G3370" s="23" t="str">
        <f>IF(OR(E3370="",E3370="!!!"),"",IF(OR(J3370=0,AND(J3370=1,K3370=1),AND(J3370=1,I3370="SBJ"),AND(J3370=1,I3370=0)),"?IN_FOCUS",IF(J3370&lt;=2,"?ACTIVATED",IF(J3370&lt;&gt;"","?FAMILIAR",IF(F3370="NEW",IF(ISNA(VLOOKUP(E3370,#REF!,1,FALSE())),"?TYPE_IDENTIFIABLE","?REFERENTIAL"),"_")))))</f>
        <v> </v>
      </c>
      <c r="H3370" s="24" t="str">
        <f>IF(J3370&lt;&gt;1,"",IF(I3370="SBJ","CB","?"))</f>
        <v> </v>
      </c>
      <c r="I3370" s="25" t="str">
        <f>IF(OR(E3370="",E3370="!!!",F3370="NEW"),"",INDEX(B3369:B$2,-1+SUMPRODUCT(MAX(ROW(E3369:E$2)*(E3370=E3369:E$2)))))</f>
        <v> </v>
      </c>
      <c r="J3370" s="25" t="str">
        <f>IF(OR(E3370="",E3370="!!!",F3370="NEW"),"",COUNTBLANK(OFFSET(A$1,,,SUMPRODUCT(MAX(ROW(E$2:E3370)*(E3370=E$2:E3370)))))-COUNTBLANK(OFFSET(A$1,,,SUMPRODUCT(MAX(ROW(E$1:E3369)*(E2=E$1:E3369))))))</f>
        <v> </v>
      </c>
      <c r="K3370" s="25" t="str">
        <f>IF(OR(E3370="",E3370="!!!",F3370="NEW"),"",INDEX(J$1:J3369,SUMPRODUCT(MAX(ROW(E$1:E3369)*(E3370=E$1:E3369)))))</f>
        <v> </v>
      </c>
      <c r="L3370" s="26"/>
    </row>
    <row r="3371" spans="1:12">
      <c r="A3371" s="20"/>
    </row>
    <row r="3372" spans="1:12">
      <c r="A3372" s="20" t="s">
        <v>2183</v>
      </c>
    </row>
    <row r="3373" spans="1:12">
      <c r="A3373" s="20" t="s">
        <v>1699</v>
      </c>
      <c r="E3373" s="21">
        <f>IF(D3373="?OLD","!!!","")</f>
        <v/>
      </c>
      <c r="F3373" s="22" t="str">
        <f>IF(OR(E3373="",E3373="!!!"),"",IF(NOT(ISNA(VLOOKUP(E3373,E$1:E3372,1,FALSE()))),"OLD",IF(AND(E3373&lt;&gt;"",E3373&lt;&gt;"!!!"),"NEW","")))</f>
        <v> </v>
      </c>
      <c r="G3373" s="23" t="str">
        <f>IF(OR(E3373="",E3373="!!!"),"",IF(OR(J3373=0,AND(J3373=1,K3373=1),AND(J3373=1,I3373="SBJ"),AND(J3373=1,I3373=0)),"?IN_FOCUS",IF(J3373&lt;=2,"?ACTIVATED",IF(J3373&lt;&gt;"","?FAMILIAR",IF(F3373="NEW",IF(ISNA(VLOOKUP(E3373,#REF!,1,FALSE())),"?TYPE_IDENTIFIABLE","?REFERENTIAL"),"_")))))</f>
        <v> </v>
      </c>
      <c r="H3373" s="24" t="str">
        <f>IF(J3373&lt;&gt;1,"",IF(I3373="SBJ","CB","?"))</f>
        <v> </v>
      </c>
      <c r="I3373" s="25" t="str">
        <f>IF(OR(E3373="",E3373="!!!",F3373="NEW"),"",INDEX(B3372:B$2,-1+SUMPRODUCT(MAX(ROW(E3372:E$2)*(E3373=E3372:E$2)))))</f>
        <v> </v>
      </c>
      <c r="J3373" s="25" t="str">
        <f>IF(OR(E3373="",E3373="!!!",F3373="NEW"),"",COUNTBLANK(OFFSET(A$1,,,SUMPRODUCT(MAX(ROW(E$2:E3373)*(E3373=E$2:E3373)))))-COUNTBLANK(OFFSET(A$1,,,SUMPRODUCT(MAX(ROW(E$1:E3372)*(E2=E$1:E3372))))))</f>
        <v> </v>
      </c>
      <c r="K3373" s="25" t="str">
        <f>IF(OR(E3373="",E3373="!!!",F3373="NEW"),"",INDEX(J$1:J3372,SUMPRODUCT(MAX(ROW(E$1:E3372)*(E3373=E$1:E3372)))))</f>
        <v> </v>
      </c>
      <c r="L3373" s="26"/>
    </row>
    <row r="3374" spans="1:12">
      <c r="A3374" s="20" t="s">
        <v>481</v>
      </c>
      <c r="E3374" s="21">
        <f>IF(D3374="?OLD","!!!","")</f>
        <v/>
      </c>
      <c r="F3374" s="22" t="str">
        <f>IF(OR(E3374="",E3374="!!!"),"",IF(NOT(ISNA(VLOOKUP(E3374,E$1:E3373,1,FALSE()))),"OLD",IF(AND(E3374&lt;&gt;"",E3374&lt;&gt;"!!!"),"NEW","")))</f>
        <v> </v>
      </c>
      <c r="G3374" s="23" t="str">
        <f>IF(OR(E3374="",E3374="!!!"),"",IF(OR(J3374=0,AND(J3374=1,K3374=1),AND(J3374=1,I3374="SBJ"),AND(J3374=1,I3374=0)),"?IN_FOCUS",IF(J3374&lt;=2,"?ACTIVATED",IF(J3374&lt;&gt;"","?FAMILIAR",IF(F3374="NEW",IF(ISNA(VLOOKUP(E3374,#REF!,1,FALSE())),"?TYPE_IDENTIFIABLE","?REFERENTIAL"),"_")))))</f>
        <v> </v>
      </c>
      <c r="H3374" s="24" t="str">
        <f>IF(J3374&lt;&gt;1,"",IF(I3374="SBJ","CB","?"))</f>
        <v> </v>
      </c>
      <c r="I3374" s="25" t="str">
        <f>IF(OR(E3374="",E3374="!!!",F3374="NEW"),"",INDEX(B3373:B$2,-1+SUMPRODUCT(MAX(ROW(E3373:E$2)*(E3374=E3373:E$2)))))</f>
        <v> </v>
      </c>
      <c r="J3374" s="25" t="str">
        <f>IF(OR(E3374="",E3374="!!!",F3374="NEW"),"",COUNTBLANK(OFFSET(A$1,,,SUMPRODUCT(MAX(ROW(E$2:E3374)*(E3374=E$2:E3374)))))-COUNTBLANK(OFFSET(A$1,,,SUMPRODUCT(MAX(ROW(E$1:E3373)*(E2=E$1:E3373))))))</f>
        <v> </v>
      </c>
      <c r="K3374" s="25" t="str">
        <f>IF(OR(E3374="",E3374="!!!",F3374="NEW"),"",INDEX(J$1:J3373,SUMPRODUCT(MAX(ROW(E$1:E3373)*(E3374=E$1:E3373)))))</f>
        <v> </v>
      </c>
      <c r="L3374" s="26"/>
    </row>
    <row r="3375" spans="1:12">
      <c r="A3375" s="20" t="s">
        <v>1022</v>
      </c>
      <c r="E3375" s="21">
        <f>IF(D3375="?OLD","!!!","")</f>
        <v/>
      </c>
      <c r="F3375" s="22" t="str">
        <f>IF(OR(E3375="",E3375="!!!"),"",IF(NOT(ISNA(VLOOKUP(E3375,E$1:E3374,1,FALSE()))),"OLD",IF(AND(E3375&lt;&gt;"",E3375&lt;&gt;"!!!"),"NEW","")))</f>
        <v> </v>
      </c>
      <c r="G3375" s="23" t="str">
        <f>IF(OR(E3375="",E3375="!!!"),"",IF(OR(J3375=0,AND(J3375=1,K3375=1),AND(J3375=1,I3375="SBJ"),AND(J3375=1,I3375=0)),"?IN_FOCUS",IF(J3375&lt;=2,"?ACTIVATED",IF(J3375&lt;&gt;"","?FAMILIAR",IF(F3375="NEW",IF(ISNA(VLOOKUP(E3375,#REF!,1,FALSE())),"?TYPE_IDENTIFIABLE","?REFERENTIAL"),"_")))))</f>
        <v> </v>
      </c>
      <c r="H3375" s="24" t="str">
        <f>IF(J3375&lt;&gt;1,"",IF(I3375="SBJ","CB","?"))</f>
        <v> </v>
      </c>
      <c r="I3375" s="25" t="str">
        <f>IF(OR(E3375="",E3375="!!!",F3375="NEW"),"",INDEX(B3374:B$2,-1+SUMPRODUCT(MAX(ROW(E3374:E$2)*(E3375=E3374:E$2)))))</f>
        <v> </v>
      </c>
      <c r="J3375" s="25" t="str">
        <f>IF(OR(E3375="",E3375="!!!",F3375="NEW"),"",COUNTBLANK(OFFSET(A$1,,,SUMPRODUCT(MAX(ROW(E$2:E3375)*(E3375=E$2:E3375)))))-COUNTBLANK(OFFSET(A$1,,,SUMPRODUCT(MAX(ROW(E$1:E3374)*(E2=E$1:E3374))))))</f>
        <v> </v>
      </c>
      <c r="K3375" s="25" t="str">
        <f>IF(OR(E3375="",E3375="!!!",F3375="NEW"),"",INDEX(J$1:J3374,SUMPRODUCT(MAX(ROW(E$1:E3374)*(E3375=E$1:E3374)))))</f>
        <v> </v>
      </c>
      <c r="L3375" s="26"/>
    </row>
    <row r="3376" spans="1:12">
      <c r="A3376" s="20" t="s">
        <v>1237</v>
      </c>
      <c r="E3376" s="21">
        <f>IF(D3376="?OLD","!!!","")</f>
        <v/>
      </c>
      <c r="F3376" s="22" t="str">
        <f>IF(OR(E3376="",E3376="!!!"),"",IF(NOT(ISNA(VLOOKUP(E3376,E$1:E3375,1,FALSE()))),"OLD",IF(AND(E3376&lt;&gt;"",E3376&lt;&gt;"!!!"),"NEW","")))</f>
        <v> </v>
      </c>
      <c r="G3376" s="23" t="str">
        <f>IF(OR(E3376="",E3376="!!!"),"",IF(OR(J3376=0,AND(J3376=1,K3376=1),AND(J3376=1,I3376="SBJ"),AND(J3376=1,I3376=0)),"?IN_FOCUS",IF(J3376&lt;=2,"?ACTIVATED",IF(J3376&lt;&gt;"","?FAMILIAR",IF(F3376="NEW",IF(ISNA(VLOOKUP(E3376,#REF!,1,FALSE())),"?TYPE_IDENTIFIABLE","?REFERENTIAL"),"_")))))</f>
        <v> </v>
      </c>
      <c r="H3376" s="24" t="str">
        <f>IF(J3376&lt;&gt;1,"",IF(I3376="SBJ","CB","?"))</f>
        <v> </v>
      </c>
      <c r="I3376" s="25" t="str">
        <f>IF(OR(E3376="",E3376="!!!",F3376="NEW"),"",INDEX(B3375:B$2,-1+SUMPRODUCT(MAX(ROW(E3375:E$2)*(E3376=E3375:E$2)))))</f>
        <v> </v>
      </c>
      <c r="J3376" s="25" t="str">
        <f>IF(OR(E3376="",E3376="!!!",F3376="NEW"),"",COUNTBLANK(OFFSET(A$1,,,SUMPRODUCT(MAX(ROW(E$2:E3376)*(E3376=E$2:E3376)))))-COUNTBLANK(OFFSET(A$1,,,SUMPRODUCT(MAX(ROW(E$1:E3375)*(E2=E$1:E3375))))))</f>
        <v> </v>
      </c>
      <c r="K3376" s="25" t="str">
        <f>IF(OR(E3376="",E3376="!!!",F3376="NEW"),"",INDEX(J$1:J3375,SUMPRODUCT(MAX(ROW(E$1:E3375)*(E3376=E$1:E3375)))))</f>
        <v> </v>
      </c>
      <c r="L3376" s="26"/>
    </row>
    <row r="3377" spans="1:12">
      <c r="A3377" s="20" t="s">
        <v>1160</v>
      </c>
      <c r="E3377" s="21">
        <f>IF(D3377="?OLD","!!!","")</f>
        <v/>
      </c>
      <c r="F3377" s="22" t="str">
        <f>IF(OR(E3377="",E3377="!!!"),"",IF(NOT(ISNA(VLOOKUP(E3377,E$1:E3376,1,FALSE()))),"OLD",IF(AND(E3377&lt;&gt;"",E3377&lt;&gt;"!!!"),"NEW","")))</f>
        <v> </v>
      </c>
      <c r="G3377" s="23" t="str">
        <f>IF(OR(E3377="",E3377="!!!"),"",IF(OR(J3377=0,AND(J3377=1,K3377=1),AND(J3377=1,I3377="SBJ"),AND(J3377=1,I3377=0)),"?IN_FOCUS",IF(J3377&lt;=2,"?ACTIVATED",IF(J3377&lt;&gt;"","?FAMILIAR",IF(F3377="NEW",IF(ISNA(VLOOKUP(E3377,#REF!,1,FALSE())),"?TYPE_IDENTIFIABLE","?REFERENTIAL"),"_")))))</f>
        <v> </v>
      </c>
      <c r="H3377" s="24" t="str">
        <f>IF(J3377&lt;&gt;1,"",IF(I3377="SBJ","CB","?"))</f>
        <v> </v>
      </c>
      <c r="I3377" s="25" t="str">
        <f>IF(OR(E3377="",E3377="!!!",F3377="NEW"),"",INDEX(B3376:B$2,-1+SUMPRODUCT(MAX(ROW(E3376:E$2)*(E3377=E3376:E$2)))))</f>
        <v> </v>
      </c>
      <c r="J3377" s="25" t="str">
        <f>IF(OR(E3377="",E3377="!!!",F3377="NEW"),"",COUNTBLANK(OFFSET(A$1,,,SUMPRODUCT(MAX(ROW(E$2:E3377)*(E3377=E$2:E3377)))))-COUNTBLANK(OFFSET(A$1,,,SUMPRODUCT(MAX(ROW(E$1:E3376)*(E2=E$1:E3376))))))</f>
        <v> </v>
      </c>
      <c r="K3377" s="25" t="str">
        <f>IF(OR(E3377="",E3377="!!!",F3377="NEW"),"",INDEX(J$1:J3376,SUMPRODUCT(MAX(ROW(E$1:E3376)*(E3377=E$1:E3376)))))</f>
        <v> </v>
      </c>
      <c r="L3377" s="26"/>
    </row>
    <row r="3378" spans="1:12">
      <c r="A3378" s="20" t="s">
        <v>2184</v>
      </c>
      <c r="E3378" s="21">
        <f>IF(D3378="?OLD","!!!","")</f>
        <v/>
      </c>
      <c r="F3378" s="22" t="str">
        <f>IF(OR(E3378="",E3378="!!!"),"",IF(NOT(ISNA(VLOOKUP(E3378,E$1:E3377,1,FALSE()))),"OLD",IF(AND(E3378&lt;&gt;"",E3378&lt;&gt;"!!!"),"NEW","")))</f>
        <v> </v>
      </c>
      <c r="G3378" s="23" t="str">
        <f>IF(OR(E3378="",E3378="!!!"),"",IF(OR(J3378=0,AND(J3378=1,K3378=1),AND(J3378=1,I3378="SBJ"),AND(J3378=1,I3378=0)),"?IN_FOCUS",IF(J3378&lt;=2,"?ACTIVATED",IF(J3378&lt;&gt;"","?FAMILIAR",IF(F3378="NEW",IF(ISNA(VLOOKUP(E3378,#REF!,1,FALSE())),"?TYPE_IDENTIFIABLE","?REFERENTIAL"),"_")))))</f>
        <v> </v>
      </c>
      <c r="H3378" s="24" t="str">
        <f>IF(J3378&lt;&gt;1,"",IF(I3378="SBJ","CB","?"))</f>
        <v> </v>
      </c>
      <c r="I3378" s="25" t="str">
        <f>IF(OR(E3378="",E3378="!!!",F3378="NEW"),"",INDEX(B3377:B$2,-1+SUMPRODUCT(MAX(ROW(E3377:E$2)*(E3378=E3377:E$2)))))</f>
        <v> </v>
      </c>
      <c r="J3378" s="25" t="str">
        <f>IF(OR(E3378="",E3378="!!!",F3378="NEW"),"",COUNTBLANK(OFFSET(A$1,,,SUMPRODUCT(MAX(ROW(E$2:E3378)*(E3378=E$2:E3378)))))-COUNTBLANK(OFFSET(A$1,,,SUMPRODUCT(MAX(ROW(E$1:E3377)*(E2=E$1:E3377))))))</f>
        <v> </v>
      </c>
      <c r="K3378" s="25" t="str">
        <f>IF(OR(E3378="",E3378="!!!",F3378="NEW"),"",INDEX(J$1:J3377,SUMPRODUCT(MAX(ROW(E$1:E3377)*(E3378=E$1:E3377)))))</f>
        <v> </v>
      </c>
      <c r="L3378" s="26"/>
    </row>
    <row r="3379" spans="1:12">
      <c r="A3379" s="20" t="s">
        <v>1524</v>
      </c>
      <c r="B3379" s="27" t="s">
        <v>1014</v>
      </c>
      <c r="C3379" s="27" t="s">
        <v>1021</v>
      </c>
      <c r="E3379" s="21">
        <f>IF(D3379="?OLD","!!!","")</f>
        <v/>
      </c>
      <c r="F3379" s="22" t="str">
        <f>IF(OR(E3379="",E3379="!!!"),"",IF(NOT(ISNA(VLOOKUP(E3379,E$1:E3378,1,FALSE()))),"OLD",IF(AND(E3379&lt;&gt;"",E3379&lt;&gt;"!!!"),"NEW","")))</f>
        <v> </v>
      </c>
      <c r="G3379" s="23" t="str">
        <f>IF(OR(E3379="",E3379="!!!"),"",IF(OR(J3379=0,AND(J3379=1,K3379=1),AND(J3379=1,I3379="SBJ"),AND(J3379=1,I3379=0)),"?IN_FOCUS",IF(J3379&lt;=2,"?ACTIVATED",IF(J3379&lt;&gt;"","?FAMILIAR",IF(F3379="NEW",IF(ISNA(VLOOKUP(E3379,#REF!,1,FALSE())),"?TYPE_IDENTIFIABLE","?REFERENTIAL"),"_")))))</f>
        <v> </v>
      </c>
      <c r="H3379" s="24" t="str">
        <f>IF(J3379&lt;&gt;1,"",IF(I3379="SBJ","CB","?"))</f>
        <v> </v>
      </c>
      <c r="I3379" s="25" t="str">
        <f>IF(OR(E3379="",E3379="!!!",F3379="NEW"),"",INDEX(B3378:B$2,-1+SUMPRODUCT(MAX(ROW(E3378:E$2)*(E3379=E3378:E$2)))))</f>
        <v> </v>
      </c>
      <c r="J3379" s="25" t="str">
        <f>IF(OR(E3379="",E3379="!!!",F3379="NEW"),"",COUNTBLANK(OFFSET(A$1,,,SUMPRODUCT(MAX(ROW(E$2:E3379)*(E3379=E$2:E3379)))))-COUNTBLANK(OFFSET(A$1,,,SUMPRODUCT(MAX(ROW(E$1:E3378)*(E2=E$1:E3378))))))</f>
        <v> </v>
      </c>
      <c r="K3379" s="25" t="str">
        <f>IF(OR(E3379="",E3379="!!!",F3379="NEW"),"",INDEX(J$1:J3378,SUMPRODUCT(MAX(ROW(E$1:E3378)*(E3379=E$1:E3378)))))</f>
        <v> </v>
      </c>
      <c r="L3379" s="26"/>
    </row>
    <row r="3380" spans="1:12">
      <c r="A3380" s="20" t="s">
        <v>2185</v>
      </c>
      <c r="E3380" s="21">
        <f>IF(D3380="?OLD","!!!","")</f>
        <v/>
      </c>
      <c r="F3380" s="22" t="str">
        <f>IF(OR(E3380="",E3380="!!!"),"",IF(NOT(ISNA(VLOOKUP(E3380,E$1:E3379,1,FALSE()))),"OLD",IF(AND(E3380&lt;&gt;"",E3380&lt;&gt;"!!!"),"NEW","")))</f>
        <v> </v>
      </c>
      <c r="G3380" s="23" t="str">
        <f>IF(OR(E3380="",E3380="!!!"),"",IF(OR(J3380=0,AND(J3380=1,K3380=1),AND(J3380=1,I3380="SBJ"),AND(J3380=1,I3380=0)),"?IN_FOCUS",IF(J3380&lt;=2,"?ACTIVATED",IF(J3380&lt;&gt;"","?FAMILIAR",IF(F3380="NEW",IF(ISNA(VLOOKUP(E3380,#REF!,1,FALSE())),"?TYPE_IDENTIFIABLE","?REFERENTIAL"),"_")))))</f>
        <v> </v>
      </c>
      <c r="H3380" s="24" t="str">
        <f>IF(J3380&lt;&gt;1,"",IF(I3380="SBJ","CB","?"))</f>
        <v> </v>
      </c>
      <c r="I3380" s="25" t="str">
        <f>IF(OR(E3380="",E3380="!!!",F3380="NEW"),"",INDEX(B3379:B$2,-1+SUMPRODUCT(MAX(ROW(E3379:E$2)*(E3380=E3379:E$2)))))</f>
        <v> </v>
      </c>
      <c r="J3380" s="25" t="str">
        <f>IF(OR(E3380="",E3380="!!!",F3380="NEW"),"",COUNTBLANK(OFFSET(A$1,,,SUMPRODUCT(MAX(ROW(E$2:E3380)*(E3380=E$2:E3380)))))-COUNTBLANK(OFFSET(A$1,,,SUMPRODUCT(MAX(ROW(E$1:E3379)*(E2=E$1:E3379))))))</f>
        <v> </v>
      </c>
      <c r="K3380" s="25" t="str">
        <f>IF(OR(E3380="",E3380="!!!",F3380="NEW"),"",INDEX(J$1:J3379,SUMPRODUCT(MAX(ROW(E$1:E3379)*(E3380=E$1:E3379)))))</f>
        <v> </v>
      </c>
      <c r="L3380" s="26"/>
    </row>
    <row r="3381" spans="1:12">
      <c r="A3381" s="20" t="s">
        <v>1022</v>
      </c>
      <c r="E3381" s="21">
        <f>IF(D3381="?OLD","!!!","")</f>
        <v/>
      </c>
      <c r="F3381" s="22" t="str">
        <f>IF(OR(E3381="",E3381="!!!"),"",IF(NOT(ISNA(VLOOKUP(E3381,E$1:E3380,1,FALSE()))),"OLD",IF(AND(E3381&lt;&gt;"",E3381&lt;&gt;"!!!"),"NEW","")))</f>
        <v> </v>
      </c>
      <c r="G3381" s="23" t="str">
        <f>IF(OR(E3381="",E3381="!!!"),"",IF(OR(J3381=0,AND(J3381=1,K3381=1),AND(J3381=1,I3381="SBJ"),AND(J3381=1,I3381=0)),"?IN_FOCUS",IF(J3381&lt;=2,"?ACTIVATED",IF(J3381&lt;&gt;"","?FAMILIAR",IF(F3381="NEW",IF(ISNA(VLOOKUP(E3381,#REF!,1,FALSE())),"?TYPE_IDENTIFIABLE","?REFERENTIAL"),"_")))))</f>
        <v> </v>
      </c>
      <c r="H3381" s="24" t="str">
        <f>IF(J3381&lt;&gt;1,"",IF(I3381="SBJ","CB","?"))</f>
        <v> </v>
      </c>
      <c r="I3381" s="25" t="str">
        <f>IF(OR(E3381="",E3381="!!!",F3381="NEW"),"",INDEX(B3380:B$2,-1+SUMPRODUCT(MAX(ROW(E3380:E$2)*(E3381=E3380:E$2)))))</f>
        <v> </v>
      </c>
      <c r="J3381" s="25" t="str">
        <f>IF(OR(E3381="",E3381="!!!",F3381="NEW"),"",COUNTBLANK(OFFSET(A$1,,,SUMPRODUCT(MAX(ROW(E$2:E3381)*(E3381=E$2:E3381)))))-COUNTBLANK(OFFSET(A$1,,,SUMPRODUCT(MAX(ROW(E$1:E3380)*(E2=E$1:E3380))))))</f>
        <v> </v>
      </c>
      <c r="K3381" s="25" t="str">
        <f>IF(OR(E3381="",E3381="!!!",F3381="NEW"),"",INDEX(J$1:J3380,SUMPRODUCT(MAX(ROW(E$1:E3380)*(E3381=E$1:E3380)))))</f>
        <v> </v>
      </c>
      <c r="L3381" s="26"/>
    </row>
    <row r="3382" spans="1:12">
      <c r="A3382" s="20" t="s">
        <v>1429</v>
      </c>
      <c r="E3382" s="21">
        <f>IF(D3382="?OLD","!!!","")</f>
        <v/>
      </c>
      <c r="F3382" s="22" t="str">
        <f>IF(OR(E3382="",E3382="!!!"),"",IF(NOT(ISNA(VLOOKUP(E3382,E$1:E3381,1,FALSE()))),"OLD",IF(AND(E3382&lt;&gt;"",E3382&lt;&gt;"!!!"),"NEW","")))</f>
        <v> </v>
      </c>
      <c r="G3382" s="23" t="str">
        <f>IF(OR(E3382="",E3382="!!!"),"",IF(OR(J3382=0,AND(J3382=1,K3382=1),AND(J3382=1,I3382="SBJ"),AND(J3382=1,I3382=0)),"?IN_FOCUS",IF(J3382&lt;=2,"?ACTIVATED",IF(J3382&lt;&gt;"","?FAMILIAR",IF(F3382="NEW",IF(ISNA(VLOOKUP(E3382,#REF!,1,FALSE())),"?TYPE_IDENTIFIABLE","?REFERENTIAL"),"_")))))</f>
        <v> </v>
      </c>
      <c r="H3382" s="24" t="str">
        <f>IF(J3382&lt;&gt;1,"",IF(I3382="SBJ","CB","?"))</f>
        <v> </v>
      </c>
      <c r="I3382" s="25" t="str">
        <f>IF(OR(E3382="",E3382="!!!",F3382="NEW"),"",INDEX(B3381:B$2,-1+SUMPRODUCT(MAX(ROW(E3381:E$2)*(E3382=E3381:E$2)))))</f>
        <v> </v>
      </c>
      <c r="J3382" s="25" t="str">
        <f>IF(OR(E3382="",E3382="!!!",F3382="NEW"),"",COUNTBLANK(OFFSET(A$1,,,SUMPRODUCT(MAX(ROW(E$2:E3382)*(E3382=E$2:E3382)))))-COUNTBLANK(OFFSET(A$1,,,SUMPRODUCT(MAX(ROW(E$1:E3381)*(E2=E$1:E3381))))))</f>
        <v> </v>
      </c>
      <c r="K3382" s="25" t="str">
        <f>IF(OR(E3382="",E3382="!!!",F3382="NEW"),"",INDEX(J$1:J3381,SUMPRODUCT(MAX(ROW(E$1:E3381)*(E3382=E$1:E3381)))))</f>
        <v> </v>
      </c>
      <c r="L3382" s="26"/>
    </row>
    <row r="3383" spans="1:12">
      <c r="A3383" s="20" t="s">
        <v>1057</v>
      </c>
      <c r="E3383" s="21">
        <f>IF(D3383="?OLD","!!!","")</f>
        <v/>
      </c>
      <c r="F3383" s="22" t="str">
        <f>IF(OR(E3383="",E3383="!!!"),"",IF(NOT(ISNA(VLOOKUP(E3383,E$1:E3382,1,FALSE()))),"OLD",IF(AND(E3383&lt;&gt;"",E3383&lt;&gt;"!!!"),"NEW","")))</f>
        <v> </v>
      </c>
      <c r="G3383" s="23" t="str">
        <f>IF(OR(E3383="",E3383="!!!"),"",IF(OR(J3383=0,AND(J3383=1,K3383=1),AND(J3383=1,I3383="SBJ"),AND(J3383=1,I3383=0)),"?IN_FOCUS",IF(J3383&lt;=2,"?ACTIVATED",IF(J3383&lt;&gt;"","?FAMILIAR",IF(F3383="NEW",IF(ISNA(VLOOKUP(E3383,#REF!,1,FALSE())),"?TYPE_IDENTIFIABLE","?REFERENTIAL"),"_")))))</f>
        <v> </v>
      </c>
      <c r="H3383" s="24" t="str">
        <f>IF(J3383&lt;&gt;1,"",IF(I3383="SBJ","CB","?"))</f>
        <v> </v>
      </c>
      <c r="I3383" s="25" t="str">
        <f>IF(OR(E3383="",E3383="!!!",F3383="NEW"),"",INDEX(B3382:B$2,-1+SUMPRODUCT(MAX(ROW(E3382:E$2)*(E3383=E3382:E$2)))))</f>
        <v> </v>
      </c>
      <c r="J3383" s="25" t="str">
        <f>IF(OR(E3383="",E3383="!!!",F3383="NEW"),"",COUNTBLANK(OFFSET(A$1,,,SUMPRODUCT(MAX(ROW(E$2:E3383)*(E3383=E$2:E3383)))))-COUNTBLANK(OFFSET(A$1,,,SUMPRODUCT(MAX(ROW(E$1:E3382)*(E2=E$1:E3382))))))</f>
        <v> </v>
      </c>
      <c r="K3383" s="25" t="str">
        <f>IF(OR(E3383="",E3383="!!!",F3383="NEW"),"",INDEX(J$1:J3382,SUMPRODUCT(MAX(ROW(E$1:E3382)*(E3383=E$1:E3382)))))</f>
        <v> </v>
      </c>
      <c r="L3383" s="26"/>
    </row>
    <row r="3384" spans="1:12">
      <c r="A3384" s="20" t="s">
        <v>1034</v>
      </c>
      <c r="E3384" s="21">
        <f>IF(D3384="?OLD","!!!","")</f>
        <v/>
      </c>
      <c r="F3384" s="22" t="str">
        <f>IF(OR(E3384="",E3384="!!!"),"",IF(NOT(ISNA(VLOOKUP(E3384,E$1:E3383,1,FALSE()))),"OLD",IF(AND(E3384&lt;&gt;"",E3384&lt;&gt;"!!!"),"NEW","")))</f>
        <v> </v>
      </c>
      <c r="G3384" s="23" t="str">
        <f>IF(OR(E3384="",E3384="!!!"),"",IF(OR(J3384=0,AND(J3384=1,K3384=1),AND(J3384=1,I3384="SBJ"),AND(J3384=1,I3384=0)),"?IN_FOCUS",IF(J3384&lt;=2,"?ACTIVATED",IF(J3384&lt;&gt;"","?FAMILIAR",IF(F3384="NEW",IF(ISNA(VLOOKUP(E3384,#REF!,1,FALSE())),"?TYPE_IDENTIFIABLE","?REFERENTIAL"),"_")))))</f>
        <v> </v>
      </c>
      <c r="H3384" s="24" t="str">
        <f>IF(J3384&lt;&gt;1,"",IF(I3384="SBJ","CB","?"))</f>
        <v> </v>
      </c>
      <c r="I3384" s="25" t="str">
        <f>IF(OR(E3384="",E3384="!!!",F3384="NEW"),"",INDEX(B3383:B$2,-1+SUMPRODUCT(MAX(ROW(E3383:E$2)*(E3384=E3383:E$2)))))</f>
        <v> </v>
      </c>
      <c r="J3384" s="25" t="str">
        <f>IF(OR(E3384="",E3384="!!!",F3384="NEW"),"",COUNTBLANK(OFFSET(A$1,,,SUMPRODUCT(MAX(ROW(E$2:E3384)*(E3384=E$2:E3384)))))-COUNTBLANK(OFFSET(A$1,,,SUMPRODUCT(MAX(ROW(E$1:E3383)*(E2=E$1:E3383))))))</f>
        <v> </v>
      </c>
      <c r="K3384" s="25" t="str">
        <f>IF(OR(E3384="",E3384="!!!",F3384="NEW"),"",INDEX(J$1:J3383,SUMPRODUCT(MAX(ROW(E$1:E3383)*(E3384=E$1:E3383)))))</f>
        <v> </v>
      </c>
      <c r="L3384" s="26"/>
    </row>
    <row r="3385" spans="1:12">
      <c r="A3385" s="20" t="s">
        <v>1571</v>
      </c>
      <c r="B3385" s="27" t="s">
        <v>1045</v>
      </c>
      <c r="C3385" s="27" t="s">
        <v>1204</v>
      </c>
      <c r="E3385" s="21">
        <f>IF(D3385="?OLD","!!!","")</f>
        <v/>
      </c>
      <c r="F3385" s="22" t="str">
        <f>IF(OR(E3385="",E3385="!!!"),"",IF(NOT(ISNA(VLOOKUP(E3385,E$1:E3384,1,FALSE()))),"OLD",IF(AND(E3385&lt;&gt;"",E3385&lt;&gt;"!!!"),"NEW","")))</f>
        <v> </v>
      </c>
      <c r="G3385" s="23" t="str">
        <f>IF(OR(E3385="",E3385="!!!"),"",IF(OR(J3385=0,AND(J3385=1,K3385=1),AND(J3385=1,I3385="SBJ"),AND(J3385=1,I3385=0)),"?IN_FOCUS",IF(J3385&lt;=2,"?ACTIVATED",IF(J3385&lt;&gt;"","?FAMILIAR",IF(F3385="NEW",IF(ISNA(VLOOKUP(E3385,#REF!,1,FALSE())),"?TYPE_IDENTIFIABLE","?REFERENTIAL"),"_")))))</f>
        <v> </v>
      </c>
      <c r="H3385" s="24" t="str">
        <f>IF(J3385&lt;&gt;1,"",IF(I3385="SBJ","CB","?"))</f>
        <v> </v>
      </c>
      <c r="I3385" s="25" t="str">
        <f>IF(OR(E3385="",E3385="!!!",F3385="NEW"),"",INDEX(B3384:B$2,-1+SUMPRODUCT(MAX(ROW(E3384:E$2)*(E3385=E3384:E$2)))))</f>
        <v> </v>
      </c>
      <c r="J3385" s="25" t="str">
        <f>IF(OR(E3385="",E3385="!!!",F3385="NEW"),"",COUNTBLANK(OFFSET(A$1,,,SUMPRODUCT(MAX(ROW(E$2:E3385)*(E3385=E$2:E3385)))))-COUNTBLANK(OFFSET(A$1,,,SUMPRODUCT(MAX(ROW(E$1:E3384)*(E2=E$1:E3384))))))</f>
        <v> </v>
      </c>
      <c r="K3385" s="25" t="str">
        <f>IF(OR(E3385="",E3385="!!!",F3385="NEW"),"",INDEX(J$1:J3384,SUMPRODUCT(MAX(ROW(E$1:E3384)*(E3385=E$1:E3384)))))</f>
        <v> </v>
      </c>
      <c r="L3385" s="26"/>
    </row>
    <row r="3386" spans="1:12">
      <c r="A3386" s="20" t="s">
        <v>135</v>
      </c>
      <c r="E3386" s="21">
        <f>IF(D3386="?OLD","!!!","")</f>
        <v/>
      </c>
      <c r="F3386" s="22" t="str">
        <f>IF(OR(E3386="",E3386="!!!"),"",IF(NOT(ISNA(VLOOKUP(E3386,E$1:E3385,1,FALSE()))),"OLD",IF(AND(E3386&lt;&gt;"",E3386&lt;&gt;"!!!"),"NEW","")))</f>
        <v> </v>
      </c>
      <c r="G3386" s="23" t="str">
        <f>IF(OR(E3386="",E3386="!!!"),"",IF(OR(J3386=0,AND(J3386=1,K3386=1),AND(J3386=1,I3386="SBJ"),AND(J3386=1,I3386=0)),"?IN_FOCUS",IF(J3386&lt;=2,"?ACTIVATED",IF(J3386&lt;&gt;"","?FAMILIAR",IF(F3386="NEW",IF(ISNA(VLOOKUP(E3386,#REF!,1,FALSE())),"?TYPE_IDENTIFIABLE","?REFERENTIAL"),"_")))))</f>
        <v> </v>
      </c>
      <c r="H3386" s="24" t="str">
        <f>IF(J3386&lt;&gt;1,"",IF(I3386="SBJ","CB","?"))</f>
        <v> </v>
      </c>
      <c r="I3386" s="25" t="str">
        <f>IF(OR(E3386="",E3386="!!!",F3386="NEW"),"",INDEX(B3385:B$2,-1+SUMPRODUCT(MAX(ROW(E3385:E$2)*(E3386=E3385:E$2)))))</f>
        <v> </v>
      </c>
      <c r="J3386" s="25" t="str">
        <f>IF(OR(E3386="",E3386="!!!",F3386="NEW"),"",COUNTBLANK(OFFSET(A$1,,,SUMPRODUCT(MAX(ROW(E$2:E3386)*(E3386=E$2:E3386)))))-COUNTBLANK(OFFSET(A$1,,,SUMPRODUCT(MAX(ROW(E$1:E3385)*(E2=E$1:E3385))))))</f>
        <v> </v>
      </c>
      <c r="K3386" s="25" t="str">
        <f>IF(OR(E3386="",E3386="!!!",F3386="NEW"),"",INDEX(J$1:J3385,SUMPRODUCT(MAX(ROW(E$1:E3385)*(E3386=E$1:E3385)))))</f>
        <v> </v>
      </c>
      <c r="L3386" s="26"/>
    </row>
    <row r="3387" spans="1:12">
      <c r="A3387" s="20"/>
    </row>
    <row r="3388" spans="1:12">
      <c r="A3388" s="20" t="s">
        <v>2186</v>
      </c>
    </row>
    <row r="3389" spans="1:12">
      <c r="A3389" s="20" t="s">
        <v>1088</v>
      </c>
      <c r="E3389" s="21">
        <f>IF(D3389="?OLD","!!!","")</f>
        <v/>
      </c>
      <c r="F3389" s="22" t="str">
        <f>IF(OR(E3389="",E3389="!!!"),"",IF(NOT(ISNA(VLOOKUP(E3389,E$1:E3388,1,FALSE()))),"OLD",IF(AND(E3389&lt;&gt;"",E3389&lt;&gt;"!!!"),"NEW","")))</f>
        <v> </v>
      </c>
      <c r="G3389" s="23" t="str">
        <f>IF(OR(E3389="",E3389="!!!"),"",IF(OR(J3389=0,AND(J3389=1,K3389=1),AND(J3389=1,I3389="SBJ"),AND(J3389=1,I3389=0)),"?IN_FOCUS",IF(J3389&lt;=2,"?ACTIVATED",IF(J3389&lt;&gt;"","?FAMILIAR",IF(F3389="NEW",IF(ISNA(VLOOKUP(E3389,#REF!,1,FALSE())),"?TYPE_IDENTIFIABLE","?REFERENTIAL"),"_")))))</f>
        <v> </v>
      </c>
      <c r="H3389" s="24" t="str">
        <f>IF(J3389&lt;&gt;1,"",IF(I3389="SBJ","CB","?"))</f>
        <v> </v>
      </c>
      <c r="I3389" s="25" t="str">
        <f>IF(OR(E3389="",E3389="!!!",F3389="NEW"),"",INDEX(B3388:B$2,-1+SUMPRODUCT(MAX(ROW(E3388:E$2)*(E3389=E3388:E$2)))))</f>
        <v> </v>
      </c>
      <c r="J3389" s="25" t="str">
        <f>IF(OR(E3389="",E3389="!!!",F3389="NEW"),"",COUNTBLANK(OFFSET(A$1,,,SUMPRODUCT(MAX(ROW(E$2:E3389)*(E3389=E$2:E3389)))))-COUNTBLANK(OFFSET(A$1,,,SUMPRODUCT(MAX(ROW(E$1:E3388)*(E2=E$1:E3388))))))</f>
        <v> </v>
      </c>
      <c r="K3389" s="25" t="str">
        <f>IF(OR(E3389="",E3389="!!!",F3389="NEW"),"",INDEX(J$1:J3388,SUMPRODUCT(MAX(ROW(E$1:E3388)*(E3389=E$1:E3388)))))</f>
        <v> </v>
      </c>
      <c r="L3389" s="26"/>
    </row>
    <row r="3390" spans="1:12">
      <c r="A3390" s="20" t="s">
        <v>1220</v>
      </c>
      <c r="E3390" s="21">
        <f>IF(D3390="?OLD","!!!","")</f>
        <v/>
      </c>
      <c r="F3390" s="22" t="str">
        <f>IF(OR(E3390="",E3390="!!!"),"",IF(NOT(ISNA(VLOOKUP(E3390,E$1:E3389,1,FALSE()))),"OLD",IF(AND(E3390&lt;&gt;"",E3390&lt;&gt;"!!!"),"NEW","")))</f>
        <v> </v>
      </c>
      <c r="G3390" s="23" t="str">
        <f>IF(OR(E3390="",E3390="!!!"),"",IF(OR(J3390=0,AND(J3390=1,K3390=1),AND(J3390=1,I3390="SBJ"),AND(J3390=1,I3390=0)),"?IN_FOCUS",IF(J3390&lt;=2,"?ACTIVATED",IF(J3390&lt;&gt;"","?FAMILIAR",IF(F3390="NEW",IF(ISNA(VLOOKUP(E3390,#REF!,1,FALSE())),"?TYPE_IDENTIFIABLE","?REFERENTIAL"),"_")))))</f>
        <v> </v>
      </c>
      <c r="H3390" s="24" t="str">
        <f>IF(J3390&lt;&gt;1,"",IF(I3390="SBJ","CB","?"))</f>
        <v> </v>
      </c>
      <c r="I3390" s="25" t="str">
        <f>IF(OR(E3390="",E3390="!!!",F3390="NEW"),"",INDEX(B3389:B$2,-1+SUMPRODUCT(MAX(ROW(E3389:E$2)*(E3390=E3389:E$2)))))</f>
        <v> </v>
      </c>
      <c r="J3390" s="25" t="str">
        <f>IF(OR(E3390="",E3390="!!!",F3390="NEW"),"",COUNTBLANK(OFFSET(A$1,,,SUMPRODUCT(MAX(ROW(E$2:E3390)*(E3390=E$2:E3390)))))-COUNTBLANK(OFFSET(A$1,,,SUMPRODUCT(MAX(ROW(E$1:E3389)*(E2=E$1:E3389))))))</f>
        <v> </v>
      </c>
      <c r="K3390" s="25" t="str">
        <f>IF(OR(E3390="",E3390="!!!",F3390="NEW"),"",INDEX(J$1:J3389,SUMPRODUCT(MAX(ROW(E$1:E3389)*(E3390=E$1:E3389)))))</f>
        <v> </v>
      </c>
      <c r="L3390" s="26"/>
    </row>
    <row r="3391" spans="1:12">
      <c r="A3391" s="20" t="s">
        <v>1667</v>
      </c>
      <c r="B3391" s="27" t="s">
        <v>1014</v>
      </c>
      <c r="C3391" s="27" t="s">
        <v>1042</v>
      </c>
      <c r="E3391" s="21">
        <f>IF(D3391="?OLD","!!!","")</f>
        <v/>
      </c>
      <c r="F3391" s="22" t="str">
        <f>IF(OR(E3391="",E3391="!!!"),"",IF(NOT(ISNA(VLOOKUP(E3391,E$1:E3390,1,FALSE()))),"OLD",IF(AND(E3391&lt;&gt;"",E3391&lt;&gt;"!!!"),"NEW","")))</f>
        <v> </v>
      </c>
      <c r="G3391" s="23" t="str">
        <f>IF(OR(E3391="",E3391="!!!"),"",IF(OR(J3391=0,AND(J3391=1,K3391=1),AND(J3391=1,I3391="SBJ"),AND(J3391=1,I3391=0)),"?IN_FOCUS",IF(J3391&lt;=2,"?ACTIVATED",IF(J3391&lt;&gt;"","?FAMILIAR",IF(F3391="NEW",IF(ISNA(VLOOKUP(E3391,#REF!,1,FALSE())),"?TYPE_IDENTIFIABLE","?REFERENTIAL"),"_")))))</f>
        <v> </v>
      </c>
      <c r="H3391" s="24" t="str">
        <f>IF(J3391&lt;&gt;1,"",IF(I3391="SBJ","CB","?"))</f>
        <v> </v>
      </c>
      <c r="I3391" s="25" t="str">
        <f>IF(OR(E3391="",E3391="!!!",F3391="NEW"),"",INDEX(B3390:B$2,-1+SUMPRODUCT(MAX(ROW(E3390:E$2)*(E3391=E3390:E$2)))))</f>
        <v> </v>
      </c>
      <c r="J3391" s="25" t="str">
        <f>IF(OR(E3391="",E3391="!!!",F3391="NEW"),"",COUNTBLANK(OFFSET(A$1,,,SUMPRODUCT(MAX(ROW(E$2:E3391)*(E3391=E$2:E3391)))))-COUNTBLANK(OFFSET(A$1,,,SUMPRODUCT(MAX(ROW(E$1:E3390)*(E2=E$1:E3390))))))</f>
        <v> </v>
      </c>
      <c r="K3391" s="25" t="str">
        <f>IF(OR(E3391="",E3391="!!!",F3391="NEW"),"",INDEX(J$1:J3390,SUMPRODUCT(MAX(ROW(E$1:E3390)*(E3391=E$1:E3390)))))</f>
        <v> </v>
      </c>
      <c r="L3391" s="26"/>
    </row>
    <row r="3392" spans="1:12">
      <c r="A3392" s="20" t="s">
        <v>1074</v>
      </c>
      <c r="E3392" s="21">
        <f>IF(D3392="?OLD","!!!","")</f>
        <v/>
      </c>
      <c r="F3392" s="22" t="str">
        <f>IF(OR(E3392="",E3392="!!!"),"",IF(NOT(ISNA(VLOOKUP(E3392,E$1:E3391,1,FALSE()))),"OLD",IF(AND(E3392&lt;&gt;"",E3392&lt;&gt;"!!!"),"NEW","")))</f>
        <v> </v>
      </c>
      <c r="G3392" s="23" t="str">
        <f>IF(OR(E3392="",E3392="!!!"),"",IF(OR(J3392=0,AND(J3392=1,K3392=1),AND(J3392=1,I3392="SBJ"),AND(J3392=1,I3392=0)),"?IN_FOCUS",IF(J3392&lt;=2,"?ACTIVATED",IF(J3392&lt;&gt;"","?FAMILIAR",IF(F3392="NEW",IF(ISNA(VLOOKUP(E3392,#REF!,1,FALSE())),"?TYPE_IDENTIFIABLE","?REFERENTIAL"),"_")))))</f>
        <v> </v>
      </c>
      <c r="H3392" s="24" t="str">
        <f>IF(J3392&lt;&gt;1,"",IF(I3392="SBJ","CB","?"))</f>
        <v> </v>
      </c>
      <c r="I3392" s="25" t="str">
        <f>IF(OR(E3392="",E3392="!!!",F3392="NEW"),"",INDEX(B3391:B$2,-1+SUMPRODUCT(MAX(ROW(E3391:E$2)*(E3392=E3391:E$2)))))</f>
        <v> </v>
      </c>
      <c r="J3392" s="25" t="str">
        <f>IF(OR(E3392="",E3392="!!!",F3392="NEW"),"",COUNTBLANK(OFFSET(A$1,,,SUMPRODUCT(MAX(ROW(E$2:E3392)*(E3392=E$2:E3392)))))-COUNTBLANK(OFFSET(A$1,,,SUMPRODUCT(MAX(ROW(E$1:E3391)*(E2=E$1:E3391))))))</f>
        <v> </v>
      </c>
      <c r="K3392" s="25" t="str">
        <f>IF(OR(E3392="",E3392="!!!",F3392="NEW"),"",INDEX(J$1:J3391,SUMPRODUCT(MAX(ROW(E$1:E3391)*(E3392=E$1:E3391)))))</f>
        <v> </v>
      </c>
      <c r="L3392" s="26"/>
    </row>
    <row r="3393" spans="1:12">
      <c r="A3393" s="20" t="s">
        <v>1094</v>
      </c>
      <c r="E3393" s="21">
        <f>IF(D3393="?OLD","!!!","")</f>
        <v/>
      </c>
      <c r="F3393" s="22" t="str">
        <f>IF(OR(E3393="",E3393="!!!"),"",IF(NOT(ISNA(VLOOKUP(E3393,E$1:E3392,1,FALSE()))),"OLD",IF(AND(E3393&lt;&gt;"",E3393&lt;&gt;"!!!"),"NEW","")))</f>
        <v> </v>
      </c>
      <c r="G3393" s="23" t="str">
        <f>IF(OR(E3393="",E3393="!!!"),"",IF(OR(J3393=0,AND(J3393=1,K3393=1),AND(J3393=1,I3393="SBJ"),AND(J3393=1,I3393=0)),"?IN_FOCUS",IF(J3393&lt;=2,"?ACTIVATED",IF(J3393&lt;&gt;"","?FAMILIAR",IF(F3393="NEW",IF(ISNA(VLOOKUP(E3393,#REF!,1,FALSE())),"?TYPE_IDENTIFIABLE","?REFERENTIAL"),"_")))))</f>
        <v> </v>
      </c>
      <c r="H3393" s="24" t="str">
        <f>IF(J3393&lt;&gt;1,"",IF(I3393="SBJ","CB","?"))</f>
        <v> </v>
      </c>
      <c r="I3393" s="25" t="str">
        <f>IF(OR(E3393="",E3393="!!!",F3393="NEW"),"",INDEX(B3392:B$2,-1+SUMPRODUCT(MAX(ROW(E3392:E$2)*(E3393=E3392:E$2)))))</f>
        <v> </v>
      </c>
      <c r="J3393" s="25" t="str">
        <f>IF(OR(E3393="",E3393="!!!",F3393="NEW"),"",COUNTBLANK(OFFSET(A$1,,,SUMPRODUCT(MAX(ROW(E$2:E3393)*(E3393=E$2:E3393)))))-COUNTBLANK(OFFSET(A$1,,,SUMPRODUCT(MAX(ROW(E$1:E3392)*(E2=E$1:E3392))))))</f>
        <v> </v>
      </c>
      <c r="K3393" s="25" t="str">
        <f>IF(OR(E3393="",E3393="!!!",F3393="NEW"),"",INDEX(J$1:J3392,SUMPRODUCT(MAX(ROW(E$1:E3392)*(E3393=E$1:E3392)))))</f>
        <v> </v>
      </c>
      <c r="L3393" s="26"/>
    </row>
    <row r="3394" spans="1:12">
      <c r="A3394" s="20" t="s">
        <v>12</v>
      </c>
      <c r="E3394" s="21">
        <f>IF(D3394="?OLD","!!!","")</f>
        <v/>
      </c>
      <c r="F3394" s="22" t="str">
        <f>IF(OR(E3394="",E3394="!!!"),"",IF(NOT(ISNA(VLOOKUP(E3394,E$1:E3393,1,FALSE()))),"OLD",IF(AND(E3394&lt;&gt;"",E3394&lt;&gt;"!!!"),"NEW","")))</f>
        <v> </v>
      </c>
      <c r="G3394" s="23" t="str">
        <f>IF(OR(E3394="",E3394="!!!"),"",IF(OR(J3394=0,AND(J3394=1,K3394=1),AND(J3394=1,I3394="SBJ"),AND(J3394=1,I3394=0)),"?IN_FOCUS",IF(J3394&lt;=2,"?ACTIVATED",IF(J3394&lt;&gt;"","?FAMILIAR",IF(F3394="NEW",IF(ISNA(VLOOKUP(E3394,#REF!,1,FALSE())),"?TYPE_IDENTIFIABLE","?REFERENTIAL"),"_")))))</f>
        <v> </v>
      </c>
      <c r="H3394" s="24" t="str">
        <f>IF(J3394&lt;&gt;1,"",IF(I3394="SBJ","CB","?"))</f>
        <v> </v>
      </c>
      <c r="I3394" s="25" t="str">
        <f>IF(OR(E3394="",E3394="!!!",F3394="NEW"),"",INDEX(B3393:B$2,-1+SUMPRODUCT(MAX(ROW(E3393:E$2)*(E3394=E3393:E$2)))))</f>
        <v> </v>
      </c>
      <c r="J3394" s="25" t="str">
        <f>IF(OR(E3394="",E3394="!!!",F3394="NEW"),"",COUNTBLANK(OFFSET(A$1,,,SUMPRODUCT(MAX(ROW(E$2:E3394)*(E3394=E$2:E3394)))))-COUNTBLANK(OFFSET(A$1,,,SUMPRODUCT(MAX(ROW(E$1:E3393)*(E2=E$1:E3393))))))</f>
        <v> </v>
      </c>
      <c r="K3394" s="25" t="str">
        <f>IF(OR(E3394="",E3394="!!!",F3394="NEW"),"",INDEX(J$1:J3393,SUMPRODUCT(MAX(ROW(E$1:E3393)*(E3394=E$1:E3393)))))</f>
        <v> </v>
      </c>
      <c r="L3394" s="26"/>
    </row>
    <row r="3395" spans="1:12">
      <c r="A3395" s="20" t="s">
        <v>1311</v>
      </c>
      <c r="E3395" s="21">
        <f>IF(D3395="?OLD","!!!","")</f>
        <v/>
      </c>
      <c r="F3395" s="22" t="str">
        <f>IF(OR(E3395="",E3395="!!!"),"",IF(NOT(ISNA(VLOOKUP(E3395,E$1:E3394,1,FALSE()))),"OLD",IF(AND(E3395&lt;&gt;"",E3395&lt;&gt;"!!!"),"NEW","")))</f>
        <v> </v>
      </c>
      <c r="G3395" s="23" t="str">
        <f>IF(OR(E3395="",E3395="!!!"),"",IF(OR(J3395=0,AND(J3395=1,K3395=1),AND(J3395=1,I3395="SBJ"),AND(J3395=1,I3395=0)),"?IN_FOCUS",IF(J3395&lt;=2,"?ACTIVATED",IF(J3395&lt;&gt;"","?FAMILIAR",IF(F3395="NEW",IF(ISNA(VLOOKUP(E3395,#REF!,1,FALSE())),"?TYPE_IDENTIFIABLE","?REFERENTIAL"),"_")))))</f>
        <v> </v>
      </c>
      <c r="H3395" s="24" t="str">
        <f>IF(J3395&lt;&gt;1,"",IF(I3395="SBJ","CB","?"))</f>
        <v> </v>
      </c>
      <c r="I3395" s="25" t="str">
        <f>IF(OR(E3395="",E3395="!!!",F3395="NEW"),"",INDEX(B3394:B$2,-1+SUMPRODUCT(MAX(ROW(E3394:E$2)*(E3395=E3394:E$2)))))</f>
        <v> </v>
      </c>
      <c r="J3395" s="25" t="str">
        <f>IF(OR(E3395="",E3395="!!!",F3395="NEW"),"",COUNTBLANK(OFFSET(A$1,,,SUMPRODUCT(MAX(ROW(E$2:E3395)*(E3395=E$2:E3395)))))-COUNTBLANK(OFFSET(A$1,,,SUMPRODUCT(MAX(ROW(E$1:E3394)*(E2=E$1:E3394))))))</f>
        <v> </v>
      </c>
      <c r="K3395" s="25" t="str">
        <f>IF(OR(E3395="",E3395="!!!",F3395="NEW"),"",INDEX(J$1:J3394,SUMPRODUCT(MAX(ROW(E$1:E3394)*(E3395=E$1:E3394)))))</f>
        <v> </v>
      </c>
      <c r="L3395" s="26"/>
    </row>
    <row r="3396" spans="1:12">
      <c r="A3396" s="20" t="s">
        <v>1111</v>
      </c>
      <c r="E3396" s="21">
        <f>IF(D3396="?OLD","!!!","")</f>
        <v/>
      </c>
      <c r="F3396" s="22" t="str">
        <f>IF(OR(E3396="",E3396="!!!"),"",IF(NOT(ISNA(VLOOKUP(E3396,E$1:E3395,1,FALSE()))),"OLD",IF(AND(E3396&lt;&gt;"",E3396&lt;&gt;"!!!"),"NEW","")))</f>
        <v> </v>
      </c>
      <c r="G3396" s="23" t="str">
        <f>IF(OR(E3396="",E3396="!!!"),"",IF(OR(J3396=0,AND(J3396=1,K3396=1),AND(J3396=1,I3396="SBJ"),AND(J3396=1,I3396=0)),"?IN_FOCUS",IF(J3396&lt;=2,"?ACTIVATED",IF(J3396&lt;&gt;"","?FAMILIAR",IF(F3396="NEW",IF(ISNA(VLOOKUP(E3396,#REF!,1,FALSE())),"?TYPE_IDENTIFIABLE","?REFERENTIAL"),"_")))))</f>
        <v> </v>
      </c>
      <c r="H3396" s="24" t="str">
        <f>IF(J3396&lt;&gt;1,"",IF(I3396="SBJ","CB","?"))</f>
        <v> </v>
      </c>
      <c r="I3396" s="25" t="str">
        <f>IF(OR(E3396="",E3396="!!!",F3396="NEW"),"",INDEX(B3395:B$2,-1+SUMPRODUCT(MAX(ROW(E3395:E$2)*(E3396=E3395:E$2)))))</f>
        <v> </v>
      </c>
      <c r="J3396" s="25" t="str">
        <f>IF(OR(E3396="",E3396="!!!",F3396="NEW"),"",COUNTBLANK(OFFSET(A$1,,,SUMPRODUCT(MAX(ROW(E$2:E3396)*(E3396=E$2:E3396)))))-COUNTBLANK(OFFSET(A$1,,,SUMPRODUCT(MAX(ROW(E$1:E3395)*(E2=E$1:E3395))))))</f>
        <v> </v>
      </c>
      <c r="K3396" s="25" t="str">
        <f>IF(OR(E3396="",E3396="!!!",F3396="NEW"),"",INDEX(J$1:J3395,SUMPRODUCT(MAX(ROW(E$1:E3395)*(E3396=E$1:E3395)))))</f>
        <v> </v>
      </c>
      <c r="L3396" s="26"/>
    </row>
    <row r="3397" spans="1:12">
      <c r="A3397" s="20" t="s">
        <v>1571</v>
      </c>
      <c r="B3397" s="27" t="s">
        <v>1079</v>
      </c>
      <c r="C3397" s="27" t="s">
        <v>1038</v>
      </c>
      <c r="D3397" s="27" t="s">
        <v>1030</v>
      </c>
      <c r="E3397" s="21">
        <f>IF(D3397="?OLD","!!!","")</f>
        <v/>
      </c>
      <c r="F3397" s="22" t="str">
        <f>IF(OR(E3397="",E3397="!!!"),"",IF(NOT(ISNA(VLOOKUP(E3397,E$1:E3396,1,FALSE()))),"OLD",IF(AND(E3397&lt;&gt;"",E3397&lt;&gt;"!!!"),"NEW","")))</f>
        <v> </v>
      </c>
      <c r="G3397" s="23" t="str">
        <f>IF(OR(E3397="",E3397="!!!"),"",IF(OR(J3397=0,AND(J3397=1,K3397=1),AND(J3397=1,I3397="SBJ"),AND(J3397=1,I3397=0)),"?IN_FOCUS",IF(J3397&lt;=2,"?ACTIVATED",IF(J3397&lt;&gt;"","?FAMILIAR",IF(F3397="NEW",IF(ISNA(VLOOKUP(E3397,#REF!,1,FALSE())),"?TYPE_IDENTIFIABLE","?REFERENTIAL"),"_")))))</f>
        <v> </v>
      </c>
      <c r="H3397" s="24" t="str">
        <f>IF(J3397&lt;&gt;1,"",IF(I3397="SBJ","CB","?"))</f>
        <v> </v>
      </c>
      <c r="I3397" s="25" t="str">
        <f>IF(OR(E3397="",E3397="!!!",F3397="NEW"),"",INDEX(B3396:B$2,-1+SUMPRODUCT(MAX(ROW(E3396:E$2)*(E3397=E3396:E$2)))))</f>
        <v> </v>
      </c>
      <c r="J3397" s="25" t="str">
        <f>IF(OR(E3397="",E3397="!!!",F3397="NEW"),"",COUNTBLANK(OFFSET(A$1,,,SUMPRODUCT(MAX(ROW(E$2:E3397)*(E3397=E$2:E3397)))))-COUNTBLANK(OFFSET(A$1,,,SUMPRODUCT(MAX(ROW(E$1:E3396)*(E2=E$1:E3396))))))</f>
        <v> </v>
      </c>
      <c r="K3397" s="25" t="str">
        <f>IF(OR(E3397="",E3397="!!!",F3397="NEW"),"",INDEX(J$1:J3396,SUMPRODUCT(MAX(ROW(E$1:E3396)*(E3397=E$1:E3396)))))</f>
        <v> </v>
      </c>
      <c r="L3397" s="26"/>
    </row>
    <row r="3398" spans="1:12">
      <c r="A3398" s="20" t="s">
        <v>135</v>
      </c>
      <c r="E3398" s="21">
        <f>IF(D3398="?OLD","!!!","")</f>
        <v/>
      </c>
      <c r="F3398" s="22" t="str">
        <f>IF(OR(E3398="",E3398="!!!"),"",IF(NOT(ISNA(VLOOKUP(E3398,E$1:E3397,1,FALSE()))),"OLD",IF(AND(E3398&lt;&gt;"",E3398&lt;&gt;"!!!"),"NEW","")))</f>
        <v> </v>
      </c>
      <c r="G3398" s="23" t="str">
        <f>IF(OR(E3398="",E3398="!!!"),"",IF(OR(J3398=0,AND(J3398=1,K3398=1),AND(J3398=1,I3398="SBJ"),AND(J3398=1,I3398=0)),"?IN_FOCUS",IF(J3398&lt;=2,"?ACTIVATED",IF(J3398&lt;&gt;"","?FAMILIAR",IF(F3398="NEW",IF(ISNA(VLOOKUP(E3398,#REF!,1,FALSE())),"?TYPE_IDENTIFIABLE","?REFERENTIAL"),"_")))))</f>
        <v> </v>
      </c>
      <c r="H3398" s="24" t="str">
        <f>IF(J3398&lt;&gt;1,"",IF(I3398="SBJ","CB","?"))</f>
        <v> </v>
      </c>
      <c r="I3398" s="25" t="str">
        <f>IF(OR(E3398="",E3398="!!!",F3398="NEW"),"",INDEX(B3397:B$2,-1+SUMPRODUCT(MAX(ROW(E3397:E$2)*(E3398=E3397:E$2)))))</f>
        <v> </v>
      </c>
      <c r="J3398" s="25" t="str">
        <f>IF(OR(E3398="",E3398="!!!",F3398="NEW"),"",COUNTBLANK(OFFSET(A$1,,,SUMPRODUCT(MAX(ROW(E$2:E3398)*(E3398=E$2:E3398)))))-COUNTBLANK(OFFSET(A$1,,,SUMPRODUCT(MAX(ROW(E$1:E3397)*(E2=E$1:E3397))))))</f>
        <v> </v>
      </c>
      <c r="K3398" s="25" t="str">
        <f>IF(OR(E3398="",E3398="!!!",F3398="NEW"),"",INDEX(J$1:J3397,SUMPRODUCT(MAX(ROW(E$1:E3397)*(E3398=E$1:E3397)))))</f>
        <v> </v>
      </c>
      <c r="L3398" s="26"/>
    </row>
    <row r="3399" spans="1:12">
      <c r="A3399" s="20"/>
    </row>
    <row r="3400" spans="1:12">
      <c r="A3400" s="20" t="s">
        <v>2187</v>
      </c>
    </row>
    <row r="3401" spans="1:12">
      <c r="A3401" s="20" t="s">
        <v>1699</v>
      </c>
      <c r="E3401" s="21">
        <f>IF(D3401="?OLD","!!!","")</f>
        <v/>
      </c>
      <c r="F3401" s="22" t="str">
        <f>IF(OR(E3401="",E3401="!!!"),"",IF(NOT(ISNA(VLOOKUP(E3401,E$1:E3400,1,FALSE()))),"OLD",IF(AND(E3401&lt;&gt;"",E3401&lt;&gt;"!!!"),"NEW","")))</f>
        <v> </v>
      </c>
      <c r="G3401" s="23" t="str">
        <f>IF(OR(E3401="",E3401="!!!"),"",IF(OR(J3401=0,AND(J3401=1,K3401=1),AND(J3401=1,I3401="SBJ"),AND(J3401=1,I3401=0)),"?IN_FOCUS",IF(J3401&lt;=2,"?ACTIVATED",IF(J3401&lt;&gt;"","?FAMILIAR",IF(F3401="NEW",IF(ISNA(VLOOKUP(E3401,#REF!,1,FALSE())),"?TYPE_IDENTIFIABLE","?REFERENTIAL"),"_")))))</f>
        <v> </v>
      </c>
      <c r="H3401" s="24" t="str">
        <f>IF(J3401&lt;&gt;1,"",IF(I3401="SBJ","CB","?"))</f>
        <v> </v>
      </c>
      <c r="I3401" s="25" t="str">
        <f>IF(OR(E3401="",E3401="!!!",F3401="NEW"),"",INDEX(B3400:B$2,-1+SUMPRODUCT(MAX(ROW(E3400:E$2)*(E3401=E3400:E$2)))))</f>
        <v> </v>
      </c>
      <c r="J3401" s="25" t="str">
        <f>IF(OR(E3401="",E3401="!!!",F3401="NEW"),"",COUNTBLANK(OFFSET(A$1,,,SUMPRODUCT(MAX(ROW(E$2:E3401)*(E3401=E$2:E3401)))))-COUNTBLANK(OFFSET(A$1,,,SUMPRODUCT(MAX(ROW(E$1:E3400)*(E2=E$1:E3400))))))</f>
        <v> </v>
      </c>
      <c r="K3401" s="25" t="str">
        <f>IF(OR(E3401="",E3401="!!!",F3401="NEW"),"",INDEX(J$1:J3400,SUMPRODUCT(MAX(ROW(E$1:E3400)*(E3401=E$1:E3400)))))</f>
        <v> </v>
      </c>
      <c r="L3401" s="26"/>
    </row>
    <row r="3402" spans="1:12">
      <c r="A3402" s="20" t="s">
        <v>2188</v>
      </c>
      <c r="B3402" s="27" t="s">
        <v>1045</v>
      </c>
      <c r="C3402" s="27" t="s">
        <v>1015</v>
      </c>
      <c r="E3402" s="21">
        <f>IF(D3402="?OLD","!!!","")</f>
        <v/>
      </c>
      <c r="F3402" s="22" t="str">
        <f>IF(OR(E3402="",E3402="!!!"),"",IF(NOT(ISNA(VLOOKUP(E3402,E$1:E3401,1,FALSE()))),"OLD",IF(AND(E3402&lt;&gt;"",E3402&lt;&gt;"!!!"),"NEW","")))</f>
        <v> </v>
      </c>
      <c r="G3402" s="23" t="str">
        <f>IF(OR(E3402="",E3402="!!!"),"",IF(OR(J3402=0,AND(J3402=1,K3402=1),AND(J3402=1,I3402="SBJ"),AND(J3402=1,I3402=0)),"?IN_FOCUS",IF(J3402&lt;=2,"?ACTIVATED",IF(J3402&lt;&gt;"","?FAMILIAR",IF(F3402="NEW",IF(ISNA(VLOOKUP(E3402,#REF!,1,FALSE())),"?TYPE_IDENTIFIABLE","?REFERENTIAL"),"_")))))</f>
        <v> </v>
      </c>
      <c r="H3402" s="24" t="str">
        <f>IF(J3402&lt;&gt;1,"",IF(I3402="SBJ","CB","?"))</f>
        <v> </v>
      </c>
      <c r="I3402" s="25" t="str">
        <f>IF(OR(E3402="",E3402="!!!",F3402="NEW"),"",INDEX(B3401:B$2,-1+SUMPRODUCT(MAX(ROW(E3401:E$2)*(E3402=E3401:E$2)))))</f>
        <v> </v>
      </c>
      <c r="J3402" s="25" t="str">
        <f>IF(OR(E3402="",E3402="!!!",F3402="NEW"),"",COUNTBLANK(OFFSET(A$1,,,SUMPRODUCT(MAX(ROW(E$2:E3402)*(E3402=E$2:E3402)))))-COUNTBLANK(OFFSET(A$1,,,SUMPRODUCT(MAX(ROW(E$1:E3401)*(E2=E$1:E3401))))))</f>
        <v> </v>
      </c>
      <c r="K3402" s="25" t="str">
        <f>IF(OR(E3402="",E3402="!!!",F3402="NEW"),"",INDEX(J$1:J3401,SUMPRODUCT(MAX(ROW(E$1:E3401)*(E3402=E$1:E3401)))))</f>
        <v> </v>
      </c>
      <c r="L3402" s="26"/>
    </row>
    <row r="3403" spans="1:12">
      <c r="A3403" s="20" t="s">
        <v>1022</v>
      </c>
      <c r="E3403" s="21">
        <f>IF(D3403="?OLD","!!!","")</f>
        <v/>
      </c>
      <c r="F3403" s="22" t="str">
        <f>IF(OR(E3403="",E3403="!!!"),"",IF(NOT(ISNA(VLOOKUP(E3403,E$1:E3402,1,FALSE()))),"OLD",IF(AND(E3403&lt;&gt;"",E3403&lt;&gt;"!!!"),"NEW","")))</f>
        <v> </v>
      </c>
      <c r="G3403" s="23" t="str">
        <f>IF(OR(E3403="",E3403="!!!"),"",IF(OR(J3403=0,AND(J3403=1,K3403=1),AND(J3403=1,I3403="SBJ"),AND(J3403=1,I3403=0)),"?IN_FOCUS",IF(J3403&lt;=2,"?ACTIVATED",IF(J3403&lt;&gt;"","?FAMILIAR",IF(F3403="NEW",IF(ISNA(VLOOKUP(E3403,#REF!,1,FALSE())),"?TYPE_IDENTIFIABLE","?REFERENTIAL"),"_")))))</f>
        <v> </v>
      </c>
      <c r="H3403" s="24" t="str">
        <f>IF(J3403&lt;&gt;1,"",IF(I3403="SBJ","CB","?"))</f>
        <v> </v>
      </c>
      <c r="I3403" s="25" t="str">
        <f>IF(OR(E3403="",E3403="!!!",F3403="NEW"),"",INDEX(B3402:B$2,-1+SUMPRODUCT(MAX(ROW(E3402:E$2)*(E3403=E3402:E$2)))))</f>
        <v> </v>
      </c>
      <c r="J3403" s="25" t="str">
        <f>IF(OR(E3403="",E3403="!!!",F3403="NEW"),"",COUNTBLANK(OFFSET(A$1,,,SUMPRODUCT(MAX(ROW(E$2:E3403)*(E3403=E$2:E3403)))))-COUNTBLANK(OFFSET(A$1,,,SUMPRODUCT(MAX(ROW(E$1:E3402)*(E2=E$1:E3402))))))</f>
        <v> </v>
      </c>
      <c r="K3403" s="25" t="str">
        <f>IF(OR(E3403="",E3403="!!!",F3403="NEW"),"",INDEX(J$1:J3402,SUMPRODUCT(MAX(ROW(E$1:E3402)*(E3403=E$1:E3402)))))</f>
        <v> </v>
      </c>
      <c r="L3403" s="26"/>
    </row>
    <row r="3404" spans="1:12">
      <c r="A3404" s="20" t="s">
        <v>2189</v>
      </c>
      <c r="B3404" s="27" t="s">
        <v>1045</v>
      </c>
      <c r="C3404" s="27" t="s">
        <v>1015</v>
      </c>
      <c r="E3404" s="21">
        <f>IF(D3404="?OLD","!!!","")</f>
        <v/>
      </c>
      <c r="F3404" s="22" t="str">
        <f>IF(OR(E3404="",E3404="!!!"),"",IF(NOT(ISNA(VLOOKUP(E3404,E$1:E3403,1,FALSE()))),"OLD",IF(AND(E3404&lt;&gt;"",E3404&lt;&gt;"!!!"),"NEW","")))</f>
        <v> </v>
      </c>
      <c r="G3404" s="23" t="str">
        <f>IF(OR(E3404="",E3404="!!!"),"",IF(OR(J3404=0,AND(J3404=1,K3404=1),AND(J3404=1,I3404="SBJ"),AND(J3404=1,I3404=0)),"?IN_FOCUS",IF(J3404&lt;=2,"?ACTIVATED",IF(J3404&lt;&gt;"","?FAMILIAR",IF(F3404="NEW",IF(ISNA(VLOOKUP(E3404,#REF!,1,FALSE())),"?TYPE_IDENTIFIABLE","?REFERENTIAL"),"_")))))</f>
        <v> </v>
      </c>
      <c r="H3404" s="24" t="str">
        <f>IF(J3404&lt;&gt;1,"",IF(I3404="SBJ","CB","?"))</f>
        <v> </v>
      </c>
      <c r="I3404" s="25" t="str">
        <f>IF(OR(E3404="",E3404="!!!",F3404="NEW"),"",INDEX(B3403:B$2,-1+SUMPRODUCT(MAX(ROW(E3403:E$2)*(E3404=E3403:E$2)))))</f>
        <v> </v>
      </c>
      <c r="J3404" s="25" t="str">
        <f>IF(OR(E3404="",E3404="!!!",F3404="NEW"),"",COUNTBLANK(OFFSET(A$1,,,SUMPRODUCT(MAX(ROW(E$2:E3404)*(E3404=E$2:E3404)))))-COUNTBLANK(OFFSET(A$1,,,SUMPRODUCT(MAX(ROW(E$1:E3403)*(E2=E$1:E3403))))))</f>
        <v> </v>
      </c>
      <c r="K3404" s="25" t="str">
        <f>IF(OR(E3404="",E3404="!!!",F3404="NEW"),"",INDEX(J$1:J3403,SUMPRODUCT(MAX(ROW(E$1:E3403)*(E3404=E$1:E3403)))))</f>
        <v> </v>
      </c>
      <c r="L3404" s="26"/>
    </row>
    <row r="3405" spans="1:12">
      <c r="A3405" s="20" t="s">
        <v>1022</v>
      </c>
      <c r="E3405" s="21">
        <f>IF(D3405="?OLD","!!!","")</f>
        <v/>
      </c>
      <c r="F3405" s="22" t="str">
        <f>IF(OR(E3405="",E3405="!!!"),"",IF(NOT(ISNA(VLOOKUP(E3405,E$1:E3404,1,FALSE()))),"OLD",IF(AND(E3405&lt;&gt;"",E3405&lt;&gt;"!!!"),"NEW","")))</f>
        <v> </v>
      </c>
      <c r="G3405" s="23" t="str">
        <f>IF(OR(E3405="",E3405="!!!"),"",IF(OR(J3405=0,AND(J3405=1,K3405=1),AND(J3405=1,I3405="SBJ"),AND(J3405=1,I3405=0)),"?IN_FOCUS",IF(J3405&lt;=2,"?ACTIVATED",IF(J3405&lt;&gt;"","?FAMILIAR",IF(F3405="NEW",IF(ISNA(VLOOKUP(E3405,#REF!,1,FALSE())),"?TYPE_IDENTIFIABLE","?REFERENTIAL"),"_")))))</f>
        <v> </v>
      </c>
      <c r="H3405" s="24" t="str">
        <f>IF(J3405&lt;&gt;1,"",IF(I3405="SBJ","CB","?"))</f>
        <v> </v>
      </c>
      <c r="I3405" s="25" t="str">
        <f>IF(OR(E3405="",E3405="!!!",F3405="NEW"),"",INDEX(B3404:B$2,-1+SUMPRODUCT(MAX(ROW(E3404:E$2)*(E3405=E3404:E$2)))))</f>
        <v> </v>
      </c>
      <c r="J3405" s="25" t="str">
        <f>IF(OR(E3405="",E3405="!!!",F3405="NEW"),"",COUNTBLANK(OFFSET(A$1,,,SUMPRODUCT(MAX(ROW(E$2:E3405)*(E3405=E$2:E3405)))))-COUNTBLANK(OFFSET(A$1,,,SUMPRODUCT(MAX(ROW(E$1:E3404)*(E2=E$1:E3404))))))</f>
        <v> </v>
      </c>
      <c r="K3405" s="25" t="str">
        <f>IF(OR(E3405="",E3405="!!!",F3405="NEW"),"",INDEX(J$1:J3404,SUMPRODUCT(MAX(ROW(E$1:E3404)*(E3405=E$1:E3404)))))</f>
        <v> </v>
      </c>
      <c r="L3405" s="26"/>
    </row>
    <row r="3406" spans="1:12">
      <c r="A3406" s="20" t="s">
        <v>2190</v>
      </c>
      <c r="B3406" s="27" t="s">
        <v>1045</v>
      </c>
      <c r="C3406" s="27" t="s">
        <v>1015</v>
      </c>
      <c r="E3406" s="21">
        <f>IF(D3406="?OLD","!!!","")</f>
        <v/>
      </c>
      <c r="F3406" s="22" t="str">
        <f>IF(OR(E3406="",E3406="!!!"),"",IF(NOT(ISNA(VLOOKUP(E3406,E$1:E3405,1,FALSE()))),"OLD",IF(AND(E3406&lt;&gt;"",E3406&lt;&gt;"!!!"),"NEW","")))</f>
        <v> </v>
      </c>
      <c r="G3406" s="23" t="str">
        <f>IF(OR(E3406="",E3406="!!!"),"",IF(OR(J3406=0,AND(J3406=1,K3406=1),AND(J3406=1,I3406="SBJ"),AND(J3406=1,I3406=0)),"?IN_FOCUS",IF(J3406&lt;=2,"?ACTIVATED",IF(J3406&lt;&gt;"","?FAMILIAR",IF(F3406="NEW",IF(ISNA(VLOOKUP(E3406,#REF!,1,FALSE())),"?TYPE_IDENTIFIABLE","?REFERENTIAL"),"_")))))</f>
        <v> </v>
      </c>
      <c r="H3406" s="24" t="str">
        <f>IF(J3406&lt;&gt;1,"",IF(I3406="SBJ","CB","?"))</f>
        <v> </v>
      </c>
      <c r="I3406" s="25" t="str">
        <f>IF(OR(E3406="",E3406="!!!",F3406="NEW"),"",INDEX(B3405:B$2,-1+SUMPRODUCT(MAX(ROW(E3405:E$2)*(E3406=E3405:E$2)))))</f>
        <v> </v>
      </c>
      <c r="J3406" s="25" t="str">
        <f>IF(OR(E3406="",E3406="!!!",F3406="NEW"),"",COUNTBLANK(OFFSET(A$1,,,SUMPRODUCT(MAX(ROW(E$2:E3406)*(E3406=E$2:E3406)))))-COUNTBLANK(OFFSET(A$1,,,SUMPRODUCT(MAX(ROW(E$1:E3405)*(E2=E$1:E3405))))))</f>
        <v> </v>
      </c>
      <c r="K3406" s="25" t="str">
        <f>IF(OR(E3406="",E3406="!!!",F3406="NEW"),"",INDEX(J$1:J3405,SUMPRODUCT(MAX(ROW(E$1:E3405)*(E3406=E$1:E3405)))))</f>
        <v> </v>
      </c>
      <c r="L3406" s="26"/>
    </row>
    <row r="3407" spans="1:12">
      <c r="A3407" s="20" t="s">
        <v>2191</v>
      </c>
      <c r="E3407" s="21">
        <f>IF(D3407="?OLD","!!!","")</f>
        <v/>
      </c>
      <c r="F3407" s="22" t="str">
        <f>IF(OR(E3407="",E3407="!!!"),"",IF(NOT(ISNA(VLOOKUP(E3407,E$1:E3406,1,FALSE()))),"OLD",IF(AND(E3407&lt;&gt;"",E3407&lt;&gt;"!!!"),"NEW","")))</f>
        <v> </v>
      </c>
      <c r="G3407" s="23" t="str">
        <f>IF(OR(E3407="",E3407="!!!"),"",IF(OR(J3407=0,AND(J3407=1,K3407=1),AND(J3407=1,I3407="SBJ"),AND(J3407=1,I3407=0)),"?IN_FOCUS",IF(J3407&lt;=2,"?ACTIVATED",IF(J3407&lt;&gt;"","?FAMILIAR",IF(F3407="NEW",IF(ISNA(VLOOKUP(E3407,#REF!,1,FALSE())),"?TYPE_IDENTIFIABLE","?REFERENTIAL"),"_")))))</f>
        <v> </v>
      </c>
      <c r="H3407" s="24" t="str">
        <f>IF(J3407&lt;&gt;1,"",IF(I3407="SBJ","CB","?"))</f>
        <v> </v>
      </c>
      <c r="I3407" s="25" t="str">
        <f>IF(OR(E3407="",E3407="!!!",F3407="NEW"),"",INDEX(B3406:B$2,-1+SUMPRODUCT(MAX(ROW(E3406:E$2)*(E3407=E3406:E$2)))))</f>
        <v> </v>
      </c>
      <c r="J3407" s="25" t="str">
        <f>IF(OR(E3407="",E3407="!!!",F3407="NEW"),"",COUNTBLANK(OFFSET(A$1,,,SUMPRODUCT(MAX(ROW(E$2:E3407)*(E3407=E$2:E3407)))))-COUNTBLANK(OFFSET(A$1,,,SUMPRODUCT(MAX(ROW(E$1:E3406)*(E2=E$1:E3406))))))</f>
        <v> </v>
      </c>
      <c r="K3407" s="25" t="str">
        <f>IF(OR(E3407="",E3407="!!!",F3407="NEW"),"",INDEX(J$1:J3406,SUMPRODUCT(MAX(ROW(E$1:E3406)*(E3407=E$1:E3406)))))</f>
        <v> </v>
      </c>
      <c r="L3407" s="26"/>
    </row>
    <row r="3408" spans="1:12">
      <c r="A3408" s="20" t="s">
        <v>1131</v>
      </c>
      <c r="E3408" s="21">
        <f>IF(D3408="?OLD","!!!","")</f>
        <v/>
      </c>
      <c r="F3408" s="22" t="str">
        <f>IF(OR(E3408="",E3408="!!!"),"",IF(NOT(ISNA(VLOOKUP(E3408,E$1:E3407,1,FALSE()))),"OLD",IF(AND(E3408&lt;&gt;"",E3408&lt;&gt;"!!!"),"NEW","")))</f>
        <v> </v>
      </c>
      <c r="G3408" s="23" t="str">
        <f>IF(OR(E3408="",E3408="!!!"),"",IF(OR(J3408=0,AND(J3408=1,K3408=1),AND(J3408=1,I3408="SBJ"),AND(J3408=1,I3408=0)),"?IN_FOCUS",IF(J3408&lt;=2,"?ACTIVATED",IF(J3408&lt;&gt;"","?FAMILIAR",IF(F3408="NEW",IF(ISNA(VLOOKUP(E3408,#REF!,1,FALSE())),"?TYPE_IDENTIFIABLE","?REFERENTIAL"),"_")))))</f>
        <v> </v>
      </c>
      <c r="H3408" s="24" t="str">
        <f>IF(J3408&lt;&gt;1,"",IF(I3408="SBJ","CB","?"))</f>
        <v> </v>
      </c>
      <c r="I3408" s="25" t="str">
        <f>IF(OR(E3408="",E3408="!!!",F3408="NEW"),"",INDEX(B3407:B$2,-1+SUMPRODUCT(MAX(ROW(E3407:E$2)*(E3408=E3407:E$2)))))</f>
        <v> </v>
      </c>
      <c r="J3408" s="25" t="str">
        <f>IF(OR(E3408="",E3408="!!!",F3408="NEW"),"",COUNTBLANK(OFFSET(A$1,,,SUMPRODUCT(MAX(ROW(E$2:E3408)*(E3408=E$2:E3408)))))-COUNTBLANK(OFFSET(A$1,,,SUMPRODUCT(MAX(ROW(E$1:E3407)*(E2=E$1:E3407))))))</f>
        <v> </v>
      </c>
      <c r="K3408" s="25" t="str">
        <f>IF(OR(E3408="",E3408="!!!",F3408="NEW"),"",INDEX(J$1:J3407,SUMPRODUCT(MAX(ROW(E$1:E3407)*(E3408=E$1:E3407)))))</f>
        <v> </v>
      </c>
      <c r="L3408" s="26"/>
    </row>
    <row r="3409" spans="1:12">
      <c r="A3409" s="20" t="s">
        <v>1075</v>
      </c>
      <c r="E3409" s="21">
        <f>IF(D3409="?OLD","!!!","")</f>
        <v/>
      </c>
      <c r="F3409" s="22" t="str">
        <f>IF(OR(E3409="",E3409="!!!"),"",IF(NOT(ISNA(VLOOKUP(E3409,E$1:E3408,1,FALSE()))),"OLD",IF(AND(E3409&lt;&gt;"",E3409&lt;&gt;"!!!"),"NEW","")))</f>
        <v> </v>
      </c>
      <c r="G3409" s="23" t="str">
        <f>IF(OR(E3409="",E3409="!!!"),"",IF(OR(J3409=0,AND(J3409=1,K3409=1),AND(J3409=1,I3409="SBJ"),AND(J3409=1,I3409=0)),"?IN_FOCUS",IF(J3409&lt;=2,"?ACTIVATED",IF(J3409&lt;&gt;"","?FAMILIAR",IF(F3409="NEW",IF(ISNA(VLOOKUP(E3409,#REF!,1,FALSE())),"?TYPE_IDENTIFIABLE","?REFERENTIAL"),"_")))))</f>
        <v> </v>
      </c>
      <c r="H3409" s="24" t="str">
        <f>IF(J3409&lt;&gt;1,"",IF(I3409="SBJ","CB","?"))</f>
        <v> </v>
      </c>
      <c r="I3409" s="25" t="str">
        <f>IF(OR(E3409="",E3409="!!!",F3409="NEW"),"",INDEX(B3408:B$2,-1+SUMPRODUCT(MAX(ROW(E3408:E$2)*(E3409=E3408:E$2)))))</f>
        <v> </v>
      </c>
      <c r="J3409" s="25" t="str">
        <f>IF(OR(E3409="",E3409="!!!",F3409="NEW"),"",COUNTBLANK(OFFSET(A$1,,,SUMPRODUCT(MAX(ROW(E$2:E3409)*(E3409=E$2:E3409)))))-COUNTBLANK(OFFSET(A$1,,,SUMPRODUCT(MAX(ROW(E$1:E3408)*(E2=E$1:E3408))))))</f>
        <v> </v>
      </c>
      <c r="K3409" s="25" t="str">
        <f>IF(OR(E3409="",E3409="!!!",F3409="NEW"),"",INDEX(J$1:J3408,SUMPRODUCT(MAX(ROW(E$1:E3408)*(E3409=E$1:E3408)))))</f>
        <v> </v>
      </c>
      <c r="L3409" s="26"/>
    </row>
    <row r="3410" spans="1:12">
      <c r="A3410" s="20" t="s">
        <v>2173</v>
      </c>
      <c r="B3410" s="27" t="s">
        <v>1066</v>
      </c>
      <c r="C3410" s="27" t="s">
        <v>1038</v>
      </c>
      <c r="D3410" s="27" t="s">
        <v>1030</v>
      </c>
      <c r="E3410" s="21">
        <f>IF(D3410="?OLD","!!!","")</f>
        <v/>
      </c>
      <c r="F3410" s="22" t="str">
        <f>IF(OR(E3410="",E3410="!!!"),"",IF(NOT(ISNA(VLOOKUP(E3410,E$1:E3409,1,FALSE()))),"OLD",IF(AND(E3410&lt;&gt;"",E3410&lt;&gt;"!!!"),"NEW","")))</f>
        <v> </v>
      </c>
      <c r="G3410" s="23" t="str">
        <f>IF(OR(E3410="",E3410="!!!"),"",IF(OR(J3410=0,AND(J3410=1,K3410=1),AND(J3410=1,I3410="SBJ"),AND(J3410=1,I3410=0)),"?IN_FOCUS",IF(J3410&lt;=2,"?ACTIVATED",IF(J3410&lt;&gt;"","?FAMILIAR",IF(F3410="NEW",IF(ISNA(VLOOKUP(E3410,#REF!,1,FALSE())),"?TYPE_IDENTIFIABLE","?REFERENTIAL"),"_")))))</f>
        <v> </v>
      </c>
      <c r="H3410" s="24" t="str">
        <f>IF(J3410&lt;&gt;1,"",IF(I3410="SBJ","CB","?"))</f>
        <v> </v>
      </c>
      <c r="I3410" s="25" t="str">
        <f>IF(OR(E3410="",E3410="!!!",F3410="NEW"),"",INDEX(B3409:B$2,-1+SUMPRODUCT(MAX(ROW(E3409:E$2)*(E3410=E3409:E$2)))))</f>
        <v> </v>
      </c>
      <c r="J3410" s="25" t="str">
        <f>IF(OR(E3410="",E3410="!!!",F3410="NEW"),"",COUNTBLANK(OFFSET(A$1,,,SUMPRODUCT(MAX(ROW(E$2:E3410)*(E3410=E$2:E3410)))))-COUNTBLANK(OFFSET(A$1,,,SUMPRODUCT(MAX(ROW(E$1:E3409)*(E2=E$1:E3409))))))</f>
        <v> </v>
      </c>
      <c r="K3410" s="25" t="str">
        <f>IF(OR(E3410="",E3410="!!!",F3410="NEW"),"",INDEX(J$1:J3409,SUMPRODUCT(MAX(ROW(E$1:E3409)*(E3410=E$1:E3409)))))</f>
        <v> </v>
      </c>
      <c r="L3410" s="26"/>
    </row>
    <row r="3411" spans="1:12">
      <c r="A3411" s="20" t="s">
        <v>135</v>
      </c>
      <c r="E3411" s="21">
        <f>IF(D3411="?OLD","!!!","")</f>
        <v/>
      </c>
      <c r="F3411" s="22" t="str">
        <f>IF(OR(E3411="",E3411="!!!"),"",IF(NOT(ISNA(VLOOKUP(E3411,E$1:E3410,1,FALSE()))),"OLD",IF(AND(E3411&lt;&gt;"",E3411&lt;&gt;"!!!"),"NEW","")))</f>
        <v> </v>
      </c>
      <c r="G3411" s="23" t="str">
        <f>IF(OR(E3411="",E3411="!!!"),"",IF(OR(J3411=0,AND(J3411=1,K3411=1),AND(J3411=1,I3411="SBJ"),AND(J3411=1,I3411=0)),"?IN_FOCUS",IF(J3411&lt;=2,"?ACTIVATED",IF(J3411&lt;&gt;"","?FAMILIAR",IF(F3411="NEW",IF(ISNA(VLOOKUP(E3411,#REF!,1,FALSE())),"?TYPE_IDENTIFIABLE","?REFERENTIAL"),"_")))))</f>
        <v> </v>
      </c>
      <c r="H3411" s="24" t="str">
        <f>IF(J3411&lt;&gt;1,"",IF(I3411="SBJ","CB","?"))</f>
        <v> </v>
      </c>
      <c r="I3411" s="25" t="str">
        <f>IF(OR(E3411="",E3411="!!!",F3411="NEW"),"",INDEX(B3410:B$2,-1+SUMPRODUCT(MAX(ROW(E3410:E$2)*(E3411=E3410:E$2)))))</f>
        <v> </v>
      </c>
      <c r="J3411" s="25" t="str">
        <f>IF(OR(E3411="",E3411="!!!",F3411="NEW"),"",COUNTBLANK(OFFSET(A$1,,,SUMPRODUCT(MAX(ROW(E$2:E3411)*(E3411=E$2:E3411)))))-COUNTBLANK(OFFSET(A$1,,,SUMPRODUCT(MAX(ROW(E$1:E3410)*(E2=E$1:E3410))))))</f>
        <v> </v>
      </c>
      <c r="K3411" s="25" t="str">
        <f>IF(OR(E3411="",E3411="!!!",F3411="NEW"),"",INDEX(J$1:J3410,SUMPRODUCT(MAX(ROW(E$1:E3410)*(E3411=E$1:E3410)))))</f>
        <v> </v>
      </c>
      <c r="L3411" s="26"/>
    </row>
    <row r="3412" spans="1:12">
      <c r="A3412" s="20"/>
    </row>
    <row r="3413" spans="1:12">
      <c r="A3413" s="20" t="s">
        <v>2192</v>
      </c>
    </row>
    <row r="3414" spans="1:12">
      <c r="A3414" s="20" t="s">
        <v>1997</v>
      </c>
      <c r="E3414" s="21">
        <f>IF(D3414="?OLD","!!!","")</f>
        <v/>
      </c>
      <c r="F3414" s="22" t="str">
        <f>IF(OR(E3414="",E3414="!!!"),"",IF(NOT(ISNA(VLOOKUP(E3414,E$1:E3413,1,FALSE()))),"OLD",IF(AND(E3414&lt;&gt;"",E3414&lt;&gt;"!!!"),"NEW","")))</f>
        <v> </v>
      </c>
      <c r="G3414" s="23" t="str">
        <f>IF(OR(E3414="",E3414="!!!"),"",IF(OR(J3414=0,AND(J3414=1,K3414=1),AND(J3414=1,I3414="SBJ"),AND(J3414=1,I3414=0)),"?IN_FOCUS",IF(J3414&lt;=2,"?ACTIVATED",IF(J3414&lt;&gt;"","?FAMILIAR",IF(F3414="NEW",IF(ISNA(VLOOKUP(E3414,#REF!,1,FALSE())),"?TYPE_IDENTIFIABLE","?REFERENTIAL"),"_")))))</f>
        <v> </v>
      </c>
      <c r="H3414" s="24" t="str">
        <f>IF(J3414&lt;&gt;1,"",IF(I3414="SBJ","CB","?"))</f>
        <v> </v>
      </c>
      <c r="I3414" s="25" t="str">
        <f>IF(OR(E3414="",E3414="!!!",F3414="NEW"),"",INDEX(B3413:B$2,-1+SUMPRODUCT(MAX(ROW(E3413:E$2)*(E3414=E3413:E$2)))))</f>
        <v> </v>
      </c>
      <c r="J3414" s="25" t="str">
        <f>IF(OR(E3414="",E3414="!!!",F3414="NEW"),"",COUNTBLANK(OFFSET(A$1,,,SUMPRODUCT(MAX(ROW(E$2:E3414)*(E3414=E$2:E3414)))))-COUNTBLANK(OFFSET(A$1,,,SUMPRODUCT(MAX(ROW(E$1:E3413)*(E2=E$1:E3413))))))</f>
        <v> </v>
      </c>
      <c r="K3414" s="25" t="str">
        <f>IF(OR(E3414="",E3414="!!!",F3414="NEW"),"",INDEX(J$1:J3413,SUMPRODUCT(MAX(ROW(E$1:E3413)*(E3414=E$1:E3413)))))</f>
        <v> </v>
      </c>
      <c r="L3414" s="26"/>
    </row>
    <row r="3415" spans="1:12">
      <c r="A3415" s="20" t="s">
        <v>1535</v>
      </c>
      <c r="E3415" s="21">
        <f>IF(D3415="?OLD","!!!","")</f>
        <v/>
      </c>
      <c r="F3415" s="22" t="str">
        <f>IF(OR(E3415="",E3415="!!!"),"",IF(NOT(ISNA(VLOOKUP(E3415,E$1:E3414,1,FALSE()))),"OLD",IF(AND(E3415&lt;&gt;"",E3415&lt;&gt;"!!!"),"NEW","")))</f>
        <v> </v>
      </c>
      <c r="G3415" s="23" t="str">
        <f>IF(OR(E3415="",E3415="!!!"),"",IF(OR(J3415=0,AND(J3415=1,K3415=1),AND(J3415=1,I3415="SBJ"),AND(J3415=1,I3415=0)),"?IN_FOCUS",IF(J3415&lt;=2,"?ACTIVATED",IF(J3415&lt;&gt;"","?FAMILIAR",IF(F3415="NEW",IF(ISNA(VLOOKUP(E3415,#REF!,1,FALSE())),"?TYPE_IDENTIFIABLE","?REFERENTIAL"),"_")))))</f>
        <v> </v>
      </c>
      <c r="H3415" s="24" t="str">
        <f>IF(J3415&lt;&gt;1,"",IF(I3415="SBJ","CB","?"))</f>
        <v> </v>
      </c>
      <c r="I3415" s="25" t="str">
        <f>IF(OR(E3415="",E3415="!!!",F3415="NEW"),"",INDEX(B3414:B$2,-1+SUMPRODUCT(MAX(ROW(E3414:E$2)*(E3415=E3414:E$2)))))</f>
        <v> </v>
      </c>
      <c r="J3415" s="25" t="str">
        <f>IF(OR(E3415="",E3415="!!!",F3415="NEW"),"",COUNTBLANK(OFFSET(A$1,,,SUMPRODUCT(MAX(ROW(E$2:E3415)*(E3415=E$2:E3415)))))-COUNTBLANK(OFFSET(A$1,,,SUMPRODUCT(MAX(ROW(E$1:E3414)*(E2=E$1:E3414))))))</f>
        <v> </v>
      </c>
      <c r="K3415" s="25" t="str">
        <f>IF(OR(E3415="",E3415="!!!",F3415="NEW"),"",INDEX(J$1:J3414,SUMPRODUCT(MAX(ROW(E$1:E3414)*(E3415=E$1:E3414)))))</f>
        <v> </v>
      </c>
      <c r="L3415" s="26"/>
    </row>
    <row r="3416" spans="1:12">
      <c r="A3416" s="20" t="s">
        <v>1094</v>
      </c>
      <c r="E3416" s="21">
        <f>IF(D3416="?OLD","!!!","")</f>
        <v/>
      </c>
      <c r="F3416" s="22" t="str">
        <f>IF(OR(E3416="",E3416="!!!"),"",IF(NOT(ISNA(VLOOKUP(E3416,E$1:E3415,1,FALSE()))),"OLD",IF(AND(E3416&lt;&gt;"",E3416&lt;&gt;"!!!"),"NEW","")))</f>
        <v> </v>
      </c>
      <c r="G3416" s="23" t="str">
        <f>IF(OR(E3416="",E3416="!!!"),"",IF(OR(J3416=0,AND(J3416=1,K3416=1),AND(J3416=1,I3416="SBJ"),AND(J3416=1,I3416=0)),"?IN_FOCUS",IF(J3416&lt;=2,"?ACTIVATED",IF(J3416&lt;&gt;"","?FAMILIAR",IF(F3416="NEW",IF(ISNA(VLOOKUP(E3416,#REF!,1,FALSE())),"?TYPE_IDENTIFIABLE","?REFERENTIAL"),"_")))))</f>
        <v> </v>
      </c>
      <c r="H3416" s="24" t="str">
        <f>IF(J3416&lt;&gt;1,"",IF(I3416="SBJ","CB","?"))</f>
        <v> </v>
      </c>
      <c r="I3416" s="25" t="str">
        <f>IF(OR(E3416="",E3416="!!!",F3416="NEW"),"",INDEX(B3415:B$2,-1+SUMPRODUCT(MAX(ROW(E3415:E$2)*(E3416=E3415:E$2)))))</f>
        <v> </v>
      </c>
      <c r="J3416" s="25" t="str">
        <f>IF(OR(E3416="",E3416="!!!",F3416="NEW"),"",COUNTBLANK(OFFSET(A$1,,,SUMPRODUCT(MAX(ROW(E$2:E3416)*(E3416=E$2:E3416)))))-COUNTBLANK(OFFSET(A$1,,,SUMPRODUCT(MAX(ROW(E$1:E3415)*(E2=E$1:E3415))))))</f>
        <v> </v>
      </c>
      <c r="K3416" s="25" t="str">
        <f>IF(OR(E3416="",E3416="!!!",F3416="NEW"),"",INDEX(J$1:J3415,SUMPRODUCT(MAX(ROW(E$1:E3415)*(E3416=E$1:E3415)))))</f>
        <v> </v>
      </c>
      <c r="L3416" s="26"/>
    </row>
    <row r="3417" spans="1:12">
      <c r="A3417" s="20" t="s">
        <v>1111</v>
      </c>
      <c r="E3417" s="21">
        <f>IF(D3417="?OLD","!!!","")</f>
        <v/>
      </c>
      <c r="F3417" s="22" t="str">
        <f>IF(OR(E3417="",E3417="!!!"),"",IF(NOT(ISNA(VLOOKUP(E3417,E$1:E3416,1,FALSE()))),"OLD",IF(AND(E3417&lt;&gt;"",E3417&lt;&gt;"!!!"),"NEW","")))</f>
        <v> </v>
      </c>
      <c r="G3417" s="23" t="str">
        <f>IF(OR(E3417="",E3417="!!!"),"",IF(OR(J3417=0,AND(J3417=1,K3417=1),AND(J3417=1,I3417="SBJ"),AND(J3417=1,I3417=0)),"?IN_FOCUS",IF(J3417&lt;=2,"?ACTIVATED",IF(J3417&lt;&gt;"","?FAMILIAR",IF(F3417="NEW",IF(ISNA(VLOOKUP(E3417,#REF!,1,FALSE())),"?TYPE_IDENTIFIABLE","?REFERENTIAL"),"_")))))</f>
        <v> </v>
      </c>
      <c r="H3417" s="24" t="str">
        <f>IF(J3417&lt;&gt;1,"",IF(I3417="SBJ","CB","?"))</f>
        <v> </v>
      </c>
      <c r="I3417" s="25" t="str">
        <f>IF(OR(E3417="",E3417="!!!",F3417="NEW"),"",INDEX(B3416:B$2,-1+SUMPRODUCT(MAX(ROW(E3416:E$2)*(E3417=E3416:E$2)))))</f>
        <v> </v>
      </c>
      <c r="J3417" s="25" t="str">
        <f>IF(OR(E3417="",E3417="!!!",F3417="NEW"),"",COUNTBLANK(OFFSET(A$1,,,SUMPRODUCT(MAX(ROW(E$2:E3417)*(E3417=E$2:E3417)))))-COUNTBLANK(OFFSET(A$1,,,SUMPRODUCT(MAX(ROW(E$1:E3416)*(E2=E$1:E3416))))))</f>
        <v> </v>
      </c>
      <c r="K3417" s="25" t="str">
        <f>IF(OR(E3417="",E3417="!!!",F3417="NEW"),"",INDEX(J$1:J3416,SUMPRODUCT(MAX(ROW(E$1:E3416)*(E3417=E$1:E3416)))))</f>
        <v> </v>
      </c>
      <c r="L3417" s="26"/>
    </row>
    <row r="3418" spans="1:12">
      <c r="A3418" s="20" t="s">
        <v>1571</v>
      </c>
      <c r="B3418" s="27" t="s">
        <v>1098</v>
      </c>
      <c r="C3418" s="27" t="s">
        <v>1038</v>
      </c>
      <c r="D3418" s="27" t="s">
        <v>1030</v>
      </c>
      <c r="E3418" s="21">
        <f>IF(D3418="?OLD","!!!","")</f>
        <v/>
      </c>
      <c r="F3418" s="22" t="str">
        <f>IF(OR(E3418="",E3418="!!!"),"",IF(NOT(ISNA(VLOOKUP(E3418,E$1:E3417,1,FALSE()))),"OLD",IF(AND(E3418&lt;&gt;"",E3418&lt;&gt;"!!!"),"NEW","")))</f>
        <v> </v>
      </c>
      <c r="G3418" s="23" t="str">
        <f>IF(OR(E3418="",E3418="!!!"),"",IF(OR(J3418=0,AND(J3418=1,K3418=1),AND(J3418=1,I3418="SBJ"),AND(J3418=1,I3418=0)),"?IN_FOCUS",IF(J3418&lt;=2,"?ACTIVATED",IF(J3418&lt;&gt;"","?FAMILIAR",IF(F3418="NEW",IF(ISNA(VLOOKUP(E3418,#REF!,1,FALSE())),"?TYPE_IDENTIFIABLE","?REFERENTIAL"),"_")))))</f>
        <v> </v>
      </c>
      <c r="H3418" s="24" t="str">
        <f>IF(J3418&lt;&gt;1,"",IF(I3418="SBJ","CB","?"))</f>
        <v> </v>
      </c>
      <c r="I3418" s="25" t="str">
        <f>IF(OR(E3418="",E3418="!!!",F3418="NEW"),"",INDEX(B3417:B$2,-1+SUMPRODUCT(MAX(ROW(E3417:E$2)*(E3418=E3417:E$2)))))</f>
        <v> </v>
      </c>
      <c r="J3418" s="25" t="str">
        <f>IF(OR(E3418="",E3418="!!!",F3418="NEW"),"",COUNTBLANK(OFFSET(A$1,,,SUMPRODUCT(MAX(ROW(E$2:E3418)*(E3418=E$2:E3418)))))-COUNTBLANK(OFFSET(A$1,,,SUMPRODUCT(MAX(ROW(E$1:E3417)*(E2=E$1:E3417))))))</f>
        <v> </v>
      </c>
      <c r="K3418" s="25" t="str">
        <f>IF(OR(E3418="",E3418="!!!",F3418="NEW"),"",INDEX(J$1:J3417,SUMPRODUCT(MAX(ROW(E$1:E3417)*(E3418=E$1:E3417)))))</f>
        <v> </v>
      </c>
      <c r="L3418" s="26"/>
    </row>
    <row r="3419" spans="1:12">
      <c r="A3419" s="20" t="s">
        <v>1057</v>
      </c>
      <c r="E3419" s="21">
        <f>IF(D3419="?OLD","!!!","")</f>
        <v/>
      </c>
      <c r="F3419" s="22" t="str">
        <f>IF(OR(E3419="",E3419="!!!"),"",IF(NOT(ISNA(VLOOKUP(E3419,E$1:E3418,1,FALSE()))),"OLD",IF(AND(E3419&lt;&gt;"",E3419&lt;&gt;"!!!"),"NEW","")))</f>
        <v> </v>
      </c>
      <c r="G3419" s="23" t="str">
        <f>IF(OR(E3419="",E3419="!!!"),"",IF(OR(J3419=0,AND(J3419=1,K3419=1),AND(J3419=1,I3419="SBJ"),AND(J3419=1,I3419=0)),"?IN_FOCUS",IF(J3419&lt;=2,"?ACTIVATED",IF(J3419&lt;&gt;"","?FAMILIAR",IF(F3419="NEW",IF(ISNA(VLOOKUP(E3419,#REF!,1,FALSE())),"?TYPE_IDENTIFIABLE","?REFERENTIAL"),"_")))))</f>
        <v> </v>
      </c>
      <c r="H3419" s="24" t="str">
        <f>IF(J3419&lt;&gt;1,"",IF(I3419="SBJ","CB","?"))</f>
        <v> </v>
      </c>
      <c r="I3419" s="25" t="str">
        <f>IF(OR(E3419="",E3419="!!!",F3419="NEW"),"",INDEX(B3418:B$2,-1+SUMPRODUCT(MAX(ROW(E3418:E$2)*(E3419=E3418:E$2)))))</f>
        <v> </v>
      </c>
      <c r="J3419" s="25" t="str">
        <f>IF(OR(E3419="",E3419="!!!",F3419="NEW"),"",COUNTBLANK(OFFSET(A$1,,,SUMPRODUCT(MAX(ROW(E$2:E3419)*(E3419=E$2:E3419)))))-COUNTBLANK(OFFSET(A$1,,,SUMPRODUCT(MAX(ROW(E$1:E3418)*(E2=E$1:E3418))))))</f>
        <v> </v>
      </c>
      <c r="K3419" s="25" t="str">
        <f>IF(OR(E3419="",E3419="!!!",F3419="NEW"),"",INDEX(J$1:J3418,SUMPRODUCT(MAX(ROW(E$1:E3418)*(E3419=E$1:E3418)))))</f>
        <v> </v>
      </c>
      <c r="L3419" s="26"/>
    </row>
    <row r="3420" spans="1:12">
      <c r="A3420" s="20" t="s">
        <v>1034</v>
      </c>
      <c r="E3420" s="21">
        <f>IF(D3420="?OLD","!!!","")</f>
        <v/>
      </c>
      <c r="F3420" s="22" t="str">
        <f>IF(OR(E3420="",E3420="!!!"),"",IF(NOT(ISNA(VLOOKUP(E3420,E$1:E3419,1,FALSE()))),"OLD",IF(AND(E3420&lt;&gt;"",E3420&lt;&gt;"!!!"),"NEW","")))</f>
        <v> </v>
      </c>
      <c r="G3420" s="23" t="str">
        <f>IF(OR(E3420="",E3420="!!!"),"",IF(OR(J3420=0,AND(J3420=1,K3420=1),AND(J3420=1,I3420="SBJ"),AND(J3420=1,I3420=0)),"?IN_FOCUS",IF(J3420&lt;=2,"?ACTIVATED",IF(J3420&lt;&gt;"","?FAMILIAR",IF(F3420="NEW",IF(ISNA(VLOOKUP(E3420,#REF!,1,FALSE())),"?TYPE_IDENTIFIABLE","?REFERENTIAL"),"_")))))</f>
        <v> </v>
      </c>
      <c r="H3420" s="24" t="str">
        <f>IF(J3420&lt;&gt;1,"",IF(I3420="SBJ","CB","?"))</f>
        <v> </v>
      </c>
      <c r="I3420" s="25" t="str">
        <f>IF(OR(E3420="",E3420="!!!",F3420="NEW"),"",INDEX(B3419:B$2,-1+SUMPRODUCT(MAX(ROW(E3419:E$2)*(E3420=E3419:E$2)))))</f>
        <v> </v>
      </c>
      <c r="J3420" s="25" t="str">
        <f>IF(OR(E3420="",E3420="!!!",F3420="NEW"),"",COUNTBLANK(OFFSET(A$1,,,SUMPRODUCT(MAX(ROW(E$2:E3420)*(E3420=E$2:E3420)))))-COUNTBLANK(OFFSET(A$1,,,SUMPRODUCT(MAX(ROW(E$1:E3419)*(E2=E$1:E3419))))))</f>
        <v> </v>
      </c>
      <c r="K3420" s="25" t="str">
        <f>IF(OR(E3420="",E3420="!!!",F3420="NEW"),"",INDEX(J$1:J3419,SUMPRODUCT(MAX(ROW(E$1:E3419)*(E3420=E$1:E3419)))))</f>
        <v> </v>
      </c>
      <c r="L3420" s="26"/>
    </row>
    <row r="3421" spans="1:12">
      <c r="A3421" s="20" t="s">
        <v>1018</v>
      </c>
      <c r="E3421" s="21">
        <f>IF(D3421="?OLD","!!!","")</f>
        <v/>
      </c>
      <c r="F3421" s="22" t="str">
        <f>IF(OR(E3421="",E3421="!!!"),"",IF(NOT(ISNA(VLOOKUP(E3421,E$1:E3420,1,FALSE()))),"OLD",IF(AND(E3421&lt;&gt;"",E3421&lt;&gt;"!!!"),"NEW","")))</f>
        <v> </v>
      </c>
      <c r="G3421" s="23" t="str">
        <f>IF(OR(E3421="",E3421="!!!"),"",IF(OR(J3421=0,AND(J3421=1,K3421=1),AND(J3421=1,I3421="SBJ"),AND(J3421=1,I3421=0)),"?IN_FOCUS",IF(J3421&lt;=2,"?ACTIVATED",IF(J3421&lt;&gt;"","?FAMILIAR",IF(F3421="NEW",IF(ISNA(VLOOKUP(E3421,#REF!,1,FALSE())),"?TYPE_IDENTIFIABLE","?REFERENTIAL"),"_")))))</f>
        <v> </v>
      </c>
      <c r="H3421" s="24" t="str">
        <f>IF(J3421&lt;&gt;1,"",IF(I3421="SBJ","CB","?"))</f>
        <v> </v>
      </c>
      <c r="I3421" s="25" t="str">
        <f>IF(OR(E3421="",E3421="!!!",F3421="NEW"),"",INDEX(B3420:B$2,-1+SUMPRODUCT(MAX(ROW(E3420:E$2)*(E3421=E3420:E$2)))))</f>
        <v> </v>
      </c>
      <c r="J3421" s="25" t="str">
        <f>IF(OR(E3421="",E3421="!!!",F3421="NEW"),"",COUNTBLANK(OFFSET(A$1,,,SUMPRODUCT(MAX(ROW(E$2:E3421)*(E3421=E$2:E3421)))))-COUNTBLANK(OFFSET(A$1,,,SUMPRODUCT(MAX(ROW(E$1:E3420)*(E2=E$1:E3420))))))</f>
        <v> </v>
      </c>
      <c r="K3421" s="25" t="str">
        <f>IF(OR(E3421="",E3421="!!!",F3421="NEW"),"",INDEX(J$1:J3420,SUMPRODUCT(MAX(ROW(E$1:E3420)*(E3421=E$1:E3420)))))</f>
        <v> </v>
      </c>
      <c r="L3421" s="26"/>
    </row>
    <row r="3422" spans="1:12">
      <c r="A3422" s="20" t="s">
        <v>2193</v>
      </c>
      <c r="B3422" s="27" t="s">
        <v>1045</v>
      </c>
      <c r="C3422" s="27" t="s">
        <v>1021</v>
      </c>
      <c r="E3422" s="21">
        <f>IF(D3422="?OLD","!!!","")</f>
        <v/>
      </c>
      <c r="F3422" s="22" t="str">
        <f>IF(OR(E3422="",E3422="!!!"),"",IF(NOT(ISNA(VLOOKUP(E3422,E$1:E3421,1,FALSE()))),"OLD",IF(AND(E3422&lt;&gt;"",E3422&lt;&gt;"!!!"),"NEW","")))</f>
        <v> </v>
      </c>
      <c r="G3422" s="23" t="str">
        <f>IF(OR(E3422="",E3422="!!!"),"",IF(OR(J3422=0,AND(J3422=1,K3422=1),AND(J3422=1,I3422="SBJ"),AND(J3422=1,I3422=0)),"?IN_FOCUS",IF(J3422&lt;=2,"?ACTIVATED",IF(J3422&lt;&gt;"","?FAMILIAR",IF(F3422="NEW",IF(ISNA(VLOOKUP(E3422,#REF!,1,FALSE())),"?TYPE_IDENTIFIABLE","?REFERENTIAL"),"_")))))</f>
        <v> </v>
      </c>
      <c r="H3422" s="24" t="str">
        <f>IF(J3422&lt;&gt;1,"",IF(I3422="SBJ","CB","?"))</f>
        <v> </v>
      </c>
      <c r="I3422" s="25" t="str">
        <f>IF(OR(E3422="",E3422="!!!",F3422="NEW"),"",INDEX(B3421:B$2,-1+SUMPRODUCT(MAX(ROW(E3421:E$2)*(E3422=E3421:E$2)))))</f>
        <v> </v>
      </c>
      <c r="J3422" s="25" t="str">
        <f>IF(OR(E3422="",E3422="!!!",F3422="NEW"),"",COUNTBLANK(OFFSET(A$1,,,SUMPRODUCT(MAX(ROW(E$2:E3422)*(E3422=E$2:E3422)))))-COUNTBLANK(OFFSET(A$1,,,SUMPRODUCT(MAX(ROW(E$1:E3421)*(E2=E$1:E3421))))))</f>
        <v> </v>
      </c>
      <c r="K3422" s="25" t="str">
        <f>IF(OR(E3422="",E3422="!!!",F3422="NEW"),"",INDEX(J$1:J3421,SUMPRODUCT(MAX(ROW(E$1:E3421)*(E3422=E$1:E3421)))))</f>
        <v> </v>
      </c>
      <c r="L3422" s="26"/>
    </row>
    <row r="3423" spans="1:12">
      <c r="A3423" s="20" t="s">
        <v>135</v>
      </c>
      <c r="E3423" s="21">
        <f>IF(D3423="?OLD","!!!","")</f>
        <v/>
      </c>
      <c r="F3423" s="22" t="str">
        <f>IF(OR(E3423="",E3423="!!!"),"",IF(NOT(ISNA(VLOOKUP(E3423,E$1:E3422,1,FALSE()))),"OLD",IF(AND(E3423&lt;&gt;"",E3423&lt;&gt;"!!!"),"NEW","")))</f>
        <v> </v>
      </c>
      <c r="G3423" s="23" t="str">
        <f>IF(OR(E3423="",E3423="!!!"),"",IF(OR(J3423=0,AND(J3423=1,K3423=1),AND(J3423=1,I3423="SBJ"),AND(J3423=1,I3423=0)),"?IN_FOCUS",IF(J3423&lt;=2,"?ACTIVATED",IF(J3423&lt;&gt;"","?FAMILIAR",IF(F3423="NEW",IF(ISNA(VLOOKUP(E3423,#REF!,1,FALSE())),"?TYPE_IDENTIFIABLE","?REFERENTIAL"),"_")))))</f>
        <v> </v>
      </c>
      <c r="H3423" s="24" t="str">
        <f>IF(J3423&lt;&gt;1,"",IF(I3423="SBJ","CB","?"))</f>
        <v> </v>
      </c>
      <c r="I3423" s="25" t="str">
        <f>IF(OR(E3423="",E3423="!!!",F3423="NEW"),"",INDEX(B3422:B$2,-1+SUMPRODUCT(MAX(ROW(E3422:E$2)*(E3423=E3422:E$2)))))</f>
        <v> </v>
      </c>
      <c r="J3423" s="25" t="str">
        <f>IF(OR(E3423="",E3423="!!!",F3423="NEW"),"",COUNTBLANK(OFFSET(A$1,,,SUMPRODUCT(MAX(ROW(E$2:E3423)*(E3423=E$2:E3423)))))-COUNTBLANK(OFFSET(A$1,,,SUMPRODUCT(MAX(ROW(E$1:E3422)*(E2=E$1:E3422))))))</f>
        <v> </v>
      </c>
      <c r="K3423" s="25" t="str">
        <f>IF(OR(E3423="",E3423="!!!",F3423="NEW"),"",INDEX(J$1:J3422,SUMPRODUCT(MAX(ROW(E$1:E3422)*(E3423=E$1:E3422)))))</f>
        <v> </v>
      </c>
      <c r="L3423" s="26"/>
    </row>
    <row r="3424" spans="1:12">
      <c r="A3424" s="20"/>
    </row>
    <row r="3425" spans="1:12">
      <c r="A3425" s="20" t="s">
        <v>2194</v>
      </c>
    </row>
    <row r="3426" spans="1:12">
      <c r="A3426" s="20" t="s">
        <v>1088</v>
      </c>
      <c r="E3426" s="21">
        <f>IF(D3426="?OLD","!!!","")</f>
        <v/>
      </c>
      <c r="F3426" s="22" t="str">
        <f>IF(OR(E3426="",E3426="!!!"),"",IF(NOT(ISNA(VLOOKUP(E3426,E$1:E3425,1,FALSE()))),"OLD",IF(AND(E3426&lt;&gt;"",E3426&lt;&gt;"!!!"),"NEW","")))</f>
        <v> </v>
      </c>
      <c r="G3426" s="23" t="str">
        <f>IF(OR(E3426="",E3426="!!!"),"",IF(OR(J3426=0,AND(J3426=1,K3426=1),AND(J3426=1,I3426="SBJ"),AND(J3426=1,I3426=0)),"?IN_FOCUS",IF(J3426&lt;=2,"?ACTIVATED",IF(J3426&lt;&gt;"","?FAMILIAR",IF(F3426="NEW",IF(ISNA(VLOOKUP(E3426,#REF!,1,FALSE())),"?TYPE_IDENTIFIABLE","?REFERENTIAL"),"_")))))</f>
        <v> </v>
      </c>
      <c r="H3426" s="24" t="str">
        <f>IF(J3426&lt;&gt;1,"",IF(I3426="SBJ","CB","?"))</f>
        <v> </v>
      </c>
      <c r="I3426" s="25" t="str">
        <f>IF(OR(E3426="",E3426="!!!",F3426="NEW"),"",INDEX(B3425:B$2,-1+SUMPRODUCT(MAX(ROW(E3425:E$2)*(E3426=E3425:E$2)))))</f>
        <v> </v>
      </c>
      <c r="J3426" s="25" t="str">
        <f>IF(OR(E3426="",E3426="!!!",F3426="NEW"),"",COUNTBLANK(OFFSET(A$1,,,SUMPRODUCT(MAX(ROW(E$2:E3426)*(E3426=E$2:E3426)))))-COUNTBLANK(OFFSET(A$1,,,SUMPRODUCT(MAX(ROW(E$1:E3425)*(E2=E$1:E3425))))))</f>
        <v> </v>
      </c>
      <c r="K3426" s="25" t="str">
        <f>IF(OR(E3426="",E3426="!!!",F3426="NEW"),"",INDEX(J$1:J3425,SUMPRODUCT(MAX(ROW(E$1:E3425)*(E3426=E$1:E3425)))))</f>
        <v> </v>
      </c>
      <c r="L3426" s="26"/>
    </row>
    <row r="3427" spans="1:12">
      <c r="A3427" s="20" t="s">
        <v>1034</v>
      </c>
      <c r="E3427" s="21">
        <f>IF(D3427="?OLD","!!!","")</f>
        <v/>
      </c>
      <c r="F3427" s="22" t="str">
        <f>IF(OR(E3427="",E3427="!!!"),"",IF(NOT(ISNA(VLOOKUP(E3427,E$1:E3426,1,FALSE()))),"OLD",IF(AND(E3427&lt;&gt;"",E3427&lt;&gt;"!!!"),"NEW","")))</f>
        <v> </v>
      </c>
      <c r="G3427" s="23" t="str">
        <f>IF(OR(E3427="",E3427="!!!"),"",IF(OR(J3427=0,AND(J3427=1,K3427=1),AND(J3427=1,I3427="SBJ"),AND(J3427=1,I3427=0)),"?IN_FOCUS",IF(J3427&lt;=2,"?ACTIVATED",IF(J3427&lt;&gt;"","?FAMILIAR",IF(F3427="NEW",IF(ISNA(VLOOKUP(E3427,#REF!,1,FALSE())),"?TYPE_IDENTIFIABLE","?REFERENTIAL"),"_")))))</f>
        <v> </v>
      </c>
      <c r="H3427" s="24" t="str">
        <f>IF(J3427&lt;&gt;1,"",IF(I3427="SBJ","CB","?"))</f>
        <v> </v>
      </c>
      <c r="I3427" s="25" t="str">
        <f>IF(OR(E3427="",E3427="!!!",F3427="NEW"),"",INDEX(B3426:B$2,-1+SUMPRODUCT(MAX(ROW(E3426:E$2)*(E3427=E3426:E$2)))))</f>
        <v> </v>
      </c>
      <c r="J3427" s="25" t="str">
        <f>IF(OR(E3427="",E3427="!!!",F3427="NEW"),"",COUNTBLANK(OFFSET(A$1,,,SUMPRODUCT(MAX(ROW(E$2:E3427)*(E3427=E$2:E3427)))))-COUNTBLANK(OFFSET(A$1,,,SUMPRODUCT(MAX(ROW(E$1:E3426)*(E2=E$1:E3426))))))</f>
        <v> </v>
      </c>
      <c r="K3427" s="25" t="str">
        <f>IF(OR(E3427="",E3427="!!!",F3427="NEW"),"",INDEX(J$1:J3426,SUMPRODUCT(MAX(ROW(E$1:E3426)*(E3427=E$1:E3426)))))</f>
        <v> </v>
      </c>
      <c r="L3427" s="26"/>
    </row>
    <row r="3428" spans="1:12">
      <c r="A3428" s="20" t="s">
        <v>1018</v>
      </c>
      <c r="E3428" s="21">
        <f>IF(D3428="?OLD","!!!","")</f>
        <v/>
      </c>
      <c r="F3428" s="22" t="str">
        <f>IF(OR(E3428="",E3428="!!!"),"",IF(NOT(ISNA(VLOOKUP(E3428,E$1:E3427,1,FALSE()))),"OLD",IF(AND(E3428&lt;&gt;"",E3428&lt;&gt;"!!!"),"NEW","")))</f>
        <v> </v>
      </c>
      <c r="G3428" s="23" t="str">
        <f>IF(OR(E3428="",E3428="!!!"),"",IF(OR(J3428=0,AND(J3428=1,K3428=1),AND(J3428=1,I3428="SBJ"),AND(J3428=1,I3428=0)),"?IN_FOCUS",IF(J3428&lt;=2,"?ACTIVATED",IF(J3428&lt;&gt;"","?FAMILIAR",IF(F3428="NEW",IF(ISNA(VLOOKUP(E3428,#REF!,1,FALSE())),"?TYPE_IDENTIFIABLE","?REFERENTIAL"),"_")))))</f>
        <v> </v>
      </c>
      <c r="H3428" s="24" t="str">
        <f>IF(J3428&lt;&gt;1,"",IF(I3428="SBJ","CB","?"))</f>
        <v> </v>
      </c>
      <c r="I3428" s="25" t="str">
        <f>IF(OR(E3428="",E3428="!!!",F3428="NEW"),"",INDEX(B3427:B$2,-1+SUMPRODUCT(MAX(ROW(E3427:E$2)*(E3428=E3427:E$2)))))</f>
        <v> </v>
      </c>
      <c r="J3428" s="25" t="str">
        <f>IF(OR(E3428="",E3428="!!!",F3428="NEW"),"",COUNTBLANK(OFFSET(A$1,,,SUMPRODUCT(MAX(ROW(E$2:E3428)*(E3428=E$2:E3428)))))-COUNTBLANK(OFFSET(A$1,,,SUMPRODUCT(MAX(ROW(E$1:E3427)*(E2=E$1:E3427))))))</f>
        <v> </v>
      </c>
      <c r="K3428" s="25" t="str">
        <f>IF(OR(E3428="",E3428="!!!",F3428="NEW"),"",INDEX(J$1:J3427,SUMPRODUCT(MAX(ROW(E$1:E3427)*(E3428=E$1:E3427)))))</f>
        <v> </v>
      </c>
      <c r="L3428" s="26"/>
    </row>
    <row r="3429" spans="1:12">
      <c r="A3429" s="20" t="s">
        <v>2078</v>
      </c>
      <c r="B3429" s="27" t="s">
        <v>1045</v>
      </c>
      <c r="C3429" s="27" t="s">
        <v>1021</v>
      </c>
      <c r="E3429" s="21">
        <f>IF(D3429="?OLD","!!!","")</f>
        <v/>
      </c>
      <c r="F3429" s="22" t="str">
        <f>IF(OR(E3429="",E3429="!!!"),"",IF(NOT(ISNA(VLOOKUP(E3429,E$1:E3428,1,FALSE()))),"OLD",IF(AND(E3429&lt;&gt;"",E3429&lt;&gt;"!!!"),"NEW","")))</f>
        <v> </v>
      </c>
      <c r="G3429" s="23" t="str">
        <f>IF(OR(E3429="",E3429="!!!"),"",IF(OR(J3429=0,AND(J3429=1,K3429=1),AND(J3429=1,I3429="SBJ"),AND(J3429=1,I3429=0)),"?IN_FOCUS",IF(J3429&lt;=2,"?ACTIVATED",IF(J3429&lt;&gt;"","?FAMILIAR",IF(F3429="NEW",IF(ISNA(VLOOKUP(E3429,#REF!,1,FALSE())),"?TYPE_IDENTIFIABLE","?REFERENTIAL"),"_")))))</f>
        <v> </v>
      </c>
      <c r="H3429" s="24" t="str">
        <f>IF(J3429&lt;&gt;1,"",IF(I3429="SBJ","CB","?"))</f>
        <v> </v>
      </c>
      <c r="I3429" s="25" t="str">
        <f>IF(OR(E3429="",E3429="!!!",F3429="NEW"),"",INDEX(B3428:B$2,-1+SUMPRODUCT(MAX(ROW(E3428:E$2)*(E3429=E3428:E$2)))))</f>
        <v> </v>
      </c>
      <c r="J3429" s="25" t="str">
        <f>IF(OR(E3429="",E3429="!!!",F3429="NEW"),"",COUNTBLANK(OFFSET(A$1,,,SUMPRODUCT(MAX(ROW(E$2:E3429)*(E3429=E$2:E3429)))))-COUNTBLANK(OFFSET(A$1,,,SUMPRODUCT(MAX(ROW(E$1:E3428)*(E2=E$1:E3428))))))</f>
        <v> </v>
      </c>
      <c r="K3429" s="25" t="str">
        <f>IF(OR(E3429="",E3429="!!!",F3429="NEW"),"",INDEX(J$1:J3428,SUMPRODUCT(MAX(ROW(E$1:E3428)*(E3429=E$1:E3428)))))</f>
        <v> </v>
      </c>
      <c r="L3429" s="26"/>
    </row>
    <row r="3430" spans="1:12">
      <c r="A3430" s="20" t="s">
        <v>135</v>
      </c>
      <c r="E3430" s="21">
        <f>IF(D3430="?OLD","!!!","")</f>
        <v/>
      </c>
      <c r="F3430" s="22" t="str">
        <f>IF(OR(E3430="",E3430="!!!"),"",IF(NOT(ISNA(VLOOKUP(E3430,E$1:E3429,1,FALSE()))),"OLD",IF(AND(E3430&lt;&gt;"",E3430&lt;&gt;"!!!"),"NEW","")))</f>
        <v> </v>
      </c>
      <c r="G3430" s="23" t="str">
        <f>IF(OR(E3430="",E3430="!!!"),"",IF(OR(J3430=0,AND(J3430=1,K3430=1),AND(J3430=1,I3430="SBJ"),AND(J3430=1,I3430=0)),"?IN_FOCUS",IF(J3430&lt;=2,"?ACTIVATED",IF(J3430&lt;&gt;"","?FAMILIAR",IF(F3430="NEW",IF(ISNA(VLOOKUP(E3430,#REF!,1,FALSE())),"?TYPE_IDENTIFIABLE","?REFERENTIAL"),"_")))))</f>
        <v> </v>
      </c>
      <c r="H3430" s="24" t="str">
        <f>IF(J3430&lt;&gt;1,"",IF(I3430="SBJ","CB","?"))</f>
        <v> </v>
      </c>
      <c r="I3430" s="25" t="str">
        <f>IF(OR(E3430="",E3430="!!!",F3430="NEW"),"",INDEX(B3429:B$2,-1+SUMPRODUCT(MAX(ROW(E3429:E$2)*(E3430=E3429:E$2)))))</f>
        <v> </v>
      </c>
      <c r="J3430" s="25" t="str">
        <f>IF(OR(E3430="",E3430="!!!",F3430="NEW"),"",COUNTBLANK(OFFSET(A$1,,,SUMPRODUCT(MAX(ROW(E$2:E3430)*(E3430=E$2:E3430)))))-COUNTBLANK(OFFSET(A$1,,,SUMPRODUCT(MAX(ROW(E$1:E3429)*(E2=E$1:E3429))))))</f>
        <v> </v>
      </c>
      <c r="K3430" s="25" t="str">
        <f>IF(OR(E3430="",E3430="!!!",F3430="NEW"),"",INDEX(J$1:J3429,SUMPRODUCT(MAX(ROW(E$1:E3429)*(E3430=E$1:E3429)))))</f>
        <v> </v>
      </c>
      <c r="L3430" s="26"/>
    </row>
    <row r="3431" spans="1:12">
      <c r="A3431" s="20"/>
    </row>
    <row r="3432" spans="1:12">
      <c r="A3432" s="20" t="s">
        <v>2195</v>
      </c>
    </row>
    <row r="3433" spans="1:12">
      <c r="A3433" s="20" t="s">
        <v>1088</v>
      </c>
      <c r="E3433" s="21">
        <f>IF(D3433="?OLD","!!!","")</f>
        <v/>
      </c>
      <c r="F3433" s="22" t="str">
        <f>IF(OR(E3433="",E3433="!!!"),"",IF(NOT(ISNA(VLOOKUP(E3433,E$1:E3432,1,FALSE()))),"OLD",IF(AND(E3433&lt;&gt;"",E3433&lt;&gt;"!!!"),"NEW","")))</f>
        <v> </v>
      </c>
      <c r="G3433" s="23" t="str">
        <f>IF(OR(E3433="",E3433="!!!"),"",IF(OR(J3433=0,AND(J3433=1,K3433=1),AND(J3433=1,I3433="SBJ"),AND(J3433=1,I3433=0)),"?IN_FOCUS",IF(J3433&lt;=2,"?ACTIVATED",IF(J3433&lt;&gt;"","?FAMILIAR",IF(F3433="NEW",IF(ISNA(VLOOKUP(E3433,#REF!,1,FALSE())),"?TYPE_IDENTIFIABLE","?REFERENTIAL"),"_")))))</f>
        <v> </v>
      </c>
      <c r="H3433" s="24" t="str">
        <f>IF(J3433&lt;&gt;1,"",IF(I3433="SBJ","CB","?"))</f>
        <v> </v>
      </c>
      <c r="I3433" s="25" t="str">
        <f>IF(OR(E3433="",E3433="!!!",F3433="NEW"),"",INDEX(B3432:B$2,-1+SUMPRODUCT(MAX(ROW(E3432:E$2)*(E3433=E3432:E$2)))))</f>
        <v> </v>
      </c>
      <c r="J3433" s="25" t="str">
        <f>IF(OR(E3433="",E3433="!!!",F3433="NEW"),"",COUNTBLANK(OFFSET(A$1,,,SUMPRODUCT(MAX(ROW(E$2:E3433)*(E3433=E$2:E3433)))))-COUNTBLANK(OFFSET(A$1,,,SUMPRODUCT(MAX(ROW(E$1:E3432)*(E2=E$1:E3432))))))</f>
        <v> </v>
      </c>
      <c r="K3433" s="25" t="str">
        <f>IF(OR(E3433="",E3433="!!!",F3433="NEW"),"",INDEX(J$1:J3432,SUMPRODUCT(MAX(ROW(E$1:E3432)*(E3433=E$1:E3432)))))</f>
        <v> </v>
      </c>
      <c r="L3433" s="26"/>
    </row>
    <row r="3434" spans="1:12">
      <c r="A3434" s="20" t="s">
        <v>1034</v>
      </c>
      <c r="E3434" s="21">
        <f>IF(D3434="?OLD","!!!","")</f>
        <v/>
      </c>
      <c r="F3434" s="22" t="str">
        <f>IF(OR(E3434="",E3434="!!!"),"",IF(NOT(ISNA(VLOOKUP(E3434,E$1:E3433,1,FALSE()))),"OLD",IF(AND(E3434&lt;&gt;"",E3434&lt;&gt;"!!!"),"NEW","")))</f>
        <v> </v>
      </c>
      <c r="G3434" s="23" t="str">
        <f>IF(OR(E3434="",E3434="!!!"),"",IF(OR(J3434=0,AND(J3434=1,K3434=1),AND(J3434=1,I3434="SBJ"),AND(J3434=1,I3434=0)),"?IN_FOCUS",IF(J3434&lt;=2,"?ACTIVATED",IF(J3434&lt;&gt;"","?FAMILIAR",IF(F3434="NEW",IF(ISNA(VLOOKUP(E3434,#REF!,1,FALSE())),"?TYPE_IDENTIFIABLE","?REFERENTIAL"),"_")))))</f>
        <v> </v>
      </c>
      <c r="H3434" s="24" t="str">
        <f>IF(J3434&lt;&gt;1,"",IF(I3434="SBJ","CB","?"))</f>
        <v> </v>
      </c>
      <c r="I3434" s="25" t="str">
        <f>IF(OR(E3434="",E3434="!!!",F3434="NEW"),"",INDEX(B3433:B$2,-1+SUMPRODUCT(MAX(ROW(E3433:E$2)*(E3434=E3433:E$2)))))</f>
        <v> </v>
      </c>
      <c r="J3434" s="25" t="str">
        <f>IF(OR(E3434="",E3434="!!!",F3434="NEW"),"",COUNTBLANK(OFFSET(A$1,,,SUMPRODUCT(MAX(ROW(E$2:E3434)*(E3434=E$2:E3434)))))-COUNTBLANK(OFFSET(A$1,,,SUMPRODUCT(MAX(ROW(E$1:E3433)*(E2=E$1:E3433))))))</f>
        <v> </v>
      </c>
      <c r="K3434" s="25" t="str">
        <f>IF(OR(E3434="",E3434="!!!",F3434="NEW"),"",INDEX(J$1:J3433,SUMPRODUCT(MAX(ROW(E$1:E3433)*(E3434=E$1:E3433)))))</f>
        <v> </v>
      </c>
      <c r="L3434" s="26"/>
    </row>
    <row r="3435" spans="1:12">
      <c r="A3435" s="20" t="s">
        <v>1907</v>
      </c>
      <c r="E3435" s="21">
        <f>IF(D3435="?OLD","!!!","")</f>
        <v/>
      </c>
      <c r="F3435" s="22" t="str">
        <f>IF(OR(E3435="",E3435="!!!"),"",IF(NOT(ISNA(VLOOKUP(E3435,E$1:E3434,1,FALSE()))),"OLD",IF(AND(E3435&lt;&gt;"",E3435&lt;&gt;"!!!"),"NEW","")))</f>
        <v> </v>
      </c>
      <c r="G3435" s="23" t="str">
        <f>IF(OR(E3435="",E3435="!!!"),"",IF(OR(J3435=0,AND(J3435=1,K3435=1),AND(J3435=1,I3435="SBJ"),AND(J3435=1,I3435=0)),"?IN_FOCUS",IF(J3435&lt;=2,"?ACTIVATED",IF(J3435&lt;&gt;"","?FAMILIAR",IF(F3435="NEW",IF(ISNA(VLOOKUP(E3435,#REF!,1,FALSE())),"?TYPE_IDENTIFIABLE","?REFERENTIAL"),"_")))))</f>
        <v> </v>
      </c>
      <c r="H3435" s="24" t="str">
        <f>IF(J3435&lt;&gt;1,"",IF(I3435="SBJ","CB","?"))</f>
        <v> </v>
      </c>
      <c r="I3435" s="25" t="str">
        <f>IF(OR(E3435="",E3435="!!!",F3435="NEW"),"",INDEX(B3434:B$2,-1+SUMPRODUCT(MAX(ROW(E3434:E$2)*(E3435=E3434:E$2)))))</f>
        <v> </v>
      </c>
      <c r="J3435" s="25" t="str">
        <f>IF(OR(E3435="",E3435="!!!",F3435="NEW"),"",COUNTBLANK(OFFSET(A$1,,,SUMPRODUCT(MAX(ROW(E$2:E3435)*(E3435=E$2:E3435)))))-COUNTBLANK(OFFSET(A$1,,,SUMPRODUCT(MAX(ROW(E$1:E3434)*(E2=E$1:E3434))))))</f>
        <v> </v>
      </c>
      <c r="K3435" s="25" t="str">
        <f>IF(OR(E3435="",E3435="!!!",F3435="NEW"),"",INDEX(J$1:J3434,SUMPRODUCT(MAX(ROW(E$1:E3434)*(E3435=E$1:E3434)))))</f>
        <v> </v>
      </c>
      <c r="L3435" s="26"/>
    </row>
    <row r="3436" spans="1:12">
      <c r="A3436" s="20" t="s">
        <v>1622</v>
      </c>
      <c r="E3436" s="21">
        <f>IF(D3436="?OLD","!!!","")</f>
        <v/>
      </c>
      <c r="F3436" s="22" t="str">
        <f>IF(OR(E3436="",E3436="!!!"),"",IF(NOT(ISNA(VLOOKUP(E3436,E$1:E3435,1,FALSE()))),"OLD",IF(AND(E3436&lt;&gt;"",E3436&lt;&gt;"!!!"),"NEW","")))</f>
        <v> </v>
      </c>
      <c r="G3436" s="23" t="str">
        <f>IF(OR(E3436="",E3436="!!!"),"",IF(OR(J3436=0,AND(J3436=1,K3436=1),AND(J3436=1,I3436="SBJ"),AND(J3436=1,I3436=0)),"?IN_FOCUS",IF(J3436&lt;=2,"?ACTIVATED",IF(J3436&lt;&gt;"","?FAMILIAR",IF(F3436="NEW",IF(ISNA(VLOOKUP(E3436,#REF!,1,FALSE())),"?TYPE_IDENTIFIABLE","?REFERENTIAL"),"_")))))</f>
        <v> </v>
      </c>
      <c r="H3436" s="24" t="str">
        <f>IF(J3436&lt;&gt;1,"",IF(I3436="SBJ","CB","?"))</f>
        <v> </v>
      </c>
      <c r="I3436" s="25" t="str">
        <f>IF(OR(E3436="",E3436="!!!",F3436="NEW"),"",INDEX(B3435:B$2,-1+SUMPRODUCT(MAX(ROW(E3435:E$2)*(E3436=E3435:E$2)))))</f>
        <v> </v>
      </c>
      <c r="J3436" s="25" t="str">
        <f>IF(OR(E3436="",E3436="!!!",F3436="NEW"),"",COUNTBLANK(OFFSET(A$1,,,SUMPRODUCT(MAX(ROW(E$2:E3436)*(E3436=E$2:E3436)))))-COUNTBLANK(OFFSET(A$1,,,SUMPRODUCT(MAX(ROW(E$1:E3435)*(E2=E$1:E3435))))))</f>
        <v> </v>
      </c>
      <c r="K3436" s="25" t="str">
        <f>IF(OR(E3436="",E3436="!!!",F3436="NEW"),"",INDEX(J$1:J3435,SUMPRODUCT(MAX(ROW(E$1:E3435)*(E3436=E$1:E3435)))))</f>
        <v> </v>
      </c>
      <c r="L3436" s="26"/>
    </row>
    <row r="3437" spans="1:12">
      <c r="A3437" s="20" t="s">
        <v>2196</v>
      </c>
      <c r="B3437" s="27" t="s">
        <v>1045</v>
      </c>
      <c r="C3437" s="27" t="s">
        <v>1021</v>
      </c>
      <c r="E3437" s="21">
        <f>IF(D3437="?OLD","!!!","")</f>
        <v/>
      </c>
      <c r="F3437" s="22" t="str">
        <f>IF(OR(E3437="",E3437="!!!"),"",IF(NOT(ISNA(VLOOKUP(E3437,E$1:E3436,1,FALSE()))),"OLD",IF(AND(E3437&lt;&gt;"",E3437&lt;&gt;"!!!"),"NEW","")))</f>
        <v> </v>
      </c>
      <c r="G3437" s="23" t="str">
        <f>IF(OR(E3437="",E3437="!!!"),"",IF(OR(J3437=0,AND(J3437=1,K3437=1),AND(J3437=1,I3437="SBJ"),AND(J3437=1,I3437=0)),"?IN_FOCUS",IF(J3437&lt;=2,"?ACTIVATED",IF(J3437&lt;&gt;"","?FAMILIAR",IF(F3437="NEW",IF(ISNA(VLOOKUP(E3437,#REF!,1,FALSE())),"?TYPE_IDENTIFIABLE","?REFERENTIAL"),"_")))))</f>
        <v> </v>
      </c>
      <c r="H3437" s="24" t="str">
        <f>IF(J3437&lt;&gt;1,"",IF(I3437="SBJ","CB","?"))</f>
        <v> </v>
      </c>
      <c r="I3437" s="25" t="str">
        <f>IF(OR(E3437="",E3437="!!!",F3437="NEW"),"",INDEX(B3436:B$2,-1+SUMPRODUCT(MAX(ROW(E3436:E$2)*(E3437=E3436:E$2)))))</f>
        <v> </v>
      </c>
      <c r="J3437" s="25" t="str">
        <f>IF(OR(E3437="",E3437="!!!",F3437="NEW"),"",COUNTBLANK(OFFSET(A$1,,,SUMPRODUCT(MAX(ROW(E$2:E3437)*(E3437=E$2:E3437)))))-COUNTBLANK(OFFSET(A$1,,,SUMPRODUCT(MAX(ROW(E$1:E3436)*(E2=E$1:E3436))))))</f>
        <v> </v>
      </c>
      <c r="K3437" s="25" t="str">
        <f>IF(OR(E3437="",E3437="!!!",F3437="NEW"),"",INDEX(J$1:J3436,SUMPRODUCT(MAX(ROW(E$1:E3436)*(E3437=E$1:E3436)))))</f>
        <v> </v>
      </c>
      <c r="L3437" s="26"/>
    </row>
    <row r="3438" spans="1:12">
      <c r="A3438" s="20" t="s">
        <v>1056</v>
      </c>
      <c r="E3438" s="21">
        <f>IF(D3438="?OLD","!!!","")</f>
        <v/>
      </c>
      <c r="F3438" s="22" t="str">
        <f>IF(OR(E3438="",E3438="!!!"),"",IF(NOT(ISNA(VLOOKUP(E3438,E$1:E3437,1,FALSE()))),"OLD",IF(AND(E3438&lt;&gt;"",E3438&lt;&gt;"!!!"),"NEW","")))</f>
        <v> </v>
      </c>
      <c r="G3438" s="23" t="str">
        <f>IF(OR(E3438="",E3438="!!!"),"",IF(OR(J3438=0,AND(J3438=1,K3438=1),AND(J3438=1,I3438="SBJ"),AND(J3438=1,I3438=0)),"?IN_FOCUS",IF(J3438&lt;=2,"?ACTIVATED",IF(J3438&lt;&gt;"","?FAMILIAR",IF(F3438="NEW",IF(ISNA(VLOOKUP(E3438,#REF!,1,FALSE())),"?TYPE_IDENTIFIABLE","?REFERENTIAL"),"_")))))</f>
        <v> </v>
      </c>
      <c r="H3438" s="24" t="str">
        <f>IF(J3438&lt;&gt;1,"",IF(I3438="SBJ","CB","?"))</f>
        <v> </v>
      </c>
      <c r="I3438" s="25" t="str">
        <f>IF(OR(E3438="",E3438="!!!",F3438="NEW"),"",INDEX(B3437:B$2,-1+SUMPRODUCT(MAX(ROW(E3437:E$2)*(E3438=E3437:E$2)))))</f>
        <v> </v>
      </c>
      <c r="J3438" s="25" t="str">
        <f>IF(OR(E3438="",E3438="!!!",F3438="NEW"),"",COUNTBLANK(OFFSET(A$1,,,SUMPRODUCT(MAX(ROW(E$2:E3438)*(E3438=E$2:E3438)))))-COUNTBLANK(OFFSET(A$1,,,SUMPRODUCT(MAX(ROW(E$1:E3437)*(E2=E$1:E3437))))))</f>
        <v> </v>
      </c>
      <c r="K3438" s="25" t="str">
        <f>IF(OR(E3438="",E3438="!!!",F3438="NEW"),"",INDEX(J$1:J3437,SUMPRODUCT(MAX(ROW(E$1:E3437)*(E3438=E$1:E3437)))))</f>
        <v> </v>
      </c>
      <c r="L3438" s="26"/>
    </row>
    <row r="3439" spans="1:12">
      <c r="A3439" s="20"/>
    </row>
    <row r="3440" spans="1:12">
      <c r="A3440" s="20" t="s">
        <v>2197</v>
      </c>
    </row>
    <row r="3441" spans="1:12">
      <c r="A3441" s="20" t="s">
        <v>1034</v>
      </c>
      <c r="E3441" s="21">
        <f>IF(D3441="?OLD","!!!","")</f>
        <v/>
      </c>
      <c r="F3441" s="22" t="str">
        <f>IF(OR(E3441="",E3441="!!!"),"",IF(NOT(ISNA(VLOOKUP(E3441,E$1:E3440,1,FALSE()))),"OLD",IF(AND(E3441&lt;&gt;"",E3441&lt;&gt;"!!!"),"NEW","")))</f>
        <v> </v>
      </c>
      <c r="G3441" s="23" t="str">
        <f>IF(OR(E3441="",E3441="!!!"),"",IF(OR(J3441=0,AND(J3441=1,K3441=1),AND(J3441=1,I3441="SBJ"),AND(J3441=1,I3441=0)),"?IN_FOCUS",IF(J3441&lt;=2,"?ACTIVATED",IF(J3441&lt;&gt;"","?FAMILIAR",IF(F3441="NEW",IF(ISNA(VLOOKUP(E3441,#REF!,1,FALSE())),"?TYPE_IDENTIFIABLE","?REFERENTIAL"),"_")))))</f>
        <v> </v>
      </c>
      <c r="H3441" s="24" t="str">
        <f>IF(J3441&lt;&gt;1,"",IF(I3441="SBJ","CB","?"))</f>
        <v> </v>
      </c>
      <c r="I3441" s="25" t="str">
        <f>IF(OR(E3441="",E3441="!!!",F3441="NEW"),"",INDEX(B3440:B$2,-1+SUMPRODUCT(MAX(ROW(E3440:E$2)*(E3441=E3440:E$2)))))</f>
        <v> </v>
      </c>
      <c r="J3441" s="25" t="str">
        <f>IF(OR(E3441="",E3441="!!!",F3441="NEW"),"",COUNTBLANK(OFFSET(A$1,,,SUMPRODUCT(MAX(ROW(E$2:E3441)*(E3441=E$2:E3441)))))-COUNTBLANK(OFFSET(A$1,,,SUMPRODUCT(MAX(ROW(E$1:E3440)*(E2=E$1:E3440))))))</f>
        <v> </v>
      </c>
      <c r="K3441" s="25" t="str">
        <f>IF(OR(E3441="",E3441="!!!",F3441="NEW"),"",INDEX(J$1:J3440,SUMPRODUCT(MAX(ROW(E$1:E3440)*(E3441=E$1:E3440)))))</f>
        <v> </v>
      </c>
      <c r="L3441" s="26"/>
    </row>
    <row r="3442" spans="1:12">
      <c r="A3442" s="20" t="s">
        <v>1160</v>
      </c>
      <c r="E3442" s="21">
        <f>IF(D3442="?OLD","!!!","")</f>
        <v/>
      </c>
      <c r="F3442" s="22" t="str">
        <f>IF(OR(E3442="",E3442="!!!"),"",IF(NOT(ISNA(VLOOKUP(E3442,E$1:E3441,1,FALSE()))),"OLD",IF(AND(E3442&lt;&gt;"",E3442&lt;&gt;"!!!"),"NEW","")))</f>
        <v> </v>
      </c>
      <c r="G3442" s="23" t="str">
        <f>IF(OR(E3442="",E3442="!!!"),"",IF(OR(J3442=0,AND(J3442=1,K3442=1),AND(J3442=1,I3442="SBJ"),AND(J3442=1,I3442=0)),"?IN_FOCUS",IF(J3442&lt;=2,"?ACTIVATED",IF(J3442&lt;&gt;"","?FAMILIAR",IF(F3442="NEW",IF(ISNA(VLOOKUP(E3442,#REF!,1,FALSE())),"?TYPE_IDENTIFIABLE","?REFERENTIAL"),"_")))))</f>
        <v> </v>
      </c>
      <c r="H3442" s="24" t="str">
        <f>IF(J3442&lt;&gt;1,"",IF(I3442="SBJ","CB","?"))</f>
        <v> </v>
      </c>
      <c r="I3442" s="25" t="str">
        <f>IF(OR(E3442="",E3442="!!!",F3442="NEW"),"",INDEX(B3441:B$2,-1+SUMPRODUCT(MAX(ROW(E3441:E$2)*(E3442=E3441:E$2)))))</f>
        <v> </v>
      </c>
      <c r="J3442" s="25" t="str">
        <f>IF(OR(E3442="",E3442="!!!",F3442="NEW"),"",COUNTBLANK(OFFSET(A$1,,,SUMPRODUCT(MAX(ROW(E$2:E3442)*(E3442=E$2:E3442)))))-COUNTBLANK(OFFSET(A$1,,,SUMPRODUCT(MAX(ROW(E$1:E3441)*(E2=E$1:E3441))))))</f>
        <v> </v>
      </c>
      <c r="K3442" s="25" t="str">
        <f>IF(OR(E3442="",E3442="!!!",F3442="NEW"),"",INDEX(J$1:J3441,SUMPRODUCT(MAX(ROW(E$1:E3441)*(E3442=E$1:E3441)))))</f>
        <v> </v>
      </c>
      <c r="L3442" s="26"/>
    </row>
    <row r="3443" spans="1:12">
      <c r="A3443" s="20" t="s">
        <v>2198</v>
      </c>
      <c r="B3443" s="27" t="s">
        <v>1045</v>
      </c>
      <c r="C3443" s="27" t="s">
        <v>1021</v>
      </c>
      <c r="E3443" s="21">
        <f>IF(D3443="?OLD","!!!","")</f>
        <v/>
      </c>
      <c r="F3443" s="22" t="str">
        <f>IF(OR(E3443="",E3443="!!!"),"",IF(NOT(ISNA(VLOOKUP(E3443,E$1:E3442,1,FALSE()))),"OLD",IF(AND(E3443&lt;&gt;"",E3443&lt;&gt;"!!!"),"NEW","")))</f>
        <v> </v>
      </c>
      <c r="G3443" s="23" t="str">
        <f>IF(OR(E3443="",E3443="!!!"),"",IF(OR(J3443=0,AND(J3443=1,K3443=1),AND(J3443=1,I3443="SBJ"),AND(J3443=1,I3443=0)),"?IN_FOCUS",IF(J3443&lt;=2,"?ACTIVATED",IF(J3443&lt;&gt;"","?FAMILIAR",IF(F3443="NEW",IF(ISNA(VLOOKUP(E3443,#REF!,1,FALSE())),"?TYPE_IDENTIFIABLE","?REFERENTIAL"),"_")))))</f>
        <v> </v>
      </c>
      <c r="H3443" s="24" t="str">
        <f>IF(J3443&lt;&gt;1,"",IF(I3443="SBJ","CB","?"))</f>
        <v> </v>
      </c>
      <c r="I3443" s="25" t="str">
        <f>IF(OR(E3443="",E3443="!!!",F3443="NEW"),"",INDEX(B3442:B$2,-1+SUMPRODUCT(MAX(ROW(E3442:E$2)*(E3443=E3442:E$2)))))</f>
        <v> </v>
      </c>
      <c r="J3443" s="25" t="str">
        <f>IF(OR(E3443="",E3443="!!!",F3443="NEW"),"",COUNTBLANK(OFFSET(A$1,,,SUMPRODUCT(MAX(ROW(E$2:E3443)*(E3443=E$2:E3443)))))-COUNTBLANK(OFFSET(A$1,,,SUMPRODUCT(MAX(ROW(E$1:E3442)*(E2=E$1:E3442))))))</f>
        <v> </v>
      </c>
      <c r="K3443" s="25" t="str">
        <f>IF(OR(E3443="",E3443="!!!",F3443="NEW"),"",INDEX(J$1:J3442,SUMPRODUCT(MAX(ROW(E$1:E3442)*(E3443=E$1:E3442)))))</f>
        <v> </v>
      </c>
      <c r="L3443" s="26"/>
    </row>
    <row r="3444" spans="1:12">
      <c r="A3444" s="20" t="s">
        <v>135</v>
      </c>
      <c r="E3444" s="21">
        <f>IF(D3444="?OLD","!!!","")</f>
        <v/>
      </c>
      <c r="F3444" s="22" t="str">
        <f>IF(OR(E3444="",E3444="!!!"),"",IF(NOT(ISNA(VLOOKUP(E3444,E$1:E3443,1,FALSE()))),"OLD",IF(AND(E3444&lt;&gt;"",E3444&lt;&gt;"!!!"),"NEW","")))</f>
        <v> </v>
      </c>
      <c r="G3444" s="23" t="str">
        <f>IF(OR(E3444="",E3444="!!!"),"",IF(OR(J3444=0,AND(J3444=1,K3444=1),AND(J3444=1,I3444="SBJ"),AND(J3444=1,I3444=0)),"?IN_FOCUS",IF(J3444&lt;=2,"?ACTIVATED",IF(J3444&lt;&gt;"","?FAMILIAR",IF(F3444="NEW",IF(ISNA(VLOOKUP(E3444,#REF!,1,FALSE())),"?TYPE_IDENTIFIABLE","?REFERENTIAL"),"_")))))</f>
        <v> </v>
      </c>
      <c r="H3444" s="24" t="str">
        <f>IF(J3444&lt;&gt;1,"",IF(I3444="SBJ","CB","?"))</f>
        <v> </v>
      </c>
      <c r="I3444" s="25" t="str">
        <f>IF(OR(E3444="",E3444="!!!",F3444="NEW"),"",INDEX(B3443:B$2,-1+SUMPRODUCT(MAX(ROW(E3443:E$2)*(E3444=E3443:E$2)))))</f>
        <v> </v>
      </c>
      <c r="J3444" s="25" t="str">
        <f>IF(OR(E3444="",E3444="!!!",F3444="NEW"),"",COUNTBLANK(OFFSET(A$1,,,SUMPRODUCT(MAX(ROW(E$2:E3444)*(E3444=E$2:E3444)))))-COUNTBLANK(OFFSET(A$1,,,SUMPRODUCT(MAX(ROW(E$1:E3443)*(E2=E$1:E3443))))))</f>
        <v> </v>
      </c>
      <c r="K3444" s="25" t="str">
        <f>IF(OR(E3444="",E3444="!!!",F3444="NEW"),"",INDEX(J$1:J3443,SUMPRODUCT(MAX(ROW(E$1:E3443)*(E3444=E$1:E3443)))))</f>
        <v> </v>
      </c>
      <c r="L3444" s="26"/>
    </row>
    <row r="3445" spans="1:12">
      <c r="A3445" s="20"/>
    </row>
    <row r="3446" spans="1:12">
      <c r="A3446" s="20" t="s">
        <v>2199</v>
      </c>
    </row>
    <row r="3447" spans="1:12">
      <c r="A3447" s="20" t="s">
        <v>1699</v>
      </c>
      <c r="E3447" s="21">
        <f>IF(D3447="?OLD","!!!","")</f>
        <v/>
      </c>
      <c r="F3447" s="22" t="str">
        <f>IF(OR(E3447="",E3447="!!!"),"",IF(NOT(ISNA(VLOOKUP(E3447,E$1:E3446,1,FALSE()))),"OLD",IF(AND(E3447&lt;&gt;"",E3447&lt;&gt;"!!!"),"NEW","")))</f>
        <v> </v>
      </c>
      <c r="G3447" s="23" t="str">
        <f>IF(OR(E3447="",E3447="!!!"),"",IF(OR(J3447=0,AND(J3447=1,K3447=1),AND(J3447=1,I3447="SBJ"),AND(J3447=1,I3447=0)),"?IN_FOCUS",IF(J3447&lt;=2,"?ACTIVATED",IF(J3447&lt;&gt;"","?FAMILIAR",IF(F3447="NEW",IF(ISNA(VLOOKUP(E3447,#REF!,1,FALSE())),"?TYPE_IDENTIFIABLE","?REFERENTIAL"),"_")))))</f>
        <v> </v>
      </c>
      <c r="H3447" s="24" t="str">
        <f>IF(J3447&lt;&gt;1,"",IF(I3447="SBJ","CB","?"))</f>
        <v> </v>
      </c>
      <c r="I3447" s="25" t="str">
        <f>IF(OR(E3447="",E3447="!!!",F3447="NEW"),"",INDEX(B3446:B$2,-1+SUMPRODUCT(MAX(ROW(E3446:E$2)*(E3447=E3446:E$2)))))</f>
        <v> </v>
      </c>
      <c r="J3447" s="25" t="str">
        <f>IF(OR(E3447="",E3447="!!!",F3447="NEW"),"",COUNTBLANK(OFFSET(A$1,,,SUMPRODUCT(MAX(ROW(E$2:E3447)*(E3447=E$2:E3447)))))-COUNTBLANK(OFFSET(A$1,,,SUMPRODUCT(MAX(ROW(E$1:E3446)*(E2=E$1:E3446))))))</f>
        <v> </v>
      </c>
      <c r="K3447" s="25" t="str">
        <f>IF(OR(E3447="",E3447="!!!",F3447="NEW"),"",INDEX(J$1:J3446,SUMPRODUCT(MAX(ROW(E$1:E3446)*(E3447=E$1:E3446)))))</f>
        <v> </v>
      </c>
      <c r="L3447" s="26"/>
    </row>
    <row r="3448" spans="1:12">
      <c r="A3448" s="20" t="s">
        <v>1160</v>
      </c>
      <c r="E3448" s="21">
        <f>IF(D3448="?OLD","!!!","")</f>
        <v/>
      </c>
      <c r="F3448" s="22" t="str">
        <f>IF(OR(E3448="",E3448="!!!"),"",IF(NOT(ISNA(VLOOKUP(E3448,E$1:E3447,1,FALSE()))),"OLD",IF(AND(E3448&lt;&gt;"",E3448&lt;&gt;"!!!"),"NEW","")))</f>
        <v> </v>
      </c>
      <c r="G3448" s="23" t="str">
        <f>IF(OR(E3448="",E3448="!!!"),"",IF(OR(J3448=0,AND(J3448=1,K3448=1),AND(J3448=1,I3448="SBJ"),AND(J3448=1,I3448=0)),"?IN_FOCUS",IF(J3448&lt;=2,"?ACTIVATED",IF(J3448&lt;&gt;"","?FAMILIAR",IF(F3448="NEW",IF(ISNA(VLOOKUP(E3448,#REF!,1,FALSE())),"?TYPE_IDENTIFIABLE","?REFERENTIAL"),"_")))))</f>
        <v> </v>
      </c>
      <c r="H3448" s="24" t="str">
        <f>IF(J3448&lt;&gt;1,"",IF(I3448="SBJ","CB","?"))</f>
        <v> </v>
      </c>
      <c r="I3448" s="25" t="str">
        <f>IF(OR(E3448="",E3448="!!!",F3448="NEW"),"",INDEX(B3447:B$2,-1+SUMPRODUCT(MAX(ROW(E3447:E$2)*(E3448=E3447:E$2)))))</f>
        <v> </v>
      </c>
      <c r="J3448" s="25" t="str">
        <f>IF(OR(E3448="",E3448="!!!",F3448="NEW"),"",COUNTBLANK(OFFSET(A$1,,,SUMPRODUCT(MAX(ROW(E$2:E3448)*(E3448=E$2:E3448)))))-COUNTBLANK(OFFSET(A$1,,,SUMPRODUCT(MAX(ROW(E$1:E3447)*(E2=E$1:E3447))))))</f>
        <v> </v>
      </c>
      <c r="K3448" s="25" t="str">
        <f>IF(OR(E3448="",E3448="!!!",F3448="NEW"),"",INDEX(J$1:J3447,SUMPRODUCT(MAX(ROW(E$1:E3447)*(E3448=E$1:E3447)))))</f>
        <v> </v>
      </c>
      <c r="L3448" s="26"/>
    </row>
    <row r="3449" spans="1:12">
      <c r="A3449" s="20" t="s">
        <v>2198</v>
      </c>
      <c r="B3449" s="27" t="s">
        <v>1045</v>
      </c>
      <c r="C3449" s="27" t="s">
        <v>1021</v>
      </c>
      <c r="E3449" s="21">
        <f>IF(D3449="?OLD","!!!","")</f>
        <v/>
      </c>
      <c r="F3449" s="22" t="str">
        <f>IF(OR(E3449="",E3449="!!!"),"",IF(NOT(ISNA(VLOOKUP(E3449,E$1:E3448,1,FALSE()))),"OLD",IF(AND(E3449&lt;&gt;"",E3449&lt;&gt;"!!!"),"NEW","")))</f>
        <v> </v>
      </c>
      <c r="G3449" s="23" t="str">
        <f>IF(OR(E3449="",E3449="!!!"),"",IF(OR(J3449=0,AND(J3449=1,K3449=1),AND(J3449=1,I3449="SBJ"),AND(J3449=1,I3449=0)),"?IN_FOCUS",IF(J3449&lt;=2,"?ACTIVATED",IF(J3449&lt;&gt;"","?FAMILIAR",IF(F3449="NEW",IF(ISNA(VLOOKUP(E3449,#REF!,1,FALSE())),"?TYPE_IDENTIFIABLE","?REFERENTIAL"),"_")))))</f>
        <v> </v>
      </c>
      <c r="H3449" s="24" t="str">
        <f>IF(J3449&lt;&gt;1,"",IF(I3449="SBJ","CB","?"))</f>
        <v> </v>
      </c>
      <c r="I3449" s="25" t="str">
        <f>IF(OR(E3449="",E3449="!!!",F3449="NEW"),"",INDEX(B3448:B$2,-1+SUMPRODUCT(MAX(ROW(E3448:E$2)*(E3449=E3448:E$2)))))</f>
        <v> </v>
      </c>
      <c r="J3449" s="25" t="str">
        <f>IF(OR(E3449="",E3449="!!!",F3449="NEW"),"",COUNTBLANK(OFFSET(A$1,,,SUMPRODUCT(MAX(ROW(E$2:E3449)*(E3449=E$2:E3449)))))-COUNTBLANK(OFFSET(A$1,,,SUMPRODUCT(MAX(ROW(E$1:E3448)*(E2=E$1:E3448))))))</f>
        <v> </v>
      </c>
      <c r="K3449" s="25" t="str">
        <f>IF(OR(E3449="",E3449="!!!",F3449="NEW"),"",INDEX(J$1:J3448,SUMPRODUCT(MAX(ROW(E$1:E3448)*(E3449=E$1:E3448)))))</f>
        <v> </v>
      </c>
      <c r="L3449" s="26"/>
    </row>
    <row r="3450" spans="1:12">
      <c r="A3450" s="20" t="s">
        <v>1022</v>
      </c>
      <c r="E3450" s="21">
        <f>IF(D3450="?OLD","!!!","")</f>
        <v/>
      </c>
      <c r="F3450" s="22" t="str">
        <f>IF(OR(E3450="",E3450="!!!"),"",IF(NOT(ISNA(VLOOKUP(E3450,E$1:E3449,1,FALSE()))),"OLD",IF(AND(E3450&lt;&gt;"",E3450&lt;&gt;"!!!"),"NEW","")))</f>
        <v> </v>
      </c>
      <c r="G3450" s="23" t="str">
        <f>IF(OR(E3450="",E3450="!!!"),"",IF(OR(J3450=0,AND(J3450=1,K3450=1),AND(J3450=1,I3450="SBJ"),AND(J3450=1,I3450=0)),"?IN_FOCUS",IF(J3450&lt;=2,"?ACTIVATED",IF(J3450&lt;&gt;"","?FAMILIAR",IF(F3450="NEW",IF(ISNA(VLOOKUP(E3450,#REF!,1,FALSE())),"?TYPE_IDENTIFIABLE","?REFERENTIAL"),"_")))))</f>
        <v> </v>
      </c>
      <c r="H3450" s="24" t="str">
        <f>IF(J3450&lt;&gt;1,"",IF(I3450="SBJ","CB","?"))</f>
        <v> </v>
      </c>
      <c r="I3450" s="25" t="str">
        <f>IF(OR(E3450="",E3450="!!!",F3450="NEW"),"",INDEX(B3449:B$2,-1+SUMPRODUCT(MAX(ROW(E3449:E$2)*(E3450=E3449:E$2)))))</f>
        <v> </v>
      </c>
      <c r="J3450" s="25" t="str">
        <f>IF(OR(E3450="",E3450="!!!",F3450="NEW"),"",COUNTBLANK(OFFSET(A$1,,,SUMPRODUCT(MAX(ROW(E$2:E3450)*(E3450=E$2:E3450)))))-COUNTBLANK(OFFSET(A$1,,,SUMPRODUCT(MAX(ROW(E$1:E3449)*(E2=E$1:E3449))))))</f>
        <v> </v>
      </c>
      <c r="K3450" s="25" t="str">
        <f>IF(OR(E3450="",E3450="!!!",F3450="NEW"),"",INDEX(J$1:J3449,SUMPRODUCT(MAX(ROW(E$1:E3449)*(E3450=E$1:E3449)))))</f>
        <v> </v>
      </c>
      <c r="L3450" s="26"/>
    </row>
    <row r="3451" spans="1:12">
      <c r="A3451" s="20" t="s">
        <v>1074</v>
      </c>
      <c r="E3451" s="21">
        <f>IF(D3451="?OLD","!!!","")</f>
        <v/>
      </c>
      <c r="F3451" s="22" t="str">
        <f>IF(OR(E3451="",E3451="!!!"),"",IF(NOT(ISNA(VLOOKUP(E3451,E$1:E3450,1,FALSE()))),"OLD",IF(AND(E3451&lt;&gt;"",E3451&lt;&gt;"!!!"),"NEW","")))</f>
        <v> </v>
      </c>
      <c r="G3451" s="23" t="str">
        <f>IF(OR(E3451="",E3451="!!!"),"",IF(OR(J3451=0,AND(J3451=1,K3451=1),AND(J3451=1,I3451="SBJ"),AND(J3451=1,I3451=0)),"?IN_FOCUS",IF(J3451&lt;=2,"?ACTIVATED",IF(J3451&lt;&gt;"","?FAMILIAR",IF(F3451="NEW",IF(ISNA(VLOOKUP(E3451,#REF!,1,FALSE())),"?TYPE_IDENTIFIABLE","?REFERENTIAL"),"_")))))</f>
        <v> </v>
      </c>
      <c r="H3451" s="24" t="str">
        <f>IF(J3451&lt;&gt;1,"",IF(I3451="SBJ","CB","?"))</f>
        <v> </v>
      </c>
      <c r="I3451" s="25" t="str">
        <f>IF(OR(E3451="",E3451="!!!",F3451="NEW"),"",INDEX(B3450:B$2,-1+SUMPRODUCT(MAX(ROW(E3450:E$2)*(E3451=E3450:E$2)))))</f>
        <v> </v>
      </c>
      <c r="J3451" s="25" t="str">
        <f>IF(OR(E3451="",E3451="!!!",F3451="NEW"),"",COUNTBLANK(OFFSET(A$1,,,SUMPRODUCT(MAX(ROW(E$2:E3451)*(E3451=E$2:E3451)))))-COUNTBLANK(OFFSET(A$1,,,SUMPRODUCT(MAX(ROW(E$1:E3450)*(E2=E$1:E3450))))))</f>
        <v> </v>
      </c>
      <c r="K3451" s="25" t="str">
        <f>IF(OR(E3451="",E3451="!!!",F3451="NEW"),"",INDEX(J$1:J3450,SUMPRODUCT(MAX(ROW(E$1:E3450)*(E3451=E$1:E3450)))))</f>
        <v> </v>
      </c>
      <c r="L3451" s="26"/>
    </row>
    <row r="3452" spans="1:12">
      <c r="A3452" s="20" t="s">
        <v>1296</v>
      </c>
      <c r="B3452" s="27" t="s">
        <v>1079</v>
      </c>
      <c r="C3452" s="27" t="s">
        <v>1015</v>
      </c>
      <c r="E3452" s="21">
        <f>IF(D3452="?OLD","!!!","")</f>
        <v/>
      </c>
      <c r="F3452" s="22" t="str">
        <f>IF(OR(E3452="",E3452="!!!"),"",IF(NOT(ISNA(VLOOKUP(E3452,E$1:E3451,1,FALSE()))),"OLD",IF(AND(E3452&lt;&gt;"",E3452&lt;&gt;"!!!"),"NEW","")))</f>
        <v> </v>
      </c>
      <c r="G3452" s="23" t="str">
        <f>IF(OR(E3452="",E3452="!!!"),"",IF(OR(J3452=0,AND(J3452=1,K3452=1),AND(J3452=1,I3452="SBJ"),AND(J3452=1,I3452=0)),"?IN_FOCUS",IF(J3452&lt;=2,"?ACTIVATED",IF(J3452&lt;&gt;"","?FAMILIAR",IF(F3452="NEW",IF(ISNA(VLOOKUP(E3452,#REF!,1,FALSE())),"?TYPE_IDENTIFIABLE","?REFERENTIAL"),"_")))))</f>
        <v> </v>
      </c>
      <c r="H3452" s="24" t="str">
        <f>IF(J3452&lt;&gt;1,"",IF(I3452="SBJ","CB","?"))</f>
        <v> </v>
      </c>
      <c r="I3452" s="25" t="str">
        <f>IF(OR(E3452="",E3452="!!!",F3452="NEW"),"",INDEX(B3451:B$2,-1+SUMPRODUCT(MAX(ROW(E3451:E$2)*(E3452=E3451:E$2)))))</f>
        <v> </v>
      </c>
      <c r="J3452" s="25" t="str">
        <f>IF(OR(E3452="",E3452="!!!",F3452="NEW"),"",COUNTBLANK(OFFSET(A$1,,,SUMPRODUCT(MAX(ROW(E$2:E3452)*(E3452=E$2:E3452)))))-COUNTBLANK(OFFSET(A$1,,,SUMPRODUCT(MAX(ROW(E$1:E3451)*(E2=E$1:E3451))))))</f>
        <v> </v>
      </c>
      <c r="K3452" s="25" t="str">
        <f>IF(OR(E3452="",E3452="!!!",F3452="NEW"),"",INDEX(J$1:J3451,SUMPRODUCT(MAX(ROW(E$1:E3451)*(E3452=E$1:E3451)))))</f>
        <v> </v>
      </c>
      <c r="L3452" s="26"/>
    </row>
    <row r="3453" spans="1:12">
      <c r="A3453" s="20" t="s">
        <v>2200</v>
      </c>
      <c r="E3453" s="21">
        <f>IF(D3453="?OLD","!!!","")</f>
        <v/>
      </c>
      <c r="F3453" s="22" t="str">
        <f>IF(OR(E3453="",E3453="!!!"),"",IF(NOT(ISNA(VLOOKUP(E3453,E$1:E3452,1,FALSE()))),"OLD",IF(AND(E3453&lt;&gt;"",E3453&lt;&gt;"!!!"),"NEW","")))</f>
        <v> </v>
      </c>
      <c r="G3453" s="23" t="str">
        <f>IF(OR(E3453="",E3453="!!!"),"",IF(OR(J3453=0,AND(J3453=1,K3453=1),AND(J3453=1,I3453="SBJ"),AND(J3453=1,I3453=0)),"?IN_FOCUS",IF(J3453&lt;=2,"?ACTIVATED",IF(J3453&lt;&gt;"","?FAMILIAR",IF(F3453="NEW",IF(ISNA(VLOOKUP(E3453,#REF!,1,FALSE())),"?TYPE_IDENTIFIABLE","?REFERENTIAL"),"_")))))</f>
        <v> </v>
      </c>
      <c r="H3453" s="24" t="str">
        <f>IF(J3453&lt;&gt;1,"",IF(I3453="SBJ","CB","?"))</f>
        <v> </v>
      </c>
      <c r="I3453" s="25" t="str">
        <f>IF(OR(E3453="",E3453="!!!",F3453="NEW"),"",INDEX(B3452:B$2,-1+SUMPRODUCT(MAX(ROW(E3452:E$2)*(E3453=E3452:E$2)))))</f>
        <v> </v>
      </c>
      <c r="J3453" s="25" t="str">
        <f>IF(OR(E3453="",E3453="!!!",F3453="NEW"),"",COUNTBLANK(OFFSET(A$1,,,SUMPRODUCT(MAX(ROW(E$2:E3453)*(E3453=E$2:E3453)))))-COUNTBLANK(OFFSET(A$1,,,SUMPRODUCT(MAX(ROW(E$1:E3452)*(E2=E$1:E3452))))))</f>
        <v> </v>
      </c>
      <c r="K3453" s="25" t="str">
        <f>IF(OR(E3453="",E3453="!!!",F3453="NEW"),"",INDEX(J$1:J3452,SUMPRODUCT(MAX(ROW(E$1:E3452)*(E3453=E$1:E3452)))))</f>
        <v> </v>
      </c>
      <c r="L3453" s="26"/>
    </row>
    <row r="3454" spans="1:12">
      <c r="A3454" s="20" t="s">
        <v>1281</v>
      </c>
      <c r="B3454" s="27" t="s">
        <v>1069</v>
      </c>
      <c r="C3454" s="27" t="s">
        <v>1015</v>
      </c>
      <c r="E3454" s="21">
        <f>IF(D3454="?OLD","!!!","")</f>
        <v/>
      </c>
      <c r="F3454" s="22" t="str">
        <f>IF(OR(E3454="",E3454="!!!"),"",IF(NOT(ISNA(VLOOKUP(E3454,E$1:E3453,1,FALSE()))),"OLD",IF(AND(E3454&lt;&gt;"",E3454&lt;&gt;"!!!"),"NEW","")))</f>
        <v> </v>
      </c>
      <c r="G3454" s="23" t="str">
        <f>IF(OR(E3454="",E3454="!!!"),"",IF(OR(J3454=0,AND(J3454=1,K3454=1),AND(J3454=1,I3454="SBJ"),AND(J3454=1,I3454=0)),"?IN_FOCUS",IF(J3454&lt;=2,"?ACTIVATED",IF(J3454&lt;&gt;"","?FAMILIAR",IF(F3454="NEW",IF(ISNA(VLOOKUP(E3454,#REF!,1,FALSE())),"?TYPE_IDENTIFIABLE","?REFERENTIAL"),"_")))))</f>
        <v> </v>
      </c>
      <c r="H3454" s="24" t="str">
        <f>IF(J3454&lt;&gt;1,"",IF(I3454="SBJ","CB","?"))</f>
        <v> </v>
      </c>
      <c r="I3454" s="25" t="str">
        <f>IF(OR(E3454="",E3454="!!!",F3454="NEW"),"",INDEX(B3453:B$2,-1+SUMPRODUCT(MAX(ROW(E3453:E$2)*(E3454=E3453:E$2)))))</f>
        <v> </v>
      </c>
      <c r="J3454" s="25" t="str">
        <f>IF(OR(E3454="",E3454="!!!",F3454="NEW"),"",COUNTBLANK(OFFSET(A$1,,,SUMPRODUCT(MAX(ROW(E$2:E3454)*(E3454=E$2:E3454)))))-COUNTBLANK(OFFSET(A$1,,,SUMPRODUCT(MAX(ROW(E$1:E3453)*(E2=E$1:E3453))))))</f>
        <v> </v>
      </c>
      <c r="K3454" s="25" t="str">
        <f>IF(OR(E3454="",E3454="!!!",F3454="NEW"),"",INDEX(J$1:J3453,SUMPRODUCT(MAX(ROW(E$1:E3453)*(E3454=E$1:E3453)))))</f>
        <v> </v>
      </c>
      <c r="L3454" s="26"/>
    </row>
    <row r="3455" spans="1:12">
      <c r="A3455" s="20" t="s">
        <v>2201</v>
      </c>
      <c r="E3455" s="21">
        <f>IF(D3455="?OLD","!!!","")</f>
        <v/>
      </c>
      <c r="F3455" s="22" t="str">
        <f>IF(OR(E3455="",E3455="!!!"),"",IF(NOT(ISNA(VLOOKUP(E3455,E$1:E3454,1,FALSE()))),"OLD",IF(AND(E3455&lt;&gt;"",E3455&lt;&gt;"!!!"),"NEW","")))</f>
        <v> </v>
      </c>
      <c r="G3455" s="23" t="str">
        <f>IF(OR(E3455="",E3455="!!!"),"",IF(OR(J3455=0,AND(J3455=1,K3455=1),AND(J3455=1,I3455="SBJ"),AND(J3455=1,I3455=0)),"?IN_FOCUS",IF(J3455&lt;=2,"?ACTIVATED",IF(J3455&lt;&gt;"","?FAMILIAR",IF(F3455="NEW",IF(ISNA(VLOOKUP(E3455,#REF!,1,FALSE())),"?TYPE_IDENTIFIABLE","?REFERENTIAL"),"_")))))</f>
        <v> </v>
      </c>
      <c r="H3455" s="24" t="str">
        <f>IF(J3455&lt;&gt;1,"",IF(I3455="SBJ","CB","?"))</f>
        <v> </v>
      </c>
      <c r="I3455" s="25" t="str">
        <f>IF(OR(E3455="",E3455="!!!",F3455="NEW"),"",INDEX(B3454:B$2,-1+SUMPRODUCT(MAX(ROW(E3454:E$2)*(E3455=E3454:E$2)))))</f>
        <v> </v>
      </c>
      <c r="J3455" s="25" t="str">
        <f>IF(OR(E3455="",E3455="!!!",F3455="NEW"),"",COUNTBLANK(OFFSET(A$1,,,SUMPRODUCT(MAX(ROW(E$2:E3455)*(E3455=E$2:E3455)))))-COUNTBLANK(OFFSET(A$1,,,SUMPRODUCT(MAX(ROW(E$1:E3454)*(E2=E$1:E3454))))))</f>
        <v> </v>
      </c>
      <c r="K3455" s="25" t="str">
        <f>IF(OR(E3455="",E3455="!!!",F3455="NEW"),"",INDEX(J$1:J3454,SUMPRODUCT(MAX(ROW(E$1:E3454)*(E3455=E$1:E3454)))))</f>
        <v> </v>
      </c>
      <c r="L3455" s="26"/>
    </row>
    <row r="3456" spans="1:12">
      <c r="A3456" s="20" t="s">
        <v>1074</v>
      </c>
      <c r="E3456" s="21">
        <f>IF(D3456="?OLD","!!!","")</f>
        <v/>
      </c>
      <c r="F3456" s="22" t="str">
        <f>IF(OR(E3456="",E3456="!!!"),"",IF(NOT(ISNA(VLOOKUP(E3456,E$1:E3455,1,FALSE()))),"OLD",IF(AND(E3456&lt;&gt;"",E3456&lt;&gt;"!!!"),"NEW","")))</f>
        <v> </v>
      </c>
      <c r="G3456" s="23" t="str">
        <f>IF(OR(E3456="",E3456="!!!"),"",IF(OR(J3456=0,AND(J3456=1,K3456=1),AND(J3456=1,I3456="SBJ"),AND(J3456=1,I3456=0)),"?IN_FOCUS",IF(J3456&lt;=2,"?ACTIVATED",IF(J3456&lt;&gt;"","?FAMILIAR",IF(F3456="NEW",IF(ISNA(VLOOKUP(E3456,#REF!,1,FALSE())),"?TYPE_IDENTIFIABLE","?REFERENTIAL"),"_")))))</f>
        <v> </v>
      </c>
      <c r="H3456" s="24" t="str">
        <f>IF(J3456&lt;&gt;1,"",IF(I3456="SBJ","CB","?"))</f>
        <v> </v>
      </c>
      <c r="I3456" s="25" t="str">
        <f>IF(OR(E3456="",E3456="!!!",F3456="NEW"),"",INDEX(B3455:B$2,-1+SUMPRODUCT(MAX(ROW(E3455:E$2)*(E3456=E3455:E$2)))))</f>
        <v> </v>
      </c>
      <c r="J3456" s="25" t="str">
        <f>IF(OR(E3456="",E3456="!!!",F3456="NEW"),"",COUNTBLANK(OFFSET(A$1,,,SUMPRODUCT(MAX(ROW(E$2:E3456)*(E3456=E$2:E3456)))))-COUNTBLANK(OFFSET(A$1,,,SUMPRODUCT(MAX(ROW(E$1:E3455)*(E2=E$1:E3455))))))</f>
        <v> </v>
      </c>
      <c r="K3456" s="25" t="str">
        <f>IF(OR(E3456="",E3456="!!!",F3456="NEW"),"",INDEX(J$1:J3455,SUMPRODUCT(MAX(ROW(E$1:E3455)*(E3456=E$1:E3455)))))</f>
        <v> </v>
      </c>
      <c r="L3456" s="26"/>
    </row>
    <row r="3457" spans="1:12">
      <c r="A3457" s="20" t="s">
        <v>1296</v>
      </c>
      <c r="B3457" s="27" t="s">
        <v>1079</v>
      </c>
      <c r="C3457" s="27" t="s">
        <v>1015</v>
      </c>
      <c r="E3457" s="21">
        <f>IF(D3457="?OLD","!!!","")</f>
        <v/>
      </c>
      <c r="F3457" s="22" t="str">
        <f>IF(OR(E3457="",E3457="!!!"),"",IF(NOT(ISNA(VLOOKUP(E3457,E$1:E3456,1,FALSE()))),"OLD",IF(AND(E3457&lt;&gt;"",E3457&lt;&gt;"!!!"),"NEW","")))</f>
        <v> </v>
      </c>
      <c r="G3457" s="23" t="str">
        <f>IF(OR(E3457="",E3457="!!!"),"",IF(OR(J3457=0,AND(J3457=1,K3457=1),AND(J3457=1,I3457="SBJ"),AND(J3457=1,I3457=0)),"?IN_FOCUS",IF(J3457&lt;=2,"?ACTIVATED",IF(J3457&lt;&gt;"","?FAMILIAR",IF(F3457="NEW",IF(ISNA(VLOOKUP(E3457,#REF!,1,FALSE())),"?TYPE_IDENTIFIABLE","?REFERENTIAL"),"_")))))</f>
        <v> </v>
      </c>
      <c r="H3457" s="24" t="str">
        <f>IF(J3457&lt;&gt;1,"",IF(I3457="SBJ","CB","?"))</f>
        <v> </v>
      </c>
      <c r="I3457" s="25" t="str">
        <f>IF(OR(E3457="",E3457="!!!",F3457="NEW"),"",INDEX(B3456:B$2,-1+SUMPRODUCT(MAX(ROW(E3456:E$2)*(E3457=E3456:E$2)))))</f>
        <v> </v>
      </c>
      <c r="J3457" s="25" t="str">
        <f>IF(OR(E3457="",E3457="!!!",F3457="NEW"),"",COUNTBLANK(OFFSET(A$1,,,SUMPRODUCT(MAX(ROW(E$2:E3457)*(E3457=E$2:E3457)))))-COUNTBLANK(OFFSET(A$1,,,SUMPRODUCT(MAX(ROW(E$1:E3456)*(E2=E$1:E3456))))))</f>
        <v> </v>
      </c>
      <c r="K3457" s="25" t="str">
        <f>IF(OR(E3457="",E3457="!!!",F3457="NEW"),"",INDEX(J$1:J3456,SUMPRODUCT(MAX(ROW(E$1:E3456)*(E3457=E$1:E3456)))))</f>
        <v> </v>
      </c>
      <c r="L3457" s="26"/>
    </row>
    <row r="3458" spans="1:12">
      <c r="A3458" s="20" t="s">
        <v>532</v>
      </c>
      <c r="B3458" s="27" t="s">
        <v>1098</v>
      </c>
      <c r="E3458" s="21">
        <f>IF(D3458="?OLD","!!!","")</f>
        <v/>
      </c>
      <c r="F3458" s="22" t="str">
        <f>IF(OR(E3458="",E3458="!!!"),"",IF(NOT(ISNA(VLOOKUP(E3458,E$1:E3457,1,FALSE()))),"OLD",IF(AND(E3458&lt;&gt;"",E3458&lt;&gt;"!!!"),"NEW","")))</f>
        <v> </v>
      </c>
      <c r="G3458" s="23" t="str">
        <f>IF(OR(E3458="",E3458="!!!"),"",IF(OR(J3458=0,AND(J3458=1,K3458=1),AND(J3458=1,I3458="SBJ"),AND(J3458=1,I3458=0)),"?IN_FOCUS",IF(J3458&lt;=2,"?ACTIVATED",IF(J3458&lt;&gt;"","?FAMILIAR",IF(F3458="NEW",IF(ISNA(VLOOKUP(E3458,#REF!,1,FALSE())),"?TYPE_IDENTIFIABLE","?REFERENTIAL"),"_")))))</f>
        <v> </v>
      </c>
      <c r="H3458" s="24" t="str">
        <f>IF(J3458&lt;&gt;1,"",IF(I3458="SBJ","CB","?"))</f>
        <v> </v>
      </c>
      <c r="I3458" s="25" t="str">
        <f>IF(OR(E3458="",E3458="!!!",F3458="NEW"),"",INDEX(B3457:B$2,-1+SUMPRODUCT(MAX(ROW(E3457:E$2)*(E3458=E3457:E$2)))))</f>
        <v> </v>
      </c>
      <c r="J3458" s="25" t="str">
        <f>IF(OR(E3458="",E3458="!!!",F3458="NEW"),"",COUNTBLANK(OFFSET(A$1,,,SUMPRODUCT(MAX(ROW(E$2:E3458)*(E3458=E$2:E3458)))))-COUNTBLANK(OFFSET(A$1,,,SUMPRODUCT(MAX(ROW(E$1:E3457)*(E2=E$1:E3457))))))</f>
        <v> </v>
      </c>
      <c r="K3458" s="25" t="str">
        <f>IF(OR(E3458="",E3458="!!!",F3458="NEW"),"",INDEX(J$1:J3457,SUMPRODUCT(MAX(ROW(E$1:E3457)*(E3458=E$1:E3457)))))</f>
        <v> </v>
      </c>
      <c r="L3458" s="26"/>
    </row>
    <row r="3459" spans="1:12">
      <c r="A3459" s="20" t="s">
        <v>1022</v>
      </c>
      <c r="E3459" s="21">
        <f>IF(D3459="?OLD","!!!","")</f>
        <v/>
      </c>
      <c r="F3459" s="22" t="str">
        <f>IF(OR(E3459="",E3459="!!!"),"",IF(NOT(ISNA(VLOOKUP(E3459,E$1:E3458,1,FALSE()))),"OLD",IF(AND(E3459&lt;&gt;"",E3459&lt;&gt;"!!!"),"NEW","")))</f>
        <v> </v>
      </c>
      <c r="G3459" s="23" t="str">
        <f>IF(OR(E3459="",E3459="!!!"),"",IF(OR(J3459=0,AND(J3459=1,K3459=1),AND(J3459=1,I3459="SBJ"),AND(J3459=1,I3459=0)),"?IN_FOCUS",IF(J3459&lt;=2,"?ACTIVATED",IF(J3459&lt;&gt;"","?FAMILIAR",IF(F3459="NEW",IF(ISNA(VLOOKUP(E3459,#REF!,1,FALSE())),"?TYPE_IDENTIFIABLE","?REFERENTIAL"),"_")))))</f>
        <v> </v>
      </c>
      <c r="H3459" s="24" t="str">
        <f>IF(J3459&lt;&gt;1,"",IF(I3459="SBJ","CB","?"))</f>
        <v> </v>
      </c>
      <c r="I3459" s="25" t="str">
        <f>IF(OR(E3459="",E3459="!!!",F3459="NEW"),"",INDEX(B3458:B$2,-1+SUMPRODUCT(MAX(ROW(E3458:E$2)*(E3459=E3458:E$2)))))</f>
        <v> </v>
      </c>
      <c r="J3459" s="25" t="str">
        <f>IF(OR(E3459="",E3459="!!!",F3459="NEW"),"",COUNTBLANK(OFFSET(A$1,,,SUMPRODUCT(MAX(ROW(E$2:E3459)*(E3459=E$2:E3459)))))-COUNTBLANK(OFFSET(A$1,,,SUMPRODUCT(MAX(ROW(E$1:E3458)*(E2=E$1:E3458))))))</f>
        <v> </v>
      </c>
      <c r="K3459" s="25" t="str">
        <f>IF(OR(E3459="",E3459="!!!",F3459="NEW"),"",INDEX(J$1:J3458,SUMPRODUCT(MAX(ROW(E$1:E3458)*(E3459=E$1:E3458)))))</f>
        <v> </v>
      </c>
      <c r="L3459" s="26"/>
    </row>
    <row r="3460" spans="1:12">
      <c r="A3460" s="20" t="s">
        <v>1429</v>
      </c>
      <c r="E3460" s="21">
        <f>IF(D3460="?OLD","!!!","")</f>
        <v/>
      </c>
      <c r="F3460" s="22" t="str">
        <f>IF(OR(E3460="",E3460="!!!"),"",IF(NOT(ISNA(VLOOKUP(E3460,E$1:E3459,1,FALSE()))),"OLD",IF(AND(E3460&lt;&gt;"",E3460&lt;&gt;"!!!"),"NEW","")))</f>
        <v> </v>
      </c>
      <c r="G3460" s="23" t="str">
        <f>IF(OR(E3460="",E3460="!!!"),"",IF(OR(J3460=0,AND(J3460=1,K3460=1),AND(J3460=1,I3460="SBJ"),AND(J3460=1,I3460=0)),"?IN_FOCUS",IF(J3460&lt;=2,"?ACTIVATED",IF(J3460&lt;&gt;"","?FAMILIAR",IF(F3460="NEW",IF(ISNA(VLOOKUP(E3460,#REF!,1,FALSE())),"?TYPE_IDENTIFIABLE","?REFERENTIAL"),"_")))))</f>
        <v> </v>
      </c>
      <c r="H3460" s="24" t="str">
        <f>IF(J3460&lt;&gt;1,"",IF(I3460="SBJ","CB","?"))</f>
        <v> </v>
      </c>
      <c r="I3460" s="25" t="str">
        <f>IF(OR(E3460="",E3460="!!!",F3460="NEW"),"",INDEX(B3459:B$2,-1+SUMPRODUCT(MAX(ROW(E3459:E$2)*(E3460=E3459:E$2)))))</f>
        <v> </v>
      </c>
      <c r="J3460" s="25" t="str">
        <f>IF(OR(E3460="",E3460="!!!",F3460="NEW"),"",COUNTBLANK(OFFSET(A$1,,,SUMPRODUCT(MAX(ROW(E$2:E3460)*(E3460=E$2:E3460)))))-COUNTBLANK(OFFSET(A$1,,,SUMPRODUCT(MAX(ROW(E$1:E3459)*(E2=E$1:E3459))))))</f>
        <v> </v>
      </c>
      <c r="K3460" s="25" t="str">
        <f>IF(OR(E3460="",E3460="!!!",F3460="NEW"),"",INDEX(J$1:J3459,SUMPRODUCT(MAX(ROW(E$1:E3459)*(E3460=E$1:E3459)))))</f>
        <v> </v>
      </c>
      <c r="L3460" s="26"/>
    </row>
    <row r="3461" spans="1:12">
      <c r="A3461" s="20" t="s">
        <v>1071</v>
      </c>
      <c r="E3461" s="21">
        <f>IF(D3461="?OLD","!!!","")</f>
        <v/>
      </c>
      <c r="F3461" s="22" t="str">
        <f>IF(OR(E3461="",E3461="!!!"),"",IF(NOT(ISNA(VLOOKUP(E3461,E$1:E3460,1,FALSE()))),"OLD",IF(AND(E3461&lt;&gt;"",E3461&lt;&gt;"!!!"),"NEW","")))</f>
        <v> </v>
      </c>
      <c r="G3461" s="23" t="str">
        <f>IF(OR(E3461="",E3461="!!!"),"",IF(OR(J3461=0,AND(J3461=1,K3461=1),AND(J3461=1,I3461="SBJ"),AND(J3461=1,I3461=0)),"?IN_FOCUS",IF(J3461&lt;=2,"?ACTIVATED",IF(J3461&lt;&gt;"","?FAMILIAR",IF(F3461="NEW",IF(ISNA(VLOOKUP(E3461,#REF!,1,FALSE())),"?TYPE_IDENTIFIABLE","?REFERENTIAL"),"_")))))</f>
        <v> </v>
      </c>
      <c r="H3461" s="24" t="str">
        <f>IF(J3461&lt;&gt;1,"",IF(I3461="SBJ","CB","?"))</f>
        <v> </v>
      </c>
      <c r="I3461" s="25" t="str">
        <f>IF(OR(E3461="",E3461="!!!",F3461="NEW"),"",INDEX(B3460:B$2,-1+SUMPRODUCT(MAX(ROW(E3460:E$2)*(E3461=E3460:E$2)))))</f>
        <v> </v>
      </c>
      <c r="J3461" s="25" t="str">
        <f>IF(OR(E3461="",E3461="!!!",F3461="NEW"),"",COUNTBLANK(OFFSET(A$1,,,SUMPRODUCT(MAX(ROW(E$2:E3461)*(E3461=E$2:E3461)))))-COUNTBLANK(OFFSET(A$1,,,SUMPRODUCT(MAX(ROW(E$1:E3460)*(E2=E$1:E3460))))))</f>
        <v> </v>
      </c>
      <c r="K3461" s="25" t="str">
        <f>IF(OR(E3461="",E3461="!!!",F3461="NEW"),"",INDEX(J$1:J3460,SUMPRODUCT(MAX(ROW(E$1:E3460)*(E3461=E$1:E3460)))))</f>
        <v> </v>
      </c>
      <c r="L3461" s="26"/>
    </row>
    <row r="3462" spans="1:12">
      <c r="A3462" s="20" t="s">
        <v>2196</v>
      </c>
      <c r="B3462" s="27" t="s">
        <v>1045</v>
      </c>
      <c r="C3462" s="27" t="s">
        <v>1038</v>
      </c>
      <c r="D3462" s="27" t="s">
        <v>1030</v>
      </c>
      <c r="E3462" s="21">
        <f>IF(D3462="?OLD","!!!","")</f>
        <v/>
      </c>
      <c r="F3462" s="22" t="str">
        <f>IF(OR(E3462="",E3462="!!!"),"",IF(NOT(ISNA(VLOOKUP(E3462,E$1:E3461,1,FALSE()))),"OLD",IF(AND(E3462&lt;&gt;"",E3462&lt;&gt;"!!!"),"NEW","")))</f>
        <v> </v>
      </c>
      <c r="G3462" s="23" t="str">
        <f>IF(OR(E3462="",E3462="!!!"),"",IF(OR(J3462=0,AND(J3462=1,K3462=1),AND(J3462=1,I3462="SBJ"),AND(J3462=1,I3462=0)),"?IN_FOCUS",IF(J3462&lt;=2,"?ACTIVATED",IF(J3462&lt;&gt;"","?FAMILIAR",IF(F3462="NEW",IF(ISNA(VLOOKUP(E3462,#REF!,1,FALSE())),"?TYPE_IDENTIFIABLE","?REFERENTIAL"),"_")))))</f>
        <v> </v>
      </c>
      <c r="H3462" s="24" t="str">
        <f>IF(J3462&lt;&gt;1,"",IF(I3462="SBJ","CB","?"))</f>
        <v> </v>
      </c>
      <c r="I3462" s="25" t="str">
        <f>IF(OR(E3462="",E3462="!!!",F3462="NEW"),"",INDEX(B3461:B$2,-1+SUMPRODUCT(MAX(ROW(E3461:E$2)*(E3462=E3461:E$2)))))</f>
        <v> </v>
      </c>
      <c r="J3462" s="25" t="str">
        <f>IF(OR(E3462="",E3462="!!!",F3462="NEW"),"",COUNTBLANK(OFFSET(A$1,,,SUMPRODUCT(MAX(ROW(E$2:E3462)*(E3462=E$2:E3462)))))-COUNTBLANK(OFFSET(A$1,,,SUMPRODUCT(MAX(ROW(E$1:E3461)*(E2=E$1:E3461))))))</f>
        <v> </v>
      </c>
      <c r="K3462" s="25" t="str">
        <f>IF(OR(E3462="",E3462="!!!",F3462="NEW"),"",INDEX(J$1:J3461,SUMPRODUCT(MAX(ROW(E$1:E3461)*(E3462=E$1:E3461)))))</f>
        <v> </v>
      </c>
      <c r="L3462" s="26"/>
    </row>
    <row r="3463" spans="1:12">
      <c r="A3463" s="20" t="s">
        <v>1094</v>
      </c>
      <c r="E3463" s="21">
        <f>IF(D3463="?OLD","!!!","")</f>
        <v/>
      </c>
      <c r="F3463" s="22" t="str">
        <f>IF(OR(E3463="",E3463="!!!"),"",IF(NOT(ISNA(VLOOKUP(E3463,E$1:E3462,1,FALSE()))),"OLD",IF(AND(E3463&lt;&gt;"",E3463&lt;&gt;"!!!"),"NEW","")))</f>
        <v> </v>
      </c>
      <c r="G3463" s="23" t="str">
        <f>IF(OR(E3463="",E3463="!!!"),"",IF(OR(J3463=0,AND(J3463=1,K3463=1),AND(J3463=1,I3463="SBJ"),AND(J3463=1,I3463=0)),"?IN_FOCUS",IF(J3463&lt;=2,"?ACTIVATED",IF(J3463&lt;&gt;"","?FAMILIAR",IF(F3463="NEW",IF(ISNA(VLOOKUP(E3463,#REF!,1,FALSE())),"?TYPE_IDENTIFIABLE","?REFERENTIAL"),"_")))))</f>
        <v> </v>
      </c>
      <c r="H3463" s="24" t="str">
        <f>IF(J3463&lt;&gt;1,"",IF(I3463="SBJ","CB","?"))</f>
        <v> </v>
      </c>
      <c r="I3463" s="25" t="str">
        <f>IF(OR(E3463="",E3463="!!!",F3463="NEW"),"",INDEX(B3462:B$2,-1+SUMPRODUCT(MAX(ROW(E3462:E$2)*(E3463=E3462:E$2)))))</f>
        <v> </v>
      </c>
      <c r="J3463" s="25" t="str">
        <f>IF(OR(E3463="",E3463="!!!",F3463="NEW"),"",COUNTBLANK(OFFSET(A$1,,,SUMPRODUCT(MAX(ROW(E$2:E3463)*(E3463=E$2:E3463)))))-COUNTBLANK(OFFSET(A$1,,,SUMPRODUCT(MAX(ROW(E$1:E3462)*(E2=E$1:E3462))))))</f>
        <v> </v>
      </c>
      <c r="K3463" s="25" t="str">
        <f>IF(OR(E3463="",E3463="!!!",F3463="NEW"),"",INDEX(J$1:J3462,SUMPRODUCT(MAX(ROW(E$1:E3462)*(E3463=E$1:E3462)))))</f>
        <v> </v>
      </c>
      <c r="L3463" s="26"/>
    </row>
    <row r="3464" spans="1:12">
      <c r="A3464" s="20" t="s">
        <v>1057</v>
      </c>
      <c r="E3464" s="21">
        <f>IF(D3464="?OLD","!!!","")</f>
        <v/>
      </c>
      <c r="F3464" s="22" t="str">
        <f>IF(OR(E3464="",E3464="!!!"),"",IF(NOT(ISNA(VLOOKUP(E3464,E$1:E3463,1,FALSE()))),"OLD",IF(AND(E3464&lt;&gt;"",E3464&lt;&gt;"!!!"),"NEW","")))</f>
        <v> </v>
      </c>
      <c r="G3464" s="23" t="str">
        <f>IF(OR(E3464="",E3464="!!!"),"",IF(OR(J3464=0,AND(J3464=1,K3464=1),AND(J3464=1,I3464="SBJ"),AND(J3464=1,I3464=0)),"?IN_FOCUS",IF(J3464&lt;=2,"?ACTIVATED",IF(J3464&lt;&gt;"","?FAMILIAR",IF(F3464="NEW",IF(ISNA(VLOOKUP(E3464,#REF!,1,FALSE())),"?TYPE_IDENTIFIABLE","?REFERENTIAL"),"_")))))</f>
        <v> </v>
      </c>
      <c r="H3464" s="24" t="str">
        <f>IF(J3464&lt;&gt;1,"",IF(I3464="SBJ","CB","?"))</f>
        <v> </v>
      </c>
      <c r="I3464" s="25" t="str">
        <f>IF(OR(E3464="",E3464="!!!",F3464="NEW"),"",INDEX(B3463:B$2,-1+SUMPRODUCT(MAX(ROW(E3463:E$2)*(E3464=E3463:E$2)))))</f>
        <v> </v>
      </c>
      <c r="J3464" s="25" t="str">
        <f>IF(OR(E3464="",E3464="!!!",F3464="NEW"),"",COUNTBLANK(OFFSET(A$1,,,SUMPRODUCT(MAX(ROW(E$2:E3464)*(E3464=E$2:E3464)))))-COUNTBLANK(OFFSET(A$1,,,SUMPRODUCT(MAX(ROW(E$1:E3463)*(E2=E$1:E3463))))))</f>
        <v> </v>
      </c>
      <c r="K3464" s="25" t="str">
        <f>IF(OR(E3464="",E3464="!!!",F3464="NEW"),"",INDEX(J$1:J3463,SUMPRODUCT(MAX(ROW(E$1:E3463)*(E3464=E$1:E3463)))))</f>
        <v> </v>
      </c>
      <c r="L3464" s="26"/>
    </row>
    <row r="3465" spans="1:12">
      <c r="A3465" s="20" t="s">
        <v>1396</v>
      </c>
      <c r="E3465" s="21">
        <f>IF(D3465="?OLD","!!!","")</f>
        <v/>
      </c>
      <c r="F3465" s="22" t="str">
        <f>IF(OR(E3465="",E3465="!!!"),"",IF(NOT(ISNA(VLOOKUP(E3465,E$1:E3464,1,FALSE()))),"OLD",IF(AND(E3465&lt;&gt;"",E3465&lt;&gt;"!!!"),"NEW","")))</f>
        <v> </v>
      </c>
      <c r="G3465" s="23" t="str">
        <f>IF(OR(E3465="",E3465="!!!"),"",IF(OR(J3465=0,AND(J3465=1,K3465=1),AND(J3465=1,I3465="SBJ"),AND(J3465=1,I3465=0)),"?IN_FOCUS",IF(J3465&lt;=2,"?ACTIVATED",IF(J3465&lt;&gt;"","?FAMILIAR",IF(F3465="NEW",IF(ISNA(VLOOKUP(E3465,#REF!,1,FALSE())),"?TYPE_IDENTIFIABLE","?REFERENTIAL"),"_")))))</f>
        <v> </v>
      </c>
      <c r="H3465" s="24" t="str">
        <f>IF(J3465&lt;&gt;1,"",IF(I3465="SBJ","CB","?"))</f>
        <v> </v>
      </c>
      <c r="I3465" s="25" t="str">
        <f>IF(OR(E3465="",E3465="!!!",F3465="NEW"),"",INDEX(B3464:B$2,-1+SUMPRODUCT(MAX(ROW(E3464:E$2)*(E3465=E3464:E$2)))))</f>
        <v> </v>
      </c>
      <c r="J3465" s="25" t="str">
        <f>IF(OR(E3465="",E3465="!!!",F3465="NEW"),"",COUNTBLANK(OFFSET(A$1,,,SUMPRODUCT(MAX(ROW(E$2:E3465)*(E3465=E$2:E3465)))))-COUNTBLANK(OFFSET(A$1,,,SUMPRODUCT(MAX(ROW(E$1:E3464)*(E2=E$1:E3464))))))</f>
        <v> </v>
      </c>
      <c r="K3465" s="25" t="str">
        <f>IF(OR(E3465="",E3465="!!!",F3465="NEW"),"",INDEX(J$1:J3464,SUMPRODUCT(MAX(ROW(E$1:E3464)*(E3465=E$1:E3464)))))</f>
        <v> </v>
      </c>
      <c r="L3465" s="26"/>
    </row>
    <row r="3466" spans="1:12">
      <c r="A3466" s="20" t="s">
        <v>2202</v>
      </c>
      <c r="E3466" s="21">
        <f>IF(D3466="?OLD","!!!","")</f>
        <v/>
      </c>
      <c r="F3466" s="22" t="str">
        <f>IF(OR(E3466="",E3466="!!!"),"",IF(NOT(ISNA(VLOOKUP(E3466,E$1:E3465,1,FALSE()))),"OLD",IF(AND(E3466&lt;&gt;"",E3466&lt;&gt;"!!!"),"NEW","")))</f>
        <v> </v>
      </c>
      <c r="G3466" s="23" t="str">
        <f>IF(OR(E3466="",E3466="!!!"),"",IF(OR(J3466=0,AND(J3466=1,K3466=1),AND(J3466=1,I3466="SBJ"),AND(J3466=1,I3466=0)),"?IN_FOCUS",IF(J3466&lt;=2,"?ACTIVATED",IF(J3466&lt;&gt;"","?FAMILIAR",IF(F3466="NEW",IF(ISNA(VLOOKUP(E3466,#REF!,1,FALSE())),"?TYPE_IDENTIFIABLE","?REFERENTIAL"),"_")))))</f>
        <v> </v>
      </c>
      <c r="H3466" s="24" t="str">
        <f>IF(J3466&lt;&gt;1,"",IF(I3466="SBJ","CB","?"))</f>
        <v> </v>
      </c>
      <c r="I3466" s="25" t="str">
        <f>IF(OR(E3466="",E3466="!!!",F3466="NEW"),"",INDEX(B3465:B$2,-1+SUMPRODUCT(MAX(ROW(E3465:E$2)*(E3466=E3465:E$2)))))</f>
        <v> </v>
      </c>
      <c r="J3466" s="25" t="str">
        <f>IF(OR(E3466="",E3466="!!!",F3466="NEW"),"",COUNTBLANK(OFFSET(A$1,,,SUMPRODUCT(MAX(ROW(E$2:E3466)*(E3466=E$2:E3466)))))-COUNTBLANK(OFFSET(A$1,,,SUMPRODUCT(MAX(ROW(E$1:E3465)*(E2=E$1:E3465))))))</f>
        <v> </v>
      </c>
      <c r="K3466" s="25" t="str">
        <f>IF(OR(E3466="",E3466="!!!",F3466="NEW"),"",INDEX(J$1:J3465,SUMPRODUCT(MAX(ROW(E$1:E3465)*(E3466=E$1:E3465)))))</f>
        <v> </v>
      </c>
      <c r="L3466" s="26"/>
    </row>
    <row r="3467" spans="1:12">
      <c r="A3467" s="20" t="s">
        <v>1074</v>
      </c>
      <c r="E3467" s="21">
        <f>IF(D3467="?OLD","!!!","")</f>
        <v/>
      </c>
      <c r="F3467" s="22" t="str">
        <f>IF(OR(E3467="",E3467="!!!"),"",IF(NOT(ISNA(VLOOKUP(E3467,E$1:E3466,1,FALSE()))),"OLD",IF(AND(E3467&lt;&gt;"",E3467&lt;&gt;"!!!"),"NEW","")))</f>
        <v> </v>
      </c>
      <c r="G3467" s="23" t="str">
        <f>IF(OR(E3467="",E3467="!!!"),"",IF(OR(J3467=0,AND(J3467=1,K3467=1),AND(J3467=1,I3467="SBJ"),AND(J3467=1,I3467=0)),"?IN_FOCUS",IF(J3467&lt;=2,"?ACTIVATED",IF(J3467&lt;&gt;"","?FAMILIAR",IF(F3467="NEW",IF(ISNA(VLOOKUP(E3467,#REF!,1,FALSE())),"?TYPE_IDENTIFIABLE","?REFERENTIAL"),"_")))))</f>
        <v> </v>
      </c>
      <c r="H3467" s="24" t="str">
        <f>IF(J3467&lt;&gt;1,"",IF(I3467="SBJ","CB","?"))</f>
        <v> </v>
      </c>
      <c r="I3467" s="25" t="str">
        <f>IF(OR(E3467="",E3467="!!!",F3467="NEW"),"",INDEX(B3466:B$2,-1+SUMPRODUCT(MAX(ROW(E3466:E$2)*(E3467=E3466:E$2)))))</f>
        <v> </v>
      </c>
      <c r="J3467" s="25" t="str">
        <f>IF(OR(E3467="",E3467="!!!",F3467="NEW"),"",COUNTBLANK(OFFSET(A$1,,,SUMPRODUCT(MAX(ROW(E$2:E3467)*(E3467=E$2:E3467)))))-COUNTBLANK(OFFSET(A$1,,,SUMPRODUCT(MAX(ROW(E$1:E3466)*(E2=E$1:E3466))))))</f>
        <v> </v>
      </c>
      <c r="K3467" s="25" t="str">
        <f>IF(OR(E3467="",E3467="!!!",F3467="NEW"),"",INDEX(J$1:J3466,SUMPRODUCT(MAX(ROW(E$1:E3466)*(E3467=E$1:E3466)))))</f>
        <v> </v>
      </c>
      <c r="L3467" s="26"/>
    </row>
    <row r="3468" spans="1:12">
      <c r="A3468" s="20" t="s">
        <v>1111</v>
      </c>
      <c r="E3468" s="21">
        <f>IF(D3468="?OLD","!!!","")</f>
        <v/>
      </c>
      <c r="F3468" s="22" t="str">
        <f>IF(OR(E3468="",E3468="!!!"),"",IF(NOT(ISNA(VLOOKUP(E3468,E$1:E3467,1,FALSE()))),"OLD",IF(AND(E3468&lt;&gt;"",E3468&lt;&gt;"!!!"),"NEW","")))</f>
        <v> </v>
      </c>
      <c r="G3468" s="23" t="str">
        <f>IF(OR(E3468="",E3468="!!!"),"",IF(OR(J3468=0,AND(J3468=1,K3468=1),AND(J3468=1,I3468="SBJ"),AND(J3468=1,I3468=0)),"?IN_FOCUS",IF(J3468&lt;=2,"?ACTIVATED",IF(J3468&lt;&gt;"","?FAMILIAR",IF(F3468="NEW",IF(ISNA(VLOOKUP(E3468,#REF!,1,FALSE())),"?TYPE_IDENTIFIABLE","?REFERENTIAL"),"_")))))</f>
        <v> </v>
      </c>
      <c r="H3468" s="24" t="str">
        <f>IF(J3468&lt;&gt;1,"",IF(I3468="SBJ","CB","?"))</f>
        <v> </v>
      </c>
      <c r="I3468" s="25" t="str">
        <f>IF(OR(E3468="",E3468="!!!",F3468="NEW"),"",INDEX(B3467:B$2,-1+SUMPRODUCT(MAX(ROW(E3467:E$2)*(E3468=E3467:E$2)))))</f>
        <v> </v>
      </c>
      <c r="J3468" s="25" t="str">
        <f>IF(OR(E3468="",E3468="!!!",F3468="NEW"),"",COUNTBLANK(OFFSET(A$1,,,SUMPRODUCT(MAX(ROW(E$2:E3468)*(E3468=E$2:E3468)))))-COUNTBLANK(OFFSET(A$1,,,SUMPRODUCT(MAX(ROW(E$1:E3467)*(E2=E$1:E3467))))))</f>
        <v> </v>
      </c>
      <c r="K3468" s="25" t="str">
        <f>IF(OR(E3468="",E3468="!!!",F3468="NEW"),"",INDEX(J$1:J3467,SUMPRODUCT(MAX(ROW(E$1:E3467)*(E3468=E$1:E3467)))))</f>
        <v> </v>
      </c>
      <c r="L3468" s="26"/>
    </row>
    <row r="3469" spans="1:12">
      <c r="A3469" s="20" t="s">
        <v>1571</v>
      </c>
      <c r="B3469" s="27" t="s">
        <v>1066</v>
      </c>
      <c r="C3469" s="27" t="s">
        <v>1038</v>
      </c>
      <c r="D3469" s="27" t="s">
        <v>1030</v>
      </c>
      <c r="E3469" s="21">
        <f>IF(D3469="?OLD","!!!","")</f>
        <v/>
      </c>
      <c r="F3469" s="22" t="str">
        <f>IF(OR(E3469="",E3469="!!!"),"",IF(NOT(ISNA(VLOOKUP(E3469,E$1:E3468,1,FALSE()))),"OLD",IF(AND(E3469&lt;&gt;"",E3469&lt;&gt;"!!!"),"NEW","")))</f>
        <v> </v>
      </c>
      <c r="G3469" s="23" t="str">
        <f>IF(OR(E3469="",E3469="!!!"),"",IF(OR(J3469=0,AND(J3469=1,K3469=1),AND(J3469=1,I3469="SBJ"),AND(J3469=1,I3469=0)),"?IN_FOCUS",IF(J3469&lt;=2,"?ACTIVATED",IF(J3469&lt;&gt;"","?FAMILIAR",IF(F3469="NEW",IF(ISNA(VLOOKUP(E3469,#REF!,1,FALSE())),"?TYPE_IDENTIFIABLE","?REFERENTIAL"),"_")))))</f>
        <v> </v>
      </c>
      <c r="H3469" s="24" t="str">
        <f>IF(J3469&lt;&gt;1,"",IF(I3469="SBJ","CB","?"))</f>
        <v> </v>
      </c>
      <c r="I3469" s="25" t="str">
        <f>IF(OR(E3469="",E3469="!!!",F3469="NEW"),"",INDEX(B3468:B$2,-1+SUMPRODUCT(MAX(ROW(E3468:E$2)*(E3469=E3468:E$2)))))</f>
        <v> </v>
      </c>
      <c r="J3469" s="25" t="str">
        <f>IF(OR(E3469="",E3469="!!!",F3469="NEW"),"",COUNTBLANK(OFFSET(A$1,,,SUMPRODUCT(MAX(ROW(E$2:E3469)*(E3469=E$2:E3469)))))-COUNTBLANK(OFFSET(A$1,,,SUMPRODUCT(MAX(ROW(E$1:E3468)*(E2=E$1:E3468))))))</f>
        <v> </v>
      </c>
      <c r="K3469" s="25" t="str">
        <f>IF(OR(E3469="",E3469="!!!",F3469="NEW"),"",INDEX(J$1:J3468,SUMPRODUCT(MAX(ROW(E$1:E3468)*(E3469=E$1:E3468)))))</f>
        <v> </v>
      </c>
      <c r="L3469" s="26"/>
    </row>
    <row r="3470" spans="1:12">
      <c r="A3470" s="20" t="s">
        <v>1016</v>
      </c>
      <c r="E3470" s="21">
        <f>IF(D3470="?OLD","!!!","")</f>
        <v/>
      </c>
      <c r="F3470" s="22" t="str">
        <f>IF(OR(E3470="",E3470="!!!"),"",IF(NOT(ISNA(VLOOKUP(E3470,E$1:E3469,1,FALSE()))),"OLD",IF(AND(E3470&lt;&gt;"",E3470&lt;&gt;"!!!"),"NEW","")))</f>
        <v> </v>
      </c>
      <c r="G3470" s="23" t="str">
        <f>IF(OR(E3470="",E3470="!!!"),"",IF(OR(J3470=0,AND(J3470=1,K3470=1),AND(J3470=1,I3470="SBJ"),AND(J3470=1,I3470=0)),"?IN_FOCUS",IF(J3470&lt;=2,"?ACTIVATED",IF(J3470&lt;&gt;"","?FAMILIAR",IF(F3470="NEW",IF(ISNA(VLOOKUP(E3470,#REF!,1,FALSE())),"?TYPE_IDENTIFIABLE","?REFERENTIAL"),"_")))))</f>
        <v> </v>
      </c>
      <c r="H3470" s="24" t="str">
        <f>IF(J3470&lt;&gt;1,"",IF(I3470="SBJ","CB","?"))</f>
        <v> </v>
      </c>
      <c r="I3470" s="25" t="str">
        <f>IF(OR(E3470="",E3470="!!!",F3470="NEW"),"",INDEX(B3469:B$2,-1+SUMPRODUCT(MAX(ROW(E3469:E$2)*(E3470=E3469:E$2)))))</f>
        <v> </v>
      </c>
      <c r="J3470" s="25" t="str">
        <f>IF(OR(E3470="",E3470="!!!",F3470="NEW"),"",COUNTBLANK(OFFSET(A$1,,,SUMPRODUCT(MAX(ROW(E$2:E3470)*(E3470=E$2:E3470)))))-COUNTBLANK(OFFSET(A$1,,,SUMPRODUCT(MAX(ROW(E$1:E3469)*(E2=E$1:E3469))))))</f>
        <v> </v>
      </c>
      <c r="K3470" s="25" t="str">
        <f>IF(OR(E3470="",E3470="!!!",F3470="NEW"),"",INDEX(J$1:J3469,SUMPRODUCT(MAX(ROW(E$1:E3469)*(E3470=E$1:E3469)))))</f>
        <v> </v>
      </c>
      <c r="L3470" s="26"/>
    </row>
    <row r="3471" spans="1:12">
      <c r="A3471" s="20" t="s">
        <v>12</v>
      </c>
      <c r="E3471" s="21">
        <f>IF(D3471="?OLD","!!!","")</f>
        <v/>
      </c>
      <c r="F3471" s="22" t="str">
        <f>IF(OR(E3471="",E3471="!!!"),"",IF(NOT(ISNA(VLOOKUP(E3471,E$1:E3470,1,FALSE()))),"OLD",IF(AND(E3471&lt;&gt;"",E3471&lt;&gt;"!!!"),"NEW","")))</f>
        <v> </v>
      </c>
      <c r="G3471" s="23" t="str">
        <f>IF(OR(E3471="",E3471="!!!"),"",IF(OR(J3471=0,AND(J3471=1,K3471=1),AND(J3471=1,I3471="SBJ"),AND(J3471=1,I3471=0)),"?IN_FOCUS",IF(J3471&lt;=2,"?ACTIVATED",IF(J3471&lt;&gt;"","?FAMILIAR",IF(F3471="NEW",IF(ISNA(VLOOKUP(E3471,#REF!,1,FALSE())),"?TYPE_IDENTIFIABLE","?REFERENTIAL"),"_")))))</f>
        <v> </v>
      </c>
      <c r="H3471" s="24" t="str">
        <f>IF(J3471&lt;&gt;1,"",IF(I3471="SBJ","CB","?"))</f>
        <v> </v>
      </c>
      <c r="I3471" s="25" t="str">
        <f>IF(OR(E3471="",E3471="!!!",F3471="NEW"),"",INDEX(B3470:B$2,-1+SUMPRODUCT(MAX(ROW(E3470:E$2)*(E3471=E3470:E$2)))))</f>
        <v> </v>
      </c>
      <c r="J3471" s="25" t="str">
        <f>IF(OR(E3471="",E3471="!!!",F3471="NEW"),"",COUNTBLANK(OFFSET(A$1,,,SUMPRODUCT(MAX(ROW(E$2:E3471)*(E3471=E$2:E3471)))))-COUNTBLANK(OFFSET(A$1,,,SUMPRODUCT(MAX(ROW(E$1:E3470)*(E2=E$1:E3470))))))</f>
        <v> </v>
      </c>
      <c r="K3471" s="25" t="str">
        <f>IF(OR(E3471="",E3471="!!!",F3471="NEW"),"",INDEX(J$1:J3470,SUMPRODUCT(MAX(ROW(E$1:E3470)*(E3471=E$1:E3470)))))</f>
        <v> </v>
      </c>
      <c r="L3471" s="26"/>
    </row>
    <row r="3472" spans="1:12">
      <c r="A3472" s="20" t="s">
        <v>1036</v>
      </c>
      <c r="E3472" s="21">
        <f>IF(D3472="?OLD","!!!","")</f>
        <v/>
      </c>
      <c r="F3472" s="22" t="str">
        <f>IF(OR(E3472="",E3472="!!!"),"",IF(NOT(ISNA(VLOOKUP(E3472,E$1:E3471,1,FALSE()))),"OLD",IF(AND(E3472&lt;&gt;"",E3472&lt;&gt;"!!!"),"NEW","")))</f>
        <v> </v>
      </c>
      <c r="G3472" s="23" t="str">
        <f>IF(OR(E3472="",E3472="!!!"),"",IF(OR(J3472=0,AND(J3472=1,K3472=1),AND(J3472=1,I3472="SBJ"),AND(J3472=1,I3472=0)),"?IN_FOCUS",IF(J3472&lt;=2,"?ACTIVATED",IF(J3472&lt;&gt;"","?FAMILIAR",IF(F3472="NEW",IF(ISNA(VLOOKUP(E3472,#REF!,1,FALSE())),"?TYPE_IDENTIFIABLE","?REFERENTIAL"),"_")))))</f>
        <v> </v>
      </c>
      <c r="H3472" s="24" t="str">
        <f>IF(J3472&lt;&gt;1,"",IF(I3472="SBJ","CB","?"))</f>
        <v> </v>
      </c>
      <c r="I3472" s="25" t="str">
        <f>IF(OR(E3472="",E3472="!!!",F3472="NEW"),"",INDEX(B3471:B$2,-1+SUMPRODUCT(MAX(ROW(E3471:E$2)*(E3472=E3471:E$2)))))</f>
        <v> </v>
      </c>
      <c r="J3472" s="25" t="str">
        <f>IF(OR(E3472="",E3472="!!!",F3472="NEW"),"",COUNTBLANK(OFFSET(A$1,,,SUMPRODUCT(MAX(ROW(E$2:E3472)*(E3472=E$2:E3472)))))-COUNTBLANK(OFFSET(A$1,,,SUMPRODUCT(MAX(ROW(E$1:E3471)*(E2=E$1:E3471))))))</f>
        <v> </v>
      </c>
      <c r="K3472" s="25" t="str">
        <f>IF(OR(E3472="",E3472="!!!",F3472="NEW"),"",INDEX(J$1:J3471,SUMPRODUCT(MAX(ROW(E$1:E3471)*(E3472=E$1:E3471)))))</f>
        <v> </v>
      </c>
      <c r="L3472" s="26"/>
    </row>
    <row r="3473" spans="1:12">
      <c r="A3473" s="20" t="s">
        <v>1866</v>
      </c>
      <c r="B3473" s="27" t="s">
        <v>1035</v>
      </c>
      <c r="C3473" s="27" t="s">
        <v>1077</v>
      </c>
      <c r="D3473" s="27" t="s">
        <v>1030</v>
      </c>
      <c r="E3473" s="21">
        <f>IF(D3473="?OLD","!!!","")</f>
        <v/>
      </c>
      <c r="F3473" s="22" t="str">
        <f>IF(OR(E3473="",E3473="!!!"),"",IF(NOT(ISNA(VLOOKUP(E3473,E$1:E3472,1,FALSE()))),"OLD",IF(AND(E3473&lt;&gt;"",E3473&lt;&gt;"!!!"),"NEW","")))</f>
        <v> </v>
      </c>
      <c r="G3473" s="23" t="str">
        <f>IF(OR(E3473="",E3473="!!!"),"",IF(OR(J3473=0,AND(J3473=1,K3473=1),AND(J3473=1,I3473="SBJ"),AND(J3473=1,I3473=0)),"?IN_FOCUS",IF(J3473&lt;=2,"?ACTIVATED",IF(J3473&lt;&gt;"","?FAMILIAR",IF(F3473="NEW",IF(ISNA(VLOOKUP(E3473,#REF!,1,FALSE())),"?TYPE_IDENTIFIABLE","?REFERENTIAL"),"_")))))</f>
        <v> </v>
      </c>
      <c r="H3473" s="24" t="str">
        <f>IF(J3473&lt;&gt;1,"",IF(I3473="SBJ","CB","?"))</f>
        <v> </v>
      </c>
      <c r="I3473" s="25" t="str">
        <f>IF(OR(E3473="",E3473="!!!",F3473="NEW"),"",INDEX(B3472:B$2,-1+SUMPRODUCT(MAX(ROW(E3472:E$2)*(E3473=E3472:E$2)))))</f>
        <v> </v>
      </c>
      <c r="J3473" s="25" t="str">
        <f>IF(OR(E3473="",E3473="!!!",F3473="NEW"),"",COUNTBLANK(OFFSET(A$1,,,SUMPRODUCT(MAX(ROW(E$2:E3473)*(E3473=E$2:E3473)))))-COUNTBLANK(OFFSET(A$1,,,SUMPRODUCT(MAX(ROW(E$1:E3472)*(E2=E$1:E3472))))))</f>
        <v> </v>
      </c>
      <c r="K3473" s="25" t="str">
        <f>IF(OR(E3473="",E3473="!!!",F3473="NEW"),"",INDEX(J$1:J3472,SUMPRODUCT(MAX(ROW(E$1:E3472)*(E3473=E$1:E3472)))))</f>
        <v> </v>
      </c>
      <c r="L3473" s="26"/>
    </row>
    <row r="3474" spans="1:12">
      <c r="A3474" s="20" t="s">
        <v>1496</v>
      </c>
      <c r="B3474" s="27" t="s">
        <v>1278</v>
      </c>
      <c r="C3474" s="27" t="s">
        <v>1038</v>
      </c>
      <c r="D3474" s="27" t="s">
        <v>1030</v>
      </c>
      <c r="E3474" s="21">
        <f>IF(D3474="?OLD","!!!","")</f>
        <v/>
      </c>
      <c r="F3474" s="22" t="str">
        <f>IF(OR(E3474="",E3474="!!!"),"",IF(NOT(ISNA(VLOOKUP(E3474,E$1:E3473,1,FALSE()))),"OLD",IF(AND(E3474&lt;&gt;"",E3474&lt;&gt;"!!!"),"NEW","")))</f>
        <v> </v>
      </c>
      <c r="G3474" s="23" t="str">
        <f>IF(OR(E3474="",E3474="!!!"),"",IF(OR(J3474=0,AND(J3474=1,K3474=1),AND(J3474=1,I3474="SBJ"),AND(J3474=1,I3474=0)),"?IN_FOCUS",IF(J3474&lt;=2,"?ACTIVATED",IF(J3474&lt;&gt;"","?FAMILIAR",IF(F3474="NEW",IF(ISNA(VLOOKUP(E3474,#REF!,1,FALSE())),"?TYPE_IDENTIFIABLE","?REFERENTIAL"),"_")))))</f>
        <v> </v>
      </c>
      <c r="H3474" s="24" t="str">
        <f>IF(J3474&lt;&gt;1,"",IF(I3474="SBJ","CB","?"))</f>
        <v> </v>
      </c>
      <c r="I3474" s="25" t="str">
        <f>IF(OR(E3474="",E3474="!!!",F3474="NEW"),"",INDEX(B3473:B$2,-1+SUMPRODUCT(MAX(ROW(E3473:E$2)*(E3474=E3473:E$2)))))</f>
        <v> </v>
      </c>
      <c r="J3474" s="25" t="str">
        <f>IF(OR(E3474="",E3474="!!!",F3474="NEW"),"",COUNTBLANK(OFFSET(A$1,,,SUMPRODUCT(MAX(ROW(E$2:E3474)*(E3474=E$2:E3474)))))-COUNTBLANK(OFFSET(A$1,,,SUMPRODUCT(MAX(ROW(E$1:E3473)*(E2=E$1:E3473))))))</f>
        <v> </v>
      </c>
      <c r="K3474" s="25" t="str">
        <f>IF(OR(E3474="",E3474="!!!",F3474="NEW"),"",INDEX(J$1:J3473,SUMPRODUCT(MAX(ROW(E$1:E3473)*(E3474=E$1:E3473)))))</f>
        <v> </v>
      </c>
      <c r="L3474" s="26"/>
    </row>
    <row r="3475" spans="1:12">
      <c r="A3475" s="20" t="s">
        <v>1184</v>
      </c>
      <c r="E3475" s="21">
        <f>IF(D3475="?OLD","!!!","")</f>
        <v/>
      </c>
      <c r="F3475" s="22" t="str">
        <f>IF(OR(E3475="",E3475="!!!"),"",IF(NOT(ISNA(VLOOKUP(E3475,E$1:E3474,1,FALSE()))),"OLD",IF(AND(E3475&lt;&gt;"",E3475&lt;&gt;"!!!"),"NEW","")))</f>
        <v> </v>
      </c>
      <c r="G3475" s="23" t="str">
        <f>IF(OR(E3475="",E3475="!!!"),"",IF(OR(J3475=0,AND(J3475=1,K3475=1),AND(J3475=1,I3475="SBJ"),AND(J3475=1,I3475=0)),"?IN_FOCUS",IF(J3475&lt;=2,"?ACTIVATED",IF(J3475&lt;&gt;"","?FAMILIAR",IF(F3475="NEW",IF(ISNA(VLOOKUP(E3475,#REF!,1,FALSE())),"?TYPE_IDENTIFIABLE","?REFERENTIAL"),"_")))))</f>
        <v> </v>
      </c>
      <c r="H3475" s="24" t="str">
        <f>IF(J3475&lt;&gt;1,"",IF(I3475="SBJ","CB","?"))</f>
        <v> </v>
      </c>
      <c r="I3475" s="25" t="str">
        <f>IF(OR(E3475="",E3475="!!!",F3475="NEW"),"",INDEX(B3474:B$2,-1+SUMPRODUCT(MAX(ROW(E3474:E$2)*(E3475=E3474:E$2)))))</f>
        <v> </v>
      </c>
      <c r="J3475" s="25" t="str">
        <f>IF(OR(E3475="",E3475="!!!",F3475="NEW"),"",COUNTBLANK(OFFSET(A$1,,,SUMPRODUCT(MAX(ROW(E$2:E3475)*(E3475=E$2:E3475)))))-COUNTBLANK(OFFSET(A$1,,,SUMPRODUCT(MAX(ROW(E$1:E3474)*(E2=E$1:E3474))))))</f>
        <v> </v>
      </c>
      <c r="K3475" s="25" t="str">
        <f>IF(OR(E3475="",E3475="!!!",F3475="NEW"),"",INDEX(J$1:J3474,SUMPRODUCT(MAX(ROW(E$1:E3474)*(E3475=E$1:E3474)))))</f>
        <v> </v>
      </c>
      <c r="L3475" s="26"/>
    </row>
    <row r="3476" spans="1:12">
      <c r="A3476" s="20" t="s">
        <v>505</v>
      </c>
      <c r="E3476" s="21">
        <f>IF(D3476="?OLD","!!!","")</f>
        <v/>
      </c>
      <c r="F3476" s="22" t="str">
        <f>IF(OR(E3476="",E3476="!!!"),"",IF(NOT(ISNA(VLOOKUP(E3476,E$1:E3475,1,FALSE()))),"OLD",IF(AND(E3476&lt;&gt;"",E3476&lt;&gt;"!!!"),"NEW","")))</f>
        <v> </v>
      </c>
      <c r="G3476" s="23" t="str">
        <f>IF(OR(E3476="",E3476="!!!"),"",IF(OR(J3476=0,AND(J3476=1,K3476=1),AND(J3476=1,I3476="SBJ"),AND(J3476=1,I3476=0)),"?IN_FOCUS",IF(J3476&lt;=2,"?ACTIVATED",IF(J3476&lt;&gt;"","?FAMILIAR",IF(F3476="NEW",IF(ISNA(VLOOKUP(E3476,#REF!,1,FALSE())),"?TYPE_IDENTIFIABLE","?REFERENTIAL"),"_")))))</f>
        <v> </v>
      </c>
      <c r="H3476" s="24" t="str">
        <f>IF(J3476&lt;&gt;1,"",IF(I3476="SBJ","CB","?"))</f>
        <v> </v>
      </c>
      <c r="I3476" s="25" t="str">
        <f>IF(OR(E3476="",E3476="!!!",F3476="NEW"),"",INDEX(B3475:B$2,-1+SUMPRODUCT(MAX(ROW(E3475:E$2)*(E3476=E3475:E$2)))))</f>
        <v> </v>
      </c>
      <c r="J3476" s="25" t="str">
        <f>IF(OR(E3476="",E3476="!!!",F3476="NEW"),"",COUNTBLANK(OFFSET(A$1,,,SUMPRODUCT(MAX(ROW(E$2:E3476)*(E3476=E$2:E3476)))))-COUNTBLANK(OFFSET(A$1,,,SUMPRODUCT(MAX(ROW(E$1:E3475)*(E2=E$1:E3475))))))</f>
        <v> </v>
      </c>
      <c r="K3476" s="25" t="str">
        <f>IF(OR(E3476="",E3476="!!!",F3476="NEW"),"",INDEX(J$1:J3475,SUMPRODUCT(MAX(ROW(E$1:E3475)*(E3476=E$1:E3475)))))</f>
        <v> </v>
      </c>
      <c r="L3476" s="26"/>
    </row>
    <row r="3477" spans="1:12">
      <c r="A3477" s="20" t="s">
        <v>1237</v>
      </c>
      <c r="E3477" s="21">
        <f>IF(D3477="?OLD","!!!","")</f>
        <v/>
      </c>
      <c r="F3477" s="22" t="str">
        <f>IF(OR(E3477="",E3477="!!!"),"",IF(NOT(ISNA(VLOOKUP(E3477,E$1:E3476,1,FALSE()))),"OLD",IF(AND(E3477&lt;&gt;"",E3477&lt;&gt;"!!!"),"NEW","")))</f>
        <v> </v>
      </c>
      <c r="G3477" s="23" t="str">
        <f>IF(OR(E3477="",E3477="!!!"),"",IF(OR(J3477=0,AND(J3477=1,K3477=1),AND(J3477=1,I3477="SBJ"),AND(J3477=1,I3477=0)),"?IN_FOCUS",IF(J3477&lt;=2,"?ACTIVATED",IF(J3477&lt;&gt;"","?FAMILIAR",IF(F3477="NEW",IF(ISNA(VLOOKUP(E3477,#REF!,1,FALSE())),"?TYPE_IDENTIFIABLE","?REFERENTIAL"),"_")))))</f>
        <v> </v>
      </c>
      <c r="H3477" s="24" t="str">
        <f>IF(J3477&lt;&gt;1,"",IF(I3477="SBJ","CB","?"))</f>
        <v> </v>
      </c>
      <c r="I3477" s="25" t="str">
        <f>IF(OR(E3477="",E3477="!!!",F3477="NEW"),"",INDEX(B3476:B$2,-1+SUMPRODUCT(MAX(ROW(E3476:E$2)*(E3477=E3476:E$2)))))</f>
        <v> </v>
      </c>
      <c r="J3477" s="25" t="str">
        <f>IF(OR(E3477="",E3477="!!!",F3477="NEW"),"",COUNTBLANK(OFFSET(A$1,,,SUMPRODUCT(MAX(ROW(E$2:E3477)*(E3477=E$2:E3477)))))-COUNTBLANK(OFFSET(A$1,,,SUMPRODUCT(MAX(ROW(E$1:E3476)*(E2=E$1:E3476))))))</f>
        <v> </v>
      </c>
      <c r="K3477" s="25" t="str">
        <f>IF(OR(E3477="",E3477="!!!",F3477="NEW"),"",INDEX(J$1:J3476,SUMPRODUCT(MAX(ROW(E$1:E3476)*(E3477=E$1:E3476)))))</f>
        <v> </v>
      </c>
      <c r="L3477" s="26"/>
    </row>
    <row r="3478" spans="1:12">
      <c r="A3478" s="20" t="s">
        <v>457</v>
      </c>
      <c r="B3478" s="27" t="s">
        <v>1460</v>
      </c>
      <c r="C3478" s="27" t="s">
        <v>1015</v>
      </c>
      <c r="E3478" s="21">
        <f>IF(D3478="?OLD","!!!","")</f>
        <v/>
      </c>
      <c r="F3478" s="22" t="str">
        <f>IF(OR(E3478="",E3478="!!!"),"",IF(NOT(ISNA(VLOOKUP(E3478,E$1:E3477,1,FALSE()))),"OLD",IF(AND(E3478&lt;&gt;"",E3478&lt;&gt;"!!!"),"NEW","")))</f>
        <v> </v>
      </c>
      <c r="G3478" s="23" t="str">
        <f>IF(OR(E3478="",E3478="!!!"),"",IF(OR(J3478=0,AND(J3478=1,K3478=1),AND(J3478=1,I3478="SBJ"),AND(J3478=1,I3478=0)),"?IN_FOCUS",IF(J3478&lt;=2,"?ACTIVATED",IF(J3478&lt;&gt;"","?FAMILIAR",IF(F3478="NEW",IF(ISNA(VLOOKUP(E3478,#REF!,1,FALSE())),"?TYPE_IDENTIFIABLE","?REFERENTIAL"),"_")))))</f>
        <v> </v>
      </c>
      <c r="H3478" s="24" t="str">
        <f>IF(J3478&lt;&gt;1,"",IF(I3478="SBJ","CB","?"))</f>
        <v> </v>
      </c>
      <c r="I3478" s="25" t="str">
        <f>IF(OR(E3478="",E3478="!!!",F3478="NEW"),"",INDEX(B3477:B$2,-1+SUMPRODUCT(MAX(ROW(E3477:E$2)*(E3478=E3477:E$2)))))</f>
        <v> </v>
      </c>
      <c r="J3478" s="25" t="str">
        <f>IF(OR(E3478="",E3478="!!!",F3478="NEW"),"",COUNTBLANK(OFFSET(A$1,,,SUMPRODUCT(MAX(ROW(E$2:E3478)*(E3478=E$2:E3478)))))-COUNTBLANK(OFFSET(A$1,,,SUMPRODUCT(MAX(ROW(E$1:E3477)*(E2=E$1:E3477))))))</f>
        <v> </v>
      </c>
      <c r="K3478" s="25" t="str">
        <f>IF(OR(E3478="",E3478="!!!",F3478="NEW"),"",INDEX(J$1:J3477,SUMPRODUCT(MAX(ROW(E$1:E3477)*(E3478=E$1:E3477)))))</f>
        <v> </v>
      </c>
      <c r="L3478" s="26"/>
    </row>
    <row r="3479" spans="1:12">
      <c r="A3479" s="20" t="s">
        <v>1034</v>
      </c>
      <c r="E3479" s="21">
        <f>IF(D3479="?OLD","!!!","")</f>
        <v/>
      </c>
      <c r="F3479" s="22" t="str">
        <f>IF(OR(E3479="",E3479="!!!"),"",IF(NOT(ISNA(VLOOKUP(E3479,E$1:E3478,1,FALSE()))),"OLD",IF(AND(E3479&lt;&gt;"",E3479&lt;&gt;"!!!"),"NEW","")))</f>
        <v> </v>
      </c>
      <c r="G3479" s="23" t="str">
        <f>IF(OR(E3479="",E3479="!!!"),"",IF(OR(J3479=0,AND(J3479=1,K3479=1),AND(J3479=1,I3479="SBJ"),AND(J3479=1,I3479=0)),"?IN_FOCUS",IF(J3479&lt;=2,"?ACTIVATED",IF(J3479&lt;&gt;"","?FAMILIAR",IF(F3479="NEW",IF(ISNA(VLOOKUP(E3479,#REF!,1,FALSE())),"?TYPE_IDENTIFIABLE","?REFERENTIAL"),"_")))))</f>
        <v> </v>
      </c>
      <c r="H3479" s="24" t="str">
        <f>IF(J3479&lt;&gt;1,"",IF(I3479="SBJ","CB","?"))</f>
        <v> </v>
      </c>
      <c r="I3479" s="25" t="str">
        <f>IF(OR(E3479="",E3479="!!!",F3479="NEW"),"",INDEX(B3478:B$2,-1+SUMPRODUCT(MAX(ROW(E3478:E$2)*(E3479=E3478:E$2)))))</f>
        <v> </v>
      </c>
      <c r="J3479" s="25" t="str">
        <f>IF(OR(E3479="",E3479="!!!",F3479="NEW"),"",COUNTBLANK(OFFSET(A$1,,,SUMPRODUCT(MAX(ROW(E$2:E3479)*(E3479=E$2:E3479)))))-COUNTBLANK(OFFSET(A$1,,,SUMPRODUCT(MAX(ROW(E$1:E3478)*(E2=E$1:E3478))))))</f>
        <v> </v>
      </c>
      <c r="K3479" s="25" t="str">
        <f>IF(OR(E3479="",E3479="!!!",F3479="NEW"),"",INDEX(J$1:J3478,SUMPRODUCT(MAX(ROW(E$1:E3478)*(E3479=E$1:E3478)))))</f>
        <v> </v>
      </c>
      <c r="L3479" s="26"/>
    </row>
    <row r="3480" spans="1:12">
      <c r="A3480" s="20" t="s">
        <v>1025</v>
      </c>
      <c r="E3480" s="21">
        <f>IF(D3480="?OLD","!!!","")</f>
        <v/>
      </c>
      <c r="F3480" s="22" t="str">
        <f>IF(OR(E3480="",E3480="!!!"),"",IF(NOT(ISNA(VLOOKUP(E3480,E$1:E3479,1,FALSE()))),"OLD",IF(AND(E3480&lt;&gt;"",E3480&lt;&gt;"!!!"),"NEW","")))</f>
        <v> </v>
      </c>
      <c r="G3480" s="23" t="str">
        <f>IF(OR(E3480="",E3480="!!!"),"",IF(OR(J3480=0,AND(J3480=1,K3480=1),AND(J3480=1,I3480="SBJ"),AND(J3480=1,I3480=0)),"?IN_FOCUS",IF(J3480&lt;=2,"?ACTIVATED",IF(J3480&lt;&gt;"","?FAMILIAR",IF(F3480="NEW",IF(ISNA(VLOOKUP(E3480,#REF!,1,FALSE())),"?TYPE_IDENTIFIABLE","?REFERENTIAL"),"_")))))</f>
        <v> </v>
      </c>
      <c r="H3480" s="24" t="str">
        <f>IF(J3480&lt;&gt;1,"",IF(I3480="SBJ","CB","?"))</f>
        <v> </v>
      </c>
      <c r="I3480" s="25" t="str">
        <f>IF(OR(E3480="",E3480="!!!",F3480="NEW"),"",INDEX(B3479:B$2,-1+SUMPRODUCT(MAX(ROW(E3479:E$2)*(E3480=E3479:E$2)))))</f>
        <v> </v>
      </c>
      <c r="J3480" s="25" t="str">
        <f>IF(OR(E3480="",E3480="!!!",F3480="NEW"),"",COUNTBLANK(OFFSET(A$1,,,SUMPRODUCT(MAX(ROW(E$2:E3480)*(E3480=E$2:E3480)))))-COUNTBLANK(OFFSET(A$1,,,SUMPRODUCT(MAX(ROW(E$1:E3479)*(E2=E$1:E3479))))))</f>
        <v> </v>
      </c>
      <c r="K3480" s="25" t="str">
        <f>IF(OR(E3480="",E3480="!!!",F3480="NEW"),"",INDEX(J$1:J3479,SUMPRODUCT(MAX(ROW(E$1:E3479)*(E3480=E$1:E3479)))))</f>
        <v> </v>
      </c>
      <c r="L3480" s="26"/>
    </row>
    <row r="3481" spans="1:12">
      <c r="A3481" s="20" t="s">
        <v>2203</v>
      </c>
      <c r="B3481" s="27" t="s">
        <v>1278</v>
      </c>
      <c r="C3481" s="27" t="s">
        <v>1015</v>
      </c>
      <c r="E3481" s="21">
        <f>IF(D3481="?OLD","!!!","")</f>
        <v/>
      </c>
      <c r="F3481" s="22" t="str">
        <f>IF(OR(E3481="",E3481="!!!"),"",IF(NOT(ISNA(VLOOKUP(E3481,E$1:E3480,1,FALSE()))),"OLD",IF(AND(E3481&lt;&gt;"",E3481&lt;&gt;"!!!"),"NEW","")))</f>
        <v> </v>
      </c>
      <c r="G3481" s="23" t="str">
        <f>IF(OR(E3481="",E3481="!!!"),"",IF(OR(J3481=0,AND(J3481=1,K3481=1),AND(J3481=1,I3481="SBJ"),AND(J3481=1,I3481=0)),"?IN_FOCUS",IF(J3481&lt;=2,"?ACTIVATED",IF(J3481&lt;&gt;"","?FAMILIAR",IF(F3481="NEW",IF(ISNA(VLOOKUP(E3481,#REF!,1,FALSE())),"?TYPE_IDENTIFIABLE","?REFERENTIAL"),"_")))))</f>
        <v> </v>
      </c>
      <c r="H3481" s="24" t="str">
        <f>IF(J3481&lt;&gt;1,"",IF(I3481="SBJ","CB","?"))</f>
        <v> </v>
      </c>
      <c r="I3481" s="25" t="str">
        <f>IF(OR(E3481="",E3481="!!!",F3481="NEW"),"",INDEX(B3480:B$2,-1+SUMPRODUCT(MAX(ROW(E3480:E$2)*(E3481=E3480:E$2)))))</f>
        <v> </v>
      </c>
      <c r="J3481" s="25" t="str">
        <f>IF(OR(E3481="",E3481="!!!",F3481="NEW"),"",COUNTBLANK(OFFSET(A$1,,,SUMPRODUCT(MAX(ROW(E$2:E3481)*(E3481=E$2:E3481)))))-COUNTBLANK(OFFSET(A$1,,,SUMPRODUCT(MAX(ROW(E$1:E3480)*(E2=E$1:E3480))))))</f>
        <v> </v>
      </c>
      <c r="K3481" s="25" t="str">
        <f>IF(OR(E3481="",E3481="!!!",F3481="NEW"),"",INDEX(J$1:J3480,SUMPRODUCT(MAX(ROW(E$1:E3480)*(E3481=E$1:E3480)))))</f>
        <v> </v>
      </c>
      <c r="L3481" s="26"/>
    </row>
    <row r="3482" spans="1:12">
      <c r="A3482" s="20" t="s">
        <v>1187</v>
      </c>
      <c r="E3482" s="21">
        <f>IF(D3482="?OLD","!!!","")</f>
        <v/>
      </c>
      <c r="F3482" s="22" t="str">
        <f>IF(OR(E3482="",E3482="!!!"),"",IF(NOT(ISNA(VLOOKUP(E3482,E$1:E3481,1,FALSE()))),"OLD",IF(AND(E3482&lt;&gt;"",E3482&lt;&gt;"!!!"),"NEW","")))</f>
        <v> </v>
      </c>
      <c r="G3482" s="23" t="str">
        <f>IF(OR(E3482="",E3482="!!!"),"",IF(OR(J3482=0,AND(J3482=1,K3482=1),AND(J3482=1,I3482="SBJ"),AND(J3482=1,I3482=0)),"?IN_FOCUS",IF(J3482&lt;=2,"?ACTIVATED",IF(J3482&lt;&gt;"","?FAMILIAR",IF(F3482="NEW",IF(ISNA(VLOOKUP(E3482,#REF!,1,FALSE())),"?TYPE_IDENTIFIABLE","?REFERENTIAL"),"_")))))</f>
        <v> </v>
      </c>
      <c r="H3482" s="24" t="str">
        <f>IF(J3482&lt;&gt;1,"",IF(I3482="SBJ","CB","?"))</f>
        <v> </v>
      </c>
      <c r="I3482" s="25" t="str">
        <f>IF(OR(E3482="",E3482="!!!",F3482="NEW"),"",INDEX(B3481:B$2,-1+SUMPRODUCT(MAX(ROW(E3481:E$2)*(E3482=E3481:E$2)))))</f>
        <v> </v>
      </c>
      <c r="J3482" s="25" t="str">
        <f>IF(OR(E3482="",E3482="!!!",F3482="NEW"),"",COUNTBLANK(OFFSET(A$1,,,SUMPRODUCT(MAX(ROW(E$2:E3482)*(E3482=E$2:E3482)))))-COUNTBLANK(OFFSET(A$1,,,SUMPRODUCT(MAX(ROW(E$1:E3481)*(E2=E$1:E3481))))))</f>
        <v> </v>
      </c>
      <c r="K3482" s="25" t="str">
        <f>IF(OR(E3482="",E3482="!!!",F3482="NEW"),"",INDEX(J$1:J3481,SUMPRODUCT(MAX(ROW(E$1:E3481)*(E3482=E$1:E3481)))))</f>
        <v> </v>
      </c>
      <c r="L3482" s="26"/>
    </row>
    <row r="3483" spans="1:12">
      <c r="A3483" s="20" t="s">
        <v>2204</v>
      </c>
      <c r="E3483" s="21">
        <f>IF(D3483="?OLD","!!!","")</f>
        <v/>
      </c>
      <c r="F3483" s="22" t="str">
        <f>IF(OR(E3483="",E3483="!!!"),"",IF(NOT(ISNA(VLOOKUP(E3483,E$1:E3482,1,FALSE()))),"OLD",IF(AND(E3483&lt;&gt;"",E3483&lt;&gt;"!!!"),"NEW","")))</f>
        <v> </v>
      </c>
      <c r="G3483" s="23" t="str">
        <f>IF(OR(E3483="",E3483="!!!"),"",IF(OR(J3483=0,AND(J3483=1,K3483=1),AND(J3483=1,I3483="SBJ"),AND(J3483=1,I3483=0)),"?IN_FOCUS",IF(J3483&lt;=2,"?ACTIVATED",IF(J3483&lt;&gt;"","?FAMILIAR",IF(F3483="NEW",IF(ISNA(VLOOKUP(E3483,#REF!,1,FALSE())),"?TYPE_IDENTIFIABLE","?REFERENTIAL"),"_")))))</f>
        <v> </v>
      </c>
      <c r="H3483" s="24" t="str">
        <f>IF(J3483&lt;&gt;1,"",IF(I3483="SBJ","CB","?"))</f>
        <v> </v>
      </c>
      <c r="I3483" s="25" t="str">
        <f>IF(OR(E3483="",E3483="!!!",F3483="NEW"),"",INDEX(B3482:B$2,-1+SUMPRODUCT(MAX(ROW(E3482:E$2)*(E3483=E3482:E$2)))))</f>
        <v> </v>
      </c>
      <c r="J3483" s="25" t="str">
        <f>IF(OR(E3483="",E3483="!!!",F3483="NEW"),"",COUNTBLANK(OFFSET(A$1,,,SUMPRODUCT(MAX(ROW(E$2:E3483)*(E3483=E$2:E3483)))))-COUNTBLANK(OFFSET(A$1,,,SUMPRODUCT(MAX(ROW(E$1:E3482)*(E2=E$1:E3482))))))</f>
        <v> </v>
      </c>
      <c r="K3483" s="25" t="str">
        <f>IF(OR(E3483="",E3483="!!!",F3483="NEW"),"",INDEX(J$1:J3482,SUMPRODUCT(MAX(ROW(E$1:E3482)*(E3483=E$1:E3482)))))</f>
        <v> </v>
      </c>
      <c r="L3483" s="26"/>
    </row>
    <row r="3484" spans="1:12">
      <c r="A3484" s="20" t="s">
        <v>1022</v>
      </c>
      <c r="E3484" s="21">
        <f>IF(D3484="?OLD","!!!","")</f>
        <v/>
      </c>
      <c r="F3484" s="22" t="str">
        <f>IF(OR(E3484="",E3484="!!!"),"",IF(NOT(ISNA(VLOOKUP(E3484,E$1:E3483,1,FALSE()))),"OLD",IF(AND(E3484&lt;&gt;"",E3484&lt;&gt;"!!!"),"NEW","")))</f>
        <v> </v>
      </c>
      <c r="G3484" s="23" t="str">
        <f>IF(OR(E3484="",E3484="!!!"),"",IF(OR(J3484=0,AND(J3484=1,K3484=1),AND(J3484=1,I3484="SBJ"),AND(J3484=1,I3484=0)),"?IN_FOCUS",IF(J3484&lt;=2,"?ACTIVATED",IF(J3484&lt;&gt;"","?FAMILIAR",IF(F3484="NEW",IF(ISNA(VLOOKUP(E3484,#REF!,1,FALSE())),"?TYPE_IDENTIFIABLE","?REFERENTIAL"),"_")))))</f>
        <v> </v>
      </c>
      <c r="H3484" s="24" t="str">
        <f>IF(J3484&lt;&gt;1,"",IF(I3484="SBJ","CB","?"))</f>
        <v> </v>
      </c>
      <c r="I3484" s="25" t="str">
        <f>IF(OR(E3484="",E3484="!!!",F3484="NEW"),"",INDEX(B3483:B$2,-1+SUMPRODUCT(MAX(ROW(E3483:E$2)*(E3484=E3483:E$2)))))</f>
        <v> </v>
      </c>
      <c r="J3484" s="25" t="str">
        <f>IF(OR(E3484="",E3484="!!!",F3484="NEW"),"",COUNTBLANK(OFFSET(A$1,,,SUMPRODUCT(MAX(ROW(E$2:E3484)*(E3484=E$2:E3484)))))-COUNTBLANK(OFFSET(A$1,,,SUMPRODUCT(MAX(ROW(E$1:E3483)*(E2=E$1:E3483))))))</f>
        <v> </v>
      </c>
      <c r="K3484" s="25" t="str">
        <f>IF(OR(E3484="",E3484="!!!",F3484="NEW"),"",INDEX(J$1:J3483,SUMPRODUCT(MAX(ROW(E$1:E3483)*(E3484=E$1:E3483)))))</f>
        <v> </v>
      </c>
      <c r="L3484" s="26"/>
    </row>
    <row r="3485" spans="1:12">
      <c r="A3485" s="20" t="s">
        <v>1083</v>
      </c>
      <c r="E3485" s="21">
        <f>IF(D3485="?OLD","!!!","")</f>
        <v/>
      </c>
      <c r="F3485" s="22" t="str">
        <f>IF(OR(E3485="",E3485="!!!"),"",IF(NOT(ISNA(VLOOKUP(E3485,E$1:E3484,1,FALSE()))),"OLD",IF(AND(E3485&lt;&gt;"",E3485&lt;&gt;"!!!"),"NEW","")))</f>
        <v> </v>
      </c>
      <c r="G3485" s="23" t="str">
        <f>IF(OR(E3485="",E3485="!!!"),"",IF(OR(J3485=0,AND(J3485=1,K3485=1),AND(J3485=1,I3485="SBJ"),AND(J3485=1,I3485=0)),"?IN_FOCUS",IF(J3485&lt;=2,"?ACTIVATED",IF(J3485&lt;&gt;"","?FAMILIAR",IF(F3485="NEW",IF(ISNA(VLOOKUP(E3485,#REF!,1,FALSE())),"?TYPE_IDENTIFIABLE","?REFERENTIAL"),"_")))))</f>
        <v> </v>
      </c>
      <c r="H3485" s="24" t="str">
        <f>IF(J3485&lt;&gt;1,"",IF(I3485="SBJ","CB","?"))</f>
        <v> </v>
      </c>
      <c r="I3485" s="25" t="str">
        <f>IF(OR(E3485="",E3485="!!!",F3485="NEW"),"",INDEX(B3484:B$2,-1+SUMPRODUCT(MAX(ROW(E3484:E$2)*(E3485=E3484:E$2)))))</f>
        <v> </v>
      </c>
      <c r="J3485" s="25" t="str">
        <f>IF(OR(E3485="",E3485="!!!",F3485="NEW"),"",COUNTBLANK(OFFSET(A$1,,,SUMPRODUCT(MAX(ROW(E$2:E3485)*(E3485=E$2:E3485)))))-COUNTBLANK(OFFSET(A$1,,,SUMPRODUCT(MAX(ROW(E$1:E3484)*(E2=E$1:E3484))))))</f>
        <v> </v>
      </c>
      <c r="K3485" s="25" t="str">
        <f>IF(OR(E3485="",E3485="!!!",F3485="NEW"),"",INDEX(J$1:J3484,SUMPRODUCT(MAX(ROW(E$1:E3484)*(E3485=E$1:E3484)))))</f>
        <v> </v>
      </c>
      <c r="L3485" s="26"/>
    </row>
    <row r="3486" spans="1:12">
      <c r="A3486" s="20" t="s">
        <v>1309</v>
      </c>
      <c r="E3486" s="21">
        <f>IF(D3486="?OLD","!!!","")</f>
        <v/>
      </c>
      <c r="F3486" s="22" t="str">
        <f>IF(OR(E3486="",E3486="!!!"),"",IF(NOT(ISNA(VLOOKUP(E3486,E$1:E3485,1,FALSE()))),"OLD",IF(AND(E3486&lt;&gt;"",E3486&lt;&gt;"!!!"),"NEW","")))</f>
        <v> </v>
      </c>
      <c r="G3486" s="23" t="str">
        <f>IF(OR(E3486="",E3486="!!!"),"",IF(OR(J3486=0,AND(J3486=1,K3486=1),AND(J3486=1,I3486="SBJ"),AND(J3486=1,I3486=0)),"?IN_FOCUS",IF(J3486&lt;=2,"?ACTIVATED",IF(J3486&lt;&gt;"","?FAMILIAR",IF(F3486="NEW",IF(ISNA(VLOOKUP(E3486,#REF!,1,FALSE())),"?TYPE_IDENTIFIABLE","?REFERENTIAL"),"_")))))</f>
        <v> </v>
      </c>
      <c r="H3486" s="24" t="str">
        <f>IF(J3486&lt;&gt;1,"",IF(I3486="SBJ","CB","?"))</f>
        <v> </v>
      </c>
      <c r="I3486" s="25" t="str">
        <f>IF(OR(E3486="",E3486="!!!",F3486="NEW"),"",INDEX(B3485:B$2,-1+SUMPRODUCT(MAX(ROW(E3485:E$2)*(E3486=E3485:E$2)))))</f>
        <v> </v>
      </c>
      <c r="J3486" s="25" t="str">
        <f>IF(OR(E3486="",E3486="!!!",F3486="NEW"),"",COUNTBLANK(OFFSET(A$1,,,SUMPRODUCT(MAX(ROW(E$2:E3486)*(E3486=E$2:E3486)))))-COUNTBLANK(OFFSET(A$1,,,SUMPRODUCT(MAX(ROW(E$1:E3485)*(E2=E$1:E3485))))))</f>
        <v> </v>
      </c>
      <c r="K3486" s="25" t="str">
        <f>IF(OR(E3486="",E3486="!!!",F3486="NEW"),"",INDEX(J$1:J3485,SUMPRODUCT(MAX(ROW(E$1:E3485)*(E3486=E$1:E3485)))))</f>
        <v> </v>
      </c>
      <c r="L3486" s="26"/>
    </row>
    <row r="3487" spans="1:12">
      <c r="A3487" s="20" t="s">
        <v>2205</v>
      </c>
      <c r="E3487" s="21">
        <f>IF(D3487="?OLD","!!!","")</f>
        <v/>
      </c>
      <c r="F3487" s="22" t="str">
        <f>IF(OR(E3487="",E3487="!!!"),"",IF(NOT(ISNA(VLOOKUP(E3487,E$1:E3486,1,FALSE()))),"OLD",IF(AND(E3487&lt;&gt;"",E3487&lt;&gt;"!!!"),"NEW","")))</f>
        <v> </v>
      </c>
      <c r="G3487" s="23" t="str">
        <f>IF(OR(E3487="",E3487="!!!"),"",IF(OR(J3487=0,AND(J3487=1,K3487=1),AND(J3487=1,I3487="SBJ"),AND(J3487=1,I3487=0)),"?IN_FOCUS",IF(J3487&lt;=2,"?ACTIVATED",IF(J3487&lt;&gt;"","?FAMILIAR",IF(F3487="NEW",IF(ISNA(VLOOKUP(E3487,#REF!,1,FALSE())),"?TYPE_IDENTIFIABLE","?REFERENTIAL"),"_")))))</f>
        <v> </v>
      </c>
      <c r="H3487" s="24" t="str">
        <f>IF(J3487&lt;&gt;1,"",IF(I3487="SBJ","CB","?"))</f>
        <v> </v>
      </c>
      <c r="I3487" s="25" t="str">
        <f>IF(OR(E3487="",E3487="!!!",F3487="NEW"),"",INDEX(B3486:B$2,-1+SUMPRODUCT(MAX(ROW(E3486:E$2)*(E3487=E3486:E$2)))))</f>
        <v> </v>
      </c>
      <c r="J3487" s="25" t="str">
        <f>IF(OR(E3487="",E3487="!!!",F3487="NEW"),"",COUNTBLANK(OFFSET(A$1,,,SUMPRODUCT(MAX(ROW(E$2:E3487)*(E3487=E$2:E3487)))))-COUNTBLANK(OFFSET(A$1,,,SUMPRODUCT(MAX(ROW(E$1:E3486)*(E2=E$1:E3486))))))</f>
        <v> </v>
      </c>
      <c r="K3487" s="25" t="str">
        <f>IF(OR(E3487="",E3487="!!!",F3487="NEW"),"",INDEX(J$1:J3486,SUMPRODUCT(MAX(ROW(E$1:E3486)*(E3487=E$1:E3486)))))</f>
        <v> </v>
      </c>
      <c r="L3487" s="26"/>
    </row>
    <row r="3488" spans="1:12">
      <c r="A3488" s="20" t="s">
        <v>1074</v>
      </c>
      <c r="E3488" s="21">
        <f>IF(D3488="?OLD","!!!","")</f>
        <v/>
      </c>
      <c r="F3488" s="22" t="str">
        <f>IF(OR(E3488="",E3488="!!!"),"",IF(NOT(ISNA(VLOOKUP(E3488,E$1:E3487,1,FALSE()))),"OLD",IF(AND(E3488&lt;&gt;"",E3488&lt;&gt;"!!!"),"NEW","")))</f>
        <v> </v>
      </c>
      <c r="G3488" s="23" t="str">
        <f>IF(OR(E3488="",E3488="!!!"),"",IF(OR(J3488=0,AND(J3488=1,K3488=1),AND(J3488=1,I3488="SBJ"),AND(J3488=1,I3488=0)),"?IN_FOCUS",IF(J3488&lt;=2,"?ACTIVATED",IF(J3488&lt;&gt;"","?FAMILIAR",IF(F3488="NEW",IF(ISNA(VLOOKUP(E3488,#REF!,1,FALSE())),"?TYPE_IDENTIFIABLE","?REFERENTIAL"),"_")))))</f>
        <v> </v>
      </c>
      <c r="H3488" s="24" t="str">
        <f>IF(J3488&lt;&gt;1,"",IF(I3488="SBJ","CB","?"))</f>
        <v> </v>
      </c>
      <c r="I3488" s="25" t="str">
        <f>IF(OR(E3488="",E3488="!!!",F3488="NEW"),"",INDEX(B3487:B$2,-1+SUMPRODUCT(MAX(ROW(E3487:E$2)*(E3488=E3487:E$2)))))</f>
        <v> </v>
      </c>
      <c r="J3488" s="25" t="str">
        <f>IF(OR(E3488="",E3488="!!!",F3488="NEW"),"",COUNTBLANK(OFFSET(A$1,,,SUMPRODUCT(MAX(ROW(E$2:E3488)*(E3488=E$2:E3488)))))-COUNTBLANK(OFFSET(A$1,,,SUMPRODUCT(MAX(ROW(E$1:E3487)*(E2=E$1:E3487))))))</f>
        <v> </v>
      </c>
      <c r="K3488" s="25" t="str">
        <f>IF(OR(E3488="",E3488="!!!",F3488="NEW"),"",INDEX(J$1:J3487,SUMPRODUCT(MAX(ROW(E$1:E3487)*(E3488=E$1:E3487)))))</f>
        <v> </v>
      </c>
      <c r="L3488" s="26"/>
    </row>
    <row r="3489" spans="1:12">
      <c r="A3489" s="20" t="s">
        <v>1244</v>
      </c>
      <c r="B3489" s="27" t="s">
        <v>1079</v>
      </c>
      <c r="C3489" s="27" t="s">
        <v>1029</v>
      </c>
      <c r="D3489" s="27" t="s">
        <v>1030</v>
      </c>
      <c r="E3489" s="21">
        <f>IF(D3489="?OLD","!!!","")</f>
        <v/>
      </c>
      <c r="F3489" s="22" t="str">
        <f>IF(OR(E3489="",E3489="!!!"),"",IF(NOT(ISNA(VLOOKUP(E3489,E$1:E3488,1,FALSE()))),"OLD",IF(AND(E3489&lt;&gt;"",E3489&lt;&gt;"!!!"),"NEW","")))</f>
        <v> </v>
      </c>
      <c r="G3489" s="23" t="str">
        <f>IF(OR(E3489="",E3489="!!!"),"",IF(OR(J3489=0,AND(J3489=1,K3489=1),AND(J3489=1,I3489="SBJ"),AND(J3489=1,I3489=0)),"?IN_FOCUS",IF(J3489&lt;=2,"?ACTIVATED",IF(J3489&lt;&gt;"","?FAMILIAR",IF(F3489="NEW",IF(ISNA(VLOOKUP(E3489,#REF!,1,FALSE())),"?TYPE_IDENTIFIABLE","?REFERENTIAL"),"_")))))</f>
        <v> </v>
      </c>
      <c r="H3489" s="24" t="str">
        <f>IF(J3489&lt;&gt;1,"",IF(I3489="SBJ","CB","?"))</f>
        <v> </v>
      </c>
      <c r="I3489" s="25" t="str">
        <f>IF(OR(E3489="",E3489="!!!",F3489="NEW"),"",INDEX(B3488:B$2,-1+SUMPRODUCT(MAX(ROW(E3488:E$2)*(E3489=E3488:E$2)))))</f>
        <v> </v>
      </c>
      <c r="J3489" s="25" t="str">
        <f>IF(OR(E3489="",E3489="!!!",F3489="NEW"),"",COUNTBLANK(OFFSET(A$1,,,SUMPRODUCT(MAX(ROW(E$2:E3489)*(E3489=E$2:E3489)))))-COUNTBLANK(OFFSET(A$1,,,SUMPRODUCT(MAX(ROW(E$1:E3488)*(E2=E$1:E3488))))))</f>
        <v> </v>
      </c>
      <c r="K3489" s="25" t="str">
        <f>IF(OR(E3489="",E3489="!!!",F3489="NEW"),"",INDEX(J$1:J3488,SUMPRODUCT(MAX(ROW(E$1:E3488)*(E3489=E$1:E3488)))))</f>
        <v> </v>
      </c>
      <c r="L3489" s="26"/>
    </row>
    <row r="3490" spans="1:12">
      <c r="A3490" s="20" t="s">
        <v>1016</v>
      </c>
      <c r="E3490" s="21">
        <f>IF(D3490="?OLD","!!!","")</f>
        <v/>
      </c>
      <c r="F3490" s="22" t="str">
        <f>IF(OR(E3490="",E3490="!!!"),"",IF(NOT(ISNA(VLOOKUP(E3490,E$1:E3489,1,FALSE()))),"OLD",IF(AND(E3490&lt;&gt;"",E3490&lt;&gt;"!!!"),"NEW","")))</f>
        <v> </v>
      </c>
      <c r="G3490" s="23" t="str">
        <f>IF(OR(E3490="",E3490="!!!"),"",IF(OR(J3490=0,AND(J3490=1,K3490=1),AND(J3490=1,I3490="SBJ"),AND(J3490=1,I3490=0)),"?IN_FOCUS",IF(J3490&lt;=2,"?ACTIVATED",IF(J3490&lt;&gt;"","?FAMILIAR",IF(F3490="NEW",IF(ISNA(VLOOKUP(E3490,#REF!,1,FALSE())),"?TYPE_IDENTIFIABLE","?REFERENTIAL"),"_")))))</f>
        <v> </v>
      </c>
      <c r="H3490" s="24" t="str">
        <f>IF(J3490&lt;&gt;1,"",IF(I3490="SBJ","CB","?"))</f>
        <v> </v>
      </c>
      <c r="I3490" s="25" t="str">
        <f>IF(OR(E3490="",E3490="!!!",F3490="NEW"),"",INDEX(B3489:B$2,-1+SUMPRODUCT(MAX(ROW(E3489:E$2)*(E3490=E3489:E$2)))))</f>
        <v> </v>
      </c>
      <c r="J3490" s="25" t="str">
        <f>IF(OR(E3490="",E3490="!!!",F3490="NEW"),"",COUNTBLANK(OFFSET(A$1,,,SUMPRODUCT(MAX(ROW(E$2:E3490)*(E3490=E$2:E3490)))))-COUNTBLANK(OFFSET(A$1,,,SUMPRODUCT(MAX(ROW(E$1:E3489)*(E2=E$1:E3489))))))</f>
        <v> </v>
      </c>
      <c r="K3490" s="25" t="str">
        <f>IF(OR(E3490="",E3490="!!!",F3490="NEW"),"",INDEX(J$1:J3489,SUMPRODUCT(MAX(ROW(E$1:E3489)*(E3490=E$1:E3489)))))</f>
        <v> </v>
      </c>
      <c r="L3490" s="26"/>
    </row>
    <row r="3491" spans="1:12">
      <c r="A3491" s="20" t="s">
        <v>1185</v>
      </c>
      <c r="B3491" s="27" t="s">
        <v>1066</v>
      </c>
      <c r="C3491" s="27" t="s">
        <v>1015</v>
      </c>
      <c r="E3491" s="21">
        <f>IF(D3491="?OLD","!!!","")</f>
        <v/>
      </c>
      <c r="F3491" s="22" t="str">
        <f>IF(OR(E3491="",E3491="!!!"),"",IF(NOT(ISNA(VLOOKUP(E3491,E$1:E3490,1,FALSE()))),"OLD",IF(AND(E3491&lt;&gt;"",E3491&lt;&gt;"!!!"),"NEW","")))</f>
        <v> </v>
      </c>
      <c r="G3491" s="23" t="str">
        <f>IF(OR(E3491="",E3491="!!!"),"",IF(OR(J3491=0,AND(J3491=1,K3491=1),AND(J3491=1,I3491="SBJ"),AND(J3491=1,I3491=0)),"?IN_FOCUS",IF(J3491&lt;=2,"?ACTIVATED",IF(J3491&lt;&gt;"","?FAMILIAR",IF(F3491="NEW",IF(ISNA(VLOOKUP(E3491,#REF!,1,FALSE())),"?TYPE_IDENTIFIABLE","?REFERENTIAL"),"_")))))</f>
        <v> </v>
      </c>
      <c r="H3491" s="24" t="str">
        <f>IF(J3491&lt;&gt;1,"",IF(I3491="SBJ","CB","?"))</f>
        <v> </v>
      </c>
      <c r="I3491" s="25" t="str">
        <f>IF(OR(E3491="",E3491="!!!",F3491="NEW"),"",INDEX(B3490:B$2,-1+SUMPRODUCT(MAX(ROW(E3490:E$2)*(E3491=E3490:E$2)))))</f>
        <v> </v>
      </c>
      <c r="J3491" s="25" t="str">
        <f>IF(OR(E3491="",E3491="!!!",F3491="NEW"),"",COUNTBLANK(OFFSET(A$1,,,SUMPRODUCT(MAX(ROW(E$2:E3491)*(E3491=E$2:E3491)))))-COUNTBLANK(OFFSET(A$1,,,SUMPRODUCT(MAX(ROW(E$1:E3490)*(E2=E$1:E3490))))))</f>
        <v> </v>
      </c>
      <c r="K3491" s="25" t="str">
        <f>IF(OR(E3491="",E3491="!!!",F3491="NEW"),"",INDEX(J$1:J3490,SUMPRODUCT(MAX(ROW(E$1:E3490)*(E3491=E$1:E3490)))))</f>
        <v> </v>
      </c>
      <c r="L3491" s="26"/>
    </row>
    <row r="3492" spans="1:12">
      <c r="A3492" s="20" t="s">
        <v>1016</v>
      </c>
      <c r="E3492" s="21">
        <f>IF(D3492="?OLD","!!!","")</f>
        <v/>
      </c>
      <c r="F3492" s="22" t="str">
        <f>IF(OR(E3492="",E3492="!!!"),"",IF(NOT(ISNA(VLOOKUP(E3492,E$1:E3491,1,FALSE()))),"OLD",IF(AND(E3492&lt;&gt;"",E3492&lt;&gt;"!!!"),"NEW","")))</f>
        <v> </v>
      </c>
      <c r="G3492" s="23" t="str">
        <f>IF(OR(E3492="",E3492="!!!"),"",IF(OR(J3492=0,AND(J3492=1,K3492=1),AND(J3492=1,I3492="SBJ"),AND(J3492=1,I3492=0)),"?IN_FOCUS",IF(J3492&lt;=2,"?ACTIVATED",IF(J3492&lt;&gt;"","?FAMILIAR",IF(F3492="NEW",IF(ISNA(VLOOKUP(E3492,#REF!,1,FALSE())),"?TYPE_IDENTIFIABLE","?REFERENTIAL"),"_")))))</f>
        <v> </v>
      </c>
      <c r="H3492" s="24" t="str">
        <f>IF(J3492&lt;&gt;1,"",IF(I3492="SBJ","CB","?"))</f>
        <v> </v>
      </c>
      <c r="I3492" s="25" t="str">
        <f>IF(OR(E3492="",E3492="!!!",F3492="NEW"),"",INDEX(B3491:B$2,-1+SUMPRODUCT(MAX(ROW(E3491:E$2)*(E3492=E3491:E$2)))))</f>
        <v> </v>
      </c>
      <c r="J3492" s="25" t="str">
        <f>IF(OR(E3492="",E3492="!!!",F3492="NEW"),"",COUNTBLANK(OFFSET(A$1,,,SUMPRODUCT(MAX(ROW(E$2:E3492)*(E3492=E$2:E3492)))))-COUNTBLANK(OFFSET(A$1,,,SUMPRODUCT(MAX(ROW(E$1:E3491)*(E2=E$1:E3491))))))</f>
        <v> </v>
      </c>
      <c r="K3492" s="25" t="str">
        <f>IF(OR(E3492="",E3492="!!!",F3492="NEW"),"",INDEX(J$1:J3491,SUMPRODUCT(MAX(ROW(E$1:E3491)*(E3492=E$1:E3491)))))</f>
        <v> </v>
      </c>
      <c r="L3492" s="26"/>
    </row>
    <row r="3493" spans="1:12">
      <c r="A3493" s="20" t="s">
        <v>2206</v>
      </c>
      <c r="E3493" s="21">
        <f>IF(D3493="?OLD","!!!","")</f>
        <v/>
      </c>
      <c r="F3493" s="22" t="str">
        <f>IF(OR(E3493="",E3493="!!!"),"",IF(NOT(ISNA(VLOOKUP(E3493,E$1:E3492,1,FALSE()))),"OLD",IF(AND(E3493&lt;&gt;"",E3493&lt;&gt;"!!!"),"NEW","")))</f>
        <v> </v>
      </c>
      <c r="G3493" s="23" t="str">
        <f>IF(OR(E3493="",E3493="!!!"),"",IF(OR(J3493=0,AND(J3493=1,K3493=1),AND(J3493=1,I3493="SBJ"),AND(J3493=1,I3493=0)),"?IN_FOCUS",IF(J3493&lt;=2,"?ACTIVATED",IF(J3493&lt;&gt;"","?FAMILIAR",IF(F3493="NEW",IF(ISNA(VLOOKUP(E3493,#REF!,1,FALSE())),"?TYPE_IDENTIFIABLE","?REFERENTIAL"),"_")))))</f>
        <v> </v>
      </c>
      <c r="H3493" s="24" t="str">
        <f>IF(J3493&lt;&gt;1,"",IF(I3493="SBJ","CB","?"))</f>
        <v> </v>
      </c>
      <c r="I3493" s="25" t="str">
        <f>IF(OR(E3493="",E3493="!!!",F3493="NEW"),"",INDEX(B3492:B$2,-1+SUMPRODUCT(MAX(ROW(E3492:E$2)*(E3493=E3492:E$2)))))</f>
        <v> </v>
      </c>
      <c r="J3493" s="25" t="str">
        <f>IF(OR(E3493="",E3493="!!!",F3493="NEW"),"",COUNTBLANK(OFFSET(A$1,,,SUMPRODUCT(MAX(ROW(E$2:E3493)*(E3493=E$2:E3493)))))-COUNTBLANK(OFFSET(A$1,,,SUMPRODUCT(MAX(ROW(E$1:E3492)*(E2=E$1:E3492))))))</f>
        <v> </v>
      </c>
      <c r="K3493" s="25" t="str">
        <f>IF(OR(E3493="",E3493="!!!",F3493="NEW"),"",INDEX(J$1:J3492,SUMPRODUCT(MAX(ROW(E$1:E3492)*(E3493=E$1:E3492)))))</f>
        <v> </v>
      </c>
      <c r="L3493" s="26"/>
    </row>
    <row r="3494" spans="1:12">
      <c r="A3494" s="20" t="s">
        <v>135</v>
      </c>
      <c r="E3494" s="21">
        <f>IF(D3494="?OLD","!!!","")</f>
        <v/>
      </c>
      <c r="F3494" s="22" t="str">
        <f>IF(OR(E3494="",E3494="!!!"),"",IF(NOT(ISNA(VLOOKUP(E3494,E$1:E3493,1,FALSE()))),"OLD",IF(AND(E3494&lt;&gt;"",E3494&lt;&gt;"!!!"),"NEW","")))</f>
        <v> </v>
      </c>
      <c r="G3494" s="23" t="str">
        <f>IF(OR(E3494="",E3494="!!!"),"",IF(OR(J3494=0,AND(J3494=1,K3494=1),AND(J3494=1,I3494="SBJ"),AND(J3494=1,I3494=0)),"?IN_FOCUS",IF(J3494&lt;=2,"?ACTIVATED",IF(J3494&lt;&gt;"","?FAMILIAR",IF(F3494="NEW",IF(ISNA(VLOOKUP(E3494,#REF!,1,FALSE())),"?TYPE_IDENTIFIABLE","?REFERENTIAL"),"_")))))</f>
        <v> </v>
      </c>
      <c r="H3494" s="24" t="str">
        <f>IF(J3494&lt;&gt;1,"",IF(I3494="SBJ","CB","?"))</f>
        <v> </v>
      </c>
      <c r="I3494" s="25" t="str">
        <f>IF(OR(E3494="",E3494="!!!",F3494="NEW"),"",INDEX(B3493:B$2,-1+SUMPRODUCT(MAX(ROW(E3493:E$2)*(E3494=E3493:E$2)))))</f>
        <v> </v>
      </c>
      <c r="J3494" s="25" t="str">
        <f>IF(OR(E3494="",E3494="!!!",F3494="NEW"),"",COUNTBLANK(OFFSET(A$1,,,SUMPRODUCT(MAX(ROW(E$2:E3494)*(E3494=E$2:E3494)))))-COUNTBLANK(OFFSET(A$1,,,SUMPRODUCT(MAX(ROW(E$1:E3493)*(E2=E$1:E3493))))))</f>
        <v> </v>
      </c>
      <c r="K3494" s="25" t="str">
        <f>IF(OR(E3494="",E3494="!!!",F3494="NEW"),"",INDEX(J$1:J3493,SUMPRODUCT(MAX(ROW(E$1:E3493)*(E3494=E$1:E3493)))))</f>
        <v> </v>
      </c>
      <c r="L3494" s="26"/>
    </row>
    <row r="3495" spans="1:12">
      <c r="A3495" s="20"/>
    </row>
    <row r="3496" spans="1:12">
      <c r="A3496" s="20" t="s">
        <v>2207</v>
      </c>
    </row>
    <row r="3497" spans="1:12">
      <c r="A3497" s="20" t="s">
        <v>1997</v>
      </c>
      <c r="B3497" s="27" t="s">
        <v>1045</v>
      </c>
      <c r="C3497" s="27" t="s">
        <v>1015</v>
      </c>
      <c r="E3497" s="21">
        <f>IF(D3497="?OLD","!!!","")</f>
        <v/>
      </c>
      <c r="F3497" s="22" t="str">
        <f>IF(OR(E3497="",E3497="!!!"),"",IF(NOT(ISNA(VLOOKUP(E3497,E$1:E3496,1,FALSE()))),"OLD",IF(AND(E3497&lt;&gt;"",E3497&lt;&gt;"!!!"),"NEW","")))</f>
        <v> </v>
      </c>
      <c r="G3497" s="23" t="str">
        <f>IF(OR(E3497="",E3497="!!!"),"",IF(OR(J3497=0,AND(J3497=1,K3497=1),AND(J3497=1,I3497="SBJ"),AND(J3497=1,I3497=0)),"?IN_FOCUS",IF(J3497&lt;=2,"?ACTIVATED",IF(J3497&lt;&gt;"","?FAMILIAR",IF(F3497="NEW",IF(ISNA(VLOOKUP(E3497,#REF!,1,FALSE())),"?TYPE_IDENTIFIABLE","?REFERENTIAL"),"_")))))</f>
        <v> </v>
      </c>
      <c r="H3497" s="24" t="str">
        <f>IF(J3497&lt;&gt;1,"",IF(I3497="SBJ","CB","?"))</f>
        <v> </v>
      </c>
      <c r="I3497" s="25" t="str">
        <f>IF(OR(E3497="",E3497="!!!",F3497="NEW"),"",INDEX(B3496:B$2,-1+SUMPRODUCT(MAX(ROW(E3496:E$2)*(E3497=E3496:E$2)))))</f>
        <v> </v>
      </c>
      <c r="J3497" s="25" t="str">
        <f>IF(OR(E3497="",E3497="!!!",F3497="NEW"),"",COUNTBLANK(OFFSET(A$1,,,SUMPRODUCT(MAX(ROW(E$2:E3497)*(E3497=E$2:E3497)))))-COUNTBLANK(OFFSET(A$1,,,SUMPRODUCT(MAX(ROW(E$1:E3496)*(E2=E$1:E3496))))))</f>
        <v> </v>
      </c>
      <c r="K3497" s="25" t="str">
        <f>IF(OR(E3497="",E3497="!!!",F3497="NEW"),"",INDEX(J$1:J3496,SUMPRODUCT(MAX(ROW(E$1:E3496)*(E3497=E$1:E3496)))))</f>
        <v> </v>
      </c>
      <c r="L3497" s="26"/>
    </row>
    <row r="3498" spans="1:12">
      <c r="A3498" s="20" t="s">
        <v>1022</v>
      </c>
      <c r="E3498" s="21">
        <f>IF(D3498="?OLD","!!!","")</f>
        <v/>
      </c>
      <c r="F3498" s="22" t="str">
        <f>IF(OR(E3498="",E3498="!!!"),"",IF(NOT(ISNA(VLOOKUP(E3498,E$1:E3497,1,FALSE()))),"OLD",IF(AND(E3498&lt;&gt;"",E3498&lt;&gt;"!!!"),"NEW","")))</f>
        <v> </v>
      </c>
      <c r="G3498" s="23" t="str">
        <f>IF(OR(E3498="",E3498="!!!"),"",IF(OR(J3498=0,AND(J3498=1,K3498=1),AND(J3498=1,I3498="SBJ"),AND(J3498=1,I3498=0)),"?IN_FOCUS",IF(J3498&lt;=2,"?ACTIVATED",IF(J3498&lt;&gt;"","?FAMILIAR",IF(F3498="NEW",IF(ISNA(VLOOKUP(E3498,#REF!,1,FALSE())),"?TYPE_IDENTIFIABLE","?REFERENTIAL"),"_")))))</f>
        <v> </v>
      </c>
      <c r="H3498" s="24" t="str">
        <f>IF(J3498&lt;&gt;1,"",IF(I3498="SBJ","CB","?"))</f>
        <v> </v>
      </c>
      <c r="I3498" s="25" t="str">
        <f>IF(OR(E3498="",E3498="!!!",F3498="NEW"),"",INDEX(B3497:B$2,-1+SUMPRODUCT(MAX(ROW(E3497:E$2)*(E3498=E3497:E$2)))))</f>
        <v> </v>
      </c>
      <c r="J3498" s="25" t="str">
        <f>IF(OR(E3498="",E3498="!!!",F3498="NEW"),"",COUNTBLANK(OFFSET(A$1,,,SUMPRODUCT(MAX(ROW(E$2:E3498)*(E3498=E$2:E3498)))))-COUNTBLANK(OFFSET(A$1,,,SUMPRODUCT(MAX(ROW(E$1:E3497)*(E2=E$1:E3497))))))</f>
        <v> </v>
      </c>
      <c r="K3498" s="25" t="str">
        <f>IF(OR(E3498="",E3498="!!!",F3498="NEW"),"",INDEX(J$1:J3497,SUMPRODUCT(MAX(ROW(E$1:E3497)*(E3498=E$1:E3497)))))</f>
        <v> </v>
      </c>
      <c r="L3498" s="26"/>
    </row>
    <row r="3499" spans="1:12">
      <c r="A3499" s="20" t="s">
        <v>1025</v>
      </c>
      <c r="E3499" s="21">
        <f>IF(D3499="?OLD","!!!","")</f>
        <v/>
      </c>
      <c r="F3499" s="22" t="str">
        <f>IF(OR(E3499="",E3499="!!!"),"",IF(NOT(ISNA(VLOOKUP(E3499,E$1:E3498,1,FALSE()))),"OLD",IF(AND(E3499&lt;&gt;"",E3499&lt;&gt;"!!!"),"NEW","")))</f>
        <v> </v>
      </c>
      <c r="G3499" s="23" t="str">
        <f>IF(OR(E3499="",E3499="!!!"),"",IF(OR(J3499=0,AND(J3499=1,K3499=1),AND(J3499=1,I3499="SBJ"),AND(J3499=1,I3499=0)),"?IN_FOCUS",IF(J3499&lt;=2,"?ACTIVATED",IF(J3499&lt;&gt;"","?FAMILIAR",IF(F3499="NEW",IF(ISNA(VLOOKUP(E3499,#REF!,1,FALSE())),"?TYPE_IDENTIFIABLE","?REFERENTIAL"),"_")))))</f>
        <v> </v>
      </c>
      <c r="H3499" s="24" t="str">
        <f>IF(J3499&lt;&gt;1,"",IF(I3499="SBJ","CB","?"))</f>
        <v> </v>
      </c>
      <c r="I3499" s="25" t="str">
        <f>IF(OR(E3499="",E3499="!!!",F3499="NEW"),"",INDEX(B3498:B$2,-1+SUMPRODUCT(MAX(ROW(E3498:E$2)*(E3499=E3498:E$2)))))</f>
        <v> </v>
      </c>
      <c r="J3499" s="25" t="str">
        <f>IF(OR(E3499="",E3499="!!!",F3499="NEW"),"",COUNTBLANK(OFFSET(A$1,,,SUMPRODUCT(MAX(ROW(E$2:E3499)*(E3499=E$2:E3499)))))-COUNTBLANK(OFFSET(A$1,,,SUMPRODUCT(MAX(ROW(E$1:E3498)*(E2=E$1:E3498))))))</f>
        <v> </v>
      </c>
      <c r="K3499" s="25" t="str">
        <f>IF(OR(E3499="",E3499="!!!",F3499="NEW"),"",INDEX(J$1:J3498,SUMPRODUCT(MAX(ROW(E$1:E3498)*(E3499=E$1:E3498)))))</f>
        <v> </v>
      </c>
      <c r="L3499" s="26"/>
    </row>
    <row r="3500" spans="1:12">
      <c r="A3500" s="20" t="s">
        <v>1075</v>
      </c>
      <c r="E3500" s="21">
        <f>IF(D3500="?OLD","!!!","")</f>
        <v/>
      </c>
      <c r="F3500" s="22" t="str">
        <f>IF(OR(E3500="",E3500="!!!"),"",IF(NOT(ISNA(VLOOKUP(E3500,E$1:E3499,1,FALSE()))),"OLD",IF(AND(E3500&lt;&gt;"",E3500&lt;&gt;"!!!"),"NEW","")))</f>
        <v> </v>
      </c>
      <c r="G3500" s="23" t="str">
        <f>IF(OR(E3500="",E3500="!!!"),"",IF(OR(J3500=0,AND(J3500=1,K3500=1),AND(J3500=1,I3500="SBJ"),AND(J3500=1,I3500=0)),"?IN_FOCUS",IF(J3500&lt;=2,"?ACTIVATED",IF(J3500&lt;&gt;"","?FAMILIAR",IF(F3500="NEW",IF(ISNA(VLOOKUP(E3500,#REF!,1,FALSE())),"?TYPE_IDENTIFIABLE","?REFERENTIAL"),"_")))))</f>
        <v> </v>
      </c>
      <c r="H3500" s="24" t="str">
        <f>IF(J3500&lt;&gt;1,"",IF(I3500="SBJ","CB","?"))</f>
        <v> </v>
      </c>
      <c r="I3500" s="25" t="str">
        <f>IF(OR(E3500="",E3500="!!!",F3500="NEW"),"",INDEX(B3499:B$2,-1+SUMPRODUCT(MAX(ROW(E3499:E$2)*(E3500=E3499:E$2)))))</f>
        <v> </v>
      </c>
      <c r="J3500" s="25" t="str">
        <f>IF(OR(E3500="",E3500="!!!",F3500="NEW"),"",COUNTBLANK(OFFSET(A$1,,,SUMPRODUCT(MAX(ROW(E$2:E3500)*(E3500=E$2:E3500)))))-COUNTBLANK(OFFSET(A$1,,,SUMPRODUCT(MAX(ROW(E$1:E3499)*(E2=E$1:E3499))))))</f>
        <v> </v>
      </c>
      <c r="K3500" s="25" t="str">
        <f>IF(OR(E3500="",E3500="!!!",F3500="NEW"),"",INDEX(J$1:J3499,SUMPRODUCT(MAX(ROW(E$1:E3499)*(E3500=E$1:E3499)))))</f>
        <v> </v>
      </c>
      <c r="L3500" s="26"/>
    </row>
    <row r="3501" spans="1:12">
      <c r="A3501" s="20" t="s">
        <v>2208</v>
      </c>
      <c r="E3501" s="21">
        <f>IF(D3501="?OLD","!!!","")</f>
        <v/>
      </c>
      <c r="F3501" s="22" t="str">
        <f>IF(OR(E3501="",E3501="!!!"),"",IF(NOT(ISNA(VLOOKUP(E3501,E$1:E3500,1,FALSE()))),"OLD",IF(AND(E3501&lt;&gt;"",E3501&lt;&gt;"!!!"),"NEW","")))</f>
        <v> </v>
      </c>
      <c r="G3501" s="23" t="str">
        <f>IF(OR(E3501="",E3501="!!!"),"",IF(OR(J3501=0,AND(J3501=1,K3501=1),AND(J3501=1,I3501="SBJ"),AND(J3501=1,I3501=0)),"?IN_FOCUS",IF(J3501&lt;=2,"?ACTIVATED",IF(J3501&lt;&gt;"","?FAMILIAR",IF(F3501="NEW",IF(ISNA(VLOOKUP(E3501,#REF!,1,FALSE())),"?TYPE_IDENTIFIABLE","?REFERENTIAL"),"_")))))</f>
        <v> </v>
      </c>
      <c r="H3501" s="24" t="str">
        <f>IF(J3501&lt;&gt;1,"",IF(I3501="SBJ","CB","?"))</f>
        <v> </v>
      </c>
      <c r="I3501" s="25" t="str">
        <f>IF(OR(E3501="",E3501="!!!",F3501="NEW"),"",INDEX(B3500:B$2,-1+SUMPRODUCT(MAX(ROW(E3500:E$2)*(E3501=E3500:E$2)))))</f>
        <v> </v>
      </c>
      <c r="J3501" s="25" t="str">
        <f>IF(OR(E3501="",E3501="!!!",F3501="NEW"),"",COUNTBLANK(OFFSET(A$1,,,SUMPRODUCT(MAX(ROW(E$2:E3501)*(E3501=E$2:E3501)))))-COUNTBLANK(OFFSET(A$1,,,SUMPRODUCT(MAX(ROW(E$1:E3500)*(E2=E$1:E3500))))))</f>
        <v> </v>
      </c>
      <c r="K3501" s="25" t="str">
        <f>IF(OR(E3501="",E3501="!!!",F3501="NEW"),"",INDEX(J$1:J3500,SUMPRODUCT(MAX(ROW(E$1:E3500)*(E3501=E$1:E3500)))))</f>
        <v> </v>
      </c>
      <c r="L3501" s="26"/>
    </row>
    <row r="3502" spans="1:12">
      <c r="A3502" s="20" t="s">
        <v>195</v>
      </c>
      <c r="E3502" s="21">
        <f>IF(D3502="?OLD","!!!","")</f>
        <v/>
      </c>
      <c r="F3502" s="22" t="str">
        <f>IF(OR(E3502="",E3502="!!!"),"",IF(NOT(ISNA(VLOOKUP(E3502,E$1:E3501,1,FALSE()))),"OLD",IF(AND(E3502&lt;&gt;"",E3502&lt;&gt;"!!!"),"NEW","")))</f>
        <v> </v>
      </c>
      <c r="G3502" s="23" t="str">
        <f>IF(OR(E3502="",E3502="!!!"),"",IF(OR(J3502=0,AND(J3502=1,K3502=1),AND(J3502=1,I3502="SBJ"),AND(J3502=1,I3502=0)),"?IN_FOCUS",IF(J3502&lt;=2,"?ACTIVATED",IF(J3502&lt;&gt;"","?FAMILIAR",IF(F3502="NEW",IF(ISNA(VLOOKUP(E3502,#REF!,1,FALSE())),"?TYPE_IDENTIFIABLE","?REFERENTIAL"),"_")))))</f>
        <v> </v>
      </c>
      <c r="H3502" s="24" t="str">
        <f>IF(J3502&lt;&gt;1,"",IF(I3502="SBJ","CB","?"))</f>
        <v> </v>
      </c>
      <c r="I3502" s="25" t="str">
        <f>IF(OR(E3502="",E3502="!!!",F3502="NEW"),"",INDEX(B3501:B$2,-1+SUMPRODUCT(MAX(ROW(E3501:E$2)*(E3502=E3501:E$2)))))</f>
        <v> </v>
      </c>
      <c r="J3502" s="25" t="str">
        <f>IF(OR(E3502="",E3502="!!!",F3502="NEW"),"",COUNTBLANK(OFFSET(A$1,,,SUMPRODUCT(MAX(ROW(E$2:E3502)*(E3502=E$2:E3502)))))-COUNTBLANK(OFFSET(A$1,,,SUMPRODUCT(MAX(ROW(E$1:E3501)*(E2=E$1:E3501))))))</f>
        <v> </v>
      </c>
      <c r="K3502" s="25" t="str">
        <f>IF(OR(E3502="",E3502="!!!",F3502="NEW"),"",INDEX(J$1:J3501,SUMPRODUCT(MAX(ROW(E$1:E3501)*(E3502=E$1:E3501)))))</f>
        <v> </v>
      </c>
      <c r="L3502" s="26"/>
    </row>
    <row r="3503" spans="1:12">
      <c r="A3503" s="20" t="s">
        <v>1167</v>
      </c>
      <c r="B3503" s="27" t="s">
        <v>1079</v>
      </c>
      <c r="C3503" s="27" t="s">
        <v>1038</v>
      </c>
      <c r="D3503" s="27" t="s">
        <v>1030</v>
      </c>
      <c r="E3503" s="21">
        <f>IF(D3503="?OLD","!!!","")</f>
        <v/>
      </c>
      <c r="F3503" s="22" t="str">
        <f>IF(OR(E3503="",E3503="!!!"),"",IF(NOT(ISNA(VLOOKUP(E3503,E$1:E3502,1,FALSE()))),"OLD",IF(AND(E3503&lt;&gt;"",E3503&lt;&gt;"!!!"),"NEW","")))</f>
        <v> </v>
      </c>
      <c r="G3503" s="23" t="str">
        <f>IF(OR(E3503="",E3503="!!!"),"",IF(OR(J3503=0,AND(J3503=1,K3503=1),AND(J3503=1,I3503="SBJ"),AND(J3503=1,I3503=0)),"?IN_FOCUS",IF(J3503&lt;=2,"?ACTIVATED",IF(J3503&lt;&gt;"","?FAMILIAR",IF(F3503="NEW",IF(ISNA(VLOOKUP(E3503,#REF!,1,FALSE())),"?TYPE_IDENTIFIABLE","?REFERENTIAL"),"_")))))</f>
        <v> </v>
      </c>
      <c r="H3503" s="24" t="str">
        <f>IF(J3503&lt;&gt;1,"",IF(I3503="SBJ","CB","?"))</f>
        <v> </v>
      </c>
      <c r="I3503" s="25" t="str">
        <f>IF(OR(E3503="",E3503="!!!",F3503="NEW"),"",INDEX(B3502:B$2,-1+SUMPRODUCT(MAX(ROW(E3502:E$2)*(E3503=E3502:E$2)))))</f>
        <v> </v>
      </c>
      <c r="J3503" s="25" t="str">
        <f>IF(OR(E3503="",E3503="!!!",F3503="NEW"),"",COUNTBLANK(OFFSET(A$1,,,SUMPRODUCT(MAX(ROW(E$2:E3503)*(E3503=E$2:E3503)))))-COUNTBLANK(OFFSET(A$1,,,SUMPRODUCT(MAX(ROW(E$1:E3502)*(E2=E$1:E3502))))))</f>
        <v> </v>
      </c>
      <c r="K3503" s="25" t="str">
        <f>IF(OR(E3503="",E3503="!!!",F3503="NEW"),"",INDEX(J$1:J3502,SUMPRODUCT(MAX(ROW(E$1:E3502)*(E3503=E$1:E3502)))))</f>
        <v> </v>
      </c>
      <c r="L3503" s="26"/>
    </row>
    <row r="3504" spans="1:12">
      <c r="A3504" s="20" t="s">
        <v>2209</v>
      </c>
      <c r="E3504" s="21">
        <f>IF(D3504="?OLD","!!!","")</f>
        <v/>
      </c>
      <c r="F3504" s="22" t="str">
        <f>IF(OR(E3504="",E3504="!!!"),"",IF(NOT(ISNA(VLOOKUP(E3504,E$1:E3503,1,FALSE()))),"OLD",IF(AND(E3504&lt;&gt;"",E3504&lt;&gt;"!!!"),"NEW","")))</f>
        <v> </v>
      </c>
      <c r="G3504" s="23" t="str">
        <f>IF(OR(E3504="",E3504="!!!"),"",IF(OR(J3504=0,AND(J3504=1,K3504=1),AND(J3504=1,I3504="SBJ"),AND(J3504=1,I3504=0)),"?IN_FOCUS",IF(J3504&lt;=2,"?ACTIVATED",IF(J3504&lt;&gt;"","?FAMILIAR",IF(F3504="NEW",IF(ISNA(VLOOKUP(E3504,#REF!,1,FALSE())),"?TYPE_IDENTIFIABLE","?REFERENTIAL"),"_")))))</f>
        <v> </v>
      </c>
      <c r="H3504" s="24" t="str">
        <f>IF(J3504&lt;&gt;1,"",IF(I3504="SBJ","CB","?"))</f>
        <v> </v>
      </c>
      <c r="I3504" s="25" t="str">
        <f>IF(OR(E3504="",E3504="!!!",F3504="NEW"),"",INDEX(B3503:B$2,-1+SUMPRODUCT(MAX(ROW(E3503:E$2)*(E3504=E3503:E$2)))))</f>
        <v> </v>
      </c>
      <c r="J3504" s="25" t="str">
        <f>IF(OR(E3504="",E3504="!!!",F3504="NEW"),"",COUNTBLANK(OFFSET(A$1,,,SUMPRODUCT(MAX(ROW(E$2:E3504)*(E3504=E$2:E3504)))))-COUNTBLANK(OFFSET(A$1,,,SUMPRODUCT(MAX(ROW(E$1:E3503)*(E2=E$1:E3503))))))</f>
        <v> </v>
      </c>
      <c r="K3504" s="25" t="str">
        <f>IF(OR(E3504="",E3504="!!!",F3504="NEW"),"",INDEX(J$1:J3503,SUMPRODUCT(MAX(ROW(E$1:E3503)*(E3504=E$1:E3503)))))</f>
        <v> </v>
      </c>
      <c r="L3504" s="26"/>
    </row>
    <row r="3505" spans="1:12">
      <c r="A3505" s="20" t="s">
        <v>2210</v>
      </c>
      <c r="E3505" s="21">
        <f>IF(D3505="?OLD","!!!","")</f>
        <v/>
      </c>
      <c r="F3505" s="22" t="str">
        <f>IF(OR(E3505="",E3505="!!!"),"",IF(NOT(ISNA(VLOOKUP(E3505,E$1:E3504,1,FALSE()))),"OLD",IF(AND(E3505&lt;&gt;"",E3505&lt;&gt;"!!!"),"NEW","")))</f>
        <v> </v>
      </c>
      <c r="G3505" s="23" t="str">
        <f>IF(OR(E3505="",E3505="!!!"),"",IF(OR(J3505=0,AND(J3505=1,K3505=1),AND(J3505=1,I3505="SBJ"),AND(J3505=1,I3505=0)),"?IN_FOCUS",IF(J3505&lt;=2,"?ACTIVATED",IF(J3505&lt;&gt;"","?FAMILIAR",IF(F3505="NEW",IF(ISNA(VLOOKUP(E3505,#REF!,1,FALSE())),"?TYPE_IDENTIFIABLE","?REFERENTIAL"),"_")))))</f>
        <v> </v>
      </c>
      <c r="H3505" s="24" t="str">
        <f>IF(J3505&lt;&gt;1,"",IF(I3505="SBJ","CB","?"))</f>
        <v> </v>
      </c>
      <c r="I3505" s="25" t="str">
        <f>IF(OR(E3505="",E3505="!!!",F3505="NEW"),"",INDEX(B3504:B$2,-1+SUMPRODUCT(MAX(ROW(E3504:E$2)*(E3505=E3504:E$2)))))</f>
        <v> </v>
      </c>
      <c r="J3505" s="25" t="str">
        <f>IF(OR(E3505="",E3505="!!!",F3505="NEW"),"",COUNTBLANK(OFFSET(A$1,,,SUMPRODUCT(MAX(ROW(E$2:E3505)*(E3505=E$2:E3505)))))-COUNTBLANK(OFFSET(A$1,,,SUMPRODUCT(MAX(ROW(E$1:E3504)*(E2=E$1:E3504))))))</f>
        <v> </v>
      </c>
      <c r="K3505" s="25" t="str">
        <f>IF(OR(E3505="",E3505="!!!",F3505="NEW"),"",INDEX(J$1:J3504,SUMPRODUCT(MAX(ROW(E$1:E3504)*(E3505=E$1:E3504)))))</f>
        <v> </v>
      </c>
      <c r="L3505" s="26"/>
    </row>
    <row r="3506" spans="1:12">
      <c r="A3506" s="20" t="s">
        <v>1074</v>
      </c>
      <c r="E3506" s="21">
        <f>IF(D3506="?OLD","!!!","")</f>
        <v/>
      </c>
      <c r="F3506" s="22" t="str">
        <f>IF(OR(E3506="",E3506="!!!"),"",IF(NOT(ISNA(VLOOKUP(E3506,E$1:E3505,1,FALSE()))),"OLD",IF(AND(E3506&lt;&gt;"",E3506&lt;&gt;"!!!"),"NEW","")))</f>
        <v> </v>
      </c>
      <c r="G3506" s="23" t="str">
        <f>IF(OR(E3506="",E3506="!!!"),"",IF(OR(J3506=0,AND(J3506=1,K3506=1),AND(J3506=1,I3506="SBJ"),AND(J3506=1,I3506=0)),"?IN_FOCUS",IF(J3506&lt;=2,"?ACTIVATED",IF(J3506&lt;&gt;"","?FAMILIAR",IF(F3506="NEW",IF(ISNA(VLOOKUP(E3506,#REF!,1,FALSE())),"?TYPE_IDENTIFIABLE","?REFERENTIAL"),"_")))))</f>
        <v> </v>
      </c>
      <c r="H3506" s="24" t="str">
        <f>IF(J3506&lt;&gt;1,"",IF(I3506="SBJ","CB","?"))</f>
        <v> </v>
      </c>
      <c r="I3506" s="25" t="str">
        <f>IF(OR(E3506="",E3506="!!!",F3506="NEW"),"",INDEX(B3505:B$2,-1+SUMPRODUCT(MAX(ROW(E3505:E$2)*(E3506=E3505:E$2)))))</f>
        <v> </v>
      </c>
      <c r="J3506" s="25" t="str">
        <f>IF(OR(E3506="",E3506="!!!",F3506="NEW"),"",COUNTBLANK(OFFSET(A$1,,,SUMPRODUCT(MAX(ROW(E$2:E3506)*(E3506=E$2:E3506)))))-COUNTBLANK(OFFSET(A$1,,,SUMPRODUCT(MAX(ROW(E$1:E3505)*(E2=E$1:E3505))))))</f>
        <v> </v>
      </c>
      <c r="K3506" s="25" t="str">
        <f>IF(OR(E3506="",E3506="!!!",F3506="NEW"),"",INDEX(J$1:J3505,SUMPRODUCT(MAX(ROW(E$1:E3505)*(E3506=E$1:E3505)))))</f>
        <v> </v>
      </c>
      <c r="L3506" s="26"/>
    </row>
    <row r="3507" spans="1:12">
      <c r="A3507" s="20" t="s">
        <v>1352</v>
      </c>
      <c r="E3507" s="21">
        <f>IF(D3507="?OLD","!!!","")</f>
        <v/>
      </c>
      <c r="F3507" s="22" t="str">
        <f>IF(OR(E3507="",E3507="!!!"),"",IF(NOT(ISNA(VLOOKUP(E3507,E$1:E3506,1,FALSE()))),"OLD",IF(AND(E3507&lt;&gt;"",E3507&lt;&gt;"!!!"),"NEW","")))</f>
        <v> </v>
      </c>
      <c r="G3507" s="23" t="str">
        <f>IF(OR(E3507="",E3507="!!!"),"",IF(OR(J3507=0,AND(J3507=1,K3507=1),AND(J3507=1,I3507="SBJ"),AND(J3507=1,I3507=0)),"?IN_FOCUS",IF(J3507&lt;=2,"?ACTIVATED",IF(J3507&lt;&gt;"","?FAMILIAR",IF(F3507="NEW",IF(ISNA(VLOOKUP(E3507,#REF!,1,FALSE())),"?TYPE_IDENTIFIABLE","?REFERENTIAL"),"_")))))</f>
        <v> </v>
      </c>
      <c r="H3507" s="24" t="str">
        <f>IF(J3507&lt;&gt;1,"",IF(I3507="SBJ","CB","?"))</f>
        <v> </v>
      </c>
      <c r="I3507" s="25" t="str">
        <f>IF(OR(E3507="",E3507="!!!",F3507="NEW"),"",INDEX(B3506:B$2,-1+SUMPRODUCT(MAX(ROW(E3506:E$2)*(E3507=E3506:E$2)))))</f>
        <v> </v>
      </c>
      <c r="J3507" s="25" t="str">
        <f>IF(OR(E3507="",E3507="!!!",F3507="NEW"),"",COUNTBLANK(OFFSET(A$1,,,SUMPRODUCT(MAX(ROW(E$2:E3507)*(E3507=E$2:E3507)))))-COUNTBLANK(OFFSET(A$1,,,SUMPRODUCT(MAX(ROW(E$1:E3506)*(E2=E$1:E3506))))))</f>
        <v> </v>
      </c>
      <c r="K3507" s="25" t="str">
        <f>IF(OR(E3507="",E3507="!!!",F3507="NEW"),"",INDEX(J$1:J3506,SUMPRODUCT(MAX(ROW(E$1:E3506)*(E3507=E$1:E3506)))))</f>
        <v> </v>
      </c>
      <c r="L3507" s="26"/>
    </row>
    <row r="3508" spans="1:12">
      <c r="A3508" s="20" t="s">
        <v>1036</v>
      </c>
      <c r="E3508" s="21">
        <f>IF(D3508="?OLD","!!!","")</f>
        <v/>
      </c>
      <c r="F3508" s="22" t="str">
        <f>IF(OR(E3508="",E3508="!!!"),"",IF(NOT(ISNA(VLOOKUP(E3508,E$1:E3507,1,FALSE()))),"OLD",IF(AND(E3508&lt;&gt;"",E3508&lt;&gt;"!!!"),"NEW","")))</f>
        <v> </v>
      </c>
      <c r="G3508" s="23" t="str">
        <f>IF(OR(E3508="",E3508="!!!"),"",IF(OR(J3508=0,AND(J3508=1,K3508=1),AND(J3508=1,I3508="SBJ"),AND(J3508=1,I3508=0)),"?IN_FOCUS",IF(J3508&lt;=2,"?ACTIVATED",IF(J3508&lt;&gt;"","?FAMILIAR",IF(F3508="NEW",IF(ISNA(VLOOKUP(E3508,#REF!,1,FALSE())),"?TYPE_IDENTIFIABLE","?REFERENTIAL"),"_")))))</f>
        <v> </v>
      </c>
      <c r="H3508" s="24" t="str">
        <f>IF(J3508&lt;&gt;1,"",IF(I3508="SBJ","CB","?"))</f>
        <v> </v>
      </c>
      <c r="I3508" s="25" t="str">
        <f>IF(OR(E3508="",E3508="!!!",F3508="NEW"),"",INDEX(B3507:B$2,-1+SUMPRODUCT(MAX(ROW(E3507:E$2)*(E3508=E3507:E$2)))))</f>
        <v> </v>
      </c>
      <c r="J3508" s="25" t="str">
        <f>IF(OR(E3508="",E3508="!!!",F3508="NEW"),"",COUNTBLANK(OFFSET(A$1,,,SUMPRODUCT(MAX(ROW(E$2:E3508)*(E3508=E$2:E3508)))))-COUNTBLANK(OFFSET(A$1,,,SUMPRODUCT(MAX(ROW(E$1:E3507)*(E2=E$1:E3507))))))</f>
        <v> </v>
      </c>
      <c r="K3508" s="25" t="str">
        <f>IF(OR(E3508="",E3508="!!!",F3508="NEW"),"",INDEX(J$1:J3507,SUMPRODUCT(MAX(ROW(E$1:E3507)*(E3508=E$1:E3507)))))</f>
        <v> </v>
      </c>
      <c r="L3508" s="26"/>
    </row>
    <row r="3509" spans="1:12">
      <c r="A3509" s="20" t="s">
        <v>270</v>
      </c>
      <c r="E3509" s="21">
        <f>IF(D3509="?OLD","!!!","")</f>
        <v/>
      </c>
      <c r="F3509" s="22" t="str">
        <f>IF(OR(E3509="",E3509="!!!"),"",IF(NOT(ISNA(VLOOKUP(E3509,E$1:E3508,1,FALSE()))),"OLD",IF(AND(E3509&lt;&gt;"",E3509&lt;&gt;"!!!"),"NEW","")))</f>
        <v> </v>
      </c>
      <c r="G3509" s="23" t="str">
        <f>IF(OR(E3509="",E3509="!!!"),"",IF(OR(J3509=0,AND(J3509=1,K3509=1),AND(J3509=1,I3509="SBJ"),AND(J3509=1,I3509=0)),"?IN_FOCUS",IF(J3509&lt;=2,"?ACTIVATED",IF(J3509&lt;&gt;"","?FAMILIAR",IF(F3509="NEW",IF(ISNA(VLOOKUP(E3509,#REF!,1,FALSE())),"?TYPE_IDENTIFIABLE","?REFERENTIAL"),"_")))))</f>
        <v> </v>
      </c>
      <c r="H3509" s="24" t="str">
        <f>IF(J3509&lt;&gt;1,"",IF(I3509="SBJ","CB","?"))</f>
        <v> </v>
      </c>
      <c r="I3509" s="25" t="str">
        <f>IF(OR(E3509="",E3509="!!!",F3509="NEW"),"",INDEX(B3508:B$2,-1+SUMPRODUCT(MAX(ROW(E3508:E$2)*(E3509=E3508:E$2)))))</f>
        <v> </v>
      </c>
      <c r="J3509" s="25" t="str">
        <f>IF(OR(E3509="",E3509="!!!",F3509="NEW"),"",COUNTBLANK(OFFSET(A$1,,,SUMPRODUCT(MAX(ROW(E$2:E3509)*(E3509=E$2:E3509)))))-COUNTBLANK(OFFSET(A$1,,,SUMPRODUCT(MAX(ROW(E$1:E3508)*(E2=E$1:E3508))))))</f>
        <v> </v>
      </c>
      <c r="K3509" s="25" t="str">
        <f>IF(OR(E3509="",E3509="!!!",F3509="NEW"),"",INDEX(J$1:J3508,SUMPRODUCT(MAX(ROW(E$1:E3508)*(E3509=E$1:E3508)))))</f>
        <v> </v>
      </c>
      <c r="L3509" s="26"/>
    </row>
    <row r="3510" spans="1:12">
      <c r="A3510" s="20" t="s">
        <v>2211</v>
      </c>
      <c r="B3510" s="27" t="s">
        <v>1020</v>
      </c>
      <c r="E3510" s="21">
        <f>IF(D3510="?OLD","!!!","")</f>
        <v/>
      </c>
      <c r="F3510" s="22" t="str">
        <f>IF(OR(E3510="",E3510="!!!"),"",IF(NOT(ISNA(VLOOKUP(E3510,E$1:E3509,1,FALSE()))),"OLD",IF(AND(E3510&lt;&gt;"",E3510&lt;&gt;"!!!"),"NEW","")))</f>
        <v> </v>
      </c>
      <c r="G3510" s="23" t="str">
        <f>IF(OR(E3510="",E3510="!!!"),"",IF(OR(J3510=0,AND(J3510=1,K3510=1),AND(J3510=1,I3510="SBJ"),AND(J3510=1,I3510=0)),"?IN_FOCUS",IF(J3510&lt;=2,"?ACTIVATED",IF(J3510&lt;&gt;"","?FAMILIAR",IF(F3510="NEW",IF(ISNA(VLOOKUP(E3510,#REF!,1,FALSE())),"?TYPE_IDENTIFIABLE","?REFERENTIAL"),"_")))))</f>
        <v> </v>
      </c>
      <c r="H3510" s="24" t="str">
        <f>IF(J3510&lt;&gt;1,"",IF(I3510="SBJ","CB","?"))</f>
        <v> </v>
      </c>
      <c r="I3510" s="25" t="str">
        <f>IF(OR(E3510="",E3510="!!!",F3510="NEW"),"",INDEX(B3509:B$2,-1+SUMPRODUCT(MAX(ROW(E3509:E$2)*(E3510=E3509:E$2)))))</f>
        <v> </v>
      </c>
      <c r="J3510" s="25" t="str">
        <f>IF(OR(E3510="",E3510="!!!",F3510="NEW"),"",COUNTBLANK(OFFSET(A$1,,,SUMPRODUCT(MAX(ROW(E$2:E3510)*(E3510=E$2:E3510)))))-COUNTBLANK(OFFSET(A$1,,,SUMPRODUCT(MAX(ROW(E$1:E3509)*(E2=E$1:E3509))))))</f>
        <v> </v>
      </c>
      <c r="K3510" s="25" t="str">
        <f>IF(OR(E3510="",E3510="!!!",F3510="NEW"),"",INDEX(J$1:J3509,SUMPRODUCT(MAX(ROW(E$1:E3509)*(E3510=E$1:E3509)))))</f>
        <v> </v>
      </c>
      <c r="L3510" s="26"/>
    </row>
    <row r="3511" spans="1:12">
      <c r="A3511" s="20" t="s">
        <v>1016</v>
      </c>
      <c r="E3511" s="21">
        <f>IF(D3511="?OLD","!!!","")</f>
        <v/>
      </c>
      <c r="F3511" s="22" t="str">
        <f>IF(OR(E3511="",E3511="!!!"),"",IF(NOT(ISNA(VLOOKUP(E3511,E$1:E3510,1,FALSE()))),"OLD",IF(AND(E3511&lt;&gt;"",E3511&lt;&gt;"!!!"),"NEW","")))</f>
        <v> </v>
      </c>
      <c r="G3511" s="23" t="str">
        <f>IF(OR(E3511="",E3511="!!!"),"",IF(OR(J3511=0,AND(J3511=1,K3511=1),AND(J3511=1,I3511="SBJ"),AND(J3511=1,I3511=0)),"?IN_FOCUS",IF(J3511&lt;=2,"?ACTIVATED",IF(J3511&lt;&gt;"","?FAMILIAR",IF(F3511="NEW",IF(ISNA(VLOOKUP(E3511,#REF!,1,FALSE())),"?TYPE_IDENTIFIABLE","?REFERENTIAL"),"_")))))</f>
        <v> </v>
      </c>
      <c r="H3511" s="24" t="str">
        <f>IF(J3511&lt;&gt;1,"",IF(I3511="SBJ","CB","?"))</f>
        <v> </v>
      </c>
      <c r="I3511" s="25" t="str">
        <f>IF(OR(E3511="",E3511="!!!",F3511="NEW"),"",INDEX(B3510:B$2,-1+SUMPRODUCT(MAX(ROW(E3510:E$2)*(E3511=E3510:E$2)))))</f>
        <v> </v>
      </c>
      <c r="J3511" s="25" t="str">
        <f>IF(OR(E3511="",E3511="!!!",F3511="NEW"),"",COUNTBLANK(OFFSET(A$1,,,SUMPRODUCT(MAX(ROW(E$2:E3511)*(E3511=E$2:E3511)))))-COUNTBLANK(OFFSET(A$1,,,SUMPRODUCT(MAX(ROW(E$1:E3510)*(E2=E$1:E3510))))))</f>
        <v> </v>
      </c>
      <c r="K3511" s="25" t="str">
        <f>IF(OR(E3511="",E3511="!!!",F3511="NEW"),"",INDEX(J$1:J3510,SUMPRODUCT(MAX(ROW(E$1:E3510)*(E3511=E$1:E3510)))))</f>
        <v> </v>
      </c>
      <c r="L3511" s="26"/>
    </row>
    <row r="3512" spans="1:12">
      <c r="A3512" s="20" t="s">
        <v>876</v>
      </c>
      <c r="B3512" s="27" t="s">
        <v>1103</v>
      </c>
      <c r="C3512" s="27" t="s">
        <v>1015</v>
      </c>
      <c r="E3512" s="21">
        <f>IF(D3512="?OLD","!!!","")</f>
        <v/>
      </c>
      <c r="F3512" s="22" t="str">
        <f>IF(OR(E3512="",E3512="!!!"),"",IF(NOT(ISNA(VLOOKUP(E3512,E$1:E3511,1,FALSE()))),"OLD",IF(AND(E3512&lt;&gt;"",E3512&lt;&gt;"!!!"),"NEW","")))</f>
        <v> </v>
      </c>
      <c r="G3512" s="23" t="str">
        <f>IF(OR(E3512="",E3512="!!!"),"",IF(OR(J3512=0,AND(J3512=1,K3512=1),AND(J3512=1,I3512="SBJ"),AND(J3512=1,I3512=0)),"?IN_FOCUS",IF(J3512&lt;=2,"?ACTIVATED",IF(J3512&lt;&gt;"","?FAMILIAR",IF(F3512="NEW",IF(ISNA(VLOOKUP(E3512,#REF!,1,FALSE())),"?TYPE_IDENTIFIABLE","?REFERENTIAL"),"_")))))</f>
        <v> </v>
      </c>
      <c r="H3512" s="24" t="str">
        <f>IF(J3512&lt;&gt;1,"",IF(I3512="SBJ","CB","?"))</f>
        <v> </v>
      </c>
      <c r="I3512" s="25" t="str">
        <f>IF(OR(E3512="",E3512="!!!",F3512="NEW"),"",INDEX(B3511:B$2,-1+SUMPRODUCT(MAX(ROW(E3511:E$2)*(E3512=E3511:E$2)))))</f>
        <v> </v>
      </c>
      <c r="J3512" s="25" t="str">
        <f>IF(OR(E3512="",E3512="!!!",F3512="NEW"),"",COUNTBLANK(OFFSET(A$1,,,SUMPRODUCT(MAX(ROW(E$2:E3512)*(E3512=E$2:E3512)))))-COUNTBLANK(OFFSET(A$1,,,SUMPRODUCT(MAX(ROW(E$1:E3511)*(E2=E$1:E3511))))))</f>
        <v> </v>
      </c>
      <c r="K3512" s="25" t="str">
        <f>IF(OR(E3512="",E3512="!!!",F3512="NEW"),"",INDEX(J$1:J3511,SUMPRODUCT(MAX(ROW(E$1:E3511)*(E3512=E$1:E3511)))))</f>
        <v> </v>
      </c>
      <c r="L3512" s="26"/>
    </row>
    <row r="3513" spans="1:12">
      <c r="A3513" s="20" t="s">
        <v>1025</v>
      </c>
      <c r="E3513" s="21">
        <f>IF(D3513="?OLD","!!!","")</f>
        <v/>
      </c>
      <c r="F3513" s="22" t="str">
        <f>IF(OR(E3513="",E3513="!!!"),"",IF(NOT(ISNA(VLOOKUP(E3513,E$1:E3512,1,FALSE()))),"OLD",IF(AND(E3513&lt;&gt;"",E3513&lt;&gt;"!!!"),"NEW","")))</f>
        <v> </v>
      </c>
      <c r="G3513" s="23" t="str">
        <f>IF(OR(E3513="",E3513="!!!"),"",IF(OR(J3513=0,AND(J3513=1,K3513=1),AND(J3513=1,I3513="SBJ"),AND(J3513=1,I3513=0)),"?IN_FOCUS",IF(J3513&lt;=2,"?ACTIVATED",IF(J3513&lt;&gt;"","?FAMILIAR",IF(F3513="NEW",IF(ISNA(VLOOKUP(E3513,#REF!,1,FALSE())),"?TYPE_IDENTIFIABLE","?REFERENTIAL"),"_")))))</f>
        <v> </v>
      </c>
      <c r="H3513" s="24" t="str">
        <f>IF(J3513&lt;&gt;1,"",IF(I3513="SBJ","CB","?"))</f>
        <v> </v>
      </c>
      <c r="I3513" s="25" t="str">
        <f>IF(OR(E3513="",E3513="!!!",F3513="NEW"),"",INDEX(B3512:B$2,-1+SUMPRODUCT(MAX(ROW(E3512:E$2)*(E3513=E3512:E$2)))))</f>
        <v> </v>
      </c>
      <c r="J3513" s="25" t="str">
        <f>IF(OR(E3513="",E3513="!!!",F3513="NEW"),"",COUNTBLANK(OFFSET(A$1,,,SUMPRODUCT(MAX(ROW(E$2:E3513)*(E3513=E$2:E3513)))))-COUNTBLANK(OFFSET(A$1,,,SUMPRODUCT(MAX(ROW(E$1:E3512)*(E2=E$1:E3512))))))</f>
        <v> </v>
      </c>
      <c r="K3513" s="25" t="str">
        <f>IF(OR(E3513="",E3513="!!!",F3513="NEW"),"",INDEX(J$1:J3512,SUMPRODUCT(MAX(ROW(E$1:E3512)*(E3513=E$1:E3512)))))</f>
        <v> </v>
      </c>
      <c r="L3513" s="26"/>
    </row>
    <row r="3514" spans="1:12">
      <c r="A3514" s="20" t="s">
        <v>1188</v>
      </c>
      <c r="E3514" s="21">
        <f>IF(D3514="?OLD","!!!","")</f>
        <v/>
      </c>
      <c r="F3514" s="22" t="str">
        <f>IF(OR(E3514="",E3514="!!!"),"",IF(NOT(ISNA(VLOOKUP(E3514,E$1:E3513,1,FALSE()))),"OLD",IF(AND(E3514&lt;&gt;"",E3514&lt;&gt;"!!!"),"NEW","")))</f>
        <v> </v>
      </c>
      <c r="G3514" s="23" t="str">
        <f>IF(OR(E3514="",E3514="!!!"),"",IF(OR(J3514=0,AND(J3514=1,K3514=1),AND(J3514=1,I3514="SBJ"),AND(J3514=1,I3514=0)),"?IN_FOCUS",IF(J3514&lt;=2,"?ACTIVATED",IF(J3514&lt;&gt;"","?FAMILIAR",IF(F3514="NEW",IF(ISNA(VLOOKUP(E3514,#REF!,1,FALSE())),"?TYPE_IDENTIFIABLE","?REFERENTIAL"),"_")))))</f>
        <v> </v>
      </c>
      <c r="H3514" s="24" t="str">
        <f>IF(J3514&lt;&gt;1,"",IF(I3514="SBJ","CB","?"))</f>
        <v> </v>
      </c>
      <c r="I3514" s="25" t="str">
        <f>IF(OR(E3514="",E3514="!!!",F3514="NEW"),"",INDEX(B3513:B$2,-1+SUMPRODUCT(MAX(ROW(E3513:E$2)*(E3514=E3513:E$2)))))</f>
        <v> </v>
      </c>
      <c r="J3514" s="25" t="str">
        <f>IF(OR(E3514="",E3514="!!!",F3514="NEW"),"",COUNTBLANK(OFFSET(A$1,,,SUMPRODUCT(MAX(ROW(E$2:E3514)*(E3514=E$2:E3514)))))-COUNTBLANK(OFFSET(A$1,,,SUMPRODUCT(MAX(ROW(E$1:E3513)*(E2=E$1:E3513))))))</f>
        <v> </v>
      </c>
      <c r="K3514" s="25" t="str">
        <f>IF(OR(E3514="",E3514="!!!",F3514="NEW"),"",INDEX(J$1:J3513,SUMPRODUCT(MAX(ROW(E$1:E3513)*(E3514=E$1:E3513)))))</f>
        <v> </v>
      </c>
      <c r="L3514" s="26"/>
    </row>
    <row r="3515" spans="1:12">
      <c r="A3515" s="20" t="s">
        <v>1016</v>
      </c>
      <c r="E3515" s="21">
        <f>IF(D3515="?OLD","!!!","")</f>
        <v/>
      </c>
      <c r="F3515" s="22" t="str">
        <f>IF(OR(E3515="",E3515="!!!"),"",IF(NOT(ISNA(VLOOKUP(E3515,E$1:E3514,1,FALSE()))),"OLD",IF(AND(E3515&lt;&gt;"",E3515&lt;&gt;"!!!"),"NEW","")))</f>
        <v> </v>
      </c>
      <c r="G3515" s="23" t="str">
        <f>IF(OR(E3515="",E3515="!!!"),"",IF(OR(J3515=0,AND(J3515=1,K3515=1),AND(J3515=1,I3515="SBJ"),AND(J3515=1,I3515=0)),"?IN_FOCUS",IF(J3515&lt;=2,"?ACTIVATED",IF(J3515&lt;&gt;"","?FAMILIAR",IF(F3515="NEW",IF(ISNA(VLOOKUP(E3515,#REF!,1,FALSE())),"?TYPE_IDENTIFIABLE","?REFERENTIAL"),"_")))))</f>
        <v> </v>
      </c>
      <c r="H3515" s="24" t="str">
        <f>IF(J3515&lt;&gt;1,"",IF(I3515="SBJ","CB","?"))</f>
        <v> </v>
      </c>
      <c r="I3515" s="25" t="str">
        <f>IF(OR(E3515="",E3515="!!!",F3515="NEW"),"",INDEX(B3514:B$2,-1+SUMPRODUCT(MAX(ROW(E3514:E$2)*(E3515=E3514:E$2)))))</f>
        <v> </v>
      </c>
      <c r="J3515" s="25" t="str">
        <f>IF(OR(E3515="",E3515="!!!",F3515="NEW"),"",COUNTBLANK(OFFSET(A$1,,,SUMPRODUCT(MAX(ROW(E$2:E3515)*(E3515=E$2:E3515)))))-COUNTBLANK(OFFSET(A$1,,,SUMPRODUCT(MAX(ROW(E$1:E3514)*(E2=E$1:E3514))))))</f>
        <v> </v>
      </c>
      <c r="K3515" s="25" t="str">
        <f>IF(OR(E3515="",E3515="!!!",F3515="NEW"),"",INDEX(J$1:J3514,SUMPRODUCT(MAX(ROW(E$1:E3514)*(E3515=E$1:E3514)))))</f>
        <v> </v>
      </c>
      <c r="L3515" s="26"/>
    </row>
    <row r="3516" spans="1:12">
      <c r="A3516" s="20" t="s">
        <v>378</v>
      </c>
      <c r="B3516" s="27" t="s">
        <v>1103</v>
      </c>
      <c r="C3516" s="27" t="s">
        <v>1140</v>
      </c>
      <c r="D3516" s="27" t="s">
        <v>1030</v>
      </c>
      <c r="E3516" s="21">
        <f>IF(D3516="?OLD","!!!","")</f>
        <v/>
      </c>
      <c r="F3516" s="22" t="str">
        <f>IF(OR(E3516="",E3516="!!!"),"",IF(NOT(ISNA(VLOOKUP(E3516,E$1:E3515,1,FALSE()))),"OLD",IF(AND(E3516&lt;&gt;"",E3516&lt;&gt;"!!!"),"NEW","")))</f>
        <v> </v>
      </c>
      <c r="G3516" s="23" t="str">
        <f>IF(OR(E3516="",E3516="!!!"),"",IF(OR(J3516=0,AND(J3516=1,K3516=1),AND(J3516=1,I3516="SBJ"),AND(J3516=1,I3516=0)),"?IN_FOCUS",IF(J3516&lt;=2,"?ACTIVATED",IF(J3516&lt;&gt;"","?FAMILIAR",IF(F3516="NEW",IF(ISNA(VLOOKUP(E3516,#REF!,1,FALSE())),"?TYPE_IDENTIFIABLE","?REFERENTIAL"),"_")))))</f>
        <v> </v>
      </c>
      <c r="H3516" s="24" t="str">
        <f>IF(J3516&lt;&gt;1,"",IF(I3516="SBJ","CB","?"))</f>
        <v> </v>
      </c>
      <c r="I3516" s="25" t="str">
        <f>IF(OR(E3516="",E3516="!!!",F3516="NEW"),"",INDEX(B3515:B$2,-1+SUMPRODUCT(MAX(ROW(E3515:E$2)*(E3516=E3515:E$2)))))</f>
        <v> </v>
      </c>
      <c r="J3516" s="25" t="str">
        <f>IF(OR(E3516="",E3516="!!!",F3516="NEW"),"",COUNTBLANK(OFFSET(A$1,,,SUMPRODUCT(MAX(ROW(E$2:E3516)*(E3516=E$2:E3516)))))-COUNTBLANK(OFFSET(A$1,,,SUMPRODUCT(MAX(ROW(E$1:E3515)*(E2=E$1:E3515))))))</f>
        <v> </v>
      </c>
      <c r="K3516" s="25" t="str">
        <f>IF(OR(E3516="",E3516="!!!",F3516="NEW"),"",INDEX(J$1:J3515,SUMPRODUCT(MAX(ROW(E$1:E3515)*(E3516=E$1:E3515)))))</f>
        <v> </v>
      </c>
      <c r="L3516" s="26"/>
    </row>
    <row r="3517" spans="1:12">
      <c r="A3517" s="20" t="s">
        <v>1094</v>
      </c>
      <c r="B3517" s="27" t="s">
        <v>1301</v>
      </c>
      <c r="E3517" s="21">
        <f>IF(D3517="?OLD","!!!","")</f>
        <v/>
      </c>
      <c r="F3517" s="22" t="str">
        <f>IF(OR(E3517="",E3517="!!!"),"",IF(NOT(ISNA(VLOOKUP(E3517,E$1:E3516,1,FALSE()))),"OLD",IF(AND(E3517&lt;&gt;"",E3517&lt;&gt;"!!!"),"NEW","")))</f>
        <v> </v>
      </c>
      <c r="G3517" s="23" t="str">
        <f>IF(OR(E3517="",E3517="!!!"),"",IF(OR(J3517=0,AND(J3517=1,K3517=1),AND(J3517=1,I3517="SBJ"),AND(J3517=1,I3517=0)),"?IN_FOCUS",IF(J3517&lt;=2,"?ACTIVATED",IF(J3517&lt;&gt;"","?FAMILIAR",IF(F3517="NEW",IF(ISNA(VLOOKUP(E3517,#REF!,1,FALSE())),"?TYPE_IDENTIFIABLE","?REFERENTIAL"),"_")))))</f>
        <v> </v>
      </c>
      <c r="H3517" s="24" t="str">
        <f>IF(J3517&lt;&gt;1,"",IF(I3517="SBJ","CB","?"))</f>
        <v> </v>
      </c>
      <c r="I3517" s="25" t="str">
        <f>IF(OR(E3517="",E3517="!!!",F3517="NEW"),"",INDEX(B3516:B$2,-1+SUMPRODUCT(MAX(ROW(E3516:E$2)*(E3517=E3516:E$2)))))</f>
        <v> </v>
      </c>
      <c r="J3517" s="25" t="str">
        <f>IF(OR(E3517="",E3517="!!!",F3517="NEW"),"",COUNTBLANK(OFFSET(A$1,,,SUMPRODUCT(MAX(ROW(E$2:E3517)*(E3517=E$2:E3517)))))-COUNTBLANK(OFFSET(A$1,,,SUMPRODUCT(MAX(ROW(E$1:E3516)*(E2=E$1:E3516))))))</f>
        <v> </v>
      </c>
      <c r="K3517" s="25" t="str">
        <f>IF(OR(E3517="",E3517="!!!",F3517="NEW"),"",INDEX(J$1:J3516,SUMPRODUCT(MAX(ROW(E$1:E3516)*(E3517=E$1:E3516)))))</f>
        <v> </v>
      </c>
      <c r="L3517" s="26"/>
    </row>
    <row r="3518" spans="1:12">
      <c r="A3518" s="20" t="s">
        <v>2212</v>
      </c>
      <c r="E3518" s="21">
        <f>IF(D3518="?OLD","!!!","")</f>
        <v/>
      </c>
      <c r="F3518" s="22" t="str">
        <f>IF(OR(E3518="",E3518="!!!"),"",IF(NOT(ISNA(VLOOKUP(E3518,E$1:E3517,1,FALSE()))),"OLD",IF(AND(E3518&lt;&gt;"",E3518&lt;&gt;"!!!"),"NEW","")))</f>
        <v> </v>
      </c>
      <c r="G3518" s="23" t="str">
        <f>IF(OR(E3518="",E3518="!!!"),"",IF(OR(J3518=0,AND(J3518=1,K3518=1),AND(J3518=1,I3518="SBJ"),AND(J3518=1,I3518=0)),"?IN_FOCUS",IF(J3518&lt;=2,"?ACTIVATED",IF(J3518&lt;&gt;"","?FAMILIAR",IF(F3518="NEW",IF(ISNA(VLOOKUP(E3518,#REF!,1,FALSE())),"?TYPE_IDENTIFIABLE","?REFERENTIAL"),"_")))))</f>
        <v> </v>
      </c>
      <c r="H3518" s="24" t="str">
        <f>IF(J3518&lt;&gt;1,"",IF(I3518="SBJ","CB","?"))</f>
        <v> </v>
      </c>
      <c r="I3518" s="25" t="str">
        <f>IF(OR(E3518="",E3518="!!!",F3518="NEW"),"",INDEX(B3517:B$2,-1+SUMPRODUCT(MAX(ROW(E3517:E$2)*(E3518=E3517:E$2)))))</f>
        <v> </v>
      </c>
      <c r="J3518" s="25" t="str">
        <f>IF(OR(E3518="",E3518="!!!",F3518="NEW"),"",COUNTBLANK(OFFSET(A$1,,,SUMPRODUCT(MAX(ROW(E$2:E3518)*(E3518=E$2:E3518)))))-COUNTBLANK(OFFSET(A$1,,,SUMPRODUCT(MAX(ROW(E$1:E3517)*(E2=E$1:E3517))))))</f>
        <v> </v>
      </c>
      <c r="K3518" s="25" t="str">
        <f>IF(OR(E3518="",E3518="!!!",F3518="NEW"),"",INDEX(J$1:J3517,SUMPRODUCT(MAX(ROW(E$1:E3517)*(E3518=E$1:E3517)))))</f>
        <v> </v>
      </c>
      <c r="L3518" s="26"/>
    </row>
    <row r="3519" spans="1:12">
      <c r="A3519" s="20" t="s">
        <v>1408</v>
      </c>
      <c r="E3519" s="21">
        <f>IF(D3519="?OLD","!!!","")</f>
        <v/>
      </c>
      <c r="F3519" s="22" t="str">
        <f>IF(OR(E3519="",E3519="!!!"),"",IF(NOT(ISNA(VLOOKUP(E3519,E$1:E3518,1,FALSE()))),"OLD",IF(AND(E3519&lt;&gt;"",E3519&lt;&gt;"!!!"),"NEW","")))</f>
        <v> </v>
      </c>
      <c r="G3519" s="23" t="str">
        <f>IF(OR(E3519="",E3519="!!!"),"",IF(OR(J3519=0,AND(J3519=1,K3519=1),AND(J3519=1,I3519="SBJ"),AND(J3519=1,I3519=0)),"?IN_FOCUS",IF(J3519&lt;=2,"?ACTIVATED",IF(J3519&lt;&gt;"","?FAMILIAR",IF(F3519="NEW",IF(ISNA(VLOOKUP(E3519,#REF!,1,FALSE())),"?TYPE_IDENTIFIABLE","?REFERENTIAL"),"_")))))</f>
        <v> </v>
      </c>
      <c r="H3519" s="24" t="str">
        <f>IF(J3519&lt;&gt;1,"",IF(I3519="SBJ","CB","?"))</f>
        <v> </v>
      </c>
      <c r="I3519" s="25" t="str">
        <f>IF(OR(E3519="",E3519="!!!",F3519="NEW"),"",INDEX(B3518:B$2,-1+SUMPRODUCT(MAX(ROW(E3518:E$2)*(E3519=E3518:E$2)))))</f>
        <v> </v>
      </c>
      <c r="J3519" s="25" t="str">
        <f>IF(OR(E3519="",E3519="!!!",F3519="NEW"),"",COUNTBLANK(OFFSET(A$1,,,SUMPRODUCT(MAX(ROW(E$2:E3519)*(E3519=E$2:E3519)))))-COUNTBLANK(OFFSET(A$1,,,SUMPRODUCT(MAX(ROW(E$1:E3518)*(E2=E$1:E3518))))))</f>
        <v> </v>
      </c>
      <c r="K3519" s="25" t="str">
        <f>IF(OR(E3519="",E3519="!!!",F3519="NEW"),"",INDEX(J$1:J3518,SUMPRODUCT(MAX(ROW(E$1:E3518)*(E3519=E$1:E3518)))))</f>
        <v> </v>
      </c>
      <c r="L3519" s="26"/>
    </row>
    <row r="3520" spans="1:12">
      <c r="A3520" s="20" t="s">
        <v>1022</v>
      </c>
      <c r="E3520" s="21">
        <f>IF(D3520="?OLD","!!!","")</f>
        <v/>
      </c>
      <c r="F3520" s="22" t="str">
        <f>IF(OR(E3520="",E3520="!!!"),"",IF(NOT(ISNA(VLOOKUP(E3520,E$1:E3519,1,FALSE()))),"OLD",IF(AND(E3520&lt;&gt;"",E3520&lt;&gt;"!!!"),"NEW","")))</f>
        <v> </v>
      </c>
      <c r="G3520" s="23" t="str">
        <f>IF(OR(E3520="",E3520="!!!"),"",IF(OR(J3520=0,AND(J3520=1,K3520=1),AND(J3520=1,I3520="SBJ"),AND(J3520=1,I3520=0)),"?IN_FOCUS",IF(J3520&lt;=2,"?ACTIVATED",IF(J3520&lt;&gt;"","?FAMILIAR",IF(F3520="NEW",IF(ISNA(VLOOKUP(E3520,#REF!,1,FALSE())),"?TYPE_IDENTIFIABLE","?REFERENTIAL"),"_")))))</f>
        <v> </v>
      </c>
      <c r="H3520" s="24" t="str">
        <f>IF(J3520&lt;&gt;1,"",IF(I3520="SBJ","CB","?"))</f>
        <v> </v>
      </c>
      <c r="I3520" s="25" t="str">
        <f>IF(OR(E3520="",E3520="!!!",F3520="NEW"),"",INDEX(B3519:B$2,-1+SUMPRODUCT(MAX(ROW(E3519:E$2)*(E3520=E3519:E$2)))))</f>
        <v> </v>
      </c>
      <c r="J3520" s="25" t="str">
        <f>IF(OR(E3520="",E3520="!!!",F3520="NEW"),"",COUNTBLANK(OFFSET(A$1,,,SUMPRODUCT(MAX(ROW(E$2:E3520)*(E3520=E$2:E3520)))))-COUNTBLANK(OFFSET(A$1,,,SUMPRODUCT(MAX(ROW(E$1:E3519)*(E2=E$1:E3519))))))</f>
        <v> </v>
      </c>
      <c r="K3520" s="25" t="str">
        <f>IF(OR(E3520="",E3520="!!!",F3520="NEW"),"",INDEX(J$1:J3519,SUMPRODUCT(MAX(ROW(E$1:E3519)*(E3520=E$1:E3519)))))</f>
        <v> </v>
      </c>
      <c r="L3520" s="26"/>
    </row>
    <row r="3521" spans="1:12">
      <c r="A3521" s="20" t="s">
        <v>270</v>
      </c>
      <c r="E3521" s="21">
        <f>IF(D3521="?OLD","!!!","")</f>
        <v/>
      </c>
      <c r="F3521" s="22" t="str">
        <f>IF(OR(E3521="",E3521="!!!"),"",IF(NOT(ISNA(VLOOKUP(E3521,E$1:E3520,1,FALSE()))),"OLD",IF(AND(E3521&lt;&gt;"",E3521&lt;&gt;"!!!"),"NEW","")))</f>
        <v> </v>
      </c>
      <c r="G3521" s="23" t="str">
        <f>IF(OR(E3521="",E3521="!!!"),"",IF(OR(J3521=0,AND(J3521=1,K3521=1),AND(J3521=1,I3521="SBJ"),AND(J3521=1,I3521=0)),"?IN_FOCUS",IF(J3521&lt;=2,"?ACTIVATED",IF(J3521&lt;&gt;"","?FAMILIAR",IF(F3521="NEW",IF(ISNA(VLOOKUP(E3521,#REF!,1,FALSE())),"?TYPE_IDENTIFIABLE","?REFERENTIAL"),"_")))))</f>
        <v> </v>
      </c>
      <c r="H3521" s="24" t="str">
        <f>IF(J3521&lt;&gt;1,"",IF(I3521="SBJ","CB","?"))</f>
        <v> </v>
      </c>
      <c r="I3521" s="25" t="str">
        <f>IF(OR(E3521="",E3521="!!!",F3521="NEW"),"",INDEX(B3520:B$2,-1+SUMPRODUCT(MAX(ROW(E3520:E$2)*(E3521=E3520:E$2)))))</f>
        <v> </v>
      </c>
      <c r="J3521" s="25" t="str">
        <f>IF(OR(E3521="",E3521="!!!",F3521="NEW"),"",COUNTBLANK(OFFSET(A$1,,,SUMPRODUCT(MAX(ROW(E$2:E3521)*(E3521=E$2:E3521)))))-COUNTBLANK(OFFSET(A$1,,,SUMPRODUCT(MAX(ROW(E$1:E3520)*(E2=E$1:E3520))))))</f>
        <v> </v>
      </c>
      <c r="K3521" s="25" t="str">
        <f>IF(OR(E3521="",E3521="!!!",F3521="NEW"),"",INDEX(J$1:J3520,SUMPRODUCT(MAX(ROW(E$1:E3520)*(E3521=E$1:E3520)))))</f>
        <v> </v>
      </c>
      <c r="L3521" s="26"/>
    </row>
    <row r="3522" spans="1:12">
      <c r="A3522" s="20" t="s">
        <v>1175</v>
      </c>
      <c r="E3522" s="21">
        <f>IF(D3522="?OLD","!!!","")</f>
        <v/>
      </c>
      <c r="F3522" s="22" t="str">
        <f>IF(OR(E3522="",E3522="!!!"),"",IF(NOT(ISNA(VLOOKUP(E3522,E$1:E3521,1,FALSE()))),"OLD",IF(AND(E3522&lt;&gt;"",E3522&lt;&gt;"!!!"),"NEW","")))</f>
        <v> </v>
      </c>
      <c r="G3522" s="23" t="str">
        <f>IF(OR(E3522="",E3522="!!!"),"",IF(OR(J3522=0,AND(J3522=1,K3522=1),AND(J3522=1,I3522="SBJ"),AND(J3522=1,I3522=0)),"?IN_FOCUS",IF(J3522&lt;=2,"?ACTIVATED",IF(J3522&lt;&gt;"","?FAMILIAR",IF(F3522="NEW",IF(ISNA(VLOOKUP(E3522,#REF!,1,FALSE())),"?TYPE_IDENTIFIABLE","?REFERENTIAL"),"_")))))</f>
        <v> </v>
      </c>
      <c r="H3522" s="24" t="str">
        <f>IF(J3522&lt;&gt;1,"",IF(I3522="SBJ","CB","?"))</f>
        <v> </v>
      </c>
      <c r="I3522" s="25" t="str">
        <f>IF(OR(E3522="",E3522="!!!",F3522="NEW"),"",INDEX(B3521:B$2,-1+SUMPRODUCT(MAX(ROW(E3521:E$2)*(E3522=E3521:E$2)))))</f>
        <v> </v>
      </c>
      <c r="J3522" s="25" t="str">
        <f>IF(OR(E3522="",E3522="!!!",F3522="NEW"),"",COUNTBLANK(OFFSET(A$1,,,SUMPRODUCT(MAX(ROW(E$2:E3522)*(E3522=E$2:E3522)))))-COUNTBLANK(OFFSET(A$1,,,SUMPRODUCT(MAX(ROW(E$1:E3521)*(E2=E$1:E3521))))))</f>
        <v> </v>
      </c>
      <c r="K3522" s="25" t="str">
        <f>IF(OR(E3522="",E3522="!!!",F3522="NEW"),"",INDEX(J$1:J3521,SUMPRODUCT(MAX(ROW(E$1:E3521)*(E3522=E$1:E3521)))))</f>
        <v> </v>
      </c>
      <c r="L3522" s="26"/>
    </row>
    <row r="3523" spans="1:12">
      <c r="A3523" s="20" t="s">
        <v>2213</v>
      </c>
      <c r="E3523" s="21">
        <f>IF(D3523="?OLD","!!!","")</f>
        <v/>
      </c>
      <c r="F3523" s="22" t="str">
        <f>IF(OR(E3523="",E3523="!!!"),"",IF(NOT(ISNA(VLOOKUP(E3523,E$1:E3522,1,FALSE()))),"OLD",IF(AND(E3523&lt;&gt;"",E3523&lt;&gt;"!!!"),"NEW","")))</f>
        <v> </v>
      </c>
      <c r="G3523" s="23" t="str">
        <f>IF(OR(E3523="",E3523="!!!"),"",IF(OR(J3523=0,AND(J3523=1,K3523=1),AND(J3523=1,I3523="SBJ"),AND(J3523=1,I3523=0)),"?IN_FOCUS",IF(J3523&lt;=2,"?ACTIVATED",IF(J3523&lt;&gt;"","?FAMILIAR",IF(F3523="NEW",IF(ISNA(VLOOKUP(E3523,#REF!,1,FALSE())),"?TYPE_IDENTIFIABLE","?REFERENTIAL"),"_")))))</f>
        <v> </v>
      </c>
      <c r="H3523" s="24" t="str">
        <f>IF(J3523&lt;&gt;1,"",IF(I3523="SBJ","CB","?"))</f>
        <v> </v>
      </c>
      <c r="I3523" s="25" t="str">
        <f>IF(OR(E3523="",E3523="!!!",F3523="NEW"),"",INDEX(B3522:B$2,-1+SUMPRODUCT(MAX(ROW(E3522:E$2)*(E3523=E3522:E$2)))))</f>
        <v> </v>
      </c>
      <c r="J3523" s="25" t="str">
        <f>IF(OR(E3523="",E3523="!!!",F3523="NEW"),"",COUNTBLANK(OFFSET(A$1,,,SUMPRODUCT(MAX(ROW(E$2:E3523)*(E3523=E$2:E3523)))))-COUNTBLANK(OFFSET(A$1,,,SUMPRODUCT(MAX(ROW(E$1:E3522)*(E2=E$1:E3522))))))</f>
        <v> </v>
      </c>
      <c r="K3523" s="25" t="str">
        <f>IF(OR(E3523="",E3523="!!!",F3523="NEW"),"",INDEX(J$1:J3522,SUMPRODUCT(MAX(ROW(E$1:E3522)*(E3523=E$1:E3522)))))</f>
        <v> </v>
      </c>
      <c r="L3523" s="26"/>
    </row>
    <row r="3524" spans="1:12">
      <c r="A3524" s="20" t="s">
        <v>135</v>
      </c>
      <c r="E3524" s="21">
        <f>IF(D3524="?OLD","!!!","")</f>
        <v/>
      </c>
      <c r="F3524" s="22" t="str">
        <f>IF(OR(E3524="",E3524="!!!"),"",IF(NOT(ISNA(VLOOKUP(E3524,E$1:E3523,1,FALSE()))),"OLD",IF(AND(E3524&lt;&gt;"",E3524&lt;&gt;"!!!"),"NEW","")))</f>
        <v> </v>
      </c>
      <c r="G3524" s="23" t="str">
        <f>IF(OR(E3524="",E3524="!!!"),"",IF(OR(J3524=0,AND(J3524=1,K3524=1),AND(J3524=1,I3524="SBJ"),AND(J3524=1,I3524=0)),"?IN_FOCUS",IF(J3524&lt;=2,"?ACTIVATED",IF(J3524&lt;&gt;"","?FAMILIAR",IF(F3524="NEW",IF(ISNA(VLOOKUP(E3524,#REF!,1,FALSE())),"?TYPE_IDENTIFIABLE","?REFERENTIAL"),"_")))))</f>
        <v> </v>
      </c>
      <c r="H3524" s="24" t="str">
        <f>IF(J3524&lt;&gt;1,"",IF(I3524="SBJ","CB","?"))</f>
        <v> </v>
      </c>
      <c r="I3524" s="25" t="str">
        <f>IF(OR(E3524="",E3524="!!!",F3524="NEW"),"",INDEX(B3523:B$2,-1+SUMPRODUCT(MAX(ROW(E3523:E$2)*(E3524=E3523:E$2)))))</f>
        <v> </v>
      </c>
      <c r="J3524" s="25" t="str">
        <f>IF(OR(E3524="",E3524="!!!",F3524="NEW"),"",COUNTBLANK(OFFSET(A$1,,,SUMPRODUCT(MAX(ROW(E$2:E3524)*(E3524=E$2:E3524)))))-COUNTBLANK(OFFSET(A$1,,,SUMPRODUCT(MAX(ROW(E$1:E3523)*(E2=E$1:E3523))))))</f>
        <v> </v>
      </c>
      <c r="K3524" s="25" t="str">
        <f>IF(OR(E3524="",E3524="!!!",F3524="NEW"),"",INDEX(J$1:J3523,SUMPRODUCT(MAX(ROW(E$1:E3523)*(E3524=E$1:E3523)))))</f>
        <v> </v>
      </c>
      <c r="L3524" s="26"/>
    </row>
    <row r="3525" spans="1:12">
      <c r="A3525" s="20"/>
    </row>
    <row r="3526" spans="1:12">
      <c r="A3526" s="20" t="s">
        <v>2214</v>
      </c>
    </row>
    <row r="3527" spans="1:12">
      <c r="A3527" s="20" t="s">
        <v>2215</v>
      </c>
      <c r="B3527" s="27" t="s">
        <v>1045</v>
      </c>
      <c r="C3527" s="27" t="s">
        <v>1140</v>
      </c>
      <c r="D3527" s="27" t="s">
        <v>1030</v>
      </c>
      <c r="E3527" s="21">
        <f>IF(D3527="?OLD","!!!","")</f>
        <v/>
      </c>
      <c r="F3527" s="22" t="str">
        <f>IF(OR(E3527="",E3527="!!!"),"",IF(NOT(ISNA(VLOOKUP(E3527,E$1:E3526,1,FALSE()))),"OLD",IF(AND(E3527&lt;&gt;"",E3527&lt;&gt;"!!!"),"NEW","")))</f>
        <v> </v>
      </c>
      <c r="G3527" s="23" t="str">
        <f>IF(OR(E3527="",E3527="!!!"),"",IF(OR(J3527=0,AND(J3527=1,K3527=1),AND(J3527=1,I3527="SBJ"),AND(J3527=1,I3527=0)),"?IN_FOCUS",IF(J3527&lt;=2,"?ACTIVATED",IF(J3527&lt;&gt;"","?FAMILIAR",IF(F3527="NEW",IF(ISNA(VLOOKUP(E3527,#REF!,1,FALSE())),"?TYPE_IDENTIFIABLE","?REFERENTIAL"),"_")))))</f>
        <v> </v>
      </c>
      <c r="H3527" s="24" t="str">
        <f>IF(J3527&lt;&gt;1,"",IF(I3527="SBJ","CB","?"))</f>
        <v> </v>
      </c>
      <c r="I3527" s="25" t="str">
        <f>IF(OR(E3527="",E3527="!!!",F3527="NEW"),"",INDEX(B3526:B$2,-1+SUMPRODUCT(MAX(ROW(E3526:E$2)*(E3527=E3526:E$2)))))</f>
        <v> </v>
      </c>
      <c r="J3527" s="25" t="str">
        <f>IF(OR(E3527="",E3527="!!!",F3527="NEW"),"",COUNTBLANK(OFFSET(A$1,,,SUMPRODUCT(MAX(ROW(E$2:E3527)*(E3527=E$2:E3527)))))-COUNTBLANK(OFFSET(A$1,,,SUMPRODUCT(MAX(ROW(E$1:E3526)*(E2=E$1:E3526))))))</f>
        <v> </v>
      </c>
      <c r="K3527" s="25" t="str">
        <f>IF(OR(E3527="",E3527="!!!",F3527="NEW"),"",INDEX(J$1:J3526,SUMPRODUCT(MAX(ROW(E$1:E3526)*(E3527=E$1:E3526)))))</f>
        <v> </v>
      </c>
      <c r="L3527" s="26"/>
    </row>
    <row r="3528" spans="1:12">
      <c r="A3528" s="20" t="s">
        <v>1266</v>
      </c>
      <c r="E3528" s="21">
        <f>IF(D3528="?OLD","!!!","")</f>
        <v/>
      </c>
      <c r="F3528" s="22" t="str">
        <f>IF(OR(E3528="",E3528="!!!"),"",IF(NOT(ISNA(VLOOKUP(E3528,E$1:E3527,1,FALSE()))),"OLD",IF(AND(E3528&lt;&gt;"",E3528&lt;&gt;"!!!"),"NEW","")))</f>
        <v> </v>
      </c>
      <c r="G3528" s="23" t="str">
        <f>IF(OR(E3528="",E3528="!!!"),"",IF(OR(J3528=0,AND(J3528=1,K3528=1),AND(J3528=1,I3528="SBJ"),AND(J3528=1,I3528=0)),"?IN_FOCUS",IF(J3528&lt;=2,"?ACTIVATED",IF(J3528&lt;&gt;"","?FAMILIAR",IF(F3528="NEW",IF(ISNA(VLOOKUP(E3528,#REF!,1,FALSE())),"?TYPE_IDENTIFIABLE","?REFERENTIAL"),"_")))))</f>
        <v> </v>
      </c>
      <c r="H3528" s="24" t="str">
        <f>IF(J3528&lt;&gt;1,"",IF(I3528="SBJ","CB","?"))</f>
        <v> </v>
      </c>
      <c r="I3528" s="25" t="str">
        <f>IF(OR(E3528="",E3528="!!!",F3528="NEW"),"",INDEX(B3527:B$2,-1+SUMPRODUCT(MAX(ROW(E3527:E$2)*(E3528=E3527:E$2)))))</f>
        <v> </v>
      </c>
      <c r="J3528" s="25" t="str">
        <f>IF(OR(E3528="",E3528="!!!",F3528="NEW"),"",COUNTBLANK(OFFSET(A$1,,,SUMPRODUCT(MAX(ROW(E$2:E3528)*(E3528=E$2:E3528)))))-COUNTBLANK(OFFSET(A$1,,,SUMPRODUCT(MAX(ROW(E$1:E3527)*(E2=E$1:E3527))))))</f>
        <v> </v>
      </c>
      <c r="K3528" s="25" t="str">
        <f>IF(OR(E3528="",E3528="!!!",F3528="NEW"),"",INDEX(J$1:J3527,SUMPRODUCT(MAX(ROW(E$1:E3527)*(E3528=E$1:E3527)))))</f>
        <v> </v>
      </c>
      <c r="L3528" s="26"/>
    </row>
    <row r="3529" spans="1:12">
      <c r="A3529" s="20" t="s">
        <v>1080</v>
      </c>
      <c r="E3529" s="21">
        <f>IF(D3529="?OLD","!!!","")</f>
        <v/>
      </c>
      <c r="F3529" s="22" t="str">
        <f>IF(OR(E3529="",E3529="!!!"),"",IF(NOT(ISNA(VLOOKUP(E3529,E$1:E3528,1,FALSE()))),"OLD",IF(AND(E3529&lt;&gt;"",E3529&lt;&gt;"!!!"),"NEW","")))</f>
        <v> </v>
      </c>
      <c r="G3529" s="23" t="str">
        <f>IF(OR(E3529="",E3529="!!!"),"",IF(OR(J3529=0,AND(J3529=1,K3529=1),AND(J3529=1,I3529="SBJ"),AND(J3529=1,I3529=0)),"?IN_FOCUS",IF(J3529&lt;=2,"?ACTIVATED",IF(J3529&lt;&gt;"","?FAMILIAR",IF(F3529="NEW",IF(ISNA(VLOOKUP(E3529,#REF!,1,FALSE())),"?TYPE_IDENTIFIABLE","?REFERENTIAL"),"_")))))</f>
        <v> </v>
      </c>
      <c r="H3529" s="24" t="str">
        <f>IF(J3529&lt;&gt;1,"",IF(I3529="SBJ","CB","?"))</f>
        <v> </v>
      </c>
      <c r="I3529" s="25" t="str">
        <f>IF(OR(E3529="",E3529="!!!",F3529="NEW"),"",INDEX(B3528:B$2,-1+SUMPRODUCT(MAX(ROW(E3528:E$2)*(E3529=E3528:E$2)))))</f>
        <v> </v>
      </c>
      <c r="J3529" s="25" t="str">
        <f>IF(OR(E3529="",E3529="!!!",F3529="NEW"),"",COUNTBLANK(OFFSET(A$1,,,SUMPRODUCT(MAX(ROW(E$2:E3529)*(E3529=E$2:E3529)))))-COUNTBLANK(OFFSET(A$1,,,SUMPRODUCT(MAX(ROW(E$1:E3528)*(E2=E$1:E3528))))))</f>
        <v> </v>
      </c>
      <c r="K3529" s="25" t="str">
        <f>IF(OR(E3529="",E3529="!!!",F3529="NEW"),"",INDEX(J$1:J3528,SUMPRODUCT(MAX(ROW(E$1:E3528)*(E3529=E$1:E3528)))))</f>
        <v> </v>
      </c>
      <c r="L3529" s="26"/>
    </row>
    <row r="3530" spans="1:12">
      <c r="A3530" s="20" t="s">
        <v>2216</v>
      </c>
      <c r="B3530" s="27" t="s">
        <v>1041</v>
      </c>
      <c r="C3530" s="27" t="s">
        <v>1029</v>
      </c>
      <c r="D3530" s="27" t="s">
        <v>1030</v>
      </c>
      <c r="E3530" s="21">
        <f>IF(D3530="?OLD","!!!","")</f>
        <v/>
      </c>
      <c r="F3530" s="22" t="str">
        <f>IF(OR(E3530="",E3530="!!!"),"",IF(NOT(ISNA(VLOOKUP(E3530,E$1:E3529,1,FALSE()))),"OLD",IF(AND(E3530&lt;&gt;"",E3530&lt;&gt;"!!!"),"NEW","")))</f>
        <v> </v>
      </c>
      <c r="G3530" s="23" t="str">
        <f>IF(OR(E3530="",E3530="!!!"),"",IF(OR(J3530=0,AND(J3530=1,K3530=1),AND(J3530=1,I3530="SBJ"),AND(J3530=1,I3530=0)),"?IN_FOCUS",IF(J3530&lt;=2,"?ACTIVATED",IF(J3530&lt;&gt;"","?FAMILIAR",IF(F3530="NEW",IF(ISNA(VLOOKUP(E3530,#REF!,1,FALSE())),"?TYPE_IDENTIFIABLE","?REFERENTIAL"),"_")))))</f>
        <v> </v>
      </c>
      <c r="H3530" s="24" t="str">
        <f>IF(J3530&lt;&gt;1,"",IF(I3530="SBJ","CB","?"))</f>
        <v> </v>
      </c>
      <c r="I3530" s="25" t="str">
        <f>IF(OR(E3530="",E3530="!!!",F3530="NEW"),"",INDEX(B3529:B$2,-1+SUMPRODUCT(MAX(ROW(E3529:E$2)*(E3530=E3529:E$2)))))</f>
        <v> </v>
      </c>
      <c r="J3530" s="25" t="str">
        <f>IF(OR(E3530="",E3530="!!!",F3530="NEW"),"",COUNTBLANK(OFFSET(A$1,,,SUMPRODUCT(MAX(ROW(E$2:E3530)*(E3530=E$2:E3530)))))-COUNTBLANK(OFFSET(A$1,,,SUMPRODUCT(MAX(ROW(E$1:E3529)*(E2=E$1:E3529))))))</f>
        <v> </v>
      </c>
      <c r="K3530" s="25" t="str">
        <f>IF(OR(E3530="",E3530="!!!",F3530="NEW"),"",INDEX(J$1:J3529,SUMPRODUCT(MAX(ROW(E$1:E3529)*(E3530=E$1:E3529)))))</f>
        <v> </v>
      </c>
      <c r="L3530" s="26"/>
    </row>
    <row r="3531" spans="1:12">
      <c r="A3531" s="20" t="s">
        <v>1025</v>
      </c>
      <c r="E3531" s="21">
        <f>IF(D3531="?OLD","!!!","")</f>
        <v/>
      </c>
      <c r="F3531" s="22" t="str">
        <f>IF(OR(E3531="",E3531="!!!"),"",IF(NOT(ISNA(VLOOKUP(E3531,E$1:E3530,1,FALSE()))),"OLD",IF(AND(E3531&lt;&gt;"",E3531&lt;&gt;"!!!"),"NEW","")))</f>
        <v> </v>
      </c>
      <c r="G3531" s="23" t="str">
        <f>IF(OR(E3531="",E3531="!!!"),"",IF(OR(J3531=0,AND(J3531=1,K3531=1),AND(J3531=1,I3531="SBJ"),AND(J3531=1,I3531=0)),"?IN_FOCUS",IF(J3531&lt;=2,"?ACTIVATED",IF(J3531&lt;&gt;"","?FAMILIAR",IF(F3531="NEW",IF(ISNA(VLOOKUP(E3531,#REF!,1,FALSE())),"?TYPE_IDENTIFIABLE","?REFERENTIAL"),"_")))))</f>
        <v> </v>
      </c>
      <c r="H3531" s="24" t="str">
        <f>IF(J3531&lt;&gt;1,"",IF(I3531="SBJ","CB","?"))</f>
        <v> </v>
      </c>
      <c r="I3531" s="25" t="str">
        <f>IF(OR(E3531="",E3531="!!!",F3531="NEW"),"",INDEX(B3530:B$2,-1+SUMPRODUCT(MAX(ROW(E3530:E$2)*(E3531=E3530:E$2)))))</f>
        <v> </v>
      </c>
      <c r="J3531" s="25" t="str">
        <f>IF(OR(E3531="",E3531="!!!",F3531="NEW"),"",COUNTBLANK(OFFSET(A$1,,,SUMPRODUCT(MAX(ROW(E$2:E3531)*(E3531=E$2:E3531)))))-COUNTBLANK(OFFSET(A$1,,,SUMPRODUCT(MAX(ROW(E$1:E3530)*(E2=E$1:E3530))))))</f>
        <v> </v>
      </c>
      <c r="K3531" s="25" t="str">
        <f>IF(OR(E3531="",E3531="!!!",F3531="NEW"),"",INDEX(J$1:J3530,SUMPRODUCT(MAX(ROW(E$1:E3530)*(E3531=E$1:E3530)))))</f>
        <v> </v>
      </c>
      <c r="L3531" s="26"/>
    </row>
    <row r="3532" spans="1:12">
      <c r="A3532" s="20" t="s">
        <v>2063</v>
      </c>
      <c r="B3532" s="27" t="s">
        <v>1079</v>
      </c>
      <c r="C3532" s="27" t="s">
        <v>1033</v>
      </c>
      <c r="D3532" s="27" t="s">
        <v>1030</v>
      </c>
      <c r="E3532" s="21">
        <f>IF(D3532="?OLD","!!!","")</f>
        <v/>
      </c>
      <c r="F3532" s="22" t="str">
        <f>IF(OR(E3532="",E3532="!!!"),"",IF(NOT(ISNA(VLOOKUP(E3532,E$1:E3531,1,FALSE()))),"OLD",IF(AND(E3532&lt;&gt;"",E3532&lt;&gt;"!!!"),"NEW","")))</f>
        <v> </v>
      </c>
      <c r="G3532" s="23" t="str">
        <f>IF(OR(E3532="",E3532="!!!"),"",IF(OR(J3532=0,AND(J3532=1,K3532=1),AND(J3532=1,I3532="SBJ"),AND(J3532=1,I3532=0)),"?IN_FOCUS",IF(J3532&lt;=2,"?ACTIVATED",IF(J3532&lt;&gt;"","?FAMILIAR",IF(F3532="NEW",IF(ISNA(VLOOKUP(E3532,#REF!,1,FALSE())),"?TYPE_IDENTIFIABLE","?REFERENTIAL"),"_")))))</f>
        <v> </v>
      </c>
      <c r="H3532" s="24" t="str">
        <f>IF(J3532&lt;&gt;1,"",IF(I3532="SBJ","CB","?"))</f>
        <v> </v>
      </c>
      <c r="I3532" s="25" t="str">
        <f>IF(OR(E3532="",E3532="!!!",F3532="NEW"),"",INDEX(B3531:B$2,-1+SUMPRODUCT(MAX(ROW(E3531:E$2)*(E3532=E3531:E$2)))))</f>
        <v> </v>
      </c>
      <c r="J3532" s="25" t="str">
        <f>IF(OR(E3532="",E3532="!!!",F3532="NEW"),"",COUNTBLANK(OFFSET(A$1,,,SUMPRODUCT(MAX(ROW(E$2:E3532)*(E3532=E$2:E3532)))))-COUNTBLANK(OFFSET(A$1,,,SUMPRODUCT(MAX(ROW(E$1:E3531)*(E2=E$1:E3531))))))</f>
        <v> </v>
      </c>
      <c r="K3532" s="25" t="str">
        <f>IF(OR(E3532="",E3532="!!!",F3532="NEW"),"",INDEX(J$1:J3531,SUMPRODUCT(MAX(ROW(E$1:E3531)*(E3532=E$1:E3531)))))</f>
        <v> </v>
      </c>
      <c r="L3532" s="26"/>
    </row>
    <row r="3533" spans="1:12">
      <c r="A3533" s="20" t="s">
        <v>1016</v>
      </c>
      <c r="E3533" s="21">
        <f>IF(D3533="?OLD","!!!","")</f>
        <v/>
      </c>
      <c r="F3533" s="22" t="str">
        <f>IF(OR(E3533="",E3533="!!!"),"",IF(NOT(ISNA(VLOOKUP(E3533,E$1:E3532,1,FALSE()))),"OLD",IF(AND(E3533&lt;&gt;"",E3533&lt;&gt;"!!!"),"NEW","")))</f>
        <v> </v>
      </c>
      <c r="G3533" s="23" t="str">
        <f>IF(OR(E3533="",E3533="!!!"),"",IF(OR(J3533=0,AND(J3533=1,K3533=1),AND(J3533=1,I3533="SBJ"),AND(J3533=1,I3533=0)),"?IN_FOCUS",IF(J3533&lt;=2,"?ACTIVATED",IF(J3533&lt;&gt;"","?FAMILIAR",IF(F3533="NEW",IF(ISNA(VLOOKUP(E3533,#REF!,1,FALSE())),"?TYPE_IDENTIFIABLE","?REFERENTIAL"),"_")))))</f>
        <v> </v>
      </c>
      <c r="H3533" s="24" t="str">
        <f>IF(J3533&lt;&gt;1,"",IF(I3533="SBJ","CB","?"))</f>
        <v> </v>
      </c>
      <c r="I3533" s="25" t="str">
        <f>IF(OR(E3533="",E3533="!!!",F3533="NEW"),"",INDEX(B3532:B$2,-1+SUMPRODUCT(MAX(ROW(E3532:E$2)*(E3533=E3532:E$2)))))</f>
        <v> </v>
      </c>
      <c r="J3533" s="25" t="str">
        <f>IF(OR(E3533="",E3533="!!!",F3533="NEW"),"",COUNTBLANK(OFFSET(A$1,,,SUMPRODUCT(MAX(ROW(E$2:E3533)*(E3533=E$2:E3533)))))-COUNTBLANK(OFFSET(A$1,,,SUMPRODUCT(MAX(ROW(E$1:E3532)*(E2=E$1:E3532))))))</f>
        <v> </v>
      </c>
      <c r="K3533" s="25" t="str">
        <f>IF(OR(E3533="",E3533="!!!",F3533="NEW"),"",INDEX(J$1:J3532,SUMPRODUCT(MAX(ROW(E$1:E3532)*(E3533=E$1:E3532)))))</f>
        <v> </v>
      </c>
      <c r="L3533" s="26"/>
    </row>
    <row r="3534" spans="1:12">
      <c r="A3534" s="20" t="s">
        <v>1080</v>
      </c>
      <c r="E3534" s="21">
        <f>IF(D3534="?OLD","!!!","")</f>
        <v/>
      </c>
      <c r="F3534" s="22" t="str">
        <f>IF(OR(E3534="",E3534="!!!"),"",IF(NOT(ISNA(VLOOKUP(E3534,E$1:E3533,1,FALSE()))),"OLD",IF(AND(E3534&lt;&gt;"",E3534&lt;&gt;"!!!"),"NEW","")))</f>
        <v> </v>
      </c>
      <c r="G3534" s="23" t="str">
        <f>IF(OR(E3534="",E3534="!!!"),"",IF(OR(J3534=0,AND(J3534=1,K3534=1),AND(J3534=1,I3534="SBJ"),AND(J3534=1,I3534=0)),"?IN_FOCUS",IF(J3534&lt;=2,"?ACTIVATED",IF(J3534&lt;&gt;"","?FAMILIAR",IF(F3534="NEW",IF(ISNA(VLOOKUP(E3534,#REF!,1,FALSE())),"?TYPE_IDENTIFIABLE","?REFERENTIAL"),"_")))))</f>
        <v> </v>
      </c>
      <c r="H3534" s="24" t="str">
        <f>IF(J3534&lt;&gt;1,"",IF(I3534="SBJ","CB","?"))</f>
        <v> </v>
      </c>
      <c r="I3534" s="25" t="str">
        <f>IF(OR(E3534="",E3534="!!!",F3534="NEW"),"",INDEX(B3533:B$2,-1+SUMPRODUCT(MAX(ROW(E3533:E$2)*(E3534=E3533:E$2)))))</f>
        <v> </v>
      </c>
      <c r="J3534" s="25" t="str">
        <f>IF(OR(E3534="",E3534="!!!",F3534="NEW"),"",COUNTBLANK(OFFSET(A$1,,,SUMPRODUCT(MAX(ROW(E$2:E3534)*(E3534=E$2:E3534)))))-COUNTBLANK(OFFSET(A$1,,,SUMPRODUCT(MAX(ROW(E$1:E3533)*(E2=E$1:E3533))))))</f>
        <v> </v>
      </c>
      <c r="K3534" s="25" t="str">
        <f>IF(OR(E3534="",E3534="!!!",F3534="NEW"),"",INDEX(J$1:J3533,SUMPRODUCT(MAX(ROW(E$1:E3533)*(E3534=E$1:E3533)))))</f>
        <v> </v>
      </c>
      <c r="L3534" s="26"/>
    </row>
    <row r="3535" spans="1:12">
      <c r="A3535" s="20" t="s">
        <v>1081</v>
      </c>
      <c r="E3535" s="21">
        <f>IF(D3535="?OLD","!!!","")</f>
        <v/>
      </c>
      <c r="F3535" s="22" t="str">
        <f>IF(OR(E3535="",E3535="!!!"),"",IF(NOT(ISNA(VLOOKUP(E3535,E$1:E3534,1,FALSE()))),"OLD",IF(AND(E3535&lt;&gt;"",E3535&lt;&gt;"!!!"),"NEW","")))</f>
        <v> </v>
      </c>
      <c r="G3535" s="23" t="str">
        <f>IF(OR(E3535="",E3535="!!!"),"",IF(OR(J3535=0,AND(J3535=1,K3535=1),AND(J3535=1,I3535="SBJ"),AND(J3535=1,I3535=0)),"?IN_FOCUS",IF(J3535&lt;=2,"?ACTIVATED",IF(J3535&lt;&gt;"","?FAMILIAR",IF(F3535="NEW",IF(ISNA(VLOOKUP(E3535,#REF!,1,FALSE())),"?TYPE_IDENTIFIABLE","?REFERENTIAL"),"_")))))</f>
        <v> </v>
      </c>
      <c r="H3535" s="24" t="str">
        <f>IF(J3535&lt;&gt;1,"",IF(I3535="SBJ","CB","?"))</f>
        <v> </v>
      </c>
      <c r="I3535" s="25" t="str">
        <f>IF(OR(E3535="",E3535="!!!",F3535="NEW"),"",INDEX(B3534:B$2,-1+SUMPRODUCT(MAX(ROW(E3534:E$2)*(E3535=E3534:E$2)))))</f>
        <v> </v>
      </c>
      <c r="J3535" s="25" t="str">
        <f>IF(OR(E3535="",E3535="!!!",F3535="NEW"),"",COUNTBLANK(OFFSET(A$1,,,SUMPRODUCT(MAX(ROW(E$2:E3535)*(E3535=E$2:E3535)))))-COUNTBLANK(OFFSET(A$1,,,SUMPRODUCT(MAX(ROW(E$1:E3534)*(E2=E$1:E3534))))))</f>
        <v> </v>
      </c>
      <c r="K3535" s="25" t="str">
        <f>IF(OR(E3535="",E3535="!!!",F3535="NEW"),"",INDEX(J$1:J3534,SUMPRODUCT(MAX(ROW(E$1:E3534)*(E3535=E$1:E3534)))))</f>
        <v> </v>
      </c>
      <c r="L3535" s="26"/>
    </row>
    <row r="3536" spans="1:12">
      <c r="A3536" s="20" t="s">
        <v>122</v>
      </c>
      <c r="E3536" s="21">
        <f>IF(D3536="?OLD","!!!","")</f>
        <v/>
      </c>
      <c r="F3536" s="22" t="str">
        <f>IF(OR(E3536="",E3536="!!!"),"",IF(NOT(ISNA(VLOOKUP(E3536,E$1:E3535,1,FALSE()))),"OLD",IF(AND(E3536&lt;&gt;"",E3536&lt;&gt;"!!!"),"NEW","")))</f>
        <v> </v>
      </c>
      <c r="G3536" s="23" t="str">
        <f>IF(OR(E3536="",E3536="!!!"),"",IF(OR(J3536=0,AND(J3536=1,K3536=1),AND(J3536=1,I3536="SBJ"),AND(J3536=1,I3536=0)),"?IN_FOCUS",IF(J3536&lt;=2,"?ACTIVATED",IF(J3536&lt;&gt;"","?FAMILIAR",IF(F3536="NEW",IF(ISNA(VLOOKUP(E3536,#REF!,1,FALSE())),"?TYPE_IDENTIFIABLE","?REFERENTIAL"),"_")))))</f>
        <v> </v>
      </c>
      <c r="H3536" s="24" t="str">
        <f>IF(J3536&lt;&gt;1,"",IF(I3536="SBJ","CB","?"))</f>
        <v> </v>
      </c>
      <c r="I3536" s="25" t="str">
        <f>IF(OR(E3536="",E3536="!!!",F3536="NEW"),"",INDEX(B3535:B$2,-1+SUMPRODUCT(MAX(ROW(E3535:E$2)*(E3536=E3535:E$2)))))</f>
        <v> </v>
      </c>
      <c r="J3536" s="25" t="str">
        <f>IF(OR(E3536="",E3536="!!!",F3536="NEW"),"",COUNTBLANK(OFFSET(A$1,,,SUMPRODUCT(MAX(ROW(E$2:E3536)*(E3536=E$2:E3536)))))-COUNTBLANK(OFFSET(A$1,,,SUMPRODUCT(MAX(ROW(E$1:E3535)*(E2=E$1:E3535))))))</f>
        <v> </v>
      </c>
      <c r="K3536" s="25" t="str">
        <f>IF(OR(E3536="",E3536="!!!",F3536="NEW"),"",INDEX(J$1:J3535,SUMPRODUCT(MAX(ROW(E$1:E3535)*(E3536=E$1:E3535)))))</f>
        <v> </v>
      </c>
      <c r="L3536" s="26"/>
    </row>
    <row r="3537" spans="1:12">
      <c r="A3537" s="20" t="s">
        <v>1167</v>
      </c>
      <c r="B3537" s="27" t="s">
        <v>1066</v>
      </c>
      <c r="C3537" s="27" t="s">
        <v>1038</v>
      </c>
      <c r="D3537" s="27" t="s">
        <v>1030</v>
      </c>
      <c r="E3537" s="21">
        <f>IF(D3537="?OLD","!!!","")</f>
        <v/>
      </c>
      <c r="F3537" s="22" t="str">
        <f>IF(OR(E3537="",E3537="!!!"),"",IF(NOT(ISNA(VLOOKUP(E3537,E$1:E3536,1,FALSE()))),"OLD",IF(AND(E3537&lt;&gt;"",E3537&lt;&gt;"!!!"),"NEW","")))</f>
        <v> </v>
      </c>
      <c r="G3537" s="23" t="str">
        <f>IF(OR(E3537="",E3537="!!!"),"",IF(OR(J3537=0,AND(J3537=1,K3537=1),AND(J3537=1,I3537="SBJ"),AND(J3537=1,I3537=0)),"?IN_FOCUS",IF(J3537&lt;=2,"?ACTIVATED",IF(J3537&lt;&gt;"","?FAMILIAR",IF(F3537="NEW",IF(ISNA(VLOOKUP(E3537,#REF!,1,FALSE())),"?TYPE_IDENTIFIABLE","?REFERENTIAL"),"_")))))</f>
        <v> </v>
      </c>
      <c r="H3537" s="24" t="str">
        <f>IF(J3537&lt;&gt;1,"",IF(I3537="SBJ","CB","?"))</f>
        <v> </v>
      </c>
      <c r="I3537" s="25" t="str">
        <f>IF(OR(E3537="",E3537="!!!",F3537="NEW"),"",INDEX(B3536:B$2,-1+SUMPRODUCT(MAX(ROW(E3536:E$2)*(E3537=E3536:E$2)))))</f>
        <v> </v>
      </c>
      <c r="J3537" s="25" t="str">
        <f>IF(OR(E3537="",E3537="!!!",F3537="NEW"),"",COUNTBLANK(OFFSET(A$1,,,SUMPRODUCT(MAX(ROW(E$2:E3537)*(E3537=E$2:E3537)))))-COUNTBLANK(OFFSET(A$1,,,SUMPRODUCT(MAX(ROW(E$1:E3536)*(E2=E$1:E3536))))))</f>
        <v> </v>
      </c>
      <c r="K3537" s="25" t="str">
        <f>IF(OR(E3537="",E3537="!!!",F3537="NEW"),"",INDEX(J$1:J3536,SUMPRODUCT(MAX(ROW(E$1:E3536)*(E3537=E$1:E3536)))))</f>
        <v> </v>
      </c>
      <c r="L3537" s="26"/>
    </row>
    <row r="3538" spans="1:12">
      <c r="A3538" s="20" t="s">
        <v>135</v>
      </c>
      <c r="E3538" s="21">
        <f>IF(D3538="?OLD","!!!","")</f>
        <v/>
      </c>
      <c r="F3538" s="22" t="str">
        <f>IF(OR(E3538="",E3538="!!!"),"",IF(NOT(ISNA(VLOOKUP(E3538,E$1:E3537,1,FALSE()))),"OLD",IF(AND(E3538&lt;&gt;"",E3538&lt;&gt;"!!!"),"NEW","")))</f>
        <v> </v>
      </c>
      <c r="G3538" s="23" t="str">
        <f>IF(OR(E3538="",E3538="!!!"),"",IF(OR(J3538=0,AND(J3538=1,K3538=1),AND(J3538=1,I3538="SBJ"),AND(J3538=1,I3538=0)),"?IN_FOCUS",IF(J3538&lt;=2,"?ACTIVATED",IF(J3538&lt;&gt;"","?FAMILIAR",IF(F3538="NEW",IF(ISNA(VLOOKUP(E3538,#REF!,1,FALSE())),"?TYPE_IDENTIFIABLE","?REFERENTIAL"),"_")))))</f>
        <v> </v>
      </c>
      <c r="H3538" s="24" t="str">
        <f>IF(J3538&lt;&gt;1,"",IF(I3538="SBJ","CB","?"))</f>
        <v> </v>
      </c>
      <c r="I3538" s="25" t="str">
        <f>IF(OR(E3538="",E3538="!!!",F3538="NEW"),"",INDEX(B3537:B$2,-1+SUMPRODUCT(MAX(ROW(E3537:E$2)*(E3538=E3537:E$2)))))</f>
        <v> </v>
      </c>
      <c r="J3538" s="25" t="str">
        <f>IF(OR(E3538="",E3538="!!!",F3538="NEW"),"",COUNTBLANK(OFFSET(A$1,,,SUMPRODUCT(MAX(ROW(E$2:E3538)*(E3538=E$2:E3538)))))-COUNTBLANK(OFFSET(A$1,,,SUMPRODUCT(MAX(ROW(E$1:E3537)*(E2=E$1:E3537))))))</f>
        <v> </v>
      </c>
      <c r="K3538" s="25" t="str">
        <f>IF(OR(E3538="",E3538="!!!",F3538="NEW"),"",INDEX(J$1:J3537,SUMPRODUCT(MAX(ROW(E$1:E3537)*(E3538=E$1:E3537)))))</f>
        <v> </v>
      </c>
      <c r="L3538" s="26"/>
    </row>
    <row r="3539" spans="1:12">
      <c r="A3539" s="20"/>
    </row>
    <row r="3540" spans="1:12">
      <c r="A3540" s="20" t="s">
        <v>2217</v>
      </c>
    </row>
    <row r="3541" spans="1:12">
      <c r="A3541" s="20" t="s">
        <v>2218</v>
      </c>
      <c r="E3541" s="21">
        <f>IF(D3541="?OLD","!!!","")</f>
        <v/>
      </c>
      <c r="F3541" s="22" t="str">
        <f>IF(OR(E3541="",E3541="!!!"),"",IF(NOT(ISNA(VLOOKUP(E3541,E$1:E3540,1,FALSE()))),"OLD",IF(AND(E3541&lt;&gt;"",E3541&lt;&gt;"!!!"),"NEW","")))</f>
        <v> </v>
      </c>
      <c r="G3541" s="23" t="str">
        <f>IF(OR(E3541="",E3541="!!!"),"",IF(OR(J3541=0,AND(J3541=1,K3541=1),AND(J3541=1,I3541="SBJ"),AND(J3541=1,I3541=0)),"?IN_FOCUS",IF(J3541&lt;=2,"?ACTIVATED",IF(J3541&lt;&gt;"","?FAMILIAR",IF(F3541="NEW",IF(ISNA(VLOOKUP(E3541,#REF!,1,FALSE())),"?TYPE_IDENTIFIABLE","?REFERENTIAL"),"_")))))</f>
        <v> </v>
      </c>
      <c r="H3541" s="24" t="str">
        <f>IF(J3541&lt;&gt;1,"",IF(I3541="SBJ","CB","?"))</f>
        <v> </v>
      </c>
      <c r="I3541" s="25" t="str">
        <f>IF(OR(E3541="",E3541="!!!",F3541="NEW"),"",INDEX(B3540:B$2,-1+SUMPRODUCT(MAX(ROW(E3540:E$2)*(E3541=E3540:E$2)))))</f>
        <v> </v>
      </c>
      <c r="J3541" s="25" t="str">
        <f>IF(OR(E3541="",E3541="!!!",F3541="NEW"),"",COUNTBLANK(OFFSET(A$1,,,SUMPRODUCT(MAX(ROW(E$2:E3541)*(E3541=E$2:E3541)))))-COUNTBLANK(OFFSET(A$1,,,SUMPRODUCT(MAX(ROW(E$1:E3540)*(E2=E$1:E3540))))))</f>
        <v> </v>
      </c>
      <c r="K3541" s="25" t="str">
        <f>IF(OR(E3541="",E3541="!!!",F3541="NEW"),"",INDEX(J$1:J3540,SUMPRODUCT(MAX(ROW(E$1:E3540)*(E3541=E$1:E3540)))))</f>
        <v> </v>
      </c>
      <c r="L3541" s="26"/>
    </row>
    <row r="3542" spans="1:12">
      <c r="A3542" s="20" t="s">
        <v>135</v>
      </c>
      <c r="E3542" s="21">
        <f>IF(D3542="?OLD","!!!","")</f>
        <v/>
      </c>
      <c r="F3542" s="22" t="str">
        <f>IF(OR(E3542="",E3542="!!!"),"",IF(NOT(ISNA(VLOOKUP(E3542,E$1:E3541,1,FALSE()))),"OLD",IF(AND(E3542&lt;&gt;"",E3542&lt;&gt;"!!!"),"NEW","")))</f>
        <v> </v>
      </c>
      <c r="G3542" s="23" t="str">
        <f>IF(OR(E3542="",E3542="!!!"),"",IF(OR(J3542=0,AND(J3542=1,K3542=1),AND(J3542=1,I3542="SBJ"),AND(J3542=1,I3542=0)),"?IN_FOCUS",IF(J3542&lt;=2,"?ACTIVATED",IF(J3542&lt;&gt;"","?FAMILIAR",IF(F3542="NEW",IF(ISNA(VLOOKUP(E3542,#REF!,1,FALSE())),"?TYPE_IDENTIFIABLE","?REFERENTIAL"),"_")))))</f>
        <v> </v>
      </c>
      <c r="H3542" s="24" t="str">
        <f>IF(J3542&lt;&gt;1,"",IF(I3542="SBJ","CB","?"))</f>
        <v> </v>
      </c>
      <c r="I3542" s="25" t="str">
        <f>IF(OR(E3542="",E3542="!!!",F3542="NEW"),"",INDEX(B3541:B$2,-1+SUMPRODUCT(MAX(ROW(E3541:E$2)*(E3542=E3541:E$2)))))</f>
        <v> </v>
      </c>
      <c r="J3542" s="25" t="str">
        <f>IF(OR(E3542="",E3542="!!!",F3542="NEW"),"",COUNTBLANK(OFFSET(A$1,,,SUMPRODUCT(MAX(ROW(E$2:E3542)*(E3542=E$2:E3542)))))-COUNTBLANK(OFFSET(A$1,,,SUMPRODUCT(MAX(ROW(E$1:E3541)*(E2=E$1:E3541))))))</f>
        <v> </v>
      </c>
      <c r="K3542" s="25" t="str">
        <f>IF(OR(E3542="",E3542="!!!",F3542="NEW"),"",INDEX(J$1:J3541,SUMPRODUCT(MAX(ROW(E$1:E3541)*(E3542=E$1:E3541)))))</f>
        <v> </v>
      </c>
      <c r="L3542" s="26"/>
    </row>
    <row r="3543" spans="1:12">
      <c r="A3543" s="20"/>
    </row>
    <row r="3544" spans="1:12">
      <c r="A3544" s="20" t="s">
        <v>2217</v>
      </c>
    </row>
    <row r="3545" spans="1:12">
      <c r="A3545" s="20" t="s">
        <v>2218</v>
      </c>
      <c r="E3545" s="21">
        <f>IF(D3545="?OLD","!!!","")</f>
        <v/>
      </c>
      <c r="F3545" s="22" t="str">
        <f>IF(OR(E3545="",E3545="!!!"),"",IF(NOT(ISNA(VLOOKUP(E3545,E$1:E3544,1,FALSE()))),"OLD",IF(AND(E3545&lt;&gt;"",E3545&lt;&gt;"!!!"),"NEW","")))</f>
        <v> </v>
      </c>
      <c r="G3545" s="23" t="str">
        <f>IF(OR(E3545="",E3545="!!!"),"",IF(OR(J3545=0,AND(J3545=1,K3545=1),AND(J3545=1,I3545="SBJ"),AND(J3545=1,I3545=0)),"?IN_FOCUS",IF(J3545&lt;=2,"?ACTIVATED",IF(J3545&lt;&gt;"","?FAMILIAR",IF(F3545="NEW",IF(ISNA(VLOOKUP(E3545,#REF!,1,FALSE())),"?TYPE_IDENTIFIABLE","?REFERENTIAL"),"_")))))</f>
        <v> </v>
      </c>
      <c r="H3545" s="24" t="str">
        <f>IF(J3545&lt;&gt;1,"",IF(I3545="SBJ","CB","?"))</f>
        <v> </v>
      </c>
      <c r="I3545" s="25" t="str">
        <f>IF(OR(E3545="",E3545="!!!",F3545="NEW"),"",INDEX(B3544:B$2,-1+SUMPRODUCT(MAX(ROW(E3544:E$2)*(E3545=E3544:E$2)))))</f>
        <v> </v>
      </c>
      <c r="J3545" s="25" t="str">
        <f>IF(OR(E3545="",E3545="!!!",F3545="NEW"),"",COUNTBLANK(OFFSET(A$1,,,SUMPRODUCT(MAX(ROW(E$2:E3545)*(E3545=E$2:E3545)))))-COUNTBLANK(OFFSET(A$1,,,SUMPRODUCT(MAX(ROW(E$1:E3544)*(E2=E$1:E3544))))))</f>
        <v> </v>
      </c>
      <c r="K3545" s="25" t="str">
        <f>IF(OR(E3545="",E3545="!!!",F3545="NEW"),"",INDEX(J$1:J3544,SUMPRODUCT(MAX(ROW(E$1:E3544)*(E3545=E$1:E3544)))))</f>
        <v> </v>
      </c>
      <c r="L3545" s="26"/>
    </row>
    <row r="3546" spans="1:12">
      <c r="A3546" s="20" t="s">
        <v>135</v>
      </c>
      <c r="E3546" s="21">
        <f>IF(D3546="?OLD","!!!","")</f>
        <v/>
      </c>
      <c r="F3546" s="22" t="str">
        <f>IF(OR(E3546="",E3546="!!!"),"",IF(NOT(ISNA(VLOOKUP(E3546,E$1:E3545,1,FALSE()))),"OLD",IF(AND(E3546&lt;&gt;"",E3546&lt;&gt;"!!!"),"NEW","")))</f>
        <v> </v>
      </c>
      <c r="G3546" s="23" t="str">
        <f>IF(OR(E3546="",E3546="!!!"),"",IF(OR(J3546=0,AND(J3546=1,K3546=1),AND(J3546=1,I3546="SBJ"),AND(J3546=1,I3546=0)),"?IN_FOCUS",IF(J3546&lt;=2,"?ACTIVATED",IF(J3546&lt;&gt;"","?FAMILIAR",IF(F3546="NEW",IF(ISNA(VLOOKUP(E3546,#REF!,1,FALSE())),"?TYPE_IDENTIFIABLE","?REFERENTIAL"),"_")))))</f>
        <v> </v>
      </c>
      <c r="H3546" s="24" t="str">
        <f>IF(J3546&lt;&gt;1,"",IF(I3546="SBJ","CB","?"))</f>
        <v> </v>
      </c>
      <c r="I3546" s="25" t="str">
        <f>IF(OR(E3546="",E3546="!!!",F3546="NEW"),"",INDEX(B3545:B$2,-1+SUMPRODUCT(MAX(ROW(E3545:E$2)*(E3546=E3545:E$2)))))</f>
        <v> </v>
      </c>
      <c r="J3546" s="25" t="str">
        <f>IF(OR(E3546="",E3546="!!!",F3546="NEW"),"",COUNTBLANK(OFFSET(A$1,,,SUMPRODUCT(MAX(ROW(E$2:E3546)*(E3546=E$2:E3546)))))-COUNTBLANK(OFFSET(A$1,,,SUMPRODUCT(MAX(ROW(E$1:E3545)*(E2=E$1:E3545))))))</f>
        <v> </v>
      </c>
      <c r="K3546" s="25" t="str">
        <f>IF(OR(E3546="",E3546="!!!",F3546="NEW"),"",INDEX(J$1:J3545,SUMPRODUCT(MAX(ROW(E$1:E3545)*(E3546=E$1:E3545)))))</f>
        <v> </v>
      </c>
      <c r="L3546" s="26"/>
    </row>
    <row r="3547" spans="1:12">
      <c r="A3547" s="20"/>
    </row>
    <row r="3548" spans="1:12">
      <c r="A3548" s="20" t="s">
        <v>2219</v>
      </c>
    </row>
    <row r="3549" spans="1:12">
      <c r="A3549" s="20" t="s">
        <v>2220</v>
      </c>
      <c r="B3549" s="27" t="s">
        <v>1041</v>
      </c>
      <c r="C3549" s="27" t="s">
        <v>1050</v>
      </c>
      <c r="D3549" s="27" t="s">
        <v>1030</v>
      </c>
      <c r="E3549" s="21">
        <f>IF(D3549="?OLD","!!!","")</f>
        <v/>
      </c>
      <c r="F3549" s="22" t="str">
        <f>IF(OR(E3549="",E3549="!!!"),"",IF(NOT(ISNA(VLOOKUP(E3549,E$1:E3548,1,FALSE()))),"OLD",IF(AND(E3549&lt;&gt;"",E3549&lt;&gt;"!!!"),"NEW","")))</f>
        <v> </v>
      </c>
      <c r="G3549" s="23" t="str">
        <f>IF(OR(E3549="",E3549="!!!"),"",IF(OR(J3549=0,AND(J3549=1,K3549=1),AND(J3549=1,I3549="SBJ"),AND(J3549=1,I3549=0)),"?IN_FOCUS",IF(J3549&lt;=2,"?ACTIVATED",IF(J3549&lt;&gt;"","?FAMILIAR",IF(F3549="NEW",IF(ISNA(VLOOKUP(E3549,#REF!,1,FALSE())),"?TYPE_IDENTIFIABLE","?REFERENTIAL"),"_")))))</f>
        <v> </v>
      </c>
      <c r="H3549" s="24" t="str">
        <f>IF(J3549&lt;&gt;1,"",IF(I3549="SBJ","CB","?"))</f>
        <v> </v>
      </c>
      <c r="I3549" s="25" t="str">
        <f>IF(OR(E3549="",E3549="!!!",F3549="NEW"),"",INDEX(B3548:B$2,-1+SUMPRODUCT(MAX(ROW(E3548:E$2)*(E3549=E3548:E$2)))))</f>
        <v> </v>
      </c>
      <c r="J3549" s="25" t="str">
        <f>IF(OR(E3549="",E3549="!!!",F3549="NEW"),"",COUNTBLANK(OFFSET(A$1,,,SUMPRODUCT(MAX(ROW(E$2:E3549)*(E3549=E$2:E3549)))))-COUNTBLANK(OFFSET(A$1,,,SUMPRODUCT(MAX(ROW(E$1:E3548)*(E2=E$1:E3548))))))</f>
        <v> </v>
      </c>
      <c r="K3549" s="25" t="str">
        <f>IF(OR(E3549="",E3549="!!!",F3549="NEW"),"",INDEX(J$1:J3548,SUMPRODUCT(MAX(ROW(E$1:E3548)*(E3549=E$1:E3548)))))</f>
        <v> </v>
      </c>
      <c r="L3549" s="26"/>
    </row>
    <row r="3550" spans="1:12">
      <c r="A3550" s="20" t="s">
        <v>1033</v>
      </c>
      <c r="B3550" s="27" t="s">
        <v>1014</v>
      </c>
      <c r="C3550" s="27" t="s">
        <v>1050</v>
      </c>
      <c r="D3550" s="27" t="s">
        <v>1030</v>
      </c>
      <c r="E3550" s="21">
        <f>IF(D3550="?OLD","!!!","")</f>
        <v/>
      </c>
      <c r="F3550" s="22" t="str">
        <f>IF(OR(E3550="",E3550="!!!"),"",IF(NOT(ISNA(VLOOKUP(E3550,E$1:E3549,1,FALSE()))),"OLD",IF(AND(E3550&lt;&gt;"",E3550&lt;&gt;"!!!"),"NEW","")))</f>
        <v> </v>
      </c>
      <c r="G3550" s="23" t="str">
        <f>IF(OR(E3550="",E3550="!!!"),"",IF(OR(J3550=0,AND(J3550=1,K3550=1),AND(J3550=1,I3550="SBJ"),AND(J3550=1,I3550=0)),"?IN_FOCUS",IF(J3550&lt;=2,"?ACTIVATED",IF(J3550&lt;&gt;"","?FAMILIAR",IF(F3550="NEW",IF(ISNA(VLOOKUP(E3550,#REF!,1,FALSE())),"?TYPE_IDENTIFIABLE","?REFERENTIAL"),"_")))))</f>
        <v> </v>
      </c>
      <c r="H3550" s="24" t="str">
        <f>IF(J3550&lt;&gt;1,"",IF(I3550="SBJ","CB","?"))</f>
        <v> </v>
      </c>
      <c r="I3550" s="25" t="str">
        <f>IF(OR(E3550="",E3550="!!!",F3550="NEW"),"",INDEX(B3549:B$2,-1+SUMPRODUCT(MAX(ROW(E3549:E$2)*(E3550=E3549:E$2)))))</f>
        <v> </v>
      </c>
      <c r="J3550" s="25" t="str">
        <f>IF(OR(E3550="",E3550="!!!",F3550="NEW"),"",COUNTBLANK(OFFSET(A$1,,,SUMPRODUCT(MAX(ROW(E$2:E3550)*(E3550=E$2:E3550)))))-COUNTBLANK(OFFSET(A$1,,,SUMPRODUCT(MAX(ROW(E$1:E3549)*(E2=E$1:E3549))))))</f>
        <v> </v>
      </c>
      <c r="K3550" s="25" t="str">
        <f>IF(OR(E3550="",E3550="!!!",F3550="NEW"),"",INDEX(J$1:J3549,SUMPRODUCT(MAX(ROW(E$1:E3549)*(E3550=E$1:E3549)))))</f>
        <v> </v>
      </c>
      <c r="L3550" s="26"/>
    </row>
    <row r="3551" spans="1:12">
      <c r="A3551" s="20" t="s">
        <v>1424</v>
      </c>
      <c r="E3551" s="21">
        <f>IF(D3551="?OLD","!!!","")</f>
        <v/>
      </c>
      <c r="F3551" s="22" t="str">
        <f>IF(OR(E3551="",E3551="!!!"),"",IF(NOT(ISNA(VLOOKUP(E3551,E$1:E3550,1,FALSE()))),"OLD",IF(AND(E3551&lt;&gt;"",E3551&lt;&gt;"!!!"),"NEW","")))</f>
        <v> </v>
      </c>
      <c r="G3551" s="23" t="str">
        <f>IF(OR(E3551="",E3551="!!!"),"",IF(OR(J3551=0,AND(J3551=1,K3551=1),AND(J3551=1,I3551="SBJ"),AND(J3551=1,I3551=0)),"?IN_FOCUS",IF(J3551&lt;=2,"?ACTIVATED",IF(J3551&lt;&gt;"","?FAMILIAR",IF(F3551="NEW",IF(ISNA(VLOOKUP(E3551,#REF!,1,FALSE())),"?TYPE_IDENTIFIABLE","?REFERENTIAL"),"_")))))</f>
        <v> </v>
      </c>
      <c r="H3551" s="24" t="str">
        <f>IF(J3551&lt;&gt;1,"",IF(I3551="SBJ","CB","?"))</f>
        <v> </v>
      </c>
      <c r="I3551" s="25" t="str">
        <f>IF(OR(E3551="",E3551="!!!",F3551="NEW"),"",INDEX(B3550:B$2,-1+SUMPRODUCT(MAX(ROW(E3550:E$2)*(E3551=E3550:E$2)))))</f>
        <v> </v>
      </c>
      <c r="J3551" s="25" t="str">
        <f>IF(OR(E3551="",E3551="!!!",F3551="NEW"),"",COUNTBLANK(OFFSET(A$1,,,SUMPRODUCT(MAX(ROW(E$2:E3551)*(E3551=E$2:E3551)))))-COUNTBLANK(OFFSET(A$1,,,SUMPRODUCT(MAX(ROW(E$1:E3550)*(E2=E$1:E3550))))))</f>
        <v> </v>
      </c>
      <c r="K3551" s="25" t="str">
        <f>IF(OR(E3551="",E3551="!!!",F3551="NEW"),"",INDEX(J$1:J3550,SUMPRODUCT(MAX(ROW(E$1:E3550)*(E3551=E$1:E3550)))))</f>
        <v> </v>
      </c>
      <c r="L3551" s="26"/>
    </row>
    <row r="3552" spans="1:12">
      <c r="A3552" s="20" t="s">
        <v>1377</v>
      </c>
      <c r="B3552" s="27" t="s">
        <v>1014</v>
      </c>
      <c r="C3552" s="27" t="s">
        <v>1015</v>
      </c>
      <c r="E3552" s="21">
        <f>IF(D3552="?OLD","!!!","")</f>
        <v/>
      </c>
      <c r="F3552" s="22" t="str">
        <f>IF(OR(E3552="",E3552="!!!"),"",IF(NOT(ISNA(VLOOKUP(E3552,E$1:E3551,1,FALSE()))),"OLD",IF(AND(E3552&lt;&gt;"",E3552&lt;&gt;"!!!"),"NEW","")))</f>
        <v> </v>
      </c>
      <c r="G3552" s="23" t="str">
        <f>IF(OR(E3552="",E3552="!!!"),"",IF(OR(J3552=0,AND(J3552=1,K3552=1),AND(J3552=1,I3552="SBJ"),AND(J3552=1,I3552=0)),"?IN_FOCUS",IF(J3552&lt;=2,"?ACTIVATED",IF(J3552&lt;&gt;"","?FAMILIAR",IF(F3552="NEW",IF(ISNA(VLOOKUP(E3552,#REF!,1,FALSE())),"?TYPE_IDENTIFIABLE","?REFERENTIAL"),"_")))))</f>
        <v> </v>
      </c>
      <c r="H3552" s="24" t="str">
        <f>IF(J3552&lt;&gt;1,"",IF(I3552="SBJ","CB","?"))</f>
        <v> </v>
      </c>
      <c r="I3552" s="25" t="str">
        <f>IF(OR(E3552="",E3552="!!!",F3552="NEW"),"",INDEX(B3551:B$2,-1+SUMPRODUCT(MAX(ROW(E3551:E$2)*(E3552=E3551:E$2)))))</f>
        <v> </v>
      </c>
      <c r="J3552" s="25" t="str">
        <f>IF(OR(E3552="",E3552="!!!",F3552="NEW"),"",COUNTBLANK(OFFSET(A$1,,,SUMPRODUCT(MAX(ROW(E$2:E3552)*(E3552=E$2:E3552)))))-COUNTBLANK(OFFSET(A$1,,,SUMPRODUCT(MAX(ROW(E$1:E3551)*(E2=E$1:E3551))))))</f>
        <v> </v>
      </c>
      <c r="K3552" s="25" t="str">
        <f>IF(OR(E3552="",E3552="!!!",F3552="NEW"),"",INDEX(J$1:J3551,SUMPRODUCT(MAX(ROW(E$1:E3551)*(E3552=E$1:E3551)))))</f>
        <v> </v>
      </c>
      <c r="L3552" s="26"/>
    </row>
    <row r="3553" spans="1:12">
      <c r="A3553" s="20" t="s">
        <v>1083</v>
      </c>
      <c r="E3553" s="21">
        <f>IF(D3553="?OLD","!!!","")</f>
        <v/>
      </c>
      <c r="F3553" s="22" t="str">
        <f>IF(OR(E3553="",E3553="!!!"),"",IF(NOT(ISNA(VLOOKUP(E3553,E$1:E3552,1,FALSE()))),"OLD",IF(AND(E3553&lt;&gt;"",E3553&lt;&gt;"!!!"),"NEW","")))</f>
        <v> </v>
      </c>
      <c r="G3553" s="23" t="str">
        <f>IF(OR(E3553="",E3553="!!!"),"",IF(OR(J3553=0,AND(J3553=1,K3553=1),AND(J3553=1,I3553="SBJ"),AND(J3553=1,I3553=0)),"?IN_FOCUS",IF(J3553&lt;=2,"?ACTIVATED",IF(J3553&lt;&gt;"","?FAMILIAR",IF(F3553="NEW",IF(ISNA(VLOOKUP(E3553,#REF!,1,FALSE())),"?TYPE_IDENTIFIABLE","?REFERENTIAL"),"_")))))</f>
        <v> </v>
      </c>
      <c r="H3553" s="24" t="str">
        <f>IF(J3553&lt;&gt;1,"",IF(I3553="SBJ","CB","?"))</f>
        <v> </v>
      </c>
      <c r="I3553" s="25" t="str">
        <f>IF(OR(E3553="",E3553="!!!",F3553="NEW"),"",INDEX(B3552:B$2,-1+SUMPRODUCT(MAX(ROW(E3552:E$2)*(E3553=E3552:E$2)))))</f>
        <v> </v>
      </c>
      <c r="J3553" s="25" t="str">
        <f>IF(OR(E3553="",E3553="!!!",F3553="NEW"),"",COUNTBLANK(OFFSET(A$1,,,SUMPRODUCT(MAX(ROW(E$2:E3553)*(E3553=E$2:E3553)))))-COUNTBLANK(OFFSET(A$1,,,SUMPRODUCT(MAX(ROW(E$1:E3552)*(E2=E$1:E3552))))))</f>
        <v> </v>
      </c>
      <c r="K3553" s="25" t="str">
        <f>IF(OR(E3553="",E3553="!!!",F3553="NEW"),"",INDEX(J$1:J3552,SUMPRODUCT(MAX(ROW(E$1:E3552)*(E3553=E$1:E3552)))))</f>
        <v> </v>
      </c>
      <c r="L3553" s="26"/>
    </row>
    <row r="3554" spans="1:12">
      <c r="A3554" s="20" t="s">
        <v>1186</v>
      </c>
      <c r="B3554" s="27" t="s">
        <v>1085</v>
      </c>
      <c r="C3554" s="27" t="s">
        <v>1050</v>
      </c>
      <c r="D3554" s="27" t="s">
        <v>1030</v>
      </c>
      <c r="E3554" s="21">
        <f>IF(D3554="?OLD","!!!","")</f>
        <v/>
      </c>
      <c r="F3554" s="22" t="str">
        <f>IF(OR(E3554="",E3554="!!!"),"",IF(NOT(ISNA(VLOOKUP(E3554,E$1:E3553,1,FALSE()))),"OLD",IF(AND(E3554&lt;&gt;"",E3554&lt;&gt;"!!!"),"NEW","")))</f>
        <v> </v>
      </c>
      <c r="G3554" s="23" t="str">
        <f>IF(OR(E3554="",E3554="!!!"),"",IF(OR(J3554=0,AND(J3554=1,K3554=1),AND(J3554=1,I3554="SBJ"),AND(J3554=1,I3554=0)),"?IN_FOCUS",IF(J3554&lt;=2,"?ACTIVATED",IF(J3554&lt;&gt;"","?FAMILIAR",IF(F3554="NEW",IF(ISNA(VLOOKUP(E3554,#REF!,1,FALSE())),"?TYPE_IDENTIFIABLE","?REFERENTIAL"),"_")))))</f>
        <v> </v>
      </c>
      <c r="H3554" s="24" t="str">
        <f>IF(J3554&lt;&gt;1,"",IF(I3554="SBJ","CB","?"))</f>
        <v> </v>
      </c>
      <c r="I3554" s="25" t="str">
        <f>IF(OR(E3554="",E3554="!!!",F3554="NEW"),"",INDEX(B3553:B$2,-1+SUMPRODUCT(MAX(ROW(E3553:E$2)*(E3554=E3553:E$2)))))</f>
        <v> </v>
      </c>
      <c r="J3554" s="25" t="str">
        <f>IF(OR(E3554="",E3554="!!!",F3554="NEW"),"",COUNTBLANK(OFFSET(A$1,,,SUMPRODUCT(MAX(ROW(E$2:E3554)*(E3554=E$2:E3554)))))-COUNTBLANK(OFFSET(A$1,,,SUMPRODUCT(MAX(ROW(E$1:E3553)*(E2=E$1:E3553))))))</f>
        <v> </v>
      </c>
      <c r="K3554" s="25" t="str">
        <f>IF(OR(E3554="",E3554="!!!",F3554="NEW"),"",INDEX(J$1:J3553,SUMPRODUCT(MAX(ROW(E$1:E3553)*(E3554=E$1:E3553)))))</f>
        <v> </v>
      </c>
      <c r="L3554" s="26"/>
    </row>
    <row r="3555" spans="1:12">
      <c r="A3555" s="20" t="s">
        <v>1057</v>
      </c>
      <c r="E3555" s="21">
        <f>IF(D3555="?OLD","!!!","")</f>
        <v/>
      </c>
      <c r="F3555" s="22" t="str">
        <f>IF(OR(E3555="",E3555="!!!"),"",IF(NOT(ISNA(VLOOKUP(E3555,E$1:E3554,1,FALSE()))),"OLD",IF(AND(E3555&lt;&gt;"",E3555&lt;&gt;"!!!"),"NEW","")))</f>
        <v> </v>
      </c>
      <c r="G3555" s="23" t="str">
        <f>IF(OR(E3555="",E3555="!!!"),"",IF(OR(J3555=0,AND(J3555=1,K3555=1),AND(J3555=1,I3555="SBJ"),AND(J3555=1,I3555=0)),"?IN_FOCUS",IF(J3555&lt;=2,"?ACTIVATED",IF(J3555&lt;&gt;"","?FAMILIAR",IF(F3555="NEW",IF(ISNA(VLOOKUP(E3555,#REF!,1,FALSE())),"?TYPE_IDENTIFIABLE","?REFERENTIAL"),"_")))))</f>
        <v> </v>
      </c>
      <c r="H3555" s="24" t="str">
        <f>IF(J3555&lt;&gt;1,"",IF(I3555="SBJ","CB","?"))</f>
        <v> </v>
      </c>
      <c r="I3555" s="25" t="str">
        <f>IF(OR(E3555="",E3555="!!!",F3555="NEW"),"",INDEX(B3554:B$2,-1+SUMPRODUCT(MAX(ROW(E3554:E$2)*(E3555=E3554:E$2)))))</f>
        <v> </v>
      </c>
      <c r="J3555" s="25" t="str">
        <f>IF(OR(E3555="",E3555="!!!",F3555="NEW"),"",COUNTBLANK(OFFSET(A$1,,,SUMPRODUCT(MAX(ROW(E$2:E3555)*(E3555=E$2:E3555)))))-COUNTBLANK(OFFSET(A$1,,,SUMPRODUCT(MAX(ROW(E$1:E3554)*(E2=E$1:E3554))))))</f>
        <v> </v>
      </c>
      <c r="K3555" s="25" t="str">
        <f>IF(OR(E3555="",E3555="!!!",F3555="NEW"),"",INDEX(J$1:J3554,SUMPRODUCT(MAX(ROW(E$1:E3554)*(E3555=E$1:E3554)))))</f>
        <v> </v>
      </c>
      <c r="L3555" s="26"/>
    </row>
    <row r="3556" spans="1:12">
      <c r="A3556" s="20" t="s">
        <v>2221</v>
      </c>
      <c r="B3556" s="27" t="s">
        <v>1020</v>
      </c>
      <c r="C3556" s="27" t="s">
        <v>1050</v>
      </c>
      <c r="D3556" s="27" t="s">
        <v>1030</v>
      </c>
      <c r="E3556" s="21">
        <f>IF(D3556="?OLD","!!!","")</f>
        <v/>
      </c>
      <c r="F3556" s="22" t="str">
        <f>IF(OR(E3556="",E3556="!!!"),"",IF(NOT(ISNA(VLOOKUP(E3556,E$1:E3555,1,FALSE()))),"OLD",IF(AND(E3556&lt;&gt;"",E3556&lt;&gt;"!!!"),"NEW","")))</f>
        <v> </v>
      </c>
      <c r="G3556" s="23" t="str">
        <f>IF(OR(E3556="",E3556="!!!"),"",IF(OR(J3556=0,AND(J3556=1,K3556=1),AND(J3556=1,I3556="SBJ"),AND(J3556=1,I3556=0)),"?IN_FOCUS",IF(J3556&lt;=2,"?ACTIVATED",IF(J3556&lt;&gt;"","?FAMILIAR",IF(F3556="NEW",IF(ISNA(VLOOKUP(E3556,#REF!,1,FALSE())),"?TYPE_IDENTIFIABLE","?REFERENTIAL"),"_")))))</f>
        <v> </v>
      </c>
      <c r="H3556" s="24" t="str">
        <f>IF(J3556&lt;&gt;1,"",IF(I3556="SBJ","CB","?"))</f>
        <v> </v>
      </c>
      <c r="I3556" s="25" t="str">
        <f>IF(OR(E3556="",E3556="!!!",F3556="NEW"),"",INDEX(B3555:B$2,-1+SUMPRODUCT(MAX(ROW(E3555:E$2)*(E3556=E3555:E$2)))))</f>
        <v> </v>
      </c>
      <c r="J3556" s="25" t="str">
        <f>IF(OR(E3556="",E3556="!!!",F3556="NEW"),"",COUNTBLANK(OFFSET(A$1,,,SUMPRODUCT(MAX(ROW(E$2:E3556)*(E3556=E$2:E3556)))))-COUNTBLANK(OFFSET(A$1,,,SUMPRODUCT(MAX(ROW(E$1:E3555)*(E2=E$1:E3555))))))</f>
        <v> </v>
      </c>
      <c r="K3556" s="25" t="str">
        <f>IF(OR(E3556="",E3556="!!!",F3556="NEW"),"",INDEX(J$1:J3555,SUMPRODUCT(MAX(ROW(E$1:E3555)*(E3556=E$1:E3555)))))</f>
        <v> </v>
      </c>
      <c r="L3556" s="26"/>
    </row>
    <row r="3557" spans="1:12">
      <c r="A3557" s="20" t="s">
        <v>1123</v>
      </c>
      <c r="B3557" s="27" t="s">
        <v>1020</v>
      </c>
      <c r="C3557" s="27" t="s">
        <v>1050</v>
      </c>
      <c r="D3557" s="27" t="s">
        <v>1030</v>
      </c>
      <c r="E3557" s="21">
        <f>IF(D3557="?OLD","!!!","")</f>
        <v/>
      </c>
      <c r="F3557" s="22" t="str">
        <f>IF(OR(E3557="",E3557="!!!"),"",IF(NOT(ISNA(VLOOKUP(E3557,E$1:E3556,1,FALSE()))),"OLD",IF(AND(E3557&lt;&gt;"",E3557&lt;&gt;"!!!"),"NEW","")))</f>
        <v> </v>
      </c>
      <c r="G3557" s="23" t="str">
        <f>IF(OR(E3557="",E3557="!!!"),"",IF(OR(J3557=0,AND(J3557=1,K3557=1),AND(J3557=1,I3557="SBJ"),AND(J3557=1,I3557=0)),"?IN_FOCUS",IF(J3557&lt;=2,"?ACTIVATED",IF(J3557&lt;&gt;"","?FAMILIAR",IF(F3557="NEW",IF(ISNA(VLOOKUP(E3557,#REF!,1,FALSE())),"?TYPE_IDENTIFIABLE","?REFERENTIAL"),"_")))))</f>
        <v> </v>
      </c>
      <c r="H3557" s="24" t="str">
        <f>IF(J3557&lt;&gt;1,"",IF(I3557="SBJ","CB","?"))</f>
        <v> </v>
      </c>
      <c r="I3557" s="25" t="str">
        <f>IF(OR(E3557="",E3557="!!!",F3557="NEW"),"",INDEX(B3556:B$2,-1+SUMPRODUCT(MAX(ROW(E3556:E$2)*(E3557=E3556:E$2)))))</f>
        <v> </v>
      </c>
      <c r="J3557" s="25" t="str">
        <f>IF(OR(E3557="",E3557="!!!",F3557="NEW"),"",COUNTBLANK(OFFSET(A$1,,,SUMPRODUCT(MAX(ROW(E$2:E3557)*(E3557=E$2:E3557)))))-COUNTBLANK(OFFSET(A$1,,,SUMPRODUCT(MAX(ROW(E$1:E3556)*(E2=E$1:E3556))))))</f>
        <v> </v>
      </c>
      <c r="K3557" s="25" t="str">
        <f>IF(OR(E3557="",E3557="!!!",F3557="NEW"),"",INDEX(J$1:J3556,SUMPRODUCT(MAX(ROW(E$1:E3556)*(E3557=E$1:E3556)))))</f>
        <v> </v>
      </c>
      <c r="L3557" s="26"/>
    </row>
    <row r="3558" spans="1:12">
      <c r="A3558" s="20" t="s">
        <v>2222</v>
      </c>
      <c r="E3558" s="21">
        <f>IF(D3558="?OLD","!!!","")</f>
        <v/>
      </c>
      <c r="F3558" s="22" t="str">
        <f>IF(OR(E3558="",E3558="!!!"),"",IF(NOT(ISNA(VLOOKUP(E3558,E$1:E3557,1,FALSE()))),"OLD",IF(AND(E3558&lt;&gt;"",E3558&lt;&gt;"!!!"),"NEW","")))</f>
        <v> </v>
      </c>
      <c r="G3558" s="23" t="str">
        <f>IF(OR(E3558="",E3558="!!!"),"",IF(OR(J3558=0,AND(J3558=1,K3558=1),AND(J3558=1,I3558="SBJ"),AND(J3558=1,I3558=0)),"?IN_FOCUS",IF(J3558&lt;=2,"?ACTIVATED",IF(J3558&lt;&gt;"","?FAMILIAR",IF(F3558="NEW",IF(ISNA(VLOOKUP(E3558,#REF!,1,FALSE())),"?TYPE_IDENTIFIABLE","?REFERENTIAL"),"_")))))</f>
        <v> </v>
      </c>
      <c r="H3558" s="24" t="str">
        <f>IF(J3558&lt;&gt;1,"",IF(I3558="SBJ","CB","?"))</f>
        <v> </v>
      </c>
      <c r="I3558" s="25" t="str">
        <f>IF(OR(E3558="",E3558="!!!",F3558="NEW"),"",INDEX(B3557:B$2,-1+SUMPRODUCT(MAX(ROW(E3557:E$2)*(E3558=E3557:E$2)))))</f>
        <v> </v>
      </c>
      <c r="J3558" s="25" t="str">
        <f>IF(OR(E3558="",E3558="!!!",F3558="NEW"),"",COUNTBLANK(OFFSET(A$1,,,SUMPRODUCT(MAX(ROW(E$2:E3558)*(E3558=E$2:E3558)))))-COUNTBLANK(OFFSET(A$1,,,SUMPRODUCT(MAX(ROW(E$1:E3557)*(E2=E$1:E3557))))))</f>
        <v> </v>
      </c>
      <c r="K3558" s="25" t="str">
        <f>IF(OR(E3558="",E3558="!!!",F3558="NEW"),"",INDEX(J$1:J3557,SUMPRODUCT(MAX(ROW(E$1:E3557)*(E3558=E$1:E3557)))))</f>
        <v> </v>
      </c>
      <c r="L3558" s="26"/>
    </row>
    <row r="3559" spans="1:12">
      <c r="A3559" s="20" t="s">
        <v>135</v>
      </c>
      <c r="E3559" s="21">
        <f>IF(D3559="?OLD","!!!","")</f>
        <v/>
      </c>
      <c r="F3559" s="22" t="str">
        <f>IF(OR(E3559="",E3559="!!!"),"",IF(NOT(ISNA(VLOOKUP(E3559,E$1:E3558,1,FALSE()))),"OLD",IF(AND(E3559&lt;&gt;"",E3559&lt;&gt;"!!!"),"NEW","")))</f>
        <v> </v>
      </c>
      <c r="G3559" s="23" t="str">
        <f>IF(OR(E3559="",E3559="!!!"),"",IF(OR(J3559=0,AND(J3559=1,K3559=1),AND(J3559=1,I3559="SBJ"),AND(J3559=1,I3559=0)),"?IN_FOCUS",IF(J3559&lt;=2,"?ACTIVATED",IF(J3559&lt;&gt;"","?FAMILIAR",IF(F3559="NEW",IF(ISNA(VLOOKUP(E3559,#REF!,1,FALSE())),"?TYPE_IDENTIFIABLE","?REFERENTIAL"),"_")))))</f>
        <v> </v>
      </c>
      <c r="H3559" s="24" t="str">
        <f>IF(J3559&lt;&gt;1,"",IF(I3559="SBJ","CB","?"))</f>
        <v> </v>
      </c>
      <c r="I3559" s="25" t="str">
        <f>IF(OR(E3559="",E3559="!!!",F3559="NEW"),"",INDEX(B3558:B$2,-1+SUMPRODUCT(MAX(ROW(E3558:E$2)*(E3559=E3558:E$2)))))</f>
        <v> </v>
      </c>
      <c r="J3559" s="25" t="str">
        <f>IF(OR(E3559="",E3559="!!!",F3559="NEW"),"",COUNTBLANK(OFFSET(A$1,,,SUMPRODUCT(MAX(ROW(E$2:E3559)*(E3559=E$2:E3559)))))-COUNTBLANK(OFFSET(A$1,,,SUMPRODUCT(MAX(ROW(E$1:E3558)*(E2=E$1:E3558))))))</f>
        <v> </v>
      </c>
      <c r="K3559" s="25" t="str">
        <f>IF(OR(E3559="",E3559="!!!",F3559="NEW"),"",INDEX(J$1:J3558,SUMPRODUCT(MAX(ROW(E$1:E3558)*(E3559=E$1:E3558)))))</f>
        <v> </v>
      </c>
      <c r="L3559" s="26"/>
    </row>
    <row r="3560" spans="1:12">
      <c r="A3560" s="20"/>
    </row>
    <row r="3561" spans="1:12">
      <c r="A3561" s="20" t="s">
        <v>1824</v>
      </c>
    </row>
    <row r="3562" spans="1:12">
      <c r="A3562" s="20" t="s">
        <v>1825</v>
      </c>
      <c r="E3562" s="21">
        <f>IF(D3562="?OLD","!!!","")</f>
        <v/>
      </c>
      <c r="F3562" s="22" t="str">
        <f>IF(OR(E3562="",E3562="!!!"),"",IF(NOT(ISNA(VLOOKUP(E3562,E$1:E3561,1,FALSE()))),"OLD",IF(AND(E3562&lt;&gt;"",E3562&lt;&gt;"!!!"),"NEW","")))</f>
        <v> </v>
      </c>
      <c r="G3562" s="23" t="str">
        <f>IF(OR(E3562="",E3562="!!!"),"",IF(OR(J3562=0,AND(J3562=1,K3562=1),AND(J3562=1,I3562="SBJ"),AND(J3562=1,I3562=0)),"?IN_FOCUS",IF(J3562&lt;=2,"?ACTIVATED",IF(J3562&lt;&gt;"","?FAMILIAR",IF(F3562="NEW",IF(ISNA(VLOOKUP(E3562,#REF!,1,FALSE())),"?TYPE_IDENTIFIABLE","?REFERENTIAL"),"_")))))</f>
        <v> </v>
      </c>
      <c r="H3562" s="24" t="str">
        <f>IF(J3562&lt;&gt;1,"",IF(I3562="SBJ","CB","?"))</f>
        <v> </v>
      </c>
      <c r="I3562" s="25" t="str">
        <f>IF(OR(E3562="",E3562="!!!",F3562="NEW"),"",INDEX(B3561:B$2,-1+SUMPRODUCT(MAX(ROW(E3561:E$2)*(E3562=E3561:E$2)))))</f>
        <v> </v>
      </c>
      <c r="J3562" s="25" t="str">
        <f>IF(OR(E3562="",E3562="!!!",F3562="NEW"),"",COUNTBLANK(OFFSET(A$1,,,SUMPRODUCT(MAX(ROW(E$2:E3562)*(E3562=E$2:E3562)))))-COUNTBLANK(OFFSET(A$1,,,SUMPRODUCT(MAX(ROW(E$1:E3561)*(E2=E$1:E3561))))))</f>
        <v> </v>
      </c>
      <c r="K3562" s="25" t="str">
        <f>IF(OR(E3562="",E3562="!!!",F3562="NEW"),"",INDEX(J$1:J3561,SUMPRODUCT(MAX(ROW(E$1:E3561)*(E3562=E$1:E3561)))))</f>
        <v> </v>
      </c>
      <c r="L3562" s="26"/>
    </row>
    <row r="3563" spans="1:12">
      <c r="A3563" s="20" t="s">
        <v>1215</v>
      </c>
      <c r="E3563" s="21">
        <f>IF(D3563="?OLD","!!!","")</f>
        <v/>
      </c>
      <c r="F3563" s="22" t="str">
        <f>IF(OR(E3563="",E3563="!!!"),"",IF(NOT(ISNA(VLOOKUP(E3563,E$1:E3562,1,FALSE()))),"OLD",IF(AND(E3563&lt;&gt;"",E3563&lt;&gt;"!!!"),"NEW","")))</f>
        <v> </v>
      </c>
      <c r="G3563" s="23" t="str">
        <f>IF(OR(E3563="",E3563="!!!"),"",IF(OR(J3563=0,AND(J3563=1,K3563=1),AND(J3563=1,I3563="SBJ"),AND(J3563=1,I3563=0)),"?IN_FOCUS",IF(J3563&lt;=2,"?ACTIVATED",IF(J3563&lt;&gt;"","?FAMILIAR",IF(F3563="NEW",IF(ISNA(VLOOKUP(E3563,#REF!,1,FALSE())),"?TYPE_IDENTIFIABLE","?REFERENTIAL"),"_")))))</f>
        <v> </v>
      </c>
      <c r="H3563" s="24" t="str">
        <f>IF(J3563&lt;&gt;1,"",IF(I3563="SBJ","CB","?"))</f>
        <v> </v>
      </c>
      <c r="I3563" s="25" t="str">
        <f>IF(OR(E3563="",E3563="!!!",F3563="NEW"),"",INDEX(B3562:B$2,-1+SUMPRODUCT(MAX(ROW(E3562:E$2)*(E3563=E3562:E$2)))))</f>
        <v> </v>
      </c>
      <c r="J3563" s="25" t="str">
        <f>IF(OR(E3563="",E3563="!!!",F3563="NEW"),"",COUNTBLANK(OFFSET(A$1,,,SUMPRODUCT(MAX(ROW(E$2:E3563)*(E3563=E$2:E3563)))))-COUNTBLANK(OFFSET(A$1,,,SUMPRODUCT(MAX(ROW(E$1:E3562)*(E2=E$1:E3562))))))</f>
        <v> </v>
      </c>
      <c r="K3563" s="25" t="str">
        <f>IF(OR(E3563="",E3563="!!!",F3563="NEW"),"",INDEX(J$1:J3562,SUMPRODUCT(MAX(ROW(E$1:E3562)*(E3563=E$1:E3562)))))</f>
        <v> </v>
      </c>
      <c r="L3563" s="26"/>
    </row>
    <row r="3564" spans="1:12">
      <c r="A3564" s="20"/>
    </row>
    <row r="3565" spans="1:12">
      <c r="A3565" s="20" t="s">
        <v>2223</v>
      </c>
    </row>
    <row r="3566" spans="1:12">
      <c r="A3566" s="20" t="s">
        <v>2224</v>
      </c>
      <c r="B3566" s="27" t="s">
        <v>1045</v>
      </c>
      <c r="C3566" s="27" t="s">
        <v>1015</v>
      </c>
      <c r="E3566" s="21">
        <f>IF(D3566="?OLD","!!!","")</f>
        <v/>
      </c>
      <c r="F3566" s="22" t="str">
        <f>IF(OR(E3566="",E3566="!!!"),"",IF(NOT(ISNA(VLOOKUP(E3566,E$1:E3565,1,FALSE()))),"OLD",IF(AND(E3566&lt;&gt;"",E3566&lt;&gt;"!!!"),"NEW","")))</f>
        <v> </v>
      </c>
      <c r="G3566" s="23" t="str">
        <f>IF(OR(E3566="",E3566="!!!"),"",IF(OR(J3566=0,AND(J3566=1,K3566=1),AND(J3566=1,I3566="SBJ"),AND(J3566=1,I3566=0)),"?IN_FOCUS",IF(J3566&lt;=2,"?ACTIVATED",IF(J3566&lt;&gt;"","?FAMILIAR",IF(F3566="NEW",IF(ISNA(VLOOKUP(E3566,#REF!,1,FALSE())),"?TYPE_IDENTIFIABLE","?REFERENTIAL"),"_")))))</f>
        <v> </v>
      </c>
      <c r="H3566" s="24" t="str">
        <f>IF(J3566&lt;&gt;1,"",IF(I3566="SBJ","CB","?"))</f>
        <v> </v>
      </c>
      <c r="I3566" s="25" t="str">
        <f>IF(OR(E3566="",E3566="!!!",F3566="NEW"),"",INDEX(B3565:B$2,-1+SUMPRODUCT(MAX(ROW(E3565:E$2)*(E3566=E3565:E$2)))))</f>
        <v> </v>
      </c>
      <c r="J3566" s="25" t="str">
        <f>IF(OR(E3566="",E3566="!!!",F3566="NEW"),"",COUNTBLANK(OFFSET(A$1,,,SUMPRODUCT(MAX(ROW(E$2:E3566)*(E3566=E$2:E3566)))))-COUNTBLANK(OFFSET(A$1,,,SUMPRODUCT(MAX(ROW(E$1:E3565)*(E2=E$1:E3565))))))</f>
        <v> </v>
      </c>
      <c r="K3566" s="25" t="str">
        <f>IF(OR(E3566="",E3566="!!!",F3566="NEW"),"",INDEX(J$1:J3565,SUMPRODUCT(MAX(ROW(E$1:E3565)*(E3566=E$1:E3565)))))</f>
        <v> </v>
      </c>
      <c r="L3566" s="26"/>
    </row>
    <row r="3567" spans="1:12">
      <c r="A3567" s="20" t="s">
        <v>1475</v>
      </c>
      <c r="E3567" s="21">
        <f>IF(D3567="?OLD","!!!","")</f>
        <v/>
      </c>
      <c r="F3567" s="22" t="str">
        <f>IF(OR(E3567="",E3567="!!!"),"",IF(NOT(ISNA(VLOOKUP(E3567,E$1:E3566,1,FALSE()))),"OLD",IF(AND(E3567&lt;&gt;"",E3567&lt;&gt;"!!!"),"NEW","")))</f>
        <v> </v>
      </c>
      <c r="G3567" s="23" t="str">
        <f>IF(OR(E3567="",E3567="!!!"),"",IF(OR(J3567=0,AND(J3567=1,K3567=1),AND(J3567=1,I3567="SBJ"),AND(J3567=1,I3567=0)),"?IN_FOCUS",IF(J3567&lt;=2,"?ACTIVATED",IF(J3567&lt;&gt;"","?FAMILIAR",IF(F3567="NEW",IF(ISNA(VLOOKUP(E3567,#REF!,1,FALSE())),"?TYPE_IDENTIFIABLE","?REFERENTIAL"),"_")))))</f>
        <v> </v>
      </c>
      <c r="H3567" s="24" t="str">
        <f>IF(J3567&lt;&gt;1,"",IF(I3567="SBJ","CB","?"))</f>
        <v> </v>
      </c>
      <c r="I3567" s="25" t="str">
        <f>IF(OR(E3567="",E3567="!!!",F3567="NEW"),"",INDEX(B3566:B$2,-1+SUMPRODUCT(MAX(ROW(E3566:E$2)*(E3567=E3566:E$2)))))</f>
        <v> </v>
      </c>
      <c r="J3567" s="25" t="str">
        <f>IF(OR(E3567="",E3567="!!!",F3567="NEW"),"",COUNTBLANK(OFFSET(A$1,,,SUMPRODUCT(MAX(ROW(E$2:E3567)*(E3567=E$2:E3567)))))-COUNTBLANK(OFFSET(A$1,,,SUMPRODUCT(MAX(ROW(E$1:E3566)*(E2=E$1:E3566))))))</f>
        <v> </v>
      </c>
      <c r="K3567" s="25" t="str">
        <f>IF(OR(E3567="",E3567="!!!",F3567="NEW"),"",INDEX(J$1:J3566,SUMPRODUCT(MAX(ROW(E$1:E3566)*(E3567=E$1:E3566)))))</f>
        <v> </v>
      </c>
      <c r="L3567" s="26"/>
    </row>
    <row r="3568" spans="1:12">
      <c r="A3568" s="20" t="s">
        <v>1476</v>
      </c>
      <c r="E3568" s="21">
        <f>IF(D3568="?OLD","!!!","")</f>
        <v/>
      </c>
      <c r="F3568" s="22" t="str">
        <f>IF(OR(E3568="",E3568="!!!"),"",IF(NOT(ISNA(VLOOKUP(E3568,E$1:E3567,1,FALSE()))),"OLD",IF(AND(E3568&lt;&gt;"",E3568&lt;&gt;"!!!"),"NEW","")))</f>
        <v> </v>
      </c>
      <c r="G3568" s="23" t="str">
        <f>IF(OR(E3568="",E3568="!!!"),"",IF(OR(J3568=0,AND(J3568=1,K3568=1),AND(J3568=1,I3568="SBJ"),AND(J3568=1,I3568=0)),"?IN_FOCUS",IF(J3568&lt;=2,"?ACTIVATED",IF(J3568&lt;&gt;"","?FAMILIAR",IF(F3568="NEW",IF(ISNA(VLOOKUP(E3568,#REF!,1,FALSE())),"?TYPE_IDENTIFIABLE","?REFERENTIAL"),"_")))))</f>
        <v> </v>
      </c>
      <c r="H3568" s="24" t="str">
        <f>IF(J3568&lt;&gt;1,"",IF(I3568="SBJ","CB","?"))</f>
        <v> </v>
      </c>
      <c r="I3568" s="25" t="str">
        <f>IF(OR(E3568="",E3568="!!!",F3568="NEW"),"",INDEX(B3567:B$2,-1+SUMPRODUCT(MAX(ROW(E3567:E$2)*(E3568=E3567:E$2)))))</f>
        <v> </v>
      </c>
      <c r="J3568" s="25" t="str">
        <f>IF(OR(E3568="",E3568="!!!",F3568="NEW"),"",COUNTBLANK(OFFSET(A$1,,,SUMPRODUCT(MAX(ROW(E$2:E3568)*(E3568=E$2:E3568)))))-COUNTBLANK(OFFSET(A$1,,,SUMPRODUCT(MAX(ROW(E$1:E3567)*(E2=E$1:E3567))))))</f>
        <v> </v>
      </c>
      <c r="K3568" s="25" t="str">
        <f>IF(OR(E3568="",E3568="!!!",F3568="NEW"),"",INDEX(J$1:J3567,SUMPRODUCT(MAX(ROW(E$1:E3567)*(E3568=E$1:E3567)))))</f>
        <v> </v>
      </c>
      <c r="L3568" s="26"/>
    </row>
    <row r="3569" spans="1:12">
      <c r="A3569" s="20" t="s">
        <v>135</v>
      </c>
      <c r="E3569" s="21">
        <f>IF(D3569="?OLD","!!!","")</f>
        <v/>
      </c>
      <c r="F3569" s="22" t="str">
        <f>IF(OR(E3569="",E3569="!!!"),"",IF(NOT(ISNA(VLOOKUP(E3569,E$1:E3568,1,FALSE()))),"OLD",IF(AND(E3569&lt;&gt;"",E3569&lt;&gt;"!!!"),"NEW","")))</f>
        <v> </v>
      </c>
      <c r="G3569" s="23" t="str">
        <f>IF(OR(E3569="",E3569="!!!"),"",IF(OR(J3569=0,AND(J3569=1,K3569=1),AND(J3569=1,I3569="SBJ"),AND(J3569=1,I3569=0)),"?IN_FOCUS",IF(J3569&lt;=2,"?ACTIVATED",IF(J3569&lt;&gt;"","?FAMILIAR",IF(F3569="NEW",IF(ISNA(VLOOKUP(E3569,#REF!,1,FALSE())),"?TYPE_IDENTIFIABLE","?REFERENTIAL"),"_")))))</f>
        <v> </v>
      </c>
      <c r="H3569" s="24" t="str">
        <f>IF(J3569&lt;&gt;1,"",IF(I3569="SBJ","CB","?"))</f>
        <v> </v>
      </c>
      <c r="I3569" s="25" t="str">
        <f>IF(OR(E3569="",E3569="!!!",F3569="NEW"),"",INDEX(B3568:B$2,-1+SUMPRODUCT(MAX(ROW(E3568:E$2)*(E3569=E3568:E$2)))))</f>
        <v> </v>
      </c>
      <c r="J3569" s="25" t="str">
        <f>IF(OR(E3569="",E3569="!!!",F3569="NEW"),"",COUNTBLANK(OFFSET(A$1,,,SUMPRODUCT(MAX(ROW(E$2:E3569)*(E3569=E$2:E3569)))))-COUNTBLANK(OFFSET(A$1,,,SUMPRODUCT(MAX(ROW(E$1:E3568)*(E2=E$1:E3568))))))</f>
        <v> </v>
      </c>
      <c r="K3569" s="25" t="str">
        <f>IF(OR(E3569="",E3569="!!!",F3569="NEW"),"",INDEX(J$1:J3568,SUMPRODUCT(MAX(ROW(E$1:E3568)*(E3569=E$1:E3568)))))</f>
        <v> </v>
      </c>
      <c r="L3569" s="26"/>
    </row>
    <row r="3570" spans="1:12">
      <c r="A3570" s="20"/>
    </row>
    <row r="3571" spans="1:12">
      <c r="A3571" s="20" t="s">
        <v>2225</v>
      </c>
    </row>
    <row r="3572" spans="1:12">
      <c r="A3572" s="20" t="s">
        <v>1088</v>
      </c>
      <c r="E3572" s="21">
        <f>IF(D3572="?OLD","!!!","")</f>
        <v/>
      </c>
      <c r="F3572" s="22" t="str">
        <f>IF(OR(E3572="",E3572="!!!"),"",IF(NOT(ISNA(VLOOKUP(E3572,E$1:E3571,1,FALSE()))),"OLD",IF(AND(E3572&lt;&gt;"",E3572&lt;&gt;"!!!"),"NEW","")))</f>
        <v> </v>
      </c>
      <c r="G3572" s="23" t="str">
        <f>IF(OR(E3572="",E3572="!!!"),"",IF(OR(J3572=0,AND(J3572=1,K3572=1),AND(J3572=1,I3572="SBJ"),AND(J3572=1,I3572=0)),"?IN_FOCUS",IF(J3572&lt;=2,"?ACTIVATED",IF(J3572&lt;&gt;"","?FAMILIAR",IF(F3572="NEW",IF(ISNA(VLOOKUP(E3572,#REF!,1,FALSE())),"?TYPE_IDENTIFIABLE","?REFERENTIAL"),"_")))))</f>
        <v> </v>
      </c>
      <c r="H3572" s="24" t="str">
        <f>IF(J3572&lt;&gt;1,"",IF(I3572="SBJ","CB","?"))</f>
        <v> </v>
      </c>
      <c r="I3572" s="25" t="str">
        <f>IF(OR(E3572="",E3572="!!!",F3572="NEW"),"",INDEX(B3571:B$2,-1+SUMPRODUCT(MAX(ROW(E3571:E$2)*(E3572=E3571:E$2)))))</f>
        <v> </v>
      </c>
      <c r="J3572" s="25" t="str">
        <f>IF(OR(E3572="",E3572="!!!",F3572="NEW"),"",COUNTBLANK(OFFSET(A$1,,,SUMPRODUCT(MAX(ROW(E$2:E3572)*(E3572=E$2:E3572)))))-COUNTBLANK(OFFSET(A$1,,,SUMPRODUCT(MAX(ROW(E$1:E3571)*(E2=E$1:E3571))))))</f>
        <v> </v>
      </c>
      <c r="K3572" s="25" t="str">
        <f>IF(OR(E3572="",E3572="!!!",F3572="NEW"),"",INDEX(J$1:J3571,SUMPRODUCT(MAX(ROW(E$1:E3571)*(E3572=E$1:E3571)))))</f>
        <v> </v>
      </c>
      <c r="L3572" s="26"/>
    </row>
    <row r="3573" spans="1:12">
      <c r="A3573" s="20" t="s">
        <v>2150</v>
      </c>
      <c r="E3573" s="21">
        <f>IF(D3573="?OLD","!!!","")</f>
        <v/>
      </c>
      <c r="F3573" s="22" t="str">
        <f>IF(OR(E3573="",E3573="!!!"),"",IF(NOT(ISNA(VLOOKUP(E3573,E$1:E3572,1,FALSE()))),"OLD",IF(AND(E3573&lt;&gt;"",E3573&lt;&gt;"!!!"),"NEW","")))</f>
        <v> </v>
      </c>
      <c r="G3573" s="23" t="str">
        <f>IF(OR(E3573="",E3573="!!!"),"",IF(OR(J3573=0,AND(J3573=1,K3573=1),AND(J3573=1,I3573="SBJ"),AND(J3573=1,I3573=0)),"?IN_FOCUS",IF(J3573&lt;=2,"?ACTIVATED",IF(J3573&lt;&gt;"","?FAMILIAR",IF(F3573="NEW",IF(ISNA(VLOOKUP(E3573,#REF!,1,FALSE())),"?TYPE_IDENTIFIABLE","?REFERENTIAL"),"_")))))</f>
        <v> </v>
      </c>
      <c r="H3573" s="24" t="str">
        <f>IF(J3573&lt;&gt;1,"",IF(I3573="SBJ","CB","?"))</f>
        <v> </v>
      </c>
      <c r="I3573" s="25" t="str">
        <f>IF(OR(E3573="",E3573="!!!",F3573="NEW"),"",INDEX(B3572:B$2,-1+SUMPRODUCT(MAX(ROW(E3572:E$2)*(E3573=E3572:E$2)))))</f>
        <v> </v>
      </c>
      <c r="J3573" s="25" t="str">
        <f>IF(OR(E3573="",E3573="!!!",F3573="NEW"),"",COUNTBLANK(OFFSET(A$1,,,SUMPRODUCT(MAX(ROW(E$2:E3573)*(E3573=E$2:E3573)))))-COUNTBLANK(OFFSET(A$1,,,SUMPRODUCT(MAX(ROW(E$1:E3572)*(E2=E$1:E3572))))))</f>
        <v> </v>
      </c>
      <c r="K3573" s="25" t="str">
        <f>IF(OR(E3573="",E3573="!!!",F3573="NEW"),"",INDEX(J$1:J3572,SUMPRODUCT(MAX(ROW(E$1:E3572)*(E3573=E$1:E3572)))))</f>
        <v> </v>
      </c>
      <c r="L3573" s="26"/>
    </row>
    <row r="3574" spans="1:12">
      <c r="A3574" s="20" t="s">
        <v>880</v>
      </c>
      <c r="E3574" s="21">
        <f>IF(D3574="?OLD","!!!","")</f>
        <v/>
      </c>
      <c r="F3574" s="22" t="str">
        <f>IF(OR(E3574="",E3574="!!!"),"",IF(NOT(ISNA(VLOOKUP(E3574,E$1:E3573,1,FALSE()))),"OLD",IF(AND(E3574&lt;&gt;"",E3574&lt;&gt;"!!!"),"NEW","")))</f>
        <v> </v>
      </c>
      <c r="G3574" s="23" t="str">
        <f>IF(OR(E3574="",E3574="!!!"),"",IF(OR(J3574=0,AND(J3574=1,K3574=1),AND(J3574=1,I3574="SBJ"),AND(J3574=1,I3574=0)),"?IN_FOCUS",IF(J3574&lt;=2,"?ACTIVATED",IF(J3574&lt;&gt;"","?FAMILIAR",IF(F3574="NEW",IF(ISNA(VLOOKUP(E3574,#REF!,1,FALSE())),"?TYPE_IDENTIFIABLE","?REFERENTIAL"),"_")))))</f>
        <v> </v>
      </c>
      <c r="H3574" s="24" t="str">
        <f>IF(J3574&lt;&gt;1,"",IF(I3574="SBJ","CB","?"))</f>
        <v> </v>
      </c>
      <c r="I3574" s="25" t="str">
        <f>IF(OR(E3574="",E3574="!!!",F3574="NEW"),"",INDEX(B3573:B$2,-1+SUMPRODUCT(MAX(ROW(E3573:E$2)*(E3574=E3573:E$2)))))</f>
        <v> </v>
      </c>
      <c r="J3574" s="25" t="str">
        <f>IF(OR(E3574="",E3574="!!!",F3574="NEW"),"",COUNTBLANK(OFFSET(A$1,,,SUMPRODUCT(MAX(ROW(E$2:E3574)*(E3574=E$2:E3574)))))-COUNTBLANK(OFFSET(A$1,,,SUMPRODUCT(MAX(ROW(E$1:E3573)*(E2=E$1:E3573))))))</f>
        <v> </v>
      </c>
      <c r="K3574" s="25" t="str">
        <f>IF(OR(E3574="",E3574="!!!",F3574="NEW"),"",INDEX(J$1:J3573,SUMPRODUCT(MAX(ROW(E$1:E3573)*(E3574=E$1:E3573)))))</f>
        <v> </v>
      </c>
      <c r="L3574" s="26"/>
    </row>
    <row r="3575" spans="1:12">
      <c r="A3575" s="20" t="s">
        <v>1096</v>
      </c>
      <c r="E3575" s="21">
        <f>IF(D3575="?OLD","!!!","")</f>
        <v/>
      </c>
      <c r="F3575" s="22" t="str">
        <f>IF(OR(E3575="",E3575="!!!"),"",IF(NOT(ISNA(VLOOKUP(E3575,E$1:E3574,1,FALSE()))),"OLD",IF(AND(E3575&lt;&gt;"",E3575&lt;&gt;"!!!"),"NEW","")))</f>
        <v> </v>
      </c>
      <c r="G3575" s="23" t="str">
        <f>IF(OR(E3575="",E3575="!!!"),"",IF(OR(J3575=0,AND(J3575=1,K3575=1),AND(J3575=1,I3575="SBJ"),AND(J3575=1,I3575=0)),"?IN_FOCUS",IF(J3575&lt;=2,"?ACTIVATED",IF(J3575&lt;&gt;"","?FAMILIAR",IF(F3575="NEW",IF(ISNA(VLOOKUP(E3575,#REF!,1,FALSE())),"?TYPE_IDENTIFIABLE","?REFERENTIAL"),"_")))))</f>
        <v> </v>
      </c>
      <c r="H3575" s="24" t="str">
        <f>IF(J3575&lt;&gt;1,"",IF(I3575="SBJ","CB","?"))</f>
        <v> </v>
      </c>
      <c r="I3575" s="25" t="str">
        <f>IF(OR(E3575="",E3575="!!!",F3575="NEW"),"",INDEX(B3574:B$2,-1+SUMPRODUCT(MAX(ROW(E3574:E$2)*(E3575=E3574:E$2)))))</f>
        <v> </v>
      </c>
      <c r="J3575" s="25" t="str">
        <f>IF(OR(E3575="",E3575="!!!",F3575="NEW"),"",COUNTBLANK(OFFSET(A$1,,,SUMPRODUCT(MAX(ROW(E$2:E3575)*(E3575=E$2:E3575)))))-COUNTBLANK(OFFSET(A$1,,,SUMPRODUCT(MAX(ROW(E$1:E3574)*(E2=E$1:E3574))))))</f>
        <v> </v>
      </c>
      <c r="K3575" s="25" t="str">
        <f>IF(OR(E3575="",E3575="!!!",F3575="NEW"),"",INDEX(J$1:J3574,SUMPRODUCT(MAX(ROW(E$1:E3574)*(E3575=E$1:E3574)))))</f>
        <v> </v>
      </c>
      <c r="L3575" s="26"/>
    </row>
    <row r="3576" spans="1:12">
      <c r="A3576" s="20" t="s">
        <v>1185</v>
      </c>
      <c r="B3576" s="27" t="s">
        <v>1014</v>
      </c>
      <c r="C3576" s="27" t="s">
        <v>1038</v>
      </c>
      <c r="D3576" s="27" t="s">
        <v>1030</v>
      </c>
      <c r="E3576" s="21">
        <f>IF(D3576="?OLD","!!!","")</f>
        <v/>
      </c>
      <c r="F3576" s="22" t="str">
        <f>IF(OR(E3576="",E3576="!!!"),"",IF(NOT(ISNA(VLOOKUP(E3576,E$1:E3575,1,FALSE()))),"OLD",IF(AND(E3576&lt;&gt;"",E3576&lt;&gt;"!!!"),"NEW","")))</f>
        <v> </v>
      </c>
      <c r="G3576" s="23" t="str">
        <f>IF(OR(E3576="",E3576="!!!"),"",IF(OR(J3576=0,AND(J3576=1,K3576=1),AND(J3576=1,I3576="SBJ"),AND(J3576=1,I3576=0)),"?IN_FOCUS",IF(J3576&lt;=2,"?ACTIVATED",IF(J3576&lt;&gt;"","?FAMILIAR",IF(F3576="NEW",IF(ISNA(VLOOKUP(E3576,#REF!,1,FALSE())),"?TYPE_IDENTIFIABLE","?REFERENTIAL"),"_")))))</f>
        <v> </v>
      </c>
      <c r="H3576" s="24" t="str">
        <f>IF(J3576&lt;&gt;1,"",IF(I3576="SBJ","CB","?"))</f>
        <v> </v>
      </c>
      <c r="I3576" s="25" t="str">
        <f>IF(OR(E3576="",E3576="!!!",F3576="NEW"),"",INDEX(B3575:B$2,-1+SUMPRODUCT(MAX(ROW(E3575:E$2)*(E3576=E3575:E$2)))))</f>
        <v> </v>
      </c>
      <c r="J3576" s="25" t="str">
        <f>IF(OR(E3576="",E3576="!!!",F3576="NEW"),"",COUNTBLANK(OFFSET(A$1,,,SUMPRODUCT(MAX(ROW(E$2:E3576)*(E3576=E$2:E3576)))))-COUNTBLANK(OFFSET(A$1,,,SUMPRODUCT(MAX(ROW(E$1:E3575)*(E2=E$1:E3575))))))</f>
        <v> </v>
      </c>
      <c r="K3576" s="25" t="str">
        <f>IF(OR(E3576="",E3576="!!!",F3576="NEW"),"",INDEX(J$1:J3575,SUMPRODUCT(MAX(ROW(E$1:E3575)*(E3576=E$1:E3575)))))</f>
        <v> </v>
      </c>
      <c r="L3576" s="26"/>
    </row>
    <row r="3577" spans="1:12">
      <c r="A3577" s="20" t="s">
        <v>1074</v>
      </c>
      <c r="E3577" s="21">
        <f>IF(D3577="?OLD","!!!","")</f>
        <v/>
      </c>
      <c r="F3577" s="22" t="str">
        <f>IF(OR(E3577="",E3577="!!!"),"",IF(NOT(ISNA(VLOOKUP(E3577,E$1:E3576,1,FALSE()))),"OLD",IF(AND(E3577&lt;&gt;"",E3577&lt;&gt;"!!!"),"NEW","")))</f>
        <v> </v>
      </c>
      <c r="G3577" s="23" t="str">
        <f>IF(OR(E3577="",E3577="!!!"),"",IF(OR(J3577=0,AND(J3577=1,K3577=1),AND(J3577=1,I3577="SBJ"),AND(J3577=1,I3577=0)),"?IN_FOCUS",IF(J3577&lt;=2,"?ACTIVATED",IF(J3577&lt;&gt;"","?FAMILIAR",IF(F3577="NEW",IF(ISNA(VLOOKUP(E3577,#REF!,1,FALSE())),"?TYPE_IDENTIFIABLE","?REFERENTIAL"),"_")))))</f>
        <v> </v>
      </c>
      <c r="H3577" s="24" t="str">
        <f>IF(J3577&lt;&gt;1,"",IF(I3577="SBJ","CB","?"))</f>
        <v> </v>
      </c>
      <c r="I3577" s="25" t="str">
        <f>IF(OR(E3577="",E3577="!!!",F3577="NEW"),"",INDEX(B3576:B$2,-1+SUMPRODUCT(MAX(ROW(E3576:E$2)*(E3577=E3576:E$2)))))</f>
        <v> </v>
      </c>
      <c r="J3577" s="25" t="str">
        <f>IF(OR(E3577="",E3577="!!!",F3577="NEW"),"",COUNTBLANK(OFFSET(A$1,,,SUMPRODUCT(MAX(ROW(E$2:E3577)*(E3577=E$2:E3577)))))-COUNTBLANK(OFFSET(A$1,,,SUMPRODUCT(MAX(ROW(E$1:E3576)*(E2=E$1:E3576))))))</f>
        <v> </v>
      </c>
      <c r="K3577" s="25" t="str">
        <f>IF(OR(E3577="",E3577="!!!",F3577="NEW"),"",INDEX(J$1:J3576,SUMPRODUCT(MAX(ROW(E$1:E3576)*(E3577=E$1:E3576)))))</f>
        <v> </v>
      </c>
      <c r="L3577" s="26"/>
    </row>
    <row r="3578" spans="1:12">
      <c r="A3578" s="20" t="s">
        <v>884</v>
      </c>
      <c r="E3578" s="21">
        <f>IF(D3578="?OLD","!!!","")</f>
        <v/>
      </c>
      <c r="F3578" s="22" t="str">
        <f>IF(OR(E3578="",E3578="!!!"),"",IF(NOT(ISNA(VLOOKUP(E3578,E$1:E3577,1,FALSE()))),"OLD",IF(AND(E3578&lt;&gt;"",E3578&lt;&gt;"!!!"),"NEW","")))</f>
        <v> </v>
      </c>
      <c r="G3578" s="23" t="str">
        <f>IF(OR(E3578="",E3578="!!!"),"",IF(OR(J3578=0,AND(J3578=1,K3578=1),AND(J3578=1,I3578="SBJ"),AND(J3578=1,I3578=0)),"?IN_FOCUS",IF(J3578&lt;=2,"?ACTIVATED",IF(J3578&lt;&gt;"","?FAMILIAR",IF(F3578="NEW",IF(ISNA(VLOOKUP(E3578,#REF!,1,FALSE())),"?TYPE_IDENTIFIABLE","?REFERENTIAL"),"_")))))</f>
        <v> </v>
      </c>
      <c r="H3578" s="24" t="str">
        <f>IF(J3578&lt;&gt;1,"",IF(I3578="SBJ","CB","?"))</f>
        <v> </v>
      </c>
      <c r="I3578" s="25" t="str">
        <f>IF(OR(E3578="",E3578="!!!",F3578="NEW"),"",INDEX(B3577:B$2,-1+SUMPRODUCT(MAX(ROW(E3577:E$2)*(E3578=E3577:E$2)))))</f>
        <v> </v>
      </c>
      <c r="J3578" s="25" t="str">
        <f>IF(OR(E3578="",E3578="!!!",F3578="NEW"),"",COUNTBLANK(OFFSET(A$1,,,SUMPRODUCT(MAX(ROW(E$2:E3578)*(E3578=E$2:E3578)))))-COUNTBLANK(OFFSET(A$1,,,SUMPRODUCT(MAX(ROW(E$1:E3577)*(E2=E$1:E3577))))))</f>
        <v> </v>
      </c>
      <c r="K3578" s="25" t="str">
        <f>IF(OR(E3578="",E3578="!!!",F3578="NEW"),"",INDEX(J$1:J3577,SUMPRODUCT(MAX(ROW(E$1:E3577)*(E3578=E$1:E3577)))))</f>
        <v> </v>
      </c>
      <c r="L3578" s="26"/>
    </row>
    <row r="3579" spans="1:12">
      <c r="A3579" s="20" t="s">
        <v>2226</v>
      </c>
      <c r="B3579" s="27" t="s">
        <v>1069</v>
      </c>
      <c r="C3579" s="27" t="s">
        <v>1015</v>
      </c>
      <c r="E3579" s="21">
        <f>IF(D3579="?OLD","!!!","")</f>
        <v/>
      </c>
      <c r="F3579" s="22" t="str">
        <f>IF(OR(E3579="",E3579="!!!"),"",IF(NOT(ISNA(VLOOKUP(E3579,E$1:E3578,1,FALSE()))),"OLD",IF(AND(E3579&lt;&gt;"",E3579&lt;&gt;"!!!"),"NEW","")))</f>
        <v> </v>
      </c>
      <c r="G3579" s="23" t="str">
        <f>IF(OR(E3579="",E3579="!!!"),"",IF(OR(J3579=0,AND(J3579=1,K3579=1),AND(J3579=1,I3579="SBJ"),AND(J3579=1,I3579=0)),"?IN_FOCUS",IF(J3579&lt;=2,"?ACTIVATED",IF(J3579&lt;&gt;"","?FAMILIAR",IF(F3579="NEW",IF(ISNA(VLOOKUP(E3579,#REF!,1,FALSE())),"?TYPE_IDENTIFIABLE","?REFERENTIAL"),"_")))))</f>
        <v> </v>
      </c>
      <c r="H3579" s="24" t="str">
        <f>IF(J3579&lt;&gt;1,"",IF(I3579="SBJ","CB","?"))</f>
        <v> </v>
      </c>
      <c r="I3579" s="25" t="str">
        <f>IF(OR(E3579="",E3579="!!!",F3579="NEW"),"",INDEX(B3578:B$2,-1+SUMPRODUCT(MAX(ROW(E3578:E$2)*(E3579=E3578:E$2)))))</f>
        <v> </v>
      </c>
      <c r="J3579" s="25" t="str">
        <f>IF(OR(E3579="",E3579="!!!",F3579="NEW"),"",COUNTBLANK(OFFSET(A$1,,,SUMPRODUCT(MAX(ROW(E$2:E3579)*(E3579=E$2:E3579)))))-COUNTBLANK(OFFSET(A$1,,,SUMPRODUCT(MAX(ROW(E$1:E3578)*(E2=E$1:E3578))))))</f>
        <v> </v>
      </c>
      <c r="K3579" s="25" t="str">
        <f>IF(OR(E3579="",E3579="!!!",F3579="NEW"),"",INDEX(J$1:J3578,SUMPRODUCT(MAX(ROW(E$1:E3578)*(E3579=E$1:E3578)))))</f>
        <v> </v>
      </c>
      <c r="L3579" s="26"/>
    </row>
    <row r="3580" spans="1:12">
      <c r="A3580" s="20" t="s">
        <v>1161</v>
      </c>
      <c r="E3580" s="21">
        <f>IF(D3580="?OLD","!!!","")</f>
        <v/>
      </c>
      <c r="F3580" s="22" t="str">
        <f>IF(OR(E3580="",E3580="!!!"),"",IF(NOT(ISNA(VLOOKUP(E3580,E$1:E3579,1,FALSE()))),"OLD",IF(AND(E3580&lt;&gt;"",E3580&lt;&gt;"!!!"),"NEW","")))</f>
        <v> </v>
      </c>
      <c r="G3580" s="23" t="str">
        <f>IF(OR(E3580="",E3580="!!!"),"",IF(OR(J3580=0,AND(J3580=1,K3580=1),AND(J3580=1,I3580="SBJ"),AND(J3580=1,I3580=0)),"?IN_FOCUS",IF(J3580&lt;=2,"?ACTIVATED",IF(J3580&lt;&gt;"","?FAMILIAR",IF(F3580="NEW",IF(ISNA(VLOOKUP(E3580,#REF!,1,FALSE())),"?TYPE_IDENTIFIABLE","?REFERENTIAL"),"_")))))</f>
        <v> </v>
      </c>
      <c r="H3580" s="24" t="str">
        <f>IF(J3580&lt;&gt;1,"",IF(I3580="SBJ","CB","?"))</f>
        <v> </v>
      </c>
      <c r="I3580" s="25" t="str">
        <f>IF(OR(E3580="",E3580="!!!",F3580="NEW"),"",INDEX(B3579:B$2,-1+SUMPRODUCT(MAX(ROW(E3579:E$2)*(E3580=E3579:E$2)))))</f>
        <v> </v>
      </c>
      <c r="J3580" s="25" t="str">
        <f>IF(OR(E3580="",E3580="!!!",F3580="NEW"),"",COUNTBLANK(OFFSET(A$1,,,SUMPRODUCT(MAX(ROW(E$2:E3580)*(E3580=E$2:E3580)))))-COUNTBLANK(OFFSET(A$1,,,SUMPRODUCT(MAX(ROW(E$1:E3579)*(E2=E$1:E3579))))))</f>
        <v> </v>
      </c>
      <c r="K3580" s="25" t="str">
        <f>IF(OR(E3580="",E3580="!!!",F3580="NEW"),"",INDEX(J$1:J3579,SUMPRODUCT(MAX(ROW(E$1:E3579)*(E3580=E$1:E3579)))))</f>
        <v> </v>
      </c>
      <c r="L3580" s="26"/>
    </row>
    <row r="3581" spans="1:12">
      <c r="A3581" s="20" t="s">
        <v>1214</v>
      </c>
      <c r="E3581" s="21">
        <f>IF(D3581="?OLD","!!!","")</f>
        <v/>
      </c>
      <c r="F3581" s="22" t="str">
        <f>IF(OR(E3581="",E3581="!!!"),"",IF(NOT(ISNA(VLOOKUP(E3581,E$1:E3580,1,FALSE()))),"OLD",IF(AND(E3581&lt;&gt;"",E3581&lt;&gt;"!!!"),"NEW","")))</f>
        <v> </v>
      </c>
      <c r="G3581" s="23" t="str">
        <f>IF(OR(E3581="",E3581="!!!"),"",IF(OR(J3581=0,AND(J3581=1,K3581=1),AND(J3581=1,I3581="SBJ"),AND(J3581=1,I3581=0)),"?IN_FOCUS",IF(J3581&lt;=2,"?ACTIVATED",IF(J3581&lt;&gt;"","?FAMILIAR",IF(F3581="NEW",IF(ISNA(VLOOKUP(E3581,#REF!,1,FALSE())),"?TYPE_IDENTIFIABLE","?REFERENTIAL"),"_")))))</f>
        <v> </v>
      </c>
      <c r="H3581" s="24" t="str">
        <f>IF(J3581&lt;&gt;1,"",IF(I3581="SBJ","CB","?"))</f>
        <v> </v>
      </c>
      <c r="I3581" s="25" t="str">
        <f>IF(OR(E3581="",E3581="!!!",F3581="NEW"),"",INDEX(B3580:B$2,-1+SUMPRODUCT(MAX(ROW(E3580:E$2)*(E3581=E3580:E$2)))))</f>
        <v> </v>
      </c>
      <c r="J3581" s="25" t="str">
        <f>IF(OR(E3581="",E3581="!!!",F3581="NEW"),"",COUNTBLANK(OFFSET(A$1,,,SUMPRODUCT(MAX(ROW(E$2:E3581)*(E3581=E$2:E3581)))))-COUNTBLANK(OFFSET(A$1,,,SUMPRODUCT(MAX(ROW(E$1:E3580)*(E2=E$1:E3580))))))</f>
        <v> </v>
      </c>
      <c r="K3581" s="25" t="str">
        <f>IF(OR(E3581="",E3581="!!!",F3581="NEW"),"",INDEX(J$1:J3580,SUMPRODUCT(MAX(ROW(E$1:E3580)*(E3581=E$1:E3580)))))</f>
        <v> </v>
      </c>
      <c r="L3581" s="26"/>
    </row>
    <row r="3582" spans="1:12">
      <c r="A3582" s="20" t="s">
        <v>1297</v>
      </c>
      <c r="B3582" s="27" t="s">
        <v>1079</v>
      </c>
      <c r="C3582" s="27" t="s">
        <v>1015</v>
      </c>
      <c r="E3582" s="21">
        <f>IF(D3582="?OLD","!!!","")</f>
        <v/>
      </c>
      <c r="F3582" s="22" t="str">
        <f>IF(OR(E3582="",E3582="!!!"),"",IF(NOT(ISNA(VLOOKUP(E3582,E$1:E3581,1,FALSE()))),"OLD",IF(AND(E3582&lt;&gt;"",E3582&lt;&gt;"!!!"),"NEW","")))</f>
        <v> </v>
      </c>
      <c r="G3582" s="23" t="str">
        <f>IF(OR(E3582="",E3582="!!!"),"",IF(OR(J3582=0,AND(J3582=1,K3582=1),AND(J3582=1,I3582="SBJ"),AND(J3582=1,I3582=0)),"?IN_FOCUS",IF(J3582&lt;=2,"?ACTIVATED",IF(J3582&lt;&gt;"","?FAMILIAR",IF(F3582="NEW",IF(ISNA(VLOOKUP(E3582,#REF!,1,FALSE())),"?TYPE_IDENTIFIABLE","?REFERENTIAL"),"_")))))</f>
        <v> </v>
      </c>
      <c r="H3582" s="24" t="str">
        <f>IF(J3582&lt;&gt;1,"",IF(I3582="SBJ","CB","?"))</f>
        <v> </v>
      </c>
      <c r="I3582" s="25" t="str">
        <f>IF(OR(E3582="",E3582="!!!",F3582="NEW"),"",INDEX(B3581:B$2,-1+SUMPRODUCT(MAX(ROW(E3581:E$2)*(E3582=E3581:E$2)))))</f>
        <v> </v>
      </c>
      <c r="J3582" s="25" t="str">
        <f>IF(OR(E3582="",E3582="!!!",F3582="NEW"),"",COUNTBLANK(OFFSET(A$1,,,SUMPRODUCT(MAX(ROW(E$2:E3582)*(E3582=E$2:E3582)))))-COUNTBLANK(OFFSET(A$1,,,SUMPRODUCT(MAX(ROW(E$1:E3581)*(E2=E$1:E3581))))))</f>
        <v> </v>
      </c>
      <c r="K3582" s="25" t="str">
        <f>IF(OR(E3582="",E3582="!!!",F3582="NEW"),"",INDEX(J$1:J3581,SUMPRODUCT(MAX(ROW(E$1:E3581)*(E3582=E$1:E3581)))))</f>
        <v> </v>
      </c>
      <c r="L3582" s="26"/>
    </row>
    <row r="3583" spans="1:12">
      <c r="A3583" s="20" t="s">
        <v>1111</v>
      </c>
      <c r="E3583" s="21">
        <f>IF(D3583="?OLD","!!!","")</f>
        <v/>
      </c>
      <c r="F3583" s="22" t="str">
        <f>IF(OR(E3583="",E3583="!!!"),"",IF(NOT(ISNA(VLOOKUP(E3583,E$1:E3582,1,FALSE()))),"OLD",IF(AND(E3583&lt;&gt;"",E3583&lt;&gt;"!!!"),"NEW","")))</f>
        <v> </v>
      </c>
      <c r="G3583" s="23" t="str">
        <f>IF(OR(E3583="",E3583="!!!"),"",IF(OR(J3583=0,AND(J3583=1,K3583=1),AND(J3583=1,I3583="SBJ"),AND(J3583=1,I3583=0)),"?IN_FOCUS",IF(J3583&lt;=2,"?ACTIVATED",IF(J3583&lt;&gt;"","?FAMILIAR",IF(F3583="NEW",IF(ISNA(VLOOKUP(E3583,#REF!,1,FALSE())),"?TYPE_IDENTIFIABLE","?REFERENTIAL"),"_")))))</f>
        <v> </v>
      </c>
      <c r="H3583" s="24" t="str">
        <f>IF(J3583&lt;&gt;1,"",IF(I3583="SBJ","CB","?"))</f>
        <v> </v>
      </c>
      <c r="I3583" s="25" t="str">
        <f>IF(OR(E3583="",E3583="!!!",F3583="NEW"),"",INDEX(B3582:B$2,-1+SUMPRODUCT(MAX(ROW(E3582:E$2)*(E3583=E3582:E$2)))))</f>
        <v> </v>
      </c>
      <c r="J3583" s="25" t="str">
        <f>IF(OR(E3583="",E3583="!!!",F3583="NEW"),"",COUNTBLANK(OFFSET(A$1,,,SUMPRODUCT(MAX(ROW(E$2:E3583)*(E3583=E$2:E3583)))))-COUNTBLANK(OFFSET(A$1,,,SUMPRODUCT(MAX(ROW(E$1:E3582)*(E2=E$1:E3582))))))</f>
        <v> </v>
      </c>
      <c r="K3583" s="25" t="str">
        <f>IF(OR(E3583="",E3583="!!!",F3583="NEW"),"",INDEX(J$1:J3582,SUMPRODUCT(MAX(ROW(E$1:E3582)*(E3583=E$1:E3582)))))</f>
        <v> </v>
      </c>
      <c r="L3583" s="26"/>
    </row>
    <row r="3584" spans="1:12">
      <c r="A3584" s="20" t="s">
        <v>2227</v>
      </c>
      <c r="B3584" s="27" t="s">
        <v>1069</v>
      </c>
      <c r="C3584" s="27" t="s">
        <v>1038</v>
      </c>
      <c r="D3584" s="27" t="s">
        <v>1030</v>
      </c>
      <c r="E3584" s="21">
        <f>IF(D3584="?OLD","!!!","")</f>
        <v/>
      </c>
      <c r="F3584" s="22" t="str">
        <f>IF(OR(E3584="",E3584="!!!"),"",IF(NOT(ISNA(VLOOKUP(E3584,E$1:E3583,1,FALSE()))),"OLD",IF(AND(E3584&lt;&gt;"",E3584&lt;&gt;"!!!"),"NEW","")))</f>
        <v> </v>
      </c>
      <c r="G3584" s="23" t="str">
        <f>IF(OR(E3584="",E3584="!!!"),"",IF(OR(J3584=0,AND(J3584=1,K3584=1),AND(J3584=1,I3584="SBJ"),AND(J3584=1,I3584=0)),"?IN_FOCUS",IF(J3584&lt;=2,"?ACTIVATED",IF(J3584&lt;&gt;"","?FAMILIAR",IF(F3584="NEW",IF(ISNA(VLOOKUP(E3584,#REF!,1,FALSE())),"?TYPE_IDENTIFIABLE","?REFERENTIAL"),"_")))))</f>
        <v> </v>
      </c>
      <c r="H3584" s="24" t="str">
        <f>IF(J3584&lt;&gt;1,"",IF(I3584="SBJ","CB","?"))</f>
        <v> </v>
      </c>
      <c r="I3584" s="25" t="str">
        <f>IF(OR(E3584="",E3584="!!!",F3584="NEW"),"",INDEX(B3583:B$2,-1+SUMPRODUCT(MAX(ROW(E3583:E$2)*(E3584=E3583:E$2)))))</f>
        <v> </v>
      </c>
      <c r="J3584" s="25" t="str">
        <f>IF(OR(E3584="",E3584="!!!",F3584="NEW"),"",COUNTBLANK(OFFSET(A$1,,,SUMPRODUCT(MAX(ROW(E$2:E3584)*(E3584=E$2:E3584)))))-COUNTBLANK(OFFSET(A$1,,,SUMPRODUCT(MAX(ROW(E$1:E3583)*(E2=E$1:E3583))))))</f>
        <v> </v>
      </c>
      <c r="K3584" s="25" t="str">
        <f>IF(OR(E3584="",E3584="!!!",F3584="NEW"),"",INDEX(J$1:J3583,SUMPRODUCT(MAX(ROW(E$1:E3583)*(E3584=E$1:E3583)))))</f>
        <v> </v>
      </c>
      <c r="L3584" s="26"/>
    </row>
    <row r="3585" spans="1:12">
      <c r="A3585" s="20" t="s">
        <v>135</v>
      </c>
      <c r="E3585" s="21">
        <f>IF(D3585="?OLD","!!!","")</f>
        <v/>
      </c>
      <c r="F3585" s="22" t="str">
        <f>IF(OR(E3585="",E3585="!!!"),"",IF(NOT(ISNA(VLOOKUP(E3585,E$1:E3584,1,FALSE()))),"OLD",IF(AND(E3585&lt;&gt;"",E3585&lt;&gt;"!!!"),"NEW","")))</f>
        <v> </v>
      </c>
      <c r="G3585" s="23" t="str">
        <f>IF(OR(E3585="",E3585="!!!"),"",IF(OR(J3585=0,AND(J3585=1,K3585=1),AND(J3585=1,I3585="SBJ"),AND(J3585=1,I3585=0)),"?IN_FOCUS",IF(J3585&lt;=2,"?ACTIVATED",IF(J3585&lt;&gt;"","?FAMILIAR",IF(F3585="NEW",IF(ISNA(VLOOKUP(E3585,#REF!,1,FALSE())),"?TYPE_IDENTIFIABLE","?REFERENTIAL"),"_")))))</f>
        <v> </v>
      </c>
      <c r="H3585" s="24" t="str">
        <f>IF(J3585&lt;&gt;1,"",IF(I3585="SBJ","CB","?"))</f>
        <v> </v>
      </c>
      <c r="I3585" s="25" t="str">
        <f>IF(OR(E3585="",E3585="!!!",F3585="NEW"),"",INDEX(B3584:B$2,-1+SUMPRODUCT(MAX(ROW(E3584:E$2)*(E3585=E3584:E$2)))))</f>
        <v> </v>
      </c>
      <c r="J3585" s="25" t="str">
        <f>IF(OR(E3585="",E3585="!!!",F3585="NEW"),"",COUNTBLANK(OFFSET(A$1,,,SUMPRODUCT(MAX(ROW(E$2:E3585)*(E3585=E$2:E3585)))))-COUNTBLANK(OFFSET(A$1,,,SUMPRODUCT(MAX(ROW(E$1:E3584)*(E2=E$1:E3584))))))</f>
        <v> </v>
      </c>
      <c r="K3585" s="25" t="str">
        <f>IF(OR(E3585="",E3585="!!!",F3585="NEW"),"",INDEX(J$1:J3584,SUMPRODUCT(MAX(ROW(E$1:E3584)*(E3585=E$1:E3584)))))</f>
        <v> </v>
      </c>
      <c r="L3585" s="26"/>
    </row>
    <row r="3586" spans="1:12">
      <c r="A3586" s="20"/>
    </row>
    <row r="3587" spans="1:12">
      <c r="A3587" s="20" t="s">
        <v>2228</v>
      </c>
    </row>
    <row r="3588" spans="1:12">
      <c r="A3588" s="20" t="s">
        <v>2229</v>
      </c>
      <c r="B3588" s="27" t="s">
        <v>1041</v>
      </c>
      <c r="C3588" s="27" t="s">
        <v>1029</v>
      </c>
      <c r="D3588" s="27" t="s">
        <v>1030</v>
      </c>
      <c r="E3588" s="21">
        <f>IF(D3588="?OLD","!!!","")</f>
        <v/>
      </c>
      <c r="F3588" s="22" t="str">
        <f>IF(OR(E3588="",E3588="!!!"),"",IF(NOT(ISNA(VLOOKUP(E3588,E$1:E3587,1,FALSE()))),"OLD",IF(AND(E3588&lt;&gt;"",E3588&lt;&gt;"!!!"),"NEW","")))</f>
        <v> </v>
      </c>
      <c r="G3588" s="23" t="str">
        <f>IF(OR(E3588="",E3588="!!!"),"",IF(OR(J3588=0,AND(J3588=1,K3588=1),AND(J3588=1,I3588="SBJ"),AND(J3588=1,I3588=0)),"?IN_FOCUS",IF(J3588&lt;=2,"?ACTIVATED",IF(J3588&lt;&gt;"","?FAMILIAR",IF(F3588="NEW",IF(ISNA(VLOOKUP(E3588,#REF!,1,FALSE())),"?TYPE_IDENTIFIABLE","?REFERENTIAL"),"_")))))</f>
        <v> </v>
      </c>
      <c r="H3588" s="24" t="str">
        <f>IF(J3588&lt;&gt;1,"",IF(I3588="SBJ","CB","?"))</f>
        <v> </v>
      </c>
      <c r="I3588" s="25" t="str">
        <f>IF(OR(E3588="",E3588="!!!",F3588="NEW"),"",INDEX(B3587:B$2,-1+SUMPRODUCT(MAX(ROW(E3587:E$2)*(E3588=E3587:E$2)))))</f>
        <v> </v>
      </c>
      <c r="J3588" s="25" t="str">
        <f>IF(OR(E3588="",E3588="!!!",F3588="NEW"),"",COUNTBLANK(OFFSET(A$1,,,SUMPRODUCT(MAX(ROW(E$2:E3588)*(E3588=E$2:E3588)))))-COUNTBLANK(OFFSET(A$1,,,SUMPRODUCT(MAX(ROW(E$1:E3587)*(E2=E$1:E3587))))))</f>
        <v> </v>
      </c>
      <c r="K3588" s="25" t="str">
        <f>IF(OR(E3588="",E3588="!!!",F3588="NEW"),"",INDEX(J$1:J3587,SUMPRODUCT(MAX(ROW(E$1:E3587)*(E3588=E$1:E3587)))))</f>
        <v> </v>
      </c>
      <c r="L3588" s="26"/>
    </row>
    <row r="3589" spans="1:12">
      <c r="A3589" s="20" t="s">
        <v>1303</v>
      </c>
      <c r="B3589" s="27" t="s">
        <v>1079</v>
      </c>
      <c r="C3589" s="27" t="s">
        <v>1015</v>
      </c>
      <c r="E3589" s="21">
        <f>IF(D3589="?OLD","!!!","")</f>
        <v/>
      </c>
      <c r="F3589" s="22" t="str">
        <f>IF(OR(E3589="",E3589="!!!"),"",IF(NOT(ISNA(VLOOKUP(E3589,E$1:E3588,1,FALSE()))),"OLD",IF(AND(E3589&lt;&gt;"",E3589&lt;&gt;"!!!"),"NEW","")))</f>
        <v> </v>
      </c>
      <c r="G3589" s="23" t="str">
        <f>IF(OR(E3589="",E3589="!!!"),"",IF(OR(J3589=0,AND(J3589=1,K3589=1),AND(J3589=1,I3589="SBJ"),AND(J3589=1,I3589=0)),"?IN_FOCUS",IF(J3589&lt;=2,"?ACTIVATED",IF(J3589&lt;&gt;"","?FAMILIAR",IF(F3589="NEW",IF(ISNA(VLOOKUP(E3589,#REF!,1,FALSE())),"?TYPE_IDENTIFIABLE","?REFERENTIAL"),"_")))))</f>
        <v> </v>
      </c>
      <c r="H3589" s="24" t="str">
        <f>IF(J3589&lt;&gt;1,"",IF(I3589="SBJ","CB","?"))</f>
        <v> </v>
      </c>
      <c r="I3589" s="25" t="str">
        <f>IF(OR(E3589="",E3589="!!!",F3589="NEW"),"",INDEX(B3588:B$2,-1+SUMPRODUCT(MAX(ROW(E3588:E$2)*(E3589=E3588:E$2)))))</f>
        <v> </v>
      </c>
      <c r="J3589" s="25" t="str">
        <f>IF(OR(E3589="",E3589="!!!",F3589="NEW"),"",COUNTBLANK(OFFSET(A$1,,,SUMPRODUCT(MAX(ROW(E$2:E3589)*(E3589=E$2:E3589)))))-COUNTBLANK(OFFSET(A$1,,,SUMPRODUCT(MAX(ROW(E$1:E3588)*(E2=E$1:E3588))))))</f>
        <v> </v>
      </c>
      <c r="K3589" s="25" t="str">
        <f>IF(OR(E3589="",E3589="!!!",F3589="NEW"),"",INDEX(J$1:J3588,SUMPRODUCT(MAX(ROW(E$1:E3588)*(E3589=E$1:E3588)))))</f>
        <v> </v>
      </c>
      <c r="L3589" s="26"/>
    </row>
    <row r="3590" spans="1:12">
      <c r="A3590" s="20" t="s">
        <v>1016</v>
      </c>
      <c r="E3590" s="21">
        <f>IF(D3590="?OLD","!!!","")</f>
        <v/>
      </c>
      <c r="F3590" s="22" t="str">
        <f>IF(OR(E3590="",E3590="!!!"),"",IF(NOT(ISNA(VLOOKUP(E3590,E$1:E3589,1,FALSE()))),"OLD",IF(AND(E3590&lt;&gt;"",E3590&lt;&gt;"!!!"),"NEW","")))</f>
        <v> </v>
      </c>
      <c r="G3590" s="23" t="str">
        <f>IF(OR(E3590="",E3590="!!!"),"",IF(OR(J3590=0,AND(J3590=1,K3590=1),AND(J3590=1,I3590="SBJ"),AND(J3590=1,I3590=0)),"?IN_FOCUS",IF(J3590&lt;=2,"?ACTIVATED",IF(J3590&lt;&gt;"","?FAMILIAR",IF(F3590="NEW",IF(ISNA(VLOOKUP(E3590,#REF!,1,FALSE())),"?TYPE_IDENTIFIABLE","?REFERENTIAL"),"_")))))</f>
        <v> </v>
      </c>
      <c r="H3590" s="24" t="str">
        <f>IF(J3590&lt;&gt;1,"",IF(I3590="SBJ","CB","?"))</f>
        <v> </v>
      </c>
      <c r="I3590" s="25" t="str">
        <f>IF(OR(E3590="",E3590="!!!",F3590="NEW"),"",INDEX(B3589:B$2,-1+SUMPRODUCT(MAX(ROW(E3589:E$2)*(E3590=E3589:E$2)))))</f>
        <v> </v>
      </c>
      <c r="J3590" s="25" t="str">
        <f>IF(OR(E3590="",E3590="!!!",F3590="NEW"),"",COUNTBLANK(OFFSET(A$1,,,SUMPRODUCT(MAX(ROW(E$2:E3590)*(E3590=E$2:E3590)))))-COUNTBLANK(OFFSET(A$1,,,SUMPRODUCT(MAX(ROW(E$1:E3589)*(E2=E$1:E3589))))))</f>
        <v> </v>
      </c>
      <c r="K3590" s="25" t="str">
        <f>IF(OR(E3590="",E3590="!!!",F3590="NEW"),"",INDEX(J$1:J3589,SUMPRODUCT(MAX(ROW(E$1:E3589)*(E3590=E$1:E3589)))))</f>
        <v> </v>
      </c>
      <c r="L3590" s="26"/>
    </row>
    <row r="3591" spans="1:12">
      <c r="A3591" s="20" t="s">
        <v>1185</v>
      </c>
      <c r="B3591" s="27" t="s">
        <v>1079</v>
      </c>
      <c r="C3591" s="27" t="s">
        <v>1015</v>
      </c>
      <c r="E3591" s="21">
        <f>IF(D3591="?OLD","!!!","")</f>
        <v/>
      </c>
      <c r="F3591" s="22" t="str">
        <f>IF(OR(E3591="",E3591="!!!"),"",IF(NOT(ISNA(VLOOKUP(E3591,E$1:E3590,1,FALSE()))),"OLD",IF(AND(E3591&lt;&gt;"",E3591&lt;&gt;"!!!"),"NEW","")))</f>
        <v> </v>
      </c>
      <c r="G3591" s="23" t="str">
        <f>IF(OR(E3591="",E3591="!!!"),"",IF(OR(J3591=0,AND(J3591=1,K3591=1),AND(J3591=1,I3591="SBJ"),AND(J3591=1,I3591=0)),"?IN_FOCUS",IF(J3591&lt;=2,"?ACTIVATED",IF(J3591&lt;&gt;"","?FAMILIAR",IF(F3591="NEW",IF(ISNA(VLOOKUP(E3591,#REF!,1,FALSE())),"?TYPE_IDENTIFIABLE","?REFERENTIAL"),"_")))))</f>
        <v> </v>
      </c>
      <c r="H3591" s="24" t="str">
        <f>IF(J3591&lt;&gt;1,"",IF(I3591="SBJ","CB","?"))</f>
        <v> </v>
      </c>
      <c r="I3591" s="25" t="str">
        <f>IF(OR(E3591="",E3591="!!!",F3591="NEW"),"",INDEX(B3590:B$2,-1+SUMPRODUCT(MAX(ROW(E3590:E$2)*(E3591=E3590:E$2)))))</f>
        <v> </v>
      </c>
      <c r="J3591" s="25" t="str">
        <f>IF(OR(E3591="",E3591="!!!",F3591="NEW"),"",COUNTBLANK(OFFSET(A$1,,,SUMPRODUCT(MAX(ROW(E$2:E3591)*(E3591=E$2:E3591)))))-COUNTBLANK(OFFSET(A$1,,,SUMPRODUCT(MAX(ROW(E$1:E3590)*(E2=E$1:E3590))))))</f>
        <v> </v>
      </c>
      <c r="K3591" s="25" t="str">
        <f>IF(OR(E3591="",E3591="!!!",F3591="NEW"),"",INDEX(J$1:J3590,SUMPRODUCT(MAX(ROW(E$1:E3590)*(E3591=E$1:E3590)))))</f>
        <v> </v>
      </c>
      <c r="L3591" s="26"/>
    </row>
    <row r="3592" spans="1:12">
      <c r="A3592" s="20" t="s">
        <v>1111</v>
      </c>
      <c r="B3592" s="27" t="s">
        <v>1014</v>
      </c>
      <c r="C3592" s="27" t="s">
        <v>1050</v>
      </c>
      <c r="D3592" s="27" t="s">
        <v>1030</v>
      </c>
      <c r="E3592" s="21">
        <f>IF(D3592="?OLD","!!!","")</f>
        <v/>
      </c>
      <c r="F3592" s="22" t="str">
        <f>IF(OR(E3592="",E3592="!!!"),"",IF(NOT(ISNA(VLOOKUP(E3592,E$1:E3591,1,FALSE()))),"OLD",IF(AND(E3592&lt;&gt;"",E3592&lt;&gt;"!!!"),"NEW","")))</f>
        <v> </v>
      </c>
      <c r="G3592" s="23" t="str">
        <f>IF(OR(E3592="",E3592="!!!"),"",IF(OR(J3592=0,AND(J3592=1,K3592=1),AND(J3592=1,I3592="SBJ"),AND(J3592=1,I3592=0)),"?IN_FOCUS",IF(J3592&lt;=2,"?ACTIVATED",IF(J3592&lt;&gt;"","?FAMILIAR",IF(F3592="NEW",IF(ISNA(VLOOKUP(E3592,#REF!,1,FALSE())),"?TYPE_IDENTIFIABLE","?REFERENTIAL"),"_")))))</f>
        <v> </v>
      </c>
      <c r="H3592" s="24" t="str">
        <f>IF(J3592&lt;&gt;1,"",IF(I3592="SBJ","CB","?"))</f>
        <v> </v>
      </c>
      <c r="I3592" s="25" t="str">
        <f>IF(OR(E3592="",E3592="!!!",F3592="NEW"),"",INDEX(B3591:B$2,-1+SUMPRODUCT(MAX(ROW(E3591:E$2)*(E3592=E3591:E$2)))))</f>
        <v> </v>
      </c>
      <c r="J3592" s="25" t="str">
        <f>IF(OR(E3592="",E3592="!!!",F3592="NEW"),"",COUNTBLANK(OFFSET(A$1,,,SUMPRODUCT(MAX(ROW(E$2:E3592)*(E3592=E$2:E3592)))))-COUNTBLANK(OFFSET(A$1,,,SUMPRODUCT(MAX(ROW(E$1:E3591)*(E2=E$1:E3591))))))</f>
        <v> </v>
      </c>
      <c r="K3592" s="25" t="str">
        <f>IF(OR(E3592="",E3592="!!!",F3592="NEW"),"",INDEX(J$1:J3591,SUMPRODUCT(MAX(ROW(E$1:E3591)*(E3592=E$1:E3591)))))</f>
        <v> </v>
      </c>
      <c r="L3592" s="26"/>
    </row>
    <row r="3593" spans="1:12">
      <c r="A3593" s="20" t="s">
        <v>2230</v>
      </c>
      <c r="E3593" s="21">
        <f>IF(D3593="?OLD","!!!","")</f>
        <v/>
      </c>
      <c r="F3593" s="22" t="str">
        <f>IF(OR(E3593="",E3593="!!!"),"",IF(NOT(ISNA(VLOOKUP(E3593,E$1:E3592,1,FALSE()))),"OLD",IF(AND(E3593&lt;&gt;"",E3593&lt;&gt;"!!!"),"NEW","")))</f>
        <v> </v>
      </c>
      <c r="G3593" s="23" t="str">
        <f>IF(OR(E3593="",E3593="!!!"),"",IF(OR(J3593=0,AND(J3593=1,K3593=1),AND(J3593=1,I3593="SBJ"),AND(J3593=1,I3593=0)),"?IN_FOCUS",IF(J3593&lt;=2,"?ACTIVATED",IF(J3593&lt;&gt;"","?FAMILIAR",IF(F3593="NEW",IF(ISNA(VLOOKUP(E3593,#REF!,1,FALSE())),"?TYPE_IDENTIFIABLE","?REFERENTIAL"),"_")))))</f>
        <v> </v>
      </c>
      <c r="H3593" s="24" t="str">
        <f>IF(J3593&lt;&gt;1,"",IF(I3593="SBJ","CB","?"))</f>
        <v> </v>
      </c>
      <c r="I3593" s="25" t="str">
        <f>IF(OR(E3593="",E3593="!!!",F3593="NEW"),"",INDEX(B3592:B$2,-1+SUMPRODUCT(MAX(ROW(E3592:E$2)*(E3593=E3592:E$2)))))</f>
        <v> </v>
      </c>
      <c r="J3593" s="25" t="str">
        <f>IF(OR(E3593="",E3593="!!!",F3593="NEW"),"",COUNTBLANK(OFFSET(A$1,,,SUMPRODUCT(MAX(ROW(E$2:E3593)*(E3593=E$2:E3593)))))-COUNTBLANK(OFFSET(A$1,,,SUMPRODUCT(MAX(ROW(E$1:E3592)*(E2=E$1:E3592))))))</f>
        <v> </v>
      </c>
      <c r="K3593" s="25" t="str">
        <f>IF(OR(E3593="",E3593="!!!",F3593="NEW"),"",INDEX(J$1:J3592,SUMPRODUCT(MAX(ROW(E$1:E3592)*(E3593=E$1:E3592)))))</f>
        <v> </v>
      </c>
      <c r="L3593" s="26"/>
    </row>
    <row r="3594" spans="1:12">
      <c r="A3594" s="20" t="s">
        <v>135</v>
      </c>
      <c r="E3594" s="21">
        <f>IF(D3594="?OLD","!!!","")</f>
        <v/>
      </c>
      <c r="F3594" s="22" t="str">
        <f>IF(OR(E3594="",E3594="!!!"),"",IF(NOT(ISNA(VLOOKUP(E3594,E$1:E3593,1,FALSE()))),"OLD",IF(AND(E3594&lt;&gt;"",E3594&lt;&gt;"!!!"),"NEW","")))</f>
        <v> </v>
      </c>
      <c r="G3594" s="23" t="str">
        <f>IF(OR(E3594="",E3594="!!!"),"",IF(OR(J3594=0,AND(J3594=1,K3594=1),AND(J3594=1,I3594="SBJ"),AND(J3594=1,I3594=0)),"?IN_FOCUS",IF(J3594&lt;=2,"?ACTIVATED",IF(J3594&lt;&gt;"","?FAMILIAR",IF(F3594="NEW",IF(ISNA(VLOOKUP(E3594,#REF!,1,FALSE())),"?TYPE_IDENTIFIABLE","?REFERENTIAL"),"_")))))</f>
        <v> </v>
      </c>
      <c r="H3594" s="24" t="str">
        <f>IF(J3594&lt;&gt;1,"",IF(I3594="SBJ","CB","?"))</f>
        <v> </v>
      </c>
      <c r="I3594" s="25" t="str">
        <f>IF(OR(E3594="",E3594="!!!",F3594="NEW"),"",INDEX(B3593:B$2,-1+SUMPRODUCT(MAX(ROW(E3593:E$2)*(E3594=E3593:E$2)))))</f>
        <v> </v>
      </c>
      <c r="J3594" s="25" t="str">
        <f>IF(OR(E3594="",E3594="!!!",F3594="NEW"),"",COUNTBLANK(OFFSET(A$1,,,SUMPRODUCT(MAX(ROW(E$2:E3594)*(E3594=E$2:E3594)))))-COUNTBLANK(OFFSET(A$1,,,SUMPRODUCT(MAX(ROW(E$1:E3593)*(E2=E$1:E3593))))))</f>
        <v> </v>
      </c>
      <c r="K3594" s="25" t="str">
        <f>IF(OR(E3594="",E3594="!!!",F3594="NEW"),"",INDEX(J$1:J3593,SUMPRODUCT(MAX(ROW(E$1:E3593)*(E3594=E$1:E3593)))))</f>
        <v> </v>
      </c>
      <c r="L3594" s="26"/>
    </row>
    <row r="3595" spans="1:12">
      <c r="A3595" s="20"/>
    </row>
    <row r="3596" spans="1:12">
      <c r="A3596" s="20" t="s">
        <v>2231</v>
      </c>
    </row>
    <row r="3597" spans="1:12">
      <c r="A3597" s="20" t="s">
        <v>2232</v>
      </c>
      <c r="E3597" s="21">
        <f>IF(D3597="?OLD","!!!","")</f>
        <v/>
      </c>
      <c r="F3597" s="22" t="str">
        <f>IF(OR(E3597="",E3597="!!!"),"",IF(NOT(ISNA(VLOOKUP(E3597,E$1:E3596,1,FALSE()))),"OLD",IF(AND(E3597&lt;&gt;"",E3597&lt;&gt;"!!!"),"NEW","")))</f>
        <v> </v>
      </c>
      <c r="G3597" s="23" t="str">
        <f>IF(OR(E3597="",E3597="!!!"),"",IF(OR(J3597=0,AND(J3597=1,K3597=1),AND(J3597=1,I3597="SBJ"),AND(J3597=1,I3597=0)),"?IN_FOCUS",IF(J3597&lt;=2,"?ACTIVATED",IF(J3597&lt;&gt;"","?FAMILIAR",IF(F3597="NEW",IF(ISNA(VLOOKUP(E3597,#REF!,1,FALSE())),"?TYPE_IDENTIFIABLE","?REFERENTIAL"),"_")))))</f>
        <v> </v>
      </c>
      <c r="H3597" s="24" t="str">
        <f>IF(J3597&lt;&gt;1,"",IF(I3597="SBJ","CB","?"))</f>
        <v> </v>
      </c>
      <c r="I3597" s="25" t="str">
        <f>IF(OR(E3597="",E3597="!!!",F3597="NEW"),"",INDEX(B3596:B$2,-1+SUMPRODUCT(MAX(ROW(E3596:E$2)*(E3597=E3596:E$2)))))</f>
        <v> </v>
      </c>
      <c r="J3597" s="25" t="str">
        <f>IF(OR(E3597="",E3597="!!!",F3597="NEW"),"",COUNTBLANK(OFFSET(A$1,,,SUMPRODUCT(MAX(ROW(E$2:E3597)*(E3597=E$2:E3597)))))-COUNTBLANK(OFFSET(A$1,,,SUMPRODUCT(MAX(ROW(E$1:E3596)*(E2=E$1:E3596))))))</f>
        <v> </v>
      </c>
      <c r="K3597" s="25" t="str">
        <f>IF(OR(E3597="",E3597="!!!",F3597="NEW"),"",INDEX(J$1:J3596,SUMPRODUCT(MAX(ROW(E$1:E3596)*(E3597=E$1:E3596)))))</f>
        <v> </v>
      </c>
      <c r="L3597" s="26"/>
    </row>
    <row r="3598" spans="1:12">
      <c r="A3598" s="20" t="s">
        <v>1160</v>
      </c>
      <c r="E3598" s="21">
        <f>IF(D3598="?OLD","!!!","")</f>
        <v/>
      </c>
      <c r="F3598" s="22" t="str">
        <f>IF(OR(E3598="",E3598="!!!"),"",IF(NOT(ISNA(VLOOKUP(E3598,E$1:E3597,1,FALSE()))),"OLD",IF(AND(E3598&lt;&gt;"",E3598&lt;&gt;"!!!"),"NEW","")))</f>
        <v> </v>
      </c>
      <c r="G3598" s="23" t="str">
        <f>IF(OR(E3598="",E3598="!!!"),"",IF(OR(J3598=0,AND(J3598=1,K3598=1),AND(J3598=1,I3598="SBJ"),AND(J3598=1,I3598=0)),"?IN_FOCUS",IF(J3598&lt;=2,"?ACTIVATED",IF(J3598&lt;&gt;"","?FAMILIAR",IF(F3598="NEW",IF(ISNA(VLOOKUP(E3598,#REF!,1,FALSE())),"?TYPE_IDENTIFIABLE","?REFERENTIAL"),"_")))))</f>
        <v> </v>
      </c>
      <c r="H3598" s="24" t="str">
        <f>IF(J3598&lt;&gt;1,"",IF(I3598="SBJ","CB","?"))</f>
        <v> </v>
      </c>
      <c r="I3598" s="25" t="str">
        <f>IF(OR(E3598="",E3598="!!!",F3598="NEW"),"",INDEX(B3597:B$2,-1+SUMPRODUCT(MAX(ROW(E3597:E$2)*(E3598=E3597:E$2)))))</f>
        <v> </v>
      </c>
      <c r="J3598" s="25" t="str">
        <f>IF(OR(E3598="",E3598="!!!",F3598="NEW"),"",COUNTBLANK(OFFSET(A$1,,,SUMPRODUCT(MAX(ROW(E$2:E3598)*(E3598=E$2:E3598)))))-COUNTBLANK(OFFSET(A$1,,,SUMPRODUCT(MAX(ROW(E$1:E3597)*(E2=E$1:E3597))))))</f>
        <v> </v>
      </c>
      <c r="K3598" s="25" t="str">
        <f>IF(OR(E3598="",E3598="!!!",F3598="NEW"),"",INDEX(J$1:J3597,SUMPRODUCT(MAX(ROW(E$1:E3597)*(E3598=E$1:E3597)))))</f>
        <v> </v>
      </c>
      <c r="L3598" s="26"/>
    </row>
    <row r="3599" spans="1:12">
      <c r="A3599" s="20" t="s">
        <v>1441</v>
      </c>
      <c r="E3599" s="21">
        <f>IF(D3599="?OLD","!!!","")</f>
        <v/>
      </c>
      <c r="F3599" s="22" t="str">
        <f>IF(OR(E3599="",E3599="!!!"),"",IF(NOT(ISNA(VLOOKUP(E3599,E$1:E3598,1,FALSE()))),"OLD",IF(AND(E3599&lt;&gt;"",E3599&lt;&gt;"!!!"),"NEW","")))</f>
        <v> </v>
      </c>
      <c r="G3599" s="23" t="str">
        <f>IF(OR(E3599="",E3599="!!!"),"",IF(OR(J3599=0,AND(J3599=1,K3599=1),AND(J3599=1,I3599="SBJ"),AND(J3599=1,I3599=0)),"?IN_FOCUS",IF(J3599&lt;=2,"?ACTIVATED",IF(J3599&lt;&gt;"","?FAMILIAR",IF(F3599="NEW",IF(ISNA(VLOOKUP(E3599,#REF!,1,FALSE())),"?TYPE_IDENTIFIABLE","?REFERENTIAL"),"_")))))</f>
        <v> </v>
      </c>
      <c r="H3599" s="24" t="str">
        <f>IF(J3599&lt;&gt;1,"",IF(I3599="SBJ","CB","?"))</f>
        <v> </v>
      </c>
      <c r="I3599" s="25" t="str">
        <f>IF(OR(E3599="",E3599="!!!",F3599="NEW"),"",INDEX(B3598:B$2,-1+SUMPRODUCT(MAX(ROW(E3598:E$2)*(E3599=E3598:E$2)))))</f>
        <v> </v>
      </c>
      <c r="J3599" s="25" t="str">
        <f>IF(OR(E3599="",E3599="!!!",F3599="NEW"),"",COUNTBLANK(OFFSET(A$1,,,SUMPRODUCT(MAX(ROW(E$2:E3599)*(E3599=E$2:E3599)))))-COUNTBLANK(OFFSET(A$1,,,SUMPRODUCT(MAX(ROW(E$1:E3598)*(E2=E$1:E3598))))))</f>
        <v> </v>
      </c>
      <c r="K3599" s="25" t="str">
        <f>IF(OR(E3599="",E3599="!!!",F3599="NEW"),"",INDEX(J$1:J3598,SUMPRODUCT(MAX(ROW(E$1:E3598)*(E3599=E$1:E3598)))))</f>
        <v> </v>
      </c>
      <c r="L3599" s="26"/>
    </row>
    <row r="3600" spans="1:12">
      <c r="A3600" s="20" t="s">
        <v>1214</v>
      </c>
      <c r="E3600" s="21">
        <f>IF(D3600="?OLD","!!!","")</f>
        <v/>
      </c>
      <c r="F3600" s="22" t="str">
        <f>IF(OR(E3600="",E3600="!!!"),"",IF(NOT(ISNA(VLOOKUP(E3600,E$1:E3599,1,FALSE()))),"OLD",IF(AND(E3600&lt;&gt;"",E3600&lt;&gt;"!!!"),"NEW","")))</f>
        <v> </v>
      </c>
      <c r="G3600" s="23" t="str">
        <f>IF(OR(E3600="",E3600="!!!"),"",IF(OR(J3600=0,AND(J3600=1,K3600=1),AND(J3600=1,I3600="SBJ"),AND(J3600=1,I3600=0)),"?IN_FOCUS",IF(J3600&lt;=2,"?ACTIVATED",IF(J3600&lt;&gt;"","?FAMILIAR",IF(F3600="NEW",IF(ISNA(VLOOKUP(E3600,#REF!,1,FALSE())),"?TYPE_IDENTIFIABLE","?REFERENTIAL"),"_")))))</f>
        <v> </v>
      </c>
      <c r="H3600" s="24" t="str">
        <f>IF(J3600&lt;&gt;1,"",IF(I3600="SBJ","CB","?"))</f>
        <v> </v>
      </c>
      <c r="I3600" s="25" t="str">
        <f>IF(OR(E3600="",E3600="!!!",F3600="NEW"),"",INDEX(B3599:B$2,-1+SUMPRODUCT(MAX(ROW(E3599:E$2)*(E3600=E3599:E$2)))))</f>
        <v> </v>
      </c>
      <c r="J3600" s="25" t="str">
        <f>IF(OR(E3600="",E3600="!!!",F3600="NEW"),"",COUNTBLANK(OFFSET(A$1,,,SUMPRODUCT(MAX(ROW(E$2:E3600)*(E3600=E$2:E3600)))))-COUNTBLANK(OFFSET(A$1,,,SUMPRODUCT(MAX(ROW(E$1:E3599)*(E2=E$1:E3599))))))</f>
        <v> </v>
      </c>
      <c r="K3600" s="25" t="str">
        <f>IF(OR(E3600="",E3600="!!!",F3600="NEW"),"",INDEX(J$1:J3599,SUMPRODUCT(MAX(ROW(E$1:E3599)*(E3600=E$1:E3599)))))</f>
        <v> </v>
      </c>
      <c r="L3600" s="26"/>
    </row>
    <row r="3601" spans="1:12">
      <c r="A3601" s="20" t="s">
        <v>1018</v>
      </c>
      <c r="E3601" s="21">
        <f>IF(D3601="?OLD","!!!","")</f>
        <v/>
      </c>
      <c r="F3601" s="22" t="str">
        <f>IF(OR(E3601="",E3601="!!!"),"",IF(NOT(ISNA(VLOOKUP(E3601,E$1:E3600,1,FALSE()))),"OLD",IF(AND(E3601&lt;&gt;"",E3601&lt;&gt;"!!!"),"NEW","")))</f>
        <v> </v>
      </c>
      <c r="G3601" s="23" t="str">
        <f>IF(OR(E3601="",E3601="!!!"),"",IF(OR(J3601=0,AND(J3601=1,K3601=1),AND(J3601=1,I3601="SBJ"),AND(J3601=1,I3601=0)),"?IN_FOCUS",IF(J3601&lt;=2,"?ACTIVATED",IF(J3601&lt;&gt;"","?FAMILIAR",IF(F3601="NEW",IF(ISNA(VLOOKUP(E3601,#REF!,1,FALSE())),"?TYPE_IDENTIFIABLE","?REFERENTIAL"),"_")))))</f>
        <v> </v>
      </c>
      <c r="H3601" s="24" t="str">
        <f>IF(J3601&lt;&gt;1,"",IF(I3601="SBJ","CB","?"))</f>
        <v> </v>
      </c>
      <c r="I3601" s="25" t="str">
        <f>IF(OR(E3601="",E3601="!!!",F3601="NEW"),"",INDEX(B3600:B$2,-1+SUMPRODUCT(MAX(ROW(E3600:E$2)*(E3601=E3600:E$2)))))</f>
        <v> </v>
      </c>
      <c r="J3601" s="25" t="str">
        <f>IF(OR(E3601="",E3601="!!!",F3601="NEW"),"",COUNTBLANK(OFFSET(A$1,,,SUMPRODUCT(MAX(ROW(E$2:E3601)*(E3601=E$2:E3601)))))-COUNTBLANK(OFFSET(A$1,,,SUMPRODUCT(MAX(ROW(E$1:E3600)*(E2=E$1:E3600))))))</f>
        <v> </v>
      </c>
      <c r="K3601" s="25" t="str">
        <f>IF(OR(E3601="",E3601="!!!",F3601="NEW"),"",INDEX(J$1:J3600,SUMPRODUCT(MAX(ROW(E$1:E3600)*(E3601=E$1:E3600)))))</f>
        <v> </v>
      </c>
      <c r="L3601" s="26"/>
    </row>
    <row r="3602" spans="1:12">
      <c r="A3602" s="20" t="s">
        <v>2233</v>
      </c>
      <c r="B3602" s="27" t="s">
        <v>1045</v>
      </c>
      <c r="C3602" s="27" t="s">
        <v>1021</v>
      </c>
      <c r="E3602" s="21">
        <f>IF(D3602="?OLD","!!!","")</f>
        <v/>
      </c>
      <c r="F3602" s="22" t="str">
        <f>IF(OR(E3602="",E3602="!!!"),"",IF(NOT(ISNA(VLOOKUP(E3602,E$1:E3601,1,FALSE()))),"OLD",IF(AND(E3602&lt;&gt;"",E3602&lt;&gt;"!!!"),"NEW","")))</f>
        <v> </v>
      </c>
      <c r="G3602" s="23" t="str">
        <f>IF(OR(E3602="",E3602="!!!"),"",IF(OR(J3602=0,AND(J3602=1,K3602=1),AND(J3602=1,I3602="SBJ"),AND(J3602=1,I3602=0)),"?IN_FOCUS",IF(J3602&lt;=2,"?ACTIVATED",IF(J3602&lt;&gt;"","?FAMILIAR",IF(F3602="NEW",IF(ISNA(VLOOKUP(E3602,#REF!,1,FALSE())),"?TYPE_IDENTIFIABLE","?REFERENTIAL"),"_")))))</f>
        <v> </v>
      </c>
      <c r="H3602" s="24" t="str">
        <f>IF(J3602&lt;&gt;1,"",IF(I3602="SBJ","CB","?"))</f>
        <v> </v>
      </c>
      <c r="I3602" s="25" t="str">
        <f>IF(OR(E3602="",E3602="!!!",F3602="NEW"),"",INDEX(B3601:B$2,-1+SUMPRODUCT(MAX(ROW(E3601:E$2)*(E3602=E3601:E$2)))))</f>
        <v> </v>
      </c>
      <c r="J3602" s="25" t="str">
        <f>IF(OR(E3602="",E3602="!!!",F3602="NEW"),"",COUNTBLANK(OFFSET(A$1,,,SUMPRODUCT(MAX(ROW(E$2:E3602)*(E3602=E$2:E3602)))))-COUNTBLANK(OFFSET(A$1,,,SUMPRODUCT(MAX(ROW(E$1:E3601)*(E2=E$1:E3601))))))</f>
        <v> </v>
      </c>
      <c r="K3602" s="25" t="str">
        <f>IF(OR(E3602="",E3602="!!!",F3602="NEW"),"",INDEX(J$1:J3601,SUMPRODUCT(MAX(ROW(E$1:E3601)*(E3602=E$1:E3601)))))</f>
        <v> </v>
      </c>
      <c r="L3602" s="26"/>
    </row>
    <row r="3603" spans="1:12">
      <c r="A3603" s="20" t="s">
        <v>135</v>
      </c>
      <c r="E3603" s="21">
        <f>IF(D3603="?OLD","!!!","")</f>
        <v/>
      </c>
      <c r="F3603" s="22" t="str">
        <f>IF(OR(E3603="",E3603="!!!"),"",IF(NOT(ISNA(VLOOKUP(E3603,E$1:E3602,1,FALSE()))),"OLD",IF(AND(E3603&lt;&gt;"",E3603&lt;&gt;"!!!"),"NEW","")))</f>
        <v> </v>
      </c>
      <c r="G3603" s="23" t="str">
        <f>IF(OR(E3603="",E3603="!!!"),"",IF(OR(J3603=0,AND(J3603=1,K3603=1),AND(J3603=1,I3603="SBJ"),AND(J3603=1,I3603=0)),"?IN_FOCUS",IF(J3603&lt;=2,"?ACTIVATED",IF(J3603&lt;&gt;"","?FAMILIAR",IF(F3603="NEW",IF(ISNA(VLOOKUP(E3603,#REF!,1,FALSE())),"?TYPE_IDENTIFIABLE","?REFERENTIAL"),"_")))))</f>
        <v> </v>
      </c>
      <c r="H3603" s="24" t="str">
        <f>IF(J3603&lt;&gt;1,"",IF(I3603="SBJ","CB","?"))</f>
        <v> </v>
      </c>
      <c r="I3603" s="25" t="str">
        <f>IF(OR(E3603="",E3603="!!!",F3603="NEW"),"",INDEX(B3602:B$2,-1+SUMPRODUCT(MAX(ROW(E3602:E$2)*(E3603=E3602:E$2)))))</f>
        <v> </v>
      </c>
      <c r="J3603" s="25" t="str">
        <f>IF(OR(E3603="",E3603="!!!",F3603="NEW"),"",COUNTBLANK(OFFSET(A$1,,,SUMPRODUCT(MAX(ROW(E$2:E3603)*(E3603=E$2:E3603)))))-COUNTBLANK(OFFSET(A$1,,,SUMPRODUCT(MAX(ROW(E$1:E3602)*(E2=E$1:E3602))))))</f>
        <v> </v>
      </c>
      <c r="K3603" s="25" t="str">
        <f>IF(OR(E3603="",E3603="!!!",F3603="NEW"),"",INDEX(J$1:J3602,SUMPRODUCT(MAX(ROW(E$1:E3602)*(E3603=E$1:E3602)))))</f>
        <v> </v>
      </c>
      <c r="L3603" s="26"/>
    </row>
    <row r="3604" spans="1:12">
      <c r="A3604" s="20"/>
    </row>
    <row r="3605" spans="1:12">
      <c r="A3605" s="20" t="s">
        <v>2234</v>
      </c>
    </row>
    <row r="3606" spans="1:12">
      <c r="A3606" s="20" t="s">
        <v>1118</v>
      </c>
      <c r="E3606" s="21">
        <f>IF(D3606="?OLD","!!!","")</f>
        <v/>
      </c>
      <c r="F3606" s="22" t="str">
        <f>IF(OR(E3606="",E3606="!!!"),"",IF(NOT(ISNA(VLOOKUP(E3606,E$1:E3605,1,FALSE()))),"OLD",IF(AND(E3606&lt;&gt;"",E3606&lt;&gt;"!!!"),"NEW","")))</f>
        <v> </v>
      </c>
      <c r="G3606" s="23" t="str">
        <f>IF(OR(E3606="",E3606="!!!"),"",IF(OR(J3606=0,AND(J3606=1,K3606=1),AND(J3606=1,I3606="SBJ"),AND(J3606=1,I3606=0)),"?IN_FOCUS",IF(J3606&lt;=2,"?ACTIVATED",IF(J3606&lt;&gt;"","?FAMILIAR",IF(F3606="NEW",IF(ISNA(VLOOKUP(E3606,#REF!,1,FALSE())),"?TYPE_IDENTIFIABLE","?REFERENTIAL"),"_")))))</f>
        <v> </v>
      </c>
      <c r="H3606" s="24" t="str">
        <f>IF(J3606&lt;&gt;1,"",IF(I3606="SBJ","CB","?"))</f>
        <v> </v>
      </c>
      <c r="I3606" s="25" t="str">
        <f>IF(OR(E3606="",E3606="!!!",F3606="NEW"),"",INDEX(B3605:B$2,-1+SUMPRODUCT(MAX(ROW(E3605:E$2)*(E3606=E3605:E$2)))))</f>
        <v> </v>
      </c>
      <c r="J3606" s="25" t="str">
        <f>IF(OR(E3606="",E3606="!!!",F3606="NEW"),"",COUNTBLANK(OFFSET(A$1,,,SUMPRODUCT(MAX(ROW(E$2:E3606)*(E3606=E$2:E3606)))))-COUNTBLANK(OFFSET(A$1,,,SUMPRODUCT(MAX(ROW(E$1:E3605)*(E2=E$1:E3605))))))</f>
        <v> </v>
      </c>
      <c r="K3606" s="25" t="str">
        <f>IF(OR(E3606="",E3606="!!!",F3606="NEW"),"",INDEX(J$1:J3605,SUMPRODUCT(MAX(ROW(E$1:E3605)*(E3606=E$1:E3605)))))</f>
        <v> </v>
      </c>
      <c r="L3606" s="26"/>
    </row>
    <row r="3607" spans="1:12">
      <c r="A3607" s="20" t="s">
        <v>2235</v>
      </c>
      <c r="E3607" s="21">
        <f>IF(D3607="?OLD","!!!","")</f>
        <v/>
      </c>
      <c r="F3607" s="22" t="str">
        <f>IF(OR(E3607="",E3607="!!!"),"",IF(NOT(ISNA(VLOOKUP(E3607,E$1:E3606,1,FALSE()))),"OLD",IF(AND(E3607&lt;&gt;"",E3607&lt;&gt;"!!!"),"NEW","")))</f>
        <v> </v>
      </c>
      <c r="G3607" s="23" t="str">
        <f>IF(OR(E3607="",E3607="!!!"),"",IF(OR(J3607=0,AND(J3607=1,K3607=1),AND(J3607=1,I3607="SBJ"),AND(J3607=1,I3607=0)),"?IN_FOCUS",IF(J3607&lt;=2,"?ACTIVATED",IF(J3607&lt;&gt;"","?FAMILIAR",IF(F3607="NEW",IF(ISNA(VLOOKUP(E3607,#REF!,1,FALSE())),"?TYPE_IDENTIFIABLE","?REFERENTIAL"),"_")))))</f>
        <v> </v>
      </c>
      <c r="H3607" s="24" t="str">
        <f>IF(J3607&lt;&gt;1,"",IF(I3607="SBJ","CB","?"))</f>
        <v> </v>
      </c>
      <c r="I3607" s="25" t="str">
        <f>IF(OR(E3607="",E3607="!!!",F3607="NEW"),"",INDEX(B3606:B$2,-1+SUMPRODUCT(MAX(ROW(E3606:E$2)*(E3607=E3606:E$2)))))</f>
        <v> </v>
      </c>
      <c r="J3607" s="25" t="str">
        <f>IF(OR(E3607="",E3607="!!!",F3607="NEW"),"",COUNTBLANK(OFFSET(A$1,,,SUMPRODUCT(MAX(ROW(E$2:E3607)*(E3607=E$2:E3607)))))-COUNTBLANK(OFFSET(A$1,,,SUMPRODUCT(MAX(ROW(E$1:E3606)*(E2=E$1:E3606))))))</f>
        <v> </v>
      </c>
      <c r="K3607" s="25" t="str">
        <f>IF(OR(E3607="",E3607="!!!",F3607="NEW"),"",INDEX(J$1:J3606,SUMPRODUCT(MAX(ROW(E$1:E3606)*(E3607=E$1:E3606)))))</f>
        <v> </v>
      </c>
      <c r="L3607" s="26"/>
    </row>
    <row r="3608" spans="1:12">
      <c r="A3608" s="20" t="s">
        <v>1184</v>
      </c>
      <c r="E3608" s="21">
        <f>IF(D3608="?OLD","!!!","")</f>
        <v/>
      </c>
      <c r="F3608" s="22" t="str">
        <f>IF(OR(E3608="",E3608="!!!"),"",IF(NOT(ISNA(VLOOKUP(E3608,E$1:E3607,1,FALSE()))),"OLD",IF(AND(E3608&lt;&gt;"",E3608&lt;&gt;"!!!"),"NEW","")))</f>
        <v> </v>
      </c>
      <c r="G3608" s="23" t="str">
        <f>IF(OR(E3608="",E3608="!!!"),"",IF(OR(J3608=0,AND(J3608=1,K3608=1),AND(J3608=1,I3608="SBJ"),AND(J3608=1,I3608=0)),"?IN_FOCUS",IF(J3608&lt;=2,"?ACTIVATED",IF(J3608&lt;&gt;"","?FAMILIAR",IF(F3608="NEW",IF(ISNA(VLOOKUP(E3608,#REF!,1,FALSE())),"?TYPE_IDENTIFIABLE","?REFERENTIAL"),"_")))))</f>
        <v> </v>
      </c>
      <c r="H3608" s="24" t="str">
        <f>IF(J3608&lt;&gt;1,"",IF(I3608="SBJ","CB","?"))</f>
        <v> </v>
      </c>
      <c r="I3608" s="25" t="str">
        <f>IF(OR(E3608="",E3608="!!!",F3608="NEW"),"",INDEX(B3607:B$2,-1+SUMPRODUCT(MAX(ROW(E3607:E$2)*(E3608=E3607:E$2)))))</f>
        <v> </v>
      </c>
      <c r="J3608" s="25" t="str">
        <f>IF(OR(E3608="",E3608="!!!",F3608="NEW"),"",COUNTBLANK(OFFSET(A$1,,,SUMPRODUCT(MAX(ROW(E$2:E3608)*(E3608=E$2:E3608)))))-COUNTBLANK(OFFSET(A$1,,,SUMPRODUCT(MAX(ROW(E$1:E3607)*(E2=E$1:E3607))))))</f>
        <v> </v>
      </c>
      <c r="K3608" s="25" t="str">
        <f>IF(OR(E3608="",E3608="!!!",F3608="NEW"),"",INDEX(J$1:J3607,SUMPRODUCT(MAX(ROW(E$1:E3607)*(E3608=E$1:E3607)))))</f>
        <v> </v>
      </c>
      <c r="L3608" s="26"/>
    </row>
    <row r="3609" spans="1:12">
      <c r="A3609" s="20" t="s">
        <v>2236</v>
      </c>
      <c r="B3609" s="27" t="s">
        <v>1014</v>
      </c>
      <c r="C3609" s="27" t="s">
        <v>1015</v>
      </c>
      <c r="E3609" s="21">
        <f>IF(D3609="?OLD","!!!","")</f>
        <v/>
      </c>
      <c r="F3609" s="22" t="str">
        <f>IF(OR(E3609="",E3609="!!!"),"",IF(NOT(ISNA(VLOOKUP(E3609,E$1:E3608,1,FALSE()))),"OLD",IF(AND(E3609&lt;&gt;"",E3609&lt;&gt;"!!!"),"NEW","")))</f>
        <v> </v>
      </c>
      <c r="G3609" s="23" t="str">
        <f>IF(OR(E3609="",E3609="!!!"),"",IF(OR(J3609=0,AND(J3609=1,K3609=1),AND(J3609=1,I3609="SBJ"),AND(J3609=1,I3609=0)),"?IN_FOCUS",IF(J3609&lt;=2,"?ACTIVATED",IF(J3609&lt;&gt;"","?FAMILIAR",IF(F3609="NEW",IF(ISNA(VLOOKUP(E3609,#REF!,1,FALSE())),"?TYPE_IDENTIFIABLE","?REFERENTIAL"),"_")))))</f>
        <v> </v>
      </c>
      <c r="H3609" s="24" t="str">
        <f>IF(J3609&lt;&gt;1,"",IF(I3609="SBJ","CB","?"))</f>
        <v> </v>
      </c>
      <c r="I3609" s="25" t="str">
        <f>IF(OR(E3609="",E3609="!!!",F3609="NEW"),"",INDEX(B3608:B$2,-1+SUMPRODUCT(MAX(ROW(E3608:E$2)*(E3609=E3608:E$2)))))</f>
        <v> </v>
      </c>
      <c r="J3609" s="25" t="str">
        <f>IF(OR(E3609="",E3609="!!!",F3609="NEW"),"",COUNTBLANK(OFFSET(A$1,,,SUMPRODUCT(MAX(ROW(E$2:E3609)*(E3609=E$2:E3609)))))-COUNTBLANK(OFFSET(A$1,,,SUMPRODUCT(MAX(ROW(E$1:E3608)*(E2=E$1:E3608))))))</f>
        <v> </v>
      </c>
      <c r="K3609" s="25" t="str">
        <f>IF(OR(E3609="",E3609="!!!",F3609="NEW"),"",INDEX(J$1:J3608,SUMPRODUCT(MAX(ROW(E$1:E3608)*(E3609=E$1:E3608)))))</f>
        <v> </v>
      </c>
      <c r="L3609" s="26"/>
    </row>
    <row r="3610" spans="1:12">
      <c r="A3610" s="20" t="s">
        <v>135</v>
      </c>
      <c r="E3610" s="21">
        <f>IF(D3610="?OLD","!!!","")</f>
        <v/>
      </c>
      <c r="F3610" s="22" t="str">
        <f>IF(OR(E3610="",E3610="!!!"),"",IF(NOT(ISNA(VLOOKUP(E3610,E$1:E3609,1,FALSE()))),"OLD",IF(AND(E3610&lt;&gt;"",E3610&lt;&gt;"!!!"),"NEW","")))</f>
        <v> </v>
      </c>
      <c r="G3610" s="23" t="str">
        <f>IF(OR(E3610="",E3610="!!!"),"",IF(OR(J3610=0,AND(J3610=1,K3610=1),AND(J3610=1,I3610="SBJ"),AND(J3610=1,I3610=0)),"?IN_FOCUS",IF(J3610&lt;=2,"?ACTIVATED",IF(J3610&lt;&gt;"","?FAMILIAR",IF(F3610="NEW",IF(ISNA(VLOOKUP(E3610,#REF!,1,FALSE())),"?TYPE_IDENTIFIABLE","?REFERENTIAL"),"_")))))</f>
        <v> </v>
      </c>
      <c r="H3610" s="24" t="str">
        <f>IF(J3610&lt;&gt;1,"",IF(I3610="SBJ","CB","?"))</f>
        <v> </v>
      </c>
      <c r="I3610" s="25" t="str">
        <f>IF(OR(E3610="",E3610="!!!",F3610="NEW"),"",INDEX(B3609:B$2,-1+SUMPRODUCT(MAX(ROW(E3609:E$2)*(E3610=E3609:E$2)))))</f>
        <v> </v>
      </c>
      <c r="J3610" s="25" t="str">
        <f>IF(OR(E3610="",E3610="!!!",F3610="NEW"),"",COUNTBLANK(OFFSET(A$1,,,SUMPRODUCT(MAX(ROW(E$2:E3610)*(E3610=E$2:E3610)))))-COUNTBLANK(OFFSET(A$1,,,SUMPRODUCT(MAX(ROW(E$1:E3609)*(E2=E$1:E3609))))))</f>
        <v> </v>
      </c>
      <c r="K3610" s="25" t="str">
        <f>IF(OR(E3610="",E3610="!!!",F3610="NEW"),"",INDEX(J$1:J3609,SUMPRODUCT(MAX(ROW(E$1:E3609)*(E3610=E$1:E3609)))))</f>
        <v> </v>
      </c>
      <c r="L3610" s="26"/>
    </row>
    <row r="3611" spans="1:12">
      <c r="A3611" s="20"/>
    </row>
    <row r="3612" spans="1:12">
      <c r="A3612" s="20" t="s">
        <v>2237</v>
      </c>
    </row>
    <row r="3613" spans="1:12">
      <c r="A3613" s="20" t="s">
        <v>2238</v>
      </c>
      <c r="E3613" s="21">
        <f>IF(D3613="?OLD","!!!","")</f>
        <v/>
      </c>
      <c r="F3613" s="22" t="str">
        <f>IF(OR(E3613="",E3613="!!!"),"",IF(NOT(ISNA(VLOOKUP(E3613,E$1:E3612,1,FALSE()))),"OLD",IF(AND(E3613&lt;&gt;"",E3613&lt;&gt;"!!!"),"NEW","")))</f>
        <v> </v>
      </c>
      <c r="G3613" s="23" t="str">
        <f>IF(OR(E3613="",E3613="!!!"),"",IF(OR(J3613=0,AND(J3613=1,K3613=1),AND(J3613=1,I3613="SBJ"),AND(J3613=1,I3613=0)),"?IN_FOCUS",IF(J3613&lt;=2,"?ACTIVATED",IF(J3613&lt;&gt;"","?FAMILIAR",IF(F3613="NEW",IF(ISNA(VLOOKUP(E3613,#REF!,1,FALSE())),"?TYPE_IDENTIFIABLE","?REFERENTIAL"),"_")))))</f>
        <v> </v>
      </c>
      <c r="H3613" s="24" t="str">
        <f>IF(J3613&lt;&gt;1,"",IF(I3613="SBJ","CB","?"))</f>
        <v> </v>
      </c>
      <c r="I3613" s="25" t="str">
        <f>IF(OR(E3613="",E3613="!!!",F3613="NEW"),"",INDEX(B3612:B$2,-1+SUMPRODUCT(MAX(ROW(E3612:E$2)*(E3613=E3612:E$2)))))</f>
        <v> </v>
      </c>
      <c r="J3613" s="25" t="str">
        <f>IF(OR(E3613="",E3613="!!!",F3613="NEW"),"",COUNTBLANK(OFFSET(A$1,,,SUMPRODUCT(MAX(ROW(E$2:E3613)*(E3613=E$2:E3613)))))-COUNTBLANK(OFFSET(A$1,,,SUMPRODUCT(MAX(ROW(E$1:E3612)*(E2=E$1:E3612))))))</f>
        <v> </v>
      </c>
      <c r="K3613" s="25" t="str">
        <f>IF(OR(E3613="",E3613="!!!",F3613="NEW"),"",INDEX(J$1:J3612,SUMPRODUCT(MAX(ROW(E$1:E3612)*(E3613=E$1:E3612)))))</f>
        <v> </v>
      </c>
      <c r="L3613" s="26"/>
    </row>
    <row r="3614" spans="1:12">
      <c r="A3614" s="20" t="s">
        <v>1971</v>
      </c>
      <c r="B3614" s="27" t="s">
        <v>1014</v>
      </c>
      <c r="C3614" s="27" t="s">
        <v>1015</v>
      </c>
      <c r="E3614" s="21">
        <f>IF(D3614="?OLD","!!!","")</f>
        <v/>
      </c>
      <c r="F3614" s="22" t="str">
        <f>IF(OR(E3614="",E3614="!!!"),"",IF(NOT(ISNA(VLOOKUP(E3614,E$1:E3613,1,FALSE()))),"OLD",IF(AND(E3614&lt;&gt;"",E3614&lt;&gt;"!!!"),"NEW","")))</f>
        <v> </v>
      </c>
      <c r="G3614" s="23" t="str">
        <f>IF(OR(E3614="",E3614="!!!"),"",IF(OR(J3614=0,AND(J3614=1,K3614=1),AND(J3614=1,I3614="SBJ"),AND(J3614=1,I3614=0)),"?IN_FOCUS",IF(J3614&lt;=2,"?ACTIVATED",IF(J3614&lt;&gt;"","?FAMILIAR",IF(F3614="NEW",IF(ISNA(VLOOKUP(E3614,#REF!,1,FALSE())),"?TYPE_IDENTIFIABLE","?REFERENTIAL"),"_")))))</f>
        <v> </v>
      </c>
      <c r="H3614" s="24" t="str">
        <f>IF(J3614&lt;&gt;1,"",IF(I3614="SBJ","CB","?"))</f>
        <v> </v>
      </c>
      <c r="I3614" s="25" t="str">
        <f>IF(OR(E3614="",E3614="!!!",F3614="NEW"),"",INDEX(B3613:B$2,-1+SUMPRODUCT(MAX(ROW(E3613:E$2)*(E3614=E3613:E$2)))))</f>
        <v> </v>
      </c>
      <c r="J3614" s="25" t="str">
        <f>IF(OR(E3614="",E3614="!!!",F3614="NEW"),"",COUNTBLANK(OFFSET(A$1,,,SUMPRODUCT(MAX(ROW(E$2:E3614)*(E3614=E$2:E3614)))))-COUNTBLANK(OFFSET(A$1,,,SUMPRODUCT(MAX(ROW(E$1:E3613)*(E2=E$1:E3613))))))</f>
        <v> </v>
      </c>
      <c r="K3614" s="25" t="str">
        <f>IF(OR(E3614="",E3614="!!!",F3614="NEW"),"",INDEX(J$1:J3613,SUMPRODUCT(MAX(ROW(E$1:E3613)*(E3614=E$1:E3613)))))</f>
        <v> </v>
      </c>
      <c r="L3614" s="26"/>
    </row>
    <row r="3615" spans="1:12">
      <c r="A3615" s="20" t="s">
        <v>135</v>
      </c>
      <c r="E3615" s="21">
        <f>IF(D3615="?OLD","!!!","")</f>
        <v/>
      </c>
      <c r="F3615" s="22" t="str">
        <f>IF(OR(E3615="",E3615="!!!"),"",IF(NOT(ISNA(VLOOKUP(E3615,E$1:E3614,1,FALSE()))),"OLD",IF(AND(E3615&lt;&gt;"",E3615&lt;&gt;"!!!"),"NEW","")))</f>
        <v> </v>
      </c>
      <c r="G3615" s="23" t="str">
        <f>IF(OR(E3615="",E3615="!!!"),"",IF(OR(J3615=0,AND(J3615=1,K3615=1),AND(J3615=1,I3615="SBJ"),AND(J3615=1,I3615=0)),"?IN_FOCUS",IF(J3615&lt;=2,"?ACTIVATED",IF(J3615&lt;&gt;"","?FAMILIAR",IF(F3615="NEW",IF(ISNA(VLOOKUP(E3615,#REF!,1,FALSE())),"?TYPE_IDENTIFIABLE","?REFERENTIAL"),"_")))))</f>
        <v> </v>
      </c>
      <c r="H3615" s="24" t="str">
        <f>IF(J3615&lt;&gt;1,"",IF(I3615="SBJ","CB","?"))</f>
        <v> </v>
      </c>
      <c r="I3615" s="25" t="str">
        <f>IF(OR(E3615="",E3615="!!!",F3615="NEW"),"",INDEX(B3614:B$2,-1+SUMPRODUCT(MAX(ROW(E3614:E$2)*(E3615=E3614:E$2)))))</f>
        <v> </v>
      </c>
      <c r="J3615" s="25" t="str">
        <f>IF(OR(E3615="",E3615="!!!",F3615="NEW"),"",COUNTBLANK(OFFSET(A$1,,,SUMPRODUCT(MAX(ROW(E$2:E3615)*(E3615=E$2:E3615)))))-COUNTBLANK(OFFSET(A$1,,,SUMPRODUCT(MAX(ROW(E$1:E3614)*(E2=E$1:E3614))))))</f>
        <v> </v>
      </c>
      <c r="K3615" s="25" t="str">
        <f>IF(OR(E3615="",E3615="!!!",F3615="NEW"),"",INDEX(J$1:J3614,SUMPRODUCT(MAX(ROW(E$1:E3614)*(E3615=E$1:E3614)))))</f>
        <v> </v>
      </c>
      <c r="L3615" s="26"/>
    </row>
    <row r="3616" spans="1:12">
      <c r="A3616" s="20"/>
    </row>
    <row r="3617" spans="1:12">
      <c r="A3617" s="20" t="s">
        <v>2239</v>
      </c>
    </row>
    <row r="3618" spans="1:12">
      <c r="A3618" s="20" t="s">
        <v>1088</v>
      </c>
      <c r="E3618" s="21">
        <f>IF(D3618="?OLD","!!!","")</f>
        <v/>
      </c>
      <c r="F3618" s="22" t="str">
        <f>IF(OR(E3618="",E3618="!!!"),"",IF(NOT(ISNA(VLOOKUP(E3618,E$1:E3617,1,FALSE()))),"OLD",IF(AND(E3618&lt;&gt;"",E3618&lt;&gt;"!!!"),"NEW","")))</f>
        <v> </v>
      </c>
      <c r="G3618" s="23" t="str">
        <f>IF(OR(E3618="",E3618="!!!"),"",IF(OR(J3618=0,AND(J3618=1,K3618=1),AND(J3618=1,I3618="SBJ"),AND(J3618=1,I3618=0)),"?IN_FOCUS",IF(J3618&lt;=2,"?ACTIVATED",IF(J3618&lt;&gt;"","?FAMILIAR",IF(F3618="NEW",IF(ISNA(VLOOKUP(E3618,#REF!,1,FALSE())),"?TYPE_IDENTIFIABLE","?REFERENTIAL"),"_")))))</f>
        <v> </v>
      </c>
      <c r="H3618" s="24" t="str">
        <f>IF(J3618&lt;&gt;1,"",IF(I3618="SBJ","CB","?"))</f>
        <v> </v>
      </c>
      <c r="I3618" s="25" t="str">
        <f>IF(OR(E3618="",E3618="!!!",F3618="NEW"),"",INDEX(B3617:B$2,-1+SUMPRODUCT(MAX(ROW(E3617:E$2)*(E3618=E3617:E$2)))))</f>
        <v> </v>
      </c>
      <c r="J3618" s="25" t="str">
        <f>IF(OR(E3618="",E3618="!!!",F3618="NEW"),"",COUNTBLANK(OFFSET(A$1,,,SUMPRODUCT(MAX(ROW(E$2:E3618)*(E3618=E$2:E3618)))))-COUNTBLANK(OFFSET(A$1,,,SUMPRODUCT(MAX(ROW(E$1:E3617)*(E2=E$1:E3617))))))</f>
        <v> </v>
      </c>
      <c r="K3618" s="25" t="str">
        <f>IF(OR(E3618="",E3618="!!!",F3618="NEW"),"",INDEX(J$1:J3617,SUMPRODUCT(MAX(ROW(E$1:E3617)*(E3618=E$1:E3617)))))</f>
        <v> </v>
      </c>
      <c r="L3618" s="26"/>
    </row>
    <row r="3619" spans="1:12">
      <c r="A3619" s="20" t="s">
        <v>1220</v>
      </c>
      <c r="E3619" s="21">
        <f>IF(D3619="?OLD","!!!","")</f>
        <v/>
      </c>
      <c r="F3619" s="22" t="str">
        <f>IF(OR(E3619="",E3619="!!!"),"",IF(NOT(ISNA(VLOOKUP(E3619,E$1:E3618,1,FALSE()))),"OLD",IF(AND(E3619&lt;&gt;"",E3619&lt;&gt;"!!!"),"NEW","")))</f>
        <v> </v>
      </c>
      <c r="G3619" s="23" t="str">
        <f>IF(OR(E3619="",E3619="!!!"),"",IF(OR(J3619=0,AND(J3619=1,K3619=1),AND(J3619=1,I3619="SBJ"),AND(J3619=1,I3619=0)),"?IN_FOCUS",IF(J3619&lt;=2,"?ACTIVATED",IF(J3619&lt;&gt;"","?FAMILIAR",IF(F3619="NEW",IF(ISNA(VLOOKUP(E3619,#REF!,1,FALSE())),"?TYPE_IDENTIFIABLE","?REFERENTIAL"),"_")))))</f>
        <v> </v>
      </c>
      <c r="H3619" s="24" t="str">
        <f>IF(J3619&lt;&gt;1,"",IF(I3619="SBJ","CB","?"))</f>
        <v> </v>
      </c>
      <c r="I3619" s="25" t="str">
        <f>IF(OR(E3619="",E3619="!!!",F3619="NEW"),"",INDEX(B3618:B$2,-1+SUMPRODUCT(MAX(ROW(E3618:E$2)*(E3619=E3618:E$2)))))</f>
        <v> </v>
      </c>
      <c r="J3619" s="25" t="str">
        <f>IF(OR(E3619="",E3619="!!!",F3619="NEW"),"",COUNTBLANK(OFFSET(A$1,,,SUMPRODUCT(MAX(ROW(E$2:E3619)*(E3619=E$2:E3619)))))-COUNTBLANK(OFFSET(A$1,,,SUMPRODUCT(MAX(ROW(E$1:E3618)*(E2=E$1:E3618))))))</f>
        <v> </v>
      </c>
      <c r="K3619" s="25" t="str">
        <f>IF(OR(E3619="",E3619="!!!",F3619="NEW"),"",INDEX(J$1:J3618,SUMPRODUCT(MAX(ROW(E$1:E3618)*(E3619=E$1:E3618)))))</f>
        <v> </v>
      </c>
      <c r="L3619" s="26"/>
    </row>
    <row r="3620" spans="1:12">
      <c r="A3620" s="20" t="s">
        <v>2240</v>
      </c>
      <c r="B3620" s="27" t="s">
        <v>1014</v>
      </c>
      <c r="C3620" s="27" t="s">
        <v>1015</v>
      </c>
      <c r="E3620" s="21">
        <f>IF(D3620="?OLD","!!!","")</f>
        <v/>
      </c>
      <c r="F3620" s="22" t="str">
        <f>IF(OR(E3620="",E3620="!!!"),"",IF(NOT(ISNA(VLOOKUP(E3620,E$1:E3619,1,FALSE()))),"OLD",IF(AND(E3620&lt;&gt;"",E3620&lt;&gt;"!!!"),"NEW","")))</f>
        <v> </v>
      </c>
      <c r="G3620" s="23" t="str">
        <f>IF(OR(E3620="",E3620="!!!"),"",IF(OR(J3620=0,AND(J3620=1,K3620=1),AND(J3620=1,I3620="SBJ"),AND(J3620=1,I3620=0)),"?IN_FOCUS",IF(J3620&lt;=2,"?ACTIVATED",IF(J3620&lt;&gt;"","?FAMILIAR",IF(F3620="NEW",IF(ISNA(VLOOKUP(E3620,#REF!,1,FALSE())),"?TYPE_IDENTIFIABLE","?REFERENTIAL"),"_")))))</f>
        <v> </v>
      </c>
      <c r="H3620" s="24" t="str">
        <f>IF(J3620&lt;&gt;1,"",IF(I3620="SBJ","CB","?"))</f>
        <v> </v>
      </c>
      <c r="I3620" s="25" t="str">
        <f>IF(OR(E3620="",E3620="!!!",F3620="NEW"),"",INDEX(B3619:B$2,-1+SUMPRODUCT(MAX(ROW(E3619:E$2)*(E3620=E3619:E$2)))))</f>
        <v> </v>
      </c>
      <c r="J3620" s="25" t="str">
        <f>IF(OR(E3620="",E3620="!!!",F3620="NEW"),"",COUNTBLANK(OFFSET(A$1,,,SUMPRODUCT(MAX(ROW(E$2:E3620)*(E3620=E$2:E3620)))))-COUNTBLANK(OFFSET(A$1,,,SUMPRODUCT(MAX(ROW(E$1:E3619)*(E2=E$1:E3619))))))</f>
        <v> </v>
      </c>
      <c r="K3620" s="25" t="str">
        <f>IF(OR(E3620="",E3620="!!!",F3620="NEW"),"",INDEX(J$1:J3619,SUMPRODUCT(MAX(ROW(E$1:E3619)*(E3620=E$1:E3619)))))</f>
        <v> </v>
      </c>
      <c r="L3620" s="26"/>
    </row>
    <row r="3621" spans="1:12">
      <c r="A3621" s="20" t="s">
        <v>2241</v>
      </c>
      <c r="E3621" s="21">
        <f>IF(D3621="?OLD","!!!","")</f>
        <v/>
      </c>
      <c r="F3621" s="22" t="str">
        <f>IF(OR(E3621="",E3621="!!!"),"",IF(NOT(ISNA(VLOOKUP(E3621,E$1:E3620,1,FALSE()))),"OLD",IF(AND(E3621&lt;&gt;"",E3621&lt;&gt;"!!!"),"NEW","")))</f>
        <v> </v>
      </c>
      <c r="G3621" s="23" t="str">
        <f>IF(OR(E3621="",E3621="!!!"),"",IF(OR(J3621=0,AND(J3621=1,K3621=1),AND(J3621=1,I3621="SBJ"),AND(J3621=1,I3621=0)),"?IN_FOCUS",IF(J3621&lt;=2,"?ACTIVATED",IF(J3621&lt;&gt;"","?FAMILIAR",IF(F3621="NEW",IF(ISNA(VLOOKUP(E3621,#REF!,1,FALSE())),"?TYPE_IDENTIFIABLE","?REFERENTIAL"),"_")))))</f>
        <v> </v>
      </c>
      <c r="H3621" s="24" t="str">
        <f>IF(J3621&lt;&gt;1,"",IF(I3621="SBJ","CB","?"))</f>
        <v> </v>
      </c>
      <c r="I3621" s="25" t="str">
        <f>IF(OR(E3621="",E3621="!!!",F3621="NEW"),"",INDEX(B3620:B$2,-1+SUMPRODUCT(MAX(ROW(E3620:E$2)*(E3621=E3620:E$2)))))</f>
        <v> </v>
      </c>
      <c r="J3621" s="25" t="str">
        <f>IF(OR(E3621="",E3621="!!!",F3621="NEW"),"",COUNTBLANK(OFFSET(A$1,,,SUMPRODUCT(MAX(ROW(E$2:E3621)*(E3621=E$2:E3621)))))-COUNTBLANK(OFFSET(A$1,,,SUMPRODUCT(MAX(ROW(E$1:E3620)*(E2=E$1:E3620))))))</f>
        <v> </v>
      </c>
      <c r="K3621" s="25" t="str">
        <f>IF(OR(E3621="",E3621="!!!",F3621="NEW"),"",INDEX(J$1:J3620,SUMPRODUCT(MAX(ROW(E$1:E3620)*(E3621=E$1:E3620)))))</f>
        <v> </v>
      </c>
      <c r="L3621" s="26"/>
    </row>
    <row r="3622" spans="1:12">
      <c r="A3622" s="20" t="s">
        <v>1022</v>
      </c>
      <c r="E3622" s="21">
        <f>IF(D3622="?OLD","!!!","")</f>
        <v/>
      </c>
      <c r="F3622" s="22" t="str">
        <f>IF(OR(E3622="",E3622="!!!"),"",IF(NOT(ISNA(VLOOKUP(E3622,E$1:E3621,1,FALSE()))),"OLD",IF(AND(E3622&lt;&gt;"",E3622&lt;&gt;"!!!"),"NEW","")))</f>
        <v> </v>
      </c>
      <c r="G3622" s="23" t="str">
        <f>IF(OR(E3622="",E3622="!!!"),"",IF(OR(J3622=0,AND(J3622=1,K3622=1),AND(J3622=1,I3622="SBJ"),AND(J3622=1,I3622=0)),"?IN_FOCUS",IF(J3622&lt;=2,"?ACTIVATED",IF(J3622&lt;&gt;"","?FAMILIAR",IF(F3622="NEW",IF(ISNA(VLOOKUP(E3622,#REF!,1,FALSE())),"?TYPE_IDENTIFIABLE","?REFERENTIAL"),"_")))))</f>
        <v> </v>
      </c>
      <c r="H3622" s="24" t="str">
        <f>IF(J3622&lt;&gt;1,"",IF(I3622="SBJ","CB","?"))</f>
        <v> </v>
      </c>
      <c r="I3622" s="25" t="str">
        <f>IF(OR(E3622="",E3622="!!!",F3622="NEW"),"",INDEX(B3621:B$2,-1+SUMPRODUCT(MAX(ROW(E3621:E$2)*(E3622=E3621:E$2)))))</f>
        <v> </v>
      </c>
      <c r="J3622" s="25" t="str">
        <f>IF(OR(E3622="",E3622="!!!",F3622="NEW"),"",COUNTBLANK(OFFSET(A$1,,,SUMPRODUCT(MAX(ROW(E$2:E3622)*(E3622=E$2:E3622)))))-COUNTBLANK(OFFSET(A$1,,,SUMPRODUCT(MAX(ROW(E$1:E3621)*(E2=E$1:E3621))))))</f>
        <v> </v>
      </c>
      <c r="K3622" s="25" t="str">
        <f>IF(OR(E3622="",E3622="!!!",F3622="NEW"),"",INDEX(J$1:J3621,SUMPRODUCT(MAX(ROW(E$1:E3621)*(E3622=E$1:E3621)))))</f>
        <v> </v>
      </c>
      <c r="L3622" s="26"/>
    </row>
    <row r="3623" spans="1:12">
      <c r="A3623" s="20" t="s">
        <v>1057</v>
      </c>
      <c r="E3623" s="21">
        <f>IF(D3623="?OLD","!!!","")</f>
        <v/>
      </c>
      <c r="F3623" s="22" t="str">
        <f>IF(OR(E3623="",E3623="!!!"),"",IF(NOT(ISNA(VLOOKUP(E3623,E$1:E3622,1,FALSE()))),"OLD",IF(AND(E3623&lt;&gt;"",E3623&lt;&gt;"!!!"),"NEW","")))</f>
        <v> </v>
      </c>
      <c r="G3623" s="23" t="str">
        <f>IF(OR(E3623="",E3623="!!!"),"",IF(OR(J3623=0,AND(J3623=1,K3623=1),AND(J3623=1,I3623="SBJ"),AND(J3623=1,I3623=0)),"?IN_FOCUS",IF(J3623&lt;=2,"?ACTIVATED",IF(J3623&lt;&gt;"","?FAMILIAR",IF(F3623="NEW",IF(ISNA(VLOOKUP(E3623,#REF!,1,FALSE())),"?TYPE_IDENTIFIABLE","?REFERENTIAL"),"_")))))</f>
        <v> </v>
      </c>
      <c r="H3623" s="24" t="str">
        <f>IF(J3623&lt;&gt;1,"",IF(I3623="SBJ","CB","?"))</f>
        <v> </v>
      </c>
      <c r="I3623" s="25" t="str">
        <f>IF(OR(E3623="",E3623="!!!",F3623="NEW"),"",INDEX(B3622:B$2,-1+SUMPRODUCT(MAX(ROW(E3622:E$2)*(E3623=E3622:E$2)))))</f>
        <v> </v>
      </c>
      <c r="J3623" s="25" t="str">
        <f>IF(OR(E3623="",E3623="!!!",F3623="NEW"),"",COUNTBLANK(OFFSET(A$1,,,SUMPRODUCT(MAX(ROW(E$2:E3623)*(E3623=E$2:E3623)))))-COUNTBLANK(OFFSET(A$1,,,SUMPRODUCT(MAX(ROW(E$1:E3622)*(E2=E$1:E3622))))))</f>
        <v> </v>
      </c>
      <c r="K3623" s="25" t="str">
        <f>IF(OR(E3623="",E3623="!!!",F3623="NEW"),"",INDEX(J$1:J3622,SUMPRODUCT(MAX(ROW(E$1:E3622)*(E3623=E$1:E3622)))))</f>
        <v> </v>
      </c>
      <c r="L3623" s="26"/>
    </row>
    <row r="3624" spans="1:12">
      <c r="A3624" s="20" t="s">
        <v>1220</v>
      </c>
      <c r="E3624" s="21">
        <f>IF(D3624="?OLD","!!!","")</f>
        <v/>
      </c>
      <c r="F3624" s="22" t="str">
        <f>IF(OR(E3624="",E3624="!!!"),"",IF(NOT(ISNA(VLOOKUP(E3624,E$1:E3623,1,FALSE()))),"OLD",IF(AND(E3624&lt;&gt;"",E3624&lt;&gt;"!!!"),"NEW","")))</f>
        <v> </v>
      </c>
      <c r="G3624" s="23" t="str">
        <f>IF(OR(E3624="",E3624="!!!"),"",IF(OR(J3624=0,AND(J3624=1,K3624=1),AND(J3624=1,I3624="SBJ"),AND(J3624=1,I3624=0)),"?IN_FOCUS",IF(J3624&lt;=2,"?ACTIVATED",IF(J3624&lt;&gt;"","?FAMILIAR",IF(F3624="NEW",IF(ISNA(VLOOKUP(E3624,#REF!,1,FALSE())),"?TYPE_IDENTIFIABLE","?REFERENTIAL"),"_")))))</f>
        <v> </v>
      </c>
      <c r="H3624" s="24" t="str">
        <f>IF(J3624&lt;&gt;1,"",IF(I3624="SBJ","CB","?"))</f>
        <v> </v>
      </c>
      <c r="I3624" s="25" t="str">
        <f>IF(OR(E3624="",E3624="!!!",F3624="NEW"),"",INDEX(B3623:B$2,-1+SUMPRODUCT(MAX(ROW(E3623:E$2)*(E3624=E3623:E$2)))))</f>
        <v> </v>
      </c>
      <c r="J3624" s="25" t="str">
        <f>IF(OR(E3624="",E3624="!!!",F3624="NEW"),"",COUNTBLANK(OFFSET(A$1,,,SUMPRODUCT(MAX(ROW(E$2:E3624)*(E3624=E$2:E3624)))))-COUNTBLANK(OFFSET(A$1,,,SUMPRODUCT(MAX(ROW(E$1:E3623)*(E2=E$1:E3623))))))</f>
        <v> </v>
      </c>
      <c r="K3624" s="25" t="str">
        <f>IF(OR(E3624="",E3624="!!!",F3624="NEW"),"",INDEX(J$1:J3623,SUMPRODUCT(MAX(ROW(E$1:E3623)*(E3624=E$1:E3623)))))</f>
        <v> </v>
      </c>
      <c r="L3624" s="26"/>
    </row>
    <row r="3625" spans="1:12">
      <c r="A3625" s="20" t="s">
        <v>2242</v>
      </c>
      <c r="B3625" s="27" t="s">
        <v>1069</v>
      </c>
      <c r="C3625" s="27" t="s">
        <v>1015</v>
      </c>
      <c r="E3625" s="21">
        <f>IF(D3625="?OLD","!!!","")</f>
        <v/>
      </c>
      <c r="F3625" s="22" t="str">
        <f>IF(OR(E3625="",E3625="!!!"),"",IF(NOT(ISNA(VLOOKUP(E3625,E$1:E3624,1,FALSE()))),"OLD",IF(AND(E3625&lt;&gt;"",E3625&lt;&gt;"!!!"),"NEW","")))</f>
        <v> </v>
      </c>
      <c r="G3625" s="23" t="str">
        <f>IF(OR(E3625="",E3625="!!!"),"",IF(OR(J3625=0,AND(J3625=1,K3625=1),AND(J3625=1,I3625="SBJ"),AND(J3625=1,I3625=0)),"?IN_FOCUS",IF(J3625&lt;=2,"?ACTIVATED",IF(J3625&lt;&gt;"","?FAMILIAR",IF(F3625="NEW",IF(ISNA(VLOOKUP(E3625,#REF!,1,FALSE())),"?TYPE_IDENTIFIABLE","?REFERENTIAL"),"_")))))</f>
        <v> </v>
      </c>
      <c r="H3625" s="24" t="str">
        <f>IF(J3625&lt;&gt;1,"",IF(I3625="SBJ","CB","?"))</f>
        <v> </v>
      </c>
      <c r="I3625" s="25" t="str">
        <f>IF(OR(E3625="",E3625="!!!",F3625="NEW"),"",INDEX(B3624:B$2,-1+SUMPRODUCT(MAX(ROW(E3624:E$2)*(E3625=E3624:E$2)))))</f>
        <v> </v>
      </c>
      <c r="J3625" s="25" t="str">
        <f>IF(OR(E3625="",E3625="!!!",F3625="NEW"),"",COUNTBLANK(OFFSET(A$1,,,SUMPRODUCT(MAX(ROW(E$2:E3625)*(E3625=E$2:E3625)))))-COUNTBLANK(OFFSET(A$1,,,SUMPRODUCT(MAX(ROW(E$1:E3624)*(E2=E$1:E3624))))))</f>
        <v> </v>
      </c>
      <c r="K3625" s="25" t="str">
        <f>IF(OR(E3625="",E3625="!!!",F3625="NEW"),"",INDEX(J$1:J3624,SUMPRODUCT(MAX(ROW(E$1:E3624)*(E3625=E$1:E3624)))))</f>
        <v> </v>
      </c>
      <c r="L3625" s="26"/>
    </row>
    <row r="3626" spans="1:12">
      <c r="A3626" s="20" t="s">
        <v>1022</v>
      </c>
      <c r="E3626" s="21">
        <f>IF(D3626="?OLD","!!!","")</f>
        <v/>
      </c>
      <c r="F3626" s="22" t="str">
        <f>IF(OR(E3626="",E3626="!!!"),"",IF(NOT(ISNA(VLOOKUP(E3626,E$1:E3625,1,FALSE()))),"OLD",IF(AND(E3626&lt;&gt;"",E3626&lt;&gt;"!!!"),"NEW","")))</f>
        <v> </v>
      </c>
      <c r="G3626" s="23" t="str">
        <f>IF(OR(E3626="",E3626="!!!"),"",IF(OR(J3626=0,AND(J3626=1,K3626=1),AND(J3626=1,I3626="SBJ"),AND(J3626=1,I3626=0)),"?IN_FOCUS",IF(J3626&lt;=2,"?ACTIVATED",IF(J3626&lt;&gt;"","?FAMILIAR",IF(F3626="NEW",IF(ISNA(VLOOKUP(E3626,#REF!,1,FALSE())),"?TYPE_IDENTIFIABLE","?REFERENTIAL"),"_")))))</f>
        <v> </v>
      </c>
      <c r="H3626" s="24" t="str">
        <f>IF(J3626&lt;&gt;1,"",IF(I3626="SBJ","CB","?"))</f>
        <v> </v>
      </c>
      <c r="I3626" s="25" t="str">
        <f>IF(OR(E3626="",E3626="!!!",F3626="NEW"),"",INDEX(B3625:B$2,-1+SUMPRODUCT(MAX(ROW(E3625:E$2)*(E3626=E3625:E$2)))))</f>
        <v> </v>
      </c>
      <c r="J3626" s="25" t="str">
        <f>IF(OR(E3626="",E3626="!!!",F3626="NEW"),"",COUNTBLANK(OFFSET(A$1,,,SUMPRODUCT(MAX(ROW(E$2:E3626)*(E3626=E$2:E3626)))))-COUNTBLANK(OFFSET(A$1,,,SUMPRODUCT(MAX(ROW(E$1:E3625)*(E2=E$1:E3625))))))</f>
        <v> </v>
      </c>
      <c r="K3626" s="25" t="str">
        <f>IF(OR(E3626="",E3626="!!!",F3626="NEW"),"",INDEX(J$1:J3625,SUMPRODUCT(MAX(ROW(E$1:E3625)*(E3626=E$1:E3625)))))</f>
        <v> </v>
      </c>
      <c r="L3626" s="26"/>
    </row>
    <row r="3627" spans="1:12">
      <c r="A3627" s="20" t="s">
        <v>1429</v>
      </c>
      <c r="E3627" s="21">
        <f>IF(D3627="?OLD","!!!","")</f>
        <v/>
      </c>
      <c r="F3627" s="22" t="str">
        <f>IF(OR(E3627="",E3627="!!!"),"",IF(NOT(ISNA(VLOOKUP(E3627,E$1:E3626,1,FALSE()))),"OLD",IF(AND(E3627&lt;&gt;"",E3627&lt;&gt;"!!!"),"NEW","")))</f>
        <v> </v>
      </c>
      <c r="G3627" s="23" t="str">
        <f>IF(OR(E3627="",E3627="!!!"),"",IF(OR(J3627=0,AND(J3627=1,K3627=1),AND(J3627=1,I3627="SBJ"),AND(J3627=1,I3627=0)),"?IN_FOCUS",IF(J3627&lt;=2,"?ACTIVATED",IF(J3627&lt;&gt;"","?FAMILIAR",IF(F3627="NEW",IF(ISNA(VLOOKUP(E3627,#REF!,1,FALSE())),"?TYPE_IDENTIFIABLE","?REFERENTIAL"),"_")))))</f>
        <v> </v>
      </c>
      <c r="H3627" s="24" t="str">
        <f>IF(J3627&lt;&gt;1,"",IF(I3627="SBJ","CB","?"))</f>
        <v> </v>
      </c>
      <c r="I3627" s="25" t="str">
        <f>IF(OR(E3627="",E3627="!!!",F3627="NEW"),"",INDEX(B3626:B$2,-1+SUMPRODUCT(MAX(ROW(E3626:E$2)*(E3627=E3626:E$2)))))</f>
        <v> </v>
      </c>
      <c r="J3627" s="25" t="str">
        <f>IF(OR(E3627="",E3627="!!!",F3627="NEW"),"",COUNTBLANK(OFFSET(A$1,,,SUMPRODUCT(MAX(ROW(E$2:E3627)*(E3627=E$2:E3627)))))-COUNTBLANK(OFFSET(A$1,,,SUMPRODUCT(MAX(ROW(E$1:E3626)*(E2=E$1:E3626))))))</f>
        <v> </v>
      </c>
      <c r="K3627" s="25" t="str">
        <f>IF(OR(E3627="",E3627="!!!",F3627="NEW"),"",INDEX(J$1:J3626,SUMPRODUCT(MAX(ROW(E$1:E3626)*(E3627=E$1:E3626)))))</f>
        <v> </v>
      </c>
      <c r="L3627" s="26"/>
    </row>
    <row r="3628" spans="1:12">
      <c r="A3628" s="20" t="s">
        <v>1080</v>
      </c>
      <c r="E3628" s="21">
        <f>IF(D3628="?OLD","!!!","")</f>
        <v/>
      </c>
      <c r="F3628" s="22" t="str">
        <f>IF(OR(E3628="",E3628="!!!"),"",IF(NOT(ISNA(VLOOKUP(E3628,E$1:E3627,1,FALSE()))),"OLD",IF(AND(E3628&lt;&gt;"",E3628&lt;&gt;"!!!"),"NEW","")))</f>
        <v> </v>
      </c>
      <c r="G3628" s="23" t="str">
        <f>IF(OR(E3628="",E3628="!!!"),"",IF(OR(J3628=0,AND(J3628=1,K3628=1),AND(J3628=1,I3628="SBJ"),AND(J3628=1,I3628=0)),"?IN_FOCUS",IF(J3628&lt;=2,"?ACTIVATED",IF(J3628&lt;&gt;"","?FAMILIAR",IF(F3628="NEW",IF(ISNA(VLOOKUP(E3628,#REF!,1,FALSE())),"?TYPE_IDENTIFIABLE","?REFERENTIAL"),"_")))))</f>
        <v> </v>
      </c>
      <c r="H3628" s="24" t="str">
        <f>IF(J3628&lt;&gt;1,"",IF(I3628="SBJ","CB","?"))</f>
        <v> </v>
      </c>
      <c r="I3628" s="25" t="str">
        <f>IF(OR(E3628="",E3628="!!!",F3628="NEW"),"",INDEX(B3627:B$2,-1+SUMPRODUCT(MAX(ROW(E3627:E$2)*(E3628=E3627:E$2)))))</f>
        <v> </v>
      </c>
      <c r="J3628" s="25" t="str">
        <f>IF(OR(E3628="",E3628="!!!",F3628="NEW"),"",COUNTBLANK(OFFSET(A$1,,,SUMPRODUCT(MAX(ROW(E$2:E3628)*(E3628=E$2:E3628)))))-COUNTBLANK(OFFSET(A$1,,,SUMPRODUCT(MAX(ROW(E$1:E3627)*(E2=E$1:E3627))))))</f>
        <v> </v>
      </c>
      <c r="K3628" s="25" t="str">
        <f>IF(OR(E3628="",E3628="!!!",F3628="NEW"),"",INDEX(J$1:J3627,SUMPRODUCT(MAX(ROW(E$1:E3627)*(E3628=E$1:E3627)))))</f>
        <v> </v>
      </c>
      <c r="L3628" s="26"/>
    </row>
    <row r="3629" spans="1:12">
      <c r="A3629" s="20" t="s">
        <v>2243</v>
      </c>
      <c r="B3629" s="27" t="s">
        <v>1098</v>
      </c>
      <c r="C3629" s="27" t="s">
        <v>1038</v>
      </c>
      <c r="D3629" s="27" t="s">
        <v>1030</v>
      </c>
      <c r="E3629" s="21">
        <f>IF(D3629="?OLD","!!!","")</f>
        <v/>
      </c>
      <c r="F3629" s="22" t="str">
        <f>IF(OR(E3629="",E3629="!!!"),"",IF(NOT(ISNA(VLOOKUP(E3629,E$1:E3628,1,FALSE()))),"OLD",IF(AND(E3629&lt;&gt;"",E3629&lt;&gt;"!!!"),"NEW","")))</f>
        <v> </v>
      </c>
      <c r="G3629" s="23" t="str">
        <f>IF(OR(E3629="",E3629="!!!"),"",IF(OR(J3629=0,AND(J3629=1,K3629=1),AND(J3629=1,I3629="SBJ"),AND(J3629=1,I3629=0)),"?IN_FOCUS",IF(J3629&lt;=2,"?ACTIVATED",IF(J3629&lt;&gt;"","?FAMILIAR",IF(F3629="NEW",IF(ISNA(VLOOKUP(E3629,#REF!,1,FALSE())),"?TYPE_IDENTIFIABLE","?REFERENTIAL"),"_")))))</f>
        <v> </v>
      </c>
      <c r="H3629" s="24" t="str">
        <f>IF(J3629&lt;&gt;1,"",IF(I3629="SBJ","CB","?"))</f>
        <v> </v>
      </c>
      <c r="I3629" s="25" t="str">
        <f>IF(OR(E3629="",E3629="!!!",F3629="NEW"),"",INDEX(B3628:B$2,-1+SUMPRODUCT(MAX(ROW(E3628:E$2)*(E3629=E3628:E$2)))))</f>
        <v> </v>
      </c>
      <c r="J3629" s="25" t="str">
        <f>IF(OR(E3629="",E3629="!!!",F3629="NEW"),"",COUNTBLANK(OFFSET(A$1,,,SUMPRODUCT(MAX(ROW(E$2:E3629)*(E3629=E$2:E3629)))))-COUNTBLANK(OFFSET(A$1,,,SUMPRODUCT(MAX(ROW(E$1:E3628)*(E2=E$1:E3628))))))</f>
        <v> </v>
      </c>
      <c r="K3629" s="25" t="str">
        <f>IF(OR(E3629="",E3629="!!!",F3629="NEW"),"",INDEX(J$1:J3628,SUMPRODUCT(MAX(ROW(E$1:E3628)*(E3629=E$1:E3628)))))</f>
        <v> </v>
      </c>
      <c r="L3629" s="26"/>
    </row>
    <row r="3630" spans="1:12">
      <c r="A3630" s="20" t="s">
        <v>1174</v>
      </c>
      <c r="E3630" s="21">
        <f>IF(D3630="?OLD","!!!","")</f>
        <v/>
      </c>
      <c r="F3630" s="22" t="str">
        <f>IF(OR(E3630="",E3630="!!!"),"",IF(NOT(ISNA(VLOOKUP(E3630,E$1:E3629,1,FALSE()))),"OLD",IF(AND(E3630&lt;&gt;"",E3630&lt;&gt;"!!!"),"NEW","")))</f>
        <v> </v>
      </c>
      <c r="G3630" s="23" t="str">
        <f>IF(OR(E3630="",E3630="!!!"),"",IF(OR(J3630=0,AND(J3630=1,K3630=1),AND(J3630=1,I3630="SBJ"),AND(J3630=1,I3630=0)),"?IN_FOCUS",IF(J3630&lt;=2,"?ACTIVATED",IF(J3630&lt;&gt;"","?FAMILIAR",IF(F3630="NEW",IF(ISNA(VLOOKUP(E3630,#REF!,1,FALSE())),"?TYPE_IDENTIFIABLE","?REFERENTIAL"),"_")))))</f>
        <v> </v>
      </c>
      <c r="H3630" s="24" t="str">
        <f>IF(J3630&lt;&gt;1,"",IF(I3630="SBJ","CB","?"))</f>
        <v> </v>
      </c>
      <c r="I3630" s="25" t="str">
        <f>IF(OR(E3630="",E3630="!!!",F3630="NEW"),"",INDEX(B3629:B$2,-1+SUMPRODUCT(MAX(ROW(E3629:E$2)*(E3630=E3629:E$2)))))</f>
        <v> </v>
      </c>
      <c r="J3630" s="25" t="str">
        <f>IF(OR(E3630="",E3630="!!!",F3630="NEW"),"",COUNTBLANK(OFFSET(A$1,,,SUMPRODUCT(MAX(ROW(E$2:E3630)*(E3630=E$2:E3630)))))-COUNTBLANK(OFFSET(A$1,,,SUMPRODUCT(MAX(ROW(E$1:E3629)*(E2=E$1:E3629))))))</f>
        <v> </v>
      </c>
      <c r="K3630" s="25" t="str">
        <f>IF(OR(E3630="",E3630="!!!",F3630="NEW"),"",INDEX(J$1:J3629,SUMPRODUCT(MAX(ROW(E$1:E3629)*(E3630=E$1:E3629)))))</f>
        <v> </v>
      </c>
      <c r="L3630" s="26"/>
    </row>
    <row r="3631" spans="1:12">
      <c r="A3631" s="20" t="s">
        <v>2244</v>
      </c>
      <c r="E3631" s="21">
        <f>IF(D3631="?OLD","!!!","")</f>
        <v/>
      </c>
      <c r="F3631" s="22" t="str">
        <f>IF(OR(E3631="",E3631="!!!"),"",IF(NOT(ISNA(VLOOKUP(E3631,E$1:E3630,1,FALSE()))),"OLD",IF(AND(E3631&lt;&gt;"",E3631&lt;&gt;"!!!"),"NEW","")))</f>
        <v> </v>
      </c>
      <c r="G3631" s="23" t="str">
        <f>IF(OR(E3631="",E3631="!!!"),"",IF(OR(J3631=0,AND(J3631=1,K3631=1),AND(J3631=1,I3631="SBJ"),AND(J3631=1,I3631=0)),"?IN_FOCUS",IF(J3631&lt;=2,"?ACTIVATED",IF(J3631&lt;&gt;"","?FAMILIAR",IF(F3631="NEW",IF(ISNA(VLOOKUP(E3631,#REF!,1,FALSE())),"?TYPE_IDENTIFIABLE","?REFERENTIAL"),"_")))))</f>
        <v> </v>
      </c>
      <c r="H3631" s="24" t="str">
        <f>IF(J3631&lt;&gt;1,"",IF(I3631="SBJ","CB","?"))</f>
        <v> </v>
      </c>
      <c r="I3631" s="25" t="str">
        <f>IF(OR(E3631="",E3631="!!!",F3631="NEW"),"",INDEX(B3630:B$2,-1+SUMPRODUCT(MAX(ROW(E3630:E$2)*(E3631=E3630:E$2)))))</f>
        <v> </v>
      </c>
      <c r="J3631" s="25" t="str">
        <f>IF(OR(E3631="",E3631="!!!",F3631="NEW"),"",COUNTBLANK(OFFSET(A$1,,,SUMPRODUCT(MAX(ROW(E$2:E3631)*(E3631=E$2:E3631)))))-COUNTBLANK(OFFSET(A$1,,,SUMPRODUCT(MAX(ROW(E$1:E3630)*(E2=E$1:E3630))))))</f>
        <v> </v>
      </c>
      <c r="K3631" s="25" t="str">
        <f>IF(OR(E3631="",E3631="!!!",F3631="NEW"),"",INDEX(J$1:J3630,SUMPRODUCT(MAX(ROW(E$1:E3630)*(E3631=E$1:E3630)))))</f>
        <v> </v>
      </c>
      <c r="L3631" s="26"/>
    </row>
    <row r="3632" spans="1:12">
      <c r="A3632" s="20" t="s">
        <v>1036</v>
      </c>
      <c r="E3632" s="21">
        <f>IF(D3632="?OLD","!!!","")</f>
        <v/>
      </c>
      <c r="F3632" s="22" t="str">
        <f>IF(OR(E3632="",E3632="!!!"),"",IF(NOT(ISNA(VLOOKUP(E3632,E$1:E3631,1,FALSE()))),"OLD",IF(AND(E3632&lt;&gt;"",E3632&lt;&gt;"!!!"),"NEW","")))</f>
        <v> </v>
      </c>
      <c r="G3632" s="23" t="str">
        <f>IF(OR(E3632="",E3632="!!!"),"",IF(OR(J3632=0,AND(J3632=1,K3632=1),AND(J3632=1,I3632="SBJ"),AND(J3632=1,I3632=0)),"?IN_FOCUS",IF(J3632&lt;=2,"?ACTIVATED",IF(J3632&lt;&gt;"","?FAMILIAR",IF(F3632="NEW",IF(ISNA(VLOOKUP(E3632,#REF!,1,FALSE())),"?TYPE_IDENTIFIABLE","?REFERENTIAL"),"_")))))</f>
        <v> </v>
      </c>
      <c r="H3632" s="24" t="str">
        <f>IF(J3632&lt;&gt;1,"",IF(I3632="SBJ","CB","?"))</f>
        <v> </v>
      </c>
      <c r="I3632" s="25" t="str">
        <f>IF(OR(E3632="",E3632="!!!",F3632="NEW"),"",INDEX(B3631:B$2,-1+SUMPRODUCT(MAX(ROW(E3631:E$2)*(E3632=E3631:E$2)))))</f>
        <v> </v>
      </c>
      <c r="J3632" s="25" t="str">
        <f>IF(OR(E3632="",E3632="!!!",F3632="NEW"),"",COUNTBLANK(OFFSET(A$1,,,SUMPRODUCT(MAX(ROW(E$2:E3632)*(E3632=E$2:E3632)))))-COUNTBLANK(OFFSET(A$1,,,SUMPRODUCT(MAX(ROW(E$1:E3631)*(E2=E$1:E3631))))))</f>
        <v> </v>
      </c>
      <c r="K3632" s="25" t="str">
        <f>IF(OR(E3632="",E3632="!!!",F3632="NEW"),"",INDEX(J$1:J3631,SUMPRODUCT(MAX(ROW(E$1:E3631)*(E3632=E$1:E3631)))))</f>
        <v> </v>
      </c>
      <c r="L3632" s="26"/>
    </row>
    <row r="3633" spans="1:12">
      <c r="A3633" s="20" t="s">
        <v>1491</v>
      </c>
      <c r="B3633" s="27" t="s">
        <v>1069</v>
      </c>
      <c r="C3633" s="27" t="s">
        <v>1029</v>
      </c>
      <c r="D3633" s="27" t="s">
        <v>1030</v>
      </c>
      <c r="E3633" s="21">
        <f>IF(D3633="?OLD","!!!","")</f>
        <v/>
      </c>
      <c r="F3633" s="22" t="str">
        <f>IF(OR(E3633="",E3633="!!!"),"",IF(NOT(ISNA(VLOOKUP(E3633,E$1:E3632,1,FALSE()))),"OLD",IF(AND(E3633&lt;&gt;"",E3633&lt;&gt;"!!!"),"NEW","")))</f>
        <v> </v>
      </c>
      <c r="G3633" s="23" t="str">
        <f>IF(OR(E3633="",E3633="!!!"),"",IF(OR(J3633=0,AND(J3633=1,K3633=1),AND(J3633=1,I3633="SBJ"),AND(J3633=1,I3633=0)),"?IN_FOCUS",IF(J3633&lt;=2,"?ACTIVATED",IF(J3633&lt;&gt;"","?FAMILIAR",IF(F3633="NEW",IF(ISNA(VLOOKUP(E3633,#REF!,1,FALSE())),"?TYPE_IDENTIFIABLE","?REFERENTIAL"),"_")))))</f>
        <v> </v>
      </c>
      <c r="H3633" s="24" t="str">
        <f>IF(J3633&lt;&gt;1,"",IF(I3633="SBJ","CB","?"))</f>
        <v> </v>
      </c>
      <c r="I3633" s="25" t="str">
        <f>IF(OR(E3633="",E3633="!!!",F3633="NEW"),"",INDEX(B3632:B$2,-1+SUMPRODUCT(MAX(ROW(E3632:E$2)*(E3633=E3632:E$2)))))</f>
        <v> </v>
      </c>
      <c r="J3633" s="25" t="str">
        <f>IF(OR(E3633="",E3633="!!!",F3633="NEW"),"",COUNTBLANK(OFFSET(A$1,,,SUMPRODUCT(MAX(ROW(E$2:E3633)*(E3633=E$2:E3633)))))-COUNTBLANK(OFFSET(A$1,,,SUMPRODUCT(MAX(ROW(E$1:E3632)*(E2=E$1:E3632))))))</f>
        <v> </v>
      </c>
      <c r="K3633" s="25" t="str">
        <f>IF(OR(E3633="",E3633="!!!",F3633="NEW"),"",INDEX(J$1:J3632,SUMPRODUCT(MAX(ROW(E$1:E3632)*(E3633=E$1:E3632)))))</f>
        <v> </v>
      </c>
      <c r="L3633" s="26"/>
    </row>
    <row r="3634" spans="1:12">
      <c r="A3634" s="20" t="s">
        <v>1016</v>
      </c>
      <c r="E3634" s="21">
        <f>IF(D3634="?OLD","!!!","")</f>
        <v/>
      </c>
      <c r="F3634" s="22" t="str">
        <f>IF(OR(E3634="",E3634="!!!"),"",IF(NOT(ISNA(VLOOKUP(E3634,E$1:E3633,1,FALSE()))),"OLD",IF(AND(E3634&lt;&gt;"",E3634&lt;&gt;"!!!"),"NEW","")))</f>
        <v> </v>
      </c>
      <c r="G3634" s="23" t="str">
        <f>IF(OR(E3634="",E3634="!!!"),"",IF(OR(J3634=0,AND(J3634=1,K3634=1),AND(J3634=1,I3634="SBJ"),AND(J3634=1,I3634=0)),"?IN_FOCUS",IF(J3634&lt;=2,"?ACTIVATED",IF(J3634&lt;&gt;"","?FAMILIAR",IF(F3634="NEW",IF(ISNA(VLOOKUP(E3634,#REF!,1,FALSE())),"?TYPE_IDENTIFIABLE","?REFERENTIAL"),"_")))))</f>
        <v> </v>
      </c>
      <c r="H3634" s="24" t="str">
        <f>IF(J3634&lt;&gt;1,"",IF(I3634="SBJ","CB","?"))</f>
        <v> </v>
      </c>
      <c r="I3634" s="25" t="str">
        <f>IF(OR(E3634="",E3634="!!!",F3634="NEW"),"",INDEX(B3633:B$2,-1+SUMPRODUCT(MAX(ROW(E3633:E$2)*(E3634=E3633:E$2)))))</f>
        <v> </v>
      </c>
      <c r="J3634" s="25" t="str">
        <f>IF(OR(E3634="",E3634="!!!",F3634="NEW"),"",COUNTBLANK(OFFSET(A$1,,,SUMPRODUCT(MAX(ROW(E$2:E3634)*(E3634=E$2:E3634)))))-COUNTBLANK(OFFSET(A$1,,,SUMPRODUCT(MAX(ROW(E$1:E3633)*(E2=E$1:E3633))))))</f>
        <v> </v>
      </c>
      <c r="K3634" s="25" t="str">
        <f>IF(OR(E3634="",E3634="!!!",F3634="NEW"),"",INDEX(J$1:J3633,SUMPRODUCT(MAX(ROW(E$1:E3633)*(E3634=E$1:E3633)))))</f>
        <v> </v>
      </c>
      <c r="L3634" s="26"/>
    </row>
    <row r="3635" spans="1:12">
      <c r="A3635" s="20" t="s">
        <v>2245</v>
      </c>
      <c r="B3635" s="27" t="s">
        <v>1066</v>
      </c>
      <c r="C3635" s="27" t="s">
        <v>1029</v>
      </c>
      <c r="D3635" s="27" t="s">
        <v>1030</v>
      </c>
      <c r="E3635" s="21">
        <f>IF(D3635="?OLD","!!!","")</f>
        <v/>
      </c>
      <c r="F3635" s="22" t="str">
        <f>IF(OR(E3635="",E3635="!!!"),"",IF(NOT(ISNA(VLOOKUP(E3635,E$1:E3634,1,FALSE()))),"OLD",IF(AND(E3635&lt;&gt;"",E3635&lt;&gt;"!!!"),"NEW","")))</f>
        <v> </v>
      </c>
      <c r="G3635" s="23" t="str">
        <f>IF(OR(E3635="",E3635="!!!"),"",IF(OR(J3635=0,AND(J3635=1,K3635=1),AND(J3635=1,I3635="SBJ"),AND(J3635=1,I3635=0)),"?IN_FOCUS",IF(J3635&lt;=2,"?ACTIVATED",IF(J3635&lt;&gt;"","?FAMILIAR",IF(F3635="NEW",IF(ISNA(VLOOKUP(E3635,#REF!,1,FALSE())),"?TYPE_IDENTIFIABLE","?REFERENTIAL"),"_")))))</f>
        <v> </v>
      </c>
      <c r="H3635" s="24" t="str">
        <f>IF(J3635&lt;&gt;1,"",IF(I3635="SBJ","CB","?"))</f>
        <v> </v>
      </c>
      <c r="I3635" s="25" t="str">
        <f>IF(OR(E3635="",E3635="!!!",F3635="NEW"),"",INDEX(B3634:B$2,-1+SUMPRODUCT(MAX(ROW(E3634:E$2)*(E3635=E3634:E$2)))))</f>
        <v> </v>
      </c>
      <c r="J3635" s="25" t="str">
        <f>IF(OR(E3635="",E3635="!!!",F3635="NEW"),"",COUNTBLANK(OFFSET(A$1,,,SUMPRODUCT(MAX(ROW(E$2:E3635)*(E3635=E$2:E3635)))))-COUNTBLANK(OFFSET(A$1,,,SUMPRODUCT(MAX(ROW(E$1:E3634)*(E2=E$1:E3634))))))</f>
        <v> </v>
      </c>
      <c r="K3635" s="25" t="str">
        <f>IF(OR(E3635="",E3635="!!!",F3635="NEW"),"",INDEX(J$1:J3634,SUMPRODUCT(MAX(ROW(E$1:E3634)*(E3635=E$1:E3634)))))</f>
        <v> </v>
      </c>
      <c r="L3635" s="26"/>
    </row>
    <row r="3636" spans="1:12">
      <c r="A3636" s="20" t="s">
        <v>1721</v>
      </c>
      <c r="E3636" s="21">
        <f>IF(D3636="?OLD","!!!","")</f>
        <v/>
      </c>
      <c r="F3636" s="22" t="str">
        <f>IF(OR(E3636="",E3636="!!!"),"",IF(NOT(ISNA(VLOOKUP(E3636,E$1:E3635,1,FALSE()))),"OLD",IF(AND(E3636&lt;&gt;"",E3636&lt;&gt;"!!!"),"NEW","")))</f>
        <v> </v>
      </c>
      <c r="G3636" s="23" t="str">
        <f>IF(OR(E3636="",E3636="!!!"),"",IF(OR(J3636=0,AND(J3636=1,K3636=1),AND(J3636=1,I3636="SBJ"),AND(J3636=1,I3636=0)),"?IN_FOCUS",IF(J3636&lt;=2,"?ACTIVATED",IF(J3636&lt;&gt;"","?FAMILIAR",IF(F3636="NEW",IF(ISNA(VLOOKUP(E3636,#REF!,1,FALSE())),"?TYPE_IDENTIFIABLE","?REFERENTIAL"),"_")))))</f>
        <v> </v>
      </c>
      <c r="H3636" s="24" t="str">
        <f>IF(J3636&lt;&gt;1,"",IF(I3636="SBJ","CB","?"))</f>
        <v> </v>
      </c>
      <c r="I3636" s="25" t="str">
        <f>IF(OR(E3636="",E3636="!!!",F3636="NEW"),"",INDEX(B3635:B$2,-1+SUMPRODUCT(MAX(ROW(E3635:E$2)*(E3636=E3635:E$2)))))</f>
        <v> </v>
      </c>
      <c r="J3636" s="25" t="str">
        <f>IF(OR(E3636="",E3636="!!!",F3636="NEW"),"",COUNTBLANK(OFFSET(A$1,,,SUMPRODUCT(MAX(ROW(E$2:E3636)*(E3636=E$2:E3636)))))-COUNTBLANK(OFFSET(A$1,,,SUMPRODUCT(MAX(ROW(E$1:E3635)*(E2=E$1:E3635))))))</f>
        <v> </v>
      </c>
      <c r="K3636" s="25" t="str">
        <f>IF(OR(E3636="",E3636="!!!",F3636="NEW"),"",INDEX(J$1:J3635,SUMPRODUCT(MAX(ROW(E$1:E3635)*(E3636=E$1:E3635)))))</f>
        <v> </v>
      </c>
      <c r="L3636" s="26"/>
    </row>
    <row r="3637" spans="1:12">
      <c r="A3637" s="20" t="s">
        <v>1025</v>
      </c>
      <c r="E3637" s="21">
        <f>IF(D3637="?OLD","!!!","")</f>
        <v/>
      </c>
      <c r="F3637" s="22" t="str">
        <f>IF(OR(E3637="",E3637="!!!"),"",IF(NOT(ISNA(VLOOKUP(E3637,E$1:E3636,1,FALSE()))),"OLD",IF(AND(E3637&lt;&gt;"",E3637&lt;&gt;"!!!"),"NEW","")))</f>
        <v> </v>
      </c>
      <c r="G3637" s="23" t="str">
        <f>IF(OR(E3637="",E3637="!!!"),"",IF(OR(J3637=0,AND(J3637=1,K3637=1),AND(J3637=1,I3637="SBJ"),AND(J3637=1,I3637=0)),"?IN_FOCUS",IF(J3637&lt;=2,"?ACTIVATED",IF(J3637&lt;&gt;"","?FAMILIAR",IF(F3637="NEW",IF(ISNA(VLOOKUP(E3637,#REF!,1,FALSE())),"?TYPE_IDENTIFIABLE","?REFERENTIAL"),"_")))))</f>
        <v> </v>
      </c>
      <c r="H3637" s="24" t="str">
        <f>IF(J3637&lt;&gt;1,"",IF(I3637="SBJ","CB","?"))</f>
        <v> </v>
      </c>
      <c r="I3637" s="25" t="str">
        <f>IF(OR(E3637="",E3637="!!!",F3637="NEW"),"",INDEX(B3636:B$2,-1+SUMPRODUCT(MAX(ROW(E3636:E$2)*(E3637=E3636:E$2)))))</f>
        <v> </v>
      </c>
      <c r="J3637" s="25" t="str">
        <f>IF(OR(E3637="",E3637="!!!",F3637="NEW"),"",COUNTBLANK(OFFSET(A$1,,,SUMPRODUCT(MAX(ROW(E$2:E3637)*(E3637=E$2:E3637)))))-COUNTBLANK(OFFSET(A$1,,,SUMPRODUCT(MAX(ROW(E$1:E3636)*(E2=E$1:E3636))))))</f>
        <v> </v>
      </c>
      <c r="K3637" s="25" t="str">
        <f>IF(OR(E3637="",E3637="!!!",F3637="NEW"),"",INDEX(J$1:J3636,SUMPRODUCT(MAX(ROW(E$1:E3636)*(E3637=E$1:E3636)))))</f>
        <v> </v>
      </c>
      <c r="L3637" s="26"/>
    </row>
    <row r="3638" spans="1:12">
      <c r="A3638" s="20" t="s">
        <v>1132</v>
      </c>
      <c r="E3638" s="21">
        <f>IF(D3638="?OLD","!!!","")</f>
        <v/>
      </c>
      <c r="F3638" s="22" t="str">
        <f>IF(OR(E3638="",E3638="!!!"),"",IF(NOT(ISNA(VLOOKUP(E3638,E$1:E3637,1,FALSE()))),"OLD",IF(AND(E3638&lt;&gt;"",E3638&lt;&gt;"!!!"),"NEW","")))</f>
        <v> </v>
      </c>
      <c r="G3638" s="23" t="str">
        <f>IF(OR(E3638="",E3638="!!!"),"",IF(OR(J3638=0,AND(J3638=1,K3638=1),AND(J3638=1,I3638="SBJ"),AND(J3638=1,I3638=0)),"?IN_FOCUS",IF(J3638&lt;=2,"?ACTIVATED",IF(J3638&lt;&gt;"","?FAMILIAR",IF(F3638="NEW",IF(ISNA(VLOOKUP(E3638,#REF!,1,FALSE())),"?TYPE_IDENTIFIABLE","?REFERENTIAL"),"_")))))</f>
        <v> </v>
      </c>
      <c r="H3638" s="24" t="str">
        <f>IF(J3638&lt;&gt;1,"",IF(I3638="SBJ","CB","?"))</f>
        <v> </v>
      </c>
      <c r="I3638" s="25" t="str">
        <f>IF(OR(E3638="",E3638="!!!",F3638="NEW"),"",INDEX(B3637:B$2,-1+SUMPRODUCT(MAX(ROW(E3637:E$2)*(E3638=E3637:E$2)))))</f>
        <v> </v>
      </c>
      <c r="J3638" s="25" t="str">
        <f>IF(OR(E3638="",E3638="!!!",F3638="NEW"),"",COUNTBLANK(OFFSET(A$1,,,SUMPRODUCT(MAX(ROW(E$2:E3638)*(E3638=E$2:E3638)))))-COUNTBLANK(OFFSET(A$1,,,SUMPRODUCT(MAX(ROW(E$1:E3637)*(E2=E$1:E3637))))))</f>
        <v> </v>
      </c>
      <c r="K3638" s="25" t="str">
        <f>IF(OR(E3638="",E3638="!!!",F3638="NEW"),"",INDEX(J$1:J3637,SUMPRODUCT(MAX(ROW(E$1:E3637)*(E3638=E$1:E3637)))))</f>
        <v> </v>
      </c>
      <c r="L3638" s="26"/>
    </row>
    <row r="3639" spans="1:12">
      <c r="A3639" s="20" t="s">
        <v>2246</v>
      </c>
      <c r="B3639" s="27" t="s">
        <v>1103</v>
      </c>
      <c r="C3639" s="27" t="s">
        <v>1046</v>
      </c>
      <c r="D3639" s="27" t="s">
        <v>1030</v>
      </c>
      <c r="E3639" s="21">
        <f>IF(D3639="?OLD","!!!","")</f>
        <v/>
      </c>
      <c r="F3639" s="22" t="str">
        <f>IF(OR(E3639="",E3639="!!!"),"",IF(NOT(ISNA(VLOOKUP(E3639,E$1:E3638,1,FALSE()))),"OLD",IF(AND(E3639&lt;&gt;"",E3639&lt;&gt;"!!!"),"NEW","")))</f>
        <v> </v>
      </c>
      <c r="G3639" s="23" t="str">
        <f>IF(OR(E3639="",E3639="!!!"),"",IF(OR(J3639=0,AND(J3639=1,K3639=1),AND(J3639=1,I3639="SBJ"),AND(J3639=1,I3639=0)),"?IN_FOCUS",IF(J3639&lt;=2,"?ACTIVATED",IF(J3639&lt;&gt;"","?FAMILIAR",IF(F3639="NEW",IF(ISNA(VLOOKUP(E3639,#REF!,1,FALSE())),"?TYPE_IDENTIFIABLE","?REFERENTIAL"),"_")))))</f>
        <v> </v>
      </c>
      <c r="H3639" s="24" t="str">
        <f>IF(J3639&lt;&gt;1,"",IF(I3639="SBJ","CB","?"))</f>
        <v> </v>
      </c>
      <c r="I3639" s="25" t="str">
        <f>IF(OR(E3639="",E3639="!!!",F3639="NEW"),"",INDEX(B3638:B$2,-1+SUMPRODUCT(MAX(ROW(E3638:E$2)*(E3639=E3638:E$2)))))</f>
        <v> </v>
      </c>
      <c r="J3639" s="25" t="str">
        <f>IF(OR(E3639="",E3639="!!!",F3639="NEW"),"",COUNTBLANK(OFFSET(A$1,,,SUMPRODUCT(MAX(ROW(E$2:E3639)*(E3639=E$2:E3639)))))-COUNTBLANK(OFFSET(A$1,,,SUMPRODUCT(MAX(ROW(E$1:E3638)*(E2=E$1:E3638))))))</f>
        <v> </v>
      </c>
      <c r="K3639" s="25" t="str">
        <f>IF(OR(E3639="",E3639="!!!",F3639="NEW"),"",INDEX(J$1:J3638,SUMPRODUCT(MAX(ROW(E$1:E3638)*(E3639=E$1:E3638)))))</f>
        <v> </v>
      </c>
      <c r="L3639" s="26"/>
    </row>
    <row r="3640" spans="1:12">
      <c r="A3640" s="20" t="s">
        <v>135</v>
      </c>
      <c r="E3640" s="21">
        <f>IF(D3640="?OLD","!!!","")</f>
        <v/>
      </c>
      <c r="F3640" s="22" t="str">
        <f>IF(OR(E3640="",E3640="!!!"),"",IF(NOT(ISNA(VLOOKUP(E3640,E$1:E3639,1,FALSE()))),"OLD",IF(AND(E3640&lt;&gt;"",E3640&lt;&gt;"!!!"),"NEW","")))</f>
        <v> </v>
      </c>
      <c r="G3640" s="23" t="str">
        <f>IF(OR(E3640="",E3640="!!!"),"",IF(OR(J3640=0,AND(J3640=1,K3640=1),AND(J3640=1,I3640="SBJ"),AND(J3640=1,I3640=0)),"?IN_FOCUS",IF(J3640&lt;=2,"?ACTIVATED",IF(J3640&lt;&gt;"","?FAMILIAR",IF(F3640="NEW",IF(ISNA(VLOOKUP(E3640,#REF!,1,FALSE())),"?TYPE_IDENTIFIABLE","?REFERENTIAL"),"_")))))</f>
        <v> </v>
      </c>
      <c r="H3640" s="24" t="str">
        <f>IF(J3640&lt;&gt;1,"",IF(I3640="SBJ","CB","?"))</f>
        <v> </v>
      </c>
      <c r="I3640" s="25" t="str">
        <f>IF(OR(E3640="",E3640="!!!",F3640="NEW"),"",INDEX(B3639:B$2,-1+SUMPRODUCT(MAX(ROW(E3639:E$2)*(E3640=E3639:E$2)))))</f>
        <v> </v>
      </c>
      <c r="J3640" s="25" t="str">
        <f>IF(OR(E3640="",E3640="!!!",F3640="NEW"),"",COUNTBLANK(OFFSET(A$1,,,SUMPRODUCT(MAX(ROW(E$2:E3640)*(E3640=E$2:E3640)))))-COUNTBLANK(OFFSET(A$1,,,SUMPRODUCT(MAX(ROW(E$1:E3639)*(E2=E$1:E3639))))))</f>
        <v> </v>
      </c>
      <c r="K3640" s="25" t="str">
        <f>IF(OR(E3640="",E3640="!!!",F3640="NEW"),"",INDEX(J$1:J3639,SUMPRODUCT(MAX(ROW(E$1:E3639)*(E3640=E$1:E3639)))))</f>
        <v> </v>
      </c>
      <c r="L3640" s="26"/>
    </row>
    <row r="3641" spans="1:12">
      <c r="A3641" s="20"/>
    </row>
    <row r="3642" spans="1:12">
      <c r="A3642" s="20" t="s">
        <v>2247</v>
      </c>
    </row>
    <row r="3643" spans="1:12">
      <c r="A3643" s="20" t="s">
        <v>2248</v>
      </c>
      <c r="E3643" s="21">
        <f>IF(D3643="?OLD","!!!","")</f>
        <v/>
      </c>
      <c r="F3643" s="22" t="str">
        <f>IF(OR(E3643="",E3643="!!!"),"",IF(NOT(ISNA(VLOOKUP(E3643,E$1:E3642,1,FALSE()))),"OLD",IF(AND(E3643&lt;&gt;"",E3643&lt;&gt;"!!!"),"NEW","")))</f>
        <v> </v>
      </c>
      <c r="G3643" s="23" t="str">
        <f>IF(OR(E3643="",E3643="!!!"),"",IF(OR(J3643=0,AND(J3643=1,K3643=1),AND(J3643=1,I3643="SBJ"),AND(J3643=1,I3643=0)),"?IN_FOCUS",IF(J3643&lt;=2,"?ACTIVATED",IF(J3643&lt;&gt;"","?FAMILIAR",IF(F3643="NEW",IF(ISNA(VLOOKUP(E3643,#REF!,1,FALSE())),"?TYPE_IDENTIFIABLE","?REFERENTIAL"),"_")))))</f>
        <v> </v>
      </c>
      <c r="H3643" s="24" t="str">
        <f>IF(J3643&lt;&gt;1,"",IF(I3643="SBJ","CB","?"))</f>
        <v> </v>
      </c>
      <c r="I3643" s="25" t="str">
        <f>IF(OR(E3643="",E3643="!!!",F3643="NEW"),"",INDEX(B3642:B$2,-1+SUMPRODUCT(MAX(ROW(E3642:E$2)*(E3643=E3642:E$2)))))</f>
        <v> </v>
      </c>
      <c r="J3643" s="25" t="str">
        <f>IF(OR(E3643="",E3643="!!!",F3643="NEW"),"",COUNTBLANK(OFFSET(A$1,,,SUMPRODUCT(MAX(ROW(E$2:E3643)*(E3643=E$2:E3643)))))-COUNTBLANK(OFFSET(A$1,,,SUMPRODUCT(MAX(ROW(E$1:E3642)*(E2=E$1:E3642))))))</f>
        <v> </v>
      </c>
      <c r="K3643" s="25" t="str">
        <f>IF(OR(E3643="",E3643="!!!",F3643="NEW"),"",INDEX(J$1:J3642,SUMPRODUCT(MAX(ROW(E$1:E3642)*(E3643=E$1:E3642)))))</f>
        <v> </v>
      </c>
      <c r="L3643" s="26"/>
    </row>
    <row r="3644" spans="1:12">
      <c r="A3644" s="20" t="s">
        <v>1295</v>
      </c>
      <c r="E3644" s="21">
        <f>IF(D3644="?OLD","!!!","")</f>
        <v/>
      </c>
      <c r="F3644" s="22" t="str">
        <f>IF(OR(E3644="",E3644="!!!"),"",IF(NOT(ISNA(VLOOKUP(E3644,E$1:E3643,1,FALSE()))),"OLD",IF(AND(E3644&lt;&gt;"",E3644&lt;&gt;"!!!"),"NEW","")))</f>
        <v> </v>
      </c>
      <c r="G3644" s="23" t="str">
        <f>IF(OR(E3644="",E3644="!!!"),"",IF(OR(J3644=0,AND(J3644=1,K3644=1),AND(J3644=1,I3644="SBJ"),AND(J3644=1,I3644=0)),"?IN_FOCUS",IF(J3644&lt;=2,"?ACTIVATED",IF(J3644&lt;&gt;"","?FAMILIAR",IF(F3644="NEW",IF(ISNA(VLOOKUP(E3644,#REF!,1,FALSE())),"?TYPE_IDENTIFIABLE","?REFERENTIAL"),"_")))))</f>
        <v> </v>
      </c>
      <c r="H3644" s="24" t="str">
        <f>IF(J3644&lt;&gt;1,"",IF(I3644="SBJ","CB","?"))</f>
        <v> </v>
      </c>
      <c r="I3644" s="25" t="str">
        <f>IF(OR(E3644="",E3644="!!!",F3644="NEW"),"",INDEX(B3643:B$2,-1+SUMPRODUCT(MAX(ROW(E3643:E$2)*(E3644=E3643:E$2)))))</f>
        <v> </v>
      </c>
      <c r="J3644" s="25" t="str">
        <f>IF(OR(E3644="",E3644="!!!",F3644="NEW"),"",COUNTBLANK(OFFSET(A$1,,,SUMPRODUCT(MAX(ROW(E$2:E3644)*(E3644=E$2:E3644)))))-COUNTBLANK(OFFSET(A$1,,,SUMPRODUCT(MAX(ROW(E$1:E3643)*(E2=E$1:E3643))))))</f>
        <v> </v>
      </c>
      <c r="K3644" s="25" t="str">
        <f>IF(OR(E3644="",E3644="!!!",F3644="NEW"),"",INDEX(J$1:J3643,SUMPRODUCT(MAX(ROW(E$1:E3643)*(E3644=E$1:E3643)))))</f>
        <v> </v>
      </c>
      <c r="L3644" s="26"/>
    </row>
    <row r="3645" spans="1:12">
      <c r="A3645" s="20" t="s">
        <v>1185</v>
      </c>
      <c r="B3645" s="27" t="s">
        <v>1041</v>
      </c>
      <c r="C3645" s="27" t="s">
        <v>1070</v>
      </c>
      <c r="E3645" s="21">
        <f>IF(D3645="?OLD","!!!","")</f>
        <v/>
      </c>
      <c r="F3645" s="22" t="str">
        <f>IF(OR(E3645="",E3645="!!!"),"",IF(NOT(ISNA(VLOOKUP(E3645,E$1:E3644,1,FALSE()))),"OLD",IF(AND(E3645&lt;&gt;"",E3645&lt;&gt;"!!!"),"NEW","")))</f>
        <v> </v>
      </c>
      <c r="G3645" s="23" t="str">
        <f>IF(OR(E3645="",E3645="!!!"),"",IF(OR(J3645=0,AND(J3645=1,K3645=1),AND(J3645=1,I3645="SBJ"),AND(J3645=1,I3645=0)),"?IN_FOCUS",IF(J3645&lt;=2,"?ACTIVATED",IF(J3645&lt;&gt;"","?FAMILIAR",IF(F3645="NEW",IF(ISNA(VLOOKUP(E3645,#REF!,1,FALSE())),"?TYPE_IDENTIFIABLE","?REFERENTIAL"),"_")))))</f>
        <v> </v>
      </c>
      <c r="H3645" s="24" t="str">
        <f>IF(J3645&lt;&gt;1,"",IF(I3645="SBJ","CB","?"))</f>
        <v> </v>
      </c>
      <c r="I3645" s="25" t="str">
        <f>IF(OR(E3645="",E3645="!!!",F3645="NEW"),"",INDEX(B3644:B$2,-1+SUMPRODUCT(MAX(ROW(E3644:E$2)*(E3645=E3644:E$2)))))</f>
        <v> </v>
      </c>
      <c r="J3645" s="25" t="str">
        <f>IF(OR(E3645="",E3645="!!!",F3645="NEW"),"",COUNTBLANK(OFFSET(A$1,,,SUMPRODUCT(MAX(ROW(E$2:E3645)*(E3645=E$2:E3645)))))-COUNTBLANK(OFFSET(A$1,,,SUMPRODUCT(MAX(ROW(E$1:E3644)*(E2=E$1:E3644))))))</f>
        <v> </v>
      </c>
      <c r="K3645" s="25" t="str">
        <f>IF(OR(E3645="",E3645="!!!",F3645="NEW"),"",INDEX(J$1:J3644,SUMPRODUCT(MAX(ROW(E$1:E3644)*(E3645=E$1:E3644)))))</f>
        <v> </v>
      </c>
      <c r="L3645" s="26"/>
    </row>
    <row r="3646" spans="1:12">
      <c r="A3646" s="20" t="s">
        <v>2249</v>
      </c>
      <c r="E3646" s="21">
        <f>IF(D3646="?OLD","!!!","")</f>
        <v/>
      </c>
      <c r="F3646" s="22" t="str">
        <f>IF(OR(E3646="",E3646="!!!"),"",IF(NOT(ISNA(VLOOKUP(E3646,E$1:E3645,1,FALSE()))),"OLD",IF(AND(E3646&lt;&gt;"",E3646&lt;&gt;"!!!"),"NEW","")))</f>
        <v> </v>
      </c>
      <c r="G3646" s="23" t="str">
        <f>IF(OR(E3646="",E3646="!!!"),"",IF(OR(J3646=0,AND(J3646=1,K3646=1),AND(J3646=1,I3646="SBJ"),AND(J3646=1,I3646=0)),"?IN_FOCUS",IF(J3646&lt;=2,"?ACTIVATED",IF(J3646&lt;&gt;"","?FAMILIAR",IF(F3646="NEW",IF(ISNA(VLOOKUP(E3646,#REF!,1,FALSE())),"?TYPE_IDENTIFIABLE","?REFERENTIAL"),"_")))))</f>
        <v> </v>
      </c>
      <c r="H3646" s="24" t="str">
        <f>IF(J3646&lt;&gt;1,"",IF(I3646="SBJ","CB","?"))</f>
        <v> </v>
      </c>
      <c r="I3646" s="25" t="str">
        <f>IF(OR(E3646="",E3646="!!!",F3646="NEW"),"",INDEX(B3645:B$2,-1+SUMPRODUCT(MAX(ROW(E3645:E$2)*(E3646=E3645:E$2)))))</f>
        <v> </v>
      </c>
      <c r="J3646" s="25" t="str">
        <f>IF(OR(E3646="",E3646="!!!",F3646="NEW"),"",COUNTBLANK(OFFSET(A$1,,,SUMPRODUCT(MAX(ROW(E$2:E3646)*(E3646=E$2:E3646)))))-COUNTBLANK(OFFSET(A$1,,,SUMPRODUCT(MAX(ROW(E$1:E3645)*(E2=E$1:E3645))))))</f>
        <v> </v>
      </c>
      <c r="K3646" s="25" t="str">
        <f>IF(OR(E3646="",E3646="!!!",F3646="NEW"),"",INDEX(J$1:J3645,SUMPRODUCT(MAX(ROW(E$1:E3645)*(E3646=E$1:E3645)))))</f>
        <v> </v>
      </c>
      <c r="L3646" s="26"/>
    </row>
    <row r="3647" spans="1:12">
      <c r="A3647" s="20" t="s">
        <v>884</v>
      </c>
      <c r="E3647" s="21">
        <f>IF(D3647="?OLD","!!!","")</f>
        <v/>
      </c>
      <c r="F3647" s="22" t="str">
        <f>IF(OR(E3647="",E3647="!!!"),"",IF(NOT(ISNA(VLOOKUP(E3647,E$1:E3646,1,FALSE()))),"OLD",IF(AND(E3647&lt;&gt;"",E3647&lt;&gt;"!!!"),"NEW","")))</f>
        <v> </v>
      </c>
      <c r="G3647" s="23" t="str">
        <f>IF(OR(E3647="",E3647="!!!"),"",IF(OR(J3647=0,AND(J3647=1,K3647=1),AND(J3647=1,I3647="SBJ"),AND(J3647=1,I3647=0)),"?IN_FOCUS",IF(J3647&lt;=2,"?ACTIVATED",IF(J3647&lt;&gt;"","?FAMILIAR",IF(F3647="NEW",IF(ISNA(VLOOKUP(E3647,#REF!,1,FALSE())),"?TYPE_IDENTIFIABLE","?REFERENTIAL"),"_")))))</f>
        <v> </v>
      </c>
      <c r="H3647" s="24" t="str">
        <f>IF(J3647&lt;&gt;1,"",IF(I3647="SBJ","CB","?"))</f>
        <v> </v>
      </c>
      <c r="I3647" s="25" t="str">
        <f>IF(OR(E3647="",E3647="!!!",F3647="NEW"),"",INDEX(B3646:B$2,-1+SUMPRODUCT(MAX(ROW(E3646:E$2)*(E3647=E3646:E$2)))))</f>
        <v> </v>
      </c>
      <c r="J3647" s="25" t="str">
        <f>IF(OR(E3647="",E3647="!!!",F3647="NEW"),"",COUNTBLANK(OFFSET(A$1,,,SUMPRODUCT(MAX(ROW(E$2:E3647)*(E3647=E$2:E3647)))))-COUNTBLANK(OFFSET(A$1,,,SUMPRODUCT(MAX(ROW(E$1:E3646)*(E2=E$1:E3646))))))</f>
        <v> </v>
      </c>
      <c r="K3647" s="25" t="str">
        <f>IF(OR(E3647="",E3647="!!!",F3647="NEW"),"",INDEX(J$1:J3646,SUMPRODUCT(MAX(ROW(E$1:E3646)*(E3647=E$1:E3646)))))</f>
        <v> </v>
      </c>
      <c r="L3647" s="26"/>
    </row>
    <row r="3648" spans="1:12">
      <c r="A3648" s="20" t="s">
        <v>1083</v>
      </c>
      <c r="E3648" s="21">
        <f>IF(D3648="?OLD","!!!","")</f>
        <v/>
      </c>
      <c r="F3648" s="22" t="str">
        <f>IF(OR(E3648="",E3648="!!!"),"",IF(NOT(ISNA(VLOOKUP(E3648,E$1:E3647,1,FALSE()))),"OLD",IF(AND(E3648&lt;&gt;"",E3648&lt;&gt;"!!!"),"NEW","")))</f>
        <v> </v>
      </c>
      <c r="G3648" s="23" t="str">
        <f>IF(OR(E3648="",E3648="!!!"),"",IF(OR(J3648=0,AND(J3648=1,K3648=1),AND(J3648=1,I3648="SBJ"),AND(J3648=1,I3648=0)),"?IN_FOCUS",IF(J3648&lt;=2,"?ACTIVATED",IF(J3648&lt;&gt;"","?FAMILIAR",IF(F3648="NEW",IF(ISNA(VLOOKUP(E3648,#REF!,1,FALSE())),"?TYPE_IDENTIFIABLE","?REFERENTIAL"),"_")))))</f>
        <v> </v>
      </c>
      <c r="H3648" s="24" t="str">
        <f>IF(J3648&lt;&gt;1,"",IF(I3648="SBJ","CB","?"))</f>
        <v> </v>
      </c>
      <c r="I3648" s="25" t="str">
        <f>IF(OR(E3648="",E3648="!!!",F3648="NEW"),"",INDEX(B3647:B$2,-1+SUMPRODUCT(MAX(ROW(E3647:E$2)*(E3648=E3647:E$2)))))</f>
        <v> </v>
      </c>
      <c r="J3648" s="25" t="str">
        <f>IF(OR(E3648="",E3648="!!!",F3648="NEW"),"",COUNTBLANK(OFFSET(A$1,,,SUMPRODUCT(MAX(ROW(E$2:E3648)*(E3648=E$2:E3648)))))-COUNTBLANK(OFFSET(A$1,,,SUMPRODUCT(MAX(ROW(E$1:E3647)*(E2=E$1:E3647))))))</f>
        <v> </v>
      </c>
      <c r="K3648" s="25" t="str">
        <f>IF(OR(E3648="",E3648="!!!",F3648="NEW"),"",INDEX(J$1:J3647,SUMPRODUCT(MAX(ROW(E$1:E3647)*(E3648=E$1:E3647)))))</f>
        <v> </v>
      </c>
      <c r="L3648" s="26"/>
    </row>
    <row r="3649" spans="1:12">
      <c r="A3649" s="20" t="s">
        <v>2250</v>
      </c>
      <c r="E3649" s="21">
        <f>IF(D3649="?OLD","!!!","")</f>
        <v/>
      </c>
      <c r="F3649" s="22" t="str">
        <f>IF(OR(E3649="",E3649="!!!"),"",IF(NOT(ISNA(VLOOKUP(E3649,E$1:E3648,1,FALSE()))),"OLD",IF(AND(E3649&lt;&gt;"",E3649&lt;&gt;"!!!"),"NEW","")))</f>
        <v> </v>
      </c>
      <c r="G3649" s="23" t="str">
        <f>IF(OR(E3649="",E3649="!!!"),"",IF(OR(J3649=0,AND(J3649=1,K3649=1),AND(J3649=1,I3649="SBJ"),AND(J3649=1,I3649=0)),"?IN_FOCUS",IF(J3649&lt;=2,"?ACTIVATED",IF(J3649&lt;&gt;"","?FAMILIAR",IF(F3649="NEW",IF(ISNA(VLOOKUP(E3649,#REF!,1,FALSE())),"?TYPE_IDENTIFIABLE","?REFERENTIAL"),"_")))))</f>
        <v> </v>
      </c>
      <c r="H3649" s="24" t="str">
        <f>IF(J3649&lt;&gt;1,"",IF(I3649="SBJ","CB","?"))</f>
        <v> </v>
      </c>
      <c r="I3649" s="25" t="str">
        <f>IF(OR(E3649="",E3649="!!!",F3649="NEW"),"",INDEX(B3648:B$2,-1+SUMPRODUCT(MAX(ROW(E3648:E$2)*(E3649=E3648:E$2)))))</f>
        <v> </v>
      </c>
      <c r="J3649" s="25" t="str">
        <f>IF(OR(E3649="",E3649="!!!",F3649="NEW"),"",COUNTBLANK(OFFSET(A$1,,,SUMPRODUCT(MAX(ROW(E$2:E3649)*(E3649=E$2:E3649)))))-COUNTBLANK(OFFSET(A$1,,,SUMPRODUCT(MAX(ROW(E$1:E3648)*(E2=E$1:E3648))))))</f>
        <v> </v>
      </c>
      <c r="K3649" s="25" t="str">
        <f>IF(OR(E3649="",E3649="!!!",F3649="NEW"),"",INDEX(J$1:J3648,SUMPRODUCT(MAX(ROW(E$1:E3648)*(E3649=E$1:E3648)))))</f>
        <v> </v>
      </c>
      <c r="L3649" s="26"/>
    </row>
    <row r="3650" spans="1:12">
      <c r="A3650" s="20" t="s">
        <v>2251</v>
      </c>
      <c r="E3650" s="21">
        <f>IF(D3650="?OLD","!!!","")</f>
        <v/>
      </c>
      <c r="F3650" s="22" t="str">
        <f>IF(OR(E3650="",E3650="!!!"),"",IF(NOT(ISNA(VLOOKUP(E3650,E$1:E3649,1,FALSE()))),"OLD",IF(AND(E3650&lt;&gt;"",E3650&lt;&gt;"!!!"),"NEW","")))</f>
        <v> </v>
      </c>
      <c r="G3650" s="23" t="str">
        <f>IF(OR(E3650="",E3650="!!!"),"",IF(OR(J3650=0,AND(J3650=1,K3650=1),AND(J3650=1,I3650="SBJ"),AND(J3650=1,I3650=0)),"?IN_FOCUS",IF(J3650&lt;=2,"?ACTIVATED",IF(J3650&lt;&gt;"","?FAMILIAR",IF(F3650="NEW",IF(ISNA(VLOOKUP(E3650,#REF!,1,FALSE())),"?TYPE_IDENTIFIABLE","?REFERENTIAL"),"_")))))</f>
        <v> </v>
      </c>
      <c r="H3650" s="24" t="str">
        <f>IF(J3650&lt;&gt;1,"",IF(I3650="SBJ","CB","?"))</f>
        <v> </v>
      </c>
      <c r="I3650" s="25" t="str">
        <f>IF(OR(E3650="",E3650="!!!",F3650="NEW"),"",INDEX(B3649:B$2,-1+SUMPRODUCT(MAX(ROW(E3649:E$2)*(E3650=E3649:E$2)))))</f>
        <v> </v>
      </c>
      <c r="J3650" s="25" t="str">
        <f>IF(OR(E3650="",E3650="!!!",F3650="NEW"),"",COUNTBLANK(OFFSET(A$1,,,SUMPRODUCT(MAX(ROW(E$2:E3650)*(E3650=E$2:E3650)))))-COUNTBLANK(OFFSET(A$1,,,SUMPRODUCT(MAX(ROW(E$1:E3649)*(E2=E$1:E3649))))))</f>
        <v> </v>
      </c>
      <c r="K3650" s="25" t="str">
        <f>IF(OR(E3650="",E3650="!!!",F3650="NEW"),"",INDEX(J$1:J3649,SUMPRODUCT(MAX(ROW(E$1:E3649)*(E3650=E$1:E3649)))))</f>
        <v> </v>
      </c>
      <c r="L3650" s="26"/>
    </row>
    <row r="3651" spans="1:12">
      <c r="A3651" s="20" t="s">
        <v>1036</v>
      </c>
      <c r="E3651" s="21">
        <f>IF(D3651="?OLD","!!!","")</f>
        <v/>
      </c>
      <c r="F3651" s="22" t="str">
        <f>IF(OR(E3651="",E3651="!!!"),"",IF(NOT(ISNA(VLOOKUP(E3651,E$1:E3650,1,FALSE()))),"OLD",IF(AND(E3651&lt;&gt;"",E3651&lt;&gt;"!!!"),"NEW","")))</f>
        <v> </v>
      </c>
      <c r="G3651" s="23" t="str">
        <f>IF(OR(E3651="",E3651="!!!"),"",IF(OR(J3651=0,AND(J3651=1,K3651=1),AND(J3651=1,I3651="SBJ"),AND(J3651=1,I3651=0)),"?IN_FOCUS",IF(J3651&lt;=2,"?ACTIVATED",IF(J3651&lt;&gt;"","?FAMILIAR",IF(F3651="NEW",IF(ISNA(VLOOKUP(E3651,#REF!,1,FALSE())),"?TYPE_IDENTIFIABLE","?REFERENTIAL"),"_")))))</f>
        <v> </v>
      </c>
      <c r="H3651" s="24" t="str">
        <f>IF(J3651&lt;&gt;1,"",IF(I3651="SBJ","CB","?"))</f>
        <v> </v>
      </c>
      <c r="I3651" s="25" t="str">
        <f>IF(OR(E3651="",E3651="!!!",F3651="NEW"),"",INDEX(B3650:B$2,-1+SUMPRODUCT(MAX(ROW(E3650:E$2)*(E3651=E3650:E$2)))))</f>
        <v> </v>
      </c>
      <c r="J3651" s="25" t="str">
        <f>IF(OR(E3651="",E3651="!!!",F3651="NEW"),"",COUNTBLANK(OFFSET(A$1,,,SUMPRODUCT(MAX(ROW(E$2:E3651)*(E3651=E$2:E3651)))))-COUNTBLANK(OFFSET(A$1,,,SUMPRODUCT(MAX(ROW(E$1:E3650)*(E2=E$1:E3650))))))</f>
        <v> </v>
      </c>
      <c r="K3651" s="25" t="str">
        <f>IF(OR(E3651="",E3651="!!!",F3651="NEW"),"",INDEX(J$1:J3650,SUMPRODUCT(MAX(ROW(E$1:E3650)*(E3651=E$1:E3650)))))</f>
        <v> </v>
      </c>
      <c r="L3651" s="26"/>
    </row>
    <row r="3652" spans="1:12">
      <c r="A3652" s="20" t="s">
        <v>2252</v>
      </c>
      <c r="B3652" s="27" t="s">
        <v>1069</v>
      </c>
      <c r="C3652" s="27" t="s">
        <v>1038</v>
      </c>
      <c r="D3652" s="27" t="s">
        <v>1030</v>
      </c>
      <c r="E3652" s="21">
        <f>IF(D3652="?OLD","!!!","")</f>
        <v/>
      </c>
      <c r="F3652" s="22" t="str">
        <f>IF(OR(E3652="",E3652="!!!"),"",IF(NOT(ISNA(VLOOKUP(E3652,E$1:E3651,1,FALSE()))),"OLD",IF(AND(E3652&lt;&gt;"",E3652&lt;&gt;"!!!"),"NEW","")))</f>
        <v> </v>
      </c>
      <c r="G3652" s="23" t="str">
        <f>IF(OR(E3652="",E3652="!!!"),"",IF(OR(J3652=0,AND(J3652=1,K3652=1),AND(J3652=1,I3652="SBJ"),AND(J3652=1,I3652=0)),"?IN_FOCUS",IF(J3652&lt;=2,"?ACTIVATED",IF(J3652&lt;&gt;"","?FAMILIAR",IF(F3652="NEW",IF(ISNA(VLOOKUP(E3652,#REF!,1,FALSE())),"?TYPE_IDENTIFIABLE","?REFERENTIAL"),"_")))))</f>
        <v> </v>
      </c>
      <c r="H3652" s="24" t="str">
        <f>IF(J3652&lt;&gt;1,"",IF(I3652="SBJ","CB","?"))</f>
        <v> </v>
      </c>
      <c r="I3652" s="25" t="str">
        <f>IF(OR(E3652="",E3652="!!!",F3652="NEW"),"",INDEX(B3651:B$2,-1+SUMPRODUCT(MAX(ROW(E3651:E$2)*(E3652=E3651:E$2)))))</f>
        <v> </v>
      </c>
      <c r="J3652" s="25" t="str">
        <f>IF(OR(E3652="",E3652="!!!",F3652="NEW"),"",COUNTBLANK(OFFSET(A$1,,,SUMPRODUCT(MAX(ROW(E$2:E3652)*(E3652=E$2:E3652)))))-COUNTBLANK(OFFSET(A$1,,,SUMPRODUCT(MAX(ROW(E$1:E3651)*(E2=E$1:E3651))))))</f>
        <v> </v>
      </c>
      <c r="K3652" s="25" t="str">
        <f>IF(OR(E3652="",E3652="!!!",F3652="NEW"),"",INDEX(J$1:J3651,SUMPRODUCT(MAX(ROW(E$1:E3651)*(E3652=E$1:E3651)))))</f>
        <v> </v>
      </c>
      <c r="L3652" s="26"/>
    </row>
    <row r="3653" spans="1:12">
      <c r="A3653" s="20" t="s">
        <v>1016</v>
      </c>
      <c r="E3653" s="21">
        <f>IF(D3653="?OLD","!!!","")</f>
        <v/>
      </c>
      <c r="F3653" s="22" t="str">
        <f>IF(OR(E3653="",E3653="!!!"),"",IF(NOT(ISNA(VLOOKUP(E3653,E$1:E3652,1,FALSE()))),"OLD",IF(AND(E3653&lt;&gt;"",E3653&lt;&gt;"!!!"),"NEW","")))</f>
        <v> </v>
      </c>
      <c r="G3653" s="23" t="str">
        <f>IF(OR(E3653="",E3653="!!!"),"",IF(OR(J3653=0,AND(J3653=1,K3653=1),AND(J3653=1,I3653="SBJ"),AND(J3653=1,I3653=0)),"?IN_FOCUS",IF(J3653&lt;=2,"?ACTIVATED",IF(J3653&lt;&gt;"","?FAMILIAR",IF(F3653="NEW",IF(ISNA(VLOOKUP(E3653,#REF!,1,FALSE())),"?TYPE_IDENTIFIABLE","?REFERENTIAL"),"_")))))</f>
        <v> </v>
      </c>
      <c r="H3653" s="24" t="str">
        <f>IF(J3653&lt;&gt;1,"",IF(I3653="SBJ","CB","?"))</f>
        <v> </v>
      </c>
      <c r="I3653" s="25" t="str">
        <f>IF(OR(E3653="",E3653="!!!",F3653="NEW"),"",INDEX(B3652:B$2,-1+SUMPRODUCT(MAX(ROW(E3652:E$2)*(E3653=E3652:E$2)))))</f>
        <v> </v>
      </c>
      <c r="J3653" s="25" t="str">
        <f>IF(OR(E3653="",E3653="!!!",F3653="NEW"),"",COUNTBLANK(OFFSET(A$1,,,SUMPRODUCT(MAX(ROW(E$2:E3653)*(E3653=E$2:E3653)))))-COUNTBLANK(OFFSET(A$1,,,SUMPRODUCT(MAX(ROW(E$1:E3652)*(E2=E$1:E3652))))))</f>
        <v> </v>
      </c>
      <c r="K3653" s="25" t="str">
        <f>IF(OR(E3653="",E3653="!!!",F3653="NEW"),"",INDEX(J$1:J3652,SUMPRODUCT(MAX(ROW(E$1:E3652)*(E3653=E$1:E3652)))))</f>
        <v> </v>
      </c>
      <c r="L3653" s="26"/>
    </row>
    <row r="3654" spans="1:12">
      <c r="A3654" s="20" t="s">
        <v>2253</v>
      </c>
      <c r="E3654" s="21">
        <f>IF(D3654="?OLD","!!!","")</f>
        <v/>
      </c>
      <c r="F3654" s="22" t="str">
        <f>IF(OR(E3654="",E3654="!!!"),"",IF(NOT(ISNA(VLOOKUP(E3654,E$1:E3653,1,FALSE()))),"OLD",IF(AND(E3654&lt;&gt;"",E3654&lt;&gt;"!!!"),"NEW","")))</f>
        <v> </v>
      </c>
      <c r="G3654" s="23" t="str">
        <f>IF(OR(E3654="",E3654="!!!"),"",IF(OR(J3654=0,AND(J3654=1,K3654=1),AND(J3654=1,I3654="SBJ"),AND(J3654=1,I3654=0)),"?IN_FOCUS",IF(J3654&lt;=2,"?ACTIVATED",IF(J3654&lt;&gt;"","?FAMILIAR",IF(F3654="NEW",IF(ISNA(VLOOKUP(E3654,#REF!,1,FALSE())),"?TYPE_IDENTIFIABLE","?REFERENTIAL"),"_")))))</f>
        <v> </v>
      </c>
      <c r="H3654" s="24" t="str">
        <f>IF(J3654&lt;&gt;1,"",IF(I3654="SBJ","CB","?"))</f>
        <v> </v>
      </c>
      <c r="I3654" s="25" t="str">
        <f>IF(OR(E3654="",E3654="!!!",F3654="NEW"),"",INDEX(B3653:B$2,-1+SUMPRODUCT(MAX(ROW(E3653:E$2)*(E3654=E3653:E$2)))))</f>
        <v> </v>
      </c>
      <c r="J3654" s="25" t="str">
        <f>IF(OR(E3654="",E3654="!!!",F3654="NEW"),"",COUNTBLANK(OFFSET(A$1,,,SUMPRODUCT(MAX(ROW(E$2:E3654)*(E3654=E$2:E3654)))))-COUNTBLANK(OFFSET(A$1,,,SUMPRODUCT(MAX(ROW(E$1:E3653)*(E2=E$1:E3653))))))</f>
        <v> </v>
      </c>
      <c r="K3654" s="25" t="str">
        <f>IF(OR(E3654="",E3654="!!!",F3654="NEW"),"",INDEX(J$1:J3653,SUMPRODUCT(MAX(ROW(E$1:E3653)*(E3654=E$1:E3653)))))</f>
        <v> </v>
      </c>
      <c r="L3654" s="26"/>
    </row>
    <row r="3655" spans="1:12">
      <c r="A3655" s="20" t="s">
        <v>2254</v>
      </c>
      <c r="B3655" s="27" t="s">
        <v>1103</v>
      </c>
      <c r="C3655" s="27" t="s">
        <v>1015</v>
      </c>
      <c r="E3655" s="21">
        <f>IF(D3655="?OLD","!!!","")</f>
        <v/>
      </c>
      <c r="F3655" s="22" t="str">
        <f>IF(OR(E3655="",E3655="!!!"),"",IF(NOT(ISNA(VLOOKUP(E3655,E$1:E3654,1,FALSE()))),"OLD",IF(AND(E3655&lt;&gt;"",E3655&lt;&gt;"!!!"),"NEW","")))</f>
        <v> </v>
      </c>
      <c r="G3655" s="23" t="str">
        <f>IF(OR(E3655="",E3655="!!!"),"",IF(OR(J3655=0,AND(J3655=1,K3655=1),AND(J3655=1,I3655="SBJ"),AND(J3655=1,I3655=0)),"?IN_FOCUS",IF(J3655&lt;=2,"?ACTIVATED",IF(J3655&lt;&gt;"","?FAMILIAR",IF(F3655="NEW",IF(ISNA(VLOOKUP(E3655,#REF!,1,FALSE())),"?TYPE_IDENTIFIABLE","?REFERENTIAL"),"_")))))</f>
        <v> </v>
      </c>
      <c r="H3655" s="24" t="str">
        <f>IF(J3655&lt;&gt;1,"",IF(I3655="SBJ","CB","?"))</f>
        <v> </v>
      </c>
      <c r="I3655" s="25" t="str">
        <f>IF(OR(E3655="",E3655="!!!",F3655="NEW"),"",INDEX(B3654:B$2,-1+SUMPRODUCT(MAX(ROW(E3654:E$2)*(E3655=E3654:E$2)))))</f>
        <v> </v>
      </c>
      <c r="J3655" s="25" t="str">
        <f>IF(OR(E3655="",E3655="!!!",F3655="NEW"),"",COUNTBLANK(OFFSET(A$1,,,SUMPRODUCT(MAX(ROW(E$2:E3655)*(E3655=E$2:E3655)))))-COUNTBLANK(OFFSET(A$1,,,SUMPRODUCT(MAX(ROW(E$1:E3654)*(E2=E$1:E3654))))))</f>
        <v> </v>
      </c>
      <c r="K3655" s="25" t="str">
        <f>IF(OR(E3655="",E3655="!!!",F3655="NEW"),"",INDEX(J$1:J3654,SUMPRODUCT(MAX(ROW(E$1:E3654)*(E3655=E$1:E3654)))))</f>
        <v> </v>
      </c>
      <c r="L3655" s="26"/>
    </row>
    <row r="3656" spans="1:12">
      <c r="A3656" s="20" t="s">
        <v>135</v>
      </c>
      <c r="E3656" s="21">
        <f>IF(D3656="?OLD","!!!","")</f>
        <v/>
      </c>
      <c r="F3656" s="22" t="str">
        <f>IF(OR(E3656="",E3656="!!!"),"",IF(NOT(ISNA(VLOOKUP(E3656,E$1:E3655,1,FALSE()))),"OLD",IF(AND(E3656&lt;&gt;"",E3656&lt;&gt;"!!!"),"NEW","")))</f>
        <v> </v>
      </c>
      <c r="G3656" s="23" t="str">
        <f>IF(OR(E3656="",E3656="!!!"),"",IF(OR(J3656=0,AND(J3656=1,K3656=1),AND(J3656=1,I3656="SBJ"),AND(J3656=1,I3656=0)),"?IN_FOCUS",IF(J3656&lt;=2,"?ACTIVATED",IF(J3656&lt;&gt;"","?FAMILIAR",IF(F3656="NEW",IF(ISNA(VLOOKUP(E3656,#REF!,1,FALSE())),"?TYPE_IDENTIFIABLE","?REFERENTIAL"),"_")))))</f>
        <v> </v>
      </c>
      <c r="H3656" s="24" t="str">
        <f>IF(J3656&lt;&gt;1,"",IF(I3656="SBJ","CB","?"))</f>
        <v> </v>
      </c>
      <c r="I3656" s="25" t="str">
        <f>IF(OR(E3656="",E3656="!!!",F3656="NEW"),"",INDEX(B3655:B$2,-1+SUMPRODUCT(MAX(ROW(E3655:E$2)*(E3656=E3655:E$2)))))</f>
        <v> </v>
      </c>
      <c r="J3656" s="25" t="str">
        <f>IF(OR(E3656="",E3656="!!!",F3656="NEW"),"",COUNTBLANK(OFFSET(A$1,,,SUMPRODUCT(MAX(ROW(E$2:E3656)*(E3656=E$2:E3656)))))-COUNTBLANK(OFFSET(A$1,,,SUMPRODUCT(MAX(ROW(E$1:E3655)*(E2=E$1:E3655))))))</f>
        <v> </v>
      </c>
      <c r="K3656" s="25" t="str">
        <f>IF(OR(E3656="",E3656="!!!",F3656="NEW"),"",INDEX(J$1:J3655,SUMPRODUCT(MAX(ROW(E$1:E3655)*(E3656=E$1:E3655)))))</f>
        <v> </v>
      </c>
      <c r="L3656" s="26"/>
    </row>
    <row r="3657" spans="1:12">
      <c r="A3657" s="20"/>
    </row>
    <row r="3658" spans="1:12">
      <c r="A3658" s="20" t="s">
        <v>2255</v>
      </c>
    </row>
    <row r="3659" spans="1:12">
      <c r="A3659" s="20" t="s">
        <v>1088</v>
      </c>
      <c r="E3659" s="21">
        <f>IF(D3659="?OLD","!!!","")</f>
        <v/>
      </c>
      <c r="F3659" s="22" t="str">
        <f>IF(OR(E3659="",E3659="!!!"),"",IF(NOT(ISNA(VLOOKUP(E3659,E$1:E3658,1,FALSE()))),"OLD",IF(AND(E3659&lt;&gt;"",E3659&lt;&gt;"!!!"),"NEW","")))</f>
        <v> </v>
      </c>
      <c r="G3659" s="23" t="str">
        <f>IF(OR(E3659="",E3659="!!!"),"",IF(OR(J3659=0,AND(J3659=1,K3659=1),AND(J3659=1,I3659="SBJ"),AND(J3659=1,I3659=0)),"?IN_FOCUS",IF(J3659&lt;=2,"?ACTIVATED",IF(J3659&lt;&gt;"","?FAMILIAR",IF(F3659="NEW",IF(ISNA(VLOOKUP(E3659,#REF!,1,FALSE())),"?TYPE_IDENTIFIABLE","?REFERENTIAL"),"_")))))</f>
        <v> </v>
      </c>
      <c r="H3659" s="24" t="str">
        <f>IF(J3659&lt;&gt;1,"",IF(I3659="SBJ","CB","?"))</f>
        <v> </v>
      </c>
      <c r="I3659" s="25" t="str">
        <f>IF(OR(E3659="",E3659="!!!",F3659="NEW"),"",INDEX(B3658:B$2,-1+SUMPRODUCT(MAX(ROW(E3658:E$2)*(E3659=E3658:E$2)))))</f>
        <v> </v>
      </c>
      <c r="J3659" s="25" t="str">
        <f>IF(OR(E3659="",E3659="!!!",F3659="NEW"),"",COUNTBLANK(OFFSET(A$1,,,SUMPRODUCT(MAX(ROW(E$2:E3659)*(E3659=E$2:E3659)))))-COUNTBLANK(OFFSET(A$1,,,SUMPRODUCT(MAX(ROW(E$1:E3658)*(E2=E$1:E3658))))))</f>
        <v> </v>
      </c>
      <c r="K3659" s="25" t="str">
        <f>IF(OR(E3659="",E3659="!!!",F3659="NEW"),"",INDEX(J$1:J3658,SUMPRODUCT(MAX(ROW(E$1:E3658)*(E3659=E$1:E3658)))))</f>
        <v> </v>
      </c>
      <c r="L3659" s="26"/>
    </row>
    <row r="3660" spans="1:12">
      <c r="A3660" s="20" t="s">
        <v>2256</v>
      </c>
      <c r="E3660" s="21">
        <f>IF(D3660="?OLD","!!!","")</f>
        <v/>
      </c>
      <c r="F3660" s="22" t="str">
        <f>IF(OR(E3660="",E3660="!!!"),"",IF(NOT(ISNA(VLOOKUP(E3660,E$1:E3659,1,FALSE()))),"OLD",IF(AND(E3660&lt;&gt;"",E3660&lt;&gt;"!!!"),"NEW","")))</f>
        <v> </v>
      </c>
      <c r="G3660" s="23" t="str">
        <f>IF(OR(E3660="",E3660="!!!"),"",IF(OR(J3660=0,AND(J3660=1,K3660=1),AND(J3660=1,I3660="SBJ"),AND(J3660=1,I3660=0)),"?IN_FOCUS",IF(J3660&lt;=2,"?ACTIVATED",IF(J3660&lt;&gt;"","?FAMILIAR",IF(F3660="NEW",IF(ISNA(VLOOKUP(E3660,#REF!,1,FALSE())),"?TYPE_IDENTIFIABLE","?REFERENTIAL"),"_")))))</f>
        <v> </v>
      </c>
      <c r="H3660" s="24" t="str">
        <f>IF(J3660&lt;&gt;1,"",IF(I3660="SBJ","CB","?"))</f>
        <v> </v>
      </c>
      <c r="I3660" s="25" t="str">
        <f>IF(OR(E3660="",E3660="!!!",F3660="NEW"),"",INDEX(B3659:B$2,-1+SUMPRODUCT(MAX(ROW(E3659:E$2)*(E3660=E3659:E$2)))))</f>
        <v> </v>
      </c>
      <c r="J3660" s="25" t="str">
        <f>IF(OR(E3660="",E3660="!!!",F3660="NEW"),"",COUNTBLANK(OFFSET(A$1,,,SUMPRODUCT(MAX(ROW(E$2:E3660)*(E3660=E$2:E3660)))))-COUNTBLANK(OFFSET(A$1,,,SUMPRODUCT(MAX(ROW(E$1:E3659)*(E2=E$1:E3659))))))</f>
        <v> </v>
      </c>
      <c r="K3660" s="25" t="str">
        <f>IF(OR(E3660="",E3660="!!!",F3660="NEW"),"",INDEX(J$1:J3659,SUMPRODUCT(MAX(ROW(E$1:E3659)*(E3660=E$1:E3659)))))</f>
        <v> </v>
      </c>
      <c r="L3660" s="26"/>
    </row>
    <row r="3661" spans="1:12">
      <c r="A3661" s="20" t="s">
        <v>1016</v>
      </c>
      <c r="E3661" s="21">
        <f>IF(D3661="?OLD","!!!","")</f>
        <v/>
      </c>
      <c r="F3661" s="22" t="str">
        <f>IF(OR(E3661="",E3661="!!!"),"",IF(NOT(ISNA(VLOOKUP(E3661,E$1:E3660,1,FALSE()))),"OLD",IF(AND(E3661&lt;&gt;"",E3661&lt;&gt;"!!!"),"NEW","")))</f>
        <v> </v>
      </c>
      <c r="G3661" s="23" t="str">
        <f>IF(OR(E3661="",E3661="!!!"),"",IF(OR(J3661=0,AND(J3661=1,K3661=1),AND(J3661=1,I3661="SBJ"),AND(J3661=1,I3661=0)),"?IN_FOCUS",IF(J3661&lt;=2,"?ACTIVATED",IF(J3661&lt;&gt;"","?FAMILIAR",IF(F3661="NEW",IF(ISNA(VLOOKUP(E3661,#REF!,1,FALSE())),"?TYPE_IDENTIFIABLE","?REFERENTIAL"),"_")))))</f>
        <v> </v>
      </c>
      <c r="H3661" s="24" t="str">
        <f>IF(J3661&lt;&gt;1,"",IF(I3661="SBJ","CB","?"))</f>
        <v> </v>
      </c>
      <c r="I3661" s="25" t="str">
        <f>IF(OR(E3661="",E3661="!!!",F3661="NEW"),"",INDEX(B3660:B$2,-1+SUMPRODUCT(MAX(ROW(E3660:E$2)*(E3661=E3660:E$2)))))</f>
        <v> </v>
      </c>
      <c r="J3661" s="25" t="str">
        <f>IF(OR(E3661="",E3661="!!!",F3661="NEW"),"",COUNTBLANK(OFFSET(A$1,,,SUMPRODUCT(MAX(ROW(E$2:E3661)*(E3661=E$2:E3661)))))-COUNTBLANK(OFFSET(A$1,,,SUMPRODUCT(MAX(ROW(E$1:E3660)*(E2=E$1:E3660))))))</f>
        <v> </v>
      </c>
      <c r="K3661" s="25" t="str">
        <f>IF(OR(E3661="",E3661="!!!",F3661="NEW"),"",INDEX(J$1:J3660,SUMPRODUCT(MAX(ROW(E$1:E3660)*(E3661=E$1:E3660)))))</f>
        <v> </v>
      </c>
      <c r="L3661" s="26"/>
    </row>
    <row r="3662" spans="1:12">
      <c r="A3662" s="20" t="s">
        <v>2257</v>
      </c>
      <c r="B3662" s="27" t="s">
        <v>1045</v>
      </c>
      <c r="C3662" s="27" t="s">
        <v>1015</v>
      </c>
      <c r="E3662" s="21">
        <f>IF(D3662="?OLD","!!!","")</f>
        <v/>
      </c>
      <c r="F3662" s="22" t="str">
        <f>IF(OR(E3662="",E3662="!!!"),"",IF(NOT(ISNA(VLOOKUP(E3662,E$1:E3661,1,FALSE()))),"OLD",IF(AND(E3662&lt;&gt;"",E3662&lt;&gt;"!!!"),"NEW","")))</f>
        <v> </v>
      </c>
      <c r="G3662" s="23" t="str">
        <f>IF(OR(E3662="",E3662="!!!"),"",IF(OR(J3662=0,AND(J3662=1,K3662=1),AND(J3662=1,I3662="SBJ"),AND(J3662=1,I3662=0)),"?IN_FOCUS",IF(J3662&lt;=2,"?ACTIVATED",IF(J3662&lt;&gt;"","?FAMILIAR",IF(F3662="NEW",IF(ISNA(VLOOKUP(E3662,#REF!,1,FALSE())),"?TYPE_IDENTIFIABLE","?REFERENTIAL"),"_")))))</f>
        <v> </v>
      </c>
      <c r="H3662" s="24" t="str">
        <f>IF(J3662&lt;&gt;1,"",IF(I3662="SBJ","CB","?"))</f>
        <v> </v>
      </c>
      <c r="I3662" s="25" t="str">
        <f>IF(OR(E3662="",E3662="!!!",F3662="NEW"),"",INDEX(B3661:B$2,-1+SUMPRODUCT(MAX(ROW(E3661:E$2)*(E3662=E3661:E$2)))))</f>
        <v> </v>
      </c>
      <c r="J3662" s="25" t="str">
        <f>IF(OR(E3662="",E3662="!!!",F3662="NEW"),"",COUNTBLANK(OFFSET(A$1,,,SUMPRODUCT(MAX(ROW(E$2:E3662)*(E3662=E$2:E3662)))))-COUNTBLANK(OFFSET(A$1,,,SUMPRODUCT(MAX(ROW(E$1:E3661)*(E2=E$1:E3661))))))</f>
        <v> </v>
      </c>
      <c r="K3662" s="25" t="str">
        <f>IF(OR(E3662="",E3662="!!!",F3662="NEW"),"",INDEX(J$1:J3661,SUMPRODUCT(MAX(ROW(E$1:E3661)*(E3662=E$1:E3661)))))</f>
        <v> </v>
      </c>
      <c r="L3662" s="26"/>
    </row>
    <row r="3663" spans="1:12">
      <c r="A3663" s="20" t="s">
        <v>1022</v>
      </c>
      <c r="E3663" s="21">
        <f>IF(D3663="?OLD","!!!","")</f>
        <v/>
      </c>
      <c r="F3663" s="22" t="str">
        <f>IF(OR(E3663="",E3663="!!!"),"",IF(NOT(ISNA(VLOOKUP(E3663,E$1:E3662,1,FALSE()))),"OLD",IF(AND(E3663&lt;&gt;"",E3663&lt;&gt;"!!!"),"NEW","")))</f>
        <v> </v>
      </c>
      <c r="G3663" s="23" t="str">
        <f>IF(OR(E3663="",E3663="!!!"),"",IF(OR(J3663=0,AND(J3663=1,K3663=1),AND(J3663=1,I3663="SBJ"),AND(J3663=1,I3663=0)),"?IN_FOCUS",IF(J3663&lt;=2,"?ACTIVATED",IF(J3663&lt;&gt;"","?FAMILIAR",IF(F3663="NEW",IF(ISNA(VLOOKUP(E3663,#REF!,1,FALSE())),"?TYPE_IDENTIFIABLE","?REFERENTIAL"),"_")))))</f>
        <v> </v>
      </c>
      <c r="H3663" s="24" t="str">
        <f>IF(J3663&lt;&gt;1,"",IF(I3663="SBJ","CB","?"))</f>
        <v> </v>
      </c>
      <c r="I3663" s="25" t="str">
        <f>IF(OR(E3663="",E3663="!!!",F3663="NEW"),"",INDEX(B3662:B$2,-1+SUMPRODUCT(MAX(ROW(E3662:E$2)*(E3663=E3662:E$2)))))</f>
        <v> </v>
      </c>
      <c r="J3663" s="25" t="str">
        <f>IF(OR(E3663="",E3663="!!!",F3663="NEW"),"",COUNTBLANK(OFFSET(A$1,,,SUMPRODUCT(MAX(ROW(E$2:E3663)*(E3663=E$2:E3663)))))-COUNTBLANK(OFFSET(A$1,,,SUMPRODUCT(MAX(ROW(E$1:E3662)*(E2=E$1:E3662))))))</f>
        <v> </v>
      </c>
      <c r="K3663" s="25" t="str">
        <f>IF(OR(E3663="",E3663="!!!",F3663="NEW"),"",INDEX(J$1:J3662,SUMPRODUCT(MAX(ROW(E$1:E3662)*(E3663=E$1:E3662)))))</f>
        <v> </v>
      </c>
      <c r="L3663" s="26"/>
    </row>
    <row r="3664" spans="1:12">
      <c r="A3664" s="20" t="s">
        <v>1083</v>
      </c>
      <c r="E3664" s="21">
        <f>IF(D3664="?OLD","!!!","")</f>
        <v/>
      </c>
      <c r="F3664" s="22" t="str">
        <f>IF(OR(E3664="",E3664="!!!"),"",IF(NOT(ISNA(VLOOKUP(E3664,E$1:E3663,1,FALSE()))),"OLD",IF(AND(E3664&lt;&gt;"",E3664&lt;&gt;"!!!"),"NEW","")))</f>
        <v> </v>
      </c>
      <c r="G3664" s="23" t="str">
        <f>IF(OR(E3664="",E3664="!!!"),"",IF(OR(J3664=0,AND(J3664=1,K3664=1),AND(J3664=1,I3664="SBJ"),AND(J3664=1,I3664=0)),"?IN_FOCUS",IF(J3664&lt;=2,"?ACTIVATED",IF(J3664&lt;&gt;"","?FAMILIAR",IF(F3664="NEW",IF(ISNA(VLOOKUP(E3664,#REF!,1,FALSE())),"?TYPE_IDENTIFIABLE","?REFERENTIAL"),"_")))))</f>
        <v> </v>
      </c>
      <c r="H3664" s="24" t="str">
        <f>IF(J3664&lt;&gt;1,"",IF(I3664="SBJ","CB","?"))</f>
        <v> </v>
      </c>
      <c r="I3664" s="25" t="str">
        <f>IF(OR(E3664="",E3664="!!!",F3664="NEW"),"",INDEX(B3663:B$2,-1+SUMPRODUCT(MAX(ROW(E3663:E$2)*(E3664=E3663:E$2)))))</f>
        <v> </v>
      </c>
      <c r="J3664" s="25" t="str">
        <f>IF(OR(E3664="",E3664="!!!",F3664="NEW"),"",COUNTBLANK(OFFSET(A$1,,,SUMPRODUCT(MAX(ROW(E$2:E3664)*(E3664=E$2:E3664)))))-COUNTBLANK(OFFSET(A$1,,,SUMPRODUCT(MAX(ROW(E$1:E3663)*(E2=E$1:E3663))))))</f>
        <v> </v>
      </c>
      <c r="K3664" s="25" t="str">
        <f>IF(OR(E3664="",E3664="!!!",F3664="NEW"),"",INDEX(J$1:J3663,SUMPRODUCT(MAX(ROW(E$1:E3663)*(E3664=E$1:E3663)))))</f>
        <v> </v>
      </c>
      <c r="L3664" s="26"/>
    </row>
    <row r="3665" spans="1:12">
      <c r="A3665" s="20" t="s">
        <v>1430</v>
      </c>
      <c r="E3665" s="21">
        <f>IF(D3665="?OLD","!!!","")</f>
        <v/>
      </c>
      <c r="F3665" s="22" t="str">
        <f>IF(OR(E3665="",E3665="!!!"),"",IF(NOT(ISNA(VLOOKUP(E3665,E$1:E3664,1,FALSE()))),"OLD",IF(AND(E3665&lt;&gt;"",E3665&lt;&gt;"!!!"),"NEW","")))</f>
        <v> </v>
      </c>
      <c r="G3665" s="23" t="str">
        <f>IF(OR(E3665="",E3665="!!!"),"",IF(OR(J3665=0,AND(J3665=1,K3665=1),AND(J3665=1,I3665="SBJ"),AND(J3665=1,I3665=0)),"?IN_FOCUS",IF(J3665&lt;=2,"?ACTIVATED",IF(J3665&lt;&gt;"","?FAMILIAR",IF(F3665="NEW",IF(ISNA(VLOOKUP(E3665,#REF!,1,FALSE())),"?TYPE_IDENTIFIABLE","?REFERENTIAL"),"_")))))</f>
        <v> </v>
      </c>
      <c r="H3665" s="24" t="str">
        <f>IF(J3665&lt;&gt;1,"",IF(I3665="SBJ","CB","?"))</f>
        <v> </v>
      </c>
      <c r="I3665" s="25" t="str">
        <f>IF(OR(E3665="",E3665="!!!",F3665="NEW"),"",INDEX(B3664:B$2,-1+SUMPRODUCT(MAX(ROW(E3664:E$2)*(E3665=E3664:E$2)))))</f>
        <v> </v>
      </c>
      <c r="J3665" s="25" t="str">
        <f>IF(OR(E3665="",E3665="!!!",F3665="NEW"),"",COUNTBLANK(OFFSET(A$1,,,SUMPRODUCT(MAX(ROW(E$2:E3665)*(E3665=E$2:E3665)))))-COUNTBLANK(OFFSET(A$1,,,SUMPRODUCT(MAX(ROW(E$1:E3664)*(E2=E$1:E3664))))))</f>
        <v> </v>
      </c>
      <c r="K3665" s="25" t="str">
        <f>IF(OR(E3665="",E3665="!!!",F3665="NEW"),"",INDEX(J$1:J3664,SUMPRODUCT(MAX(ROW(E$1:E3664)*(E3665=E$1:E3664)))))</f>
        <v> </v>
      </c>
      <c r="L3665" s="26"/>
    </row>
    <row r="3666" spans="1:12">
      <c r="A3666" s="20" t="s">
        <v>1018</v>
      </c>
      <c r="E3666" s="21">
        <f>IF(D3666="?OLD","!!!","")</f>
        <v/>
      </c>
      <c r="F3666" s="22" t="str">
        <f>IF(OR(E3666="",E3666="!!!"),"",IF(NOT(ISNA(VLOOKUP(E3666,E$1:E3665,1,FALSE()))),"OLD",IF(AND(E3666&lt;&gt;"",E3666&lt;&gt;"!!!"),"NEW","")))</f>
        <v> </v>
      </c>
      <c r="G3666" s="23" t="str">
        <f>IF(OR(E3666="",E3666="!!!"),"",IF(OR(J3666=0,AND(J3666=1,K3666=1),AND(J3666=1,I3666="SBJ"),AND(J3666=1,I3666=0)),"?IN_FOCUS",IF(J3666&lt;=2,"?ACTIVATED",IF(J3666&lt;&gt;"","?FAMILIAR",IF(F3666="NEW",IF(ISNA(VLOOKUP(E3666,#REF!,1,FALSE())),"?TYPE_IDENTIFIABLE","?REFERENTIAL"),"_")))))</f>
        <v> </v>
      </c>
      <c r="H3666" s="24" t="str">
        <f>IF(J3666&lt;&gt;1,"",IF(I3666="SBJ","CB","?"))</f>
        <v> </v>
      </c>
      <c r="I3666" s="25" t="str">
        <f>IF(OR(E3666="",E3666="!!!",F3666="NEW"),"",INDEX(B3665:B$2,-1+SUMPRODUCT(MAX(ROW(E3665:E$2)*(E3666=E3665:E$2)))))</f>
        <v> </v>
      </c>
      <c r="J3666" s="25" t="str">
        <f>IF(OR(E3666="",E3666="!!!",F3666="NEW"),"",COUNTBLANK(OFFSET(A$1,,,SUMPRODUCT(MAX(ROW(E$2:E3666)*(E3666=E$2:E3666)))))-COUNTBLANK(OFFSET(A$1,,,SUMPRODUCT(MAX(ROW(E$1:E3665)*(E2=E$1:E3665))))))</f>
        <v> </v>
      </c>
      <c r="K3666" s="25" t="str">
        <f>IF(OR(E3666="",E3666="!!!",F3666="NEW"),"",INDEX(J$1:J3665,SUMPRODUCT(MAX(ROW(E$1:E3665)*(E3666=E$1:E3665)))))</f>
        <v> </v>
      </c>
      <c r="L3666" s="26"/>
    </row>
    <row r="3667" spans="1:12">
      <c r="A3667" s="20" t="s">
        <v>247</v>
      </c>
      <c r="B3667" s="27" t="s">
        <v>1069</v>
      </c>
      <c r="C3667" s="27" t="s">
        <v>1021</v>
      </c>
      <c r="E3667" s="21">
        <f>IF(D3667="?OLD","!!!","")</f>
        <v/>
      </c>
      <c r="F3667" s="22" t="str">
        <f>IF(OR(E3667="",E3667="!!!"),"",IF(NOT(ISNA(VLOOKUP(E3667,E$1:E3666,1,FALSE()))),"OLD",IF(AND(E3667&lt;&gt;"",E3667&lt;&gt;"!!!"),"NEW","")))</f>
        <v> </v>
      </c>
      <c r="G3667" s="23" t="str">
        <f>IF(OR(E3667="",E3667="!!!"),"",IF(OR(J3667=0,AND(J3667=1,K3667=1),AND(J3667=1,I3667="SBJ"),AND(J3667=1,I3667=0)),"?IN_FOCUS",IF(J3667&lt;=2,"?ACTIVATED",IF(J3667&lt;&gt;"","?FAMILIAR",IF(F3667="NEW",IF(ISNA(VLOOKUP(E3667,#REF!,1,FALSE())),"?TYPE_IDENTIFIABLE","?REFERENTIAL"),"_")))))</f>
        <v> </v>
      </c>
      <c r="H3667" s="24" t="str">
        <f>IF(J3667&lt;&gt;1,"",IF(I3667="SBJ","CB","?"))</f>
        <v> </v>
      </c>
      <c r="I3667" s="25" t="str">
        <f>IF(OR(E3667="",E3667="!!!",F3667="NEW"),"",INDEX(B3666:B$2,-1+SUMPRODUCT(MAX(ROW(E3666:E$2)*(E3667=E3666:E$2)))))</f>
        <v> </v>
      </c>
      <c r="J3667" s="25" t="str">
        <f>IF(OR(E3667="",E3667="!!!",F3667="NEW"),"",COUNTBLANK(OFFSET(A$1,,,SUMPRODUCT(MAX(ROW(E$2:E3667)*(E3667=E$2:E3667)))))-COUNTBLANK(OFFSET(A$1,,,SUMPRODUCT(MAX(ROW(E$1:E3666)*(E2=E$1:E3666))))))</f>
        <v> </v>
      </c>
      <c r="K3667" s="25" t="str">
        <f>IF(OR(E3667="",E3667="!!!",F3667="NEW"),"",INDEX(J$1:J3666,SUMPRODUCT(MAX(ROW(E$1:E3666)*(E3667=E$1:E3666)))))</f>
        <v> </v>
      </c>
      <c r="L3667" s="26"/>
    </row>
    <row r="3668" spans="1:12">
      <c r="A3668" s="20" t="s">
        <v>1215</v>
      </c>
      <c r="E3668" s="21">
        <f>IF(D3668="?OLD","!!!","")</f>
        <v/>
      </c>
      <c r="F3668" s="22" t="str">
        <f>IF(OR(E3668="",E3668="!!!"),"",IF(NOT(ISNA(VLOOKUP(E3668,E$1:E3667,1,FALSE()))),"OLD",IF(AND(E3668&lt;&gt;"",E3668&lt;&gt;"!!!"),"NEW","")))</f>
        <v> </v>
      </c>
      <c r="G3668" s="23" t="str">
        <f>IF(OR(E3668="",E3668="!!!"),"",IF(OR(J3668=0,AND(J3668=1,K3668=1),AND(J3668=1,I3668="SBJ"),AND(J3668=1,I3668=0)),"?IN_FOCUS",IF(J3668&lt;=2,"?ACTIVATED",IF(J3668&lt;&gt;"","?FAMILIAR",IF(F3668="NEW",IF(ISNA(VLOOKUP(E3668,#REF!,1,FALSE())),"?TYPE_IDENTIFIABLE","?REFERENTIAL"),"_")))))</f>
        <v> </v>
      </c>
      <c r="H3668" s="24" t="str">
        <f>IF(J3668&lt;&gt;1,"",IF(I3668="SBJ","CB","?"))</f>
        <v> </v>
      </c>
      <c r="I3668" s="25" t="str">
        <f>IF(OR(E3668="",E3668="!!!",F3668="NEW"),"",INDEX(B3667:B$2,-1+SUMPRODUCT(MAX(ROW(E3667:E$2)*(E3668=E3667:E$2)))))</f>
        <v> </v>
      </c>
      <c r="J3668" s="25" t="str">
        <f>IF(OR(E3668="",E3668="!!!",F3668="NEW"),"",COUNTBLANK(OFFSET(A$1,,,SUMPRODUCT(MAX(ROW(E$2:E3668)*(E3668=E$2:E3668)))))-COUNTBLANK(OFFSET(A$1,,,SUMPRODUCT(MAX(ROW(E$1:E3667)*(E2=E$1:E3667))))))</f>
        <v> </v>
      </c>
      <c r="K3668" s="25" t="str">
        <f>IF(OR(E3668="",E3668="!!!",F3668="NEW"),"",INDEX(J$1:J3667,SUMPRODUCT(MAX(ROW(E$1:E3667)*(E3668=E$1:E3667)))))</f>
        <v> </v>
      </c>
      <c r="L3668" s="26"/>
    </row>
    <row r="3669" spans="1:12">
      <c r="A3669" s="20"/>
    </row>
    <row r="3670" spans="1:12">
      <c r="A3670" s="20" t="s">
        <v>2258</v>
      </c>
    </row>
    <row r="3671" spans="1:12">
      <c r="A3671" s="20" t="s">
        <v>2259</v>
      </c>
      <c r="E3671" s="21">
        <f>IF(D3671="?OLD","!!!","")</f>
        <v/>
      </c>
      <c r="F3671" s="22" t="str">
        <f>IF(OR(E3671="",E3671="!!!"),"",IF(NOT(ISNA(VLOOKUP(E3671,E$1:E3670,1,FALSE()))),"OLD",IF(AND(E3671&lt;&gt;"",E3671&lt;&gt;"!!!"),"NEW","")))</f>
        <v> </v>
      </c>
      <c r="G3671" s="23" t="str">
        <f>IF(OR(E3671="",E3671="!!!"),"",IF(OR(J3671=0,AND(J3671=1,K3671=1),AND(J3671=1,I3671="SBJ"),AND(J3671=1,I3671=0)),"?IN_FOCUS",IF(J3671&lt;=2,"?ACTIVATED",IF(J3671&lt;&gt;"","?FAMILIAR",IF(F3671="NEW",IF(ISNA(VLOOKUP(E3671,#REF!,1,FALSE())),"?TYPE_IDENTIFIABLE","?REFERENTIAL"),"_")))))</f>
        <v> </v>
      </c>
      <c r="H3671" s="24" t="str">
        <f>IF(J3671&lt;&gt;1,"",IF(I3671="SBJ","CB","?"))</f>
        <v> </v>
      </c>
      <c r="I3671" s="25" t="str">
        <f>IF(OR(E3671="",E3671="!!!",F3671="NEW"),"",INDEX(B3670:B$2,-1+SUMPRODUCT(MAX(ROW(E3670:E$2)*(E3671=E3670:E$2)))))</f>
        <v> </v>
      </c>
      <c r="J3671" s="25" t="str">
        <f>IF(OR(E3671="",E3671="!!!",F3671="NEW"),"",COUNTBLANK(OFFSET(A$1,,,SUMPRODUCT(MAX(ROW(E$2:E3671)*(E3671=E$2:E3671)))))-COUNTBLANK(OFFSET(A$1,,,SUMPRODUCT(MAX(ROW(E$1:E3670)*(E2=E$1:E3670))))))</f>
        <v> </v>
      </c>
      <c r="K3671" s="25" t="str">
        <f>IF(OR(E3671="",E3671="!!!",F3671="NEW"),"",INDEX(J$1:J3670,SUMPRODUCT(MAX(ROW(E$1:E3670)*(E3671=E$1:E3670)))))</f>
        <v> </v>
      </c>
      <c r="L3671" s="26"/>
    </row>
    <row r="3672" spans="1:12">
      <c r="A3672" s="20" t="s">
        <v>1187</v>
      </c>
      <c r="E3672" s="21">
        <f>IF(D3672="?OLD","!!!","")</f>
        <v/>
      </c>
      <c r="F3672" s="22" t="str">
        <f>IF(OR(E3672="",E3672="!!!"),"",IF(NOT(ISNA(VLOOKUP(E3672,E$1:E3671,1,FALSE()))),"OLD",IF(AND(E3672&lt;&gt;"",E3672&lt;&gt;"!!!"),"NEW","")))</f>
        <v> </v>
      </c>
      <c r="G3672" s="23" t="str">
        <f>IF(OR(E3672="",E3672="!!!"),"",IF(OR(J3672=0,AND(J3672=1,K3672=1),AND(J3672=1,I3672="SBJ"),AND(J3672=1,I3672=0)),"?IN_FOCUS",IF(J3672&lt;=2,"?ACTIVATED",IF(J3672&lt;&gt;"","?FAMILIAR",IF(F3672="NEW",IF(ISNA(VLOOKUP(E3672,#REF!,1,FALSE())),"?TYPE_IDENTIFIABLE","?REFERENTIAL"),"_")))))</f>
        <v> </v>
      </c>
      <c r="H3672" s="24" t="str">
        <f>IF(J3672&lt;&gt;1,"",IF(I3672="SBJ","CB","?"))</f>
        <v> </v>
      </c>
      <c r="I3672" s="25" t="str">
        <f>IF(OR(E3672="",E3672="!!!",F3672="NEW"),"",INDEX(B3671:B$2,-1+SUMPRODUCT(MAX(ROW(E3671:E$2)*(E3672=E3671:E$2)))))</f>
        <v> </v>
      </c>
      <c r="J3672" s="25" t="str">
        <f>IF(OR(E3672="",E3672="!!!",F3672="NEW"),"",COUNTBLANK(OFFSET(A$1,,,SUMPRODUCT(MAX(ROW(E$2:E3672)*(E3672=E$2:E3672)))))-COUNTBLANK(OFFSET(A$1,,,SUMPRODUCT(MAX(ROW(E$1:E3671)*(E2=E$1:E3671))))))</f>
        <v> </v>
      </c>
      <c r="K3672" s="25" t="str">
        <f>IF(OR(E3672="",E3672="!!!",F3672="NEW"),"",INDEX(J$1:J3671,SUMPRODUCT(MAX(ROW(E$1:E3671)*(E3672=E$1:E3671)))))</f>
        <v> </v>
      </c>
      <c r="L3672" s="26"/>
    </row>
    <row r="3673" spans="1:12">
      <c r="A3673" s="20" t="s">
        <v>2260</v>
      </c>
      <c r="E3673" s="21">
        <f>IF(D3673="?OLD","!!!","")</f>
        <v/>
      </c>
      <c r="F3673" s="22" t="str">
        <f>IF(OR(E3673="",E3673="!!!"),"",IF(NOT(ISNA(VLOOKUP(E3673,E$1:E3672,1,FALSE()))),"OLD",IF(AND(E3673&lt;&gt;"",E3673&lt;&gt;"!!!"),"NEW","")))</f>
        <v> </v>
      </c>
      <c r="G3673" s="23" t="str">
        <f>IF(OR(E3673="",E3673="!!!"),"",IF(OR(J3673=0,AND(J3673=1,K3673=1),AND(J3673=1,I3673="SBJ"),AND(J3673=1,I3673=0)),"?IN_FOCUS",IF(J3673&lt;=2,"?ACTIVATED",IF(J3673&lt;&gt;"","?FAMILIAR",IF(F3673="NEW",IF(ISNA(VLOOKUP(E3673,#REF!,1,FALSE())),"?TYPE_IDENTIFIABLE","?REFERENTIAL"),"_")))))</f>
        <v> </v>
      </c>
      <c r="H3673" s="24" t="str">
        <f>IF(J3673&lt;&gt;1,"",IF(I3673="SBJ","CB","?"))</f>
        <v> </v>
      </c>
      <c r="I3673" s="25" t="str">
        <f>IF(OR(E3673="",E3673="!!!",F3673="NEW"),"",INDEX(B3672:B$2,-1+SUMPRODUCT(MAX(ROW(E3672:E$2)*(E3673=E3672:E$2)))))</f>
        <v> </v>
      </c>
      <c r="J3673" s="25" t="str">
        <f>IF(OR(E3673="",E3673="!!!",F3673="NEW"),"",COUNTBLANK(OFFSET(A$1,,,SUMPRODUCT(MAX(ROW(E$2:E3673)*(E3673=E$2:E3673)))))-COUNTBLANK(OFFSET(A$1,,,SUMPRODUCT(MAX(ROW(E$1:E3672)*(E2=E$1:E3672))))))</f>
        <v> </v>
      </c>
      <c r="K3673" s="25" t="str">
        <f>IF(OR(E3673="",E3673="!!!",F3673="NEW"),"",INDEX(J$1:J3672,SUMPRODUCT(MAX(ROW(E$1:E3672)*(E3673=E$1:E3672)))))</f>
        <v> </v>
      </c>
      <c r="L3673" s="26"/>
    </row>
    <row r="3674" spans="1:12">
      <c r="A3674" s="20" t="s">
        <v>135</v>
      </c>
      <c r="E3674" s="21">
        <f>IF(D3674="?OLD","!!!","")</f>
        <v/>
      </c>
      <c r="F3674" s="22" t="str">
        <f>IF(OR(E3674="",E3674="!!!"),"",IF(NOT(ISNA(VLOOKUP(E3674,E$1:E3673,1,FALSE()))),"OLD",IF(AND(E3674&lt;&gt;"",E3674&lt;&gt;"!!!"),"NEW","")))</f>
        <v> </v>
      </c>
      <c r="G3674" s="23" t="str">
        <f>IF(OR(E3674="",E3674="!!!"),"",IF(OR(J3674=0,AND(J3674=1,K3674=1),AND(J3674=1,I3674="SBJ"),AND(J3674=1,I3674=0)),"?IN_FOCUS",IF(J3674&lt;=2,"?ACTIVATED",IF(J3674&lt;&gt;"","?FAMILIAR",IF(F3674="NEW",IF(ISNA(VLOOKUP(E3674,#REF!,1,FALSE())),"?TYPE_IDENTIFIABLE","?REFERENTIAL"),"_")))))</f>
        <v> </v>
      </c>
      <c r="H3674" s="24" t="str">
        <f>IF(J3674&lt;&gt;1,"",IF(I3674="SBJ","CB","?"))</f>
        <v> </v>
      </c>
      <c r="I3674" s="25" t="str">
        <f>IF(OR(E3674="",E3674="!!!",F3674="NEW"),"",INDEX(B3673:B$2,-1+SUMPRODUCT(MAX(ROW(E3673:E$2)*(E3674=E3673:E$2)))))</f>
        <v> </v>
      </c>
      <c r="J3674" s="25" t="str">
        <f>IF(OR(E3674="",E3674="!!!",F3674="NEW"),"",COUNTBLANK(OFFSET(A$1,,,SUMPRODUCT(MAX(ROW(E$2:E3674)*(E3674=E$2:E3674)))))-COUNTBLANK(OFFSET(A$1,,,SUMPRODUCT(MAX(ROW(E$1:E3673)*(E2=E$1:E3673))))))</f>
        <v> </v>
      </c>
      <c r="K3674" s="25" t="str">
        <f>IF(OR(E3674="",E3674="!!!",F3674="NEW"),"",INDEX(J$1:J3673,SUMPRODUCT(MAX(ROW(E$1:E3673)*(E3674=E$1:E3673)))))</f>
        <v> </v>
      </c>
      <c r="L3674" s="26"/>
    </row>
    <row r="3675" spans="1:12">
      <c r="A3675" s="20"/>
    </row>
    <row r="3676" spans="1:12">
      <c r="A3676" s="20" t="s">
        <v>2261</v>
      </c>
    </row>
    <row r="3677" spans="1:12">
      <c r="A3677" s="20" t="s">
        <v>1088</v>
      </c>
      <c r="E3677" s="21">
        <f>IF(D3677="?OLD","!!!","")</f>
        <v/>
      </c>
      <c r="F3677" s="22" t="str">
        <f>IF(OR(E3677="",E3677="!!!"),"",IF(NOT(ISNA(VLOOKUP(E3677,E$1:E3676,1,FALSE()))),"OLD",IF(AND(E3677&lt;&gt;"",E3677&lt;&gt;"!!!"),"NEW","")))</f>
        <v> </v>
      </c>
      <c r="G3677" s="23" t="str">
        <f>IF(OR(E3677="",E3677="!!!"),"",IF(OR(J3677=0,AND(J3677=1,K3677=1),AND(J3677=1,I3677="SBJ"),AND(J3677=1,I3677=0)),"?IN_FOCUS",IF(J3677&lt;=2,"?ACTIVATED",IF(J3677&lt;&gt;"","?FAMILIAR",IF(F3677="NEW",IF(ISNA(VLOOKUP(E3677,#REF!,1,FALSE())),"?TYPE_IDENTIFIABLE","?REFERENTIAL"),"_")))))</f>
        <v> </v>
      </c>
      <c r="H3677" s="24" t="str">
        <f>IF(J3677&lt;&gt;1,"",IF(I3677="SBJ","CB","?"))</f>
        <v> </v>
      </c>
      <c r="I3677" s="25" t="str">
        <f>IF(OR(E3677="",E3677="!!!",F3677="NEW"),"",INDEX(B3676:B$2,-1+SUMPRODUCT(MAX(ROW(E3676:E$2)*(E3677=E3676:E$2)))))</f>
        <v> </v>
      </c>
      <c r="J3677" s="25" t="str">
        <f>IF(OR(E3677="",E3677="!!!",F3677="NEW"),"",COUNTBLANK(OFFSET(A$1,,,SUMPRODUCT(MAX(ROW(E$2:E3677)*(E3677=E$2:E3677)))))-COUNTBLANK(OFFSET(A$1,,,SUMPRODUCT(MAX(ROW(E$1:E3676)*(E2=E$1:E3676))))))</f>
        <v> </v>
      </c>
      <c r="K3677" s="25" t="str">
        <f>IF(OR(E3677="",E3677="!!!",F3677="NEW"),"",INDEX(J$1:J3676,SUMPRODUCT(MAX(ROW(E$1:E3676)*(E3677=E$1:E3676)))))</f>
        <v> </v>
      </c>
      <c r="L3677" s="26"/>
    </row>
    <row r="3678" spans="1:12">
      <c r="A3678" s="20" t="s">
        <v>2262</v>
      </c>
      <c r="E3678" s="21">
        <f>IF(D3678="?OLD","!!!","")</f>
        <v/>
      </c>
      <c r="F3678" s="22" t="str">
        <f>IF(OR(E3678="",E3678="!!!"),"",IF(NOT(ISNA(VLOOKUP(E3678,E$1:E3677,1,FALSE()))),"OLD",IF(AND(E3678&lt;&gt;"",E3678&lt;&gt;"!!!"),"NEW","")))</f>
        <v> </v>
      </c>
      <c r="G3678" s="23" t="str">
        <f>IF(OR(E3678="",E3678="!!!"),"",IF(OR(J3678=0,AND(J3678=1,K3678=1),AND(J3678=1,I3678="SBJ"),AND(J3678=1,I3678=0)),"?IN_FOCUS",IF(J3678&lt;=2,"?ACTIVATED",IF(J3678&lt;&gt;"","?FAMILIAR",IF(F3678="NEW",IF(ISNA(VLOOKUP(E3678,#REF!,1,FALSE())),"?TYPE_IDENTIFIABLE","?REFERENTIAL"),"_")))))</f>
        <v> </v>
      </c>
      <c r="H3678" s="24" t="str">
        <f>IF(J3678&lt;&gt;1,"",IF(I3678="SBJ","CB","?"))</f>
        <v> </v>
      </c>
      <c r="I3678" s="25" t="str">
        <f>IF(OR(E3678="",E3678="!!!",F3678="NEW"),"",INDEX(B3677:B$2,-1+SUMPRODUCT(MAX(ROW(E3677:E$2)*(E3678=E3677:E$2)))))</f>
        <v> </v>
      </c>
      <c r="J3678" s="25" t="str">
        <f>IF(OR(E3678="",E3678="!!!",F3678="NEW"),"",COUNTBLANK(OFFSET(A$1,,,SUMPRODUCT(MAX(ROW(E$2:E3678)*(E3678=E$2:E3678)))))-COUNTBLANK(OFFSET(A$1,,,SUMPRODUCT(MAX(ROW(E$1:E3677)*(E2=E$1:E3677))))))</f>
        <v> </v>
      </c>
      <c r="K3678" s="25" t="str">
        <f>IF(OR(E3678="",E3678="!!!",F3678="NEW"),"",INDEX(J$1:J3677,SUMPRODUCT(MAX(ROW(E$1:E3677)*(E3678=E$1:E3677)))))</f>
        <v> </v>
      </c>
      <c r="L3678" s="26"/>
    </row>
    <row r="3679" spans="1:12">
      <c r="A3679" s="20" t="s">
        <v>1160</v>
      </c>
      <c r="E3679" s="21">
        <f>IF(D3679="?OLD","!!!","")</f>
        <v/>
      </c>
      <c r="F3679" s="22" t="str">
        <f>IF(OR(E3679="",E3679="!!!"),"",IF(NOT(ISNA(VLOOKUP(E3679,E$1:E3678,1,FALSE()))),"OLD",IF(AND(E3679&lt;&gt;"",E3679&lt;&gt;"!!!"),"NEW","")))</f>
        <v> </v>
      </c>
      <c r="G3679" s="23" t="str">
        <f>IF(OR(E3679="",E3679="!!!"),"",IF(OR(J3679=0,AND(J3679=1,K3679=1),AND(J3679=1,I3679="SBJ"),AND(J3679=1,I3679=0)),"?IN_FOCUS",IF(J3679&lt;=2,"?ACTIVATED",IF(J3679&lt;&gt;"","?FAMILIAR",IF(F3679="NEW",IF(ISNA(VLOOKUP(E3679,#REF!,1,FALSE())),"?TYPE_IDENTIFIABLE","?REFERENTIAL"),"_")))))</f>
        <v> </v>
      </c>
      <c r="H3679" s="24" t="str">
        <f>IF(J3679&lt;&gt;1,"",IF(I3679="SBJ","CB","?"))</f>
        <v> </v>
      </c>
      <c r="I3679" s="25" t="str">
        <f>IF(OR(E3679="",E3679="!!!",F3679="NEW"),"",INDEX(B3678:B$2,-1+SUMPRODUCT(MAX(ROW(E3678:E$2)*(E3679=E3678:E$2)))))</f>
        <v> </v>
      </c>
      <c r="J3679" s="25" t="str">
        <f>IF(OR(E3679="",E3679="!!!",F3679="NEW"),"",COUNTBLANK(OFFSET(A$1,,,SUMPRODUCT(MAX(ROW(E$2:E3679)*(E3679=E$2:E3679)))))-COUNTBLANK(OFFSET(A$1,,,SUMPRODUCT(MAX(ROW(E$1:E3678)*(E2=E$1:E3678))))))</f>
        <v> </v>
      </c>
      <c r="K3679" s="25" t="str">
        <f>IF(OR(E3679="",E3679="!!!",F3679="NEW"),"",INDEX(J$1:J3678,SUMPRODUCT(MAX(ROW(E$1:E3678)*(E3679=E$1:E3678)))))</f>
        <v> </v>
      </c>
      <c r="L3679" s="26"/>
    </row>
    <row r="3680" spans="1:12">
      <c r="A3680" s="20" t="s">
        <v>2263</v>
      </c>
      <c r="B3680" s="27" t="s">
        <v>1045</v>
      </c>
      <c r="C3680" s="27" t="s">
        <v>1029</v>
      </c>
      <c r="D3680" s="27" t="s">
        <v>1030</v>
      </c>
      <c r="E3680" s="21">
        <f>IF(D3680="?OLD","!!!","")</f>
        <v/>
      </c>
      <c r="F3680" s="22" t="str">
        <f>IF(OR(E3680="",E3680="!!!"),"",IF(NOT(ISNA(VLOOKUP(E3680,E$1:E3679,1,FALSE()))),"OLD",IF(AND(E3680&lt;&gt;"",E3680&lt;&gt;"!!!"),"NEW","")))</f>
        <v> </v>
      </c>
      <c r="G3680" s="23" t="str">
        <f>IF(OR(E3680="",E3680="!!!"),"",IF(OR(J3680=0,AND(J3680=1,K3680=1),AND(J3680=1,I3680="SBJ"),AND(J3680=1,I3680=0)),"?IN_FOCUS",IF(J3680&lt;=2,"?ACTIVATED",IF(J3680&lt;&gt;"","?FAMILIAR",IF(F3680="NEW",IF(ISNA(VLOOKUP(E3680,#REF!,1,FALSE())),"?TYPE_IDENTIFIABLE","?REFERENTIAL"),"_")))))</f>
        <v> </v>
      </c>
      <c r="H3680" s="24" t="str">
        <f>IF(J3680&lt;&gt;1,"",IF(I3680="SBJ","CB","?"))</f>
        <v> </v>
      </c>
      <c r="I3680" s="25" t="str">
        <f>IF(OR(E3680="",E3680="!!!",F3680="NEW"),"",INDEX(B3679:B$2,-1+SUMPRODUCT(MAX(ROW(E3679:E$2)*(E3680=E3679:E$2)))))</f>
        <v> </v>
      </c>
      <c r="J3680" s="25" t="str">
        <f>IF(OR(E3680="",E3680="!!!",F3680="NEW"),"",COUNTBLANK(OFFSET(A$1,,,SUMPRODUCT(MAX(ROW(E$2:E3680)*(E3680=E$2:E3680)))))-COUNTBLANK(OFFSET(A$1,,,SUMPRODUCT(MAX(ROW(E$1:E3679)*(E2=E$1:E3679))))))</f>
        <v> </v>
      </c>
      <c r="K3680" s="25" t="str">
        <f>IF(OR(E3680="",E3680="!!!",F3680="NEW"),"",INDEX(J$1:J3679,SUMPRODUCT(MAX(ROW(E$1:E3679)*(E3680=E$1:E3679)))))</f>
        <v> </v>
      </c>
      <c r="L3680" s="26"/>
    </row>
    <row r="3681" spans="1:12">
      <c r="A3681" s="20" t="s">
        <v>1016</v>
      </c>
      <c r="E3681" s="21">
        <f>IF(D3681="?OLD","!!!","")</f>
        <v/>
      </c>
      <c r="F3681" s="22" t="str">
        <f>IF(OR(E3681="",E3681="!!!"),"",IF(NOT(ISNA(VLOOKUP(E3681,E$1:E3680,1,FALSE()))),"OLD",IF(AND(E3681&lt;&gt;"",E3681&lt;&gt;"!!!"),"NEW","")))</f>
        <v> </v>
      </c>
      <c r="G3681" s="23" t="str">
        <f>IF(OR(E3681="",E3681="!!!"),"",IF(OR(J3681=0,AND(J3681=1,K3681=1),AND(J3681=1,I3681="SBJ"),AND(J3681=1,I3681=0)),"?IN_FOCUS",IF(J3681&lt;=2,"?ACTIVATED",IF(J3681&lt;&gt;"","?FAMILIAR",IF(F3681="NEW",IF(ISNA(VLOOKUP(E3681,#REF!,1,FALSE())),"?TYPE_IDENTIFIABLE","?REFERENTIAL"),"_")))))</f>
        <v> </v>
      </c>
      <c r="H3681" s="24" t="str">
        <f>IF(J3681&lt;&gt;1,"",IF(I3681="SBJ","CB","?"))</f>
        <v> </v>
      </c>
      <c r="I3681" s="25" t="str">
        <f>IF(OR(E3681="",E3681="!!!",F3681="NEW"),"",INDEX(B3680:B$2,-1+SUMPRODUCT(MAX(ROW(E3680:E$2)*(E3681=E3680:E$2)))))</f>
        <v> </v>
      </c>
      <c r="J3681" s="25" t="str">
        <f>IF(OR(E3681="",E3681="!!!",F3681="NEW"),"",COUNTBLANK(OFFSET(A$1,,,SUMPRODUCT(MAX(ROW(E$2:E3681)*(E3681=E$2:E3681)))))-COUNTBLANK(OFFSET(A$1,,,SUMPRODUCT(MAX(ROW(E$1:E3680)*(E2=E$1:E3680))))))</f>
        <v> </v>
      </c>
      <c r="K3681" s="25" t="str">
        <f>IF(OR(E3681="",E3681="!!!",F3681="NEW"),"",INDEX(J$1:J3680,SUMPRODUCT(MAX(ROW(E$1:E3680)*(E3681=E$1:E3680)))))</f>
        <v> </v>
      </c>
      <c r="L3681" s="26"/>
    </row>
    <row r="3682" spans="1:12">
      <c r="A3682" s="20" t="s">
        <v>2264</v>
      </c>
      <c r="B3682" s="27" t="s">
        <v>1045</v>
      </c>
      <c r="C3682" s="27" t="s">
        <v>1015</v>
      </c>
      <c r="E3682" s="21">
        <f>IF(D3682="?OLD","!!!","")</f>
        <v/>
      </c>
      <c r="F3682" s="22" t="str">
        <f>IF(OR(E3682="",E3682="!!!"),"",IF(NOT(ISNA(VLOOKUP(E3682,E$1:E3681,1,FALSE()))),"OLD",IF(AND(E3682&lt;&gt;"",E3682&lt;&gt;"!!!"),"NEW","")))</f>
        <v> </v>
      </c>
      <c r="G3682" s="23" t="str">
        <f>IF(OR(E3682="",E3682="!!!"),"",IF(OR(J3682=0,AND(J3682=1,K3682=1),AND(J3682=1,I3682="SBJ"),AND(J3682=1,I3682=0)),"?IN_FOCUS",IF(J3682&lt;=2,"?ACTIVATED",IF(J3682&lt;&gt;"","?FAMILIAR",IF(F3682="NEW",IF(ISNA(VLOOKUP(E3682,#REF!,1,FALSE())),"?TYPE_IDENTIFIABLE","?REFERENTIAL"),"_")))))</f>
        <v> </v>
      </c>
      <c r="H3682" s="24" t="str">
        <f>IF(J3682&lt;&gt;1,"",IF(I3682="SBJ","CB","?"))</f>
        <v> </v>
      </c>
      <c r="I3682" s="25" t="str">
        <f>IF(OR(E3682="",E3682="!!!",F3682="NEW"),"",INDEX(B3681:B$2,-1+SUMPRODUCT(MAX(ROW(E3681:E$2)*(E3682=E3681:E$2)))))</f>
        <v> </v>
      </c>
      <c r="J3682" s="25" t="str">
        <f>IF(OR(E3682="",E3682="!!!",F3682="NEW"),"",COUNTBLANK(OFFSET(A$1,,,SUMPRODUCT(MAX(ROW(E$2:E3682)*(E3682=E$2:E3682)))))-COUNTBLANK(OFFSET(A$1,,,SUMPRODUCT(MAX(ROW(E$1:E3681)*(E2=E$1:E3681))))))</f>
        <v> </v>
      </c>
      <c r="K3682" s="25" t="str">
        <f>IF(OR(E3682="",E3682="!!!",F3682="NEW"),"",INDEX(J$1:J3681,SUMPRODUCT(MAX(ROW(E$1:E3681)*(E3682=E$1:E3681)))))</f>
        <v> </v>
      </c>
      <c r="L3682" s="26"/>
    </row>
    <row r="3683" spans="1:12">
      <c r="A3683" s="20" t="s">
        <v>1022</v>
      </c>
      <c r="E3683" s="21">
        <f>IF(D3683="?OLD","!!!","")</f>
        <v/>
      </c>
      <c r="F3683" s="22" t="str">
        <f>IF(OR(E3683="",E3683="!!!"),"",IF(NOT(ISNA(VLOOKUP(E3683,E$1:E3682,1,FALSE()))),"OLD",IF(AND(E3683&lt;&gt;"",E3683&lt;&gt;"!!!"),"NEW","")))</f>
        <v> </v>
      </c>
      <c r="G3683" s="23" t="str">
        <f>IF(OR(E3683="",E3683="!!!"),"",IF(OR(J3683=0,AND(J3683=1,K3683=1),AND(J3683=1,I3683="SBJ"),AND(J3683=1,I3683=0)),"?IN_FOCUS",IF(J3683&lt;=2,"?ACTIVATED",IF(J3683&lt;&gt;"","?FAMILIAR",IF(F3683="NEW",IF(ISNA(VLOOKUP(E3683,#REF!,1,FALSE())),"?TYPE_IDENTIFIABLE","?REFERENTIAL"),"_")))))</f>
        <v> </v>
      </c>
      <c r="H3683" s="24" t="str">
        <f>IF(J3683&lt;&gt;1,"",IF(I3683="SBJ","CB","?"))</f>
        <v> </v>
      </c>
      <c r="I3683" s="25" t="str">
        <f>IF(OR(E3683="",E3683="!!!",F3683="NEW"),"",INDEX(B3682:B$2,-1+SUMPRODUCT(MAX(ROW(E3682:E$2)*(E3683=E3682:E$2)))))</f>
        <v> </v>
      </c>
      <c r="J3683" s="25" t="str">
        <f>IF(OR(E3683="",E3683="!!!",F3683="NEW"),"",COUNTBLANK(OFFSET(A$1,,,SUMPRODUCT(MAX(ROW(E$2:E3683)*(E3683=E$2:E3683)))))-COUNTBLANK(OFFSET(A$1,,,SUMPRODUCT(MAX(ROW(E$1:E3682)*(E2=E$1:E3682))))))</f>
        <v> </v>
      </c>
      <c r="K3683" s="25" t="str">
        <f>IF(OR(E3683="",E3683="!!!",F3683="NEW"),"",INDEX(J$1:J3682,SUMPRODUCT(MAX(ROW(E$1:E3682)*(E3683=E$1:E3682)))))</f>
        <v> </v>
      </c>
      <c r="L3683" s="26"/>
    </row>
    <row r="3684" spans="1:12">
      <c r="A3684" s="20" t="s">
        <v>1429</v>
      </c>
      <c r="E3684" s="21">
        <f>IF(D3684="?OLD","!!!","")</f>
        <v/>
      </c>
      <c r="F3684" s="22" t="str">
        <f>IF(OR(E3684="",E3684="!!!"),"",IF(NOT(ISNA(VLOOKUP(E3684,E$1:E3683,1,FALSE()))),"OLD",IF(AND(E3684&lt;&gt;"",E3684&lt;&gt;"!!!"),"NEW","")))</f>
        <v> </v>
      </c>
      <c r="G3684" s="23" t="str">
        <f>IF(OR(E3684="",E3684="!!!"),"",IF(OR(J3684=0,AND(J3684=1,K3684=1),AND(J3684=1,I3684="SBJ"),AND(J3684=1,I3684=0)),"?IN_FOCUS",IF(J3684&lt;=2,"?ACTIVATED",IF(J3684&lt;&gt;"","?FAMILIAR",IF(F3684="NEW",IF(ISNA(VLOOKUP(E3684,#REF!,1,FALSE())),"?TYPE_IDENTIFIABLE","?REFERENTIAL"),"_")))))</f>
        <v> </v>
      </c>
      <c r="H3684" s="24" t="str">
        <f>IF(J3684&lt;&gt;1,"",IF(I3684="SBJ","CB","?"))</f>
        <v> </v>
      </c>
      <c r="I3684" s="25" t="str">
        <f>IF(OR(E3684="",E3684="!!!",F3684="NEW"),"",INDEX(B3683:B$2,-1+SUMPRODUCT(MAX(ROW(E3683:E$2)*(E3684=E3683:E$2)))))</f>
        <v> </v>
      </c>
      <c r="J3684" s="25" t="str">
        <f>IF(OR(E3684="",E3684="!!!",F3684="NEW"),"",COUNTBLANK(OFFSET(A$1,,,SUMPRODUCT(MAX(ROW(E$2:E3684)*(E3684=E$2:E3684)))))-COUNTBLANK(OFFSET(A$1,,,SUMPRODUCT(MAX(ROW(E$1:E3683)*(E2=E$1:E3683))))))</f>
        <v> </v>
      </c>
      <c r="K3684" s="25" t="str">
        <f>IF(OR(E3684="",E3684="!!!",F3684="NEW"),"",INDEX(J$1:J3683,SUMPRODUCT(MAX(ROW(E$1:E3683)*(E3684=E$1:E3683)))))</f>
        <v> </v>
      </c>
      <c r="L3684" s="26"/>
    </row>
    <row r="3685" spans="1:12">
      <c r="A3685" s="20" t="s">
        <v>2262</v>
      </c>
      <c r="E3685" s="21">
        <f>IF(D3685="?OLD","!!!","")</f>
        <v/>
      </c>
      <c r="F3685" s="22" t="str">
        <f>IF(OR(E3685="",E3685="!!!"),"",IF(NOT(ISNA(VLOOKUP(E3685,E$1:E3684,1,FALSE()))),"OLD",IF(AND(E3685&lt;&gt;"",E3685&lt;&gt;"!!!"),"NEW","")))</f>
        <v> </v>
      </c>
      <c r="G3685" s="23" t="str">
        <f>IF(OR(E3685="",E3685="!!!"),"",IF(OR(J3685=0,AND(J3685=1,K3685=1),AND(J3685=1,I3685="SBJ"),AND(J3685=1,I3685=0)),"?IN_FOCUS",IF(J3685&lt;=2,"?ACTIVATED",IF(J3685&lt;&gt;"","?FAMILIAR",IF(F3685="NEW",IF(ISNA(VLOOKUP(E3685,#REF!,1,FALSE())),"?TYPE_IDENTIFIABLE","?REFERENTIAL"),"_")))))</f>
        <v> </v>
      </c>
      <c r="H3685" s="24" t="str">
        <f>IF(J3685&lt;&gt;1,"",IF(I3685="SBJ","CB","?"))</f>
        <v> </v>
      </c>
      <c r="I3685" s="25" t="str">
        <f>IF(OR(E3685="",E3685="!!!",F3685="NEW"),"",INDEX(B3684:B$2,-1+SUMPRODUCT(MAX(ROW(E3684:E$2)*(E3685=E3684:E$2)))))</f>
        <v> </v>
      </c>
      <c r="J3685" s="25" t="str">
        <f>IF(OR(E3685="",E3685="!!!",F3685="NEW"),"",COUNTBLANK(OFFSET(A$1,,,SUMPRODUCT(MAX(ROW(E$2:E3685)*(E3685=E$2:E3685)))))-COUNTBLANK(OFFSET(A$1,,,SUMPRODUCT(MAX(ROW(E$1:E3684)*(E2=E$1:E3684))))))</f>
        <v> </v>
      </c>
      <c r="K3685" s="25" t="str">
        <f>IF(OR(E3685="",E3685="!!!",F3685="NEW"),"",INDEX(J$1:J3684,SUMPRODUCT(MAX(ROW(E$1:E3684)*(E3685=E$1:E3684)))))</f>
        <v> </v>
      </c>
      <c r="L3685" s="26"/>
    </row>
    <row r="3686" spans="1:12">
      <c r="A3686" s="20" t="s">
        <v>1187</v>
      </c>
      <c r="E3686" s="21">
        <f>IF(D3686="?OLD","!!!","")</f>
        <v/>
      </c>
      <c r="F3686" s="22" t="str">
        <f>IF(OR(E3686="",E3686="!!!"),"",IF(NOT(ISNA(VLOOKUP(E3686,E$1:E3685,1,FALSE()))),"OLD",IF(AND(E3686&lt;&gt;"",E3686&lt;&gt;"!!!"),"NEW","")))</f>
        <v> </v>
      </c>
      <c r="G3686" s="23" t="str">
        <f>IF(OR(E3686="",E3686="!!!"),"",IF(OR(J3686=0,AND(J3686=1,K3686=1),AND(J3686=1,I3686="SBJ"),AND(J3686=1,I3686=0)),"?IN_FOCUS",IF(J3686&lt;=2,"?ACTIVATED",IF(J3686&lt;&gt;"","?FAMILIAR",IF(F3686="NEW",IF(ISNA(VLOOKUP(E3686,#REF!,1,FALSE())),"?TYPE_IDENTIFIABLE","?REFERENTIAL"),"_")))))</f>
        <v> </v>
      </c>
      <c r="H3686" s="24" t="str">
        <f>IF(J3686&lt;&gt;1,"",IF(I3686="SBJ","CB","?"))</f>
        <v> </v>
      </c>
      <c r="I3686" s="25" t="str">
        <f>IF(OR(E3686="",E3686="!!!",F3686="NEW"),"",INDEX(B3685:B$2,-1+SUMPRODUCT(MAX(ROW(E3685:E$2)*(E3686=E3685:E$2)))))</f>
        <v> </v>
      </c>
      <c r="J3686" s="25" t="str">
        <f>IF(OR(E3686="",E3686="!!!",F3686="NEW"),"",COUNTBLANK(OFFSET(A$1,,,SUMPRODUCT(MAX(ROW(E$2:E3686)*(E3686=E$2:E3686)))))-COUNTBLANK(OFFSET(A$1,,,SUMPRODUCT(MAX(ROW(E$1:E3685)*(E2=E$1:E3685))))))</f>
        <v> </v>
      </c>
      <c r="K3686" s="25" t="str">
        <f>IF(OR(E3686="",E3686="!!!",F3686="NEW"),"",INDEX(J$1:J3685,SUMPRODUCT(MAX(ROW(E$1:E3685)*(E3686=E$1:E3685)))))</f>
        <v> </v>
      </c>
      <c r="L3686" s="26"/>
    </row>
    <row r="3687" spans="1:12">
      <c r="A3687" s="20" t="s">
        <v>2260</v>
      </c>
      <c r="E3687" s="21">
        <f>IF(D3687="?OLD","!!!","")</f>
        <v/>
      </c>
      <c r="F3687" s="22" t="str">
        <f>IF(OR(E3687="",E3687="!!!"),"",IF(NOT(ISNA(VLOOKUP(E3687,E$1:E3686,1,FALSE()))),"OLD",IF(AND(E3687&lt;&gt;"",E3687&lt;&gt;"!!!"),"NEW","")))</f>
        <v> </v>
      </c>
      <c r="G3687" s="23" t="str">
        <f>IF(OR(E3687="",E3687="!!!"),"",IF(OR(J3687=0,AND(J3687=1,K3687=1),AND(J3687=1,I3687="SBJ"),AND(J3687=1,I3687=0)),"?IN_FOCUS",IF(J3687&lt;=2,"?ACTIVATED",IF(J3687&lt;&gt;"","?FAMILIAR",IF(F3687="NEW",IF(ISNA(VLOOKUP(E3687,#REF!,1,FALSE())),"?TYPE_IDENTIFIABLE","?REFERENTIAL"),"_")))))</f>
        <v> </v>
      </c>
      <c r="H3687" s="24" t="str">
        <f>IF(J3687&lt;&gt;1,"",IF(I3687="SBJ","CB","?"))</f>
        <v> </v>
      </c>
      <c r="I3687" s="25" t="str">
        <f>IF(OR(E3687="",E3687="!!!",F3687="NEW"),"",INDEX(B3686:B$2,-1+SUMPRODUCT(MAX(ROW(E3686:E$2)*(E3687=E3686:E$2)))))</f>
        <v> </v>
      </c>
      <c r="J3687" s="25" t="str">
        <f>IF(OR(E3687="",E3687="!!!",F3687="NEW"),"",COUNTBLANK(OFFSET(A$1,,,SUMPRODUCT(MAX(ROW(E$2:E3687)*(E3687=E$2:E3687)))))-COUNTBLANK(OFFSET(A$1,,,SUMPRODUCT(MAX(ROW(E$1:E3686)*(E2=E$1:E3686))))))</f>
        <v> </v>
      </c>
      <c r="K3687" s="25" t="str">
        <f>IF(OR(E3687="",E3687="!!!",F3687="NEW"),"",INDEX(J$1:J3686,SUMPRODUCT(MAX(ROW(E$1:E3686)*(E3687=E$1:E3686)))))</f>
        <v> </v>
      </c>
      <c r="L3687" s="26"/>
    </row>
    <row r="3688" spans="1:12">
      <c r="A3688" s="20" t="s">
        <v>135</v>
      </c>
      <c r="E3688" s="21">
        <f>IF(D3688="?OLD","!!!","")</f>
        <v/>
      </c>
      <c r="F3688" s="22" t="str">
        <f>IF(OR(E3688="",E3688="!!!"),"",IF(NOT(ISNA(VLOOKUP(E3688,E$1:E3687,1,FALSE()))),"OLD",IF(AND(E3688&lt;&gt;"",E3688&lt;&gt;"!!!"),"NEW","")))</f>
        <v> </v>
      </c>
      <c r="G3688" s="23" t="str">
        <f>IF(OR(E3688="",E3688="!!!"),"",IF(OR(J3688=0,AND(J3688=1,K3688=1),AND(J3688=1,I3688="SBJ"),AND(J3688=1,I3688=0)),"?IN_FOCUS",IF(J3688&lt;=2,"?ACTIVATED",IF(J3688&lt;&gt;"","?FAMILIAR",IF(F3688="NEW",IF(ISNA(VLOOKUP(E3688,#REF!,1,FALSE())),"?TYPE_IDENTIFIABLE","?REFERENTIAL"),"_")))))</f>
        <v> </v>
      </c>
      <c r="H3688" s="24" t="str">
        <f>IF(J3688&lt;&gt;1,"",IF(I3688="SBJ","CB","?"))</f>
        <v> </v>
      </c>
      <c r="I3688" s="25" t="str">
        <f>IF(OR(E3688="",E3688="!!!",F3688="NEW"),"",INDEX(B3687:B$2,-1+SUMPRODUCT(MAX(ROW(E3687:E$2)*(E3688=E3687:E$2)))))</f>
        <v> </v>
      </c>
      <c r="J3688" s="25" t="str">
        <f>IF(OR(E3688="",E3688="!!!",F3688="NEW"),"",COUNTBLANK(OFFSET(A$1,,,SUMPRODUCT(MAX(ROW(E$2:E3688)*(E3688=E$2:E3688)))))-COUNTBLANK(OFFSET(A$1,,,SUMPRODUCT(MAX(ROW(E$1:E3687)*(E2=E$1:E3687))))))</f>
        <v> </v>
      </c>
      <c r="K3688" s="25" t="str">
        <f>IF(OR(E3688="",E3688="!!!",F3688="NEW"),"",INDEX(J$1:J3687,SUMPRODUCT(MAX(ROW(E$1:E3687)*(E3688=E$1:E3687)))))</f>
        <v> </v>
      </c>
      <c r="L3688" s="26"/>
    </row>
    <row r="3689" spans="1:12">
      <c r="A3689" s="20"/>
    </row>
    <row r="3690" spans="1:12">
      <c r="A3690" s="20" t="s">
        <v>2265</v>
      </c>
    </row>
    <row r="3691" spans="1:12">
      <c r="A3691" s="20" t="s">
        <v>2266</v>
      </c>
      <c r="E3691" s="21">
        <f>IF(D3691="?OLD","!!!","")</f>
        <v/>
      </c>
      <c r="F3691" s="22" t="str">
        <f>IF(OR(E3691="",E3691="!!!"),"",IF(NOT(ISNA(VLOOKUP(E3691,E$1:E3690,1,FALSE()))),"OLD",IF(AND(E3691&lt;&gt;"",E3691&lt;&gt;"!!!"),"NEW","")))</f>
        <v> </v>
      </c>
      <c r="G3691" s="23" t="str">
        <f>IF(OR(E3691="",E3691="!!!"),"",IF(OR(J3691=0,AND(J3691=1,K3691=1),AND(J3691=1,I3691="SBJ"),AND(J3691=1,I3691=0)),"?IN_FOCUS",IF(J3691&lt;=2,"?ACTIVATED",IF(J3691&lt;&gt;"","?FAMILIAR",IF(F3691="NEW",IF(ISNA(VLOOKUP(E3691,#REF!,1,FALSE())),"?TYPE_IDENTIFIABLE","?REFERENTIAL"),"_")))))</f>
        <v> </v>
      </c>
      <c r="H3691" s="24" t="str">
        <f>IF(J3691&lt;&gt;1,"",IF(I3691="SBJ","CB","?"))</f>
        <v> </v>
      </c>
      <c r="I3691" s="25" t="str">
        <f>IF(OR(E3691="",E3691="!!!",F3691="NEW"),"",INDEX(B3690:B$2,-1+SUMPRODUCT(MAX(ROW(E3690:E$2)*(E3691=E3690:E$2)))))</f>
        <v> </v>
      </c>
      <c r="J3691" s="25" t="str">
        <f>IF(OR(E3691="",E3691="!!!",F3691="NEW"),"",COUNTBLANK(OFFSET(A$1,,,SUMPRODUCT(MAX(ROW(E$2:E3691)*(E3691=E$2:E3691)))))-COUNTBLANK(OFFSET(A$1,,,SUMPRODUCT(MAX(ROW(E$1:E3690)*(E2=E$1:E3690))))))</f>
        <v> </v>
      </c>
      <c r="K3691" s="25" t="str">
        <f>IF(OR(E3691="",E3691="!!!",F3691="NEW"),"",INDEX(J$1:J3690,SUMPRODUCT(MAX(ROW(E$1:E3690)*(E3691=E$1:E3690)))))</f>
        <v> </v>
      </c>
      <c r="L3691" s="26"/>
    </row>
    <row r="3692" spans="1:12">
      <c r="A3692" s="20" t="s">
        <v>1074</v>
      </c>
      <c r="E3692" s="21">
        <f>IF(D3692="?OLD","!!!","")</f>
        <v/>
      </c>
      <c r="F3692" s="22" t="str">
        <f>IF(OR(E3692="",E3692="!!!"),"",IF(NOT(ISNA(VLOOKUP(E3692,E$1:E3691,1,FALSE()))),"OLD",IF(AND(E3692&lt;&gt;"",E3692&lt;&gt;"!!!"),"NEW","")))</f>
        <v> </v>
      </c>
      <c r="G3692" s="23" t="str">
        <f>IF(OR(E3692="",E3692="!!!"),"",IF(OR(J3692=0,AND(J3692=1,K3692=1),AND(J3692=1,I3692="SBJ"),AND(J3692=1,I3692=0)),"?IN_FOCUS",IF(J3692&lt;=2,"?ACTIVATED",IF(J3692&lt;&gt;"","?FAMILIAR",IF(F3692="NEW",IF(ISNA(VLOOKUP(E3692,#REF!,1,FALSE())),"?TYPE_IDENTIFIABLE","?REFERENTIAL"),"_")))))</f>
        <v> </v>
      </c>
      <c r="H3692" s="24" t="str">
        <f>IF(J3692&lt;&gt;1,"",IF(I3692="SBJ","CB","?"))</f>
        <v> </v>
      </c>
      <c r="I3692" s="25" t="str">
        <f>IF(OR(E3692="",E3692="!!!",F3692="NEW"),"",INDEX(B3691:B$2,-1+SUMPRODUCT(MAX(ROW(E3691:E$2)*(E3692=E3691:E$2)))))</f>
        <v> </v>
      </c>
      <c r="J3692" s="25" t="str">
        <f>IF(OR(E3692="",E3692="!!!",F3692="NEW"),"",COUNTBLANK(OFFSET(A$1,,,SUMPRODUCT(MAX(ROW(E$2:E3692)*(E3692=E$2:E3692)))))-COUNTBLANK(OFFSET(A$1,,,SUMPRODUCT(MAX(ROW(E$1:E3691)*(E2=E$1:E3691))))))</f>
        <v> </v>
      </c>
      <c r="K3692" s="25" t="str">
        <f>IF(OR(E3692="",E3692="!!!",F3692="NEW"),"",INDEX(J$1:J3691,SUMPRODUCT(MAX(ROW(E$1:E3691)*(E3692=E$1:E3691)))))</f>
        <v> </v>
      </c>
      <c r="L3692" s="26"/>
    </row>
    <row r="3693" spans="1:12">
      <c r="A3693" s="20" t="s">
        <v>2267</v>
      </c>
      <c r="E3693" s="21">
        <f>IF(D3693="?OLD","!!!","")</f>
        <v/>
      </c>
      <c r="F3693" s="22" t="str">
        <f>IF(OR(E3693="",E3693="!!!"),"",IF(NOT(ISNA(VLOOKUP(E3693,E$1:E3692,1,FALSE()))),"OLD",IF(AND(E3693&lt;&gt;"",E3693&lt;&gt;"!!!"),"NEW","")))</f>
        <v> </v>
      </c>
      <c r="G3693" s="23" t="str">
        <f>IF(OR(E3693="",E3693="!!!"),"",IF(OR(J3693=0,AND(J3693=1,K3693=1),AND(J3693=1,I3693="SBJ"),AND(J3693=1,I3693=0)),"?IN_FOCUS",IF(J3693&lt;=2,"?ACTIVATED",IF(J3693&lt;&gt;"","?FAMILIAR",IF(F3693="NEW",IF(ISNA(VLOOKUP(E3693,#REF!,1,FALSE())),"?TYPE_IDENTIFIABLE","?REFERENTIAL"),"_")))))</f>
        <v> </v>
      </c>
      <c r="H3693" s="24" t="str">
        <f>IF(J3693&lt;&gt;1,"",IF(I3693="SBJ","CB","?"))</f>
        <v> </v>
      </c>
      <c r="I3693" s="25" t="str">
        <f>IF(OR(E3693="",E3693="!!!",F3693="NEW"),"",INDEX(B3692:B$2,-1+SUMPRODUCT(MAX(ROW(E3692:E$2)*(E3693=E3692:E$2)))))</f>
        <v> </v>
      </c>
      <c r="J3693" s="25" t="str">
        <f>IF(OR(E3693="",E3693="!!!",F3693="NEW"),"",COUNTBLANK(OFFSET(A$1,,,SUMPRODUCT(MAX(ROW(E$2:E3693)*(E3693=E$2:E3693)))))-COUNTBLANK(OFFSET(A$1,,,SUMPRODUCT(MAX(ROW(E$1:E3692)*(E2=E$1:E3692))))))</f>
        <v> </v>
      </c>
      <c r="K3693" s="25" t="str">
        <f>IF(OR(E3693="",E3693="!!!",F3693="NEW"),"",INDEX(J$1:J3692,SUMPRODUCT(MAX(ROW(E$1:E3692)*(E3693=E$1:E3692)))))</f>
        <v> </v>
      </c>
      <c r="L3693" s="26"/>
    </row>
    <row r="3694" spans="1:12">
      <c r="A3694" s="20" t="s">
        <v>1369</v>
      </c>
      <c r="B3694" s="27" t="s">
        <v>1069</v>
      </c>
      <c r="C3694" s="27" t="s">
        <v>1050</v>
      </c>
      <c r="D3694" s="27" t="s">
        <v>1030</v>
      </c>
      <c r="E3694" s="21">
        <f>IF(D3694="?OLD","!!!","")</f>
        <v/>
      </c>
      <c r="F3694" s="22" t="str">
        <f>IF(OR(E3694="",E3694="!!!"),"",IF(NOT(ISNA(VLOOKUP(E3694,E$1:E3693,1,FALSE()))),"OLD",IF(AND(E3694&lt;&gt;"",E3694&lt;&gt;"!!!"),"NEW","")))</f>
        <v> </v>
      </c>
      <c r="G3694" s="23" t="str">
        <f>IF(OR(E3694="",E3694="!!!"),"",IF(OR(J3694=0,AND(J3694=1,K3694=1),AND(J3694=1,I3694="SBJ"),AND(J3694=1,I3694=0)),"?IN_FOCUS",IF(J3694&lt;=2,"?ACTIVATED",IF(J3694&lt;&gt;"","?FAMILIAR",IF(F3694="NEW",IF(ISNA(VLOOKUP(E3694,#REF!,1,FALSE())),"?TYPE_IDENTIFIABLE","?REFERENTIAL"),"_")))))</f>
        <v> </v>
      </c>
      <c r="H3694" s="24" t="str">
        <f>IF(J3694&lt;&gt;1,"",IF(I3694="SBJ","CB","?"))</f>
        <v> </v>
      </c>
      <c r="I3694" s="25" t="str">
        <f>IF(OR(E3694="",E3694="!!!",F3694="NEW"),"",INDEX(B3693:B$2,-1+SUMPRODUCT(MAX(ROW(E3693:E$2)*(E3694=E3693:E$2)))))</f>
        <v> </v>
      </c>
      <c r="J3694" s="25" t="str">
        <f>IF(OR(E3694="",E3694="!!!",F3694="NEW"),"",COUNTBLANK(OFFSET(A$1,,,SUMPRODUCT(MAX(ROW(E$2:E3694)*(E3694=E$2:E3694)))))-COUNTBLANK(OFFSET(A$1,,,SUMPRODUCT(MAX(ROW(E$1:E3693)*(E2=E$1:E3693))))))</f>
        <v> </v>
      </c>
      <c r="K3694" s="25" t="str">
        <f>IF(OR(E3694="",E3694="!!!",F3694="NEW"),"",INDEX(J$1:J3693,SUMPRODUCT(MAX(ROW(E$1:E3693)*(E3694=E$1:E3693)))))</f>
        <v> </v>
      </c>
      <c r="L3694" s="26"/>
    </row>
    <row r="3695" spans="1:12">
      <c r="A3695" s="20" t="s">
        <v>2268</v>
      </c>
      <c r="E3695" s="21">
        <f>IF(D3695="?OLD","!!!","")</f>
        <v/>
      </c>
      <c r="F3695" s="22" t="str">
        <f>IF(OR(E3695="",E3695="!!!"),"",IF(NOT(ISNA(VLOOKUP(E3695,E$1:E3694,1,FALSE()))),"OLD",IF(AND(E3695&lt;&gt;"",E3695&lt;&gt;"!!!"),"NEW","")))</f>
        <v> </v>
      </c>
      <c r="G3695" s="23" t="str">
        <f>IF(OR(E3695="",E3695="!!!"),"",IF(OR(J3695=0,AND(J3695=1,K3695=1),AND(J3695=1,I3695="SBJ"),AND(J3695=1,I3695=0)),"?IN_FOCUS",IF(J3695&lt;=2,"?ACTIVATED",IF(J3695&lt;&gt;"","?FAMILIAR",IF(F3695="NEW",IF(ISNA(VLOOKUP(E3695,#REF!,1,FALSE())),"?TYPE_IDENTIFIABLE","?REFERENTIAL"),"_")))))</f>
        <v> </v>
      </c>
      <c r="H3695" s="24" t="str">
        <f>IF(J3695&lt;&gt;1,"",IF(I3695="SBJ","CB","?"))</f>
        <v> </v>
      </c>
      <c r="I3695" s="25" t="str">
        <f>IF(OR(E3695="",E3695="!!!",F3695="NEW"),"",INDEX(B3694:B$2,-1+SUMPRODUCT(MAX(ROW(E3694:E$2)*(E3695=E3694:E$2)))))</f>
        <v> </v>
      </c>
      <c r="J3695" s="25" t="str">
        <f>IF(OR(E3695="",E3695="!!!",F3695="NEW"),"",COUNTBLANK(OFFSET(A$1,,,SUMPRODUCT(MAX(ROW(E$2:E3695)*(E3695=E$2:E3695)))))-COUNTBLANK(OFFSET(A$1,,,SUMPRODUCT(MAX(ROW(E$1:E3694)*(E2=E$1:E3694))))))</f>
        <v> </v>
      </c>
      <c r="K3695" s="25" t="str">
        <f>IF(OR(E3695="",E3695="!!!",F3695="NEW"),"",INDEX(J$1:J3694,SUMPRODUCT(MAX(ROW(E$1:E3694)*(E3695=E$1:E3694)))))</f>
        <v> </v>
      </c>
      <c r="L3695" s="26"/>
    </row>
    <row r="3696" spans="1:12">
      <c r="A3696" s="20" t="s">
        <v>1149</v>
      </c>
      <c r="E3696" s="21">
        <f>IF(D3696="?OLD","!!!","")</f>
        <v/>
      </c>
      <c r="F3696" s="22" t="str">
        <f>IF(OR(E3696="",E3696="!!!"),"",IF(NOT(ISNA(VLOOKUP(E3696,E$1:E3695,1,FALSE()))),"OLD",IF(AND(E3696&lt;&gt;"",E3696&lt;&gt;"!!!"),"NEW","")))</f>
        <v> </v>
      </c>
      <c r="G3696" s="23" t="str">
        <f>IF(OR(E3696="",E3696="!!!"),"",IF(OR(J3696=0,AND(J3696=1,K3696=1),AND(J3696=1,I3696="SBJ"),AND(J3696=1,I3696=0)),"?IN_FOCUS",IF(J3696&lt;=2,"?ACTIVATED",IF(J3696&lt;&gt;"","?FAMILIAR",IF(F3696="NEW",IF(ISNA(VLOOKUP(E3696,#REF!,1,FALSE())),"?TYPE_IDENTIFIABLE","?REFERENTIAL"),"_")))))</f>
        <v> </v>
      </c>
      <c r="H3696" s="24" t="str">
        <f>IF(J3696&lt;&gt;1,"",IF(I3696="SBJ","CB","?"))</f>
        <v> </v>
      </c>
      <c r="I3696" s="25" t="str">
        <f>IF(OR(E3696="",E3696="!!!",F3696="NEW"),"",INDEX(B3695:B$2,-1+SUMPRODUCT(MAX(ROW(E3695:E$2)*(E3696=E3695:E$2)))))</f>
        <v> </v>
      </c>
      <c r="J3696" s="25" t="str">
        <f>IF(OR(E3696="",E3696="!!!",F3696="NEW"),"",COUNTBLANK(OFFSET(A$1,,,SUMPRODUCT(MAX(ROW(E$2:E3696)*(E3696=E$2:E3696)))))-COUNTBLANK(OFFSET(A$1,,,SUMPRODUCT(MAX(ROW(E$1:E3695)*(E2=E$1:E3695))))))</f>
        <v> </v>
      </c>
      <c r="K3696" s="25" t="str">
        <f>IF(OR(E3696="",E3696="!!!",F3696="NEW"),"",INDEX(J$1:J3695,SUMPRODUCT(MAX(ROW(E$1:E3695)*(E3696=E$1:E3695)))))</f>
        <v> </v>
      </c>
      <c r="L3696" s="26"/>
    </row>
    <row r="3697" spans="1:12">
      <c r="A3697" s="20"/>
    </row>
    <row r="3698" spans="1:12">
      <c r="A3698" s="20" t="s">
        <v>2269</v>
      </c>
    </row>
    <row r="3699" spans="1:12">
      <c r="A3699" s="20" t="s">
        <v>505</v>
      </c>
      <c r="E3699" s="21">
        <f>IF(D3699="?OLD","!!!","")</f>
        <v/>
      </c>
      <c r="F3699" s="22" t="str">
        <f>IF(OR(E3699="",E3699="!!!"),"",IF(NOT(ISNA(VLOOKUP(E3699,E$1:E3698,1,FALSE()))),"OLD",IF(AND(E3699&lt;&gt;"",E3699&lt;&gt;"!!!"),"NEW","")))</f>
        <v> </v>
      </c>
      <c r="G3699" s="23" t="str">
        <f>IF(OR(E3699="",E3699="!!!"),"",IF(OR(J3699=0,AND(J3699=1,K3699=1),AND(J3699=1,I3699="SBJ"),AND(J3699=1,I3699=0)),"?IN_FOCUS",IF(J3699&lt;=2,"?ACTIVATED",IF(J3699&lt;&gt;"","?FAMILIAR",IF(F3699="NEW",IF(ISNA(VLOOKUP(E3699,#REF!,1,FALSE())),"?TYPE_IDENTIFIABLE","?REFERENTIAL"),"_")))))</f>
        <v> </v>
      </c>
      <c r="H3699" s="24" t="str">
        <f>IF(J3699&lt;&gt;1,"",IF(I3699="SBJ","CB","?"))</f>
        <v> </v>
      </c>
      <c r="I3699" s="25" t="str">
        <f>IF(OR(E3699="",E3699="!!!",F3699="NEW"),"",INDEX(B3698:B$2,-1+SUMPRODUCT(MAX(ROW(E3698:E$2)*(E3699=E3698:E$2)))))</f>
        <v> </v>
      </c>
      <c r="J3699" s="25" t="str">
        <f>IF(OR(E3699="",E3699="!!!",F3699="NEW"),"",COUNTBLANK(OFFSET(A$1,,,SUMPRODUCT(MAX(ROW(E$2:E3699)*(E3699=E$2:E3699)))))-COUNTBLANK(OFFSET(A$1,,,SUMPRODUCT(MAX(ROW(E$1:E3698)*(E2=E$1:E3698))))))</f>
        <v> </v>
      </c>
      <c r="K3699" s="25" t="str">
        <f>IF(OR(E3699="",E3699="!!!",F3699="NEW"),"",INDEX(J$1:J3698,SUMPRODUCT(MAX(ROW(E$1:E3698)*(E3699=E$1:E3698)))))</f>
        <v> </v>
      </c>
      <c r="L3699" s="26"/>
    </row>
    <row r="3700" spans="1:12">
      <c r="A3700" s="20" t="s">
        <v>1381</v>
      </c>
      <c r="E3700" s="21">
        <f>IF(D3700="?OLD","!!!","")</f>
        <v/>
      </c>
      <c r="F3700" s="22" t="str">
        <f>IF(OR(E3700="",E3700="!!!"),"",IF(NOT(ISNA(VLOOKUP(E3700,E$1:E3699,1,FALSE()))),"OLD",IF(AND(E3700&lt;&gt;"",E3700&lt;&gt;"!!!"),"NEW","")))</f>
        <v> </v>
      </c>
      <c r="G3700" s="23" t="str">
        <f>IF(OR(E3700="",E3700="!!!"),"",IF(OR(J3700=0,AND(J3700=1,K3700=1),AND(J3700=1,I3700="SBJ"),AND(J3700=1,I3700=0)),"?IN_FOCUS",IF(J3700&lt;=2,"?ACTIVATED",IF(J3700&lt;&gt;"","?FAMILIAR",IF(F3700="NEW",IF(ISNA(VLOOKUP(E3700,#REF!,1,FALSE())),"?TYPE_IDENTIFIABLE","?REFERENTIAL"),"_")))))</f>
        <v> </v>
      </c>
      <c r="H3700" s="24" t="str">
        <f>IF(J3700&lt;&gt;1,"",IF(I3700="SBJ","CB","?"))</f>
        <v> </v>
      </c>
      <c r="I3700" s="25" t="str">
        <f>IF(OR(E3700="",E3700="!!!",F3700="NEW"),"",INDEX(B3699:B$2,-1+SUMPRODUCT(MAX(ROW(E3699:E$2)*(E3700=E3699:E$2)))))</f>
        <v> </v>
      </c>
      <c r="J3700" s="25" t="str">
        <f>IF(OR(E3700="",E3700="!!!",F3700="NEW"),"",COUNTBLANK(OFFSET(A$1,,,SUMPRODUCT(MAX(ROW(E$2:E3700)*(E3700=E$2:E3700)))))-COUNTBLANK(OFFSET(A$1,,,SUMPRODUCT(MAX(ROW(E$1:E3699)*(E2=E$1:E3699))))))</f>
        <v> </v>
      </c>
      <c r="K3700" s="25" t="str">
        <f>IF(OR(E3700="",E3700="!!!",F3700="NEW"),"",INDEX(J$1:J3699,SUMPRODUCT(MAX(ROW(E$1:E3699)*(E3700=E$1:E3699)))))</f>
        <v> </v>
      </c>
      <c r="L3700" s="26"/>
    </row>
    <row r="3701" spans="1:12">
      <c r="A3701" s="20" t="s">
        <v>1637</v>
      </c>
      <c r="E3701" s="21">
        <f>IF(D3701="?OLD","!!!","")</f>
        <v/>
      </c>
      <c r="F3701" s="22" t="str">
        <f>IF(OR(E3701="",E3701="!!!"),"",IF(NOT(ISNA(VLOOKUP(E3701,E$1:E3700,1,FALSE()))),"OLD",IF(AND(E3701&lt;&gt;"",E3701&lt;&gt;"!!!"),"NEW","")))</f>
        <v> </v>
      </c>
      <c r="G3701" s="23" t="str">
        <f>IF(OR(E3701="",E3701="!!!"),"",IF(OR(J3701=0,AND(J3701=1,K3701=1),AND(J3701=1,I3701="SBJ"),AND(J3701=1,I3701=0)),"?IN_FOCUS",IF(J3701&lt;=2,"?ACTIVATED",IF(J3701&lt;&gt;"","?FAMILIAR",IF(F3701="NEW",IF(ISNA(VLOOKUP(E3701,#REF!,1,FALSE())),"?TYPE_IDENTIFIABLE","?REFERENTIAL"),"_")))))</f>
        <v> </v>
      </c>
      <c r="H3701" s="24" t="str">
        <f>IF(J3701&lt;&gt;1,"",IF(I3701="SBJ","CB","?"))</f>
        <v> </v>
      </c>
      <c r="I3701" s="25" t="str">
        <f>IF(OR(E3701="",E3701="!!!",F3701="NEW"),"",INDEX(B3700:B$2,-1+SUMPRODUCT(MAX(ROW(E3700:E$2)*(E3701=E3700:E$2)))))</f>
        <v> </v>
      </c>
      <c r="J3701" s="25" t="str">
        <f>IF(OR(E3701="",E3701="!!!",F3701="NEW"),"",COUNTBLANK(OFFSET(A$1,,,SUMPRODUCT(MAX(ROW(E$2:E3701)*(E3701=E$2:E3701)))))-COUNTBLANK(OFFSET(A$1,,,SUMPRODUCT(MAX(ROW(E$1:E3700)*(E2=E$1:E3700))))))</f>
        <v> </v>
      </c>
      <c r="K3701" s="25" t="str">
        <f>IF(OR(E3701="",E3701="!!!",F3701="NEW"),"",INDEX(J$1:J3700,SUMPRODUCT(MAX(ROW(E$1:E3700)*(E3701=E$1:E3700)))))</f>
        <v> </v>
      </c>
      <c r="L3701" s="26"/>
    </row>
    <row r="3702" spans="1:12">
      <c r="A3702" s="20" t="s">
        <v>1215</v>
      </c>
      <c r="E3702" s="21">
        <f>IF(D3702="?OLD","!!!","")</f>
        <v/>
      </c>
      <c r="F3702" s="22" t="str">
        <f>IF(OR(E3702="",E3702="!!!"),"",IF(NOT(ISNA(VLOOKUP(E3702,E$1:E3701,1,FALSE()))),"OLD",IF(AND(E3702&lt;&gt;"",E3702&lt;&gt;"!!!"),"NEW","")))</f>
        <v> </v>
      </c>
      <c r="G3702" s="23" t="str">
        <f>IF(OR(E3702="",E3702="!!!"),"",IF(OR(J3702=0,AND(J3702=1,K3702=1),AND(J3702=1,I3702="SBJ"),AND(J3702=1,I3702=0)),"?IN_FOCUS",IF(J3702&lt;=2,"?ACTIVATED",IF(J3702&lt;&gt;"","?FAMILIAR",IF(F3702="NEW",IF(ISNA(VLOOKUP(E3702,#REF!,1,FALSE())),"?TYPE_IDENTIFIABLE","?REFERENTIAL"),"_")))))</f>
        <v> </v>
      </c>
      <c r="H3702" s="24" t="str">
        <f>IF(J3702&lt;&gt;1,"",IF(I3702="SBJ","CB","?"))</f>
        <v> </v>
      </c>
      <c r="I3702" s="25" t="str">
        <f>IF(OR(E3702="",E3702="!!!",F3702="NEW"),"",INDEX(B3701:B$2,-1+SUMPRODUCT(MAX(ROW(E3701:E$2)*(E3702=E3701:E$2)))))</f>
        <v> </v>
      </c>
      <c r="J3702" s="25" t="str">
        <f>IF(OR(E3702="",E3702="!!!",F3702="NEW"),"",COUNTBLANK(OFFSET(A$1,,,SUMPRODUCT(MAX(ROW(E$2:E3702)*(E3702=E$2:E3702)))))-COUNTBLANK(OFFSET(A$1,,,SUMPRODUCT(MAX(ROW(E$1:E3701)*(E2=E$1:E3701))))))</f>
        <v> </v>
      </c>
      <c r="K3702" s="25" t="str">
        <f>IF(OR(E3702="",E3702="!!!",F3702="NEW"),"",INDEX(J$1:J3701,SUMPRODUCT(MAX(ROW(E$1:E3701)*(E3702=E$1:E3701)))))</f>
        <v> </v>
      </c>
      <c r="L3702" s="26"/>
    </row>
    <row r="3703" spans="1:12">
      <c r="A3703" s="20"/>
    </row>
    <row r="3704" spans="1:12">
      <c r="A3704" s="20" t="s">
        <v>2270</v>
      </c>
    </row>
    <row r="3705" spans="1:12">
      <c r="A3705" s="20" t="s">
        <v>1504</v>
      </c>
      <c r="E3705" s="21">
        <f>IF(D3705="?OLD","!!!","")</f>
        <v/>
      </c>
      <c r="F3705" s="22" t="str">
        <f>IF(OR(E3705="",E3705="!!!"),"",IF(NOT(ISNA(VLOOKUP(E3705,E$1:E3704,1,FALSE()))),"OLD",IF(AND(E3705&lt;&gt;"",E3705&lt;&gt;"!!!"),"NEW","")))</f>
        <v> </v>
      </c>
      <c r="G3705" s="23" t="str">
        <f>IF(OR(E3705="",E3705="!!!"),"",IF(OR(J3705=0,AND(J3705=1,K3705=1),AND(J3705=1,I3705="SBJ"),AND(J3705=1,I3705=0)),"?IN_FOCUS",IF(J3705&lt;=2,"?ACTIVATED",IF(J3705&lt;&gt;"","?FAMILIAR",IF(F3705="NEW",IF(ISNA(VLOOKUP(E3705,#REF!,1,FALSE())),"?TYPE_IDENTIFIABLE","?REFERENTIAL"),"_")))))</f>
        <v> </v>
      </c>
      <c r="H3705" s="24" t="str">
        <f>IF(J3705&lt;&gt;1,"",IF(I3705="SBJ","CB","?"))</f>
        <v> </v>
      </c>
      <c r="I3705" s="25" t="str">
        <f>IF(OR(E3705="",E3705="!!!",F3705="NEW"),"",INDEX(B3704:B$2,-1+SUMPRODUCT(MAX(ROW(E3704:E$2)*(E3705=E3704:E$2)))))</f>
        <v> </v>
      </c>
      <c r="J3705" s="25" t="str">
        <f>IF(OR(E3705="",E3705="!!!",F3705="NEW"),"",COUNTBLANK(OFFSET(A$1,,,SUMPRODUCT(MAX(ROW(E$2:E3705)*(E3705=E$2:E3705)))))-COUNTBLANK(OFFSET(A$1,,,SUMPRODUCT(MAX(ROW(E$1:E3704)*(E2=E$1:E3704))))))</f>
        <v> </v>
      </c>
      <c r="K3705" s="25" t="str">
        <f>IF(OR(E3705="",E3705="!!!",F3705="NEW"),"",INDEX(J$1:J3704,SUMPRODUCT(MAX(ROW(E$1:E3704)*(E3705=E$1:E3704)))))</f>
        <v> </v>
      </c>
      <c r="L3705" s="26"/>
    </row>
    <row r="3706" spans="1:12">
      <c r="A3706" s="20" t="s">
        <v>489</v>
      </c>
      <c r="E3706" s="21">
        <f>IF(D3706="?OLD","!!!","")</f>
        <v/>
      </c>
      <c r="F3706" s="22" t="str">
        <f>IF(OR(E3706="",E3706="!!!"),"",IF(NOT(ISNA(VLOOKUP(E3706,E$1:E3705,1,FALSE()))),"OLD",IF(AND(E3706&lt;&gt;"",E3706&lt;&gt;"!!!"),"NEW","")))</f>
        <v> </v>
      </c>
      <c r="G3706" s="23" t="str">
        <f>IF(OR(E3706="",E3706="!!!"),"",IF(OR(J3706=0,AND(J3706=1,K3706=1),AND(J3706=1,I3706="SBJ"),AND(J3706=1,I3706=0)),"?IN_FOCUS",IF(J3706&lt;=2,"?ACTIVATED",IF(J3706&lt;&gt;"","?FAMILIAR",IF(F3706="NEW",IF(ISNA(VLOOKUP(E3706,#REF!,1,FALSE())),"?TYPE_IDENTIFIABLE","?REFERENTIAL"),"_")))))</f>
        <v> </v>
      </c>
      <c r="H3706" s="24" t="str">
        <f>IF(J3706&lt;&gt;1,"",IF(I3706="SBJ","CB","?"))</f>
        <v> </v>
      </c>
      <c r="I3706" s="25" t="str">
        <f>IF(OR(E3706="",E3706="!!!",F3706="NEW"),"",INDEX(B3705:B$2,-1+SUMPRODUCT(MAX(ROW(E3705:E$2)*(E3706=E3705:E$2)))))</f>
        <v> </v>
      </c>
      <c r="J3706" s="25" t="str">
        <f>IF(OR(E3706="",E3706="!!!",F3706="NEW"),"",COUNTBLANK(OFFSET(A$1,,,SUMPRODUCT(MAX(ROW(E$2:E3706)*(E3706=E$2:E3706)))))-COUNTBLANK(OFFSET(A$1,,,SUMPRODUCT(MAX(ROW(E$1:E3705)*(E2=E$1:E3705))))))</f>
        <v> </v>
      </c>
      <c r="K3706" s="25" t="str">
        <f>IF(OR(E3706="",E3706="!!!",F3706="NEW"),"",INDEX(J$1:J3705,SUMPRODUCT(MAX(ROW(E$1:E3705)*(E3706=E$1:E3705)))))</f>
        <v> </v>
      </c>
      <c r="L3706" s="26"/>
    </row>
    <row r="3707" spans="1:12">
      <c r="A3707" s="20" t="s">
        <v>1022</v>
      </c>
      <c r="E3707" s="21">
        <f>IF(D3707="?OLD","!!!","")</f>
        <v/>
      </c>
      <c r="F3707" s="22" t="str">
        <f>IF(OR(E3707="",E3707="!!!"),"",IF(NOT(ISNA(VLOOKUP(E3707,E$1:E3706,1,FALSE()))),"OLD",IF(AND(E3707&lt;&gt;"",E3707&lt;&gt;"!!!"),"NEW","")))</f>
        <v> </v>
      </c>
      <c r="G3707" s="23" t="str">
        <f>IF(OR(E3707="",E3707="!!!"),"",IF(OR(J3707=0,AND(J3707=1,K3707=1),AND(J3707=1,I3707="SBJ"),AND(J3707=1,I3707=0)),"?IN_FOCUS",IF(J3707&lt;=2,"?ACTIVATED",IF(J3707&lt;&gt;"","?FAMILIAR",IF(F3707="NEW",IF(ISNA(VLOOKUP(E3707,#REF!,1,FALSE())),"?TYPE_IDENTIFIABLE","?REFERENTIAL"),"_")))))</f>
        <v> </v>
      </c>
      <c r="H3707" s="24" t="str">
        <f>IF(J3707&lt;&gt;1,"",IF(I3707="SBJ","CB","?"))</f>
        <v> </v>
      </c>
      <c r="I3707" s="25" t="str">
        <f>IF(OR(E3707="",E3707="!!!",F3707="NEW"),"",INDEX(B3706:B$2,-1+SUMPRODUCT(MAX(ROW(E3706:E$2)*(E3707=E3706:E$2)))))</f>
        <v> </v>
      </c>
      <c r="J3707" s="25" t="str">
        <f>IF(OR(E3707="",E3707="!!!",F3707="NEW"),"",COUNTBLANK(OFFSET(A$1,,,SUMPRODUCT(MAX(ROW(E$2:E3707)*(E3707=E$2:E3707)))))-COUNTBLANK(OFFSET(A$1,,,SUMPRODUCT(MAX(ROW(E$1:E3706)*(E2=E$1:E3706))))))</f>
        <v> </v>
      </c>
      <c r="K3707" s="25" t="str">
        <f>IF(OR(E3707="",E3707="!!!",F3707="NEW"),"",INDEX(J$1:J3706,SUMPRODUCT(MAX(ROW(E$1:E3706)*(E3707=E$1:E3706)))))</f>
        <v> </v>
      </c>
      <c r="L3707" s="26"/>
    </row>
    <row r="3708" spans="1:12">
      <c r="A3708" s="20" t="s">
        <v>2271</v>
      </c>
      <c r="B3708" s="27" t="s">
        <v>1014</v>
      </c>
      <c r="C3708" s="27" t="s">
        <v>1015</v>
      </c>
      <c r="E3708" s="21">
        <f>IF(D3708="?OLD","!!!","")</f>
        <v/>
      </c>
      <c r="F3708" s="22" t="str">
        <f>IF(OR(E3708="",E3708="!!!"),"",IF(NOT(ISNA(VLOOKUP(E3708,E$1:E3707,1,FALSE()))),"OLD",IF(AND(E3708&lt;&gt;"",E3708&lt;&gt;"!!!"),"NEW","")))</f>
        <v> </v>
      </c>
      <c r="G3708" s="23" t="str">
        <f>IF(OR(E3708="",E3708="!!!"),"",IF(OR(J3708=0,AND(J3708=1,K3708=1),AND(J3708=1,I3708="SBJ"),AND(J3708=1,I3708=0)),"?IN_FOCUS",IF(J3708&lt;=2,"?ACTIVATED",IF(J3708&lt;&gt;"","?FAMILIAR",IF(F3708="NEW",IF(ISNA(VLOOKUP(E3708,#REF!,1,FALSE())),"?TYPE_IDENTIFIABLE","?REFERENTIAL"),"_")))))</f>
        <v> </v>
      </c>
      <c r="H3708" s="24" t="str">
        <f>IF(J3708&lt;&gt;1,"",IF(I3708="SBJ","CB","?"))</f>
        <v> </v>
      </c>
      <c r="I3708" s="25" t="str">
        <f>IF(OR(E3708="",E3708="!!!",F3708="NEW"),"",INDEX(B3707:B$2,-1+SUMPRODUCT(MAX(ROW(E3707:E$2)*(E3708=E3707:E$2)))))</f>
        <v> </v>
      </c>
      <c r="J3708" s="25" t="str">
        <f>IF(OR(E3708="",E3708="!!!",F3708="NEW"),"",COUNTBLANK(OFFSET(A$1,,,SUMPRODUCT(MAX(ROW(E$2:E3708)*(E3708=E$2:E3708)))))-COUNTBLANK(OFFSET(A$1,,,SUMPRODUCT(MAX(ROW(E$1:E3707)*(E2=E$1:E3707))))))</f>
        <v> </v>
      </c>
      <c r="K3708" s="25" t="str">
        <f>IF(OR(E3708="",E3708="!!!",F3708="NEW"),"",INDEX(J$1:J3707,SUMPRODUCT(MAX(ROW(E$1:E3707)*(E3708=E$1:E3707)))))</f>
        <v> </v>
      </c>
      <c r="L3708" s="26"/>
    </row>
    <row r="3709" spans="1:12">
      <c r="A3709" s="20" t="s">
        <v>1149</v>
      </c>
      <c r="E3709" s="21">
        <f>IF(D3709="?OLD","!!!","")</f>
        <v/>
      </c>
      <c r="F3709" s="22" t="str">
        <f>IF(OR(E3709="",E3709="!!!"),"",IF(NOT(ISNA(VLOOKUP(E3709,E$1:E3708,1,FALSE()))),"OLD",IF(AND(E3709&lt;&gt;"",E3709&lt;&gt;"!!!"),"NEW","")))</f>
        <v> </v>
      </c>
      <c r="G3709" s="23" t="str">
        <f>IF(OR(E3709="",E3709="!!!"),"",IF(OR(J3709=0,AND(J3709=1,K3709=1),AND(J3709=1,I3709="SBJ"),AND(J3709=1,I3709=0)),"?IN_FOCUS",IF(J3709&lt;=2,"?ACTIVATED",IF(J3709&lt;&gt;"","?FAMILIAR",IF(F3709="NEW",IF(ISNA(VLOOKUP(E3709,#REF!,1,FALSE())),"?TYPE_IDENTIFIABLE","?REFERENTIAL"),"_")))))</f>
        <v> </v>
      </c>
      <c r="H3709" s="24" t="str">
        <f>IF(J3709&lt;&gt;1,"",IF(I3709="SBJ","CB","?"))</f>
        <v> </v>
      </c>
      <c r="I3709" s="25" t="str">
        <f>IF(OR(E3709="",E3709="!!!",F3709="NEW"),"",INDEX(B3708:B$2,-1+SUMPRODUCT(MAX(ROW(E3708:E$2)*(E3709=E3708:E$2)))))</f>
        <v> </v>
      </c>
      <c r="J3709" s="25" t="str">
        <f>IF(OR(E3709="",E3709="!!!",F3709="NEW"),"",COUNTBLANK(OFFSET(A$1,,,SUMPRODUCT(MAX(ROW(E$2:E3709)*(E3709=E$2:E3709)))))-COUNTBLANK(OFFSET(A$1,,,SUMPRODUCT(MAX(ROW(E$1:E3708)*(E2=E$1:E3708))))))</f>
        <v> </v>
      </c>
      <c r="K3709" s="25" t="str">
        <f>IF(OR(E3709="",E3709="!!!",F3709="NEW"),"",INDEX(J$1:J3708,SUMPRODUCT(MAX(ROW(E$1:E3708)*(E3709=E$1:E3708)))))</f>
        <v> </v>
      </c>
      <c r="L3709" s="26"/>
    </row>
    <row r="3710" spans="1:12">
      <c r="A3710" s="20"/>
    </row>
    <row r="3711" spans="1:12">
      <c r="A3711" s="20" t="s">
        <v>2272</v>
      </c>
    </row>
    <row r="3712" spans="1:12">
      <c r="A3712" s="20" t="s">
        <v>505</v>
      </c>
      <c r="E3712" s="21">
        <f>IF(D3712="?OLD","!!!","")</f>
        <v/>
      </c>
      <c r="F3712" s="22" t="str">
        <f>IF(OR(E3712="",E3712="!!!"),"",IF(NOT(ISNA(VLOOKUP(E3712,E$1:E3711,1,FALSE()))),"OLD",IF(AND(E3712&lt;&gt;"",E3712&lt;&gt;"!!!"),"NEW","")))</f>
        <v> </v>
      </c>
      <c r="G3712" s="23" t="str">
        <f>IF(OR(E3712="",E3712="!!!"),"",IF(OR(J3712=0,AND(J3712=1,K3712=1),AND(J3712=1,I3712="SBJ"),AND(J3712=1,I3712=0)),"?IN_FOCUS",IF(J3712&lt;=2,"?ACTIVATED",IF(J3712&lt;&gt;"","?FAMILIAR",IF(F3712="NEW",IF(ISNA(VLOOKUP(E3712,#REF!,1,FALSE())),"?TYPE_IDENTIFIABLE","?REFERENTIAL"),"_")))))</f>
        <v> </v>
      </c>
      <c r="H3712" s="24" t="str">
        <f>IF(J3712&lt;&gt;1,"",IF(I3712="SBJ","CB","?"))</f>
        <v> </v>
      </c>
      <c r="I3712" s="25" t="str">
        <f>IF(OR(E3712="",E3712="!!!",F3712="NEW"),"",INDEX(B3711:B$2,-1+SUMPRODUCT(MAX(ROW(E3711:E$2)*(E3712=E3711:E$2)))))</f>
        <v> </v>
      </c>
      <c r="J3712" s="25" t="str">
        <f>IF(OR(E3712="",E3712="!!!",F3712="NEW"),"",COUNTBLANK(OFFSET(A$1,,,SUMPRODUCT(MAX(ROW(E$2:E3712)*(E3712=E$2:E3712)))))-COUNTBLANK(OFFSET(A$1,,,SUMPRODUCT(MAX(ROW(E$1:E3711)*(E2=E$1:E3711))))))</f>
        <v> </v>
      </c>
      <c r="K3712" s="25" t="str">
        <f>IF(OR(E3712="",E3712="!!!",F3712="NEW"),"",INDEX(J$1:J3711,SUMPRODUCT(MAX(ROW(E$1:E3711)*(E3712=E$1:E3711)))))</f>
        <v> </v>
      </c>
      <c r="L3712" s="26"/>
    </row>
    <row r="3713" spans="1:12">
      <c r="A3713" s="20" t="s">
        <v>2273</v>
      </c>
      <c r="E3713" s="21">
        <f>IF(D3713="?OLD","!!!","")</f>
        <v/>
      </c>
      <c r="F3713" s="22" t="str">
        <f>IF(OR(E3713="",E3713="!!!"),"",IF(NOT(ISNA(VLOOKUP(E3713,E$1:E3712,1,FALSE()))),"OLD",IF(AND(E3713&lt;&gt;"",E3713&lt;&gt;"!!!"),"NEW","")))</f>
        <v> </v>
      </c>
      <c r="G3713" s="23" t="str">
        <f>IF(OR(E3713="",E3713="!!!"),"",IF(OR(J3713=0,AND(J3713=1,K3713=1),AND(J3713=1,I3713="SBJ"),AND(J3713=1,I3713=0)),"?IN_FOCUS",IF(J3713&lt;=2,"?ACTIVATED",IF(J3713&lt;&gt;"","?FAMILIAR",IF(F3713="NEW",IF(ISNA(VLOOKUP(E3713,#REF!,1,FALSE())),"?TYPE_IDENTIFIABLE","?REFERENTIAL"),"_")))))</f>
        <v> </v>
      </c>
      <c r="H3713" s="24" t="str">
        <f>IF(J3713&lt;&gt;1,"",IF(I3713="SBJ","CB","?"))</f>
        <v> </v>
      </c>
      <c r="I3713" s="25" t="str">
        <f>IF(OR(E3713="",E3713="!!!",F3713="NEW"),"",INDEX(B3712:B$2,-1+SUMPRODUCT(MAX(ROW(E3712:E$2)*(E3713=E3712:E$2)))))</f>
        <v> </v>
      </c>
      <c r="J3713" s="25" t="str">
        <f>IF(OR(E3713="",E3713="!!!",F3713="NEW"),"",COUNTBLANK(OFFSET(A$1,,,SUMPRODUCT(MAX(ROW(E$2:E3713)*(E3713=E$2:E3713)))))-COUNTBLANK(OFFSET(A$1,,,SUMPRODUCT(MAX(ROW(E$1:E3712)*(E2=E$1:E3712))))))</f>
        <v> </v>
      </c>
      <c r="K3713" s="25" t="str">
        <f>IF(OR(E3713="",E3713="!!!",F3713="NEW"),"",INDEX(J$1:J3712,SUMPRODUCT(MAX(ROW(E$1:E3712)*(E3713=E$1:E3712)))))</f>
        <v> </v>
      </c>
      <c r="L3713" s="26"/>
    </row>
    <row r="3714" spans="1:12">
      <c r="A3714" s="20" t="s">
        <v>2274</v>
      </c>
      <c r="E3714" s="21">
        <f>IF(D3714="?OLD","!!!","")</f>
        <v/>
      </c>
      <c r="F3714" s="22" t="str">
        <f>IF(OR(E3714="",E3714="!!!"),"",IF(NOT(ISNA(VLOOKUP(E3714,E$1:E3713,1,FALSE()))),"OLD",IF(AND(E3714&lt;&gt;"",E3714&lt;&gt;"!!!"),"NEW","")))</f>
        <v> </v>
      </c>
      <c r="G3714" s="23" t="str">
        <f>IF(OR(E3714="",E3714="!!!"),"",IF(OR(J3714=0,AND(J3714=1,K3714=1),AND(J3714=1,I3714="SBJ"),AND(J3714=1,I3714=0)),"?IN_FOCUS",IF(J3714&lt;=2,"?ACTIVATED",IF(J3714&lt;&gt;"","?FAMILIAR",IF(F3714="NEW",IF(ISNA(VLOOKUP(E3714,#REF!,1,FALSE())),"?TYPE_IDENTIFIABLE","?REFERENTIAL"),"_")))))</f>
        <v> </v>
      </c>
      <c r="H3714" s="24" t="str">
        <f>IF(J3714&lt;&gt;1,"",IF(I3714="SBJ","CB","?"))</f>
        <v> </v>
      </c>
      <c r="I3714" s="25" t="str">
        <f>IF(OR(E3714="",E3714="!!!",F3714="NEW"),"",INDEX(B3713:B$2,-1+SUMPRODUCT(MAX(ROW(E3713:E$2)*(E3714=E3713:E$2)))))</f>
        <v> </v>
      </c>
      <c r="J3714" s="25" t="str">
        <f>IF(OR(E3714="",E3714="!!!",F3714="NEW"),"",COUNTBLANK(OFFSET(A$1,,,SUMPRODUCT(MAX(ROW(E$2:E3714)*(E3714=E$2:E3714)))))-COUNTBLANK(OFFSET(A$1,,,SUMPRODUCT(MAX(ROW(E$1:E3713)*(E2=E$1:E3713))))))</f>
        <v> </v>
      </c>
      <c r="K3714" s="25" t="str">
        <f>IF(OR(E3714="",E3714="!!!",F3714="NEW"),"",INDEX(J$1:J3713,SUMPRODUCT(MAX(ROW(E$1:E3713)*(E3714=E$1:E3713)))))</f>
        <v> </v>
      </c>
      <c r="L3714" s="26"/>
    </row>
    <row r="3715" spans="1:12">
      <c r="A3715" s="20" t="s">
        <v>1043</v>
      </c>
      <c r="E3715" s="21">
        <f>IF(D3715="?OLD","!!!","")</f>
        <v/>
      </c>
      <c r="F3715" s="22" t="str">
        <f>IF(OR(E3715="",E3715="!!!"),"",IF(NOT(ISNA(VLOOKUP(E3715,E$1:E3714,1,FALSE()))),"OLD",IF(AND(E3715&lt;&gt;"",E3715&lt;&gt;"!!!"),"NEW","")))</f>
        <v> </v>
      </c>
      <c r="G3715" s="23" t="str">
        <f>IF(OR(E3715="",E3715="!!!"),"",IF(OR(J3715=0,AND(J3715=1,K3715=1),AND(J3715=1,I3715="SBJ"),AND(J3715=1,I3715=0)),"?IN_FOCUS",IF(J3715&lt;=2,"?ACTIVATED",IF(J3715&lt;&gt;"","?FAMILIAR",IF(F3715="NEW",IF(ISNA(VLOOKUP(E3715,#REF!,1,FALSE())),"?TYPE_IDENTIFIABLE","?REFERENTIAL"),"_")))))</f>
        <v> </v>
      </c>
      <c r="H3715" s="24" t="str">
        <f>IF(J3715&lt;&gt;1,"",IF(I3715="SBJ","CB","?"))</f>
        <v> </v>
      </c>
      <c r="I3715" s="25" t="str">
        <f>IF(OR(E3715="",E3715="!!!",F3715="NEW"),"",INDEX(B3714:B$2,-1+SUMPRODUCT(MAX(ROW(E3714:E$2)*(E3715=E3714:E$2)))))</f>
        <v> </v>
      </c>
      <c r="J3715" s="25" t="str">
        <f>IF(OR(E3715="",E3715="!!!",F3715="NEW"),"",COUNTBLANK(OFFSET(A$1,,,SUMPRODUCT(MAX(ROW(E$2:E3715)*(E3715=E$2:E3715)))))-COUNTBLANK(OFFSET(A$1,,,SUMPRODUCT(MAX(ROW(E$1:E3714)*(E2=E$1:E3714))))))</f>
        <v> </v>
      </c>
      <c r="K3715" s="25" t="str">
        <f>IF(OR(E3715="",E3715="!!!",F3715="NEW"),"",INDEX(J$1:J3714,SUMPRODUCT(MAX(ROW(E$1:E3714)*(E3715=E$1:E3714)))))</f>
        <v> </v>
      </c>
      <c r="L3715" s="26"/>
    </row>
    <row r="3716" spans="1:12">
      <c r="A3716" s="20" t="s">
        <v>247</v>
      </c>
      <c r="B3716" s="27" t="s">
        <v>1014</v>
      </c>
      <c r="C3716" s="27" t="s">
        <v>1046</v>
      </c>
      <c r="D3716" s="27" t="s">
        <v>1030</v>
      </c>
      <c r="E3716" s="21">
        <f>IF(D3716="?OLD","!!!","")</f>
        <v/>
      </c>
      <c r="F3716" s="22" t="str">
        <f>IF(OR(E3716="",E3716="!!!"),"",IF(NOT(ISNA(VLOOKUP(E3716,E$1:E3715,1,FALSE()))),"OLD",IF(AND(E3716&lt;&gt;"",E3716&lt;&gt;"!!!"),"NEW","")))</f>
        <v> </v>
      </c>
      <c r="G3716" s="23" t="str">
        <f>IF(OR(E3716="",E3716="!!!"),"",IF(OR(J3716=0,AND(J3716=1,K3716=1),AND(J3716=1,I3716="SBJ"),AND(J3716=1,I3716=0)),"?IN_FOCUS",IF(J3716&lt;=2,"?ACTIVATED",IF(J3716&lt;&gt;"","?FAMILIAR",IF(F3716="NEW",IF(ISNA(VLOOKUP(E3716,#REF!,1,FALSE())),"?TYPE_IDENTIFIABLE","?REFERENTIAL"),"_")))))</f>
        <v> </v>
      </c>
      <c r="H3716" s="24" t="str">
        <f>IF(J3716&lt;&gt;1,"",IF(I3716="SBJ","CB","?"))</f>
        <v> </v>
      </c>
      <c r="I3716" s="25" t="str">
        <f>IF(OR(E3716="",E3716="!!!",F3716="NEW"),"",INDEX(B3715:B$2,-1+SUMPRODUCT(MAX(ROW(E3715:E$2)*(E3716=E3715:E$2)))))</f>
        <v> </v>
      </c>
      <c r="J3716" s="25" t="str">
        <f>IF(OR(E3716="",E3716="!!!",F3716="NEW"),"",COUNTBLANK(OFFSET(A$1,,,SUMPRODUCT(MAX(ROW(E$2:E3716)*(E3716=E$2:E3716)))))-COUNTBLANK(OFFSET(A$1,,,SUMPRODUCT(MAX(ROW(E$1:E3715)*(E2=E$1:E3715))))))</f>
        <v> </v>
      </c>
      <c r="K3716" s="25" t="str">
        <f>IF(OR(E3716="",E3716="!!!",F3716="NEW"),"",INDEX(J$1:J3715,SUMPRODUCT(MAX(ROW(E$1:E3715)*(E3716=E$1:E3715)))))</f>
        <v> </v>
      </c>
      <c r="L3716" s="26"/>
    </row>
    <row r="3717" spans="1:12">
      <c r="A3717" s="20" t="s">
        <v>1215</v>
      </c>
      <c r="E3717" s="21">
        <f>IF(D3717="?OLD","!!!","")</f>
        <v/>
      </c>
      <c r="F3717" s="22" t="str">
        <f>IF(OR(E3717="",E3717="!!!"),"",IF(NOT(ISNA(VLOOKUP(E3717,E$1:E3716,1,FALSE()))),"OLD",IF(AND(E3717&lt;&gt;"",E3717&lt;&gt;"!!!"),"NEW","")))</f>
        <v> </v>
      </c>
      <c r="G3717" s="23" t="str">
        <f>IF(OR(E3717="",E3717="!!!"),"",IF(OR(J3717=0,AND(J3717=1,K3717=1),AND(J3717=1,I3717="SBJ"),AND(J3717=1,I3717=0)),"?IN_FOCUS",IF(J3717&lt;=2,"?ACTIVATED",IF(J3717&lt;&gt;"","?FAMILIAR",IF(F3717="NEW",IF(ISNA(VLOOKUP(E3717,#REF!,1,FALSE())),"?TYPE_IDENTIFIABLE","?REFERENTIAL"),"_")))))</f>
        <v> </v>
      </c>
      <c r="H3717" s="24" t="str">
        <f>IF(J3717&lt;&gt;1,"",IF(I3717="SBJ","CB","?"))</f>
        <v> </v>
      </c>
      <c r="I3717" s="25" t="str">
        <f>IF(OR(E3717="",E3717="!!!",F3717="NEW"),"",INDEX(B3716:B$2,-1+SUMPRODUCT(MAX(ROW(E3716:E$2)*(E3717=E3716:E$2)))))</f>
        <v> </v>
      </c>
      <c r="J3717" s="25" t="str">
        <f>IF(OR(E3717="",E3717="!!!",F3717="NEW"),"",COUNTBLANK(OFFSET(A$1,,,SUMPRODUCT(MAX(ROW(E$2:E3717)*(E3717=E$2:E3717)))))-COUNTBLANK(OFFSET(A$1,,,SUMPRODUCT(MAX(ROW(E$1:E3716)*(E2=E$1:E3716))))))</f>
        <v> </v>
      </c>
      <c r="K3717" s="25" t="str">
        <f>IF(OR(E3717="",E3717="!!!",F3717="NEW"),"",INDEX(J$1:J3716,SUMPRODUCT(MAX(ROW(E$1:E3716)*(E3717=E$1:E3716)))))</f>
        <v> </v>
      </c>
      <c r="L3717" s="26"/>
    </row>
    <row r="3718" spans="1:12">
      <c r="A3718" s="20"/>
    </row>
    <row r="3719" spans="1:12">
      <c r="A3719" s="20" t="s">
        <v>2275</v>
      </c>
    </row>
    <row r="3720" spans="1:12">
      <c r="A3720" s="20" t="s">
        <v>2276</v>
      </c>
      <c r="E3720" s="21">
        <f>IF(D3720="?OLD","!!!","")</f>
        <v/>
      </c>
      <c r="F3720" s="22" t="str">
        <f>IF(OR(E3720="",E3720="!!!"),"",IF(NOT(ISNA(VLOOKUP(E3720,E$1:E3719,1,FALSE()))),"OLD",IF(AND(E3720&lt;&gt;"",E3720&lt;&gt;"!!!"),"NEW","")))</f>
        <v> </v>
      </c>
      <c r="G3720" s="23" t="str">
        <f>IF(OR(E3720="",E3720="!!!"),"",IF(OR(J3720=0,AND(J3720=1,K3720=1),AND(J3720=1,I3720="SBJ"),AND(J3720=1,I3720=0)),"?IN_FOCUS",IF(J3720&lt;=2,"?ACTIVATED",IF(J3720&lt;&gt;"","?FAMILIAR",IF(F3720="NEW",IF(ISNA(VLOOKUP(E3720,#REF!,1,FALSE())),"?TYPE_IDENTIFIABLE","?REFERENTIAL"),"_")))))</f>
        <v> </v>
      </c>
      <c r="H3720" s="24" t="str">
        <f>IF(J3720&lt;&gt;1,"",IF(I3720="SBJ","CB","?"))</f>
        <v> </v>
      </c>
      <c r="I3720" s="25" t="str">
        <f>IF(OR(E3720="",E3720="!!!",F3720="NEW"),"",INDEX(B3719:B$2,-1+SUMPRODUCT(MAX(ROW(E3719:E$2)*(E3720=E3719:E$2)))))</f>
        <v> </v>
      </c>
      <c r="J3720" s="25" t="str">
        <f>IF(OR(E3720="",E3720="!!!",F3720="NEW"),"",COUNTBLANK(OFFSET(A$1,,,SUMPRODUCT(MAX(ROW(E$2:E3720)*(E3720=E$2:E3720)))))-COUNTBLANK(OFFSET(A$1,,,SUMPRODUCT(MAX(ROW(E$1:E3719)*(E2=E$1:E3719))))))</f>
        <v> </v>
      </c>
      <c r="K3720" s="25" t="str">
        <f>IF(OR(E3720="",E3720="!!!",F3720="NEW"),"",INDEX(J$1:J3719,SUMPRODUCT(MAX(ROW(E$1:E3719)*(E3720=E$1:E3719)))))</f>
        <v> </v>
      </c>
      <c r="L3720" s="26"/>
    </row>
    <row r="3721" spans="1:12">
      <c r="A3721" s="20" t="s">
        <v>505</v>
      </c>
      <c r="E3721" s="21">
        <f>IF(D3721="?OLD","!!!","")</f>
        <v/>
      </c>
      <c r="F3721" s="22" t="str">
        <f>IF(OR(E3721="",E3721="!!!"),"",IF(NOT(ISNA(VLOOKUP(E3721,E$1:E3720,1,FALSE()))),"OLD",IF(AND(E3721&lt;&gt;"",E3721&lt;&gt;"!!!"),"NEW","")))</f>
        <v> </v>
      </c>
      <c r="G3721" s="23" t="str">
        <f>IF(OR(E3721="",E3721="!!!"),"",IF(OR(J3721=0,AND(J3721=1,K3721=1),AND(J3721=1,I3721="SBJ"),AND(J3721=1,I3721=0)),"?IN_FOCUS",IF(J3721&lt;=2,"?ACTIVATED",IF(J3721&lt;&gt;"","?FAMILIAR",IF(F3721="NEW",IF(ISNA(VLOOKUP(E3721,#REF!,1,FALSE())),"?TYPE_IDENTIFIABLE","?REFERENTIAL"),"_")))))</f>
        <v> </v>
      </c>
      <c r="H3721" s="24" t="str">
        <f>IF(J3721&lt;&gt;1,"",IF(I3721="SBJ","CB","?"))</f>
        <v> </v>
      </c>
      <c r="I3721" s="25" t="str">
        <f>IF(OR(E3721="",E3721="!!!",F3721="NEW"),"",INDEX(B3720:B$2,-1+SUMPRODUCT(MAX(ROW(E3720:E$2)*(E3721=E3720:E$2)))))</f>
        <v> </v>
      </c>
      <c r="J3721" s="25" t="str">
        <f>IF(OR(E3721="",E3721="!!!",F3721="NEW"),"",COUNTBLANK(OFFSET(A$1,,,SUMPRODUCT(MAX(ROW(E$2:E3721)*(E3721=E$2:E3721)))))-COUNTBLANK(OFFSET(A$1,,,SUMPRODUCT(MAX(ROW(E$1:E3720)*(E2=E$1:E3720))))))</f>
        <v> </v>
      </c>
      <c r="K3721" s="25" t="str">
        <f>IF(OR(E3721="",E3721="!!!",F3721="NEW"),"",INDEX(J$1:J3720,SUMPRODUCT(MAX(ROW(E$1:E3720)*(E3721=E$1:E3720)))))</f>
        <v> </v>
      </c>
      <c r="L3721" s="26"/>
    </row>
    <row r="3722" spans="1:12">
      <c r="A3722" s="20" t="s">
        <v>1057</v>
      </c>
      <c r="E3722" s="21">
        <f>IF(D3722="?OLD","!!!","")</f>
        <v/>
      </c>
      <c r="F3722" s="22" t="str">
        <f>IF(OR(E3722="",E3722="!!!"),"",IF(NOT(ISNA(VLOOKUP(E3722,E$1:E3721,1,FALSE()))),"OLD",IF(AND(E3722&lt;&gt;"",E3722&lt;&gt;"!!!"),"NEW","")))</f>
        <v> </v>
      </c>
      <c r="G3722" s="23" t="str">
        <f>IF(OR(E3722="",E3722="!!!"),"",IF(OR(J3722=0,AND(J3722=1,K3722=1),AND(J3722=1,I3722="SBJ"),AND(J3722=1,I3722=0)),"?IN_FOCUS",IF(J3722&lt;=2,"?ACTIVATED",IF(J3722&lt;&gt;"","?FAMILIAR",IF(F3722="NEW",IF(ISNA(VLOOKUP(E3722,#REF!,1,FALSE())),"?TYPE_IDENTIFIABLE","?REFERENTIAL"),"_")))))</f>
        <v> </v>
      </c>
      <c r="H3722" s="24" t="str">
        <f>IF(J3722&lt;&gt;1,"",IF(I3722="SBJ","CB","?"))</f>
        <v> </v>
      </c>
      <c r="I3722" s="25" t="str">
        <f>IF(OR(E3722="",E3722="!!!",F3722="NEW"),"",INDEX(B3721:B$2,-1+SUMPRODUCT(MAX(ROW(E3721:E$2)*(E3722=E3721:E$2)))))</f>
        <v> </v>
      </c>
      <c r="J3722" s="25" t="str">
        <f>IF(OR(E3722="",E3722="!!!",F3722="NEW"),"",COUNTBLANK(OFFSET(A$1,,,SUMPRODUCT(MAX(ROW(E$2:E3722)*(E3722=E$2:E3722)))))-COUNTBLANK(OFFSET(A$1,,,SUMPRODUCT(MAX(ROW(E$1:E3721)*(E2=E$1:E3721))))))</f>
        <v> </v>
      </c>
      <c r="K3722" s="25" t="str">
        <f>IF(OR(E3722="",E3722="!!!",F3722="NEW"),"",INDEX(J$1:J3721,SUMPRODUCT(MAX(ROW(E$1:E3721)*(E3722=E$1:E3721)))))</f>
        <v> </v>
      </c>
      <c r="L3722" s="26"/>
    </row>
    <row r="3723" spans="1:12">
      <c r="A3723" s="20" t="s">
        <v>2150</v>
      </c>
      <c r="E3723" s="21">
        <f>IF(D3723="?OLD","!!!","")</f>
        <v/>
      </c>
      <c r="F3723" s="22" t="str">
        <f>IF(OR(E3723="",E3723="!!!"),"",IF(NOT(ISNA(VLOOKUP(E3723,E$1:E3722,1,FALSE()))),"OLD",IF(AND(E3723&lt;&gt;"",E3723&lt;&gt;"!!!"),"NEW","")))</f>
        <v> </v>
      </c>
      <c r="G3723" s="23" t="str">
        <f>IF(OR(E3723="",E3723="!!!"),"",IF(OR(J3723=0,AND(J3723=1,K3723=1),AND(J3723=1,I3723="SBJ"),AND(J3723=1,I3723=0)),"?IN_FOCUS",IF(J3723&lt;=2,"?ACTIVATED",IF(J3723&lt;&gt;"","?FAMILIAR",IF(F3723="NEW",IF(ISNA(VLOOKUP(E3723,#REF!,1,FALSE())),"?TYPE_IDENTIFIABLE","?REFERENTIAL"),"_")))))</f>
        <v> </v>
      </c>
      <c r="H3723" s="24" t="str">
        <f>IF(J3723&lt;&gt;1,"",IF(I3723="SBJ","CB","?"))</f>
        <v> </v>
      </c>
      <c r="I3723" s="25" t="str">
        <f>IF(OR(E3723="",E3723="!!!",F3723="NEW"),"",INDEX(B3722:B$2,-1+SUMPRODUCT(MAX(ROW(E3722:E$2)*(E3723=E3722:E$2)))))</f>
        <v> </v>
      </c>
      <c r="J3723" s="25" t="str">
        <f>IF(OR(E3723="",E3723="!!!",F3723="NEW"),"",COUNTBLANK(OFFSET(A$1,,,SUMPRODUCT(MAX(ROW(E$2:E3723)*(E3723=E$2:E3723)))))-COUNTBLANK(OFFSET(A$1,,,SUMPRODUCT(MAX(ROW(E$1:E3722)*(E2=E$1:E3722))))))</f>
        <v> </v>
      </c>
      <c r="K3723" s="25" t="str">
        <f>IF(OR(E3723="",E3723="!!!",F3723="NEW"),"",INDEX(J$1:J3722,SUMPRODUCT(MAX(ROW(E$1:E3722)*(E3723=E$1:E3722)))))</f>
        <v> </v>
      </c>
      <c r="L3723" s="26"/>
    </row>
    <row r="3724" spans="1:12">
      <c r="A3724" s="20" t="s">
        <v>930</v>
      </c>
      <c r="E3724" s="21">
        <f>IF(D3724="?OLD","!!!","")</f>
        <v/>
      </c>
      <c r="F3724" s="22" t="str">
        <f>IF(OR(E3724="",E3724="!!!"),"",IF(NOT(ISNA(VLOOKUP(E3724,E$1:E3723,1,FALSE()))),"OLD",IF(AND(E3724&lt;&gt;"",E3724&lt;&gt;"!!!"),"NEW","")))</f>
        <v> </v>
      </c>
      <c r="G3724" s="23" t="str">
        <f>IF(OR(E3724="",E3724="!!!"),"",IF(OR(J3724=0,AND(J3724=1,K3724=1),AND(J3724=1,I3724="SBJ"),AND(J3724=1,I3724=0)),"?IN_FOCUS",IF(J3724&lt;=2,"?ACTIVATED",IF(J3724&lt;&gt;"","?FAMILIAR",IF(F3724="NEW",IF(ISNA(VLOOKUP(E3724,#REF!,1,FALSE())),"?TYPE_IDENTIFIABLE","?REFERENTIAL"),"_")))))</f>
        <v> </v>
      </c>
      <c r="H3724" s="24" t="str">
        <f>IF(J3724&lt;&gt;1,"",IF(I3724="SBJ","CB","?"))</f>
        <v> </v>
      </c>
      <c r="I3724" s="25" t="str">
        <f>IF(OR(E3724="",E3724="!!!",F3724="NEW"),"",INDEX(B3723:B$2,-1+SUMPRODUCT(MAX(ROW(E3723:E$2)*(E3724=E3723:E$2)))))</f>
        <v> </v>
      </c>
      <c r="J3724" s="25" t="str">
        <f>IF(OR(E3724="",E3724="!!!",F3724="NEW"),"",COUNTBLANK(OFFSET(A$1,,,SUMPRODUCT(MAX(ROW(E$2:E3724)*(E3724=E$2:E3724)))))-COUNTBLANK(OFFSET(A$1,,,SUMPRODUCT(MAX(ROW(E$1:E3723)*(E2=E$1:E3723))))))</f>
        <v> </v>
      </c>
      <c r="K3724" s="25" t="str">
        <f>IF(OR(E3724="",E3724="!!!",F3724="NEW"),"",INDEX(J$1:J3723,SUMPRODUCT(MAX(ROW(E$1:E3723)*(E3724=E$1:E3723)))))</f>
        <v> </v>
      </c>
      <c r="L3724" s="26"/>
    </row>
    <row r="3725" spans="1:12">
      <c r="A3725" s="20" t="s">
        <v>1075</v>
      </c>
      <c r="E3725" s="21">
        <f>IF(D3725="?OLD","!!!","")</f>
        <v/>
      </c>
      <c r="F3725" s="22" t="str">
        <f>IF(OR(E3725="",E3725="!!!"),"",IF(NOT(ISNA(VLOOKUP(E3725,E$1:E3724,1,FALSE()))),"OLD",IF(AND(E3725&lt;&gt;"",E3725&lt;&gt;"!!!"),"NEW","")))</f>
        <v> </v>
      </c>
      <c r="G3725" s="23" t="str">
        <f>IF(OR(E3725="",E3725="!!!"),"",IF(OR(J3725=0,AND(J3725=1,K3725=1),AND(J3725=1,I3725="SBJ"),AND(J3725=1,I3725=0)),"?IN_FOCUS",IF(J3725&lt;=2,"?ACTIVATED",IF(J3725&lt;&gt;"","?FAMILIAR",IF(F3725="NEW",IF(ISNA(VLOOKUP(E3725,#REF!,1,FALSE())),"?TYPE_IDENTIFIABLE","?REFERENTIAL"),"_")))))</f>
        <v> </v>
      </c>
      <c r="H3725" s="24" t="str">
        <f>IF(J3725&lt;&gt;1,"",IF(I3725="SBJ","CB","?"))</f>
        <v> </v>
      </c>
      <c r="I3725" s="25" t="str">
        <f>IF(OR(E3725="",E3725="!!!",F3725="NEW"),"",INDEX(B3724:B$2,-1+SUMPRODUCT(MAX(ROW(E3724:E$2)*(E3725=E3724:E$2)))))</f>
        <v> </v>
      </c>
      <c r="J3725" s="25" t="str">
        <f>IF(OR(E3725="",E3725="!!!",F3725="NEW"),"",COUNTBLANK(OFFSET(A$1,,,SUMPRODUCT(MAX(ROW(E$2:E3725)*(E3725=E$2:E3725)))))-COUNTBLANK(OFFSET(A$1,,,SUMPRODUCT(MAX(ROW(E$1:E3724)*(E2=E$1:E3724))))))</f>
        <v> </v>
      </c>
      <c r="K3725" s="25" t="str">
        <f>IF(OR(E3725="",E3725="!!!",F3725="NEW"),"",INDEX(J$1:J3724,SUMPRODUCT(MAX(ROW(E$1:E3724)*(E3725=E$1:E3724)))))</f>
        <v> </v>
      </c>
      <c r="L3725" s="26"/>
    </row>
    <row r="3726" spans="1:12">
      <c r="A3726" s="20" t="s">
        <v>2277</v>
      </c>
      <c r="B3726" s="27" t="s">
        <v>1014</v>
      </c>
      <c r="C3726" s="27" t="s">
        <v>1038</v>
      </c>
      <c r="D3726" s="27" t="s">
        <v>1030</v>
      </c>
      <c r="E3726" s="21">
        <f>IF(D3726="?OLD","!!!","")</f>
        <v/>
      </c>
      <c r="F3726" s="22" t="str">
        <f>IF(OR(E3726="",E3726="!!!"),"",IF(NOT(ISNA(VLOOKUP(E3726,E$1:E3725,1,FALSE()))),"OLD",IF(AND(E3726&lt;&gt;"",E3726&lt;&gt;"!!!"),"NEW","")))</f>
        <v> </v>
      </c>
      <c r="G3726" s="23" t="str">
        <f>IF(OR(E3726="",E3726="!!!"),"",IF(OR(J3726=0,AND(J3726=1,K3726=1),AND(J3726=1,I3726="SBJ"),AND(J3726=1,I3726=0)),"?IN_FOCUS",IF(J3726&lt;=2,"?ACTIVATED",IF(J3726&lt;&gt;"","?FAMILIAR",IF(F3726="NEW",IF(ISNA(VLOOKUP(E3726,#REF!,1,FALSE())),"?TYPE_IDENTIFIABLE","?REFERENTIAL"),"_")))))</f>
        <v> </v>
      </c>
      <c r="H3726" s="24" t="str">
        <f>IF(J3726&lt;&gt;1,"",IF(I3726="SBJ","CB","?"))</f>
        <v> </v>
      </c>
      <c r="I3726" s="25" t="str">
        <f>IF(OR(E3726="",E3726="!!!",F3726="NEW"),"",INDEX(B3725:B$2,-1+SUMPRODUCT(MAX(ROW(E3725:E$2)*(E3726=E3725:E$2)))))</f>
        <v> </v>
      </c>
      <c r="J3726" s="25" t="str">
        <f>IF(OR(E3726="",E3726="!!!",F3726="NEW"),"",COUNTBLANK(OFFSET(A$1,,,SUMPRODUCT(MAX(ROW(E$2:E3726)*(E3726=E$2:E3726)))))-COUNTBLANK(OFFSET(A$1,,,SUMPRODUCT(MAX(ROW(E$1:E3725)*(E2=E$1:E3725))))))</f>
        <v> </v>
      </c>
      <c r="K3726" s="25" t="str">
        <f>IF(OR(E3726="",E3726="!!!",F3726="NEW"),"",INDEX(J$1:J3725,SUMPRODUCT(MAX(ROW(E$1:E3725)*(E3726=E$1:E3725)))))</f>
        <v> </v>
      </c>
      <c r="L3726" s="26"/>
    </row>
    <row r="3727" spans="1:12">
      <c r="A3727" s="20" t="s">
        <v>2278</v>
      </c>
      <c r="E3727" s="21">
        <f>IF(D3727="?OLD","!!!","")</f>
        <v/>
      </c>
      <c r="F3727" s="22" t="str">
        <f>IF(OR(E3727="",E3727="!!!"),"",IF(NOT(ISNA(VLOOKUP(E3727,E$1:E3726,1,FALSE()))),"OLD",IF(AND(E3727&lt;&gt;"",E3727&lt;&gt;"!!!"),"NEW","")))</f>
        <v> </v>
      </c>
      <c r="G3727" s="23" t="str">
        <f>IF(OR(E3727="",E3727="!!!"),"",IF(OR(J3727=0,AND(J3727=1,K3727=1),AND(J3727=1,I3727="SBJ"),AND(J3727=1,I3727=0)),"?IN_FOCUS",IF(J3727&lt;=2,"?ACTIVATED",IF(J3727&lt;&gt;"","?FAMILIAR",IF(F3727="NEW",IF(ISNA(VLOOKUP(E3727,#REF!,1,FALSE())),"?TYPE_IDENTIFIABLE","?REFERENTIAL"),"_")))))</f>
        <v> </v>
      </c>
      <c r="H3727" s="24" t="str">
        <f>IF(J3727&lt;&gt;1,"",IF(I3727="SBJ","CB","?"))</f>
        <v> </v>
      </c>
      <c r="I3727" s="25" t="str">
        <f>IF(OR(E3727="",E3727="!!!",F3727="NEW"),"",INDEX(B3726:B$2,-1+SUMPRODUCT(MAX(ROW(E3726:E$2)*(E3727=E3726:E$2)))))</f>
        <v> </v>
      </c>
      <c r="J3727" s="25" t="str">
        <f>IF(OR(E3727="",E3727="!!!",F3727="NEW"),"",COUNTBLANK(OFFSET(A$1,,,SUMPRODUCT(MAX(ROW(E$2:E3727)*(E3727=E$2:E3727)))))-COUNTBLANK(OFFSET(A$1,,,SUMPRODUCT(MAX(ROW(E$1:E3726)*(E2=E$1:E3726))))))</f>
        <v> </v>
      </c>
      <c r="K3727" s="25" t="str">
        <f>IF(OR(E3727="",E3727="!!!",F3727="NEW"),"",INDEX(J$1:J3726,SUMPRODUCT(MAX(ROW(E$1:E3726)*(E3727=E$1:E3726)))))</f>
        <v> </v>
      </c>
      <c r="L3727" s="26"/>
    </row>
    <row r="3728" spans="1:12">
      <c r="A3728" s="20" t="s">
        <v>1083</v>
      </c>
      <c r="E3728" s="21">
        <f>IF(D3728="?OLD","!!!","")</f>
        <v/>
      </c>
      <c r="F3728" s="22" t="str">
        <f>IF(OR(E3728="",E3728="!!!"),"",IF(NOT(ISNA(VLOOKUP(E3728,E$1:E3727,1,FALSE()))),"OLD",IF(AND(E3728&lt;&gt;"",E3728&lt;&gt;"!!!"),"NEW","")))</f>
        <v> </v>
      </c>
      <c r="G3728" s="23" t="str">
        <f>IF(OR(E3728="",E3728="!!!"),"",IF(OR(J3728=0,AND(J3728=1,K3728=1),AND(J3728=1,I3728="SBJ"),AND(J3728=1,I3728=0)),"?IN_FOCUS",IF(J3728&lt;=2,"?ACTIVATED",IF(J3728&lt;&gt;"","?FAMILIAR",IF(F3728="NEW",IF(ISNA(VLOOKUP(E3728,#REF!,1,FALSE())),"?TYPE_IDENTIFIABLE","?REFERENTIAL"),"_")))))</f>
        <v> </v>
      </c>
      <c r="H3728" s="24" t="str">
        <f>IF(J3728&lt;&gt;1,"",IF(I3728="SBJ","CB","?"))</f>
        <v> </v>
      </c>
      <c r="I3728" s="25" t="str">
        <f>IF(OR(E3728="",E3728="!!!",F3728="NEW"),"",INDEX(B3727:B$2,-1+SUMPRODUCT(MAX(ROW(E3727:E$2)*(E3728=E3727:E$2)))))</f>
        <v> </v>
      </c>
      <c r="J3728" s="25" t="str">
        <f>IF(OR(E3728="",E3728="!!!",F3728="NEW"),"",COUNTBLANK(OFFSET(A$1,,,SUMPRODUCT(MAX(ROW(E$2:E3728)*(E3728=E$2:E3728)))))-COUNTBLANK(OFFSET(A$1,,,SUMPRODUCT(MAX(ROW(E$1:E3727)*(E2=E$1:E3727))))))</f>
        <v> </v>
      </c>
      <c r="K3728" s="25" t="str">
        <f>IF(OR(E3728="",E3728="!!!",F3728="NEW"),"",INDEX(J$1:J3727,SUMPRODUCT(MAX(ROW(E$1:E3727)*(E3728=E$1:E3727)))))</f>
        <v> </v>
      </c>
      <c r="L3728" s="26"/>
    </row>
    <row r="3729" spans="1:12">
      <c r="A3729" s="20" t="s">
        <v>2279</v>
      </c>
      <c r="E3729" s="21">
        <f>IF(D3729="?OLD","!!!","")</f>
        <v/>
      </c>
      <c r="F3729" s="22" t="str">
        <f>IF(OR(E3729="",E3729="!!!"),"",IF(NOT(ISNA(VLOOKUP(E3729,E$1:E3728,1,FALSE()))),"OLD",IF(AND(E3729&lt;&gt;"",E3729&lt;&gt;"!!!"),"NEW","")))</f>
        <v> </v>
      </c>
      <c r="G3729" s="23" t="str">
        <f>IF(OR(E3729="",E3729="!!!"),"",IF(OR(J3729=0,AND(J3729=1,K3729=1),AND(J3729=1,I3729="SBJ"),AND(J3729=1,I3729=0)),"?IN_FOCUS",IF(J3729&lt;=2,"?ACTIVATED",IF(J3729&lt;&gt;"","?FAMILIAR",IF(F3729="NEW",IF(ISNA(VLOOKUP(E3729,#REF!,1,FALSE())),"?TYPE_IDENTIFIABLE","?REFERENTIAL"),"_")))))</f>
        <v> </v>
      </c>
      <c r="H3729" s="24" t="str">
        <f>IF(J3729&lt;&gt;1,"",IF(I3729="SBJ","CB","?"))</f>
        <v> </v>
      </c>
      <c r="I3729" s="25" t="str">
        <f>IF(OR(E3729="",E3729="!!!",F3729="NEW"),"",INDEX(B3728:B$2,-1+SUMPRODUCT(MAX(ROW(E3728:E$2)*(E3729=E3728:E$2)))))</f>
        <v> </v>
      </c>
      <c r="J3729" s="25" t="str">
        <f>IF(OR(E3729="",E3729="!!!",F3729="NEW"),"",COUNTBLANK(OFFSET(A$1,,,SUMPRODUCT(MAX(ROW(E$2:E3729)*(E3729=E$2:E3729)))))-COUNTBLANK(OFFSET(A$1,,,SUMPRODUCT(MAX(ROW(E$1:E3728)*(E2=E$1:E3728))))))</f>
        <v> </v>
      </c>
      <c r="K3729" s="25" t="str">
        <f>IF(OR(E3729="",E3729="!!!",F3729="NEW"),"",INDEX(J$1:J3728,SUMPRODUCT(MAX(ROW(E$1:E3728)*(E3729=E$1:E3728)))))</f>
        <v> </v>
      </c>
      <c r="L3729" s="26"/>
    </row>
    <row r="3730" spans="1:12">
      <c r="A3730" s="20" t="s">
        <v>1215</v>
      </c>
      <c r="E3730" s="21">
        <f>IF(D3730="?OLD","!!!","")</f>
        <v/>
      </c>
      <c r="F3730" s="22" t="str">
        <f>IF(OR(E3730="",E3730="!!!"),"",IF(NOT(ISNA(VLOOKUP(E3730,E$1:E3729,1,FALSE()))),"OLD",IF(AND(E3730&lt;&gt;"",E3730&lt;&gt;"!!!"),"NEW","")))</f>
        <v> </v>
      </c>
      <c r="G3730" s="23" t="str">
        <f>IF(OR(E3730="",E3730="!!!"),"",IF(OR(J3730=0,AND(J3730=1,K3730=1),AND(J3730=1,I3730="SBJ"),AND(J3730=1,I3730=0)),"?IN_FOCUS",IF(J3730&lt;=2,"?ACTIVATED",IF(J3730&lt;&gt;"","?FAMILIAR",IF(F3730="NEW",IF(ISNA(VLOOKUP(E3730,#REF!,1,FALSE())),"?TYPE_IDENTIFIABLE","?REFERENTIAL"),"_")))))</f>
        <v> </v>
      </c>
      <c r="H3730" s="24" t="str">
        <f>IF(J3730&lt;&gt;1,"",IF(I3730="SBJ","CB","?"))</f>
        <v> </v>
      </c>
      <c r="I3730" s="25" t="str">
        <f>IF(OR(E3730="",E3730="!!!",F3730="NEW"),"",INDEX(B3729:B$2,-1+SUMPRODUCT(MAX(ROW(E3729:E$2)*(E3730=E3729:E$2)))))</f>
        <v> </v>
      </c>
      <c r="J3730" s="25" t="str">
        <f>IF(OR(E3730="",E3730="!!!",F3730="NEW"),"",COUNTBLANK(OFFSET(A$1,,,SUMPRODUCT(MAX(ROW(E$2:E3730)*(E3730=E$2:E3730)))))-COUNTBLANK(OFFSET(A$1,,,SUMPRODUCT(MAX(ROW(E$1:E3729)*(E2=E$1:E3729))))))</f>
        <v> </v>
      </c>
      <c r="K3730" s="25" t="str">
        <f>IF(OR(E3730="",E3730="!!!",F3730="NEW"),"",INDEX(J$1:J3729,SUMPRODUCT(MAX(ROW(E$1:E3729)*(E3730=E$1:E3729)))))</f>
        <v> </v>
      </c>
      <c r="L3730" s="26"/>
    </row>
    <row r="3731" spans="1:12">
      <c r="A3731" s="20"/>
    </row>
    <row r="3732" spans="1:12">
      <c r="A3732" s="20" t="s">
        <v>2280</v>
      </c>
    </row>
    <row r="3733" spans="1:12">
      <c r="A3733" s="20" t="s">
        <v>1775</v>
      </c>
      <c r="E3733" s="21">
        <f>IF(D3733="?OLD","!!!","")</f>
        <v/>
      </c>
      <c r="F3733" s="22" t="str">
        <f>IF(OR(E3733="",E3733="!!!"),"",IF(NOT(ISNA(VLOOKUP(E3733,E$1:E3732,1,FALSE()))),"OLD",IF(AND(E3733&lt;&gt;"",E3733&lt;&gt;"!!!"),"NEW","")))</f>
        <v> </v>
      </c>
      <c r="G3733" s="23" t="str">
        <f>IF(OR(E3733="",E3733="!!!"),"",IF(OR(J3733=0,AND(J3733=1,K3733=1),AND(J3733=1,I3733="SBJ"),AND(J3733=1,I3733=0)),"?IN_FOCUS",IF(J3733&lt;=2,"?ACTIVATED",IF(J3733&lt;&gt;"","?FAMILIAR",IF(F3733="NEW",IF(ISNA(VLOOKUP(E3733,#REF!,1,FALSE())),"?TYPE_IDENTIFIABLE","?REFERENTIAL"),"_")))))</f>
        <v> </v>
      </c>
      <c r="H3733" s="24" t="str">
        <f>IF(J3733&lt;&gt;1,"",IF(I3733="SBJ","CB","?"))</f>
        <v> </v>
      </c>
      <c r="I3733" s="25" t="str">
        <f>IF(OR(E3733="",E3733="!!!",F3733="NEW"),"",INDEX(B3732:B$2,-1+SUMPRODUCT(MAX(ROW(E3732:E$2)*(E3733=E3732:E$2)))))</f>
        <v> </v>
      </c>
      <c r="J3733" s="25" t="str">
        <f>IF(OR(E3733="",E3733="!!!",F3733="NEW"),"",COUNTBLANK(OFFSET(A$1,,,SUMPRODUCT(MAX(ROW(E$2:E3733)*(E3733=E$2:E3733)))))-COUNTBLANK(OFFSET(A$1,,,SUMPRODUCT(MAX(ROW(E$1:E3732)*(E2=E$1:E3732))))))</f>
        <v> </v>
      </c>
      <c r="K3733" s="25" t="str">
        <f>IF(OR(E3733="",E3733="!!!",F3733="NEW"),"",INDEX(J$1:J3732,SUMPRODUCT(MAX(ROW(E$1:E3732)*(E3733=E$1:E3732)))))</f>
        <v> </v>
      </c>
      <c r="L3733" s="26"/>
    </row>
    <row r="3734" spans="1:12">
      <c r="A3734" s="20" t="s">
        <v>2281</v>
      </c>
      <c r="E3734" s="21">
        <f>IF(D3734="?OLD","!!!","")</f>
        <v/>
      </c>
      <c r="F3734" s="22" t="str">
        <f>IF(OR(E3734="",E3734="!!!"),"",IF(NOT(ISNA(VLOOKUP(E3734,E$1:E3733,1,FALSE()))),"OLD",IF(AND(E3734&lt;&gt;"",E3734&lt;&gt;"!!!"),"NEW","")))</f>
        <v> </v>
      </c>
      <c r="G3734" s="23" t="str">
        <f>IF(OR(E3734="",E3734="!!!"),"",IF(OR(J3734=0,AND(J3734=1,K3734=1),AND(J3734=1,I3734="SBJ"),AND(J3734=1,I3734=0)),"?IN_FOCUS",IF(J3734&lt;=2,"?ACTIVATED",IF(J3734&lt;&gt;"","?FAMILIAR",IF(F3734="NEW",IF(ISNA(VLOOKUP(E3734,#REF!,1,FALSE())),"?TYPE_IDENTIFIABLE","?REFERENTIAL"),"_")))))</f>
        <v> </v>
      </c>
      <c r="H3734" s="24" t="str">
        <f>IF(J3734&lt;&gt;1,"",IF(I3734="SBJ","CB","?"))</f>
        <v> </v>
      </c>
      <c r="I3734" s="25" t="str">
        <f>IF(OR(E3734="",E3734="!!!",F3734="NEW"),"",INDEX(B3733:B$2,-1+SUMPRODUCT(MAX(ROW(E3733:E$2)*(E3734=E3733:E$2)))))</f>
        <v> </v>
      </c>
      <c r="J3734" s="25" t="str">
        <f>IF(OR(E3734="",E3734="!!!",F3734="NEW"),"",COUNTBLANK(OFFSET(A$1,,,SUMPRODUCT(MAX(ROW(E$2:E3734)*(E3734=E$2:E3734)))))-COUNTBLANK(OFFSET(A$1,,,SUMPRODUCT(MAX(ROW(E$1:E3733)*(E2=E$1:E3733))))))</f>
        <v> </v>
      </c>
      <c r="K3734" s="25" t="str">
        <f>IF(OR(E3734="",E3734="!!!",F3734="NEW"),"",INDEX(J$1:J3733,SUMPRODUCT(MAX(ROW(E$1:E3733)*(E3734=E$1:E3733)))))</f>
        <v> </v>
      </c>
      <c r="L3734" s="26"/>
    </row>
    <row r="3735" spans="1:12">
      <c r="A3735" s="20" t="s">
        <v>1016</v>
      </c>
      <c r="E3735" s="21">
        <f>IF(D3735="?OLD","!!!","")</f>
        <v/>
      </c>
      <c r="F3735" s="22" t="str">
        <f>IF(OR(E3735="",E3735="!!!"),"",IF(NOT(ISNA(VLOOKUP(E3735,E$1:E3734,1,FALSE()))),"OLD",IF(AND(E3735&lt;&gt;"",E3735&lt;&gt;"!!!"),"NEW","")))</f>
        <v> </v>
      </c>
      <c r="G3735" s="23" t="str">
        <f>IF(OR(E3735="",E3735="!!!"),"",IF(OR(J3735=0,AND(J3735=1,K3735=1),AND(J3735=1,I3735="SBJ"),AND(J3735=1,I3735=0)),"?IN_FOCUS",IF(J3735&lt;=2,"?ACTIVATED",IF(J3735&lt;&gt;"","?FAMILIAR",IF(F3735="NEW",IF(ISNA(VLOOKUP(E3735,#REF!,1,FALSE())),"?TYPE_IDENTIFIABLE","?REFERENTIAL"),"_")))))</f>
        <v> </v>
      </c>
      <c r="H3735" s="24" t="str">
        <f>IF(J3735&lt;&gt;1,"",IF(I3735="SBJ","CB","?"))</f>
        <v> </v>
      </c>
      <c r="I3735" s="25" t="str">
        <f>IF(OR(E3735="",E3735="!!!",F3735="NEW"),"",INDEX(B3734:B$2,-1+SUMPRODUCT(MAX(ROW(E3734:E$2)*(E3735=E3734:E$2)))))</f>
        <v> </v>
      </c>
      <c r="J3735" s="25" t="str">
        <f>IF(OR(E3735="",E3735="!!!",F3735="NEW"),"",COUNTBLANK(OFFSET(A$1,,,SUMPRODUCT(MAX(ROW(E$2:E3735)*(E3735=E$2:E3735)))))-COUNTBLANK(OFFSET(A$1,,,SUMPRODUCT(MAX(ROW(E$1:E3734)*(E2=E$1:E3734))))))</f>
        <v> </v>
      </c>
      <c r="K3735" s="25" t="str">
        <f>IF(OR(E3735="",E3735="!!!",F3735="NEW"),"",INDEX(J$1:J3734,SUMPRODUCT(MAX(ROW(E$1:E3734)*(E3735=E$1:E3734)))))</f>
        <v> </v>
      </c>
      <c r="L3735" s="26"/>
    </row>
    <row r="3736" spans="1:12">
      <c r="A3736" s="20" t="s">
        <v>930</v>
      </c>
      <c r="E3736" s="21">
        <f>IF(D3736="?OLD","!!!","")</f>
        <v/>
      </c>
      <c r="F3736" s="22" t="str">
        <f>IF(OR(E3736="",E3736="!!!"),"",IF(NOT(ISNA(VLOOKUP(E3736,E$1:E3735,1,FALSE()))),"OLD",IF(AND(E3736&lt;&gt;"",E3736&lt;&gt;"!!!"),"NEW","")))</f>
        <v> </v>
      </c>
      <c r="G3736" s="23" t="str">
        <f>IF(OR(E3736="",E3736="!!!"),"",IF(OR(J3736=0,AND(J3736=1,K3736=1),AND(J3736=1,I3736="SBJ"),AND(J3736=1,I3736=0)),"?IN_FOCUS",IF(J3736&lt;=2,"?ACTIVATED",IF(J3736&lt;&gt;"","?FAMILIAR",IF(F3736="NEW",IF(ISNA(VLOOKUP(E3736,#REF!,1,FALSE())),"?TYPE_IDENTIFIABLE","?REFERENTIAL"),"_")))))</f>
        <v> </v>
      </c>
      <c r="H3736" s="24" t="str">
        <f>IF(J3736&lt;&gt;1,"",IF(I3736="SBJ","CB","?"))</f>
        <v> </v>
      </c>
      <c r="I3736" s="25" t="str">
        <f>IF(OR(E3736="",E3736="!!!",F3736="NEW"),"",INDEX(B3735:B$2,-1+SUMPRODUCT(MAX(ROW(E3735:E$2)*(E3736=E3735:E$2)))))</f>
        <v> </v>
      </c>
      <c r="J3736" s="25" t="str">
        <f>IF(OR(E3736="",E3736="!!!",F3736="NEW"),"",COUNTBLANK(OFFSET(A$1,,,SUMPRODUCT(MAX(ROW(E$2:E3736)*(E3736=E$2:E3736)))))-COUNTBLANK(OFFSET(A$1,,,SUMPRODUCT(MAX(ROW(E$1:E3735)*(E2=E$1:E3735))))))</f>
        <v> </v>
      </c>
      <c r="K3736" s="25" t="str">
        <f>IF(OR(E3736="",E3736="!!!",F3736="NEW"),"",INDEX(J$1:J3735,SUMPRODUCT(MAX(ROW(E$1:E3735)*(E3736=E$1:E3735)))))</f>
        <v> </v>
      </c>
      <c r="L3736" s="26"/>
    </row>
    <row r="3737" spans="1:12">
      <c r="A3737" s="20" t="s">
        <v>1016</v>
      </c>
      <c r="E3737" s="21">
        <f>IF(D3737="?OLD","!!!","")</f>
        <v/>
      </c>
      <c r="F3737" s="22" t="str">
        <f>IF(OR(E3737="",E3737="!!!"),"",IF(NOT(ISNA(VLOOKUP(E3737,E$1:E3736,1,FALSE()))),"OLD",IF(AND(E3737&lt;&gt;"",E3737&lt;&gt;"!!!"),"NEW","")))</f>
        <v> </v>
      </c>
      <c r="G3737" s="23" t="str">
        <f>IF(OR(E3737="",E3737="!!!"),"",IF(OR(J3737=0,AND(J3737=1,K3737=1),AND(J3737=1,I3737="SBJ"),AND(J3737=1,I3737=0)),"?IN_FOCUS",IF(J3737&lt;=2,"?ACTIVATED",IF(J3737&lt;&gt;"","?FAMILIAR",IF(F3737="NEW",IF(ISNA(VLOOKUP(E3737,#REF!,1,FALSE())),"?TYPE_IDENTIFIABLE","?REFERENTIAL"),"_")))))</f>
        <v> </v>
      </c>
      <c r="H3737" s="24" t="str">
        <f>IF(J3737&lt;&gt;1,"",IF(I3737="SBJ","CB","?"))</f>
        <v> </v>
      </c>
      <c r="I3737" s="25" t="str">
        <f>IF(OR(E3737="",E3737="!!!",F3737="NEW"),"",INDEX(B3736:B$2,-1+SUMPRODUCT(MAX(ROW(E3736:E$2)*(E3737=E3736:E$2)))))</f>
        <v> </v>
      </c>
      <c r="J3737" s="25" t="str">
        <f>IF(OR(E3737="",E3737="!!!",F3737="NEW"),"",COUNTBLANK(OFFSET(A$1,,,SUMPRODUCT(MAX(ROW(E$2:E3737)*(E3737=E$2:E3737)))))-COUNTBLANK(OFFSET(A$1,,,SUMPRODUCT(MAX(ROW(E$1:E3736)*(E2=E$1:E3736))))))</f>
        <v> </v>
      </c>
      <c r="K3737" s="25" t="str">
        <f>IF(OR(E3737="",E3737="!!!",F3737="NEW"),"",INDEX(J$1:J3736,SUMPRODUCT(MAX(ROW(E$1:E3736)*(E3737=E$1:E3736)))))</f>
        <v> </v>
      </c>
      <c r="L3737" s="26"/>
    </row>
    <row r="3738" spans="1:12">
      <c r="A3738" s="20" t="s">
        <v>1075</v>
      </c>
      <c r="E3738" s="21">
        <f>IF(D3738="?OLD","!!!","")</f>
        <v/>
      </c>
      <c r="F3738" s="22" t="str">
        <f>IF(OR(E3738="",E3738="!!!"),"",IF(NOT(ISNA(VLOOKUP(E3738,E$1:E3737,1,FALSE()))),"OLD",IF(AND(E3738&lt;&gt;"",E3738&lt;&gt;"!!!"),"NEW","")))</f>
        <v> </v>
      </c>
      <c r="G3738" s="23" t="str">
        <f>IF(OR(E3738="",E3738="!!!"),"",IF(OR(J3738=0,AND(J3738=1,K3738=1),AND(J3738=1,I3738="SBJ"),AND(J3738=1,I3738=0)),"?IN_FOCUS",IF(J3738&lt;=2,"?ACTIVATED",IF(J3738&lt;&gt;"","?FAMILIAR",IF(F3738="NEW",IF(ISNA(VLOOKUP(E3738,#REF!,1,FALSE())),"?TYPE_IDENTIFIABLE","?REFERENTIAL"),"_")))))</f>
        <v> </v>
      </c>
      <c r="H3738" s="24" t="str">
        <f>IF(J3738&lt;&gt;1,"",IF(I3738="SBJ","CB","?"))</f>
        <v> </v>
      </c>
      <c r="I3738" s="25" t="str">
        <f>IF(OR(E3738="",E3738="!!!",F3738="NEW"),"",INDEX(B3737:B$2,-1+SUMPRODUCT(MAX(ROW(E3737:E$2)*(E3738=E3737:E$2)))))</f>
        <v> </v>
      </c>
      <c r="J3738" s="25" t="str">
        <f>IF(OR(E3738="",E3738="!!!",F3738="NEW"),"",COUNTBLANK(OFFSET(A$1,,,SUMPRODUCT(MAX(ROW(E$2:E3738)*(E3738=E$2:E3738)))))-COUNTBLANK(OFFSET(A$1,,,SUMPRODUCT(MAX(ROW(E$1:E3737)*(E2=E$1:E3737))))))</f>
        <v> </v>
      </c>
      <c r="K3738" s="25" t="str">
        <f>IF(OR(E3738="",E3738="!!!",F3738="NEW"),"",INDEX(J$1:J3737,SUMPRODUCT(MAX(ROW(E$1:E3737)*(E3738=E$1:E3737)))))</f>
        <v> </v>
      </c>
      <c r="L3738" s="26"/>
    </row>
    <row r="3739" spans="1:12">
      <c r="A3739" s="20" t="s">
        <v>2277</v>
      </c>
      <c r="B3739" s="27" t="s">
        <v>1079</v>
      </c>
      <c r="C3739" s="27" t="s">
        <v>1038</v>
      </c>
      <c r="D3739" s="27" t="s">
        <v>1030</v>
      </c>
      <c r="E3739" s="21">
        <f>IF(D3739="?OLD","!!!","")</f>
        <v/>
      </c>
      <c r="F3739" s="22" t="str">
        <f>IF(OR(E3739="",E3739="!!!"),"",IF(NOT(ISNA(VLOOKUP(E3739,E$1:E3738,1,FALSE()))),"OLD",IF(AND(E3739&lt;&gt;"",E3739&lt;&gt;"!!!"),"NEW","")))</f>
        <v> </v>
      </c>
      <c r="G3739" s="23" t="str">
        <f>IF(OR(E3739="",E3739="!!!"),"",IF(OR(J3739=0,AND(J3739=1,K3739=1),AND(J3739=1,I3739="SBJ"),AND(J3739=1,I3739=0)),"?IN_FOCUS",IF(J3739&lt;=2,"?ACTIVATED",IF(J3739&lt;&gt;"","?FAMILIAR",IF(F3739="NEW",IF(ISNA(VLOOKUP(E3739,#REF!,1,FALSE())),"?TYPE_IDENTIFIABLE","?REFERENTIAL"),"_")))))</f>
        <v> </v>
      </c>
      <c r="H3739" s="24" t="str">
        <f>IF(J3739&lt;&gt;1,"",IF(I3739="SBJ","CB","?"))</f>
        <v> </v>
      </c>
      <c r="I3739" s="25" t="str">
        <f>IF(OR(E3739="",E3739="!!!",F3739="NEW"),"",INDEX(B3738:B$2,-1+SUMPRODUCT(MAX(ROW(E3738:E$2)*(E3739=E3738:E$2)))))</f>
        <v> </v>
      </c>
      <c r="J3739" s="25" t="str">
        <f>IF(OR(E3739="",E3739="!!!",F3739="NEW"),"",COUNTBLANK(OFFSET(A$1,,,SUMPRODUCT(MAX(ROW(E$2:E3739)*(E3739=E$2:E3739)))))-COUNTBLANK(OFFSET(A$1,,,SUMPRODUCT(MAX(ROW(E$1:E3738)*(E2=E$1:E3738))))))</f>
        <v> </v>
      </c>
      <c r="K3739" s="25" t="str">
        <f>IF(OR(E3739="",E3739="!!!",F3739="NEW"),"",INDEX(J$1:J3738,SUMPRODUCT(MAX(ROW(E$1:E3738)*(E3739=E$1:E3738)))))</f>
        <v> </v>
      </c>
      <c r="L3739" s="26"/>
    </row>
    <row r="3740" spans="1:12">
      <c r="A3740" s="20" t="s">
        <v>135</v>
      </c>
      <c r="E3740" s="21">
        <f>IF(D3740="?OLD","!!!","")</f>
        <v/>
      </c>
      <c r="F3740" s="22" t="str">
        <f>IF(OR(E3740="",E3740="!!!"),"",IF(NOT(ISNA(VLOOKUP(E3740,E$1:E3739,1,FALSE()))),"OLD",IF(AND(E3740&lt;&gt;"",E3740&lt;&gt;"!!!"),"NEW","")))</f>
        <v> </v>
      </c>
      <c r="G3740" s="23" t="str">
        <f>IF(OR(E3740="",E3740="!!!"),"",IF(OR(J3740=0,AND(J3740=1,K3740=1),AND(J3740=1,I3740="SBJ"),AND(J3740=1,I3740=0)),"?IN_FOCUS",IF(J3740&lt;=2,"?ACTIVATED",IF(J3740&lt;&gt;"","?FAMILIAR",IF(F3740="NEW",IF(ISNA(VLOOKUP(E3740,#REF!,1,FALSE())),"?TYPE_IDENTIFIABLE","?REFERENTIAL"),"_")))))</f>
        <v> </v>
      </c>
      <c r="H3740" s="24" t="str">
        <f>IF(J3740&lt;&gt;1,"",IF(I3740="SBJ","CB","?"))</f>
        <v> </v>
      </c>
      <c r="I3740" s="25" t="str">
        <f>IF(OR(E3740="",E3740="!!!",F3740="NEW"),"",INDEX(B3739:B$2,-1+SUMPRODUCT(MAX(ROW(E3739:E$2)*(E3740=E3739:E$2)))))</f>
        <v> </v>
      </c>
      <c r="J3740" s="25" t="str">
        <f>IF(OR(E3740="",E3740="!!!",F3740="NEW"),"",COUNTBLANK(OFFSET(A$1,,,SUMPRODUCT(MAX(ROW(E$2:E3740)*(E3740=E$2:E3740)))))-COUNTBLANK(OFFSET(A$1,,,SUMPRODUCT(MAX(ROW(E$1:E3739)*(E2=E$1:E3739))))))</f>
        <v> </v>
      </c>
      <c r="K3740" s="25" t="str">
        <f>IF(OR(E3740="",E3740="!!!",F3740="NEW"),"",INDEX(J$1:J3739,SUMPRODUCT(MAX(ROW(E$1:E3739)*(E3740=E$1:E3739)))))</f>
        <v> </v>
      </c>
      <c r="L3740" s="26"/>
    </row>
    <row r="3741" spans="1:12">
      <c r="A3741" s="20"/>
    </row>
    <row r="3742" spans="1:12">
      <c r="A3742" s="20" t="s">
        <v>2282</v>
      </c>
    </row>
    <row r="3743" spans="1:12">
      <c r="A3743" s="20" t="s">
        <v>1088</v>
      </c>
      <c r="E3743" s="21">
        <f>IF(D3743="?OLD","!!!","")</f>
        <v/>
      </c>
      <c r="F3743" s="22" t="str">
        <f>IF(OR(E3743="",E3743="!!!"),"",IF(NOT(ISNA(VLOOKUP(E3743,E$1:E3742,1,FALSE()))),"OLD",IF(AND(E3743&lt;&gt;"",E3743&lt;&gt;"!!!"),"NEW","")))</f>
        <v> </v>
      </c>
      <c r="G3743" s="23" t="str">
        <f>IF(OR(E3743="",E3743="!!!"),"",IF(OR(J3743=0,AND(J3743=1,K3743=1),AND(J3743=1,I3743="SBJ"),AND(J3743=1,I3743=0)),"?IN_FOCUS",IF(J3743&lt;=2,"?ACTIVATED",IF(J3743&lt;&gt;"","?FAMILIAR",IF(F3743="NEW",IF(ISNA(VLOOKUP(E3743,#REF!,1,FALSE())),"?TYPE_IDENTIFIABLE","?REFERENTIAL"),"_")))))</f>
        <v> </v>
      </c>
      <c r="H3743" s="24" t="str">
        <f>IF(J3743&lt;&gt;1,"",IF(I3743="SBJ","CB","?"))</f>
        <v> </v>
      </c>
      <c r="I3743" s="25" t="str">
        <f>IF(OR(E3743="",E3743="!!!",F3743="NEW"),"",INDEX(B3742:B$2,-1+SUMPRODUCT(MAX(ROW(E3742:E$2)*(E3743=E3742:E$2)))))</f>
        <v> </v>
      </c>
      <c r="J3743" s="25" t="str">
        <f>IF(OR(E3743="",E3743="!!!",F3743="NEW"),"",COUNTBLANK(OFFSET(A$1,,,SUMPRODUCT(MAX(ROW(E$2:E3743)*(E3743=E$2:E3743)))))-COUNTBLANK(OFFSET(A$1,,,SUMPRODUCT(MAX(ROW(E$1:E3742)*(E2=E$1:E3742))))))</f>
        <v> </v>
      </c>
      <c r="K3743" s="25" t="str">
        <f>IF(OR(E3743="",E3743="!!!",F3743="NEW"),"",INDEX(J$1:J3742,SUMPRODUCT(MAX(ROW(E$1:E3742)*(E3743=E$1:E3742)))))</f>
        <v> </v>
      </c>
      <c r="L3743" s="26"/>
    </row>
    <row r="3744" spans="1:12">
      <c r="A3744" s="20" t="s">
        <v>1198</v>
      </c>
      <c r="E3744" s="21">
        <f>IF(D3744="?OLD","!!!","")</f>
        <v/>
      </c>
      <c r="F3744" s="22" t="str">
        <f>IF(OR(E3744="",E3744="!!!"),"",IF(NOT(ISNA(VLOOKUP(E3744,E$1:E3743,1,FALSE()))),"OLD",IF(AND(E3744&lt;&gt;"",E3744&lt;&gt;"!!!"),"NEW","")))</f>
        <v> </v>
      </c>
      <c r="G3744" s="23" t="str">
        <f>IF(OR(E3744="",E3744="!!!"),"",IF(OR(J3744=0,AND(J3744=1,K3744=1),AND(J3744=1,I3744="SBJ"),AND(J3744=1,I3744=0)),"?IN_FOCUS",IF(J3744&lt;=2,"?ACTIVATED",IF(J3744&lt;&gt;"","?FAMILIAR",IF(F3744="NEW",IF(ISNA(VLOOKUP(E3744,#REF!,1,FALSE())),"?TYPE_IDENTIFIABLE","?REFERENTIAL"),"_")))))</f>
        <v> </v>
      </c>
      <c r="H3744" s="24" t="str">
        <f>IF(J3744&lt;&gt;1,"",IF(I3744="SBJ","CB","?"))</f>
        <v> </v>
      </c>
      <c r="I3744" s="25" t="str">
        <f>IF(OR(E3744="",E3744="!!!",F3744="NEW"),"",INDEX(B3743:B$2,-1+SUMPRODUCT(MAX(ROW(E3743:E$2)*(E3744=E3743:E$2)))))</f>
        <v> </v>
      </c>
      <c r="J3744" s="25" t="str">
        <f>IF(OR(E3744="",E3744="!!!",F3744="NEW"),"",COUNTBLANK(OFFSET(A$1,,,SUMPRODUCT(MAX(ROW(E$2:E3744)*(E3744=E$2:E3744)))))-COUNTBLANK(OFFSET(A$1,,,SUMPRODUCT(MAX(ROW(E$1:E3743)*(E2=E$1:E3743))))))</f>
        <v> </v>
      </c>
      <c r="K3744" s="25" t="str">
        <f>IF(OR(E3744="",E3744="!!!",F3744="NEW"),"",INDEX(J$1:J3743,SUMPRODUCT(MAX(ROW(E$1:E3743)*(E3744=E$1:E3743)))))</f>
        <v> </v>
      </c>
      <c r="L3744" s="26"/>
    </row>
    <row r="3745" spans="1:12">
      <c r="A3745" s="20" t="s">
        <v>2281</v>
      </c>
      <c r="E3745" s="21">
        <f>IF(D3745="?OLD","!!!","")</f>
        <v/>
      </c>
      <c r="F3745" s="22" t="str">
        <f>IF(OR(E3745="",E3745="!!!"),"",IF(NOT(ISNA(VLOOKUP(E3745,E$1:E3744,1,FALSE()))),"OLD",IF(AND(E3745&lt;&gt;"",E3745&lt;&gt;"!!!"),"NEW","")))</f>
        <v> </v>
      </c>
      <c r="G3745" s="23" t="str">
        <f>IF(OR(E3745="",E3745="!!!"),"",IF(OR(J3745=0,AND(J3745=1,K3745=1),AND(J3745=1,I3745="SBJ"),AND(J3745=1,I3745=0)),"?IN_FOCUS",IF(J3745&lt;=2,"?ACTIVATED",IF(J3745&lt;&gt;"","?FAMILIAR",IF(F3745="NEW",IF(ISNA(VLOOKUP(E3745,#REF!,1,FALSE())),"?TYPE_IDENTIFIABLE","?REFERENTIAL"),"_")))))</f>
        <v> </v>
      </c>
      <c r="H3745" s="24" t="str">
        <f>IF(J3745&lt;&gt;1,"",IF(I3745="SBJ","CB","?"))</f>
        <v> </v>
      </c>
      <c r="I3745" s="25" t="str">
        <f>IF(OR(E3745="",E3745="!!!",F3745="NEW"),"",INDEX(B3744:B$2,-1+SUMPRODUCT(MAX(ROW(E3744:E$2)*(E3745=E3744:E$2)))))</f>
        <v> </v>
      </c>
      <c r="J3745" s="25" t="str">
        <f>IF(OR(E3745="",E3745="!!!",F3745="NEW"),"",COUNTBLANK(OFFSET(A$1,,,SUMPRODUCT(MAX(ROW(E$2:E3745)*(E3745=E$2:E3745)))))-COUNTBLANK(OFFSET(A$1,,,SUMPRODUCT(MAX(ROW(E$1:E3744)*(E2=E$1:E3744))))))</f>
        <v> </v>
      </c>
      <c r="K3745" s="25" t="str">
        <f>IF(OR(E3745="",E3745="!!!",F3745="NEW"),"",INDEX(J$1:J3744,SUMPRODUCT(MAX(ROW(E$1:E3744)*(E3745=E$1:E3744)))))</f>
        <v> </v>
      </c>
      <c r="L3745" s="26"/>
    </row>
    <row r="3746" spans="1:12">
      <c r="A3746" s="20" t="s">
        <v>1016</v>
      </c>
      <c r="E3746" s="21">
        <f>IF(D3746="?OLD","!!!","")</f>
        <v/>
      </c>
      <c r="F3746" s="22" t="str">
        <f>IF(OR(E3746="",E3746="!!!"),"",IF(NOT(ISNA(VLOOKUP(E3746,E$1:E3745,1,FALSE()))),"OLD",IF(AND(E3746&lt;&gt;"",E3746&lt;&gt;"!!!"),"NEW","")))</f>
        <v> </v>
      </c>
      <c r="G3746" s="23" t="str">
        <f>IF(OR(E3746="",E3746="!!!"),"",IF(OR(J3746=0,AND(J3746=1,K3746=1),AND(J3746=1,I3746="SBJ"),AND(J3746=1,I3746=0)),"?IN_FOCUS",IF(J3746&lt;=2,"?ACTIVATED",IF(J3746&lt;&gt;"","?FAMILIAR",IF(F3746="NEW",IF(ISNA(VLOOKUP(E3746,#REF!,1,FALSE())),"?TYPE_IDENTIFIABLE","?REFERENTIAL"),"_")))))</f>
        <v> </v>
      </c>
      <c r="H3746" s="24" t="str">
        <f>IF(J3746&lt;&gt;1,"",IF(I3746="SBJ","CB","?"))</f>
        <v> </v>
      </c>
      <c r="I3746" s="25" t="str">
        <f>IF(OR(E3746="",E3746="!!!",F3746="NEW"),"",INDEX(B3745:B$2,-1+SUMPRODUCT(MAX(ROW(E3745:E$2)*(E3746=E3745:E$2)))))</f>
        <v> </v>
      </c>
      <c r="J3746" s="25" t="str">
        <f>IF(OR(E3746="",E3746="!!!",F3746="NEW"),"",COUNTBLANK(OFFSET(A$1,,,SUMPRODUCT(MAX(ROW(E$2:E3746)*(E3746=E$2:E3746)))))-COUNTBLANK(OFFSET(A$1,,,SUMPRODUCT(MAX(ROW(E$1:E3745)*(E2=E$1:E3745))))))</f>
        <v> </v>
      </c>
      <c r="K3746" s="25" t="str">
        <f>IF(OR(E3746="",E3746="!!!",F3746="NEW"),"",INDEX(J$1:J3745,SUMPRODUCT(MAX(ROW(E$1:E3745)*(E3746=E$1:E3745)))))</f>
        <v> </v>
      </c>
      <c r="L3746" s="26"/>
    </row>
    <row r="3747" spans="1:12">
      <c r="A3747" s="20" t="s">
        <v>2240</v>
      </c>
      <c r="B3747" s="27" t="s">
        <v>1045</v>
      </c>
      <c r="C3747" s="27" t="s">
        <v>1015</v>
      </c>
      <c r="E3747" s="21">
        <f>IF(D3747="?OLD","!!!","")</f>
        <v/>
      </c>
      <c r="F3747" s="22" t="str">
        <f>IF(OR(E3747="",E3747="!!!"),"",IF(NOT(ISNA(VLOOKUP(E3747,E$1:E3746,1,FALSE()))),"OLD",IF(AND(E3747&lt;&gt;"",E3747&lt;&gt;"!!!"),"NEW","")))</f>
        <v> </v>
      </c>
      <c r="G3747" s="23" t="str">
        <f>IF(OR(E3747="",E3747="!!!"),"",IF(OR(J3747=0,AND(J3747=1,K3747=1),AND(J3747=1,I3747="SBJ"),AND(J3747=1,I3747=0)),"?IN_FOCUS",IF(J3747&lt;=2,"?ACTIVATED",IF(J3747&lt;&gt;"","?FAMILIAR",IF(F3747="NEW",IF(ISNA(VLOOKUP(E3747,#REF!,1,FALSE())),"?TYPE_IDENTIFIABLE","?REFERENTIAL"),"_")))))</f>
        <v> </v>
      </c>
      <c r="H3747" s="24" t="str">
        <f>IF(J3747&lt;&gt;1,"",IF(I3747="SBJ","CB","?"))</f>
        <v> </v>
      </c>
      <c r="I3747" s="25" t="str">
        <f>IF(OR(E3747="",E3747="!!!",F3747="NEW"),"",INDEX(B3746:B$2,-1+SUMPRODUCT(MAX(ROW(E3746:E$2)*(E3747=E3746:E$2)))))</f>
        <v> </v>
      </c>
      <c r="J3747" s="25" t="str">
        <f>IF(OR(E3747="",E3747="!!!",F3747="NEW"),"",COUNTBLANK(OFFSET(A$1,,,SUMPRODUCT(MAX(ROW(E$2:E3747)*(E3747=E$2:E3747)))))-COUNTBLANK(OFFSET(A$1,,,SUMPRODUCT(MAX(ROW(E$1:E3746)*(E2=E$1:E3746))))))</f>
        <v> </v>
      </c>
      <c r="K3747" s="25" t="str">
        <f>IF(OR(E3747="",E3747="!!!",F3747="NEW"),"",INDEX(J$1:J3746,SUMPRODUCT(MAX(ROW(E$1:E3746)*(E3747=E$1:E3746)))))</f>
        <v> </v>
      </c>
      <c r="L3747" s="26"/>
    </row>
    <row r="3748" spans="1:12">
      <c r="A3748" s="20" t="s">
        <v>2283</v>
      </c>
      <c r="E3748" s="21">
        <f>IF(D3748="?OLD","!!!","")</f>
        <v/>
      </c>
      <c r="F3748" s="22" t="str">
        <f>IF(OR(E3748="",E3748="!!!"),"",IF(NOT(ISNA(VLOOKUP(E3748,E$1:E3747,1,FALSE()))),"OLD",IF(AND(E3748&lt;&gt;"",E3748&lt;&gt;"!!!"),"NEW","")))</f>
        <v> </v>
      </c>
      <c r="G3748" s="23" t="str">
        <f>IF(OR(E3748="",E3748="!!!"),"",IF(OR(J3748=0,AND(J3748=1,K3748=1),AND(J3748=1,I3748="SBJ"),AND(J3748=1,I3748=0)),"?IN_FOCUS",IF(J3748&lt;=2,"?ACTIVATED",IF(J3748&lt;&gt;"","?FAMILIAR",IF(F3748="NEW",IF(ISNA(VLOOKUP(E3748,#REF!,1,FALSE())),"?TYPE_IDENTIFIABLE","?REFERENTIAL"),"_")))))</f>
        <v> </v>
      </c>
      <c r="H3748" s="24" t="str">
        <f>IF(J3748&lt;&gt;1,"",IF(I3748="SBJ","CB","?"))</f>
        <v> </v>
      </c>
      <c r="I3748" s="25" t="str">
        <f>IF(OR(E3748="",E3748="!!!",F3748="NEW"),"",INDEX(B3747:B$2,-1+SUMPRODUCT(MAX(ROW(E3747:E$2)*(E3748=E3747:E$2)))))</f>
        <v> </v>
      </c>
      <c r="J3748" s="25" t="str">
        <f>IF(OR(E3748="",E3748="!!!",F3748="NEW"),"",COUNTBLANK(OFFSET(A$1,,,SUMPRODUCT(MAX(ROW(E$2:E3748)*(E3748=E$2:E3748)))))-COUNTBLANK(OFFSET(A$1,,,SUMPRODUCT(MAX(ROW(E$1:E3747)*(E2=E$1:E3747))))))</f>
        <v> </v>
      </c>
      <c r="K3748" s="25" t="str">
        <f>IF(OR(E3748="",E3748="!!!",F3748="NEW"),"",INDEX(J$1:J3747,SUMPRODUCT(MAX(ROW(E$1:E3747)*(E3748=E$1:E3747)))))</f>
        <v> </v>
      </c>
      <c r="L3748" s="26"/>
    </row>
    <row r="3749" spans="1:12">
      <c r="A3749" s="20" t="s">
        <v>135</v>
      </c>
      <c r="E3749" s="21">
        <f>IF(D3749="?OLD","!!!","")</f>
        <v/>
      </c>
      <c r="F3749" s="22" t="str">
        <f>IF(OR(E3749="",E3749="!!!"),"",IF(NOT(ISNA(VLOOKUP(E3749,E$1:E3748,1,FALSE()))),"OLD",IF(AND(E3749&lt;&gt;"",E3749&lt;&gt;"!!!"),"NEW","")))</f>
        <v> </v>
      </c>
      <c r="G3749" s="23" t="str">
        <f>IF(OR(E3749="",E3749="!!!"),"",IF(OR(J3749=0,AND(J3749=1,K3749=1),AND(J3749=1,I3749="SBJ"),AND(J3749=1,I3749=0)),"?IN_FOCUS",IF(J3749&lt;=2,"?ACTIVATED",IF(J3749&lt;&gt;"","?FAMILIAR",IF(F3749="NEW",IF(ISNA(VLOOKUP(E3749,#REF!,1,FALSE())),"?TYPE_IDENTIFIABLE","?REFERENTIAL"),"_")))))</f>
        <v> </v>
      </c>
      <c r="H3749" s="24" t="str">
        <f>IF(J3749&lt;&gt;1,"",IF(I3749="SBJ","CB","?"))</f>
        <v> </v>
      </c>
      <c r="I3749" s="25" t="str">
        <f>IF(OR(E3749="",E3749="!!!",F3749="NEW"),"",INDEX(B3748:B$2,-1+SUMPRODUCT(MAX(ROW(E3748:E$2)*(E3749=E3748:E$2)))))</f>
        <v> </v>
      </c>
      <c r="J3749" s="25" t="str">
        <f>IF(OR(E3749="",E3749="!!!",F3749="NEW"),"",COUNTBLANK(OFFSET(A$1,,,SUMPRODUCT(MAX(ROW(E$2:E3749)*(E3749=E$2:E3749)))))-COUNTBLANK(OFFSET(A$1,,,SUMPRODUCT(MAX(ROW(E$1:E3748)*(E2=E$1:E3748))))))</f>
        <v> </v>
      </c>
      <c r="K3749" s="25" t="str">
        <f>IF(OR(E3749="",E3749="!!!",F3749="NEW"),"",INDEX(J$1:J3748,SUMPRODUCT(MAX(ROW(E$1:E3748)*(E3749=E$1:E3748)))))</f>
        <v> </v>
      </c>
      <c r="L3749" s="26"/>
    </row>
    <row r="3750" spans="1:12">
      <c r="A3750" s="20"/>
    </row>
    <row r="3751" spans="1:12">
      <c r="A3751" s="20" t="s">
        <v>2284</v>
      </c>
    </row>
    <row r="3752" spans="1:12">
      <c r="A3752" s="20" t="s">
        <v>1088</v>
      </c>
      <c r="E3752" s="21">
        <f>IF(D3752="?OLD","!!!","")</f>
        <v/>
      </c>
      <c r="F3752" s="22" t="str">
        <f>IF(OR(E3752="",E3752="!!!"),"",IF(NOT(ISNA(VLOOKUP(E3752,E$1:E3751,1,FALSE()))),"OLD",IF(AND(E3752&lt;&gt;"",E3752&lt;&gt;"!!!"),"NEW","")))</f>
        <v> </v>
      </c>
      <c r="G3752" s="23" t="str">
        <f>IF(OR(E3752="",E3752="!!!"),"",IF(OR(J3752=0,AND(J3752=1,K3752=1),AND(J3752=1,I3752="SBJ"),AND(J3752=1,I3752=0)),"?IN_FOCUS",IF(J3752&lt;=2,"?ACTIVATED",IF(J3752&lt;&gt;"","?FAMILIAR",IF(F3752="NEW",IF(ISNA(VLOOKUP(E3752,#REF!,1,FALSE())),"?TYPE_IDENTIFIABLE","?REFERENTIAL"),"_")))))</f>
        <v> </v>
      </c>
      <c r="H3752" s="24" t="str">
        <f>IF(J3752&lt;&gt;1,"",IF(I3752="SBJ","CB","?"))</f>
        <v> </v>
      </c>
      <c r="I3752" s="25" t="str">
        <f>IF(OR(E3752="",E3752="!!!",F3752="NEW"),"",INDEX(B3751:B$2,-1+SUMPRODUCT(MAX(ROW(E3751:E$2)*(E3752=E3751:E$2)))))</f>
        <v> </v>
      </c>
      <c r="J3752" s="25" t="str">
        <f>IF(OR(E3752="",E3752="!!!",F3752="NEW"),"",COUNTBLANK(OFFSET(A$1,,,SUMPRODUCT(MAX(ROW(E$2:E3752)*(E3752=E$2:E3752)))))-COUNTBLANK(OFFSET(A$1,,,SUMPRODUCT(MAX(ROW(E$1:E3751)*(E2=E$1:E3751))))))</f>
        <v> </v>
      </c>
      <c r="K3752" s="25" t="str">
        <f>IF(OR(E3752="",E3752="!!!",F3752="NEW"),"",INDEX(J$1:J3751,SUMPRODUCT(MAX(ROW(E$1:E3751)*(E3752=E$1:E3751)))))</f>
        <v> </v>
      </c>
      <c r="L3752" s="26"/>
    </row>
    <row r="3753" spans="1:12">
      <c r="A3753" s="20" t="s">
        <v>1198</v>
      </c>
      <c r="E3753" s="21">
        <f>IF(D3753="?OLD","!!!","")</f>
        <v/>
      </c>
      <c r="F3753" s="22" t="str">
        <f>IF(OR(E3753="",E3753="!!!"),"",IF(NOT(ISNA(VLOOKUP(E3753,E$1:E3752,1,FALSE()))),"OLD",IF(AND(E3753&lt;&gt;"",E3753&lt;&gt;"!!!"),"NEW","")))</f>
        <v> </v>
      </c>
      <c r="G3753" s="23" t="str">
        <f>IF(OR(E3753="",E3753="!!!"),"",IF(OR(J3753=0,AND(J3753=1,K3753=1),AND(J3753=1,I3753="SBJ"),AND(J3753=1,I3753=0)),"?IN_FOCUS",IF(J3753&lt;=2,"?ACTIVATED",IF(J3753&lt;&gt;"","?FAMILIAR",IF(F3753="NEW",IF(ISNA(VLOOKUP(E3753,#REF!,1,FALSE())),"?TYPE_IDENTIFIABLE","?REFERENTIAL"),"_")))))</f>
        <v> </v>
      </c>
      <c r="H3753" s="24" t="str">
        <f>IF(J3753&lt;&gt;1,"",IF(I3753="SBJ","CB","?"))</f>
        <v> </v>
      </c>
      <c r="I3753" s="25" t="str">
        <f>IF(OR(E3753="",E3753="!!!",F3753="NEW"),"",INDEX(B3752:B$2,-1+SUMPRODUCT(MAX(ROW(E3752:E$2)*(E3753=E3752:E$2)))))</f>
        <v> </v>
      </c>
      <c r="J3753" s="25" t="str">
        <f>IF(OR(E3753="",E3753="!!!",F3753="NEW"),"",COUNTBLANK(OFFSET(A$1,,,SUMPRODUCT(MAX(ROW(E$2:E3753)*(E3753=E$2:E3753)))))-COUNTBLANK(OFFSET(A$1,,,SUMPRODUCT(MAX(ROW(E$1:E3752)*(E2=E$1:E3752))))))</f>
        <v> </v>
      </c>
      <c r="K3753" s="25" t="str">
        <f>IF(OR(E3753="",E3753="!!!",F3753="NEW"),"",INDEX(J$1:J3752,SUMPRODUCT(MAX(ROW(E$1:E3752)*(E3753=E$1:E3752)))))</f>
        <v> </v>
      </c>
      <c r="L3753" s="26"/>
    </row>
    <row r="3754" spans="1:12">
      <c r="A3754" s="20" t="s">
        <v>2281</v>
      </c>
      <c r="E3754" s="21">
        <f>IF(D3754="?OLD","!!!","")</f>
        <v/>
      </c>
      <c r="F3754" s="22" t="str">
        <f>IF(OR(E3754="",E3754="!!!"),"",IF(NOT(ISNA(VLOOKUP(E3754,E$1:E3753,1,FALSE()))),"OLD",IF(AND(E3754&lt;&gt;"",E3754&lt;&gt;"!!!"),"NEW","")))</f>
        <v> </v>
      </c>
      <c r="G3754" s="23" t="str">
        <f>IF(OR(E3754="",E3754="!!!"),"",IF(OR(J3754=0,AND(J3754=1,K3754=1),AND(J3754=1,I3754="SBJ"),AND(J3754=1,I3754=0)),"?IN_FOCUS",IF(J3754&lt;=2,"?ACTIVATED",IF(J3754&lt;&gt;"","?FAMILIAR",IF(F3754="NEW",IF(ISNA(VLOOKUP(E3754,#REF!,1,FALSE())),"?TYPE_IDENTIFIABLE","?REFERENTIAL"),"_")))))</f>
        <v> </v>
      </c>
      <c r="H3754" s="24" t="str">
        <f>IF(J3754&lt;&gt;1,"",IF(I3754="SBJ","CB","?"))</f>
        <v> </v>
      </c>
      <c r="I3754" s="25" t="str">
        <f>IF(OR(E3754="",E3754="!!!",F3754="NEW"),"",INDEX(B3753:B$2,-1+SUMPRODUCT(MAX(ROW(E3753:E$2)*(E3754=E3753:E$2)))))</f>
        <v> </v>
      </c>
      <c r="J3754" s="25" t="str">
        <f>IF(OR(E3754="",E3754="!!!",F3754="NEW"),"",COUNTBLANK(OFFSET(A$1,,,SUMPRODUCT(MAX(ROW(E$2:E3754)*(E3754=E$2:E3754)))))-COUNTBLANK(OFFSET(A$1,,,SUMPRODUCT(MAX(ROW(E$1:E3753)*(E2=E$1:E3753))))))</f>
        <v> </v>
      </c>
      <c r="K3754" s="25" t="str">
        <f>IF(OR(E3754="",E3754="!!!",F3754="NEW"),"",INDEX(J$1:J3753,SUMPRODUCT(MAX(ROW(E$1:E3753)*(E3754=E$1:E3753)))))</f>
        <v> </v>
      </c>
      <c r="L3754" s="26"/>
    </row>
    <row r="3755" spans="1:12">
      <c r="A3755" s="20" t="s">
        <v>1016</v>
      </c>
      <c r="E3755" s="21">
        <f>IF(D3755="?OLD","!!!","")</f>
        <v/>
      </c>
      <c r="F3755" s="22" t="str">
        <f>IF(OR(E3755="",E3755="!!!"),"",IF(NOT(ISNA(VLOOKUP(E3755,E$1:E3754,1,FALSE()))),"OLD",IF(AND(E3755&lt;&gt;"",E3755&lt;&gt;"!!!"),"NEW","")))</f>
        <v> </v>
      </c>
      <c r="G3755" s="23" t="str">
        <f>IF(OR(E3755="",E3755="!!!"),"",IF(OR(J3755=0,AND(J3755=1,K3755=1),AND(J3755=1,I3755="SBJ"),AND(J3755=1,I3755=0)),"?IN_FOCUS",IF(J3755&lt;=2,"?ACTIVATED",IF(J3755&lt;&gt;"","?FAMILIAR",IF(F3755="NEW",IF(ISNA(VLOOKUP(E3755,#REF!,1,FALSE())),"?TYPE_IDENTIFIABLE","?REFERENTIAL"),"_")))))</f>
        <v> </v>
      </c>
      <c r="H3755" s="24" t="str">
        <f>IF(J3755&lt;&gt;1,"",IF(I3755="SBJ","CB","?"))</f>
        <v> </v>
      </c>
      <c r="I3755" s="25" t="str">
        <f>IF(OR(E3755="",E3755="!!!",F3755="NEW"),"",INDEX(B3754:B$2,-1+SUMPRODUCT(MAX(ROW(E3754:E$2)*(E3755=E3754:E$2)))))</f>
        <v> </v>
      </c>
      <c r="J3755" s="25" t="str">
        <f>IF(OR(E3755="",E3755="!!!",F3755="NEW"),"",COUNTBLANK(OFFSET(A$1,,,SUMPRODUCT(MAX(ROW(E$2:E3755)*(E3755=E$2:E3755)))))-COUNTBLANK(OFFSET(A$1,,,SUMPRODUCT(MAX(ROW(E$1:E3754)*(E2=E$1:E3754))))))</f>
        <v> </v>
      </c>
      <c r="K3755" s="25" t="str">
        <f>IF(OR(E3755="",E3755="!!!",F3755="NEW"),"",INDEX(J$1:J3754,SUMPRODUCT(MAX(ROW(E$1:E3754)*(E3755=E$1:E3754)))))</f>
        <v> </v>
      </c>
      <c r="L3755" s="26"/>
    </row>
    <row r="3756" spans="1:12">
      <c r="A3756" s="20" t="s">
        <v>1111</v>
      </c>
      <c r="E3756" s="21">
        <f>IF(D3756="?OLD","!!!","")</f>
        <v/>
      </c>
      <c r="F3756" s="22" t="str">
        <f>IF(OR(E3756="",E3756="!!!"),"",IF(NOT(ISNA(VLOOKUP(E3756,E$1:E3755,1,FALSE()))),"OLD",IF(AND(E3756&lt;&gt;"",E3756&lt;&gt;"!!!"),"NEW","")))</f>
        <v> </v>
      </c>
      <c r="G3756" s="23" t="str">
        <f>IF(OR(E3756="",E3756="!!!"),"",IF(OR(J3756=0,AND(J3756=1,K3756=1),AND(J3756=1,I3756="SBJ"),AND(J3756=1,I3756=0)),"?IN_FOCUS",IF(J3756&lt;=2,"?ACTIVATED",IF(J3756&lt;&gt;"","?FAMILIAR",IF(F3756="NEW",IF(ISNA(VLOOKUP(E3756,#REF!,1,FALSE())),"?TYPE_IDENTIFIABLE","?REFERENTIAL"),"_")))))</f>
        <v> </v>
      </c>
      <c r="H3756" s="24" t="str">
        <f>IF(J3756&lt;&gt;1,"",IF(I3756="SBJ","CB","?"))</f>
        <v> </v>
      </c>
      <c r="I3756" s="25" t="str">
        <f>IF(OR(E3756="",E3756="!!!",F3756="NEW"),"",INDEX(B3755:B$2,-1+SUMPRODUCT(MAX(ROW(E3755:E$2)*(E3756=E3755:E$2)))))</f>
        <v> </v>
      </c>
      <c r="J3756" s="25" t="str">
        <f>IF(OR(E3756="",E3756="!!!",F3756="NEW"),"",COUNTBLANK(OFFSET(A$1,,,SUMPRODUCT(MAX(ROW(E$2:E3756)*(E3756=E$2:E3756)))))-COUNTBLANK(OFFSET(A$1,,,SUMPRODUCT(MAX(ROW(E$1:E3755)*(E2=E$1:E3755))))))</f>
        <v> </v>
      </c>
      <c r="K3756" s="25" t="str">
        <f>IF(OR(E3756="",E3756="!!!",F3756="NEW"),"",INDEX(J$1:J3755,SUMPRODUCT(MAX(ROW(E$1:E3755)*(E3756=E$1:E3755)))))</f>
        <v> </v>
      </c>
      <c r="L3756" s="26"/>
    </row>
    <row r="3757" spans="1:12">
      <c r="A3757" s="20" t="s">
        <v>1262</v>
      </c>
      <c r="B3757" s="27" t="s">
        <v>1079</v>
      </c>
      <c r="C3757" s="27" t="s">
        <v>1077</v>
      </c>
      <c r="D3757" s="27" t="s">
        <v>1030</v>
      </c>
      <c r="E3757" s="21">
        <f>IF(D3757="?OLD","!!!","")</f>
        <v/>
      </c>
      <c r="F3757" s="22" t="str">
        <f>IF(OR(E3757="",E3757="!!!"),"",IF(NOT(ISNA(VLOOKUP(E3757,E$1:E3756,1,FALSE()))),"OLD",IF(AND(E3757&lt;&gt;"",E3757&lt;&gt;"!!!"),"NEW","")))</f>
        <v> </v>
      </c>
      <c r="G3757" s="23" t="str">
        <f>IF(OR(E3757="",E3757="!!!"),"",IF(OR(J3757=0,AND(J3757=1,K3757=1),AND(J3757=1,I3757="SBJ"),AND(J3757=1,I3757=0)),"?IN_FOCUS",IF(J3757&lt;=2,"?ACTIVATED",IF(J3757&lt;&gt;"","?FAMILIAR",IF(F3757="NEW",IF(ISNA(VLOOKUP(E3757,#REF!,1,FALSE())),"?TYPE_IDENTIFIABLE","?REFERENTIAL"),"_")))))</f>
        <v> </v>
      </c>
      <c r="H3757" s="24" t="str">
        <f>IF(J3757&lt;&gt;1,"",IF(I3757="SBJ","CB","?"))</f>
        <v> </v>
      </c>
      <c r="I3757" s="25" t="str">
        <f>IF(OR(E3757="",E3757="!!!",F3757="NEW"),"",INDEX(B3756:B$2,-1+SUMPRODUCT(MAX(ROW(E3756:E$2)*(E3757=E3756:E$2)))))</f>
        <v> </v>
      </c>
      <c r="J3757" s="25" t="str">
        <f>IF(OR(E3757="",E3757="!!!",F3757="NEW"),"",COUNTBLANK(OFFSET(A$1,,,SUMPRODUCT(MAX(ROW(E$2:E3757)*(E3757=E$2:E3757)))))-COUNTBLANK(OFFSET(A$1,,,SUMPRODUCT(MAX(ROW(E$1:E3756)*(E2=E$1:E3756))))))</f>
        <v> </v>
      </c>
      <c r="K3757" s="25" t="str">
        <f>IF(OR(E3757="",E3757="!!!",F3757="NEW"),"",INDEX(J$1:J3756,SUMPRODUCT(MAX(ROW(E$1:E3756)*(E3757=E$1:E3756)))))</f>
        <v> </v>
      </c>
      <c r="L3757" s="26"/>
    </row>
    <row r="3758" spans="1:12">
      <c r="A3758" s="20" t="s">
        <v>2285</v>
      </c>
      <c r="E3758" s="21">
        <f>IF(D3758="?OLD","!!!","")</f>
        <v/>
      </c>
      <c r="F3758" s="22" t="str">
        <f>IF(OR(E3758="",E3758="!!!"),"",IF(NOT(ISNA(VLOOKUP(E3758,E$1:E3757,1,FALSE()))),"OLD",IF(AND(E3758&lt;&gt;"",E3758&lt;&gt;"!!!"),"NEW","")))</f>
        <v> </v>
      </c>
      <c r="G3758" s="23" t="str">
        <f>IF(OR(E3758="",E3758="!!!"),"",IF(OR(J3758=0,AND(J3758=1,K3758=1),AND(J3758=1,I3758="SBJ"),AND(J3758=1,I3758=0)),"?IN_FOCUS",IF(J3758&lt;=2,"?ACTIVATED",IF(J3758&lt;&gt;"","?FAMILIAR",IF(F3758="NEW",IF(ISNA(VLOOKUP(E3758,#REF!,1,FALSE())),"?TYPE_IDENTIFIABLE","?REFERENTIAL"),"_")))))</f>
        <v> </v>
      </c>
      <c r="H3758" s="24" t="str">
        <f>IF(J3758&lt;&gt;1,"",IF(I3758="SBJ","CB","?"))</f>
        <v> </v>
      </c>
      <c r="I3758" s="25" t="str">
        <f>IF(OR(E3758="",E3758="!!!",F3758="NEW"),"",INDEX(B3757:B$2,-1+SUMPRODUCT(MAX(ROW(E3757:E$2)*(E3758=E3757:E$2)))))</f>
        <v> </v>
      </c>
      <c r="J3758" s="25" t="str">
        <f>IF(OR(E3758="",E3758="!!!",F3758="NEW"),"",COUNTBLANK(OFFSET(A$1,,,SUMPRODUCT(MAX(ROW(E$2:E3758)*(E3758=E$2:E3758)))))-COUNTBLANK(OFFSET(A$1,,,SUMPRODUCT(MAX(ROW(E$1:E3757)*(E2=E$1:E3757))))))</f>
        <v> </v>
      </c>
      <c r="K3758" s="25" t="str">
        <f>IF(OR(E3758="",E3758="!!!",F3758="NEW"),"",INDEX(J$1:J3757,SUMPRODUCT(MAX(ROW(E$1:E3757)*(E3758=E$1:E3757)))))</f>
        <v> </v>
      </c>
      <c r="L3758" s="26"/>
    </row>
    <row r="3759" spans="1:12">
      <c r="A3759" s="20" t="s">
        <v>2286</v>
      </c>
      <c r="B3759" s="27" t="s">
        <v>1045</v>
      </c>
      <c r="C3759" s="27" t="s">
        <v>1038</v>
      </c>
      <c r="D3759" s="27" t="s">
        <v>1030</v>
      </c>
      <c r="E3759" s="21">
        <f>IF(D3759="?OLD","!!!","")</f>
        <v/>
      </c>
      <c r="F3759" s="22" t="str">
        <f>IF(OR(E3759="",E3759="!!!"),"",IF(NOT(ISNA(VLOOKUP(E3759,E$1:E3758,1,FALSE()))),"OLD",IF(AND(E3759&lt;&gt;"",E3759&lt;&gt;"!!!"),"NEW","")))</f>
        <v> </v>
      </c>
      <c r="G3759" s="23" t="str">
        <f>IF(OR(E3759="",E3759="!!!"),"",IF(OR(J3759=0,AND(J3759=1,K3759=1),AND(J3759=1,I3759="SBJ"),AND(J3759=1,I3759=0)),"?IN_FOCUS",IF(J3759&lt;=2,"?ACTIVATED",IF(J3759&lt;&gt;"","?FAMILIAR",IF(F3759="NEW",IF(ISNA(VLOOKUP(E3759,#REF!,1,FALSE())),"?TYPE_IDENTIFIABLE","?REFERENTIAL"),"_")))))</f>
        <v> </v>
      </c>
      <c r="H3759" s="24" t="str">
        <f>IF(J3759&lt;&gt;1,"",IF(I3759="SBJ","CB","?"))</f>
        <v> </v>
      </c>
      <c r="I3759" s="25" t="str">
        <f>IF(OR(E3759="",E3759="!!!",F3759="NEW"),"",INDEX(B3758:B$2,-1+SUMPRODUCT(MAX(ROW(E3758:E$2)*(E3759=E3758:E$2)))))</f>
        <v> </v>
      </c>
      <c r="J3759" s="25" t="str">
        <f>IF(OR(E3759="",E3759="!!!",F3759="NEW"),"",COUNTBLANK(OFFSET(A$1,,,SUMPRODUCT(MAX(ROW(E$2:E3759)*(E3759=E$2:E3759)))))-COUNTBLANK(OFFSET(A$1,,,SUMPRODUCT(MAX(ROW(E$1:E3758)*(E2=E$1:E3758))))))</f>
        <v> </v>
      </c>
      <c r="K3759" s="25" t="str">
        <f>IF(OR(E3759="",E3759="!!!",F3759="NEW"),"",INDEX(J$1:J3758,SUMPRODUCT(MAX(ROW(E$1:E3758)*(E3759=E$1:E3758)))))</f>
        <v> </v>
      </c>
      <c r="L3759" s="26"/>
    </row>
    <row r="3760" spans="1:12">
      <c r="A3760" s="20" t="s">
        <v>1175</v>
      </c>
      <c r="E3760" s="21">
        <f>IF(D3760="?OLD","!!!","")</f>
        <v/>
      </c>
      <c r="F3760" s="22" t="str">
        <f>IF(OR(E3760="",E3760="!!!"),"",IF(NOT(ISNA(VLOOKUP(E3760,E$1:E3759,1,FALSE()))),"OLD",IF(AND(E3760&lt;&gt;"",E3760&lt;&gt;"!!!"),"NEW","")))</f>
        <v> </v>
      </c>
      <c r="G3760" s="23" t="str">
        <f>IF(OR(E3760="",E3760="!!!"),"",IF(OR(J3760=0,AND(J3760=1,K3760=1),AND(J3760=1,I3760="SBJ"),AND(J3760=1,I3760=0)),"?IN_FOCUS",IF(J3760&lt;=2,"?ACTIVATED",IF(J3760&lt;&gt;"","?FAMILIAR",IF(F3760="NEW",IF(ISNA(VLOOKUP(E3760,#REF!,1,FALSE())),"?TYPE_IDENTIFIABLE","?REFERENTIAL"),"_")))))</f>
        <v> </v>
      </c>
      <c r="H3760" s="24" t="str">
        <f>IF(J3760&lt;&gt;1,"",IF(I3760="SBJ","CB","?"))</f>
        <v> </v>
      </c>
      <c r="I3760" s="25" t="str">
        <f>IF(OR(E3760="",E3760="!!!",F3760="NEW"),"",INDEX(B3759:B$2,-1+SUMPRODUCT(MAX(ROW(E3759:E$2)*(E3760=E3759:E$2)))))</f>
        <v> </v>
      </c>
      <c r="J3760" s="25" t="str">
        <f>IF(OR(E3760="",E3760="!!!",F3760="NEW"),"",COUNTBLANK(OFFSET(A$1,,,SUMPRODUCT(MAX(ROW(E$2:E3760)*(E3760=E$2:E3760)))))-COUNTBLANK(OFFSET(A$1,,,SUMPRODUCT(MAX(ROW(E$1:E3759)*(E2=E$1:E3759))))))</f>
        <v> </v>
      </c>
      <c r="K3760" s="25" t="str">
        <f>IF(OR(E3760="",E3760="!!!",F3760="NEW"),"",INDEX(J$1:J3759,SUMPRODUCT(MAX(ROW(E$1:E3759)*(E3760=E$1:E3759)))))</f>
        <v> </v>
      </c>
      <c r="L3760" s="26"/>
    </row>
    <row r="3761" spans="1:12">
      <c r="A3761" s="20" t="s">
        <v>1080</v>
      </c>
      <c r="E3761" s="21">
        <f>IF(D3761="?OLD","!!!","")</f>
        <v/>
      </c>
      <c r="F3761" s="22" t="str">
        <f>IF(OR(E3761="",E3761="!!!"),"",IF(NOT(ISNA(VLOOKUP(E3761,E$1:E3760,1,FALSE()))),"OLD",IF(AND(E3761&lt;&gt;"",E3761&lt;&gt;"!!!"),"NEW","")))</f>
        <v> </v>
      </c>
      <c r="G3761" s="23" t="str">
        <f>IF(OR(E3761="",E3761="!!!"),"",IF(OR(J3761=0,AND(J3761=1,K3761=1),AND(J3761=1,I3761="SBJ"),AND(J3761=1,I3761=0)),"?IN_FOCUS",IF(J3761&lt;=2,"?ACTIVATED",IF(J3761&lt;&gt;"","?FAMILIAR",IF(F3761="NEW",IF(ISNA(VLOOKUP(E3761,#REF!,1,FALSE())),"?TYPE_IDENTIFIABLE","?REFERENTIAL"),"_")))))</f>
        <v> </v>
      </c>
      <c r="H3761" s="24" t="str">
        <f>IF(J3761&lt;&gt;1,"",IF(I3761="SBJ","CB","?"))</f>
        <v> </v>
      </c>
      <c r="I3761" s="25" t="str">
        <f>IF(OR(E3761="",E3761="!!!",F3761="NEW"),"",INDEX(B3760:B$2,-1+SUMPRODUCT(MAX(ROW(E3760:E$2)*(E3761=E3760:E$2)))))</f>
        <v> </v>
      </c>
      <c r="J3761" s="25" t="str">
        <f>IF(OR(E3761="",E3761="!!!",F3761="NEW"),"",COUNTBLANK(OFFSET(A$1,,,SUMPRODUCT(MAX(ROW(E$2:E3761)*(E3761=E$2:E3761)))))-COUNTBLANK(OFFSET(A$1,,,SUMPRODUCT(MAX(ROW(E$1:E3760)*(E2=E$1:E3760))))))</f>
        <v> </v>
      </c>
      <c r="K3761" s="25" t="str">
        <f>IF(OR(E3761="",E3761="!!!",F3761="NEW"),"",INDEX(J$1:J3760,SUMPRODUCT(MAX(ROW(E$1:E3760)*(E3761=E$1:E3760)))))</f>
        <v> </v>
      </c>
      <c r="L3761" s="26"/>
    </row>
    <row r="3762" spans="1:12">
      <c r="A3762" s="20" t="s">
        <v>2164</v>
      </c>
      <c r="B3762" s="27" t="s">
        <v>1045</v>
      </c>
      <c r="C3762" s="27" t="s">
        <v>1038</v>
      </c>
      <c r="D3762" s="27" t="s">
        <v>1030</v>
      </c>
      <c r="E3762" s="21">
        <f>IF(D3762="?OLD","!!!","")</f>
        <v/>
      </c>
      <c r="F3762" s="22" t="str">
        <f>IF(OR(E3762="",E3762="!!!"),"",IF(NOT(ISNA(VLOOKUP(E3762,E$1:E3761,1,FALSE()))),"OLD",IF(AND(E3762&lt;&gt;"",E3762&lt;&gt;"!!!"),"NEW","")))</f>
        <v> </v>
      </c>
      <c r="G3762" s="23" t="str">
        <f>IF(OR(E3762="",E3762="!!!"),"",IF(OR(J3762=0,AND(J3762=1,K3762=1),AND(J3762=1,I3762="SBJ"),AND(J3762=1,I3762=0)),"?IN_FOCUS",IF(J3762&lt;=2,"?ACTIVATED",IF(J3762&lt;&gt;"","?FAMILIAR",IF(F3762="NEW",IF(ISNA(VLOOKUP(E3762,#REF!,1,FALSE())),"?TYPE_IDENTIFIABLE","?REFERENTIAL"),"_")))))</f>
        <v> </v>
      </c>
      <c r="H3762" s="24" t="str">
        <f>IF(J3762&lt;&gt;1,"",IF(I3762="SBJ","CB","?"))</f>
        <v> </v>
      </c>
      <c r="I3762" s="25" t="str">
        <f>IF(OR(E3762="",E3762="!!!",F3762="NEW"),"",INDEX(B3761:B$2,-1+SUMPRODUCT(MAX(ROW(E3761:E$2)*(E3762=E3761:E$2)))))</f>
        <v> </v>
      </c>
      <c r="J3762" s="25" t="str">
        <f>IF(OR(E3762="",E3762="!!!",F3762="NEW"),"",COUNTBLANK(OFFSET(A$1,,,SUMPRODUCT(MAX(ROW(E$2:E3762)*(E3762=E$2:E3762)))))-COUNTBLANK(OFFSET(A$1,,,SUMPRODUCT(MAX(ROW(E$1:E3761)*(E2=E$1:E3761))))))</f>
        <v> </v>
      </c>
      <c r="K3762" s="25" t="str">
        <f>IF(OR(E3762="",E3762="!!!",F3762="NEW"),"",INDEX(J$1:J3761,SUMPRODUCT(MAX(ROW(E$1:E3761)*(E3762=E$1:E3761)))))</f>
        <v> </v>
      </c>
      <c r="L3762" s="26"/>
    </row>
    <row r="3763" spans="1:12">
      <c r="A3763" s="20" t="s">
        <v>1022</v>
      </c>
      <c r="E3763" s="21">
        <f>IF(D3763="?OLD","!!!","")</f>
        <v/>
      </c>
      <c r="F3763" s="22" t="str">
        <f>IF(OR(E3763="",E3763="!!!"),"",IF(NOT(ISNA(VLOOKUP(E3763,E$1:E3762,1,FALSE()))),"OLD",IF(AND(E3763&lt;&gt;"",E3763&lt;&gt;"!!!"),"NEW","")))</f>
        <v> </v>
      </c>
      <c r="G3763" s="23" t="str">
        <f>IF(OR(E3763="",E3763="!!!"),"",IF(OR(J3763=0,AND(J3763=1,K3763=1),AND(J3763=1,I3763="SBJ"),AND(J3763=1,I3763=0)),"?IN_FOCUS",IF(J3763&lt;=2,"?ACTIVATED",IF(J3763&lt;&gt;"","?FAMILIAR",IF(F3763="NEW",IF(ISNA(VLOOKUP(E3763,#REF!,1,FALSE())),"?TYPE_IDENTIFIABLE","?REFERENTIAL"),"_")))))</f>
        <v> </v>
      </c>
      <c r="H3763" s="24" t="str">
        <f>IF(J3763&lt;&gt;1,"",IF(I3763="SBJ","CB","?"))</f>
        <v> </v>
      </c>
      <c r="I3763" s="25" t="str">
        <f>IF(OR(E3763="",E3763="!!!",F3763="NEW"),"",INDEX(B3762:B$2,-1+SUMPRODUCT(MAX(ROW(E3762:E$2)*(E3763=E3762:E$2)))))</f>
        <v> </v>
      </c>
      <c r="J3763" s="25" t="str">
        <f>IF(OR(E3763="",E3763="!!!",F3763="NEW"),"",COUNTBLANK(OFFSET(A$1,,,SUMPRODUCT(MAX(ROW(E$2:E3763)*(E3763=E$2:E3763)))))-COUNTBLANK(OFFSET(A$1,,,SUMPRODUCT(MAX(ROW(E$1:E3762)*(E2=E$1:E3762))))))</f>
        <v> </v>
      </c>
      <c r="K3763" s="25" t="str">
        <f>IF(OR(E3763="",E3763="!!!",F3763="NEW"),"",INDEX(J$1:J3762,SUMPRODUCT(MAX(ROW(E$1:E3762)*(E3763=E$1:E3762)))))</f>
        <v> </v>
      </c>
      <c r="L3763" s="26"/>
    </row>
    <row r="3764" spans="1:12">
      <c r="A3764" s="20" t="s">
        <v>1099</v>
      </c>
      <c r="E3764" s="21">
        <f>IF(D3764="?OLD","!!!","")</f>
        <v/>
      </c>
      <c r="F3764" s="22" t="str">
        <f>IF(OR(E3764="",E3764="!!!"),"",IF(NOT(ISNA(VLOOKUP(E3764,E$1:E3763,1,FALSE()))),"OLD",IF(AND(E3764&lt;&gt;"",E3764&lt;&gt;"!!!"),"NEW","")))</f>
        <v> </v>
      </c>
      <c r="G3764" s="23" t="str">
        <f>IF(OR(E3764="",E3764="!!!"),"",IF(OR(J3764=0,AND(J3764=1,K3764=1),AND(J3764=1,I3764="SBJ"),AND(J3764=1,I3764=0)),"?IN_FOCUS",IF(J3764&lt;=2,"?ACTIVATED",IF(J3764&lt;&gt;"","?FAMILIAR",IF(F3764="NEW",IF(ISNA(VLOOKUP(E3764,#REF!,1,FALSE())),"?TYPE_IDENTIFIABLE","?REFERENTIAL"),"_")))))</f>
        <v> </v>
      </c>
      <c r="H3764" s="24" t="str">
        <f>IF(J3764&lt;&gt;1,"",IF(I3764="SBJ","CB","?"))</f>
        <v> </v>
      </c>
      <c r="I3764" s="25" t="str">
        <f>IF(OR(E3764="",E3764="!!!",F3764="NEW"),"",INDEX(B3763:B$2,-1+SUMPRODUCT(MAX(ROW(E3763:E$2)*(E3764=E3763:E$2)))))</f>
        <v> </v>
      </c>
      <c r="J3764" s="25" t="str">
        <f>IF(OR(E3764="",E3764="!!!",F3764="NEW"),"",COUNTBLANK(OFFSET(A$1,,,SUMPRODUCT(MAX(ROW(E$2:E3764)*(E3764=E$2:E3764)))))-COUNTBLANK(OFFSET(A$1,,,SUMPRODUCT(MAX(ROW(E$1:E3763)*(E2=E$1:E3763))))))</f>
        <v> </v>
      </c>
      <c r="K3764" s="25" t="str">
        <f>IF(OR(E3764="",E3764="!!!",F3764="NEW"),"",INDEX(J$1:J3763,SUMPRODUCT(MAX(ROW(E$1:E3763)*(E3764=E$1:E3763)))))</f>
        <v> </v>
      </c>
      <c r="L3764" s="26"/>
    </row>
    <row r="3765" spans="1:12">
      <c r="A3765" s="20" t="s">
        <v>1016</v>
      </c>
      <c r="E3765" s="21">
        <f>IF(D3765="?OLD","!!!","")</f>
        <v/>
      </c>
      <c r="F3765" s="22" t="str">
        <f>IF(OR(E3765="",E3765="!!!"),"",IF(NOT(ISNA(VLOOKUP(E3765,E$1:E3764,1,FALSE()))),"OLD",IF(AND(E3765&lt;&gt;"",E3765&lt;&gt;"!!!"),"NEW","")))</f>
        <v> </v>
      </c>
      <c r="G3765" s="23" t="str">
        <f>IF(OR(E3765="",E3765="!!!"),"",IF(OR(J3765=0,AND(J3765=1,K3765=1),AND(J3765=1,I3765="SBJ"),AND(J3765=1,I3765=0)),"?IN_FOCUS",IF(J3765&lt;=2,"?ACTIVATED",IF(J3765&lt;&gt;"","?FAMILIAR",IF(F3765="NEW",IF(ISNA(VLOOKUP(E3765,#REF!,1,FALSE())),"?TYPE_IDENTIFIABLE","?REFERENTIAL"),"_")))))</f>
        <v> </v>
      </c>
      <c r="H3765" s="24" t="str">
        <f>IF(J3765&lt;&gt;1,"",IF(I3765="SBJ","CB","?"))</f>
        <v> </v>
      </c>
      <c r="I3765" s="25" t="str">
        <f>IF(OR(E3765="",E3765="!!!",F3765="NEW"),"",INDEX(B3764:B$2,-1+SUMPRODUCT(MAX(ROW(E3764:E$2)*(E3765=E3764:E$2)))))</f>
        <v> </v>
      </c>
      <c r="J3765" s="25" t="str">
        <f>IF(OR(E3765="",E3765="!!!",F3765="NEW"),"",COUNTBLANK(OFFSET(A$1,,,SUMPRODUCT(MAX(ROW(E$2:E3765)*(E3765=E$2:E3765)))))-COUNTBLANK(OFFSET(A$1,,,SUMPRODUCT(MAX(ROW(E$1:E3764)*(E2=E$1:E3764))))))</f>
        <v> </v>
      </c>
      <c r="K3765" s="25" t="str">
        <f>IF(OR(E3765="",E3765="!!!",F3765="NEW"),"",INDEX(J$1:J3764,SUMPRODUCT(MAX(ROW(E$1:E3764)*(E3765=E$1:E3764)))))</f>
        <v> </v>
      </c>
      <c r="L3765" s="26"/>
    </row>
    <row r="3766" spans="1:12">
      <c r="A3766" s="20" t="s">
        <v>1036</v>
      </c>
      <c r="E3766" s="21">
        <f>IF(D3766="?OLD","!!!","")</f>
        <v/>
      </c>
      <c r="F3766" s="22" t="str">
        <f>IF(OR(E3766="",E3766="!!!"),"",IF(NOT(ISNA(VLOOKUP(E3766,E$1:E3765,1,FALSE()))),"OLD",IF(AND(E3766&lt;&gt;"",E3766&lt;&gt;"!!!"),"NEW","")))</f>
        <v> </v>
      </c>
      <c r="G3766" s="23" t="str">
        <f>IF(OR(E3766="",E3766="!!!"),"",IF(OR(J3766=0,AND(J3766=1,K3766=1),AND(J3766=1,I3766="SBJ"),AND(J3766=1,I3766=0)),"?IN_FOCUS",IF(J3766&lt;=2,"?ACTIVATED",IF(J3766&lt;&gt;"","?FAMILIAR",IF(F3766="NEW",IF(ISNA(VLOOKUP(E3766,#REF!,1,FALSE())),"?TYPE_IDENTIFIABLE","?REFERENTIAL"),"_")))))</f>
        <v> </v>
      </c>
      <c r="H3766" s="24" t="str">
        <f>IF(J3766&lt;&gt;1,"",IF(I3766="SBJ","CB","?"))</f>
        <v> </v>
      </c>
      <c r="I3766" s="25" t="str">
        <f>IF(OR(E3766="",E3766="!!!",F3766="NEW"),"",INDEX(B3765:B$2,-1+SUMPRODUCT(MAX(ROW(E3765:E$2)*(E3766=E3765:E$2)))))</f>
        <v> </v>
      </c>
      <c r="J3766" s="25" t="str">
        <f>IF(OR(E3766="",E3766="!!!",F3766="NEW"),"",COUNTBLANK(OFFSET(A$1,,,SUMPRODUCT(MAX(ROW(E$2:E3766)*(E3766=E$2:E3766)))))-COUNTBLANK(OFFSET(A$1,,,SUMPRODUCT(MAX(ROW(E$1:E3765)*(E2=E$1:E3765))))))</f>
        <v> </v>
      </c>
      <c r="K3766" s="25" t="str">
        <f>IF(OR(E3766="",E3766="!!!",F3766="NEW"),"",INDEX(J$1:J3765,SUMPRODUCT(MAX(ROW(E$1:E3765)*(E3766=E$1:E3765)))))</f>
        <v> </v>
      </c>
      <c r="L3766" s="26"/>
    </row>
    <row r="3767" spans="1:12">
      <c r="A3767" s="20" t="s">
        <v>1968</v>
      </c>
      <c r="B3767" s="27" t="s">
        <v>1079</v>
      </c>
      <c r="C3767" s="27" t="s">
        <v>1077</v>
      </c>
      <c r="D3767" s="27" t="s">
        <v>1030</v>
      </c>
      <c r="E3767" s="21">
        <f>IF(D3767="?OLD","!!!","")</f>
        <v/>
      </c>
      <c r="F3767" s="22" t="str">
        <f>IF(OR(E3767="",E3767="!!!"),"",IF(NOT(ISNA(VLOOKUP(E3767,E$1:E3766,1,FALSE()))),"OLD",IF(AND(E3767&lt;&gt;"",E3767&lt;&gt;"!!!"),"NEW","")))</f>
        <v> </v>
      </c>
      <c r="G3767" s="23" t="str">
        <f>IF(OR(E3767="",E3767="!!!"),"",IF(OR(J3767=0,AND(J3767=1,K3767=1),AND(J3767=1,I3767="SBJ"),AND(J3767=1,I3767=0)),"?IN_FOCUS",IF(J3767&lt;=2,"?ACTIVATED",IF(J3767&lt;&gt;"","?FAMILIAR",IF(F3767="NEW",IF(ISNA(VLOOKUP(E3767,#REF!,1,FALSE())),"?TYPE_IDENTIFIABLE","?REFERENTIAL"),"_")))))</f>
        <v> </v>
      </c>
      <c r="H3767" s="24" t="str">
        <f>IF(J3767&lt;&gt;1,"",IF(I3767="SBJ","CB","?"))</f>
        <v> </v>
      </c>
      <c r="I3767" s="25" t="str">
        <f>IF(OR(E3767="",E3767="!!!",F3767="NEW"),"",INDEX(B3766:B$2,-1+SUMPRODUCT(MAX(ROW(E3766:E$2)*(E3767=E3766:E$2)))))</f>
        <v> </v>
      </c>
      <c r="J3767" s="25" t="str">
        <f>IF(OR(E3767="",E3767="!!!",F3767="NEW"),"",COUNTBLANK(OFFSET(A$1,,,SUMPRODUCT(MAX(ROW(E$2:E3767)*(E3767=E$2:E3767)))))-COUNTBLANK(OFFSET(A$1,,,SUMPRODUCT(MAX(ROW(E$1:E3766)*(E2=E$1:E3766))))))</f>
        <v> </v>
      </c>
      <c r="K3767" s="25" t="str">
        <f>IF(OR(E3767="",E3767="!!!",F3767="NEW"),"",INDEX(J$1:J3766,SUMPRODUCT(MAX(ROW(E$1:E3766)*(E3767=E$1:E3766)))))</f>
        <v> </v>
      </c>
      <c r="L3767" s="26"/>
    </row>
    <row r="3768" spans="1:12">
      <c r="A3768" s="20" t="s">
        <v>2287</v>
      </c>
      <c r="B3768" s="27" t="s">
        <v>1045</v>
      </c>
      <c r="C3768" s="27" t="s">
        <v>1038</v>
      </c>
      <c r="D3768" s="27" t="s">
        <v>1030</v>
      </c>
      <c r="E3768" s="21">
        <f>IF(D3768="?OLD","!!!","")</f>
        <v/>
      </c>
      <c r="F3768" s="22" t="str">
        <f>IF(OR(E3768="",E3768="!!!"),"",IF(NOT(ISNA(VLOOKUP(E3768,E$1:E3767,1,FALSE()))),"OLD",IF(AND(E3768&lt;&gt;"",E3768&lt;&gt;"!!!"),"NEW","")))</f>
        <v> </v>
      </c>
      <c r="G3768" s="23" t="str">
        <f>IF(OR(E3768="",E3768="!!!"),"",IF(OR(J3768=0,AND(J3768=1,K3768=1),AND(J3768=1,I3768="SBJ"),AND(J3768=1,I3768=0)),"?IN_FOCUS",IF(J3768&lt;=2,"?ACTIVATED",IF(J3768&lt;&gt;"","?FAMILIAR",IF(F3768="NEW",IF(ISNA(VLOOKUP(E3768,#REF!,1,FALSE())),"?TYPE_IDENTIFIABLE","?REFERENTIAL"),"_")))))</f>
        <v> </v>
      </c>
      <c r="H3768" s="24" t="str">
        <f>IF(J3768&lt;&gt;1,"",IF(I3768="SBJ","CB","?"))</f>
        <v> </v>
      </c>
      <c r="I3768" s="25" t="str">
        <f>IF(OR(E3768="",E3768="!!!",F3768="NEW"),"",INDEX(B3767:B$2,-1+SUMPRODUCT(MAX(ROW(E3767:E$2)*(E3768=E3767:E$2)))))</f>
        <v> </v>
      </c>
      <c r="J3768" s="25" t="str">
        <f>IF(OR(E3768="",E3768="!!!",F3768="NEW"),"",COUNTBLANK(OFFSET(A$1,,,SUMPRODUCT(MAX(ROW(E$2:E3768)*(E3768=E$2:E3768)))))-COUNTBLANK(OFFSET(A$1,,,SUMPRODUCT(MAX(ROW(E$1:E3767)*(E2=E$1:E3767))))))</f>
        <v> </v>
      </c>
      <c r="K3768" s="25" t="str">
        <f>IF(OR(E3768="",E3768="!!!",F3768="NEW"),"",INDEX(J$1:J3767,SUMPRODUCT(MAX(ROW(E$1:E3767)*(E3768=E$1:E3767)))))</f>
        <v> </v>
      </c>
      <c r="L3768" s="26"/>
    </row>
    <row r="3769" spans="1:12">
      <c r="A3769" s="20" t="s">
        <v>1016</v>
      </c>
      <c r="E3769" s="21">
        <f>IF(D3769="?OLD","!!!","")</f>
        <v/>
      </c>
      <c r="F3769" s="22" t="str">
        <f>IF(OR(E3769="",E3769="!!!"),"",IF(NOT(ISNA(VLOOKUP(E3769,E$1:E3768,1,FALSE()))),"OLD",IF(AND(E3769&lt;&gt;"",E3769&lt;&gt;"!!!"),"NEW","")))</f>
        <v> </v>
      </c>
      <c r="G3769" s="23" t="str">
        <f>IF(OR(E3769="",E3769="!!!"),"",IF(OR(J3769=0,AND(J3769=1,K3769=1),AND(J3769=1,I3769="SBJ"),AND(J3769=1,I3769=0)),"?IN_FOCUS",IF(J3769&lt;=2,"?ACTIVATED",IF(J3769&lt;&gt;"","?FAMILIAR",IF(F3769="NEW",IF(ISNA(VLOOKUP(E3769,#REF!,1,FALSE())),"?TYPE_IDENTIFIABLE","?REFERENTIAL"),"_")))))</f>
        <v> </v>
      </c>
      <c r="H3769" s="24" t="str">
        <f>IF(J3769&lt;&gt;1,"",IF(I3769="SBJ","CB","?"))</f>
        <v> </v>
      </c>
      <c r="I3769" s="25" t="str">
        <f>IF(OR(E3769="",E3769="!!!",F3769="NEW"),"",INDEX(B3768:B$2,-1+SUMPRODUCT(MAX(ROW(E3768:E$2)*(E3769=E3768:E$2)))))</f>
        <v> </v>
      </c>
      <c r="J3769" s="25" t="str">
        <f>IF(OR(E3769="",E3769="!!!",F3769="NEW"),"",COUNTBLANK(OFFSET(A$1,,,SUMPRODUCT(MAX(ROW(E$2:E3769)*(E3769=E$2:E3769)))))-COUNTBLANK(OFFSET(A$1,,,SUMPRODUCT(MAX(ROW(E$1:E3768)*(E2=E$1:E3768))))))</f>
        <v> </v>
      </c>
      <c r="K3769" s="25" t="str">
        <f>IF(OR(E3769="",E3769="!!!",F3769="NEW"),"",INDEX(J$1:J3768,SUMPRODUCT(MAX(ROW(E$1:E3768)*(E3769=E$1:E3768)))))</f>
        <v> </v>
      </c>
      <c r="L3769" s="26"/>
    </row>
    <row r="3770" spans="1:12">
      <c r="A3770" s="20" t="s">
        <v>197</v>
      </c>
      <c r="E3770" s="21">
        <f>IF(D3770="?OLD","!!!","")</f>
        <v/>
      </c>
      <c r="F3770" s="22" t="str">
        <f>IF(OR(E3770="",E3770="!!!"),"",IF(NOT(ISNA(VLOOKUP(E3770,E$1:E3769,1,FALSE()))),"OLD",IF(AND(E3770&lt;&gt;"",E3770&lt;&gt;"!!!"),"NEW","")))</f>
        <v> </v>
      </c>
      <c r="G3770" s="23" t="str">
        <f>IF(OR(E3770="",E3770="!!!"),"",IF(OR(J3770=0,AND(J3770=1,K3770=1),AND(J3770=1,I3770="SBJ"),AND(J3770=1,I3770=0)),"?IN_FOCUS",IF(J3770&lt;=2,"?ACTIVATED",IF(J3770&lt;&gt;"","?FAMILIAR",IF(F3770="NEW",IF(ISNA(VLOOKUP(E3770,#REF!,1,FALSE())),"?TYPE_IDENTIFIABLE","?REFERENTIAL"),"_")))))</f>
        <v> </v>
      </c>
      <c r="H3770" s="24" t="str">
        <f>IF(J3770&lt;&gt;1,"",IF(I3770="SBJ","CB","?"))</f>
        <v> </v>
      </c>
      <c r="I3770" s="25" t="str">
        <f>IF(OR(E3770="",E3770="!!!",F3770="NEW"),"",INDEX(B3769:B$2,-1+SUMPRODUCT(MAX(ROW(E3769:E$2)*(E3770=E3769:E$2)))))</f>
        <v> </v>
      </c>
      <c r="J3770" s="25" t="str">
        <f>IF(OR(E3770="",E3770="!!!",F3770="NEW"),"",COUNTBLANK(OFFSET(A$1,,,SUMPRODUCT(MAX(ROW(E$2:E3770)*(E3770=E$2:E3770)))))-COUNTBLANK(OFFSET(A$1,,,SUMPRODUCT(MAX(ROW(E$1:E3769)*(E2=E$1:E3769))))))</f>
        <v> </v>
      </c>
      <c r="K3770" s="25" t="str">
        <f>IF(OR(E3770="",E3770="!!!",F3770="NEW"),"",INDEX(J$1:J3769,SUMPRODUCT(MAX(ROW(E$1:E3769)*(E3770=E$1:E3769)))))</f>
        <v> </v>
      </c>
      <c r="L3770" s="26"/>
    </row>
    <row r="3771" spans="1:12">
      <c r="A3771" s="20" t="s">
        <v>876</v>
      </c>
      <c r="B3771" s="27" t="s">
        <v>1020</v>
      </c>
      <c r="C3771" s="27" t="s">
        <v>1015</v>
      </c>
      <c r="E3771" s="21">
        <f>IF(D3771="?OLD","!!!","")</f>
        <v/>
      </c>
      <c r="F3771" s="22" t="str">
        <f>IF(OR(E3771="",E3771="!!!"),"",IF(NOT(ISNA(VLOOKUP(E3771,E$1:E3770,1,FALSE()))),"OLD",IF(AND(E3771&lt;&gt;"",E3771&lt;&gt;"!!!"),"NEW","")))</f>
        <v> </v>
      </c>
      <c r="G3771" s="23" t="str">
        <f>IF(OR(E3771="",E3771="!!!"),"",IF(OR(J3771=0,AND(J3771=1,K3771=1),AND(J3771=1,I3771="SBJ"),AND(J3771=1,I3771=0)),"?IN_FOCUS",IF(J3771&lt;=2,"?ACTIVATED",IF(J3771&lt;&gt;"","?FAMILIAR",IF(F3771="NEW",IF(ISNA(VLOOKUP(E3771,#REF!,1,FALSE())),"?TYPE_IDENTIFIABLE","?REFERENTIAL"),"_")))))</f>
        <v> </v>
      </c>
      <c r="H3771" s="24" t="str">
        <f>IF(J3771&lt;&gt;1,"",IF(I3771="SBJ","CB","?"))</f>
        <v> </v>
      </c>
      <c r="I3771" s="25" t="str">
        <f>IF(OR(E3771="",E3771="!!!",F3771="NEW"),"",INDEX(B3770:B$2,-1+SUMPRODUCT(MAX(ROW(E3770:E$2)*(E3771=E3770:E$2)))))</f>
        <v> </v>
      </c>
      <c r="J3771" s="25" t="str">
        <f>IF(OR(E3771="",E3771="!!!",F3771="NEW"),"",COUNTBLANK(OFFSET(A$1,,,SUMPRODUCT(MAX(ROW(E$2:E3771)*(E3771=E$2:E3771)))))-COUNTBLANK(OFFSET(A$1,,,SUMPRODUCT(MAX(ROW(E$1:E3770)*(E2=E$1:E3770))))))</f>
        <v> </v>
      </c>
      <c r="K3771" s="25" t="str">
        <f>IF(OR(E3771="",E3771="!!!",F3771="NEW"),"",INDEX(J$1:J3770,SUMPRODUCT(MAX(ROW(E$1:E3770)*(E3771=E$1:E3770)))))</f>
        <v> </v>
      </c>
      <c r="L3771" s="26"/>
    </row>
    <row r="3772" spans="1:12">
      <c r="A3772" s="20" t="s">
        <v>1188</v>
      </c>
      <c r="E3772" s="21">
        <f>IF(D3772="?OLD","!!!","")</f>
        <v/>
      </c>
      <c r="F3772" s="22" t="str">
        <f>IF(OR(E3772="",E3772="!!!"),"",IF(NOT(ISNA(VLOOKUP(E3772,E$1:E3771,1,FALSE()))),"OLD",IF(AND(E3772&lt;&gt;"",E3772&lt;&gt;"!!!"),"NEW","")))</f>
        <v> </v>
      </c>
      <c r="G3772" s="23" t="str">
        <f>IF(OR(E3772="",E3772="!!!"),"",IF(OR(J3772=0,AND(J3772=1,K3772=1),AND(J3772=1,I3772="SBJ"),AND(J3772=1,I3772=0)),"?IN_FOCUS",IF(J3772&lt;=2,"?ACTIVATED",IF(J3772&lt;&gt;"","?FAMILIAR",IF(F3772="NEW",IF(ISNA(VLOOKUP(E3772,#REF!,1,FALSE())),"?TYPE_IDENTIFIABLE","?REFERENTIAL"),"_")))))</f>
        <v> </v>
      </c>
      <c r="H3772" s="24" t="str">
        <f>IF(J3772&lt;&gt;1,"",IF(I3772="SBJ","CB","?"))</f>
        <v> </v>
      </c>
      <c r="I3772" s="25" t="str">
        <f>IF(OR(E3772="",E3772="!!!",F3772="NEW"),"",INDEX(B3771:B$2,-1+SUMPRODUCT(MAX(ROW(E3771:E$2)*(E3772=E3771:E$2)))))</f>
        <v> </v>
      </c>
      <c r="J3772" s="25" t="str">
        <f>IF(OR(E3772="",E3772="!!!",F3772="NEW"),"",COUNTBLANK(OFFSET(A$1,,,SUMPRODUCT(MAX(ROW(E$2:E3772)*(E3772=E$2:E3772)))))-COUNTBLANK(OFFSET(A$1,,,SUMPRODUCT(MAX(ROW(E$1:E3771)*(E2=E$1:E3771))))))</f>
        <v> </v>
      </c>
      <c r="K3772" s="25" t="str">
        <f>IF(OR(E3772="",E3772="!!!",F3772="NEW"),"",INDEX(J$1:J3771,SUMPRODUCT(MAX(ROW(E$1:E3771)*(E3772=E$1:E3771)))))</f>
        <v> </v>
      </c>
      <c r="L3772" s="26"/>
    </row>
    <row r="3773" spans="1:12">
      <c r="A3773" s="20" t="s">
        <v>1023</v>
      </c>
      <c r="E3773" s="21">
        <f>IF(D3773="?OLD","!!!","")</f>
        <v/>
      </c>
      <c r="F3773" s="22" t="str">
        <f>IF(OR(E3773="",E3773="!!!"),"",IF(NOT(ISNA(VLOOKUP(E3773,E$1:E3772,1,FALSE()))),"OLD",IF(AND(E3773&lt;&gt;"",E3773&lt;&gt;"!!!"),"NEW","")))</f>
        <v> </v>
      </c>
      <c r="G3773" s="23" t="str">
        <f>IF(OR(E3773="",E3773="!!!"),"",IF(OR(J3773=0,AND(J3773=1,K3773=1),AND(J3773=1,I3773="SBJ"),AND(J3773=1,I3773=0)),"?IN_FOCUS",IF(J3773&lt;=2,"?ACTIVATED",IF(J3773&lt;&gt;"","?FAMILIAR",IF(F3773="NEW",IF(ISNA(VLOOKUP(E3773,#REF!,1,FALSE())),"?TYPE_IDENTIFIABLE","?REFERENTIAL"),"_")))))</f>
        <v> </v>
      </c>
      <c r="H3773" s="24" t="str">
        <f>IF(J3773&lt;&gt;1,"",IF(I3773="SBJ","CB","?"))</f>
        <v> </v>
      </c>
      <c r="I3773" s="25" t="str">
        <f>IF(OR(E3773="",E3773="!!!",F3773="NEW"),"",INDEX(B3772:B$2,-1+SUMPRODUCT(MAX(ROW(E3772:E$2)*(E3773=E3772:E$2)))))</f>
        <v> </v>
      </c>
      <c r="J3773" s="25" t="str">
        <f>IF(OR(E3773="",E3773="!!!",F3773="NEW"),"",COUNTBLANK(OFFSET(A$1,,,SUMPRODUCT(MAX(ROW(E$2:E3773)*(E3773=E$2:E3773)))))-COUNTBLANK(OFFSET(A$1,,,SUMPRODUCT(MAX(ROW(E$1:E3772)*(E2=E$1:E3772))))))</f>
        <v> </v>
      </c>
      <c r="K3773" s="25" t="str">
        <f>IF(OR(E3773="",E3773="!!!",F3773="NEW"),"",INDEX(J$1:J3772,SUMPRODUCT(MAX(ROW(E$1:E3772)*(E3773=E$1:E3772)))))</f>
        <v> </v>
      </c>
      <c r="L3773" s="26"/>
    </row>
    <row r="3774" spans="1:12">
      <c r="A3774" s="20" t="s">
        <v>1022</v>
      </c>
      <c r="E3774" s="21">
        <f>IF(D3774="?OLD","!!!","")</f>
        <v/>
      </c>
      <c r="F3774" s="22" t="str">
        <f>IF(OR(E3774="",E3774="!!!"),"",IF(NOT(ISNA(VLOOKUP(E3774,E$1:E3773,1,FALSE()))),"OLD",IF(AND(E3774&lt;&gt;"",E3774&lt;&gt;"!!!"),"NEW","")))</f>
        <v> </v>
      </c>
      <c r="G3774" s="23" t="str">
        <f>IF(OR(E3774="",E3774="!!!"),"",IF(OR(J3774=0,AND(J3774=1,K3774=1),AND(J3774=1,I3774="SBJ"),AND(J3774=1,I3774=0)),"?IN_FOCUS",IF(J3774&lt;=2,"?ACTIVATED",IF(J3774&lt;&gt;"","?FAMILIAR",IF(F3774="NEW",IF(ISNA(VLOOKUP(E3774,#REF!,1,FALSE())),"?TYPE_IDENTIFIABLE","?REFERENTIAL"),"_")))))</f>
        <v> </v>
      </c>
      <c r="H3774" s="24" t="str">
        <f>IF(J3774&lt;&gt;1,"",IF(I3774="SBJ","CB","?"))</f>
        <v> </v>
      </c>
      <c r="I3774" s="25" t="str">
        <f>IF(OR(E3774="",E3774="!!!",F3774="NEW"),"",INDEX(B3773:B$2,-1+SUMPRODUCT(MAX(ROW(E3773:E$2)*(E3774=E3773:E$2)))))</f>
        <v> </v>
      </c>
      <c r="J3774" s="25" t="str">
        <f>IF(OR(E3774="",E3774="!!!",F3774="NEW"),"",COUNTBLANK(OFFSET(A$1,,,SUMPRODUCT(MAX(ROW(E$2:E3774)*(E3774=E$2:E3774)))))-COUNTBLANK(OFFSET(A$1,,,SUMPRODUCT(MAX(ROW(E$1:E3773)*(E2=E$1:E3773))))))</f>
        <v> </v>
      </c>
      <c r="K3774" s="25" t="str">
        <f>IF(OR(E3774="",E3774="!!!",F3774="NEW"),"",INDEX(J$1:J3773,SUMPRODUCT(MAX(ROW(E$1:E3773)*(E3774=E$1:E3773)))))</f>
        <v> </v>
      </c>
      <c r="L3774" s="26"/>
    </row>
    <row r="3775" spans="1:12">
      <c r="A3775" s="20" t="s">
        <v>1142</v>
      </c>
      <c r="E3775" s="21">
        <f>IF(D3775="?OLD","!!!","")</f>
        <v/>
      </c>
      <c r="F3775" s="22" t="str">
        <f>IF(OR(E3775="",E3775="!!!"),"",IF(NOT(ISNA(VLOOKUP(E3775,E$1:E3774,1,FALSE()))),"OLD",IF(AND(E3775&lt;&gt;"",E3775&lt;&gt;"!!!"),"NEW","")))</f>
        <v> </v>
      </c>
      <c r="G3775" s="23" t="str">
        <f>IF(OR(E3775="",E3775="!!!"),"",IF(OR(J3775=0,AND(J3775=1,K3775=1),AND(J3775=1,I3775="SBJ"),AND(J3775=1,I3775=0)),"?IN_FOCUS",IF(J3775&lt;=2,"?ACTIVATED",IF(J3775&lt;&gt;"","?FAMILIAR",IF(F3775="NEW",IF(ISNA(VLOOKUP(E3775,#REF!,1,FALSE())),"?TYPE_IDENTIFIABLE","?REFERENTIAL"),"_")))))</f>
        <v> </v>
      </c>
      <c r="H3775" s="24" t="str">
        <f>IF(J3775&lt;&gt;1,"",IF(I3775="SBJ","CB","?"))</f>
        <v> </v>
      </c>
      <c r="I3775" s="25" t="str">
        <f>IF(OR(E3775="",E3775="!!!",F3775="NEW"),"",INDEX(B3774:B$2,-1+SUMPRODUCT(MAX(ROW(E3774:E$2)*(E3775=E3774:E$2)))))</f>
        <v> </v>
      </c>
      <c r="J3775" s="25" t="str">
        <f>IF(OR(E3775="",E3775="!!!",F3775="NEW"),"",COUNTBLANK(OFFSET(A$1,,,SUMPRODUCT(MAX(ROW(E$2:E3775)*(E3775=E$2:E3775)))))-COUNTBLANK(OFFSET(A$1,,,SUMPRODUCT(MAX(ROW(E$1:E3774)*(E2=E$1:E3774))))))</f>
        <v> </v>
      </c>
      <c r="K3775" s="25" t="str">
        <f>IF(OR(E3775="",E3775="!!!",F3775="NEW"),"",INDEX(J$1:J3774,SUMPRODUCT(MAX(ROW(E$1:E3774)*(E3775=E$1:E3774)))))</f>
        <v> </v>
      </c>
      <c r="L3775" s="26"/>
    </row>
    <row r="3776" spans="1:12">
      <c r="A3776" s="20" t="s">
        <v>1022</v>
      </c>
      <c r="E3776" s="21">
        <f>IF(D3776="?OLD","!!!","")</f>
        <v/>
      </c>
      <c r="F3776" s="22" t="str">
        <f>IF(OR(E3776="",E3776="!!!"),"",IF(NOT(ISNA(VLOOKUP(E3776,E$1:E3775,1,FALSE()))),"OLD",IF(AND(E3776&lt;&gt;"",E3776&lt;&gt;"!!!"),"NEW","")))</f>
        <v> </v>
      </c>
      <c r="G3776" s="23" t="str">
        <f>IF(OR(E3776="",E3776="!!!"),"",IF(OR(J3776=0,AND(J3776=1,K3776=1),AND(J3776=1,I3776="SBJ"),AND(J3776=1,I3776=0)),"?IN_FOCUS",IF(J3776&lt;=2,"?ACTIVATED",IF(J3776&lt;&gt;"","?FAMILIAR",IF(F3776="NEW",IF(ISNA(VLOOKUP(E3776,#REF!,1,FALSE())),"?TYPE_IDENTIFIABLE","?REFERENTIAL"),"_")))))</f>
        <v> </v>
      </c>
      <c r="H3776" s="24" t="str">
        <f>IF(J3776&lt;&gt;1,"",IF(I3776="SBJ","CB","?"))</f>
        <v> </v>
      </c>
      <c r="I3776" s="25" t="str">
        <f>IF(OR(E3776="",E3776="!!!",F3776="NEW"),"",INDEX(B3775:B$2,-1+SUMPRODUCT(MAX(ROW(E3775:E$2)*(E3776=E3775:E$2)))))</f>
        <v> </v>
      </c>
      <c r="J3776" s="25" t="str">
        <f>IF(OR(E3776="",E3776="!!!",F3776="NEW"),"",COUNTBLANK(OFFSET(A$1,,,SUMPRODUCT(MAX(ROW(E$2:E3776)*(E3776=E$2:E3776)))))-COUNTBLANK(OFFSET(A$1,,,SUMPRODUCT(MAX(ROW(E$1:E3775)*(E2=E$1:E3775))))))</f>
        <v> </v>
      </c>
      <c r="K3776" s="25" t="str">
        <f>IF(OR(E3776="",E3776="!!!",F3776="NEW"),"",INDEX(J$1:J3775,SUMPRODUCT(MAX(ROW(E$1:E3775)*(E3776=E$1:E3775)))))</f>
        <v> </v>
      </c>
      <c r="L3776" s="26"/>
    </row>
    <row r="3777" spans="1:12">
      <c r="A3777" s="20" t="s">
        <v>1188</v>
      </c>
      <c r="E3777" s="21">
        <f>IF(D3777="?OLD","!!!","")</f>
        <v/>
      </c>
      <c r="F3777" s="22" t="str">
        <f>IF(OR(E3777="",E3777="!!!"),"",IF(NOT(ISNA(VLOOKUP(E3777,E$1:E3776,1,FALSE()))),"OLD",IF(AND(E3777&lt;&gt;"",E3777&lt;&gt;"!!!"),"NEW","")))</f>
        <v> </v>
      </c>
      <c r="G3777" s="23" t="str">
        <f>IF(OR(E3777="",E3777="!!!"),"",IF(OR(J3777=0,AND(J3777=1,K3777=1),AND(J3777=1,I3777="SBJ"),AND(J3777=1,I3777=0)),"?IN_FOCUS",IF(J3777&lt;=2,"?ACTIVATED",IF(J3777&lt;&gt;"","?FAMILIAR",IF(F3777="NEW",IF(ISNA(VLOOKUP(E3777,#REF!,1,FALSE())),"?TYPE_IDENTIFIABLE","?REFERENTIAL"),"_")))))</f>
        <v> </v>
      </c>
      <c r="H3777" s="24" t="str">
        <f>IF(J3777&lt;&gt;1,"",IF(I3777="SBJ","CB","?"))</f>
        <v> </v>
      </c>
      <c r="I3777" s="25" t="str">
        <f>IF(OR(E3777="",E3777="!!!",F3777="NEW"),"",INDEX(B3776:B$2,-1+SUMPRODUCT(MAX(ROW(E3776:E$2)*(E3777=E3776:E$2)))))</f>
        <v> </v>
      </c>
      <c r="J3777" s="25" t="str">
        <f>IF(OR(E3777="",E3777="!!!",F3777="NEW"),"",COUNTBLANK(OFFSET(A$1,,,SUMPRODUCT(MAX(ROW(E$2:E3777)*(E3777=E$2:E3777)))))-COUNTBLANK(OFFSET(A$1,,,SUMPRODUCT(MAX(ROW(E$1:E3776)*(E2=E$1:E3776))))))</f>
        <v> </v>
      </c>
      <c r="K3777" s="25" t="str">
        <f>IF(OR(E3777="",E3777="!!!",F3777="NEW"),"",INDEX(J$1:J3776,SUMPRODUCT(MAX(ROW(E$1:E3776)*(E3777=E$1:E3776)))))</f>
        <v> </v>
      </c>
      <c r="L3777" s="26"/>
    </row>
    <row r="3778" spans="1:12">
      <c r="A3778" s="20" t="s">
        <v>2288</v>
      </c>
      <c r="E3778" s="21">
        <f>IF(D3778="?OLD","!!!","")</f>
        <v/>
      </c>
      <c r="F3778" s="22" t="str">
        <f>IF(OR(E3778="",E3778="!!!"),"",IF(NOT(ISNA(VLOOKUP(E3778,E$1:E3777,1,FALSE()))),"OLD",IF(AND(E3778&lt;&gt;"",E3778&lt;&gt;"!!!"),"NEW","")))</f>
        <v> </v>
      </c>
      <c r="G3778" s="23" t="str">
        <f>IF(OR(E3778="",E3778="!!!"),"",IF(OR(J3778=0,AND(J3778=1,K3778=1),AND(J3778=1,I3778="SBJ"),AND(J3778=1,I3778=0)),"?IN_FOCUS",IF(J3778&lt;=2,"?ACTIVATED",IF(J3778&lt;&gt;"","?FAMILIAR",IF(F3778="NEW",IF(ISNA(VLOOKUP(E3778,#REF!,1,FALSE())),"?TYPE_IDENTIFIABLE","?REFERENTIAL"),"_")))))</f>
        <v> </v>
      </c>
      <c r="H3778" s="24" t="str">
        <f>IF(J3778&lt;&gt;1,"",IF(I3778="SBJ","CB","?"))</f>
        <v> </v>
      </c>
      <c r="I3778" s="25" t="str">
        <f>IF(OR(E3778="",E3778="!!!",F3778="NEW"),"",INDEX(B3777:B$2,-1+SUMPRODUCT(MAX(ROW(E3777:E$2)*(E3778=E3777:E$2)))))</f>
        <v> </v>
      </c>
      <c r="J3778" s="25" t="str">
        <f>IF(OR(E3778="",E3778="!!!",F3778="NEW"),"",COUNTBLANK(OFFSET(A$1,,,SUMPRODUCT(MAX(ROW(E$2:E3778)*(E3778=E$2:E3778)))))-COUNTBLANK(OFFSET(A$1,,,SUMPRODUCT(MAX(ROW(E$1:E3777)*(E2=E$1:E3777))))))</f>
        <v> </v>
      </c>
      <c r="K3778" s="25" t="str">
        <f>IF(OR(E3778="",E3778="!!!",F3778="NEW"),"",INDEX(J$1:J3777,SUMPRODUCT(MAX(ROW(E$1:E3777)*(E3778=E$1:E3777)))))</f>
        <v> </v>
      </c>
      <c r="L3778" s="26"/>
    </row>
    <row r="3779" spans="1:12">
      <c r="A3779" s="20" t="s">
        <v>135</v>
      </c>
      <c r="E3779" s="21">
        <f>IF(D3779="?OLD","!!!","")</f>
        <v/>
      </c>
      <c r="F3779" s="22" t="str">
        <f>IF(OR(E3779="",E3779="!!!"),"",IF(NOT(ISNA(VLOOKUP(E3779,E$1:E3778,1,FALSE()))),"OLD",IF(AND(E3779&lt;&gt;"",E3779&lt;&gt;"!!!"),"NEW","")))</f>
        <v> </v>
      </c>
      <c r="G3779" s="23" t="str">
        <f>IF(OR(E3779="",E3779="!!!"),"",IF(OR(J3779=0,AND(J3779=1,K3779=1),AND(J3779=1,I3779="SBJ"),AND(J3779=1,I3779=0)),"?IN_FOCUS",IF(J3779&lt;=2,"?ACTIVATED",IF(J3779&lt;&gt;"","?FAMILIAR",IF(F3779="NEW",IF(ISNA(VLOOKUP(E3779,#REF!,1,FALSE())),"?TYPE_IDENTIFIABLE","?REFERENTIAL"),"_")))))</f>
        <v> </v>
      </c>
      <c r="H3779" s="24" t="str">
        <f>IF(J3779&lt;&gt;1,"",IF(I3779="SBJ","CB","?"))</f>
        <v> </v>
      </c>
      <c r="I3779" s="25" t="str">
        <f>IF(OR(E3779="",E3779="!!!",F3779="NEW"),"",INDEX(B3778:B$2,-1+SUMPRODUCT(MAX(ROW(E3778:E$2)*(E3779=E3778:E$2)))))</f>
        <v> </v>
      </c>
      <c r="J3779" s="25" t="str">
        <f>IF(OR(E3779="",E3779="!!!",F3779="NEW"),"",COUNTBLANK(OFFSET(A$1,,,SUMPRODUCT(MAX(ROW(E$2:E3779)*(E3779=E$2:E3779)))))-COUNTBLANK(OFFSET(A$1,,,SUMPRODUCT(MAX(ROW(E$1:E3778)*(E2=E$1:E3778))))))</f>
        <v> </v>
      </c>
      <c r="K3779" s="25" t="str">
        <f>IF(OR(E3779="",E3779="!!!",F3779="NEW"),"",INDEX(J$1:J3778,SUMPRODUCT(MAX(ROW(E$1:E3778)*(E3779=E$1:E3778)))))</f>
        <v> </v>
      </c>
      <c r="L3779" s="26"/>
    </row>
    <row r="3780" spans="1:12">
      <c r="A3780" s="20"/>
    </row>
    <row r="3781" spans="1:12">
      <c r="A3781" s="20" t="s">
        <v>2289</v>
      </c>
    </row>
    <row r="3782" spans="1:12">
      <c r="A3782" s="20" t="s">
        <v>1088</v>
      </c>
      <c r="E3782" s="21">
        <f>IF(D3782="?OLD","!!!","")</f>
        <v/>
      </c>
      <c r="F3782" s="22" t="str">
        <f>IF(OR(E3782="",E3782="!!!"),"",IF(NOT(ISNA(VLOOKUP(E3782,E$1:E3781,1,FALSE()))),"OLD",IF(AND(E3782&lt;&gt;"",E3782&lt;&gt;"!!!"),"NEW","")))</f>
        <v> </v>
      </c>
      <c r="G3782" s="23" t="str">
        <f>IF(OR(E3782="",E3782="!!!"),"",IF(OR(J3782=0,AND(J3782=1,K3782=1),AND(J3782=1,I3782="SBJ"),AND(J3782=1,I3782=0)),"?IN_FOCUS",IF(J3782&lt;=2,"?ACTIVATED",IF(J3782&lt;&gt;"","?FAMILIAR",IF(F3782="NEW",IF(ISNA(VLOOKUP(E3782,#REF!,1,FALSE())),"?TYPE_IDENTIFIABLE","?REFERENTIAL"),"_")))))</f>
        <v> </v>
      </c>
      <c r="H3782" s="24" t="str">
        <f>IF(J3782&lt;&gt;1,"",IF(I3782="SBJ","CB","?"))</f>
        <v> </v>
      </c>
      <c r="I3782" s="25" t="str">
        <f>IF(OR(E3782="",E3782="!!!",F3782="NEW"),"",INDEX(B3781:B$2,-1+SUMPRODUCT(MAX(ROW(E3781:E$2)*(E3782=E3781:E$2)))))</f>
        <v> </v>
      </c>
      <c r="J3782" s="25" t="str">
        <f>IF(OR(E3782="",E3782="!!!",F3782="NEW"),"",COUNTBLANK(OFFSET(A$1,,,SUMPRODUCT(MAX(ROW(E$2:E3782)*(E3782=E$2:E3782)))))-COUNTBLANK(OFFSET(A$1,,,SUMPRODUCT(MAX(ROW(E$1:E3781)*(E2=E$1:E3781))))))</f>
        <v> </v>
      </c>
      <c r="K3782" s="25" t="str">
        <f>IF(OR(E3782="",E3782="!!!",F3782="NEW"),"",INDEX(J$1:J3781,SUMPRODUCT(MAX(ROW(E$1:E3781)*(E3782=E$1:E3781)))))</f>
        <v> </v>
      </c>
      <c r="L3782" s="26"/>
    </row>
    <row r="3783" spans="1:12">
      <c r="A3783" s="20" t="s">
        <v>1158</v>
      </c>
      <c r="E3783" s="21">
        <f>IF(D3783="?OLD","!!!","")</f>
        <v/>
      </c>
      <c r="F3783" s="22" t="str">
        <f>IF(OR(E3783="",E3783="!!!"),"",IF(NOT(ISNA(VLOOKUP(E3783,E$1:E3782,1,FALSE()))),"OLD",IF(AND(E3783&lt;&gt;"",E3783&lt;&gt;"!!!"),"NEW","")))</f>
        <v> </v>
      </c>
      <c r="G3783" s="23" t="str">
        <f>IF(OR(E3783="",E3783="!!!"),"",IF(OR(J3783=0,AND(J3783=1,K3783=1),AND(J3783=1,I3783="SBJ"),AND(J3783=1,I3783=0)),"?IN_FOCUS",IF(J3783&lt;=2,"?ACTIVATED",IF(J3783&lt;&gt;"","?FAMILIAR",IF(F3783="NEW",IF(ISNA(VLOOKUP(E3783,#REF!,1,FALSE())),"?TYPE_IDENTIFIABLE","?REFERENTIAL"),"_")))))</f>
        <v> </v>
      </c>
      <c r="H3783" s="24" t="str">
        <f>IF(J3783&lt;&gt;1,"",IF(I3783="SBJ","CB","?"))</f>
        <v> </v>
      </c>
      <c r="I3783" s="25" t="str">
        <f>IF(OR(E3783="",E3783="!!!",F3783="NEW"),"",INDEX(B3782:B$2,-1+SUMPRODUCT(MAX(ROW(E3782:E$2)*(E3783=E3782:E$2)))))</f>
        <v> </v>
      </c>
      <c r="J3783" s="25" t="str">
        <f>IF(OR(E3783="",E3783="!!!",F3783="NEW"),"",COUNTBLANK(OFFSET(A$1,,,SUMPRODUCT(MAX(ROW(E$2:E3783)*(E3783=E$2:E3783)))))-COUNTBLANK(OFFSET(A$1,,,SUMPRODUCT(MAX(ROW(E$1:E3782)*(E2=E$1:E3782))))))</f>
        <v> </v>
      </c>
      <c r="K3783" s="25" t="str">
        <f>IF(OR(E3783="",E3783="!!!",F3783="NEW"),"",INDEX(J$1:J3782,SUMPRODUCT(MAX(ROW(E$1:E3782)*(E3783=E$1:E3782)))))</f>
        <v> </v>
      </c>
      <c r="L3783" s="26"/>
    </row>
    <row r="3784" spans="1:12">
      <c r="A3784" s="20" t="s">
        <v>2290</v>
      </c>
      <c r="E3784" s="21">
        <f>IF(D3784="?OLD","!!!","")</f>
        <v/>
      </c>
      <c r="F3784" s="22" t="str">
        <f>IF(OR(E3784="",E3784="!!!"),"",IF(NOT(ISNA(VLOOKUP(E3784,E$1:E3783,1,FALSE()))),"OLD",IF(AND(E3784&lt;&gt;"",E3784&lt;&gt;"!!!"),"NEW","")))</f>
        <v> </v>
      </c>
      <c r="G3784" s="23" t="str">
        <f>IF(OR(E3784="",E3784="!!!"),"",IF(OR(J3784=0,AND(J3784=1,K3784=1),AND(J3784=1,I3784="SBJ"),AND(J3784=1,I3784=0)),"?IN_FOCUS",IF(J3784&lt;=2,"?ACTIVATED",IF(J3784&lt;&gt;"","?FAMILIAR",IF(F3784="NEW",IF(ISNA(VLOOKUP(E3784,#REF!,1,FALSE())),"?TYPE_IDENTIFIABLE","?REFERENTIAL"),"_")))))</f>
        <v> </v>
      </c>
      <c r="H3784" s="24" t="str">
        <f>IF(J3784&lt;&gt;1,"",IF(I3784="SBJ","CB","?"))</f>
        <v> </v>
      </c>
      <c r="I3784" s="25" t="str">
        <f>IF(OR(E3784="",E3784="!!!",F3784="NEW"),"",INDEX(B3783:B$2,-1+SUMPRODUCT(MAX(ROW(E3783:E$2)*(E3784=E3783:E$2)))))</f>
        <v> </v>
      </c>
      <c r="J3784" s="25" t="str">
        <f>IF(OR(E3784="",E3784="!!!",F3784="NEW"),"",COUNTBLANK(OFFSET(A$1,,,SUMPRODUCT(MAX(ROW(E$2:E3784)*(E3784=E$2:E3784)))))-COUNTBLANK(OFFSET(A$1,,,SUMPRODUCT(MAX(ROW(E$1:E3783)*(E2=E$1:E3783))))))</f>
        <v> </v>
      </c>
      <c r="K3784" s="25" t="str">
        <f>IF(OR(E3784="",E3784="!!!",F3784="NEW"),"",INDEX(J$1:J3783,SUMPRODUCT(MAX(ROW(E$1:E3783)*(E3784=E$1:E3783)))))</f>
        <v> </v>
      </c>
      <c r="L3784" s="26"/>
    </row>
    <row r="3785" spans="1:12">
      <c r="A3785" s="20" t="s">
        <v>1075</v>
      </c>
      <c r="E3785" s="21">
        <f>IF(D3785="?OLD","!!!","")</f>
        <v/>
      </c>
      <c r="F3785" s="22" t="str">
        <f>IF(OR(E3785="",E3785="!!!"),"",IF(NOT(ISNA(VLOOKUP(E3785,E$1:E3784,1,FALSE()))),"OLD",IF(AND(E3785&lt;&gt;"",E3785&lt;&gt;"!!!"),"NEW","")))</f>
        <v> </v>
      </c>
      <c r="G3785" s="23" t="str">
        <f>IF(OR(E3785="",E3785="!!!"),"",IF(OR(J3785=0,AND(J3785=1,K3785=1),AND(J3785=1,I3785="SBJ"),AND(J3785=1,I3785=0)),"?IN_FOCUS",IF(J3785&lt;=2,"?ACTIVATED",IF(J3785&lt;&gt;"","?FAMILIAR",IF(F3785="NEW",IF(ISNA(VLOOKUP(E3785,#REF!,1,FALSE())),"?TYPE_IDENTIFIABLE","?REFERENTIAL"),"_")))))</f>
        <v> </v>
      </c>
      <c r="H3785" s="24" t="str">
        <f>IF(J3785&lt;&gt;1,"",IF(I3785="SBJ","CB","?"))</f>
        <v> </v>
      </c>
      <c r="I3785" s="25" t="str">
        <f>IF(OR(E3785="",E3785="!!!",F3785="NEW"),"",INDEX(B3784:B$2,-1+SUMPRODUCT(MAX(ROW(E3784:E$2)*(E3785=E3784:E$2)))))</f>
        <v> </v>
      </c>
      <c r="J3785" s="25" t="str">
        <f>IF(OR(E3785="",E3785="!!!",F3785="NEW"),"",COUNTBLANK(OFFSET(A$1,,,SUMPRODUCT(MAX(ROW(E$2:E3785)*(E3785=E$2:E3785)))))-COUNTBLANK(OFFSET(A$1,,,SUMPRODUCT(MAX(ROW(E$1:E3784)*(E2=E$1:E3784))))))</f>
        <v> </v>
      </c>
      <c r="K3785" s="25" t="str">
        <f>IF(OR(E3785="",E3785="!!!",F3785="NEW"),"",INDEX(J$1:J3784,SUMPRODUCT(MAX(ROW(E$1:E3784)*(E3785=E$1:E3784)))))</f>
        <v> </v>
      </c>
      <c r="L3785" s="26"/>
    </row>
    <row r="3786" spans="1:12">
      <c r="A3786" s="20" t="s">
        <v>2291</v>
      </c>
      <c r="B3786" s="27" t="s">
        <v>1041</v>
      </c>
      <c r="C3786" s="27" t="s">
        <v>1033</v>
      </c>
      <c r="D3786" s="27" t="s">
        <v>1030</v>
      </c>
      <c r="E3786" s="21">
        <f>IF(D3786="?OLD","!!!","")</f>
        <v/>
      </c>
      <c r="F3786" s="22" t="str">
        <f>IF(OR(E3786="",E3786="!!!"),"",IF(NOT(ISNA(VLOOKUP(E3786,E$1:E3785,1,FALSE()))),"OLD",IF(AND(E3786&lt;&gt;"",E3786&lt;&gt;"!!!"),"NEW","")))</f>
        <v> </v>
      </c>
      <c r="G3786" s="23" t="str">
        <f>IF(OR(E3786="",E3786="!!!"),"",IF(OR(J3786=0,AND(J3786=1,K3786=1),AND(J3786=1,I3786="SBJ"),AND(J3786=1,I3786=0)),"?IN_FOCUS",IF(J3786&lt;=2,"?ACTIVATED",IF(J3786&lt;&gt;"","?FAMILIAR",IF(F3786="NEW",IF(ISNA(VLOOKUP(E3786,#REF!,1,FALSE())),"?TYPE_IDENTIFIABLE","?REFERENTIAL"),"_")))))</f>
        <v> </v>
      </c>
      <c r="H3786" s="24" t="str">
        <f>IF(J3786&lt;&gt;1,"",IF(I3786="SBJ","CB","?"))</f>
        <v> </v>
      </c>
      <c r="I3786" s="25" t="str">
        <f>IF(OR(E3786="",E3786="!!!",F3786="NEW"),"",INDEX(B3785:B$2,-1+SUMPRODUCT(MAX(ROW(E3785:E$2)*(E3786=E3785:E$2)))))</f>
        <v> </v>
      </c>
      <c r="J3786" s="25" t="str">
        <f>IF(OR(E3786="",E3786="!!!",F3786="NEW"),"",COUNTBLANK(OFFSET(A$1,,,SUMPRODUCT(MAX(ROW(E$2:E3786)*(E3786=E$2:E3786)))))-COUNTBLANK(OFFSET(A$1,,,SUMPRODUCT(MAX(ROW(E$1:E3785)*(E2=E$1:E3785))))))</f>
        <v> </v>
      </c>
      <c r="K3786" s="25" t="str">
        <f>IF(OR(E3786="",E3786="!!!",F3786="NEW"),"",INDEX(J$1:J3785,SUMPRODUCT(MAX(ROW(E$1:E3785)*(E3786=E$1:E3785)))))</f>
        <v> </v>
      </c>
      <c r="L3786" s="26"/>
    </row>
    <row r="3787" spans="1:12">
      <c r="A3787" s="20" t="s">
        <v>2292</v>
      </c>
      <c r="B3787" s="27" t="s">
        <v>1079</v>
      </c>
      <c r="C3787" s="27" t="s">
        <v>1033</v>
      </c>
      <c r="D3787" s="27" t="s">
        <v>1030</v>
      </c>
      <c r="E3787" s="21">
        <f>IF(D3787="?OLD","!!!","")</f>
        <v/>
      </c>
      <c r="F3787" s="22" t="str">
        <f>IF(OR(E3787="",E3787="!!!"),"",IF(NOT(ISNA(VLOOKUP(E3787,E$1:E3786,1,FALSE()))),"OLD",IF(AND(E3787&lt;&gt;"",E3787&lt;&gt;"!!!"),"NEW","")))</f>
        <v> </v>
      </c>
      <c r="G3787" s="23" t="str">
        <f>IF(OR(E3787="",E3787="!!!"),"",IF(OR(J3787=0,AND(J3787=1,K3787=1),AND(J3787=1,I3787="SBJ"),AND(J3787=1,I3787=0)),"?IN_FOCUS",IF(J3787&lt;=2,"?ACTIVATED",IF(J3787&lt;&gt;"","?FAMILIAR",IF(F3787="NEW",IF(ISNA(VLOOKUP(E3787,#REF!,1,FALSE())),"?TYPE_IDENTIFIABLE","?REFERENTIAL"),"_")))))</f>
        <v> </v>
      </c>
      <c r="H3787" s="24" t="str">
        <f>IF(J3787&lt;&gt;1,"",IF(I3787="SBJ","CB","?"))</f>
        <v> </v>
      </c>
      <c r="I3787" s="25" t="str">
        <f>IF(OR(E3787="",E3787="!!!",F3787="NEW"),"",INDEX(B3786:B$2,-1+SUMPRODUCT(MAX(ROW(E3786:E$2)*(E3787=E3786:E$2)))))</f>
        <v> </v>
      </c>
      <c r="J3787" s="25" t="str">
        <f>IF(OR(E3787="",E3787="!!!",F3787="NEW"),"",COUNTBLANK(OFFSET(A$1,,,SUMPRODUCT(MAX(ROW(E$2:E3787)*(E3787=E$2:E3787)))))-COUNTBLANK(OFFSET(A$1,,,SUMPRODUCT(MAX(ROW(E$1:E3786)*(E2=E$1:E3786))))))</f>
        <v> </v>
      </c>
      <c r="K3787" s="25" t="str">
        <f>IF(OR(E3787="",E3787="!!!",F3787="NEW"),"",INDEX(J$1:J3786,SUMPRODUCT(MAX(ROW(E$1:E3786)*(E3787=E$1:E3786)))))</f>
        <v> </v>
      </c>
      <c r="L3787" s="26"/>
    </row>
    <row r="3788" spans="1:12">
      <c r="A3788" s="20" t="s">
        <v>135</v>
      </c>
      <c r="E3788" s="21">
        <f>IF(D3788="?OLD","!!!","")</f>
        <v/>
      </c>
      <c r="F3788" s="22" t="str">
        <f>IF(OR(E3788="",E3788="!!!"),"",IF(NOT(ISNA(VLOOKUP(E3788,E$1:E3787,1,FALSE()))),"OLD",IF(AND(E3788&lt;&gt;"",E3788&lt;&gt;"!!!"),"NEW","")))</f>
        <v> </v>
      </c>
      <c r="G3788" s="23" t="str">
        <f>IF(OR(E3788="",E3788="!!!"),"",IF(OR(J3788=0,AND(J3788=1,K3788=1),AND(J3788=1,I3788="SBJ"),AND(J3788=1,I3788=0)),"?IN_FOCUS",IF(J3788&lt;=2,"?ACTIVATED",IF(J3788&lt;&gt;"","?FAMILIAR",IF(F3788="NEW",IF(ISNA(VLOOKUP(E3788,#REF!,1,FALSE())),"?TYPE_IDENTIFIABLE","?REFERENTIAL"),"_")))))</f>
        <v> </v>
      </c>
      <c r="H3788" s="24" t="str">
        <f>IF(J3788&lt;&gt;1,"",IF(I3788="SBJ","CB","?"))</f>
        <v> </v>
      </c>
      <c r="I3788" s="25" t="str">
        <f>IF(OR(E3788="",E3788="!!!",F3788="NEW"),"",INDEX(B3787:B$2,-1+SUMPRODUCT(MAX(ROW(E3787:E$2)*(E3788=E3787:E$2)))))</f>
        <v> </v>
      </c>
      <c r="J3788" s="25" t="str">
        <f>IF(OR(E3788="",E3788="!!!",F3788="NEW"),"",COUNTBLANK(OFFSET(A$1,,,SUMPRODUCT(MAX(ROW(E$2:E3788)*(E3788=E$2:E3788)))))-COUNTBLANK(OFFSET(A$1,,,SUMPRODUCT(MAX(ROW(E$1:E3787)*(E2=E$1:E3787))))))</f>
        <v> </v>
      </c>
      <c r="K3788" s="25" t="str">
        <f>IF(OR(E3788="",E3788="!!!",F3788="NEW"),"",INDEX(J$1:J3787,SUMPRODUCT(MAX(ROW(E$1:E3787)*(E3788=E$1:E3787)))))</f>
        <v> </v>
      </c>
      <c r="L3788" s="26"/>
    </row>
    <row r="3789" spans="1:12">
      <c r="A3789" s="20"/>
    </row>
    <row r="3790" spans="1:12">
      <c r="A3790" s="20" t="s">
        <v>2293</v>
      </c>
    </row>
    <row r="3791" spans="1:12">
      <c r="A3791" s="20" t="s">
        <v>1775</v>
      </c>
      <c r="E3791" s="21">
        <f>IF(D3791="?OLD","!!!","")</f>
        <v/>
      </c>
      <c r="F3791" s="22" t="str">
        <f>IF(OR(E3791="",E3791="!!!"),"",IF(NOT(ISNA(VLOOKUP(E3791,E$1:E3790,1,FALSE()))),"OLD",IF(AND(E3791&lt;&gt;"",E3791&lt;&gt;"!!!"),"NEW","")))</f>
        <v> </v>
      </c>
      <c r="G3791" s="23" t="str">
        <f>IF(OR(E3791="",E3791="!!!"),"",IF(OR(J3791=0,AND(J3791=1,K3791=1),AND(J3791=1,I3791="SBJ"),AND(J3791=1,I3791=0)),"?IN_FOCUS",IF(J3791&lt;=2,"?ACTIVATED",IF(J3791&lt;&gt;"","?FAMILIAR",IF(F3791="NEW",IF(ISNA(VLOOKUP(E3791,#REF!,1,FALSE())),"?TYPE_IDENTIFIABLE","?REFERENTIAL"),"_")))))</f>
        <v> </v>
      </c>
      <c r="H3791" s="24" t="str">
        <f>IF(J3791&lt;&gt;1,"",IF(I3791="SBJ","CB","?"))</f>
        <v> </v>
      </c>
      <c r="I3791" s="25" t="str">
        <f>IF(OR(E3791="",E3791="!!!",F3791="NEW"),"",INDEX(B3790:B$2,-1+SUMPRODUCT(MAX(ROW(E3790:E$2)*(E3791=E3790:E$2)))))</f>
        <v> </v>
      </c>
      <c r="J3791" s="25" t="str">
        <f>IF(OR(E3791="",E3791="!!!",F3791="NEW"),"",COUNTBLANK(OFFSET(A$1,,,SUMPRODUCT(MAX(ROW(E$2:E3791)*(E3791=E$2:E3791)))))-COUNTBLANK(OFFSET(A$1,,,SUMPRODUCT(MAX(ROW(E$1:E3790)*(E2=E$1:E3790))))))</f>
        <v> </v>
      </c>
      <c r="K3791" s="25" t="str">
        <f>IF(OR(E3791="",E3791="!!!",F3791="NEW"),"",INDEX(J$1:J3790,SUMPRODUCT(MAX(ROW(E$1:E3790)*(E3791=E$1:E3790)))))</f>
        <v> </v>
      </c>
      <c r="L3791" s="26"/>
    </row>
    <row r="3792" spans="1:12">
      <c r="A3792" s="20" t="s">
        <v>2281</v>
      </c>
      <c r="E3792" s="21">
        <f>IF(D3792="?OLD","!!!","")</f>
        <v/>
      </c>
      <c r="F3792" s="22" t="str">
        <f>IF(OR(E3792="",E3792="!!!"),"",IF(NOT(ISNA(VLOOKUP(E3792,E$1:E3791,1,FALSE()))),"OLD",IF(AND(E3792&lt;&gt;"",E3792&lt;&gt;"!!!"),"NEW","")))</f>
        <v> </v>
      </c>
      <c r="G3792" s="23" t="str">
        <f>IF(OR(E3792="",E3792="!!!"),"",IF(OR(J3792=0,AND(J3792=1,K3792=1),AND(J3792=1,I3792="SBJ"),AND(J3792=1,I3792=0)),"?IN_FOCUS",IF(J3792&lt;=2,"?ACTIVATED",IF(J3792&lt;&gt;"","?FAMILIAR",IF(F3792="NEW",IF(ISNA(VLOOKUP(E3792,#REF!,1,FALSE())),"?TYPE_IDENTIFIABLE","?REFERENTIAL"),"_")))))</f>
        <v> </v>
      </c>
      <c r="H3792" s="24" t="str">
        <f>IF(J3792&lt;&gt;1,"",IF(I3792="SBJ","CB","?"))</f>
        <v> </v>
      </c>
      <c r="I3792" s="25" t="str">
        <f>IF(OR(E3792="",E3792="!!!",F3792="NEW"),"",INDEX(B3791:B$2,-1+SUMPRODUCT(MAX(ROW(E3791:E$2)*(E3792=E3791:E$2)))))</f>
        <v> </v>
      </c>
      <c r="J3792" s="25" t="str">
        <f>IF(OR(E3792="",E3792="!!!",F3792="NEW"),"",COUNTBLANK(OFFSET(A$1,,,SUMPRODUCT(MAX(ROW(E$2:E3792)*(E3792=E$2:E3792)))))-COUNTBLANK(OFFSET(A$1,,,SUMPRODUCT(MAX(ROW(E$1:E3791)*(E2=E$1:E3791))))))</f>
        <v> </v>
      </c>
      <c r="K3792" s="25" t="str">
        <f>IF(OR(E3792="",E3792="!!!",F3792="NEW"),"",INDEX(J$1:J3791,SUMPRODUCT(MAX(ROW(E$1:E3791)*(E3792=E$1:E3791)))))</f>
        <v> </v>
      </c>
      <c r="L3792" s="26"/>
    </row>
    <row r="3793" spans="1:12">
      <c r="A3793" s="20" t="s">
        <v>1016</v>
      </c>
      <c r="E3793" s="21">
        <f>IF(D3793="?OLD","!!!","")</f>
        <v/>
      </c>
      <c r="F3793" s="22" t="str">
        <f>IF(OR(E3793="",E3793="!!!"),"",IF(NOT(ISNA(VLOOKUP(E3793,E$1:E3792,1,FALSE()))),"OLD",IF(AND(E3793&lt;&gt;"",E3793&lt;&gt;"!!!"),"NEW","")))</f>
        <v> </v>
      </c>
      <c r="G3793" s="23" t="str">
        <f>IF(OR(E3793="",E3793="!!!"),"",IF(OR(J3793=0,AND(J3793=1,K3793=1),AND(J3793=1,I3793="SBJ"),AND(J3793=1,I3793=0)),"?IN_FOCUS",IF(J3793&lt;=2,"?ACTIVATED",IF(J3793&lt;&gt;"","?FAMILIAR",IF(F3793="NEW",IF(ISNA(VLOOKUP(E3793,#REF!,1,FALSE())),"?TYPE_IDENTIFIABLE","?REFERENTIAL"),"_")))))</f>
        <v> </v>
      </c>
      <c r="H3793" s="24" t="str">
        <f>IF(J3793&lt;&gt;1,"",IF(I3793="SBJ","CB","?"))</f>
        <v> </v>
      </c>
      <c r="I3793" s="25" t="str">
        <f>IF(OR(E3793="",E3793="!!!",F3793="NEW"),"",INDEX(B3792:B$2,-1+SUMPRODUCT(MAX(ROW(E3792:E$2)*(E3793=E3792:E$2)))))</f>
        <v> </v>
      </c>
      <c r="J3793" s="25" t="str">
        <f>IF(OR(E3793="",E3793="!!!",F3793="NEW"),"",COUNTBLANK(OFFSET(A$1,,,SUMPRODUCT(MAX(ROW(E$2:E3793)*(E3793=E$2:E3793)))))-COUNTBLANK(OFFSET(A$1,,,SUMPRODUCT(MAX(ROW(E$1:E3792)*(E2=E$1:E3792))))))</f>
        <v> </v>
      </c>
      <c r="K3793" s="25" t="str">
        <f>IF(OR(E3793="",E3793="!!!",F3793="NEW"),"",INDEX(J$1:J3792,SUMPRODUCT(MAX(ROW(E$1:E3792)*(E3793=E$1:E3792)))))</f>
        <v> </v>
      </c>
      <c r="L3793" s="26"/>
    </row>
    <row r="3794" spans="1:12">
      <c r="A3794" s="20" t="s">
        <v>477</v>
      </c>
      <c r="E3794" s="21">
        <f>IF(D3794="?OLD","!!!","")</f>
        <v/>
      </c>
      <c r="F3794" s="22" t="str">
        <f>IF(OR(E3794="",E3794="!!!"),"",IF(NOT(ISNA(VLOOKUP(E3794,E$1:E3793,1,FALSE()))),"OLD",IF(AND(E3794&lt;&gt;"",E3794&lt;&gt;"!!!"),"NEW","")))</f>
        <v> </v>
      </c>
      <c r="G3794" s="23" t="str">
        <f>IF(OR(E3794="",E3794="!!!"),"",IF(OR(J3794=0,AND(J3794=1,K3794=1),AND(J3794=1,I3794="SBJ"),AND(J3794=1,I3794=0)),"?IN_FOCUS",IF(J3794&lt;=2,"?ACTIVATED",IF(J3794&lt;&gt;"","?FAMILIAR",IF(F3794="NEW",IF(ISNA(VLOOKUP(E3794,#REF!,1,FALSE())),"?TYPE_IDENTIFIABLE","?REFERENTIAL"),"_")))))</f>
        <v> </v>
      </c>
      <c r="H3794" s="24" t="str">
        <f>IF(J3794&lt;&gt;1,"",IF(I3794="SBJ","CB","?"))</f>
        <v> </v>
      </c>
      <c r="I3794" s="25" t="str">
        <f>IF(OR(E3794="",E3794="!!!",F3794="NEW"),"",INDEX(B3793:B$2,-1+SUMPRODUCT(MAX(ROW(E3793:E$2)*(E3794=E3793:E$2)))))</f>
        <v> </v>
      </c>
      <c r="J3794" s="25" t="str">
        <f>IF(OR(E3794="",E3794="!!!",F3794="NEW"),"",COUNTBLANK(OFFSET(A$1,,,SUMPRODUCT(MAX(ROW(E$2:E3794)*(E3794=E$2:E3794)))))-COUNTBLANK(OFFSET(A$1,,,SUMPRODUCT(MAX(ROW(E$1:E3793)*(E2=E$1:E3793))))))</f>
        <v> </v>
      </c>
      <c r="K3794" s="25" t="str">
        <f>IF(OR(E3794="",E3794="!!!",F3794="NEW"),"",INDEX(J$1:J3793,SUMPRODUCT(MAX(ROW(E$1:E3793)*(E3794=E$1:E3793)))))</f>
        <v> </v>
      </c>
      <c r="L3794" s="26"/>
    </row>
    <row r="3795" spans="1:12">
      <c r="A3795" s="20" t="s">
        <v>1111</v>
      </c>
      <c r="E3795" s="21">
        <f>IF(D3795="?OLD","!!!","")</f>
        <v/>
      </c>
      <c r="F3795" s="22" t="str">
        <f>IF(OR(E3795="",E3795="!!!"),"",IF(NOT(ISNA(VLOOKUP(E3795,E$1:E3794,1,FALSE()))),"OLD",IF(AND(E3795&lt;&gt;"",E3795&lt;&gt;"!!!"),"NEW","")))</f>
        <v> </v>
      </c>
      <c r="G3795" s="23" t="str">
        <f>IF(OR(E3795="",E3795="!!!"),"",IF(OR(J3795=0,AND(J3795=1,K3795=1),AND(J3795=1,I3795="SBJ"),AND(J3795=1,I3795=0)),"?IN_FOCUS",IF(J3795&lt;=2,"?ACTIVATED",IF(J3795&lt;&gt;"","?FAMILIAR",IF(F3795="NEW",IF(ISNA(VLOOKUP(E3795,#REF!,1,FALSE())),"?TYPE_IDENTIFIABLE","?REFERENTIAL"),"_")))))</f>
        <v> </v>
      </c>
      <c r="H3795" s="24" t="str">
        <f>IF(J3795&lt;&gt;1,"",IF(I3795="SBJ","CB","?"))</f>
        <v> </v>
      </c>
      <c r="I3795" s="25" t="str">
        <f>IF(OR(E3795="",E3795="!!!",F3795="NEW"),"",INDEX(B3794:B$2,-1+SUMPRODUCT(MAX(ROW(E3794:E$2)*(E3795=E3794:E$2)))))</f>
        <v> </v>
      </c>
      <c r="J3795" s="25" t="str">
        <f>IF(OR(E3795="",E3795="!!!",F3795="NEW"),"",COUNTBLANK(OFFSET(A$1,,,SUMPRODUCT(MAX(ROW(E$2:E3795)*(E3795=E$2:E3795)))))-COUNTBLANK(OFFSET(A$1,,,SUMPRODUCT(MAX(ROW(E$1:E3794)*(E2=E$1:E3794))))))</f>
        <v> </v>
      </c>
      <c r="K3795" s="25" t="str">
        <f>IF(OR(E3795="",E3795="!!!",F3795="NEW"),"",INDEX(J$1:J3794,SUMPRODUCT(MAX(ROW(E$1:E3794)*(E3795=E$1:E3794)))))</f>
        <v> </v>
      </c>
      <c r="L3795" s="26"/>
    </row>
    <row r="3796" spans="1:12">
      <c r="A3796" s="20" t="s">
        <v>1788</v>
      </c>
      <c r="B3796" s="27" t="s">
        <v>1069</v>
      </c>
      <c r="C3796" s="27" t="s">
        <v>1029</v>
      </c>
      <c r="D3796" s="27" t="s">
        <v>1030</v>
      </c>
      <c r="E3796" s="21">
        <f>IF(D3796="?OLD","!!!","")</f>
        <v/>
      </c>
      <c r="F3796" s="22" t="str">
        <f>IF(OR(E3796="",E3796="!!!"),"",IF(NOT(ISNA(VLOOKUP(E3796,E$1:E3795,1,FALSE()))),"OLD",IF(AND(E3796&lt;&gt;"",E3796&lt;&gt;"!!!"),"NEW","")))</f>
        <v> </v>
      </c>
      <c r="G3796" s="23" t="str">
        <f>IF(OR(E3796="",E3796="!!!"),"",IF(OR(J3796=0,AND(J3796=1,K3796=1),AND(J3796=1,I3796="SBJ"),AND(J3796=1,I3796=0)),"?IN_FOCUS",IF(J3796&lt;=2,"?ACTIVATED",IF(J3796&lt;&gt;"","?FAMILIAR",IF(F3796="NEW",IF(ISNA(VLOOKUP(E3796,#REF!,1,FALSE())),"?TYPE_IDENTIFIABLE","?REFERENTIAL"),"_")))))</f>
        <v> </v>
      </c>
      <c r="H3796" s="24" t="str">
        <f>IF(J3796&lt;&gt;1,"",IF(I3796="SBJ","CB","?"))</f>
        <v> </v>
      </c>
      <c r="I3796" s="25" t="str">
        <f>IF(OR(E3796="",E3796="!!!",F3796="NEW"),"",INDEX(B3795:B$2,-1+SUMPRODUCT(MAX(ROW(E3795:E$2)*(E3796=E3795:E$2)))))</f>
        <v> </v>
      </c>
      <c r="J3796" s="25" t="str">
        <f>IF(OR(E3796="",E3796="!!!",F3796="NEW"),"",COUNTBLANK(OFFSET(A$1,,,SUMPRODUCT(MAX(ROW(E$2:E3796)*(E3796=E$2:E3796)))))-COUNTBLANK(OFFSET(A$1,,,SUMPRODUCT(MAX(ROW(E$1:E3795)*(E2=E$1:E3795))))))</f>
        <v> </v>
      </c>
      <c r="K3796" s="25" t="str">
        <f>IF(OR(E3796="",E3796="!!!",F3796="NEW"),"",INDEX(J$1:J3795,SUMPRODUCT(MAX(ROW(E$1:E3795)*(E3796=E$1:E3795)))))</f>
        <v> </v>
      </c>
      <c r="L3796" s="26"/>
    </row>
    <row r="3797" spans="1:12">
      <c r="A3797" s="20" t="s">
        <v>1016</v>
      </c>
      <c r="E3797" s="21">
        <f>IF(D3797="?OLD","!!!","")</f>
        <v/>
      </c>
      <c r="F3797" s="22" t="str">
        <f>IF(OR(E3797="",E3797="!!!"),"",IF(NOT(ISNA(VLOOKUP(E3797,E$1:E3796,1,FALSE()))),"OLD",IF(AND(E3797&lt;&gt;"",E3797&lt;&gt;"!!!"),"NEW","")))</f>
        <v> </v>
      </c>
      <c r="G3797" s="23" t="str">
        <f>IF(OR(E3797="",E3797="!!!"),"",IF(OR(J3797=0,AND(J3797=1,K3797=1),AND(J3797=1,I3797="SBJ"),AND(J3797=1,I3797=0)),"?IN_FOCUS",IF(J3797&lt;=2,"?ACTIVATED",IF(J3797&lt;&gt;"","?FAMILIAR",IF(F3797="NEW",IF(ISNA(VLOOKUP(E3797,#REF!,1,FALSE())),"?TYPE_IDENTIFIABLE","?REFERENTIAL"),"_")))))</f>
        <v> </v>
      </c>
      <c r="H3797" s="24" t="str">
        <f>IF(J3797&lt;&gt;1,"",IF(I3797="SBJ","CB","?"))</f>
        <v> </v>
      </c>
      <c r="I3797" s="25" t="str">
        <f>IF(OR(E3797="",E3797="!!!",F3797="NEW"),"",INDEX(B3796:B$2,-1+SUMPRODUCT(MAX(ROW(E3796:E$2)*(E3797=E3796:E$2)))))</f>
        <v> </v>
      </c>
      <c r="J3797" s="25" t="str">
        <f>IF(OR(E3797="",E3797="!!!",F3797="NEW"),"",COUNTBLANK(OFFSET(A$1,,,SUMPRODUCT(MAX(ROW(E$2:E3797)*(E3797=E$2:E3797)))))-COUNTBLANK(OFFSET(A$1,,,SUMPRODUCT(MAX(ROW(E$1:E3796)*(E2=E$1:E3796))))))</f>
        <v> </v>
      </c>
      <c r="K3797" s="25" t="str">
        <f>IF(OR(E3797="",E3797="!!!",F3797="NEW"),"",INDEX(J$1:J3796,SUMPRODUCT(MAX(ROW(E$1:E3796)*(E3797=E$1:E3796)))))</f>
        <v> </v>
      </c>
      <c r="L3797" s="26"/>
    </row>
    <row r="3798" spans="1:12">
      <c r="A3798" s="20" t="s">
        <v>1096</v>
      </c>
      <c r="E3798" s="21">
        <f>IF(D3798="?OLD","!!!","")</f>
        <v/>
      </c>
      <c r="F3798" s="22" t="str">
        <f>IF(OR(E3798="",E3798="!!!"),"",IF(NOT(ISNA(VLOOKUP(E3798,E$1:E3797,1,FALSE()))),"OLD",IF(AND(E3798&lt;&gt;"",E3798&lt;&gt;"!!!"),"NEW","")))</f>
        <v> </v>
      </c>
      <c r="G3798" s="23" t="str">
        <f>IF(OR(E3798="",E3798="!!!"),"",IF(OR(J3798=0,AND(J3798=1,K3798=1),AND(J3798=1,I3798="SBJ"),AND(J3798=1,I3798=0)),"?IN_FOCUS",IF(J3798&lt;=2,"?ACTIVATED",IF(J3798&lt;&gt;"","?FAMILIAR",IF(F3798="NEW",IF(ISNA(VLOOKUP(E3798,#REF!,1,FALSE())),"?TYPE_IDENTIFIABLE","?REFERENTIAL"),"_")))))</f>
        <v> </v>
      </c>
      <c r="H3798" s="24" t="str">
        <f>IF(J3798&lt;&gt;1,"",IF(I3798="SBJ","CB","?"))</f>
        <v> </v>
      </c>
      <c r="I3798" s="25" t="str">
        <f>IF(OR(E3798="",E3798="!!!",F3798="NEW"),"",INDEX(B3797:B$2,-1+SUMPRODUCT(MAX(ROW(E3797:E$2)*(E3798=E3797:E$2)))))</f>
        <v> </v>
      </c>
      <c r="J3798" s="25" t="str">
        <f>IF(OR(E3798="",E3798="!!!",F3798="NEW"),"",COUNTBLANK(OFFSET(A$1,,,SUMPRODUCT(MAX(ROW(E$2:E3798)*(E3798=E$2:E3798)))))-COUNTBLANK(OFFSET(A$1,,,SUMPRODUCT(MAX(ROW(E$1:E3797)*(E2=E$1:E3797))))))</f>
        <v> </v>
      </c>
      <c r="K3798" s="25" t="str">
        <f>IF(OR(E3798="",E3798="!!!",F3798="NEW"),"",INDEX(J$1:J3797,SUMPRODUCT(MAX(ROW(E$1:E3797)*(E3798=E$1:E3797)))))</f>
        <v> </v>
      </c>
      <c r="L3798" s="26"/>
    </row>
    <row r="3799" spans="1:12">
      <c r="A3799" s="20" t="s">
        <v>1185</v>
      </c>
      <c r="B3799" s="27" t="s">
        <v>1066</v>
      </c>
      <c r="C3799" s="27" t="s">
        <v>1038</v>
      </c>
      <c r="D3799" s="27" t="s">
        <v>1030</v>
      </c>
      <c r="E3799" s="21">
        <f>IF(D3799="?OLD","!!!","")</f>
        <v/>
      </c>
      <c r="F3799" s="22" t="str">
        <f>IF(OR(E3799="",E3799="!!!"),"",IF(NOT(ISNA(VLOOKUP(E3799,E$1:E3798,1,FALSE()))),"OLD",IF(AND(E3799&lt;&gt;"",E3799&lt;&gt;"!!!"),"NEW","")))</f>
        <v> </v>
      </c>
      <c r="G3799" s="23" t="str">
        <f>IF(OR(E3799="",E3799="!!!"),"",IF(OR(J3799=0,AND(J3799=1,K3799=1),AND(J3799=1,I3799="SBJ"),AND(J3799=1,I3799=0)),"?IN_FOCUS",IF(J3799&lt;=2,"?ACTIVATED",IF(J3799&lt;&gt;"","?FAMILIAR",IF(F3799="NEW",IF(ISNA(VLOOKUP(E3799,#REF!,1,FALSE())),"?TYPE_IDENTIFIABLE","?REFERENTIAL"),"_")))))</f>
        <v> </v>
      </c>
      <c r="H3799" s="24" t="str">
        <f>IF(J3799&lt;&gt;1,"",IF(I3799="SBJ","CB","?"))</f>
        <v> </v>
      </c>
      <c r="I3799" s="25" t="str">
        <f>IF(OR(E3799="",E3799="!!!",F3799="NEW"),"",INDEX(B3798:B$2,-1+SUMPRODUCT(MAX(ROW(E3798:E$2)*(E3799=E3798:E$2)))))</f>
        <v> </v>
      </c>
      <c r="J3799" s="25" t="str">
        <f>IF(OR(E3799="",E3799="!!!",F3799="NEW"),"",COUNTBLANK(OFFSET(A$1,,,SUMPRODUCT(MAX(ROW(E$2:E3799)*(E3799=E$2:E3799)))))-COUNTBLANK(OFFSET(A$1,,,SUMPRODUCT(MAX(ROW(E$1:E3798)*(E2=E$1:E3798))))))</f>
        <v> </v>
      </c>
      <c r="K3799" s="25" t="str">
        <f>IF(OR(E3799="",E3799="!!!",F3799="NEW"),"",INDEX(J$1:J3798,SUMPRODUCT(MAX(ROW(E$1:E3798)*(E3799=E$1:E3798)))))</f>
        <v> </v>
      </c>
      <c r="L3799" s="26"/>
    </row>
    <row r="3800" spans="1:12">
      <c r="A3800" s="20" t="s">
        <v>1022</v>
      </c>
      <c r="E3800" s="21">
        <f>IF(D3800="?OLD","!!!","")</f>
        <v/>
      </c>
      <c r="F3800" s="22" t="str">
        <f>IF(OR(E3800="",E3800="!!!"),"",IF(NOT(ISNA(VLOOKUP(E3800,E$1:E3799,1,FALSE()))),"OLD",IF(AND(E3800&lt;&gt;"",E3800&lt;&gt;"!!!"),"NEW","")))</f>
        <v> </v>
      </c>
      <c r="G3800" s="23" t="str">
        <f>IF(OR(E3800="",E3800="!!!"),"",IF(OR(J3800=0,AND(J3800=1,K3800=1),AND(J3800=1,I3800="SBJ"),AND(J3800=1,I3800=0)),"?IN_FOCUS",IF(J3800&lt;=2,"?ACTIVATED",IF(J3800&lt;&gt;"","?FAMILIAR",IF(F3800="NEW",IF(ISNA(VLOOKUP(E3800,#REF!,1,FALSE())),"?TYPE_IDENTIFIABLE","?REFERENTIAL"),"_")))))</f>
        <v> </v>
      </c>
      <c r="H3800" s="24" t="str">
        <f>IF(J3800&lt;&gt;1,"",IF(I3800="SBJ","CB","?"))</f>
        <v> </v>
      </c>
      <c r="I3800" s="25" t="str">
        <f>IF(OR(E3800="",E3800="!!!",F3800="NEW"),"",INDEX(B3799:B$2,-1+SUMPRODUCT(MAX(ROW(E3799:E$2)*(E3800=E3799:E$2)))))</f>
        <v> </v>
      </c>
      <c r="J3800" s="25" t="str">
        <f>IF(OR(E3800="",E3800="!!!",F3800="NEW"),"",COUNTBLANK(OFFSET(A$1,,,SUMPRODUCT(MAX(ROW(E$2:E3800)*(E3800=E$2:E3800)))))-COUNTBLANK(OFFSET(A$1,,,SUMPRODUCT(MAX(ROW(E$1:E3799)*(E2=E$1:E3799))))))</f>
        <v> </v>
      </c>
      <c r="K3800" s="25" t="str">
        <f>IF(OR(E3800="",E3800="!!!",F3800="NEW"),"",INDEX(J$1:J3799,SUMPRODUCT(MAX(ROW(E$1:E3799)*(E3800=E$1:E3799)))))</f>
        <v> </v>
      </c>
      <c r="L3800" s="26"/>
    </row>
    <row r="3801" spans="1:12">
      <c r="A3801" s="20" t="s">
        <v>1083</v>
      </c>
      <c r="E3801" s="21">
        <f>IF(D3801="?OLD","!!!","")</f>
        <v/>
      </c>
      <c r="F3801" s="22" t="str">
        <f>IF(OR(E3801="",E3801="!!!"),"",IF(NOT(ISNA(VLOOKUP(E3801,E$1:E3800,1,FALSE()))),"OLD",IF(AND(E3801&lt;&gt;"",E3801&lt;&gt;"!!!"),"NEW","")))</f>
        <v> </v>
      </c>
      <c r="G3801" s="23" t="str">
        <f>IF(OR(E3801="",E3801="!!!"),"",IF(OR(J3801=0,AND(J3801=1,K3801=1),AND(J3801=1,I3801="SBJ"),AND(J3801=1,I3801=0)),"?IN_FOCUS",IF(J3801&lt;=2,"?ACTIVATED",IF(J3801&lt;&gt;"","?FAMILIAR",IF(F3801="NEW",IF(ISNA(VLOOKUP(E3801,#REF!,1,FALSE())),"?TYPE_IDENTIFIABLE","?REFERENTIAL"),"_")))))</f>
        <v> </v>
      </c>
      <c r="H3801" s="24" t="str">
        <f>IF(J3801&lt;&gt;1,"",IF(I3801="SBJ","CB","?"))</f>
        <v> </v>
      </c>
      <c r="I3801" s="25" t="str">
        <f>IF(OR(E3801="",E3801="!!!",F3801="NEW"),"",INDEX(B3800:B$2,-1+SUMPRODUCT(MAX(ROW(E3800:E$2)*(E3801=E3800:E$2)))))</f>
        <v> </v>
      </c>
      <c r="J3801" s="25" t="str">
        <f>IF(OR(E3801="",E3801="!!!",F3801="NEW"),"",COUNTBLANK(OFFSET(A$1,,,SUMPRODUCT(MAX(ROW(E$2:E3801)*(E3801=E$2:E3801)))))-COUNTBLANK(OFFSET(A$1,,,SUMPRODUCT(MAX(ROW(E$1:E3800)*(E2=E$1:E3800))))))</f>
        <v> </v>
      </c>
      <c r="K3801" s="25" t="str">
        <f>IF(OR(E3801="",E3801="!!!",F3801="NEW"),"",INDEX(J$1:J3800,SUMPRODUCT(MAX(ROW(E$1:E3800)*(E3801=E$1:E3800)))))</f>
        <v> </v>
      </c>
      <c r="L3801" s="26"/>
    </row>
    <row r="3802" spans="1:12">
      <c r="A3802" s="20" t="s">
        <v>2262</v>
      </c>
      <c r="E3802" s="21">
        <f>IF(D3802="?OLD","!!!","")</f>
        <v/>
      </c>
      <c r="F3802" s="22" t="str">
        <f>IF(OR(E3802="",E3802="!!!"),"",IF(NOT(ISNA(VLOOKUP(E3802,E$1:E3801,1,FALSE()))),"OLD",IF(AND(E3802&lt;&gt;"",E3802&lt;&gt;"!!!"),"NEW","")))</f>
        <v> </v>
      </c>
      <c r="G3802" s="23" t="str">
        <f>IF(OR(E3802="",E3802="!!!"),"",IF(OR(J3802=0,AND(J3802=1,K3802=1),AND(J3802=1,I3802="SBJ"),AND(J3802=1,I3802=0)),"?IN_FOCUS",IF(J3802&lt;=2,"?ACTIVATED",IF(J3802&lt;&gt;"","?FAMILIAR",IF(F3802="NEW",IF(ISNA(VLOOKUP(E3802,#REF!,1,FALSE())),"?TYPE_IDENTIFIABLE","?REFERENTIAL"),"_")))))</f>
        <v> </v>
      </c>
      <c r="H3802" s="24" t="str">
        <f>IF(J3802&lt;&gt;1,"",IF(I3802="SBJ","CB","?"))</f>
        <v> </v>
      </c>
      <c r="I3802" s="25" t="str">
        <f>IF(OR(E3802="",E3802="!!!",F3802="NEW"),"",INDEX(B3801:B$2,-1+SUMPRODUCT(MAX(ROW(E3801:E$2)*(E3802=E3801:E$2)))))</f>
        <v> </v>
      </c>
      <c r="J3802" s="25" t="str">
        <f>IF(OR(E3802="",E3802="!!!",F3802="NEW"),"",COUNTBLANK(OFFSET(A$1,,,SUMPRODUCT(MAX(ROW(E$2:E3802)*(E3802=E$2:E3802)))))-COUNTBLANK(OFFSET(A$1,,,SUMPRODUCT(MAX(ROW(E$1:E3801)*(E2=E$1:E3801))))))</f>
        <v> </v>
      </c>
      <c r="K3802" s="25" t="str">
        <f>IF(OR(E3802="",E3802="!!!",F3802="NEW"),"",INDEX(J$1:J3801,SUMPRODUCT(MAX(ROW(E$1:E3801)*(E3802=E$1:E3801)))))</f>
        <v> </v>
      </c>
      <c r="L3802" s="26"/>
    </row>
    <row r="3803" spans="1:12">
      <c r="A3803" s="20" t="s">
        <v>1408</v>
      </c>
      <c r="E3803" s="21">
        <f>IF(D3803="?OLD","!!!","")</f>
        <v/>
      </c>
      <c r="F3803" s="22" t="str">
        <f>IF(OR(E3803="",E3803="!!!"),"",IF(NOT(ISNA(VLOOKUP(E3803,E$1:E3802,1,FALSE()))),"OLD",IF(AND(E3803&lt;&gt;"",E3803&lt;&gt;"!!!"),"NEW","")))</f>
        <v> </v>
      </c>
      <c r="G3803" s="23" t="str">
        <f>IF(OR(E3803="",E3803="!!!"),"",IF(OR(J3803=0,AND(J3803=1,K3803=1),AND(J3803=1,I3803="SBJ"),AND(J3803=1,I3803=0)),"?IN_FOCUS",IF(J3803&lt;=2,"?ACTIVATED",IF(J3803&lt;&gt;"","?FAMILIAR",IF(F3803="NEW",IF(ISNA(VLOOKUP(E3803,#REF!,1,FALSE())),"?TYPE_IDENTIFIABLE","?REFERENTIAL"),"_")))))</f>
        <v> </v>
      </c>
      <c r="H3803" s="24" t="str">
        <f>IF(J3803&lt;&gt;1,"",IF(I3803="SBJ","CB","?"))</f>
        <v> </v>
      </c>
      <c r="I3803" s="25" t="str">
        <f>IF(OR(E3803="",E3803="!!!",F3803="NEW"),"",INDEX(B3802:B$2,-1+SUMPRODUCT(MAX(ROW(E3802:E$2)*(E3803=E3802:E$2)))))</f>
        <v> </v>
      </c>
      <c r="J3803" s="25" t="str">
        <f>IF(OR(E3803="",E3803="!!!",F3803="NEW"),"",COUNTBLANK(OFFSET(A$1,,,SUMPRODUCT(MAX(ROW(E$2:E3803)*(E3803=E$2:E3803)))))-COUNTBLANK(OFFSET(A$1,,,SUMPRODUCT(MAX(ROW(E$1:E3802)*(E2=E$1:E3802))))))</f>
        <v> </v>
      </c>
      <c r="K3803" s="25" t="str">
        <f>IF(OR(E3803="",E3803="!!!",F3803="NEW"),"",INDEX(J$1:J3802,SUMPRODUCT(MAX(ROW(E$1:E3802)*(E3803=E$1:E3802)))))</f>
        <v> </v>
      </c>
      <c r="L3803" s="26"/>
    </row>
    <row r="3804" spans="1:12">
      <c r="A3804" s="20" t="s">
        <v>1094</v>
      </c>
      <c r="E3804" s="21">
        <f>IF(D3804="?OLD","!!!","")</f>
        <v/>
      </c>
      <c r="F3804" s="22" t="str">
        <f>IF(OR(E3804="",E3804="!!!"),"",IF(NOT(ISNA(VLOOKUP(E3804,E$1:E3803,1,FALSE()))),"OLD",IF(AND(E3804&lt;&gt;"",E3804&lt;&gt;"!!!"),"NEW","")))</f>
        <v> </v>
      </c>
      <c r="G3804" s="23" t="str">
        <f>IF(OR(E3804="",E3804="!!!"),"",IF(OR(J3804=0,AND(J3804=1,K3804=1),AND(J3804=1,I3804="SBJ"),AND(J3804=1,I3804=0)),"?IN_FOCUS",IF(J3804&lt;=2,"?ACTIVATED",IF(J3804&lt;&gt;"","?FAMILIAR",IF(F3804="NEW",IF(ISNA(VLOOKUP(E3804,#REF!,1,FALSE())),"?TYPE_IDENTIFIABLE","?REFERENTIAL"),"_")))))</f>
        <v> </v>
      </c>
      <c r="H3804" s="24" t="str">
        <f>IF(J3804&lt;&gt;1,"",IF(I3804="SBJ","CB","?"))</f>
        <v> </v>
      </c>
      <c r="I3804" s="25" t="str">
        <f>IF(OR(E3804="",E3804="!!!",F3804="NEW"),"",INDEX(B3803:B$2,-1+SUMPRODUCT(MAX(ROW(E3803:E$2)*(E3804=E3803:E$2)))))</f>
        <v> </v>
      </c>
      <c r="J3804" s="25" t="str">
        <f>IF(OR(E3804="",E3804="!!!",F3804="NEW"),"",COUNTBLANK(OFFSET(A$1,,,SUMPRODUCT(MAX(ROW(E$2:E3804)*(E3804=E$2:E3804)))))-COUNTBLANK(OFFSET(A$1,,,SUMPRODUCT(MAX(ROW(E$1:E3803)*(E2=E$1:E3803))))))</f>
        <v> </v>
      </c>
      <c r="K3804" s="25" t="str">
        <f>IF(OR(E3804="",E3804="!!!",F3804="NEW"),"",INDEX(J$1:J3803,SUMPRODUCT(MAX(ROW(E$1:E3803)*(E3804=E$1:E3803)))))</f>
        <v> </v>
      </c>
      <c r="L3804" s="26"/>
    </row>
    <row r="3805" spans="1:12">
      <c r="A3805" s="20" t="s">
        <v>2294</v>
      </c>
      <c r="E3805" s="21">
        <f>IF(D3805="?OLD","!!!","")</f>
        <v/>
      </c>
      <c r="F3805" s="22" t="str">
        <f>IF(OR(E3805="",E3805="!!!"),"",IF(NOT(ISNA(VLOOKUP(E3805,E$1:E3804,1,FALSE()))),"OLD",IF(AND(E3805&lt;&gt;"",E3805&lt;&gt;"!!!"),"NEW","")))</f>
        <v> </v>
      </c>
      <c r="G3805" s="23" t="str">
        <f>IF(OR(E3805="",E3805="!!!"),"",IF(OR(J3805=0,AND(J3805=1,K3805=1),AND(J3805=1,I3805="SBJ"),AND(J3805=1,I3805=0)),"?IN_FOCUS",IF(J3805&lt;=2,"?ACTIVATED",IF(J3805&lt;&gt;"","?FAMILIAR",IF(F3805="NEW",IF(ISNA(VLOOKUP(E3805,#REF!,1,FALSE())),"?TYPE_IDENTIFIABLE","?REFERENTIAL"),"_")))))</f>
        <v> </v>
      </c>
      <c r="H3805" s="24" t="str">
        <f>IF(J3805&lt;&gt;1,"",IF(I3805="SBJ","CB","?"))</f>
        <v> </v>
      </c>
      <c r="I3805" s="25" t="str">
        <f>IF(OR(E3805="",E3805="!!!",F3805="NEW"),"",INDEX(B3804:B$2,-1+SUMPRODUCT(MAX(ROW(E3804:E$2)*(E3805=E3804:E$2)))))</f>
        <v> </v>
      </c>
      <c r="J3805" s="25" t="str">
        <f>IF(OR(E3805="",E3805="!!!",F3805="NEW"),"",COUNTBLANK(OFFSET(A$1,,,SUMPRODUCT(MAX(ROW(E$2:E3805)*(E3805=E$2:E3805)))))-COUNTBLANK(OFFSET(A$1,,,SUMPRODUCT(MAX(ROW(E$1:E3804)*(E2=E$1:E3804))))))</f>
        <v> </v>
      </c>
      <c r="K3805" s="25" t="str">
        <f>IF(OR(E3805="",E3805="!!!",F3805="NEW"),"",INDEX(J$1:J3804,SUMPRODUCT(MAX(ROW(E$1:E3804)*(E3805=E$1:E3804)))))</f>
        <v> </v>
      </c>
      <c r="L3805" s="26"/>
    </row>
    <row r="3806" spans="1:12">
      <c r="A3806" s="20" t="s">
        <v>1074</v>
      </c>
      <c r="E3806" s="21">
        <f>IF(D3806="?OLD","!!!","")</f>
        <v/>
      </c>
      <c r="F3806" s="22" t="str">
        <f>IF(OR(E3806="",E3806="!!!"),"",IF(NOT(ISNA(VLOOKUP(E3806,E$1:E3805,1,FALSE()))),"OLD",IF(AND(E3806&lt;&gt;"",E3806&lt;&gt;"!!!"),"NEW","")))</f>
        <v> </v>
      </c>
      <c r="G3806" s="23" t="str">
        <f>IF(OR(E3806="",E3806="!!!"),"",IF(OR(J3806=0,AND(J3806=1,K3806=1),AND(J3806=1,I3806="SBJ"),AND(J3806=1,I3806=0)),"?IN_FOCUS",IF(J3806&lt;=2,"?ACTIVATED",IF(J3806&lt;&gt;"","?FAMILIAR",IF(F3806="NEW",IF(ISNA(VLOOKUP(E3806,#REF!,1,FALSE())),"?TYPE_IDENTIFIABLE","?REFERENTIAL"),"_")))))</f>
        <v> </v>
      </c>
      <c r="H3806" s="24" t="str">
        <f>IF(J3806&lt;&gt;1,"",IF(I3806="SBJ","CB","?"))</f>
        <v> </v>
      </c>
      <c r="I3806" s="25" t="str">
        <f>IF(OR(E3806="",E3806="!!!",F3806="NEW"),"",INDEX(B3805:B$2,-1+SUMPRODUCT(MAX(ROW(E3805:E$2)*(E3806=E3805:E$2)))))</f>
        <v> </v>
      </c>
      <c r="J3806" s="25" t="str">
        <f>IF(OR(E3806="",E3806="!!!",F3806="NEW"),"",COUNTBLANK(OFFSET(A$1,,,SUMPRODUCT(MAX(ROW(E$2:E3806)*(E3806=E$2:E3806)))))-COUNTBLANK(OFFSET(A$1,,,SUMPRODUCT(MAX(ROW(E$1:E3805)*(E2=E$1:E3805))))))</f>
        <v> </v>
      </c>
      <c r="K3806" s="25" t="str">
        <f>IF(OR(E3806="",E3806="!!!",F3806="NEW"),"",INDEX(J$1:J3805,SUMPRODUCT(MAX(ROW(E$1:E3805)*(E3806=E$1:E3805)))))</f>
        <v> </v>
      </c>
      <c r="L3806" s="26"/>
    </row>
    <row r="3807" spans="1:12">
      <c r="A3807" s="20" t="s">
        <v>1483</v>
      </c>
      <c r="E3807" s="21">
        <f>IF(D3807="?OLD","!!!","")</f>
        <v/>
      </c>
      <c r="F3807" s="22" t="str">
        <f>IF(OR(E3807="",E3807="!!!"),"",IF(NOT(ISNA(VLOOKUP(E3807,E$1:E3806,1,FALSE()))),"OLD",IF(AND(E3807&lt;&gt;"",E3807&lt;&gt;"!!!"),"NEW","")))</f>
        <v> </v>
      </c>
      <c r="G3807" s="23" t="str">
        <f>IF(OR(E3807="",E3807="!!!"),"",IF(OR(J3807=0,AND(J3807=1,K3807=1),AND(J3807=1,I3807="SBJ"),AND(J3807=1,I3807=0)),"?IN_FOCUS",IF(J3807&lt;=2,"?ACTIVATED",IF(J3807&lt;&gt;"","?FAMILIAR",IF(F3807="NEW",IF(ISNA(VLOOKUP(E3807,#REF!,1,FALSE())),"?TYPE_IDENTIFIABLE","?REFERENTIAL"),"_")))))</f>
        <v> </v>
      </c>
      <c r="H3807" s="24" t="str">
        <f>IF(J3807&lt;&gt;1,"",IF(I3807="SBJ","CB","?"))</f>
        <v> </v>
      </c>
      <c r="I3807" s="25" t="str">
        <f>IF(OR(E3807="",E3807="!!!",F3807="NEW"),"",INDEX(B3806:B$2,-1+SUMPRODUCT(MAX(ROW(E3806:E$2)*(E3807=E3806:E$2)))))</f>
        <v> </v>
      </c>
      <c r="J3807" s="25" t="str">
        <f>IF(OR(E3807="",E3807="!!!",F3807="NEW"),"",COUNTBLANK(OFFSET(A$1,,,SUMPRODUCT(MAX(ROW(E$2:E3807)*(E3807=E$2:E3807)))))-COUNTBLANK(OFFSET(A$1,,,SUMPRODUCT(MAX(ROW(E$1:E3806)*(E2=E$1:E3806))))))</f>
        <v> </v>
      </c>
      <c r="K3807" s="25" t="str">
        <f>IF(OR(E3807="",E3807="!!!",F3807="NEW"),"",INDEX(J$1:J3806,SUMPRODUCT(MAX(ROW(E$1:E3806)*(E3807=E$1:E3806)))))</f>
        <v> </v>
      </c>
      <c r="L3807" s="26"/>
    </row>
    <row r="3808" spans="1:12">
      <c r="A3808" s="20" t="s">
        <v>247</v>
      </c>
      <c r="B3808" s="27" t="s">
        <v>1354</v>
      </c>
      <c r="C3808" s="27" t="s">
        <v>1067</v>
      </c>
      <c r="E3808" s="21">
        <f>IF(D3808="?OLD","!!!","")</f>
        <v/>
      </c>
      <c r="F3808" s="22" t="str">
        <f>IF(OR(E3808="",E3808="!!!"),"",IF(NOT(ISNA(VLOOKUP(E3808,E$1:E3807,1,FALSE()))),"OLD",IF(AND(E3808&lt;&gt;"",E3808&lt;&gt;"!!!"),"NEW","")))</f>
        <v> </v>
      </c>
      <c r="G3808" s="23" t="str">
        <f>IF(OR(E3808="",E3808="!!!"),"",IF(OR(J3808=0,AND(J3808=1,K3808=1),AND(J3808=1,I3808="SBJ"),AND(J3808=1,I3808=0)),"?IN_FOCUS",IF(J3808&lt;=2,"?ACTIVATED",IF(J3808&lt;&gt;"","?FAMILIAR",IF(F3808="NEW",IF(ISNA(VLOOKUP(E3808,#REF!,1,FALSE())),"?TYPE_IDENTIFIABLE","?REFERENTIAL"),"_")))))</f>
        <v> </v>
      </c>
      <c r="H3808" s="24" t="str">
        <f>IF(J3808&lt;&gt;1,"",IF(I3808="SBJ","CB","?"))</f>
        <v> </v>
      </c>
      <c r="I3808" s="25" t="str">
        <f>IF(OR(E3808="",E3808="!!!",F3808="NEW"),"",INDEX(B3807:B$2,-1+SUMPRODUCT(MAX(ROW(E3807:E$2)*(E3808=E3807:E$2)))))</f>
        <v> </v>
      </c>
      <c r="J3808" s="25" t="str">
        <f>IF(OR(E3808="",E3808="!!!",F3808="NEW"),"",COUNTBLANK(OFFSET(A$1,,,SUMPRODUCT(MAX(ROW(E$2:E3808)*(E3808=E$2:E3808)))))-COUNTBLANK(OFFSET(A$1,,,SUMPRODUCT(MAX(ROW(E$1:E3807)*(E2=E$1:E3807))))))</f>
        <v> </v>
      </c>
      <c r="K3808" s="25" t="str">
        <f>IF(OR(E3808="",E3808="!!!",F3808="NEW"),"",INDEX(J$1:J3807,SUMPRODUCT(MAX(ROW(E$1:E3807)*(E3808=E$1:E3807)))))</f>
        <v> </v>
      </c>
      <c r="L3808" s="26"/>
    </row>
    <row r="3809" spans="1:12">
      <c r="A3809" s="20" t="s">
        <v>2295</v>
      </c>
      <c r="E3809" s="21">
        <f>IF(D3809="?OLD","!!!","")</f>
        <v/>
      </c>
      <c r="F3809" s="22" t="str">
        <f>IF(OR(E3809="",E3809="!!!"),"",IF(NOT(ISNA(VLOOKUP(E3809,E$1:E3808,1,FALSE()))),"OLD",IF(AND(E3809&lt;&gt;"",E3809&lt;&gt;"!!!"),"NEW","")))</f>
        <v> </v>
      </c>
      <c r="G3809" s="23" t="str">
        <f>IF(OR(E3809="",E3809="!!!"),"",IF(OR(J3809=0,AND(J3809=1,K3809=1),AND(J3809=1,I3809="SBJ"),AND(J3809=1,I3809=0)),"?IN_FOCUS",IF(J3809&lt;=2,"?ACTIVATED",IF(J3809&lt;&gt;"","?FAMILIAR",IF(F3809="NEW",IF(ISNA(VLOOKUP(E3809,#REF!,1,FALSE())),"?TYPE_IDENTIFIABLE","?REFERENTIAL"),"_")))))</f>
        <v> </v>
      </c>
      <c r="H3809" s="24" t="str">
        <f>IF(J3809&lt;&gt;1,"",IF(I3809="SBJ","CB","?"))</f>
        <v> </v>
      </c>
      <c r="I3809" s="25" t="str">
        <f>IF(OR(E3809="",E3809="!!!",F3809="NEW"),"",INDEX(B3808:B$2,-1+SUMPRODUCT(MAX(ROW(E3808:E$2)*(E3809=E3808:E$2)))))</f>
        <v> </v>
      </c>
      <c r="J3809" s="25" t="str">
        <f>IF(OR(E3809="",E3809="!!!",F3809="NEW"),"",COUNTBLANK(OFFSET(A$1,,,SUMPRODUCT(MAX(ROW(E$2:E3809)*(E3809=E$2:E3809)))))-COUNTBLANK(OFFSET(A$1,,,SUMPRODUCT(MAX(ROW(E$1:E3808)*(E2=E$1:E3808))))))</f>
        <v> </v>
      </c>
      <c r="K3809" s="25" t="str">
        <f>IF(OR(E3809="",E3809="!!!",F3809="NEW"),"",INDEX(J$1:J3808,SUMPRODUCT(MAX(ROW(E$1:E3808)*(E3809=E$1:E3808)))))</f>
        <v> </v>
      </c>
      <c r="L3809" s="26"/>
    </row>
    <row r="3810" spans="1:12">
      <c r="A3810" s="20" t="s">
        <v>489</v>
      </c>
      <c r="E3810" s="21">
        <f>IF(D3810="?OLD","!!!","")</f>
        <v/>
      </c>
      <c r="F3810" s="22" t="str">
        <f>IF(OR(E3810="",E3810="!!!"),"",IF(NOT(ISNA(VLOOKUP(E3810,E$1:E3809,1,FALSE()))),"OLD",IF(AND(E3810&lt;&gt;"",E3810&lt;&gt;"!!!"),"NEW","")))</f>
        <v> </v>
      </c>
      <c r="G3810" s="23" t="str">
        <f>IF(OR(E3810="",E3810="!!!"),"",IF(OR(J3810=0,AND(J3810=1,K3810=1),AND(J3810=1,I3810="SBJ"),AND(J3810=1,I3810=0)),"?IN_FOCUS",IF(J3810&lt;=2,"?ACTIVATED",IF(J3810&lt;&gt;"","?FAMILIAR",IF(F3810="NEW",IF(ISNA(VLOOKUP(E3810,#REF!,1,FALSE())),"?TYPE_IDENTIFIABLE","?REFERENTIAL"),"_")))))</f>
        <v> </v>
      </c>
      <c r="H3810" s="24" t="str">
        <f>IF(J3810&lt;&gt;1,"",IF(I3810="SBJ","CB","?"))</f>
        <v> </v>
      </c>
      <c r="I3810" s="25" t="str">
        <f>IF(OR(E3810="",E3810="!!!",F3810="NEW"),"",INDEX(B3809:B$2,-1+SUMPRODUCT(MAX(ROW(E3809:E$2)*(E3810=E3809:E$2)))))</f>
        <v> </v>
      </c>
      <c r="J3810" s="25" t="str">
        <f>IF(OR(E3810="",E3810="!!!",F3810="NEW"),"",COUNTBLANK(OFFSET(A$1,,,SUMPRODUCT(MAX(ROW(E$2:E3810)*(E3810=E$2:E3810)))))-COUNTBLANK(OFFSET(A$1,,,SUMPRODUCT(MAX(ROW(E$1:E3809)*(E2=E$1:E3809))))))</f>
        <v> </v>
      </c>
      <c r="K3810" s="25" t="str">
        <f>IF(OR(E3810="",E3810="!!!",F3810="NEW"),"",INDEX(J$1:J3809,SUMPRODUCT(MAX(ROW(E$1:E3809)*(E3810=E$1:E3809)))))</f>
        <v> </v>
      </c>
      <c r="L3810" s="26"/>
    </row>
    <row r="3811" spans="1:12">
      <c r="A3811" s="20" t="s">
        <v>135</v>
      </c>
      <c r="E3811" s="21">
        <f>IF(D3811="?OLD","!!!","")</f>
        <v/>
      </c>
      <c r="F3811" s="22" t="str">
        <f>IF(OR(E3811="",E3811="!!!"),"",IF(NOT(ISNA(VLOOKUP(E3811,E$1:E3810,1,FALSE()))),"OLD",IF(AND(E3811&lt;&gt;"",E3811&lt;&gt;"!!!"),"NEW","")))</f>
        <v> </v>
      </c>
      <c r="G3811" s="23" t="str">
        <f>IF(OR(E3811="",E3811="!!!"),"",IF(OR(J3811=0,AND(J3811=1,K3811=1),AND(J3811=1,I3811="SBJ"),AND(J3811=1,I3811=0)),"?IN_FOCUS",IF(J3811&lt;=2,"?ACTIVATED",IF(J3811&lt;&gt;"","?FAMILIAR",IF(F3811="NEW",IF(ISNA(VLOOKUP(E3811,#REF!,1,FALSE())),"?TYPE_IDENTIFIABLE","?REFERENTIAL"),"_")))))</f>
        <v> </v>
      </c>
      <c r="H3811" s="24" t="str">
        <f>IF(J3811&lt;&gt;1,"",IF(I3811="SBJ","CB","?"))</f>
        <v> </v>
      </c>
      <c r="I3811" s="25" t="str">
        <f>IF(OR(E3811="",E3811="!!!",F3811="NEW"),"",INDEX(B3810:B$2,-1+SUMPRODUCT(MAX(ROW(E3810:E$2)*(E3811=E3810:E$2)))))</f>
        <v> </v>
      </c>
      <c r="J3811" s="25" t="str">
        <f>IF(OR(E3811="",E3811="!!!",F3811="NEW"),"",COUNTBLANK(OFFSET(A$1,,,SUMPRODUCT(MAX(ROW(E$2:E3811)*(E3811=E$2:E3811)))))-COUNTBLANK(OFFSET(A$1,,,SUMPRODUCT(MAX(ROW(E$1:E3810)*(E2=E$1:E3810))))))</f>
        <v> </v>
      </c>
      <c r="K3811" s="25" t="str">
        <f>IF(OR(E3811="",E3811="!!!",F3811="NEW"),"",INDEX(J$1:J3810,SUMPRODUCT(MAX(ROW(E$1:E3810)*(E3811=E$1:E3810)))))</f>
        <v> </v>
      </c>
      <c r="L3811" s="26"/>
    </row>
    <row r="3812" spans="1:12">
      <c r="A3812" s="20"/>
    </row>
    <row r="3813" spans="1:12">
      <c r="A3813" s="20" t="s">
        <v>2296</v>
      </c>
    </row>
    <row r="3814" spans="1:12">
      <c r="A3814" s="20" t="s">
        <v>1825</v>
      </c>
      <c r="E3814" s="21">
        <f>IF(D3814="?OLD","!!!","")</f>
        <v/>
      </c>
      <c r="F3814" s="22" t="str">
        <f>IF(OR(E3814="",E3814="!!!"),"",IF(NOT(ISNA(VLOOKUP(E3814,E$1:E3813,1,FALSE()))),"OLD",IF(AND(E3814&lt;&gt;"",E3814&lt;&gt;"!!!"),"NEW","")))</f>
        <v> </v>
      </c>
      <c r="G3814" s="23" t="str">
        <f>IF(OR(E3814="",E3814="!!!"),"",IF(OR(J3814=0,AND(J3814=1,K3814=1),AND(J3814=1,I3814="SBJ"),AND(J3814=1,I3814=0)),"?IN_FOCUS",IF(J3814&lt;=2,"?ACTIVATED",IF(J3814&lt;&gt;"","?FAMILIAR",IF(F3814="NEW",IF(ISNA(VLOOKUP(E3814,#REF!,1,FALSE())),"?TYPE_IDENTIFIABLE","?REFERENTIAL"),"_")))))</f>
        <v> </v>
      </c>
      <c r="H3814" s="24" t="str">
        <f>IF(J3814&lt;&gt;1,"",IF(I3814="SBJ","CB","?"))</f>
        <v> </v>
      </c>
      <c r="I3814" s="25" t="str">
        <f>IF(OR(E3814="",E3814="!!!",F3814="NEW"),"",INDEX(B3813:B$2,-1+SUMPRODUCT(MAX(ROW(E3813:E$2)*(E3814=E3813:E$2)))))</f>
        <v> </v>
      </c>
      <c r="J3814" s="25" t="str">
        <f>IF(OR(E3814="",E3814="!!!",F3814="NEW"),"",COUNTBLANK(OFFSET(A$1,,,SUMPRODUCT(MAX(ROW(E$2:E3814)*(E3814=E$2:E3814)))))-COUNTBLANK(OFFSET(A$1,,,SUMPRODUCT(MAX(ROW(E$1:E3813)*(E2=E$1:E3813))))))</f>
        <v> </v>
      </c>
      <c r="K3814" s="25" t="str">
        <f>IF(OR(E3814="",E3814="!!!",F3814="NEW"),"",INDEX(J$1:J3813,SUMPRODUCT(MAX(ROW(E$1:E3813)*(E3814=E$1:E3813)))))</f>
        <v> </v>
      </c>
      <c r="L3814" s="26"/>
    </row>
    <row r="3815" spans="1:12">
      <c r="A3815" s="20" t="s">
        <v>11</v>
      </c>
      <c r="E3815" s="21">
        <f>IF(D3815="?OLD","!!!","")</f>
        <v/>
      </c>
      <c r="F3815" s="22" t="str">
        <f>IF(OR(E3815="",E3815="!!!"),"",IF(NOT(ISNA(VLOOKUP(E3815,E$1:E3814,1,FALSE()))),"OLD",IF(AND(E3815&lt;&gt;"",E3815&lt;&gt;"!!!"),"NEW","")))</f>
        <v> </v>
      </c>
      <c r="G3815" s="23" t="str">
        <f>IF(OR(E3815="",E3815="!!!"),"",IF(OR(J3815=0,AND(J3815=1,K3815=1),AND(J3815=1,I3815="SBJ"),AND(J3815=1,I3815=0)),"?IN_FOCUS",IF(J3815&lt;=2,"?ACTIVATED",IF(J3815&lt;&gt;"","?FAMILIAR",IF(F3815="NEW",IF(ISNA(VLOOKUP(E3815,#REF!,1,FALSE())),"?TYPE_IDENTIFIABLE","?REFERENTIAL"),"_")))))</f>
        <v> </v>
      </c>
      <c r="H3815" s="24" t="str">
        <f>IF(J3815&lt;&gt;1,"",IF(I3815="SBJ","CB","?"))</f>
        <v> </v>
      </c>
      <c r="I3815" s="25" t="str">
        <f>IF(OR(E3815="",E3815="!!!",F3815="NEW"),"",INDEX(B3814:B$2,-1+SUMPRODUCT(MAX(ROW(E3814:E$2)*(E3815=E3814:E$2)))))</f>
        <v> </v>
      </c>
      <c r="J3815" s="25" t="str">
        <f>IF(OR(E3815="",E3815="!!!",F3815="NEW"),"",COUNTBLANK(OFFSET(A$1,,,SUMPRODUCT(MAX(ROW(E$2:E3815)*(E3815=E$2:E3815)))))-COUNTBLANK(OFFSET(A$1,,,SUMPRODUCT(MAX(ROW(E$1:E3814)*(E2=E$1:E3814))))))</f>
        <v> </v>
      </c>
      <c r="K3815" s="25" t="str">
        <f>IF(OR(E3815="",E3815="!!!",F3815="NEW"),"",INDEX(J$1:J3814,SUMPRODUCT(MAX(ROW(E$1:E3814)*(E3815=E$1:E3814)))))</f>
        <v> </v>
      </c>
      <c r="L3815" s="26"/>
    </row>
    <row r="3816" spans="1:12">
      <c r="A3816" s="20" t="s">
        <v>1947</v>
      </c>
      <c r="E3816" s="21">
        <f>IF(D3816="?OLD","!!!","")</f>
        <v/>
      </c>
      <c r="F3816" s="22" t="str">
        <f>IF(OR(E3816="",E3816="!!!"),"",IF(NOT(ISNA(VLOOKUP(E3816,E$1:E3815,1,FALSE()))),"OLD",IF(AND(E3816&lt;&gt;"",E3816&lt;&gt;"!!!"),"NEW","")))</f>
        <v> </v>
      </c>
      <c r="G3816" s="23" t="str">
        <f>IF(OR(E3816="",E3816="!!!"),"",IF(OR(J3816=0,AND(J3816=1,K3816=1),AND(J3816=1,I3816="SBJ"),AND(J3816=1,I3816=0)),"?IN_FOCUS",IF(J3816&lt;=2,"?ACTIVATED",IF(J3816&lt;&gt;"","?FAMILIAR",IF(F3816="NEW",IF(ISNA(VLOOKUP(E3816,#REF!,1,FALSE())),"?TYPE_IDENTIFIABLE","?REFERENTIAL"),"_")))))</f>
        <v> </v>
      </c>
      <c r="H3816" s="24" t="str">
        <f>IF(J3816&lt;&gt;1,"",IF(I3816="SBJ","CB","?"))</f>
        <v> </v>
      </c>
      <c r="I3816" s="25" t="str">
        <f>IF(OR(E3816="",E3816="!!!",F3816="NEW"),"",INDEX(B3815:B$2,-1+SUMPRODUCT(MAX(ROW(E3815:E$2)*(E3816=E3815:E$2)))))</f>
        <v> </v>
      </c>
      <c r="J3816" s="25" t="str">
        <f>IF(OR(E3816="",E3816="!!!",F3816="NEW"),"",COUNTBLANK(OFFSET(A$1,,,SUMPRODUCT(MAX(ROW(E$2:E3816)*(E3816=E$2:E3816)))))-COUNTBLANK(OFFSET(A$1,,,SUMPRODUCT(MAX(ROW(E$1:E3815)*(E2=E$1:E3815))))))</f>
        <v> </v>
      </c>
      <c r="K3816" s="25" t="str">
        <f>IF(OR(E3816="",E3816="!!!",F3816="NEW"),"",INDEX(J$1:J3815,SUMPRODUCT(MAX(ROW(E$1:E3815)*(E3816=E$1:E3815)))))</f>
        <v> </v>
      </c>
      <c r="L3816" s="26"/>
    </row>
    <row r="3817" spans="1:12">
      <c r="A3817" s="20" t="s">
        <v>2297</v>
      </c>
      <c r="E3817" s="21">
        <f>IF(D3817="?OLD","!!!","")</f>
        <v/>
      </c>
      <c r="F3817" s="22" t="str">
        <f>IF(OR(E3817="",E3817="!!!"),"",IF(NOT(ISNA(VLOOKUP(E3817,E$1:E3816,1,FALSE()))),"OLD",IF(AND(E3817&lt;&gt;"",E3817&lt;&gt;"!!!"),"NEW","")))</f>
        <v> </v>
      </c>
      <c r="G3817" s="23" t="str">
        <f>IF(OR(E3817="",E3817="!!!"),"",IF(OR(J3817=0,AND(J3817=1,K3817=1),AND(J3817=1,I3817="SBJ"),AND(J3817=1,I3817=0)),"?IN_FOCUS",IF(J3817&lt;=2,"?ACTIVATED",IF(J3817&lt;&gt;"","?FAMILIAR",IF(F3817="NEW",IF(ISNA(VLOOKUP(E3817,#REF!,1,FALSE())),"?TYPE_IDENTIFIABLE","?REFERENTIAL"),"_")))))</f>
        <v> </v>
      </c>
      <c r="H3817" s="24" t="str">
        <f>IF(J3817&lt;&gt;1,"",IF(I3817="SBJ","CB","?"))</f>
        <v> </v>
      </c>
      <c r="I3817" s="25" t="str">
        <f>IF(OR(E3817="",E3817="!!!",F3817="NEW"),"",INDEX(B3816:B$2,-1+SUMPRODUCT(MAX(ROW(E3816:E$2)*(E3817=E3816:E$2)))))</f>
        <v> </v>
      </c>
      <c r="J3817" s="25" t="str">
        <f>IF(OR(E3817="",E3817="!!!",F3817="NEW"),"",COUNTBLANK(OFFSET(A$1,,,SUMPRODUCT(MAX(ROW(E$2:E3817)*(E3817=E$2:E3817)))))-COUNTBLANK(OFFSET(A$1,,,SUMPRODUCT(MAX(ROW(E$1:E3816)*(E2=E$1:E3816))))))</f>
        <v> </v>
      </c>
      <c r="K3817" s="25" t="str">
        <f>IF(OR(E3817="",E3817="!!!",F3817="NEW"),"",INDEX(J$1:J3816,SUMPRODUCT(MAX(ROW(E$1:E3816)*(E3817=E$1:E3816)))))</f>
        <v> </v>
      </c>
      <c r="L3817" s="26"/>
    </row>
    <row r="3818" spans="1:12">
      <c r="A3818" s="20" t="s">
        <v>1123</v>
      </c>
      <c r="B3818" s="27" t="s">
        <v>1014</v>
      </c>
      <c r="C3818" s="27" t="s">
        <v>1050</v>
      </c>
      <c r="D3818" s="27" t="s">
        <v>1030</v>
      </c>
      <c r="E3818" s="21">
        <f>IF(D3818="?OLD","!!!","")</f>
        <v/>
      </c>
      <c r="F3818" s="22" t="str">
        <f>IF(OR(E3818="",E3818="!!!"),"",IF(NOT(ISNA(VLOOKUP(E3818,E$1:E3817,1,FALSE()))),"OLD",IF(AND(E3818&lt;&gt;"",E3818&lt;&gt;"!!!"),"NEW","")))</f>
        <v> </v>
      </c>
      <c r="G3818" s="23" t="str">
        <f>IF(OR(E3818="",E3818="!!!"),"",IF(OR(J3818=0,AND(J3818=1,K3818=1),AND(J3818=1,I3818="SBJ"),AND(J3818=1,I3818=0)),"?IN_FOCUS",IF(J3818&lt;=2,"?ACTIVATED",IF(J3818&lt;&gt;"","?FAMILIAR",IF(F3818="NEW",IF(ISNA(VLOOKUP(E3818,#REF!,1,FALSE())),"?TYPE_IDENTIFIABLE","?REFERENTIAL"),"_")))))</f>
        <v> </v>
      </c>
      <c r="H3818" s="24" t="str">
        <f>IF(J3818&lt;&gt;1,"",IF(I3818="SBJ","CB","?"))</f>
        <v> </v>
      </c>
      <c r="I3818" s="25" t="str">
        <f>IF(OR(E3818="",E3818="!!!",F3818="NEW"),"",INDEX(B3817:B$2,-1+SUMPRODUCT(MAX(ROW(E3817:E$2)*(E3818=E3817:E$2)))))</f>
        <v> </v>
      </c>
      <c r="J3818" s="25" t="str">
        <f>IF(OR(E3818="",E3818="!!!",F3818="NEW"),"",COUNTBLANK(OFFSET(A$1,,,SUMPRODUCT(MAX(ROW(E$2:E3818)*(E3818=E$2:E3818)))))-COUNTBLANK(OFFSET(A$1,,,SUMPRODUCT(MAX(ROW(E$1:E3817)*(E2=E$1:E3817))))))</f>
        <v> </v>
      </c>
      <c r="K3818" s="25" t="str">
        <f>IF(OR(E3818="",E3818="!!!",F3818="NEW"),"",INDEX(J$1:J3817,SUMPRODUCT(MAX(ROW(E$1:E3817)*(E3818=E$1:E3817)))))</f>
        <v> </v>
      </c>
      <c r="L3818" s="26"/>
    </row>
    <row r="3819" spans="1:12">
      <c r="A3819" s="20" t="s">
        <v>1215</v>
      </c>
      <c r="E3819" s="21">
        <f>IF(D3819="?OLD","!!!","")</f>
        <v/>
      </c>
      <c r="F3819" s="22" t="str">
        <f>IF(OR(E3819="",E3819="!!!"),"",IF(NOT(ISNA(VLOOKUP(E3819,E$1:E3818,1,FALSE()))),"OLD",IF(AND(E3819&lt;&gt;"",E3819&lt;&gt;"!!!"),"NEW","")))</f>
        <v> </v>
      </c>
      <c r="G3819" s="23" t="str">
        <f>IF(OR(E3819="",E3819="!!!"),"",IF(OR(J3819=0,AND(J3819=1,K3819=1),AND(J3819=1,I3819="SBJ"),AND(J3819=1,I3819=0)),"?IN_FOCUS",IF(J3819&lt;=2,"?ACTIVATED",IF(J3819&lt;&gt;"","?FAMILIAR",IF(F3819="NEW",IF(ISNA(VLOOKUP(E3819,#REF!,1,FALSE())),"?TYPE_IDENTIFIABLE","?REFERENTIAL"),"_")))))</f>
        <v> </v>
      </c>
      <c r="H3819" s="24" t="str">
        <f>IF(J3819&lt;&gt;1,"",IF(I3819="SBJ","CB","?"))</f>
        <v> </v>
      </c>
      <c r="I3819" s="25" t="str">
        <f>IF(OR(E3819="",E3819="!!!",F3819="NEW"),"",INDEX(B3818:B$2,-1+SUMPRODUCT(MAX(ROW(E3818:E$2)*(E3819=E3818:E$2)))))</f>
        <v> </v>
      </c>
      <c r="J3819" s="25" t="str">
        <f>IF(OR(E3819="",E3819="!!!",F3819="NEW"),"",COUNTBLANK(OFFSET(A$1,,,SUMPRODUCT(MAX(ROW(E$2:E3819)*(E3819=E$2:E3819)))))-COUNTBLANK(OFFSET(A$1,,,SUMPRODUCT(MAX(ROW(E$1:E3818)*(E2=E$1:E3818))))))</f>
        <v> </v>
      </c>
      <c r="K3819" s="25" t="str">
        <f>IF(OR(E3819="",E3819="!!!",F3819="NEW"),"",INDEX(J$1:J3818,SUMPRODUCT(MAX(ROW(E$1:E3818)*(E3819=E$1:E3818)))))</f>
        <v> </v>
      </c>
      <c r="L3819" s="26"/>
    </row>
    <row r="3820" spans="1:12">
      <c r="A3820" s="20"/>
    </row>
    <row r="3821" spans="1:12">
      <c r="A3821" s="20" t="s">
        <v>2298</v>
      </c>
    </row>
    <row r="3822" spans="1:12">
      <c r="A3822" s="20" t="s">
        <v>11</v>
      </c>
      <c r="E3822" s="21">
        <f>IF(D3822="?OLD","!!!","")</f>
        <v/>
      </c>
      <c r="F3822" s="22" t="str">
        <f>IF(OR(E3822="",E3822="!!!"),"",IF(NOT(ISNA(VLOOKUP(E3822,E$1:E3821,1,FALSE()))),"OLD",IF(AND(E3822&lt;&gt;"",E3822&lt;&gt;"!!!"),"NEW","")))</f>
        <v> </v>
      </c>
      <c r="G3822" s="23" t="str">
        <f>IF(OR(E3822="",E3822="!!!"),"",IF(OR(J3822=0,AND(J3822=1,K3822=1),AND(J3822=1,I3822="SBJ"),AND(J3822=1,I3822=0)),"?IN_FOCUS",IF(J3822&lt;=2,"?ACTIVATED",IF(J3822&lt;&gt;"","?FAMILIAR",IF(F3822="NEW",IF(ISNA(VLOOKUP(E3822,#REF!,1,FALSE())),"?TYPE_IDENTIFIABLE","?REFERENTIAL"),"_")))))</f>
        <v> </v>
      </c>
      <c r="H3822" s="24" t="str">
        <f>IF(J3822&lt;&gt;1,"",IF(I3822="SBJ","CB","?"))</f>
        <v> </v>
      </c>
      <c r="I3822" s="25" t="str">
        <f>IF(OR(E3822="",E3822="!!!",F3822="NEW"),"",INDEX(B3821:B$2,-1+SUMPRODUCT(MAX(ROW(E3821:E$2)*(E3822=E3821:E$2)))))</f>
        <v> </v>
      </c>
      <c r="J3822" s="25" t="str">
        <f>IF(OR(E3822="",E3822="!!!",F3822="NEW"),"",COUNTBLANK(OFFSET(A$1,,,SUMPRODUCT(MAX(ROW(E$2:E3822)*(E3822=E$2:E3822)))))-COUNTBLANK(OFFSET(A$1,,,SUMPRODUCT(MAX(ROW(E$1:E3821)*(E2=E$1:E3821))))))</f>
        <v> </v>
      </c>
      <c r="K3822" s="25" t="str">
        <f>IF(OR(E3822="",E3822="!!!",F3822="NEW"),"",INDEX(J$1:J3821,SUMPRODUCT(MAX(ROW(E$1:E3821)*(E3822=E$1:E3821)))))</f>
        <v> </v>
      </c>
      <c r="L3822" s="26"/>
    </row>
    <row r="3823" spans="1:12">
      <c r="A3823" s="20" t="s">
        <v>1275</v>
      </c>
      <c r="E3823" s="21">
        <f>IF(D3823="?OLD","!!!","")</f>
        <v/>
      </c>
      <c r="F3823" s="22" t="str">
        <f>IF(OR(E3823="",E3823="!!!"),"",IF(NOT(ISNA(VLOOKUP(E3823,E$1:E3822,1,FALSE()))),"OLD",IF(AND(E3823&lt;&gt;"",E3823&lt;&gt;"!!!"),"NEW","")))</f>
        <v> </v>
      </c>
      <c r="G3823" s="23" t="str">
        <f>IF(OR(E3823="",E3823="!!!"),"",IF(OR(J3823=0,AND(J3823=1,K3823=1),AND(J3823=1,I3823="SBJ"),AND(J3823=1,I3823=0)),"?IN_FOCUS",IF(J3823&lt;=2,"?ACTIVATED",IF(J3823&lt;&gt;"","?FAMILIAR",IF(F3823="NEW",IF(ISNA(VLOOKUP(E3823,#REF!,1,FALSE())),"?TYPE_IDENTIFIABLE","?REFERENTIAL"),"_")))))</f>
        <v> </v>
      </c>
      <c r="H3823" s="24" t="str">
        <f>IF(J3823&lt;&gt;1,"",IF(I3823="SBJ","CB","?"))</f>
        <v> </v>
      </c>
      <c r="I3823" s="25" t="str">
        <f>IF(OR(E3823="",E3823="!!!",F3823="NEW"),"",INDEX(B3822:B$2,-1+SUMPRODUCT(MAX(ROW(E3822:E$2)*(E3823=E3822:E$2)))))</f>
        <v> </v>
      </c>
      <c r="J3823" s="25" t="str">
        <f>IF(OR(E3823="",E3823="!!!",F3823="NEW"),"",COUNTBLANK(OFFSET(A$1,,,SUMPRODUCT(MAX(ROW(E$2:E3823)*(E3823=E$2:E3823)))))-COUNTBLANK(OFFSET(A$1,,,SUMPRODUCT(MAX(ROW(E$1:E3822)*(E2=E$1:E3822))))))</f>
        <v> </v>
      </c>
      <c r="K3823" s="25" t="str">
        <f>IF(OR(E3823="",E3823="!!!",F3823="NEW"),"",INDEX(J$1:J3822,SUMPRODUCT(MAX(ROW(E$1:E3822)*(E3823=E$1:E3822)))))</f>
        <v> </v>
      </c>
      <c r="L3823" s="26"/>
    </row>
    <row r="3824" spans="1:12">
      <c r="A3824" s="20" t="s">
        <v>1057</v>
      </c>
      <c r="E3824" s="21">
        <f>IF(D3824="?OLD","!!!","")</f>
        <v/>
      </c>
      <c r="F3824" s="22" t="str">
        <f>IF(OR(E3824="",E3824="!!!"),"",IF(NOT(ISNA(VLOOKUP(E3824,E$1:E3823,1,FALSE()))),"OLD",IF(AND(E3824&lt;&gt;"",E3824&lt;&gt;"!!!"),"NEW","")))</f>
        <v> </v>
      </c>
      <c r="G3824" s="23" t="str">
        <f>IF(OR(E3824="",E3824="!!!"),"",IF(OR(J3824=0,AND(J3824=1,K3824=1),AND(J3824=1,I3824="SBJ"),AND(J3824=1,I3824=0)),"?IN_FOCUS",IF(J3824&lt;=2,"?ACTIVATED",IF(J3824&lt;&gt;"","?FAMILIAR",IF(F3824="NEW",IF(ISNA(VLOOKUP(E3824,#REF!,1,FALSE())),"?TYPE_IDENTIFIABLE","?REFERENTIAL"),"_")))))</f>
        <v> </v>
      </c>
      <c r="H3824" s="24" t="str">
        <f>IF(J3824&lt;&gt;1,"",IF(I3824="SBJ","CB","?"))</f>
        <v> </v>
      </c>
      <c r="I3824" s="25" t="str">
        <f>IF(OR(E3824="",E3824="!!!",F3824="NEW"),"",INDEX(B3823:B$2,-1+SUMPRODUCT(MAX(ROW(E3823:E$2)*(E3824=E3823:E$2)))))</f>
        <v> </v>
      </c>
      <c r="J3824" s="25" t="str">
        <f>IF(OR(E3824="",E3824="!!!",F3824="NEW"),"",COUNTBLANK(OFFSET(A$1,,,SUMPRODUCT(MAX(ROW(E$2:E3824)*(E3824=E$2:E3824)))))-COUNTBLANK(OFFSET(A$1,,,SUMPRODUCT(MAX(ROW(E$1:E3823)*(E2=E$1:E3823))))))</f>
        <v> </v>
      </c>
      <c r="K3824" s="25" t="str">
        <f>IF(OR(E3824="",E3824="!!!",F3824="NEW"),"",INDEX(J$1:J3823,SUMPRODUCT(MAX(ROW(E$1:E3823)*(E3824=E$1:E3823)))))</f>
        <v> </v>
      </c>
      <c r="L3824" s="26"/>
    </row>
    <row r="3825" spans="1:12">
      <c r="A3825" s="20" t="s">
        <v>1123</v>
      </c>
      <c r="B3825" s="27" t="s">
        <v>1069</v>
      </c>
      <c r="C3825" s="27" t="s">
        <v>1050</v>
      </c>
      <c r="D3825" s="27" t="s">
        <v>1030</v>
      </c>
      <c r="E3825" s="21">
        <f>IF(D3825="?OLD","!!!","")</f>
        <v/>
      </c>
      <c r="F3825" s="22" t="str">
        <f>IF(OR(E3825="",E3825="!!!"),"",IF(NOT(ISNA(VLOOKUP(E3825,E$1:E3824,1,FALSE()))),"OLD",IF(AND(E3825&lt;&gt;"",E3825&lt;&gt;"!!!"),"NEW","")))</f>
        <v> </v>
      </c>
      <c r="G3825" s="23" t="str">
        <f>IF(OR(E3825="",E3825="!!!"),"",IF(OR(J3825=0,AND(J3825=1,K3825=1),AND(J3825=1,I3825="SBJ"),AND(J3825=1,I3825=0)),"?IN_FOCUS",IF(J3825&lt;=2,"?ACTIVATED",IF(J3825&lt;&gt;"","?FAMILIAR",IF(F3825="NEW",IF(ISNA(VLOOKUP(E3825,#REF!,1,FALSE())),"?TYPE_IDENTIFIABLE","?REFERENTIAL"),"_")))))</f>
        <v> </v>
      </c>
      <c r="H3825" s="24" t="str">
        <f>IF(J3825&lt;&gt;1,"",IF(I3825="SBJ","CB","?"))</f>
        <v> </v>
      </c>
      <c r="I3825" s="25" t="str">
        <f>IF(OR(E3825="",E3825="!!!",F3825="NEW"),"",INDEX(B3824:B$2,-1+SUMPRODUCT(MAX(ROW(E3824:E$2)*(E3825=E3824:E$2)))))</f>
        <v> </v>
      </c>
      <c r="J3825" s="25" t="str">
        <f>IF(OR(E3825="",E3825="!!!",F3825="NEW"),"",COUNTBLANK(OFFSET(A$1,,,SUMPRODUCT(MAX(ROW(E$2:E3825)*(E3825=E$2:E3825)))))-COUNTBLANK(OFFSET(A$1,,,SUMPRODUCT(MAX(ROW(E$1:E3824)*(E2=E$1:E3824))))))</f>
        <v> </v>
      </c>
      <c r="K3825" s="25" t="str">
        <f>IF(OR(E3825="",E3825="!!!",F3825="NEW"),"",INDEX(J$1:J3824,SUMPRODUCT(MAX(ROW(E$1:E3824)*(E3825=E$1:E3824)))))</f>
        <v> </v>
      </c>
      <c r="L3825" s="26"/>
    </row>
    <row r="3826" spans="1:12">
      <c r="A3826" s="20" t="s">
        <v>1688</v>
      </c>
      <c r="E3826" s="21">
        <f>IF(D3826="?OLD","!!!","")</f>
        <v/>
      </c>
      <c r="F3826" s="22" t="str">
        <f>IF(OR(E3826="",E3826="!!!"),"",IF(NOT(ISNA(VLOOKUP(E3826,E$1:E3825,1,FALSE()))),"OLD",IF(AND(E3826&lt;&gt;"",E3826&lt;&gt;"!!!"),"NEW","")))</f>
        <v> </v>
      </c>
      <c r="G3826" s="23" t="str">
        <f>IF(OR(E3826="",E3826="!!!"),"",IF(OR(J3826=0,AND(J3826=1,K3826=1),AND(J3826=1,I3826="SBJ"),AND(J3826=1,I3826=0)),"?IN_FOCUS",IF(J3826&lt;=2,"?ACTIVATED",IF(J3826&lt;&gt;"","?FAMILIAR",IF(F3826="NEW",IF(ISNA(VLOOKUP(E3826,#REF!,1,FALSE())),"?TYPE_IDENTIFIABLE","?REFERENTIAL"),"_")))))</f>
        <v> </v>
      </c>
      <c r="H3826" s="24" t="str">
        <f>IF(J3826&lt;&gt;1,"",IF(I3826="SBJ","CB","?"))</f>
        <v> </v>
      </c>
      <c r="I3826" s="25" t="str">
        <f>IF(OR(E3826="",E3826="!!!",F3826="NEW"),"",INDEX(B3825:B$2,-1+SUMPRODUCT(MAX(ROW(E3825:E$2)*(E3826=E3825:E$2)))))</f>
        <v> </v>
      </c>
      <c r="J3826" s="25" t="str">
        <f>IF(OR(E3826="",E3826="!!!",F3826="NEW"),"",COUNTBLANK(OFFSET(A$1,,,SUMPRODUCT(MAX(ROW(E$2:E3826)*(E3826=E$2:E3826)))))-COUNTBLANK(OFFSET(A$1,,,SUMPRODUCT(MAX(ROW(E$1:E3825)*(E2=E$1:E3825))))))</f>
        <v> </v>
      </c>
      <c r="K3826" s="25" t="str">
        <f>IF(OR(E3826="",E3826="!!!",F3826="NEW"),"",INDEX(J$1:J3825,SUMPRODUCT(MAX(ROW(E$1:E3825)*(E3826=E$1:E3825)))))</f>
        <v> </v>
      </c>
      <c r="L3826" s="26"/>
    </row>
    <row r="3827" spans="1:12">
      <c r="A3827" s="20" t="s">
        <v>1022</v>
      </c>
      <c r="E3827" s="21">
        <f>IF(D3827="?OLD","!!!","")</f>
        <v/>
      </c>
      <c r="F3827" s="22" t="str">
        <f>IF(OR(E3827="",E3827="!!!"),"",IF(NOT(ISNA(VLOOKUP(E3827,E$1:E3826,1,FALSE()))),"OLD",IF(AND(E3827&lt;&gt;"",E3827&lt;&gt;"!!!"),"NEW","")))</f>
        <v> </v>
      </c>
      <c r="G3827" s="23" t="str">
        <f>IF(OR(E3827="",E3827="!!!"),"",IF(OR(J3827=0,AND(J3827=1,K3827=1),AND(J3827=1,I3827="SBJ"),AND(J3827=1,I3827=0)),"?IN_FOCUS",IF(J3827&lt;=2,"?ACTIVATED",IF(J3827&lt;&gt;"","?FAMILIAR",IF(F3827="NEW",IF(ISNA(VLOOKUP(E3827,#REF!,1,FALSE())),"?TYPE_IDENTIFIABLE","?REFERENTIAL"),"_")))))</f>
        <v> </v>
      </c>
      <c r="H3827" s="24" t="str">
        <f>IF(J3827&lt;&gt;1,"",IF(I3827="SBJ","CB","?"))</f>
        <v> </v>
      </c>
      <c r="I3827" s="25" t="str">
        <f>IF(OR(E3827="",E3827="!!!",F3827="NEW"),"",INDEX(B3826:B$2,-1+SUMPRODUCT(MAX(ROW(E3826:E$2)*(E3827=E3826:E$2)))))</f>
        <v> </v>
      </c>
      <c r="J3827" s="25" t="str">
        <f>IF(OR(E3827="",E3827="!!!",F3827="NEW"),"",COUNTBLANK(OFFSET(A$1,,,SUMPRODUCT(MAX(ROW(E$2:E3827)*(E3827=E$2:E3827)))))-COUNTBLANK(OFFSET(A$1,,,SUMPRODUCT(MAX(ROW(E$1:E3826)*(E2=E$1:E3826))))))</f>
        <v> </v>
      </c>
      <c r="K3827" s="25" t="str">
        <f>IF(OR(E3827="",E3827="!!!",F3827="NEW"),"",INDEX(J$1:J3826,SUMPRODUCT(MAX(ROW(E$1:E3826)*(E3827=E$1:E3826)))))</f>
        <v> </v>
      </c>
      <c r="L3827" s="26"/>
    </row>
    <row r="3828" spans="1:12">
      <c r="A3828" s="20" t="s">
        <v>1083</v>
      </c>
      <c r="E3828" s="21">
        <f>IF(D3828="?OLD","!!!","")</f>
        <v/>
      </c>
      <c r="F3828" s="22" t="str">
        <f>IF(OR(E3828="",E3828="!!!"),"",IF(NOT(ISNA(VLOOKUP(E3828,E$1:E3827,1,FALSE()))),"OLD",IF(AND(E3828&lt;&gt;"",E3828&lt;&gt;"!!!"),"NEW","")))</f>
        <v> </v>
      </c>
      <c r="G3828" s="23" t="str">
        <f>IF(OR(E3828="",E3828="!!!"),"",IF(OR(J3828=0,AND(J3828=1,K3828=1),AND(J3828=1,I3828="SBJ"),AND(J3828=1,I3828=0)),"?IN_FOCUS",IF(J3828&lt;=2,"?ACTIVATED",IF(J3828&lt;&gt;"","?FAMILIAR",IF(F3828="NEW",IF(ISNA(VLOOKUP(E3828,#REF!,1,FALSE())),"?TYPE_IDENTIFIABLE","?REFERENTIAL"),"_")))))</f>
        <v> </v>
      </c>
      <c r="H3828" s="24" t="str">
        <f>IF(J3828&lt;&gt;1,"",IF(I3828="SBJ","CB","?"))</f>
        <v> </v>
      </c>
      <c r="I3828" s="25" t="str">
        <f>IF(OR(E3828="",E3828="!!!",F3828="NEW"),"",INDEX(B3827:B$2,-1+SUMPRODUCT(MAX(ROW(E3827:E$2)*(E3828=E3827:E$2)))))</f>
        <v> </v>
      </c>
      <c r="J3828" s="25" t="str">
        <f>IF(OR(E3828="",E3828="!!!",F3828="NEW"),"",COUNTBLANK(OFFSET(A$1,,,SUMPRODUCT(MAX(ROW(E$2:E3828)*(E3828=E$2:E3828)))))-COUNTBLANK(OFFSET(A$1,,,SUMPRODUCT(MAX(ROW(E$1:E3827)*(E2=E$1:E3827))))))</f>
        <v> </v>
      </c>
      <c r="K3828" s="25" t="str">
        <f>IF(OR(E3828="",E3828="!!!",F3828="NEW"),"",INDEX(J$1:J3827,SUMPRODUCT(MAX(ROW(E$1:E3827)*(E3828=E$1:E3827)))))</f>
        <v> </v>
      </c>
      <c r="L3828" s="26"/>
    </row>
    <row r="3829" spans="1:12">
      <c r="A3829" s="20" t="s">
        <v>2299</v>
      </c>
      <c r="E3829" s="21">
        <f>IF(D3829="?OLD","!!!","")</f>
        <v/>
      </c>
      <c r="F3829" s="22" t="str">
        <f>IF(OR(E3829="",E3829="!!!"),"",IF(NOT(ISNA(VLOOKUP(E3829,E$1:E3828,1,FALSE()))),"OLD",IF(AND(E3829&lt;&gt;"",E3829&lt;&gt;"!!!"),"NEW","")))</f>
        <v> </v>
      </c>
      <c r="G3829" s="23" t="str">
        <f>IF(OR(E3829="",E3829="!!!"),"",IF(OR(J3829=0,AND(J3829=1,K3829=1),AND(J3829=1,I3829="SBJ"),AND(J3829=1,I3829=0)),"?IN_FOCUS",IF(J3829&lt;=2,"?ACTIVATED",IF(J3829&lt;&gt;"","?FAMILIAR",IF(F3829="NEW",IF(ISNA(VLOOKUP(E3829,#REF!,1,FALSE())),"?TYPE_IDENTIFIABLE","?REFERENTIAL"),"_")))))</f>
        <v> </v>
      </c>
      <c r="H3829" s="24" t="str">
        <f>IF(J3829&lt;&gt;1,"",IF(I3829="SBJ","CB","?"))</f>
        <v> </v>
      </c>
      <c r="I3829" s="25" t="str">
        <f>IF(OR(E3829="",E3829="!!!",F3829="NEW"),"",INDEX(B3828:B$2,-1+SUMPRODUCT(MAX(ROW(E3828:E$2)*(E3829=E3828:E$2)))))</f>
        <v> </v>
      </c>
      <c r="J3829" s="25" t="str">
        <f>IF(OR(E3829="",E3829="!!!",F3829="NEW"),"",COUNTBLANK(OFFSET(A$1,,,SUMPRODUCT(MAX(ROW(E$2:E3829)*(E3829=E$2:E3829)))))-COUNTBLANK(OFFSET(A$1,,,SUMPRODUCT(MAX(ROW(E$1:E3828)*(E2=E$1:E3828))))))</f>
        <v> </v>
      </c>
      <c r="K3829" s="25" t="str">
        <f>IF(OR(E3829="",E3829="!!!",F3829="NEW"),"",INDEX(J$1:J3828,SUMPRODUCT(MAX(ROW(E$1:E3828)*(E3829=E$1:E3828)))))</f>
        <v> </v>
      </c>
      <c r="L3829" s="26"/>
    </row>
    <row r="3830" spans="1:12">
      <c r="A3830" s="20" t="s">
        <v>1074</v>
      </c>
      <c r="E3830" s="21">
        <f>IF(D3830="?OLD","!!!","")</f>
        <v/>
      </c>
      <c r="F3830" s="22" t="str">
        <f>IF(OR(E3830="",E3830="!!!"),"",IF(NOT(ISNA(VLOOKUP(E3830,E$1:E3829,1,FALSE()))),"OLD",IF(AND(E3830&lt;&gt;"",E3830&lt;&gt;"!!!"),"NEW","")))</f>
        <v> </v>
      </c>
      <c r="G3830" s="23" t="str">
        <f>IF(OR(E3830="",E3830="!!!"),"",IF(OR(J3830=0,AND(J3830=1,K3830=1),AND(J3830=1,I3830="SBJ"),AND(J3830=1,I3830=0)),"?IN_FOCUS",IF(J3830&lt;=2,"?ACTIVATED",IF(J3830&lt;&gt;"","?FAMILIAR",IF(F3830="NEW",IF(ISNA(VLOOKUP(E3830,#REF!,1,FALSE())),"?TYPE_IDENTIFIABLE","?REFERENTIAL"),"_")))))</f>
        <v> </v>
      </c>
      <c r="H3830" s="24" t="str">
        <f>IF(J3830&lt;&gt;1,"",IF(I3830="SBJ","CB","?"))</f>
        <v> </v>
      </c>
      <c r="I3830" s="25" t="str">
        <f>IF(OR(E3830="",E3830="!!!",F3830="NEW"),"",INDEX(B3829:B$2,-1+SUMPRODUCT(MAX(ROW(E3829:E$2)*(E3830=E3829:E$2)))))</f>
        <v> </v>
      </c>
      <c r="J3830" s="25" t="str">
        <f>IF(OR(E3830="",E3830="!!!",F3830="NEW"),"",COUNTBLANK(OFFSET(A$1,,,SUMPRODUCT(MAX(ROW(E$2:E3830)*(E3830=E$2:E3830)))))-COUNTBLANK(OFFSET(A$1,,,SUMPRODUCT(MAX(ROW(E$1:E3829)*(E2=E$1:E3829))))))</f>
        <v> </v>
      </c>
      <c r="K3830" s="25" t="str">
        <f>IF(OR(E3830="",E3830="!!!",F3830="NEW"),"",INDEX(J$1:J3829,SUMPRODUCT(MAX(ROW(E$1:E3829)*(E3830=E$1:E3829)))))</f>
        <v> </v>
      </c>
      <c r="L3830" s="26"/>
    </row>
    <row r="3831" spans="1:12">
      <c r="A3831" s="20" t="s">
        <v>2300</v>
      </c>
      <c r="E3831" s="21">
        <f>IF(D3831="?OLD","!!!","")</f>
        <v/>
      </c>
      <c r="F3831" s="22" t="str">
        <f>IF(OR(E3831="",E3831="!!!"),"",IF(NOT(ISNA(VLOOKUP(E3831,E$1:E3830,1,FALSE()))),"OLD",IF(AND(E3831&lt;&gt;"",E3831&lt;&gt;"!!!"),"NEW","")))</f>
        <v> </v>
      </c>
      <c r="G3831" s="23" t="str">
        <f>IF(OR(E3831="",E3831="!!!"),"",IF(OR(J3831=0,AND(J3831=1,K3831=1),AND(J3831=1,I3831="SBJ"),AND(J3831=1,I3831=0)),"?IN_FOCUS",IF(J3831&lt;=2,"?ACTIVATED",IF(J3831&lt;&gt;"","?FAMILIAR",IF(F3831="NEW",IF(ISNA(VLOOKUP(E3831,#REF!,1,FALSE())),"?TYPE_IDENTIFIABLE","?REFERENTIAL"),"_")))))</f>
        <v> </v>
      </c>
      <c r="H3831" s="24" t="str">
        <f>IF(J3831&lt;&gt;1,"",IF(I3831="SBJ","CB","?"))</f>
        <v> </v>
      </c>
      <c r="I3831" s="25" t="str">
        <f>IF(OR(E3831="",E3831="!!!",F3831="NEW"),"",INDEX(B3830:B$2,-1+SUMPRODUCT(MAX(ROW(E3830:E$2)*(E3831=E3830:E$2)))))</f>
        <v> </v>
      </c>
      <c r="J3831" s="25" t="str">
        <f>IF(OR(E3831="",E3831="!!!",F3831="NEW"),"",COUNTBLANK(OFFSET(A$1,,,SUMPRODUCT(MAX(ROW(E$2:E3831)*(E3831=E$2:E3831)))))-COUNTBLANK(OFFSET(A$1,,,SUMPRODUCT(MAX(ROW(E$1:E3830)*(E2=E$1:E3830))))))</f>
        <v> </v>
      </c>
      <c r="K3831" s="25" t="str">
        <f>IF(OR(E3831="",E3831="!!!",F3831="NEW"),"",INDEX(J$1:J3830,SUMPRODUCT(MAX(ROW(E$1:E3830)*(E3831=E$1:E3830)))))</f>
        <v> </v>
      </c>
      <c r="L3831" s="26"/>
    </row>
    <row r="3832" spans="1:12">
      <c r="A3832" s="20" t="s">
        <v>1049</v>
      </c>
      <c r="B3832" s="27" t="s">
        <v>1278</v>
      </c>
      <c r="C3832" s="27" t="s">
        <v>1050</v>
      </c>
      <c r="D3832" s="27" t="s">
        <v>1030</v>
      </c>
      <c r="E3832" s="21">
        <f>IF(D3832="?OLD","!!!","")</f>
        <v/>
      </c>
      <c r="F3832" s="22" t="str">
        <f>IF(OR(E3832="",E3832="!!!"),"",IF(NOT(ISNA(VLOOKUP(E3832,E$1:E3831,1,FALSE()))),"OLD",IF(AND(E3832&lt;&gt;"",E3832&lt;&gt;"!!!"),"NEW","")))</f>
        <v> </v>
      </c>
      <c r="G3832" s="23" t="str">
        <f>IF(OR(E3832="",E3832="!!!"),"",IF(OR(J3832=0,AND(J3832=1,K3832=1),AND(J3832=1,I3832="SBJ"),AND(J3832=1,I3832=0)),"?IN_FOCUS",IF(J3832&lt;=2,"?ACTIVATED",IF(J3832&lt;&gt;"","?FAMILIAR",IF(F3832="NEW",IF(ISNA(VLOOKUP(E3832,#REF!,1,FALSE())),"?TYPE_IDENTIFIABLE","?REFERENTIAL"),"_")))))</f>
        <v> </v>
      </c>
      <c r="H3832" s="24" t="str">
        <f>IF(J3832&lt;&gt;1,"",IF(I3832="SBJ","CB","?"))</f>
        <v> </v>
      </c>
      <c r="I3832" s="25" t="str">
        <f>IF(OR(E3832="",E3832="!!!",F3832="NEW"),"",INDEX(B3831:B$2,-1+SUMPRODUCT(MAX(ROW(E3831:E$2)*(E3832=E3831:E$2)))))</f>
        <v> </v>
      </c>
      <c r="J3832" s="25" t="str">
        <f>IF(OR(E3832="",E3832="!!!",F3832="NEW"),"",COUNTBLANK(OFFSET(A$1,,,SUMPRODUCT(MAX(ROW(E$2:E3832)*(E3832=E$2:E3832)))))-COUNTBLANK(OFFSET(A$1,,,SUMPRODUCT(MAX(ROW(E$1:E3831)*(E2=E$1:E3831))))))</f>
        <v> </v>
      </c>
      <c r="K3832" s="25" t="str">
        <f>IF(OR(E3832="",E3832="!!!",F3832="NEW"),"",INDEX(J$1:J3831,SUMPRODUCT(MAX(ROW(E$1:E3831)*(E3832=E$1:E3831)))))</f>
        <v> </v>
      </c>
      <c r="L3832" s="26"/>
    </row>
    <row r="3833" spans="1:12">
      <c r="A3833" s="20" t="s">
        <v>1161</v>
      </c>
      <c r="E3833" s="21">
        <f>IF(D3833="?OLD","!!!","")</f>
        <v/>
      </c>
      <c r="F3833" s="22" t="str">
        <f>IF(OR(E3833="",E3833="!!!"),"",IF(NOT(ISNA(VLOOKUP(E3833,E$1:E3832,1,FALSE()))),"OLD",IF(AND(E3833&lt;&gt;"",E3833&lt;&gt;"!!!"),"NEW","")))</f>
        <v> </v>
      </c>
      <c r="G3833" s="23" t="str">
        <f>IF(OR(E3833="",E3833="!!!"),"",IF(OR(J3833=0,AND(J3833=1,K3833=1),AND(J3833=1,I3833="SBJ"),AND(J3833=1,I3833=0)),"?IN_FOCUS",IF(J3833&lt;=2,"?ACTIVATED",IF(J3833&lt;&gt;"","?FAMILIAR",IF(F3833="NEW",IF(ISNA(VLOOKUP(E3833,#REF!,1,FALSE())),"?TYPE_IDENTIFIABLE","?REFERENTIAL"),"_")))))</f>
        <v> </v>
      </c>
      <c r="H3833" s="24" t="str">
        <f>IF(J3833&lt;&gt;1,"",IF(I3833="SBJ","CB","?"))</f>
        <v> </v>
      </c>
      <c r="I3833" s="25" t="str">
        <f>IF(OR(E3833="",E3833="!!!",F3833="NEW"),"",INDEX(B3832:B$2,-1+SUMPRODUCT(MAX(ROW(E3832:E$2)*(E3833=E3832:E$2)))))</f>
        <v> </v>
      </c>
      <c r="J3833" s="25" t="str">
        <f>IF(OR(E3833="",E3833="!!!",F3833="NEW"),"",COUNTBLANK(OFFSET(A$1,,,SUMPRODUCT(MAX(ROW(E$2:E3833)*(E3833=E$2:E3833)))))-COUNTBLANK(OFFSET(A$1,,,SUMPRODUCT(MAX(ROW(E$1:E3832)*(E2=E$1:E3832))))))</f>
        <v> </v>
      </c>
      <c r="K3833" s="25" t="str">
        <f>IF(OR(E3833="",E3833="!!!",F3833="NEW"),"",INDEX(J$1:J3832,SUMPRODUCT(MAX(ROW(E$1:E3832)*(E3833=E$1:E3832)))))</f>
        <v> </v>
      </c>
      <c r="L3833" s="26"/>
    </row>
    <row r="3834" spans="1:12">
      <c r="A3834" s="20" t="s">
        <v>1049</v>
      </c>
      <c r="E3834" s="21">
        <f>IF(D3834="?OLD","!!!","")</f>
        <v/>
      </c>
      <c r="F3834" s="22" t="str">
        <f>IF(OR(E3834="",E3834="!!!"),"",IF(NOT(ISNA(VLOOKUP(E3834,E$1:E3833,1,FALSE()))),"OLD",IF(AND(E3834&lt;&gt;"",E3834&lt;&gt;"!!!"),"NEW","")))</f>
        <v> </v>
      </c>
      <c r="G3834" s="23" t="str">
        <f>IF(OR(E3834="",E3834="!!!"),"",IF(OR(J3834=0,AND(J3834=1,K3834=1),AND(J3834=1,I3834="SBJ"),AND(J3834=1,I3834=0)),"?IN_FOCUS",IF(J3834&lt;=2,"?ACTIVATED",IF(J3834&lt;&gt;"","?FAMILIAR",IF(F3834="NEW",IF(ISNA(VLOOKUP(E3834,#REF!,1,FALSE())),"?TYPE_IDENTIFIABLE","?REFERENTIAL"),"_")))))</f>
        <v> </v>
      </c>
      <c r="H3834" s="24" t="str">
        <f>IF(J3834&lt;&gt;1,"",IF(I3834="SBJ","CB","?"))</f>
        <v> </v>
      </c>
      <c r="I3834" s="25" t="str">
        <f>IF(OR(E3834="",E3834="!!!",F3834="NEW"),"",INDEX(B3833:B$2,-1+SUMPRODUCT(MAX(ROW(E3833:E$2)*(E3834=E3833:E$2)))))</f>
        <v> </v>
      </c>
      <c r="J3834" s="25" t="str">
        <f>IF(OR(E3834="",E3834="!!!",F3834="NEW"),"",COUNTBLANK(OFFSET(A$1,,,SUMPRODUCT(MAX(ROW(E$2:E3834)*(E3834=E$2:E3834)))))-COUNTBLANK(OFFSET(A$1,,,SUMPRODUCT(MAX(ROW(E$1:E3833)*(E2=E$1:E3833))))))</f>
        <v> </v>
      </c>
      <c r="K3834" s="25" t="str">
        <f>IF(OR(E3834="",E3834="!!!",F3834="NEW"),"",INDEX(J$1:J3833,SUMPRODUCT(MAX(ROW(E$1:E3833)*(E3834=E$1:E3833)))))</f>
        <v> </v>
      </c>
      <c r="L3834" s="26"/>
    </row>
    <row r="3835" spans="1:12">
      <c r="A3835" s="20" t="s">
        <v>2301</v>
      </c>
      <c r="E3835" s="21">
        <f>IF(D3835="?OLD","!!!","")</f>
        <v/>
      </c>
      <c r="F3835" s="22" t="str">
        <f>IF(OR(E3835="",E3835="!!!"),"",IF(NOT(ISNA(VLOOKUP(E3835,E$1:E3834,1,FALSE()))),"OLD",IF(AND(E3835&lt;&gt;"",E3835&lt;&gt;"!!!"),"NEW","")))</f>
        <v> </v>
      </c>
      <c r="G3835" s="23" t="str">
        <f>IF(OR(E3835="",E3835="!!!"),"",IF(OR(J3835=0,AND(J3835=1,K3835=1),AND(J3835=1,I3835="SBJ"),AND(J3835=1,I3835=0)),"?IN_FOCUS",IF(J3835&lt;=2,"?ACTIVATED",IF(J3835&lt;&gt;"","?FAMILIAR",IF(F3835="NEW",IF(ISNA(VLOOKUP(E3835,#REF!,1,FALSE())),"?TYPE_IDENTIFIABLE","?REFERENTIAL"),"_")))))</f>
        <v> </v>
      </c>
      <c r="H3835" s="24" t="str">
        <f>IF(J3835&lt;&gt;1,"",IF(I3835="SBJ","CB","?"))</f>
        <v> </v>
      </c>
      <c r="I3835" s="25" t="str">
        <f>IF(OR(E3835="",E3835="!!!",F3835="NEW"),"",INDEX(B3834:B$2,-1+SUMPRODUCT(MAX(ROW(E3834:E$2)*(E3835=E3834:E$2)))))</f>
        <v> </v>
      </c>
      <c r="J3835" s="25" t="str">
        <f>IF(OR(E3835="",E3835="!!!",F3835="NEW"),"",COUNTBLANK(OFFSET(A$1,,,SUMPRODUCT(MAX(ROW(E$2:E3835)*(E3835=E$2:E3835)))))-COUNTBLANK(OFFSET(A$1,,,SUMPRODUCT(MAX(ROW(E$1:E3834)*(E2=E$1:E3834))))))</f>
        <v> </v>
      </c>
      <c r="K3835" s="25" t="str">
        <f>IF(OR(E3835="",E3835="!!!",F3835="NEW"),"",INDEX(J$1:J3834,SUMPRODUCT(MAX(ROW(E$1:E3834)*(E3835=E$1:E3834)))))</f>
        <v> </v>
      </c>
      <c r="L3835" s="26"/>
    </row>
    <row r="3836" spans="1:12">
      <c r="A3836" s="20" t="s">
        <v>1380</v>
      </c>
      <c r="E3836" s="21">
        <f>IF(D3836="?OLD","!!!","")</f>
        <v/>
      </c>
      <c r="F3836" s="22" t="str">
        <f>IF(OR(E3836="",E3836="!!!"),"",IF(NOT(ISNA(VLOOKUP(E3836,E$1:E3835,1,FALSE()))),"OLD",IF(AND(E3836&lt;&gt;"",E3836&lt;&gt;"!!!"),"NEW","")))</f>
        <v> </v>
      </c>
      <c r="G3836" s="23" t="str">
        <f>IF(OR(E3836="",E3836="!!!"),"",IF(OR(J3836=0,AND(J3836=1,K3836=1),AND(J3836=1,I3836="SBJ"),AND(J3836=1,I3836=0)),"?IN_FOCUS",IF(J3836&lt;=2,"?ACTIVATED",IF(J3836&lt;&gt;"","?FAMILIAR",IF(F3836="NEW",IF(ISNA(VLOOKUP(E3836,#REF!,1,FALSE())),"?TYPE_IDENTIFIABLE","?REFERENTIAL"),"_")))))</f>
        <v> </v>
      </c>
      <c r="H3836" s="24" t="str">
        <f>IF(J3836&lt;&gt;1,"",IF(I3836="SBJ","CB","?"))</f>
        <v> </v>
      </c>
      <c r="I3836" s="25" t="str">
        <f>IF(OR(E3836="",E3836="!!!",F3836="NEW"),"",INDEX(B3835:B$2,-1+SUMPRODUCT(MAX(ROW(E3835:E$2)*(E3836=E3835:E$2)))))</f>
        <v> </v>
      </c>
      <c r="J3836" s="25" t="str">
        <f>IF(OR(E3836="",E3836="!!!",F3836="NEW"),"",COUNTBLANK(OFFSET(A$1,,,SUMPRODUCT(MAX(ROW(E$2:E3836)*(E3836=E$2:E3836)))))-COUNTBLANK(OFFSET(A$1,,,SUMPRODUCT(MAX(ROW(E$1:E3835)*(E2=E$1:E3835))))))</f>
        <v> </v>
      </c>
      <c r="K3836" s="25" t="str">
        <f>IF(OR(E3836="",E3836="!!!",F3836="NEW"),"",INDEX(J$1:J3835,SUMPRODUCT(MAX(ROW(E$1:E3835)*(E3836=E$1:E3835)))))</f>
        <v> </v>
      </c>
      <c r="L3836" s="26"/>
    </row>
    <row r="3837" spans="1:12">
      <c r="A3837" s="20" t="s">
        <v>1022</v>
      </c>
      <c r="E3837" s="21">
        <f>IF(D3837="?OLD","!!!","")</f>
        <v/>
      </c>
      <c r="F3837" s="22" t="str">
        <f>IF(OR(E3837="",E3837="!!!"),"",IF(NOT(ISNA(VLOOKUP(E3837,E$1:E3836,1,FALSE()))),"OLD",IF(AND(E3837&lt;&gt;"",E3837&lt;&gt;"!!!"),"NEW","")))</f>
        <v> </v>
      </c>
      <c r="G3837" s="23" t="str">
        <f>IF(OR(E3837="",E3837="!!!"),"",IF(OR(J3837=0,AND(J3837=1,K3837=1),AND(J3837=1,I3837="SBJ"),AND(J3837=1,I3837=0)),"?IN_FOCUS",IF(J3837&lt;=2,"?ACTIVATED",IF(J3837&lt;&gt;"","?FAMILIAR",IF(F3837="NEW",IF(ISNA(VLOOKUP(E3837,#REF!,1,FALSE())),"?TYPE_IDENTIFIABLE","?REFERENTIAL"),"_")))))</f>
        <v> </v>
      </c>
      <c r="H3837" s="24" t="str">
        <f>IF(J3837&lt;&gt;1,"",IF(I3837="SBJ","CB","?"))</f>
        <v> </v>
      </c>
      <c r="I3837" s="25" t="str">
        <f>IF(OR(E3837="",E3837="!!!",F3837="NEW"),"",INDEX(B3836:B$2,-1+SUMPRODUCT(MAX(ROW(E3836:E$2)*(E3837=E3836:E$2)))))</f>
        <v> </v>
      </c>
      <c r="J3837" s="25" t="str">
        <f>IF(OR(E3837="",E3837="!!!",F3837="NEW"),"",COUNTBLANK(OFFSET(A$1,,,SUMPRODUCT(MAX(ROW(E$2:E3837)*(E3837=E$2:E3837)))))-COUNTBLANK(OFFSET(A$1,,,SUMPRODUCT(MAX(ROW(E$1:E3836)*(E2=E$1:E3836))))))</f>
        <v> </v>
      </c>
      <c r="K3837" s="25" t="str">
        <f>IF(OR(E3837="",E3837="!!!",F3837="NEW"),"",INDEX(J$1:J3836,SUMPRODUCT(MAX(ROW(E$1:E3836)*(E3837=E$1:E3836)))))</f>
        <v> </v>
      </c>
      <c r="L3837" s="26"/>
    </row>
    <row r="3838" spans="1:12">
      <c r="A3838" s="20" t="s">
        <v>2209</v>
      </c>
      <c r="E3838" s="21">
        <f>IF(D3838="?OLD","!!!","")</f>
        <v/>
      </c>
      <c r="F3838" s="22" t="str">
        <f>IF(OR(E3838="",E3838="!!!"),"",IF(NOT(ISNA(VLOOKUP(E3838,E$1:E3837,1,FALSE()))),"OLD",IF(AND(E3838&lt;&gt;"",E3838&lt;&gt;"!!!"),"NEW","")))</f>
        <v> </v>
      </c>
      <c r="G3838" s="23" t="str">
        <f>IF(OR(E3838="",E3838="!!!"),"",IF(OR(J3838=0,AND(J3838=1,K3838=1),AND(J3838=1,I3838="SBJ"),AND(J3838=1,I3838=0)),"?IN_FOCUS",IF(J3838&lt;=2,"?ACTIVATED",IF(J3838&lt;&gt;"","?FAMILIAR",IF(F3838="NEW",IF(ISNA(VLOOKUP(E3838,#REF!,1,FALSE())),"?TYPE_IDENTIFIABLE","?REFERENTIAL"),"_")))))</f>
        <v> </v>
      </c>
      <c r="H3838" s="24" t="str">
        <f>IF(J3838&lt;&gt;1,"",IF(I3838="SBJ","CB","?"))</f>
        <v> </v>
      </c>
      <c r="I3838" s="25" t="str">
        <f>IF(OR(E3838="",E3838="!!!",F3838="NEW"),"",INDEX(B3837:B$2,-1+SUMPRODUCT(MAX(ROW(E3837:E$2)*(E3838=E3837:E$2)))))</f>
        <v> </v>
      </c>
      <c r="J3838" s="25" t="str">
        <f>IF(OR(E3838="",E3838="!!!",F3838="NEW"),"",COUNTBLANK(OFFSET(A$1,,,SUMPRODUCT(MAX(ROW(E$2:E3838)*(E3838=E$2:E3838)))))-COUNTBLANK(OFFSET(A$1,,,SUMPRODUCT(MAX(ROW(E$1:E3837)*(E2=E$1:E3837))))))</f>
        <v> </v>
      </c>
      <c r="K3838" s="25" t="str">
        <f>IF(OR(E3838="",E3838="!!!",F3838="NEW"),"",INDEX(J$1:J3837,SUMPRODUCT(MAX(ROW(E$1:E3837)*(E3838=E$1:E3837)))))</f>
        <v> </v>
      </c>
      <c r="L3838" s="26"/>
    </row>
    <row r="3839" spans="1:12">
      <c r="A3839" s="20" t="s">
        <v>2302</v>
      </c>
      <c r="E3839" s="21">
        <f>IF(D3839="?OLD","!!!","")</f>
        <v/>
      </c>
      <c r="F3839" s="22" t="str">
        <f>IF(OR(E3839="",E3839="!!!"),"",IF(NOT(ISNA(VLOOKUP(E3839,E$1:E3838,1,FALSE()))),"OLD",IF(AND(E3839&lt;&gt;"",E3839&lt;&gt;"!!!"),"NEW","")))</f>
        <v> </v>
      </c>
      <c r="G3839" s="23" t="str">
        <f>IF(OR(E3839="",E3839="!!!"),"",IF(OR(J3839=0,AND(J3839=1,K3839=1),AND(J3839=1,I3839="SBJ"),AND(J3839=1,I3839=0)),"?IN_FOCUS",IF(J3839&lt;=2,"?ACTIVATED",IF(J3839&lt;&gt;"","?FAMILIAR",IF(F3839="NEW",IF(ISNA(VLOOKUP(E3839,#REF!,1,FALSE())),"?TYPE_IDENTIFIABLE","?REFERENTIAL"),"_")))))</f>
        <v> </v>
      </c>
      <c r="H3839" s="24" t="str">
        <f>IF(J3839&lt;&gt;1,"",IF(I3839="SBJ","CB","?"))</f>
        <v> </v>
      </c>
      <c r="I3839" s="25" t="str">
        <f>IF(OR(E3839="",E3839="!!!",F3839="NEW"),"",INDEX(B3838:B$2,-1+SUMPRODUCT(MAX(ROW(E3838:E$2)*(E3839=E3838:E$2)))))</f>
        <v> </v>
      </c>
      <c r="J3839" s="25" t="str">
        <f>IF(OR(E3839="",E3839="!!!",F3839="NEW"),"",COUNTBLANK(OFFSET(A$1,,,SUMPRODUCT(MAX(ROW(E$2:E3839)*(E3839=E$2:E3839)))))-COUNTBLANK(OFFSET(A$1,,,SUMPRODUCT(MAX(ROW(E$1:E3838)*(E2=E$1:E3838))))))</f>
        <v> </v>
      </c>
      <c r="K3839" s="25" t="str">
        <f>IF(OR(E3839="",E3839="!!!",F3839="NEW"),"",INDEX(J$1:J3838,SUMPRODUCT(MAX(ROW(E$1:E3838)*(E3839=E$1:E3838)))))</f>
        <v> </v>
      </c>
      <c r="L3839" s="26"/>
    </row>
    <row r="3840" spans="1:12">
      <c r="A3840" s="20" t="s">
        <v>1016</v>
      </c>
      <c r="E3840" s="21">
        <f>IF(D3840="?OLD","!!!","")</f>
        <v/>
      </c>
      <c r="F3840" s="22" t="str">
        <f>IF(OR(E3840="",E3840="!!!"),"",IF(NOT(ISNA(VLOOKUP(E3840,E$1:E3839,1,FALSE()))),"OLD",IF(AND(E3840&lt;&gt;"",E3840&lt;&gt;"!!!"),"NEW","")))</f>
        <v> </v>
      </c>
      <c r="G3840" s="23" t="str">
        <f>IF(OR(E3840="",E3840="!!!"),"",IF(OR(J3840=0,AND(J3840=1,K3840=1),AND(J3840=1,I3840="SBJ"),AND(J3840=1,I3840=0)),"?IN_FOCUS",IF(J3840&lt;=2,"?ACTIVATED",IF(J3840&lt;&gt;"","?FAMILIAR",IF(F3840="NEW",IF(ISNA(VLOOKUP(E3840,#REF!,1,FALSE())),"?TYPE_IDENTIFIABLE","?REFERENTIAL"),"_")))))</f>
        <v> </v>
      </c>
      <c r="H3840" s="24" t="str">
        <f>IF(J3840&lt;&gt;1,"",IF(I3840="SBJ","CB","?"))</f>
        <v> </v>
      </c>
      <c r="I3840" s="25" t="str">
        <f>IF(OR(E3840="",E3840="!!!",F3840="NEW"),"",INDEX(B3839:B$2,-1+SUMPRODUCT(MAX(ROW(E3839:E$2)*(E3840=E3839:E$2)))))</f>
        <v> </v>
      </c>
      <c r="J3840" s="25" t="str">
        <f>IF(OR(E3840="",E3840="!!!",F3840="NEW"),"",COUNTBLANK(OFFSET(A$1,,,SUMPRODUCT(MAX(ROW(E$2:E3840)*(E3840=E$2:E3840)))))-COUNTBLANK(OFFSET(A$1,,,SUMPRODUCT(MAX(ROW(E$1:E3839)*(E2=E$1:E3839))))))</f>
        <v> </v>
      </c>
      <c r="K3840" s="25" t="str">
        <f>IF(OR(E3840="",E3840="!!!",F3840="NEW"),"",INDEX(J$1:J3839,SUMPRODUCT(MAX(ROW(E$1:E3839)*(E3840=E$1:E3839)))))</f>
        <v> </v>
      </c>
      <c r="L3840" s="26"/>
    </row>
    <row r="3841" spans="1:12">
      <c r="A3841" s="20" t="s">
        <v>1752</v>
      </c>
      <c r="B3841" s="27" t="s">
        <v>1045</v>
      </c>
      <c r="C3841" s="27" t="s">
        <v>1042</v>
      </c>
      <c r="E3841" s="21">
        <f>IF(D3841="?OLD","!!!","")</f>
        <v/>
      </c>
      <c r="F3841" s="22" t="str">
        <f>IF(OR(E3841="",E3841="!!!"),"",IF(NOT(ISNA(VLOOKUP(E3841,E$1:E3840,1,FALSE()))),"OLD",IF(AND(E3841&lt;&gt;"",E3841&lt;&gt;"!!!"),"NEW","")))</f>
        <v> </v>
      </c>
      <c r="G3841" s="23" t="str">
        <f>IF(OR(E3841="",E3841="!!!"),"",IF(OR(J3841=0,AND(J3841=1,K3841=1),AND(J3841=1,I3841="SBJ"),AND(J3841=1,I3841=0)),"?IN_FOCUS",IF(J3841&lt;=2,"?ACTIVATED",IF(J3841&lt;&gt;"","?FAMILIAR",IF(F3841="NEW",IF(ISNA(VLOOKUP(E3841,#REF!,1,FALSE())),"?TYPE_IDENTIFIABLE","?REFERENTIAL"),"_")))))</f>
        <v> </v>
      </c>
      <c r="H3841" s="24" t="str">
        <f>IF(J3841&lt;&gt;1,"",IF(I3841="SBJ","CB","?"))</f>
        <v> </v>
      </c>
      <c r="I3841" s="25" t="str">
        <f>IF(OR(E3841="",E3841="!!!",F3841="NEW"),"",INDEX(B3840:B$2,-1+SUMPRODUCT(MAX(ROW(E3840:E$2)*(E3841=E3840:E$2)))))</f>
        <v> </v>
      </c>
      <c r="J3841" s="25" t="str">
        <f>IF(OR(E3841="",E3841="!!!",F3841="NEW"),"",COUNTBLANK(OFFSET(A$1,,,SUMPRODUCT(MAX(ROW(E$2:E3841)*(E3841=E$2:E3841)))))-COUNTBLANK(OFFSET(A$1,,,SUMPRODUCT(MAX(ROW(E$1:E3840)*(E2=E$1:E3840))))))</f>
        <v> </v>
      </c>
      <c r="K3841" s="25" t="str">
        <f>IF(OR(E3841="",E3841="!!!",F3841="NEW"),"",INDEX(J$1:J3840,SUMPRODUCT(MAX(ROW(E$1:E3840)*(E3841=E$1:E3840)))))</f>
        <v> </v>
      </c>
      <c r="L3841" s="26"/>
    </row>
    <row r="3842" spans="1:12">
      <c r="A3842" s="20" t="s">
        <v>1016</v>
      </c>
      <c r="E3842" s="21">
        <f>IF(D3842="?OLD","!!!","")</f>
        <v/>
      </c>
      <c r="F3842" s="22" t="str">
        <f>IF(OR(E3842="",E3842="!!!"),"",IF(NOT(ISNA(VLOOKUP(E3842,E$1:E3841,1,FALSE()))),"OLD",IF(AND(E3842&lt;&gt;"",E3842&lt;&gt;"!!!"),"NEW","")))</f>
        <v> </v>
      </c>
      <c r="G3842" s="23" t="str">
        <f>IF(OR(E3842="",E3842="!!!"),"",IF(OR(J3842=0,AND(J3842=1,K3842=1),AND(J3842=1,I3842="SBJ"),AND(J3842=1,I3842=0)),"?IN_FOCUS",IF(J3842&lt;=2,"?ACTIVATED",IF(J3842&lt;&gt;"","?FAMILIAR",IF(F3842="NEW",IF(ISNA(VLOOKUP(E3842,#REF!,1,FALSE())),"?TYPE_IDENTIFIABLE","?REFERENTIAL"),"_")))))</f>
        <v> </v>
      </c>
      <c r="H3842" s="24" t="str">
        <f>IF(J3842&lt;&gt;1,"",IF(I3842="SBJ","CB","?"))</f>
        <v> </v>
      </c>
      <c r="I3842" s="25" t="str">
        <f>IF(OR(E3842="",E3842="!!!",F3842="NEW"),"",INDEX(B3841:B$2,-1+SUMPRODUCT(MAX(ROW(E3841:E$2)*(E3842=E3841:E$2)))))</f>
        <v> </v>
      </c>
      <c r="J3842" s="25" t="str">
        <f>IF(OR(E3842="",E3842="!!!",F3842="NEW"),"",COUNTBLANK(OFFSET(A$1,,,SUMPRODUCT(MAX(ROW(E$2:E3842)*(E3842=E$2:E3842)))))-COUNTBLANK(OFFSET(A$1,,,SUMPRODUCT(MAX(ROW(E$1:E3841)*(E2=E$1:E3841))))))</f>
        <v> </v>
      </c>
      <c r="K3842" s="25" t="str">
        <f>IF(OR(E3842="",E3842="!!!",F3842="NEW"),"",INDEX(J$1:J3841,SUMPRODUCT(MAX(ROW(E$1:E3841)*(E3842=E$1:E3841)))))</f>
        <v> </v>
      </c>
      <c r="L3842" s="26"/>
    </row>
    <row r="3843" spans="1:12">
      <c r="A3843" s="20" t="s">
        <v>1357</v>
      </c>
      <c r="E3843" s="21">
        <f>IF(D3843="?OLD","!!!","")</f>
        <v/>
      </c>
      <c r="F3843" s="22" t="str">
        <f>IF(OR(E3843="",E3843="!!!"),"",IF(NOT(ISNA(VLOOKUP(E3843,E$1:E3842,1,FALSE()))),"OLD",IF(AND(E3843&lt;&gt;"",E3843&lt;&gt;"!!!"),"NEW","")))</f>
        <v> </v>
      </c>
      <c r="G3843" s="23" t="str">
        <f>IF(OR(E3843="",E3843="!!!"),"",IF(OR(J3843=0,AND(J3843=1,K3843=1),AND(J3843=1,I3843="SBJ"),AND(J3843=1,I3843=0)),"?IN_FOCUS",IF(J3843&lt;=2,"?ACTIVATED",IF(J3843&lt;&gt;"","?FAMILIAR",IF(F3843="NEW",IF(ISNA(VLOOKUP(E3843,#REF!,1,FALSE())),"?TYPE_IDENTIFIABLE","?REFERENTIAL"),"_")))))</f>
        <v> </v>
      </c>
      <c r="H3843" s="24" t="str">
        <f>IF(J3843&lt;&gt;1,"",IF(I3843="SBJ","CB","?"))</f>
        <v> </v>
      </c>
      <c r="I3843" s="25" t="str">
        <f>IF(OR(E3843="",E3843="!!!",F3843="NEW"),"",INDEX(B3842:B$2,-1+SUMPRODUCT(MAX(ROW(E3842:E$2)*(E3843=E3842:E$2)))))</f>
        <v> </v>
      </c>
      <c r="J3843" s="25" t="str">
        <f>IF(OR(E3843="",E3843="!!!",F3843="NEW"),"",COUNTBLANK(OFFSET(A$1,,,SUMPRODUCT(MAX(ROW(E$2:E3843)*(E3843=E$2:E3843)))))-COUNTBLANK(OFFSET(A$1,,,SUMPRODUCT(MAX(ROW(E$1:E3842)*(E2=E$1:E3842))))))</f>
        <v> </v>
      </c>
      <c r="K3843" s="25" t="str">
        <f>IF(OR(E3843="",E3843="!!!",F3843="NEW"),"",INDEX(J$1:J3842,SUMPRODUCT(MAX(ROW(E$1:E3842)*(E3843=E$1:E3842)))))</f>
        <v> </v>
      </c>
      <c r="L3843" s="26"/>
    </row>
    <row r="3844" spans="1:12">
      <c r="A3844" s="20" t="s">
        <v>1057</v>
      </c>
      <c r="E3844" s="21">
        <f>IF(D3844="?OLD","!!!","")</f>
        <v/>
      </c>
      <c r="F3844" s="22" t="str">
        <f>IF(OR(E3844="",E3844="!!!"),"",IF(NOT(ISNA(VLOOKUP(E3844,E$1:E3843,1,FALSE()))),"OLD",IF(AND(E3844&lt;&gt;"",E3844&lt;&gt;"!!!"),"NEW","")))</f>
        <v> </v>
      </c>
      <c r="G3844" s="23" t="str">
        <f>IF(OR(E3844="",E3844="!!!"),"",IF(OR(J3844=0,AND(J3844=1,K3844=1),AND(J3844=1,I3844="SBJ"),AND(J3844=1,I3844=0)),"?IN_FOCUS",IF(J3844&lt;=2,"?ACTIVATED",IF(J3844&lt;&gt;"","?FAMILIAR",IF(F3844="NEW",IF(ISNA(VLOOKUP(E3844,#REF!,1,FALSE())),"?TYPE_IDENTIFIABLE","?REFERENTIAL"),"_")))))</f>
        <v> </v>
      </c>
      <c r="H3844" s="24" t="str">
        <f>IF(J3844&lt;&gt;1,"",IF(I3844="SBJ","CB","?"))</f>
        <v> </v>
      </c>
      <c r="I3844" s="25" t="str">
        <f>IF(OR(E3844="",E3844="!!!",F3844="NEW"),"",INDEX(B3843:B$2,-1+SUMPRODUCT(MAX(ROW(E3843:E$2)*(E3844=E3843:E$2)))))</f>
        <v> </v>
      </c>
      <c r="J3844" s="25" t="str">
        <f>IF(OR(E3844="",E3844="!!!",F3844="NEW"),"",COUNTBLANK(OFFSET(A$1,,,SUMPRODUCT(MAX(ROW(E$2:E3844)*(E3844=E$2:E3844)))))-COUNTBLANK(OFFSET(A$1,,,SUMPRODUCT(MAX(ROW(E$1:E3843)*(E2=E$1:E3843))))))</f>
        <v> </v>
      </c>
      <c r="K3844" s="25" t="str">
        <f>IF(OR(E3844="",E3844="!!!",F3844="NEW"),"",INDEX(J$1:J3843,SUMPRODUCT(MAX(ROW(E$1:E3843)*(E3844=E$1:E3843)))))</f>
        <v> </v>
      </c>
      <c r="L3844" s="26"/>
    </row>
    <row r="3845" spans="1:12">
      <c r="A3845" s="20" t="s">
        <v>1395</v>
      </c>
      <c r="E3845" s="21">
        <f>IF(D3845="?OLD","!!!","")</f>
        <v/>
      </c>
      <c r="F3845" s="22" t="str">
        <f>IF(OR(E3845="",E3845="!!!"),"",IF(NOT(ISNA(VLOOKUP(E3845,E$1:E3844,1,FALSE()))),"OLD",IF(AND(E3845&lt;&gt;"",E3845&lt;&gt;"!!!"),"NEW","")))</f>
        <v> </v>
      </c>
      <c r="G3845" s="23" t="str">
        <f>IF(OR(E3845="",E3845="!!!"),"",IF(OR(J3845=0,AND(J3845=1,K3845=1),AND(J3845=1,I3845="SBJ"),AND(J3845=1,I3845=0)),"?IN_FOCUS",IF(J3845&lt;=2,"?ACTIVATED",IF(J3845&lt;&gt;"","?FAMILIAR",IF(F3845="NEW",IF(ISNA(VLOOKUP(E3845,#REF!,1,FALSE())),"?TYPE_IDENTIFIABLE","?REFERENTIAL"),"_")))))</f>
        <v> </v>
      </c>
      <c r="H3845" s="24" t="str">
        <f>IF(J3845&lt;&gt;1,"",IF(I3845="SBJ","CB","?"))</f>
        <v> </v>
      </c>
      <c r="I3845" s="25" t="str">
        <f>IF(OR(E3845="",E3845="!!!",F3845="NEW"),"",INDEX(B3844:B$2,-1+SUMPRODUCT(MAX(ROW(E3844:E$2)*(E3845=E3844:E$2)))))</f>
        <v> </v>
      </c>
      <c r="J3845" s="25" t="str">
        <f>IF(OR(E3845="",E3845="!!!",F3845="NEW"),"",COUNTBLANK(OFFSET(A$1,,,SUMPRODUCT(MAX(ROW(E$2:E3845)*(E3845=E$2:E3845)))))-COUNTBLANK(OFFSET(A$1,,,SUMPRODUCT(MAX(ROW(E$1:E3844)*(E2=E$1:E3844))))))</f>
        <v> </v>
      </c>
      <c r="K3845" s="25" t="str">
        <f>IF(OR(E3845="",E3845="!!!",F3845="NEW"),"",INDEX(J$1:J3844,SUMPRODUCT(MAX(ROW(E$1:E3844)*(E3845=E$1:E3844)))))</f>
        <v> </v>
      </c>
      <c r="L3845" s="26"/>
    </row>
    <row r="3846" spans="1:12">
      <c r="A3846" s="20" t="s">
        <v>2057</v>
      </c>
      <c r="E3846" s="21">
        <f>IF(D3846="?OLD","!!!","")</f>
        <v/>
      </c>
      <c r="F3846" s="22" t="str">
        <f>IF(OR(E3846="",E3846="!!!"),"",IF(NOT(ISNA(VLOOKUP(E3846,E$1:E3845,1,FALSE()))),"OLD",IF(AND(E3846&lt;&gt;"",E3846&lt;&gt;"!!!"),"NEW","")))</f>
        <v> </v>
      </c>
      <c r="G3846" s="23" t="str">
        <f>IF(OR(E3846="",E3846="!!!"),"",IF(OR(J3846=0,AND(J3846=1,K3846=1),AND(J3846=1,I3846="SBJ"),AND(J3846=1,I3846=0)),"?IN_FOCUS",IF(J3846&lt;=2,"?ACTIVATED",IF(J3846&lt;&gt;"","?FAMILIAR",IF(F3846="NEW",IF(ISNA(VLOOKUP(E3846,#REF!,1,FALSE())),"?TYPE_IDENTIFIABLE","?REFERENTIAL"),"_")))))</f>
        <v> </v>
      </c>
      <c r="H3846" s="24" t="str">
        <f>IF(J3846&lt;&gt;1,"",IF(I3846="SBJ","CB","?"))</f>
        <v> </v>
      </c>
      <c r="I3846" s="25" t="str">
        <f>IF(OR(E3846="",E3846="!!!",F3846="NEW"),"",INDEX(B3845:B$2,-1+SUMPRODUCT(MAX(ROW(E3845:E$2)*(E3846=E3845:E$2)))))</f>
        <v> </v>
      </c>
      <c r="J3846" s="25" t="str">
        <f>IF(OR(E3846="",E3846="!!!",F3846="NEW"),"",COUNTBLANK(OFFSET(A$1,,,SUMPRODUCT(MAX(ROW(E$2:E3846)*(E3846=E$2:E3846)))))-COUNTBLANK(OFFSET(A$1,,,SUMPRODUCT(MAX(ROW(E$1:E3845)*(E2=E$1:E3845))))))</f>
        <v> </v>
      </c>
      <c r="K3846" s="25" t="str">
        <f>IF(OR(E3846="",E3846="!!!",F3846="NEW"),"",INDEX(J$1:J3845,SUMPRODUCT(MAX(ROW(E$1:E3845)*(E3846=E$1:E3845)))))</f>
        <v> </v>
      </c>
      <c r="L3846" s="26"/>
    </row>
    <row r="3847" spans="1:12">
      <c r="A3847" s="20" t="s">
        <v>2303</v>
      </c>
      <c r="E3847" s="21">
        <f>IF(D3847="?OLD","!!!","")</f>
        <v/>
      </c>
      <c r="F3847" s="22" t="str">
        <f>IF(OR(E3847="",E3847="!!!"),"",IF(NOT(ISNA(VLOOKUP(E3847,E$1:E3846,1,FALSE()))),"OLD",IF(AND(E3847&lt;&gt;"",E3847&lt;&gt;"!!!"),"NEW","")))</f>
        <v> </v>
      </c>
      <c r="G3847" s="23" t="str">
        <f>IF(OR(E3847="",E3847="!!!"),"",IF(OR(J3847=0,AND(J3847=1,K3847=1),AND(J3847=1,I3847="SBJ"),AND(J3847=1,I3847=0)),"?IN_FOCUS",IF(J3847&lt;=2,"?ACTIVATED",IF(J3847&lt;&gt;"","?FAMILIAR",IF(F3847="NEW",IF(ISNA(VLOOKUP(E3847,#REF!,1,FALSE())),"?TYPE_IDENTIFIABLE","?REFERENTIAL"),"_")))))</f>
        <v> </v>
      </c>
      <c r="H3847" s="24" t="str">
        <f>IF(J3847&lt;&gt;1,"",IF(I3847="SBJ","CB","?"))</f>
        <v> </v>
      </c>
      <c r="I3847" s="25" t="str">
        <f>IF(OR(E3847="",E3847="!!!",F3847="NEW"),"",INDEX(B3846:B$2,-1+SUMPRODUCT(MAX(ROW(E3846:E$2)*(E3847=E3846:E$2)))))</f>
        <v> </v>
      </c>
      <c r="J3847" s="25" t="str">
        <f>IF(OR(E3847="",E3847="!!!",F3847="NEW"),"",COUNTBLANK(OFFSET(A$1,,,SUMPRODUCT(MAX(ROW(E$2:E3847)*(E3847=E$2:E3847)))))-COUNTBLANK(OFFSET(A$1,,,SUMPRODUCT(MAX(ROW(E$1:E3846)*(E2=E$1:E3846))))))</f>
        <v> </v>
      </c>
      <c r="K3847" s="25" t="str">
        <f>IF(OR(E3847="",E3847="!!!",F3847="NEW"),"",INDEX(J$1:J3846,SUMPRODUCT(MAX(ROW(E$1:E3846)*(E3847=E$1:E3846)))))</f>
        <v> </v>
      </c>
      <c r="L3847" s="26"/>
    </row>
    <row r="3848" spans="1:12">
      <c r="A3848" s="20" t="s">
        <v>1049</v>
      </c>
      <c r="E3848" s="21">
        <f>IF(D3848="?OLD","!!!","")</f>
        <v/>
      </c>
      <c r="F3848" s="22" t="str">
        <f>IF(OR(E3848="",E3848="!!!"),"",IF(NOT(ISNA(VLOOKUP(E3848,E$1:E3847,1,FALSE()))),"OLD",IF(AND(E3848&lt;&gt;"",E3848&lt;&gt;"!!!"),"NEW","")))</f>
        <v> </v>
      </c>
      <c r="G3848" s="23" t="str">
        <f>IF(OR(E3848="",E3848="!!!"),"",IF(OR(J3848=0,AND(J3848=1,K3848=1),AND(J3848=1,I3848="SBJ"),AND(J3848=1,I3848=0)),"?IN_FOCUS",IF(J3848&lt;=2,"?ACTIVATED",IF(J3848&lt;&gt;"","?FAMILIAR",IF(F3848="NEW",IF(ISNA(VLOOKUP(E3848,#REF!,1,FALSE())),"?TYPE_IDENTIFIABLE","?REFERENTIAL"),"_")))))</f>
        <v> </v>
      </c>
      <c r="H3848" s="24" t="str">
        <f>IF(J3848&lt;&gt;1,"",IF(I3848="SBJ","CB","?"))</f>
        <v> </v>
      </c>
      <c r="I3848" s="25" t="str">
        <f>IF(OR(E3848="",E3848="!!!",F3848="NEW"),"",INDEX(B3847:B$2,-1+SUMPRODUCT(MAX(ROW(E3847:E$2)*(E3848=E3847:E$2)))))</f>
        <v> </v>
      </c>
      <c r="J3848" s="25" t="str">
        <f>IF(OR(E3848="",E3848="!!!",F3848="NEW"),"",COUNTBLANK(OFFSET(A$1,,,SUMPRODUCT(MAX(ROW(E$2:E3848)*(E3848=E$2:E3848)))))-COUNTBLANK(OFFSET(A$1,,,SUMPRODUCT(MAX(ROW(E$1:E3847)*(E2=E$1:E3847))))))</f>
        <v> </v>
      </c>
      <c r="K3848" s="25" t="str">
        <f>IF(OR(E3848="",E3848="!!!",F3848="NEW"),"",INDEX(J$1:J3847,SUMPRODUCT(MAX(ROW(E$1:E3847)*(E3848=E$1:E3847)))))</f>
        <v> </v>
      </c>
      <c r="L3848" s="26"/>
    </row>
    <row r="3849" spans="1:12">
      <c r="A3849" s="20" t="s">
        <v>1022</v>
      </c>
      <c r="E3849" s="21">
        <f>IF(D3849="?OLD","!!!","")</f>
        <v/>
      </c>
      <c r="F3849" s="22" t="str">
        <f>IF(OR(E3849="",E3849="!!!"),"",IF(NOT(ISNA(VLOOKUP(E3849,E$1:E3848,1,FALSE()))),"OLD",IF(AND(E3849&lt;&gt;"",E3849&lt;&gt;"!!!"),"NEW","")))</f>
        <v> </v>
      </c>
      <c r="G3849" s="23" t="str">
        <f>IF(OR(E3849="",E3849="!!!"),"",IF(OR(J3849=0,AND(J3849=1,K3849=1),AND(J3849=1,I3849="SBJ"),AND(J3849=1,I3849=0)),"?IN_FOCUS",IF(J3849&lt;=2,"?ACTIVATED",IF(J3849&lt;&gt;"","?FAMILIAR",IF(F3849="NEW",IF(ISNA(VLOOKUP(E3849,#REF!,1,FALSE())),"?TYPE_IDENTIFIABLE","?REFERENTIAL"),"_")))))</f>
        <v> </v>
      </c>
      <c r="H3849" s="24" t="str">
        <f>IF(J3849&lt;&gt;1,"",IF(I3849="SBJ","CB","?"))</f>
        <v> </v>
      </c>
      <c r="I3849" s="25" t="str">
        <f>IF(OR(E3849="",E3849="!!!",F3849="NEW"),"",INDEX(B3848:B$2,-1+SUMPRODUCT(MAX(ROW(E3848:E$2)*(E3849=E3848:E$2)))))</f>
        <v> </v>
      </c>
      <c r="J3849" s="25" t="str">
        <f>IF(OR(E3849="",E3849="!!!",F3849="NEW"),"",COUNTBLANK(OFFSET(A$1,,,SUMPRODUCT(MAX(ROW(E$2:E3849)*(E3849=E$2:E3849)))))-COUNTBLANK(OFFSET(A$1,,,SUMPRODUCT(MAX(ROW(E$1:E3848)*(E2=E$1:E3848))))))</f>
        <v> </v>
      </c>
      <c r="K3849" s="25" t="str">
        <f>IF(OR(E3849="",E3849="!!!",F3849="NEW"),"",INDEX(J$1:J3848,SUMPRODUCT(MAX(ROW(E$1:E3848)*(E3849=E$1:E3848)))))</f>
        <v> </v>
      </c>
      <c r="L3849" s="26"/>
    </row>
    <row r="3850" spans="1:12">
      <c r="A3850" s="20" t="s">
        <v>2304</v>
      </c>
      <c r="B3850" s="27" t="s">
        <v>1079</v>
      </c>
      <c r="C3850" s="27" t="s">
        <v>1015</v>
      </c>
      <c r="E3850" s="21">
        <f>IF(D3850="?OLD","!!!","")</f>
        <v/>
      </c>
      <c r="F3850" s="22" t="str">
        <f>IF(OR(E3850="",E3850="!!!"),"",IF(NOT(ISNA(VLOOKUP(E3850,E$1:E3849,1,FALSE()))),"OLD",IF(AND(E3850&lt;&gt;"",E3850&lt;&gt;"!!!"),"NEW","")))</f>
        <v> </v>
      </c>
      <c r="G3850" s="23" t="str">
        <f>IF(OR(E3850="",E3850="!!!"),"",IF(OR(J3850=0,AND(J3850=1,K3850=1),AND(J3850=1,I3850="SBJ"),AND(J3850=1,I3850=0)),"?IN_FOCUS",IF(J3850&lt;=2,"?ACTIVATED",IF(J3850&lt;&gt;"","?FAMILIAR",IF(F3850="NEW",IF(ISNA(VLOOKUP(E3850,#REF!,1,FALSE())),"?TYPE_IDENTIFIABLE","?REFERENTIAL"),"_")))))</f>
        <v> </v>
      </c>
      <c r="H3850" s="24" t="str">
        <f>IF(J3850&lt;&gt;1,"",IF(I3850="SBJ","CB","?"))</f>
        <v> </v>
      </c>
      <c r="I3850" s="25" t="str">
        <f>IF(OR(E3850="",E3850="!!!",F3850="NEW"),"",INDEX(B3849:B$2,-1+SUMPRODUCT(MAX(ROW(E3849:E$2)*(E3850=E3849:E$2)))))</f>
        <v> </v>
      </c>
      <c r="J3850" s="25" t="str">
        <f>IF(OR(E3850="",E3850="!!!",F3850="NEW"),"",COUNTBLANK(OFFSET(A$1,,,SUMPRODUCT(MAX(ROW(E$2:E3850)*(E3850=E$2:E3850)))))-COUNTBLANK(OFFSET(A$1,,,SUMPRODUCT(MAX(ROW(E$1:E3849)*(E2=E$1:E3849))))))</f>
        <v> </v>
      </c>
      <c r="K3850" s="25" t="str">
        <f>IF(OR(E3850="",E3850="!!!",F3850="NEW"),"",INDEX(J$1:J3849,SUMPRODUCT(MAX(ROW(E$1:E3849)*(E3850=E$1:E3849)))))</f>
        <v> </v>
      </c>
      <c r="L3850" s="26"/>
    </row>
    <row r="3851" spans="1:12">
      <c r="A3851" s="20" t="s">
        <v>2305</v>
      </c>
      <c r="E3851" s="21">
        <f>IF(D3851="?OLD","!!!","")</f>
        <v/>
      </c>
      <c r="F3851" s="22" t="str">
        <f>IF(OR(E3851="",E3851="!!!"),"",IF(NOT(ISNA(VLOOKUP(E3851,E$1:E3850,1,FALSE()))),"OLD",IF(AND(E3851&lt;&gt;"",E3851&lt;&gt;"!!!"),"NEW","")))</f>
        <v> </v>
      </c>
      <c r="G3851" s="23" t="str">
        <f>IF(OR(E3851="",E3851="!!!"),"",IF(OR(J3851=0,AND(J3851=1,K3851=1),AND(J3851=1,I3851="SBJ"),AND(J3851=1,I3851=0)),"?IN_FOCUS",IF(J3851&lt;=2,"?ACTIVATED",IF(J3851&lt;&gt;"","?FAMILIAR",IF(F3851="NEW",IF(ISNA(VLOOKUP(E3851,#REF!,1,FALSE())),"?TYPE_IDENTIFIABLE","?REFERENTIAL"),"_")))))</f>
        <v> </v>
      </c>
      <c r="H3851" s="24" t="str">
        <f>IF(J3851&lt;&gt;1,"",IF(I3851="SBJ","CB","?"))</f>
        <v> </v>
      </c>
      <c r="I3851" s="25" t="str">
        <f>IF(OR(E3851="",E3851="!!!",F3851="NEW"),"",INDEX(B3850:B$2,-1+SUMPRODUCT(MAX(ROW(E3850:E$2)*(E3851=E3850:E$2)))))</f>
        <v> </v>
      </c>
      <c r="J3851" s="25" t="str">
        <f>IF(OR(E3851="",E3851="!!!",F3851="NEW"),"",COUNTBLANK(OFFSET(A$1,,,SUMPRODUCT(MAX(ROW(E$2:E3851)*(E3851=E$2:E3851)))))-COUNTBLANK(OFFSET(A$1,,,SUMPRODUCT(MAX(ROW(E$1:E3850)*(E2=E$1:E3850))))))</f>
        <v> </v>
      </c>
      <c r="K3851" s="25" t="str">
        <f>IF(OR(E3851="",E3851="!!!",F3851="NEW"),"",INDEX(J$1:J3850,SUMPRODUCT(MAX(ROW(E$1:E3850)*(E3851=E$1:E3850)))))</f>
        <v> </v>
      </c>
      <c r="L3851" s="26"/>
    </row>
    <row r="3852" spans="1:12">
      <c r="A3852" s="20" t="s">
        <v>135</v>
      </c>
      <c r="E3852" s="21">
        <f>IF(D3852="?OLD","!!!","")</f>
        <v/>
      </c>
      <c r="F3852" s="22" t="str">
        <f>IF(OR(E3852="",E3852="!!!"),"",IF(NOT(ISNA(VLOOKUP(E3852,E$1:E3851,1,FALSE()))),"OLD",IF(AND(E3852&lt;&gt;"",E3852&lt;&gt;"!!!"),"NEW","")))</f>
        <v> </v>
      </c>
      <c r="G3852" s="23" t="str">
        <f>IF(OR(E3852="",E3852="!!!"),"",IF(OR(J3852=0,AND(J3852=1,K3852=1),AND(J3852=1,I3852="SBJ"),AND(J3852=1,I3852=0)),"?IN_FOCUS",IF(J3852&lt;=2,"?ACTIVATED",IF(J3852&lt;&gt;"","?FAMILIAR",IF(F3852="NEW",IF(ISNA(VLOOKUP(E3852,#REF!,1,FALSE())),"?TYPE_IDENTIFIABLE","?REFERENTIAL"),"_")))))</f>
        <v> </v>
      </c>
      <c r="H3852" s="24" t="str">
        <f>IF(J3852&lt;&gt;1,"",IF(I3852="SBJ","CB","?"))</f>
        <v> </v>
      </c>
      <c r="I3852" s="25" t="str">
        <f>IF(OR(E3852="",E3852="!!!",F3852="NEW"),"",INDEX(B3851:B$2,-1+SUMPRODUCT(MAX(ROW(E3851:E$2)*(E3852=E3851:E$2)))))</f>
        <v> </v>
      </c>
      <c r="J3852" s="25" t="str">
        <f>IF(OR(E3852="",E3852="!!!",F3852="NEW"),"",COUNTBLANK(OFFSET(A$1,,,SUMPRODUCT(MAX(ROW(E$2:E3852)*(E3852=E$2:E3852)))))-COUNTBLANK(OFFSET(A$1,,,SUMPRODUCT(MAX(ROW(E$1:E3851)*(E2=E$1:E3851))))))</f>
        <v> </v>
      </c>
      <c r="K3852" s="25" t="str">
        <f>IF(OR(E3852="",E3852="!!!",F3852="NEW"),"",INDEX(J$1:J3851,SUMPRODUCT(MAX(ROW(E$1:E3851)*(E3852=E$1:E3851)))))</f>
        <v> </v>
      </c>
      <c r="L3852" s="26"/>
    </row>
    <row r="3853" spans="1:12">
      <c r="A3853" s="20"/>
    </row>
    <row r="3854" spans="1:12">
      <c r="A3854" s="20" t="s">
        <v>2306</v>
      </c>
    </row>
    <row r="3855" spans="1:12">
      <c r="A3855" s="20" t="s">
        <v>1088</v>
      </c>
      <c r="E3855" s="21">
        <f>IF(D3855="?OLD","!!!","")</f>
        <v/>
      </c>
      <c r="F3855" s="22" t="str">
        <f>IF(OR(E3855="",E3855="!!!"),"",IF(NOT(ISNA(VLOOKUP(E3855,E$1:E3854,1,FALSE()))),"OLD",IF(AND(E3855&lt;&gt;"",E3855&lt;&gt;"!!!"),"NEW","")))</f>
        <v> </v>
      </c>
      <c r="G3855" s="23" t="str">
        <f>IF(OR(E3855="",E3855="!!!"),"",IF(OR(J3855=0,AND(J3855=1,K3855=1),AND(J3855=1,I3855="SBJ"),AND(J3855=1,I3855=0)),"?IN_FOCUS",IF(J3855&lt;=2,"?ACTIVATED",IF(J3855&lt;&gt;"","?FAMILIAR",IF(F3855="NEW",IF(ISNA(VLOOKUP(E3855,#REF!,1,FALSE())),"?TYPE_IDENTIFIABLE","?REFERENTIAL"),"_")))))</f>
        <v> </v>
      </c>
      <c r="H3855" s="24" t="str">
        <f>IF(J3855&lt;&gt;1,"",IF(I3855="SBJ","CB","?"))</f>
        <v> </v>
      </c>
      <c r="I3855" s="25" t="str">
        <f>IF(OR(E3855="",E3855="!!!",F3855="NEW"),"",INDEX(B3854:B$2,-1+SUMPRODUCT(MAX(ROW(E3854:E$2)*(E3855=E3854:E$2)))))</f>
        <v> </v>
      </c>
      <c r="J3855" s="25" t="str">
        <f>IF(OR(E3855="",E3855="!!!",F3855="NEW"),"",COUNTBLANK(OFFSET(A$1,,,SUMPRODUCT(MAX(ROW(E$2:E3855)*(E3855=E$2:E3855)))))-COUNTBLANK(OFFSET(A$1,,,SUMPRODUCT(MAX(ROW(E$1:E3854)*(E2=E$1:E3854))))))</f>
        <v> </v>
      </c>
      <c r="K3855" s="25" t="str">
        <f>IF(OR(E3855="",E3855="!!!",F3855="NEW"),"",INDEX(J$1:J3854,SUMPRODUCT(MAX(ROW(E$1:E3854)*(E3855=E$1:E3854)))))</f>
        <v> </v>
      </c>
      <c r="L3855" s="26"/>
    </row>
    <row r="3856" spans="1:12">
      <c r="A3856" s="20" t="s">
        <v>1158</v>
      </c>
      <c r="E3856" s="21">
        <f>IF(D3856="?OLD","!!!","")</f>
        <v/>
      </c>
      <c r="F3856" s="22" t="str">
        <f>IF(OR(E3856="",E3856="!!!"),"",IF(NOT(ISNA(VLOOKUP(E3856,E$1:E3855,1,FALSE()))),"OLD",IF(AND(E3856&lt;&gt;"",E3856&lt;&gt;"!!!"),"NEW","")))</f>
        <v> </v>
      </c>
      <c r="G3856" s="23" t="str">
        <f>IF(OR(E3856="",E3856="!!!"),"",IF(OR(J3856=0,AND(J3856=1,K3856=1),AND(J3856=1,I3856="SBJ"),AND(J3856=1,I3856=0)),"?IN_FOCUS",IF(J3856&lt;=2,"?ACTIVATED",IF(J3856&lt;&gt;"","?FAMILIAR",IF(F3856="NEW",IF(ISNA(VLOOKUP(E3856,#REF!,1,FALSE())),"?TYPE_IDENTIFIABLE","?REFERENTIAL"),"_")))))</f>
        <v> </v>
      </c>
      <c r="H3856" s="24" t="str">
        <f>IF(J3856&lt;&gt;1,"",IF(I3856="SBJ","CB","?"))</f>
        <v> </v>
      </c>
      <c r="I3856" s="25" t="str">
        <f>IF(OR(E3856="",E3856="!!!",F3856="NEW"),"",INDEX(B3855:B$2,-1+SUMPRODUCT(MAX(ROW(E3855:E$2)*(E3856=E3855:E$2)))))</f>
        <v> </v>
      </c>
      <c r="J3856" s="25" t="str">
        <f>IF(OR(E3856="",E3856="!!!",F3856="NEW"),"",COUNTBLANK(OFFSET(A$1,,,SUMPRODUCT(MAX(ROW(E$2:E3856)*(E3856=E$2:E3856)))))-COUNTBLANK(OFFSET(A$1,,,SUMPRODUCT(MAX(ROW(E$1:E3855)*(E2=E$1:E3855))))))</f>
        <v> </v>
      </c>
      <c r="K3856" s="25" t="str">
        <f>IF(OR(E3856="",E3856="!!!",F3856="NEW"),"",INDEX(J$1:J3855,SUMPRODUCT(MAX(ROW(E$1:E3855)*(E3856=E$1:E3855)))))</f>
        <v> </v>
      </c>
      <c r="L3856" s="26"/>
    </row>
    <row r="3857" spans="1:12">
      <c r="A3857" s="20" t="s">
        <v>1034</v>
      </c>
      <c r="E3857" s="21">
        <f>IF(D3857="?OLD","!!!","")</f>
        <v/>
      </c>
      <c r="F3857" s="22" t="str">
        <f>IF(OR(E3857="",E3857="!!!"),"",IF(NOT(ISNA(VLOOKUP(E3857,E$1:E3856,1,FALSE()))),"OLD",IF(AND(E3857&lt;&gt;"",E3857&lt;&gt;"!!!"),"NEW","")))</f>
        <v> </v>
      </c>
      <c r="G3857" s="23" t="str">
        <f>IF(OR(E3857="",E3857="!!!"),"",IF(OR(J3857=0,AND(J3857=1,K3857=1),AND(J3857=1,I3857="SBJ"),AND(J3857=1,I3857=0)),"?IN_FOCUS",IF(J3857&lt;=2,"?ACTIVATED",IF(J3857&lt;&gt;"","?FAMILIAR",IF(F3857="NEW",IF(ISNA(VLOOKUP(E3857,#REF!,1,FALSE())),"?TYPE_IDENTIFIABLE","?REFERENTIAL"),"_")))))</f>
        <v> </v>
      </c>
      <c r="H3857" s="24" t="str">
        <f>IF(J3857&lt;&gt;1,"",IF(I3857="SBJ","CB","?"))</f>
        <v> </v>
      </c>
      <c r="I3857" s="25" t="str">
        <f>IF(OR(E3857="",E3857="!!!",F3857="NEW"),"",INDEX(B3856:B$2,-1+SUMPRODUCT(MAX(ROW(E3856:E$2)*(E3857=E3856:E$2)))))</f>
        <v> </v>
      </c>
      <c r="J3857" s="25" t="str">
        <f>IF(OR(E3857="",E3857="!!!",F3857="NEW"),"",COUNTBLANK(OFFSET(A$1,,,SUMPRODUCT(MAX(ROW(E$2:E3857)*(E3857=E$2:E3857)))))-COUNTBLANK(OFFSET(A$1,,,SUMPRODUCT(MAX(ROW(E$1:E3856)*(E2=E$1:E3856))))))</f>
        <v> </v>
      </c>
      <c r="K3857" s="25" t="str">
        <f>IF(OR(E3857="",E3857="!!!",F3857="NEW"),"",INDEX(J$1:J3856,SUMPRODUCT(MAX(ROW(E$1:E3856)*(E3857=E$1:E3856)))))</f>
        <v> </v>
      </c>
      <c r="L3857" s="26"/>
    </row>
    <row r="3858" spans="1:12">
      <c r="A3858" s="20" t="s">
        <v>1472</v>
      </c>
      <c r="E3858" s="21">
        <f>IF(D3858="?OLD","!!!","")</f>
        <v/>
      </c>
      <c r="F3858" s="22" t="str">
        <f>IF(OR(E3858="",E3858="!!!"),"",IF(NOT(ISNA(VLOOKUP(E3858,E$1:E3857,1,FALSE()))),"OLD",IF(AND(E3858&lt;&gt;"",E3858&lt;&gt;"!!!"),"NEW","")))</f>
        <v> </v>
      </c>
      <c r="G3858" s="23" t="str">
        <f>IF(OR(E3858="",E3858="!!!"),"",IF(OR(J3858=0,AND(J3858=1,K3858=1),AND(J3858=1,I3858="SBJ"),AND(J3858=1,I3858=0)),"?IN_FOCUS",IF(J3858&lt;=2,"?ACTIVATED",IF(J3858&lt;&gt;"","?FAMILIAR",IF(F3858="NEW",IF(ISNA(VLOOKUP(E3858,#REF!,1,FALSE())),"?TYPE_IDENTIFIABLE","?REFERENTIAL"),"_")))))</f>
        <v> </v>
      </c>
      <c r="H3858" s="24" t="str">
        <f>IF(J3858&lt;&gt;1,"",IF(I3858="SBJ","CB","?"))</f>
        <v> </v>
      </c>
      <c r="I3858" s="25" t="str">
        <f>IF(OR(E3858="",E3858="!!!",F3858="NEW"),"",INDEX(B3857:B$2,-1+SUMPRODUCT(MAX(ROW(E3857:E$2)*(E3858=E3857:E$2)))))</f>
        <v> </v>
      </c>
      <c r="J3858" s="25" t="str">
        <f>IF(OR(E3858="",E3858="!!!",F3858="NEW"),"",COUNTBLANK(OFFSET(A$1,,,SUMPRODUCT(MAX(ROW(E$2:E3858)*(E3858=E$2:E3858)))))-COUNTBLANK(OFFSET(A$1,,,SUMPRODUCT(MAX(ROW(E$1:E3857)*(E2=E$1:E3857))))))</f>
        <v> </v>
      </c>
      <c r="K3858" s="25" t="str">
        <f>IF(OR(E3858="",E3858="!!!",F3858="NEW"),"",INDEX(J$1:J3857,SUMPRODUCT(MAX(ROW(E$1:E3857)*(E3858=E$1:E3857)))))</f>
        <v> </v>
      </c>
      <c r="L3858" s="26"/>
    </row>
    <row r="3859" spans="1:12">
      <c r="A3859" s="20" t="s">
        <v>1491</v>
      </c>
      <c r="B3859" s="27" t="s">
        <v>1041</v>
      </c>
      <c r="C3859" s="27" t="s">
        <v>1015</v>
      </c>
      <c r="E3859" s="21">
        <f>IF(D3859="?OLD","!!!","")</f>
        <v/>
      </c>
      <c r="F3859" s="22" t="str">
        <f>IF(OR(E3859="",E3859="!!!"),"",IF(NOT(ISNA(VLOOKUP(E3859,E$1:E3858,1,FALSE()))),"OLD",IF(AND(E3859&lt;&gt;"",E3859&lt;&gt;"!!!"),"NEW","")))</f>
        <v> </v>
      </c>
      <c r="G3859" s="23" t="str">
        <f>IF(OR(E3859="",E3859="!!!"),"",IF(OR(J3859=0,AND(J3859=1,K3859=1),AND(J3859=1,I3859="SBJ"),AND(J3859=1,I3859=0)),"?IN_FOCUS",IF(J3859&lt;=2,"?ACTIVATED",IF(J3859&lt;&gt;"","?FAMILIAR",IF(F3859="NEW",IF(ISNA(VLOOKUP(E3859,#REF!,1,FALSE())),"?TYPE_IDENTIFIABLE","?REFERENTIAL"),"_")))))</f>
        <v> </v>
      </c>
      <c r="H3859" s="24" t="str">
        <f>IF(J3859&lt;&gt;1,"",IF(I3859="SBJ","CB","?"))</f>
        <v> </v>
      </c>
      <c r="I3859" s="25" t="str">
        <f>IF(OR(E3859="",E3859="!!!",F3859="NEW"),"",INDEX(B3858:B$2,-1+SUMPRODUCT(MAX(ROW(E3858:E$2)*(E3859=E3858:E$2)))))</f>
        <v> </v>
      </c>
      <c r="J3859" s="25" t="str">
        <f>IF(OR(E3859="",E3859="!!!",F3859="NEW"),"",COUNTBLANK(OFFSET(A$1,,,SUMPRODUCT(MAX(ROW(E$2:E3859)*(E3859=E$2:E3859)))))-COUNTBLANK(OFFSET(A$1,,,SUMPRODUCT(MAX(ROW(E$1:E3858)*(E2=E$1:E3858))))))</f>
        <v> </v>
      </c>
      <c r="K3859" s="25" t="str">
        <f>IF(OR(E3859="",E3859="!!!",F3859="NEW"),"",INDEX(J$1:J3858,SUMPRODUCT(MAX(ROW(E$1:E3858)*(E3859=E$1:E3858)))))</f>
        <v> </v>
      </c>
      <c r="L3859" s="26"/>
    </row>
    <row r="3860" spans="1:12">
      <c r="A3860" s="20" t="s">
        <v>1016</v>
      </c>
      <c r="E3860" s="21">
        <f>IF(D3860="?OLD","!!!","")</f>
        <v/>
      </c>
      <c r="F3860" s="22" t="str">
        <f>IF(OR(E3860="",E3860="!!!"),"",IF(NOT(ISNA(VLOOKUP(E3860,E$1:E3859,1,FALSE()))),"OLD",IF(AND(E3860&lt;&gt;"",E3860&lt;&gt;"!!!"),"NEW","")))</f>
        <v> </v>
      </c>
      <c r="G3860" s="23" t="str">
        <f>IF(OR(E3860="",E3860="!!!"),"",IF(OR(J3860=0,AND(J3860=1,K3860=1),AND(J3860=1,I3860="SBJ"),AND(J3860=1,I3860=0)),"?IN_FOCUS",IF(J3860&lt;=2,"?ACTIVATED",IF(J3860&lt;&gt;"","?FAMILIAR",IF(F3860="NEW",IF(ISNA(VLOOKUP(E3860,#REF!,1,FALSE())),"?TYPE_IDENTIFIABLE","?REFERENTIAL"),"_")))))</f>
        <v> </v>
      </c>
      <c r="H3860" s="24" t="str">
        <f>IF(J3860&lt;&gt;1,"",IF(I3860="SBJ","CB","?"))</f>
        <v> </v>
      </c>
      <c r="I3860" s="25" t="str">
        <f>IF(OR(E3860="",E3860="!!!",F3860="NEW"),"",INDEX(B3859:B$2,-1+SUMPRODUCT(MAX(ROW(E3859:E$2)*(E3860=E3859:E$2)))))</f>
        <v> </v>
      </c>
      <c r="J3860" s="25" t="str">
        <f>IF(OR(E3860="",E3860="!!!",F3860="NEW"),"",COUNTBLANK(OFFSET(A$1,,,SUMPRODUCT(MAX(ROW(E$2:E3860)*(E3860=E$2:E3860)))))-COUNTBLANK(OFFSET(A$1,,,SUMPRODUCT(MAX(ROW(E$1:E3859)*(E2=E$1:E3859))))))</f>
        <v> </v>
      </c>
      <c r="K3860" s="25" t="str">
        <f>IF(OR(E3860="",E3860="!!!",F3860="NEW"),"",INDEX(J$1:J3859,SUMPRODUCT(MAX(ROW(E$1:E3859)*(E3860=E$1:E3859)))))</f>
        <v> </v>
      </c>
      <c r="L3860" s="26"/>
    </row>
    <row r="3861" spans="1:12">
      <c r="A3861" s="20" t="s">
        <v>2307</v>
      </c>
      <c r="E3861" s="21">
        <f>IF(D3861="?OLD","!!!","")</f>
        <v/>
      </c>
      <c r="F3861" s="22" t="str">
        <f>IF(OR(E3861="",E3861="!!!"),"",IF(NOT(ISNA(VLOOKUP(E3861,E$1:E3860,1,FALSE()))),"OLD",IF(AND(E3861&lt;&gt;"",E3861&lt;&gt;"!!!"),"NEW","")))</f>
        <v> </v>
      </c>
      <c r="G3861" s="23" t="str">
        <f>IF(OR(E3861="",E3861="!!!"),"",IF(OR(J3861=0,AND(J3861=1,K3861=1),AND(J3861=1,I3861="SBJ"),AND(J3861=1,I3861=0)),"?IN_FOCUS",IF(J3861&lt;=2,"?ACTIVATED",IF(J3861&lt;&gt;"","?FAMILIAR",IF(F3861="NEW",IF(ISNA(VLOOKUP(E3861,#REF!,1,FALSE())),"?TYPE_IDENTIFIABLE","?REFERENTIAL"),"_")))))</f>
        <v> </v>
      </c>
      <c r="H3861" s="24" t="str">
        <f>IF(J3861&lt;&gt;1,"",IF(I3861="SBJ","CB","?"))</f>
        <v> </v>
      </c>
      <c r="I3861" s="25" t="str">
        <f>IF(OR(E3861="",E3861="!!!",F3861="NEW"),"",INDEX(B3860:B$2,-1+SUMPRODUCT(MAX(ROW(E3860:E$2)*(E3861=E3860:E$2)))))</f>
        <v> </v>
      </c>
      <c r="J3861" s="25" t="str">
        <f>IF(OR(E3861="",E3861="!!!",F3861="NEW"),"",COUNTBLANK(OFFSET(A$1,,,SUMPRODUCT(MAX(ROW(E$2:E3861)*(E3861=E$2:E3861)))))-COUNTBLANK(OFFSET(A$1,,,SUMPRODUCT(MAX(ROW(E$1:E3860)*(E2=E$1:E3860))))))</f>
        <v> </v>
      </c>
      <c r="K3861" s="25" t="str">
        <f>IF(OR(E3861="",E3861="!!!",F3861="NEW"),"",INDEX(J$1:J3860,SUMPRODUCT(MAX(ROW(E$1:E3860)*(E3861=E$1:E3860)))))</f>
        <v> </v>
      </c>
      <c r="L3861" s="26"/>
    </row>
    <row r="3862" spans="1:12">
      <c r="A3862" s="20" t="s">
        <v>378</v>
      </c>
      <c r="B3862" s="27" t="s">
        <v>1020</v>
      </c>
      <c r="C3862" s="27" t="s">
        <v>1140</v>
      </c>
      <c r="D3862" s="27" t="s">
        <v>1030</v>
      </c>
      <c r="E3862" s="21">
        <f>IF(D3862="?OLD","!!!","")</f>
        <v/>
      </c>
      <c r="F3862" s="22" t="str">
        <f>IF(OR(E3862="",E3862="!!!"),"",IF(NOT(ISNA(VLOOKUP(E3862,E$1:E3861,1,FALSE()))),"OLD",IF(AND(E3862&lt;&gt;"",E3862&lt;&gt;"!!!"),"NEW","")))</f>
        <v> </v>
      </c>
      <c r="G3862" s="23" t="str">
        <f>IF(OR(E3862="",E3862="!!!"),"",IF(OR(J3862=0,AND(J3862=1,K3862=1),AND(J3862=1,I3862="SBJ"),AND(J3862=1,I3862=0)),"?IN_FOCUS",IF(J3862&lt;=2,"?ACTIVATED",IF(J3862&lt;&gt;"","?FAMILIAR",IF(F3862="NEW",IF(ISNA(VLOOKUP(E3862,#REF!,1,FALSE())),"?TYPE_IDENTIFIABLE","?REFERENTIAL"),"_")))))</f>
        <v> </v>
      </c>
      <c r="H3862" s="24" t="str">
        <f>IF(J3862&lt;&gt;1,"",IF(I3862="SBJ","CB","?"))</f>
        <v> </v>
      </c>
      <c r="I3862" s="25" t="str">
        <f>IF(OR(E3862="",E3862="!!!",F3862="NEW"),"",INDEX(B3861:B$2,-1+SUMPRODUCT(MAX(ROW(E3861:E$2)*(E3862=E3861:E$2)))))</f>
        <v> </v>
      </c>
      <c r="J3862" s="25" t="str">
        <f>IF(OR(E3862="",E3862="!!!",F3862="NEW"),"",COUNTBLANK(OFFSET(A$1,,,SUMPRODUCT(MAX(ROW(E$2:E3862)*(E3862=E$2:E3862)))))-COUNTBLANK(OFFSET(A$1,,,SUMPRODUCT(MAX(ROW(E$1:E3861)*(E2=E$1:E3861))))))</f>
        <v> </v>
      </c>
      <c r="K3862" s="25" t="str">
        <f>IF(OR(E3862="",E3862="!!!",F3862="NEW"),"",INDEX(J$1:J3861,SUMPRODUCT(MAX(ROW(E$1:E3861)*(E3862=E$1:E3861)))))</f>
        <v> </v>
      </c>
      <c r="L3862" s="26"/>
    </row>
    <row r="3863" spans="1:12">
      <c r="A3863" s="20" t="s">
        <v>1094</v>
      </c>
      <c r="B3863" s="27" t="s">
        <v>1460</v>
      </c>
      <c r="E3863" s="21">
        <f>IF(D3863="?OLD","!!!","")</f>
        <v/>
      </c>
      <c r="F3863" s="22" t="str">
        <f>IF(OR(E3863="",E3863="!!!"),"",IF(NOT(ISNA(VLOOKUP(E3863,E$1:E3862,1,FALSE()))),"OLD",IF(AND(E3863&lt;&gt;"",E3863&lt;&gt;"!!!"),"NEW","")))</f>
        <v> </v>
      </c>
      <c r="G3863" s="23" t="str">
        <f>IF(OR(E3863="",E3863="!!!"),"",IF(OR(J3863=0,AND(J3863=1,K3863=1),AND(J3863=1,I3863="SBJ"),AND(J3863=1,I3863=0)),"?IN_FOCUS",IF(J3863&lt;=2,"?ACTIVATED",IF(J3863&lt;&gt;"","?FAMILIAR",IF(F3863="NEW",IF(ISNA(VLOOKUP(E3863,#REF!,1,FALSE())),"?TYPE_IDENTIFIABLE","?REFERENTIAL"),"_")))))</f>
        <v> </v>
      </c>
      <c r="H3863" s="24" t="str">
        <f>IF(J3863&lt;&gt;1,"",IF(I3863="SBJ","CB","?"))</f>
        <v> </v>
      </c>
      <c r="I3863" s="25" t="str">
        <f>IF(OR(E3863="",E3863="!!!",F3863="NEW"),"",INDEX(B3862:B$2,-1+SUMPRODUCT(MAX(ROW(E3862:E$2)*(E3863=E3862:E$2)))))</f>
        <v> </v>
      </c>
      <c r="J3863" s="25" t="str">
        <f>IF(OR(E3863="",E3863="!!!",F3863="NEW"),"",COUNTBLANK(OFFSET(A$1,,,SUMPRODUCT(MAX(ROW(E$2:E3863)*(E3863=E$2:E3863)))))-COUNTBLANK(OFFSET(A$1,,,SUMPRODUCT(MAX(ROW(E$1:E3862)*(E2=E$1:E3862))))))</f>
        <v> </v>
      </c>
      <c r="K3863" s="25" t="str">
        <f>IF(OR(E3863="",E3863="!!!",F3863="NEW"),"",INDEX(J$1:J3862,SUMPRODUCT(MAX(ROW(E$1:E3862)*(E3863=E$1:E3862)))))</f>
        <v> </v>
      </c>
      <c r="L3863" s="26"/>
    </row>
    <row r="3864" spans="1:12">
      <c r="A3864" s="20" t="s">
        <v>1309</v>
      </c>
      <c r="E3864" s="21">
        <f>IF(D3864="?OLD","!!!","")</f>
        <v/>
      </c>
      <c r="F3864" s="22" t="str">
        <f>IF(OR(E3864="",E3864="!!!"),"",IF(NOT(ISNA(VLOOKUP(E3864,E$1:E3863,1,FALSE()))),"OLD",IF(AND(E3864&lt;&gt;"",E3864&lt;&gt;"!!!"),"NEW","")))</f>
        <v> </v>
      </c>
      <c r="G3864" s="23" t="str">
        <f>IF(OR(E3864="",E3864="!!!"),"",IF(OR(J3864=0,AND(J3864=1,K3864=1),AND(J3864=1,I3864="SBJ"),AND(J3864=1,I3864=0)),"?IN_FOCUS",IF(J3864&lt;=2,"?ACTIVATED",IF(J3864&lt;&gt;"","?FAMILIAR",IF(F3864="NEW",IF(ISNA(VLOOKUP(E3864,#REF!,1,FALSE())),"?TYPE_IDENTIFIABLE","?REFERENTIAL"),"_")))))</f>
        <v> </v>
      </c>
      <c r="H3864" s="24" t="str">
        <f>IF(J3864&lt;&gt;1,"",IF(I3864="SBJ","CB","?"))</f>
        <v> </v>
      </c>
      <c r="I3864" s="25" t="str">
        <f>IF(OR(E3864="",E3864="!!!",F3864="NEW"),"",INDEX(B3863:B$2,-1+SUMPRODUCT(MAX(ROW(E3863:E$2)*(E3864=E3863:E$2)))))</f>
        <v> </v>
      </c>
      <c r="J3864" s="25" t="str">
        <f>IF(OR(E3864="",E3864="!!!",F3864="NEW"),"",COUNTBLANK(OFFSET(A$1,,,SUMPRODUCT(MAX(ROW(E$2:E3864)*(E3864=E$2:E3864)))))-COUNTBLANK(OFFSET(A$1,,,SUMPRODUCT(MAX(ROW(E$1:E3863)*(E2=E$1:E3863))))))</f>
        <v> </v>
      </c>
      <c r="K3864" s="25" t="str">
        <f>IF(OR(E3864="",E3864="!!!",F3864="NEW"),"",INDEX(J$1:J3863,SUMPRODUCT(MAX(ROW(E$1:E3863)*(E3864=E$1:E3863)))))</f>
        <v> </v>
      </c>
      <c r="L3864" s="26"/>
    </row>
    <row r="3865" spans="1:12">
      <c r="A3865" s="20" t="s">
        <v>1836</v>
      </c>
      <c r="E3865" s="21">
        <f>IF(D3865="?OLD","!!!","")</f>
        <v/>
      </c>
      <c r="F3865" s="22" t="str">
        <f>IF(OR(E3865="",E3865="!!!"),"",IF(NOT(ISNA(VLOOKUP(E3865,E$1:E3864,1,FALSE()))),"OLD",IF(AND(E3865&lt;&gt;"",E3865&lt;&gt;"!!!"),"NEW","")))</f>
        <v> </v>
      </c>
      <c r="G3865" s="23" t="str">
        <f>IF(OR(E3865="",E3865="!!!"),"",IF(OR(J3865=0,AND(J3865=1,K3865=1),AND(J3865=1,I3865="SBJ"),AND(J3865=1,I3865=0)),"?IN_FOCUS",IF(J3865&lt;=2,"?ACTIVATED",IF(J3865&lt;&gt;"","?FAMILIAR",IF(F3865="NEW",IF(ISNA(VLOOKUP(E3865,#REF!,1,FALSE())),"?TYPE_IDENTIFIABLE","?REFERENTIAL"),"_")))))</f>
        <v> </v>
      </c>
      <c r="H3865" s="24" t="str">
        <f>IF(J3865&lt;&gt;1,"",IF(I3865="SBJ","CB","?"))</f>
        <v> </v>
      </c>
      <c r="I3865" s="25" t="str">
        <f>IF(OR(E3865="",E3865="!!!",F3865="NEW"),"",INDEX(B3864:B$2,-1+SUMPRODUCT(MAX(ROW(E3864:E$2)*(E3865=E3864:E$2)))))</f>
        <v> </v>
      </c>
      <c r="J3865" s="25" t="str">
        <f>IF(OR(E3865="",E3865="!!!",F3865="NEW"),"",COUNTBLANK(OFFSET(A$1,,,SUMPRODUCT(MAX(ROW(E$2:E3865)*(E3865=E$2:E3865)))))-COUNTBLANK(OFFSET(A$1,,,SUMPRODUCT(MAX(ROW(E$1:E3864)*(E2=E$1:E3864))))))</f>
        <v> </v>
      </c>
      <c r="K3865" s="25" t="str">
        <f>IF(OR(E3865="",E3865="!!!",F3865="NEW"),"",INDEX(J$1:J3864,SUMPRODUCT(MAX(ROW(E$1:E3864)*(E3865=E$1:E3864)))))</f>
        <v> </v>
      </c>
      <c r="L3865" s="26"/>
    </row>
    <row r="3866" spans="1:12">
      <c r="A3866" s="20" t="s">
        <v>135</v>
      </c>
      <c r="E3866" s="21">
        <f>IF(D3866="?OLD","!!!","")</f>
        <v/>
      </c>
      <c r="F3866" s="22" t="str">
        <f>IF(OR(E3866="",E3866="!!!"),"",IF(NOT(ISNA(VLOOKUP(E3866,E$1:E3865,1,FALSE()))),"OLD",IF(AND(E3866&lt;&gt;"",E3866&lt;&gt;"!!!"),"NEW","")))</f>
        <v> </v>
      </c>
      <c r="G3866" s="23" t="str">
        <f>IF(OR(E3866="",E3866="!!!"),"",IF(OR(J3866=0,AND(J3866=1,K3866=1),AND(J3866=1,I3866="SBJ"),AND(J3866=1,I3866=0)),"?IN_FOCUS",IF(J3866&lt;=2,"?ACTIVATED",IF(J3866&lt;&gt;"","?FAMILIAR",IF(F3866="NEW",IF(ISNA(VLOOKUP(E3866,#REF!,1,FALSE())),"?TYPE_IDENTIFIABLE","?REFERENTIAL"),"_")))))</f>
        <v> </v>
      </c>
      <c r="H3866" s="24" t="str">
        <f>IF(J3866&lt;&gt;1,"",IF(I3866="SBJ","CB","?"))</f>
        <v> </v>
      </c>
      <c r="I3866" s="25" t="str">
        <f>IF(OR(E3866="",E3866="!!!",F3866="NEW"),"",INDEX(B3865:B$2,-1+SUMPRODUCT(MAX(ROW(E3865:E$2)*(E3866=E3865:E$2)))))</f>
        <v> </v>
      </c>
      <c r="J3866" s="25" t="str">
        <f>IF(OR(E3866="",E3866="!!!",F3866="NEW"),"",COUNTBLANK(OFFSET(A$1,,,SUMPRODUCT(MAX(ROW(E$2:E3866)*(E3866=E$2:E3866)))))-COUNTBLANK(OFFSET(A$1,,,SUMPRODUCT(MAX(ROW(E$1:E3865)*(E2=E$1:E3865))))))</f>
        <v> </v>
      </c>
      <c r="K3866" s="25" t="str">
        <f>IF(OR(E3866="",E3866="!!!",F3866="NEW"),"",INDEX(J$1:J3865,SUMPRODUCT(MAX(ROW(E$1:E3865)*(E3866=E$1:E3865)))))</f>
        <v> </v>
      </c>
      <c r="L3866" s="26"/>
    </row>
    <row r="3867" spans="1:12">
      <c r="A3867" s="20"/>
    </row>
    <row r="3868" spans="1:12">
      <c r="A3868" s="20" t="s">
        <v>2308</v>
      </c>
    </row>
    <row r="3869" spans="1:12">
      <c r="A3869" s="20" t="s">
        <v>1699</v>
      </c>
      <c r="E3869" s="21">
        <f>IF(D3869="?OLD","!!!","")</f>
        <v/>
      </c>
      <c r="F3869" s="22" t="str">
        <f>IF(OR(E3869="",E3869="!!!"),"",IF(NOT(ISNA(VLOOKUP(E3869,E$1:E3868,1,FALSE()))),"OLD",IF(AND(E3869&lt;&gt;"",E3869&lt;&gt;"!!!"),"NEW","")))</f>
        <v> </v>
      </c>
      <c r="G3869" s="23" t="str">
        <f>IF(OR(E3869="",E3869="!!!"),"",IF(OR(J3869=0,AND(J3869=1,K3869=1),AND(J3869=1,I3869="SBJ"),AND(J3869=1,I3869=0)),"?IN_FOCUS",IF(J3869&lt;=2,"?ACTIVATED",IF(J3869&lt;&gt;"","?FAMILIAR",IF(F3869="NEW",IF(ISNA(VLOOKUP(E3869,#REF!,1,FALSE())),"?TYPE_IDENTIFIABLE","?REFERENTIAL"),"_")))))</f>
        <v> </v>
      </c>
      <c r="H3869" s="24" t="str">
        <f>IF(J3869&lt;&gt;1,"",IF(I3869="SBJ","CB","?"))</f>
        <v> </v>
      </c>
      <c r="I3869" s="25" t="str">
        <f>IF(OR(E3869="",E3869="!!!",F3869="NEW"),"",INDEX(B3868:B$2,-1+SUMPRODUCT(MAX(ROW(E3868:E$2)*(E3869=E3868:E$2)))))</f>
        <v> </v>
      </c>
      <c r="J3869" s="25" t="str">
        <f>IF(OR(E3869="",E3869="!!!",F3869="NEW"),"",COUNTBLANK(OFFSET(A$1,,,SUMPRODUCT(MAX(ROW(E$2:E3869)*(E3869=E$2:E3869)))))-COUNTBLANK(OFFSET(A$1,,,SUMPRODUCT(MAX(ROW(E$1:E3868)*(E2=E$1:E3868))))))</f>
        <v> </v>
      </c>
      <c r="K3869" s="25" t="str">
        <f>IF(OR(E3869="",E3869="!!!",F3869="NEW"),"",INDEX(J$1:J3868,SUMPRODUCT(MAX(ROW(E$1:E3868)*(E3869=E$1:E3868)))))</f>
        <v> </v>
      </c>
      <c r="L3869" s="26"/>
    </row>
    <row r="3870" spans="1:12">
      <c r="A3870" s="20" t="s">
        <v>2309</v>
      </c>
      <c r="E3870" s="21">
        <f>IF(D3870="?OLD","!!!","")</f>
        <v/>
      </c>
      <c r="F3870" s="22" t="str">
        <f>IF(OR(E3870="",E3870="!!!"),"",IF(NOT(ISNA(VLOOKUP(E3870,E$1:E3869,1,FALSE()))),"OLD",IF(AND(E3870&lt;&gt;"",E3870&lt;&gt;"!!!"),"NEW","")))</f>
        <v> </v>
      </c>
      <c r="G3870" s="23" t="str">
        <f>IF(OR(E3870="",E3870="!!!"),"",IF(OR(J3870=0,AND(J3870=1,K3870=1),AND(J3870=1,I3870="SBJ"),AND(J3870=1,I3870=0)),"?IN_FOCUS",IF(J3870&lt;=2,"?ACTIVATED",IF(J3870&lt;&gt;"","?FAMILIAR",IF(F3870="NEW",IF(ISNA(VLOOKUP(E3870,#REF!,1,FALSE())),"?TYPE_IDENTIFIABLE","?REFERENTIAL"),"_")))))</f>
        <v> </v>
      </c>
      <c r="H3870" s="24" t="str">
        <f>IF(J3870&lt;&gt;1,"",IF(I3870="SBJ","CB","?"))</f>
        <v> </v>
      </c>
      <c r="I3870" s="25" t="str">
        <f>IF(OR(E3870="",E3870="!!!",F3870="NEW"),"",INDEX(B3869:B$2,-1+SUMPRODUCT(MAX(ROW(E3869:E$2)*(E3870=E3869:E$2)))))</f>
        <v> </v>
      </c>
      <c r="J3870" s="25" t="str">
        <f>IF(OR(E3870="",E3870="!!!",F3870="NEW"),"",COUNTBLANK(OFFSET(A$1,,,SUMPRODUCT(MAX(ROW(E$2:E3870)*(E3870=E$2:E3870)))))-COUNTBLANK(OFFSET(A$1,,,SUMPRODUCT(MAX(ROW(E$1:E3869)*(E2=E$1:E3869))))))</f>
        <v> </v>
      </c>
      <c r="K3870" s="25" t="str">
        <f>IF(OR(E3870="",E3870="!!!",F3870="NEW"),"",INDEX(J$1:J3869,SUMPRODUCT(MAX(ROW(E$1:E3869)*(E3870=E$1:E3869)))))</f>
        <v> </v>
      </c>
      <c r="L3870" s="26"/>
    </row>
    <row r="3871" spans="1:12">
      <c r="A3871" s="20" t="s">
        <v>1022</v>
      </c>
      <c r="E3871" s="21">
        <f>IF(D3871="?OLD","!!!","")</f>
        <v/>
      </c>
      <c r="F3871" s="22" t="str">
        <f>IF(OR(E3871="",E3871="!!!"),"",IF(NOT(ISNA(VLOOKUP(E3871,E$1:E3870,1,FALSE()))),"OLD",IF(AND(E3871&lt;&gt;"",E3871&lt;&gt;"!!!"),"NEW","")))</f>
        <v> </v>
      </c>
      <c r="G3871" s="23" t="str">
        <f>IF(OR(E3871="",E3871="!!!"),"",IF(OR(J3871=0,AND(J3871=1,K3871=1),AND(J3871=1,I3871="SBJ"),AND(J3871=1,I3871=0)),"?IN_FOCUS",IF(J3871&lt;=2,"?ACTIVATED",IF(J3871&lt;&gt;"","?FAMILIAR",IF(F3871="NEW",IF(ISNA(VLOOKUP(E3871,#REF!,1,FALSE())),"?TYPE_IDENTIFIABLE","?REFERENTIAL"),"_")))))</f>
        <v> </v>
      </c>
      <c r="H3871" s="24" t="str">
        <f>IF(J3871&lt;&gt;1,"",IF(I3871="SBJ","CB","?"))</f>
        <v> </v>
      </c>
      <c r="I3871" s="25" t="str">
        <f>IF(OR(E3871="",E3871="!!!",F3871="NEW"),"",INDEX(B3870:B$2,-1+SUMPRODUCT(MAX(ROW(E3870:E$2)*(E3871=E3870:E$2)))))</f>
        <v> </v>
      </c>
      <c r="J3871" s="25" t="str">
        <f>IF(OR(E3871="",E3871="!!!",F3871="NEW"),"",COUNTBLANK(OFFSET(A$1,,,SUMPRODUCT(MAX(ROW(E$2:E3871)*(E3871=E$2:E3871)))))-COUNTBLANK(OFFSET(A$1,,,SUMPRODUCT(MAX(ROW(E$1:E3870)*(E2=E$1:E3870))))))</f>
        <v> </v>
      </c>
      <c r="K3871" s="25" t="str">
        <f>IF(OR(E3871="",E3871="!!!",F3871="NEW"),"",INDEX(J$1:J3870,SUMPRODUCT(MAX(ROW(E$1:E3870)*(E3871=E$1:E3870)))))</f>
        <v> </v>
      </c>
      <c r="L3871" s="26"/>
    </row>
    <row r="3872" spans="1:12">
      <c r="A3872" s="20" t="s">
        <v>1034</v>
      </c>
      <c r="E3872" s="21">
        <f>IF(D3872="?OLD","!!!","")</f>
        <v/>
      </c>
      <c r="F3872" s="22" t="str">
        <f>IF(OR(E3872="",E3872="!!!"),"",IF(NOT(ISNA(VLOOKUP(E3872,E$1:E3871,1,FALSE()))),"OLD",IF(AND(E3872&lt;&gt;"",E3872&lt;&gt;"!!!"),"NEW","")))</f>
        <v> </v>
      </c>
      <c r="G3872" s="23" t="str">
        <f>IF(OR(E3872="",E3872="!!!"),"",IF(OR(J3872=0,AND(J3872=1,K3872=1),AND(J3872=1,I3872="SBJ"),AND(J3872=1,I3872=0)),"?IN_FOCUS",IF(J3872&lt;=2,"?ACTIVATED",IF(J3872&lt;&gt;"","?FAMILIAR",IF(F3872="NEW",IF(ISNA(VLOOKUP(E3872,#REF!,1,FALSE())),"?TYPE_IDENTIFIABLE","?REFERENTIAL"),"_")))))</f>
        <v> </v>
      </c>
      <c r="H3872" s="24" t="str">
        <f>IF(J3872&lt;&gt;1,"",IF(I3872="SBJ","CB","?"))</f>
        <v> </v>
      </c>
      <c r="I3872" s="25" t="str">
        <f>IF(OR(E3872="",E3872="!!!",F3872="NEW"),"",INDEX(B3871:B$2,-1+SUMPRODUCT(MAX(ROW(E3871:E$2)*(E3872=E3871:E$2)))))</f>
        <v> </v>
      </c>
      <c r="J3872" s="25" t="str">
        <f>IF(OR(E3872="",E3872="!!!",F3872="NEW"),"",COUNTBLANK(OFFSET(A$1,,,SUMPRODUCT(MAX(ROW(E$2:E3872)*(E3872=E$2:E3872)))))-COUNTBLANK(OFFSET(A$1,,,SUMPRODUCT(MAX(ROW(E$1:E3871)*(E2=E$1:E3871))))))</f>
        <v> </v>
      </c>
      <c r="K3872" s="25" t="str">
        <f>IF(OR(E3872="",E3872="!!!",F3872="NEW"),"",INDEX(J$1:J3871,SUMPRODUCT(MAX(ROW(E$1:E3871)*(E3872=E$1:E3871)))))</f>
        <v> </v>
      </c>
      <c r="L3872" s="26"/>
    </row>
    <row r="3873" spans="1:12">
      <c r="A3873" s="20" t="s">
        <v>1632</v>
      </c>
      <c r="E3873" s="21">
        <f>IF(D3873="?OLD","!!!","")</f>
        <v/>
      </c>
      <c r="F3873" s="22" t="str">
        <f>IF(OR(E3873="",E3873="!!!"),"",IF(NOT(ISNA(VLOOKUP(E3873,E$1:E3872,1,FALSE()))),"OLD",IF(AND(E3873&lt;&gt;"",E3873&lt;&gt;"!!!"),"NEW","")))</f>
        <v> </v>
      </c>
      <c r="G3873" s="23" t="str">
        <f>IF(OR(E3873="",E3873="!!!"),"",IF(OR(J3873=0,AND(J3873=1,K3873=1),AND(J3873=1,I3873="SBJ"),AND(J3873=1,I3873=0)),"?IN_FOCUS",IF(J3873&lt;=2,"?ACTIVATED",IF(J3873&lt;&gt;"","?FAMILIAR",IF(F3873="NEW",IF(ISNA(VLOOKUP(E3873,#REF!,1,FALSE())),"?TYPE_IDENTIFIABLE","?REFERENTIAL"),"_")))))</f>
        <v> </v>
      </c>
      <c r="H3873" s="24" t="str">
        <f>IF(J3873&lt;&gt;1,"",IF(I3873="SBJ","CB","?"))</f>
        <v> </v>
      </c>
      <c r="I3873" s="25" t="str">
        <f>IF(OR(E3873="",E3873="!!!",F3873="NEW"),"",INDEX(B3872:B$2,-1+SUMPRODUCT(MAX(ROW(E3872:E$2)*(E3873=E3872:E$2)))))</f>
        <v> </v>
      </c>
      <c r="J3873" s="25" t="str">
        <f>IF(OR(E3873="",E3873="!!!",F3873="NEW"),"",COUNTBLANK(OFFSET(A$1,,,SUMPRODUCT(MAX(ROW(E$2:E3873)*(E3873=E$2:E3873)))))-COUNTBLANK(OFFSET(A$1,,,SUMPRODUCT(MAX(ROW(E$1:E3872)*(E2=E$1:E3872))))))</f>
        <v> </v>
      </c>
      <c r="K3873" s="25" t="str">
        <f>IF(OR(E3873="",E3873="!!!",F3873="NEW"),"",INDEX(J$1:J3872,SUMPRODUCT(MAX(ROW(E$1:E3872)*(E3873=E$1:E3872)))))</f>
        <v> </v>
      </c>
      <c r="L3873" s="26"/>
    </row>
    <row r="3874" spans="1:12">
      <c r="A3874" s="20" t="s">
        <v>1022</v>
      </c>
      <c r="E3874" s="21">
        <f>IF(D3874="?OLD","!!!","")</f>
        <v/>
      </c>
      <c r="F3874" s="22" t="str">
        <f>IF(OR(E3874="",E3874="!!!"),"",IF(NOT(ISNA(VLOOKUP(E3874,E$1:E3873,1,FALSE()))),"OLD",IF(AND(E3874&lt;&gt;"",E3874&lt;&gt;"!!!"),"NEW","")))</f>
        <v> </v>
      </c>
      <c r="G3874" s="23" t="str">
        <f>IF(OR(E3874="",E3874="!!!"),"",IF(OR(J3874=0,AND(J3874=1,K3874=1),AND(J3874=1,I3874="SBJ"),AND(J3874=1,I3874=0)),"?IN_FOCUS",IF(J3874&lt;=2,"?ACTIVATED",IF(J3874&lt;&gt;"","?FAMILIAR",IF(F3874="NEW",IF(ISNA(VLOOKUP(E3874,#REF!,1,FALSE())),"?TYPE_IDENTIFIABLE","?REFERENTIAL"),"_")))))</f>
        <v> </v>
      </c>
      <c r="H3874" s="24" t="str">
        <f>IF(J3874&lt;&gt;1,"",IF(I3874="SBJ","CB","?"))</f>
        <v> </v>
      </c>
      <c r="I3874" s="25" t="str">
        <f>IF(OR(E3874="",E3874="!!!",F3874="NEW"),"",INDEX(B3873:B$2,-1+SUMPRODUCT(MAX(ROW(E3873:E$2)*(E3874=E3873:E$2)))))</f>
        <v> </v>
      </c>
      <c r="J3874" s="25" t="str">
        <f>IF(OR(E3874="",E3874="!!!",F3874="NEW"),"",COUNTBLANK(OFFSET(A$1,,,SUMPRODUCT(MAX(ROW(E$2:E3874)*(E3874=E$2:E3874)))))-COUNTBLANK(OFFSET(A$1,,,SUMPRODUCT(MAX(ROW(E$1:E3873)*(E2=E$1:E3873))))))</f>
        <v> </v>
      </c>
      <c r="K3874" s="25" t="str">
        <f>IF(OR(E3874="",E3874="!!!",F3874="NEW"),"",INDEX(J$1:J3873,SUMPRODUCT(MAX(ROW(E$1:E3873)*(E3874=E$1:E3873)))))</f>
        <v> </v>
      </c>
      <c r="L3874" s="26"/>
    </row>
    <row r="3875" spans="1:12">
      <c r="A3875" s="20" t="s">
        <v>1034</v>
      </c>
      <c r="E3875" s="21">
        <f>IF(D3875="?OLD","!!!","")</f>
        <v/>
      </c>
      <c r="F3875" s="22" t="str">
        <f>IF(OR(E3875="",E3875="!!!"),"",IF(NOT(ISNA(VLOOKUP(E3875,E$1:E3874,1,FALSE()))),"OLD",IF(AND(E3875&lt;&gt;"",E3875&lt;&gt;"!!!"),"NEW","")))</f>
        <v> </v>
      </c>
      <c r="G3875" s="23" t="str">
        <f>IF(OR(E3875="",E3875="!!!"),"",IF(OR(J3875=0,AND(J3875=1,K3875=1),AND(J3875=1,I3875="SBJ"),AND(J3875=1,I3875=0)),"?IN_FOCUS",IF(J3875&lt;=2,"?ACTIVATED",IF(J3875&lt;&gt;"","?FAMILIAR",IF(F3875="NEW",IF(ISNA(VLOOKUP(E3875,#REF!,1,FALSE())),"?TYPE_IDENTIFIABLE","?REFERENTIAL"),"_")))))</f>
        <v> </v>
      </c>
      <c r="H3875" s="24" t="str">
        <f>IF(J3875&lt;&gt;1,"",IF(I3875="SBJ","CB","?"))</f>
        <v> </v>
      </c>
      <c r="I3875" s="25" t="str">
        <f>IF(OR(E3875="",E3875="!!!",F3875="NEW"),"",INDEX(B3874:B$2,-1+SUMPRODUCT(MAX(ROW(E3874:E$2)*(E3875=E3874:E$2)))))</f>
        <v> </v>
      </c>
      <c r="J3875" s="25" t="str">
        <f>IF(OR(E3875="",E3875="!!!",F3875="NEW"),"",COUNTBLANK(OFFSET(A$1,,,SUMPRODUCT(MAX(ROW(E$2:E3875)*(E3875=E$2:E3875)))))-COUNTBLANK(OFFSET(A$1,,,SUMPRODUCT(MAX(ROW(E$1:E3874)*(E2=E$1:E3874))))))</f>
        <v> </v>
      </c>
      <c r="K3875" s="25" t="str">
        <f>IF(OR(E3875="",E3875="!!!",F3875="NEW"),"",INDEX(J$1:J3874,SUMPRODUCT(MAX(ROW(E$1:E3874)*(E3875=E$1:E3874)))))</f>
        <v> </v>
      </c>
      <c r="L3875" s="26"/>
    </row>
    <row r="3876" spans="1:12">
      <c r="A3876" s="20" t="s">
        <v>2310</v>
      </c>
      <c r="E3876" s="21">
        <f>IF(D3876="?OLD","!!!","")</f>
        <v/>
      </c>
      <c r="F3876" s="22" t="str">
        <f>IF(OR(E3876="",E3876="!!!"),"",IF(NOT(ISNA(VLOOKUP(E3876,E$1:E3875,1,FALSE()))),"OLD",IF(AND(E3876&lt;&gt;"",E3876&lt;&gt;"!!!"),"NEW","")))</f>
        <v> </v>
      </c>
      <c r="G3876" s="23" t="str">
        <f>IF(OR(E3876="",E3876="!!!"),"",IF(OR(J3876=0,AND(J3876=1,K3876=1),AND(J3876=1,I3876="SBJ"),AND(J3876=1,I3876=0)),"?IN_FOCUS",IF(J3876&lt;=2,"?ACTIVATED",IF(J3876&lt;&gt;"","?FAMILIAR",IF(F3876="NEW",IF(ISNA(VLOOKUP(E3876,#REF!,1,FALSE())),"?TYPE_IDENTIFIABLE","?REFERENTIAL"),"_")))))</f>
        <v> </v>
      </c>
      <c r="H3876" s="24" t="str">
        <f>IF(J3876&lt;&gt;1,"",IF(I3876="SBJ","CB","?"))</f>
        <v> </v>
      </c>
      <c r="I3876" s="25" t="str">
        <f>IF(OR(E3876="",E3876="!!!",F3876="NEW"),"",INDEX(B3875:B$2,-1+SUMPRODUCT(MAX(ROW(E3875:E$2)*(E3876=E3875:E$2)))))</f>
        <v> </v>
      </c>
      <c r="J3876" s="25" t="str">
        <f>IF(OR(E3876="",E3876="!!!",F3876="NEW"),"",COUNTBLANK(OFFSET(A$1,,,SUMPRODUCT(MAX(ROW(E$2:E3876)*(E3876=E$2:E3876)))))-COUNTBLANK(OFFSET(A$1,,,SUMPRODUCT(MAX(ROW(E$1:E3875)*(E2=E$1:E3875))))))</f>
        <v> </v>
      </c>
      <c r="K3876" s="25" t="str">
        <f>IF(OR(E3876="",E3876="!!!",F3876="NEW"),"",INDEX(J$1:J3875,SUMPRODUCT(MAX(ROW(E$1:E3875)*(E3876=E$1:E3875)))))</f>
        <v> </v>
      </c>
      <c r="L3876" s="26"/>
    </row>
    <row r="3877" spans="1:12">
      <c r="A3877" s="20" t="s">
        <v>1074</v>
      </c>
      <c r="E3877" s="21">
        <f>IF(D3877="?OLD","!!!","")</f>
        <v/>
      </c>
      <c r="F3877" s="22" t="str">
        <f>IF(OR(E3877="",E3877="!!!"),"",IF(NOT(ISNA(VLOOKUP(E3877,E$1:E3876,1,FALSE()))),"OLD",IF(AND(E3877&lt;&gt;"",E3877&lt;&gt;"!!!"),"NEW","")))</f>
        <v> </v>
      </c>
      <c r="G3877" s="23" t="str">
        <f>IF(OR(E3877="",E3877="!!!"),"",IF(OR(J3877=0,AND(J3877=1,K3877=1),AND(J3877=1,I3877="SBJ"),AND(J3877=1,I3877=0)),"?IN_FOCUS",IF(J3877&lt;=2,"?ACTIVATED",IF(J3877&lt;&gt;"","?FAMILIAR",IF(F3877="NEW",IF(ISNA(VLOOKUP(E3877,#REF!,1,FALSE())),"?TYPE_IDENTIFIABLE","?REFERENTIAL"),"_")))))</f>
        <v> </v>
      </c>
      <c r="H3877" s="24" t="str">
        <f>IF(J3877&lt;&gt;1,"",IF(I3877="SBJ","CB","?"))</f>
        <v> </v>
      </c>
      <c r="I3877" s="25" t="str">
        <f>IF(OR(E3877="",E3877="!!!",F3877="NEW"),"",INDEX(B3876:B$2,-1+SUMPRODUCT(MAX(ROW(E3876:E$2)*(E3877=E3876:E$2)))))</f>
        <v> </v>
      </c>
      <c r="J3877" s="25" t="str">
        <f>IF(OR(E3877="",E3877="!!!",F3877="NEW"),"",COUNTBLANK(OFFSET(A$1,,,SUMPRODUCT(MAX(ROW(E$2:E3877)*(E3877=E$2:E3877)))))-COUNTBLANK(OFFSET(A$1,,,SUMPRODUCT(MAX(ROW(E$1:E3876)*(E2=E$1:E3876))))))</f>
        <v> </v>
      </c>
      <c r="K3877" s="25" t="str">
        <f>IF(OR(E3877="",E3877="!!!",F3877="NEW"),"",INDEX(J$1:J3876,SUMPRODUCT(MAX(ROW(E$1:E3876)*(E3877=E$1:E3876)))))</f>
        <v> </v>
      </c>
      <c r="L3877" s="26"/>
    </row>
    <row r="3878" spans="1:12">
      <c r="A3878" s="20" t="s">
        <v>1186</v>
      </c>
      <c r="B3878" s="27" t="s">
        <v>1079</v>
      </c>
      <c r="C3878" s="27" t="s">
        <v>1050</v>
      </c>
      <c r="D3878" s="27" t="s">
        <v>1030</v>
      </c>
      <c r="E3878" s="21">
        <f>IF(D3878="?OLD","!!!","")</f>
        <v/>
      </c>
      <c r="F3878" s="22" t="str">
        <f>IF(OR(E3878="",E3878="!!!"),"",IF(NOT(ISNA(VLOOKUP(E3878,E$1:E3877,1,FALSE()))),"OLD",IF(AND(E3878&lt;&gt;"",E3878&lt;&gt;"!!!"),"NEW","")))</f>
        <v> </v>
      </c>
      <c r="G3878" s="23" t="str">
        <f>IF(OR(E3878="",E3878="!!!"),"",IF(OR(J3878=0,AND(J3878=1,K3878=1),AND(J3878=1,I3878="SBJ"),AND(J3878=1,I3878=0)),"?IN_FOCUS",IF(J3878&lt;=2,"?ACTIVATED",IF(J3878&lt;&gt;"","?FAMILIAR",IF(F3878="NEW",IF(ISNA(VLOOKUP(E3878,#REF!,1,FALSE())),"?TYPE_IDENTIFIABLE","?REFERENTIAL"),"_")))))</f>
        <v> </v>
      </c>
      <c r="H3878" s="24" t="str">
        <f>IF(J3878&lt;&gt;1,"",IF(I3878="SBJ","CB","?"))</f>
        <v> </v>
      </c>
      <c r="I3878" s="25" t="str">
        <f>IF(OR(E3878="",E3878="!!!",F3878="NEW"),"",INDEX(B3877:B$2,-1+SUMPRODUCT(MAX(ROW(E3877:E$2)*(E3878=E3877:E$2)))))</f>
        <v> </v>
      </c>
      <c r="J3878" s="25" t="str">
        <f>IF(OR(E3878="",E3878="!!!",F3878="NEW"),"",COUNTBLANK(OFFSET(A$1,,,SUMPRODUCT(MAX(ROW(E$2:E3878)*(E3878=E$2:E3878)))))-COUNTBLANK(OFFSET(A$1,,,SUMPRODUCT(MAX(ROW(E$1:E3877)*(E2=E$1:E3877))))))</f>
        <v> </v>
      </c>
      <c r="K3878" s="25" t="str">
        <f>IF(OR(E3878="",E3878="!!!",F3878="NEW"),"",INDEX(J$1:J3877,SUMPRODUCT(MAX(ROW(E$1:E3877)*(E3878=E$1:E3877)))))</f>
        <v> </v>
      </c>
      <c r="L3878" s="26"/>
    </row>
    <row r="3879" spans="1:12">
      <c r="A3879" s="20" t="s">
        <v>1022</v>
      </c>
      <c r="E3879" s="21">
        <f>IF(D3879="?OLD","!!!","")</f>
        <v/>
      </c>
      <c r="F3879" s="22" t="str">
        <f>IF(OR(E3879="",E3879="!!!"),"",IF(NOT(ISNA(VLOOKUP(E3879,E$1:E3878,1,FALSE()))),"OLD",IF(AND(E3879&lt;&gt;"",E3879&lt;&gt;"!!!"),"NEW","")))</f>
        <v> </v>
      </c>
      <c r="G3879" s="23" t="str">
        <f>IF(OR(E3879="",E3879="!!!"),"",IF(OR(J3879=0,AND(J3879=1,K3879=1),AND(J3879=1,I3879="SBJ"),AND(J3879=1,I3879=0)),"?IN_FOCUS",IF(J3879&lt;=2,"?ACTIVATED",IF(J3879&lt;&gt;"","?FAMILIAR",IF(F3879="NEW",IF(ISNA(VLOOKUP(E3879,#REF!,1,FALSE())),"?TYPE_IDENTIFIABLE","?REFERENTIAL"),"_")))))</f>
        <v> </v>
      </c>
      <c r="H3879" s="24" t="str">
        <f>IF(J3879&lt;&gt;1,"",IF(I3879="SBJ","CB","?"))</f>
        <v> </v>
      </c>
      <c r="I3879" s="25" t="str">
        <f>IF(OR(E3879="",E3879="!!!",F3879="NEW"),"",INDEX(B3878:B$2,-1+SUMPRODUCT(MAX(ROW(E3878:E$2)*(E3879=E3878:E$2)))))</f>
        <v> </v>
      </c>
      <c r="J3879" s="25" t="str">
        <f>IF(OR(E3879="",E3879="!!!",F3879="NEW"),"",COUNTBLANK(OFFSET(A$1,,,SUMPRODUCT(MAX(ROW(E$2:E3879)*(E3879=E$2:E3879)))))-COUNTBLANK(OFFSET(A$1,,,SUMPRODUCT(MAX(ROW(E$1:E3878)*(E2=E$1:E3878))))))</f>
        <v> </v>
      </c>
      <c r="K3879" s="25" t="str">
        <f>IF(OR(E3879="",E3879="!!!",F3879="NEW"),"",INDEX(J$1:J3878,SUMPRODUCT(MAX(ROW(E$1:E3878)*(E3879=E$1:E3878)))))</f>
        <v> </v>
      </c>
      <c r="L3879" s="26"/>
    </row>
    <row r="3880" spans="1:12">
      <c r="A3880" s="20" t="s">
        <v>1083</v>
      </c>
      <c r="E3880" s="21">
        <f>IF(D3880="?OLD","!!!","")</f>
        <v/>
      </c>
      <c r="F3880" s="22" t="str">
        <f>IF(OR(E3880="",E3880="!!!"),"",IF(NOT(ISNA(VLOOKUP(E3880,E$1:E3879,1,FALSE()))),"OLD",IF(AND(E3880&lt;&gt;"",E3880&lt;&gt;"!!!"),"NEW","")))</f>
        <v> </v>
      </c>
      <c r="G3880" s="23" t="str">
        <f>IF(OR(E3880="",E3880="!!!"),"",IF(OR(J3880=0,AND(J3880=1,K3880=1),AND(J3880=1,I3880="SBJ"),AND(J3880=1,I3880=0)),"?IN_FOCUS",IF(J3880&lt;=2,"?ACTIVATED",IF(J3880&lt;&gt;"","?FAMILIAR",IF(F3880="NEW",IF(ISNA(VLOOKUP(E3880,#REF!,1,FALSE())),"?TYPE_IDENTIFIABLE","?REFERENTIAL"),"_")))))</f>
        <v> </v>
      </c>
      <c r="H3880" s="24" t="str">
        <f>IF(J3880&lt;&gt;1,"",IF(I3880="SBJ","CB","?"))</f>
        <v> </v>
      </c>
      <c r="I3880" s="25" t="str">
        <f>IF(OR(E3880="",E3880="!!!",F3880="NEW"),"",INDEX(B3879:B$2,-1+SUMPRODUCT(MAX(ROW(E3879:E$2)*(E3880=E3879:E$2)))))</f>
        <v> </v>
      </c>
      <c r="J3880" s="25" t="str">
        <f>IF(OR(E3880="",E3880="!!!",F3880="NEW"),"",COUNTBLANK(OFFSET(A$1,,,SUMPRODUCT(MAX(ROW(E$2:E3880)*(E3880=E$2:E3880)))))-COUNTBLANK(OFFSET(A$1,,,SUMPRODUCT(MAX(ROW(E$1:E3879)*(E2=E$1:E3879))))))</f>
        <v> </v>
      </c>
      <c r="K3880" s="25" t="str">
        <f>IF(OR(E3880="",E3880="!!!",F3880="NEW"),"",INDEX(J$1:J3879,SUMPRODUCT(MAX(ROW(E$1:E3879)*(E3880=E$1:E3879)))))</f>
        <v> </v>
      </c>
      <c r="L3880" s="26"/>
    </row>
    <row r="3881" spans="1:12">
      <c r="A3881" s="20" t="s">
        <v>1545</v>
      </c>
      <c r="E3881" s="21">
        <f>IF(D3881="?OLD","!!!","")</f>
        <v/>
      </c>
      <c r="F3881" s="22" t="str">
        <f>IF(OR(E3881="",E3881="!!!"),"",IF(NOT(ISNA(VLOOKUP(E3881,E$1:E3880,1,FALSE()))),"OLD",IF(AND(E3881&lt;&gt;"",E3881&lt;&gt;"!!!"),"NEW","")))</f>
        <v> </v>
      </c>
      <c r="G3881" s="23" t="str">
        <f>IF(OR(E3881="",E3881="!!!"),"",IF(OR(J3881=0,AND(J3881=1,K3881=1),AND(J3881=1,I3881="SBJ"),AND(J3881=1,I3881=0)),"?IN_FOCUS",IF(J3881&lt;=2,"?ACTIVATED",IF(J3881&lt;&gt;"","?FAMILIAR",IF(F3881="NEW",IF(ISNA(VLOOKUP(E3881,#REF!,1,FALSE())),"?TYPE_IDENTIFIABLE","?REFERENTIAL"),"_")))))</f>
        <v> </v>
      </c>
      <c r="H3881" s="24" t="str">
        <f>IF(J3881&lt;&gt;1,"",IF(I3881="SBJ","CB","?"))</f>
        <v> </v>
      </c>
      <c r="I3881" s="25" t="str">
        <f>IF(OR(E3881="",E3881="!!!",F3881="NEW"),"",INDEX(B3880:B$2,-1+SUMPRODUCT(MAX(ROW(E3880:E$2)*(E3881=E3880:E$2)))))</f>
        <v> </v>
      </c>
      <c r="J3881" s="25" t="str">
        <f>IF(OR(E3881="",E3881="!!!",F3881="NEW"),"",COUNTBLANK(OFFSET(A$1,,,SUMPRODUCT(MAX(ROW(E$2:E3881)*(E3881=E$2:E3881)))))-COUNTBLANK(OFFSET(A$1,,,SUMPRODUCT(MAX(ROW(E$1:E3880)*(E2=E$1:E3880))))))</f>
        <v> </v>
      </c>
      <c r="K3881" s="25" t="str">
        <f>IF(OR(E3881="",E3881="!!!",F3881="NEW"),"",INDEX(J$1:J3880,SUMPRODUCT(MAX(ROW(E$1:E3880)*(E3881=E$1:E3880)))))</f>
        <v> </v>
      </c>
      <c r="L3881" s="26"/>
    </row>
    <row r="3882" spans="1:12">
      <c r="A3882" s="20" t="s">
        <v>2311</v>
      </c>
      <c r="B3882" s="27" t="s">
        <v>1079</v>
      </c>
      <c r="C3882" s="27" t="s">
        <v>1015</v>
      </c>
      <c r="E3882" s="21">
        <f>IF(D3882="?OLD","!!!","")</f>
        <v/>
      </c>
      <c r="F3882" s="22" t="str">
        <f>IF(OR(E3882="",E3882="!!!"),"",IF(NOT(ISNA(VLOOKUP(E3882,E$1:E3881,1,FALSE()))),"OLD",IF(AND(E3882&lt;&gt;"",E3882&lt;&gt;"!!!"),"NEW","")))</f>
        <v> </v>
      </c>
      <c r="G3882" s="23" t="str">
        <f>IF(OR(E3882="",E3882="!!!"),"",IF(OR(J3882=0,AND(J3882=1,K3882=1),AND(J3882=1,I3882="SBJ"),AND(J3882=1,I3882=0)),"?IN_FOCUS",IF(J3882&lt;=2,"?ACTIVATED",IF(J3882&lt;&gt;"","?FAMILIAR",IF(F3882="NEW",IF(ISNA(VLOOKUP(E3882,#REF!,1,FALSE())),"?TYPE_IDENTIFIABLE","?REFERENTIAL"),"_")))))</f>
        <v> </v>
      </c>
      <c r="H3882" s="24" t="str">
        <f>IF(J3882&lt;&gt;1,"",IF(I3882="SBJ","CB","?"))</f>
        <v> </v>
      </c>
      <c r="I3882" s="25" t="str">
        <f>IF(OR(E3882="",E3882="!!!",F3882="NEW"),"",INDEX(B3881:B$2,-1+SUMPRODUCT(MAX(ROW(E3881:E$2)*(E3882=E3881:E$2)))))</f>
        <v> </v>
      </c>
      <c r="J3882" s="25" t="str">
        <f>IF(OR(E3882="",E3882="!!!",F3882="NEW"),"",COUNTBLANK(OFFSET(A$1,,,SUMPRODUCT(MAX(ROW(E$2:E3882)*(E3882=E$2:E3882)))))-COUNTBLANK(OFFSET(A$1,,,SUMPRODUCT(MAX(ROW(E$1:E3881)*(E2=E$1:E3881))))))</f>
        <v> </v>
      </c>
      <c r="K3882" s="25" t="str">
        <f>IF(OR(E3882="",E3882="!!!",F3882="NEW"),"",INDEX(J$1:J3881,SUMPRODUCT(MAX(ROW(E$1:E3881)*(E3882=E$1:E3881)))))</f>
        <v> </v>
      </c>
      <c r="L3882" s="26"/>
    </row>
    <row r="3883" spans="1:12">
      <c r="A3883" s="20" t="s">
        <v>135</v>
      </c>
      <c r="E3883" s="21">
        <f>IF(D3883="?OLD","!!!","")</f>
        <v/>
      </c>
      <c r="F3883" s="22" t="str">
        <f>IF(OR(E3883="",E3883="!!!"),"",IF(NOT(ISNA(VLOOKUP(E3883,E$1:E3882,1,FALSE()))),"OLD",IF(AND(E3883&lt;&gt;"",E3883&lt;&gt;"!!!"),"NEW","")))</f>
        <v> </v>
      </c>
      <c r="G3883" s="23" t="str">
        <f>IF(OR(E3883="",E3883="!!!"),"",IF(OR(J3883=0,AND(J3883=1,K3883=1),AND(J3883=1,I3883="SBJ"),AND(J3883=1,I3883=0)),"?IN_FOCUS",IF(J3883&lt;=2,"?ACTIVATED",IF(J3883&lt;&gt;"","?FAMILIAR",IF(F3883="NEW",IF(ISNA(VLOOKUP(E3883,#REF!,1,FALSE())),"?TYPE_IDENTIFIABLE","?REFERENTIAL"),"_")))))</f>
        <v> </v>
      </c>
      <c r="H3883" s="24" t="str">
        <f>IF(J3883&lt;&gt;1,"",IF(I3883="SBJ","CB","?"))</f>
        <v> </v>
      </c>
      <c r="I3883" s="25" t="str">
        <f>IF(OR(E3883="",E3883="!!!",F3883="NEW"),"",INDEX(B3882:B$2,-1+SUMPRODUCT(MAX(ROW(E3882:E$2)*(E3883=E3882:E$2)))))</f>
        <v> </v>
      </c>
      <c r="J3883" s="25" t="str">
        <f>IF(OR(E3883="",E3883="!!!",F3883="NEW"),"",COUNTBLANK(OFFSET(A$1,,,SUMPRODUCT(MAX(ROW(E$2:E3883)*(E3883=E$2:E3883)))))-COUNTBLANK(OFFSET(A$1,,,SUMPRODUCT(MAX(ROW(E$1:E3882)*(E2=E$1:E3882))))))</f>
        <v> </v>
      </c>
      <c r="K3883" s="25" t="str">
        <f>IF(OR(E3883="",E3883="!!!",F3883="NEW"),"",INDEX(J$1:J3882,SUMPRODUCT(MAX(ROW(E$1:E3882)*(E3883=E$1:E3882)))))</f>
        <v> </v>
      </c>
      <c r="L3883" s="26"/>
    </row>
    <row r="3884" spans="1:12">
      <c r="A3884" s="20"/>
    </row>
    <row r="3885" spans="1:12">
      <c r="A3885" s="20" t="s">
        <v>2312</v>
      </c>
    </row>
    <row r="3886" spans="1:12">
      <c r="A3886" s="20" t="s">
        <v>1137</v>
      </c>
      <c r="E3886" s="21">
        <f>IF(D3886="?OLD","!!!","")</f>
        <v/>
      </c>
      <c r="F3886" s="22" t="str">
        <f>IF(OR(E3886="",E3886="!!!"),"",IF(NOT(ISNA(VLOOKUP(E3886,E$1:E3885,1,FALSE()))),"OLD",IF(AND(E3886&lt;&gt;"",E3886&lt;&gt;"!!!"),"NEW","")))</f>
        <v> </v>
      </c>
      <c r="G3886" s="23" t="str">
        <f>IF(OR(E3886="",E3886="!!!"),"",IF(OR(J3886=0,AND(J3886=1,K3886=1),AND(J3886=1,I3886="SBJ"),AND(J3886=1,I3886=0)),"?IN_FOCUS",IF(J3886&lt;=2,"?ACTIVATED",IF(J3886&lt;&gt;"","?FAMILIAR",IF(F3886="NEW",IF(ISNA(VLOOKUP(E3886,#REF!,1,FALSE())),"?TYPE_IDENTIFIABLE","?REFERENTIAL"),"_")))))</f>
        <v> </v>
      </c>
      <c r="H3886" s="24" t="str">
        <f>IF(J3886&lt;&gt;1,"",IF(I3886="SBJ","CB","?"))</f>
        <v> </v>
      </c>
      <c r="I3886" s="25" t="str">
        <f>IF(OR(E3886="",E3886="!!!",F3886="NEW"),"",INDEX(B3885:B$2,-1+SUMPRODUCT(MAX(ROW(E3885:E$2)*(E3886=E3885:E$2)))))</f>
        <v> </v>
      </c>
      <c r="J3886" s="25" t="str">
        <f>IF(OR(E3886="",E3886="!!!",F3886="NEW"),"",COUNTBLANK(OFFSET(A$1,,,SUMPRODUCT(MAX(ROW(E$2:E3886)*(E3886=E$2:E3886)))))-COUNTBLANK(OFFSET(A$1,,,SUMPRODUCT(MAX(ROW(E$1:E3885)*(E2=E$1:E3885))))))</f>
        <v> </v>
      </c>
      <c r="K3886" s="25" t="str">
        <f>IF(OR(E3886="",E3886="!!!",F3886="NEW"),"",INDEX(J$1:J3885,SUMPRODUCT(MAX(ROW(E$1:E3885)*(E3886=E$1:E3885)))))</f>
        <v> </v>
      </c>
      <c r="L3886" s="26"/>
    </row>
    <row r="3887" spans="1:12">
      <c r="A3887" s="20" t="s">
        <v>1022</v>
      </c>
      <c r="E3887" s="21">
        <f>IF(D3887="?OLD","!!!","")</f>
        <v/>
      </c>
      <c r="F3887" s="22" t="str">
        <f>IF(OR(E3887="",E3887="!!!"),"",IF(NOT(ISNA(VLOOKUP(E3887,E$1:E3886,1,FALSE()))),"OLD",IF(AND(E3887&lt;&gt;"",E3887&lt;&gt;"!!!"),"NEW","")))</f>
        <v> </v>
      </c>
      <c r="G3887" s="23" t="str">
        <f>IF(OR(E3887="",E3887="!!!"),"",IF(OR(J3887=0,AND(J3887=1,K3887=1),AND(J3887=1,I3887="SBJ"),AND(J3887=1,I3887=0)),"?IN_FOCUS",IF(J3887&lt;=2,"?ACTIVATED",IF(J3887&lt;&gt;"","?FAMILIAR",IF(F3887="NEW",IF(ISNA(VLOOKUP(E3887,#REF!,1,FALSE())),"?TYPE_IDENTIFIABLE","?REFERENTIAL"),"_")))))</f>
        <v> </v>
      </c>
      <c r="H3887" s="24" t="str">
        <f>IF(J3887&lt;&gt;1,"",IF(I3887="SBJ","CB","?"))</f>
        <v> </v>
      </c>
      <c r="I3887" s="25" t="str">
        <f>IF(OR(E3887="",E3887="!!!",F3887="NEW"),"",INDEX(B3886:B$2,-1+SUMPRODUCT(MAX(ROW(E3886:E$2)*(E3887=E3886:E$2)))))</f>
        <v> </v>
      </c>
      <c r="J3887" s="25" t="str">
        <f>IF(OR(E3887="",E3887="!!!",F3887="NEW"),"",COUNTBLANK(OFFSET(A$1,,,SUMPRODUCT(MAX(ROW(E$2:E3887)*(E3887=E$2:E3887)))))-COUNTBLANK(OFFSET(A$1,,,SUMPRODUCT(MAX(ROW(E$1:E3886)*(E2=E$1:E3886))))))</f>
        <v> </v>
      </c>
      <c r="K3887" s="25" t="str">
        <f>IF(OR(E3887="",E3887="!!!",F3887="NEW"),"",INDEX(J$1:J3886,SUMPRODUCT(MAX(ROW(E$1:E3886)*(E3887=E$1:E3886)))))</f>
        <v> </v>
      </c>
      <c r="L3887" s="26"/>
    </row>
    <row r="3888" spans="1:12">
      <c r="A3888" s="20" t="s">
        <v>1461</v>
      </c>
      <c r="E3888" s="21">
        <f>IF(D3888="?OLD","!!!","")</f>
        <v/>
      </c>
      <c r="F3888" s="22" t="str">
        <f>IF(OR(E3888="",E3888="!!!"),"",IF(NOT(ISNA(VLOOKUP(E3888,E$1:E3887,1,FALSE()))),"OLD",IF(AND(E3888&lt;&gt;"",E3888&lt;&gt;"!!!"),"NEW","")))</f>
        <v> </v>
      </c>
      <c r="G3888" s="23" t="str">
        <f>IF(OR(E3888="",E3888="!!!"),"",IF(OR(J3888=0,AND(J3888=1,K3888=1),AND(J3888=1,I3888="SBJ"),AND(J3888=1,I3888=0)),"?IN_FOCUS",IF(J3888&lt;=2,"?ACTIVATED",IF(J3888&lt;&gt;"","?FAMILIAR",IF(F3888="NEW",IF(ISNA(VLOOKUP(E3888,#REF!,1,FALSE())),"?TYPE_IDENTIFIABLE","?REFERENTIAL"),"_")))))</f>
        <v> </v>
      </c>
      <c r="H3888" s="24" t="str">
        <f>IF(J3888&lt;&gt;1,"",IF(I3888="SBJ","CB","?"))</f>
        <v> </v>
      </c>
      <c r="I3888" s="25" t="str">
        <f>IF(OR(E3888="",E3888="!!!",F3888="NEW"),"",INDEX(B3887:B$2,-1+SUMPRODUCT(MAX(ROW(E3887:E$2)*(E3888=E3887:E$2)))))</f>
        <v> </v>
      </c>
      <c r="J3888" s="25" t="str">
        <f>IF(OR(E3888="",E3888="!!!",F3888="NEW"),"",COUNTBLANK(OFFSET(A$1,,,SUMPRODUCT(MAX(ROW(E$2:E3888)*(E3888=E$2:E3888)))))-COUNTBLANK(OFFSET(A$1,,,SUMPRODUCT(MAX(ROW(E$1:E3887)*(E2=E$1:E3887))))))</f>
        <v> </v>
      </c>
      <c r="K3888" s="25" t="str">
        <f>IF(OR(E3888="",E3888="!!!",F3888="NEW"),"",INDEX(J$1:J3887,SUMPRODUCT(MAX(ROW(E$1:E3887)*(E3888=E$1:E3887)))))</f>
        <v> </v>
      </c>
      <c r="L3888" s="26"/>
    </row>
    <row r="3889" spans="1:12">
      <c r="A3889" s="20" t="s">
        <v>1043</v>
      </c>
      <c r="E3889" s="21">
        <f>IF(D3889="?OLD","!!!","")</f>
        <v/>
      </c>
      <c r="F3889" s="22" t="str">
        <f>IF(OR(E3889="",E3889="!!!"),"",IF(NOT(ISNA(VLOOKUP(E3889,E$1:E3888,1,FALSE()))),"OLD",IF(AND(E3889&lt;&gt;"",E3889&lt;&gt;"!!!"),"NEW","")))</f>
        <v> </v>
      </c>
      <c r="G3889" s="23" t="str">
        <f>IF(OR(E3889="",E3889="!!!"),"",IF(OR(J3889=0,AND(J3889=1,K3889=1),AND(J3889=1,I3889="SBJ"),AND(J3889=1,I3889=0)),"?IN_FOCUS",IF(J3889&lt;=2,"?ACTIVATED",IF(J3889&lt;&gt;"","?FAMILIAR",IF(F3889="NEW",IF(ISNA(VLOOKUP(E3889,#REF!,1,FALSE())),"?TYPE_IDENTIFIABLE","?REFERENTIAL"),"_")))))</f>
        <v> </v>
      </c>
      <c r="H3889" s="24" t="str">
        <f>IF(J3889&lt;&gt;1,"",IF(I3889="SBJ","CB","?"))</f>
        <v> </v>
      </c>
      <c r="I3889" s="25" t="str">
        <f>IF(OR(E3889="",E3889="!!!",F3889="NEW"),"",INDEX(B3888:B$2,-1+SUMPRODUCT(MAX(ROW(E3888:E$2)*(E3889=E3888:E$2)))))</f>
        <v> </v>
      </c>
      <c r="J3889" s="25" t="str">
        <f>IF(OR(E3889="",E3889="!!!",F3889="NEW"),"",COUNTBLANK(OFFSET(A$1,,,SUMPRODUCT(MAX(ROW(E$2:E3889)*(E3889=E$2:E3889)))))-COUNTBLANK(OFFSET(A$1,,,SUMPRODUCT(MAX(ROW(E$1:E3888)*(E2=E$1:E3888))))))</f>
        <v> </v>
      </c>
      <c r="K3889" s="25" t="str">
        <f>IF(OR(E3889="",E3889="!!!",F3889="NEW"),"",INDEX(J$1:J3888,SUMPRODUCT(MAX(ROW(E$1:E3888)*(E3889=E$1:E3888)))))</f>
        <v> </v>
      </c>
      <c r="L3889" s="26"/>
    </row>
    <row r="3890" spans="1:12">
      <c r="A3890" s="20" t="s">
        <v>2313</v>
      </c>
      <c r="B3890" s="27" t="s">
        <v>1045</v>
      </c>
      <c r="C3890" s="27" t="s">
        <v>1046</v>
      </c>
      <c r="D3890" s="27" t="s">
        <v>1030</v>
      </c>
      <c r="E3890" s="21">
        <f>IF(D3890="?OLD","!!!","")</f>
        <v/>
      </c>
      <c r="F3890" s="22" t="str">
        <f>IF(OR(E3890="",E3890="!!!"),"",IF(NOT(ISNA(VLOOKUP(E3890,E$1:E3889,1,FALSE()))),"OLD",IF(AND(E3890&lt;&gt;"",E3890&lt;&gt;"!!!"),"NEW","")))</f>
        <v> </v>
      </c>
      <c r="G3890" s="23" t="str">
        <f>IF(OR(E3890="",E3890="!!!"),"",IF(OR(J3890=0,AND(J3890=1,K3890=1),AND(J3890=1,I3890="SBJ"),AND(J3890=1,I3890=0)),"?IN_FOCUS",IF(J3890&lt;=2,"?ACTIVATED",IF(J3890&lt;&gt;"","?FAMILIAR",IF(F3890="NEW",IF(ISNA(VLOOKUP(E3890,#REF!,1,FALSE())),"?TYPE_IDENTIFIABLE","?REFERENTIAL"),"_")))))</f>
        <v> </v>
      </c>
      <c r="H3890" s="24" t="str">
        <f>IF(J3890&lt;&gt;1,"",IF(I3890="SBJ","CB","?"))</f>
        <v> </v>
      </c>
      <c r="I3890" s="25" t="str">
        <f>IF(OR(E3890="",E3890="!!!",F3890="NEW"),"",INDEX(B3889:B$2,-1+SUMPRODUCT(MAX(ROW(E3889:E$2)*(E3890=E3889:E$2)))))</f>
        <v> </v>
      </c>
      <c r="J3890" s="25" t="str">
        <f>IF(OR(E3890="",E3890="!!!",F3890="NEW"),"",COUNTBLANK(OFFSET(A$1,,,SUMPRODUCT(MAX(ROW(E$2:E3890)*(E3890=E$2:E3890)))))-COUNTBLANK(OFFSET(A$1,,,SUMPRODUCT(MAX(ROW(E$1:E3889)*(E2=E$1:E3889))))))</f>
        <v> </v>
      </c>
      <c r="K3890" s="25" t="str">
        <f>IF(OR(E3890="",E3890="!!!",F3890="NEW"),"",INDEX(J$1:J3889,SUMPRODUCT(MAX(ROW(E$1:E3889)*(E3890=E$1:E3889)))))</f>
        <v> </v>
      </c>
      <c r="L3890" s="26"/>
    </row>
    <row r="3891" spans="1:12">
      <c r="A3891" s="20" t="s">
        <v>2314</v>
      </c>
      <c r="E3891" s="21">
        <f>IF(D3891="?OLD","!!!","")</f>
        <v/>
      </c>
      <c r="F3891" s="22" t="str">
        <f>IF(OR(E3891="",E3891="!!!"),"",IF(NOT(ISNA(VLOOKUP(E3891,E$1:E3890,1,FALSE()))),"OLD",IF(AND(E3891&lt;&gt;"",E3891&lt;&gt;"!!!"),"NEW","")))</f>
        <v> </v>
      </c>
      <c r="G3891" s="23" t="str">
        <f>IF(OR(E3891="",E3891="!!!"),"",IF(OR(J3891=0,AND(J3891=1,K3891=1),AND(J3891=1,I3891="SBJ"),AND(J3891=1,I3891=0)),"?IN_FOCUS",IF(J3891&lt;=2,"?ACTIVATED",IF(J3891&lt;&gt;"","?FAMILIAR",IF(F3891="NEW",IF(ISNA(VLOOKUP(E3891,#REF!,1,FALSE())),"?TYPE_IDENTIFIABLE","?REFERENTIAL"),"_")))))</f>
        <v> </v>
      </c>
      <c r="H3891" s="24" t="str">
        <f>IF(J3891&lt;&gt;1,"",IF(I3891="SBJ","CB","?"))</f>
        <v> </v>
      </c>
      <c r="I3891" s="25" t="str">
        <f>IF(OR(E3891="",E3891="!!!",F3891="NEW"),"",INDEX(B3890:B$2,-1+SUMPRODUCT(MAX(ROW(E3890:E$2)*(E3891=E3890:E$2)))))</f>
        <v> </v>
      </c>
      <c r="J3891" s="25" t="str">
        <f>IF(OR(E3891="",E3891="!!!",F3891="NEW"),"",COUNTBLANK(OFFSET(A$1,,,SUMPRODUCT(MAX(ROW(E$2:E3891)*(E3891=E$2:E3891)))))-COUNTBLANK(OFFSET(A$1,,,SUMPRODUCT(MAX(ROW(E$1:E3890)*(E2=E$1:E3890))))))</f>
        <v> </v>
      </c>
      <c r="K3891" s="25" t="str">
        <f>IF(OR(E3891="",E3891="!!!",F3891="NEW"),"",INDEX(J$1:J3890,SUMPRODUCT(MAX(ROW(E$1:E3890)*(E3891=E$1:E3890)))))</f>
        <v> </v>
      </c>
      <c r="L3891" s="26"/>
    </row>
    <row r="3892" spans="1:12">
      <c r="A3892" s="20" t="s">
        <v>1022</v>
      </c>
      <c r="E3892" s="21">
        <f>IF(D3892="?OLD","!!!","")</f>
        <v/>
      </c>
      <c r="F3892" s="22" t="str">
        <f>IF(OR(E3892="",E3892="!!!"),"",IF(NOT(ISNA(VLOOKUP(E3892,E$1:E3891,1,FALSE()))),"OLD",IF(AND(E3892&lt;&gt;"",E3892&lt;&gt;"!!!"),"NEW","")))</f>
        <v> </v>
      </c>
      <c r="G3892" s="23" t="str">
        <f>IF(OR(E3892="",E3892="!!!"),"",IF(OR(J3892=0,AND(J3892=1,K3892=1),AND(J3892=1,I3892="SBJ"),AND(J3892=1,I3892=0)),"?IN_FOCUS",IF(J3892&lt;=2,"?ACTIVATED",IF(J3892&lt;&gt;"","?FAMILIAR",IF(F3892="NEW",IF(ISNA(VLOOKUP(E3892,#REF!,1,FALSE())),"?TYPE_IDENTIFIABLE","?REFERENTIAL"),"_")))))</f>
        <v> </v>
      </c>
      <c r="H3892" s="24" t="str">
        <f>IF(J3892&lt;&gt;1,"",IF(I3892="SBJ","CB","?"))</f>
        <v> </v>
      </c>
      <c r="I3892" s="25" t="str">
        <f>IF(OR(E3892="",E3892="!!!",F3892="NEW"),"",INDEX(B3891:B$2,-1+SUMPRODUCT(MAX(ROW(E3891:E$2)*(E3892=E3891:E$2)))))</f>
        <v> </v>
      </c>
      <c r="J3892" s="25" t="str">
        <f>IF(OR(E3892="",E3892="!!!",F3892="NEW"),"",COUNTBLANK(OFFSET(A$1,,,SUMPRODUCT(MAX(ROW(E$2:E3892)*(E3892=E$2:E3892)))))-COUNTBLANK(OFFSET(A$1,,,SUMPRODUCT(MAX(ROW(E$1:E3891)*(E2=E$1:E3891))))))</f>
        <v> </v>
      </c>
      <c r="K3892" s="25" t="str">
        <f>IF(OR(E3892="",E3892="!!!",F3892="NEW"),"",INDEX(J$1:J3891,SUMPRODUCT(MAX(ROW(E$1:E3891)*(E3892=E$1:E3891)))))</f>
        <v> </v>
      </c>
      <c r="L3892" s="26"/>
    </row>
    <row r="3893" spans="1:12">
      <c r="A3893" s="20" t="s">
        <v>2315</v>
      </c>
      <c r="B3893" s="27" t="s">
        <v>1041</v>
      </c>
      <c r="C3893" s="27" t="s">
        <v>1140</v>
      </c>
      <c r="D3893" s="27" t="s">
        <v>1030</v>
      </c>
      <c r="E3893" s="21">
        <f>IF(D3893="?OLD","!!!","")</f>
        <v/>
      </c>
      <c r="F3893" s="22" t="str">
        <f>IF(OR(E3893="",E3893="!!!"),"",IF(NOT(ISNA(VLOOKUP(E3893,E$1:E3892,1,FALSE()))),"OLD",IF(AND(E3893&lt;&gt;"",E3893&lt;&gt;"!!!"),"NEW","")))</f>
        <v> </v>
      </c>
      <c r="G3893" s="23" t="str">
        <f>IF(OR(E3893="",E3893="!!!"),"",IF(OR(J3893=0,AND(J3893=1,K3893=1),AND(J3893=1,I3893="SBJ"),AND(J3893=1,I3893=0)),"?IN_FOCUS",IF(J3893&lt;=2,"?ACTIVATED",IF(J3893&lt;&gt;"","?FAMILIAR",IF(F3893="NEW",IF(ISNA(VLOOKUP(E3893,#REF!,1,FALSE())),"?TYPE_IDENTIFIABLE","?REFERENTIAL"),"_")))))</f>
        <v> </v>
      </c>
      <c r="H3893" s="24" t="str">
        <f>IF(J3893&lt;&gt;1,"",IF(I3893="SBJ","CB","?"))</f>
        <v> </v>
      </c>
      <c r="I3893" s="25" t="str">
        <f>IF(OR(E3893="",E3893="!!!",F3893="NEW"),"",INDEX(B3892:B$2,-1+SUMPRODUCT(MAX(ROW(E3892:E$2)*(E3893=E3892:E$2)))))</f>
        <v> </v>
      </c>
      <c r="J3893" s="25" t="str">
        <f>IF(OR(E3893="",E3893="!!!",F3893="NEW"),"",COUNTBLANK(OFFSET(A$1,,,SUMPRODUCT(MAX(ROW(E$2:E3893)*(E3893=E$2:E3893)))))-COUNTBLANK(OFFSET(A$1,,,SUMPRODUCT(MAX(ROW(E$1:E3892)*(E2=E$1:E3892))))))</f>
        <v> </v>
      </c>
      <c r="K3893" s="25" t="str">
        <f>IF(OR(E3893="",E3893="!!!",F3893="NEW"),"",INDEX(J$1:J3892,SUMPRODUCT(MAX(ROW(E$1:E3892)*(E3893=E$1:E3892)))))</f>
        <v> </v>
      </c>
      <c r="L3893" s="26"/>
    </row>
    <row r="3894" spans="1:12">
      <c r="A3894" s="20" t="s">
        <v>2267</v>
      </c>
      <c r="E3894" s="21">
        <f>IF(D3894="?OLD","!!!","")</f>
        <v/>
      </c>
      <c r="F3894" s="22" t="str">
        <f>IF(OR(E3894="",E3894="!!!"),"",IF(NOT(ISNA(VLOOKUP(E3894,E$1:E3893,1,FALSE()))),"OLD",IF(AND(E3894&lt;&gt;"",E3894&lt;&gt;"!!!"),"NEW","")))</f>
        <v> </v>
      </c>
      <c r="G3894" s="23" t="str">
        <f>IF(OR(E3894="",E3894="!!!"),"",IF(OR(J3894=0,AND(J3894=1,K3894=1),AND(J3894=1,I3894="SBJ"),AND(J3894=1,I3894=0)),"?IN_FOCUS",IF(J3894&lt;=2,"?ACTIVATED",IF(J3894&lt;&gt;"","?FAMILIAR",IF(F3894="NEW",IF(ISNA(VLOOKUP(E3894,#REF!,1,FALSE())),"?TYPE_IDENTIFIABLE","?REFERENTIAL"),"_")))))</f>
        <v> </v>
      </c>
      <c r="H3894" s="24" t="str">
        <f>IF(J3894&lt;&gt;1,"",IF(I3894="SBJ","CB","?"))</f>
        <v> </v>
      </c>
      <c r="I3894" s="25" t="str">
        <f>IF(OR(E3894="",E3894="!!!",F3894="NEW"),"",INDEX(B3893:B$2,-1+SUMPRODUCT(MAX(ROW(E3893:E$2)*(E3894=E3893:E$2)))))</f>
        <v> </v>
      </c>
      <c r="J3894" s="25" t="str">
        <f>IF(OR(E3894="",E3894="!!!",F3894="NEW"),"",COUNTBLANK(OFFSET(A$1,,,SUMPRODUCT(MAX(ROW(E$2:E3894)*(E3894=E$2:E3894)))))-COUNTBLANK(OFFSET(A$1,,,SUMPRODUCT(MAX(ROW(E$1:E3893)*(E2=E$1:E3893))))))</f>
        <v> </v>
      </c>
      <c r="K3894" s="25" t="str">
        <f>IF(OR(E3894="",E3894="!!!",F3894="NEW"),"",INDEX(J$1:J3893,SUMPRODUCT(MAX(ROW(E$1:E3893)*(E3894=E$1:E3893)))))</f>
        <v> </v>
      </c>
      <c r="L3894" s="26"/>
    </row>
    <row r="3895" spans="1:12">
      <c r="A3895" s="20" t="s">
        <v>1369</v>
      </c>
      <c r="B3895" s="27" t="s">
        <v>1014</v>
      </c>
      <c r="C3895" s="27" t="s">
        <v>1050</v>
      </c>
      <c r="D3895" s="27" t="s">
        <v>1030</v>
      </c>
      <c r="E3895" s="21">
        <f>IF(D3895="?OLD","!!!","")</f>
        <v/>
      </c>
      <c r="F3895" s="22" t="str">
        <f>IF(OR(E3895="",E3895="!!!"),"",IF(NOT(ISNA(VLOOKUP(E3895,E$1:E3894,1,FALSE()))),"OLD",IF(AND(E3895&lt;&gt;"",E3895&lt;&gt;"!!!"),"NEW","")))</f>
        <v> </v>
      </c>
      <c r="G3895" s="23" t="str">
        <f>IF(OR(E3895="",E3895="!!!"),"",IF(OR(J3895=0,AND(J3895=1,K3895=1),AND(J3895=1,I3895="SBJ"),AND(J3895=1,I3895=0)),"?IN_FOCUS",IF(J3895&lt;=2,"?ACTIVATED",IF(J3895&lt;&gt;"","?FAMILIAR",IF(F3895="NEW",IF(ISNA(VLOOKUP(E3895,#REF!,1,FALSE())),"?TYPE_IDENTIFIABLE","?REFERENTIAL"),"_")))))</f>
        <v> </v>
      </c>
      <c r="H3895" s="24" t="str">
        <f>IF(J3895&lt;&gt;1,"",IF(I3895="SBJ","CB","?"))</f>
        <v> </v>
      </c>
      <c r="I3895" s="25" t="str">
        <f>IF(OR(E3895="",E3895="!!!",F3895="NEW"),"",INDEX(B3894:B$2,-1+SUMPRODUCT(MAX(ROW(E3894:E$2)*(E3895=E3894:E$2)))))</f>
        <v> </v>
      </c>
      <c r="J3895" s="25" t="str">
        <f>IF(OR(E3895="",E3895="!!!",F3895="NEW"),"",COUNTBLANK(OFFSET(A$1,,,SUMPRODUCT(MAX(ROW(E$2:E3895)*(E3895=E$2:E3895)))))-COUNTBLANK(OFFSET(A$1,,,SUMPRODUCT(MAX(ROW(E$1:E3894)*(E2=E$1:E3894))))))</f>
        <v> </v>
      </c>
      <c r="K3895" s="25" t="str">
        <f>IF(OR(E3895="",E3895="!!!",F3895="NEW"),"",INDEX(J$1:J3894,SUMPRODUCT(MAX(ROW(E$1:E3894)*(E3895=E$1:E3894)))))</f>
        <v> </v>
      </c>
      <c r="L3895" s="26"/>
    </row>
    <row r="3896" spans="1:12">
      <c r="A3896" s="20" t="s">
        <v>1149</v>
      </c>
      <c r="E3896" s="21">
        <f>IF(D3896="?OLD","!!!","")</f>
        <v/>
      </c>
      <c r="F3896" s="22" t="str">
        <f>IF(OR(E3896="",E3896="!!!"),"",IF(NOT(ISNA(VLOOKUP(E3896,E$1:E3895,1,FALSE()))),"OLD",IF(AND(E3896&lt;&gt;"",E3896&lt;&gt;"!!!"),"NEW","")))</f>
        <v> </v>
      </c>
      <c r="G3896" s="23" t="str">
        <f>IF(OR(E3896="",E3896="!!!"),"",IF(OR(J3896=0,AND(J3896=1,K3896=1),AND(J3896=1,I3896="SBJ"),AND(J3896=1,I3896=0)),"?IN_FOCUS",IF(J3896&lt;=2,"?ACTIVATED",IF(J3896&lt;&gt;"","?FAMILIAR",IF(F3896="NEW",IF(ISNA(VLOOKUP(E3896,#REF!,1,FALSE())),"?TYPE_IDENTIFIABLE","?REFERENTIAL"),"_")))))</f>
        <v> </v>
      </c>
      <c r="H3896" s="24" t="str">
        <f>IF(J3896&lt;&gt;1,"",IF(I3896="SBJ","CB","?"))</f>
        <v> </v>
      </c>
      <c r="I3896" s="25" t="str">
        <f>IF(OR(E3896="",E3896="!!!",F3896="NEW"),"",INDEX(B3895:B$2,-1+SUMPRODUCT(MAX(ROW(E3895:E$2)*(E3896=E3895:E$2)))))</f>
        <v> </v>
      </c>
      <c r="J3896" s="25" t="str">
        <f>IF(OR(E3896="",E3896="!!!",F3896="NEW"),"",COUNTBLANK(OFFSET(A$1,,,SUMPRODUCT(MAX(ROW(E$2:E3896)*(E3896=E$2:E3896)))))-COUNTBLANK(OFFSET(A$1,,,SUMPRODUCT(MAX(ROW(E$1:E3895)*(E2=E$1:E3895))))))</f>
        <v> </v>
      </c>
      <c r="K3896" s="25" t="str">
        <f>IF(OR(E3896="",E3896="!!!",F3896="NEW"),"",INDEX(J$1:J3895,SUMPRODUCT(MAX(ROW(E$1:E3895)*(E3896=E$1:E3895)))))</f>
        <v> </v>
      </c>
      <c r="L3896" s="26"/>
    </row>
    <row r="3897" spans="1:12">
      <c r="A3897" s="20"/>
    </row>
    <row r="3898" spans="1:12">
      <c r="A3898" s="20" t="s">
        <v>1090</v>
      </c>
      <c r="E3898" s="21">
        <f>IF(D3898="?OLD","!!!","")</f>
        <v/>
      </c>
      <c r="F3898" s="22" t="str">
        <f>IF(OR(E3898="",E3898="!!!"),"",IF(NOT(ISNA(VLOOKUP(E3898,E$1:E3897,1,FALSE()))),"OLD",IF(AND(E3898&lt;&gt;"",E3898&lt;&gt;"!!!"),"NEW","")))</f>
        <v> </v>
      </c>
      <c r="G3898" s="23" t="str">
        <f>IF(OR(E3898="",E3898="!!!"),"",IF(OR(J3898=0,AND(J3898=1,K3898=1),AND(J3898=1,I3898="SBJ"),AND(J3898=1,I3898=0)),"?IN_FOCUS",IF(J3898&lt;=2,"?ACTIVATED",IF(J3898&lt;&gt;"","?FAMILIAR",IF(F3898="NEW",IF(ISNA(VLOOKUP(E3898,#REF!,1,FALSE())),"?TYPE_IDENTIFIABLE","?REFERENTIAL"),"_")))))</f>
        <v> </v>
      </c>
      <c r="H3898" s="24" t="str">
        <f>IF(J3898&lt;&gt;1,"",IF(I3898="SBJ","CB","?"))</f>
        <v> </v>
      </c>
      <c r="I3898" s="25" t="str">
        <f>IF(OR(E3898="",E3898="!!!",F3898="NEW"),"",INDEX(B3897:B$2,-1+SUMPRODUCT(MAX(ROW(E3897:E$2)*(E3898=E3897:E$2)))))</f>
        <v> </v>
      </c>
      <c r="J3898" s="25" t="str">
        <f>IF(OR(E3898="",E3898="!!!",F3898="NEW"),"",COUNTBLANK(OFFSET(A$1,,,SUMPRODUCT(MAX(ROW(E$2:E3898)*(E3898=E$2:E3898)))))-COUNTBLANK(OFFSET(A$1,,,SUMPRODUCT(MAX(ROW(E$1:E3897)*(E2=E$1:E3897))))))</f>
        <v> </v>
      </c>
      <c r="K3898" s="25" t="str">
        <f>IF(OR(E3898="",E3898="!!!",F3898="NEW"),"",INDEX(J$1:J3897,SUMPRODUCT(MAX(ROW(E$1:E3897)*(E3898=E$1:E3897)))))</f>
        <v> </v>
      </c>
      <c r="L3898" s="26"/>
    </row>
    <row r="3899" spans="1:12">
      <c r="A3899" s="20" t="s">
        <v>2316</v>
      </c>
    </row>
    <row r="3900" spans="1:12">
      <c r="A3900" s="20" t="s">
        <v>1101</v>
      </c>
      <c r="E3900" s="21">
        <f>IF(D3900="?OLD","!!!","")</f>
        <v/>
      </c>
      <c r="F3900" s="22" t="str">
        <f>IF(OR(E3900="",E3900="!!!"),"",IF(NOT(ISNA(VLOOKUP(E3900,E$1:E3899,1,FALSE()))),"OLD",IF(AND(E3900&lt;&gt;"",E3900&lt;&gt;"!!!"),"NEW","")))</f>
        <v> </v>
      </c>
      <c r="G3900" s="23" t="str">
        <f>IF(OR(E3900="",E3900="!!!"),"",IF(OR(J3900=0,AND(J3900=1,K3900=1),AND(J3900=1,I3900="SBJ"),AND(J3900=1,I3900=0)),"?IN_FOCUS",IF(J3900&lt;=2,"?ACTIVATED",IF(J3900&lt;&gt;"","?FAMILIAR",IF(F3900="NEW",IF(ISNA(VLOOKUP(E3900,#REF!,1,FALSE())),"?TYPE_IDENTIFIABLE","?REFERENTIAL"),"_")))))</f>
        <v> </v>
      </c>
      <c r="H3900" s="24" t="str">
        <f>IF(J3900&lt;&gt;1,"",IF(I3900="SBJ","CB","?"))</f>
        <v> </v>
      </c>
      <c r="I3900" s="25" t="str">
        <f>IF(OR(E3900="",E3900="!!!",F3900="NEW"),"",INDEX(B3899:B$2,-1+SUMPRODUCT(MAX(ROW(E3899:E$2)*(E3900=E3899:E$2)))))</f>
        <v> </v>
      </c>
      <c r="J3900" s="25" t="str">
        <f>IF(OR(E3900="",E3900="!!!",F3900="NEW"),"",COUNTBLANK(OFFSET(A$1,,,SUMPRODUCT(MAX(ROW(E$2:E3900)*(E3900=E$2:E3900)))))-COUNTBLANK(OFFSET(A$1,,,SUMPRODUCT(MAX(ROW(E$1:E3899)*(E2=E$1:E3899))))))</f>
        <v> </v>
      </c>
      <c r="K3900" s="25" t="str">
        <f>IF(OR(E3900="",E3900="!!!",F3900="NEW"),"",INDEX(J$1:J3899,SUMPRODUCT(MAX(ROW(E$1:E3899)*(E3900=E$1:E3899)))))</f>
        <v> </v>
      </c>
      <c r="L3900" s="26"/>
    </row>
    <row r="3901" spans="1:12">
      <c r="A3901" s="20" t="s">
        <v>2317</v>
      </c>
      <c r="E3901" s="21">
        <f>IF(D3901="?OLD","!!!","")</f>
        <v/>
      </c>
      <c r="F3901" s="22" t="str">
        <f>IF(OR(E3901="",E3901="!!!"),"",IF(NOT(ISNA(VLOOKUP(E3901,E$1:E3900,1,FALSE()))),"OLD",IF(AND(E3901&lt;&gt;"",E3901&lt;&gt;"!!!"),"NEW","")))</f>
        <v> </v>
      </c>
      <c r="G3901" s="23" t="str">
        <f>IF(OR(E3901="",E3901="!!!"),"",IF(OR(J3901=0,AND(J3901=1,K3901=1),AND(J3901=1,I3901="SBJ"),AND(J3901=1,I3901=0)),"?IN_FOCUS",IF(J3901&lt;=2,"?ACTIVATED",IF(J3901&lt;&gt;"","?FAMILIAR",IF(F3901="NEW",IF(ISNA(VLOOKUP(E3901,#REF!,1,FALSE())),"?TYPE_IDENTIFIABLE","?REFERENTIAL"),"_")))))</f>
        <v> </v>
      </c>
      <c r="H3901" s="24" t="str">
        <f>IF(J3901&lt;&gt;1,"",IF(I3901="SBJ","CB","?"))</f>
        <v> </v>
      </c>
      <c r="I3901" s="25" t="str">
        <f>IF(OR(E3901="",E3901="!!!",F3901="NEW"),"",INDEX(B3900:B$2,-1+SUMPRODUCT(MAX(ROW(E3900:E$2)*(E3901=E3900:E$2)))))</f>
        <v> </v>
      </c>
      <c r="J3901" s="25" t="str">
        <f>IF(OR(E3901="",E3901="!!!",F3901="NEW"),"",COUNTBLANK(OFFSET(A$1,,,SUMPRODUCT(MAX(ROW(E$2:E3901)*(E3901=E$2:E3901)))))-COUNTBLANK(OFFSET(A$1,,,SUMPRODUCT(MAX(ROW(E$1:E3900)*(E2=E$1:E3900))))))</f>
        <v> </v>
      </c>
      <c r="K3901" s="25" t="str">
        <f>IF(OR(E3901="",E3901="!!!",F3901="NEW"),"",INDEX(J$1:J3900,SUMPRODUCT(MAX(ROW(E$1:E3900)*(E3901=E$1:E3900)))))</f>
        <v> </v>
      </c>
      <c r="L3901" s="26"/>
    </row>
    <row r="3902" spans="1:12">
      <c r="A3902" s="20" t="s">
        <v>1256</v>
      </c>
      <c r="E3902" s="21">
        <f>IF(D3902="?OLD","!!!","")</f>
        <v/>
      </c>
      <c r="F3902" s="22" t="str">
        <f>IF(OR(E3902="",E3902="!!!"),"",IF(NOT(ISNA(VLOOKUP(E3902,E$1:E3901,1,FALSE()))),"OLD",IF(AND(E3902&lt;&gt;"",E3902&lt;&gt;"!!!"),"NEW","")))</f>
        <v> </v>
      </c>
      <c r="G3902" s="23" t="str">
        <f>IF(OR(E3902="",E3902="!!!"),"",IF(OR(J3902=0,AND(J3902=1,K3902=1),AND(J3902=1,I3902="SBJ"),AND(J3902=1,I3902=0)),"?IN_FOCUS",IF(J3902&lt;=2,"?ACTIVATED",IF(J3902&lt;&gt;"","?FAMILIAR",IF(F3902="NEW",IF(ISNA(VLOOKUP(E3902,#REF!,1,FALSE())),"?TYPE_IDENTIFIABLE","?REFERENTIAL"),"_")))))</f>
        <v> </v>
      </c>
      <c r="H3902" s="24" t="str">
        <f>IF(J3902&lt;&gt;1,"",IF(I3902="SBJ","CB","?"))</f>
        <v> </v>
      </c>
      <c r="I3902" s="25" t="str">
        <f>IF(OR(E3902="",E3902="!!!",F3902="NEW"),"",INDEX(B3901:B$2,-1+SUMPRODUCT(MAX(ROW(E3901:E$2)*(E3902=E3901:E$2)))))</f>
        <v> </v>
      </c>
      <c r="J3902" s="25" t="str">
        <f>IF(OR(E3902="",E3902="!!!",F3902="NEW"),"",COUNTBLANK(OFFSET(A$1,,,SUMPRODUCT(MAX(ROW(E$2:E3902)*(E3902=E$2:E3902)))))-COUNTBLANK(OFFSET(A$1,,,SUMPRODUCT(MAX(ROW(E$1:E3901)*(E2=E$1:E3901))))))</f>
        <v> </v>
      </c>
      <c r="K3902" s="25" t="str">
        <f>IF(OR(E3902="",E3902="!!!",F3902="NEW"),"",INDEX(J$1:J3901,SUMPRODUCT(MAX(ROW(E$1:E3901)*(E3902=E$1:E3901)))))</f>
        <v> </v>
      </c>
      <c r="L3902" s="26"/>
    </row>
    <row r="3903" spans="1:12">
      <c r="A3903" s="20" t="s">
        <v>17</v>
      </c>
      <c r="E3903" s="21">
        <f>IF(D3903="?OLD","!!!","")</f>
        <v/>
      </c>
      <c r="F3903" s="22" t="str">
        <f>IF(OR(E3903="",E3903="!!!"),"",IF(NOT(ISNA(VLOOKUP(E3903,E$1:E3902,1,FALSE()))),"OLD",IF(AND(E3903&lt;&gt;"",E3903&lt;&gt;"!!!"),"NEW","")))</f>
        <v> </v>
      </c>
      <c r="G3903" s="23" t="str">
        <f>IF(OR(E3903="",E3903="!!!"),"",IF(OR(J3903=0,AND(J3903=1,K3903=1),AND(J3903=1,I3903="SBJ"),AND(J3903=1,I3903=0)),"?IN_FOCUS",IF(J3903&lt;=2,"?ACTIVATED",IF(J3903&lt;&gt;"","?FAMILIAR",IF(F3903="NEW",IF(ISNA(VLOOKUP(E3903,#REF!,1,FALSE())),"?TYPE_IDENTIFIABLE","?REFERENTIAL"),"_")))))</f>
        <v> </v>
      </c>
      <c r="H3903" s="24" t="str">
        <f>IF(J3903&lt;&gt;1,"",IF(I3903="SBJ","CB","?"))</f>
        <v> </v>
      </c>
      <c r="I3903" s="25" t="str">
        <f>IF(OR(E3903="",E3903="!!!",F3903="NEW"),"",INDEX(B3902:B$2,-1+SUMPRODUCT(MAX(ROW(E3902:E$2)*(E3903=E3902:E$2)))))</f>
        <v> </v>
      </c>
      <c r="J3903" s="25" t="str">
        <f>IF(OR(E3903="",E3903="!!!",F3903="NEW"),"",COUNTBLANK(OFFSET(A$1,,,SUMPRODUCT(MAX(ROW(E$2:E3903)*(E3903=E$2:E3903)))))-COUNTBLANK(OFFSET(A$1,,,SUMPRODUCT(MAX(ROW(E$1:E3902)*(E2=E$1:E3902))))))</f>
        <v> </v>
      </c>
      <c r="K3903" s="25" t="str">
        <f>IF(OR(E3903="",E3903="!!!",F3903="NEW"),"",INDEX(J$1:J3902,SUMPRODUCT(MAX(ROW(E$1:E3902)*(E3903=E$1:E3902)))))</f>
        <v> </v>
      </c>
      <c r="L3903" s="26"/>
    </row>
    <row r="3904" spans="1:12">
      <c r="A3904" s="20" t="s">
        <v>1025</v>
      </c>
      <c r="E3904" s="21">
        <f>IF(D3904="?OLD","!!!","")</f>
        <v/>
      </c>
      <c r="F3904" s="22" t="str">
        <f>IF(OR(E3904="",E3904="!!!"),"",IF(NOT(ISNA(VLOOKUP(E3904,E$1:E3903,1,FALSE()))),"OLD",IF(AND(E3904&lt;&gt;"",E3904&lt;&gt;"!!!"),"NEW","")))</f>
        <v> </v>
      </c>
      <c r="G3904" s="23" t="str">
        <f>IF(OR(E3904="",E3904="!!!"),"",IF(OR(J3904=0,AND(J3904=1,K3904=1),AND(J3904=1,I3904="SBJ"),AND(J3904=1,I3904=0)),"?IN_FOCUS",IF(J3904&lt;=2,"?ACTIVATED",IF(J3904&lt;&gt;"","?FAMILIAR",IF(F3904="NEW",IF(ISNA(VLOOKUP(E3904,#REF!,1,FALSE())),"?TYPE_IDENTIFIABLE","?REFERENTIAL"),"_")))))</f>
        <v> </v>
      </c>
      <c r="H3904" s="24" t="str">
        <f>IF(J3904&lt;&gt;1,"",IF(I3904="SBJ","CB","?"))</f>
        <v> </v>
      </c>
      <c r="I3904" s="25" t="str">
        <f>IF(OR(E3904="",E3904="!!!",F3904="NEW"),"",INDEX(B3903:B$2,-1+SUMPRODUCT(MAX(ROW(E3903:E$2)*(E3904=E3903:E$2)))))</f>
        <v> </v>
      </c>
      <c r="J3904" s="25" t="str">
        <f>IF(OR(E3904="",E3904="!!!",F3904="NEW"),"",COUNTBLANK(OFFSET(A$1,,,SUMPRODUCT(MAX(ROW(E$2:E3904)*(E3904=E$2:E3904)))))-COUNTBLANK(OFFSET(A$1,,,SUMPRODUCT(MAX(ROW(E$1:E3903)*(E2=E$1:E3903))))))</f>
        <v> </v>
      </c>
      <c r="K3904" s="25" t="str">
        <f>IF(OR(E3904="",E3904="!!!",F3904="NEW"),"",INDEX(J$1:J3903,SUMPRODUCT(MAX(ROW(E$1:E3903)*(E3904=E$1:E3903)))))</f>
        <v> </v>
      </c>
      <c r="L3904" s="26"/>
    </row>
    <row r="3905" spans="1:12">
      <c r="A3905" s="20" t="s">
        <v>1043</v>
      </c>
      <c r="E3905" s="21">
        <f>IF(D3905="?OLD","!!!","")</f>
        <v/>
      </c>
      <c r="F3905" s="22" t="str">
        <f>IF(OR(E3905="",E3905="!!!"),"",IF(NOT(ISNA(VLOOKUP(E3905,E$1:E3904,1,FALSE()))),"OLD",IF(AND(E3905&lt;&gt;"",E3905&lt;&gt;"!!!"),"NEW","")))</f>
        <v> </v>
      </c>
      <c r="G3905" s="23" t="str">
        <f>IF(OR(E3905="",E3905="!!!"),"",IF(OR(J3905=0,AND(J3905=1,K3905=1),AND(J3905=1,I3905="SBJ"),AND(J3905=1,I3905=0)),"?IN_FOCUS",IF(J3905&lt;=2,"?ACTIVATED",IF(J3905&lt;&gt;"","?FAMILIAR",IF(F3905="NEW",IF(ISNA(VLOOKUP(E3905,#REF!,1,FALSE())),"?TYPE_IDENTIFIABLE","?REFERENTIAL"),"_")))))</f>
        <v> </v>
      </c>
      <c r="H3905" s="24" t="str">
        <f>IF(J3905&lt;&gt;1,"",IF(I3905="SBJ","CB","?"))</f>
        <v> </v>
      </c>
      <c r="I3905" s="25" t="str">
        <f>IF(OR(E3905="",E3905="!!!",F3905="NEW"),"",INDEX(B3904:B$2,-1+SUMPRODUCT(MAX(ROW(E3904:E$2)*(E3905=E3904:E$2)))))</f>
        <v> </v>
      </c>
      <c r="J3905" s="25" t="str">
        <f>IF(OR(E3905="",E3905="!!!",F3905="NEW"),"",COUNTBLANK(OFFSET(A$1,,,SUMPRODUCT(MAX(ROW(E$2:E3905)*(E3905=E$2:E3905)))))-COUNTBLANK(OFFSET(A$1,,,SUMPRODUCT(MAX(ROW(E$1:E3904)*(E2=E$1:E3904))))))</f>
        <v> </v>
      </c>
      <c r="K3905" s="25" t="str">
        <f>IF(OR(E3905="",E3905="!!!",F3905="NEW"),"",INDEX(J$1:J3904,SUMPRODUCT(MAX(ROW(E$1:E3904)*(E3905=E$1:E3904)))))</f>
        <v> </v>
      </c>
      <c r="L3905" s="26"/>
    </row>
    <row r="3906" spans="1:12">
      <c r="A3906" s="20" t="s">
        <v>2285</v>
      </c>
      <c r="E3906" s="21">
        <f>IF(D3906="?OLD","!!!","")</f>
        <v/>
      </c>
      <c r="F3906" s="22" t="str">
        <f>IF(OR(E3906="",E3906="!!!"),"",IF(NOT(ISNA(VLOOKUP(E3906,E$1:E3905,1,FALSE()))),"OLD",IF(AND(E3906&lt;&gt;"",E3906&lt;&gt;"!!!"),"NEW","")))</f>
        <v> </v>
      </c>
      <c r="G3906" s="23" t="str">
        <f>IF(OR(E3906="",E3906="!!!"),"",IF(OR(J3906=0,AND(J3906=1,K3906=1),AND(J3906=1,I3906="SBJ"),AND(J3906=1,I3906=0)),"?IN_FOCUS",IF(J3906&lt;=2,"?ACTIVATED",IF(J3906&lt;&gt;"","?FAMILIAR",IF(F3906="NEW",IF(ISNA(VLOOKUP(E3906,#REF!,1,FALSE())),"?TYPE_IDENTIFIABLE","?REFERENTIAL"),"_")))))</f>
        <v> </v>
      </c>
      <c r="H3906" s="24" t="str">
        <f>IF(J3906&lt;&gt;1,"",IF(I3906="SBJ","CB","?"))</f>
        <v> </v>
      </c>
      <c r="I3906" s="25" t="str">
        <f>IF(OR(E3906="",E3906="!!!",F3906="NEW"),"",INDEX(B3905:B$2,-1+SUMPRODUCT(MAX(ROW(E3905:E$2)*(E3906=E3905:E$2)))))</f>
        <v> </v>
      </c>
      <c r="J3906" s="25" t="str">
        <f>IF(OR(E3906="",E3906="!!!",F3906="NEW"),"",COUNTBLANK(OFFSET(A$1,,,SUMPRODUCT(MAX(ROW(E$2:E3906)*(E3906=E$2:E3906)))))-COUNTBLANK(OFFSET(A$1,,,SUMPRODUCT(MAX(ROW(E$1:E3905)*(E2=E$1:E3905))))))</f>
        <v> </v>
      </c>
      <c r="K3906" s="25" t="str">
        <f>IF(OR(E3906="",E3906="!!!",F3906="NEW"),"",INDEX(J$1:J3905,SUMPRODUCT(MAX(ROW(E$1:E3905)*(E3906=E$1:E3905)))))</f>
        <v> </v>
      </c>
      <c r="L3906" s="26"/>
    </row>
    <row r="3907" spans="1:12">
      <c r="A3907" s="20" t="s">
        <v>1019</v>
      </c>
      <c r="B3907" s="27" t="s">
        <v>1045</v>
      </c>
      <c r="C3907" s="27" t="s">
        <v>1046</v>
      </c>
      <c r="D3907" s="27" t="s">
        <v>1030</v>
      </c>
      <c r="E3907" s="21">
        <f>IF(D3907="?OLD","!!!","")</f>
        <v/>
      </c>
      <c r="F3907" s="22" t="str">
        <f>IF(OR(E3907="",E3907="!!!"),"",IF(NOT(ISNA(VLOOKUP(E3907,E$1:E3906,1,FALSE()))),"OLD",IF(AND(E3907&lt;&gt;"",E3907&lt;&gt;"!!!"),"NEW","")))</f>
        <v> </v>
      </c>
      <c r="G3907" s="23" t="str">
        <f>IF(OR(E3907="",E3907="!!!"),"",IF(OR(J3907=0,AND(J3907=1,K3907=1),AND(J3907=1,I3907="SBJ"),AND(J3907=1,I3907=0)),"?IN_FOCUS",IF(J3907&lt;=2,"?ACTIVATED",IF(J3907&lt;&gt;"","?FAMILIAR",IF(F3907="NEW",IF(ISNA(VLOOKUP(E3907,#REF!,1,FALSE())),"?TYPE_IDENTIFIABLE","?REFERENTIAL"),"_")))))</f>
        <v> </v>
      </c>
      <c r="H3907" s="24" t="str">
        <f>IF(J3907&lt;&gt;1,"",IF(I3907="SBJ","CB","?"))</f>
        <v> </v>
      </c>
      <c r="I3907" s="25" t="str">
        <f>IF(OR(E3907="",E3907="!!!",F3907="NEW"),"",INDEX(B3906:B$2,-1+SUMPRODUCT(MAX(ROW(E3906:E$2)*(E3907=E3906:E$2)))))</f>
        <v> </v>
      </c>
      <c r="J3907" s="25" t="str">
        <f>IF(OR(E3907="",E3907="!!!",F3907="NEW"),"",COUNTBLANK(OFFSET(A$1,,,SUMPRODUCT(MAX(ROW(E$2:E3907)*(E3907=E$2:E3907)))))-COUNTBLANK(OFFSET(A$1,,,SUMPRODUCT(MAX(ROW(E$1:E3906)*(E2=E$1:E3906))))))</f>
        <v> </v>
      </c>
      <c r="K3907" s="25" t="str">
        <f>IF(OR(E3907="",E3907="!!!",F3907="NEW"),"",INDEX(J$1:J3906,SUMPRODUCT(MAX(ROW(E$1:E3906)*(E3907=E$1:E3906)))))</f>
        <v> </v>
      </c>
      <c r="L3907" s="26"/>
    </row>
    <row r="3908" spans="1:12">
      <c r="A3908" s="20" t="s">
        <v>1016</v>
      </c>
      <c r="E3908" s="21">
        <f>IF(D3908="?OLD","!!!","")</f>
        <v/>
      </c>
      <c r="F3908" s="22" t="str">
        <f>IF(OR(E3908="",E3908="!!!"),"",IF(NOT(ISNA(VLOOKUP(E3908,E$1:E3907,1,FALSE()))),"OLD",IF(AND(E3908&lt;&gt;"",E3908&lt;&gt;"!!!"),"NEW","")))</f>
        <v> </v>
      </c>
      <c r="G3908" s="23" t="str">
        <f>IF(OR(E3908="",E3908="!!!"),"",IF(OR(J3908=0,AND(J3908=1,K3908=1),AND(J3908=1,I3908="SBJ"),AND(J3908=1,I3908=0)),"?IN_FOCUS",IF(J3908&lt;=2,"?ACTIVATED",IF(J3908&lt;&gt;"","?FAMILIAR",IF(F3908="NEW",IF(ISNA(VLOOKUP(E3908,#REF!,1,FALSE())),"?TYPE_IDENTIFIABLE","?REFERENTIAL"),"_")))))</f>
        <v> </v>
      </c>
      <c r="H3908" s="24" t="str">
        <f>IF(J3908&lt;&gt;1,"",IF(I3908="SBJ","CB","?"))</f>
        <v> </v>
      </c>
      <c r="I3908" s="25" t="str">
        <f>IF(OR(E3908="",E3908="!!!",F3908="NEW"),"",INDEX(B3907:B$2,-1+SUMPRODUCT(MAX(ROW(E3907:E$2)*(E3908=E3907:E$2)))))</f>
        <v> </v>
      </c>
      <c r="J3908" s="25" t="str">
        <f>IF(OR(E3908="",E3908="!!!",F3908="NEW"),"",COUNTBLANK(OFFSET(A$1,,,SUMPRODUCT(MAX(ROW(E$2:E3908)*(E3908=E$2:E3908)))))-COUNTBLANK(OFFSET(A$1,,,SUMPRODUCT(MAX(ROW(E$1:E3907)*(E2=E$1:E3907))))))</f>
        <v> </v>
      </c>
      <c r="K3908" s="25" t="str">
        <f>IF(OR(E3908="",E3908="!!!",F3908="NEW"),"",INDEX(J$1:J3907,SUMPRODUCT(MAX(ROW(E$1:E3907)*(E3908=E$1:E3907)))))</f>
        <v> </v>
      </c>
      <c r="L3908" s="26"/>
    </row>
    <row r="3909" spans="1:12">
      <c r="A3909" s="20" t="s">
        <v>1036</v>
      </c>
      <c r="E3909" s="21">
        <f>IF(D3909="?OLD","!!!","")</f>
        <v/>
      </c>
      <c r="F3909" s="22" t="str">
        <f>IF(OR(E3909="",E3909="!!!"),"",IF(NOT(ISNA(VLOOKUP(E3909,E$1:E3908,1,FALSE()))),"OLD",IF(AND(E3909&lt;&gt;"",E3909&lt;&gt;"!!!"),"NEW","")))</f>
        <v> </v>
      </c>
      <c r="G3909" s="23" t="str">
        <f>IF(OR(E3909="",E3909="!!!"),"",IF(OR(J3909=0,AND(J3909=1,K3909=1),AND(J3909=1,I3909="SBJ"),AND(J3909=1,I3909=0)),"?IN_FOCUS",IF(J3909&lt;=2,"?ACTIVATED",IF(J3909&lt;&gt;"","?FAMILIAR",IF(F3909="NEW",IF(ISNA(VLOOKUP(E3909,#REF!,1,FALSE())),"?TYPE_IDENTIFIABLE","?REFERENTIAL"),"_")))))</f>
        <v> </v>
      </c>
      <c r="H3909" s="24" t="str">
        <f>IF(J3909&lt;&gt;1,"",IF(I3909="SBJ","CB","?"))</f>
        <v> </v>
      </c>
      <c r="I3909" s="25" t="str">
        <f>IF(OR(E3909="",E3909="!!!",F3909="NEW"),"",INDEX(B3908:B$2,-1+SUMPRODUCT(MAX(ROW(E3908:E$2)*(E3909=E3908:E$2)))))</f>
        <v> </v>
      </c>
      <c r="J3909" s="25" t="str">
        <f>IF(OR(E3909="",E3909="!!!",F3909="NEW"),"",COUNTBLANK(OFFSET(A$1,,,SUMPRODUCT(MAX(ROW(E$2:E3909)*(E3909=E$2:E3909)))))-COUNTBLANK(OFFSET(A$1,,,SUMPRODUCT(MAX(ROW(E$1:E3908)*(E2=E$1:E3908))))))</f>
        <v> </v>
      </c>
      <c r="K3909" s="25" t="str">
        <f>IF(OR(E3909="",E3909="!!!",F3909="NEW"),"",INDEX(J$1:J3908,SUMPRODUCT(MAX(ROW(E$1:E3908)*(E3909=E$1:E3908)))))</f>
        <v> </v>
      </c>
      <c r="L3909" s="26"/>
    </row>
    <row r="3910" spans="1:12">
      <c r="A3910" s="20" t="s">
        <v>1037</v>
      </c>
      <c r="B3910" s="27" t="s">
        <v>1079</v>
      </c>
      <c r="C3910" s="27" t="s">
        <v>1038</v>
      </c>
      <c r="D3910" s="27" t="s">
        <v>1030</v>
      </c>
      <c r="E3910" s="21">
        <f>IF(D3910="?OLD","!!!","")</f>
        <v/>
      </c>
      <c r="F3910" s="22" t="str">
        <f>IF(OR(E3910="",E3910="!!!"),"",IF(NOT(ISNA(VLOOKUP(E3910,E$1:E3909,1,FALSE()))),"OLD",IF(AND(E3910&lt;&gt;"",E3910&lt;&gt;"!!!"),"NEW","")))</f>
        <v> </v>
      </c>
      <c r="G3910" s="23" t="str">
        <f>IF(OR(E3910="",E3910="!!!"),"",IF(OR(J3910=0,AND(J3910=1,K3910=1),AND(J3910=1,I3910="SBJ"),AND(J3910=1,I3910=0)),"?IN_FOCUS",IF(J3910&lt;=2,"?ACTIVATED",IF(J3910&lt;&gt;"","?FAMILIAR",IF(F3910="NEW",IF(ISNA(VLOOKUP(E3910,#REF!,1,FALSE())),"?TYPE_IDENTIFIABLE","?REFERENTIAL"),"_")))))</f>
        <v> </v>
      </c>
      <c r="H3910" s="24" t="str">
        <f>IF(J3910&lt;&gt;1,"",IF(I3910="SBJ","CB","?"))</f>
        <v> </v>
      </c>
      <c r="I3910" s="25" t="str">
        <f>IF(OR(E3910="",E3910="!!!",F3910="NEW"),"",INDEX(B3909:B$2,-1+SUMPRODUCT(MAX(ROW(E3909:E$2)*(E3910=E3909:E$2)))))</f>
        <v> </v>
      </c>
      <c r="J3910" s="25" t="str">
        <f>IF(OR(E3910="",E3910="!!!",F3910="NEW"),"",COUNTBLANK(OFFSET(A$1,,,SUMPRODUCT(MAX(ROW(E$2:E3910)*(E3910=E$2:E3910)))))-COUNTBLANK(OFFSET(A$1,,,SUMPRODUCT(MAX(ROW(E$1:E3909)*(E2=E$1:E3909))))))</f>
        <v> </v>
      </c>
      <c r="K3910" s="25" t="str">
        <f>IF(OR(E3910="",E3910="!!!",F3910="NEW"),"",INDEX(J$1:J3909,SUMPRODUCT(MAX(ROW(E$1:E3909)*(E3910=E$1:E3909)))))</f>
        <v> </v>
      </c>
      <c r="L3910" s="26"/>
    </row>
    <row r="3911" spans="1:12">
      <c r="A3911" s="20" t="s">
        <v>1313</v>
      </c>
      <c r="E3911" s="21">
        <f>IF(D3911="?OLD","!!!","")</f>
        <v/>
      </c>
      <c r="F3911" s="22" t="str">
        <f>IF(OR(E3911="",E3911="!!!"),"",IF(NOT(ISNA(VLOOKUP(E3911,E$1:E3910,1,FALSE()))),"OLD",IF(AND(E3911&lt;&gt;"",E3911&lt;&gt;"!!!"),"NEW","")))</f>
        <v> </v>
      </c>
      <c r="G3911" s="23" t="str">
        <f>IF(OR(E3911="",E3911="!!!"),"",IF(OR(J3911=0,AND(J3911=1,K3911=1),AND(J3911=1,I3911="SBJ"),AND(J3911=1,I3911=0)),"?IN_FOCUS",IF(J3911&lt;=2,"?ACTIVATED",IF(J3911&lt;&gt;"","?FAMILIAR",IF(F3911="NEW",IF(ISNA(VLOOKUP(E3911,#REF!,1,FALSE())),"?TYPE_IDENTIFIABLE","?REFERENTIAL"),"_")))))</f>
        <v> </v>
      </c>
      <c r="H3911" s="24" t="str">
        <f>IF(J3911&lt;&gt;1,"",IF(I3911="SBJ","CB","?"))</f>
        <v> </v>
      </c>
      <c r="I3911" s="25" t="str">
        <f>IF(OR(E3911="",E3911="!!!",F3911="NEW"),"",INDEX(B3910:B$2,-1+SUMPRODUCT(MAX(ROW(E3910:E$2)*(E3911=E3910:E$2)))))</f>
        <v> </v>
      </c>
      <c r="J3911" s="25" t="str">
        <f>IF(OR(E3911="",E3911="!!!",F3911="NEW"),"",COUNTBLANK(OFFSET(A$1,,,SUMPRODUCT(MAX(ROW(E$2:E3911)*(E3911=E$2:E3911)))))-COUNTBLANK(OFFSET(A$1,,,SUMPRODUCT(MAX(ROW(E$1:E3910)*(E2=E$1:E3910))))))</f>
        <v> </v>
      </c>
      <c r="K3911" s="25" t="str">
        <f>IF(OR(E3911="",E3911="!!!",F3911="NEW"),"",INDEX(J$1:J3910,SUMPRODUCT(MAX(ROW(E$1:E3910)*(E3911=E$1:E3910)))))</f>
        <v> </v>
      </c>
      <c r="L3911" s="26"/>
    </row>
    <row r="3912" spans="1:12">
      <c r="A3912" s="20" t="s">
        <v>21</v>
      </c>
      <c r="E3912" s="21">
        <f>IF(D3912="?OLD","!!!","")</f>
        <v/>
      </c>
      <c r="F3912" s="22" t="str">
        <f>IF(OR(E3912="",E3912="!!!"),"",IF(NOT(ISNA(VLOOKUP(E3912,E$1:E3911,1,FALSE()))),"OLD",IF(AND(E3912&lt;&gt;"",E3912&lt;&gt;"!!!"),"NEW","")))</f>
        <v> </v>
      </c>
      <c r="G3912" s="23" t="str">
        <f>IF(OR(E3912="",E3912="!!!"),"",IF(OR(J3912=0,AND(J3912=1,K3912=1),AND(J3912=1,I3912="SBJ"),AND(J3912=1,I3912=0)),"?IN_FOCUS",IF(J3912&lt;=2,"?ACTIVATED",IF(J3912&lt;&gt;"","?FAMILIAR",IF(F3912="NEW",IF(ISNA(VLOOKUP(E3912,#REF!,1,FALSE())),"?TYPE_IDENTIFIABLE","?REFERENTIAL"),"_")))))</f>
        <v> </v>
      </c>
      <c r="H3912" s="24" t="str">
        <f>IF(J3912&lt;&gt;1,"",IF(I3912="SBJ","CB","?"))</f>
        <v> </v>
      </c>
      <c r="I3912" s="25" t="str">
        <f>IF(OR(E3912="",E3912="!!!",F3912="NEW"),"",INDEX(B3911:B$2,-1+SUMPRODUCT(MAX(ROW(E3911:E$2)*(E3912=E3911:E$2)))))</f>
        <v> </v>
      </c>
      <c r="J3912" s="25" t="str">
        <f>IF(OR(E3912="",E3912="!!!",F3912="NEW"),"",COUNTBLANK(OFFSET(A$1,,,SUMPRODUCT(MAX(ROW(E$2:E3912)*(E3912=E$2:E3912)))))-COUNTBLANK(OFFSET(A$1,,,SUMPRODUCT(MAX(ROW(E$1:E3911)*(E2=E$1:E3911))))))</f>
        <v> </v>
      </c>
      <c r="K3912" s="25" t="str">
        <f>IF(OR(E3912="",E3912="!!!",F3912="NEW"),"",INDEX(J$1:J3911,SUMPRODUCT(MAX(ROW(E$1:E3911)*(E3912=E$1:E3911)))))</f>
        <v> </v>
      </c>
      <c r="L3912" s="26"/>
    </row>
    <row r="3913" spans="1:12">
      <c r="A3913" s="20" t="s">
        <v>1025</v>
      </c>
      <c r="E3913" s="21">
        <f>IF(D3913="?OLD","!!!","")</f>
        <v/>
      </c>
      <c r="F3913" s="22" t="str">
        <f>IF(OR(E3913="",E3913="!!!"),"",IF(NOT(ISNA(VLOOKUP(E3913,E$1:E3912,1,FALSE()))),"OLD",IF(AND(E3913&lt;&gt;"",E3913&lt;&gt;"!!!"),"NEW","")))</f>
        <v> </v>
      </c>
      <c r="G3913" s="23" t="str">
        <f>IF(OR(E3913="",E3913="!!!"),"",IF(OR(J3913=0,AND(J3913=1,K3913=1),AND(J3913=1,I3913="SBJ"),AND(J3913=1,I3913=0)),"?IN_FOCUS",IF(J3913&lt;=2,"?ACTIVATED",IF(J3913&lt;&gt;"","?FAMILIAR",IF(F3913="NEW",IF(ISNA(VLOOKUP(E3913,#REF!,1,FALSE())),"?TYPE_IDENTIFIABLE","?REFERENTIAL"),"_")))))</f>
        <v> </v>
      </c>
      <c r="H3913" s="24" t="str">
        <f>IF(J3913&lt;&gt;1,"",IF(I3913="SBJ","CB","?"))</f>
        <v> </v>
      </c>
      <c r="I3913" s="25" t="str">
        <f>IF(OR(E3913="",E3913="!!!",F3913="NEW"),"",INDEX(B3912:B$2,-1+SUMPRODUCT(MAX(ROW(E3912:E$2)*(E3913=E3912:E$2)))))</f>
        <v> </v>
      </c>
      <c r="J3913" s="25" t="str">
        <f>IF(OR(E3913="",E3913="!!!",F3913="NEW"),"",COUNTBLANK(OFFSET(A$1,,,SUMPRODUCT(MAX(ROW(E$2:E3913)*(E3913=E$2:E3913)))))-COUNTBLANK(OFFSET(A$1,,,SUMPRODUCT(MAX(ROW(E$1:E3912)*(E2=E$1:E3912))))))</f>
        <v> </v>
      </c>
      <c r="K3913" s="25" t="str">
        <f>IF(OR(E3913="",E3913="!!!",F3913="NEW"),"",INDEX(J$1:J3912,SUMPRODUCT(MAX(ROW(E$1:E3912)*(E3913=E$1:E3912)))))</f>
        <v> </v>
      </c>
      <c r="L3913" s="26"/>
    </row>
    <row r="3914" spans="1:12">
      <c r="A3914" s="20" t="s">
        <v>1036</v>
      </c>
      <c r="E3914" s="21">
        <f>IF(D3914="?OLD","!!!","")</f>
        <v/>
      </c>
      <c r="F3914" s="22" t="str">
        <f>IF(OR(E3914="",E3914="!!!"),"",IF(NOT(ISNA(VLOOKUP(E3914,E$1:E3913,1,FALSE()))),"OLD",IF(AND(E3914&lt;&gt;"",E3914&lt;&gt;"!!!"),"NEW","")))</f>
        <v> </v>
      </c>
      <c r="G3914" s="23" t="str">
        <f>IF(OR(E3914="",E3914="!!!"),"",IF(OR(J3914=0,AND(J3914=1,K3914=1),AND(J3914=1,I3914="SBJ"),AND(J3914=1,I3914=0)),"?IN_FOCUS",IF(J3914&lt;=2,"?ACTIVATED",IF(J3914&lt;&gt;"","?FAMILIAR",IF(F3914="NEW",IF(ISNA(VLOOKUP(E3914,#REF!,1,FALSE())),"?TYPE_IDENTIFIABLE","?REFERENTIAL"),"_")))))</f>
        <v> </v>
      </c>
      <c r="H3914" s="24" t="str">
        <f>IF(J3914&lt;&gt;1,"",IF(I3914="SBJ","CB","?"))</f>
        <v> </v>
      </c>
      <c r="I3914" s="25" t="str">
        <f>IF(OR(E3914="",E3914="!!!",F3914="NEW"),"",INDEX(B3913:B$2,-1+SUMPRODUCT(MAX(ROW(E3913:E$2)*(E3914=E3913:E$2)))))</f>
        <v> </v>
      </c>
      <c r="J3914" s="25" t="str">
        <f>IF(OR(E3914="",E3914="!!!",F3914="NEW"),"",COUNTBLANK(OFFSET(A$1,,,SUMPRODUCT(MAX(ROW(E$2:E3914)*(E3914=E$2:E3914)))))-COUNTBLANK(OFFSET(A$1,,,SUMPRODUCT(MAX(ROW(E$1:E3913)*(E2=E$1:E3913))))))</f>
        <v> </v>
      </c>
      <c r="K3914" s="25" t="str">
        <f>IF(OR(E3914="",E3914="!!!",F3914="NEW"),"",INDEX(J$1:J3913,SUMPRODUCT(MAX(ROW(E$1:E3913)*(E3914=E$1:E3913)))))</f>
        <v> </v>
      </c>
      <c r="L3914" s="26"/>
    </row>
    <row r="3915" spans="1:12">
      <c r="A3915" s="20" t="s">
        <v>2318</v>
      </c>
      <c r="B3915" s="27" t="s">
        <v>1079</v>
      </c>
      <c r="C3915" s="27" t="s">
        <v>1038</v>
      </c>
      <c r="D3915" s="27" t="s">
        <v>1030</v>
      </c>
      <c r="E3915" s="21">
        <f>IF(D3915="?OLD","!!!","")</f>
        <v/>
      </c>
      <c r="F3915" s="22" t="str">
        <f>IF(OR(E3915="",E3915="!!!"),"",IF(NOT(ISNA(VLOOKUP(E3915,E$1:E3914,1,FALSE()))),"OLD",IF(AND(E3915&lt;&gt;"",E3915&lt;&gt;"!!!"),"NEW","")))</f>
        <v> </v>
      </c>
      <c r="G3915" s="23" t="str">
        <f>IF(OR(E3915="",E3915="!!!"),"",IF(OR(J3915=0,AND(J3915=1,K3915=1),AND(J3915=1,I3915="SBJ"),AND(J3915=1,I3915=0)),"?IN_FOCUS",IF(J3915&lt;=2,"?ACTIVATED",IF(J3915&lt;&gt;"","?FAMILIAR",IF(F3915="NEW",IF(ISNA(VLOOKUP(E3915,#REF!,1,FALSE())),"?TYPE_IDENTIFIABLE","?REFERENTIAL"),"_")))))</f>
        <v> </v>
      </c>
      <c r="H3915" s="24" t="str">
        <f>IF(J3915&lt;&gt;1,"",IF(I3915="SBJ","CB","?"))</f>
        <v> </v>
      </c>
      <c r="I3915" s="25" t="str">
        <f>IF(OR(E3915="",E3915="!!!",F3915="NEW"),"",INDEX(B3914:B$2,-1+SUMPRODUCT(MAX(ROW(E3914:E$2)*(E3915=E3914:E$2)))))</f>
        <v> </v>
      </c>
      <c r="J3915" s="25" t="str">
        <f>IF(OR(E3915="",E3915="!!!",F3915="NEW"),"",COUNTBLANK(OFFSET(A$1,,,SUMPRODUCT(MAX(ROW(E$2:E3915)*(E3915=E$2:E3915)))))-COUNTBLANK(OFFSET(A$1,,,SUMPRODUCT(MAX(ROW(E$1:E3914)*(E2=E$1:E3914))))))</f>
        <v> </v>
      </c>
      <c r="K3915" s="25" t="str">
        <f>IF(OR(E3915="",E3915="!!!",F3915="NEW"),"",INDEX(J$1:J3914,SUMPRODUCT(MAX(ROW(E$1:E3914)*(E3915=E$1:E3914)))))</f>
        <v> </v>
      </c>
      <c r="L3915" s="26"/>
    </row>
    <row r="3916" spans="1:12">
      <c r="A3916" s="20" t="s">
        <v>1215</v>
      </c>
      <c r="E3916" s="21">
        <f>IF(D3916="?OLD","!!!","")</f>
        <v/>
      </c>
      <c r="F3916" s="22" t="str">
        <f>IF(OR(E3916="",E3916="!!!"),"",IF(NOT(ISNA(VLOOKUP(E3916,E$1:E3915,1,FALSE()))),"OLD",IF(AND(E3916&lt;&gt;"",E3916&lt;&gt;"!!!"),"NEW","")))</f>
        <v> </v>
      </c>
      <c r="G3916" s="23" t="str">
        <f>IF(OR(E3916="",E3916="!!!"),"",IF(OR(J3916=0,AND(J3916=1,K3916=1),AND(J3916=1,I3916="SBJ"),AND(J3916=1,I3916=0)),"?IN_FOCUS",IF(J3916&lt;=2,"?ACTIVATED",IF(J3916&lt;&gt;"","?FAMILIAR",IF(F3916="NEW",IF(ISNA(VLOOKUP(E3916,#REF!,1,FALSE())),"?TYPE_IDENTIFIABLE","?REFERENTIAL"),"_")))))</f>
        <v> </v>
      </c>
      <c r="H3916" s="24" t="str">
        <f>IF(J3916&lt;&gt;1,"",IF(I3916="SBJ","CB","?"))</f>
        <v> </v>
      </c>
      <c r="I3916" s="25" t="str">
        <f>IF(OR(E3916="",E3916="!!!",F3916="NEW"),"",INDEX(B3915:B$2,-1+SUMPRODUCT(MAX(ROW(E3915:E$2)*(E3916=E3915:E$2)))))</f>
        <v> </v>
      </c>
      <c r="J3916" s="25" t="str">
        <f>IF(OR(E3916="",E3916="!!!",F3916="NEW"),"",COUNTBLANK(OFFSET(A$1,,,SUMPRODUCT(MAX(ROW(E$2:E3916)*(E3916=E$2:E3916)))))-COUNTBLANK(OFFSET(A$1,,,SUMPRODUCT(MAX(ROW(E$1:E3915)*(E2=E$1:E3915))))))</f>
        <v> </v>
      </c>
      <c r="K3916" s="25" t="str">
        <f>IF(OR(E3916="",E3916="!!!",F3916="NEW"),"",INDEX(J$1:J3915,SUMPRODUCT(MAX(ROW(E$1:E3915)*(E3916=E$1:E3915)))))</f>
        <v> </v>
      </c>
      <c r="L3916" s="26"/>
    </row>
    <row r="3917" spans="1:12">
      <c r="A3917" s="20" t="s">
        <v>1101</v>
      </c>
      <c r="E3917" s="21">
        <f>IF(D3917="?OLD","!!!","")</f>
        <v/>
      </c>
      <c r="F3917" s="22" t="str">
        <f>IF(OR(E3917="",E3917="!!!"),"",IF(NOT(ISNA(VLOOKUP(E3917,E$1:E3916,1,FALSE()))),"OLD",IF(AND(E3917&lt;&gt;"",E3917&lt;&gt;"!!!"),"NEW","")))</f>
        <v> </v>
      </c>
      <c r="G3917" s="23" t="str">
        <f>IF(OR(E3917="",E3917="!!!"),"",IF(OR(J3917=0,AND(J3917=1,K3917=1),AND(J3917=1,I3917="SBJ"),AND(J3917=1,I3917=0)),"?IN_FOCUS",IF(J3917&lt;=2,"?ACTIVATED",IF(J3917&lt;&gt;"","?FAMILIAR",IF(F3917="NEW",IF(ISNA(VLOOKUP(E3917,#REF!,1,FALSE())),"?TYPE_IDENTIFIABLE","?REFERENTIAL"),"_")))))</f>
        <v> </v>
      </c>
      <c r="H3917" s="24" t="str">
        <f>IF(J3917&lt;&gt;1,"",IF(I3917="SBJ","CB","?"))</f>
        <v> </v>
      </c>
      <c r="I3917" s="25" t="str">
        <f>IF(OR(E3917="",E3917="!!!",F3917="NEW"),"",INDEX(B3916:B$2,-1+SUMPRODUCT(MAX(ROW(E3916:E$2)*(E3917=E3916:E$2)))))</f>
        <v> </v>
      </c>
      <c r="J3917" s="25" t="str">
        <f>IF(OR(E3917="",E3917="!!!",F3917="NEW"),"",COUNTBLANK(OFFSET(A$1,,,SUMPRODUCT(MAX(ROW(E$2:E3917)*(E3917=E$2:E3917)))))-COUNTBLANK(OFFSET(A$1,,,SUMPRODUCT(MAX(ROW(E$1:E3916)*(E2=E$1:E3916))))))</f>
        <v> </v>
      </c>
      <c r="K3917" s="25" t="str">
        <f>IF(OR(E3917="",E3917="!!!",F3917="NEW"),"",INDEX(J$1:J3916,SUMPRODUCT(MAX(ROW(E$1:E3916)*(E3917=E$1:E3916)))))</f>
        <v> </v>
      </c>
      <c r="L3917" s="26"/>
    </row>
    <row r="3918" spans="1:12">
      <c r="A3918" s="20"/>
    </row>
    <row r="3919" spans="1:12">
      <c r="A3919" s="20" t="s">
        <v>2319</v>
      </c>
    </row>
    <row r="3920" spans="1:12">
      <c r="A3920" s="20" t="s">
        <v>2320</v>
      </c>
      <c r="E3920" s="21">
        <f>IF(D3920="?OLD","!!!","")</f>
        <v/>
      </c>
      <c r="F3920" s="22" t="str">
        <f>IF(OR(E3920="",E3920="!!!"),"",IF(NOT(ISNA(VLOOKUP(E3920,E$1:E3919,1,FALSE()))),"OLD",IF(AND(E3920&lt;&gt;"",E3920&lt;&gt;"!!!"),"NEW","")))</f>
        <v> </v>
      </c>
      <c r="G3920" s="23" t="str">
        <f>IF(OR(E3920="",E3920="!!!"),"",IF(OR(J3920=0,AND(J3920=1,K3920=1),AND(J3920=1,I3920="SBJ"),AND(J3920=1,I3920=0)),"?IN_FOCUS",IF(J3920&lt;=2,"?ACTIVATED",IF(J3920&lt;&gt;"","?FAMILIAR",IF(F3920="NEW",IF(ISNA(VLOOKUP(E3920,#REF!,1,FALSE())),"?TYPE_IDENTIFIABLE","?REFERENTIAL"),"_")))))</f>
        <v> </v>
      </c>
      <c r="H3920" s="24" t="str">
        <f>IF(J3920&lt;&gt;1,"",IF(I3920="SBJ","CB","?"))</f>
        <v> </v>
      </c>
      <c r="I3920" s="25" t="str">
        <f>IF(OR(E3920="",E3920="!!!",F3920="NEW"),"",INDEX(B3919:B$2,-1+SUMPRODUCT(MAX(ROW(E3919:E$2)*(E3920=E3919:E$2)))))</f>
        <v> </v>
      </c>
      <c r="J3920" s="25" t="str">
        <f>IF(OR(E3920="",E3920="!!!",F3920="NEW"),"",COUNTBLANK(OFFSET(A$1,,,SUMPRODUCT(MAX(ROW(E$2:E3920)*(E3920=E$2:E3920)))))-COUNTBLANK(OFFSET(A$1,,,SUMPRODUCT(MAX(ROW(E$1:E3919)*(E2=E$1:E3919))))))</f>
        <v> </v>
      </c>
      <c r="K3920" s="25" t="str">
        <f>IF(OR(E3920="",E3920="!!!",F3920="NEW"),"",INDEX(J$1:J3919,SUMPRODUCT(MAX(ROW(E$1:E3919)*(E3920=E$1:E3919)))))</f>
        <v> </v>
      </c>
      <c r="L3920" s="26"/>
    </row>
    <row r="3921" spans="1:12">
      <c r="A3921" s="20" t="s">
        <v>1951</v>
      </c>
      <c r="E3921" s="21">
        <f>IF(D3921="?OLD","!!!","")</f>
        <v/>
      </c>
      <c r="F3921" s="22" t="str">
        <f>IF(OR(E3921="",E3921="!!!"),"",IF(NOT(ISNA(VLOOKUP(E3921,E$1:E3920,1,FALSE()))),"OLD",IF(AND(E3921&lt;&gt;"",E3921&lt;&gt;"!!!"),"NEW","")))</f>
        <v> </v>
      </c>
      <c r="G3921" s="23" t="str">
        <f>IF(OR(E3921="",E3921="!!!"),"",IF(OR(J3921=0,AND(J3921=1,K3921=1),AND(J3921=1,I3921="SBJ"),AND(J3921=1,I3921=0)),"?IN_FOCUS",IF(J3921&lt;=2,"?ACTIVATED",IF(J3921&lt;&gt;"","?FAMILIAR",IF(F3921="NEW",IF(ISNA(VLOOKUP(E3921,#REF!,1,FALSE())),"?TYPE_IDENTIFIABLE","?REFERENTIAL"),"_")))))</f>
        <v> </v>
      </c>
      <c r="H3921" s="24" t="str">
        <f>IF(J3921&lt;&gt;1,"",IF(I3921="SBJ","CB","?"))</f>
        <v> </v>
      </c>
      <c r="I3921" s="25" t="str">
        <f>IF(OR(E3921="",E3921="!!!",F3921="NEW"),"",INDEX(B3920:B$2,-1+SUMPRODUCT(MAX(ROW(E3920:E$2)*(E3921=E3920:E$2)))))</f>
        <v> </v>
      </c>
      <c r="J3921" s="25" t="str">
        <f>IF(OR(E3921="",E3921="!!!",F3921="NEW"),"",COUNTBLANK(OFFSET(A$1,,,SUMPRODUCT(MAX(ROW(E$2:E3921)*(E3921=E$2:E3921)))))-COUNTBLANK(OFFSET(A$1,,,SUMPRODUCT(MAX(ROW(E$1:E3920)*(E2=E$1:E3920))))))</f>
        <v> </v>
      </c>
      <c r="K3921" s="25" t="str">
        <f>IF(OR(E3921="",E3921="!!!",F3921="NEW"),"",INDEX(J$1:J3920,SUMPRODUCT(MAX(ROW(E$1:E3920)*(E3921=E$1:E3920)))))</f>
        <v> </v>
      </c>
      <c r="L3921" s="26"/>
    </row>
    <row r="3922" spans="1:12">
      <c r="A3922" s="20"/>
    </row>
    <row r="3923" spans="1:12">
      <c r="A3923" s="20" t="s">
        <v>2321</v>
      </c>
    </row>
    <row r="3924" spans="1:12">
      <c r="A3924" s="20" t="s">
        <v>2320</v>
      </c>
      <c r="E3924" s="21">
        <f>IF(D3924="?OLD","!!!","")</f>
        <v/>
      </c>
      <c r="F3924" s="22" t="str">
        <f>IF(OR(E3924="",E3924="!!!"),"",IF(NOT(ISNA(VLOOKUP(E3924,E$1:E3923,1,FALSE()))),"OLD",IF(AND(E3924&lt;&gt;"",E3924&lt;&gt;"!!!"),"NEW","")))</f>
        <v> </v>
      </c>
      <c r="G3924" s="23" t="str">
        <f>IF(OR(E3924="",E3924="!!!"),"",IF(OR(J3924=0,AND(J3924=1,K3924=1),AND(J3924=1,I3924="SBJ"),AND(J3924=1,I3924=0)),"?IN_FOCUS",IF(J3924&lt;=2,"?ACTIVATED",IF(J3924&lt;&gt;"","?FAMILIAR",IF(F3924="NEW",IF(ISNA(VLOOKUP(E3924,#REF!,1,FALSE())),"?TYPE_IDENTIFIABLE","?REFERENTIAL"),"_")))))</f>
        <v> </v>
      </c>
      <c r="H3924" s="24" t="str">
        <f>IF(J3924&lt;&gt;1,"",IF(I3924="SBJ","CB","?"))</f>
        <v> </v>
      </c>
      <c r="I3924" s="25" t="str">
        <f>IF(OR(E3924="",E3924="!!!",F3924="NEW"),"",INDEX(B3923:B$2,-1+SUMPRODUCT(MAX(ROW(E3923:E$2)*(E3924=E3923:E$2)))))</f>
        <v> </v>
      </c>
      <c r="J3924" s="25" t="str">
        <f>IF(OR(E3924="",E3924="!!!",F3924="NEW"),"",COUNTBLANK(OFFSET(A$1,,,SUMPRODUCT(MAX(ROW(E$2:E3924)*(E3924=E$2:E3924)))))-COUNTBLANK(OFFSET(A$1,,,SUMPRODUCT(MAX(ROW(E$1:E3923)*(E2=E$1:E3923))))))</f>
        <v> </v>
      </c>
      <c r="K3924" s="25" t="str">
        <f>IF(OR(E3924="",E3924="!!!",F3924="NEW"),"",INDEX(J$1:J3923,SUMPRODUCT(MAX(ROW(E$1:E3923)*(E3924=E$1:E3923)))))</f>
        <v> </v>
      </c>
      <c r="L3924" s="26"/>
    </row>
    <row r="3925" spans="1:12">
      <c r="A3925" s="20" t="s">
        <v>1094</v>
      </c>
      <c r="E3925" s="21">
        <f>IF(D3925="?OLD","!!!","")</f>
        <v/>
      </c>
      <c r="F3925" s="22" t="str">
        <f>IF(OR(E3925="",E3925="!!!"),"",IF(NOT(ISNA(VLOOKUP(E3925,E$1:E3924,1,FALSE()))),"OLD",IF(AND(E3925&lt;&gt;"",E3925&lt;&gt;"!!!"),"NEW","")))</f>
        <v> </v>
      </c>
      <c r="G3925" s="23" t="str">
        <f>IF(OR(E3925="",E3925="!!!"),"",IF(OR(J3925=0,AND(J3925=1,K3925=1),AND(J3925=1,I3925="SBJ"),AND(J3925=1,I3925=0)),"?IN_FOCUS",IF(J3925&lt;=2,"?ACTIVATED",IF(J3925&lt;&gt;"","?FAMILIAR",IF(F3925="NEW",IF(ISNA(VLOOKUP(E3925,#REF!,1,FALSE())),"?TYPE_IDENTIFIABLE","?REFERENTIAL"),"_")))))</f>
        <v> </v>
      </c>
      <c r="H3925" s="24" t="str">
        <f>IF(J3925&lt;&gt;1,"",IF(I3925="SBJ","CB","?"))</f>
        <v> </v>
      </c>
      <c r="I3925" s="25" t="str">
        <f>IF(OR(E3925="",E3925="!!!",F3925="NEW"),"",INDEX(B3924:B$2,-1+SUMPRODUCT(MAX(ROW(E3924:E$2)*(E3925=E3924:E$2)))))</f>
        <v> </v>
      </c>
      <c r="J3925" s="25" t="str">
        <f>IF(OR(E3925="",E3925="!!!",F3925="NEW"),"",COUNTBLANK(OFFSET(A$1,,,SUMPRODUCT(MAX(ROW(E$2:E3925)*(E3925=E$2:E3925)))))-COUNTBLANK(OFFSET(A$1,,,SUMPRODUCT(MAX(ROW(E$1:E3924)*(E2=E$1:E3924))))))</f>
        <v> </v>
      </c>
      <c r="K3925" s="25" t="str">
        <f>IF(OR(E3925="",E3925="!!!",F3925="NEW"),"",INDEX(J$1:J3924,SUMPRODUCT(MAX(ROW(E$1:E3924)*(E3925=E$1:E3924)))))</f>
        <v> </v>
      </c>
      <c r="L3925" s="26"/>
    </row>
    <row r="3926" spans="1:12">
      <c r="A3926" s="20" t="s">
        <v>1127</v>
      </c>
      <c r="E3926" s="21">
        <f>IF(D3926="?OLD","!!!","")</f>
        <v/>
      </c>
      <c r="F3926" s="22" t="str">
        <f>IF(OR(E3926="",E3926="!!!"),"",IF(NOT(ISNA(VLOOKUP(E3926,E$1:E3925,1,FALSE()))),"OLD",IF(AND(E3926&lt;&gt;"",E3926&lt;&gt;"!!!"),"NEW","")))</f>
        <v> </v>
      </c>
      <c r="G3926" s="23" t="str">
        <f>IF(OR(E3926="",E3926="!!!"),"",IF(OR(J3926=0,AND(J3926=1,K3926=1),AND(J3926=1,I3926="SBJ"),AND(J3926=1,I3926=0)),"?IN_FOCUS",IF(J3926&lt;=2,"?ACTIVATED",IF(J3926&lt;&gt;"","?FAMILIAR",IF(F3926="NEW",IF(ISNA(VLOOKUP(E3926,#REF!,1,FALSE())),"?TYPE_IDENTIFIABLE","?REFERENTIAL"),"_")))))</f>
        <v> </v>
      </c>
      <c r="H3926" s="24" t="str">
        <f>IF(J3926&lt;&gt;1,"",IF(I3926="SBJ","CB","?"))</f>
        <v> </v>
      </c>
      <c r="I3926" s="25" t="str">
        <f>IF(OR(E3926="",E3926="!!!",F3926="NEW"),"",INDEX(B3925:B$2,-1+SUMPRODUCT(MAX(ROW(E3925:E$2)*(E3926=E3925:E$2)))))</f>
        <v> </v>
      </c>
      <c r="J3926" s="25" t="str">
        <f>IF(OR(E3926="",E3926="!!!",F3926="NEW"),"",COUNTBLANK(OFFSET(A$1,,,SUMPRODUCT(MAX(ROW(E$2:E3926)*(E3926=E$2:E3926)))))-COUNTBLANK(OFFSET(A$1,,,SUMPRODUCT(MAX(ROW(E$1:E3925)*(E2=E$1:E3925))))))</f>
        <v> </v>
      </c>
      <c r="K3926" s="25" t="str">
        <f>IF(OR(E3926="",E3926="!!!",F3926="NEW"),"",INDEX(J$1:J3925,SUMPRODUCT(MAX(ROW(E$1:E3925)*(E3926=E$1:E3925)))))</f>
        <v> </v>
      </c>
      <c r="L3926" s="26"/>
    </row>
    <row r="3927" spans="1:12">
      <c r="A3927" s="20" t="s">
        <v>135</v>
      </c>
      <c r="E3927" s="21">
        <f>IF(D3927="?OLD","!!!","")</f>
        <v/>
      </c>
      <c r="F3927" s="22" t="str">
        <f>IF(OR(E3927="",E3927="!!!"),"",IF(NOT(ISNA(VLOOKUP(E3927,E$1:E3926,1,FALSE()))),"OLD",IF(AND(E3927&lt;&gt;"",E3927&lt;&gt;"!!!"),"NEW","")))</f>
        <v> </v>
      </c>
      <c r="G3927" s="23" t="str">
        <f>IF(OR(E3927="",E3927="!!!"),"",IF(OR(J3927=0,AND(J3927=1,K3927=1),AND(J3927=1,I3927="SBJ"),AND(J3927=1,I3927=0)),"?IN_FOCUS",IF(J3927&lt;=2,"?ACTIVATED",IF(J3927&lt;&gt;"","?FAMILIAR",IF(F3927="NEW",IF(ISNA(VLOOKUP(E3927,#REF!,1,FALSE())),"?TYPE_IDENTIFIABLE","?REFERENTIAL"),"_")))))</f>
        <v> </v>
      </c>
      <c r="H3927" s="24" t="str">
        <f>IF(J3927&lt;&gt;1,"",IF(I3927="SBJ","CB","?"))</f>
        <v> </v>
      </c>
      <c r="I3927" s="25" t="str">
        <f>IF(OR(E3927="",E3927="!!!",F3927="NEW"),"",INDEX(B3926:B$2,-1+SUMPRODUCT(MAX(ROW(E3926:E$2)*(E3927=E3926:E$2)))))</f>
        <v> </v>
      </c>
      <c r="J3927" s="25" t="str">
        <f>IF(OR(E3927="",E3927="!!!",F3927="NEW"),"",COUNTBLANK(OFFSET(A$1,,,SUMPRODUCT(MAX(ROW(E$2:E3927)*(E3927=E$2:E3927)))))-COUNTBLANK(OFFSET(A$1,,,SUMPRODUCT(MAX(ROW(E$1:E3926)*(E2=E$1:E3926))))))</f>
        <v> </v>
      </c>
      <c r="K3927" s="25" t="str">
        <f>IF(OR(E3927="",E3927="!!!",F3927="NEW"),"",INDEX(J$1:J3926,SUMPRODUCT(MAX(ROW(E$1:E3926)*(E3927=E$1:E3926)))))</f>
        <v> </v>
      </c>
      <c r="L3927" s="26"/>
    </row>
    <row r="3928" spans="1:12">
      <c r="A3928" s="20"/>
    </row>
    <row r="3929" spans="1:12">
      <c r="A3929" s="20" t="s">
        <v>2322</v>
      </c>
    </row>
    <row r="3930" spans="1:12">
      <c r="A3930" s="20" t="s">
        <v>1699</v>
      </c>
      <c r="E3930" s="21">
        <f>IF(D3930="?OLD","!!!","")</f>
        <v/>
      </c>
      <c r="F3930" s="22" t="str">
        <f>IF(OR(E3930="",E3930="!!!"),"",IF(NOT(ISNA(VLOOKUP(E3930,E$1:E3929,1,FALSE()))),"OLD",IF(AND(E3930&lt;&gt;"",E3930&lt;&gt;"!!!"),"NEW","")))</f>
        <v> </v>
      </c>
      <c r="G3930" s="23" t="str">
        <f>IF(OR(E3930="",E3930="!!!"),"",IF(OR(J3930=0,AND(J3930=1,K3930=1),AND(J3930=1,I3930="SBJ"),AND(J3930=1,I3930=0)),"?IN_FOCUS",IF(J3930&lt;=2,"?ACTIVATED",IF(J3930&lt;&gt;"","?FAMILIAR",IF(F3930="NEW",IF(ISNA(VLOOKUP(E3930,#REF!,1,FALSE())),"?TYPE_IDENTIFIABLE","?REFERENTIAL"),"_")))))</f>
        <v> </v>
      </c>
      <c r="H3930" s="24" t="str">
        <f>IF(J3930&lt;&gt;1,"",IF(I3930="SBJ","CB","?"))</f>
        <v> </v>
      </c>
      <c r="I3930" s="25" t="str">
        <f>IF(OR(E3930="",E3930="!!!",F3930="NEW"),"",INDEX(B3929:B$2,-1+SUMPRODUCT(MAX(ROW(E3929:E$2)*(E3930=E3929:E$2)))))</f>
        <v> </v>
      </c>
      <c r="J3930" s="25" t="str">
        <f>IF(OR(E3930="",E3930="!!!",F3930="NEW"),"",COUNTBLANK(OFFSET(A$1,,,SUMPRODUCT(MAX(ROW(E$2:E3930)*(E3930=E$2:E3930)))))-COUNTBLANK(OFFSET(A$1,,,SUMPRODUCT(MAX(ROW(E$1:E3929)*(E2=E$1:E3929))))))</f>
        <v> </v>
      </c>
      <c r="K3930" s="25" t="str">
        <f>IF(OR(E3930="",E3930="!!!",F3930="NEW"),"",INDEX(J$1:J3929,SUMPRODUCT(MAX(ROW(E$1:E3929)*(E3930=E$1:E3929)))))</f>
        <v> </v>
      </c>
      <c r="L3930" s="26"/>
    </row>
    <row r="3931" spans="1:12">
      <c r="A3931" s="20" t="s">
        <v>2323</v>
      </c>
      <c r="E3931" s="21">
        <f>IF(D3931="?OLD","!!!","")</f>
        <v/>
      </c>
      <c r="F3931" s="22" t="str">
        <f>IF(OR(E3931="",E3931="!!!"),"",IF(NOT(ISNA(VLOOKUP(E3931,E$1:E3930,1,FALSE()))),"OLD",IF(AND(E3931&lt;&gt;"",E3931&lt;&gt;"!!!"),"NEW","")))</f>
        <v> </v>
      </c>
      <c r="G3931" s="23" t="str">
        <f>IF(OR(E3931="",E3931="!!!"),"",IF(OR(J3931=0,AND(J3931=1,K3931=1),AND(J3931=1,I3931="SBJ"),AND(J3931=1,I3931=0)),"?IN_FOCUS",IF(J3931&lt;=2,"?ACTIVATED",IF(J3931&lt;&gt;"","?FAMILIAR",IF(F3931="NEW",IF(ISNA(VLOOKUP(E3931,#REF!,1,FALSE())),"?TYPE_IDENTIFIABLE","?REFERENTIAL"),"_")))))</f>
        <v> </v>
      </c>
      <c r="H3931" s="24" t="str">
        <f>IF(J3931&lt;&gt;1,"",IF(I3931="SBJ","CB","?"))</f>
        <v> </v>
      </c>
      <c r="I3931" s="25" t="str">
        <f>IF(OR(E3931="",E3931="!!!",F3931="NEW"),"",INDEX(B3930:B$2,-1+SUMPRODUCT(MAX(ROW(E3930:E$2)*(E3931=E3930:E$2)))))</f>
        <v> </v>
      </c>
      <c r="J3931" s="25" t="str">
        <f>IF(OR(E3931="",E3931="!!!",F3931="NEW"),"",COUNTBLANK(OFFSET(A$1,,,SUMPRODUCT(MAX(ROW(E$2:E3931)*(E3931=E$2:E3931)))))-COUNTBLANK(OFFSET(A$1,,,SUMPRODUCT(MAX(ROW(E$1:E3930)*(E2=E$1:E3930))))))</f>
        <v> </v>
      </c>
      <c r="K3931" s="25" t="str">
        <f>IF(OR(E3931="",E3931="!!!",F3931="NEW"),"",INDEX(J$1:J3930,SUMPRODUCT(MAX(ROW(E$1:E3930)*(E3931=E$1:E3930)))))</f>
        <v> </v>
      </c>
      <c r="L3931" s="26"/>
    </row>
    <row r="3932" spans="1:12">
      <c r="A3932" s="20" t="s">
        <v>1131</v>
      </c>
      <c r="E3932" s="21">
        <f>IF(D3932="?OLD","!!!","")</f>
        <v/>
      </c>
      <c r="F3932" s="22" t="str">
        <f>IF(OR(E3932="",E3932="!!!"),"",IF(NOT(ISNA(VLOOKUP(E3932,E$1:E3931,1,FALSE()))),"OLD",IF(AND(E3932&lt;&gt;"",E3932&lt;&gt;"!!!"),"NEW","")))</f>
        <v> </v>
      </c>
      <c r="G3932" s="23" t="str">
        <f>IF(OR(E3932="",E3932="!!!"),"",IF(OR(J3932=0,AND(J3932=1,K3932=1),AND(J3932=1,I3932="SBJ"),AND(J3932=1,I3932=0)),"?IN_FOCUS",IF(J3932&lt;=2,"?ACTIVATED",IF(J3932&lt;&gt;"","?FAMILIAR",IF(F3932="NEW",IF(ISNA(VLOOKUP(E3932,#REF!,1,FALSE())),"?TYPE_IDENTIFIABLE","?REFERENTIAL"),"_")))))</f>
        <v> </v>
      </c>
      <c r="H3932" s="24" t="str">
        <f>IF(J3932&lt;&gt;1,"",IF(I3932="SBJ","CB","?"))</f>
        <v> </v>
      </c>
      <c r="I3932" s="25" t="str">
        <f>IF(OR(E3932="",E3932="!!!",F3932="NEW"),"",INDEX(B3931:B$2,-1+SUMPRODUCT(MAX(ROW(E3931:E$2)*(E3932=E3931:E$2)))))</f>
        <v> </v>
      </c>
      <c r="J3932" s="25" t="str">
        <f>IF(OR(E3932="",E3932="!!!",F3932="NEW"),"",COUNTBLANK(OFFSET(A$1,,,SUMPRODUCT(MAX(ROW(E$2:E3932)*(E3932=E$2:E3932)))))-COUNTBLANK(OFFSET(A$1,,,SUMPRODUCT(MAX(ROW(E$1:E3931)*(E2=E$1:E3931))))))</f>
        <v> </v>
      </c>
      <c r="K3932" s="25" t="str">
        <f>IF(OR(E3932="",E3932="!!!",F3932="NEW"),"",INDEX(J$1:J3931,SUMPRODUCT(MAX(ROW(E$1:E3931)*(E3932=E$1:E3931)))))</f>
        <v> </v>
      </c>
      <c r="L3932" s="26"/>
    </row>
    <row r="3933" spans="1:12">
      <c r="A3933" s="20" t="s">
        <v>1036</v>
      </c>
      <c r="E3933" s="21">
        <f>IF(D3933="?OLD","!!!","")</f>
        <v/>
      </c>
      <c r="F3933" s="22" t="str">
        <f>IF(OR(E3933="",E3933="!!!"),"",IF(NOT(ISNA(VLOOKUP(E3933,E$1:E3932,1,FALSE()))),"OLD",IF(AND(E3933&lt;&gt;"",E3933&lt;&gt;"!!!"),"NEW","")))</f>
        <v> </v>
      </c>
      <c r="G3933" s="23" t="str">
        <f>IF(OR(E3933="",E3933="!!!"),"",IF(OR(J3933=0,AND(J3933=1,K3933=1),AND(J3933=1,I3933="SBJ"),AND(J3933=1,I3933=0)),"?IN_FOCUS",IF(J3933&lt;=2,"?ACTIVATED",IF(J3933&lt;&gt;"","?FAMILIAR",IF(F3933="NEW",IF(ISNA(VLOOKUP(E3933,#REF!,1,FALSE())),"?TYPE_IDENTIFIABLE","?REFERENTIAL"),"_")))))</f>
        <v> </v>
      </c>
      <c r="H3933" s="24" t="str">
        <f>IF(J3933&lt;&gt;1,"",IF(I3933="SBJ","CB","?"))</f>
        <v> </v>
      </c>
      <c r="I3933" s="25" t="str">
        <f>IF(OR(E3933="",E3933="!!!",F3933="NEW"),"",INDEX(B3932:B$2,-1+SUMPRODUCT(MAX(ROW(E3932:E$2)*(E3933=E3932:E$2)))))</f>
        <v> </v>
      </c>
      <c r="J3933" s="25" t="str">
        <f>IF(OR(E3933="",E3933="!!!",F3933="NEW"),"",COUNTBLANK(OFFSET(A$1,,,SUMPRODUCT(MAX(ROW(E$2:E3933)*(E3933=E$2:E3933)))))-COUNTBLANK(OFFSET(A$1,,,SUMPRODUCT(MAX(ROW(E$1:E3932)*(E2=E$1:E3932))))))</f>
        <v> </v>
      </c>
      <c r="K3933" s="25" t="str">
        <f>IF(OR(E3933="",E3933="!!!",F3933="NEW"),"",INDEX(J$1:J3932,SUMPRODUCT(MAX(ROW(E$1:E3932)*(E3933=E$1:E3932)))))</f>
        <v> </v>
      </c>
      <c r="L3933" s="26"/>
    </row>
    <row r="3934" spans="1:12">
      <c r="A3934" s="20" t="s">
        <v>2324</v>
      </c>
      <c r="B3934" s="27" t="s">
        <v>1045</v>
      </c>
      <c r="C3934" s="27" t="s">
        <v>1038</v>
      </c>
      <c r="D3934" s="27" t="s">
        <v>1030</v>
      </c>
      <c r="E3934" s="21">
        <f>IF(D3934="?OLD","!!!","")</f>
        <v/>
      </c>
      <c r="F3934" s="22" t="str">
        <f>IF(OR(E3934="",E3934="!!!"),"",IF(NOT(ISNA(VLOOKUP(E3934,E$1:E3933,1,FALSE()))),"OLD",IF(AND(E3934&lt;&gt;"",E3934&lt;&gt;"!!!"),"NEW","")))</f>
        <v> </v>
      </c>
      <c r="G3934" s="23" t="str">
        <f>IF(OR(E3934="",E3934="!!!"),"",IF(OR(J3934=0,AND(J3934=1,K3934=1),AND(J3934=1,I3934="SBJ"),AND(J3934=1,I3934=0)),"?IN_FOCUS",IF(J3934&lt;=2,"?ACTIVATED",IF(J3934&lt;&gt;"","?FAMILIAR",IF(F3934="NEW",IF(ISNA(VLOOKUP(E3934,#REF!,1,FALSE())),"?TYPE_IDENTIFIABLE","?REFERENTIAL"),"_")))))</f>
        <v> </v>
      </c>
      <c r="H3934" s="24" t="str">
        <f>IF(J3934&lt;&gt;1,"",IF(I3934="SBJ","CB","?"))</f>
        <v> </v>
      </c>
      <c r="I3934" s="25" t="str">
        <f>IF(OR(E3934="",E3934="!!!",F3934="NEW"),"",INDEX(B3933:B$2,-1+SUMPRODUCT(MAX(ROW(E3933:E$2)*(E3934=E3933:E$2)))))</f>
        <v> </v>
      </c>
      <c r="J3934" s="25" t="str">
        <f>IF(OR(E3934="",E3934="!!!",F3934="NEW"),"",COUNTBLANK(OFFSET(A$1,,,SUMPRODUCT(MAX(ROW(E$2:E3934)*(E3934=E$2:E3934)))))-COUNTBLANK(OFFSET(A$1,,,SUMPRODUCT(MAX(ROW(E$1:E3933)*(E2=E$1:E3933))))))</f>
        <v> </v>
      </c>
      <c r="K3934" s="25" t="str">
        <f>IF(OR(E3934="",E3934="!!!",F3934="NEW"),"",INDEX(J$1:J3933,SUMPRODUCT(MAX(ROW(E$1:E3933)*(E3934=E$1:E3933)))))</f>
        <v> </v>
      </c>
      <c r="L3934" s="26"/>
    </row>
    <row r="3935" spans="1:12">
      <c r="A3935" s="20" t="s">
        <v>1380</v>
      </c>
      <c r="E3935" s="21">
        <f>IF(D3935="?OLD","!!!","")</f>
        <v/>
      </c>
      <c r="F3935" s="22" t="str">
        <f>IF(OR(E3935="",E3935="!!!"),"",IF(NOT(ISNA(VLOOKUP(E3935,E$1:E3934,1,FALSE()))),"OLD",IF(AND(E3935&lt;&gt;"",E3935&lt;&gt;"!!!"),"NEW","")))</f>
        <v> </v>
      </c>
      <c r="G3935" s="23" t="str">
        <f>IF(OR(E3935="",E3935="!!!"),"",IF(OR(J3935=0,AND(J3935=1,K3935=1),AND(J3935=1,I3935="SBJ"),AND(J3935=1,I3935=0)),"?IN_FOCUS",IF(J3935&lt;=2,"?ACTIVATED",IF(J3935&lt;&gt;"","?FAMILIAR",IF(F3935="NEW",IF(ISNA(VLOOKUP(E3935,#REF!,1,FALSE())),"?TYPE_IDENTIFIABLE","?REFERENTIAL"),"_")))))</f>
        <v> </v>
      </c>
      <c r="H3935" s="24" t="str">
        <f>IF(J3935&lt;&gt;1,"",IF(I3935="SBJ","CB","?"))</f>
        <v> </v>
      </c>
      <c r="I3935" s="25" t="str">
        <f>IF(OR(E3935="",E3935="!!!",F3935="NEW"),"",INDEX(B3934:B$2,-1+SUMPRODUCT(MAX(ROW(E3934:E$2)*(E3935=E3934:E$2)))))</f>
        <v> </v>
      </c>
      <c r="J3935" s="25" t="str">
        <f>IF(OR(E3935="",E3935="!!!",F3935="NEW"),"",COUNTBLANK(OFFSET(A$1,,,SUMPRODUCT(MAX(ROW(E$2:E3935)*(E3935=E$2:E3935)))))-COUNTBLANK(OFFSET(A$1,,,SUMPRODUCT(MAX(ROW(E$1:E3934)*(E2=E$1:E3934))))))</f>
        <v> </v>
      </c>
      <c r="K3935" s="25" t="str">
        <f>IF(OR(E3935="",E3935="!!!",F3935="NEW"),"",INDEX(J$1:J3934,SUMPRODUCT(MAX(ROW(E$1:E3934)*(E3935=E$1:E3934)))))</f>
        <v> </v>
      </c>
      <c r="L3935" s="26"/>
    </row>
    <row r="3936" spans="1:12">
      <c r="A3936" s="20" t="s">
        <v>1022</v>
      </c>
      <c r="E3936" s="21">
        <f>IF(D3936="?OLD","!!!","")</f>
        <v/>
      </c>
      <c r="F3936" s="22" t="str">
        <f>IF(OR(E3936="",E3936="!!!"),"",IF(NOT(ISNA(VLOOKUP(E3936,E$1:E3935,1,FALSE()))),"OLD",IF(AND(E3936&lt;&gt;"",E3936&lt;&gt;"!!!"),"NEW","")))</f>
        <v> </v>
      </c>
      <c r="G3936" s="23" t="str">
        <f>IF(OR(E3936="",E3936="!!!"),"",IF(OR(J3936=0,AND(J3936=1,K3936=1),AND(J3936=1,I3936="SBJ"),AND(J3936=1,I3936=0)),"?IN_FOCUS",IF(J3936&lt;=2,"?ACTIVATED",IF(J3936&lt;&gt;"","?FAMILIAR",IF(F3936="NEW",IF(ISNA(VLOOKUP(E3936,#REF!,1,FALSE())),"?TYPE_IDENTIFIABLE","?REFERENTIAL"),"_")))))</f>
        <v> </v>
      </c>
      <c r="H3936" s="24" t="str">
        <f>IF(J3936&lt;&gt;1,"",IF(I3936="SBJ","CB","?"))</f>
        <v> </v>
      </c>
      <c r="I3936" s="25" t="str">
        <f>IF(OR(E3936="",E3936="!!!",F3936="NEW"),"",INDEX(B3935:B$2,-1+SUMPRODUCT(MAX(ROW(E3935:E$2)*(E3936=E3935:E$2)))))</f>
        <v> </v>
      </c>
      <c r="J3936" s="25" t="str">
        <f>IF(OR(E3936="",E3936="!!!",F3936="NEW"),"",COUNTBLANK(OFFSET(A$1,,,SUMPRODUCT(MAX(ROW(E$2:E3936)*(E3936=E$2:E3936)))))-COUNTBLANK(OFFSET(A$1,,,SUMPRODUCT(MAX(ROW(E$1:E3935)*(E2=E$1:E3935))))))</f>
        <v> </v>
      </c>
      <c r="K3936" s="25" t="str">
        <f>IF(OR(E3936="",E3936="!!!",F3936="NEW"),"",INDEX(J$1:J3935,SUMPRODUCT(MAX(ROW(E$1:E3935)*(E3936=E$1:E3935)))))</f>
        <v> </v>
      </c>
      <c r="L3936" s="26"/>
    </row>
    <row r="3937" spans="1:12">
      <c r="A3937" s="20" t="s">
        <v>1429</v>
      </c>
      <c r="E3937" s="21">
        <f>IF(D3937="?OLD","!!!","")</f>
        <v/>
      </c>
      <c r="F3937" s="22" t="str">
        <f>IF(OR(E3937="",E3937="!!!"),"",IF(NOT(ISNA(VLOOKUP(E3937,E$1:E3936,1,FALSE()))),"OLD",IF(AND(E3937&lt;&gt;"",E3937&lt;&gt;"!!!"),"NEW","")))</f>
        <v> </v>
      </c>
      <c r="G3937" s="23" t="str">
        <f>IF(OR(E3937="",E3937="!!!"),"",IF(OR(J3937=0,AND(J3937=1,K3937=1),AND(J3937=1,I3937="SBJ"),AND(J3937=1,I3937=0)),"?IN_FOCUS",IF(J3937&lt;=2,"?ACTIVATED",IF(J3937&lt;&gt;"","?FAMILIAR",IF(F3937="NEW",IF(ISNA(VLOOKUP(E3937,#REF!,1,FALSE())),"?TYPE_IDENTIFIABLE","?REFERENTIAL"),"_")))))</f>
        <v> </v>
      </c>
      <c r="H3937" s="24" t="str">
        <f>IF(J3937&lt;&gt;1,"",IF(I3937="SBJ","CB","?"))</f>
        <v> </v>
      </c>
      <c r="I3937" s="25" t="str">
        <f>IF(OR(E3937="",E3937="!!!",F3937="NEW"),"",INDEX(B3936:B$2,-1+SUMPRODUCT(MAX(ROW(E3936:E$2)*(E3937=E3936:E$2)))))</f>
        <v> </v>
      </c>
      <c r="J3937" s="25" t="str">
        <f>IF(OR(E3937="",E3937="!!!",F3937="NEW"),"",COUNTBLANK(OFFSET(A$1,,,SUMPRODUCT(MAX(ROW(E$2:E3937)*(E3937=E$2:E3937)))))-COUNTBLANK(OFFSET(A$1,,,SUMPRODUCT(MAX(ROW(E$1:E3936)*(E2=E$1:E3936))))))</f>
        <v> </v>
      </c>
      <c r="K3937" s="25" t="str">
        <f>IF(OR(E3937="",E3937="!!!",F3937="NEW"),"",INDEX(J$1:J3936,SUMPRODUCT(MAX(ROW(E$1:E3936)*(E3937=E$1:E3936)))))</f>
        <v> </v>
      </c>
      <c r="L3937" s="26"/>
    </row>
    <row r="3938" spans="1:12">
      <c r="A3938" s="20" t="s">
        <v>1237</v>
      </c>
      <c r="E3938" s="21">
        <f>IF(D3938="?OLD","!!!","")</f>
        <v/>
      </c>
      <c r="F3938" s="22" t="str">
        <f>IF(OR(E3938="",E3938="!!!"),"",IF(NOT(ISNA(VLOOKUP(E3938,E$1:E3937,1,FALSE()))),"OLD",IF(AND(E3938&lt;&gt;"",E3938&lt;&gt;"!!!"),"NEW","")))</f>
        <v> </v>
      </c>
      <c r="G3938" s="23" t="str">
        <f>IF(OR(E3938="",E3938="!!!"),"",IF(OR(J3938=0,AND(J3938=1,K3938=1),AND(J3938=1,I3938="SBJ"),AND(J3938=1,I3938=0)),"?IN_FOCUS",IF(J3938&lt;=2,"?ACTIVATED",IF(J3938&lt;&gt;"","?FAMILIAR",IF(F3938="NEW",IF(ISNA(VLOOKUP(E3938,#REF!,1,FALSE())),"?TYPE_IDENTIFIABLE","?REFERENTIAL"),"_")))))</f>
        <v> </v>
      </c>
      <c r="H3938" s="24" t="str">
        <f>IF(J3938&lt;&gt;1,"",IF(I3938="SBJ","CB","?"))</f>
        <v> </v>
      </c>
      <c r="I3938" s="25" t="str">
        <f>IF(OR(E3938="",E3938="!!!",F3938="NEW"),"",INDEX(B3937:B$2,-1+SUMPRODUCT(MAX(ROW(E3937:E$2)*(E3938=E3937:E$2)))))</f>
        <v> </v>
      </c>
      <c r="J3938" s="25" t="str">
        <f>IF(OR(E3938="",E3938="!!!",F3938="NEW"),"",COUNTBLANK(OFFSET(A$1,,,SUMPRODUCT(MAX(ROW(E$2:E3938)*(E3938=E$2:E3938)))))-COUNTBLANK(OFFSET(A$1,,,SUMPRODUCT(MAX(ROW(E$1:E3937)*(E2=E$1:E3937))))))</f>
        <v> </v>
      </c>
      <c r="K3938" s="25" t="str">
        <f>IF(OR(E3938="",E3938="!!!",F3938="NEW"),"",INDEX(J$1:J3937,SUMPRODUCT(MAX(ROW(E$1:E3937)*(E3938=E$1:E3937)))))</f>
        <v> </v>
      </c>
      <c r="L3938" s="26"/>
    </row>
    <row r="3939" spans="1:12">
      <c r="A3939" s="20" t="s">
        <v>1622</v>
      </c>
      <c r="E3939" s="21">
        <f>IF(D3939="?OLD","!!!","")</f>
        <v/>
      </c>
      <c r="F3939" s="22" t="str">
        <f>IF(OR(E3939="",E3939="!!!"),"",IF(NOT(ISNA(VLOOKUP(E3939,E$1:E3938,1,FALSE()))),"OLD",IF(AND(E3939&lt;&gt;"",E3939&lt;&gt;"!!!"),"NEW","")))</f>
        <v> </v>
      </c>
      <c r="G3939" s="23" t="str">
        <f>IF(OR(E3939="",E3939="!!!"),"",IF(OR(J3939=0,AND(J3939=1,K3939=1),AND(J3939=1,I3939="SBJ"),AND(J3939=1,I3939=0)),"?IN_FOCUS",IF(J3939&lt;=2,"?ACTIVATED",IF(J3939&lt;&gt;"","?FAMILIAR",IF(F3939="NEW",IF(ISNA(VLOOKUP(E3939,#REF!,1,FALSE())),"?TYPE_IDENTIFIABLE","?REFERENTIAL"),"_")))))</f>
        <v> </v>
      </c>
      <c r="H3939" s="24" t="str">
        <f>IF(J3939&lt;&gt;1,"",IF(I3939="SBJ","CB","?"))</f>
        <v> </v>
      </c>
      <c r="I3939" s="25" t="str">
        <f>IF(OR(E3939="",E3939="!!!",F3939="NEW"),"",INDEX(B3938:B$2,-1+SUMPRODUCT(MAX(ROW(E3938:E$2)*(E3939=E3938:E$2)))))</f>
        <v> </v>
      </c>
      <c r="J3939" s="25" t="str">
        <f>IF(OR(E3939="",E3939="!!!",F3939="NEW"),"",COUNTBLANK(OFFSET(A$1,,,SUMPRODUCT(MAX(ROW(E$2:E3939)*(E3939=E$2:E3939)))))-COUNTBLANK(OFFSET(A$1,,,SUMPRODUCT(MAX(ROW(E$1:E3938)*(E2=E$1:E3938))))))</f>
        <v> </v>
      </c>
      <c r="K3939" s="25" t="str">
        <f>IF(OR(E3939="",E3939="!!!",F3939="NEW"),"",INDEX(J$1:J3938,SUMPRODUCT(MAX(ROW(E$1:E3938)*(E3939=E$1:E3938)))))</f>
        <v> </v>
      </c>
      <c r="L3939" s="26"/>
    </row>
    <row r="3940" spans="1:12">
      <c r="A3940" s="20" t="s">
        <v>1153</v>
      </c>
      <c r="B3940" s="27" t="s">
        <v>1069</v>
      </c>
      <c r="C3940" s="27" t="s">
        <v>1021</v>
      </c>
      <c r="E3940" s="21">
        <f>IF(D3940="?OLD","!!!","")</f>
        <v/>
      </c>
      <c r="F3940" s="22" t="str">
        <f>IF(OR(E3940="",E3940="!!!"),"",IF(NOT(ISNA(VLOOKUP(E3940,E$1:E3939,1,FALSE()))),"OLD",IF(AND(E3940&lt;&gt;"",E3940&lt;&gt;"!!!"),"NEW","")))</f>
        <v> </v>
      </c>
      <c r="G3940" s="23" t="str">
        <f>IF(OR(E3940="",E3940="!!!"),"",IF(OR(J3940=0,AND(J3940=1,K3940=1),AND(J3940=1,I3940="SBJ"),AND(J3940=1,I3940=0)),"?IN_FOCUS",IF(J3940&lt;=2,"?ACTIVATED",IF(J3940&lt;&gt;"","?FAMILIAR",IF(F3940="NEW",IF(ISNA(VLOOKUP(E3940,#REF!,1,FALSE())),"?TYPE_IDENTIFIABLE","?REFERENTIAL"),"_")))))</f>
        <v> </v>
      </c>
      <c r="H3940" s="24" t="str">
        <f>IF(J3940&lt;&gt;1,"",IF(I3940="SBJ","CB","?"))</f>
        <v> </v>
      </c>
      <c r="I3940" s="25" t="str">
        <f>IF(OR(E3940="",E3940="!!!",F3940="NEW"),"",INDEX(B3939:B$2,-1+SUMPRODUCT(MAX(ROW(E3939:E$2)*(E3940=E3939:E$2)))))</f>
        <v> </v>
      </c>
      <c r="J3940" s="25" t="str">
        <f>IF(OR(E3940="",E3940="!!!",F3940="NEW"),"",COUNTBLANK(OFFSET(A$1,,,SUMPRODUCT(MAX(ROW(E$2:E3940)*(E3940=E$2:E3940)))))-COUNTBLANK(OFFSET(A$1,,,SUMPRODUCT(MAX(ROW(E$1:E3939)*(E2=E$1:E3939))))))</f>
        <v> </v>
      </c>
      <c r="K3940" s="25" t="str">
        <f>IF(OR(E3940="",E3940="!!!",F3940="NEW"),"",INDEX(J$1:J3939,SUMPRODUCT(MAX(ROW(E$1:E3939)*(E3940=E$1:E3939)))))</f>
        <v> </v>
      </c>
      <c r="L3940" s="26"/>
    </row>
    <row r="3941" spans="1:12">
      <c r="A3941" s="20" t="s">
        <v>1211</v>
      </c>
      <c r="E3941" s="21">
        <f>IF(D3941="?OLD","!!!","")</f>
        <v/>
      </c>
      <c r="F3941" s="22" t="str">
        <f>IF(OR(E3941="",E3941="!!!"),"",IF(NOT(ISNA(VLOOKUP(E3941,E$1:E3940,1,FALSE()))),"OLD",IF(AND(E3941&lt;&gt;"",E3941&lt;&gt;"!!!"),"NEW","")))</f>
        <v> </v>
      </c>
      <c r="G3941" s="23" t="str">
        <f>IF(OR(E3941="",E3941="!!!"),"",IF(OR(J3941=0,AND(J3941=1,K3941=1),AND(J3941=1,I3941="SBJ"),AND(J3941=1,I3941=0)),"?IN_FOCUS",IF(J3941&lt;=2,"?ACTIVATED",IF(J3941&lt;&gt;"","?FAMILIAR",IF(F3941="NEW",IF(ISNA(VLOOKUP(E3941,#REF!,1,FALSE())),"?TYPE_IDENTIFIABLE","?REFERENTIAL"),"_")))))</f>
        <v> </v>
      </c>
      <c r="H3941" s="24" t="str">
        <f>IF(J3941&lt;&gt;1,"",IF(I3941="SBJ","CB","?"))</f>
        <v> </v>
      </c>
      <c r="I3941" s="25" t="str">
        <f>IF(OR(E3941="",E3941="!!!",F3941="NEW"),"",INDEX(B3940:B$2,-1+SUMPRODUCT(MAX(ROW(E3940:E$2)*(E3941=E3940:E$2)))))</f>
        <v> </v>
      </c>
      <c r="J3941" s="25" t="str">
        <f>IF(OR(E3941="",E3941="!!!",F3941="NEW"),"",COUNTBLANK(OFFSET(A$1,,,SUMPRODUCT(MAX(ROW(E$2:E3941)*(E3941=E$2:E3941)))))-COUNTBLANK(OFFSET(A$1,,,SUMPRODUCT(MAX(ROW(E$1:E3940)*(E2=E$1:E3940))))))</f>
        <v> </v>
      </c>
      <c r="K3941" s="25" t="str">
        <f>IF(OR(E3941="",E3941="!!!",F3941="NEW"),"",INDEX(J$1:J3940,SUMPRODUCT(MAX(ROW(E$1:E3940)*(E3941=E$1:E3940)))))</f>
        <v> </v>
      </c>
      <c r="L3941" s="26"/>
    </row>
    <row r="3942" spans="1:12">
      <c r="A3942" s="20" t="s">
        <v>135</v>
      </c>
      <c r="E3942" s="21">
        <f>IF(D3942="?OLD","!!!","")</f>
        <v/>
      </c>
      <c r="F3942" s="22" t="str">
        <f>IF(OR(E3942="",E3942="!!!"),"",IF(NOT(ISNA(VLOOKUP(E3942,E$1:E3941,1,FALSE()))),"OLD",IF(AND(E3942&lt;&gt;"",E3942&lt;&gt;"!!!"),"NEW","")))</f>
        <v> </v>
      </c>
      <c r="G3942" s="23" t="str">
        <f>IF(OR(E3942="",E3942="!!!"),"",IF(OR(J3942=0,AND(J3942=1,K3942=1),AND(J3942=1,I3942="SBJ"),AND(J3942=1,I3942=0)),"?IN_FOCUS",IF(J3942&lt;=2,"?ACTIVATED",IF(J3942&lt;&gt;"","?FAMILIAR",IF(F3942="NEW",IF(ISNA(VLOOKUP(E3942,#REF!,1,FALSE())),"?TYPE_IDENTIFIABLE","?REFERENTIAL"),"_")))))</f>
        <v> </v>
      </c>
      <c r="H3942" s="24" t="str">
        <f>IF(J3942&lt;&gt;1,"",IF(I3942="SBJ","CB","?"))</f>
        <v> </v>
      </c>
      <c r="I3942" s="25" t="str">
        <f>IF(OR(E3942="",E3942="!!!",F3942="NEW"),"",INDEX(B3941:B$2,-1+SUMPRODUCT(MAX(ROW(E3941:E$2)*(E3942=E3941:E$2)))))</f>
        <v> </v>
      </c>
      <c r="J3942" s="25" t="str">
        <f>IF(OR(E3942="",E3942="!!!",F3942="NEW"),"",COUNTBLANK(OFFSET(A$1,,,SUMPRODUCT(MAX(ROW(E$2:E3942)*(E3942=E$2:E3942)))))-COUNTBLANK(OFFSET(A$1,,,SUMPRODUCT(MAX(ROW(E$1:E3941)*(E2=E$1:E3941))))))</f>
        <v> </v>
      </c>
      <c r="K3942" s="25" t="str">
        <f>IF(OR(E3942="",E3942="!!!",F3942="NEW"),"",INDEX(J$1:J3941,SUMPRODUCT(MAX(ROW(E$1:E3941)*(E3942=E$1:E3941)))))</f>
        <v> </v>
      </c>
      <c r="L3942" s="26"/>
    </row>
    <row r="3943" spans="1:12">
      <c r="A3943" s="20"/>
    </row>
    <row r="3944" spans="1:12">
      <c r="A3944" s="20" t="s">
        <v>2325</v>
      </c>
    </row>
    <row r="3945" spans="1:12">
      <c r="A3945" s="20" t="s">
        <v>2326</v>
      </c>
      <c r="E3945" s="21">
        <f>IF(D3945="?OLD","!!!","")</f>
        <v/>
      </c>
      <c r="F3945" s="22" t="str">
        <f>IF(OR(E3945="",E3945="!!!"),"",IF(NOT(ISNA(VLOOKUP(E3945,E$1:E3944,1,FALSE()))),"OLD",IF(AND(E3945&lt;&gt;"",E3945&lt;&gt;"!!!"),"NEW","")))</f>
        <v> </v>
      </c>
      <c r="G3945" s="23" t="str">
        <f>IF(OR(E3945="",E3945="!!!"),"",IF(OR(J3945=0,AND(J3945=1,K3945=1),AND(J3945=1,I3945="SBJ"),AND(J3945=1,I3945=0)),"?IN_FOCUS",IF(J3945&lt;=2,"?ACTIVATED",IF(J3945&lt;&gt;"","?FAMILIAR",IF(F3945="NEW",IF(ISNA(VLOOKUP(E3945,#REF!,1,FALSE())),"?TYPE_IDENTIFIABLE","?REFERENTIAL"),"_")))))</f>
        <v> </v>
      </c>
      <c r="H3945" s="24" t="str">
        <f>IF(J3945&lt;&gt;1,"",IF(I3945="SBJ","CB","?"))</f>
        <v> </v>
      </c>
      <c r="I3945" s="25" t="str">
        <f>IF(OR(E3945="",E3945="!!!",F3945="NEW"),"",INDEX(B3944:B$2,-1+SUMPRODUCT(MAX(ROW(E3944:E$2)*(E3945=E3944:E$2)))))</f>
        <v> </v>
      </c>
      <c r="J3945" s="25" t="str">
        <f>IF(OR(E3945="",E3945="!!!",F3945="NEW"),"",COUNTBLANK(OFFSET(A$1,,,SUMPRODUCT(MAX(ROW(E$2:E3945)*(E3945=E$2:E3945)))))-COUNTBLANK(OFFSET(A$1,,,SUMPRODUCT(MAX(ROW(E$1:E3944)*(E2=E$1:E3944))))))</f>
        <v> </v>
      </c>
      <c r="K3945" s="25" t="str">
        <f>IF(OR(E3945="",E3945="!!!",F3945="NEW"),"",INDEX(J$1:J3944,SUMPRODUCT(MAX(ROW(E$1:E3944)*(E3945=E$1:E3944)))))</f>
        <v> </v>
      </c>
      <c r="L3945" s="26"/>
    </row>
    <row r="3946" spans="1:12">
      <c r="A3946" s="20" t="s">
        <v>983</v>
      </c>
      <c r="E3946" s="21">
        <f>IF(D3946="?OLD","!!!","")</f>
        <v/>
      </c>
      <c r="F3946" s="22" t="str">
        <f>IF(OR(E3946="",E3946="!!!"),"",IF(NOT(ISNA(VLOOKUP(E3946,E$1:E3945,1,FALSE()))),"OLD",IF(AND(E3946&lt;&gt;"",E3946&lt;&gt;"!!!"),"NEW","")))</f>
        <v> </v>
      </c>
      <c r="G3946" s="23" t="str">
        <f>IF(OR(E3946="",E3946="!!!"),"",IF(OR(J3946=0,AND(J3946=1,K3946=1),AND(J3946=1,I3946="SBJ"),AND(J3946=1,I3946=0)),"?IN_FOCUS",IF(J3946&lt;=2,"?ACTIVATED",IF(J3946&lt;&gt;"","?FAMILIAR",IF(F3946="NEW",IF(ISNA(VLOOKUP(E3946,#REF!,1,FALSE())),"?TYPE_IDENTIFIABLE","?REFERENTIAL"),"_")))))</f>
        <v> </v>
      </c>
      <c r="H3946" s="24" t="str">
        <f>IF(J3946&lt;&gt;1,"",IF(I3946="SBJ","CB","?"))</f>
        <v> </v>
      </c>
      <c r="I3946" s="25" t="str">
        <f>IF(OR(E3946="",E3946="!!!",F3946="NEW"),"",INDEX(B3945:B$2,-1+SUMPRODUCT(MAX(ROW(E3945:E$2)*(E3946=E3945:E$2)))))</f>
        <v> </v>
      </c>
      <c r="J3946" s="25" t="str">
        <f>IF(OR(E3946="",E3946="!!!",F3946="NEW"),"",COUNTBLANK(OFFSET(A$1,,,SUMPRODUCT(MAX(ROW(E$2:E3946)*(E3946=E$2:E3946)))))-COUNTBLANK(OFFSET(A$1,,,SUMPRODUCT(MAX(ROW(E$1:E3945)*(E2=E$1:E3945))))))</f>
        <v> </v>
      </c>
      <c r="K3946" s="25" t="str">
        <f>IF(OR(E3946="",E3946="!!!",F3946="NEW"),"",INDEX(J$1:J3945,SUMPRODUCT(MAX(ROW(E$1:E3945)*(E3946=E$1:E3945)))))</f>
        <v> </v>
      </c>
      <c r="L3946" s="26"/>
    </row>
    <row r="3947" spans="1:12">
      <c r="A3947" s="20" t="s">
        <v>1111</v>
      </c>
      <c r="E3947" s="21">
        <f>IF(D3947="?OLD","!!!","")</f>
        <v/>
      </c>
      <c r="F3947" s="22" t="str">
        <f>IF(OR(E3947="",E3947="!!!"),"",IF(NOT(ISNA(VLOOKUP(E3947,E$1:E3946,1,FALSE()))),"OLD",IF(AND(E3947&lt;&gt;"",E3947&lt;&gt;"!!!"),"NEW","")))</f>
        <v> </v>
      </c>
      <c r="G3947" s="23" t="str">
        <f>IF(OR(E3947="",E3947="!!!"),"",IF(OR(J3947=0,AND(J3947=1,K3947=1),AND(J3947=1,I3947="SBJ"),AND(J3947=1,I3947=0)),"?IN_FOCUS",IF(J3947&lt;=2,"?ACTIVATED",IF(J3947&lt;&gt;"","?FAMILIAR",IF(F3947="NEW",IF(ISNA(VLOOKUP(E3947,#REF!,1,FALSE())),"?TYPE_IDENTIFIABLE","?REFERENTIAL"),"_")))))</f>
        <v> </v>
      </c>
      <c r="H3947" s="24" t="str">
        <f>IF(J3947&lt;&gt;1,"",IF(I3947="SBJ","CB","?"))</f>
        <v> </v>
      </c>
      <c r="I3947" s="25" t="str">
        <f>IF(OR(E3947="",E3947="!!!",F3947="NEW"),"",INDEX(B3946:B$2,-1+SUMPRODUCT(MAX(ROW(E3946:E$2)*(E3947=E3946:E$2)))))</f>
        <v> </v>
      </c>
      <c r="J3947" s="25" t="str">
        <f>IF(OR(E3947="",E3947="!!!",F3947="NEW"),"",COUNTBLANK(OFFSET(A$1,,,SUMPRODUCT(MAX(ROW(E$2:E3947)*(E3947=E$2:E3947)))))-COUNTBLANK(OFFSET(A$1,,,SUMPRODUCT(MAX(ROW(E$1:E3946)*(E2=E$1:E3946))))))</f>
        <v> </v>
      </c>
      <c r="K3947" s="25" t="str">
        <f>IF(OR(E3947="",E3947="!!!",F3947="NEW"),"",INDEX(J$1:J3946,SUMPRODUCT(MAX(ROW(E$1:E3946)*(E3947=E$1:E3946)))))</f>
        <v> </v>
      </c>
      <c r="L3947" s="26"/>
    </row>
    <row r="3948" spans="1:12">
      <c r="A3948" s="20" t="s">
        <v>1019</v>
      </c>
      <c r="B3948" s="27" t="s">
        <v>1014</v>
      </c>
      <c r="C3948" s="27" t="s">
        <v>1029</v>
      </c>
      <c r="D3948" s="27" t="s">
        <v>1030</v>
      </c>
      <c r="E3948" s="21">
        <f>IF(D3948="?OLD","!!!","")</f>
        <v/>
      </c>
      <c r="F3948" s="22" t="str">
        <f>IF(OR(E3948="",E3948="!!!"),"",IF(NOT(ISNA(VLOOKUP(E3948,E$1:E3947,1,FALSE()))),"OLD",IF(AND(E3948&lt;&gt;"",E3948&lt;&gt;"!!!"),"NEW","")))</f>
        <v> </v>
      </c>
      <c r="G3948" s="23" t="str">
        <f>IF(OR(E3948="",E3948="!!!"),"",IF(OR(J3948=0,AND(J3948=1,K3948=1),AND(J3948=1,I3948="SBJ"),AND(J3948=1,I3948=0)),"?IN_FOCUS",IF(J3948&lt;=2,"?ACTIVATED",IF(J3948&lt;&gt;"","?FAMILIAR",IF(F3948="NEW",IF(ISNA(VLOOKUP(E3948,#REF!,1,FALSE())),"?TYPE_IDENTIFIABLE","?REFERENTIAL"),"_")))))</f>
        <v> </v>
      </c>
      <c r="H3948" s="24" t="str">
        <f>IF(J3948&lt;&gt;1,"",IF(I3948="SBJ","CB","?"))</f>
        <v> </v>
      </c>
      <c r="I3948" s="25" t="str">
        <f>IF(OR(E3948="",E3948="!!!",F3948="NEW"),"",INDEX(B3947:B$2,-1+SUMPRODUCT(MAX(ROW(E3947:E$2)*(E3948=E3947:E$2)))))</f>
        <v> </v>
      </c>
      <c r="J3948" s="25" t="str">
        <f>IF(OR(E3948="",E3948="!!!",F3948="NEW"),"",COUNTBLANK(OFFSET(A$1,,,SUMPRODUCT(MAX(ROW(E$2:E3948)*(E3948=E$2:E3948)))))-COUNTBLANK(OFFSET(A$1,,,SUMPRODUCT(MAX(ROW(E$1:E3947)*(E2=E$1:E3947))))))</f>
        <v> </v>
      </c>
      <c r="K3948" s="25" t="str">
        <f>IF(OR(E3948="",E3948="!!!",F3948="NEW"),"",INDEX(J$1:J3947,SUMPRODUCT(MAX(ROW(E$1:E3947)*(E3948=E$1:E3947)))))</f>
        <v> </v>
      </c>
      <c r="L3948" s="26"/>
    </row>
    <row r="3949" spans="1:12">
      <c r="A3949" s="20" t="s">
        <v>1016</v>
      </c>
      <c r="E3949" s="21">
        <f>IF(D3949="?OLD","!!!","")</f>
        <v/>
      </c>
      <c r="F3949" s="22" t="str">
        <f>IF(OR(E3949="",E3949="!!!"),"",IF(NOT(ISNA(VLOOKUP(E3949,E$1:E3948,1,FALSE()))),"OLD",IF(AND(E3949&lt;&gt;"",E3949&lt;&gt;"!!!"),"NEW","")))</f>
        <v> </v>
      </c>
      <c r="G3949" s="23" t="str">
        <f>IF(OR(E3949="",E3949="!!!"),"",IF(OR(J3949=0,AND(J3949=1,K3949=1),AND(J3949=1,I3949="SBJ"),AND(J3949=1,I3949=0)),"?IN_FOCUS",IF(J3949&lt;=2,"?ACTIVATED",IF(J3949&lt;&gt;"","?FAMILIAR",IF(F3949="NEW",IF(ISNA(VLOOKUP(E3949,#REF!,1,FALSE())),"?TYPE_IDENTIFIABLE","?REFERENTIAL"),"_")))))</f>
        <v> </v>
      </c>
      <c r="H3949" s="24" t="str">
        <f>IF(J3949&lt;&gt;1,"",IF(I3949="SBJ","CB","?"))</f>
        <v> </v>
      </c>
      <c r="I3949" s="25" t="str">
        <f>IF(OR(E3949="",E3949="!!!",F3949="NEW"),"",INDEX(B3948:B$2,-1+SUMPRODUCT(MAX(ROW(E3948:E$2)*(E3949=E3948:E$2)))))</f>
        <v> </v>
      </c>
      <c r="J3949" s="25" t="str">
        <f>IF(OR(E3949="",E3949="!!!",F3949="NEW"),"",COUNTBLANK(OFFSET(A$1,,,SUMPRODUCT(MAX(ROW(E$2:E3949)*(E3949=E$2:E3949)))))-COUNTBLANK(OFFSET(A$1,,,SUMPRODUCT(MAX(ROW(E$1:E3948)*(E2=E$1:E3948))))))</f>
        <v> </v>
      </c>
      <c r="K3949" s="25" t="str">
        <f>IF(OR(E3949="",E3949="!!!",F3949="NEW"),"",INDEX(J$1:J3948,SUMPRODUCT(MAX(ROW(E$1:E3948)*(E3949=E$1:E3948)))))</f>
        <v> </v>
      </c>
      <c r="L3949" s="26"/>
    </row>
    <row r="3950" spans="1:12">
      <c r="A3950" s="20" t="s">
        <v>1036</v>
      </c>
      <c r="E3950" s="21">
        <f>IF(D3950="?OLD","!!!","")</f>
        <v/>
      </c>
      <c r="F3950" s="22" t="str">
        <f>IF(OR(E3950="",E3950="!!!"),"",IF(NOT(ISNA(VLOOKUP(E3950,E$1:E3949,1,FALSE()))),"OLD",IF(AND(E3950&lt;&gt;"",E3950&lt;&gt;"!!!"),"NEW","")))</f>
        <v> </v>
      </c>
      <c r="G3950" s="23" t="str">
        <f>IF(OR(E3950="",E3950="!!!"),"",IF(OR(J3950=0,AND(J3950=1,K3950=1),AND(J3950=1,I3950="SBJ"),AND(J3950=1,I3950=0)),"?IN_FOCUS",IF(J3950&lt;=2,"?ACTIVATED",IF(J3950&lt;&gt;"","?FAMILIAR",IF(F3950="NEW",IF(ISNA(VLOOKUP(E3950,#REF!,1,FALSE())),"?TYPE_IDENTIFIABLE","?REFERENTIAL"),"_")))))</f>
        <v> </v>
      </c>
      <c r="H3950" s="24" t="str">
        <f>IF(J3950&lt;&gt;1,"",IF(I3950="SBJ","CB","?"))</f>
        <v> </v>
      </c>
      <c r="I3950" s="25" t="str">
        <f>IF(OR(E3950="",E3950="!!!",F3950="NEW"),"",INDEX(B3949:B$2,-1+SUMPRODUCT(MAX(ROW(E3949:E$2)*(E3950=E3949:E$2)))))</f>
        <v> </v>
      </c>
      <c r="J3950" s="25" t="str">
        <f>IF(OR(E3950="",E3950="!!!",F3950="NEW"),"",COUNTBLANK(OFFSET(A$1,,,SUMPRODUCT(MAX(ROW(E$2:E3950)*(E3950=E$2:E3950)))))-COUNTBLANK(OFFSET(A$1,,,SUMPRODUCT(MAX(ROW(E$1:E3949)*(E2=E$1:E3949))))))</f>
        <v> </v>
      </c>
      <c r="K3950" s="25" t="str">
        <f>IF(OR(E3950="",E3950="!!!",F3950="NEW"),"",INDEX(J$1:J3949,SUMPRODUCT(MAX(ROW(E$1:E3949)*(E3950=E$1:E3949)))))</f>
        <v> </v>
      </c>
      <c r="L3950" s="26"/>
    </row>
    <row r="3951" spans="1:12">
      <c r="A3951" s="20" t="s">
        <v>1037</v>
      </c>
      <c r="B3951" s="27" t="s">
        <v>1079</v>
      </c>
      <c r="C3951" s="27" t="s">
        <v>1038</v>
      </c>
      <c r="D3951" s="27" t="s">
        <v>1030</v>
      </c>
      <c r="E3951" s="21">
        <f>IF(D3951="?OLD","!!!","")</f>
        <v/>
      </c>
      <c r="F3951" s="22" t="str">
        <f>IF(OR(E3951="",E3951="!!!"),"",IF(NOT(ISNA(VLOOKUP(E3951,E$1:E3950,1,FALSE()))),"OLD",IF(AND(E3951&lt;&gt;"",E3951&lt;&gt;"!!!"),"NEW","")))</f>
        <v> </v>
      </c>
      <c r="G3951" s="23" t="str">
        <f>IF(OR(E3951="",E3951="!!!"),"",IF(OR(J3951=0,AND(J3951=1,K3951=1),AND(J3951=1,I3951="SBJ"),AND(J3951=1,I3951=0)),"?IN_FOCUS",IF(J3951&lt;=2,"?ACTIVATED",IF(J3951&lt;&gt;"","?FAMILIAR",IF(F3951="NEW",IF(ISNA(VLOOKUP(E3951,#REF!,1,FALSE())),"?TYPE_IDENTIFIABLE","?REFERENTIAL"),"_")))))</f>
        <v> </v>
      </c>
      <c r="H3951" s="24" t="str">
        <f>IF(J3951&lt;&gt;1,"",IF(I3951="SBJ","CB","?"))</f>
        <v> </v>
      </c>
      <c r="I3951" s="25" t="str">
        <f>IF(OR(E3951="",E3951="!!!",F3951="NEW"),"",INDEX(B3950:B$2,-1+SUMPRODUCT(MAX(ROW(E3950:E$2)*(E3951=E3950:E$2)))))</f>
        <v> </v>
      </c>
      <c r="J3951" s="25" t="str">
        <f>IF(OR(E3951="",E3951="!!!",F3951="NEW"),"",COUNTBLANK(OFFSET(A$1,,,SUMPRODUCT(MAX(ROW(E$2:E3951)*(E3951=E$2:E3951)))))-COUNTBLANK(OFFSET(A$1,,,SUMPRODUCT(MAX(ROW(E$1:E3950)*(E2=E$1:E3950))))))</f>
        <v> </v>
      </c>
      <c r="K3951" s="25" t="str">
        <f>IF(OR(E3951="",E3951="!!!",F3951="NEW"),"",INDEX(J$1:J3950,SUMPRODUCT(MAX(ROW(E$1:E3950)*(E3951=E$1:E3950)))))</f>
        <v> </v>
      </c>
      <c r="L3951" s="26"/>
    </row>
    <row r="3952" spans="1:12">
      <c r="A3952" s="20" t="s">
        <v>1161</v>
      </c>
      <c r="E3952" s="21">
        <f>IF(D3952="?OLD","!!!","")</f>
        <v/>
      </c>
      <c r="F3952" s="22" t="str">
        <f>IF(OR(E3952="",E3952="!!!"),"",IF(NOT(ISNA(VLOOKUP(E3952,E$1:E3951,1,FALSE()))),"OLD",IF(AND(E3952&lt;&gt;"",E3952&lt;&gt;"!!!"),"NEW","")))</f>
        <v> </v>
      </c>
      <c r="G3952" s="23" t="str">
        <f>IF(OR(E3952="",E3952="!!!"),"",IF(OR(J3952=0,AND(J3952=1,K3952=1),AND(J3952=1,I3952="SBJ"),AND(J3952=1,I3952=0)),"?IN_FOCUS",IF(J3952&lt;=2,"?ACTIVATED",IF(J3952&lt;&gt;"","?FAMILIAR",IF(F3952="NEW",IF(ISNA(VLOOKUP(E3952,#REF!,1,FALSE())),"?TYPE_IDENTIFIABLE","?REFERENTIAL"),"_")))))</f>
        <v> </v>
      </c>
      <c r="H3952" s="24" t="str">
        <f>IF(J3952&lt;&gt;1,"",IF(I3952="SBJ","CB","?"))</f>
        <v> </v>
      </c>
      <c r="I3952" s="25" t="str">
        <f>IF(OR(E3952="",E3952="!!!",F3952="NEW"),"",INDEX(B3951:B$2,-1+SUMPRODUCT(MAX(ROW(E3951:E$2)*(E3952=E3951:E$2)))))</f>
        <v> </v>
      </c>
      <c r="J3952" s="25" t="str">
        <f>IF(OR(E3952="",E3952="!!!",F3952="NEW"),"",COUNTBLANK(OFFSET(A$1,,,SUMPRODUCT(MAX(ROW(E$2:E3952)*(E3952=E$2:E3952)))))-COUNTBLANK(OFFSET(A$1,,,SUMPRODUCT(MAX(ROW(E$1:E3951)*(E2=E$1:E3951))))))</f>
        <v> </v>
      </c>
      <c r="K3952" s="25" t="str">
        <f>IF(OR(E3952="",E3952="!!!",F3952="NEW"),"",INDEX(J$1:J3951,SUMPRODUCT(MAX(ROW(E$1:E3951)*(E3952=E$1:E3951)))))</f>
        <v> </v>
      </c>
      <c r="L3952" s="26"/>
    </row>
    <row r="3953" spans="1:12">
      <c r="A3953" s="20" t="s">
        <v>2150</v>
      </c>
      <c r="E3953" s="21">
        <f>IF(D3953="?OLD","!!!","")</f>
        <v/>
      </c>
      <c r="F3953" s="22" t="str">
        <f>IF(OR(E3953="",E3953="!!!"),"",IF(NOT(ISNA(VLOOKUP(E3953,E$1:E3952,1,FALSE()))),"OLD",IF(AND(E3953&lt;&gt;"",E3953&lt;&gt;"!!!"),"NEW","")))</f>
        <v> </v>
      </c>
      <c r="G3953" s="23" t="str">
        <f>IF(OR(E3953="",E3953="!!!"),"",IF(OR(J3953=0,AND(J3953=1,K3953=1),AND(J3953=1,I3953="SBJ"),AND(J3953=1,I3953=0)),"?IN_FOCUS",IF(J3953&lt;=2,"?ACTIVATED",IF(J3953&lt;&gt;"","?FAMILIAR",IF(F3953="NEW",IF(ISNA(VLOOKUP(E3953,#REF!,1,FALSE())),"?TYPE_IDENTIFIABLE","?REFERENTIAL"),"_")))))</f>
        <v> </v>
      </c>
      <c r="H3953" s="24" t="str">
        <f>IF(J3953&lt;&gt;1,"",IF(I3953="SBJ","CB","?"))</f>
        <v> </v>
      </c>
      <c r="I3953" s="25" t="str">
        <f>IF(OR(E3953="",E3953="!!!",F3953="NEW"),"",INDEX(B3952:B$2,-1+SUMPRODUCT(MAX(ROW(E3952:E$2)*(E3953=E3952:E$2)))))</f>
        <v> </v>
      </c>
      <c r="J3953" s="25" t="str">
        <f>IF(OR(E3953="",E3953="!!!",F3953="NEW"),"",COUNTBLANK(OFFSET(A$1,,,SUMPRODUCT(MAX(ROW(E$2:E3953)*(E3953=E$2:E3953)))))-COUNTBLANK(OFFSET(A$1,,,SUMPRODUCT(MAX(ROW(E$1:E3952)*(E2=E$1:E3952))))))</f>
        <v> </v>
      </c>
      <c r="K3953" s="25" t="str">
        <f>IF(OR(E3953="",E3953="!!!",F3953="NEW"),"",INDEX(J$1:J3952,SUMPRODUCT(MAX(ROW(E$1:E3952)*(E3953=E$1:E3952)))))</f>
        <v> </v>
      </c>
      <c r="L3953" s="26"/>
    </row>
    <row r="3954" spans="1:12">
      <c r="A3954" s="20" t="s">
        <v>135</v>
      </c>
      <c r="E3954" s="21">
        <f>IF(D3954="?OLD","!!!","")</f>
        <v/>
      </c>
      <c r="F3954" s="22" t="str">
        <f>IF(OR(E3954="",E3954="!!!"),"",IF(NOT(ISNA(VLOOKUP(E3954,E$1:E3953,1,FALSE()))),"OLD",IF(AND(E3954&lt;&gt;"",E3954&lt;&gt;"!!!"),"NEW","")))</f>
        <v> </v>
      </c>
      <c r="G3954" s="23" t="str">
        <f>IF(OR(E3954="",E3954="!!!"),"",IF(OR(J3954=0,AND(J3954=1,K3954=1),AND(J3954=1,I3954="SBJ"),AND(J3954=1,I3954=0)),"?IN_FOCUS",IF(J3954&lt;=2,"?ACTIVATED",IF(J3954&lt;&gt;"","?FAMILIAR",IF(F3954="NEW",IF(ISNA(VLOOKUP(E3954,#REF!,1,FALSE())),"?TYPE_IDENTIFIABLE","?REFERENTIAL"),"_")))))</f>
        <v> </v>
      </c>
      <c r="H3954" s="24" t="str">
        <f>IF(J3954&lt;&gt;1,"",IF(I3954="SBJ","CB","?"))</f>
        <v> </v>
      </c>
      <c r="I3954" s="25" t="str">
        <f>IF(OR(E3954="",E3954="!!!",F3954="NEW"),"",INDEX(B3953:B$2,-1+SUMPRODUCT(MAX(ROW(E3953:E$2)*(E3954=E3953:E$2)))))</f>
        <v> </v>
      </c>
      <c r="J3954" s="25" t="str">
        <f>IF(OR(E3954="",E3954="!!!",F3954="NEW"),"",COUNTBLANK(OFFSET(A$1,,,SUMPRODUCT(MAX(ROW(E$2:E3954)*(E3954=E$2:E3954)))))-COUNTBLANK(OFFSET(A$1,,,SUMPRODUCT(MAX(ROW(E$1:E3953)*(E2=E$1:E3953))))))</f>
        <v> </v>
      </c>
      <c r="K3954" s="25" t="str">
        <f>IF(OR(E3954="",E3954="!!!",F3954="NEW"),"",INDEX(J$1:J3953,SUMPRODUCT(MAX(ROW(E$1:E3953)*(E3954=E$1:E3953)))))</f>
        <v> </v>
      </c>
      <c r="L3954" s="26"/>
    </row>
    <row r="3955" spans="1:12">
      <c r="A3955" s="20"/>
    </row>
    <row r="3956" spans="1:12">
      <c r="A3956" s="20" t="s">
        <v>2327</v>
      </c>
    </row>
    <row r="3957" spans="1:12">
      <c r="A3957" s="20" t="s">
        <v>1566</v>
      </c>
      <c r="E3957" s="21">
        <f>IF(D3957="?OLD","!!!","")</f>
        <v/>
      </c>
      <c r="F3957" s="22" t="str">
        <f>IF(OR(E3957="",E3957="!!!"),"",IF(NOT(ISNA(VLOOKUP(E3957,E$1:E3956,1,FALSE()))),"OLD",IF(AND(E3957&lt;&gt;"",E3957&lt;&gt;"!!!"),"NEW","")))</f>
        <v> </v>
      </c>
      <c r="G3957" s="23" t="str">
        <f>IF(OR(E3957="",E3957="!!!"),"",IF(OR(J3957=0,AND(J3957=1,K3957=1),AND(J3957=1,I3957="SBJ"),AND(J3957=1,I3957=0)),"?IN_FOCUS",IF(J3957&lt;=2,"?ACTIVATED",IF(J3957&lt;&gt;"","?FAMILIAR",IF(F3957="NEW",IF(ISNA(VLOOKUP(E3957,#REF!,1,FALSE())),"?TYPE_IDENTIFIABLE","?REFERENTIAL"),"_")))))</f>
        <v> </v>
      </c>
      <c r="H3957" s="24" t="str">
        <f>IF(J3957&lt;&gt;1,"",IF(I3957="SBJ","CB","?"))</f>
        <v> </v>
      </c>
      <c r="I3957" s="25" t="str">
        <f>IF(OR(E3957="",E3957="!!!",F3957="NEW"),"",INDEX(B3956:B$2,-1+SUMPRODUCT(MAX(ROW(E3956:E$2)*(E3957=E3956:E$2)))))</f>
        <v> </v>
      </c>
      <c r="J3957" s="25" t="str">
        <f>IF(OR(E3957="",E3957="!!!",F3957="NEW"),"",COUNTBLANK(OFFSET(A$1,,,SUMPRODUCT(MAX(ROW(E$2:E3957)*(E3957=E$2:E3957)))))-COUNTBLANK(OFFSET(A$1,,,SUMPRODUCT(MAX(ROW(E$1:E3956)*(E2=E$1:E3956))))))</f>
        <v> </v>
      </c>
      <c r="K3957" s="25" t="str">
        <f>IF(OR(E3957="",E3957="!!!",F3957="NEW"),"",INDEX(J$1:J3956,SUMPRODUCT(MAX(ROW(E$1:E3956)*(E3957=E$1:E3956)))))</f>
        <v> </v>
      </c>
      <c r="L3957" s="26"/>
    </row>
    <row r="3958" spans="1:12">
      <c r="A3958" s="20" t="s">
        <v>1111</v>
      </c>
      <c r="E3958" s="21">
        <f>IF(D3958="?OLD","!!!","")</f>
        <v/>
      </c>
      <c r="F3958" s="22" t="str">
        <f>IF(OR(E3958="",E3958="!!!"),"",IF(NOT(ISNA(VLOOKUP(E3958,E$1:E3957,1,FALSE()))),"OLD",IF(AND(E3958&lt;&gt;"",E3958&lt;&gt;"!!!"),"NEW","")))</f>
        <v> </v>
      </c>
      <c r="G3958" s="23" t="str">
        <f>IF(OR(E3958="",E3958="!!!"),"",IF(OR(J3958=0,AND(J3958=1,K3958=1),AND(J3958=1,I3958="SBJ"),AND(J3958=1,I3958=0)),"?IN_FOCUS",IF(J3958&lt;=2,"?ACTIVATED",IF(J3958&lt;&gt;"","?FAMILIAR",IF(F3958="NEW",IF(ISNA(VLOOKUP(E3958,#REF!,1,FALSE())),"?TYPE_IDENTIFIABLE","?REFERENTIAL"),"_")))))</f>
        <v> </v>
      </c>
      <c r="H3958" s="24" t="str">
        <f>IF(J3958&lt;&gt;1,"",IF(I3958="SBJ","CB","?"))</f>
        <v> </v>
      </c>
      <c r="I3958" s="25" t="str">
        <f>IF(OR(E3958="",E3958="!!!",F3958="NEW"),"",INDEX(B3957:B$2,-1+SUMPRODUCT(MAX(ROW(E3957:E$2)*(E3958=E3957:E$2)))))</f>
        <v> </v>
      </c>
      <c r="J3958" s="25" t="str">
        <f>IF(OR(E3958="",E3958="!!!",F3958="NEW"),"",COUNTBLANK(OFFSET(A$1,,,SUMPRODUCT(MAX(ROW(E$2:E3958)*(E3958=E$2:E3958)))))-COUNTBLANK(OFFSET(A$1,,,SUMPRODUCT(MAX(ROW(E$1:E3957)*(E2=E$1:E3957))))))</f>
        <v> </v>
      </c>
      <c r="K3958" s="25" t="str">
        <f>IF(OR(E3958="",E3958="!!!",F3958="NEW"),"",INDEX(J$1:J3957,SUMPRODUCT(MAX(ROW(E$1:E3957)*(E3958=E$1:E3957)))))</f>
        <v> </v>
      </c>
      <c r="L3958" s="26"/>
    </row>
    <row r="3959" spans="1:12">
      <c r="A3959" s="20" t="s">
        <v>1130</v>
      </c>
      <c r="B3959" s="27" t="s">
        <v>1014</v>
      </c>
      <c r="C3959" s="27" t="s">
        <v>1038</v>
      </c>
      <c r="D3959" s="27" t="s">
        <v>1030</v>
      </c>
      <c r="E3959" s="21">
        <f>IF(D3959="?OLD","!!!","")</f>
        <v/>
      </c>
      <c r="F3959" s="22" t="str">
        <f>IF(OR(E3959="",E3959="!!!"),"",IF(NOT(ISNA(VLOOKUP(E3959,E$1:E3958,1,FALSE()))),"OLD",IF(AND(E3959&lt;&gt;"",E3959&lt;&gt;"!!!"),"NEW","")))</f>
        <v> </v>
      </c>
      <c r="G3959" s="23" t="str">
        <f>IF(OR(E3959="",E3959="!!!"),"",IF(OR(J3959=0,AND(J3959=1,K3959=1),AND(J3959=1,I3959="SBJ"),AND(J3959=1,I3959=0)),"?IN_FOCUS",IF(J3959&lt;=2,"?ACTIVATED",IF(J3959&lt;&gt;"","?FAMILIAR",IF(F3959="NEW",IF(ISNA(VLOOKUP(E3959,#REF!,1,FALSE())),"?TYPE_IDENTIFIABLE","?REFERENTIAL"),"_")))))</f>
        <v> </v>
      </c>
      <c r="H3959" s="24" t="str">
        <f>IF(J3959&lt;&gt;1,"",IF(I3959="SBJ","CB","?"))</f>
        <v> </v>
      </c>
      <c r="I3959" s="25" t="str">
        <f>IF(OR(E3959="",E3959="!!!",F3959="NEW"),"",INDEX(B3958:B$2,-1+SUMPRODUCT(MAX(ROW(E3958:E$2)*(E3959=E3958:E$2)))))</f>
        <v> </v>
      </c>
      <c r="J3959" s="25" t="str">
        <f>IF(OR(E3959="",E3959="!!!",F3959="NEW"),"",COUNTBLANK(OFFSET(A$1,,,SUMPRODUCT(MAX(ROW(E$2:E3959)*(E3959=E$2:E3959)))))-COUNTBLANK(OFFSET(A$1,,,SUMPRODUCT(MAX(ROW(E$1:E3958)*(E2=E$1:E3958))))))</f>
        <v> </v>
      </c>
      <c r="K3959" s="25" t="str">
        <f>IF(OR(E3959="",E3959="!!!",F3959="NEW"),"",INDEX(J$1:J3958,SUMPRODUCT(MAX(ROW(E$1:E3958)*(E3959=E$1:E3958)))))</f>
        <v> </v>
      </c>
      <c r="L3959" s="26"/>
    </row>
    <row r="3960" spans="1:12">
      <c r="A3960" s="20" t="s">
        <v>1016</v>
      </c>
      <c r="E3960" s="21">
        <f>IF(D3960="?OLD","!!!","")</f>
        <v/>
      </c>
      <c r="F3960" s="22" t="str">
        <f>IF(OR(E3960="",E3960="!!!"),"",IF(NOT(ISNA(VLOOKUP(E3960,E$1:E3959,1,FALSE()))),"OLD",IF(AND(E3960&lt;&gt;"",E3960&lt;&gt;"!!!"),"NEW","")))</f>
        <v> </v>
      </c>
      <c r="G3960" s="23" t="str">
        <f>IF(OR(E3960="",E3960="!!!"),"",IF(OR(J3960=0,AND(J3960=1,K3960=1),AND(J3960=1,I3960="SBJ"),AND(J3960=1,I3960=0)),"?IN_FOCUS",IF(J3960&lt;=2,"?ACTIVATED",IF(J3960&lt;&gt;"","?FAMILIAR",IF(F3960="NEW",IF(ISNA(VLOOKUP(E3960,#REF!,1,FALSE())),"?TYPE_IDENTIFIABLE","?REFERENTIAL"),"_")))))</f>
        <v> </v>
      </c>
      <c r="H3960" s="24" t="str">
        <f>IF(J3960&lt;&gt;1,"",IF(I3960="SBJ","CB","?"))</f>
        <v> </v>
      </c>
      <c r="I3960" s="25" t="str">
        <f>IF(OR(E3960="",E3960="!!!",F3960="NEW"),"",INDEX(B3959:B$2,-1+SUMPRODUCT(MAX(ROW(E3959:E$2)*(E3960=E3959:E$2)))))</f>
        <v> </v>
      </c>
      <c r="J3960" s="25" t="str">
        <f>IF(OR(E3960="",E3960="!!!",F3960="NEW"),"",COUNTBLANK(OFFSET(A$1,,,SUMPRODUCT(MAX(ROW(E$2:E3960)*(E3960=E$2:E3960)))))-COUNTBLANK(OFFSET(A$1,,,SUMPRODUCT(MAX(ROW(E$1:E3959)*(E2=E$1:E3959))))))</f>
        <v> </v>
      </c>
      <c r="K3960" s="25" t="str">
        <f>IF(OR(E3960="",E3960="!!!",F3960="NEW"),"",INDEX(J$1:J3959,SUMPRODUCT(MAX(ROW(E$1:E3959)*(E3960=E$1:E3959)))))</f>
        <v> </v>
      </c>
      <c r="L3960" s="26"/>
    </row>
    <row r="3961" spans="1:12">
      <c r="A3961" s="20" t="s">
        <v>1343</v>
      </c>
      <c r="E3961" s="21">
        <f>IF(D3961="?OLD","!!!","")</f>
        <v/>
      </c>
      <c r="F3961" s="22" t="str">
        <f>IF(OR(E3961="",E3961="!!!"),"",IF(NOT(ISNA(VLOOKUP(E3961,E$1:E3960,1,FALSE()))),"OLD",IF(AND(E3961&lt;&gt;"",E3961&lt;&gt;"!!!"),"NEW","")))</f>
        <v> </v>
      </c>
      <c r="G3961" s="23" t="str">
        <f>IF(OR(E3961="",E3961="!!!"),"",IF(OR(J3961=0,AND(J3961=1,K3961=1),AND(J3961=1,I3961="SBJ"),AND(J3961=1,I3961=0)),"?IN_FOCUS",IF(J3961&lt;=2,"?ACTIVATED",IF(J3961&lt;&gt;"","?FAMILIAR",IF(F3961="NEW",IF(ISNA(VLOOKUP(E3961,#REF!,1,FALSE())),"?TYPE_IDENTIFIABLE","?REFERENTIAL"),"_")))))</f>
        <v> </v>
      </c>
      <c r="H3961" s="24" t="str">
        <f>IF(J3961&lt;&gt;1,"",IF(I3961="SBJ","CB","?"))</f>
        <v> </v>
      </c>
      <c r="I3961" s="25" t="str">
        <f>IF(OR(E3961="",E3961="!!!",F3961="NEW"),"",INDEX(B3960:B$2,-1+SUMPRODUCT(MAX(ROW(E3960:E$2)*(E3961=E3960:E$2)))))</f>
        <v> </v>
      </c>
      <c r="J3961" s="25" t="str">
        <f>IF(OR(E3961="",E3961="!!!",F3961="NEW"),"",COUNTBLANK(OFFSET(A$1,,,SUMPRODUCT(MAX(ROW(E$2:E3961)*(E3961=E$2:E3961)))))-COUNTBLANK(OFFSET(A$1,,,SUMPRODUCT(MAX(ROW(E$1:E3960)*(E2=E$1:E3960))))))</f>
        <v> </v>
      </c>
      <c r="K3961" s="25" t="str">
        <f>IF(OR(E3961="",E3961="!!!",F3961="NEW"),"",INDEX(J$1:J3960,SUMPRODUCT(MAX(ROW(E$1:E3960)*(E3961=E$1:E3960)))))</f>
        <v> </v>
      </c>
      <c r="L3961" s="26"/>
    </row>
    <row r="3962" spans="1:12">
      <c r="A3962" s="20" t="s">
        <v>1111</v>
      </c>
      <c r="B3962" s="27" t="s">
        <v>1020</v>
      </c>
      <c r="C3962" s="27" t="s">
        <v>1050</v>
      </c>
      <c r="D3962" s="27" t="s">
        <v>1030</v>
      </c>
      <c r="E3962" s="21">
        <f>IF(D3962="?OLD","!!!","")</f>
        <v/>
      </c>
      <c r="F3962" s="22" t="str">
        <f>IF(OR(E3962="",E3962="!!!"),"",IF(NOT(ISNA(VLOOKUP(E3962,E$1:E3961,1,FALSE()))),"OLD",IF(AND(E3962&lt;&gt;"",E3962&lt;&gt;"!!!"),"NEW","")))</f>
        <v> </v>
      </c>
      <c r="G3962" s="23" t="str">
        <f>IF(OR(E3962="",E3962="!!!"),"",IF(OR(J3962=0,AND(J3962=1,K3962=1),AND(J3962=1,I3962="SBJ"),AND(J3962=1,I3962=0)),"?IN_FOCUS",IF(J3962&lt;=2,"?ACTIVATED",IF(J3962&lt;&gt;"","?FAMILIAR",IF(F3962="NEW",IF(ISNA(VLOOKUP(E3962,#REF!,1,FALSE())),"?TYPE_IDENTIFIABLE","?REFERENTIAL"),"_")))))</f>
        <v> </v>
      </c>
      <c r="H3962" s="24" t="str">
        <f>IF(J3962&lt;&gt;1,"",IF(I3962="SBJ","CB","?"))</f>
        <v> </v>
      </c>
      <c r="I3962" s="25" t="str">
        <f>IF(OR(E3962="",E3962="!!!",F3962="NEW"),"",INDEX(B3961:B$2,-1+SUMPRODUCT(MAX(ROW(E3961:E$2)*(E3962=E3961:E$2)))))</f>
        <v> </v>
      </c>
      <c r="J3962" s="25" t="str">
        <f>IF(OR(E3962="",E3962="!!!",F3962="NEW"),"",COUNTBLANK(OFFSET(A$1,,,SUMPRODUCT(MAX(ROW(E$2:E3962)*(E3962=E$2:E3962)))))-COUNTBLANK(OFFSET(A$1,,,SUMPRODUCT(MAX(ROW(E$1:E3961)*(E2=E$1:E3961))))))</f>
        <v> </v>
      </c>
      <c r="K3962" s="25" t="str">
        <f>IF(OR(E3962="",E3962="!!!",F3962="NEW"),"",INDEX(J$1:J3961,SUMPRODUCT(MAX(ROW(E$1:E3961)*(E3962=E$1:E3961)))))</f>
        <v> </v>
      </c>
      <c r="L3962" s="26"/>
    </row>
    <row r="3963" spans="1:12">
      <c r="A3963" s="20" t="s">
        <v>21</v>
      </c>
      <c r="E3963" s="21">
        <f>IF(D3963="?OLD","!!!","")</f>
        <v/>
      </c>
      <c r="F3963" s="22" t="str">
        <f>IF(OR(E3963="",E3963="!!!"),"",IF(NOT(ISNA(VLOOKUP(E3963,E$1:E3962,1,FALSE()))),"OLD",IF(AND(E3963&lt;&gt;"",E3963&lt;&gt;"!!!"),"NEW","")))</f>
        <v> </v>
      </c>
      <c r="G3963" s="23" t="str">
        <f>IF(OR(E3963="",E3963="!!!"),"",IF(OR(J3963=0,AND(J3963=1,K3963=1),AND(J3963=1,I3963="SBJ"),AND(J3963=1,I3963=0)),"?IN_FOCUS",IF(J3963&lt;=2,"?ACTIVATED",IF(J3963&lt;&gt;"","?FAMILIAR",IF(F3963="NEW",IF(ISNA(VLOOKUP(E3963,#REF!,1,FALSE())),"?TYPE_IDENTIFIABLE","?REFERENTIAL"),"_")))))</f>
        <v> </v>
      </c>
      <c r="H3963" s="24" t="str">
        <f>IF(J3963&lt;&gt;1,"",IF(I3963="SBJ","CB","?"))</f>
        <v> </v>
      </c>
      <c r="I3963" s="25" t="str">
        <f>IF(OR(E3963="",E3963="!!!",F3963="NEW"),"",INDEX(B3962:B$2,-1+SUMPRODUCT(MAX(ROW(E3962:E$2)*(E3963=E3962:E$2)))))</f>
        <v> </v>
      </c>
      <c r="J3963" s="25" t="str">
        <f>IF(OR(E3963="",E3963="!!!",F3963="NEW"),"",COUNTBLANK(OFFSET(A$1,,,SUMPRODUCT(MAX(ROW(E$2:E3963)*(E3963=E$2:E3963)))))-COUNTBLANK(OFFSET(A$1,,,SUMPRODUCT(MAX(ROW(E$1:E3962)*(E2=E$1:E3962))))))</f>
        <v> </v>
      </c>
      <c r="K3963" s="25" t="str">
        <f>IF(OR(E3963="",E3963="!!!",F3963="NEW"),"",INDEX(J$1:J3962,SUMPRODUCT(MAX(ROW(E$1:E3962)*(E3963=E$1:E3962)))))</f>
        <v> </v>
      </c>
      <c r="L3963" s="26"/>
    </row>
    <row r="3964" spans="1:12">
      <c r="A3964" s="20" t="s">
        <v>1059</v>
      </c>
      <c r="E3964" s="21">
        <f>IF(D3964="?OLD","!!!","")</f>
        <v/>
      </c>
      <c r="F3964" s="22" t="str">
        <f>IF(OR(E3964="",E3964="!!!"),"",IF(NOT(ISNA(VLOOKUP(E3964,E$1:E3963,1,FALSE()))),"OLD",IF(AND(E3964&lt;&gt;"",E3964&lt;&gt;"!!!"),"NEW","")))</f>
        <v> </v>
      </c>
      <c r="G3964" s="23" t="str">
        <f>IF(OR(E3964="",E3964="!!!"),"",IF(OR(J3964=0,AND(J3964=1,K3964=1),AND(J3964=1,I3964="SBJ"),AND(J3964=1,I3964=0)),"?IN_FOCUS",IF(J3964&lt;=2,"?ACTIVATED",IF(J3964&lt;&gt;"","?FAMILIAR",IF(F3964="NEW",IF(ISNA(VLOOKUP(E3964,#REF!,1,FALSE())),"?TYPE_IDENTIFIABLE","?REFERENTIAL"),"_")))))</f>
        <v> </v>
      </c>
      <c r="H3964" s="24" t="str">
        <f>IF(J3964&lt;&gt;1,"",IF(I3964="SBJ","CB","?"))</f>
        <v> </v>
      </c>
      <c r="I3964" s="25" t="str">
        <f>IF(OR(E3964="",E3964="!!!",F3964="NEW"),"",INDEX(B3963:B$2,-1+SUMPRODUCT(MAX(ROW(E3963:E$2)*(E3964=E3963:E$2)))))</f>
        <v> </v>
      </c>
      <c r="J3964" s="25" t="str">
        <f>IF(OR(E3964="",E3964="!!!",F3964="NEW"),"",COUNTBLANK(OFFSET(A$1,,,SUMPRODUCT(MAX(ROW(E$2:E3964)*(E3964=E$2:E3964)))))-COUNTBLANK(OFFSET(A$1,,,SUMPRODUCT(MAX(ROW(E$1:E3963)*(E2=E$1:E3963))))))</f>
        <v> </v>
      </c>
      <c r="K3964" s="25" t="str">
        <f>IF(OR(E3964="",E3964="!!!",F3964="NEW"),"",INDEX(J$1:J3963,SUMPRODUCT(MAX(ROW(E$1:E3963)*(E3964=E$1:E3963)))))</f>
        <v> </v>
      </c>
      <c r="L3964" s="26"/>
    </row>
    <row r="3965" spans="1:12">
      <c r="A3965" s="20" t="s">
        <v>2150</v>
      </c>
      <c r="E3965" s="21">
        <f>IF(D3965="?OLD","!!!","")</f>
        <v/>
      </c>
      <c r="F3965" s="22" t="str">
        <f>IF(OR(E3965="",E3965="!!!"),"",IF(NOT(ISNA(VLOOKUP(E3965,E$1:E3964,1,FALSE()))),"OLD",IF(AND(E3965&lt;&gt;"",E3965&lt;&gt;"!!!"),"NEW","")))</f>
        <v> </v>
      </c>
      <c r="G3965" s="23" t="str">
        <f>IF(OR(E3965="",E3965="!!!"),"",IF(OR(J3965=0,AND(J3965=1,K3965=1),AND(J3965=1,I3965="SBJ"),AND(J3965=1,I3965=0)),"?IN_FOCUS",IF(J3965&lt;=2,"?ACTIVATED",IF(J3965&lt;&gt;"","?FAMILIAR",IF(F3965="NEW",IF(ISNA(VLOOKUP(E3965,#REF!,1,FALSE())),"?TYPE_IDENTIFIABLE","?REFERENTIAL"),"_")))))</f>
        <v> </v>
      </c>
      <c r="H3965" s="24" t="str">
        <f>IF(J3965&lt;&gt;1,"",IF(I3965="SBJ","CB","?"))</f>
        <v> </v>
      </c>
      <c r="I3965" s="25" t="str">
        <f>IF(OR(E3965="",E3965="!!!",F3965="NEW"),"",INDEX(B3964:B$2,-1+SUMPRODUCT(MAX(ROW(E3964:E$2)*(E3965=E3964:E$2)))))</f>
        <v> </v>
      </c>
      <c r="J3965" s="25" t="str">
        <f>IF(OR(E3965="",E3965="!!!",F3965="NEW"),"",COUNTBLANK(OFFSET(A$1,,,SUMPRODUCT(MAX(ROW(E$2:E3965)*(E3965=E$2:E3965)))))-COUNTBLANK(OFFSET(A$1,,,SUMPRODUCT(MAX(ROW(E$1:E3964)*(E2=E$1:E3964))))))</f>
        <v> </v>
      </c>
      <c r="K3965" s="25" t="str">
        <f>IF(OR(E3965="",E3965="!!!",F3965="NEW"),"",INDEX(J$1:J3964,SUMPRODUCT(MAX(ROW(E$1:E3964)*(E3965=E$1:E3964)))))</f>
        <v> </v>
      </c>
      <c r="L3965" s="26"/>
    </row>
    <row r="3966" spans="1:12">
      <c r="A3966" s="20" t="s">
        <v>1022</v>
      </c>
      <c r="E3966" s="21">
        <f>IF(D3966="?OLD","!!!","")</f>
        <v/>
      </c>
      <c r="F3966" s="22" t="str">
        <f>IF(OR(E3966="",E3966="!!!"),"",IF(NOT(ISNA(VLOOKUP(E3966,E$1:E3965,1,FALSE()))),"OLD",IF(AND(E3966&lt;&gt;"",E3966&lt;&gt;"!!!"),"NEW","")))</f>
        <v> </v>
      </c>
      <c r="G3966" s="23" t="str">
        <f>IF(OR(E3966="",E3966="!!!"),"",IF(OR(J3966=0,AND(J3966=1,K3966=1),AND(J3966=1,I3966="SBJ"),AND(J3966=1,I3966=0)),"?IN_FOCUS",IF(J3966&lt;=2,"?ACTIVATED",IF(J3966&lt;&gt;"","?FAMILIAR",IF(F3966="NEW",IF(ISNA(VLOOKUP(E3966,#REF!,1,FALSE())),"?TYPE_IDENTIFIABLE","?REFERENTIAL"),"_")))))</f>
        <v> </v>
      </c>
      <c r="H3966" s="24" t="str">
        <f>IF(J3966&lt;&gt;1,"",IF(I3966="SBJ","CB","?"))</f>
        <v> </v>
      </c>
      <c r="I3966" s="25" t="str">
        <f>IF(OR(E3966="",E3966="!!!",F3966="NEW"),"",INDEX(B3965:B$2,-1+SUMPRODUCT(MAX(ROW(E3965:E$2)*(E3966=E3965:E$2)))))</f>
        <v> </v>
      </c>
      <c r="J3966" s="25" t="str">
        <f>IF(OR(E3966="",E3966="!!!",F3966="NEW"),"",COUNTBLANK(OFFSET(A$1,,,SUMPRODUCT(MAX(ROW(E$2:E3966)*(E3966=E$2:E3966)))))-COUNTBLANK(OFFSET(A$1,,,SUMPRODUCT(MAX(ROW(E$1:E3965)*(E2=E$1:E3965))))))</f>
        <v> </v>
      </c>
      <c r="K3966" s="25" t="str">
        <f>IF(OR(E3966="",E3966="!!!",F3966="NEW"),"",INDEX(J$1:J3965,SUMPRODUCT(MAX(ROW(E$1:E3965)*(E3966=E$1:E3965)))))</f>
        <v> </v>
      </c>
      <c r="L3966" s="26"/>
    </row>
    <row r="3967" spans="1:12">
      <c r="A3967" s="20" t="s">
        <v>1083</v>
      </c>
      <c r="E3967" s="21">
        <f>IF(D3967="?OLD","!!!","")</f>
        <v/>
      </c>
      <c r="F3967" s="22" t="str">
        <f>IF(OR(E3967="",E3967="!!!"),"",IF(NOT(ISNA(VLOOKUP(E3967,E$1:E3966,1,FALSE()))),"OLD",IF(AND(E3967&lt;&gt;"",E3967&lt;&gt;"!!!"),"NEW","")))</f>
        <v> </v>
      </c>
      <c r="G3967" s="23" t="str">
        <f>IF(OR(E3967="",E3967="!!!"),"",IF(OR(J3967=0,AND(J3967=1,K3967=1),AND(J3967=1,I3967="SBJ"),AND(J3967=1,I3967=0)),"?IN_FOCUS",IF(J3967&lt;=2,"?ACTIVATED",IF(J3967&lt;&gt;"","?FAMILIAR",IF(F3967="NEW",IF(ISNA(VLOOKUP(E3967,#REF!,1,FALSE())),"?TYPE_IDENTIFIABLE","?REFERENTIAL"),"_")))))</f>
        <v> </v>
      </c>
      <c r="H3967" s="24" t="str">
        <f>IF(J3967&lt;&gt;1,"",IF(I3967="SBJ","CB","?"))</f>
        <v> </v>
      </c>
      <c r="I3967" s="25" t="str">
        <f>IF(OR(E3967="",E3967="!!!",F3967="NEW"),"",INDEX(B3966:B$2,-1+SUMPRODUCT(MAX(ROW(E3966:E$2)*(E3967=E3966:E$2)))))</f>
        <v> </v>
      </c>
      <c r="J3967" s="25" t="str">
        <f>IF(OR(E3967="",E3967="!!!",F3967="NEW"),"",COUNTBLANK(OFFSET(A$1,,,SUMPRODUCT(MAX(ROW(E$2:E3967)*(E3967=E$2:E3967)))))-COUNTBLANK(OFFSET(A$1,,,SUMPRODUCT(MAX(ROW(E$1:E3966)*(E2=E$1:E3966))))))</f>
        <v> </v>
      </c>
      <c r="K3967" s="25" t="str">
        <f>IF(OR(E3967="",E3967="!!!",F3967="NEW"),"",INDEX(J$1:J3966,SUMPRODUCT(MAX(ROW(E$1:E3966)*(E3967=E$1:E3966)))))</f>
        <v> </v>
      </c>
      <c r="L3967" s="26"/>
    </row>
    <row r="3968" spans="1:12">
      <c r="A3968" s="20" t="s">
        <v>1111</v>
      </c>
      <c r="B3968" s="27" t="s">
        <v>1069</v>
      </c>
      <c r="C3968" s="27" t="s">
        <v>1050</v>
      </c>
      <c r="D3968" s="27" t="s">
        <v>1030</v>
      </c>
      <c r="E3968" s="21">
        <f>IF(D3968="?OLD","!!!","")</f>
        <v/>
      </c>
      <c r="F3968" s="22" t="str">
        <f>IF(OR(E3968="",E3968="!!!"),"",IF(NOT(ISNA(VLOOKUP(E3968,E$1:E3967,1,FALSE()))),"OLD",IF(AND(E3968&lt;&gt;"",E3968&lt;&gt;"!!!"),"NEW","")))</f>
        <v> </v>
      </c>
      <c r="G3968" s="23" t="str">
        <f>IF(OR(E3968="",E3968="!!!"),"",IF(OR(J3968=0,AND(J3968=1,K3968=1),AND(J3968=1,I3968="SBJ"),AND(J3968=1,I3968=0)),"?IN_FOCUS",IF(J3968&lt;=2,"?ACTIVATED",IF(J3968&lt;&gt;"","?FAMILIAR",IF(F3968="NEW",IF(ISNA(VLOOKUP(E3968,#REF!,1,FALSE())),"?TYPE_IDENTIFIABLE","?REFERENTIAL"),"_")))))</f>
        <v> </v>
      </c>
      <c r="H3968" s="24" t="str">
        <f>IF(J3968&lt;&gt;1,"",IF(I3968="SBJ","CB","?"))</f>
        <v> </v>
      </c>
      <c r="I3968" s="25" t="str">
        <f>IF(OR(E3968="",E3968="!!!",F3968="NEW"),"",INDEX(B3967:B$2,-1+SUMPRODUCT(MAX(ROW(E3967:E$2)*(E3968=E3967:E$2)))))</f>
        <v> </v>
      </c>
      <c r="J3968" s="25" t="str">
        <f>IF(OR(E3968="",E3968="!!!",F3968="NEW"),"",COUNTBLANK(OFFSET(A$1,,,SUMPRODUCT(MAX(ROW(E$2:E3968)*(E3968=E$2:E3968)))))-COUNTBLANK(OFFSET(A$1,,,SUMPRODUCT(MAX(ROW(E$1:E3967)*(E2=E$1:E3967))))))</f>
        <v> </v>
      </c>
      <c r="K3968" s="25" t="str">
        <f>IF(OR(E3968="",E3968="!!!",F3968="NEW"),"",INDEX(J$1:J3967,SUMPRODUCT(MAX(ROW(E$1:E3967)*(E3968=E$1:E3967)))))</f>
        <v> </v>
      </c>
      <c r="L3968" s="26"/>
    </row>
    <row r="3969" spans="1:12">
      <c r="A3969" s="20" t="s">
        <v>2328</v>
      </c>
      <c r="E3969" s="21">
        <f>IF(D3969="?OLD","!!!","")</f>
        <v/>
      </c>
      <c r="F3969" s="22" t="str">
        <f>IF(OR(E3969="",E3969="!!!"),"",IF(NOT(ISNA(VLOOKUP(E3969,E$1:E3968,1,FALSE()))),"OLD",IF(AND(E3969&lt;&gt;"",E3969&lt;&gt;"!!!"),"NEW","")))</f>
        <v> </v>
      </c>
      <c r="G3969" s="23" t="str">
        <f>IF(OR(E3969="",E3969="!!!"),"",IF(OR(J3969=0,AND(J3969=1,K3969=1),AND(J3969=1,I3969="SBJ"),AND(J3969=1,I3969=0)),"?IN_FOCUS",IF(J3969&lt;=2,"?ACTIVATED",IF(J3969&lt;&gt;"","?FAMILIAR",IF(F3969="NEW",IF(ISNA(VLOOKUP(E3969,#REF!,1,FALSE())),"?TYPE_IDENTIFIABLE","?REFERENTIAL"),"_")))))</f>
        <v> </v>
      </c>
      <c r="H3969" s="24" t="str">
        <f>IF(J3969&lt;&gt;1,"",IF(I3969="SBJ","CB","?"))</f>
        <v> </v>
      </c>
      <c r="I3969" s="25" t="str">
        <f>IF(OR(E3969="",E3969="!!!",F3969="NEW"),"",INDEX(B3968:B$2,-1+SUMPRODUCT(MAX(ROW(E3968:E$2)*(E3969=E3968:E$2)))))</f>
        <v> </v>
      </c>
      <c r="J3969" s="25" t="str">
        <f>IF(OR(E3969="",E3969="!!!",F3969="NEW"),"",COUNTBLANK(OFFSET(A$1,,,SUMPRODUCT(MAX(ROW(E$2:E3969)*(E3969=E$2:E3969)))))-COUNTBLANK(OFFSET(A$1,,,SUMPRODUCT(MAX(ROW(E$1:E3968)*(E2=E$1:E3968))))))</f>
        <v> </v>
      </c>
      <c r="K3969" s="25" t="str">
        <f>IF(OR(E3969="",E3969="!!!",F3969="NEW"),"",INDEX(J$1:J3968,SUMPRODUCT(MAX(ROW(E$1:E3968)*(E3969=E$1:E3968)))))</f>
        <v> </v>
      </c>
      <c r="L3969" s="26"/>
    </row>
    <row r="3970" spans="1:12">
      <c r="A3970" s="20" t="s">
        <v>21</v>
      </c>
      <c r="E3970" s="21">
        <f>IF(D3970="?OLD","!!!","")</f>
        <v/>
      </c>
      <c r="F3970" s="22" t="str">
        <f>IF(OR(E3970="",E3970="!!!"),"",IF(NOT(ISNA(VLOOKUP(E3970,E$1:E3969,1,FALSE()))),"OLD",IF(AND(E3970&lt;&gt;"",E3970&lt;&gt;"!!!"),"NEW","")))</f>
        <v> </v>
      </c>
      <c r="G3970" s="23" t="str">
        <f>IF(OR(E3970="",E3970="!!!"),"",IF(OR(J3970=0,AND(J3970=1,K3970=1),AND(J3970=1,I3970="SBJ"),AND(J3970=1,I3970=0)),"?IN_FOCUS",IF(J3970&lt;=2,"?ACTIVATED",IF(J3970&lt;&gt;"","?FAMILIAR",IF(F3970="NEW",IF(ISNA(VLOOKUP(E3970,#REF!,1,FALSE())),"?TYPE_IDENTIFIABLE","?REFERENTIAL"),"_")))))</f>
        <v> </v>
      </c>
      <c r="H3970" s="24" t="str">
        <f>IF(J3970&lt;&gt;1,"",IF(I3970="SBJ","CB","?"))</f>
        <v> </v>
      </c>
      <c r="I3970" s="25" t="str">
        <f>IF(OR(E3970="",E3970="!!!",F3970="NEW"),"",INDEX(B3969:B$2,-1+SUMPRODUCT(MAX(ROW(E3969:E$2)*(E3970=E3969:E$2)))))</f>
        <v> </v>
      </c>
      <c r="J3970" s="25" t="str">
        <f>IF(OR(E3970="",E3970="!!!",F3970="NEW"),"",COUNTBLANK(OFFSET(A$1,,,SUMPRODUCT(MAX(ROW(E$2:E3970)*(E3970=E$2:E3970)))))-COUNTBLANK(OFFSET(A$1,,,SUMPRODUCT(MAX(ROW(E$1:E3969)*(E2=E$1:E3969))))))</f>
        <v> </v>
      </c>
      <c r="K3970" s="25" t="str">
        <f>IF(OR(E3970="",E3970="!!!",F3970="NEW"),"",INDEX(J$1:J3969,SUMPRODUCT(MAX(ROW(E$1:E3969)*(E3970=E$1:E3969)))))</f>
        <v> </v>
      </c>
      <c r="L3970" s="26"/>
    </row>
    <row r="3971" spans="1:12">
      <c r="A3971" s="20" t="s">
        <v>1364</v>
      </c>
      <c r="E3971" s="21">
        <f>IF(D3971="?OLD","!!!","")</f>
        <v/>
      </c>
      <c r="F3971" s="22" t="str">
        <f>IF(OR(E3971="",E3971="!!!"),"",IF(NOT(ISNA(VLOOKUP(E3971,E$1:E3970,1,FALSE()))),"OLD",IF(AND(E3971&lt;&gt;"",E3971&lt;&gt;"!!!"),"NEW","")))</f>
        <v> </v>
      </c>
      <c r="G3971" s="23" t="str">
        <f>IF(OR(E3971="",E3971="!!!"),"",IF(OR(J3971=0,AND(J3971=1,K3971=1),AND(J3971=1,I3971="SBJ"),AND(J3971=1,I3971=0)),"?IN_FOCUS",IF(J3971&lt;=2,"?ACTIVATED",IF(J3971&lt;&gt;"","?FAMILIAR",IF(F3971="NEW",IF(ISNA(VLOOKUP(E3971,#REF!,1,FALSE())),"?TYPE_IDENTIFIABLE","?REFERENTIAL"),"_")))))</f>
        <v> </v>
      </c>
      <c r="H3971" s="24" t="str">
        <f>IF(J3971&lt;&gt;1,"",IF(I3971="SBJ","CB","?"))</f>
        <v> </v>
      </c>
      <c r="I3971" s="25" t="str">
        <f>IF(OR(E3971="",E3971="!!!",F3971="NEW"),"",INDEX(B3970:B$2,-1+SUMPRODUCT(MAX(ROW(E3970:E$2)*(E3971=E3970:E$2)))))</f>
        <v> </v>
      </c>
      <c r="J3971" s="25" t="str">
        <f>IF(OR(E3971="",E3971="!!!",F3971="NEW"),"",COUNTBLANK(OFFSET(A$1,,,SUMPRODUCT(MAX(ROW(E$2:E3971)*(E3971=E$2:E3971)))))-COUNTBLANK(OFFSET(A$1,,,SUMPRODUCT(MAX(ROW(E$1:E3970)*(E2=E$1:E3970))))))</f>
        <v> </v>
      </c>
      <c r="K3971" s="25" t="str">
        <f>IF(OR(E3971="",E3971="!!!",F3971="NEW"),"",INDEX(J$1:J3970,SUMPRODUCT(MAX(ROW(E$1:E3970)*(E3971=E$1:E3970)))))</f>
        <v> </v>
      </c>
      <c r="L3971" s="26"/>
    </row>
    <row r="3972" spans="1:12">
      <c r="A3972" s="20" t="s">
        <v>1059</v>
      </c>
      <c r="E3972" s="21">
        <f>IF(D3972="?OLD","!!!","")</f>
        <v/>
      </c>
      <c r="F3972" s="22" t="str">
        <f>IF(OR(E3972="",E3972="!!!"),"",IF(NOT(ISNA(VLOOKUP(E3972,E$1:E3971,1,FALSE()))),"OLD",IF(AND(E3972&lt;&gt;"",E3972&lt;&gt;"!!!"),"NEW","")))</f>
        <v> </v>
      </c>
      <c r="G3972" s="23" t="str">
        <f>IF(OR(E3972="",E3972="!!!"),"",IF(OR(J3972=0,AND(J3972=1,K3972=1),AND(J3972=1,I3972="SBJ"),AND(J3972=1,I3972=0)),"?IN_FOCUS",IF(J3972&lt;=2,"?ACTIVATED",IF(J3972&lt;&gt;"","?FAMILIAR",IF(F3972="NEW",IF(ISNA(VLOOKUP(E3972,#REF!,1,FALSE())),"?TYPE_IDENTIFIABLE","?REFERENTIAL"),"_")))))</f>
        <v> </v>
      </c>
      <c r="H3972" s="24" t="str">
        <f>IF(J3972&lt;&gt;1,"",IF(I3972="SBJ","CB","?"))</f>
        <v> </v>
      </c>
      <c r="I3972" s="25" t="str">
        <f>IF(OR(E3972="",E3972="!!!",F3972="NEW"),"",INDEX(B3971:B$2,-1+SUMPRODUCT(MAX(ROW(E3971:E$2)*(E3972=E3971:E$2)))))</f>
        <v> </v>
      </c>
      <c r="J3972" s="25" t="str">
        <f>IF(OR(E3972="",E3972="!!!",F3972="NEW"),"",COUNTBLANK(OFFSET(A$1,,,SUMPRODUCT(MAX(ROW(E$2:E3972)*(E3972=E$2:E3972)))))-COUNTBLANK(OFFSET(A$1,,,SUMPRODUCT(MAX(ROW(E$1:E3971)*(E2=E$1:E3971))))))</f>
        <v> </v>
      </c>
      <c r="K3972" s="25" t="str">
        <f>IF(OR(E3972="",E3972="!!!",F3972="NEW"),"",INDEX(J$1:J3971,SUMPRODUCT(MAX(ROW(E$1:E3971)*(E3972=E$1:E3971)))))</f>
        <v> </v>
      </c>
      <c r="L3972" s="26"/>
    </row>
    <row r="3973" spans="1:12">
      <c r="A3973" s="20" t="s">
        <v>2150</v>
      </c>
      <c r="E3973" s="21">
        <f>IF(D3973="?OLD","!!!","")</f>
        <v/>
      </c>
      <c r="F3973" s="22" t="str">
        <f>IF(OR(E3973="",E3973="!!!"),"",IF(NOT(ISNA(VLOOKUP(E3973,E$1:E3972,1,FALSE()))),"OLD",IF(AND(E3973&lt;&gt;"",E3973&lt;&gt;"!!!"),"NEW","")))</f>
        <v> </v>
      </c>
      <c r="G3973" s="23" t="str">
        <f>IF(OR(E3973="",E3973="!!!"),"",IF(OR(J3973=0,AND(J3973=1,K3973=1),AND(J3973=1,I3973="SBJ"),AND(J3973=1,I3973=0)),"?IN_FOCUS",IF(J3973&lt;=2,"?ACTIVATED",IF(J3973&lt;&gt;"","?FAMILIAR",IF(F3973="NEW",IF(ISNA(VLOOKUP(E3973,#REF!,1,FALSE())),"?TYPE_IDENTIFIABLE","?REFERENTIAL"),"_")))))</f>
        <v> </v>
      </c>
      <c r="H3973" s="24" t="str">
        <f>IF(J3973&lt;&gt;1,"",IF(I3973="SBJ","CB","?"))</f>
        <v> </v>
      </c>
      <c r="I3973" s="25" t="str">
        <f>IF(OR(E3973="",E3973="!!!",F3973="NEW"),"",INDEX(B3972:B$2,-1+SUMPRODUCT(MAX(ROW(E3972:E$2)*(E3973=E3972:E$2)))))</f>
        <v> </v>
      </c>
      <c r="J3973" s="25" t="str">
        <f>IF(OR(E3973="",E3973="!!!",F3973="NEW"),"",COUNTBLANK(OFFSET(A$1,,,SUMPRODUCT(MAX(ROW(E$2:E3973)*(E3973=E$2:E3973)))))-COUNTBLANK(OFFSET(A$1,,,SUMPRODUCT(MAX(ROW(E$1:E3972)*(E2=E$1:E3972))))))</f>
        <v> </v>
      </c>
      <c r="K3973" s="25" t="str">
        <f>IF(OR(E3973="",E3973="!!!",F3973="NEW"),"",INDEX(J$1:J3972,SUMPRODUCT(MAX(ROW(E$1:E3972)*(E3973=E$1:E3972)))))</f>
        <v> </v>
      </c>
      <c r="L3973" s="26"/>
    </row>
    <row r="3974" spans="1:12">
      <c r="A3974" s="20" t="s">
        <v>135</v>
      </c>
      <c r="E3974" s="21">
        <f>IF(D3974="?OLD","!!!","")</f>
        <v/>
      </c>
      <c r="F3974" s="22" t="str">
        <f>IF(OR(E3974="",E3974="!!!"),"",IF(NOT(ISNA(VLOOKUP(E3974,E$1:E3973,1,FALSE()))),"OLD",IF(AND(E3974&lt;&gt;"",E3974&lt;&gt;"!!!"),"NEW","")))</f>
        <v> </v>
      </c>
      <c r="G3974" s="23" t="str">
        <f>IF(OR(E3974="",E3974="!!!"),"",IF(OR(J3974=0,AND(J3974=1,K3974=1),AND(J3974=1,I3974="SBJ"),AND(J3974=1,I3974=0)),"?IN_FOCUS",IF(J3974&lt;=2,"?ACTIVATED",IF(J3974&lt;&gt;"","?FAMILIAR",IF(F3974="NEW",IF(ISNA(VLOOKUP(E3974,#REF!,1,FALSE())),"?TYPE_IDENTIFIABLE","?REFERENTIAL"),"_")))))</f>
        <v> </v>
      </c>
      <c r="H3974" s="24" t="str">
        <f>IF(J3974&lt;&gt;1,"",IF(I3974="SBJ","CB","?"))</f>
        <v> </v>
      </c>
      <c r="I3974" s="25" t="str">
        <f>IF(OR(E3974="",E3974="!!!",F3974="NEW"),"",INDEX(B3973:B$2,-1+SUMPRODUCT(MAX(ROW(E3973:E$2)*(E3974=E3973:E$2)))))</f>
        <v> </v>
      </c>
      <c r="J3974" s="25" t="str">
        <f>IF(OR(E3974="",E3974="!!!",F3974="NEW"),"",COUNTBLANK(OFFSET(A$1,,,SUMPRODUCT(MAX(ROW(E$2:E3974)*(E3974=E$2:E3974)))))-COUNTBLANK(OFFSET(A$1,,,SUMPRODUCT(MAX(ROW(E$1:E3973)*(E2=E$1:E3973))))))</f>
        <v> </v>
      </c>
      <c r="K3974" s="25" t="str">
        <f>IF(OR(E3974="",E3974="!!!",F3974="NEW"),"",INDEX(J$1:J3973,SUMPRODUCT(MAX(ROW(E$1:E3973)*(E3974=E$1:E3973)))))</f>
        <v> </v>
      </c>
      <c r="L3974" s="26"/>
    </row>
    <row r="3975" spans="1:12">
      <c r="A3975" s="20"/>
    </row>
    <row r="3976" spans="1:12">
      <c r="A3976" s="20" t="s">
        <v>2329</v>
      </c>
    </row>
    <row r="3977" spans="1:12">
      <c r="A3977" s="20" t="s">
        <v>2330</v>
      </c>
      <c r="E3977" s="21">
        <f>IF(D3977="?OLD","!!!","")</f>
        <v/>
      </c>
      <c r="F3977" s="22" t="str">
        <f>IF(OR(E3977="",E3977="!!!"),"",IF(NOT(ISNA(VLOOKUP(E3977,E$1:E3976,1,FALSE()))),"OLD",IF(AND(E3977&lt;&gt;"",E3977&lt;&gt;"!!!"),"NEW","")))</f>
        <v> </v>
      </c>
      <c r="G3977" s="23" t="str">
        <f>IF(OR(E3977="",E3977="!!!"),"",IF(OR(J3977=0,AND(J3977=1,K3977=1),AND(J3977=1,I3977="SBJ"),AND(J3977=1,I3977=0)),"?IN_FOCUS",IF(J3977&lt;=2,"?ACTIVATED",IF(J3977&lt;&gt;"","?FAMILIAR",IF(F3977="NEW",IF(ISNA(VLOOKUP(E3977,#REF!,1,FALSE())),"?TYPE_IDENTIFIABLE","?REFERENTIAL"),"_")))))</f>
        <v> </v>
      </c>
      <c r="H3977" s="24" t="str">
        <f>IF(J3977&lt;&gt;1,"",IF(I3977="SBJ","CB","?"))</f>
        <v> </v>
      </c>
      <c r="I3977" s="25" t="str">
        <f>IF(OR(E3977="",E3977="!!!",F3977="NEW"),"",INDEX(B3976:B$2,-1+SUMPRODUCT(MAX(ROW(E3976:E$2)*(E3977=E3976:E$2)))))</f>
        <v> </v>
      </c>
      <c r="J3977" s="25" t="str">
        <f>IF(OR(E3977="",E3977="!!!",F3977="NEW"),"",COUNTBLANK(OFFSET(A$1,,,SUMPRODUCT(MAX(ROW(E$2:E3977)*(E3977=E$2:E3977)))))-COUNTBLANK(OFFSET(A$1,,,SUMPRODUCT(MAX(ROW(E$1:E3976)*(E2=E$1:E3976))))))</f>
        <v> </v>
      </c>
      <c r="K3977" s="25" t="str">
        <f>IF(OR(E3977="",E3977="!!!",F3977="NEW"),"",INDEX(J$1:J3976,SUMPRODUCT(MAX(ROW(E$1:E3976)*(E3977=E$1:E3976)))))</f>
        <v> </v>
      </c>
      <c r="L3977" s="26"/>
    </row>
    <row r="3978" spans="1:12">
      <c r="A3978" s="20" t="s">
        <v>12</v>
      </c>
      <c r="E3978" s="21">
        <f>IF(D3978="?OLD","!!!","")</f>
        <v/>
      </c>
      <c r="F3978" s="22" t="str">
        <f>IF(OR(E3978="",E3978="!!!"),"",IF(NOT(ISNA(VLOOKUP(E3978,E$1:E3977,1,FALSE()))),"OLD",IF(AND(E3978&lt;&gt;"",E3978&lt;&gt;"!!!"),"NEW","")))</f>
        <v> </v>
      </c>
      <c r="G3978" s="23" t="str">
        <f>IF(OR(E3978="",E3978="!!!"),"",IF(OR(J3978=0,AND(J3978=1,K3978=1),AND(J3978=1,I3978="SBJ"),AND(J3978=1,I3978=0)),"?IN_FOCUS",IF(J3978&lt;=2,"?ACTIVATED",IF(J3978&lt;&gt;"","?FAMILIAR",IF(F3978="NEW",IF(ISNA(VLOOKUP(E3978,#REF!,1,FALSE())),"?TYPE_IDENTIFIABLE","?REFERENTIAL"),"_")))))</f>
        <v> </v>
      </c>
      <c r="H3978" s="24" t="str">
        <f>IF(J3978&lt;&gt;1,"",IF(I3978="SBJ","CB","?"))</f>
        <v> </v>
      </c>
      <c r="I3978" s="25" t="str">
        <f>IF(OR(E3978="",E3978="!!!",F3978="NEW"),"",INDEX(B3977:B$2,-1+SUMPRODUCT(MAX(ROW(E3977:E$2)*(E3978=E3977:E$2)))))</f>
        <v> </v>
      </c>
      <c r="J3978" s="25" t="str">
        <f>IF(OR(E3978="",E3978="!!!",F3978="NEW"),"",COUNTBLANK(OFFSET(A$1,,,SUMPRODUCT(MAX(ROW(E$2:E3978)*(E3978=E$2:E3978)))))-COUNTBLANK(OFFSET(A$1,,,SUMPRODUCT(MAX(ROW(E$1:E3977)*(E2=E$1:E3977))))))</f>
        <v> </v>
      </c>
      <c r="K3978" s="25" t="str">
        <f>IF(OR(E3978="",E3978="!!!",F3978="NEW"),"",INDEX(J$1:J3977,SUMPRODUCT(MAX(ROW(E$1:E3977)*(E3978=E$1:E3977)))))</f>
        <v> </v>
      </c>
      <c r="L3978" s="26"/>
    </row>
    <row r="3979" spans="1:12">
      <c r="A3979" s="20" t="s">
        <v>1517</v>
      </c>
      <c r="E3979" s="21">
        <f>IF(D3979="?OLD","!!!","")</f>
        <v/>
      </c>
      <c r="F3979" s="22" t="str">
        <f>IF(OR(E3979="",E3979="!!!"),"",IF(NOT(ISNA(VLOOKUP(E3979,E$1:E3978,1,FALSE()))),"OLD",IF(AND(E3979&lt;&gt;"",E3979&lt;&gt;"!!!"),"NEW","")))</f>
        <v> </v>
      </c>
      <c r="G3979" s="23" t="str">
        <f>IF(OR(E3979="",E3979="!!!"),"",IF(OR(J3979=0,AND(J3979=1,K3979=1),AND(J3979=1,I3979="SBJ"),AND(J3979=1,I3979=0)),"?IN_FOCUS",IF(J3979&lt;=2,"?ACTIVATED",IF(J3979&lt;&gt;"","?FAMILIAR",IF(F3979="NEW",IF(ISNA(VLOOKUP(E3979,#REF!,1,FALSE())),"?TYPE_IDENTIFIABLE","?REFERENTIAL"),"_")))))</f>
        <v> </v>
      </c>
      <c r="H3979" s="24" t="str">
        <f>IF(J3979&lt;&gt;1,"",IF(I3979="SBJ","CB","?"))</f>
        <v> </v>
      </c>
      <c r="I3979" s="25" t="str">
        <f>IF(OR(E3979="",E3979="!!!",F3979="NEW"),"",INDEX(B3978:B$2,-1+SUMPRODUCT(MAX(ROW(E3978:E$2)*(E3979=E3978:E$2)))))</f>
        <v> </v>
      </c>
      <c r="J3979" s="25" t="str">
        <f>IF(OR(E3979="",E3979="!!!",F3979="NEW"),"",COUNTBLANK(OFFSET(A$1,,,SUMPRODUCT(MAX(ROW(E$2:E3979)*(E3979=E$2:E3979)))))-COUNTBLANK(OFFSET(A$1,,,SUMPRODUCT(MAX(ROW(E$1:E3978)*(E2=E$1:E3978))))))</f>
        <v> </v>
      </c>
      <c r="K3979" s="25" t="str">
        <f>IF(OR(E3979="",E3979="!!!",F3979="NEW"),"",INDEX(J$1:J3978,SUMPRODUCT(MAX(ROW(E$1:E3978)*(E3979=E$1:E3978)))))</f>
        <v> </v>
      </c>
      <c r="L3979" s="26"/>
    </row>
    <row r="3980" spans="1:12">
      <c r="A3980" s="20" t="s">
        <v>2331</v>
      </c>
      <c r="B3980" s="27" t="s">
        <v>1014</v>
      </c>
      <c r="C3980" s="27" t="s">
        <v>1046</v>
      </c>
      <c r="D3980" s="27" t="s">
        <v>1030</v>
      </c>
      <c r="E3980" s="21">
        <f>IF(D3980="?OLD","!!!","")</f>
        <v/>
      </c>
      <c r="F3980" s="22" t="str">
        <f>IF(OR(E3980="",E3980="!!!"),"",IF(NOT(ISNA(VLOOKUP(E3980,E$1:E3979,1,FALSE()))),"OLD",IF(AND(E3980&lt;&gt;"",E3980&lt;&gt;"!!!"),"NEW","")))</f>
        <v> </v>
      </c>
      <c r="G3980" s="23" t="str">
        <f>IF(OR(E3980="",E3980="!!!"),"",IF(OR(J3980=0,AND(J3980=1,K3980=1),AND(J3980=1,I3980="SBJ"),AND(J3980=1,I3980=0)),"?IN_FOCUS",IF(J3980&lt;=2,"?ACTIVATED",IF(J3980&lt;&gt;"","?FAMILIAR",IF(F3980="NEW",IF(ISNA(VLOOKUP(E3980,#REF!,1,FALSE())),"?TYPE_IDENTIFIABLE","?REFERENTIAL"),"_")))))</f>
        <v> </v>
      </c>
      <c r="H3980" s="24" t="str">
        <f>IF(J3980&lt;&gt;1,"",IF(I3980="SBJ","CB","?"))</f>
        <v> </v>
      </c>
      <c r="I3980" s="25" t="str">
        <f>IF(OR(E3980="",E3980="!!!",F3980="NEW"),"",INDEX(B3979:B$2,-1+SUMPRODUCT(MAX(ROW(E3979:E$2)*(E3980=E3979:E$2)))))</f>
        <v> </v>
      </c>
      <c r="J3980" s="25" t="str">
        <f>IF(OR(E3980="",E3980="!!!",F3980="NEW"),"",COUNTBLANK(OFFSET(A$1,,,SUMPRODUCT(MAX(ROW(E$2:E3980)*(E3980=E$2:E3980)))))-COUNTBLANK(OFFSET(A$1,,,SUMPRODUCT(MAX(ROW(E$1:E3979)*(E2=E$1:E3979))))))</f>
        <v> </v>
      </c>
      <c r="K3980" s="25" t="str">
        <f>IF(OR(E3980="",E3980="!!!",F3980="NEW"),"",INDEX(J$1:J3979,SUMPRODUCT(MAX(ROW(E$1:E3979)*(E3980=E$1:E3979)))))</f>
        <v> </v>
      </c>
      <c r="L3980" s="26"/>
    </row>
    <row r="3981" spans="1:12">
      <c r="A3981" s="20" t="s">
        <v>1022</v>
      </c>
      <c r="E3981" s="21">
        <f>IF(D3981="?OLD","!!!","")</f>
        <v/>
      </c>
      <c r="F3981" s="22" t="str">
        <f>IF(OR(E3981="",E3981="!!!"),"",IF(NOT(ISNA(VLOOKUP(E3981,E$1:E3980,1,FALSE()))),"OLD",IF(AND(E3981&lt;&gt;"",E3981&lt;&gt;"!!!"),"NEW","")))</f>
        <v> </v>
      </c>
      <c r="G3981" s="23" t="str">
        <f>IF(OR(E3981="",E3981="!!!"),"",IF(OR(J3981=0,AND(J3981=1,K3981=1),AND(J3981=1,I3981="SBJ"),AND(J3981=1,I3981=0)),"?IN_FOCUS",IF(J3981&lt;=2,"?ACTIVATED",IF(J3981&lt;&gt;"","?FAMILIAR",IF(F3981="NEW",IF(ISNA(VLOOKUP(E3981,#REF!,1,FALSE())),"?TYPE_IDENTIFIABLE","?REFERENTIAL"),"_")))))</f>
        <v> </v>
      </c>
      <c r="H3981" s="24" t="str">
        <f>IF(J3981&lt;&gt;1,"",IF(I3981="SBJ","CB","?"))</f>
        <v> </v>
      </c>
      <c r="I3981" s="25" t="str">
        <f>IF(OR(E3981="",E3981="!!!",F3981="NEW"),"",INDEX(B3980:B$2,-1+SUMPRODUCT(MAX(ROW(E3980:E$2)*(E3981=E3980:E$2)))))</f>
        <v> </v>
      </c>
      <c r="J3981" s="25" t="str">
        <f>IF(OR(E3981="",E3981="!!!",F3981="NEW"),"",COUNTBLANK(OFFSET(A$1,,,SUMPRODUCT(MAX(ROW(E$2:E3981)*(E3981=E$2:E3981)))))-COUNTBLANK(OFFSET(A$1,,,SUMPRODUCT(MAX(ROW(E$1:E3980)*(E2=E$1:E3980))))))</f>
        <v> </v>
      </c>
      <c r="K3981" s="25" t="str">
        <f>IF(OR(E3981="",E3981="!!!",F3981="NEW"),"",INDEX(J$1:J3980,SUMPRODUCT(MAX(ROW(E$1:E3980)*(E3981=E$1:E3980)))))</f>
        <v> </v>
      </c>
      <c r="L3981" s="26"/>
    </row>
    <row r="3982" spans="1:12">
      <c r="A3982" s="20" t="s">
        <v>1083</v>
      </c>
      <c r="E3982" s="21">
        <f>IF(D3982="?OLD","!!!","")</f>
        <v/>
      </c>
      <c r="F3982" s="22" t="str">
        <f>IF(OR(E3982="",E3982="!!!"),"",IF(NOT(ISNA(VLOOKUP(E3982,E$1:E3981,1,FALSE()))),"OLD",IF(AND(E3982&lt;&gt;"",E3982&lt;&gt;"!!!"),"NEW","")))</f>
        <v> </v>
      </c>
      <c r="G3982" s="23" t="str">
        <f>IF(OR(E3982="",E3982="!!!"),"",IF(OR(J3982=0,AND(J3982=1,K3982=1),AND(J3982=1,I3982="SBJ"),AND(J3982=1,I3982=0)),"?IN_FOCUS",IF(J3982&lt;=2,"?ACTIVATED",IF(J3982&lt;&gt;"","?FAMILIAR",IF(F3982="NEW",IF(ISNA(VLOOKUP(E3982,#REF!,1,FALSE())),"?TYPE_IDENTIFIABLE","?REFERENTIAL"),"_")))))</f>
        <v> </v>
      </c>
      <c r="H3982" s="24" t="str">
        <f>IF(J3982&lt;&gt;1,"",IF(I3982="SBJ","CB","?"))</f>
        <v> </v>
      </c>
      <c r="I3982" s="25" t="str">
        <f>IF(OR(E3982="",E3982="!!!",F3982="NEW"),"",INDEX(B3981:B$2,-1+SUMPRODUCT(MAX(ROW(E3981:E$2)*(E3982=E3981:E$2)))))</f>
        <v> </v>
      </c>
      <c r="J3982" s="25" t="str">
        <f>IF(OR(E3982="",E3982="!!!",F3982="NEW"),"",COUNTBLANK(OFFSET(A$1,,,SUMPRODUCT(MAX(ROW(E$2:E3982)*(E3982=E$2:E3982)))))-COUNTBLANK(OFFSET(A$1,,,SUMPRODUCT(MAX(ROW(E$1:E3981)*(E2=E$1:E3981))))))</f>
        <v> </v>
      </c>
      <c r="K3982" s="25" t="str">
        <f>IF(OR(E3982="",E3982="!!!",F3982="NEW"),"",INDEX(J$1:J3981,SUMPRODUCT(MAX(ROW(E$1:E3981)*(E3982=E$1:E3981)))))</f>
        <v> </v>
      </c>
      <c r="L3982" s="26"/>
    </row>
    <row r="3983" spans="1:12">
      <c r="A3983" s="20" t="s">
        <v>1545</v>
      </c>
      <c r="E3983" s="21">
        <f>IF(D3983="?OLD","!!!","")</f>
        <v/>
      </c>
      <c r="F3983" s="22" t="str">
        <f>IF(OR(E3983="",E3983="!!!"),"",IF(NOT(ISNA(VLOOKUP(E3983,E$1:E3982,1,FALSE()))),"OLD",IF(AND(E3983&lt;&gt;"",E3983&lt;&gt;"!!!"),"NEW","")))</f>
        <v> </v>
      </c>
      <c r="G3983" s="23" t="str">
        <f>IF(OR(E3983="",E3983="!!!"),"",IF(OR(J3983=0,AND(J3983=1,K3983=1),AND(J3983=1,I3983="SBJ"),AND(J3983=1,I3983=0)),"?IN_FOCUS",IF(J3983&lt;=2,"?ACTIVATED",IF(J3983&lt;&gt;"","?FAMILIAR",IF(F3983="NEW",IF(ISNA(VLOOKUP(E3983,#REF!,1,FALSE())),"?TYPE_IDENTIFIABLE","?REFERENTIAL"),"_")))))</f>
        <v> </v>
      </c>
      <c r="H3983" s="24" t="str">
        <f>IF(J3983&lt;&gt;1,"",IF(I3983="SBJ","CB","?"))</f>
        <v> </v>
      </c>
      <c r="I3983" s="25" t="str">
        <f>IF(OR(E3983="",E3983="!!!",F3983="NEW"),"",INDEX(B3982:B$2,-1+SUMPRODUCT(MAX(ROW(E3982:E$2)*(E3983=E3982:E$2)))))</f>
        <v> </v>
      </c>
      <c r="J3983" s="25" t="str">
        <f>IF(OR(E3983="",E3983="!!!",F3983="NEW"),"",COUNTBLANK(OFFSET(A$1,,,SUMPRODUCT(MAX(ROW(E$2:E3983)*(E3983=E$2:E3983)))))-COUNTBLANK(OFFSET(A$1,,,SUMPRODUCT(MAX(ROW(E$1:E3982)*(E2=E$1:E3982))))))</f>
        <v> </v>
      </c>
      <c r="K3983" s="25" t="str">
        <f>IF(OR(E3983="",E3983="!!!",F3983="NEW"),"",INDEX(J$1:J3982,SUMPRODUCT(MAX(ROW(E$1:E3982)*(E3983=E$1:E3982)))))</f>
        <v> </v>
      </c>
      <c r="L3983" s="26"/>
    </row>
    <row r="3984" spans="1:12">
      <c r="A3984" s="20" t="s">
        <v>182</v>
      </c>
      <c r="E3984" s="21">
        <f>IF(D3984="?OLD","!!!","")</f>
        <v/>
      </c>
      <c r="F3984" s="22" t="str">
        <f>IF(OR(E3984="",E3984="!!!"),"",IF(NOT(ISNA(VLOOKUP(E3984,E$1:E3983,1,FALSE()))),"OLD",IF(AND(E3984&lt;&gt;"",E3984&lt;&gt;"!!!"),"NEW","")))</f>
        <v> </v>
      </c>
      <c r="G3984" s="23" t="str">
        <f>IF(OR(E3984="",E3984="!!!"),"",IF(OR(J3984=0,AND(J3984=1,K3984=1),AND(J3984=1,I3984="SBJ"),AND(J3984=1,I3984=0)),"?IN_FOCUS",IF(J3984&lt;=2,"?ACTIVATED",IF(J3984&lt;&gt;"","?FAMILIAR",IF(F3984="NEW",IF(ISNA(VLOOKUP(E3984,#REF!,1,FALSE())),"?TYPE_IDENTIFIABLE","?REFERENTIAL"),"_")))))</f>
        <v> </v>
      </c>
      <c r="H3984" s="24" t="str">
        <f>IF(J3984&lt;&gt;1,"",IF(I3984="SBJ","CB","?"))</f>
        <v> </v>
      </c>
      <c r="I3984" s="25" t="str">
        <f>IF(OR(E3984="",E3984="!!!",F3984="NEW"),"",INDEX(B3983:B$2,-1+SUMPRODUCT(MAX(ROW(E3983:E$2)*(E3984=E3983:E$2)))))</f>
        <v> </v>
      </c>
      <c r="J3984" s="25" t="str">
        <f>IF(OR(E3984="",E3984="!!!",F3984="NEW"),"",COUNTBLANK(OFFSET(A$1,,,SUMPRODUCT(MAX(ROW(E$2:E3984)*(E3984=E$2:E3984)))))-COUNTBLANK(OFFSET(A$1,,,SUMPRODUCT(MAX(ROW(E$1:E3983)*(E2=E$1:E3983))))))</f>
        <v> </v>
      </c>
      <c r="K3984" s="25" t="str">
        <f>IF(OR(E3984="",E3984="!!!",F3984="NEW"),"",INDEX(J$1:J3983,SUMPRODUCT(MAX(ROW(E$1:E3983)*(E3984=E$1:E3983)))))</f>
        <v> </v>
      </c>
      <c r="L3984" s="26"/>
    </row>
    <row r="3985" spans="1:12">
      <c r="A3985" s="20" t="s">
        <v>1022</v>
      </c>
      <c r="E3985" s="21">
        <f>IF(D3985="?OLD","!!!","")</f>
        <v/>
      </c>
      <c r="F3985" s="22" t="str">
        <f>IF(OR(E3985="",E3985="!!!"),"",IF(NOT(ISNA(VLOOKUP(E3985,E$1:E3984,1,FALSE()))),"OLD",IF(AND(E3985&lt;&gt;"",E3985&lt;&gt;"!!!"),"NEW","")))</f>
        <v> </v>
      </c>
      <c r="G3985" s="23" t="str">
        <f>IF(OR(E3985="",E3985="!!!"),"",IF(OR(J3985=0,AND(J3985=1,K3985=1),AND(J3985=1,I3985="SBJ"),AND(J3985=1,I3985=0)),"?IN_FOCUS",IF(J3985&lt;=2,"?ACTIVATED",IF(J3985&lt;&gt;"","?FAMILIAR",IF(F3985="NEW",IF(ISNA(VLOOKUP(E3985,#REF!,1,FALSE())),"?TYPE_IDENTIFIABLE","?REFERENTIAL"),"_")))))</f>
        <v> </v>
      </c>
      <c r="H3985" s="24" t="str">
        <f>IF(J3985&lt;&gt;1,"",IF(I3985="SBJ","CB","?"))</f>
        <v> </v>
      </c>
      <c r="I3985" s="25" t="str">
        <f>IF(OR(E3985="",E3985="!!!",F3985="NEW"),"",INDEX(B3984:B$2,-1+SUMPRODUCT(MAX(ROW(E3984:E$2)*(E3985=E3984:E$2)))))</f>
        <v> </v>
      </c>
      <c r="J3985" s="25" t="str">
        <f>IF(OR(E3985="",E3985="!!!",F3985="NEW"),"",COUNTBLANK(OFFSET(A$1,,,SUMPRODUCT(MAX(ROW(E$2:E3985)*(E3985=E$2:E3985)))))-COUNTBLANK(OFFSET(A$1,,,SUMPRODUCT(MAX(ROW(E$1:E3984)*(E2=E$1:E3984))))))</f>
        <v> </v>
      </c>
      <c r="K3985" s="25" t="str">
        <f>IF(OR(E3985="",E3985="!!!",F3985="NEW"),"",INDEX(J$1:J3984,SUMPRODUCT(MAX(ROW(E$1:E3984)*(E3985=E$1:E3984)))))</f>
        <v> </v>
      </c>
      <c r="L3985" s="26"/>
    </row>
    <row r="3986" spans="1:12">
      <c r="A3986" s="20" t="s">
        <v>1429</v>
      </c>
      <c r="E3986" s="21">
        <f>IF(D3986="?OLD","!!!","")</f>
        <v/>
      </c>
      <c r="F3986" s="22" t="str">
        <f>IF(OR(E3986="",E3986="!!!"),"",IF(NOT(ISNA(VLOOKUP(E3986,E$1:E3985,1,FALSE()))),"OLD",IF(AND(E3986&lt;&gt;"",E3986&lt;&gt;"!!!"),"NEW","")))</f>
        <v> </v>
      </c>
      <c r="G3986" s="23" t="str">
        <f>IF(OR(E3986="",E3986="!!!"),"",IF(OR(J3986=0,AND(J3986=1,K3986=1),AND(J3986=1,I3986="SBJ"),AND(J3986=1,I3986=0)),"?IN_FOCUS",IF(J3986&lt;=2,"?ACTIVATED",IF(J3986&lt;&gt;"","?FAMILIAR",IF(F3986="NEW",IF(ISNA(VLOOKUP(E3986,#REF!,1,FALSE())),"?TYPE_IDENTIFIABLE","?REFERENTIAL"),"_")))))</f>
        <v> </v>
      </c>
      <c r="H3986" s="24" t="str">
        <f>IF(J3986&lt;&gt;1,"",IF(I3986="SBJ","CB","?"))</f>
        <v> </v>
      </c>
      <c r="I3986" s="25" t="str">
        <f>IF(OR(E3986="",E3986="!!!",F3986="NEW"),"",INDEX(B3985:B$2,-1+SUMPRODUCT(MAX(ROW(E3985:E$2)*(E3986=E3985:E$2)))))</f>
        <v> </v>
      </c>
      <c r="J3986" s="25" t="str">
        <f>IF(OR(E3986="",E3986="!!!",F3986="NEW"),"",COUNTBLANK(OFFSET(A$1,,,SUMPRODUCT(MAX(ROW(E$2:E3986)*(E3986=E$2:E3986)))))-COUNTBLANK(OFFSET(A$1,,,SUMPRODUCT(MAX(ROW(E$1:E3985)*(E2=E$1:E3985))))))</f>
        <v> </v>
      </c>
      <c r="K3986" s="25" t="str">
        <f>IF(OR(E3986="",E3986="!!!",F3986="NEW"),"",INDEX(J$1:J3985,SUMPRODUCT(MAX(ROW(E$1:E3985)*(E3986=E$1:E3985)))))</f>
        <v> </v>
      </c>
      <c r="L3986" s="26"/>
    </row>
    <row r="3987" spans="1:12">
      <c r="A3987" s="20" t="s">
        <v>1279</v>
      </c>
      <c r="E3987" s="21">
        <f>IF(D3987="?OLD","!!!","")</f>
        <v/>
      </c>
      <c r="F3987" s="22" t="str">
        <f>IF(OR(E3987="",E3987="!!!"),"",IF(NOT(ISNA(VLOOKUP(E3987,E$1:E3986,1,FALSE()))),"OLD",IF(AND(E3987&lt;&gt;"",E3987&lt;&gt;"!!!"),"NEW","")))</f>
        <v> </v>
      </c>
      <c r="G3987" s="23" t="str">
        <f>IF(OR(E3987="",E3987="!!!"),"",IF(OR(J3987=0,AND(J3987=1,K3987=1),AND(J3987=1,I3987="SBJ"),AND(J3987=1,I3987=0)),"?IN_FOCUS",IF(J3987&lt;=2,"?ACTIVATED",IF(J3987&lt;&gt;"","?FAMILIAR",IF(F3987="NEW",IF(ISNA(VLOOKUP(E3987,#REF!,1,FALSE())),"?TYPE_IDENTIFIABLE","?REFERENTIAL"),"_")))))</f>
        <v> </v>
      </c>
      <c r="H3987" s="24" t="str">
        <f>IF(J3987&lt;&gt;1,"",IF(I3987="SBJ","CB","?"))</f>
        <v> </v>
      </c>
      <c r="I3987" s="25" t="str">
        <f>IF(OR(E3987="",E3987="!!!",F3987="NEW"),"",INDEX(B3986:B$2,-1+SUMPRODUCT(MAX(ROW(E3986:E$2)*(E3987=E3986:E$2)))))</f>
        <v> </v>
      </c>
      <c r="J3987" s="25" t="str">
        <f>IF(OR(E3987="",E3987="!!!",F3987="NEW"),"",COUNTBLANK(OFFSET(A$1,,,SUMPRODUCT(MAX(ROW(E$2:E3987)*(E3987=E$2:E3987)))))-COUNTBLANK(OFFSET(A$1,,,SUMPRODUCT(MAX(ROW(E$1:E3986)*(E2=E$1:E3986))))))</f>
        <v> </v>
      </c>
      <c r="K3987" s="25" t="str">
        <f>IF(OR(E3987="",E3987="!!!",F3987="NEW"),"",INDEX(J$1:J3986,SUMPRODUCT(MAX(ROW(E$1:E3986)*(E3987=E$1:E3986)))))</f>
        <v> </v>
      </c>
      <c r="L3987" s="26"/>
    </row>
    <row r="3988" spans="1:12">
      <c r="A3988" s="20" t="s">
        <v>2332</v>
      </c>
      <c r="E3988" s="21">
        <f>IF(D3988="?OLD","!!!","")</f>
        <v/>
      </c>
      <c r="F3988" s="22" t="str">
        <f>IF(OR(E3988="",E3988="!!!"),"",IF(NOT(ISNA(VLOOKUP(E3988,E$1:E3987,1,FALSE()))),"OLD",IF(AND(E3988&lt;&gt;"",E3988&lt;&gt;"!!!"),"NEW","")))</f>
        <v> </v>
      </c>
      <c r="G3988" s="23" t="str">
        <f>IF(OR(E3988="",E3988="!!!"),"",IF(OR(J3988=0,AND(J3988=1,K3988=1),AND(J3988=1,I3988="SBJ"),AND(J3988=1,I3988=0)),"?IN_FOCUS",IF(J3988&lt;=2,"?ACTIVATED",IF(J3988&lt;&gt;"","?FAMILIAR",IF(F3988="NEW",IF(ISNA(VLOOKUP(E3988,#REF!,1,FALSE())),"?TYPE_IDENTIFIABLE","?REFERENTIAL"),"_")))))</f>
        <v> </v>
      </c>
      <c r="H3988" s="24" t="str">
        <f>IF(J3988&lt;&gt;1,"",IF(I3988="SBJ","CB","?"))</f>
        <v> </v>
      </c>
      <c r="I3988" s="25" t="str">
        <f>IF(OR(E3988="",E3988="!!!",F3988="NEW"),"",INDEX(B3987:B$2,-1+SUMPRODUCT(MAX(ROW(E3987:E$2)*(E3988=E3987:E$2)))))</f>
        <v> </v>
      </c>
      <c r="J3988" s="25" t="str">
        <f>IF(OR(E3988="",E3988="!!!",F3988="NEW"),"",COUNTBLANK(OFFSET(A$1,,,SUMPRODUCT(MAX(ROW(E$2:E3988)*(E3988=E$2:E3988)))))-COUNTBLANK(OFFSET(A$1,,,SUMPRODUCT(MAX(ROW(E$1:E3987)*(E2=E$1:E3987))))))</f>
        <v> </v>
      </c>
      <c r="K3988" s="25" t="str">
        <f>IF(OR(E3988="",E3988="!!!",F3988="NEW"),"",INDEX(J$1:J3987,SUMPRODUCT(MAX(ROW(E$1:E3987)*(E3988=E$1:E3987)))))</f>
        <v> </v>
      </c>
      <c r="L3988" s="26"/>
    </row>
    <row r="3989" spans="1:12">
      <c r="A3989" s="20" t="s">
        <v>1025</v>
      </c>
      <c r="E3989" s="21">
        <f>IF(D3989="?OLD","!!!","")</f>
        <v/>
      </c>
      <c r="F3989" s="22" t="str">
        <f>IF(OR(E3989="",E3989="!!!"),"",IF(NOT(ISNA(VLOOKUP(E3989,E$1:E3988,1,FALSE()))),"OLD",IF(AND(E3989&lt;&gt;"",E3989&lt;&gt;"!!!"),"NEW","")))</f>
        <v> </v>
      </c>
      <c r="G3989" s="23" t="str">
        <f>IF(OR(E3989="",E3989="!!!"),"",IF(OR(J3989=0,AND(J3989=1,K3989=1),AND(J3989=1,I3989="SBJ"),AND(J3989=1,I3989=0)),"?IN_FOCUS",IF(J3989&lt;=2,"?ACTIVATED",IF(J3989&lt;&gt;"","?FAMILIAR",IF(F3989="NEW",IF(ISNA(VLOOKUP(E3989,#REF!,1,FALSE())),"?TYPE_IDENTIFIABLE","?REFERENTIAL"),"_")))))</f>
        <v> </v>
      </c>
      <c r="H3989" s="24" t="str">
        <f>IF(J3989&lt;&gt;1,"",IF(I3989="SBJ","CB","?"))</f>
        <v> </v>
      </c>
      <c r="I3989" s="25" t="str">
        <f>IF(OR(E3989="",E3989="!!!",F3989="NEW"),"",INDEX(B3988:B$2,-1+SUMPRODUCT(MAX(ROW(E3988:E$2)*(E3989=E3988:E$2)))))</f>
        <v> </v>
      </c>
      <c r="J3989" s="25" t="str">
        <f>IF(OR(E3989="",E3989="!!!",F3989="NEW"),"",COUNTBLANK(OFFSET(A$1,,,SUMPRODUCT(MAX(ROW(E$2:E3989)*(E3989=E$2:E3989)))))-COUNTBLANK(OFFSET(A$1,,,SUMPRODUCT(MAX(ROW(E$1:E3988)*(E2=E$1:E3988))))))</f>
        <v> </v>
      </c>
      <c r="K3989" s="25" t="str">
        <f>IF(OR(E3989="",E3989="!!!",F3989="NEW"),"",INDEX(J$1:J3988,SUMPRODUCT(MAX(ROW(E$1:E3988)*(E3989=E$1:E3988)))))</f>
        <v> </v>
      </c>
      <c r="L3989" s="26"/>
    </row>
    <row r="3990" spans="1:12">
      <c r="A3990" s="20" t="s">
        <v>1111</v>
      </c>
      <c r="E3990" s="21">
        <f>IF(D3990="?OLD","!!!","")</f>
        <v/>
      </c>
      <c r="F3990" s="22" t="str">
        <f>IF(OR(E3990="",E3990="!!!"),"",IF(NOT(ISNA(VLOOKUP(E3990,E$1:E3989,1,FALSE()))),"OLD",IF(AND(E3990&lt;&gt;"",E3990&lt;&gt;"!!!"),"NEW","")))</f>
        <v> </v>
      </c>
      <c r="G3990" s="23" t="str">
        <f>IF(OR(E3990="",E3990="!!!"),"",IF(OR(J3990=0,AND(J3990=1,K3990=1),AND(J3990=1,I3990="SBJ"),AND(J3990=1,I3990=0)),"?IN_FOCUS",IF(J3990&lt;=2,"?ACTIVATED",IF(J3990&lt;&gt;"","?FAMILIAR",IF(F3990="NEW",IF(ISNA(VLOOKUP(E3990,#REF!,1,FALSE())),"?TYPE_IDENTIFIABLE","?REFERENTIAL"),"_")))))</f>
        <v> </v>
      </c>
      <c r="H3990" s="24" t="str">
        <f>IF(J3990&lt;&gt;1,"",IF(I3990="SBJ","CB","?"))</f>
        <v> </v>
      </c>
      <c r="I3990" s="25" t="str">
        <f>IF(OR(E3990="",E3990="!!!",F3990="NEW"),"",INDEX(B3989:B$2,-1+SUMPRODUCT(MAX(ROW(E3989:E$2)*(E3990=E3989:E$2)))))</f>
        <v> </v>
      </c>
      <c r="J3990" s="25" t="str">
        <f>IF(OR(E3990="",E3990="!!!",F3990="NEW"),"",COUNTBLANK(OFFSET(A$1,,,SUMPRODUCT(MAX(ROW(E$2:E3990)*(E3990=E$2:E3990)))))-COUNTBLANK(OFFSET(A$1,,,SUMPRODUCT(MAX(ROW(E$1:E3989)*(E2=E$1:E3989))))))</f>
        <v> </v>
      </c>
      <c r="K3990" s="25" t="str">
        <f>IF(OR(E3990="",E3990="!!!",F3990="NEW"),"",INDEX(J$1:J3989,SUMPRODUCT(MAX(ROW(E$1:E3989)*(E3990=E$1:E3989)))))</f>
        <v> </v>
      </c>
      <c r="L3990" s="26"/>
    </row>
    <row r="3991" spans="1:12">
      <c r="A3991" s="20" t="s">
        <v>1019</v>
      </c>
      <c r="B3991" s="27" t="s">
        <v>1066</v>
      </c>
      <c r="C3991" s="27" t="s">
        <v>1029</v>
      </c>
      <c r="D3991" s="27" t="s">
        <v>1030</v>
      </c>
      <c r="E3991" s="21">
        <f>IF(D3991="?OLD","!!!","")</f>
        <v/>
      </c>
      <c r="F3991" s="22" t="str">
        <f>IF(OR(E3991="",E3991="!!!"),"",IF(NOT(ISNA(VLOOKUP(E3991,E$1:E3990,1,FALSE()))),"OLD",IF(AND(E3991&lt;&gt;"",E3991&lt;&gt;"!!!"),"NEW","")))</f>
        <v> </v>
      </c>
      <c r="G3991" s="23" t="str">
        <f>IF(OR(E3991="",E3991="!!!"),"",IF(OR(J3991=0,AND(J3991=1,K3991=1),AND(J3991=1,I3991="SBJ"),AND(J3991=1,I3991=0)),"?IN_FOCUS",IF(J3991&lt;=2,"?ACTIVATED",IF(J3991&lt;&gt;"","?FAMILIAR",IF(F3991="NEW",IF(ISNA(VLOOKUP(E3991,#REF!,1,FALSE())),"?TYPE_IDENTIFIABLE","?REFERENTIAL"),"_")))))</f>
        <v> </v>
      </c>
      <c r="H3991" s="24" t="str">
        <f>IF(J3991&lt;&gt;1,"",IF(I3991="SBJ","CB","?"))</f>
        <v> </v>
      </c>
      <c r="I3991" s="25" t="str">
        <f>IF(OR(E3991="",E3991="!!!",F3991="NEW"),"",INDEX(B3990:B$2,-1+SUMPRODUCT(MAX(ROW(E3990:E$2)*(E3991=E3990:E$2)))))</f>
        <v> </v>
      </c>
      <c r="J3991" s="25" t="str">
        <f>IF(OR(E3991="",E3991="!!!",F3991="NEW"),"",COUNTBLANK(OFFSET(A$1,,,SUMPRODUCT(MAX(ROW(E$2:E3991)*(E3991=E$2:E3991)))))-COUNTBLANK(OFFSET(A$1,,,SUMPRODUCT(MAX(ROW(E$1:E3990)*(E2=E$1:E3990))))))</f>
        <v> </v>
      </c>
      <c r="K3991" s="25" t="str">
        <f>IF(OR(E3991="",E3991="!!!",F3991="NEW"),"",INDEX(J$1:J3990,SUMPRODUCT(MAX(ROW(E$1:E3990)*(E3991=E$1:E3990)))))</f>
        <v> </v>
      </c>
      <c r="L3991" s="26"/>
    </row>
    <row r="3992" spans="1:12">
      <c r="A3992" s="20" t="s">
        <v>1016</v>
      </c>
      <c r="E3992" s="21">
        <f>IF(D3992="?OLD","!!!","")</f>
        <v/>
      </c>
      <c r="F3992" s="22" t="str">
        <f>IF(OR(E3992="",E3992="!!!"),"",IF(NOT(ISNA(VLOOKUP(E3992,E$1:E3991,1,FALSE()))),"OLD",IF(AND(E3992&lt;&gt;"",E3992&lt;&gt;"!!!"),"NEW","")))</f>
        <v> </v>
      </c>
      <c r="G3992" s="23" t="str">
        <f>IF(OR(E3992="",E3992="!!!"),"",IF(OR(J3992=0,AND(J3992=1,K3992=1),AND(J3992=1,I3992="SBJ"),AND(J3992=1,I3992=0)),"?IN_FOCUS",IF(J3992&lt;=2,"?ACTIVATED",IF(J3992&lt;&gt;"","?FAMILIAR",IF(F3992="NEW",IF(ISNA(VLOOKUP(E3992,#REF!,1,FALSE())),"?TYPE_IDENTIFIABLE","?REFERENTIAL"),"_")))))</f>
        <v> </v>
      </c>
      <c r="H3992" s="24" t="str">
        <f>IF(J3992&lt;&gt;1,"",IF(I3992="SBJ","CB","?"))</f>
        <v> </v>
      </c>
      <c r="I3992" s="25" t="str">
        <f>IF(OR(E3992="",E3992="!!!",F3992="NEW"),"",INDEX(B3991:B$2,-1+SUMPRODUCT(MAX(ROW(E3991:E$2)*(E3992=E3991:E$2)))))</f>
        <v> </v>
      </c>
      <c r="J3992" s="25" t="str">
        <f>IF(OR(E3992="",E3992="!!!",F3992="NEW"),"",COUNTBLANK(OFFSET(A$1,,,SUMPRODUCT(MAX(ROW(E$2:E3992)*(E3992=E$2:E3992)))))-COUNTBLANK(OFFSET(A$1,,,SUMPRODUCT(MAX(ROW(E$1:E3991)*(E2=E$1:E3991))))))</f>
        <v> </v>
      </c>
      <c r="K3992" s="25" t="str">
        <f>IF(OR(E3992="",E3992="!!!",F3992="NEW"),"",INDEX(J$1:J3991,SUMPRODUCT(MAX(ROW(E$1:E3991)*(E3992=E$1:E3991)))))</f>
        <v> </v>
      </c>
      <c r="L3992" s="26"/>
    </row>
    <row r="3993" spans="1:12">
      <c r="A3993" s="20" t="s">
        <v>1036</v>
      </c>
      <c r="E3993" s="21">
        <f>IF(D3993="?OLD","!!!","")</f>
        <v/>
      </c>
      <c r="F3993" s="22" t="str">
        <f>IF(OR(E3993="",E3993="!!!"),"",IF(NOT(ISNA(VLOOKUP(E3993,E$1:E3992,1,FALSE()))),"OLD",IF(AND(E3993&lt;&gt;"",E3993&lt;&gt;"!!!"),"NEW","")))</f>
        <v> </v>
      </c>
      <c r="G3993" s="23" t="str">
        <f>IF(OR(E3993="",E3993="!!!"),"",IF(OR(J3993=0,AND(J3993=1,K3993=1),AND(J3993=1,I3993="SBJ"),AND(J3993=1,I3993=0)),"?IN_FOCUS",IF(J3993&lt;=2,"?ACTIVATED",IF(J3993&lt;&gt;"","?FAMILIAR",IF(F3993="NEW",IF(ISNA(VLOOKUP(E3993,#REF!,1,FALSE())),"?TYPE_IDENTIFIABLE","?REFERENTIAL"),"_")))))</f>
        <v> </v>
      </c>
      <c r="H3993" s="24" t="str">
        <f>IF(J3993&lt;&gt;1,"",IF(I3993="SBJ","CB","?"))</f>
        <v> </v>
      </c>
      <c r="I3993" s="25" t="str">
        <f>IF(OR(E3993="",E3993="!!!",F3993="NEW"),"",INDEX(B3992:B$2,-1+SUMPRODUCT(MAX(ROW(E3992:E$2)*(E3993=E3992:E$2)))))</f>
        <v> </v>
      </c>
      <c r="J3993" s="25" t="str">
        <f>IF(OR(E3993="",E3993="!!!",F3993="NEW"),"",COUNTBLANK(OFFSET(A$1,,,SUMPRODUCT(MAX(ROW(E$2:E3993)*(E3993=E$2:E3993)))))-COUNTBLANK(OFFSET(A$1,,,SUMPRODUCT(MAX(ROW(E$1:E3992)*(E2=E$1:E3992))))))</f>
        <v> </v>
      </c>
      <c r="K3993" s="25" t="str">
        <f>IF(OR(E3993="",E3993="!!!",F3993="NEW"),"",INDEX(J$1:J3992,SUMPRODUCT(MAX(ROW(E$1:E3992)*(E3993=E$1:E3992)))))</f>
        <v> </v>
      </c>
      <c r="L3993" s="26"/>
    </row>
    <row r="3994" spans="1:12">
      <c r="A3994" s="20" t="s">
        <v>1037</v>
      </c>
      <c r="B3994" s="27" t="s">
        <v>1103</v>
      </c>
      <c r="C3994" s="27" t="s">
        <v>1038</v>
      </c>
      <c r="D3994" s="27" t="s">
        <v>1030</v>
      </c>
      <c r="E3994" s="21">
        <f>IF(D3994="?OLD","!!!","")</f>
        <v/>
      </c>
      <c r="F3994" s="22" t="str">
        <f>IF(OR(E3994="",E3994="!!!"),"",IF(NOT(ISNA(VLOOKUP(E3994,E$1:E3993,1,FALSE()))),"OLD",IF(AND(E3994&lt;&gt;"",E3994&lt;&gt;"!!!"),"NEW","")))</f>
        <v> </v>
      </c>
      <c r="G3994" s="23" t="str">
        <f>IF(OR(E3994="",E3994="!!!"),"",IF(OR(J3994=0,AND(J3994=1,K3994=1),AND(J3994=1,I3994="SBJ"),AND(J3994=1,I3994=0)),"?IN_FOCUS",IF(J3994&lt;=2,"?ACTIVATED",IF(J3994&lt;&gt;"","?FAMILIAR",IF(F3994="NEW",IF(ISNA(VLOOKUP(E3994,#REF!,1,FALSE())),"?TYPE_IDENTIFIABLE","?REFERENTIAL"),"_")))))</f>
        <v> </v>
      </c>
      <c r="H3994" s="24" t="str">
        <f>IF(J3994&lt;&gt;1,"",IF(I3994="SBJ","CB","?"))</f>
        <v> </v>
      </c>
      <c r="I3994" s="25" t="str">
        <f>IF(OR(E3994="",E3994="!!!",F3994="NEW"),"",INDEX(B3993:B$2,-1+SUMPRODUCT(MAX(ROW(E3993:E$2)*(E3994=E3993:E$2)))))</f>
        <v> </v>
      </c>
      <c r="J3994" s="25" t="str">
        <f>IF(OR(E3994="",E3994="!!!",F3994="NEW"),"",COUNTBLANK(OFFSET(A$1,,,SUMPRODUCT(MAX(ROW(E$2:E3994)*(E3994=E$2:E3994)))))-COUNTBLANK(OFFSET(A$1,,,SUMPRODUCT(MAX(ROW(E$1:E3993)*(E2=E$1:E3993))))))</f>
        <v> </v>
      </c>
      <c r="K3994" s="25" t="str">
        <f>IF(OR(E3994="",E3994="!!!",F3994="NEW"),"",INDEX(J$1:J3993,SUMPRODUCT(MAX(ROW(E$1:E3993)*(E3994=E$1:E3993)))))</f>
        <v> </v>
      </c>
      <c r="L3994" s="26"/>
    </row>
    <row r="3995" spans="1:12">
      <c r="A3995" s="20" t="s">
        <v>1083</v>
      </c>
      <c r="E3995" s="21">
        <f>IF(D3995="?OLD","!!!","")</f>
        <v/>
      </c>
      <c r="F3995" s="22" t="str">
        <f>IF(OR(E3995="",E3995="!!!"),"",IF(NOT(ISNA(VLOOKUP(E3995,E$1:E3994,1,FALSE()))),"OLD",IF(AND(E3995&lt;&gt;"",E3995&lt;&gt;"!!!"),"NEW","")))</f>
        <v> </v>
      </c>
      <c r="G3995" s="23" t="str">
        <f>IF(OR(E3995="",E3995="!!!"),"",IF(OR(J3995=0,AND(J3995=1,K3995=1),AND(J3995=1,I3995="SBJ"),AND(J3995=1,I3995=0)),"?IN_FOCUS",IF(J3995&lt;=2,"?ACTIVATED",IF(J3995&lt;&gt;"","?FAMILIAR",IF(F3995="NEW",IF(ISNA(VLOOKUP(E3995,#REF!,1,FALSE())),"?TYPE_IDENTIFIABLE","?REFERENTIAL"),"_")))))</f>
        <v> </v>
      </c>
      <c r="H3995" s="24" t="str">
        <f>IF(J3995&lt;&gt;1,"",IF(I3995="SBJ","CB","?"))</f>
        <v> </v>
      </c>
      <c r="I3995" s="25" t="str">
        <f>IF(OR(E3995="",E3995="!!!",F3995="NEW"),"",INDEX(B3994:B$2,-1+SUMPRODUCT(MAX(ROW(E3994:E$2)*(E3995=E3994:E$2)))))</f>
        <v> </v>
      </c>
      <c r="J3995" s="25" t="str">
        <f>IF(OR(E3995="",E3995="!!!",F3995="NEW"),"",COUNTBLANK(OFFSET(A$1,,,SUMPRODUCT(MAX(ROW(E$2:E3995)*(E3995=E$2:E3995)))))-COUNTBLANK(OFFSET(A$1,,,SUMPRODUCT(MAX(ROW(E$1:E3994)*(E2=E$1:E3994))))))</f>
        <v> </v>
      </c>
      <c r="K3995" s="25" t="str">
        <f>IF(OR(E3995="",E3995="!!!",F3995="NEW"),"",INDEX(J$1:J3994,SUMPRODUCT(MAX(ROW(E$1:E3994)*(E3995=E$1:E3994)))))</f>
        <v> </v>
      </c>
      <c r="L3995" s="26"/>
    </row>
    <row r="3996" spans="1:12">
      <c r="A3996" s="20" t="s">
        <v>1509</v>
      </c>
      <c r="E3996" s="21">
        <f>IF(D3996="?OLD","!!!","")</f>
        <v/>
      </c>
      <c r="F3996" s="22" t="str">
        <f>IF(OR(E3996="",E3996="!!!"),"",IF(NOT(ISNA(VLOOKUP(E3996,E$1:E3995,1,FALSE()))),"OLD",IF(AND(E3996&lt;&gt;"",E3996&lt;&gt;"!!!"),"NEW","")))</f>
        <v> </v>
      </c>
      <c r="G3996" s="23" t="str">
        <f>IF(OR(E3996="",E3996="!!!"),"",IF(OR(J3996=0,AND(J3996=1,K3996=1),AND(J3996=1,I3996="SBJ"),AND(J3996=1,I3996=0)),"?IN_FOCUS",IF(J3996&lt;=2,"?ACTIVATED",IF(J3996&lt;&gt;"","?FAMILIAR",IF(F3996="NEW",IF(ISNA(VLOOKUP(E3996,#REF!,1,FALSE())),"?TYPE_IDENTIFIABLE","?REFERENTIAL"),"_")))))</f>
        <v> </v>
      </c>
      <c r="H3996" s="24" t="str">
        <f>IF(J3996&lt;&gt;1,"",IF(I3996="SBJ","CB","?"))</f>
        <v> </v>
      </c>
      <c r="I3996" s="25" t="str">
        <f>IF(OR(E3996="",E3996="!!!",F3996="NEW"),"",INDEX(B3995:B$2,-1+SUMPRODUCT(MAX(ROW(E3995:E$2)*(E3996=E3995:E$2)))))</f>
        <v> </v>
      </c>
      <c r="J3996" s="25" t="str">
        <f>IF(OR(E3996="",E3996="!!!",F3996="NEW"),"",COUNTBLANK(OFFSET(A$1,,,SUMPRODUCT(MAX(ROW(E$2:E3996)*(E3996=E$2:E3996)))))-COUNTBLANK(OFFSET(A$1,,,SUMPRODUCT(MAX(ROW(E$1:E3995)*(E2=E$1:E3995))))))</f>
        <v> </v>
      </c>
      <c r="K3996" s="25" t="str">
        <f>IF(OR(E3996="",E3996="!!!",F3996="NEW"),"",INDEX(J$1:J3995,SUMPRODUCT(MAX(ROW(E$1:E3995)*(E3996=E$1:E3995)))))</f>
        <v> </v>
      </c>
      <c r="L3996" s="26"/>
    </row>
    <row r="3997" spans="1:12">
      <c r="A3997" s="20" t="s">
        <v>1055</v>
      </c>
      <c r="E3997" s="21">
        <f>IF(D3997="?OLD","!!!","")</f>
        <v/>
      </c>
      <c r="F3997" s="22" t="str">
        <f>IF(OR(E3997="",E3997="!!!"),"",IF(NOT(ISNA(VLOOKUP(E3997,E$1:E3996,1,FALSE()))),"OLD",IF(AND(E3997&lt;&gt;"",E3997&lt;&gt;"!!!"),"NEW","")))</f>
        <v> </v>
      </c>
      <c r="G3997" s="23" t="str">
        <f>IF(OR(E3997="",E3997="!!!"),"",IF(OR(J3997=0,AND(J3997=1,K3997=1),AND(J3997=1,I3997="SBJ"),AND(J3997=1,I3997=0)),"?IN_FOCUS",IF(J3997&lt;=2,"?ACTIVATED",IF(J3997&lt;&gt;"","?FAMILIAR",IF(F3997="NEW",IF(ISNA(VLOOKUP(E3997,#REF!,1,FALSE())),"?TYPE_IDENTIFIABLE","?REFERENTIAL"),"_")))))</f>
        <v> </v>
      </c>
      <c r="H3997" s="24" t="str">
        <f>IF(J3997&lt;&gt;1,"",IF(I3997="SBJ","CB","?"))</f>
        <v> </v>
      </c>
      <c r="I3997" s="25" t="str">
        <f>IF(OR(E3997="",E3997="!!!",F3997="NEW"),"",INDEX(B3996:B$2,-1+SUMPRODUCT(MAX(ROW(E3996:E$2)*(E3997=E3996:E$2)))))</f>
        <v> </v>
      </c>
      <c r="J3997" s="25" t="str">
        <f>IF(OR(E3997="",E3997="!!!",F3997="NEW"),"",COUNTBLANK(OFFSET(A$1,,,SUMPRODUCT(MAX(ROW(E$2:E3997)*(E3997=E$2:E3997)))))-COUNTBLANK(OFFSET(A$1,,,SUMPRODUCT(MAX(ROW(E$1:E3996)*(E2=E$1:E3996))))))</f>
        <v> </v>
      </c>
      <c r="K3997" s="25" t="str">
        <f>IF(OR(E3997="",E3997="!!!",F3997="NEW"),"",INDEX(J$1:J3996,SUMPRODUCT(MAX(ROW(E$1:E3996)*(E3997=E$1:E3996)))))</f>
        <v> </v>
      </c>
      <c r="L3997" s="26"/>
    </row>
    <row r="3998" spans="1:12">
      <c r="A3998" s="20" t="s">
        <v>2209</v>
      </c>
      <c r="E3998" s="21">
        <f>IF(D3998="?OLD","!!!","")</f>
        <v/>
      </c>
      <c r="F3998" s="22" t="str">
        <f>IF(OR(E3998="",E3998="!!!"),"",IF(NOT(ISNA(VLOOKUP(E3998,E$1:E3997,1,FALSE()))),"OLD",IF(AND(E3998&lt;&gt;"",E3998&lt;&gt;"!!!"),"NEW","")))</f>
        <v> </v>
      </c>
      <c r="G3998" s="23" t="str">
        <f>IF(OR(E3998="",E3998="!!!"),"",IF(OR(J3998=0,AND(J3998=1,K3998=1),AND(J3998=1,I3998="SBJ"),AND(J3998=1,I3998=0)),"?IN_FOCUS",IF(J3998&lt;=2,"?ACTIVATED",IF(J3998&lt;&gt;"","?FAMILIAR",IF(F3998="NEW",IF(ISNA(VLOOKUP(E3998,#REF!,1,FALSE())),"?TYPE_IDENTIFIABLE","?REFERENTIAL"),"_")))))</f>
        <v> </v>
      </c>
      <c r="H3998" s="24" t="str">
        <f>IF(J3998&lt;&gt;1,"",IF(I3998="SBJ","CB","?"))</f>
        <v> </v>
      </c>
      <c r="I3998" s="25" t="str">
        <f>IF(OR(E3998="",E3998="!!!",F3998="NEW"),"",INDEX(B3997:B$2,-1+SUMPRODUCT(MAX(ROW(E3997:E$2)*(E3998=E3997:E$2)))))</f>
        <v> </v>
      </c>
      <c r="J3998" s="25" t="str">
        <f>IF(OR(E3998="",E3998="!!!",F3998="NEW"),"",COUNTBLANK(OFFSET(A$1,,,SUMPRODUCT(MAX(ROW(E$2:E3998)*(E3998=E$2:E3998)))))-COUNTBLANK(OFFSET(A$1,,,SUMPRODUCT(MAX(ROW(E$1:E3997)*(E2=E$1:E3997))))))</f>
        <v> </v>
      </c>
      <c r="K3998" s="25" t="str">
        <f>IF(OR(E3998="",E3998="!!!",F3998="NEW"),"",INDEX(J$1:J3997,SUMPRODUCT(MAX(ROW(E$1:E3997)*(E3998=E$1:E3997)))))</f>
        <v> </v>
      </c>
      <c r="L3998" s="26"/>
    </row>
    <row r="3999" spans="1:12">
      <c r="A3999" s="20" t="s">
        <v>2333</v>
      </c>
      <c r="E3999" s="21">
        <f>IF(D3999="?OLD","!!!","")</f>
        <v/>
      </c>
      <c r="F3999" s="22" t="str">
        <f>IF(OR(E3999="",E3999="!!!"),"",IF(NOT(ISNA(VLOOKUP(E3999,E$1:E3998,1,FALSE()))),"OLD",IF(AND(E3999&lt;&gt;"",E3999&lt;&gt;"!!!"),"NEW","")))</f>
        <v> </v>
      </c>
      <c r="G3999" s="23" t="str">
        <f>IF(OR(E3999="",E3999="!!!"),"",IF(OR(J3999=0,AND(J3999=1,K3999=1),AND(J3999=1,I3999="SBJ"),AND(J3999=1,I3999=0)),"?IN_FOCUS",IF(J3999&lt;=2,"?ACTIVATED",IF(J3999&lt;&gt;"","?FAMILIAR",IF(F3999="NEW",IF(ISNA(VLOOKUP(E3999,#REF!,1,FALSE())),"?TYPE_IDENTIFIABLE","?REFERENTIAL"),"_")))))</f>
        <v> </v>
      </c>
      <c r="H3999" s="24" t="str">
        <f>IF(J3999&lt;&gt;1,"",IF(I3999="SBJ","CB","?"))</f>
        <v> </v>
      </c>
      <c r="I3999" s="25" t="str">
        <f>IF(OR(E3999="",E3999="!!!",F3999="NEW"),"",INDEX(B3998:B$2,-1+SUMPRODUCT(MAX(ROW(E3998:E$2)*(E3999=E3998:E$2)))))</f>
        <v> </v>
      </c>
      <c r="J3999" s="25" t="str">
        <f>IF(OR(E3999="",E3999="!!!",F3999="NEW"),"",COUNTBLANK(OFFSET(A$1,,,SUMPRODUCT(MAX(ROW(E$2:E3999)*(E3999=E$2:E3999)))))-COUNTBLANK(OFFSET(A$1,,,SUMPRODUCT(MAX(ROW(E$1:E3998)*(E2=E$1:E3998))))))</f>
        <v> </v>
      </c>
      <c r="K3999" s="25" t="str">
        <f>IF(OR(E3999="",E3999="!!!",F3999="NEW"),"",INDEX(J$1:J3998,SUMPRODUCT(MAX(ROW(E$1:E3998)*(E3999=E$1:E3998)))))</f>
        <v> </v>
      </c>
      <c r="L3999" s="26"/>
    </row>
    <row r="4000" spans="1:12">
      <c r="A4000" s="20" t="s">
        <v>1016</v>
      </c>
      <c r="E4000" s="21">
        <f>IF(D4000="?OLD","!!!","")</f>
        <v/>
      </c>
      <c r="F4000" s="22" t="str">
        <f>IF(OR(E4000="",E4000="!!!"),"",IF(NOT(ISNA(VLOOKUP(E4000,E$1:E3999,1,FALSE()))),"OLD",IF(AND(E4000&lt;&gt;"",E4000&lt;&gt;"!!!"),"NEW","")))</f>
        <v> </v>
      </c>
      <c r="G4000" s="23" t="str">
        <f>IF(OR(E4000="",E4000="!!!"),"",IF(OR(J4000=0,AND(J4000=1,K4000=1),AND(J4000=1,I4000="SBJ"),AND(J4000=1,I4000=0)),"?IN_FOCUS",IF(J4000&lt;=2,"?ACTIVATED",IF(J4000&lt;&gt;"","?FAMILIAR",IF(F4000="NEW",IF(ISNA(VLOOKUP(E4000,#REF!,1,FALSE())),"?TYPE_IDENTIFIABLE","?REFERENTIAL"),"_")))))</f>
        <v> </v>
      </c>
      <c r="H4000" s="24" t="str">
        <f>IF(J4000&lt;&gt;1,"",IF(I4000="SBJ","CB","?"))</f>
        <v> </v>
      </c>
      <c r="I4000" s="25" t="str">
        <f>IF(OR(E4000="",E4000="!!!",F4000="NEW"),"",INDEX(B3999:B$2,-1+SUMPRODUCT(MAX(ROW(E3999:E$2)*(E4000=E3999:E$2)))))</f>
        <v> </v>
      </c>
      <c r="J4000" s="25" t="str">
        <f>IF(OR(E4000="",E4000="!!!",F4000="NEW"),"",COUNTBLANK(OFFSET(A$1,,,SUMPRODUCT(MAX(ROW(E$2:E4000)*(E4000=E$2:E4000)))))-COUNTBLANK(OFFSET(A$1,,,SUMPRODUCT(MAX(ROW(E$1:E3999)*(E2=E$1:E3999))))))</f>
        <v> </v>
      </c>
      <c r="K4000" s="25" t="str">
        <f>IF(OR(E4000="",E4000="!!!",F4000="NEW"),"",INDEX(J$1:J3999,SUMPRODUCT(MAX(ROW(E$1:E3999)*(E4000=E$1:E3999)))))</f>
        <v> </v>
      </c>
      <c r="L4000" s="26"/>
    </row>
    <row r="4001" spans="1:12">
      <c r="A4001" s="20" t="s">
        <v>1343</v>
      </c>
      <c r="E4001" s="21">
        <f>IF(D4001="?OLD","!!!","")</f>
        <v/>
      </c>
      <c r="F4001" s="22" t="str">
        <f>IF(OR(E4001="",E4001="!!!"),"",IF(NOT(ISNA(VLOOKUP(E4001,E$1:E4000,1,FALSE()))),"OLD",IF(AND(E4001&lt;&gt;"",E4001&lt;&gt;"!!!"),"NEW","")))</f>
        <v> </v>
      </c>
      <c r="G4001" s="23" t="str">
        <f>IF(OR(E4001="",E4001="!!!"),"",IF(OR(J4001=0,AND(J4001=1,K4001=1),AND(J4001=1,I4001="SBJ"),AND(J4001=1,I4001=0)),"?IN_FOCUS",IF(J4001&lt;=2,"?ACTIVATED",IF(J4001&lt;&gt;"","?FAMILIAR",IF(F4001="NEW",IF(ISNA(VLOOKUP(E4001,#REF!,1,FALSE())),"?TYPE_IDENTIFIABLE","?REFERENTIAL"),"_")))))</f>
        <v> </v>
      </c>
      <c r="H4001" s="24" t="str">
        <f>IF(J4001&lt;&gt;1,"",IF(I4001="SBJ","CB","?"))</f>
        <v> </v>
      </c>
      <c r="I4001" s="25" t="str">
        <f>IF(OR(E4001="",E4001="!!!",F4001="NEW"),"",INDEX(B4000:B$2,-1+SUMPRODUCT(MAX(ROW(E4000:E$2)*(E4001=E4000:E$2)))))</f>
        <v> </v>
      </c>
      <c r="J4001" s="25" t="str">
        <f>IF(OR(E4001="",E4001="!!!",F4001="NEW"),"",COUNTBLANK(OFFSET(A$1,,,SUMPRODUCT(MAX(ROW(E$2:E4001)*(E4001=E$2:E4001)))))-COUNTBLANK(OFFSET(A$1,,,SUMPRODUCT(MAX(ROW(E$1:E4000)*(E2=E$1:E4000))))))</f>
        <v> </v>
      </c>
      <c r="K4001" s="25" t="str">
        <f>IF(OR(E4001="",E4001="!!!",F4001="NEW"),"",INDEX(J$1:J4000,SUMPRODUCT(MAX(ROW(E$1:E4000)*(E4001=E$1:E4000)))))</f>
        <v> </v>
      </c>
      <c r="L4001" s="26"/>
    </row>
    <row r="4002" spans="1:12">
      <c r="A4002" s="20" t="s">
        <v>1123</v>
      </c>
      <c r="B4002" s="27" t="s">
        <v>1301</v>
      </c>
      <c r="C4002" s="27" t="s">
        <v>1050</v>
      </c>
      <c r="D4002" s="27" t="s">
        <v>1030</v>
      </c>
      <c r="E4002" s="21">
        <f>IF(D4002="?OLD","!!!","")</f>
        <v/>
      </c>
      <c r="F4002" s="22" t="str">
        <f>IF(OR(E4002="",E4002="!!!"),"",IF(NOT(ISNA(VLOOKUP(E4002,E$1:E4001,1,FALSE()))),"OLD",IF(AND(E4002&lt;&gt;"",E4002&lt;&gt;"!!!"),"NEW","")))</f>
        <v> </v>
      </c>
      <c r="G4002" s="23" t="str">
        <f>IF(OR(E4002="",E4002="!!!"),"",IF(OR(J4002=0,AND(J4002=1,K4002=1),AND(J4002=1,I4002="SBJ"),AND(J4002=1,I4002=0)),"?IN_FOCUS",IF(J4002&lt;=2,"?ACTIVATED",IF(J4002&lt;&gt;"","?FAMILIAR",IF(F4002="NEW",IF(ISNA(VLOOKUP(E4002,#REF!,1,FALSE())),"?TYPE_IDENTIFIABLE","?REFERENTIAL"),"_")))))</f>
        <v> </v>
      </c>
      <c r="H4002" s="24" t="str">
        <f>IF(J4002&lt;&gt;1,"",IF(I4002="SBJ","CB","?"))</f>
        <v> </v>
      </c>
      <c r="I4002" s="25" t="str">
        <f>IF(OR(E4002="",E4002="!!!",F4002="NEW"),"",INDEX(B4001:B$2,-1+SUMPRODUCT(MAX(ROW(E4001:E$2)*(E4002=E4001:E$2)))))</f>
        <v> </v>
      </c>
      <c r="J4002" s="25" t="str">
        <f>IF(OR(E4002="",E4002="!!!",F4002="NEW"),"",COUNTBLANK(OFFSET(A$1,,,SUMPRODUCT(MAX(ROW(E$2:E4002)*(E4002=E$2:E4002)))))-COUNTBLANK(OFFSET(A$1,,,SUMPRODUCT(MAX(ROW(E$1:E4001)*(E2=E$1:E4001))))))</f>
        <v> </v>
      </c>
      <c r="K4002" s="25" t="str">
        <f>IF(OR(E4002="",E4002="!!!",F4002="NEW"),"",INDEX(J$1:J4001,SUMPRODUCT(MAX(ROW(E$1:E4001)*(E4002=E$1:E4001)))))</f>
        <v> </v>
      </c>
      <c r="L4002" s="26"/>
    </row>
    <row r="4003" spans="1:12">
      <c r="A4003" s="20" t="s">
        <v>135</v>
      </c>
      <c r="E4003" s="21">
        <f>IF(D4003="?OLD","!!!","")</f>
        <v/>
      </c>
      <c r="F4003" s="22" t="str">
        <f>IF(OR(E4003="",E4003="!!!"),"",IF(NOT(ISNA(VLOOKUP(E4003,E$1:E4002,1,FALSE()))),"OLD",IF(AND(E4003&lt;&gt;"",E4003&lt;&gt;"!!!"),"NEW","")))</f>
        <v> </v>
      </c>
      <c r="G4003" s="23" t="str">
        <f>IF(OR(E4003="",E4003="!!!"),"",IF(OR(J4003=0,AND(J4003=1,K4003=1),AND(J4003=1,I4003="SBJ"),AND(J4003=1,I4003=0)),"?IN_FOCUS",IF(J4003&lt;=2,"?ACTIVATED",IF(J4003&lt;&gt;"","?FAMILIAR",IF(F4003="NEW",IF(ISNA(VLOOKUP(E4003,#REF!,1,FALSE())),"?TYPE_IDENTIFIABLE","?REFERENTIAL"),"_")))))</f>
        <v> </v>
      </c>
      <c r="H4003" s="24" t="str">
        <f>IF(J4003&lt;&gt;1,"",IF(I4003="SBJ","CB","?"))</f>
        <v> </v>
      </c>
      <c r="I4003" s="25" t="str">
        <f>IF(OR(E4003="",E4003="!!!",F4003="NEW"),"",INDEX(B4002:B$2,-1+SUMPRODUCT(MAX(ROW(E4002:E$2)*(E4003=E4002:E$2)))))</f>
        <v> </v>
      </c>
      <c r="J4003" s="25" t="str">
        <f>IF(OR(E4003="",E4003="!!!",F4003="NEW"),"",COUNTBLANK(OFFSET(A$1,,,SUMPRODUCT(MAX(ROW(E$2:E4003)*(E4003=E$2:E4003)))))-COUNTBLANK(OFFSET(A$1,,,SUMPRODUCT(MAX(ROW(E$1:E4002)*(E2=E$1:E4002))))))</f>
        <v> </v>
      </c>
      <c r="K4003" s="25" t="str">
        <f>IF(OR(E4003="",E4003="!!!",F4003="NEW"),"",INDEX(J$1:J4002,SUMPRODUCT(MAX(ROW(E$1:E4002)*(E4003=E$1:E4002)))))</f>
        <v> </v>
      </c>
      <c r="L4003" s="26"/>
    </row>
    <row r="4004" spans="1:12">
      <c r="A4004" s="20"/>
    </row>
    <row r="4005" spans="1:12">
      <c r="A4005" s="20" t="s">
        <v>2334</v>
      </c>
    </row>
    <row r="4006" spans="1:12">
      <c r="A4006" s="20" t="s">
        <v>1927</v>
      </c>
      <c r="E4006" s="21">
        <f>IF(D4006="?OLD","!!!","")</f>
        <v/>
      </c>
      <c r="F4006" s="22" t="str">
        <f>IF(OR(E4006="",E4006="!!!"),"",IF(NOT(ISNA(VLOOKUP(E4006,E$1:E4005,1,FALSE()))),"OLD",IF(AND(E4006&lt;&gt;"",E4006&lt;&gt;"!!!"),"NEW","")))</f>
        <v> </v>
      </c>
      <c r="G4006" s="23" t="str">
        <f>IF(OR(E4006="",E4006="!!!"),"",IF(OR(J4006=0,AND(J4006=1,K4006=1),AND(J4006=1,I4006="SBJ"),AND(J4006=1,I4006=0)),"?IN_FOCUS",IF(J4006&lt;=2,"?ACTIVATED",IF(J4006&lt;&gt;"","?FAMILIAR",IF(F4006="NEW",IF(ISNA(VLOOKUP(E4006,#REF!,1,FALSE())),"?TYPE_IDENTIFIABLE","?REFERENTIAL"),"_")))))</f>
        <v> </v>
      </c>
      <c r="H4006" s="24" t="str">
        <f>IF(J4006&lt;&gt;1,"",IF(I4006="SBJ","CB","?"))</f>
        <v> </v>
      </c>
      <c r="I4006" s="25" t="str">
        <f>IF(OR(E4006="",E4006="!!!",F4006="NEW"),"",INDEX(B4005:B$2,-1+SUMPRODUCT(MAX(ROW(E4005:E$2)*(E4006=E4005:E$2)))))</f>
        <v> </v>
      </c>
      <c r="J4006" s="25" t="str">
        <f>IF(OR(E4006="",E4006="!!!",F4006="NEW"),"",COUNTBLANK(OFFSET(A$1,,,SUMPRODUCT(MAX(ROW(E$2:E4006)*(E4006=E$2:E4006)))))-COUNTBLANK(OFFSET(A$1,,,SUMPRODUCT(MAX(ROW(E$1:E4005)*(E2=E$1:E4005))))))</f>
        <v> </v>
      </c>
      <c r="K4006" s="25" t="str">
        <f>IF(OR(E4006="",E4006="!!!",F4006="NEW"),"",INDEX(J$1:J4005,SUMPRODUCT(MAX(ROW(E$1:E4005)*(E4006=E$1:E4005)))))</f>
        <v> </v>
      </c>
      <c r="L4006" s="26"/>
    </row>
    <row r="4007" spans="1:12">
      <c r="A4007" s="20" t="s">
        <v>1094</v>
      </c>
      <c r="E4007" s="21">
        <f>IF(D4007="?OLD","!!!","")</f>
        <v/>
      </c>
      <c r="F4007" s="22" t="str">
        <f>IF(OR(E4007="",E4007="!!!"),"",IF(NOT(ISNA(VLOOKUP(E4007,E$1:E4006,1,FALSE()))),"OLD",IF(AND(E4007&lt;&gt;"",E4007&lt;&gt;"!!!"),"NEW","")))</f>
        <v> </v>
      </c>
      <c r="G4007" s="23" t="str">
        <f>IF(OR(E4007="",E4007="!!!"),"",IF(OR(J4007=0,AND(J4007=1,K4007=1),AND(J4007=1,I4007="SBJ"),AND(J4007=1,I4007=0)),"?IN_FOCUS",IF(J4007&lt;=2,"?ACTIVATED",IF(J4007&lt;&gt;"","?FAMILIAR",IF(F4007="NEW",IF(ISNA(VLOOKUP(E4007,#REF!,1,FALSE())),"?TYPE_IDENTIFIABLE","?REFERENTIAL"),"_")))))</f>
        <v> </v>
      </c>
      <c r="H4007" s="24" t="str">
        <f>IF(J4007&lt;&gt;1,"",IF(I4007="SBJ","CB","?"))</f>
        <v> </v>
      </c>
      <c r="I4007" s="25" t="str">
        <f>IF(OR(E4007="",E4007="!!!",F4007="NEW"),"",INDEX(B4006:B$2,-1+SUMPRODUCT(MAX(ROW(E4006:E$2)*(E4007=E4006:E$2)))))</f>
        <v> </v>
      </c>
      <c r="J4007" s="25" t="str">
        <f>IF(OR(E4007="",E4007="!!!",F4007="NEW"),"",COUNTBLANK(OFFSET(A$1,,,SUMPRODUCT(MAX(ROW(E$2:E4007)*(E4007=E$2:E4007)))))-COUNTBLANK(OFFSET(A$1,,,SUMPRODUCT(MAX(ROW(E$1:E4006)*(E2=E$1:E4006))))))</f>
        <v> </v>
      </c>
      <c r="K4007" s="25" t="str">
        <f>IF(OR(E4007="",E4007="!!!",F4007="NEW"),"",INDEX(J$1:J4006,SUMPRODUCT(MAX(ROW(E$1:E4006)*(E4007=E$1:E4006)))))</f>
        <v> </v>
      </c>
      <c r="L4007" s="26"/>
    </row>
    <row r="4008" spans="1:12">
      <c r="A4008" s="20" t="s">
        <v>1147</v>
      </c>
      <c r="E4008" s="21">
        <f>IF(D4008="?OLD","!!!","")</f>
        <v/>
      </c>
      <c r="F4008" s="22" t="str">
        <f>IF(OR(E4008="",E4008="!!!"),"",IF(NOT(ISNA(VLOOKUP(E4008,E$1:E4007,1,FALSE()))),"OLD",IF(AND(E4008&lt;&gt;"",E4008&lt;&gt;"!!!"),"NEW","")))</f>
        <v> </v>
      </c>
      <c r="G4008" s="23" t="str">
        <f>IF(OR(E4008="",E4008="!!!"),"",IF(OR(J4008=0,AND(J4008=1,K4008=1),AND(J4008=1,I4008="SBJ"),AND(J4008=1,I4008=0)),"?IN_FOCUS",IF(J4008&lt;=2,"?ACTIVATED",IF(J4008&lt;&gt;"","?FAMILIAR",IF(F4008="NEW",IF(ISNA(VLOOKUP(E4008,#REF!,1,FALSE())),"?TYPE_IDENTIFIABLE","?REFERENTIAL"),"_")))))</f>
        <v> </v>
      </c>
      <c r="H4008" s="24" t="str">
        <f>IF(J4008&lt;&gt;1,"",IF(I4008="SBJ","CB","?"))</f>
        <v> </v>
      </c>
      <c r="I4008" s="25" t="str">
        <f>IF(OR(E4008="",E4008="!!!",F4008="NEW"),"",INDEX(B4007:B$2,-1+SUMPRODUCT(MAX(ROW(E4007:E$2)*(E4008=E4007:E$2)))))</f>
        <v> </v>
      </c>
      <c r="J4008" s="25" t="str">
        <f>IF(OR(E4008="",E4008="!!!",F4008="NEW"),"",COUNTBLANK(OFFSET(A$1,,,SUMPRODUCT(MAX(ROW(E$2:E4008)*(E4008=E$2:E4008)))))-COUNTBLANK(OFFSET(A$1,,,SUMPRODUCT(MAX(ROW(E$1:E4007)*(E2=E$1:E4007))))))</f>
        <v> </v>
      </c>
      <c r="K4008" s="25" t="str">
        <f>IF(OR(E4008="",E4008="!!!",F4008="NEW"),"",INDEX(J$1:J4007,SUMPRODUCT(MAX(ROW(E$1:E4007)*(E4008=E$1:E4007)))))</f>
        <v> </v>
      </c>
      <c r="L4008" s="26"/>
    </row>
    <row r="4009" spans="1:12">
      <c r="A4009" s="20" t="s">
        <v>1083</v>
      </c>
      <c r="E4009" s="21">
        <f>IF(D4009="?OLD","!!!","")</f>
        <v/>
      </c>
      <c r="F4009" s="22" t="str">
        <f>IF(OR(E4009="",E4009="!!!"),"",IF(NOT(ISNA(VLOOKUP(E4009,E$1:E4008,1,FALSE()))),"OLD",IF(AND(E4009&lt;&gt;"",E4009&lt;&gt;"!!!"),"NEW","")))</f>
        <v> </v>
      </c>
      <c r="G4009" s="23" t="str">
        <f>IF(OR(E4009="",E4009="!!!"),"",IF(OR(J4009=0,AND(J4009=1,K4009=1),AND(J4009=1,I4009="SBJ"),AND(J4009=1,I4009=0)),"?IN_FOCUS",IF(J4009&lt;=2,"?ACTIVATED",IF(J4009&lt;&gt;"","?FAMILIAR",IF(F4009="NEW",IF(ISNA(VLOOKUP(E4009,#REF!,1,FALSE())),"?TYPE_IDENTIFIABLE","?REFERENTIAL"),"_")))))</f>
        <v> </v>
      </c>
      <c r="H4009" s="24" t="str">
        <f>IF(J4009&lt;&gt;1,"",IF(I4009="SBJ","CB","?"))</f>
        <v> </v>
      </c>
      <c r="I4009" s="25" t="str">
        <f>IF(OR(E4009="",E4009="!!!",F4009="NEW"),"",INDEX(B4008:B$2,-1+SUMPRODUCT(MAX(ROW(E4008:E$2)*(E4009=E4008:E$2)))))</f>
        <v> </v>
      </c>
      <c r="J4009" s="25" t="str">
        <f>IF(OR(E4009="",E4009="!!!",F4009="NEW"),"",COUNTBLANK(OFFSET(A$1,,,SUMPRODUCT(MAX(ROW(E$2:E4009)*(E4009=E$2:E4009)))))-COUNTBLANK(OFFSET(A$1,,,SUMPRODUCT(MAX(ROW(E$1:E4008)*(E2=E$1:E4008))))))</f>
        <v> </v>
      </c>
      <c r="K4009" s="25" t="str">
        <f>IF(OR(E4009="",E4009="!!!",F4009="NEW"),"",INDEX(J$1:J4008,SUMPRODUCT(MAX(ROW(E$1:E4008)*(E4009=E$1:E4008)))))</f>
        <v> </v>
      </c>
      <c r="L4009" s="26"/>
    </row>
    <row r="4010" spans="1:12">
      <c r="A4010" s="20" t="s">
        <v>1022</v>
      </c>
      <c r="E4010" s="21">
        <f>IF(D4010="?OLD","!!!","")</f>
        <v/>
      </c>
      <c r="F4010" s="22" t="str">
        <f>IF(OR(E4010="",E4010="!!!"),"",IF(NOT(ISNA(VLOOKUP(E4010,E$1:E4009,1,FALSE()))),"OLD",IF(AND(E4010&lt;&gt;"",E4010&lt;&gt;"!!!"),"NEW","")))</f>
        <v> </v>
      </c>
      <c r="G4010" s="23" t="str">
        <f>IF(OR(E4010="",E4010="!!!"),"",IF(OR(J4010=0,AND(J4010=1,K4010=1),AND(J4010=1,I4010="SBJ"),AND(J4010=1,I4010=0)),"?IN_FOCUS",IF(J4010&lt;=2,"?ACTIVATED",IF(J4010&lt;&gt;"","?FAMILIAR",IF(F4010="NEW",IF(ISNA(VLOOKUP(E4010,#REF!,1,FALSE())),"?TYPE_IDENTIFIABLE","?REFERENTIAL"),"_")))))</f>
        <v> </v>
      </c>
      <c r="H4010" s="24" t="str">
        <f>IF(J4010&lt;&gt;1,"",IF(I4010="SBJ","CB","?"))</f>
        <v> </v>
      </c>
      <c r="I4010" s="25" t="str">
        <f>IF(OR(E4010="",E4010="!!!",F4010="NEW"),"",INDEX(B4009:B$2,-1+SUMPRODUCT(MAX(ROW(E4009:E$2)*(E4010=E4009:E$2)))))</f>
        <v> </v>
      </c>
      <c r="J4010" s="25" t="str">
        <f>IF(OR(E4010="",E4010="!!!",F4010="NEW"),"",COUNTBLANK(OFFSET(A$1,,,SUMPRODUCT(MAX(ROW(E$2:E4010)*(E4010=E$2:E4010)))))-COUNTBLANK(OFFSET(A$1,,,SUMPRODUCT(MAX(ROW(E$1:E4009)*(E2=E$1:E4009))))))</f>
        <v> </v>
      </c>
      <c r="K4010" s="25" t="str">
        <f>IF(OR(E4010="",E4010="!!!",F4010="NEW"),"",INDEX(J$1:J4009,SUMPRODUCT(MAX(ROW(E$1:E4009)*(E4010=E$1:E4009)))))</f>
        <v> </v>
      </c>
      <c r="L4010" s="26"/>
    </row>
    <row r="4011" spans="1:12">
      <c r="A4011" s="20" t="s">
        <v>1175</v>
      </c>
      <c r="E4011" s="21">
        <f>IF(D4011="?OLD","!!!","")</f>
        <v/>
      </c>
      <c r="F4011" s="22" t="str">
        <f>IF(OR(E4011="",E4011="!!!"),"",IF(NOT(ISNA(VLOOKUP(E4011,E$1:E4010,1,FALSE()))),"OLD",IF(AND(E4011&lt;&gt;"",E4011&lt;&gt;"!!!"),"NEW","")))</f>
        <v> </v>
      </c>
      <c r="G4011" s="23" t="str">
        <f>IF(OR(E4011="",E4011="!!!"),"",IF(OR(J4011=0,AND(J4011=1,K4011=1),AND(J4011=1,I4011="SBJ"),AND(J4011=1,I4011=0)),"?IN_FOCUS",IF(J4011&lt;=2,"?ACTIVATED",IF(J4011&lt;&gt;"","?FAMILIAR",IF(F4011="NEW",IF(ISNA(VLOOKUP(E4011,#REF!,1,FALSE())),"?TYPE_IDENTIFIABLE","?REFERENTIAL"),"_")))))</f>
        <v> </v>
      </c>
      <c r="H4011" s="24" t="str">
        <f>IF(J4011&lt;&gt;1,"",IF(I4011="SBJ","CB","?"))</f>
        <v> </v>
      </c>
      <c r="I4011" s="25" t="str">
        <f>IF(OR(E4011="",E4011="!!!",F4011="NEW"),"",INDEX(B4010:B$2,-1+SUMPRODUCT(MAX(ROW(E4010:E$2)*(E4011=E4010:E$2)))))</f>
        <v> </v>
      </c>
      <c r="J4011" s="25" t="str">
        <f>IF(OR(E4011="",E4011="!!!",F4011="NEW"),"",COUNTBLANK(OFFSET(A$1,,,SUMPRODUCT(MAX(ROW(E$2:E4011)*(E4011=E$2:E4011)))))-COUNTBLANK(OFFSET(A$1,,,SUMPRODUCT(MAX(ROW(E$1:E4010)*(E2=E$1:E4010))))))</f>
        <v> </v>
      </c>
      <c r="K4011" s="25" t="str">
        <f>IF(OR(E4011="",E4011="!!!",F4011="NEW"),"",INDEX(J$1:J4010,SUMPRODUCT(MAX(ROW(E$1:E4010)*(E4011=E$1:E4010)))))</f>
        <v> </v>
      </c>
      <c r="L4011" s="26"/>
    </row>
    <row r="4012" spans="1:12">
      <c r="A4012" s="20" t="s">
        <v>1201</v>
      </c>
      <c r="E4012" s="21">
        <f>IF(D4012="?OLD","!!!","")</f>
        <v/>
      </c>
      <c r="F4012" s="22" t="str">
        <f>IF(OR(E4012="",E4012="!!!"),"",IF(NOT(ISNA(VLOOKUP(E4012,E$1:E4011,1,FALSE()))),"OLD",IF(AND(E4012&lt;&gt;"",E4012&lt;&gt;"!!!"),"NEW","")))</f>
        <v> </v>
      </c>
      <c r="G4012" s="23" t="str">
        <f>IF(OR(E4012="",E4012="!!!"),"",IF(OR(J4012=0,AND(J4012=1,K4012=1),AND(J4012=1,I4012="SBJ"),AND(J4012=1,I4012=0)),"?IN_FOCUS",IF(J4012&lt;=2,"?ACTIVATED",IF(J4012&lt;&gt;"","?FAMILIAR",IF(F4012="NEW",IF(ISNA(VLOOKUP(E4012,#REF!,1,FALSE())),"?TYPE_IDENTIFIABLE","?REFERENTIAL"),"_")))))</f>
        <v> </v>
      </c>
      <c r="H4012" s="24" t="str">
        <f>IF(J4012&lt;&gt;1,"",IF(I4012="SBJ","CB","?"))</f>
        <v> </v>
      </c>
      <c r="I4012" s="25" t="str">
        <f>IF(OR(E4012="",E4012="!!!",F4012="NEW"),"",INDEX(B4011:B$2,-1+SUMPRODUCT(MAX(ROW(E4011:E$2)*(E4012=E4011:E$2)))))</f>
        <v> </v>
      </c>
      <c r="J4012" s="25" t="str">
        <f>IF(OR(E4012="",E4012="!!!",F4012="NEW"),"",COUNTBLANK(OFFSET(A$1,,,SUMPRODUCT(MAX(ROW(E$2:E4012)*(E4012=E$2:E4012)))))-COUNTBLANK(OFFSET(A$1,,,SUMPRODUCT(MAX(ROW(E$1:E4011)*(E2=E$1:E4011))))))</f>
        <v> </v>
      </c>
      <c r="K4012" s="25" t="str">
        <f>IF(OR(E4012="",E4012="!!!",F4012="NEW"),"",INDEX(J$1:J4011,SUMPRODUCT(MAX(ROW(E$1:E4011)*(E4012=E$1:E4011)))))</f>
        <v> </v>
      </c>
      <c r="L4012" s="26"/>
    </row>
    <row r="4013" spans="1:12">
      <c r="A4013" s="20" t="s">
        <v>1369</v>
      </c>
      <c r="B4013" s="27" t="s">
        <v>1278</v>
      </c>
      <c r="C4013" s="27" t="s">
        <v>1050</v>
      </c>
      <c r="D4013" s="27" t="s">
        <v>1030</v>
      </c>
      <c r="E4013" s="21">
        <f>IF(D4013="?OLD","!!!","")</f>
        <v/>
      </c>
      <c r="F4013" s="22" t="str">
        <f>IF(OR(E4013="",E4013="!!!"),"",IF(NOT(ISNA(VLOOKUP(E4013,E$1:E4012,1,FALSE()))),"OLD",IF(AND(E4013&lt;&gt;"",E4013&lt;&gt;"!!!"),"NEW","")))</f>
        <v> </v>
      </c>
      <c r="G4013" s="23" t="str">
        <f>IF(OR(E4013="",E4013="!!!"),"",IF(OR(J4013=0,AND(J4013=1,K4013=1),AND(J4013=1,I4013="SBJ"),AND(J4013=1,I4013=0)),"?IN_FOCUS",IF(J4013&lt;=2,"?ACTIVATED",IF(J4013&lt;&gt;"","?FAMILIAR",IF(F4013="NEW",IF(ISNA(VLOOKUP(E4013,#REF!,1,FALSE())),"?TYPE_IDENTIFIABLE","?REFERENTIAL"),"_")))))</f>
        <v> </v>
      </c>
      <c r="H4013" s="24" t="str">
        <f>IF(J4013&lt;&gt;1,"",IF(I4013="SBJ","CB","?"))</f>
        <v> </v>
      </c>
      <c r="I4013" s="25" t="str">
        <f>IF(OR(E4013="",E4013="!!!",F4013="NEW"),"",INDEX(B4012:B$2,-1+SUMPRODUCT(MAX(ROW(E4012:E$2)*(E4013=E4012:E$2)))))</f>
        <v> </v>
      </c>
      <c r="J4013" s="25" t="str">
        <f>IF(OR(E4013="",E4013="!!!",F4013="NEW"),"",COUNTBLANK(OFFSET(A$1,,,SUMPRODUCT(MAX(ROW(E$2:E4013)*(E4013=E$2:E4013)))))-COUNTBLANK(OFFSET(A$1,,,SUMPRODUCT(MAX(ROW(E$1:E4012)*(E2=E$1:E4012))))))</f>
        <v> </v>
      </c>
      <c r="K4013" s="25" t="str">
        <f>IF(OR(E4013="",E4013="!!!",F4013="NEW"),"",INDEX(J$1:J4012,SUMPRODUCT(MAX(ROW(E$1:E4012)*(E4013=E$1:E4012)))))</f>
        <v> </v>
      </c>
      <c r="L4013" s="26"/>
    </row>
    <row r="4014" spans="1:12">
      <c r="A4014" s="20" t="s">
        <v>1183</v>
      </c>
      <c r="E4014" s="21">
        <f>IF(D4014="?OLD","!!!","")</f>
        <v/>
      </c>
      <c r="F4014" s="22" t="str">
        <f>IF(OR(E4014="",E4014="!!!"),"",IF(NOT(ISNA(VLOOKUP(E4014,E$1:E4013,1,FALSE()))),"OLD",IF(AND(E4014&lt;&gt;"",E4014&lt;&gt;"!!!"),"NEW","")))</f>
        <v> </v>
      </c>
      <c r="G4014" s="23" t="str">
        <f>IF(OR(E4014="",E4014="!!!"),"",IF(OR(J4014=0,AND(J4014=1,K4014=1),AND(J4014=1,I4014="SBJ"),AND(J4014=1,I4014=0)),"?IN_FOCUS",IF(J4014&lt;=2,"?ACTIVATED",IF(J4014&lt;&gt;"","?FAMILIAR",IF(F4014="NEW",IF(ISNA(VLOOKUP(E4014,#REF!,1,FALSE())),"?TYPE_IDENTIFIABLE","?REFERENTIAL"),"_")))))</f>
        <v> </v>
      </c>
      <c r="H4014" s="24" t="str">
        <f>IF(J4014&lt;&gt;1,"",IF(I4014="SBJ","CB","?"))</f>
        <v> </v>
      </c>
      <c r="I4014" s="25" t="str">
        <f>IF(OR(E4014="",E4014="!!!",F4014="NEW"),"",INDEX(B4013:B$2,-1+SUMPRODUCT(MAX(ROW(E4013:E$2)*(E4014=E4013:E$2)))))</f>
        <v> </v>
      </c>
      <c r="J4014" s="25" t="str">
        <f>IF(OR(E4014="",E4014="!!!",F4014="NEW"),"",COUNTBLANK(OFFSET(A$1,,,SUMPRODUCT(MAX(ROW(E$2:E4014)*(E4014=E$2:E4014)))))-COUNTBLANK(OFFSET(A$1,,,SUMPRODUCT(MAX(ROW(E$1:E4013)*(E2=E$1:E4013))))))</f>
        <v> </v>
      </c>
      <c r="K4014" s="25" t="str">
        <f>IF(OR(E4014="",E4014="!!!",F4014="NEW"),"",INDEX(J$1:J4013,SUMPRODUCT(MAX(ROW(E$1:E4013)*(E4014=E$1:E4013)))))</f>
        <v> </v>
      </c>
      <c r="L4014" s="26"/>
    </row>
    <row r="4015" spans="1:12">
      <c r="A4015" s="20" t="s">
        <v>1022</v>
      </c>
      <c r="E4015" s="21">
        <f>IF(D4015="?OLD","!!!","")</f>
        <v/>
      </c>
      <c r="F4015" s="22" t="str">
        <f>IF(OR(E4015="",E4015="!!!"),"",IF(NOT(ISNA(VLOOKUP(E4015,E$1:E4014,1,FALSE()))),"OLD",IF(AND(E4015&lt;&gt;"",E4015&lt;&gt;"!!!"),"NEW","")))</f>
        <v> </v>
      </c>
      <c r="G4015" s="23" t="str">
        <f>IF(OR(E4015="",E4015="!!!"),"",IF(OR(J4015=0,AND(J4015=1,K4015=1),AND(J4015=1,I4015="SBJ"),AND(J4015=1,I4015=0)),"?IN_FOCUS",IF(J4015&lt;=2,"?ACTIVATED",IF(J4015&lt;&gt;"","?FAMILIAR",IF(F4015="NEW",IF(ISNA(VLOOKUP(E4015,#REF!,1,FALSE())),"?TYPE_IDENTIFIABLE","?REFERENTIAL"),"_")))))</f>
        <v> </v>
      </c>
      <c r="H4015" s="24" t="str">
        <f>IF(J4015&lt;&gt;1,"",IF(I4015="SBJ","CB","?"))</f>
        <v> </v>
      </c>
      <c r="I4015" s="25" t="str">
        <f>IF(OR(E4015="",E4015="!!!",F4015="NEW"),"",INDEX(B4014:B$2,-1+SUMPRODUCT(MAX(ROW(E4014:E$2)*(E4015=E4014:E$2)))))</f>
        <v> </v>
      </c>
      <c r="J4015" s="25" t="str">
        <f>IF(OR(E4015="",E4015="!!!",F4015="NEW"),"",COUNTBLANK(OFFSET(A$1,,,SUMPRODUCT(MAX(ROW(E$2:E4015)*(E4015=E$2:E4015)))))-COUNTBLANK(OFFSET(A$1,,,SUMPRODUCT(MAX(ROW(E$1:E4014)*(E2=E$1:E4014))))))</f>
        <v> </v>
      </c>
      <c r="K4015" s="25" t="str">
        <f>IF(OR(E4015="",E4015="!!!",F4015="NEW"),"",INDEX(J$1:J4014,SUMPRODUCT(MAX(ROW(E$1:E4014)*(E4015=E$1:E4014)))))</f>
        <v> </v>
      </c>
      <c r="L4015" s="26"/>
    </row>
    <row r="4016" spans="1:12">
      <c r="A4016" s="20" t="s">
        <v>1395</v>
      </c>
      <c r="E4016" s="21">
        <f>IF(D4016="?OLD","!!!","")</f>
        <v/>
      </c>
      <c r="F4016" s="22" t="str">
        <f>IF(OR(E4016="",E4016="!!!"),"",IF(NOT(ISNA(VLOOKUP(E4016,E$1:E4015,1,FALSE()))),"OLD",IF(AND(E4016&lt;&gt;"",E4016&lt;&gt;"!!!"),"NEW","")))</f>
        <v> </v>
      </c>
      <c r="G4016" s="23" t="str">
        <f>IF(OR(E4016="",E4016="!!!"),"",IF(OR(J4016=0,AND(J4016=1,K4016=1),AND(J4016=1,I4016="SBJ"),AND(J4016=1,I4016=0)),"?IN_FOCUS",IF(J4016&lt;=2,"?ACTIVATED",IF(J4016&lt;&gt;"","?FAMILIAR",IF(F4016="NEW",IF(ISNA(VLOOKUP(E4016,#REF!,1,FALSE())),"?TYPE_IDENTIFIABLE","?REFERENTIAL"),"_")))))</f>
        <v> </v>
      </c>
      <c r="H4016" s="24" t="str">
        <f>IF(J4016&lt;&gt;1,"",IF(I4016="SBJ","CB","?"))</f>
        <v> </v>
      </c>
      <c r="I4016" s="25" t="str">
        <f>IF(OR(E4016="",E4016="!!!",F4016="NEW"),"",INDEX(B4015:B$2,-1+SUMPRODUCT(MAX(ROW(E4015:E$2)*(E4016=E4015:E$2)))))</f>
        <v> </v>
      </c>
      <c r="J4016" s="25" t="str">
        <f>IF(OR(E4016="",E4016="!!!",F4016="NEW"),"",COUNTBLANK(OFFSET(A$1,,,SUMPRODUCT(MAX(ROW(E$2:E4016)*(E4016=E$2:E4016)))))-COUNTBLANK(OFFSET(A$1,,,SUMPRODUCT(MAX(ROW(E$1:E4015)*(E2=E$1:E4015))))))</f>
        <v> </v>
      </c>
      <c r="K4016" s="25" t="str">
        <f>IF(OR(E4016="",E4016="!!!",F4016="NEW"),"",INDEX(J$1:J4015,SUMPRODUCT(MAX(ROW(E$1:E4015)*(E4016=E$1:E4015)))))</f>
        <v> </v>
      </c>
      <c r="L4016" s="26"/>
    </row>
    <row r="4017" spans="1:12">
      <c r="A4017" s="20" t="s">
        <v>1094</v>
      </c>
      <c r="E4017" s="21">
        <f>IF(D4017="?OLD","!!!","")</f>
        <v/>
      </c>
      <c r="F4017" s="22" t="str">
        <f>IF(OR(E4017="",E4017="!!!"),"",IF(NOT(ISNA(VLOOKUP(E4017,E$1:E4016,1,FALSE()))),"OLD",IF(AND(E4017&lt;&gt;"",E4017&lt;&gt;"!!!"),"NEW","")))</f>
        <v> </v>
      </c>
      <c r="G4017" s="23" t="str">
        <f>IF(OR(E4017="",E4017="!!!"),"",IF(OR(J4017=0,AND(J4017=1,K4017=1),AND(J4017=1,I4017="SBJ"),AND(J4017=1,I4017=0)),"?IN_FOCUS",IF(J4017&lt;=2,"?ACTIVATED",IF(J4017&lt;&gt;"","?FAMILIAR",IF(F4017="NEW",IF(ISNA(VLOOKUP(E4017,#REF!,1,FALSE())),"?TYPE_IDENTIFIABLE","?REFERENTIAL"),"_")))))</f>
        <v> </v>
      </c>
      <c r="H4017" s="24" t="str">
        <f>IF(J4017&lt;&gt;1,"",IF(I4017="SBJ","CB","?"))</f>
        <v> </v>
      </c>
      <c r="I4017" s="25" t="str">
        <f>IF(OR(E4017="",E4017="!!!",F4017="NEW"),"",INDEX(B4016:B$2,-1+SUMPRODUCT(MAX(ROW(E4016:E$2)*(E4017=E4016:E$2)))))</f>
        <v> </v>
      </c>
      <c r="J4017" s="25" t="str">
        <f>IF(OR(E4017="",E4017="!!!",F4017="NEW"),"",COUNTBLANK(OFFSET(A$1,,,SUMPRODUCT(MAX(ROW(E$2:E4017)*(E4017=E$2:E4017)))))-COUNTBLANK(OFFSET(A$1,,,SUMPRODUCT(MAX(ROW(E$1:E4016)*(E2=E$1:E4016))))))</f>
        <v> </v>
      </c>
      <c r="K4017" s="25" t="str">
        <f>IF(OR(E4017="",E4017="!!!",F4017="NEW"),"",INDEX(J$1:J4016,SUMPRODUCT(MAX(ROW(E$1:E4016)*(E4017=E$1:E4016)))))</f>
        <v> </v>
      </c>
      <c r="L4017" s="26"/>
    </row>
    <row r="4018" spans="1:12">
      <c r="A4018" s="20" t="s">
        <v>1036</v>
      </c>
      <c r="E4018" s="21">
        <f>IF(D4018="?OLD","!!!","")</f>
        <v/>
      </c>
      <c r="F4018" s="22" t="str">
        <f>IF(OR(E4018="",E4018="!!!"),"",IF(NOT(ISNA(VLOOKUP(E4018,E$1:E4017,1,FALSE()))),"OLD",IF(AND(E4018&lt;&gt;"",E4018&lt;&gt;"!!!"),"NEW","")))</f>
        <v> </v>
      </c>
      <c r="G4018" s="23" t="str">
        <f>IF(OR(E4018="",E4018="!!!"),"",IF(OR(J4018=0,AND(J4018=1,K4018=1),AND(J4018=1,I4018="SBJ"),AND(J4018=1,I4018=0)),"?IN_FOCUS",IF(J4018&lt;=2,"?ACTIVATED",IF(J4018&lt;&gt;"","?FAMILIAR",IF(F4018="NEW",IF(ISNA(VLOOKUP(E4018,#REF!,1,FALSE())),"?TYPE_IDENTIFIABLE","?REFERENTIAL"),"_")))))</f>
        <v> </v>
      </c>
      <c r="H4018" s="24" t="str">
        <f>IF(J4018&lt;&gt;1,"",IF(I4018="SBJ","CB","?"))</f>
        <v> </v>
      </c>
      <c r="I4018" s="25" t="str">
        <f>IF(OR(E4018="",E4018="!!!",F4018="NEW"),"",INDEX(B4017:B$2,-1+SUMPRODUCT(MAX(ROW(E4017:E$2)*(E4018=E4017:E$2)))))</f>
        <v> </v>
      </c>
      <c r="J4018" s="25" t="str">
        <f>IF(OR(E4018="",E4018="!!!",F4018="NEW"),"",COUNTBLANK(OFFSET(A$1,,,SUMPRODUCT(MAX(ROW(E$2:E4018)*(E4018=E$2:E4018)))))-COUNTBLANK(OFFSET(A$1,,,SUMPRODUCT(MAX(ROW(E$1:E4017)*(E2=E$1:E4017))))))</f>
        <v> </v>
      </c>
      <c r="K4018" s="25" t="str">
        <f>IF(OR(E4018="",E4018="!!!",F4018="NEW"),"",INDEX(J$1:J4017,SUMPRODUCT(MAX(ROW(E$1:E4017)*(E4018=E$1:E4017)))))</f>
        <v> </v>
      </c>
      <c r="L4018" s="26"/>
    </row>
    <row r="4019" spans="1:12">
      <c r="A4019" s="20" t="s">
        <v>1203</v>
      </c>
      <c r="B4019" s="27" t="s">
        <v>1085</v>
      </c>
      <c r="C4019" s="27" t="s">
        <v>1038</v>
      </c>
      <c r="D4019" s="27" t="s">
        <v>1030</v>
      </c>
      <c r="E4019" s="21">
        <f>IF(D4019="?OLD","!!!","")</f>
        <v/>
      </c>
      <c r="F4019" s="22" t="str">
        <f>IF(OR(E4019="",E4019="!!!"),"",IF(NOT(ISNA(VLOOKUP(E4019,E$1:E4018,1,FALSE()))),"OLD",IF(AND(E4019&lt;&gt;"",E4019&lt;&gt;"!!!"),"NEW","")))</f>
        <v> </v>
      </c>
      <c r="G4019" s="23" t="str">
        <f>IF(OR(E4019="",E4019="!!!"),"",IF(OR(J4019=0,AND(J4019=1,K4019=1),AND(J4019=1,I4019="SBJ"),AND(J4019=1,I4019=0)),"?IN_FOCUS",IF(J4019&lt;=2,"?ACTIVATED",IF(J4019&lt;&gt;"","?FAMILIAR",IF(F4019="NEW",IF(ISNA(VLOOKUP(E4019,#REF!,1,FALSE())),"?TYPE_IDENTIFIABLE","?REFERENTIAL"),"_")))))</f>
        <v> </v>
      </c>
      <c r="H4019" s="24" t="str">
        <f>IF(J4019&lt;&gt;1,"",IF(I4019="SBJ","CB","?"))</f>
        <v> </v>
      </c>
      <c r="I4019" s="25" t="str">
        <f>IF(OR(E4019="",E4019="!!!",F4019="NEW"),"",INDEX(B4018:B$2,-1+SUMPRODUCT(MAX(ROW(E4018:E$2)*(E4019=E4018:E$2)))))</f>
        <v> </v>
      </c>
      <c r="J4019" s="25" t="str">
        <f>IF(OR(E4019="",E4019="!!!",F4019="NEW"),"",COUNTBLANK(OFFSET(A$1,,,SUMPRODUCT(MAX(ROW(E$2:E4019)*(E4019=E$2:E4019)))))-COUNTBLANK(OFFSET(A$1,,,SUMPRODUCT(MAX(ROW(E$1:E4018)*(E2=E$1:E4018))))))</f>
        <v> </v>
      </c>
      <c r="K4019" s="25" t="str">
        <f>IF(OR(E4019="",E4019="!!!",F4019="NEW"),"",INDEX(J$1:J4018,SUMPRODUCT(MAX(ROW(E$1:E4018)*(E4019=E$1:E4018)))))</f>
        <v> </v>
      </c>
      <c r="L4019" s="26"/>
    </row>
    <row r="4020" spans="1:12">
      <c r="A4020" s="20" t="s">
        <v>1033</v>
      </c>
      <c r="B4020" s="27" t="s">
        <v>1020</v>
      </c>
      <c r="C4020" s="27" t="s">
        <v>1050</v>
      </c>
      <c r="D4020" s="27" t="s">
        <v>1030</v>
      </c>
      <c r="E4020" s="21">
        <f>IF(D4020="?OLD","!!!","")</f>
        <v/>
      </c>
      <c r="F4020" s="22" t="str">
        <f>IF(OR(E4020="",E4020="!!!"),"",IF(NOT(ISNA(VLOOKUP(E4020,E$1:E4019,1,FALSE()))),"OLD",IF(AND(E4020&lt;&gt;"",E4020&lt;&gt;"!!!"),"NEW","")))</f>
        <v> </v>
      </c>
      <c r="G4020" s="23" t="str">
        <f>IF(OR(E4020="",E4020="!!!"),"",IF(OR(J4020=0,AND(J4020=1,K4020=1),AND(J4020=1,I4020="SBJ"),AND(J4020=1,I4020=0)),"?IN_FOCUS",IF(J4020&lt;=2,"?ACTIVATED",IF(J4020&lt;&gt;"","?FAMILIAR",IF(F4020="NEW",IF(ISNA(VLOOKUP(E4020,#REF!,1,FALSE())),"?TYPE_IDENTIFIABLE","?REFERENTIAL"),"_")))))</f>
        <v> </v>
      </c>
      <c r="H4020" s="24" t="str">
        <f>IF(J4020&lt;&gt;1,"",IF(I4020="SBJ","CB","?"))</f>
        <v> </v>
      </c>
      <c r="I4020" s="25" t="str">
        <f>IF(OR(E4020="",E4020="!!!",F4020="NEW"),"",INDEX(B4019:B$2,-1+SUMPRODUCT(MAX(ROW(E4019:E$2)*(E4020=E4019:E$2)))))</f>
        <v> </v>
      </c>
      <c r="J4020" s="25" t="str">
        <f>IF(OR(E4020="",E4020="!!!",F4020="NEW"),"",COUNTBLANK(OFFSET(A$1,,,SUMPRODUCT(MAX(ROW(E$2:E4020)*(E4020=E$2:E4020)))))-COUNTBLANK(OFFSET(A$1,,,SUMPRODUCT(MAX(ROW(E$1:E4019)*(E2=E$1:E4019))))))</f>
        <v> </v>
      </c>
      <c r="K4020" s="25" t="str">
        <f>IF(OR(E4020="",E4020="!!!",F4020="NEW"),"",INDEX(J$1:J4019,SUMPRODUCT(MAX(ROW(E$1:E4019)*(E4020=E$1:E4019)))))</f>
        <v> </v>
      </c>
      <c r="L4020" s="26"/>
    </row>
    <row r="4021" spans="1:12">
      <c r="A4021" s="20" t="s">
        <v>2335</v>
      </c>
      <c r="E4021" s="21">
        <f>IF(D4021="?OLD","!!!","")</f>
        <v/>
      </c>
      <c r="F4021" s="22" t="str">
        <f>IF(OR(E4021="",E4021="!!!"),"",IF(NOT(ISNA(VLOOKUP(E4021,E$1:E4020,1,FALSE()))),"OLD",IF(AND(E4021&lt;&gt;"",E4021&lt;&gt;"!!!"),"NEW","")))</f>
        <v> </v>
      </c>
      <c r="G4021" s="23" t="str">
        <f>IF(OR(E4021="",E4021="!!!"),"",IF(OR(J4021=0,AND(J4021=1,K4021=1),AND(J4021=1,I4021="SBJ"),AND(J4021=1,I4021=0)),"?IN_FOCUS",IF(J4021&lt;=2,"?ACTIVATED",IF(J4021&lt;&gt;"","?FAMILIAR",IF(F4021="NEW",IF(ISNA(VLOOKUP(E4021,#REF!,1,FALSE())),"?TYPE_IDENTIFIABLE","?REFERENTIAL"),"_")))))</f>
        <v> </v>
      </c>
      <c r="H4021" s="24" t="str">
        <f>IF(J4021&lt;&gt;1,"",IF(I4021="SBJ","CB","?"))</f>
        <v> </v>
      </c>
      <c r="I4021" s="25" t="str">
        <f>IF(OR(E4021="",E4021="!!!",F4021="NEW"),"",INDEX(B4020:B$2,-1+SUMPRODUCT(MAX(ROW(E4020:E$2)*(E4021=E4020:E$2)))))</f>
        <v> </v>
      </c>
      <c r="J4021" s="25" t="str">
        <f>IF(OR(E4021="",E4021="!!!",F4021="NEW"),"",COUNTBLANK(OFFSET(A$1,,,SUMPRODUCT(MAX(ROW(E$2:E4021)*(E4021=E$2:E4021)))))-COUNTBLANK(OFFSET(A$1,,,SUMPRODUCT(MAX(ROW(E$1:E4020)*(E2=E$1:E4020))))))</f>
        <v> </v>
      </c>
      <c r="K4021" s="25" t="str">
        <f>IF(OR(E4021="",E4021="!!!",F4021="NEW"),"",INDEX(J$1:J4020,SUMPRODUCT(MAX(ROW(E$1:E4020)*(E4021=E$1:E4020)))))</f>
        <v> </v>
      </c>
      <c r="L4021" s="26"/>
    </row>
    <row r="4022" spans="1:12">
      <c r="A4022" s="20" t="s">
        <v>1377</v>
      </c>
      <c r="B4022" s="27" t="s">
        <v>1020</v>
      </c>
      <c r="C4022" s="27" t="s">
        <v>1015</v>
      </c>
      <c r="E4022" s="21">
        <f>IF(D4022="?OLD","!!!","")</f>
        <v/>
      </c>
      <c r="F4022" s="22" t="str">
        <f>IF(OR(E4022="",E4022="!!!"),"",IF(NOT(ISNA(VLOOKUP(E4022,E$1:E4021,1,FALSE()))),"OLD",IF(AND(E4022&lt;&gt;"",E4022&lt;&gt;"!!!"),"NEW","")))</f>
        <v> </v>
      </c>
      <c r="G4022" s="23" t="str">
        <f>IF(OR(E4022="",E4022="!!!"),"",IF(OR(J4022=0,AND(J4022=1,K4022=1),AND(J4022=1,I4022="SBJ"),AND(J4022=1,I4022=0)),"?IN_FOCUS",IF(J4022&lt;=2,"?ACTIVATED",IF(J4022&lt;&gt;"","?FAMILIAR",IF(F4022="NEW",IF(ISNA(VLOOKUP(E4022,#REF!,1,FALSE())),"?TYPE_IDENTIFIABLE","?REFERENTIAL"),"_")))))</f>
        <v> </v>
      </c>
      <c r="H4022" s="24" t="str">
        <f>IF(J4022&lt;&gt;1,"",IF(I4022="SBJ","CB","?"))</f>
        <v> </v>
      </c>
      <c r="I4022" s="25" t="str">
        <f>IF(OR(E4022="",E4022="!!!",F4022="NEW"),"",INDEX(B4021:B$2,-1+SUMPRODUCT(MAX(ROW(E4021:E$2)*(E4022=E4021:E$2)))))</f>
        <v> </v>
      </c>
      <c r="J4022" s="25" t="str">
        <f>IF(OR(E4022="",E4022="!!!",F4022="NEW"),"",COUNTBLANK(OFFSET(A$1,,,SUMPRODUCT(MAX(ROW(E$2:E4022)*(E4022=E$2:E4022)))))-COUNTBLANK(OFFSET(A$1,,,SUMPRODUCT(MAX(ROW(E$1:E4021)*(E2=E$1:E4021))))))</f>
        <v> </v>
      </c>
      <c r="K4022" s="25" t="str">
        <f>IF(OR(E4022="",E4022="!!!",F4022="NEW"),"",INDEX(J$1:J4021,SUMPRODUCT(MAX(ROW(E$1:E4021)*(E4022=E$1:E4021)))))</f>
        <v> </v>
      </c>
      <c r="L4022" s="26"/>
    </row>
    <row r="4023" spans="1:12">
      <c r="A4023" s="20" t="s">
        <v>2336</v>
      </c>
      <c r="E4023" s="21">
        <f>IF(D4023="?OLD","!!!","")</f>
        <v/>
      </c>
      <c r="F4023" s="22" t="str">
        <f>IF(OR(E4023="",E4023="!!!"),"",IF(NOT(ISNA(VLOOKUP(E4023,E$1:E4022,1,FALSE()))),"OLD",IF(AND(E4023&lt;&gt;"",E4023&lt;&gt;"!!!"),"NEW","")))</f>
        <v> </v>
      </c>
      <c r="G4023" s="23" t="str">
        <f>IF(OR(E4023="",E4023="!!!"),"",IF(OR(J4023=0,AND(J4023=1,K4023=1),AND(J4023=1,I4023="SBJ"),AND(J4023=1,I4023=0)),"?IN_FOCUS",IF(J4023&lt;=2,"?ACTIVATED",IF(J4023&lt;&gt;"","?FAMILIAR",IF(F4023="NEW",IF(ISNA(VLOOKUP(E4023,#REF!,1,FALSE())),"?TYPE_IDENTIFIABLE","?REFERENTIAL"),"_")))))</f>
        <v> </v>
      </c>
      <c r="H4023" s="24" t="str">
        <f>IF(J4023&lt;&gt;1,"",IF(I4023="SBJ","CB","?"))</f>
        <v> </v>
      </c>
      <c r="I4023" s="25" t="str">
        <f>IF(OR(E4023="",E4023="!!!",F4023="NEW"),"",INDEX(B4022:B$2,-1+SUMPRODUCT(MAX(ROW(E4022:E$2)*(E4023=E4022:E$2)))))</f>
        <v> </v>
      </c>
      <c r="J4023" s="25" t="str">
        <f>IF(OR(E4023="",E4023="!!!",F4023="NEW"),"",COUNTBLANK(OFFSET(A$1,,,SUMPRODUCT(MAX(ROW(E$2:E4023)*(E4023=E$2:E4023)))))-COUNTBLANK(OFFSET(A$1,,,SUMPRODUCT(MAX(ROW(E$1:E4022)*(E2=E$1:E4022))))))</f>
        <v> </v>
      </c>
      <c r="K4023" s="25" t="str">
        <f>IF(OR(E4023="",E4023="!!!",F4023="NEW"),"",INDEX(J$1:J4022,SUMPRODUCT(MAX(ROW(E$1:E4022)*(E4023=E$1:E4022)))))</f>
        <v> </v>
      </c>
      <c r="L4023" s="26"/>
    </row>
    <row r="4024" spans="1:12">
      <c r="A4024" s="20" t="s">
        <v>135</v>
      </c>
      <c r="E4024" s="21">
        <f>IF(D4024="?OLD","!!!","")</f>
        <v/>
      </c>
      <c r="F4024" s="22" t="str">
        <f>IF(OR(E4024="",E4024="!!!"),"",IF(NOT(ISNA(VLOOKUP(E4024,E$1:E4023,1,FALSE()))),"OLD",IF(AND(E4024&lt;&gt;"",E4024&lt;&gt;"!!!"),"NEW","")))</f>
        <v> </v>
      </c>
      <c r="G4024" s="23" t="str">
        <f>IF(OR(E4024="",E4024="!!!"),"",IF(OR(J4024=0,AND(J4024=1,K4024=1),AND(J4024=1,I4024="SBJ"),AND(J4024=1,I4024=0)),"?IN_FOCUS",IF(J4024&lt;=2,"?ACTIVATED",IF(J4024&lt;&gt;"","?FAMILIAR",IF(F4024="NEW",IF(ISNA(VLOOKUP(E4024,#REF!,1,FALSE())),"?TYPE_IDENTIFIABLE","?REFERENTIAL"),"_")))))</f>
        <v> </v>
      </c>
      <c r="H4024" s="24" t="str">
        <f>IF(J4024&lt;&gt;1,"",IF(I4024="SBJ","CB","?"))</f>
        <v> </v>
      </c>
      <c r="I4024" s="25" t="str">
        <f>IF(OR(E4024="",E4024="!!!",F4024="NEW"),"",INDEX(B4023:B$2,-1+SUMPRODUCT(MAX(ROW(E4023:E$2)*(E4024=E4023:E$2)))))</f>
        <v> </v>
      </c>
      <c r="J4024" s="25" t="str">
        <f>IF(OR(E4024="",E4024="!!!",F4024="NEW"),"",COUNTBLANK(OFFSET(A$1,,,SUMPRODUCT(MAX(ROW(E$2:E4024)*(E4024=E$2:E4024)))))-COUNTBLANK(OFFSET(A$1,,,SUMPRODUCT(MAX(ROW(E$1:E4023)*(E2=E$1:E4023))))))</f>
        <v> </v>
      </c>
      <c r="K4024" s="25" t="str">
        <f>IF(OR(E4024="",E4024="!!!",F4024="NEW"),"",INDEX(J$1:J4023,SUMPRODUCT(MAX(ROW(E$1:E4023)*(E4024=E$1:E4023)))))</f>
        <v> </v>
      </c>
      <c r="L4024" s="26"/>
    </row>
    <row r="4025" spans="1:12">
      <c r="A4025" s="20"/>
    </row>
    <row r="4026" spans="1:12">
      <c r="A4026" s="20" t="s">
        <v>2337</v>
      </c>
    </row>
    <row r="4027" spans="1:12">
      <c r="A4027" s="20" t="s">
        <v>2338</v>
      </c>
      <c r="B4027" s="27" t="s">
        <v>1045</v>
      </c>
      <c r="C4027" s="27" t="s">
        <v>1015</v>
      </c>
      <c r="E4027" s="21">
        <f>IF(D4027="?OLD","!!!","")</f>
        <v/>
      </c>
      <c r="F4027" s="22" t="str">
        <f>IF(OR(E4027="",E4027="!!!"),"",IF(NOT(ISNA(VLOOKUP(E4027,E$1:E4026,1,FALSE()))),"OLD",IF(AND(E4027&lt;&gt;"",E4027&lt;&gt;"!!!"),"NEW","")))</f>
        <v> </v>
      </c>
      <c r="G4027" s="23" t="str">
        <f>IF(OR(E4027="",E4027="!!!"),"",IF(OR(J4027=0,AND(J4027=1,K4027=1),AND(J4027=1,I4027="SBJ"),AND(J4027=1,I4027=0)),"?IN_FOCUS",IF(J4027&lt;=2,"?ACTIVATED",IF(J4027&lt;&gt;"","?FAMILIAR",IF(F4027="NEW",IF(ISNA(VLOOKUP(E4027,#REF!,1,FALSE())),"?TYPE_IDENTIFIABLE","?REFERENTIAL"),"_")))))</f>
        <v> </v>
      </c>
      <c r="H4027" s="24" t="str">
        <f>IF(J4027&lt;&gt;1,"",IF(I4027="SBJ","CB","?"))</f>
        <v> </v>
      </c>
      <c r="I4027" s="25" t="str">
        <f>IF(OR(E4027="",E4027="!!!",F4027="NEW"),"",INDEX(B4026:B$2,-1+SUMPRODUCT(MAX(ROW(E4026:E$2)*(E4027=E4026:E$2)))))</f>
        <v> </v>
      </c>
      <c r="J4027" s="25" t="str">
        <f>IF(OR(E4027="",E4027="!!!",F4027="NEW"),"",COUNTBLANK(OFFSET(A$1,,,SUMPRODUCT(MAX(ROW(E$2:E4027)*(E4027=E$2:E4027)))))-COUNTBLANK(OFFSET(A$1,,,SUMPRODUCT(MAX(ROW(E$1:E4026)*(E2=E$1:E4026))))))</f>
        <v> </v>
      </c>
      <c r="K4027" s="25" t="str">
        <f>IF(OR(E4027="",E4027="!!!",F4027="NEW"),"",INDEX(J$1:J4026,SUMPRODUCT(MAX(ROW(E$1:E4026)*(E4027=E$1:E4026)))))</f>
        <v> </v>
      </c>
      <c r="L4027" s="26"/>
    </row>
    <row r="4028" spans="1:12">
      <c r="A4028" s="20" t="s">
        <v>135</v>
      </c>
      <c r="E4028" s="21">
        <f>IF(D4028="?OLD","!!!","")</f>
        <v/>
      </c>
      <c r="F4028" s="22" t="str">
        <f>IF(OR(E4028="",E4028="!!!"),"",IF(NOT(ISNA(VLOOKUP(E4028,E$1:E4027,1,FALSE()))),"OLD",IF(AND(E4028&lt;&gt;"",E4028&lt;&gt;"!!!"),"NEW","")))</f>
        <v> </v>
      </c>
      <c r="G4028" s="23" t="str">
        <f>IF(OR(E4028="",E4028="!!!"),"",IF(OR(J4028=0,AND(J4028=1,K4028=1),AND(J4028=1,I4028="SBJ"),AND(J4028=1,I4028=0)),"?IN_FOCUS",IF(J4028&lt;=2,"?ACTIVATED",IF(J4028&lt;&gt;"","?FAMILIAR",IF(F4028="NEW",IF(ISNA(VLOOKUP(E4028,#REF!,1,FALSE())),"?TYPE_IDENTIFIABLE","?REFERENTIAL"),"_")))))</f>
        <v> </v>
      </c>
      <c r="H4028" s="24" t="str">
        <f>IF(J4028&lt;&gt;1,"",IF(I4028="SBJ","CB","?"))</f>
        <v> </v>
      </c>
      <c r="I4028" s="25" t="str">
        <f>IF(OR(E4028="",E4028="!!!",F4028="NEW"),"",INDEX(B4027:B$2,-1+SUMPRODUCT(MAX(ROW(E4027:E$2)*(E4028=E4027:E$2)))))</f>
        <v> </v>
      </c>
      <c r="J4028" s="25" t="str">
        <f>IF(OR(E4028="",E4028="!!!",F4028="NEW"),"",COUNTBLANK(OFFSET(A$1,,,SUMPRODUCT(MAX(ROW(E$2:E4028)*(E4028=E$2:E4028)))))-COUNTBLANK(OFFSET(A$1,,,SUMPRODUCT(MAX(ROW(E$1:E4027)*(E2=E$1:E4027))))))</f>
        <v> </v>
      </c>
      <c r="K4028" s="25" t="str">
        <f>IF(OR(E4028="",E4028="!!!",F4028="NEW"),"",INDEX(J$1:J4027,SUMPRODUCT(MAX(ROW(E$1:E4027)*(E4028=E$1:E4027)))))</f>
        <v> </v>
      </c>
      <c r="L4028" s="26"/>
    </row>
    <row r="4029" spans="1:12">
      <c r="A402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2025-07-11T07:04:18Z</dcterms:created>
  <dcterms:modified xsi:type="dcterms:W3CDTF">2025-07-11T07:04:18Z</dcterms:modified>
</cp:coreProperties>
</file>