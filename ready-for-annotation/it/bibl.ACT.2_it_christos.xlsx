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<sst xmlns="http://schemas.openxmlformats.org/spreadsheetml/2006/main" count="2567" uniqueCount="783">
  <si>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</si>
  <si>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</si>
  <si>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</si>
  <si>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</si>
  <si>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</si>
  <si>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</si>
  <si>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</si>
  <si>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</si>
  <si>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</si>
  <si>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</si>
  <si>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</si>
  <si>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11</t>
  </si>
  <si>
    <t>mentre?</t>
  </si>
  <si>
    <t>trovare</t>
  </si>
  <si>
    <t>Mentre il giorno di Pentecoste stava per finire , si trovavano tutti insieme nello in lo stesso luogo</t>
  </si>
  <si>
    <t>file://conllu/it/bibl.ACT.2_it_christos.conllu#s1_0</t>
  </si>
  <si>
    <t>_</t>
  </si>
  <si>
    <t>2</t>
  </si>
  <si>
    <t>e?</t>
  </si>
  <si>
    <t>venire</t>
  </si>
  <si>
    <t>Venne all' a l' improvviso dal da il cielo un rombo , come di vento che si abbatte gagliardo , e riempì tutta la casa dove si trovavano</t>
  </si>
  <si>
    <t>file://conllu/it/bibl.ACT.2_it_christos.conllu#s2_0</t>
  </si>
  <si>
    <t>3</t>
  </si>
  <si>
    <t>come?</t>
  </si>
  <si>
    <t>apparvero</t>
  </si>
  <si>
    <t>Apparvero loro lingue come di fuoco che si dividevano e si posarono su ciascuno di loro</t>
  </si>
  <si>
    <t>file://conllu/it/bibl.ACT.2_it_christos.conllu#s3_0</t>
  </si>
  <si>
    <t>4</t>
  </si>
  <si>
    <t>essere (essere pieno)</t>
  </si>
  <si>
    <t>ed essi furono tutti pieni di Spirito Santo e cominciarono a parlare in altre lingue come lo Spirito dava loro il potere d' esprimersi esprimer si</t>
  </si>
  <si>
    <t>file://conllu/it/bibl.ACT.2_it_christos.conllu#s4_0</t>
  </si>
  <si>
    <t>5</t>
  </si>
  <si>
    <t>allora?</t>
  </si>
  <si>
    <t>Si trovavano allora in Gerusalemme Giudei osservanti di ogni nazione che è sotto il cielo</t>
  </si>
  <si>
    <t>file://conllu/it/bibl.ACT.2_it_christos.conllu#s5_0</t>
  </si>
  <si>
    <t>6</t>
  </si>
  <si>
    <t>8</t>
  </si>
  <si>
    <t>radunare</t>
  </si>
  <si>
    <t>Venuto quel fragore , la folla si radunò e rimase sbigottita perché ciascuno li sentiva parlare la propria lingua</t>
  </si>
  <si>
    <t>file://conllu/it/bibl.ACT.2_it_christos.conllu#s6_0</t>
  </si>
  <si>
    <t>7</t>
  </si>
  <si>
    <t>essere (essere stupefatto)</t>
  </si>
  <si>
    <t>Erano stupefatti e fuori di sé per lo stupore dicevano :</t>
  </si>
  <si>
    <t>file://conllu/it/bibl.ACT.2_it_christos.conllu#s7_0</t>
  </si>
  <si>
    <t>costoro</t>
  </si>
  <si>
    <t>« Costoro che parlano non sono forse tutti Galilei</t>
  </si>
  <si>
    <t>file://conllu/it/bibl.ACT.2_it_christos.conllu#s8_0</t>
  </si>
  <si>
    <t>9</t>
  </si>
  <si>
    <t>essere</t>
  </si>
  <si>
    <t>E com' è che li sentiamo ciascuno parlare la nostra lingua nativa</t>
  </si>
  <si>
    <t>file://conllu/it/bibl.ACT.2_it_christos.conllu#s9_0</t>
  </si>
  <si>
    <t>10</t>
  </si>
  <si>
    <t>essere (essere parte)</t>
  </si>
  <si>
    <t>Siamo Parti , Medi , Elamìti e abitanti della di la Mesopotamia , della di la Giudea , della di la Cappadòcia , del di il Ponto e dell' di l' Asia</t>
  </si>
  <si>
    <t>file://conllu/it/bibl.ACT.2_it_christos.conllu#s10_0</t>
  </si>
  <si>
    <t>12</t>
  </si>
  <si>
    <t>Ebre</t>
  </si>
  <si>
    <t>Ebrei e prosèliti , Cretesi e Arabi e li udiamo annunziare nelle in le nostre lingue le grandi opere di Dio »</t>
  </si>
  <si>
    <t>file://conllu/it/bibl.ACT.2_it_christos.conllu#s12_0</t>
  </si>
  <si>
    <t>13</t>
  </si>
  <si>
    <t>stupire</t>
  </si>
  <si>
    <t>Tutti erano stupiti e perplessi , chiedendosi chiedendo si l' un l' altro :</t>
  </si>
  <si>
    <t>file://conllu/it/bibl.ACT.2_it_christos.conllu#s13_0</t>
  </si>
  <si>
    <t>14</t>
  </si>
  <si>
    <t>significare</t>
  </si>
  <si>
    <t>« Che significa questo ? »</t>
  </si>
  <si>
    <t>file://conllu/it/bibl.ACT.2_it_christos.conllu#s14_0</t>
  </si>
  <si>
    <t>15</t>
  </si>
  <si>
    <t>invece?</t>
  </si>
  <si>
    <t>deridere</t>
  </si>
  <si>
    <t>Altri invece li deridevano e dicevano :</t>
  </si>
  <si>
    <t>file://conllu/it/bibl.ACT.2_it_christos.conllu#s15_0</t>
  </si>
  <si>
    <t>16</t>
  </si>
  <si>
    <t>ubriacare</t>
  </si>
  <si>
    <t>« Si sono ubriacati di mosto »</t>
  </si>
  <si>
    <t>file://conllu/it/bibl.ACT.2_it_christos.conllu#s16_0</t>
  </si>
  <si>
    <t>17</t>
  </si>
  <si>
    <t>parlare</t>
  </si>
  <si>
    <t>Allora Pietro , levatosi levato si in piedi con gli altri Undici , parlò a voce alta così :</t>
  </si>
  <si>
    <t>file://conllu/it/bibl.ACT.2_it_christos.conllu#s17_0</t>
  </si>
  <si>
    <t>18</t>
  </si>
  <si>
    <t>uomini</t>
  </si>
  <si>
    <t>« Uomini di Giudea , e voi tutti che vi trovate a Gerusalemme , vi sia ben noto questo e fate attenzione alle a le mie parole</t>
  </si>
  <si>
    <t>file://conllu/it/bibl.ACT.2_it_christos.conllu#s18_0</t>
  </si>
  <si>
    <t>19</t>
  </si>
  <si>
    <t>essere (essere ubriaco)</t>
  </si>
  <si>
    <t>Questi uomini non sono ubriachi come voi sospettate , essendo appena le nove del di il mattino</t>
  </si>
  <si>
    <t>file://conllu/it/bibl.ACT.2_it_christos.conllu#s19_0</t>
  </si>
  <si>
    <t>20</t>
  </si>
  <si>
    <t>accada</t>
  </si>
  <si>
    <t>Accade invece quello che predisse il profeta Gioele</t>
  </si>
  <si>
    <t>file://conllu/it/bibl.ACT.2_it_christos.conllu#s20_0</t>
  </si>
  <si>
    <t>22</t>
  </si>
  <si>
    <t>21</t>
  </si>
  <si>
    <t>anche?</t>
  </si>
  <si>
    <t>profetare</t>
  </si>
  <si>
    <t>E anche sui su i miei servi e sulle su le mie serve in quei giorni effonderò il mio Spirito ed essi profeteranno</t>
  </si>
  <si>
    <t>file://conllu/it/bibl.ACT.2_it_christos.conllu#s22_0</t>
  </si>
  <si>
    <t>23</t>
  </si>
  <si>
    <t>fare</t>
  </si>
  <si>
    <t>Farò prodigi in alto nel in il cielo e segni in basso sulla su la terra , sangue , fuoco e nuvole di fumo</t>
  </si>
  <si>
    <t>file://conllu/it/bibl.ACT.2_it_christos.conllu#s23_0</t>
  </si>
  <si>
    <t>24</t>
  </si>
  <si>
    <t>prima?</t>
  </si>
  <si>
    <t>mutare</t>
  </si>
  <si>
    <t>Il sole si muterà in tenebra e la luna in sangue , prima che giunga il giorno del di il Signore , giorno grande e splendido</t>
  </si>
  <si>
    <t>file://conllu/it/bibl.ACT.2_it_christos.conllu#s24_0</t>
  </si>
  <si>
    <t>25</t>
  </si>
  <si>
    <t>salvare</t>
  </si>
  <si>
    <t>Allora chiunque invocherà il nome del di il Signore sarà salvato</t>
  </si>
  <si>
    <t>file://conllu/it/bibl.ACT.2_it_christos.conllu#s25_0</t>
  </si>
  <si>
    <t>26</t>
  </si>
  <si>
    <t>uomo</t>
  </si>
  <si>
    <t>Uomini d' Israele , ascoltate queste parole :</t>
  </si>
  <si>
    <t>file://conllu/it/bibl.ACT.2_it_christos.conllu#s26_0</t>
  </si>
  <si>
    <t>27</t>
  </si>
  <si>
    <t>35</t>
  </si>
  <si>
    <t>sapere</t>
  </si>
  <si>
    <t>Gesù di Nazaret uomo accreditato da Dio presso di voi per mezzo di miracoli , prodigi e segni , che Dio stesso operò fra di voi per opera sua , come voi ben sapete</t>
  </si>
  <si>
    <t>file://conllu/it/bibl.ACT.2_it_christos.conllu#s27_0</t>
  </si>
  <si>
    <t>28</t>
  </si>
  <si>
    <t>dopo?</t>
  </si>
  <si>
    <t>inchiodare</t>
  </si>
  <si>
    <t>dopo che , secondo il prestabilito disegno e la prescienza di Dio , fu consegnato a voi , voi l' avete inchiodato sulla su la croce per mano di empi e l' avete ucciso</t>
  </si>
  <si>
    <t>file://conllu/it/bibl.ACT.2_it_christos.conllu#s28_0</t>
  </si>
  <si>
    <t>29</t>
  </si>
  <si>
    <t>perché?</t>
  </si>
  <si>
    <t>risuscitare</t>
  </si>
  <si>
    <t>Ma Dio lo ha risuscitato , sciogliendolo sciogliendo lo dalle da le angosce della di la morte , perché non era possibile che questa lo tenesse in suo potere</t>
  </si>
  <si>
    <t>file://conllu/it/bibl.ACT.2_it_christos.conllu#s29_0</t>
  </si>
  <si>
    <t>30</t>
  </si>
  <si>
    <t>infatti?</t>
  </si>
  <si>
    <t>dire</t>
  </si>
  <si>
    <t>Dice infatti Davide a suo riguardo :</t>
  </si>
  <si>
    <t>file://conllu/it/bibl.ACT.2_it_christos.conllu#s30_0</t>
  </si>
  <si>
    <t>31</t>
  </si>
  <si>
    <t>poiché?</t>
  </si>
  <si>
    <t>stare</t>
  </si>
  <si>
    <t>poiché egli sta alla a la mia destra , perché io non vacilli</t>
  </si>
  <si>
    <t>file://conllu/it/bibl.ACT.2_it_christos.conllu#s31_0</t>
  </si>
  <si>
    <t>32</t>
  </si>
  <si>
    <t>per questo?</t>
  </si>
  <si>
    <t>rallegrare</t>
  </si>
  <si>
    <t>Per questo si rallegrò il mio cuore ed esultò la mia lingua ;</t>
  </si>
  <si>
    <t>file://conllu/it/bibl.ACT.2_it_christos.conllu#s32_0</t>
  </si>
  <si>
    <t>33</t>
  </si>
  <si>
    <t>riposere</t>
  </si>
  <si>
    <t>ed anche la mia carne riposerà nella in la speranza</t>
  </si>
  <si>
    <t>file://conllu/it/bibl.ACT.2_it_christos.conllu#s33_0</t>
  </si>
  <si>
    <t>34</t>
  </si>
  <si>
    <t>anima</t>
  </si>
  <si>
    <t>perché tu non abbandonerai l' anima mia negli in gli inferi , né permetterai che il tuo Santo veda la corruzione</t>
  </si>
  <si>
    <t>file://conllu/it/bibl.ACT.2_it_christos.conllu#s34_0</t>
  </si>
  <si>
    <t>Mi hai fatto conoscere le vie della di la vita , mi colmerai di gioia con la tua presenza</t>
  </si>
  <si>
    <t>file://conllu/it/bibl.ACT.2_it_christos.conllu#s35_0</t>
  </si>
  <si>
    <t>36</t>
  </si>
  <si>
    <t>lecire</t>
  </si>
  <si>
    <t>Fratelli , mi sia lecito dirvi dir vi francamente , riguardo al a il patriarca Davide , che egli morì e fu sepolto e la sua tomba è ancora oggi fra noi</t>
  </si>
  <si>
    <t>file://conllu/it/bibl.ACT.2_it_christos.conllu#s36_0</t>
  </si>
  <si>
    <t>37</t>
  </si>
  <si>
    <t>profeto</t>
  </si>
  <si>
    <t>Poiché però era profeta e sapeva che Dio gli aveva giurato solennemente di far sedere sul su il suo trono un suo discendente</t>
  </si>
  <si>
    <t>file://conllu/it/bibl.ACT.2_it_christos.conllu#s37_0</t>
  </si>
  <si>
    <t>38</t>
  </si>
  <si>
    <t>previdere</t>
  </si>
  <si>
    <t>previde la risurrezione di Cristo e ne parlò :</t>
  </si>
  <si>
    <t>file://conllu/it/bibl.ACT.2_it_christos.conllu#s38_0</t>
  </si>
  <si>
    <t>39</t>
  </si>
  <si>
    <t>né?</t>
  </si>
  <si>
    <t>vedere</t>
  </si>
  <si>
    <t>né la sua carne vide corruzione</t>
  </si>
  <si>
    <t>file://conllu/it/bibl.ACT.2_it_christos.conllu#s39_0</t>
  </si>
  <si>
    <t>40</t>
  </si>
  <si>
    <t>Questo Gesù Dio l' ha risuscitato e noi tutti ne siamo testimoni</t>
  </si>
  <si>
    <t>file://conllu/it/bibl.ACT.2_it_christos.conllu#s40_0</t>
  </si>
  <si>
    <t>41</t>
  </si>
  <si>
    <t>pertanto?</t>
  </si>
  <si>
    <t>innalzare</t>
  </si>
  <si>
    <t>Innalzato pertanto alla a la destra di Dio e dopo aver ricevuto dal da il Padre lo Spirito Santo che egli aveva promesso , lo ha effuso , come voi stessi potete vedere e udire</t>
  </si>
  <si>
    <t>file://conllu/it/bibl.ACT.2_it_christos.conllu#s41_0</t>
  </si>
  <si>
    <t>42</t>
  </si>
  <si>
    <t>tuttavia?</t>
  </si>
  <si>
    <t>salire</t>
  </si>
  <si>
    <t>Davide infatti non salì al a il cielo ; tuttavia egli dice :</t>
  </si>
  <si>
    <t>file://conllu/it/bibl.ACT.2_it_christos.conllu#s42_0</t>
  </si>
  <si>
    <t>43</t>
  </si>
  <si>
    <t>siedere</t>
  </si>
  <si>
    <t>siedi alla a la mia destra</t>
  </si>
  <si>
    <t>file://conllu/it/bibl.ACT.2_it_christos.conllu#s43_0</t>
  </si>
  <si>
    <t>44</t>
  </si>
  <si>
    <t>porre</t>
  </si>
  <si>
    <t>finché io ponga i tuoi nemici come sgabello ai a i tuoi piedi</t>
  </si>
  <si>
    <t>file://conllu/it/bibl.ACT.2_it_christos.conllu#s44_0</t>
  </si>
  <si>
    <t>45</t>
  </si>
  <si>
    <t>dunque?</t>
  </si>
  <si>
    <t>Sappia dunque con certezza tutta la casa di Israele che Dio ha costituito Signore e Cristo quel Gesù che voi avete crocifisso ! »</t>
  </si>
  <si>
    <t>file://conllu/it/bibl.ACT.2_it_christos.conllu#s45_0</t>
  </si>
  <si>
    <t>47</t>
  </si>
  <si>
    <t>« Che cosa dobbiamo fare , fratelli ? »</t>
  </si>
  <si>
    <t>file://conllu/it/bibl.ACT.2_it_christos.conllu#s47_0</t>
  </si>
  <si>
    <t>48</t>
  </si>
  <si>
    <t>E Pietro disse :</t>
  </si>
  <si>
    <t>file://conllu/it/bibl.ACT.2_it_christos.conllu#s48_0</t>
  </si>
  <si>
    <t>49</t>
  </si>
  <si>
    <t>« Pentitevi e ciascuno di voi si faccia battezzare nel in il nome di Gesù Cristo , per la remissione dei di i vostri peccati ;</t>
  </si>
  <si>
    <t>file://conllu/it/bibl.ACT.2_it_christos.conllu#s49_0</t>
  </si>
  <si>
    <t>50</t>
  </si>
  <si>
    <t>riceverete</t>
  </si>
  <si>
    <t>dopo riceverete il dono dello di lo Spirito Santo</t>
  </si>
  <si>
    <t>file://conllu/it/bibl.ACT.2_it_christos.conllu#s50_0</t>
  </si>
  <si>
    <t>51</t>
  </si>
  <si>
    <t>essere (essere promessa)</t>
  </si>
  <si>
    <t>Per voi infatti è la promessa e per i vostri figli e per tutti quelli che sono lontani , quanti ne chiamerà il Signore Dio nostro »</t>
  </si>
  <si>
    <t>file://conllu/it/bibl.ACT.2_it_christos.conllu#s51_0</t>
  </si>
  <si>
    <t>52</t>
  </si>
  <si>
    <t>scongiurare</t>
  </si>
  <si>
    <t>Con molte altre parole li scongiurava e li esortava :</t>
  </si>
  <si>
    <t>file://conllu/it/bibl.ACT.2_it_christos.conllu#s52_0</t>
  </si>
  <si>
    <t>53</t>
  </si>
  <si>
    <t>Salvare</t>
  </si>
  <si>
    <t>« Salvatevi da questa generazione perversa »</t>
  </si>
  <si>
    <t>file://conllu/it/bibl.ACT.2_it_christos.conllu#s53_0</t>
  </si>
  <si>
    <t>54</t>
  </si>
  <si>
    <t>battezzare</t>
  </si>
  <si>
    <t>Allora coloro che accolsero la sua parola furono battezzati e quel giorno si unirono a loro circa tremila persone</t>
  </si>
  <si>
    <t>file://conllu/it/bibl.ACT.2_it_christos.conllu#s54_0</t>
  </si>
  <si>
    <t>55</t>
  </si>
  <si>
    <t>ascoltare</t>
  </si>
  <si>
    <t>Erano assidui nell' in l' ascoltare l' insegnamento degli di gli apostoli e nell' in l' unione fraterna , nella in la frazione del di il pane e nelle in le preghiere</t>
  </si>
  <si>
    <t>file://conllu/it/bibl.ACT.2_it_christos.conllu#s55_0</t>
  </si>
  <si>
    <t>56</t>
  </si>
  <si>
    <t>Un senso di timore era in tutti e prodigi e segni avvenivano per opera degli di gli apostoli</t>
  </si>
  <si>
    <t>file://conllu/it/bibl.ACT.2_it_christos.conllu#s56_0</t>
  </si>
  <si>
    <t>57</t>
  </si>
  <si>
    <t>Tutti coloro che erano diventati credenti stavano insieme e tenevano ogni cosa in comune</t>
  </si>
  <si>
    <t>file://conllu/it/bibl.ACT.2_it_christos.conllu#s57_0</t>
  </si>
  <si>
    <t>58</t>
  </si>
  <si>
    <t>avere</t>
  </si>
  <si>
    <t>chi aveva proprietà e sostanze le vendeva e ne faceva parte a tutti , secondo il bisogno di ciascuno</t>
  </si>
  <si>
    <t>file://conllu/it/bibl.ACT.2_it_christos.conllu#s58_0</t>
  </si>
  <si>
    <t>59</t>
  </si>
  <si>
    <t>frequentare</t>
  </si>
  <si>
    <t>Ogni giorno tutti insieme frequentavano il tempio e spezzavano il pane a casa prendendo i pasti con letizia e semplicità di cuore</t>
  </si>
  <si>
    <t>file://conllu/it/bibl.ACT.2_it_christos.conllu#s59_0</t>
  </si>
  <si>
    <t>60</t>
  </si>
  <si>
    <t>lodare</t>
  </si>
  <si>
    <t>lodando Dio e godendo la simpatia di tutto il popolo</t>
  </si>
  <si>
    <t>file://conllu/it/bibl.ACT.2_it_christos.conllu#s60_0</t>
  </si>
  <si>
    <t>61</t>
  </si>
  <si>
    <t>intanto?</t>
  </si>
  <si>
    <t>aggiungere</t>
  </si>
  <si>
    <t>Intanto il Signore ogni giorno aggiungeva alla a la comunità quelli che erano salvati</t>
  </si>
  <si>
    <t>file://conllu/it/bibl.ACT.2_it_christos.conllu#s61_0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</si>
  <si>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</si>
  <si>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</si>
  <si>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</si>
  <si>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</si>
  <si>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</si>
  <si>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</si>
  <si>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</si>
  <si>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</si>
  <si>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</si>
  <si>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</si>
  <si>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</si>
  <si>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Mentre il giorno di Pentecoste stava per finire, si trovavano tutti insieme nello stesso luogo</t>
  </si>
  <si>
    <t>Mentre</t>
  </si>
  <si>
    <t>il</t>
  </si>
  <si>
    <t>giorno</t>
  </si>
  <si>
    <t>SBJ_2</t>
  </si>
  <si>
    <t>def-np.poss</t>
  </si>
  <si>
    <t>?OLD</t>
  </si>
  <si>
    <t>di</t>
  </si>
  <si>
    <t>Pentecoste</t>
  </si>
  <si>
    <t>other_3</t>
  </si>
  <si>
    <t>ne</t>
  </si>
  <si>
    <t>stava</t>
  </si>
  <si>
    <t>per</t>
  </si>
  <si>
    <t>finire</t>
  </si>
  <si>
    <t>,</t>
  </si>
  <si>
    <t>si</t>
  </si>
  <si>
    <t>trovavano</t>
  </si>
  <si>
    <t>tutti</t>
  </si>
  <si>
    <t>SBJ</t>
  </si>
  <si>
    <t>pron.pind</t>
  </si>
  <si>
    <t>insieme</t>
  </si>
  <si>
    <t>in</t>
  </si>
  <si>
    <t>lo</t>
  </si>
  <si>
    <t>stesso</t>
  </si>
  <si>
    <t>luogo</t>
  </si>
  <si>
    <t>other</t>
  </si>
  <si>
    <t>def-np.the</t>
  </si>
  <si>
    <t># text = Venne all'improvviso dal cielo un rombo, come di vento che si abbatte gagliardo, e riempì tutta la casa dove si trovavano</t>
  </si>
  <si>
    <t>Venne</t>
  </si>
  <si>
    <t>a</t>
  </si>
  <si>
    <t>l'</t>
  </si>
  <si>
    <t>improvviso</t>
  </si>
  <si>
    <t>da</t>
  </si>
  <si>
    <t>cielo</t>
  </si>
  <si>
    <t>un</t>
  </si>
  <si>
    <t>rombo</t>
  </si>
  <si>
    <t>come</t>
  </si>
  <si>
    <t>vento</t>
  </si>
  <si>
    <t>other_2</t>
  </si>
  <si>
    <t>indef-np.bare</t>
  </si>
  <si>
    <t>che</t>
  </si>
  <si>
    <t>SBJ_4</t>
  </si>
  <si>
    <t>abbatte</t>
  </si>
  <si>
    <t>gagliardo</t>
  </si>
  <si>
    <t>other_4</t>
  </si>
  <si>
    <t>e</t>
  </si>
  <si>
    <t>riempì</t>
  </si>
  <si>
    <t>tutta</t>
  </si>
  <si>
    <t>la</t>
  </si>
  <si>
    <t>casa</t>
  </si>
  <si>
    <t>OBJ_2</t>
  </si>
  <si>
    <t>dove</t>
  </si>
  <si>
    <t># text = Apparvero loro lingue come di fuoco che si dividevano e si posarono su ciascuno di loro</t>
  </si>
  <si>
    <t>Apparvero</t>
  </si>
  <si>
    <t>loro</t>
  </si>
  <si>
    <t>pron.ppos</t>
  </si>
  <si>
    <t>lingue</t>
  </si>
  <si>
    <t>OBJ</t>
  </si>
  <si>
    <t>indef-np</t>
  </si>
  <si>
    <t>fuoco</t>
  </si>
  <si>
    <t>SBJ_3</t>
  </si>
  <si>
    <t>dividevano</t>
  </si>
  <si>
    <t>posarono</t>
  </si>
  <si>
    <t>su</t>
  </si>
  <si>
    <t>ciascuno</t>
  </si>
  <si>
    <t>other_5</t>
  </si>
  <si>
    <t>pron.pper</t>
  </si>
  <si>
    <t># text = ed essi furono tutti pieni di Spirito Santo e cominciarono a parlare in altre lingue come lo Spirito dava loro il potere d'esprimersi</t>
  </si>
  <si>
    <t>ed</t>
  </si>
  <si>
    <t>essi</t>
  </si>
  <si>
    <t>furono</t>
  </si>
  <si>
    <t>pieni</t>
  </si>
  <si>
    <t>Spirito</t>
  </si>
  <si>
    <t>Santo</t>
  </si>
  <si>
    <t>cominciarono</t>
  </si>
  <si>
    <t>altre</t>
  </si>
  <si>
    <t>dava</t>
  </si>
  <si>
    <t>OBJ_3</t>
  </si>
  <si>
    <t>potere</t>
  </si>
  <si>
    <t>d'</t>
  </si>
  <si>
    <t>esprimer</t>
  </si>
  <si>
    <t># text = Si trovavano allora in Gerusalemme Giudei osservanti di ogni nazione che è sotto il cielo</t>
  </si>
  <si>
    <t>Si</t>
  </si>
  <si>
    <t>allora</t>
  </si>
  <si>
    <t>Gerusalemme</t>
  </si>
  <si>
    <t>Giudei</t>
  </si>
  <si>
    <t>osservanti</t>
  </si>
  <si>
    <t>ogni</t>
  </si>
  <si>
    <t>nazione</t>
  </si>
  <si>
    <t>SBJ_5</t>
  </si>
  <si>
    <t>è</t>
  </si>
  <si>
    <t>sotto</t>
  </si>
  <si>
    <t># text = Venuto quel fragore, la folla si radunò e rimase sbigottita perché ciascuno li sentiva parlare la propria lingua</t>
  </si>
  <si>
    <t>Venuto</t>
  </si>
  <si>
    <t>quel</t>
  </si>
  <si>
    <t>fragore</t>
  </si>
  <si>
    <t>def-np.dem</t>
  </si>
  <si>
    <t>folla</t>
  </si>
  <si>
    <t>radunò</t>
  </si>
  <si>
    <t>rimase</t>
  </si>
  <si>
    <t>sbigottita</t>
  </si>
  <si>
    <t>perché</t>
  </si>
  <si>
    <t>li</t>
  </si>
  <si>
    <t>sentiva</t>
  </si>
  <si>
    <t>propria</t>
  </si>
  <si>
    <t>lingua</t>
  </si>
  <si>
    <t>OBJ_4</t>
  </si>
  <si>
    <t># text = Erano stupefatti e fuori di sé per lo stupore dicevano:</t>
  </si>
  <si>
    <t>Erano</t>
  </si>
  <si>
    <t>stupefatti</t>
  </si>
  <si>
    <t>fuori</t>
  </si>
  <si>
    <t>sé</t>
  </si>
  <si>
    <t>stupore</t>
  </si>
  <si>
    <t>dicevano</t>
  </si>
  <si>
    <t>:</t>
  </si>
  <si>
    <t># text = «Costoro che parlano non sono forse tutti Galilei</t>
  </si>
  <si>
    <t>«</t>
  </si>
  <si>
    <t>Costoro</t>
  </si>
  <si>
    <t>parlano</t>
  </si>
  <si>
    <t>non</t>
  </si>
  <si>
    <t>sono</t>
  </si>
  <si>
    <t>forse</t>
  </si>
  <si>
    <t>Galilei</t>
  </si>
  <si>
    <t># text = E com'è che li sentiamo ciascuno parlare la nostra lingua nativa</t>
  </si>
  <si>
    <t>E</t>
  </si>
  <si>
    <t>com'</t>
  </si>
  <si>
    <t>sentiamo</t>
  </si>
  <si>
    <t>nostra</t>
  </si>
  <si>
    <t>nativa</t>
  </si>
  <si>
    <t># text = Siamo Parti, Medi, Elamìti e abitanti della Mesopotamia, della Giudea, della Cappadòcia, del Ponto e dell'Asia</t>
  </si>
  <si>
    <t>Siamo</t>
  </si>
  <si>
    <t>Parti</t>
  </si>
  <si>
    <t>Medi</t>
  </si>
  <si>
    <t>Elamìti</t>
  </si>
  <si>
    <t>abitanti</t>
  </si>
  <si>
    <t>Mesopotamia</t>
  </si>
  <si>
    <t>Giudea</t>
  </si>
  <si>
    <t>Cappadòcia</t>
  </si>
  <si>
    <t>Ponto</t>
  </si>
  <si>
    <t>Asia</t>
  </si>
  <si>
    <t># text = della Frigia e della Panfilia, dell'Egitto e delle parti della Libia vicino a Cirène, stranieri di Roma</t>
  </si>
  <si>
    <t>Frigia</t>
  </si>
  <si>
    <t>Panfilia</t>
  </si>
  <si>
    <t>Egitto</t>
  </si>
  <si>
    <t>le</t>
  </si>
  <si>
    <t>parti</t>
  </si>
  <si>
    <t>Libia</t>
  </si>
  <si>
    <t>vicino</t>
  </si>
  <si>
    <t>Cirène</t>
  </si>
  <si>
    <t>stranieri</t>
  </si>
  <si>
    <t>Roma</t>
  </si>
  <si>
    <t># text = Ebrei e prosèliti, Cretesi e Arabi e li udiamo annunziare nelle nostre lingue le grandi opere di Dio»</t>
  </si>
  <si>
    <t>Ebrei</t>
  </si>
  <si>
    <t>prosèliti</t>
  </si>
  <si>
    <t>Cretesi</t>
  </si>
  <si>
    <t>Arabi</t>
  </si>
  <si>
    <t>udiamo</t>
  </si>
  <si>
    <t>annunziare</t>
  </si>
  <si>
    <t>nostre</t>
  </si>
  <si>
    <t>grandi</t>
  </si>
  <si>
    <t>opere</t>
  </si>
  <si>
    <t>Dio</t>
  </si>
  <si>
    <t>»</t>
  </si>
  <si>
    <t># text = Tutti erano stupiti e perplessi, chiedendosi l'un l'altro:</t>
  </si>
  <si>
    <t>Tutti</t>
  </si>
  <si>
    <t>erano</t>
  </si>
  <si>
    <t>stupiti</t>
  </si>
  <si>
    <t>perplessi</t>
  </si>
  <si>
    <t>chiedendo</t>
  </si>
  <si>
    <t>altro</t>
  </si>
  <si>
    <t># text = «Che significa questo?»</t>
  </si>
  <si>
    <t>Che</t>
  </si>
  <si>
    <t>significa</t>
  </si>
  <si>
    <t>questo</t>
  </si>
  <si>
    <t>pron.pds</t>
  </si>
  <si>
    <t>?</t>
  </si>
  <si>
    <t># text = Altri invece li deridevano e dicevano:</t>
  </si>
  <si>
    <t>Altri</t>
  </si>
  <si>
    <t>invece</t>
  </si>
  <si>
    <t>deridevano</t>
  </si>
  <si>
    <t># text = «Si sono ubriacati di mosto»</t>
  </si>
  <si>
    <t>ubriacati</t>
  </si>
  <si>
    <t>mosto</t>
  </si>
  <si>
    <t># text = Allora Pietro, levatosi in piedi con gli altri Undici, parlò a voce alta così:</t>
  </si>
  <si>
    <t>Allora</t>
  </si>
  <si>
    <t>Pietro</t>
  </si>
  <si>
    <t>levato</t>
  </si>
  <si>
    <t>piedi</t>
  </si>
  <si>
    <t>con</t>
  </si>
  <si>
    <t>gli</t>
  </si>
  <si>
    <t>altri</t>
  </si>
  <si>
    <t>Undici</t>
  </si>
  <si>
    <t>parlò</t>
  </si>
  <si>
    <t>voce</t>
  </si>
  <si>
    <t>alta</t>
  </si>
  <si>
    <t>così</t>
  </si>
  <si>
    <t># text = «Uomini di Giudea, e voi tutti che vi trovate a Gerusalemme, vi sia ben noto questo e fate attenzione alle mie parole</t>
  </si>
  <si>
    <t>Uomini</t>
  </si>
  <si>
    <t>voi</t>
  </si>
  <si>
    <t>vi</t>
  </si>
  <si>
    <t>trovate</t>
  </si>
  <si>
    <t>sia</t>
  </si>
  <si>
    <t>ben</t>
  </si>
  <si>
    <t>noto</t>
  </si>
  <si>
    <t>fate</t>
  </si>
  <si>
    <t>attenzione</t>
  </si>
  <si>
    <t>mie</t>
  </si>
  <si>
    <t>parole</t>
  </si>
  <si>
    <t># text = Questi uomini non sono ubriachi come voi sospettate, essendo appena le nove del mattino</t>
  </si>
  <si>
    <t>Questi</t>
  </si>
  <si>
    <t>ubriachi</t>
  </si>
  <si>
    <t>sospettate</t>
  </si>
  <si>
    <t>essendo</t>
  </si>
  <si>
    <t>appena</t>
  </si>
  <si>
    <t>nove</t>
  </si>
  <si>
    <t>mattino</t>
  </si>
  <si>
    <t># text = Accade invece quello che predisse il profeta Gioele</t>
  </si>
  <si>
    <t>Accade</t>
  </si>
  <si>
    <t>quello</t>
  </si>
  <si>
    <t>predisse</t>
  </si>
  <si>
    <t>profeta</t>
  </si>
  <si>
    <t>Gioele</t>
  </si>
  <si>
    <t># text = Negli ultimi giorni, dice il Signore, i vostri figli e le vostre figlie profeteranno, i vostri giovani avranno visioni e i vostri anziani faranno dei sogni</t>
  </si>
  <si>
    <t>In</t>
  </si>
  <si>
    <t>ultimi</t>
  </si>
  <si>
    <t>giorni</t>
  </si>
  <si>
    <t>dice</t>
  </si>
  <si>
    <t>Signore</t>
  </si>
  <si>
    <t>i</t>
  </si>
  <si>
    <t>vostri</t>
  </si>
  <si>
    <t>figli</t>
  </si>
  <si>
    <t>vostre</t>
  </si>
  <si>
    <t>figlie</t>
  </si>
  <si>
    <t>profeteranno</t>
  </si>
  <si>
    <t>giovani</t>
  </si>
  <si>
    <t>avranno</t>
  </si>
  <si>
    <t>visioni</t>
  </si>
  <si>
    <t>anziani</t>
  </si>
  <si>
    <t>faranno</t>
  </si>
  <si>
    <t>sogni</t>
  </si>
  <si>
    <t># text = E anche sui miei servi e sulle mie serve in quei giorni effonderò il mio Spirito ed essi profeteranno</t>
  </si>
  <si>
    <t>anche</t>
  </si>
  <si>
    <t>miei</t>
  </si>
  <si>
    <t>servi</t>
  </si>
  <si>
    <t>serve</t>
  </si>
  <si>
    <t>quei</t>
  </si>
  <si>
    <t>effonderò</t>
  </si>
  <si>
    <t>mio</t>
  </si>
  <si>
    <t># text = Farò prodigi in alto nel cielo e segni in basso sulla terra, sangue, fuoco e nuvole di fumo</t>
  </si>
  <si>
    <t>Farò</t>
  </si>
  <si>
    <t>prodigi</t>
  </si>
  <si>
    <t>alto</t>
  </si>
  <si>
    <t>segni</t>
  </si>
  <si>
    <t>basso</t>
  </si>
  <si>
    <t>terra</t>
  </si>
  <si>
    <t>sangue</t>
  </si>
  <si>
    <t>nuvole</t>
  </si>
  <si>
    <t>fumo</t>
  </si>
  <si>
    <t># text = Il sole si muterà in tenebra e la luna in sangue, prima che giunga il giorno del Signore, giorno grande e splendido</t>
  </si>
  <si>
    <t>Il</t>
  </si>
  <si>
    <t>sole</t>
  </si>
  <si>
    <t>muterà</t>
  </si>
  <si>
    <t>tenebra</t>
  </si>
  <si>
    <t>luna</t>
  </si>
  <si>
    <t>prima</t>
  </si>
  <si>
    <t>giunga</t>
  </si>
  <si>
    <t>grande</t>
  </si>
  <si>
    <t>splendido</t>
  </si>
  <si>
    <t># text = Allora chiunque invocherà il nome del Signore sarà salvato</t>
  </si>
  <si>
    <t>chiunque</t>
  </si>
  <si>
    <t>invocherà</t>
  </si>
  <si>
    <t>nome</t>
  </si>
  <si>
    <t>sarà</t>
  </si>
  <si>
    <t>salvato</t>
  </si>
  <si>
    <t># text = Uomini d'Israele, ascoltate queste parole:</t>
  </si>
  <si>
    <t>Israele</t>
  </si>
  <si>
    <t>ascoltate</t>
  </si>
  <si>
    <t>queste</t>
  </si>
  <si>
    <t># text = Gesù di Nazaret - uomo accreditato da Dio presso di voi per mezzo di miracoli, prodigi e segni, che Dio stesso operò fra di voi per opera sua, come voi ben sapete -</t>
  </si>
  <si>
    <t>Gesù</t>
  </si>
  <si>
    <t>Nazaret</t>
  </si>
  <si>
    <t>accreditato</t>
  </si>
  <si>
    <t>presso</t>
  </si>
  <si>
    <t>mezzo</t>
  </si>
  <si>
    <t>miracoli</t>
  </si>
  <si>
    <t>operò</t>
  </si>
  <si>
    <t>fra</t>
  </si>
  <si>
    <t>opera</t>
  </si>
  <si>
    <t>sua</t>
  </si>
  <si>
    <t>sapete</t>
  </si>
  <si>
    <t># text = dopo che, secondo il prestabilito disegno e la prescienza di Dio, fu consegnato a voi, voi l'avete inchiodato sulla croce per mano di empi e l'avete ucciso</t>
  </si>
  <si>
    <t>dopo</t>
  </si>
  <si>
    <t>secondo</t>
  </si>
  <si>
    <t>prestabilito</t>
  </si>
  <si>
    <t>disegno</t>
  </si>
  <si>
    <t>prescienza</t>
  </si>
  <si>
    <t>fu</t>
  </si>
  <si>
    <t>consegnato</t>
  </si>
  <si>
    <t>avete</t>
  </si>
  <si>
    <t>inchiodato</t>
  </si>
  <si>
    <t>croce</t>
  </si>
  <si>
    <t>mano</t>
  </si>
  <si>
    <t>empi</t>
  </si>
  <si>
    <t>ucciso</t>
  </si>
  <si>
    <t># text = Ma Dio lo ha risuscitato, sciogliendolo dalle angosce della morte, perché non era possibile che questa lo tenesse in suo potere</t>
  </si>
  <si>
    <t>Ma</t>
  </si>
  <si>
    <t>ha</t>
  </si>
  <si>
    <t>risuscitato</t>
  </si>
  <si>
    <t>sciogliendo</t>
  </si>
  <si>
    <t>angosce</t>
  </si>
  <si>
    <t>morte</t>
  </si>
  <si>
    <t>era</t>
  </si>
  <si>
    <t>possibile</t>
  </si>
  <si>
    <t>questa</t>
  </si>
  <si>
    <t>tenesse</t>
  </si>
  <si>
    <t>suo</t>
  </si>
  <si>
    <t># text = Dice infatti Davide a suo riguardo:</t>
  </si>
  <si>
    <t>Dice</t>
  </si>
  <si>
    <t>infatti</t>
  </si>
  <si>
    <t>Davide</t>
  </si>
  <si>
    <t>riguardo</t>
  </si>
  <si>
    <t># text = poiché egli sta alla mia destra, perché io non vacilli</t>
  </si>
  <si>
    <t>poiché</t>
  </si>
  <si>
    <t>egli</t>
  </si>
  <si>
    <t>sta</t>
  </si>
  <si>
    <t>mia</t>
  </si>
  <si>
    <t>destra</t>
  </si>
  <si>
    <t>io</t>
  </si>
  <si>
    <t>vacilli</t>
  </si>
  <si>
    <t># text = Per questo si rallegrò il mio cuore ed esultò la mia lingua;</t>
  </si>
  <si>
    <t>Per</t>
  </si>
  <si>
    <t>rallegrò</t>
  </si>
  <si>
    <t>cuore</t>
  </si>
  <si>
    <t>esultò</t>
  </si>
  <si>
    <t>;</t>
  </si>
  <si>
    <t># text = ed anche la mia carne riposerà nella speranza</t>
  </si>
  <si>
    <t>carne</t>
  </si>
  <si>
    <t>riposerà</t>
  </si>
  <si>
    <t>speranza</t>
  </si>
  <si>
    <t># text = perché tu non abbandonerai l'anima mia negli inferi, né permetterai che il tuo Santo veda la corruzione</t>
  </si>
  <si>
    <t>tu</t>
  </si>
  <si>
    <t>abbandonerai</t>
  </si>
  <si>
    <t>inferi</t>
  </si>
  <si>
    <t>né</t>
  </si>
  <si>
    <t>permetterai</t>
  </si>
  <si>
    <t>tuo</t>
  </si>
  <si>
    <t>veda</t>
  </si>
  <si>
    <t>corruzione</t>
  </si>
  <si>
    <t># text = Mi hai fatto conoscere le vie della vita, mi colmerai di gioia con la tua presenza</t>
  </si>
  <si>
    <t>Mi</t>
  </si>
  <si>
    <t>hai</t>
  </si>
  <si>
    <t>fatto</t>
  </si>
  <si>
    <t>conoscere</t>
  </si>
  <si>
    <t>vie</t>
  </si>
  <si>
    <t>vita</t>
  </si>
  <si>
    <t>mi</t>
  </si>
  <si>
    <t>colmerai</t>
  </si>
  <si>
    <t>gioia</t>
  </si>
  <si>
    <t>tua</t>
  </si>
  <si>
    <t>presenza</t>
  </si>
  <si>
    <t># text = Fratelli, mi sia lecito dirvi francamente, riguardo al patriarca Davide, che egli morì e fu sepolto e la sua tomba è ancora oggi fra noi</t>
  </si>
  <si>
    <t>Fratelli</t>
  </si>
  <si>
    <t>lecito</t>
  </si>
  <si>
    <t>dir</t>
  </si>
  <si>
    <t>francamente</t>
  </si>
  <si>
    <t>patriarca</t>
  </si>
  <si>
    <t>morì</t>
  </si>
  <si>
    <t>sepolto</t>
  </si>
  <si>
    <t>other_6</t>
  </si>
  <si>
    <t>tomba</t>
  </si>
  <si>
    <t>ancora</t>
  </si>
  <si>
    <t>oggi</t>
  </si>
  <si>
    <t>noi</t>
  </si>
  <si>
    <t># text = Poiché però era profeta e sapeva che Dio gli aveva giurato solennemente di far sedere sul suo trono un suo discendente</t>
  </si>
  <si>
    <t>Poiché</t>
  </si>
  <si>
    <t>però</t>
  </si>
  <si>
    <t>sapeva</t>
  </si>
  <si>
    <t>aveva</t>
  </si>
  <si>
    <t>giurato</t>
  </si>
  <si>
    <t>solennemente</t>
  </si>
  <si>
    <t>far</t>
  </si>
  <si>
    <t>sedere</t>
  </si>
  <si>
    <t>trono</t>
  </si>
  <si>
    <t>discendente</t>
  </si>
  <si>
    <t>OBJ_5</t>
  </si>
  <si>
    <t>indef-np.a</t>
  </si>
  <si>
    <t># text = previde la risurrezione di Cristo e ne parlò:</t>
  </si>
  <si>
    <t>previde</t>
  </si>
  <si>
    <t>risurrezione</t>
  </si>
  <si>
    <t>Cristo</t>
  </si>
  <si>
    <t># text = né la sua carne vide corruzione</t>
  </si>
  <si>
    <t>vide</t>
  </si>
  <si>
    <t># text = Questo Gesù Dio l'ha risuscitato e noi tutti ne siamo testimoni</t>
  </si>
  <si>
    <t>Questo</t>
  </si>
  <si>
    <t>siamo</t>
  </si>
  <si>
    <t>testimoni</t>
  </si>
  <si>
    <t># text = Innalzato pertanto alla destra di Dio e dopo aver ricevuto dal Padre lo Spirito Santo che egli aveva promesso, lo ha effuso, come voi stessi potete vedere e udire</t>
  </si>
  <si>
    <t>Innalzato</t>
  </si>
  <si>
    <t>pertanto</t>
  </si>
  <si>
    <t>aver</t>
  </si>
  <si>
    <t>ricevuto</t>
  </si>
  <si>
    <t>Padre</t>
  </si>
  <si>
    <t>promesso</t>
  </si>
  <si>
    <t>effuso</t>
  </si>
  <si>
    <t>stessi</t>
  </si>
  <si>
    <t>potete</t>
  </si>
  <si>
    <t>udire</t>
  </si>
  <si>
    <t># text = Davide infatti non salì al cielo; tuttavia egli dice:</t>
  </si>
  <si>
    <t>salì</t>
  </si>
  <si>
    <t>tuttavia</t>
  </si>
  <si>
    <t># text = siedi alla mia destra</t>
  </si>
  <si>
    <t>siedi</t>
  </si>
  <si>
    <t># text = finché io ponga i tuoi nemici come sgabello ai tuoi piedi</t>
  </si>
  <si>
    <t>finché</t>
  </si>
  <si>
    <t>ponga</t>
  </si>
  <si>
    <t>tuoi</t>
  </si>
  <si>
    <t>nemici</t>
  </si>
  <si>
    <t>sgabello</t>
  </si>
  <si>
    <t># text = Sappia dunque con certezza tutta la casa di Israele che Dio ha costituito Signore e Cristo quel Gesù che voi avete crocifisso!»</t>
  </si>
  <si>
    <t>Sappia</t>
  </si>
  <si>
    <t>dunque</t>
  </si>
  <si>
    <t>certezza</t>
  </si>
  <si>
    <t>costituito</t>
  </si>
  <si>
    <t>crocifisso</t>
  </si>
  <si>
    <t>!</t>
  </si>
  <si>
    <t># text = All'udir tutto questo si sentirono trafiggere il cuore e dissero a Pietro e agli altri apostoli:</t>
  </si>
  <si>
    <t>A</t>
  </si>
  <si>
    <t>udir</t>
  </si>
  <si>
    <t>tutto</t>
  </si>
  <si>
    <t>sentirono</t>
  </si>
  <si>
    <t>trafiggere</t>
  </si>
  <si>
    <t>dissero</t>
  </si>
  <si>
    <t>apostoli</t>
  </si>
  <si>
    <t># text = «Che cosa dobbiamo fare, fratelli?»</t>
  </si>
  <si>
    <t>pron.pint</t>
  </si>
  <si>
    <t>cosa</t>
  </si>
  <si>
    <t>dobbiamo</t>
  </si>
  <si>
    <t>fratelli</t>
  </si>
  <si>
    <t># text = E Pietro disse:</t>
  </si>
  <si>
    <t>disse</t>
  </si>
  <si>
    <t># text = «Pentitevi e ciascuno di voi si faccia battezzare nel nome di Gesù Cristo, per la remissione dei vostri peccati;</t>
  </si>
  <si>
    <t>Pentitevi</t>
  </si>
  <si>
    <t>faccia</t>
  </si>
  <si>
    <t>remissione</t>
  </si>
  <si>
    <t>peccati</t>
  </si>
  <si>
    <t># text = dopo riceverete il dono dello Spirito Santo</t>
  </si>
  <si>
    <t>dono</t>
  </si>
  <si>
    <t># text = Per voi infatti è la promessa e per i vostri figli e per tutti quelli che sono lontani, quanti ne chiamerà il Signore Dio nostro»</t>
  </si>
  <si>
    <t>promessa</t>
  </si>
  <si>
    <t>quelli</t>
  </si>
  <si>
    <t>lontani</t>
  </si>
  <si>
    <t>quanti</t>
  </si>
  <si>
    <t>chiamerà</t>
  </si>
  <si>
    <t>nostro</t>
  </si>
  <si>
    <t># text = Con molte altre parole li scongiurava e li esortava:</t>
  </si>
  <si>
    <t>Con</t>
  </si>
  <si>
    <t>molte</t>
  </si>
  <si>
    <t>scongiurava</t>
  </si>
  <si>
    <t>esortava</t>
  </si>
  <si>
    <t># text = «Salvatevi da questa generazione perversa»</t>
  </si>
  <si>
    <t>Salvatevi</t>
  </si>
  <si>
    <t>generazione</t>
  </si>
  <si>
    <t>perversa</t>
  </si>
  <si>
    <t># text = Allora coloro che accolsero la sua parola furono battezzati e quel giorno si unirono a loro circa tremila persone</t>
  </si>
  <si>
    <t>coloro</t>
  </si>
  <si>
    <t>accolsero</t>
  </si>
  <si>
    <t>parola</t>
  </si>
  <si>
    <t>battezzati</t>
  </si>
  <si>
    <t>unirono</t>
  </si>
  <si>
    <t>circa</t>
  </si>
  <si>
    <t>tremila</t>
  </si>
  <si>
    <t>persone</t>
  </si>
  <si>
    <t>indef-np.quant</t>
  </si>
  <si>
    <t># text = Erano assidui nell'ascoltare l'insegnamento degli apostoli e nell'unione fraterna, nella frazione del pane e nelle preghiere</t>
  </si>
  <si>
    <t>assidui</t>
  </si>
  <si>
    <t>insegnamento</t>
  </si>
  <si>
    <t>unione</t>
  </si>
  <si>
    <t>fraterna</t>
  </si>
  <si>
    <t>frazione</t>
  </si>
  <si>
    <t>pane</t>
  </si>
  <si>
    <t>preghiere</t>
  </si>
  <si>
    <t># text = Un senso di timore era in tutti e prodigi e segni avvenivano per opera degli apostoli</t>
  </si>
  <si>
    <t>Un</t>
  </si>
  <si>
    <t>senso</t>
  </si>
  <si>
    <t>timore</t>
  </si>
  <si>
    <t>avvenivano</t>
  </si>
  <si>
    <t># text = Tutti coloro che erano diventati credenti stavano insieme e tenevano ogni cosa in comune</t>
  </si>
  <si>
    <t>diventati</t>
  </si>
  <si>
    <t>credenti</t>
  </si>
  <si>
    <t>stavano</t>
  </si>
  <si>
    <t>tenevano</t>
  </si>
  <si>
    <t>comune</t>
  </si>
  <si>
    <t># text = chi aveva proprietà e sostanze le vendeva e ne faceva parte a tutti, secondo il bisogno di ciascuno</t>
  </si>
  <si>
    <t>chi</t>
  </si>
  <si>
    <t>proprietà</t>
  </si>
  <si>
    <t>sostanze</t>
  </si>
  <si>
    <t>vendeva</t>
  </si>
  <si>
    <t>faceva</t>
  </si>
  <si>
    <t>parte</t>
  </si>
  <si>
    <t>bisogno</t>
  </si>
  <si>
    <t># text = Ogni giorno tutti insieme frequentavano il tempio e spezzavano il pane a casa prendendo i pasti con letizia e semplicità di cuore</t>
  </si>
  <si>
    <t>Ogni</t>
  </si>
  <si>
    <t>frequentavano</t>
  </si>
  <si>
    <t>tempio</t>
  </si>
  <si>
    <t>spezzavano</t>
  </si>
  <si>
    <t>prendendo</t>
  </si>
  <si>
    <t>pasti</t>
  </si>
  <si>
    <t>letizia</t>
  </si>
  <si>
    <t>semplicità</t>
  </si>
  <si>
    <t># text = lodando Dio e godendo la simpatia di tutto il popolo</t>
  </si>
  <si>
    <t>lodando</t>
  </si>
  <si>
    <t>godendo</t>
  </si>
  <si>
    <t>simpatia</t>
  </si>
  <si>
    <t>popolo</t>
  </si>
  <si>
    <t># text = Intanto il Signore ogni giorno aggiungeva alla comunità quelli che erano salvati</t>
  </si>
  <si>
    <t>Intanto</t>
  </si>
  <si>
    <t>aggiungeva</t>
  </si>
  <si>
    <t>comunità</t>
  </si>
  <si>
    <t>salvati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</si>
</sst>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9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16</v>
      </c>
      <c r="I2" s="11" t="s">
        <v>16</v>
      </c>
      <c r="J2" s="12"/>
    </row>
    <row r="3" spans="1:10" ht="60" customHeight="1">
      <c r="A3" s="6" t="s">
        <v>17</v>
      </c>
      <c r="B3" s="6" t="s">
        <v>10</v>
      </c>
      <c r="C3" s="6" t="s">
        <v>18</v>
      </c>
      <c r="D3" s="7" t="s">
        <v>19</v>
      </c>
      <c r="E3" s="8" t="s">
        <v>20</v>
      </c>
      <c r="F3" s="6" t="s">
        <v>21</v>
      </c>
      <c r="G3" s="9" t="s">
        <v>21</v>
      </c>
      <c r="H3" s="10" t="s">
        <v>16</v>
      </c>
      <c r="I3" s="11" t="s">
        <v>16</v>
      </c>
      <c r="J3" s="12"/>
    </row>
    <row r="4" spans="1:10" ht="60" customHeight="1">
      <c r="A4" s="6" t="s">
        <v>22</v>
      </c>
      <c r="B4" s="6" t="s">
        <v>10</v>
      </c>
      <c r="C4" s="6" t="s">
        <v>23</v>
      </c>
      <c r="D4" s="7" t="s">
        <v>24</v>
      </c>
      <c r="E4" s="8" t="s">
        <v>25</v>
      </c>
      <c r="F4" s="6" t="s">
        <v>26</v>
      </c>
      <c r="G4" s="9" t="s">
        <v>26</v>
      </c>
      <c r="H4" s="10" t="s">
        <v>16</v>
      </c>
      <c r="I4" s="11" t="s">
        <v>16</v>
      </c>
      <c r="J4" s="12"/>
    </row>
    <row r="5" spans="1:10" ht="60" customHeight="1">
      <c r="A5" s="6" t="s">
        <v>27</v>
      </c>
      <c r="B5" s="6" t="s">
        <v>22</v>
      </c>
      <c r="C5" s="6" t="s">
        <v>18</v>
      </c>
      <c r="D5" s="7" t="s">
        <v>28</v>
      </c>
      <c r="E5" s="8" t="s">
        <v>29</v>
      </c>
      <c r="F5" s="6" t="s">
        <v>30</v>
      </c>
      <c r="G5" s="9" t="s">
        <v>30</v>
      </c>
      <c r="H5" s="10" t="s">
        <v>16</v>
      </c>
      <c r="I5" s="11" t="s">
        <v>16</v>
      </c>
      <c r="J5" s="12"/>
    </row>
    <row r="6" spans="1:10" ht="60" customHeight="1">
      <c r="A6" s="6" t="s">
        <v>31</v>
      </c>
      <c r="B6" s="6" t="s">
        <v>17</v>
      </c>
      <c r="C6" s="6" t="s">
        <v>32</v>
      </c>
      <c r="D6" s="7" t="s">
        <v>13</v>
      </c>
      <c r="E6" s="8" t="s">
        <v>33</v>
      </c>
      <c r="F6" s="6" t="s">
        <v>34</v>
      </c>
      <c r="G6" s="9" t="s">
        <v>34</v>
      </c>
      <c r="H6" s="10" t="s">
        <v>16</v>
      </c>
      <c r="I6" s="11" t="s">
        <v>16</v>
      </c>
      <c r="J6" s="12"/>
    </row>
    <row r="7" spans="1:10" ht="60" customHeight="1">
      <c r="A7" s="6" t="s">
        <v>35</v>
      </c>
      <c r="B7" s="6" t="s">
        <v>36</v>
      </c>
      <c r="C7" s="6" t="s">
        <v>18</v>
      </c>
      <c r="D7" s="7" t="s">
        <v>37</v>
      </c>
      <c r="E7" s="8" t="s">
        <v>38</v>
      </c>
      <c r="F7" s="6" t="s">
        <v>39</v>
      </c>
      <c r="G7" s="9" t="s">
        <v>39</v>
      </c>
      <c r="H7" s="10" t="s">
        <v>16</v>
      </c>
      <c r="I7" s="11" t="s">
        <v>16</v>
      </c>
      <c r="J7" s="12"/>
    </row>
    <row r="8" spans="1:10" ht="60" customHeight="1">
      <c r="A8" s="6" t="s">
        <v>40</v>
      </c>
      <c r="B8" s="6" t="s">
        <v>10</v>
      </c>
      <c r="C8" s="6" t="s">
        <v>18</v>
      </c>
      <c r="D8" s="7" t="s">
        <v>41</v>
      </c>
      <c r="E8" s="8" t="s">
        <v>42</v>
      </c>
      <c r="F8" s="6" t="s">
        <v>43</v>
      </c>
      <c r="G8" s="9" t="s">
        <v>43</v>
      </c>
      <c r="H8" s="10" t="s">
        <v>16</v>
      </c>
      <c r="I8" s="11" t="s">
        <v>16</v>
      </c>
      <c r="J8" s="12"/>
    </row>
    <row r="9" spans="1:10" ht="60" customHeight="1">
      <c r="A9" s="6" t="s">
        <v>36</v>
      </c>
      <c r="B9" s="6" t="s">
        <v>17</v>
      </c>
      <c r="C9" s="6" t="s">
        <v>16</v>
      </c>
      <c r="D9" s="7" t="s">
        <v>44</v>
      </c>
      <c r="E9" s="8" t="s">
        <v>45</v>
      </c>
      <c r="F9" s="6" t="s">
        <v>46</v>
      </c>
      <c r="G9" s="9" t="s">
        <v>46</v>
      </c>
      <c r="H9" s="10" t="s">
        <v>16</v>
      </c>
      <c r="I9" s="11" t="s">
        <v>16</v>
      </c>
      <c r="J9" s="12"/>
    </row>
    <row r="10" spans="1:10" ht="60" customHeight="1">
      <c r="A10" s="6" t="s">
        <v>47</v>
      </c>
      <c r="B10" s="6" t="s">
        <v>22</v>
      </c>
      <c r="C10" s="6" t="s">
        <v>18</v>
      </c>
      <c r="D10" s="7" t="s">
        <v>48</v>
      </c>
      <c r="E10" s="8" t="s">
        <v>49</v>
      </c>
      <c r="F10" s="6" t="s">
        <v>50</v>
      </c>
      <c r="G10" s="9" t="s">
        <v>50</v>
      </c>
      <c r="H10" s="10" t="s">
        <v>16</v>
      </c>
      <c r="I10" s="11" t="s">
        <v>16</v>
      </c>
      <c r="J10" s="12"/>
    </row>
    <row r="11" spans="1:10" ht="60" customHeight="1">
      <c r="A11" s="6" t="s">
        <v>51</v>
      </c>
      <c r="B11" s="6" t="s">
        <v>10</v>
      </c>
      <c r="C11" s="6" t="s">
        <v>18</v>
      </c>
      <c r="D11" s="7" t="s">
        <v>52</v>
      </c>
      <c r="E11" s="8" t="s">
        <v>53</v>
      </c>
      <c r="F11" s="6" t="s">
        <v>54</v>
      </c>
      <c r="G11" s="9" t="s">
        <v>54</v>
      </c>
      <c r="H11" s="10" t="s">
        <v>16</v>
      </c>
      <c r="I11" s="11" t="s">
        <v>16</v>
      </c>
      <c r="J11" s="12"/>
    </row>
    <row r="12" spans="1:10" ht="60" customHeight="1">
      <c r="A12" s="6" t="s">
        <v>55</v>
      </c>
      <c r="B12" s="6" t="s">
        <v>10</v>
      </c>
      <c r="C12" s="6" t="s">
        <v>18</v>
      </c>
      <c r="D12" s="7" t="s">
        <v>56</v>
      </c>
      <c r="E12" s="8" t="s">
        <v>57</v>
      </c>
      <c r="F12" s="6" t="s">
        <v>58</v>
      </c>
      <c r="G12" s="9" t="s">
        <v>58</v>
      </c>
      <c r="H12" s="10" t="s">
        <v>16</v>
      </c>
      <c r="I12" s="11" t="s">
        <v>16</v>
      </c>
      <c r="J12" s="12"/>
    </row>
    <row r="13" spans="1:10" ht="60" customHeight="1">
      <c r="A13" s="6" t="s">
        <v>59</v>
      </c>
      <c r="B13" s="6" t="s">
        <v>22</v>
      </c>
      <c r="C13" s="6" t="s">
        <v>18</v>
      </c>
      <c r="D13" s="7" t="s">
        <v>60</v>
      </c>
      <c r="E13" s="8" t="s">
        <v>61</v>
      </c>
      <c r="F13" s="6" t="s">
        <v>62</v>
      </c>
      <c r="G13" s="9" t="s">
        <v>62</v>
      </c>
      <c r="H13" s="10" t="s">
        <v>16</v>
      </c>
      <c r="I13" s="11" t="s">
        <v>16</v>
      </c>
      <c r="J13" s="12"/>
    </row>
    <row r="14" spans="1:10" ht="60" customHeight="1">
      <c r="A14" s="6" t="s">
        <v>63</v>
      </c>
      <c r="B14" s="6" t="s">
        <v>22</v>
      </c>
      <c r="C14" s="6" t="s">
        <v>16</v>
      </c>
      <c r="D14" s="7" t="s">
        <v>64</v>
      </c>
      <c r="E14" s="8" t="s">
        <v>65</v>
      </c>
      <c r="F14" s="6" t="s">
        <v>66</v>
      </c>
      <c r="G14" s="9" t="s">
        <v>66</v>
      </c>
      <c r="H14" s="10" t="s">
        <v>16</v>
      </c>
      <c r="I14" s="11" t="s">
        <v>16</v>
      </c>
      <c r="J14" s="12"/>
    </row>
    <row r="15" spans="1:10" ht="60" customHeight="1">
      <c r="A15" s="6" t="s">
        <v>67</v>
      </c>
      <c r="B15" s="6" t="s">
        <v>27</v>
      </c>
      <c r="C15" s="6" t="s">
        <v>68</v>
      </c>
      <c r="D15" s="7" t="s">
        <v>69</v>
      </c>
      <c r="E15" s="8" t="s">
        <v>70</v>
      </c>
      <c r="F15" s="6" t="s">
        <v>71</v>
      </c>
      <c r="G15" s="9" t="s">
        <v>71</v>
      </c>
      <c r="H15" s="10" t="s">
        <v>16</v>
      </c>
      <c r="I15" s="11" t="s">
        <v>16</v>
      </c>
      <c r="J15" s="12"/>
    </row>
    <row r="16" spans="1:10" ht="60" customHeight="1">
      <c r="A16" s="6" t="s">
        <v>72</v>
      </c>
      <c r="B16" s="6" t="s">
        <v>27</v>
      </c>
      <c r="C16" s="6" t="s">
        <v>16</v>
      </c>
      <c r="D16" s="7" t="s">
        <v>73</v>
      </c>
      <c r="E16" s="8" t="s">
        <v>74</v>
      </c>
      <c r="F16" s="6" t="s">
        <v>75</v>
      </c>
      <c r="G16" s="9" t="s">
        <v>75</v>
      </c>
      <c r="H16" s="10" t="s">
        <v>16</v>
      </c>
      <c r="I16" s="11" t="s">
        <v>16</v>
      </c>
      <c r="J16" s="12"/>
    </row>
    <row r="17" spans="1:10" ht="60" customHeight="1">
      <c r="A17" s="6" t="s">
        <v>76</v>
      </c>
      <c r="B17" s="6" t="s">
        <v>59</v>
      </c>
      <c r="C17" s="6" t="s">
        <v>32</v>
      </c>
      <c r="D17" s="7" t="s">
        <v>77</v>
      </c>
      <c r="E17" s="8" t="s">
        <v>78</v>
      </c>
      <c r="F17" s="6" t="s">
        <v>79</v>
      </c>
      <c r="G17" s="9" t="s">
        <v>79</v>
      </c>
      <c r="H17" s="10" t="s">
        <v>16</v>
      </c>
      <c r="I17" s="11" t="s">
        <v>16</v>
      </c>
      <c r="J17" s="12"/>
    </row>
    <row r="18" spans="1:10" ht="60" customHeight="1">
      <c r="A18" s="6" t="s">
        <v>80</v>
      </c>
      <c r="B18" s="6" t="s">
        <v>17</v>
      </c>
      <c r="C18" s="6" t="s">
        <v>18</v>
      </c>
      <c r="D18" s="7" t="s">
        <v>81</v>
      </c>
      <c r="E18" s="8" t="s">
        <v>82</v>
      </c>
      <c r="F18" s="6" t="s">
        <v>83</v>
      </c>
      <c r="G18" s="9" t="s">
        <v>83</v>
      </c>
      <c r="H18" s="10" t="s">
        <v>16</v>
      </c>
      <c r="I18" s="11" t="s">
        <v>16</v>
      </c>
      <c r="J18" s="12"/>
    </row>
    <row r="19" spans="1:10" ht="60" customHeight="1">
      <c r="A19" s="6" t="s">
        <v>84</v>
      </c>
      <c r="B19" s="6" t="s">
        <v>27</v>
      </c>
      <c r="C19" s="6" t="s">
        <v>16</v>
      </c>
      <c r="D19" s="7" t="s">
        <v>85</v>
      </c>
      <c r="E19" s="8" t="s">
        <v>86</v>
      </c>
      <c r="F19" s="6" t="s">
        <v>87</v>
      </c>
      <c r="G19" s="9" t="s">
        <v>87</v>
      </c>
      <c r="H19" s="10" t="s">
        <v>16</v>
      </c>
      <c r="I19" s="11" t="s">
        <v>16</v>
      </c>
      <c r="J19" s="12"/>
    </row>
    <row r="20" spans="1:10" ht="60" customHeight="1">
      <c r="A20" s="6" t="s">
        <v>88</v>
      </c>
      <c r="B20" s="6" t="s">
        <v>10</v>
      </c>
      <c r="C20" s="6" t="s">
        <v>68</v>
      </c>
      <c r="D20" s="7" t="s">
        <v>89</v>
      </c>
      <c r="E20" s="8" t="s">
        <v>90</v>
      </c>
      <c r="F20" s="6" t="s">
        <v>91</v>
      </c>
      <c r="G20" s="9" t="s">
        <v>91</v>
      </c>
      <c r="H20" s="10" t="s">
        <v>16</v>
      </c>
      <c r="I20" s="11" t="s">
        <v>16</v>
      </c>
      <c r="J20" s="12"/>
    </row>
    <row r="21" spans="1:10" ht="60" customHeight="1">
      <c r="A21" s="6" t="s">
        <v>92</v>
      </c>
      <c r="B21" s="6" t="s">
        <v>93</v>
      </c>
      <c r="C21" s="6" t="s">
        <v>94</v>
      </c>
      <c r="D21" s="7" t="s">
        <v>95</v>
      </c>
      <c r="E21" s="8" t="s">
        <v>96</v>
      </c>
      <c r="F21" s="6" t="s">
        <v>97</v>
      </c>
      <c r="G21" s="9" t="s">
        <v>97</v>
      </c>
      <c r="H21" s="10" t="s">
        <v>16</v>
      </c>
      <c r="I21" s="11" t="s">
        <v>16</v>
      </c>
      <c r="J21" s="12"/>
    </row>
    <row r="22" spans="1:10" ht="60" customHeight="1">
      <c r="A22" s="6" t="s">
        <v>98</v>
      </c>
      <c r="B22" s="6" t="s">
        <v>10</v>
      </c>
      <c r="C22" s="6" t="s">
        <v>18</v>
      </c>
      <c r="D22" s="7" t="s">
        <v>99</v>
      </c>
      <c r="E22" s="8" t="s">
        <v>100</v>
      </c>
      <c r="F22" s="6" t="s">
        <v>101</v>
      </c>
      <c r="G22" s="9" t="s">
        <v>101</v>
      </c>
      <c r="H22" s="10" t="s">
        <v>16</v>
      </c>
      <c r="I22" s="11" t="s">
        <v>16</v>
      </c>
      <c r="J22" s="12"/>
    </row>
    <row r="23" spans="1:10" ht="60" customHeight="1">
      <c r="A23" s="6" t="s">
        <v>102</v>
      </c>
      <c r="B23" s="6" t="s">
        <v>27</v>
      </c>
      <c r="C23" s="6" t="s">
        <v>103</v>
      </c>
      <c r="D23" s="7" t="s">
        <v>104</v>
      </c>
      <c r="E23" s="8" t="s">
        <v>105</v>
      </c>
      <c r="F23" s="6" t="s">
        <v>106</v>
      </c>
      <c r="G23" s="9" t="s">
        <v>106</v>
      </c>
      <c r="H23" s="10" t="s">
        <v>16</v>
      </c>
      <c r="I23" s="11" t="s">
        <v>16</v>
      </c>
      <c r="J23" s="12"/>
    </row>
    <row r="24" spans="1:10" ht="60" customHeight="1">
      <c r="A24" s="6" t="s">
        <v>107</v>
      </c>
      <c r="B24" s="6" t="s">
        <v>51</v>
      </c>
      <c r="C24" s="6" t="s">
        <v>32</v>
      </c>
      <c r="D24" s="7" t="s">
        <v>108</v>
      </c>
      <c r="E24" s="8" t="s">
        <v>109</v>
      </c>
      <c r="F24" s="6" t="s">
        <v>110</v>
      </c>
      <c r="G24" s="9" t="s">
        <v>110</v>
      </c>
      <c r="H24" s="10" t="s">
        <v>16</v>
      </c>
      <c r="I24" s="11" t="s">
        <v>16</v>
      </c>
      <c r="J24" s="12"/>
    </row>
    <row r="25" spans="1:10" ht="60" customHeight="1">
      <c r="A25" s="6" t="s">
        <v>111</v>
      </c>
      <c r="B25" s="6" t="s">
        <v>10</v>
      </c>
      <c r="C25" s="6" t="s">
        <v>16</v>
      </c>
      <c r="D25" s="7" t="s">
        <v>112</v>
      </c>
      <c r="E25" s="8" t="s">
        <v>113</v>
      </c>
      <c r="F25" s="6" t="s">
        <v>114</v>
      </c>
      <c r="G25" s="9" t="s">
        <v>114</v>
      </c>
      <c r="H25" s="10" t="s">
        <v>16</v>
      </c>
      <c r="I25" s="11" t="s">
        <v>16</v>
      </c>
      <c r="J25" s="12"/>
    </row>
    <row r="26" spans="1:10" ht="60" customHeight="1">
      <c r="A26" s="6" t="s">
        <v>115</v>
      </c>
      <c r="B26" s="6" t="s">
        <v>116</v>
      </c>
      <c r="C26" s="6" t="s">
        <v>23</v>
      </c>
      <c r="D26" s="7" t="s">
        <v>117</v>
      </c>
      <c r="E26" s="8" t="s">
        <v>118</v>
      </c>
      <c r="F26" s="6" t="s">
        <v>119</v>
      </c>
      <c r="G26" s="9" t="s">
        <v>119</v>
      </c>
      <c r="H26" s="10" t="s">
        <v>16</v>
      </c>
      <c r="I26" s="11" t="s">
        <v>16</v>
      </c>
      <c r="J26" s="12"/>
    </row>
    <row r="27" spans="1:10" ht="60" customHeight="1">
      <c r="A27" s="6" t="s">
        <v>120</v>
      </c>
      <c r="B27" s="6" t="s">
        <v>92</v>
      </c>
      <c r="C27" s="6" t="s">
        <v>121</v>
      </c>
      <c r="D27" s="7" t="s">
        <v>122</v>
      </c>
      <c r="E27" s="8" t="s">
        <v>123</v>
      </c>
      <c r="F27" s="6" t="s">
        <v>124</v>
      </c>
      <c r="G27" s="9" t="s">
        <v>124</v>
      </c>
      <c r="H27" s="10" t="s">
        <v>16</v>
      </c>
      <c r="I27" s="11" t="s">
        <v>16</v>
      </c>
      <c r="J27" s="12"/>
    </row>
    <row r="28" spans="1:10" ht="60" customHeight="1">
      <c r="A28" s="6" t="s">
        <v>125</v>
      </c>
      <c r="B28" s="6" t="s">
        <v>31</v>
      </c>
      <c r="C28" s="6" t="s">
        <v>126</v>
      </c>
      <c r="D28" s="7" t="s">
        <v>127</v>
      </c>
      <c r="E28" s="8" t="s">
        <v>128</v>
      </c>
      <c r="F28" s="6" t="s">
        <v>129</v>
      </c>
      <c r="G28" s="9" t="s">
        <v>129</v>
      </c>
      <c r="H28" s="10" t="s">
        <v>16</v>
      </c>
      <c r="I28" s="11" t="s">
        <v>16</v>
      </c>
      <c r="J28" s="12"/>
    </row>
    <row r="29" spans="1:10" ht="60" customHeight="1">
      <c r="A29" s="6" t="s">
        <v>130</v>
      </c>
      <c r="B29" s="6" t="s">
        <v>10</v>
      </c>
      <c r="C29" s="6" t="s">
        <v>131</v>
      </c>
      <c r="D29" s="7" t="s">
        <v>132</v>
      </c>
      <c r="E29" s="8" t="s">
        <v>133</v>
      </c>
      <c r="F29" s="6" t="s">
        <v>134</v>
      </c>
      <c r="G29" s="9" t="s">
        <v>134</v>
      </c>
      <c r="H29" s="10" t="s">
        <v>16</v>
      </c>
      <c r="I29" s="11" t="s">
        <v>16</v>
      </c>
      <c r="J29" s="12"/>
    </row>
    <row r="30" spans="1:10" ht="60" customHeight="1">
      <c r="A30" s="6" t="s">
        <v>135</v>
      </c>
      <c r="B30" s="6" t="s">
        <v>22</v>
      </c>
      <c r="C30" s="6" t="s">
        <v>136</v>
      </c>
      <c r="D30" s="7" t="s">
        <v>137</v>
      </c>
      <c r="E30" s="8" t="s">
        <v>138</v>
      </c>
      <c r="F30" s="6" t="s">
        <v>139</v>
      </c>
      <c r="G30" s="9" t="s">
        <v>139</v>
      </c>
      <c r="H30" s="10" t="s">
        <v>16</v>
      </c>
      <c r="I30" s="11" t="s">
        <v>16</v>
      </c>
      <c r="J30" s="12"/>
    </row>
    <row r="31" spans="1:10" ht="60" customHeight="1">
      <c r="A31" s="6" t="s">
        <v>140</v>
      </c>
      <c r="B31" s="6" t="s">
        <v>27</v>
      </c>
      <c r="C31" s="6" t="s">
        <v>141</v>
      </c>
      <c r="D31" s="7" t="s">
        <v>142</v>
      </c>
      <c r="E31" s="8" t="s">
        <v>143</v>
      </c>
      <c r="F31" s="6" t="s">
        <v>144</v>
      </c>
      <c r="G31" s="9" t="s">
        <v>144</v>
      </c>
      <c r="H31" s="10" t="s">
        <v>16</v>
      </c>
      <c r="I31" s="11" t="s">
        <v>16</v>
      </c>
      <c r="J31" s="12"/>
    </row>
    <row r="32" spans="1:10" ht="60" customHeight="1">
      <c r="A32" s="6" t="s">
        <v>145</v>
      </c>
      <c r="B32" s="6" t="s">
        <v>35</v>
      </c>
      <c r="C32" s="6" t="s">
        <v>94</v>
      </c>
      <c r="D32" s="7" t="s">
        <v>146</v>
      </c>
      <c r="E32" s="8" t="s">
        <v>147</v>
      </c>
      <c r="F32" s="6" t="s">
        <v>148</v>
      </c>
      <c r="G32" s="9" t="s">
        <v>148</v>
      </c>
      <c r="H32" s="10" t="s">
        <v>16</v>
      </c>
      <c r="I32" s="11" t="s">
        <v>16</v>
      </c>
      <c r="J32" s="12"/>
    </row>
    <row r="33" spans="1:10" ht="60" customHeight="1">
      <c r="A33" s="6" t="s">
        <v>149</v>
      </c>
      <c r="B33" s="6" t="s">
        <v>35</v>
      </c>
      <c r="C33" s="6" t="s">
        <v>126</v>
      </c>
      <c r="D33" s="7" t="s">
        <v>150</v>
      </c>
      <c r="E33" s="8" t="s">
        <v>151</v>
      </c>
      <c r="F33" s="6" t="s">
        <v>152</v>
      </c>
      <c r="G33" s="9" t="s">
        <v>152</v>
      </c>
      <c r="H33" s="10" t="s">
        <v>16</v>
      </c>
      <c r="I33" s="11" t="s">
        <v>16</v>
      </c>
      <c r="J33" s="12"/>
    </row>
    <row r="34" spans="1:10" ht="60" customHeight="1">
      <c r="A34" s="6" t="s">
        <v>116</v>
      </c>
      <c r="B34" s="6" t="s">
        <v>22</v>
      </c>
      <c r="C34" s="6" t="s">
        <v>16</v>
      </c>
      <c r="D34" s="7" t="s">
        <v>99</v>
      </c>
      <c r="E34" s="8" t="s">
        <v>153</v>
      </c>
      <c r="F34" s="6" t="s">
        <v>154</v>
      </c>
      <c r="G34" s="9" t="s">
        <v>154</v>
      </c>
      <c r="H34" s="10" t="s">
        <v>16</v>
      </c>
      <c r="I34" s="11" t="s">
        <v>16</v>
      </c>
      <c r="J34" s="12"/>
    </row>
    <row r="35" spans="1:10" ht="60" customHeight="1">
      <c r="A35" s="6" t="s">
        <v>155</v>
      </c>
      <c r="B35" s="6" t="s">
        <v>31</v>
      </c>
      <c r="C35" s="6" t="s">
        <v>16</v>
      </c>
      <c r="D35" s="7" t="s">
        <v>156</v>
      </c>
      <c r="E35" s="8" t="s">
        <v>157</v>
      </c>
      <c r="F35" s="6" t="s">
        <v>158</v>
      </c>
      <c r="G35" s="9" t="s">
        <v>158</v>
      </c>
      <c r="H35" s="10" t="s">
        <v>16</v>
      </c>
      <c r="I35" s="11" t="s">
        <v>16</v>
      </c>
      <c r="J35" s="12"/>
    </row>
    <row r="36" spans="1:10" ht="60" customHeight="1">
      <c r="A36" s="6" t="s">
        <v>159</v>
      </c>
      <c r="B36" s="6" t="s">
        <v>27</v>
      </c>
      <c r="C36" s="6" t="s">
        <v>136</v>
      </c>
      <c r="D36" s="7" t="s">
        <v>160</v>
      </c>
      <c r="E36" s="8" t="s">
        <v>161</v>
      </c>
      <c r="F36" s="6" t="s">
        <v>162</v>
      </c>
      <c r="G36" s="9" t="s">
        <v>162</v>
      </c>
      <c r="H36" s="10" t="s">
        <v>16</v>
      </c>
      <c r="I36" s="11" t="s">
        <v>16</v>
      </c>
      <c r="J36" s="12"/>
    </row>
    <row r="37" spans="1:10" ht="60" customHeight="1">
      <c r="A37" s="6" t="s">
        <v>163</v>
      </c>
      <c r="B37" s="6" t="s">
        <v>10</v>
      </c>
      <c r="C37" s="6" t="s">
        <v>18</v>
      </c>
      <c r="D37" s="7" t="s">
        <v>164</v>
      </c>
      <c r="E37" s="8" t="s">
        <v>165</v>
      </c>
      <c r="F37" s="6" t="s">
        <v>166</v>
      </c>
      <c r="G37" s="9" t="s">
        <v>166</v>
      </c>
      <c r="H37" s="10" t="s">
        <v>16</v>
      </c>
      <c r="I37" s="11" t="s">
        <v>16</v>
      </c>
      <c r="J37" s="12"/>
    </row>
    <row r="38" spans="1:10" ht="60" customHeight="1">
      <c r="A38" s="6" t="s">
        <v>167</v>
      </c>
      <c r="B38" s="6" t="s">
        <v>31</v>
      </c>
      <c r="C38" s="6" t="s">
        <v>168</v>
      </c>
      <c r="D38" s="7" t="s">
        <v>169</v>
      </c>
      <c r="E38" s="8" t="s">
        <v>170</v>
      </c>
      <c r="F38" s="6" t="s">
        <v>171</v>
      </c>
      <c r="G38" s="9" t="s">
        <v>171</v>
      </c>
      <c r="H38" s="10" t="s">
        <v>16</v>
      </c>
      <c r="I38" s="11" t="s">
        <v>16</v>
      </c>
      <c r="J38" s="12"/>
    </row>
    <row r="39" spans="1:10" ht="60" customHeight="1">
      <c r="A39" s="6" t="s">
        <v>172</v>
      </c>
      <c r="B39" s="6" t="s">
        <v>35</v>
      </c>
      <c r="C39" s="6" t="s">
        <v>18</v>
      </c>
      <c r="D39" s="7" t="s">
        <v>127</v>
      </c>
      <c r="E39" s="8" t="s">
        <v>173</v>
      </c>
      <c r="F39" s="6" t="s">
        <v>174</v>
      </c>
      <c r="G39" s="9" t="s">
        <v>174</v>
      </c>
      <c r="H39" s="10" t="s">
        <v>16</v>
      </c>
      <c r="I39" s="11" t="s">
        <v>16</v>
      </c>
      <c r="J39" s="12"/>
    </row>
    <row r="40" spans="1:10" ht="60" customHeight="1">
      <c r="A40" s="6" t="s">
        <v>175</v>
      </c>
      <c r="B40" s="6" t="s">
        <v>10</v>
      </c>
      <c r="C40" s="6" t="s">
        <v>176</v>
      </c>
      <c r="D40" s="7" t="s">
        <v>177</v>
      </c>
      <c r="E40" s="8" t="s">
        <v>178</v>
      </c>
      <c r="F40" s="6" t="s">
        <v>179</v>
      </c>
      <c r="G40" s="9" t="s">
        <v>179</v>
      </c>
      <c r="H40" s="10" t="s">
        <v>16</v>
      </c>
      <c r="I40" s="11" t="s">
        <v>16</v>
      </c>
      <c r="J40" s="12"/>
    </row>
    <row r="41" spans="1:10" ht="60" customHeight="1">
      <c r="A41" s="6" t="s">
        <v>180</v>
      </c>
      <c r="B41" s="6" t="s">
        <v>27</v>
      </c>
      <c r="C41" s="6" t="s">
        <v>181</v>
      </c>
      <c r="D41" s="7" t="s">
        <v>182</v>
      </c>
      <c r="E41" s="8" t="s">
        <v>183</v>
      </c>
      <c r="F41" s="6" t="s">
        <v>184</v>
      </c>
      <c r="G41" s="9" t="s">
        <v>184</v>
      </c>
      <c r="H41" s="10" t="s">
        <v>16</v>
      </c>
      <c r="I41" s="11" t="s">
        <v>16</v>
      </c>
      <c r="J41" s="12"/>
    </row>
    <row r="42" spans="1:10" ht="60" customHeight="1">
      <c r="A42" s="6" t="s">
        <v>185</v>
      </c>
      <c r="B42" s="6" t="s">
        <v>10</v>
      </c>
      <c r="C42" s="6" t="s">
        <v>16</v>
      </c>
      <c r="D42" s="7" t="s">
        <v>186</v>
      </c>
      <c r="E42" s="8" t="s">
        <v>187</v>
      </c>
      <c r="F42" s="6" t="s">
        <v>188</v>
      </c>
      <c r="G42" s="9" t="s">
        <v>188</v>
      </c>
      <c r="H42" s="10" t="s">
        <v>16</v>
      </c>
      <c r="I42" s="11" t="s">
        <v>16</v>
      </c>
      <c r="J42" s="12"/>
    </row>
    <row r="43" spans="1:10" ht="60" customHeight="1">
      <c r="A43" s="6" t="s">
        <v>189</v>
      </c>
      <c r="B43" s="6" t="s">
        <v>22</v>
      </c>
      <c r="C43" s="6" t="s">
        <v>23</v>
      </c>
      <c r="D43" s="7" t="s">
        <v>190</v>
      </c>
      <c r="E43" s="8" t="s">
        <v>191</v>
      </c>
      <c r="F43" s="6" t="s">
        <v>192</v>
      </c>
      <c r="G43" s="9" t="s">
        <v>192</v>
      </c>
      <c r="H43" s="10" t="s">
        <v>16</v>
      </c>
      <c r="I43" s="11" t="s">
        <v>16</v>
      </c>
      <c r="J43" s="12"/>
    </row>
    <row r="44" spans="1:10" ht="60" customHeight="1">
      <c r="A44" s="6" t="s">
        <v>193</v>
      </c>
      <c r="B44" s="6" t="s">
        <v>10</v>
      </c>
      <c r="C44" s="6" t="s">
        <v>194</v>
      </c>
      <c r="D44" s="7" t="s">
        <v>117</v>
      </c>
      <c r="E44" s="8" t="s">
        <v>195</v>
      </c>
      <c r="F44" s="6" t="s">
        <v>196</v>
      </c>
      <c r="G44" s="9" t="s">
        <v>196</v>
      </c>
      <c r="H44" s="10" t="s">
        <v>16</v>
      </c>
      <c r="I44" s="11" t="s">
        <v>16</v>
      </c>
      <c r="J44" s="12"/>
    </row>
    <row r="45" spans="1:10" ht="60" customHeight="1">
      <c r="A45" s="6" t="s">
        <v>197</v>
      </c>
      <c r="B45" s="6" t="s">
        <v>31</v>
      </c>
      <c r="C45" s="6" t="s">
        <v>16</v>
      </c>
      <c r="D45" s="7" t="s">
        <v>99</v>
      </c>
      <c r="E45" s="8" t="s">
        <v>198</v>
      </c>
      <c r="F45" s="6" t="s">
        <v>199</v>
      </c>
      <c r="G45" s="9" t="s">
        <v>199</v>
      </c>
      <c r="H45" s="10" t="s">
        <v>16</v>
      </c>
      <c r="I45" s="11" t="s">
        <v>16</v>
      </c>
      <c r="J45" s="12"/>
    </row>
    <row r="46" spans="1:10" ht="60" customHeight="1">
      <c r="A46" s="6" t="s">
        <v>200</v>
      </c>
      <c r="B46" s="6" t="s">
        <v>22</v>
      </c>
      <c r="C46" s="6" t="s">
        <v>18</v>
      </c>
      <c r="D46" s="7" t="s">
        <v>132</v>
      </c>
      <c r="E46" s="8" t="s">
        <v>201</v>
      </c>
      <c r="F46" s="6" t="s">
        <v>202</v>
      </c>
      <c r="G46" s="9" t="s">
        <v>202</v>
      </c>
      <c r="H46" s="10" t="s">
        <v>16</v>
      </c>
      <c r="I46" s="11" t="s">
        <v>16</v>
      </c>
      <c r="J46" s="12"/>
    </row>
    <row r="47" spans="1:10" ht="60" customHeight="1">
      <c r="A47" s="6" t="s">
        <v>203</v>
      </c>
      <c r="B47" s="6" t="s">
        <v>36</v>
      </c>
      <c r="C47" s="6" t="s">
        <v>16</v>
      </c>
      <c r="D47" s="7" t="s">
        <v>99</v>
      </c>
      <c r="E47" s="8" t="s">
        <v>204</v>
      </c>
      <c r="F47" s="6" t="s">
        <v>205</v>
      </c>
      <c r="G47" s="9" t="s">
        <v>205</v>
      </c>
      <c r="H47" s="10" t="s">
        <v>16</v>
      </c>
      <c r="I47" s="11" t="s">
        <v>16</v>
      </c>
      <c r="J47" s="12"/>
    </row>
    <row r="48" spans="1:10" ht="60" customHeight="1">
      <c r="A48" s="6" t="s">
        <v>206</v>
      </c>
      <c r="B48" s="6" t="s">
        <v>17</v>
      </c>
      <c r="C48" s="6" t="s">
        <v>121</v>
      </c>
      <c r="D48" s="7" t="s">
        <v>207</v>
      </c>
      <c r="E48" s="8" t="s">
        <v>208</v>
      </c>
      <c r="F48" s="6" t="s">
        <v>209</v>
      </c>
      <c r="G48" s="9" t="s">
        <v>209</v>
      </c>
      <c r="H48" s="10" t="s">
        <v>16</v>
      </c>
      <c r="I48" s="11" t="s">
        <v>16</v>
      </c>
      <c r="J48" s="12"/>
    </row>
    <row r="49" spans="1:10" ht="60" customHeight="1">
      <c r="A49" s="6" t="s">
        <v>210</v>
      </c>
      <c r="B49" s="6" t="s">
        <v>27</v>
      </c>
      <c r="C49" s="6" t="s">
        <v>131</v>
      </c>
      <c r="D49" s="7" t="s">
        <v>211</v>
      </c>
      <c r="E49" s="8" t="s">
        <v>212</v>
      </c>
      <c r="F49" s="6" t="s">
        <v>213</v>
      </c>
      <c r="G49" s="9" t="s">
        <v>213</v>
      </c>
      <c r="H49" s="10" t="s">
        <v>16</v>
      </c>
      <c r="I49" s="11" t="s">
        <v>16</v>
      </c>
      <c r="J49" s="12"/>
    </row>
    <row r="50" spans="1:10" ht="60" customHeight="1">
      <c r="A50" s="6" t="s">
        <v>214</v>
      </c>
      <c r="B50" s="6" t="s">
        <v>35</v>
      </c>
      <c r="C50" s="6" t="s">
        <v>18</v>
      </c>
      <c r="D50" s="7" t="s">
        <v>215</v>
      </c>
      <c r="E50" s="8" t="s">
        <v>216</v>
      </c>
      <c r="F50" s="6" t="s">
        <v>217</v>
      </c>
      <c r="G50" s="9" t="s">
        <v>217</v>
      </c>
      <c r="H50" s="10" t="s">
        <v>16</v>
      </c>
      <c r="I50" s="11" t="s">
        <v>16</v>
      </c>
      <c r="J50" s="12"/>
    </row>
    <row r="51" spans="1:10" ht="60" customHeight="1">
      <c r="A51" s="6" t="s">
        <v>218</v>
      </c>
      <c r="B51" s="6" t="s">
        <v>17</v>
      </c>
      <c r="C51" s="6" t="s">
        <v>16</v>
      </c>
      <c r="D51" s="7" t="s">
        <v>219</v>
      </c>
      <c r="E51" s="8" t="s">
        <v>220</v>
      </c>
      <c r="F51" s="6" t="s">
        <v>221</v>
      </c>
      <c r="G51" s="9" t="s">
        <v>221</v>
      </c>
      <c r="H51" s="10" t="s">
        <v>16</v>
      </c>
      <c r="I51" s="11" t="s">
        <v>16</v>
      </c>
      <c r="J51" s="12"/>
    </row>
    <row r="52" spans="1:10" ht="60" customHeight="1">
      <c r="A52" s="6" t="s">
        <v>222</v>
      </c>
      <c r="B52" s="6" t="s">
        <v>47</v>
      </c>
      <c r="C52" s="6" t="s">
        <v>32</v>
      </c>
      <c r="D52" s="7" t="s">
        <v>223</v>
      </c>
      <c r="E52" s="8" t="s">
        <v>224</v>
      </c>
      <c r="F52" s="6" t="s">
        <v>225</v>
      </c>
      <c r="G52" s="9" t="s">
        <v>225</v>
      </c>
      <c r="H52" s="10" t="s">
        <v>16</v>
      </c>
      <c r="I52" s="11" t="s">
        <v>16</v>
      </c>
      <c r="J52" s="12"/>
    </row>
    <row r="53" spans="1:10" ht="60" customHeight="1">
      <c r="A53" s="6" t="s">
        <v>226</v>
      </c>
      <c r="B53" s="6" t="s">
        <v>31</v>
      </c>
      <c r="C53" s="6" t="s">
        <v>16</v>
      </c>
      <c r="D53" s="7" t="s">
        <v>227</v>
      </c>
      <c r="E53" s="8" t="s">
        <v>228</v>
      </c>
      <c r="F53" s="6" t="s">
        <v>229</v>
      </c>
      <c r="G53" s="9" t="s">
        <v>229</v>
      </c>
      <c r="H53" s="10" t="s">
        <v>16</v>
      </c>
      <c r="I53" s="11" t="s">
        <v>16</v>
      </c>
      <c r="J53" s="12"/>
    </row>
    <row r="54" spans="1:10" ht="60" customHeight="1">
      <c r="A54" s="6" t="s">
        <v>230</v>
      </c>
      <c r="B54" s="6" t="s">
        <v>31</v>
      </c>
      <c r="C54" s="6" t="s">
        <v>18</v>
      </c>
      <c r="D54" s="7" t="s">
        <v>48</v>
      </c>
      <c r="E54" s="8" t="s">
        <v>231</v>
      </c>
      <c r="F54" s="6" t="s">
        <v>232</v>
      </c>
      <c r="G54" s="9" t="s">
        <v>232</v>
      </c>
      <c r="H54" s="10" t="s">
        <v>16</v>
      </c>
      <c r="I54" s="11" t="s">
        <v>16</v>
      </c>
      <c r="J54" s="12"/>
    </row>
    <row r="55" spans="1:10" ht="60" customHeight="1">
      <c r="A55" s="6" t="s">
        <v>233</v>
      </c>
      <c r="B55" s="6" t="s">
        <v>40</v>
      </c>
      <c r="C55" s="6" t="s">
        <v>16</v>
      </c>
      <c r="D55" s="7" t="s">
        <v>137</v>
      </c>
      <c r="E55" s="8" t="s">
        <v>234</v>
      </c>
      <c r="F55" s="6" t="s">
        <v>235</v>
      </c>
      <c r="G55" s="9" t="s">
        <v>235</v>
      </c>
      <c r="H55" s="10" t="s">
        <v>16</v>
      </c>
      <c r="I55" s="11" t="s">
        <v>16</v>
      </c>
      <c r="J55" s="12"/>
    </row>
    <row r="56" spans="1:10" ht="60" customHeight="1">
      <c r="A56" s="6" t="s">
        <v>236</v>
      </c>
      <c r="B56" s="6" t="s">
        <v>17</v>
      </c>
      <c r="C56" s="6" t="s">
        <v>18</v>
      </c>
      <c r="D56" s="7" t="s">
        <v>237</v>
      </c>
      <c r="E56" s="8" t="s">
        <v>238</v>
      </c>
      <c r="F56" s="6" t="s">
        <v>239</v>
      </c>
      <c r="G56" s="9" t="s">
        <v>239</v>
      </c>
      <c r="H56" s="10" t="s">
        <v>16</v>
      </c>
      <c r="I56" s="11" t="s">
        <v>16</v>
      </c>
      <c r="J56" s="12"/>
    </row>
    <row r="57" spans="1:10" ht="60" customHeight="1">
      <c r="A57" s="6" t="s">
        <v>240</v>
      </c>
      <c r="B57" s="6" t="s">
        <v>31</v>
      </c>
      <c r="C57" s="6" t="s">
        <v>18</v>
      </c>
      <c r="D57" s="7" t="s">
        <v>241</v>
      </c>
      <c r="E57" s="8" t="s">
        <v>242</v>
      </c>
      <c r="F57" s="6" t="s">
        <v>243</v>
      </c>
      <c r="G57" s="9" t="s">
        <v>243</v>
      </c>
      <c r="H57" s="10" t="s">
        <v>16</v>
      </c>
      <c r="I57" s="11" t="s">
        <v>16</v>
      </c>
      <c r="J57" s="12"/>
    </row>
    <row r="58" spans="1:10" ht="60" customHeight="1">
      <c r="A58" s="6" t="s">
        <v>244</v>
      </c>
      <c r="B58" s="6" t="s">
        <v>10</v>
      </c>
      <c r="C58" s="6" t="s">
        <v>18</v>
      </c>
      <c r="D58" s="7" t="s">
        <v>245</v>
      </c>
      <c r="E58" s="8" t="s">
        <v>246</v>
      </c>
      <c r="F58" s="6" t="s">
        <v>247</v>
      </c>
      <c r="G58" s="9" t="s">
        <v>247</v>
      </c>
      <c r="H58" s="10" t="s">
        <v>16</v>
      </c>
      <c r="I58" s="11" t="s">
        <v>16</v>
      </c>
      <c r="J58" s="12"/>
    </row>
    <row r="59" spans="1:10" ht="60" customHeight="1">
      <c r="A59" s="6" t="s">
        <v>248</v>
      </c>
      <c r="B59" s="6" t="s">
        <v>35</v>
      </c>
      <c r="C59" s="6" t="s">
        <v>249</v>
      </c>
      <c r="D59" s="7" t="s">
        <v>250</v>
      </c>
      <c r="E59" s="8" t="s">
        <v>251</v>
      </c>
      <c r="F59" s="6" t="s">
        <v>252</v>
      </c>
      <c r="G59" s="9" t="s">
        <v>252</v>
      </c>
      <c r="H59" s="10" t="s">
        <v>16</v>
      </c>
      <c r="I59" s="11" t="s">
        <v>16</v>
      </c>
      <c r="J59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5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253</v>
      </c>
      <c r="B1" s="13" t="s">
        <v>254</v>
      </c>
      <c r="C1" s="13" t="s">
        <v>255</v>
      </c>
      <c r="D1" s="13" t="s">
        <v>256</v>
      </c>
      <c r="E1" s="14" t="s">
        <v>257</v>
      </c>
      <c r="F1" s="15" t="s">
        <v>258</v>
      </c>
      <c r="G1" s="16" t="s">
        <v>259</v>
      </c>
      <c r="H1" s="17" t="s">
        <v>260</v>
      </c>
      <c r="I1" s="18" t="s">
        <v>261</v>
      </c>
      <c r="J1" s="18" t="s">
        <v>262</v>
      </c>
      <c r="K1" s="18" t="s">
        <v>263</v>
      </c>
      <c r="L1" s="19" t="s">
        <v>9</v>
      </c>
    </row>
    <row r="2" spans="1:12">
      <c r="A2" s="20" t="s">
        <v>264</v>
      </c>
    </row>
    <row r="3" spans="1:12">
      <c r="A3" s="20" t="s">
        <v>265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266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267</v>
      </c>
      <c r="B5" s="27" t="s">
        <v>268</v>
      </c>
      <c r="C5" s="27" t="s">
        <v>269</v>
      </c>
      <c r="D5" s="27" t="s">
        <v>270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271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272</v>
      </c>
      <c r="B7" s="27" t="s">
        <v>273</v>
      </c>
      <c r="C7" s="27" t="s">
        <v>274</v>
      </c>
      <c r="D7" s="27" t="s">
        <v>270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275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276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277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278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279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280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281</v>
      </c>
      <c r="B14" s="27" t="s">
        <v>282</v>
      </c>
      <c r="C14" s="27" t="s">
        <v>283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284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285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286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287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288</v>
      </c>
      <c r="B19" s="27" t="s">
        <v>289</v>
      </c>
      <c r="C19" s="27" t="s">
        <v>290</v>
      </c>
      <c r="D19" s="27" t="s">
        <v>270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/>
    </row>
    <row r="21" spans="1:12">
      <c r="A21" s="20" t="s">
        <v>291</v>
      </c>
    </row>
    <row r="22" spans="1:12">
      <c r="A22" s="20" t="s">
        <v>292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293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294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295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296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266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297</v>
      </c>
      <c r="B28" s="27" t="s">
        <v>289</v>
      </c>
      <c r="C28" s="27" t="s">
        <v>290</v>
      </c>
      <c r="D28" s="27" t="s">
        <v>270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298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299</v>
      </c>
      <c r="B30" s="27" t="s">
        <v>282</v>
      </c>
      <c r="C30" s="27" t="s">
        <v>269</v>
      </c>
      <c r="D30" s="27" t="s">
        <v>270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278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300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271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301</v>
      </c>
      <c r="B34" s="27" t="s">
        <v>302</v>
      </c>
      <c r="C34" s="27" t="s">
        <v>303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304</v>
      </c>
      <c r="B35" s="27" t="s">
        <v>305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279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306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307</v>
      </c>
      <c r="B38" s="27" t="s">
        <v>308</v>
      </c>
      <c r="C38" s="27" t="s">
        <v>303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278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309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310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311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312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313</v>
      </c>
      <c r="B44" s="27" t="s">
        <v>314</v>
      </c>
      <c r="C44" s="27" t="s">
        <v>290</v>
      </c>
      <c r="D44" s="27" t="s">
        <v>270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315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279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280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/>
    </row>
    <row r="49" spans="1:12">
      <c r="A49" s="20" t="s">
        <v>316</v>
      </c>
    </row>
    <row r="50" spans="1:12">
      <c r="A50" s="20" t="s">
        <v>317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318</v>
      </c>
      <c r="B51" s="27" t="s">
        <v>302</v>
      </c>
      <c r="C51" s="27" t="s">
        <v>319</v>
      </c>
      <c r="D51" s="27" t="s">
        <v>270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320</v>
      </c>
      <c r="B52" s="27" t="s">
        <v>321</v>
      </c>
      <c r="C52" s="27" t="s">
        <v>322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300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271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323</v>
      </c>
      <c r="B55" s="27" t="s">
        <v>289</v>
      </c>
      <c r="C55" s="27" t="s">
        <v>303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304</v>
      </c>
      <c r="B56" s="27" t="s">
        <v>324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279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325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309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279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326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327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328</v>
      </c>
      <c r="B63" s="27" t="s">
        <v>308</v>
      </c>
      <c r="C63" s="27" t="s">
        <v>283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271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318</v>
      </c>
      <c r="B65" s="27" t="s">
        <v>329</v>
      </c>
      <c r="C65" s="27" t="s">
        <v>330</v>
      </c>
      <c r="D65" s="27" t="s">
        <v>270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/>
    </row>
    <row r="67" spans="1:12">
      <c r="A67" s="20" t="s">
        <v>331</v>
      </c>
    </row>
    <row r="68" spans="1:12">
      <c r="A68" s="20" t="s">
        <v>332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333</v>
      </c>
      <c r="B69" s="27" t="s">
        <v>282</v>
      </c>
      <c r="C69" s="27" t="s">
        <v>330</v>
      </c>
      <c r="D69" s="27" t="s">
        <v>270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334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281</v>
      </c>
      <c r="B71" s="27" t="s">
        <v>289</v>
      </c>
      <c r="C71" s="27" t="s">
        <v>283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335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271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336</v>
      </c>
      <c r="B74" s="27" t="s">
        <v>289</v>
      </c>
      <c r="C74" s="27" t="s">
        <v>274</v>
      </c>
      <c r="D74" s="27" t="s">
        <v>270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337</v>
      </c>
      <c r="B75" s="27" t="s">
        <v>302</v>
      </c>
      <c r="C75" s="27" t="s">
        <v>274</v>
      </c>
      <c r="D75" s="27" t="s">
        <v>270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309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338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293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77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285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339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320</v>
      </c>
      <c r="B82" s="27" t="s">
        <v>273</v>
      </c>
      <c r="C82" s="27" t="s">
        <v>269</v>
      </c>
      <c r="D82" s="27" t="s">
        <v>270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300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286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336</v>
      </c>
      <c r="B85" s="27" t="s">
        <v>308</v>
      </c>
      <c r="C85" s="27" t="s">
        <v>274</v>
      </c>
      <c r="D85" s="27" t="s">
        <v>270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340</v>
      </c>
      <c r="B86" s="27" t="s">
        <v>314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318</v>
      </c>
      <c r="B87" s="27" t="s">
        <v>341</v>
      </c>
      <c r="C87" s="27" t="s">
        <v>330</v>
      </c>
      <c r="D87" s="27" t="s">
        <v>270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266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342</v>
      </c>
      <c r="B89" s="27" t="s">
        <v>341</v>
      </c>
      <c r="C89" s="27" t="s">
        <v>290</v>
      </c>
      <c r="D89" s="27" t="s">
        <v>270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343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344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279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/>
    </row>
    <row r="94" spans="1:12">
      <c r="A94" s="20" t="s">
        <v>345</v>
      </c>
    </row>
    <row r="95" spans="1:12">
      <c r="A95" s="20" t="s">
        <v>346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280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347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285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348</v>
      </c>
      <c r="B99" s="27" t="s">
        <v>289</v>
      </c>
      <c r="C99" s="27" t="s">
        <v>274</v>
      </c>
      <c r="D99" s="27" t="s">
        <v>270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349</v>
      </c>
      <c r="B100" s="27" t="s">
        <v>282</v>
      </c>
      <c r="C100" s="27" t="s">
        <v>274</v>
      </c>
      <c r="D100" s="27" t="s">
        <v>270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350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271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351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352</v>
      </c>
      <c r="B104" s="27" t="s">
        <v>273</v>
      </c>
      <c r="C104" s="27" t="s">
        <v>322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304</v>
      </c>
      <c r="B105" s="27" t="s">
        <v>353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354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355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266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297</v>
      </c>
      <c r="B109" s="27" t="s">
        <v>308</v>
      </c>
      <c r="C109" s="27" t="s">
        <v>290</v>
      </c>
      <c r="D109" s="27" t="s">
        <v>270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/>
    </row>
    <row r="111" spans="1:12">
      <c r="A111" s="20" t="s">
        <v>356</v>
      </c>
    </row>
    <row r="112" spans="1:12">
      <c r="A112" s="20" t="s">
        <v>357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358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359</v>
      </c>
      <c r="B114" s="27" t="s">
        <v>314</v>
      </c>
      <c r="C114" s="27" t="s">
        <v>360</v>
      </c>
      <c r="D114" s="27" t="s">
        <v>270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278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312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361</v>
      </c>
      <c r="B117" s="27" t="s">
        <v>282</v>
      </c>
      <c r="C117" s="27" t="s">
        <v>290</v>
      </c>
      <c r="D117" s="27" t="s">
        <v>270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279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362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309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363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364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365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328</v>
      </c>
      <c r="B124" s="27" t="s">
        <v>324</v>
      </c>
      <c r="C124" s="27" t="s">
        <v>283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366</v>
      </c>
      <c r="B125" s="27" t="s">
        <v>341</v>
      </c>
      <c r="C125" s="27" t="s">
        <v>330</v>
      </c>
      <c r="D125" s="27" t="s">
        <v>270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367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77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312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368</v>
      </c>
      <c r="B129" s="27" t="s">
        <v>329</v>
      </c>
      <c r="C129" s="27" t="s">
        <v>319</v>
      </c>
      <c r="D129" s="27" t="s">
        <v>270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369</v>
      </c>
      <c r="B130" s="27" t="s">
        <v>370</v>
      </c>
      <c r="C130" s="27" t="s">
        <v>290</v>
      </c>
      <c r="D130" s="27" t="s">
        <v>270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/>
    </row>
    <row r="132" spans="1:12">
      <c r="A132" s="20" t="s">
        <v>371</v>
      </c>
    </row>
    <row r="133" spans="1:12">
      <c r="A133" s="20" t="s">
        <v>372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373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309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374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271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375</v>
      </c>
      <c r="B138" s="27" t="s">
        <v>302</v>
      </c>
      <c r="C138" s="27" t="s">
        <v>330</v>
      </c>
      <c r="D138" s="27" t="s">
        <v>270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276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286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376</v>
      </c>
      <c r="B141" s="27" t="s">
        <v>302</v>
      </c>
      <c r="C141" s="27" t="s">
        <v>290</v>
      </c>
      <c r="D141" s="27" t="s">
        <v>270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377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378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/>
    </row>
    <row r="145" spans="1:12">
      <c r="A145" s="20" t="s">
        <v>379</v>
      </c>
    </row>
    <row r="146" spans="1:12">
      <c r="A146" s="20" t="s">
        <v>380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381</v>
      </c>
      <c r="B147" s="27" t="s">
        <v>289</v>
      </c>
      <c r="C147" s="27" t="s">
        <v>303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304</v>
      </c>
      <c r="B148" s="27" t="s">
        <v>268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382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383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384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385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281</v>
      </c>
      <c r="B153" s="27" t="s">
        <v>314</v>
      </c>
      <c r="C153" s="27" t="s">
        <v>283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386</v>
      </c>
      <c r="B154" s="27" t="s">
        <v>324</v>
      </c>
      <c r="C154" s="27" t="s">
        <v>274</v>
      </c>
      <c r="D154" s="27" t="s">
        <v>270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/>
    </row>
    <row r="156" spans="1:12">
      <c r="A156" s="20" t="s">
        <v>387</v>
      </c>
    </row>
    <row r="157" spans="1:12">
      <c r="A157" s="20" t="s">
        <v>388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389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354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304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366</v>
      </c>
      <c r="B161" s="27" t="s">
        <v>314</v>
      </c>
      <c r="C161" s="27" t="s">
        <v>330</v>
      </c>
      <c r="D161" s="27" t="s">
        <v>270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390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328</v>
      </c>
      <c r="B163" s="27" t="s">
        <v>302</v>
      </c>
      <c r="C163" s="27" t="s">
        <v>283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77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312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391</v>
      </c>
      <c r="B166" s="27" t="s">
        <v>273</v>
      </c>
      <c r="C166" s="27" t="s">
        <v>319</v>
      </c>
      <c r="D166" s="27" t="s">
        <v>270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369</v>
      </c>
      <c r="B167" s="27" t="s">
        <v>314</v>
      </c>
      <c r="C167" s="27" t="s">
        <v>290</v>
      </c>
      <c r="D167" s="27" t="s">
        <v>270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392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/>
    </row>
    <row r="170" spans="1:12">
      <c r="A170" s="20" t="s">
        <v>393</v>
      </c>
    </row>
    <row r="171" spans="1:12">
      <c r="A171" s="20" t="s">
        <v>394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395</v>
      </c>
      <c r="B172" s="27" t="s">
        <v>289</v>
      </c>
      <c r="C172" s="27" t="s">
        <v>274</v>
      </c>
      <c r="D172" s="27" t="s">
        <v>270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278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396</v>
      </c>
      <c r="B174" s="27" t="s">
        <v>289</v>
      </c>
      <c r="C174" s="27" t="s">
        <v>303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278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397</v>
      </c>
      <c r="B176" s="27" t="s">
        <v>289</v>
      </c>
      <c r="C176" s="27" t="s">
        <v>274</v>
      </c>
      <c r="D176" s="27" t="s">
        <v>270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309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398</v>
      </c>
      <c r="B178" s="27" t="s">
        <v>289</v>
      </c>
      <c r="C178" s="27" t="s">
        <v>269</v>
      </c>
      <c r="D178" s="27" t="s">
        <v>270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271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312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399</v>
      </c>
      <c r="B181" s="27" t="s">
        <v>302</v>
      </c>
      <c r="C181" s="27" t="s">
        <v>274</v>
      </c>
      <c r="D181" s="27" t="s">
        <v>270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278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271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312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400</v>
      </c>
      <c r="B185" s="27" t="s">
        <v>289</v>
      </c>
      <c r="C185" s="27" t="s">
        <v>274</v>
      </c>
      <c r="D185" s="27" t="s">
        <v>270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278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271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312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401</v>
      </c>
      <c r="B189" s="27" t="s">
        <v>302</v>
      </c>
      <c r="C189" s="27" t="s">
        <v>274</v>
      </c>
      <c r="D189" s="27" t="s">
        <v>270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278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271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266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402</v>
      </c>
      <c r="B193" s="27" t="s">
        <v>302</v>
      </c>
      <c r="C193" s="27" t="s">
        <v>290</v>
      </c>
      <c r="D193" s="27" t="s">
        <v>270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309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271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294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403</v>
      </c>
      <c r="B197" s="27" t="s">
        <v>302</v>
      </c>
      <c r="C197" s="27" t="s">
        <v>274</v>
      </c>
      <c r="D197" s="27" t="s">
        <v>270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/>
    </row>
    <row r="199" spans="1:12">
      <c r="A199" s="20" t="s">
        <v>404</v>
      </c>
    </row>
    <row r="200" spans="1:12">
      <c r="A200" s="20" t="s">
        <v>271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312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405</v>
      </c>
      <c r="B202" s="27" t="s">
        <v>289</v>
      </c>
      <c r="C202" s="27" t="s">
        <v>274</v>
      </c>
      <c r="D202" s="27" t="s">
        <v>270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309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271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312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406</v>
      </c>
      <c r="B206" s="27" t="s">
        <v>289</v>
      </c>
      <c r="C206" s="27" t="s">
        <v>274</v>
      </c>
      <c r="D206" s="27" t="s">
        <v>270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278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271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294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407</v>
      </c>
      <c r="B210" s="27" t="s">
        <v>289</v>
      </c>
      <c r="C210" s="27" t="s">
        <v>274</v>
      </c>
      <c r="D210" s="27" t="s">
        <v>270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309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271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408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409</v>
      </c>
      <c r="B214" s="27" t="s">
        <v>289</v>
      </c>
      <c r="C214" s="27" t="s">
        <v>269</v>
      </c>
      <c r="D214" s="27" t="s">
        <v>270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271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312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410</v>
      </c>
      <c r="B217" s="27" t="s">
        <v>302</v>
      </c>
      <c r="C217" s="27" t="s">
        <v>274</v>
      </c>
      <c r="D217" s="27" t="s">
        <v>270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411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293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412</v>
      </c>
      <c r="B220" s="27" t="s">
        <v>302</v>
      </c>
      <c r="C220" s="27" t="s">
        <v>274</v>
      </c>
      <c r="D220" s="27" t="s">
        <v>270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278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413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271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414</v>
      </c>
      <c r="B224" s="27" t="s">
        <v>302</v>
      </c>
      <c r="C224" s="27" t="s">
        <v>274</v>
      </c>
      <c r="D224" s="27" t="s">
        <v>270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/>
    </row>
    <row r="226" spans="1:12">
      <c r="A226" s="20" t="s">
        <v>415</v>
      </c>
    </row>
    <row r="227" spans="1:12">
      <c r="A227" s="20" t="s">
        <v>416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309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417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278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418</v>
      </c>
      <c r="B231" s="27" t="s">
        <v>321</v>
      </c>
      <c r="C231" s="27" t="s">
        <v>274</v>
      </c>
      <c r="D231" s="27" t="s">
        <v>270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309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419</v>
      </c>
      <c r="B233" s="27" t="s">
        <v>302</v>
      </c>
      <c r="C233" s="27" t="s">
        <v>274</v>
      </c>
      <c r="D233" s="27" t="s">
        <v>270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309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366</v>
      </c>
      <c r="B235" s="27" t="s">
        <v>314</v>
      </c>
      <c r="C235" s="27" t="s">
        <v>330</v>
      </c>
      <c r="D235" s="27" t="s">
        <v>270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420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421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285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408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422</v>
      </c>
      <c r="B240" s="27" t="s">
        <v>308</v>
      </c>
      <c r="C240" s="27" t="s">
        <v>319</v>
      </c>
      <c r="D240" s="27" t="s">
        <v>270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320</v>
      </c>
      <c r="B241" s="27" t="s">
        <v>273</v>
      </c>
      <c r="C241" s="27" t="s">
        <v>290</v>
      </c>
      <c r="D241" s="27" t="s">
        <v>270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408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423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424</v>
      </c>
      <c r="B244" s="27" t="s">
        <v>341</v>
      </c>
      <c r="C244" s="27" t="s">
        <v>269</v>
      </c>
      <c r="D244" s="27" t="s">
        <v>270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271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425</v>
      </c>
      <c r="B246" s="27" t="s">
        <v>308</v>
      </c>
      <c r="C246" s="27" t="s">
        <v>274</v>
      </c>
      <c r="D246" s="27" t="s">
        <v>270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426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/>
    </row>
    <row r="249" spans="1:12">
      <c r="A249" s="20" t="s">
        <v>427</v>
      </c>
    </row>
    <row r="250" spans="1:12">
      <c r="A250" s="20" t="s">
        <v>428</v>
      </c>
      <c r="B250" s="27" t="s">
        <v>282</v>
      </c>
      <c r="C250" s="27" t="s">
        <v>283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429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430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309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431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278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432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279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294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298</v>
      </c>
      <c r="B259" s="27" t="s">
        <v>314</v>
      </c>
      <c r="C259" s="27" t="s">
        <v>283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294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433</v>
      </c>
      <c r="B261" s="27" t="s">
        <v>302</v>
      </c>
      <c r="C261" s="27" t="s">
        <v>283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378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/>
    </row>
    <row r="264" spans="1:12">
      <c r="A264" s="20" t="s">
        <v>434</v>
      </c>
    </row>
    <row r="265" spans="1:12">
      <c r="A265" s="20" t="s">
        <v>380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435</v>
      </c>
      <c r="B266" s="27" t="s">
        <v>321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436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437</v>
      </c>
      <c r="B268" s="27" t="s">
        <v>282</v>
      </c>
      <c r="C268" s="27" t="s">
        <v>438</v>
      </c>
      <c r="D268" s="27" t="s">
        <v>270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439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426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/>
    </row>
    <row r="272" spans="1:12">
      <c r="A272" s="20" t="s">
        <v>440</v>
      </c>
    </row>
    <row r="273" spans="1:12">
      <c r="A273" s="20" t="s">
        <v>441</v>
      </c>
      <c r="B273" s="27" t="s">
        <v>282</v>
      </c>
      <c r="C273" s="27" t="s">
        <v>283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442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366</v>
      </c>
      <c r="B275" s="27" t="s">
        <v>321</v>
      </c>
      <c r="C275" s="27" t="s">
        <v>330</v>
      </c>
      <c r="D275" s="27" t="s">
        <v>270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443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309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377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378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/>
    </row>
    <row r="281" spans="1:12">
      <c r="A281" s="20" t="s">
        <v>444</v>
      </c>
    </row>
    <row r="282" spans="1:12">
      <c r="A282" s="20" t="s">
        <v>380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346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384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445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271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446</v>
      </c>
      <c r="B287" s="27" t="s">
        <v>289</v>
      </c>
      <c r="C287" s="27" t="s">
        <v>303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426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/>
    </row>
    <row r="290" spans="1:12">
      <c r="A290" s="20" t="s">
        <v>447</v>
      </c>
    </row>
    <row r="291" spans="1:12">
      <c r="A291" s="20" t="s">
        <v>448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449</v>
      </c>
      <c r="B292" s="27" t="s">
        <v>282</v>
      </c>
      <c r="C292" s="27" t="s">
        <v>274</v>
      </c>
      <c r="D292" s="27" t="s">
        <v>270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278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450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279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285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451</v>
      </c>
      <c r="B297" s="27" t="s">
        <v>273</v>
      </c>
      <c r="C297" s="27" t="s">
        <v>303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452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453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454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455</v>
      </c>
      <c r="B301" s="27" t="s">
        <v>273</v>
      </c>
      <c r="C301" s="27" t="s">
        <v>290</v>
      </c>
      <c r="D301" s="27" t="s">
        <v>270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278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456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293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457</v>
      </c>
      <c r="B305" s="27" t="s">
        <v>289</v>
      </c>
      <c r="C305" s="27" t="s">
        <v>303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458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459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378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/>
    </row>
    <row r="310" spans="1:12">
      <c r="A310" s="20" t="s">
        <v>460</v>
      </c>
    </row>
    <row r="311" spans="1:12">
      <c r="A311" s="20" t="s">
        <v>380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461</v>
      </c>
      <c r="B312" s="27" t="s">
        <v>289</v>
      </c>
      <c r="C312" s="27" t="s">
        <v>274</v>
      </c>
      <c r="D312" s="27" t="s">
        <v>270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271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400</v>
      </c>
      <c r="B314" s="27" t="s">
        <v>289</v>
      </c>
      <c r="C314" s="27" t="s">
        <v>274</v>
      </c>
      <c r="D314" s="27" t="s">
        <v>270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278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309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462</v>
      </c>
      <c r="B317" s="27" t="s">
        <v>273</v>
      </c>
      <c r="C317" s="27" t="s">
        <v>330</v>
      </c>
      <c r="D317" s="27" t="s">
        <v>270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281</v>
      </c>
      <c r="B318" s="27" t="s">
        <v>268</v>
      </c>
      <c r="C318" s="27" t="s">
        <v>283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304</v>
      </c>
      <c r="B319" s="27" t="s">
        <v>370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463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464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293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348</v>
      </c>
      <c r="B323" s="27" t="s">
        <v>308</v>
      </c>
      <c r="C323" s="27" t="s">
        <v>274</v>
      </c>
      <c r="D323" s="27" t="s">
        <v>270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278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463</v>
      </c>
      <c r="B325" s="27" t="s">
        <v>314</v>
      </c>
      <c r="C325" s="27" t="s">
        <v>330</v>
      </c>
      <c r="D325" s="27" t="s">
        <v>270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465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466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467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437</v>
      </c>
      <c r="B329" s="27" t="s">
        <v>268</v>
      </c>
      <c r="C329" s="27" t="s">
        <v>438</v>
      </c>
      <c r="D329" s="27" t="s">
        <v>270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309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468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469</v>
      </c>
      <c r="B332" s="27" t="s">
        <v>314</v>
      </c>
      <c r="C332" s="27" t="s">
        <v>303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293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408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470</v>
      </c>
      <c r="B335" s="27" t="s">
        <v>273</v>
      </c>
      <c r="C335" s="27" t="s">
        <v>319</v>
      </c>
      <c r="D335" s="27" t="s">
        <v>270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471</v>
      </c>
      <c r="B336" s="27" t="s">
        <v>302</v>
      </c>
      <c r="C336" s="27" t="s">
        <v>290</v>
      </c>
      <c r="D336" s="27" t="s">
        <v>270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/>
    </row>
    <row r="338" spans="1:12">
      <c r="A338" s="20" t="s">
        <v>472</v>
      </c>
    </row>
    <row r="339" spans="1:12">
      <c r="A339" s="20" t="s">
        <v>473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81</v>
      </c>
      <c r="B340" s="27" t="s">
        <v>282</v>
      </c>
      <c r="C340" s="27" t="s">
        <v>360</v>
      </c>
      <c r="D340" s="27" t="s">
        <v>270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383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384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474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300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462</v>
      </c>
      <c r="B345" s="27" t="s">
        <v>302</v>
      </c>
      <c r="C345" s="27" t="s">
        <v>330</v>
      </c>
      <c r="D345" s="27" t="s">
        <v>270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475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278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476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477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408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478</v>
      </c>
      <c r="B351" s="27" t="s">
        <v>341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271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266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479</v>
      </c>
      <c r="B354" s="27" t="s">
        <v>308</v>
      </c>
      <c r="C354" s="27" t="s">
        <v>290</v>
      </c>
      <c r="D354" s="27" t="s">
        <v>270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/>
    </row>
    <row r="356" spans="1:12">
      <c r="A356" s="20" t="s">
        <v>480</v>
      </c>
    </row>
    <row r="357" spans="1:12">
      <c r="A357" s="20" t="s">
        <v>481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442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482</v>
      </c>
      <c r="B359" s="27" t="s">
        <v>321</v>
      </c>
      <c r="C359" s="27" t="s">
        <v>438</v>
      </c>
      <c r="D359" s="27" t="s">
        <v>270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304</v>
      </c>
      <c r="B360" s="27" t="s">
        <v>324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483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266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484</v>
      </c>
      <c r="B363" s="27" t="s">
        <v>341</v>
      </c>
      <c r="C363" s="27" t="s">
        <v>269</v>
      </c>
      <c r="D363" s="27" t="s">
        <v>270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485</v>
      </c>
      <c r="B364" s="27" t="s">
        <v>308</v>
      </c>
      <c r="C364" s="27" t="s">
        <v>274</v>
      </c>
      <c r="D364" s="27" t="s">
        <v>270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/>
    </row>
    <row r="366" spans="1:12">
      <c r="A366" s="20" t="s">
        <v>486</v>
      </c>
    </row>
    <row r="367" spans="1:12">
      <c r="A367" s="20" t="s">
        <v>487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453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488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489</v>
      </c>
      <c r="B370" s="27" t="s">
        <v>302</v>
      </c>
      <c r="C370" s="27" t="s">
        <v>290</v>
      </c>
      <c r="D370" s="27" t="s">
        <v>270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278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490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266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491</v>
      </c>
      <c r="B374" s="27" t="s">
        <v>268</v>
      </c>
      <c r="C374" s="27" t="s">
        <v>274</v>
      </c>
      <c r="D374" s="27" t="s">
        <v>270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278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492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493</v>
      </c>
      <c r="B377" s="27" t="s">
        <v>308</v>
      </c>
      <c r="C377" s="27" t="s">
        <v>319</v>
      </c>
      <c r="D377" s="27" t="s">
        <v>270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494</v>
      </c>
      <c r="B378" s="27" t="s">
        <v>324</v>
      </c>
      <c r="C378" s="27" t="s">
        <v>290</v>
      </c>
      <c r="D378" s="27" t="s">
        <v>270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309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408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495</v>
      </c>
      <c r="B381" s="27" t="s">
        <v>329</v>
      </c>
      <c r="C381" s="27" t="s">
        <v>319</v>
      </c>
      <c r="D381" s="27" t="s">
        <v>270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496</v>
      </c>
      <c r="B382" s="27" t="s">
        <v>308</v>
      </c>
      <c r="C382" s="27" t="s">
        <v>290</v>
      </c>
      <c r="D382" s="27" t="s">
        <v>270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497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278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492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493</v>
      </c>
      <c r="B386" s="27" t="s">
        <v>302</v>
      </c>
      <c r="C386" s="27" t="s">
        <v>319</v>
      </c>
      <c r="D386" s="27" t="s">
        <v>270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498</v>
      </c>
      <c r="B387" s="27" t="s">
        <v>282</v>
      </c>
      <c r="C387" s="27" t="s">
        <v>290</v>
      </c>
      <c r="D387" s="27" t="s">
        <v>270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499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500</v>
      </c>
      <c r="B389" s="27" t="s">
        <v>321</v>
      </c>
      <c r="C389" s="27" t="s">
        <v>303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309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492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493</v>
      </c>
      <c r="B392" s="27" t="s">
        <v>308</v>
      </c>
      <c r="C392" s="27" t="s">
        <v>319</v>
      </c>
      <c r="D392" s="27" t="s">
        <v>270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501</v>
      </c>
      <c r="B393" s="27" t="s">
        <v>324</v>
      </c>
      <c r="C393" s="27" t="s">
        <v>290</v>
      </c>
      <c r="D393" s="27" t="s">
        <v>270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502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271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492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503</v>
      </c>
      <c r="B397" s="27" t="s">
        <v>273</v>
      </c>
      <c r="C397" s="27" t="s">
        <v>290</v>
      </c>
      <c r="D397" s="27" t="s">
        <v>270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/>
    </row>
    <row r="399" spans="1:12">
      <c r="A399" s="20" t="s">
        <v>504</v>
      </c>
    </row>
    <row r="400" spans="1:12">
      <c r="A400" s="20" t="s">
        <v>388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505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327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492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506</v>
      </c>
      <c r="B404" s="27" t="s">
        <v>302</v>
      </c>
      <c r="C404" s="27" t="s">
        <v>319</v>
      </c>
      <c r="D404" s="27" t="s">
        <v>270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507</v>
      </c>
      <c r="B405" s="27" t="s">
        <v>282</v>
      </c>
      <c r="C405" s="27" t="s">
        <v>290</v>
      </c>
      <c r="D405" s="27" t="s">
        <v>270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309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327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408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470</v>
      </c>
      <c r="B409" s="27" t="s">
        <v>273</v>
      </c>
      <c r="C409" s="27" t="s">
        <v>319</v>
      </c>
      <c r="D409" s="27" t="s">
        <v>270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508</v>
      </c>
      <c r="B410" s="27" t="s">
        <v>302</v>
      </c>
      <c r="C410" s="27" t="s">
        <v>290</v>
      </c>
      <c r="D410" s="27" t="s">
        <v>270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285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509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489</v>
      </c>
      <c r="B413" s="27" t="s">
        <v>273</v>
      </c>
      <c r="C413" s="27" t="s">
        <v>360</v>
      </c>
      <c r="D413" s="27" t="s">
        <v>270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510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266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511</v>
      </c>
      <c r="B416" s="27" t="s">
        <v>308</v>
      </c>
      <c r="C416" s="27" t="s">
        <v>319</v>
      </c>
      <c r="D416" s="27" t="s">
        <v>270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336</v>
      </c>
      <c r="B417" s="27" t="s">
        <v>341</v>
      </c>
      <c r="C417" s="27" t="s">
        <v>274</v>
      </c>
      <c r="D417" s="27" t="s">
        <v>270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332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333</v>
      </c>
      <c r="B419" s="27" t="s">
        <v>273</v>
      </c>
      <c r="C419" s="27" t="s">
        <v>330</v>
      </c>
      <c r="D419" s="27" t="s">
        <v>270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497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/>
    </row>
    <row r="422" spans="1:12">
      <c r="A422" s="20" t="s">
        <v>512</v>
      </c>
    </row>
    <row r="423" spans="1:12">
      <c r="A423" s="20" t="s">
        <v>513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514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285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515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285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266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297</v>
      </c>
      <c r="B429" s="27" t="s">
        <v>289</v>
      </c>
      <c r="C429" s="27" t="s">
        <v>290</v>
      </c>
      <c r="D429" s="27" t="s">
        <v>270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309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516</v>
      </c>
      <c r="B431" s="27" t="s">
        <v>289</v>
      </c>
      <c r="C431" s="27" t="s">
        <v>269</v>
      </c>
      <c r="D431" s="27" t="s">
        <v>270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285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517</v>
      </c>
      <c r="B433" s="27" t="s">
        <v>302</v>
      </c>
      <c r="C433" s="27" t="s">
        <v>303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327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312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518</v>
      </c>
      <c r="B436" s="27" t="s">
        <v>302</v>
      </c>
      <c r="C436" s="27" t="s">
        <v>290</v>
      </c>
      <c r="D436" s="27" t="s">
        <v>270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278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519</v>
      </c>
      <c r="B438" s="27" t="s">
        <v>273</v>
      </c>
      <c r="C438" s="27" t="s">
        <v>303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278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323</v>
      </c>
      <c r="B440" s="27" t="s">
        <v>273</v>
      </c>
      <c r="C440" s="27" t="s">
        <v>303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309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520</v>
      </c>
      <c r="B442" s="27" t="s">
        <v>273</v>
      </c>
      <c r="C442" s="27" t="s">
        <v>269</v>
      </c>
      <c r="D442" s="27" t="s">
        <v>270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271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521</v>
      </c>
      <c r="B444" s="27" t="s">
        <v>308</v>
      </c>
      <c r="C444" s="27" t="s">
        <v>303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/>
    </row>
    <row r="446" spans="1:12">
      <c r="A446" s="20" t="s">
        <v>522</v>
      </c>
    </row>
    <row r="447" spans="1:12">
      <c r="A447" s="20" t="s">
        <v>523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524</v>
      </c>
      <c r="B448" s="27" t="s">
        <v>282</v>
      </c>
      <c r="C448" s="27" t="s">
        <v>290</v>
      </c>
      <c r="D448" s="27" t="s">
        <v>270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279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525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285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526</v>
      </c>
      <c r="B452" s="27" t="s">
        <v>289</v>
      </c>
      <c r="C452" s="27" t="s">
        <v>303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309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312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527</v>
      </c>
      <c r="B455" s="27" t="s">
        <v>302</v>
      </c>
      <c r="C455" s="27" t="s">
        <v>269</v>
      </c>
      <c r="D455" s="27" t="s">
        <v>270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285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519</v>
      </c>
      <c r="B457" s="27" t="s">
        <v>273</v>
      </c>
      <c r="C457" s="27" t="s">
        <v>303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278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528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304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529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266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267</v>
      </c>
      <c r="B463" s="27" t="s">
        <v>268</v>
      </c>
      <c r="C463" s="27" t="s">
        <v>269</v>
      </c>
      <c r="D463" s="27" t="s">
        <v>270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271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266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491</v>
      </c>
      <c r="B466" s="27" t="s">
        <v>273</v>
      </c>
      <c r="C466" s="27" t="s">
        <v>269</v>
      </c>
      <c r="D466" s="27" t="s">
        <v>270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278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267</v>
      </c>
      <c r="B468" s="27" t="s">
        <v>308</v>
      </c>
      <c r="C468" s="27" t="s">
        <v>303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530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309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531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/>
    </row>
    <row r="473" spans="1:12">
      <c r="A473" s="20" t="s">
        <v>532</v>
      </c>
    </row>
    <row r="474" spans="1:12">
      <c r="A474" s="20" t="s">
        <v>448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533</v>
      </c>
      <c r="B475" s="27" t="s">
        <v>268</v>
      </c>
      <c r="C475" s="27" t="s">
        <v>283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534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266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535</v>
      </c>
      <c r="B478" s="27" t="s">
        <v>314</v>
      </c>
      <c r="C478" s="27" t="s">
        <v>269</v>
      </c>
      <c r="D478" s="27" t="s">
        <v>270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271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266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491</v>
      </c>
      <c r="B481" s="27" t="s">
        <v>273</v>
      </c>
      <c r="C481" s="27" t="s">
        <v>274</v>
      </c>
      <c r="D481" s="27" t="s">
        <v>270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536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537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/>
    </row>
    <row r="485" spans="1:12">
      <c r="A485" s="20" t="s">
        <v>538</v>
      </c>
    </row>
    <row r="486" spans="1:12">
      <c r="A486" s="20" t="s">
        <v>461</v>
      </c>
      <c r="B486" s="27" t="s">
        <v>289</v>
      </c>
      <c r="C486" s="27" t="s">
        <v>269</v>
      </c>
      <c r="D486" s="27" t="s">
        <v>270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343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539</v>
      </c>
      <c r="B488" s="27" t="s">
        <v>289</v>
      </c>
      <c r="C488" s="27" t="s">
        <v>274</v>
      </c>
      <c r="D488" s="27" t="s">
        <v>270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278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540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541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471</v>
      </c>
      <c r="B492" s="27" t="s">
        <v>314</v>
      </c>
      <c r="C492" s="27" t="s">
        <v>360</v>
      </c>
      <c r="D492" s="27" t="s">
        <v>270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378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/>
    </row>
    <row r="495" spans="1:12">
      <c r="A495" s="20" t="s">
        <v>542</v>
      </c>
    </row>
    <row r="496" spans="1:12">
      <c r="A496" s="20" t="s">
        <v>543</v>
      </c>
      <c r="B496" s="27" t="s">
        <v>289</v>
      </c>
      <c r="C496" s="27" t="s">
        <v>274</v>
      </c>
      <c r="D496" s="27" t="s">
        <v>270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271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544</v>
      </c>
      <c r="B498" s="27" t="s">
        <v>302</v>
      </c>
      <c r="C498" s="27" t="s">
        <v>274</v>
      </c>
      <c r="D498" s="27" t="s">
        <v>270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16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112</v>
      </c>
      <c r="B500" s="27" t="s">
        <v>282</v>
      </c>
      <c r="C500" s="27" t="s">
        <v>303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545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296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425</v>
      </c>
      <c r="B503" s="27" t="s">
        <v>273</v>
      </c>
      <c r="C503" s="27" t="s">
        <v>274</v>
      </c>
      <c r="D503" s="27" t="s">
        <v>270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546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271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462</v>
      </c>
      <c r="B506" s="27" t="s">
        <v>273</v>
      </c>
      <c r="C506" s="27" t="s">
        <v>330</v>
      </c>
      <c r="D506" s="27" t="s">
        <v>270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276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547</v>
      </c>
      <c r="B508" s="27" t="s">
        <v>273</v>
      </c>
      <c r="C508" s="27" t="s">
        <v>269</v>
      </c>
      <c r="D508" s="27" t="s">
        <v>270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271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548</v>
      </c>
      <c r="B510" s="27" t="s">
        <v>308</v>
      </c>
      <c r="C510" s="27" t="s">
        <v>303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278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514</v>
      </c>
      <c r="B512" s="27" t="s">
        <v>329</v>
      </c>
      <c r="C512" s="27" t="s">
        <v>303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309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516</v>
      </c>
      <c r="B514" s="27" t="s">
        <v>329</v>
      </c>
      <c r="C514" s="27" t="s">
        <v>303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278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304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425</v>
      </c>
      <c r="B517" s="27" t="s">
        <v>324</v>
      </c>
      <c r="C517" s="27" t="s">
        <v>322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287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549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550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271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462</v>
      </c>
      <c r="B522" s="27" t="s">
        <v>273</v>
      </c>
      <c r="C522" s="27" t="s">
        <v>330</v>
      </c>
      <c r="D522" s="27" t="s">
        <v>270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276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551</v>
      </c>
      <c r="B524" s="27" t="s">
        <v>273</v>
      </c>
      <c r="C524" s="27" t="s">
        <v>322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552</v>
      </c>
      <c r="B525" s="27" t="s">
        <v>308</v>
      </c>
      <c r="C525" s="27" t="s">
        <v>319</v>
      </c>
      <c r="D525" s="27" t="s">
        <v>270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278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300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462</v>
      </c>
      <c r="B528" s="27" t="s">
        <v>289</v>
      </c>
      <c r="C528" s="27" t="s">
        <v>330</v>
      </c>
      <c r="D528" s="27" t="s">
        <v>270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466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553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16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/>
    </row>
    <row r="533" spans="1:12">
      <c r="A533" s="20" t="s">
        <v>554</v>
      </c>
    </row>
    <row r="534" spans="1:12">
      <c r="A534" s="20" t="s">
        <v>555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304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278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556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266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557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558</v>
      </c>
      <c r="B540" s="27" t="s">
        <v>302</v>
      </c>
      <c r="C540" s="27" t="s">
        <v>290</v>
      </c>
      <c r="D540" s="27" t="s">
        <v>270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309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312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559</v>
      </c>
      <c r="B543" s="27" t="s">
        <v>273</v>
      </c>
      <c r="C543" s="27" t="s">
        <v>269</v>
      </c>
      <c r="D543" s="27" t="s">
        <v>270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271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425</v>
      </c>
      <c r="B545" s="27" t="s">
        <v>308</v>
      </c>
      <c r="C545" s="27" t="s">
        <v>274</v>
      </c>
      <c r="D545" s="27" t="s">
        <v>270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278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560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561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293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462</v>
      </c>
      <c r="B550" s="27" t="s">
        <v>302</v>
      </c>
      <c r="C550" s="27" t="s">
        <v>330</v>
      </c>
      <c r="D550" s="27" t="s">
        <v>270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278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462</v>
      </c>
      <c r="B552" s="27" t="s">
        <v>282</v>
      </c>
      <c r="C552" s="27" t="s">
        <v>330</v>
      </c>
      <c r="D552" s="27" t="s">
        <v>270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294</v>
      </c>
      <c r="B553" s="27" t="s">
        <v>321</v>
      </c>
      <c r="C553" s="27" t="s">
        <v>330</v>
      </c>
      <c r="D553" s="27" t="s">
        <v>270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562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563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327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312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564</v>
      </c>
      <c r="B558" s="27" t="s">
        <v>289</v>
      </c>
      <c r="C558" s="27" t="s">
        <v>290</v>
      </c>
      <c r="D558" s="27" t="s">
        <v>270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276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565</v>
      </c>
      <c r="B560" s="27" t="s">
        <v>289</v>
      </c>
      <c r="C560" s="27" t="s">
        <v>269</v>
      </c>
      <c r="D560" s="27" t="s">
        <v>270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271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566</v>
      </c>
      <c r="B562" s="27" t="s">
        <v>302</v>
      </c>
      <c r="C562" s="27" t="s">
        <v>303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309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294</v>
      </c>
      <c r="B564" s="27" t="s">
        <v>314</v>
      </c>
      <c r="C564" s="27" t="s">
        <v>330</v>
      </c>
      <c r="D564" s="27" t="s">
        <v>270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562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567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/>
    </row>
    <row r="568" spans="1:12">
      <c r="A568" s="20" t="s">
        <v>568</v>
      </c>
    </row>
    <row r="569" spans="1:12">
      <c r="A569" s="20" t="s">
        <v>569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425</v>
      </c>
      <c r="B570" s="27" t="s">
        <v>282</v>
      </c>
      <c r="C570" s="27" t="s">
        <v>274</v>
      </c>
      <c r="D570" s="27" t="s">
        <v>270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286</v>
      </c>
      <c r="B571" s="27" t="s">
        <v>321</v>
      </c>
      <c r="C571" s="27" t="s">
        <v>330</v>
      </c>
      <c r="D571" s="27" t="s">
        <v>270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570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571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278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572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286</v>
      </c>
      <c r="B576" s="27" t="s">
        <v>314</v>
      </c>
      <c r="C576" s="27" t="s">
        <v>330</v>
      </c>
      <c r="D576" s="27" t="s">
        <v>270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296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408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573</v>
      </c>
      <c r="B579" s="27" t="s">
        <v>302</v>
      </c>
      <c r="C579" s="27" t="s">
        <v>269</v>
      </c>
      <c r="D579" s="27" t="s">
        <v>270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271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312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574</v>
      </c>
      <c r="B582" s="27" t="s">
        <v>273</v>
      </c>
      <c r="C582" s="27" t="s">
        <v>290</v>
      </c>
      <c r="D582" s="27" t="s">
        <v>270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278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365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383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575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576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304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577</v>
      </c>
      <c r="B589" s="27" t="s">
        <v>268</v>
      </c>
      <c r="C589" s="27" t="s">
        <v>438</v>
      </c>
      <c r="D589" s="27" t="s">
        <v>270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286</v>
      </c>
      <c r="B590" s="27" t="s">
        <v>314</v>
      </c>
      <c r="C590" s="27" t="s">
        <v>330</v>
      </c>
      <c r="D590" s="27" t="s">
        <v>270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578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285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579</v>
      </c>
      <c r="B593" s="27" t="s">
        <v>273</v>
      </c>
      <c r="C593" s="27" t="s">
        <v>319</v>
      </c>
      <c r="D593" s="27" t="s">
        <v>270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342</v>
      </c>
      <c r="B594" s="27" t="s">
        <v>302</v>
      </c>
      <c r="C594" s="27" t="s">
        <v>322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/>
    </row>
    <row r="596" spans="1:12">
      <c r="A596" s="20" t="s">
        <v>580</v>
      </c>
    </row>
    <row r="597" spans="1:12">
      <c r="A597" s="20" t="s">
        <v>581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582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583</v>
      </c>
      <c r="B599" s="27" t="s">
        <v>282</v>
      </c>
      <c r="C599" s="27" t="s">
        <v>274</v>
      </c>
      <c r="D599" s="27" t="s">
        <v>270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293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579</v>
      </c>
      <c r="B601" s="27" t="s">
        <v>302</v>
      </c>
      <c r="C601" s="27" t="s">
        <v>319</v>
      </c>
      <c r="D601" s="27" t="s">
        <v>270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584</v>
      </c>
      <c r="B602" s="27" t="s">
        <v>289</v>
      </c>
      <c r="C602" s="27" t="s">
        <v>322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378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/>
    </row>
    <row r="605" spans="1:12">
      <c r="A605" s="20" t="s">
        <v>585</v>
      </c>
    </row>
    <row r="606" spans="1:12">
      <c r="A606" s="20" t="s">
        <v>586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587</v>
      </c>
      <c r="B607" s="27" t="s">
        <v>282</v>
      </c>
      <c r="C607" s="27" t="s">
        <v>330</v>
      </c>
      <c r="D607" s="27" t="s">
        <v>270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588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293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312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589</v>
      </c>
      <c r="B611" s="27" t="s">
        <v>302</v>
      </c>
      <c r="C611" s="27" t="s">
        <v>319</v>
      </c>
      <c r="D611" s="27" t="s">
        <v>270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590</v>
      </c>
      <c r="B612" s="27" t="s">
        <v>289</v>
      </c>
      <c r="C612" s="27" t="s">
        <v>290</v>
      </c>
      <c r="D612" s="27" t="s">
        <v>270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278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365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591</v>
      </c>
      <c r="B615" s="27" t="s">
        <v>268</v>
      </c>
      <c r="C615" s="27" t="s">
        <v>330</v>
      </c>
      <c r="D615" s="27" t="s">
        <v>270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383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592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/>
    </row>
    <row r="619" spans="1:12">
      <c r="A619" s="20" t="s">
        <v>593</v>
      </c>
    </row>
    <row r="620" spans="1:12">
      <c r="A620" s="20" t="s">
        <v>594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437</v>
      </c>
      <c r="B621" s="27" t="s">
        <v>289</v>
      </c>
      <c r="C621" s="27" t="s">
        <v>438</v>
      </c>
      <c r="D621" s="27" t="s">
        <v>270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279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595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266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511</v>
      </c>
      <c r="B625" s="27" t="s">
        <v>302</v>
      </c>
      <c r="C625" s="27" t="s">
        <v>319</v>
      </c>
      <c r="D625" s="27" t="s">
        <v>270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596</v>
      </c>
      <c r="B626" s="27" t="s">
        <v>321</v>
      </c>
      <c r="C626" s="27" t="s">
        <v>290</v>
      </c>
      <c r="D626" s="27" t="s">
        <v>270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332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597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312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589</v>
      </c>
      <c r="B630" s="27" t="s">
        <v>273</v>
      </c>
      <c r="C630" s="27" t="s">
        <v>319</v>
      </c>
      <c r="D630" s="27" t="s">
        <v>270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369</v>
      </c>
      <c r="B631" s="27" t="s">
        <v>314</v>
      </c>
      <c r="C631" s="27" t="s">
        <v>290</v>
      </c>
      <c r="D631" s="27" t="s">
        <v>270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598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/>
    </row>
    <row r="634" spans="1:12">
      <c r="A634" s="20" t="s">
        <v>599</v>
      </c>
    </row>
    <row r="635" spans="1:12">
      <c r="A635" s="20" t="s">
        <v>332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505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312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589</v>
      </c>
      <c r="B638" s="27" t="s">
        <v>302</v>
      </c>
      <c r="C638" s="27" t="s">
        <v>319</v>
      </c>
      <c r="D638" s="27" t="s">
        <v>270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600</v>
      </c>
      <c r="B639" s="27" t="s">
        <v>282</v>
      </c>
      <c r="C639" s="27" t="s">
        <v>290</v>
      </c>
      <c r="D639" s="27" t="s">
        <v>270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601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285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312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602</v>
      </c>
      <c r="B643" s="27" t="s">
        <v>289</v>
      </c>
      <c r="C643" s="27" t="s">
        <v>290</v>
      </c>
      <c r="D643" s="27" t="s">
        <v>270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/>
    </row>
    <row r="645" spans="1:12">
      <c r="A645" s="20" t="s">
        <v>603</v>
      </c>
    </row>
    <row r="646" spans="1:12">
      <c r="A646" s="20" t="s">
        <v>365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604</v>
      </c>
      <c r="B647" s="27" t="s">
        <v>282</v>
      </c>
      <c r="C647" s="27" t="s">
        <v>330</v>
      </c>
      <c r="D647" s="27" t="s">
        <v>270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383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605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294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150</v>
      </c>
      <c r="B651" s="27" t="s">
        <v>289</v>
      </c>
      <c r="C651" s="27" t="s">
        <v>269</v>
      </c>
      <c r="D651" s="27" t="s">
        <v>270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589</v>
      </c>
      <c r="B652" s="27" t="s">
        <v>289</v>
      </c>
      <c r="C652" s="27" t="s">
        <v>319</v>
      </c>
      <c r="D652" s="27" t="s">
        <v>270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285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453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606</v>
      </c>
      <c r="B655" s="27" t="s">
        <v>289</v>
      </c>
      <c r="C655" s="27" t="s">
        <v>290</v>
      </c>
      <c r="D655" s="27" t="s">
        <v>270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278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607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608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304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266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609</v>
      </c>
      <c r="B661" s="27" t="s">
        <v>308</v>
      </c>
      <c r="C661" s="27" t="s">
        <v>319</v>
      </c>
      <c r="D661" s="27" t="s">
        <v>270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337</v>
      </c>
      <c r="B662" s="27" t="s">
        <v>324</v>
      </c>
      <c r="C662" s="27" t="s">
        <v>274</v>
      </c>
      <c r="D662" s="27" t="s">
        <v>270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610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312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611</v>
      </c>
      <c r="B665" s="27" t="s">
        <v>341</v>
      </c>
      <c r="C665" s="27" t="s">
        <v>290</v>
      </c>
      <c r="D665" s="27" t="s">
        <v>270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/>
    </row>
    <row r="667" spans="1:12">
      <c r="A667" s="20" t="s">
        <v>612</v>
      </c>
    </row>
    <row r="668" spans="1:12">
      <c r="A668" s="20" t="s">
        <v>613</v>
      </c>
      <c r="B668" s="27" t="s">
        <v>321</v>
      </c>
      <c r="C668" s="27" t="s">
        <v>330</v>
      </c>
      <c r="D668" s="27" t="s">
        <v>270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614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615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616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408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617</v>
      </c>
      <c r="B673" s="27" t="s">
        <v>314</v>
      </c>
      <c r="C673" s="27" t="s">
        <v>269</v>
      </c>
      <c r="D673" s="27" t="s">
        <v>270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271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312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618</v>
      </c>
      <c r="B676" s="27" t="s">
        <v>273</v>
      </c>
      <c r="C676" s="27" t="s">
        <v>290</v>
      </c>
      <c r="D676" s="27" t="s">
        <v>270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278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619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620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271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621</v>
      </c>
      <c r="B681" s="27" t="s">
        <v>302</v>
      </c>
      <c r="C681" s="27" t="s">
        <v>303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452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312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622</v>
      </c>
      <c r="B684" s="27" t="s">
        <v>273</v>
      </c>
      <c r="C684" s="27" t="s">
        <v>319</v>
      </c>
      <c r="D684" s="27" t="s">
        <v>270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623</v>
      </c>
      <c r="B685" s="27" t="s">
        <v>302</v>
      </c>
      <c r="C685" s="27" t="s">
        <v>290</v>
      </c>
      <c r="D685" s="27" t="s">
        <v>270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/>
    </row>
    <row r="687" spans="1:12">
      <c r="A687" s="20" t="s">
        <v>624</v>
      </c>
    </row>
    <row r="688" spans="1:12">
      <c r="A688" s="20" t="s">
        <v>625</v>
      </c>
      <c r="B688" s="27" t="s">
        <v>282</v>
      </c>
      <c r="C688" s="27" t="s">
        <v>274</v>
      </c>
      <c r="D688" s="27" t="s">
        <v>270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278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619</v>
      </c>
      <c r="B690" s="27" t="s">
        <v>321</v>
      </c>
      <c r="C690" s="27" t="s">
        <v>330</v>
      </c>
      <c r="D690" s="27" t="s">
        <v>270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465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626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627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463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628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278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584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293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266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629</v>
      </c>
      <c r="B700" s="27" t="s">
        <v>302</v>
      </c>
      <c r="C700" s="27" t="s">
        <v>269</v>
      </c>
      <c r="D700" s="27" t="s">
        <v>270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583</v>
      </c>
      <c r="B701" s="27" t="s">
        <v>273</v>
      </c>
      <c r="C701" s="27" t="s">
        <v>274</v>
      </c>
      <c r="D701" s="27" t="s">
        <v>270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278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304</v>
      </c>
      <c r="B703" s="27" t="s">
        <v>341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587</v>
      </c>
      <c r="B704" s="27" t="s">
        <v>324</v>
      </c>
      <c r="C704" s="27" t="s">
        <v>330</v>
      </c>
      <c r="D704" s="27" t="s">
        <v>270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630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309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560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631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309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312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552</v>
      </c>
      <c r="B711" s="27" t="s">
        <v>632</v>
      </c>
      <c r="C711" s="27" t="s">
        <v>319</v>
      </c>
      <c r="D711" s="27" t="s">
        <v>270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633</v>
      </c>
      <c r="B712" s="27" t="s">
        <v>353</v>
      </c>
      <c r="C712" s="27" t="s">
        <v>290</v>
      </c>
      <c r="D712" s="27" t="s">
        <v>270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354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634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635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550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636</v>
      </c>
      <c r="B717" s="27" t="s">
        <v>329</v>
      </c>
      <c r="C717" s="27" t="s">
        <v>330</v>
      </c>
      <c r="D717" s="27" t="s">
        <v>270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/>
    </row>
    <row r="719" spans="1:12">
      <c r="A719" s="20" t="s">
        <v>637</v>
      </c>
    </row>
    <row r="720" spans="1:12">
      <c r="A720" s="20" t="s">
        <v>638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639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575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484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309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640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304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425</v>
      </c>
      <c r="B727" s="27" t="s">
        <v>324</v>
      </c>
      <c r="C727" s="27" t="s">
        <v>274</v>
      </c>
      <c r="D727" s="27" t="s">
        <v>270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453</v>
      </c>
      <c r="B728" s="27" t="s">
        <v>341</v>
      </c>
      <c r="C728" s="27" t="s">
        <v>330</v>
      </c>
      <c r="D728" s="27" t="s">
        <v>270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641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642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643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271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644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645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327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266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579</v>
      </c>
      <c r="B737" s="27" t="s">
        <v>632</v>
      </c>
      <c r="C737" s="27" t="s">
        <v>319</v>
      </c>
      <c r="D737" s="27" t="s">
        <v>270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646</v>
      </c>
      <c r="B738" s="27" t="s">
        <v>329</v>
      </c>
      <c r="C738" s="27" t="s">
        <v>290</v>
      </c>
      <c r="D738" s="27" t="s">
        <v>270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298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579</v>
      </c>
      <c r="B740" s="27" t="s">
        <v>632</v>
      </c>
      <c r="C740" s="27" t="s">
        <v>319</v>
      </c>
      <c r="D740" s="27" t="s">
        <v>270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647</v>
      </c>
      <c r="B741" s="27" t="s">
        <v>648</v>
      </c>
      <c r="C741" s="27" t="s">
        <v>649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/>
    </row>
    <row r="743" spans="1:12">
      <c r="A743" s="20" t="s">
        <v>650</v>
      </c>
    </row>
    <row r="744" spans="1:12">
      <c r="A744" s="20" t="s">
        <v>651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312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652</v>
      </c>
      <c r="B746" s="27" t="s">
        <v>321</v>
      </c>
      <c r="C746" s="27" t="s">
        <v>269</v>
      </c>
      <c r="D746" s="27" t="s">
        <v>270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271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653</v>
      </c>
      <c r="B748" s="27" t="s">
        <v>302</v>
      </c>
      <c r="C748" s="27" t="s">
        <v>274</v>
      </c>
      <c r="D748" s="27" t="s">
        <v>270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309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274</v>
      </c>
      <c r="B750" s="27" t="s">
        <v>314</v>
      </c>
      <c r="C750" s="27" t="s">
        <v>330</v>
      </c>
      <c r="D750" s="27" t="s">
        <v>270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456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378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/>
    </row>
    <row r="754" spans="1:12">
      <c r="A754" s="20" t="s">
        <v>654</v>
      </c>
    </row>
    <row r="755" spans="1:12">
      <c r="A755" s="20" t="s">
        <v>607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312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552</v>
      </c>
      <c r="B757" s="27" t="s">
        <v>302</v>
      </c>
      <c r="C757" s="27" t="s">
        <v>319</v>
      </c>
      <c r="D757" s="27" t="s">
        <v>270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600</v>
      </c>
      <c r="B758" s="27" t="s">
        <v>282</v>
      </c>
      <c r="C758" s="27" t="s">
        <v>290</v>
      </c>
      <c r="D758" s="27" t="s">
        <v>270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655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611</v>
      </c>
      <c r="B760" s="27" t="s">
        <v>321</v>
      </c>
      <c r="C760" s="27" t="s">
        <v>303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/>
    </row>
    <row r="762" spans="1:12">
      <c r="A762" s="20" t="s">
        <v>656</v>
      </c>
    </row>
    <row r="763" spans="1:12">
      <c r="A763" s="20" t="s">
        <v>657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543</v>
      </c>
      <c r="B764" s="27" t="s">
        <v>282</v>
      </c>
      <c r="C764" s="27" t="s">
        <v>274</v>
      </c>
      <c r="D764" s="27" t="s">
        <v>270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425</v>
      </c>
      <c r="B765" s="27" t="s">
        <v>302</v>
      </c>
      <c r="C765" s="27" t="s">
        <v>274</v>
      </c>
      <c r="D765" s="27" t="s">
        <v>270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294</v>
      </c>
      <c r="B766" s="27" t="s">
        <v>321</v>
      </c>
      <c r="C766" s="27" t="s">
        <v>330</v>
      </c>
      <c r="D766" s="27" t="s">
        <v>270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570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571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309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636</v>
      </c>
      <c r="B770" s="27" t="s">
        <v>302</v>
      </c>
      <c r="C770" s="27" t="s">
        <v>330</v>
      </c>
      <c r="D770" s="27" t="s">
        <v>270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281</v>
      </c>
      <c r="B771" s="27" t="s">
        <v>268</v>
      </c>
      <c r="C771" s="27" t="s">
        <v>283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274</v>
      </c>
      <c r="B772" s="27" t="s">
        <v>314</v>
      </c>
      <c r="C772" s="27" t="s">
        <v>330</v>
      </c>
      <c r="D772" s="27" t="s">
        <v>270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658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659</v>
      </c>
      <c r="B774" s="27" t="s">
        <v>289</v>
      </c>
      <c r="C774" s="27" t="s">
        <v>269</v>
      </c>
      <c r="D774" s="27" t="s">
        <v>270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/>
    </row>
    <row r="776" spans="1:12">
      <c r="A776" s="20" t="s">
        <v>660</v>
      </c>
    </row>
    <row r="777" spans="1:12">
      <c r="A777" s="20" t="s">
        <v>661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662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293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312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590</v>
      </c>
      <c r="B781" s="27" t="s">
        <v>289</v>
      </c>
      <c r="C781" s="27" t="s">
        <v>269</v>
      </c>
      <c r="D781" s="27" t="s">
        <v>270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271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425</v>
      </c>
      <c r="B783" s="27" t="s">
        <v>302</v>
      </c>
      <c r="C783" s="27" t="s">
        <v>274</v>
      </c>
      <c r="D783" s="27" t="s">
        <v>270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309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555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663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664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296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266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665</v>
      </c>
      <c r="B790" s="27" t="s">
        <v>273</v>
      </c>
      <c r="C790" s="27" t="s">
        <v>274</v>
      </c>
      <c r="D790" s="27" t="s">
        <v>270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286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336</v>
      </c>
      <c r="B792" s="27" t="s">
        <v>341</v>
      </c>
      <c r="C792" s="27" t="s">
        <v>274</v>
      </c>
      <c r="D792" s="27" t="s">
        <v>270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337</v>
      </c>
      <c r="B793" s="27" t="s">
        <v>308</v>
      </c>
      <c r="C793" s="27" t="s">
        <v>274</v>
      </c>
      <c r="D793" s="27" t="s">
        <v>270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304</v>
      </c>
      <c r="B794" s="27" t="s">
        <v>648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587</v>
      </c>
      <c r="B795" s="27" t="s">
        <v>353</v>
      </c>
      <c r="C795" s="27" t="s">
        <v>330</v>
      </c>
      <c r="D795" s="27" t="s">
        <v>270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641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666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278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286</v>
      </c>
      <c r="B799" s="27" t="s">
        <v>314</v>
      </c>
      <c r="C799" s="27" t="s">
        <v>330</v>
      </c>
      <c r="D799" s="27" t="s">
        <v>270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570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667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278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300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462</v>
      </c>
      <c r="B804" s="27" t="s">
        <v>302</v>
      </c>
      <c r="C804" s="27" t="s">
        <v>303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668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669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169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309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670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/>
    </row>
    <row r="811" spans="1:12">
      <c r="A811" s="20" t="s">
        <v>671</v>
      </c>
    </row>
    <row r="812" spans="1:12">
      <c r="A812" s="20" t="s">
        <v>583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582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383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672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293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266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297</v>
      </c>
      <c r="B818" s="27" t="s">
        <v>289</v>
      </c>
      <c r="C818" s="27" t="s">
        <v>290</v>
      </c>
      <c r="D818" s="27" t="s">
        <v>270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598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673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587</v>
      </c>
      <c r="B821" s="27" t="s">
        <v>268</v>
      </c>
      <c r="C821" s="27" t="s">
        <v>330</v>
      </c>
      <c r="D821" s="27" t="s">
        <v>270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490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378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/>
    </row>
    <row r="825" spans="1:12">
      <c r="A825" s="20" t="s">
        <v>674</v>
      </c>
    </row>
    <row r="826" spans="1:12">
      <c r="A826" s="20" t="s">
        <v>675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293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312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589</v>
      </c>
      <c r="B829" s="27" t="s">
        <v>302</v>
      </c>
      <c r="C829" s="27" t="s">
        <v>319</v>
      </c>
      <c r="D829" s="27" t="s">
        <v>270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590</v>
      </c>
      <c r="B830" s="27" t="s">
        <v>289</v>
      </c>
      <c r="C830" s="27" t="s">
        <v>290</v>
      </c>
      <c r="D830" s="27" t="s">
        <v>270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/>
    </row>
    <row r="832" spans="1:12">
      <c r="A832" s="20" t="s">
        <v>676</v>
      </c>
    </row>
    <row r="833" spans="1:12">
      <c r="A833" s="20" t="s">
        <v>677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591</v>
      </c>
      <c r="B834" s="27" t="s">
        <v>282</v>
      </c>
      <c r="C834" s="27" t="s">
        <v>330</v>
      </c>
      <c r="D834" s="27" t="s">
        <v>270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678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492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679</v>
      </c>
      <c r="B837" s="27" t="s">
        <v>302</v>
      </c>
      <c r="C837" s="27" t="s">
        <v>319</v>
      </c>
      <c r="D837" s="27" t="s">
        <v>270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680</v>
      </c>
      <c r="B838" s="27" t="s">
        <v>321</v>
      </c>
      <c r="C838" s="27" t="s">
        <v>290</v>
      </c>
      <c r="D838" s="27" t="s">
        <v>270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300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681</v>
      </c>
      <c r="B840" s="27" t="s">
        <v>289</v>
      </c>
      <c r="C840" s="27" t="s">
        <v>269</v>
      </c>
      <c r="D840" s="27" t="s">
        <v>270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293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492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679</v>
      </c>
      <c r="B843" s="27" t="s">
        <v>273</v>
      </c>
      <c r="C843" s="27" t="s">
        <v>319</v>
      </c>
      <c r="D843" s="27" t="s">
        <v>270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451</v>
      </c>
      <c r="B844" s="27" t="s">
        <v>302</v>
      </c>
      <c r="C844" s="27" t="s">
        <v>290</v>
      </c>
      <c r="D844" s="27" t="s">
        <v>270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/>
    </row>
    <row r="846" spans="1:12">
      <c r="A846" s="20" t="s">
        <v>682</v>
      </c>
    </row>
    <row r="847" spans="1:12">
      <c r="A847" s="20" t="s">
        <v>683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684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452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685</v>
      </c>
      <c r="B850" s="27" t="s">
        <v>289</v>
      </c>
      <c r="C850" s="27" t="s">
        <v>303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311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312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313</v>
      </c>
      <c r="B853" s="27" t="s">
        <v>282</v>
      </c>
      <c r="C853" s="27" t="s">
        <v>269</v>
      </c>
      <c r="D853" s="27" t="s">
        <v>270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271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539</v>
      </c>
      <c r="B855" s="27" t="s">
        <v>302</v>
      </c>
      <c r="C855" s="27" t="s">
        <v>274</v>
      </c>
      <c r="D855" s="27" t="s">
        <v>270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304</v>
      </c>
      <c r="B856" s="27" t="s">
        <v>341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425</v>
      </c>
      <c r="B857" s="27" t="s">
        <v>324</v>
      </c>
      <c r="C857" s="27" t="s">
        <v>274</v>
      </c>
      <c r="D857" s="27" t="s">
        <v>270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570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686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491</v>
      </c>
      <c r="B860" s="27" t="s">
        <v>341</v>
      </c>
      <c r="C860" s="27" t="s">
        <v>274</v>
      </c>
      <c r="D860" s="27" t="s">
        <v>270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309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653</v>
      </c>
      <c r="B862" s="27" t="s">
        <v>308</v>
      </c>
      <c r="C862" s="27" t="s">
        <v>274</v>
      </c>
      <c r="D862" s="27" t="s">
        <v>270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358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543</v>
      </c>
      <c r="B864" s="27" t="s">
        <v>308</v>
      </c>
      <c r="C864" s="27" t="s">
        <v>274</v>
      </c>
      <c r="D864" s="27" t="s">
        <v>270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304</v>
      </c>
      <c r="B865" s="27" t="s">
        <v>648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462</v>
      </c>
      <c r="B866" s="27" t="s">
        <v>353</v>
      </c>
      <c r="C866" s="27" t="s">
        <v>330</v>
      </c>
      <c r="D866" s="27" t="s">
        <v>270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562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687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688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426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/>
    </row>
    <row r="872" spans="1:12">
      <c r="A872" s="20" t="s">
        <v>689</v>
      </c>
    </row>
    <row r="873" spans="1:12">
      <c r="A873" s="20" t="s">
        <v>690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294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691</v>
      </c>
      <c r="B875" s="27" t="s">
        <v>289</v>
      </c>
      <c r="C875" s="27" t="s">
        <v>290</v>
      </c>
      <c r="D875" s="27" t="s">
        <v>270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692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437</v>
      </c>
      <c r="B877" s="27" t="s">
        <v>282</v>
      </c>
      <c r="C877" s="27" t="s">
        <v>438</v>
      </c>
      <c r="D877" s="27" t="s">
        <v>270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279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693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694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266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596</v>
      </c>
      <c r="B882" s="27" t="s">
        <v>314</v>
      </c>
      <c r="C882" s="27" t="s">
        <v>290</v>
      </c>
      <c r="D882" s="27" t="s">
        <v>270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309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695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293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449</v>
      </c>
      <c r="B886" s="27" t="s">
        <v>302</v>
      </c>
      <c r="C886" s="27" t="s">
        <v>274</v>
      </c>
      <c r="D886" s="27" t="s">
        <v>270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309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293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453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454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696</v>
      </c>
      <c r="B891" s="27" t="s">
        <v>273</v>
      </c>
      <c r="C891" s="27" t="s">
        <v>290</v>
      </c>
      <c r="D891" s="27" t="s">
        <v>270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378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/>
    </row>
    <row r="894" spans="1:12">
      <c r="A894" s="20" t="s">
        <v>697</v>
      </c>
    </row>
    <row r="895" spans="1:12">
      <c r="A895" s="20" t="s">
        <v>380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435</v>
      </c>
      <c r="B896" s="27" t="s">
        <v>302</v>
      </c>
      <c r="C896" s="27" t="s">
        <v>698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699</v>
      </c>
      <c r="B897" s="27" t="s">
        <v>321</v>
      </c>
      <c r="C897" s="27" t="s">
        <v>322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700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99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278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701</v>
      </c>
      <c r="B901" s="27" t="s">
        <v>321</v>
      </c>
      <c r="C901" s="27" t="s">
        <v>303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439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426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/>
    </row>
    <row r="905" spans="1:12">
      <c r="A905" s="20" t="s">
        <v>702</v>
      </c>
    </row>
    <row r="906" spans="1:12">
      <c r="A906" s="20" t="s">
        <v>388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449</v>
      </c>
      <c r="B907" s="27" t="s">
        <v>282</v>
      </c>
      <c r="C907" s="27" t="s">
        <v>274</v>
      </c>
      <c r="D907" s="27" t="s">
        <v>270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703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378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/>
    </row>
    <row r="911" spans="1:12">
      <c r="A911" s="20" t="s">
        <v>704</v>
      </c>
    </row>
    <row r="912" spans="1:12">
      <c r="A912" s="20" t="s">
        <v>380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705</v>
      </c>
      <c r="B913" s="27" t="s">
        <v>282</v>
      </c>
      <c r="C913" s="27" t="s">
        <v>274</v>
      </c>
      <c r="D913" s="27" t="s">
        <v>270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309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328</v>
      </c>
      <c r="B915" s="27" t="s">
        <v>302</v>
      </c>
      <c r="C915" s="27" t="s">
        <v>283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271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462</v>
      </c>
      <c r="B917" s="27" t="s">
        <v>273</v>
      </c>
      <c r="C917" s="27" t="s">
        <v>330</v>
      </c>
      <c r="D917" s="27" t="s">
        <v>270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279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706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223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285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266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535</v>
      </c>
      <c r="B923" s="27" t="s">
        <v>302</v>
      </c>
      <c r="C923" s="27" t="s">
        <v>269</v>
      </c>
      <c r="D923" s="27" t="s">
        <v>270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271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543</v>
      </c>
      <c r="B925" s="27" t="s">
        <v>273</v>
      </c>
      <c r="C925" s="27" t="s">
        <v>274</v>
      </c>
      <c r="D925" s="27" t="s">
        <v>270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653</v>
      </c>
      <c r="B926" s="27" t="s">
        <v>308</v>
      </c>
      <c r="C926" s="27" t="s">
        <v>274</v>
      </c>
      <c r="D926" s="27" t="s">
        <v>270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278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276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312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707</v>
      </c>
      <c r="B930" s="27" t="s">
        <v>302</v>
      </c>
      <c r="C930" s="27" t="s">
        <v>269</v>
      </c>
      <c r="D930" s="27" t="s">
        <v>270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271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492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 t="s">
        <v>493</v>
      </c>
      <c r="B933" s="27" t="s">
        <v>308</v>
      </c>
      <c r="C933" s="27" t="s">
        <v>319</v>
      </c>
      <c r="D933" s="27" t="s">
        <v>270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708</v>
      </c>
      <c r="B934" s="27" t="s">
        <v>273</v>
      </c>
      <c r="C934" s="27" t="s">
        <v>290</v>
      </c>
      <c r="D934" s="27" t="s">
        <v>270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598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/>
    </row>
    <row r="937" spans="1:12">
      <c r="A937" s="20" t="s">
        <v>709</v>
      </c>
    </row>
    <row r="938" spans="1:12">
      <c r="A938" s="20" t="s">
        <v>555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207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266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710</v>
      </c>
      <c r="B941" s="27" t="s">
        <v>321</v>
      </c>
      <c r="C941" s="27" t="s">
        <v>269</v>
      </c>
      <c r="D941" s="27" t="s">
        <v>270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271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286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336</v>
      </c>
      <c r="B944" s="27" t="s">
        <v>302</v>
      </c>
      <c r="C944" s="27" t="s">
        <v>274</v>
      </c>
      <c r="D944" s="27" t="s">
        <v>270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337</v>
      </c>
      <c r="B945" s="27" t="s">
        <v>282</v>
      </c>
      <c r="C945" s="27" t="s">
        <v>274</v>
      </c>
      <c r="D945" s="27" t="s">
        <v>270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/>
    </row>
    <row r="947" spans="1:12">
      <c r="A947" s="20" t="s">
        <v>711</v>
      </c>
    </row>
    <row r="948" spans="1:12">
      <c r="A948" s="20" t="s">
        <v>594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462</v>
      </c>
      <c r="B949" s="27" t="s">
        <v>289</v>
      </c>
      <c r="C949" s="27" t="s">
        <v>330</v>
      </c>
      <c r="D949" s="27" t="s">
        <v>270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582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354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312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712</v>
      </c>
      <c r="B953" s="27" t="s">
        <v>289</v>
      </c>
      <c r="C953" s="27" t="s">
        <v>290</v>
      </c>
      <c r="D953" s="27" t="s">
        <v>270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309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276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492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493</v>
      </c>
      <c r="B957" s="27" t="s">
        <v>302</v>
      </c>
      <c r="C957" s="27" t="s">
        <v>319</v>
      </c>
      <c r="D957" s="27" t="s">
        <v>270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494</v>
      </c>
      <c r="B958" s="27" t="s">
        <v>289</v>
      </c>
      <c r="C958" s="27" t="s">
        <v>290</v>
      </c>
      <c r="D958" s="27" t="s">
        <v>270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309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 t="s">
        <v>276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 t="s">
        <v>281</v>
      </c>
      <c r="B961" s="27" t="s">
        <v>289</v>
      </c>
      <c r="C961" s="27" t="s">
        <v>283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 t="s">
        <v>713</v>
      </c>
      <c r="B962" s="27" t="s">
        <v>302</v>
      </c>
      <c r="C962" s="27" t="s">
        <v>438</v>
      </c>
      <c r="D962" s="27" t="s">
        <v>270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 t="s">
        <v>304</v>
      </c>
      <c r="B963" s="27" t="s">
        <v>305</v>
      </c>
      <c r="E963" s="21">
        <f>IF(D963="?OLD","!!!","")</f>
        <v/>
      </c>
      <c r="F963" s="22" t="str">
        <f>IF(OR(E963="",E963="!!!"),"",IF(NOT(ISNA(VLOOKUP(E963,E$1:E962,1,FALSE()))),"OLD",IF(AND(E963&lt;&gt;"",E963&lt;&gt;"!!!"),"NEW","")))</f>
        <v> </v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4" t="str">
        <f>IF(J963&lt;&gt;1,"",IF(I963="SBJ","CB","?"))</f>
        <v> </v>
      </c>
      <c r="I963" s="25" t="str">
        <f>IF(OR(E963="",E963="!!!",F963="NEW"),"",INDEX(B962:B$2,-1+SUMPRODUCT(MAX(ROW(E962:E$2)*(E963=E962:E$2)))))</f>
        <v> </v>
      </c>
      <c r="J963" s="25" t="str">
        <f>IF(OR(E963="",E963="!!!",F963="NEW"),"",COUNTBLANK(OFFSET(A$1,,,SUMPRODUCT(MAX(ROW(E$2:E963)*(E963=E$2:E963)))))-COUNTBLANK(OFFSET(A$1,,,SUMPRODUCT(MAX(ROW(E$1:E962)*(E2=E$1:E962))))))</f>
        <v> </v>
      </c>
      <c r="K963" s="25" t="str">
        <f>IF(OR(E963="",E963="!!!",F963="NEW"),"",INDEX(J$1:J962,SUMPRODUCT(MAX(ROW(E$1:E962)*(E963=E$1:E962)))))</f>
        <v> </v>
      </c>
      <c r="L963" s="26"/>
    </row>
    <row r="964" spans="1:12">
      <c r="A964" s="20" t="s">
        <v>384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714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278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 t="s">
        <v>715</v>
      </c>
      <c r="B967" s="27" t="s">
        <v>305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274</v>
      </c>
      <c r="B968" s="27" t="s">
        <v>370</v>
      </c>
      <c r="C968" s="27" t="s">
        <v>330</v>
      </c>
      <c r="D968" s="27" t="s">
        <v>270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716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266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491</v>
      </c>
      <c r="B971" s="27" t="s">
        <v>370</v>
      </c>
      <c r="C971" s="27" t="s">
        <v>274</v>
      </c>
      <c r="D971" s="27" t="s">
        <v>270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425</v>
      </c>
      <c r="B972" s="27" t="s">
        <v>329</v>
      </c>
      <c r="C972" s="27" t="s">
        <v>274</v>
      </c>
      <c r="D972" s="27" t="s">
        <v>270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717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426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/>
    </row>
    <row r="976" spans="1:12">
      <c r="A976" s="20" t="s">
        <v>718</v>
      </c>
    </row>
    <row r="977" spans="1:12">
      <c r="A977" s="20" t="s">
        <v>719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720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339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 t="s">
        <v>471</v>
      </c>
      <c r="B980" s="27" t="s">
        <v>289</v>
      </c>
      <c r="C980" s="27" t="s">
        <v>322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366</v>
      </c>
      <c r="B981" s="27" t="s">
        <v>321</v>
      </c>
      <c r="C981" s="27" t="s">
        <v>330</v>
      </c>
      <c r="D981" s="27" t="s">
        <v>270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 t="s">
        <v>721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309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366</v>
      </c>
      <c r="B984" s="27" t="s">
        <v>314</v>
      </c>
      <c r="C984" s="27" t="s">
        <v>330</v>
      </c>
      <c r="D984" s="27" t="s">
        <v>270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722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378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/>
    </row>
    <row r="988" spans="1:12">
      <c r="A988" s="20" t="s">
        <v>723</v>
      </c>
    </row>
    <row r="989" spans="1:12">
      <c r="A989" s="20" t="s">
        <v>380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724</v>
      </c>
      <c r="B990" s="27" t="s">
        <v>289</v>
      </c>
      <c r="C990" s="27" t="s">
        <v>274</v>
      </c>
      <c r="D990" s="27" t="s">
        <v>270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296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577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725</v>
      </c>
      <c r="B993" s="27" t="s">
        <v>289</v>
      </c>
      <c r="C993" s="27" t="s">
        <v>360</v>
      </c>
      <c r="D993" s="27" t="s">
        <v>270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726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426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/>
    </row>
    <row r="997" spans="1:12">
      <c r="A997" s="20" t="s">
        <v>727</v>
      </c>
    </row>
    <row r="998" spans="1:12">
      <c r="A998" s="20" t="s">
        <v>448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728</v>
      </c>
      <c r="B999" s="27" t="s">
        <v>282</v>
      </c>
      <c r="C999" s="27" t="s">
        <v>438</v>
      </c>
      <c r="D999" s="27" t="s">
        <v>270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304</v>
      </c>
      <c r="B1000" s="27" t="s">
        <v>324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729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312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552</v>
      </c>
      <c r="B1003" s="27" t="s">
        <v>308</v>
      </c>
      <c r="C1003" s="27" t="s">
        <v>319</v>
      </c>
      <c r="D1003" s="27" t="s">
        <v>270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730</v>
      </c>
      <c r="B1004" s="27" t="s">
        <v>341</v>
      </c>
      <c r="C1004" s="27" t="s">
        <v>290</v>
      </c>
      <c r="D1004" s="27" t="s">
        <v>270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334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731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309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358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267</v>
      </c>
      <c r="B1009" s="27" t="s">
        <v>302</v>
      </c>
      <c r="C1009" s="27" t="s">
        <v>360</v>
      </c>
      <c r="D1009" s="27" t="s">
        <v>270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279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732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293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318</v>
      </c>
      <c r="B1013" s="27" t="s">
        <v>302</v>
      </c>
      <c r="C1013" s="27" t="s">
        <v>330</v>
      </c>
      <c r="D1013" s="27" t="s">
        <v>270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733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734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735</v>
      </c>
      <c r="B1016" s="27" t="s">
        <v>268</v>
      </c>
      <c r="C1016" s="27" t="s">
        <v>736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/>
    </row>
    <row r="1018" spans="1:12">
      <c r="A1018" s="20" t="s">
        <v>737</v>
      </c>
    </row>
    <row r="1019" spans="1:12">
      <c r="A1019" s="20" t="s">
        <v>372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738</v>
      </c>
      <c r="B1020" s="27" t="s">
        <v>321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285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294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227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294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 t="s">
        <v>739</v>
      </c>
      <c r="B1025" s="27" t="s">
        <v>321</v>
      </c>
      <c r="C1025" s="27" t="s">
        <v>269</v>
      </c>
      <c r="D1025" s="27" t="s">
        <v>270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271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 t="s">
        <v>453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696</v>
      </c>
      <c r="B1028" s="27" t="s">
        <v>302</v>
      </c>
      <c r="C1028" s="27" t="s">
        <v>290</v>
      </c>
      <c r="D1028" s="27" t="s">
        <v>270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 t="s">
        <v>309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285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294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740</v>
      </c>
      <c r="B1032" s="27" t="s">
        <v>302</v>
      </c>
      <c r="C1032" s="27" t="s">
        <v>290</v>
      </c>
      <c r="D1032" s="27" t="s">
        <v>270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741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278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285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312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742</v>
      </c>
      <c r="B1037" s="27" t="s">
        <v>289</v>
      </c>
      <c r="C1037" s="27" t="s">
        <v>269</v>
      </c>
      <c r="D1037" s="27" t="s">
        <v>270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271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266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743</v>
      </c>
      <c r="B1040" s="27" t="s">
        <v>302</v>
      </c>
      <c r="C1040" s="27" t="s">
        <v>290</v>
      </c>
      <c r="D1040" s="27" t="s">
        <v>270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309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285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408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 t="s">
        <v>744</v>
      </c>
      <c r="B1044" s="27" t="s">
        <v>302</v>
      </c>
      <c r="C1044" s="27" t="s">
        <v>290</v>
      </c>
      <c r="D1044" s="27" t="s">
        <v>270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/>
    </row>
    <row r="1046" spans="1:12">
      <c r="A1046" s="20" t="s">
        <v>745</v>
      </c>
    </row>
    <row r="1047" spans="1:12">
      <c r="A1047" s="20" t="s">
        <v>746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747</v>
      </c>
      <c r="B1048" s="27" t="s">
        <v>282</v>
      </c>
      <c r="C1048" s="27" t="s">
        <v>269</v>
      </c>
      <c r="D1048" s="27" t="s">
        <v>270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271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748</v>
      </c>
      <c r="B1050" s="27" t="s">
        <v>302</v>
      </c>
      <c r="C1050" s="27" t="s">
        <v>303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575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285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281</v>
      </c>
      <c r="B1053" s="27" t="s">
        <v>289</v>
      </c>
      <c r="C1053" s="27" t="s">
        <v>283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309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514</v>
      </c>
      <c r="B1055" s="27" t="s">
        <v>289</v>
      </c>
      <c r="C1055" s="27" t="s">
        <v>303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309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516</v>
      </c>
      <c r="B1057" s="27" t="s">
        <v>268</v>
      </c>
      <c r="C1057" s="27" t="s">
        <v>303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749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276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551</v>
      </c>
      <c r="B1060" s="27" t="s">
        <v>302</v>
      </c>
      <c r="C1060" s="27" t="s">
        <v>269</v>
      </c>
      <c r="D1060" s="27" t="s">
        <v>270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271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453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696</v>
      </c>
      <c r="B1063" s="27" t="s">
        <v>273</v>
      </c>
      <c r="C1063" s="27" t="s">
        <v>290</v>
      </c>
      <c r="D1063" s="27" t="s">
        <v>270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/>
    </row>
    <row r="1065" spans="1:12">
      <c r="A1065" s="20" t="s">
        <v>750</v>
      </c>
    </row>
    <row r="1066" spans="1:12">
      <c r="A1066" s="20" t="s">
        <v>428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728</v>
      </c>
      <c r="B1067" s="27" t="s">
        <v>282</v>
      </c>
      <c r="C1067" s="27" t="s">
        <v>438</v>
      </c>
      <c r="D1067" s="27" t="s">
        <v>270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304</v>
      </c>
      <c r="B1068" s="27" t="s">
        <v>324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429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751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 t="s">
        <v>752</v>
      </c>
      <c r="B1071" s="27" t="s">
        <v>273</v>
      </c>
      <c r="C1071" s="27" t="s">
        <v>303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753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 t="s">
        <v>284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309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754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351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699</v>
      </c>
      <c r="B1077" s="27" t="s">
        <v>289</v>
      </c>
      <c r="C1077" s="27" t="s">
        <v>322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285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755</v>
      </c>
      <c r="B1079" s="27" t="s">
        <v>289</v>
      </c>
      <c r="C1079" s="27" t="s">
        <v>303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/>
    </row>
    <row r="1081" spans="1:12">
      <c r="A1081" s="20" t="s">
        <v>756</v>
      </c>
    </row>
    <row r="1082" spans="1:12">
      <c r="A1082" s="20" t="s">
        <v>757</v>
      </c>
      <c r="B1082" s="27" t="s">
        <v>282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641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758</v>
      </c>
      <c r="B1084" s="27" t="s">
        <v>321</v>
      </c>
      <c r="C1084" s="27" t="s">
        <v>303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309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759</v>
      </c>
      <c r="B1086" s="27" t="s">
        <v>268</v>
      </c>
      <c r="C1086" s="27" t="s">
        <v>303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408</v>
      </c>
      <c r="B1087" s="27" t="s">
        <v>314</v>
      </c>
      <c r="C1087" s="27" t="s">
        <v>330</v>
      </c>
      <c r="D1087" s="27" t="s">
        <v>270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 t="s">
        <v>760</v>
      </c>
      <c r="E1088" s="21">
        <f>IF(D1088="?OLD","!!!","")</f>
        <v/>
      </c>
      <c r="F1088" s="22" t="str">
        <f>IF(OR(E1088="",E1088="!!!"),"",IF(NOT(ISNA(VLOOKUP(E1088,E$1:E1087,1,FALSE()))),"OLD",IF(AND(E1088&lt;&gt;"",E1088&lt;&gt;"!!!"),"NEW","")))</f>
        <v> </v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4" t="str">
        <f>IF(J1088&lt;&gt;1,"",IF(I1088="SBJ","CB","?"))</f>
        <v> </v>
      </c>
      <c r="I1088" s="25" t="str">
        <f>IF(OR(E1088="",E1088="!!!",F1088="NEW"),"",INDEX(B1087:B$2,-1+SUMPRODUCT(MAX(ROW(E1087:E$2)*(E1088=E1087:E$2)))))</f>
        <v> </v>
      </c>
      <c r="J1088" s="25" t="str">
        <f>IF(OR(E1088="",E1088="!!!",F1088="NEW"),"",COUNTBLANK(OFFSET(A$1,,,SUMPRODUCT(MAX(ROW(E$2:E1088)*(E1088=E$2:E1088)))))-COUNTBLANK(OFFSET(A$1,,,SUMPRODUCT(MAX(ROW(E$1:E1087)*(E2=E$1:E1087))))))</f>
        <v> </v>
      </c>
      <c r="K1088" s="25" t="str">
        <f>IF(OR(E1088="",E1088="!!!",F1088="NEW"),"",INDEX(J$1:J1087,SUMPRODUCT(MAX(ROW(E$1:E1087)*(E1088=E$1:E1087)))))</f>
        <v> </v>
      </c>
      <c r="L1088" s="26"/>
    </row>
    <row r="1089" spans="1:12">
      <c r="A1089" s="20" t="s">
        <v>309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274</v>
      </c>
      <c r="B1090" s="27" t="s">
        <v>314</v>
      </c>
      <c r="C1090" s="27" t="s">
        <v>330</v>
      </c>
      <c r="D1090" s="27" t="s">
        <v>270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761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762</v>
      </c>
      <c r="B1092" s="27" t="s">
        <v>314</v>
      </c>
      <c r="C1092" s="27" t="s">
        <v>303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293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281</v>
      </c>
      <c r="B1094" s="27" t="s">
        <v>302</v>
      </c>
      <c r="C1094" s="27" t="s">
        <v>283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278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556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 t="s">
        <v>266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763</v>
      </c>
      <c r="B1098" s="27" t="s">
        <v>289</v>
      </c>
      <c r="C1098" s="27" t="s">
        <v>269</v>
      </c>
      <c r="D1098" s="27" t="s">
        <v>270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271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328</v>
      </c>
      <c r="B1100" s="27" t="s">
        <v>302</v>
      </c>
      <c r="C1100" s="27" t="s">
        <v>283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/>
    </row>
    <row r="1102" spans="1:12">
      <c r="A1102" s="20" t="s">
        <v>764</v>
      </c>
    </row>
    <row r="1103" spans="1:12">
      <c r="A1103" s="20" t="s">
        <v>765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267</v>
      </c>
      <c r="B1104" s="27" t="s">
        <v>289</v>
      </c>
      <c r="C1104" s="27" t="s">
        <v>322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 t="s">
        <v>281</v>
      </c>
      <c r="B1105" s="27" t="s">
        <v>282</v>
      </c>
      <c r="C1105" s="27" t="s">
        <v>283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 t="s">
        <v>284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766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266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767</v>
      </c>
      <c r="B1109" s="27" t="s">
        <v>321</v>
      </c>
      <c r="C1109" s="27" t="s">
        <v>290</v>
      </c>
      <c r="D1109" s="27" t="s">
        <v>270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309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768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266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743</v>
      </c>
      <c r="B1113" s="27" t="s">
        <v>314</v>
      </c>
      <c r="C1113" s="27" t="s">
        <v>290</v>
      </c>
      <c r="D1113" s="27" t="s">
        <v>270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293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313</v>
      </c>
      <c r="B1115" s="27" t="s">
        <v>302</v>
      </c>
      <c r="C1115" s="27" t="s">
        <v>303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769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492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770</v>
      </c>
      <c r="B1118" s="27" t="s">
        <v>314</v>
      </c>
      <c r="C1118" s="27" t="s">
        <v>290</v>
      </c>
      <c r="D1118" s="27" t="s">
        <v>270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452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771</v>
      </c>
      <c r="B1120" s="27" t="s">
        <v>302</v>
      </c>
      <c r="C1120" s="27" t="s">
        <v>303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309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772</v>
      </c>
      <c r="B1122" s="27" t="s">
        <v>273</v>
      </c>
      <c r="C1122" s="27" t="s">
        <v>269</v>
      </c>
      <c r="D1122" s="27" t="s">
        <v>270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271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596</v>
      </c>
      <c r="B1124" s="27" t="s">
        <v>308</v>
      </c>
      <c r="C1124" s="27" t="s">
        <v>303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/>
    </row>
    <row r="1126" spans="1:12">
      <c r="A1126" s="20" t="s">
        <v>773</v>
      </c>
    </row>
    <row r="1127" spans="1:12">
      <c r="A1127" s="20" t="s">
        <v>774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425</v>
      </c>
      <c r="B1128" s="27" t="s">
        <v>321</v>
      </c>
      <c r="C1128" s="27" t="s">
        <v>274</v>
      </c>
      <c r="D1128" s="27" t="s">
        <v>270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309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775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312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 t="s">
        <v>776</v>
      </c>
      <c r="B1132" s="27" t="s">
        <v>314</v>
      </c>
      <c r="C1132" s="27" t="s">
        <v>269</v>
      </c>
      <c r="D1132" s="27" t="s">
        <v>270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 t="s">
        <v>271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 t="s">
        <v>692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266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777</v>
      </c>
      <c r="B1136" s="27" t="s">
        <v>273</v>
      </c>
      <c r="C1136" s="27" t="s">
        <v>290</v>
      </c>
      <c r="D1136" s="27" t="s">
        <v>270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/>
    </row>
    <row r="1138" spans="1:12">
      <c r="A1138" s="20" t="s">
        <v>778</v>
      </c>
    </row>
    <row r="1139" spans="1:12">
      <c r="A1139" s="20" t="s">
        <v>779</v>
      </c>
      <c r="E1139" s="21">
        <f>IF(D1139="?OLD","!!!","")</f>
        <v/>
      </c>
      <c r="F1139" s="22" t="str">
        <f>IF(OR(E1139="",E1139="!!!"),"",IF(NOT(ISNA(VLOOKUP(E1139,E$1:E1138,1,FALSE()))),"OLD",IF(AND(E1139&lt;&gt;"",E1139&lt;&gt;"!!!"),"NEW","")))</f>
        <v> </v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4" t="str">
        <f>IF(J1139&lt;&gt;1,"",IF(I1139="SBJ","CB","?"))</f>
        <v> </v>
      </c>
      <c r="I1139" s="25" t="str">
        <f>IF(OR(E1139="",E1139="!!!",F1139="NEW"),"",INDEX(B1138:B$2,-1+SUMPRODUCT(MAX(ROW(E1138:E$2)*(E1139=E1138:E$2)))))</f>
        <v> </v>
      </c>
      <c r="J1139" s="25" t="str">
        <f>IF(OR(E1139="",E1139="!!!",F1139="NEW"),"",COUNTBLANK(OFFSET(A$1,,,SUMPRODUCT(MAX(ROW(E$2:E1139)*(E1139=E$2:E1139)))))-COUNTBLANK(OFFSET(A$1,,,SUMPRODUCT(MAX(ROW(E$1:E1138)*(E2=E$1:E1138))))))</f>
        <v> </v>
      </c>
      <c r="K1139" s="25" t="str">
        <f>IF(OR(E1139="",E1139="!!!",F1139="NEW"),"",INDEX(J$1:J1138,SUMPRODUCT(MAX(ROW(E$1:E1138)*(E1139=E$1:E1138)))))</f>
        <v> </v>
      </c>
      <c r="L1139" s="26"/>
    </row>
    <row r="1140" spans="1:12">
      <c r="A1140" s="20" t="s">
        <v>266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 t="s">
        <v>491</v>
      </c>
      <c r="B1141" s="27" t="s">
        <v>282</v>
      </c>
      <c r="C1141" s="27" t="s">
        <v>274</v>
      </c>
      <c r="D1141" s="27" t="s">
        <v>270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351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267</v>
      </c>
      <c r="B1143" s="27" t="s">
        <v>289</v>
      </c>
      <c r="C1143" s="27" t="s">
        <v>322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780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293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312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781</v>
      </c>
      <c r="B1147" s="27" t="s">
        <v>289</v>
      </c>
      <c r="C1147" s="27" t="s">
        <v>269</v>
      </c>
      <c r="D1147" s="27" t="s">
        <v>270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713</v>
      </c>
      <c r="B1148" s="27" t="s">
        <v>302</v>
      </c>
      <c r="C1148" s="27" t="s">
        <v>438</v>
      </c>
      <c r="D1148" s="27" t="s">
        <v>270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 t="s">
        <v>304</v>
      </c>
      <c r="B1149" s="27" t="s">
        <v>305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 t="s">
        <v>429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782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2026-01-26T16:53:01Z</dcterms:created>
  <dcterms:modified xsi:type="dcterms:W3CDTF">2026-01-26T16:53:01Z</dcterms:modified>
</cp:coreProperties>
</file>