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<sst xmlns="http://schemas.openxmlformats.org/spreadsheetml/2006/main" count="7846" uniqueCount="1836">
  <si>
    <t>ID</t>
  </si>
  <si>
    <t>PRED_ID</t>
  </si>
  <si>
    <t>MARKER_AUTO</t>
  </si>
  <si>
    <t>PREDICATE</t>
  </si>
  <si>
    <t>TEXT</t>
  </si>
  <si>
    <t>SENTENCE</t>
  </si>
  <si>
    <t>MARKER</t>
  </si>
  <si>
    <t>TARGET</t>
  </si>
  <si>
    <t>RELATION</t>
  </si>
  <si>
    <t>COMMENT</t>
  </si>
  <si>
    <t>1</t>
  </si>
  <si>
    <t>5</t>
  </si>
  <si>
    <t>_</t>
  </si>
  <si>
    <t>parlare</t>
  </si>
  <si>
    <t>Di questi tempi tutti parlano di felicità .</t>
  </si>
  <si>
    <t>file://conllu/it/teddy-1030.conllu#s1_0</t>
  </si>
  <si>
    <t>2</t>
  </si>
  <si>
    <t>chiedere</t>
  </si>
  <si>
    <t>Ho chiesto di contare il numero di libri contenenti la parola &amp;quot; felicità &amp;quot; nel in il titolo e pubblicati negli in gli ultimi 5 anni , hanno smesso di contare dopo aver raggiunto quota 40 , e ce n' erano molti di più .</t>
  </si>
  <si>
    <t>file://conllu/it/teddy-1030.conllu#s2_0</t>
  </si>
  <si>
    <t>3</t>
  </si>
  <si>
    <t>essere</t>
  </si>
  <si>
    <t>C' è un enorme ondata d' interesse sulla su la felicità , tra i ricercatori .</t>
  </si>
  <si>
    <t>file://conllu/it/teddy-1030.conllu#s3_0</t>
  </si>
  <si>
    <t>4</t>
  </si>
  <si>
    <t>C' è molto &amp;quot; coaching &amp;quot; ( tutoraggio ) sulla su la felicità .</t>
  </si>
  <si>
    <t>file://conllu/it/teddy-1030.conllu#s4_0</t>
  </si>
  <si>
    <t>volere</t>
  </si>
  <si>
    <t>Tutti vorrebbero rendere le persone più felici .</t>
  </si>
  <si>
    <t>file://conllu/it/teddy-1030.conllu#s5_0</t>
  </si>
  <si>
    <t>6</t>
  </si>
  <si>
    <t>10</t>
  </si>
  <si>
    <t>nonostante?</t>
  </si>
  <si>
    <t>essere (essere serie)</t>
  </si>
  <si>
    <t>Ma nonostante tutto questo flusso di lavoro , vi sono una serie di &amp;quot; trappole cognitive &amp;quot; che in qualche modo rendono impossibile elaborare idee corrette sulla su la felicità .</t>
  </si>
  <si>
    <t>file://conllu/it/teddy-1030.conllu#s6_0</t>
  </si>
  <si>
    <t>7</t>
  </si>
  <si>
    <t>riguardare</t>
  </si>
  <si>
    <t>Il mio discorso di oggi riguarderà soprattutto queste &amp;quot; trappole cognitive &amp;quot; .</t>
  </si>
  <si>
    <t>file://conllu/it/teddy-1030.conllu#s7_0</t>
  </si>
  <si>
    <t>8</t>
  </si>
  <si>
    <t>e?</t>
  </si>
  <si>
    <t>E riguarda sia persone profane ( ndt:non esperte ) che pensano alla a la loro felicità , e riguarda studiosi che studiano la felicità , perché pare che noi siamo confusi come tutti gli altri .</t>
  </si>
  <si>
    <t>file://conllu/it/teddy-1030.conllu#s8_0</t>
  </si>
  <si>
    <t>9</t>
  </si>
  <si>
    <t>prima?</t>
  </si>
  <si>
    <t>essere (essere riluttanza)</t>
  </si>
  <si>
    <t>La prima di queste trappole è la riluttanza ad ammettere la complessità .</t>
  </si>
  <si>
    <t>file://conllu/it/teddy-1030.conllu#s9_0</t>
  </si>
  <si>
    <t>infatti?</t>
  </si>
  <si>
    <t>risultare</t>
  </si>
  <si>
    <t>Risulta infatti che la parola felicità non sia più una parola utile in quanto la applichiamo a troppi campi .</t>
  </si>
  <si>
    <t>file://conllu/it/teddy-1030.conllu#s10_0</t>
  </si>
  <si>
    <t>11</t>
  </si>
  <si>
    <t>credere</t>
  </si>
  <si>
    <t>Io credo che la si possa restringere ad un significato particolare ma in linea di massima , dovremo disfarci disfar ci di questa accezione e dovremo adottare la visione più complicata di che cosa sia il &amp;quot; benessere &amp;quot; .</t>
  </si>
  <si>
    <t>file://conllu/it/teddy-1030.conllu#s11_0</t>
  </si>
  <si>
    <t>12</t>
  </si>
  <si>
    <t>essere (essere confusione)</t>
  </si>
  <si>
    <t>La seconda trappola è la confusione tra esperienza e memoria :</t>
  </si>
  <si>
    <t>file://conllu/it/teddy-1030.conllu#s12_0</t>
  </si>
  <si>
    <t>13</t>
  </si>
  <si>
    <t>trattare</t>
  </si>
  <si>
    <t>in pratica si tratta di scegliere tra essere felici nella in la vita ed essere felici della di la propria vita o felici riguardo alla a la propria vita .</t>
  </si>
  <si>
    <t>file://conllu/it/teddy-1030.conllu#s13_0</t>
  </si>
  <si>
    <t>14</t>
  </si>
  <si>
    <t>essere (essere concetto)</t>
  </si>
  <si>
    <t>E questi sono due concetti estremamente diversi , entrambi parte del di il concetto di felicità .</t>
  </si>
  <si>
    <t>file://conllu/it/teddy-1030.conllu#s14_0</t>
  </si>
  <si>
    <t>15</t>
  </si>
  <si>
    <t>essere (essere terzo)</t>
  </si>
  <si>
    <t>E la terza ( trappola ) è l' illusione della di la focalizzazione ossia lo sfortunato fatto per cui non possiamo pensare ad alcuna circostanza che influisca sul su il benessere senza distorcerne l' importanza .</t>
  </si>
  <si>
    <t>file://conllu/it/teddy-1030.conllu#s15_0</t>
  </si>
  <si>
    <t>16</t>
  </si>
  <si>
    <t>Voglio dire , si tratta di una vera trappola cognitiva .</t>
  </si>
  <si>
    <t>file://conllu/it/teddy-1030.conllu#s16_0</t>
  </si>
  <si>
    <t>17</t>
  </si>
  <si>
    <t>e non c' è alcun modo di fare la cosa giusta .</t>
  </si>
  <si>
    <t>file://conllu/it/teddy-1030.conllu#s17_0</t>
  </si>
  <si>
    <t>18</t>
  </si>
  <si>
    <t>piacere</t>
  </si>
  <si>
    <t>Mi piacerebbe iniziare con un esempio di una persona che , dopo una sessione di domande e risposte , dopo una mia lezione , raccontò una storia .</t>
  </si>
  <si>
    <t>file://conllu/it/teddy-1030.conllu#s18_0</t>
  </si>
  <si>
    <t>19</t>
  </si>
  <si>
    <t>[</t>
  </si>
  <si>
    <t>[ non chiaro..</t>
  </si>
  <si>
    <t>file://conllu/it/teddy-1030.conllu#s19_0</t>
  </si>
  <si>
    <t>20</t>
  </si>
  <si>
    <t>ascoltare (ascoltare sentire dire)</t>
  </si>
  <si>
    <t>. ] Disse che mentre ascoltava una sinfonia di musica assolutamente magnifica proprio alla a la fine della di la registrazione,♪ si sentì un suono terribilmente stridulo .</t>
  </si>
  <si>
    <t>file://conllu/it/teddy-1030.conllu#s20_0</t>
  </si>
  <si>
    <t>21</t>
  </si>
  <si>
    <t>poi?</t>
  </si>
  <si>
    <t>aggiungere</t>
  </si>
  <si>
    <t>E poi aggiunse , in maniera molto emotiva , che ( quell' ultimo suono , ndt ) aveva rovinato l' intera esperienza .</t>
  </si>
  <si>
    <t>file://conllu/it/teddy-1030.conllu#s21_0</t>
  </si>
  <si>
    <t>22</t>
  </si>
  <si>
    <t>ma?</t>
  </si>
  <si>
    <t>essere (essere vero)</t>
  </si>
  <si>
    <t>Ma non era vero .</t>
  </si>
  <si>
    <t>file://conllu/it/teddy-1030.conllu#s22_0</t>
  </si>
  <si>
    <t>23</t>
  </si>
  <si>
    <t>essere (essere ricordo)</t>
  </si>
  <si>
    <t>Quello che era stato rovinato era il ricordo dell' di l' esperienza .</t>
  </si>
  <si>
    <t>file://conllu/it/teddy-1030.conllu#s23_0</t>
  </si>
  <si>
    <t>24</t>
  </si>
  <si>
    <t>vivere</t>
  </si>
  <si>
    <t>Lui aveva vissuto l' esperienza .</t>
  </si>
  <si>
    <t>file://conllu/it/teddy-1030.conllu#s24_0</t>
  </si>
  <si>
    <t>25</t>
  </si>
  <si>
    <t>per?</t>
  </si>
  <si>
    <t>ascoltare</t>
  </si>
  <si>
    <t>Ed aveva ascoltato per 20 minuti della di la musica meravigliosa .</t>
  </si>
  <si>
    <t>file://conllu/it/teddy-1030.conllu#s25_0</t>
  </si>
  <si>
    <t>26</t>
  </si>
  <si>
    <t>contare</t>
  </si>
  <si>
    <t>ma ciò non contò per niente perchè lui rimase con un certo ricordo ;</t>
  </si>
  <si>
    <t>file://conllu/it/teddy-1030.conllu#s26_0</t>
  </si>
  <si>
    <t>27</t>
  </si>
  <si>
    <t>rovinare</t>
  </si>
  <si>
    <t>Il ricordo era rovinato , e il ricordo era tutto ciò che gli rimaneva .</t>
  </si>
  <si>
    <t>file://conllu/it/teddy-1030.conllu#s27_0</t>
  </si>
  <si>
    <t>28</t>
  </si>
  <si>
    <t>Ciò che questo episodio ci dice , in fondo , è che noi potremmo pensare a noi stessi e ad altre persone in termini di due &amp;quot; sè &amp;quot; .</t>
  </si>
  <si>
    <t>file://conllu/it/teddy-1030.conllu#s28_0</t>
  </si>
  <si>
    <t>29</t>
  </si>
  <si>
    <t>C' è un sè che vive delle di le esperienze , che vive nel in il presente e conosce il presente , ed è capace di rivivere il passato , ma che in pratica ha solo il presente .</t>
  </si>
  <si>
    <t>file://conllu/it/teddy-1030.conllu#s29_0</t>
  </si>
  <si>
    <t>30</t>
  </si>
  <si>
    <t>Si tratta del di il &amp;quot; sé che vive le esperienze &amp;quot; e al a il quale il dottore si avvicina sapete quando il dottore chiede , &amp;quot; Ti fa male ora , quando tocco qui ? &amp;quot;</t>
  </si>
  <si>
    <t>file://conllu/it/teddy-1030.conllu#s30_0</t>
  </si>
  <si>
    <t>31</t>
  </si>
  <si>
    <t>E poi c' è il &amp;quot; sé che si ricorda &amp;quot; , si tratta del di il &amp;quot; sé che si ricorda &amp;quot; che segna i punti , e si occupa della di la storia della di la nostra vita , ed è quel &amp;quot; sé &amp;quot; a cui il dottore si avvicina chiedendo :</t>
  </si>
  <si>
    <t>file://conllu/it/teddy-1030.conllu#s31_0</t>
  </si>
  <si>
    <t>32</t>
  </si>
  <si>
    <t>come?</t>
  </si>
  <si>
    <t>sentire</t>
  </si>
  <si>
    <t>&amp;quot; Come ti sei sentito negli in gli ultimi tempi ? &amp;quot; o &amp;quot; Com' è andato il tuo viaggio in Albania ? &amp;quot; o qualcosa di simile .</t>
  </si>
  <si>
    <t>file://conllu/it/teddy-1030.conllu#s32_0</t>
  </si>
  <si>
    <t>33</t>
  </si>
  <si>
    <t>essere (essere entità)</t>
  </si>
  <si>
    <t>Quelle sono due entità differenti , il sé che vive un' esperienza e quello che se la ricorda , e confondersi confonder si tra le due è parte della di la confusione sulla su la nozione di felicità .</t>
  </si>
  <si>
    <t>file://conllu/it/teddy-1030.conllu#s33_0</t>
  </si>
  <si>
    <t>34</t>
  </si>
  <si>
    <t>essere (essere cantastoria)</t>
  </si>
  <si>
    <t>Il sé che ricorda , è un cantastorie .</t>
  </si>
  <si>
    <t>file://conllu/it/teddy-1030.conllu#s34_0</t>
  </si>
  <si>
    <t>35</t>
  </si>
  <si>
    <t>iniziare</t>
  </si>
  <si>
    <t>E questo processo inizia con una risposta fondamentale dei di i nostri ricordi inizia immediatamente .</t>
  </si>
  <si>
    <t>file://conllu/it/teddy-1030.conllu#s35_0</t>
  </si>
  <si>
    <t>36</t>
  </si>
  <si>
    <t>quando?</t>
  </si>
  <si>
    <t>raccontare (raccontare decidere raccontare)</t>
  </si>
  <si>
    <t>Noi non raccontiamo storie solo quando decidiamo di raccontarle raccontar le .</t>
  </si>
  <si>
    <t>file://conllu/it/teddy-1030.conllu#s36_0</t>
  </si>
  <si>
    <t>37</t>
  </si>
  <si>
    <t>raccontare</t>
  </si>
  <si>
    <t>La nostra memoria ci racconta storie , ossia , quello che ci rimane delle di le nostre esperienze è una storia .</t>
  </si>
  <si>
    <t>file://conllu/it/teddy-1030.conllu#s37_0</t>
  </si>
  <si>
    <t>39</t>
  </si>
  <si>
    <t>Si tratta di un vecchio studio .</t>
  </si>
  <si>
    <t>file://conllu/it/teddy-1030.conllu#s39_0</t>
  </si>
  <si>
    <t>40</t>
  </si>
  <si>
    <t>riportare</t>
  </si>
  <si>
    <t>Che riporta le esperienze di due pazienti durante una procedura dolorosa .</t>
  </si>
  <si>
    <t>file://conllu/it/teddy-1030.conllu#s40_0</t>
  </si>
  <si>
    <t>41</t>
  </si>
  <si>
    <t>inoltrerare</t>
  </si>
  <si>
    <t>Non mi inoltrerò in dettagli .</t>
  </si>
  <si>
    <t>file://conllu/it/teddy-1030.conllu#s41_0</t>
  </si>
  <si>
    <t>42</t>
  </si>
  <si>
    <t>essere (essere doloroso)</t>
  </si>
  <si>
    <t>Non è nemmeno più dolorosa al a il giorno d' oggi , ma era dolorosa quando questo studio fu condotto negli in gli anni '90 .</t>
  </si>
  <si>
    <t>file://conllu/it/teddy-1030.conllu#s42_0</t>
  </si>
  <si>
    <t>43</t>
  </si>
  <si>
    <t>Si chiese ai a i pazienti di riportare il loro dolore ogni 60 secondi .</t>
  </si>
  <si>
    <t>file://conllu/it/teddy-1030.conllu#s43_0</t>
  </si>
  <si>
    <t>44</t>
  </si>
  <si>
    <t>risultato</t>
  </si>
  <si>
    <t>Ed ecco qui i risultati per due pazienti .</t>
  </si>
  <si>
    <t>file://conllu/it/teddy-1030.conllu#s44_0</t>
  </si>
  <si>
    <t>45</t>
  </si>
  <si>
    <t>essere (essere risultato)</t>
  </si>
  <si>
    <t>Quelli sono i loro risultati .</t>
  </si>
  <si>
    <t>file://conllu/it/teddy-1030.conllu#s45_0</t>
  </si>
  <si>
    <t>46</t>
  </si>
  <si>
    <t>se?</t>
  </si>
  <si>
    <t>soffrire</t>
  </si>
  <si>
    <t>Se vi si chiede &amp;quot; Chi dei di i due ha sofferto di piu' ? &amp;quot; E' una domanda molto semplice .</t>
  </si>
  <si>
    <t>file://conllu/it/teddy-1030.conllu#s46_0</t>
  </si>
  <si>
    <t>47</t>
  </si>
  <si>
    <t>Chiaramente , il Paziente B ha sofferto di piu' .</t>
  </si>
  <si>
    <t>file://conllu/it/teddy-1030.conllu#s47_0</t>
  </si>
  <si>
    <t>48</t>
  </si>
  <si>
    <t>durare</t>
  </si>
  <si>
    <t>la sua colonscopia durò di più e per ogni minuto di dolore sofferto dal da il paziente A il paziente B ha sofferto almeno quanto A o di più .</t>
  </si>
  <si>
    <t>file://conllu/it/teddy-1030.conllu#s48_0</t>
  </si>
  <si>
    <t>49</t>
  </si>
  <si>
    <t>Ma adesso c' è un' altra domanda :</t>
  </si>
  <si>
    <t>file://conllu/it/teddy-1030.conllu#s49_0</t>
  </si>
  <si>
    <t>50</t>
  </si>
  <si>
    <t>pensare</t>
  </si>
  <si>
    <t>&amp;quot; Quanto questi pazienti pensano di aver sofferto ? &amp;quot; ed ecco la sorpresa :</t>
  </si>
  <si>
    <t>file://conllu/it/teddy-1030.conllu#s50_0</t>
  </si>
  <si>
    <t>51</t>
  </si>
  <si>
    <t>ossia?</t>
  </si>
  <si>
    <t>avere</t>
  </si>
  <si>
    <t>Ossia il Paziente A aveva un ricordo della di la colonscopia di gran lunga peggiore del di il Paziente B .</t>
  </si>
  <si>
    <t>file://conllu/it/teddy-1030.conllu#s51_0</t>
  </si>
  <si>
    <t>52</t>
  </si>
  <si>
    <t>essere (essere diverso)</t>
  </si>
  <si>
    <t>Le storie delle di le colonscopie erano diverse dato che una parte particolarmente delicata della di la procedura è il modo in cui termina nessuna di queste storie è particolarmente positiva ma una delle di le due è diversa...</t>
  </si>
  <si>
    <t>file://conllu/it/teddy-1030.conllu#s52_0</t>
  </si>
  <si>
    <t>53</t>
  </si>
  <si>
    <t>risato</t>
  </si>
  <si>
    <t>( risate ) una delle di le due è particolarmente peggiore dell' di l' altra .</t>
  </si>
  <si>
    <t>file://conllu/it/teddy-1030.conllu#s53_0</t>
  </si>
  <si>
    <t>54</t>
  </si>
  <si>
    <t>essere (essere quello)</t>
  </si>
  <si>
    <t>E la peggiore è quella dove il dolore era massimo nel in il momento finale .</t>
  </si>
  <si>
    <t>file://conllu/it/teddy-1030.conllu#s54_0</t>
  </si>
  <si>
    <t>55</t>
  </si>
  <si>
    <t>essere (essere storia)</t>
  </si>
  <si>
    <t>E' una storia negativa .</t>
  </si>
  <si>
    <t>file://conllu/it/teddy-1030.conllu#s55_0</t>
  </si>
  <si>
    <t>56</t>
  </si>
  <si>
    <t>fare</t>
  </si>
  <si>
    <t>Come faccio a saperlo saper lo ?</t>
  </si>
  <si>
    <t>file://conllu/it/teddy-1030.conllu#s56_0</t>
  </si>
  <si>
    <t>57</t>
  </si>
  <si>
    <t>dopo?</t>
  </si>
  <si>
    <t>Perchè abbiamo chiesto a queste persone dopo la colonscopia , e anche a distanza di tempo , &amp;quot; Quanto negativa è stata l' esperienza , tutto considerato ? &amp;quot; e risultò di gran lunga peggiore per A che per B , nel in il ricordo .</t>
  </si>
  <si>
    <t>file://conllu/it/teddy-1030.conllu#s57_0</t>
  </si>
  <si>
    <t>58</t>
  </si>
  <si>
    <t>quindi?</t>
  </si>
  <si>
    <t>Si tratta quindi di un conflitto diretto tra il sè che vive le esperienze ed il sè che le ricorda .</t>
  </si>
  <si>
    <t>file://conllu/it/teddy-1030.conllu#s58_0</t>
  </si>
  <si>
    <t>60</t>
  </si>
  <si>
    <t>estendere</t>
  </si>
  <si>
    <t>Quindi , quello che si potrebbe fare per il paziente A , ed abbiamo effettuato esperimenti clinici , ed è stato realmente fatto , e funziona , si potrebbe estendere la colonscopia del di il Paziente A mantenendo il tubo senza smuoverlo smuover lo troppo .</t>
  </si>
  <si>
    <t>file://conllu/it/teddy-1030.conllu#s60_0</t>
  </si>
  <si>
    <t>61</t>
  </si>
  <si>
    <t>solo?</t>
  </si>
  <si>
    <t>causare</t>
  </si>
  <si>
    <t>Questo causerà un pò di dolore nel in il paziente , ma solo un pò , e molto meno di prima .</t>
  </si>
  <si>
    <t>file://conllu/it/teddy-1030.conllu#s61_0</t>
  </si>
  <si>
    <t>62</t>
  </si>
  <si>
    <t>esstere</t>
  </si>
  <si>
    <t>E facendo questo per un paio di minuti , il sè che vive l' esperienza del di il Paziente A starà peggio , ed il sè che ricorda le esperienze del di il Paziente A starà molto meglio , perchè adesso il Paziente A ha un ricordo migliore della di la sua esperienza .</t>
  </si>
  <si>
    <t>file://conllu/it/teddy-1030.conllu#s62_0</t>
  </si>
  <si>
    <t>63</t>
  </si>
  <si>
    <t>definire</t>
  </si>
  <si>
    <t>Come si definisce una storia ?</t>
  </si>
  <si>
    <t>file://conllu/it/teddy-1030.conllu#s63_0</t>
  </si>
  <si>
    <t>64</t>
  </si>
  <si>
    <t>valere</t>
  </si>
  <si>
    <t>E questo vale sia per le storie che vengono dai da i ricordi che per le storie che inventiamo</t>
  </si>
  <si>
    <t>file://conllu/it/teddy-1030.conllu#s64_0</t>
  </si>
  <si>
    <t>65</t>
  </si>
  <si>
    <t>essere (essere cambiamento)</t>
  </si>
  <si>
    <t>Quello che definisce una storia , sono i cambiamenti i momenti significanti e i finali .</t>
  </si>
  <si>
    <t>file://conllu/it/teddy-1030.conllu#s65_0</t>
  </si>
  <si>
    <t>66</t>
  </si>
  <si>
    <t>essere (essere importante)</t>
  </si>
  <si>
    <t>I finali sono molto , molto importanti ed , in questo caso , il finale ha dominato .</t>
  </si>
  <si>
    <t>file://conllu/it/teddy-1030.conllu#s66_0</t>
  </si>
  <si>
    <t>67</t>
  </si>
  <si>
    <t>Quindi , il sè che vive le esperienze vive la sua vita in maniera continua .</t>
  </si>
  <si>
    <t>file://conllu/it/teddy-1030.conllu#s67_0</t>
  </si>
  <si>
    <t>68</t>
  </si>
  <si>
    <t>Ha momenti in cui vive esperienze che si susseguono E ti domandi :</t>
  </si>
  <si>
    <t>file://conllu/it/teddy-1030.conllu#s68_0</t>
  </si>
  <si>
    <t>69</t>
  </si>
  <si>
    <t>succedere</t>
  </si>
  <si>
    <t>cosa succede a questi momenti ?</t>
  </si>
  <si>
    <t>file://conllu/it/teddy-1030.conllu#s69_0</t>
  </si>
  <si>
    <t>70</t>
  </si>
  <si>
    <t>essere (essere semplice)</t>
  </si>
  <si>
    <t>E la risposta è semplice .</t>
  </si>
  <si>
    <t>file://conllu/it/teddy-1030.conllu#s70_0</t>
  </si>
  <si>
    <t>71</t>
  </si>
  <si>
    <t>pergere</t>
  </si>
  <si>
    <t>Sono persi per sempre Intendo dire che la maggior parte dei di i momenti della di la nostra vita per come io li ho calcolati intendo il presente psicologico si dice duri circa tre secondi Il che significa che in una vita , ne contiamo circa 600 milioni In un mese se ne contano circa 600.000 la maggior parte dei di i quali non lasciano traccia .</t>
  </si>
  <si>
    <t>file://conllu/it/teddy-1030.conllu#s71_0</t>
  </si>
  <si>
    <t>72</t>
  </si>
  <si>
    <t>ignorare</t>
  </si>
  <si>
    <t>La maggior parte vengono completamente ignorati dal da il sè che ricorda .</t>
  </si>
  <si>
    <t>file://conllu/it/teddy-1030.conllu#s72_0</t>
  </si>
  <si>
    <t>73</t>
  </si>
  <si>
    <t>tuttavia?</t>
  </si>
  <si>
    <t>E tuttavia , in qualche modo hai la sensazione che dovrebbero contare , che quello che succede in questi momenti di esperienza è la nostra vita .</t>
  </si>
  <si>
    <t>file://conllu/it/teddy-1030.conllu#s73_0</t>
  </si>
  <si>
    <t>74</t>
  </si>
  <si>
    <t>essere (essere risorsa)</t>
  </si>
  <si>
    <t>Sono le risorse limitate che stiamo spendendo mentre siamo in questo mondo .</t>
  </si>
  <si>
    <t>file://conllu/it/teddy-1030.conllu#s74_0</t>
  </si>
  <si>
    <t>75</t>
  </si>
  <si>
    <t>sembrare</t>
  </si>
  <si>
    <t>E come spenderlo spender lo , sembrerebbe rilevante , ma non è questa la storia che il sè che ricorda tiene per noi .</t>
  </si>
  <si>
    <t>file://conllu/it/teddy-1030.conllu#s75_0</t>
  </si>
  <si>
    <t>76</t>
  </si>
  <si>
    <t>per cui?</t>
  </si>
  <si>
    <t>Per cui noi abbiamo un sè che ricorda ed un sè che vive esperienze che sono abbastanza diversi .</t>
  </si>
  <si>
    <t>file://conllu/it/teddy-1030.conllu#s76_0</t>
  </si>
  <si>
    <t>77</t>
  </si>
  <si>
    <t>La più grande differenza tra i due è come trattare il tempo .</t>
  </si>
  <si>
    <t>file://conllu/it/teddy-1030.conllu#s77_0</t>
  </si>
  <si>
    <t>79</t>
  </si>
  <si>
    <t>essere (essere modo)</t>
  </si>
  <si>
    <t>Ma questo non è assolutamente il modo in cui funziona il sè che ricorda .</t>
  </si>
  <si>
    <t>file://conllu/it/teddy-1030.conllu#s79_0</t>
  </si>
  <si>
    <t>80</t>
  </si>
  <si>
    <t>perché?</t>
  </si>
  <si>
    <t>essere (essere migliore)</t>
  </si>
  <si>
    <t>Per il sè che ricorda , una vacanza di due settimane è vagamente migliore di una settimana di vacanza perché non ci sono nuovi ricordi in aggiunta .</t>
  </si>
  <si>
    <t>file://conllu/it/teddy-1030.conllu#s80_0</t>
  </si>
  <si>
    <t>81</t>
  </si>
  <si>
    <t>cambiare</t>
  </si>
  <si>
    <t>Non hai cambiato la storia .</t>
  </si>
  <si>
    <t>file://conllu/it/teddy-1030.conllu#s81_0</t>
  </si>
  <si>
    <t>82</t>
  </si>
  <si>
    <t>essere (essere critico)</t>
  </si>
  <si>
    <t>Ed in questo modo , il tempo è la variabile critica che distingue il sè che ricorda dal da il sè che vive le esperienze .</t>
  </si>
  <si>
    <t>file://conllu/it/teddy-1030.conllu#s82_0</t>
  </si>
  <si>
    <t>83</t>
  </si>
  <si>
    <t>Il tempo ha un impatto limitato su questa storia .</t>
  </si>
  <si>
    <t>file://conllu/it/teddy-1030.conllu#s83_0</t>
  </si>
  <si>
    <t>84</t>
  </si>
  <si>
    <t>ebbene?</t>
  </si>
  <si>
    <t>sé</t>
  </si>
  <si>
    <t>Ebbene , il sè che ricorda le esperienze fa di più che ricordare e raccontare storie .</t>
  </si>
  <si>
    <t>file://conllu/it/teddy-1030.conllu#s84_0</t>
  </si>
  <si>
    <t>85</t>
  </si>
  <si>
    <t>in realtà?</t>
  </si>
  <si>
    <t>essere (essere sé)</t>
  </si>
  <si>
    <t>E' in realtà il sé che prende decisioni perché , se consideriamo un paziente che ha avuto , per esempio , due colonscopie con due diversi medici e sta decidendo quale dei di i due scegliere , quello che lui scgelie é quello che ha il ricordo meno &amp;quot; negativo &amp;quot; , e quello sarà il medico che verrà scelto .</t>
  </si>
  <si>
    <t>file://conllu/it/teddy-1030.conllu#s85_0</t>
  </si>
  <si>
    <t>86</t>
  </si>
  <si>
    <t>Il sè che vive le esperienze non ha voce in queste scelte .</t>
  </si>
  <si>
    <t>file://conllu/it/teddy-1030.conllu#s86_0</t>
  </si>
  <si>
    <t>87</t>
  </si>
  <si>
    <t>di fatto?</t>
  </si>
  <si>
    <t>sceglare</t>
  </si>
  <si>
    <t>Di fatto , noi non scegliamo tra esperienze , ma tra i ricordi di quelle esperienze .</t>
  </si>
  <si>
    <t>file://conllu/it/teddy-1030.conllu#s87_0</t>
  </si>
  <si>
    <t>88</t>
  </si>
  <si>
    <t>anche?</t>
  </si>
  <si>
    <t>pensare (pensare pensare)</t>
  </si>
  <si>
    <t>Ed anche quando pensiamo al a il nostro futuro , in genere non pensiamo al a il nostro futuro come esperienze .</t>
  </si>
  <si>
    <t>file://conllu/it/teddy-1030.conllu#s88_0</t>
  </si>
  <si>
    <t>89</t>
  </si>
  <si>
    <t>Pensiamo al a il nostro futuro come memorie anticipate .</t>
  </si>
  <si>
    <t>file://conllu/it/teddy-1030.conllu#s89_0</t>
  </si>
  <si>
    <t>90</t>
  </si>
  <si>
    <t>ricordare (ricordare pensare considerare)</t>
  </si>
  <si>
    <t>In pratica puoi considerare questa situazione , come una tirannia del di il sè che ricorda , e puoi pensare al a il sè che ricorda come se trascinasse il sè che vive le esperienze attraverso esperienze delle di le quali , il sé che vive le esperienze , non ha bisogno .</t>
  </si>
  <si>
    <t>file://conllu/it/teddy-1030.conllu#s90_0</t>
  </si>
  <si>
    <t>91</t>
  </si>
  <si>
    <t>Ho la sensazione che quando andiamo in vacanza si dia spesso il caso che , si vada in vacanza in buona parte al a il servizio del di il nostro sè che ricorda .</t>
  </si>
  <si>
    <t>file://conllu/it/teddy-1030.conllu#s91_0</t>
  </si>
  <si>
    <t>92</t>
  </si>
  <si>
    <t>essere (essere difficile)</t>
  </si>
  <si>
    <t>E questo è un po' difficile da giustificare .</t>
  </si>
  <si>
    <t>file://conllu/it/teddy-1030.conllu#s92_0</t>
  </si>
  <si>
    <t>93</t>
  </si>
  <si>
    <t>consumare</t>
  </si>
  <si>
    <t>Ossia , quanto &amp;quot; consumiamo &amp;quot; le nostre memorie ?</t>
  </si>
  <si>
    <t>file://conllu/it/teddy-1030.conllu#s93_0</t>
  </si>
  <si>
    <t>94</t>
  </si>
  <si>
    <t>essere (essere uno)</t>
  </si>
  <si>
    <t>Questa è una delle di le spiegazioni che viene data per il predominio del di il sè che ricorda .</t>
  </si>
  <si>
    <t>file://conllu/it/teddy-1030.conllu#s94_0</t>
  </si>
  <si>
    <t>95</t>
  </si>
  <si>
    <t>venire</t>
  </si>
  <si>
    <t>Quando penso a ciò , mi viene in mente una vacanza nell' in l' Antartide di qualche anno fa , che è una delle di le migliori vacanze della di la mia vita , ed a cui penso relativamente spesso , rispetto alle a le altre vacanze .</t>
  </si>
  <si>
    <t>file://conllu/it/teddy-1030.conllu#s95_0</t>
  </si>
  <si>
    <t>96</t>
  </si>
  <si>
    <t>passare</t>
  </si>
  <si>
    <t>E probabilmente ho passato a pensare ai a i ricordi di quel viaggio di tre settimane , per diciamo , 25 minuti negli in gli ultimi 4 anni .</t>
  </si>
  <si>
    <t>file://conllu/it/teddy-1030.conllu#s96_0</t>
  </si>
  <si>
    <t>97</t>
  </si>
  <si>
    <t>trascorrere</t>
  </si>
  <si>
    <t>Se avessi mai aperto la cartella con le 600 fotografie del di il viaggio , avrei trascorso un' altra ora ( pensando al a il viaggio , ndt ) Si tratta di tre settimane di viaggio che si traduce in massimo un' ora e mezza .</t>
  </si>
  <si>
    <t>file://conllu/it/teddy-1030.conllu#s97_0</t>
  </si>
  <si>
    <t>98</t>
  </si>
  <si>
    <t>( di ricordi ) Sembra che ci sia una discrepanza .</t>
  </si>
  <si>
    <t>file://conllu/it/teddy-1030.conllu#s98_0</t>
  </si>
  <si>
    <t>99</t>
  </si>
  <si>
    <t>essere (essere estremo)</t>
  </si>
  <si>
    <t>Ebbene , io potrei essere un po' estremo , nel in il mio scarso appetito per il consumo di ricordi , ma anche se tu facessi più di questo , una domanda genuina si pone .</t>
  </si>
  <si>
    <t>file://conllu/it/teddy-1030.conllu#s99_0</t>
  </si>
  <si>
    <t>100</t>
  </si>
  <si>
    <t>dire</t>
  </si>
  <si>
    <t>Perché diamo tanto peso alla a la memoria rispetto al a il peso che diamo elle esperienze ?</t>
  </si>
  <si>
    <t>file://conllu/it/teddy-1030.conllu#s100_0</t>
  </si>
  <si>
    <t>101</t>
  </si>
  <si>
    <t>Adesso voglio che pensiate ad un esperimento col con il pensiero .</t>
  </si>
  <si>
    <t>file://conllu/it/teddy-1030.conllu#s101_0</t>
  </si>
  <si>
    <t>102</t>
  </si>
  <si>
    <t>immaginare</t>
  </si>
  <si>
    <t>Immaginate che durante le prossime vacanze sappiate che alla a la fine della di la vacanza tutte le fotografie verranno distrutte , e che prenderete una medicina per l' amnesia cosicché non ricorderete nulla .</t>
  </si>
  <si>
    <t>file://conllu/it/teddy-1030.conllu#s102_0</t>
  </si>
  <si>
    <t>103</t>
  </si>
  <si>
    <t>Sceglieresto</t>
  </si>
  <si>
    <t>Scegliereste la stessa vacanza ?</t>
  </si>
  <si>
    <t>file://conllu/it/teddy-1030.conllu#s103_0</t>
  </si>
  <si>
    <t>104</t>
  </si>
  <si>
    <t>( risate ) E se poteste scegliere una vacanza differente , si crea un conflitto tra i due sè e dovete pensare a come risolvere tale conflitto ed in effetti non è così ovvio perché , se pensate in termini di tempo allora avrete una risposta .</t>
  </si>
  <si>
    <t>file://conllu/it/teddy-1030.conllu#s104_0</t>
  </si>
  <si>
    <t>105</t>
  </si>
  <si>
    <t>ottenere</t>
  </si>
  <si>
    <t>E se pensate in termini di ricordi , potreste ottenere un' altra risposta .</t>
  </si>
  <si>
    <t>file://conllu/it/teddy-1030.conllu#s105_0</t>
  </si>
  <si>
    <t>106</t>
  </si>
  <si>
    <t>essere (essere problema)</t>
  </si>
  <si>
    <t>Il perché scegliamo le vacanze che facciamo , è un problema che ci mette di fronte a scelte tra i due sè .</t>
  </si>
  <si>
    <t>file://conllu/it/teddy-1030.conllu#s106_0</t>
  </si>
  <si>
    <t>107</t>
  </si>
  <si>
    <t>portare</t>
  </si>
  <si>
    <t>I due sè portano due nozioni di felicita ' .</t>
  </si>
  <si>
    <t>file://conllu/it/teddy-1030.conllu#s107_0</t>
  </si>
  <si>
    <t>108</t>
  </si>
  <si>
    <t>esistere</t>
  </si>
  <si>
    <t>Esistono in realtà due concetti di felicita ' che noi possiamo utilizzare , uno per ogni sè .</t>
  </si>
  <si>
    <t>file://conllu/it/teddy-1030.conllu#s108_0</t>
  </si>
  <si>
    <t>109</t>
  </si>
  <si>
    <t>Per cui potete chiedere :</t>
  </si>
  <si>
    <t>file://conllu/it/teddy-1030.conllu#s109_0</t>
  </si>
  <si>
    <t>110</t>
  </si>
  <si>
    <t>essere (essere felice)</t>
  </si>
  <si>
    <t>Quanto è felice il sè che fa l' esperienza ?</t>
  </si>
  <si>
    <t>file://conllu/it/teddy-1030.conllu#s110_0</t>
  </si>
  <si>
    <t>111</t>
  </si>
  <si>
    <t>E poi potete chiedere :</t>
  </si>
  <si>
    <t>file://conllu/it/teddy-1030.conllu#s111_0</t>
  </si>
  <si>
    <t>112</t>
  </si>
  <si>
    <t>Quanto felici sono i momenti nella in la vita del di il sè che vive le esperienze ?</t>
  </si>
  <si>
    <t>file://conllu/it/teddy-1030.conllu#s112_0</t>
  </si>
  <si>
    <t>113</t>
  </si>
  <si>
    <t>E si tratta di felicità per momenti si tratta di un processo complicato .</t>
  </si>
  <si>
    <t>file://conllu/it/teddy-1030.conllu#s113_0</t>
  </si>
  <si>
    <t>114</t>
  </si>
  <si>
    <t>essere (essere quale)</t>
  </si>
  <si>
    <t>Quali sono le emozioni che possiamo misurare ?</t>
  </si>
  <si>
    <t>file://conllu/it/teddy-1030.conllu#s114_0</t>
  </si>
  <si>
    <t>115</t>
  </si>
  <si>
    <t>comunque?</t>
  </si>
  <si>
    <t>essere (essere grado)</t>
  </si>
  <si>
    <t>E , comunque , ora noi siamo in grado di farci far ci un' idea abbastanza buona della di la felicità del di il sè che vive le esperienze nel in il tempo .</t>
  </si>
  <si>
    <t>file://conllu/it/teddy-1030.conllu#s115_0</t>
  </si>
  <si>
    <t>116</t>
  </si>
  <si>
    <t>essere (essere cosa)</t>
  </si>
  <si>
    <t>Se domandate della di la felicità del di il sè che ricorda , è una cosa completamente diversa .</t>
  </si>
  <si>
    <t>file://conllu/it/teddy-1030.conllu#s116_0</t>
  </si>
  <si>
    <t>117</t>
  </si>
  <si>
    <t>Non si tratta di quanto felicemente una persona viva .</t>
  </si>
  <si>
    <t>file://conllu/it/teddy-1030.conllu#s117_0</t>
  </si>
  <si>
    <t>118</t>
  </si>
  <si>
    <t>Si tratta di quanto soddisfatta o compiaciuta sia la persona quando ( la persona ) pensa alla a la sua vita .</t>
  </si>
  <si>
    <t>file://conllu/it/teddy-1030.conllu#s118_0</t>
  </si>
  <si>
    <t>119</t>
  </si>
  <si>
    <t>essere (essere idea)</t>
  </si>
  <si>
    <t>E' un' idea molto differente .</t>
  </si>
  <si>
    <t>file://conllu/it/teddy-1030.conllu#s119_0</t>
  </si>
  <si>
    <t>120</t>
  </si>
  <si>
    <t>Chiunque non sia in grado di distinguere queste due nozioni , non farà altro che &amp;quot; creare confusione &amp;quot; negli in gli studi sulla su la felicità , ed io appartengo ad un gruppo di studenti di benessere , che hanno scompigliato gli studi sulla su la felicità per un lungo periodo esattamente in questa maniera .</t>
  </si>
  <si>
    <t>file://conllu/it/teddy-1030.conllu#s120_0</t>
  </si>
  <si>
    <t>121</t>
  </si>
  <si>
    <t>riconoscere</t>
  </si>
  <si>
    <t>La differenza tra la felicità del di il sè che vive le esperienze e la soddisfazione del di il sè che ricorda è stata riconosciuta negli in gli ultimi anni , e vi sono ora degli di gli sforzi per misurare i due separatamente , l' istituto Gallup ha un sondaggio a livello mondiale dove più di mezzo milione di persone sono state sottoposte a un questionario su quello che pensano della di la loro vita e sulle su le loro esperienze .</t>
  </si>
  <si>
    <t>file://conllu/it/teddy-1030.conllu#s121_0</t>
  </si>
  <si>
    <t>122</t>
  </si>
  <si>
    <t>E vi sono stati altri studi in questa direzione .</t>
  </si>
  <si>
    <t>file://conllu/it/teddy-1030.conllu#s122_0</t>
  </si>
  <si>
    <t>123</t>
  </si>
  <si>
    <t>Per cui negli in gli ultimi anni , abbiamo iniziato ad apprendere ( nuove cose ) sulla su la felicità dei di i due sè .</t>
  </si>
  <si>
    <t>file://conllu/it/teddy-1030.conllu#s123_0</t>
  </si>
  <si>
    <t>124</t>
  </si>
  <si>
    <t>E la lezione più grande che abbiamo imparato , è che sono molto diversi .</t>
  </si>
  <si>
    <t>file://conllu/it/teddy-1030.conllu#s124_0</t>
  </si>
  <si>
    <t>125</t>
  </si>
  <si>
    <t>viceversa?</t>
  </si>
  <si>
    <t>dire (dire sapere)</t>
  </si>
  <si>
    <t>Potreste sapere quanto una persona sia soddisfatta con la propria vita , e comunque questo non vi dice molto su quanto felicemente stiano vivendo la propria vita e viceversa .</t>
  </si>
  <si>
    <t>file://conllu/it/teddy-1030.conllu#s125_0</t>
  </si>
  <si>
    <t>126</t>
  </si>
  <si>
    <t>essere (essere 0.5)</t>
  </si>
  <si>
    <t>Per darvi dar vi un' idea della di la correlazione , la correlazione è circa 0.5 .</t>
  </si>
  <si>
    <t>file://conllu/it/teddy-1030.conllu#s126_0</t>
  </si>
  <si>
    <t>127</t>
  </si>
  <si>
    <t>significare</t>
  </si>
  <si>
    <t>Che significa che se incontraste qualcuno , e vi dicessero , &amp;quot; oh , suo padre e ' alto 1.80 m &amp;quot; quanto sapreste della di la sua altezza ?</t>
  </si>
  <si>
    <t>file://conllu/it/teddy-1030.conllu#s127_0</t>
  </si>
  <si>
    <t>128</t>
  </si>
  <si>
    <t>Be</t>
  </si>
  <si>
    <t>Be ' , sapreste qualcosa sulla su la sua altezza , ma con molta incertezza .</t>
  </si>
  <si>
    <t>file://conllu/it/teddy-1030.conllu#s128_0</t>
  </si>
  <si>
    <t>129</t>
  </si>
  <si>
    <t>Avreste sempre un po' di incertezza .</t>
  </si>
  <si>
    <t>file://conllu/it/teddy-1030.conllu#s129_0</t>
  </si>
  <si>
    <t>130</t>
  </si>
  <si>
    <t>pensare (pensare dire)</t>
  </si>
  <si>
    <t>Se vi dico che qualcuno pensa che la sua vita sia al a il livello 8 in una scala da uno a dieci sarete molto incerti su quanto felici essi siano con il loro sè che vive le esperienze .</t>
  </si>
  <si>
    <t>file://conllu/it/teddy-1030.conllu#s130_0</t>
  </si>
  <si>
    <t>131</t>
  </si>
  <si>
    <t>essere (essere basso)</t>
  </si>
  <si>
    <t>Per cui la correlazione è bassa .</t>
  </si>
  <si>
    <t>file://conllu/it/teddy-1030.conllu#s131_0</t>
  </si>
  <si>
    <t>132</t>
  </si>
  <si>
    <t>Abbiamo una certa conoscenza di cosa controlli la soddisfazione del di il sè felice .</t>
  </si>
  <si>
    <t>file://conllu/it/teddy-1030.conllu#s132_0</t>
  </si>
  <si>
    <t>133</t>
  </si>
  <si>
    <t>sapere</t>
  </si>
  <si>
    <t>Sappiamo che il denaro è molto importante , gli obiettivi sono molto importanti .</t>
  </si>
  <si>
    <t>file://conllu/it/teddy-1030.conllu#s133_0</t>
  </si>
  <si>
    <t>134</t>
  </si>
  <si>
    <t>Sappiamo che essere felici significa essere soddisfatti con le persone che ci piacciono , trascorrere del di il tempo con le persone che ci piacciono .</t>
  </si>
  <si>
    <t>file://conllu/it/teddy-1030.conllu#s134_0</t>
  </si>
  <si>
    <t>135</t>
  </si>
  <si>
    <t>pure?</t>
  </si>
  <si>
    <t>essere (essere piacere)</t>
  </si>
  <si>
    <t>Vi sono pure altri piaceri , ma questi sono quelli principali .</t>
  </si>
  <si>
    <t>file://conllu/it/teddy-1030.conllu#s135_0</t>
  </si>
  <si>
    <t>136</t>
  </si>
  <si>
    <t>Per cui se volete massimizzare la felicità dei di i due sè , finirete facendo cose molto diverse .</t>
  </si>
  <si>
    <t>file://conllu/it/teddy-1030.conllu#s136_0</t>
  </si>
  <si>
    <t>137</t>
  </si>
  <si>
    <t>La conclusione di ciò che ho detto finora è che non dovremmo pensare alla a la felicità come ad un sostituto del di il benessere .</t>
  </si>
  <si>
    <t>file://conllu/it/teddy-1030.conllu#s137_0</t>
  </si>
  <si>
    <t>138</t>
  </si>
  <si>
    <t>Si tratta di due idee completamente diverse .</t>
  </si>
  <si>
    <t>file://conllu/it/teddy-1030.conllu#s138_0</t>
  </si>
  <si>
    <t>139</t>
  </si>
  <si>
    <t>In più , molto velocemente , un' altra ragione per cui non possiamo pensare in maniera lineare alla a la felicità è che non prestiamo attenzione alle a le stesse cose quando pensiamo alla a la vita , e quando viviamo la vita .</t>
  </si>
  <si>
    <t>file://conllu/it/teddy-1030.conllu#s139_0</t>
  </si>
  <si>
    <t>140</t>
  </si>
  <si>
    <t>pertanto?</t>
  </si>
  <si>
    <t>Pertanto , se fate la semplice domanda su quanto sia felice la gente in California , non potrete ottenere la risposta corretta .</t>
  </si>
  <si>
    <t>file://conllu/it/teddy-1030.conllu#s140_0</t>
  </si>
  <si>
    <t>141</t>
  </si>
  <si>
    <t>Quando fate questa domanda , pensate che dovreste essere più felici in California , che in Ohio .</t>
  </si>
  <si>
    <t>file://conllu/it/teddy-1030.conllu#s141_0</t>
  </si>
  <si>
    <t>142</t>
  </si>
  <si>
    <t>( Risate ) Quello che succede è che quando pensate alla a la vita in California , state pensando al a il contrasto tra la California ed altri posti , e ad esempio quel confronto è sul su il clima .</t>
  </si>
  <si>
    <t>file://conllu/it/teddy-1030.conllu#s142_0</t>
  </si>
  <si>
    <t>143</t>
  </si>
  <si>
    <t>Bè , risulta che il clima non sia cosi ' importante per il sè che vive le esperienze e non sia molto importante per il sè che riflette che è quello che decide quanto felici sono le persone .</t>
  </si>
  <si>
    <t>file://conllu/it/teddy-1030.conllu#s143_0</t>
  </si>
  <si>
    <t>144</t>
  </si>
  <si>
    <t>siccome?</t>
  </si>
  <si>
    <t>finire</t>
  </si>
  <si>
    <t>Ma siccome il sè che riflette è in carica , potreste finire alcune persone potrebbero , alla a la fine , trasferirsi trasferir si in California .</t>
  </si>
  <si>
    <t>file://conllu/it/teddy-1030.conllu#s144_0</t>
  </si>
  <si>
    <t>145</t>
  </si>
  <si>
    <t>essere (essere interessante)</t>
  </si>
  <si>
    <t>Ed è interessante verificare cosa succederà alle a le persone che si trasferiscono in California nella in la speranza di essere più felici .</t>
  </si>
  <si>
    <t>file://conllu/it/teddy-1030.conllu#s145_0</t>
  </si>
  <si>
    <t>146</t>
  </si>
  <si>
    <t>diventare</t>
  </si>
  <si>
    <t>Bè , il sè che vive le esperienze non diventerà piu' felice .</t>
  </si>
  <si>
    <t>file://conllu/it/teddy-1030.conllu#s146_0</t>
  </si>
  <si>
    <t>147</t>
  </si>
  <si>
    <t>Lo sappiamo .</t>
  </si>
  <si>
    <t>file://conllu/it/teddy-1030.conllu#s147_0</t>
  </si>
  <si>
    <t>148</t>
  </si>
  <si>
    <t>Ma una cosa succederà .</t>
  </si>
  <si>
    <t>file://conllu/it/teddy-1030.conllu#s148_0</t>
  </si>
  <si>
    <t>149</t>
  </si>
  <si>
    <t>Pensere</t>
  </si>
  <si>
    <t>Penseranno di essere più felici , perchè quando ci pensano , si ricorderanno di quanto terribile era il tempo in Ohio .</t>
  </si>
  <si>
    <t>file://conllu/it/teddy-1030.conllu#s149_0</t>
  </si>
  <si>
    <t>150</t>
  </si>
  <si>
    <t>E penseranno di aver preso la decisione giusta .</t>
  </si>
  <si>
    <t>file://conllu/it/teddy-1030.conllu#s150_0</t>
  </si>
  <si>
    <t>151</t>
  </si>
  <si>
    <t>E' molto difficile pensare chiaramente al a il benessere e penso di avervi dato l' idea di quanto difficile sia .</t>
  </si>
  <si>
    <t>file://conllu/it/teddy-1030.conllu#s151_0</t>
  </si>
  <si>
    <t>152</t>
  </si>
  <si>
    <t>grazie</t>
  </si>
  <si>
    <t>Grazie .</t>
  </si>
  <si>
    <t>file://conllu/it/teddy-1030.conllu#s152_0</t>
  </si>
  <si>
    <t>153</t>
  </si>
  <si>
    <t>applauso</t>
  </si>
  <si>
    <t>( Applausi ) Chris Anderson :</t>
  </si>
  <si>
    <t>file://conllu/it/teddy-1030.conllu#s153_0</t>
  </si>
  <si>
    <t>154</t>
  </si>
  <si>
    <t>file://conllu/it/teddy-1030.conllu#s154_0</t>
  </si>
  <si>
    <t>155</t>
  </si>
  <si>
    <t>Ho una domanda per Lei .</t>
  </si>
  <si>
    <t>file://conllu/it/teddy-1030.conllu#s155_0</t>
  </si>
  <si>
    <t>156</t>
  </si>
  <si>
    <t>Grazie mille .</t>
  </si>
  <si>
    <t>file://conllu/it/teddy-1030.conllu#s156_0</t>
  </si>
  <si>
    <t>157</t>
  </si>
  <si>
    <t>menzionare</t>
  </si>
  <si>
    <t>Quando eravamo al a il telefono un paio di settimane fa , mi ha menzionato che un risultato interessante che e ' risultato dal da il sondaggio della di la Gallup .</t>
  </si>
  <si>
    <t>file://conllu/it/teddy-1030.conllu#s157_0</t>
  </si>
  <si>
    <t>158</t>
  </si>
  <si>
    <t>essere (essere qualcosa)</t>
  </si>
  <si>
    <t>E' qualcosa che pensa di poter condividere visto che abbiamo ancora qualche minuto ?</t>
  </si>
  <si>
    <t>file://conllu/it/teddy-1030.conllu#s158_0</t>
  </si>
  <si>
    <t>159</t>
  </si>
  <si>
    <t>Daniel</t>
  </si>
  <si>
    <t>Daniel Kahneman :</t>
  </si>
  <si>
    <t>file://conllu/it/teddy-1030.conllu#s159_0</t>
  </si>
  <si>
    <t>160</t>
  </si>
  <si>
    <t>certo</t>
  </si>
  <si>
    <t>Certo .</t>
  </si>
  <si>
    <t>file://conllu/it/teddy-1030.conllu#s160_0</t>
  </si>
  <si>
    <t>161</t>
  </si>
  <si>
    <t>Credo che il risultato piu' interessante che abbiamo trovato nel in il sondaggio Gallup e ' un numero , che non ci aspettavamo assolutamente di trovare .</t>
  </si>
  <si>
    <t>file://conllu/it/teddy-1030.conllu#s161_0</t>
  </si>
  <si>
    <t>162</t>
  </si>
  <si>
    <t>trovare</t>
  </si>
  <si>
    <t>Abbiamo trovato che , con riferimento alla a la felicita ' del di il sè che vive le esperienze .</t>
  </si>
  <si>
    <t>file://conllu/it/teddy-1030.conllu#s162_0</t>
  </si>
  <si>
    <t>163</t>
  </si>
  <si>
    <t>osservare (osservare scoprire)</t>
  </si>
  <si>
    <t>Quando abbiamo osservato come i sentimenti variassero con il reddito , abbiamo scoperto che , al a il di sotto di un reddito di 60.000 dollari all' a l' anno , per gli americani , su uno studio condotto su un campione molto vasto di circa 600.000 americani , si tratta di un campione rappresentativo , al a il di sotto di un reddito di 600.000 dollari all' a l' anno..</t>
  </si>
  <si>
    <t>file://conllu/it/teddy-1030.conllu#s163_0</t>
  </si>
  <si>
    <t>164</t>
  </si>
  <si>
    <t>.</t>
  </si>
  <si>
    <t>file://conllu/it/teddy-1030.conllu#s164_0</t>
  </si>
  <si>
    <t>165</t>
  </si>
  <si>
    <t>essere (essere infelice)</t>
  </si>
  <si>
    <t>CA : 60.000 DK:60.000 60.000 dollari all' a l' anno , le persone sono infelici , e diventano progressivamente piu' infelici come diventano piu' povere , Al A il di sopra di quello , troviamo una linea piatta .</t>
  </si>
  <si>
    <t>file://conllu/it/teddy-1030.conllu#s165_0</t>
  </si>
  <si>
    <t>166</t>
  </si>
  <si>
    <t>volere (volere dire)</t>
  </si>
  <si>
    <t>Voglio dire , ho visto raramente delle di le linee cosi ' piatte .</t>
  </si>
  <si>
    <t>file://conllu/it/teddy-1030.conllu#s166_0</t>
  </si>
  <si>
    <t>167</t>
  </si>
  <si>
    <t>Chiaramente , quello che succede è che il denaro non compra la felicità dell' di l' esperienza , ma la mancanza di denaro certamente acquista miseria , e possiamo misurare quella miseria molto , molto chiaramente .</t>
  </si>
  <si>
    <t>file://conllu/it/teddy-1030.conllu#s167_0</t>
  </si>
  <si>
    <t>168</t>
  </si>
  <si>
    <t>In termini dell' di l' altro sè , il sè che ricorda , è tutta un' altra storia .</t>
  </si>
  <si>
    <t>file://conllu/it/teddy-1030.conllu#s168_0</t>
  </si>
  <si>
    <t>169</t>
  </si>
  <si>
    <t>soldo</t>
  </si>
  <si>
    <t>Più soldi guadgani , più contento sei .</t>
  </si>
  <si>
    <t>file://conllu/it/teddy-1030.conllu#s169_0</t>
  </si>
  <si>
    <t>170</t>
  </si>
  <si>
    <t>reggere</t>
  </si>
  <si>
    <t>Questo discorso non regge sulle su le emozioni .</t>
  </si>
  <si>
    <t>file://conllu/it/teddy-1030.conllu#s170_0</t>
  </si>
  <si>
    <t>171</t>
  </si>
  <si>
    <t>CA : Ma Danny , tutti gli sforzi degli di gli Americani riguardano la vita , la libertà , la ricerca della di la felicità .</t>
  </si>
  <si>
    <t>file://conllu/it/teddy-1030.conllu#s171_0</t>
  </si>
  <si>
    <t>172</t>
  </si>
  <si>
    <t>capovolgere</t>
  </si>
  <si>
    <t>Se le persone prendessero seriamente questa scoperta , in pratica si capovolge tutto quello in cui abbiamo creduto , per esempio , la politica sulle su le tasse e cosi ' via .</t>
  </si>
  <si>
    <t>file://conllu/it/teddy-1030.conllu#s172_0</t>
  </si>
  <si>
    <t>173</t>
  </si>
  <si>
    <t>Esiste la possibilità che i politici , e la nazione in generale , possano prendere una scoperta come quella seriamente e portare avanti una politica pubblica basata su di essa ?</t>
  </si>
  <si>
    <t>file://conllu/it/teddy-1030.conllu#s173_0</t>
  </si>
  <si>
    <t>174</t>
  </si>
  <si>
    <t>Dk</t>
  </si>
  <si>
    <t>DK :</t>
  </si>
  <si>
    <t>file://conllu/it/teddy-1030.conllu#s174_0</t>
  </si>
  <si>
    <t>175</t>
  </si>
  <si>
    <t>riconoscere (riconoscere pensare sapere)</t>
  </si>
  <si>
    <t>Sai che io penso che si riconosca il ruolo della di la felicità nella in la politica pubblica .</t>
  </si>
  <si>
    <t>file://conllu/it/teddy-1030.conllu#s175_0</t>
  </si>
  <si>
    <t>176</t>
  </si>
  <si>
    <t>essere (essere lento)</t>
  </si>
  <si>
    <t>La presa di considerazione sarà lenta negli in gli Stati Uniti non c' è dubbio , ma nel in il Regno Unito , sta diventando realtà , ed in altri stati pure .</t>
  </si>
  <si>
    <t>file://conllu/it/teddy-1030.conllu#s176_0</t>
  </si>
  <si>
    <t>177</t>
  </si>
  <si>
    <t>La gente sta iniziando a riconoscere che dovrebbero pensare alla a la felicità quando pensano alla a la politica pubblica .</t>
  </si>
  <si>
    <t>file://conllu/it/teddy-1030.conllu#s177_0</t>
  </si>
  <si>
    <t>178</t>
  </si>
  <si>
    <t>mettere</t>
  </si>
  <si>
    <t>Ci si metterà un pò e le persone inizieranno a discutere se vogliono studiare l' esperienza della di la felicità o se vogliono studiare la valutazione della di la vita per cui abbiamo bisogno di iniziare questo dibattito al a il piu' presto .</t>
  </si>
  <si>
    <t>file://conllu/it/teddy-1030.conllu#s178_0</t>
  </si>
  <si>
    <t>179</t>
  </si>
  <si>
    <t>prendere</t>
  </si>
  <si>
    <t>Come accrescere la felicita ' , prende direzioni diverse a seconda di come tu pensi , e a seconda che tu pensi al a il sè che ricorda o al a il sè che fa le esperienze .</t>
  </si>
  <si>
    <t>file://conllu/it/teddy-1030.conllu#s179_0</t>
  </si>
  <si>
    <t>180</t>
  </si>
  <si>
    <t>influenzare</t>
  </si>
  <si>
    <t>Tutto questo influenzerà la politica , credo , negli in gli anni che verranno .</t>
  </si>
  <si>
    <t>file://conllu/it/teddy-1030.conllu#s180_0</t>
  </si>
  <si>
    <t>182</t>
  </si>
  <si>
    <t>entrare</t>
  </si>
  <si>
    <t>E questo , credo , entrerà a far parte entro il prossimo decennio , forse due ( decenni ) , delle di le statistiche nazionali .</t>
  </si>
  <si>
    <t>file://conllu/it/teddy-1030.conllu#s182_0</t>
  </si>
  <si>
    <t>183</t>
  </si>
  <si>
    <t>o?</t>
  </si>
  <si>
    <t>CA : Bè , mi sembra che questo argomento sarà , o per lo meno dovrebbe essere , la discussione di politica più interessante da seguire nei in i prossimi anni .</t>
  </si>
  <si>
    <t>file://conllu/it/teddy-1030.conllu#s183_0</t>
  </si>
  <si>
    <t>184</t>
  </si>
  <si>
    <t>Grazie mille per aver inventato l' economia comportamentale .</t>
  </si>
  <si>
    <t>file://conllu/it/teddy-1030.conllu#s184_0</t>
  </si>
  <si>
    <t>185</t>
  </si>
  <si>
    <t>Grazie Danny Kahneman .</t>
  </si>
  <si>
    <t>file://conllu/it/teddy-1030.conllu#s185_0</t>
  </si>
  <si>
    <t>WORD</t>
  </si>
  <si>
    <t>GR</t>
  </si>
  <si>
    <t>NP_TYPE</t>
  </si>
  <si>
    <t>REF_AUTO</t>
  </si>
  <si>
    <t>COREF</t>
  </si>
  <si>
    <t>REF</t>
  </si>
  <si>
    <t>IS</t>
  </si>
  <si>
    <t>CB</t>
  </si>
  <si>
    <t>GR_ANTE</t>
  </si>
  <si>
    <t>REF_DIST</t>
  </si>
  <si>
    <t>REF_DIST_ANTE</t>
  </si>
  <si>
    <t># text = Di questi tempi tutti parlano di felicità.</t>
  </si>
  <si>
    <t>Di</t>
  </si>
  <si>
    <t>questi</t>
  </si>
  <si>
    <t>tempi</t>
  </si>
  <si>
    <t>other</t>
  </si>
  <si>
    <t>def-np.dem</t>
  </si>
  <si>
    <t>?OLD</t>
  </si>
  <si>
    <t>tutti</t>
  </si>
  <si>
    <t>SBJ</t>
  </si>
  <si>
    <t>pron.pind</t>
  </si>
  <si>
    <t>parlano</t>
  </si>
  <si>
    <t>di</t>
  </si>
  <si>
    <t>felicità</t>
  </si>
  <si>
    <t>indef-np.bare</t>
  </si>
  <si>
    <t>--</t>
  </si>
  <si>
    <t># text = Ho chiesto di contare il numero di libri contenenti la parola "felicità" nel titolo e pubblicati negli ultimi 5 anni, hanno smesso di contare dopo aver raggiunto quota 40, e ce n'erano molti di più.</t>
  </si>
  <si>
    <t>Ho</t>
  </si>
  <si>
    <t>chiesto</t>
  </si>
  <si>
    <t>il</t>
  </si>
  <si>
    <t>numero</t>
  </si>
  <si>
    <t>OBJ_2</t>
  </si>
  <si>
    <t>def-np.poss</t>
  </si>
  <si>
    <t>libri</t>
  </si>
  <si>
    <t>other_3</t>
  </si>
  <si>
    <t>contenenti</t>
  </si>
  <si>
    <t>la</t>
  </si>
  <si>
    <t>parola</t>
  </si>
  <si>
    <t>OBJ_5</t>
  </si>
  <si>
    <t>&amp;quot;</t>
  </si>
  <si>
    <t>other_6</t>
  </si>
  <si>
    <t>in</t>
  </si>
  <si>
    <t>titolo</t>
  </si>
  <si>
    <t>other_7</t>
  </si>
  <si>
    <t>def-np.the</t>
  </si>
  <si>
    <t>e</t>
  </si>
  <si>
    <t>pubblicati</t>
  </si>
  <si>
    <t>gli</t>
  </si>
  <si>
    <t>ultimi</t>
  </si>
  <si>
    <t>anni</t>
  </si>
  <si>
    <t>other_8</t>
  </si>
  <si>
    <t>,</t>
  </si>
  <si>
    <t>hanno</t>
  </si>
  <si>
    <t>smesso</t>
  </si>
  <si>
    <t>dopo</t>
  </si>
  <si>
    <t>aver</t>
  </si>
  <si>
    <t>raggiunto</t>
  </si>
  <si>
    <t>quota</t>
  </si>
  <si>
    <t>OBJ_4</t>
  </si>
  <si>
    <t>indef-np.quant</t>
  </si>
  <si>
    <t>ce</t>
  </si>
  <si>
    <t>n'</t>
  </si>
  <si>
    <t>pron.pper</t>
  </si>
  <si>
    <t>erano</t>
  </si>
  <si>
    <t>molti</t>
  </si>
  <si>
    <t>other_4</t>
  </si>
  <si>
    <t>più</t>
  </si>
  <si>
    <t># text = C'è un enorme ondata d'interesse sulla felicità, tra i ricercatori.</t>
  </si>
  <si>
    <t>C'</t>
  </si>
  <si>
    <t>è</t>
  </si>
  <si>
    <t>un</t>
  </si>
  <si>
    <t>enorme</t>
  </si>
  <si>
    <t>ondata</t>
  </si>
  <si>
    <t>d'</t>
  </si>
  <si>
    <t>interesse</t>
  </si>
  <si>
    <t>other_2</t>
  </si>
  <si>
    <t>su</t>
  </si>
  <si>
    <t>tra</t>
  </si>
  <si>
    <t>i</t>
  </si>
  <si>
    <t>ricercatori</t>
  </si>
  <si>
    <t># text = C'è molto "coaching" (tutoraggio) sulla felicità.</t>
  </si>
  <si>
    <t>molto</t>
  </si>
  <si>
    <t>coaching</t>
  </si>
  <si>
    <t>(</t>
  </si>
  <si>
    <t>tutoraggio</t>
  </si>
  <si>
    <t>)</t>
  </si>
  <si>
    <t># text = Tutti vorrebbero rendere le persone più felici.</t>
  </si>
  <si>
    <t>Tutti</t>
  </si>
  <si>
    <t>vorrebbero</t>
  </si>
  <si>
    <t>rendere</t>
  </si>
  <si>
    <t>le</t>
  </si>
  <si>
    <t>persone</t>
  </si>
  <si>
    <t>felici</t>
  </si>
  <si>
    <t># text = Ma nonostante tutto questo flusso di lavoro, vi sono una serie di "trappole cognitive" che in qualche modo rendono impossibile elaborare idee corrette sulla felicità.</t>
  </si>
  <si>
    <t>Ma</t>
  </si>
  <si>
    <t>nonostante</t>
  </si>
  <si>
    <t>tutto</t>
  </si>
  <si>
    <t>questo</t>
  </si>
  <si>
    <t>flusso</t>
  </si>
  <si>
    <t>lavoro</t>
  </si>
  <si>
    <t>vi</t>
  </si>
  <si>
    <t>OBJ</t>
  </si>
  <si>
    <t>sono</t>
  </si>
  <si>
    <t>una</t>
  </si>
  <si>
    <t>serie</t>
  </si>
  <si>
    <t>trappole</t>
  </si>
  <si>
    <t>cognitive</t>
  </si>
  <si>
    <t>che</t>
  </si>
  <si>
    <t>SBJ_3</t>
  </si>
  <si>
    <t>qualche</t>
  </si>
  <si>
    <t>modo</t>
  </si>
  <si>
    <t>indef-np</t>
  </si>
  <si>
    <t>rendono</t>
  </si>
  <si>
    <t>impossibile</t>
  </si>
  <si>
    <t>elaborare</t>
  </si>
  <si>
    <t>idee</t>
  </si>
  <si>
    <t>corrette</t>
  </si>
  <si>
    <t># text = Il mio discorso di oggi riguarderà soprattutto queste \"trappole cognitive\".</t>
  </si>
  <si>
    <t>Il</t>
  </si>
  <si>
    <t>mio</t>
  </si>
  <si>
    <t>pron.ppos</t>
  </si>
  <si>
    <t>discorso</t>
  </si>
  <si>
    <t>oggi</t>
  </si>
  <si>
    <t>riguarderà</t>
  </si>
  <si>
    <t>soprattutto</t>
  </si>
  <si>
    <t>queste</t>
  </si>
  <si>
    <t># text = E riguarda sia persone profane (ndt:non esperte) che pensano alla loro felicità, e riguarda studiosi che studiano la felicità, perché pare che noi siamo confusi come tutti gli altri.</t>
  </si>
  <si>
    <t>E</t>
  </si>
  <si>
    <t>riguarda</t>
  </si>
  <si>
    <t>sia</t>
  </si>
  <si>
    <t>profane</t>
  </si>
  <si>
    <t>ndt:non</t>
  </si>
  <si>
    <t>esperte</t>
  </si>
  <si>
    <t>pensano</t>
  </si>
  <si>
    <t>a</t>
  </si>
  <si>
    <t>loro</t>
  </si>
  <si>
    <t>studiosi</t>
  </si>
  <si>
    <t>OBJ_3</t>
  </si>
  <si>
    <t>SBJ_5</t>
  </si>
  <si>
    <t>studiano</t>
  </si>
  <si>
    <t>perché</t>
  </si>
  <si>
    <t>pare</t>
  </si>
  <si>
    <t>noi</t>
  </si>
  <si>
    <t>SBJ_7</t>
  </si>
  <si>
    <t>siamo</t>
  </si>
  <si>
    <t>confusi</t>
  </si>
  <si>
    <t>come</t>
  </si>
  <si>
    <t>altri</t>
  </si>
  <si>
    <t># text = La prima di queste trappole è la riluttanza ad ammettere la complessità.</t>
  </si>
  <si>
    <t>La</t>
  </si>
  <si>
    <t>prima</t>
  </si>
  <si>
    <t>riluttanza</t>
  </si>
  <si>
    <t>ad</t>
  </si>
  <si>
    <t>ammettere</t>
  </si>
  <si>
    <t>complessità</t>
  </si>
  <si>
    <t># text = Risulta infatti che la parola felicità non sia più una parola utile in quanto la applichiamo a troppi campi.</t>
  </si>
  <si>
    <t>Risulta</t>
  </si>
  <si>
    <t>infatti</t>
  </si>
  <si>
    <t>SBJ_2</t>
  </si>
  <si>
    <t>non</t>
  </si>
  <si>
    <t>indef-np.a</t>
  </si>
  <si>
    <t>utile</t>
  </si>
  <si>
    <t>quanto</t>
  </si>
  <si>
    <t>applichiamo</t>
  </si>
  <si>
    <t>troppi</t>
  </si>
  <si>
    <t>campi</t>
  </si>
  <si>
    <t>other_5</t>
  </si>
  <si>
    <t># text = Io credo che la si possa restringere ad un significato particolare ma in linea di massima, dovremo disfarci di questa accezione e dovremo adottare la visione più complicata di che cosa sia il "benessere".</t>
  </si>
  <si>
    <t>Io</t>
  </si>
  <si>
    <t>credo</t>
  </si>
  <si>
    <t>si</t>
  </si>
  <si>
    <t>possa</t>
  </si>
  <si>
    <t>restringere</t>
  </si>
  <si>
    <t>significato</t>
  </si>
  <si>
    <t>particolare</t>
  </si>
  <si>
    <t>ma</t>
  </si>
  <si>
    <t>linea</t>
  </si>
  <si>
    <t>massima</t>
  </si>
  <si>
    <t>dovremo</t>
  </si>
  <si>
    <t>disfar</t>
  </si>
  <si>
    <t>ci</t>
  </si>
  <si>
    <t>questa</t>
  </si>
  <si>
    <t>accezione</t>
  </si>
  <si>
    <t>adottare</t>
  </si>
  <si>
    <t>visione</t>
  </si>
  <si>
    <t>complicata</t>
  </si>
  <si>
    <t>pron.pint</t>
  </si>
  <si>
    <t>cosa</t>
  </si>
  <si>
    <t>benessere</t>
  </si>
  <si>
    <t># text = La seconda trappola è la confusione tra esperienza e memoria:</t>
  </si>
  <si>
    <t>seconda</t>
  </si>
  <si>
    <t>trappola</t>
  </si>
  <si>
    <t>confusione</t>
  </si>
  <si>
    <t>esperienza</t>
  </si>
  <si>
    <t>memoria</t>
  </si>
  <si>
    <t>:</t>
  </si>
  <si>
    <t># text = in pratica si tratta di scegliere tra essere felici nella vita ed essere felici della propria vita o felici riguardo alla propria vita.</t>
  </si>
  <si>
    <t>pratica</t>
  </si>
  <si>
    <t>tratta</t>
  </si>
  <si>
    <t>scegliere</t>
  </si>
  <si>
    <t>vita</t>
  </si>
  <si>
    <t>ed</t>
  </si>
  <si>
    <t>propria</t>
  </si>
  <si>
    <t>o</t>
  </si>
  <si>
    <t>riguardo</t>
  </si>
  <si>
    <t>SBJ_4</t>
  </si>
  <si>
    <t># text = E questi sono due concetti estremamente diversi, entrambi parte del concetto di felicità.</t>
  </si>
  <si>
    <t>pron.pds</t>
  </si>
  <si>
    <t>due</t>
  </si>
  <si>
    <t>concetti</t>
  </si>
  <si>
    <t>estremamente</t>
  </si>
  <si>
    <t>diversi</t>
  </si>
  <si>
    <t>entrambi</t>
  </si>
  <si>
    <t>parte</t>
  </si>
  <si>
    <t>concetto</t>
  </si>
  <si>
    <t># text = E la terza (trappola) è l'illusione della focalizzazione ossia lo sfortunato fatto per cui non possiamo pensare ad alcuna circostanza che influisca sul benessere senza distorcerne l'importanza.</t>
  </si>
  <si>
    <t>terza</t>
  </si>
  <si>
    <t>l'</t>
  </si>
  <si>
    <t>illusione</t>
  </si>
  <si>
    <t>focalizzazione</t>
  </si>
  <si>
    <t>ossia</t>
  </si>
  <si>
    <t>lo</t>
  </si>
  <si>
    <t>sfortunato</t>
  </si>
  <si>
    <t>fatto</t>
  </si>
  <si>
    <t>per</t>
  </si>
  <si>
    <t>cui</t>
  </si>
  <si>
    <t>possiamo</t>
  </si>
  <si>
    <t>alcuna</t>
  </si>
  <si>
    <t>circostanza</t>
  </si>
  <si>
    <t>influisca</t>
  </si>
  <si>
    <t>senza</t>
  </si>
  <si>
    <t>distorcerne</t>
  </si>
  <si>
    <t>importanza</t>
  </si>
  <si>
    <t># text = Voglio dire, si tratta di una vera trappola cognitiva.</t>
  </si>
  <si>
    <t>Voglio</t>
  </si>
  <si>
    <t>vera</t>
  </si>
  <si>
    <t>cognitiva</t>
  </si>
  <si>
    <t># text = e non c'è alcun modo di fare la cosa giusta.</t>
  </si>
  <si>
    <t>c'</t>
  </si>
  <si>
    <t>alcun</t>
  </si>
  <si>
    <t>giusta</t>
  </si>
  <si>
    <t># text = Mi piacerebbe iniziare con un esempio di una persona che, dopo una sessione di domande e risposte, dopo una mia lezione, raccontò una storia.</t>
  </si>
  <si>
    <t>Mi</t>
  </si>
  <si>
    <t>piacerebbe</t>
  </si>
  <si>
    <t>con</t>
  </si>
  <si>
    <t>esempio</t>
  </si>
  <si>
    <t>persona</t>
  </si>
  <si>
    <t>sessione</t>
  </si>
  <si>
    <t>domande</t>
  </si>
  <si>
    <t>risposte</t>
  </si>
  <si>
    <t>mia</t>
  </si>
  <si>
    <t>lezione</t>
  </si>
  <si>
    <t>raccontò</t>
  </si>
  <si>
    <t>storia</t>
  </si>
  <si>
    <t># text = [ non chiaro..</t>
  </si>
  <si>
    <t>chiaro..</t>
  </si>
  <si>
    <t># text = .] Disse che mentre ascoltava una sinfonia di musica assolutamente magnifica proprio alla fine della registrazione,♪ si sentì un suono terribilmente stridulo.</t>
  </si>
  <si>
    <t>]</t>
  </si>
  <si>
    <t>Disse</t>
  </si>
  <si>
    <t>mentre</t>
  </si>
  <si>
    <t>ascoltava</t>
  </si>
  <si>
    <t>sinfonia</t>
  </si>
  <si>
    <t>musica</t>
  </si>
  <si>
    <t>assolutamente</t>
  </si>
  <si>
    <t>magnifica</t>
  </si>
  <si>
    <t>proprio</t>
  </si>
  <si>
    <t>fine</t>
  </si>
  <si>
    <t>registrazione,♪</t>
  </si>
  <si>
    <t>ne</t>
  </si>
  <si>
    <t>sentì</t>
  </si>
  <si>
    <t>suono</t>
  </si>
  <si>
    <t>terribilmente</t>
  </si>
  <si>
    <t>stridulo</t>
  </si>
  <si>
    <t># text = E poi aggiunse, in maniera molto emotiva, che (quell'ultimo suono, ndt) aveva rovinato l'intera esperienza.</t>
  </si>
  <si>
    <t>poi</t>
  </si>
  <si>
    <t>aggiunse</t>
  </si>
  <si>
    <t>maniera</t>
  </si>
  <si>
    <t>emotiva</t>
  </si>
  <si>
    <t>quell'</t>
  </si>
  <si>
    <t>ultimo</t>
  </si>
  <si>
    <t>ndt</t>
  </si>
  <si>
    <t>aveva</t>
  </si>
  <si>
    <t>rovinato</t>
  </si>
  <si>
    <t>intera</t>
  </si>
  <si>
    <t># text = Ma non era vero.</t>
  </si>
  <si>
    <t>era</t>
  </si>
  <si>
    <t>vero</t>
  </si>
  <si>
    <t># text = Quello che era stato rovinato era il ricordo dell'esperienza.</t>
  </si>
  <si>
    <t>Quello</t>
  </si>
  <si>
    <t>stato</t>
  </si>
  <si>
    <t>ricordo</t>
  </si>
  <si>
    <t># text = Lui aveva vissuto l'esperienza.</t>
  </si>
  <si>
    <t>Lui</t>
  </si>
  <si>
    <t>vissuto</t>
  </si>
  <si>
    <t># text = Ed aveva ascoltato per 20 minuti della musica meravigliosa.</t>
  </si>
  <si>
    <t>Ed</t>
  </si>
  <si>
    <t>ascoltato</t>
  </si>
  <si>
    <t>minuti</t>
  </si>
  <si>
    <t>meravigliosa</t>
  </si>
  <si>
    <t># text = ma ciò non contò per niente perchè lui rimase con un certo ricordo;</t>
  </si>
  <si>
    <t>ciò</t>
  </si>
  <si>
    <t>contò</t>
  </si>
  <si>
    <t>niente</t>
  </si>
  <si>
    <t>perchè</t>
  </si>
  <si>
    <t>lui</t>
  </si>
  <si>
    <t>rimase</t>
  </si>
  <si>
    <t>;</t>
  </si>
  <si>
    <t># text = Il ricordo era rovinato, e il ricordo era tutto ciò che gli rimaneva.</t>
  </si>
  <si>
    <t>rimaneva</t>
  </si>
  <si>
    <t># text = Ciò che questo episodio ci dice, in fondo, è che noi potremmo pensare a noi stessi e ad altre persone in termini di due "sè ".</t>
  </si>
  <si>
    <t>Ciò</t>
  </si>
  <si>
    <t>episodio</t>
  </si>
  <si>
    <t>dice</t>
  </si>
  <si>
    <t>fondo</t>
  </si>
  <si>
    <t>potremmo</t>
  </si>
  <si>
    <t>stessi</t>
  </si>
  <si>
    <t>altre</t>
  </si>
  <si>
    <t>termini</t>
  </si>
  <si>
    <t>sè</t>
  </si>
  <si>
    <t># text = C'è un sè che vive delle esperienze, che vive nel presente e conosce il presente, ed è capace di rivivere il passato, ma che in pratica ha solo il presente.</t>
  </si>
  <si>
    <t>vive</t>
  </si>
  <si>
    <t>esperienze</t>
  </si>
  <si>
    <t>presente</t>
  </si>
  <si>
    <t>conosce</t>
  </si>
  <si>
    <t>capace</t>
  </si>
  <si>
    <t>rivivere</t>
  </si>
  <si>
    <t>passato</t>
  </si>
  <si>
    <t>ha</t>
  </si>
  <si>
    <t>solo</t>
  </si>
  <si>
    <t># text = Si tratta del " sé che vive le esperienze " e al quale il dottore si avvicina -- sapete quando il dottore chiede, " Ti fa male ora, quando tocco qui?"</t>
  </si>
  <si>
    <t>Si</t>
  </si>
  <si>
    <t>quale</t>
  </si>
  <si>
    <t>dottore</t>
  </si>
  <si>
    <t>avvicina</t>
  </si>
  <si>
    <t>sapete</t>
  </si>
  <si>
    <t>quando</t>
  </si>
  <si>
    <t>SBJ_6</t>
  </si>
  <si>
    <t>chiede</t>
  </si>
  <si>
    <t>Ti</t>
  </si>
  <si>
    <t>OBJ_6</t>
  </si>
  <si>
    <t>fa</t>
  </si>
  <si>
    <t>male</t>
  </si>
  <si>
    <t>ora</t>
  </si>
  <si>
    <t>tocco</t>
  </si>
  <si>
    <t>qui</t>
  </si>
  <si>
    <t>?</t>
  </si>
  <si>
    <t># text = E poi c'è il "sé che si ricorda", si tratta del "sé che si ricorda" che segna i punti, e si occupa della storia della nostra vita, ed è quel "sé" a cui il dottore si avvicina chiedendo:</t>
  </si>
  <si>
    <t>ricorda</t>
  </si>
  <si>
    <t>segna</t>
  </si>
  <si>
    <t>punti</t>
  </si>
  <si>
    <t>occupa</t>
  </si>
  <si>
    <t>nostra</t>
  </si>
  <si>
    <t>quel</t>
  </si>
  <si>
    <t>SBJ_8</t>
  </si>
  <si>
    <t>chiedendo</t>
  </si>
  <si>
    <t># text = "Come ti sei sentito negli ultimi tempi?" o " Com'è andato il tuo viaggio in Albania?" o qualcosa di simile.</t>
  </si>
  <si>
    <t>Come</t>
  </si>
  <si>
    <t>ti</t>
  </si>
  <si>
    <t>sei</t>
  </si>
  <si>
    <t>sentito</t>
  </si>
  <si>
    <t>Com'</t>
  </si>
  <si>
    <t>andato</t>
  </si>
  <si>
    <t>tuo</t>
  </si>
  <si>
    <t>viaggio</t>
  </si>
  <si>
    <t>Albania</t>
  </si>
  <si>
    <t>qualcosa</t>
  </si>
  <si>
    <t>simile</t>
  </si>
  <si>
    <t># text = Quelle sono due entità differenti, il sé che vive un'esperienza e quello che se la ricorda, e confondersi tra le due è parte della confusione sulla nozione di felicità.</t>
  </si>
  <si>
    <t>Quelle</t>
  </si>
  <si>
    <t>entità</t>
  </si>
  <si>
    <t>differenti</t>
  </si>
  <si>
    <t>un'</t>
  </si>
  <si>
    <t>quello</t>
  </si>
  <si>
    <t>se</t>
  </si>
  <si>
    <t>confonder</t>
  </si>
  <si>
    <t>nozione</t>
  </si>
  <si>
    <t># text = Il sé che ricorda, è un cantastorie.</t>
  </si>
  <si>
    <t>cantastorie</t>
  </si>
  <si>
    <t># text = E questo processo inizia con una risposta fondamentale dei nostri ricordi -- inizia immediatamente.</t>
  </si>
  <si>
    <t>processo</t>
  </si>
  <si>
    <t>inizia</t>
  </si>
  <si>
    <t>risposta</t>
  </si>
  <si>
    <t>fondamentale</t>
  </si>
  <si>
    <t>nostri</t>
  </si>
  <si>
    <t>ricordi</t>
  </si>
  <si>
    <t>immediatamente</t>
  </si>
  <si>
    <t># text = Noi non raccontiamo storie solo quando decidiamo di raccontarle.</t>
  </si>
  <si>
    <t>Noi</t>
  </si>
  <si>
    <t>raccontiamo</t>
  </si>
  <si>
    <t>storie</t>
  </si>
  <si>
    <t>decidiamo</t>
  </si>
  <si>
    <t>raccontar</t>
  </si>
  <si>
    <t># text = La nostra memoria ci racconta storie, ossia, quello che ci rimane delle nostre esperienze è una storia.</t>
  </si>
  <si>
    <t>racconta</t>
  </si>
  <si>
    <t>rimane</t>
  </si>
  <si>
    <t>nostre</t>
  </si>
  <si>
    <t># text = Fatemi iniziare con un esempio.</t>
  </si>
  <si>
    <t>Fate</t>
  </si>
  <si>
    <t>mi</t>
  </si>
  <si>
    <t># text = Si tratta di un vecchio studio.</t>
  </si>
  <si>
    <t>vecchio</t>
  </si>
  <si>
    <t>studio</t>
  </si>
  <si>
    <t># text = Che riporta le esperienze di due pazienti durante una procedura dolorosa.</t>
  </si>
  <si>
    <t>Che</t>
  </si>
  <si>
    <t>riporta</t>
  </si>
  <si>
    <t>pazienti</t>
  </si>
  <si>
    <t>durante</t>
  </si>
  <si>
    <t>procedura</t>
  </si>
  <si>
    <t>dolorosa</t>
  </si>
  <si>
    <t># text = Non mi inoltrerò in dettagli.</t>
  </si>
  <si>
    <t>Non</t>
  </si>
  <si>
    <t>inoltrerò</t>
  </si>
  <si>
    <t>dettagli</t>
  </si>
  <si>
    <t># text = Non è nemmeno più dolorosa al giorno d'oggi, ma era dolorosa quando questo studio fu condotto negli anni '90.</t>
  </si>
  <si>
    <t>nemmeno</t>
  </si>
  <si>
    <t>giorno</t>
  </si>
  <si>
    <t>fu</t>
  </si>
  <si>
    <t>condotto</t>
  </si>
  <si>
    <t>'90</t>
  </si>
  <si>
    <t># text = Si chiese ai pazienti di riportare il loro dolore ogni 60 secondi.</t>
  </si>
  <si>
    <t>chiese</t>
  </si>
  <si>
    <t>dolore</t>
  </si>
  <si>
    <t>ogni</t>
  </si>
  <si>
    <t>secondi</t>
  </si>
  <si>
    <t># text = Ed ecco qui i risultati per due pazienti.</t>
  </si>
  <si>
    <t>ecco</t>
  </si>
  <si>
    <t>risultati</t>
  </si>
  <si>
    <t># text = Quelli sono i loro risultati.</t>
  </si>
  <si>
    <t>Quelli</t>
  </si>
  <si>
    <t># text = Se vi si chiede \" Chi dei due ha sofferto di piu'?\" E' una domanda molto semplice.</t>
  </si>
  <si>
    <t>Se</t>
  </si>
  <si>
    <t>Chi</t>
  </si>
  <si>
    <t>sofferto</t>
  </si>
  <si>
    <t>piu'</t>
  </si>
  <si>
    <t>E'</t>
  </si>
  <si>
    <t>domanda</t>
  </si>
  <si>
    <t>semplice</t>
  </si>
  <si>
    <t># text = Chiaramente, il Paziente B ha sofferto di piu'.</t>
  </si>
  <si>
    <t>Chiaramente</t>
  </si>
  <si>
    <t>Paziente</t>
  </si>
  <si>
    <t>B</t>
  </si>
  <si>
    <t># text = la sua colonscopia durò di più e per ogni minuto di dolore sofferto dal paziente A il paziente B ha sofferto almeno quanto A o di più.</t>
  </si>
  <si>
    <t>sua</t>
  </si>
  <si>
    <t>colonscopia</t>
  </si>
  <si>
    <t>durò</t>
  </si>
  <si>
    <t>minuto</t>
  </si>
  <si>
    <t>da</t>
  </si>
  <si>
    <t>paziente</t>
  </si>
  <si>
    <t>A</t>
  </si>
  <si>
    <t>almeno</t>
  </si>
  <si>
    <t># text = Ma adesso c'è un'altra domanda:</t>
  </si>
  <si>
    <t>adesso</t>
  </si>
  <si>
    <t>altra</t>
  </si>
  <si>
    <t># text = "Quanto questi pazienti pensano di aver sofferto?" ed ecco la sorpresa:</t>
  </si>
  <si>
    <t>Quanto</t>
  </si>
  <si>
    <t>sorpresa</t>
  </si>
  <si>
    <t># text = Ossia il Paziente A aveva un ricordo della colonscopia di gran lunga peggiore del Paziente B.</t>
  </si>
  <si>
    <t>Ossia</t>
  </si>
  <si>
    <t>gran</t>
  </si>
  <si>
    <t>lunga</t>
  </si>
  <si>
    <t>peggiore</t>
  </si>
  <si>
    <t># text = Le storie delle colonscopie erano diverse dato che una parte particolarmente delicata della procedura è il modo in cui termina -- nessuna di queste storie è particolarmente positiva -- ma una delle due è diversa...</t>
  </si>
  <si>
    <t>Le</t>
  </si>
  <si>
    <t>colonscopie</t>
  </si>
  <si>
    <t>diverse</t>
  </si>
  <si>
    <t>dato</t>
  </si>
  <si>
    <t>particolarmente</t>
  </si>
  <si>
    <t>delicata</t>
  </si>
  <si>
    <t>termina</t>
  </si>
  <si>
    <t>nessuna</t>
  </si>
  <si>
    <t>positiva</t>
  </si>
  <si>
    <t>diversa...</t>
  </si>
  <si>
    <t># text = (risate) una delle due è particolarmente peggiore dell'altra.</t>
  </si>
  <si>
    <t>risate</t>
  </si>
  <si>
    <t># text = E la peggiore è quella dove il dolore era massimo nel momento finale.</t>
  </si>
  <si>
    <t>quella</t>
  </si>
  <si>
    <t>dove</t>
  </si>
  <si>
    <t>massimo</t>
  </si>
  <si>
    <t>momento</t>
  </si>
  <si>
    <t>finale</t>
  </si>
  <si>
    <t># text = E' una storia negativa.</t>
  </si>
  <si>
    <t>negativa</t>
  </si>
  <si>
    <t># text = Come faccio a saperlo?</t>
  </si>
  <si>
    <t>faccio</t>
  </si>
  <si>
    <t>saper</t>
  </si>
  <si>
    <t># text = Perchè abbiamo chiesto a queste persone dopo la colonscopia, e anche a distanza di tempo, " Quanto negativa è stata l'esperienza, tutto considerato?" e risultò di gran lunga peggiore per A che per B, nel ricordo.</t>
  </si>
  <si>
    <t>Perchè</t>
  </si>
  <si>
    <t>abbiamo</t>
  </si>
  <si>
    <t>anche</t>
  </si>
  <si>
    <t>distanza</t>
  </si>
  <si>
    <t>tempo</t>
  </si>
  <si>
    <t>stata</t>
  </si>
  <si>
    <t>considerato</t>
  </si>
  <si>
    <t>risultò</t>
  </si>
  <si>
    <t># text = Si tratta quindi di un conflitto diretto tra il sè che vive le esperienze ed il sè che le ricorda.</t>
  </si>
  <si>
    <t>quindi</t>
  </si>
  <si>
    <t>conflitto</t>
  </si>
  <si>
    <t>diretto</t>
  </si>
  <si>
    <t>OBJ_7</t>
  </si>
  <si>
    <t># text = Dal punto di vista del sè che vive l'esperienza, è chiaro che B ha sofferto maggiormente.</t>
  </si>
  <si>
    <t>Da</t>
  </si>
  <si>
    <t>punto</t>
  </si>
  <si>
    <t>vista</t>
  </si>
  <si>
    <t>chiaro</t>
  </si>
  <si>
    <t>maggiormente</t>
  </si>
  <si>
    <t># text = Quindi, quello che si potrebbe fare per il paziente A, ed abbiamo effettuato esperimenti clinici, ed è stato realmente fatto, e funziona, si potrebbe estendere la colonscopia del Paziente A mantenendo il tubo senza smuoverlo troppo.</t>
  </si>
  <si>
    <t>Quindi</t>
  </si>
  <si>
    <t>potrebbe</t>
  </si>
  <si>
    <t>effettuato</t>
  </si>
  <si>
    <t>esperimenti</t>
  </si>
  <si>
    <t>clinici</t>
  </si>
  <si>
    <t>realmente</t>
  </si>
  <si>
    <t>funziona</t>
  </si>
  <si>
    <t>mantenendo</t>
  </si>
  <si>
    <t>tubo</t>
  </si>
  <si>
    <t>smuover</t>
  </si>
  <si>
    <t>troppo</t>
  </si>
  <si>
    <t># text = Questo causerà un pò di dolore nel paziente, ma solo un pò, e molto meno di prima.</t>
  </si>
  <si>
    <t>Questo</t>
  </si>
  <si>
    <t>causerà</t>
  </si>
  <si>
    <t>pò</t>
  </si>
  <si>
    <t>meno</t>
  </si>
  <si>
    <t># text = E facendo questo per un paio di minuti, il sè che vive l'esperienza del Paziente A starà peggio, ed il sè che ricorda le esperienze del Paziente A starà molto meglio, perchè adesso il Paziente A ha un ricordo migliore della sua esperienza.</t>
  </si>
  <si>
    <t>facendo</t>
  </si>
  <si>
    <t>paio</t>
  </si>
  <si>
    <t>starà</t>
  </si>
  <si>
    <t>peggio</t>
  </si>
  <si>
    <t>meglio</t>
  </si>
  <si>
    <t>migliore</t>
  </si>
  <si>
    <t># text = Come si definisce una storia?</t>
  </si>
  <si>
    <t>definisce</t>
  </si>
  <si>
    <t># text = E questo vale sia per le storie che vengono dai ricordi che per le storie che inventiamo</t>
  </si>
  <si>
    <t>vale</t>
  </si>
  <si>
    <t>vengono</t>
  </si>
  <si>
    <t>inventiamo</t>
  </si>
  <si>
    <t># text = Quello che definisce una storia, sono i cambiamenti i momenti significanti e i finali.</t>
  </si>
  <si>
    <t>cambiamenti</t>
  </si>
  <si>
    <t>momenti</t>
  </si>
  <si>
    <t>significanti</t>
  </si>
  <si>
    <t>finali</t>
  </si>
  <si>
    <t># text = I finali sono molto, molto importanti ed, in questo caso, il finale ha dominato.</t>
  </si>
  <si>
    <t>I</t>
  </si>
  <si>
    <t>importanti</t>
  </si>
  <si>
    <t>caso</t>
  </si>
  <si>
    <t>dominato</t>
  </si>
  <si>
    <t># text = Quindi, il sè che vive le esperienze vive la sua vita in maniera continua.</t>
  </si>
  <si>
    <t>continua</t>
  </si>
  <si>
    <t># text = Ha momenti in cui vive esperienze che si susseguono E ti domandi:</t>
  </si>
  <si>
    <t>Ha</t>
  </si>
  <si>
    <t>susseguono</t>
  </si>
  <si>
    <t>domandi</t>
  </si>
  <si>
    <t># text = cosa succede a questi momenti?</t>
  </si>
  <si>
    <t>succede</t>
  </si>
  <si>
    <t># text = E la risposta è semplice.</t>
  </si>
  <si>
    <t># text = Sono persi per sempre Intendo dire che la maggior parte dei momenti della nostra vita -- per come io li ho calcolati -- intendo il presente psicologico si dice duri circa tre secondi Il che significa che in una vita, ne contiamo circa 600 milioni In un mese se ne contano circa 600.000 la maggior parte dei quali non lasciano traccia.</t>
  </si>
  <si>
    <t>Sono</t>
  </si>
  <si>
    <t>persi</t>
  </si>
  <si>
    <t>sempre</t>
  </si>
  <si>
    <t>Intendo</t>
  </si>
  <si>
    <t>maggior</t>
  </si>
  <si>
    <t>io</t>
  </si>
  <si>
    <t>li</t>
  </si>
  <si>
    <t>ho</t>
  </si>
  <si>
    <t>calcolati</t>
  </si>
  <si>
    <t>intendo</t>
  </si>
  <si>
    <t>psicologico</t>
  </si>
  <si>
    <t>duri</t>
  </si>
  <si>
    <t>circa</t>
  </si>
  <si>
    <t>tre</t>
  </si>
  <si>
    <t>significa</t>
  </si>
  <si>
    <t>contiamo</t>
  </si>
  <si>
    <t>600</t>
  </si>
  <si>
    <t>milioni</t>
  </si>
  <si>
    <t>In</t>
  </si>
  <si>
    <t>mese</t>
  </si>
  <si>
    <t>OBJ_8</t>
  </si>
  <si>
    <t>contano</t>
  </si>
  <si>
    <t>600.000</t>
  </si>
  <si>
    <t>quali</t>
  </si>
  <si>
    <t>lasciano</t>
  </si>
  <si>
    <t>traccia</t>
  </si>
  <si>
    <t>OBJ_9</t>
  </si>
  <si>
    <t># text = La maggior parte vengono completamente ignorati dal sè che ricorda.</t>
  </si>
  <si>
    <t>completamente</t>
  </si>
  <si>
    <t>ignorati</t>
  </si>
  <si>
    <t># text = E tuttavia, in qualche modo hai la sensazione che dovrebbero contare, che quello che succede in questi momenti di esperienza è la nostra vita.</t>
  </si>
  <si>
    <t>tuttavia</t>
  </si>
  <si>
    <t>hai</t>
  </si>
  <si>
    <t>sensazione</t>
  </si>
  <si>
    <t>dovrebbero</t>
  </si>
  <si>
    <t># text = Sono le risorse limitate che stiamo spendendo mentre siamo in questo mondo.</t>
  </si>
  <si>
    <t>risorse</t>
  </si>
  <si>
    <t>limitate</t>
  </si>
  <si>
    <t>stiamo</t>
  </si>
  <si>
    <t>spendendo</t>
  </si>
  <si>
    <t>mondo</t>
  </si>
  <si>
    <t># text = E come spenderlo, sembrerebbe rilevante, ma non è questa la storia che il sè che ricorda tiene per noi.</t>
  </si>
  <si>
    <t>spender</t>
  </si>
  <si>
    <t>sembrerebbe</t>
  </si>
  <si>
    <t>rilevante</t>
  </si>
  <si>
    <t>tiene</t>
  </si>
  <si>
    <t># text = Per cui noi abbiamo un sè che ricorda ed un sè che vive esperienze che sono abbastanza diversi.</t>
  </si>
  <si>
    <t>Per</t>
  </si>
  <si>
    <t>abbastanza</t>
  </si>
  <si>
    <t># text = La più grande differenza tra i due è come trattare il tempo.</t>
  </si>
  <si>
    <t>grande</t>
  </si>
  <si>
    <t>differenza</t>
  </si>
  <si>
    <t># text = Dal punto di vista del sè che vive le esperienze, se vai in vacanza, e la seconda settimana è divertente tanto quanto la prima, allora la vacanza di due settimane è due volte meglio della vacanza di una settimana.</t>
  </si>
  <si>
    <t>vai</t>
  </si>
  <si>
    <t>vacanza</t>
  </si>
  <si>
    <t>settimana</t>
  </si>
  <si>
    <t>divertente</t>
  </si>
  <si>
    <t>tanto</t>
  </si>
  <si>
    <t>allora</t>
  </si>
  <si>
    <t>settimane</t>
  </si>
  <si>
    <t>volte</t>
  </si>
  <si>
    <t># text = Ma questo non è assolutamente il modo in cui funziona il sè che ricorda.</t>
  </si>
  <si>
    <t># text = Per il sè che ricorda, una vacanza di due settimane è vagamente migliore di una settimana di vacanza perché non ci sono nuovi ricordi in aggiunta.</t>
  </si>
  <si>
    <t>vagamente</t>
  </si>
  <si>
    <t>nuovi</t>
  </si>
  <si>
    <t>aggiunta</t>
  </si>
  <si>
    <t># text = Non hai cambiato la storia.</t>
  </si>
  <si>
    <t>cambiato</t>
  </si>
  <si>
    <t># text = Ed in questo modo, il tempo è la variabile critica che distingue il sè che ricorda dal sè che vive le esperienze.</t>
  </si>
  <si>
    <t>variabile</t>
  </si>
  <si>
    <t>critica</t>
  </si>
  <si>
    <t>distingue</t>
  </si>
  <si>
    <t># text = Il tempo ha un impatto limitato su questa storia.</t>
  </si>
  <si>
    <t>impatto</t>
  </si>
  <si>
    <t>limitato</t>
  </si>
  <si>
    <t># text = Ebbene, il sè che ricorda le esperienze fa di più che ricordare e raccontare storie.</t>
  </si>
  <si>
    <t>Ebbene</t>
  </si>
  <si>
    <t>ricordare</t>
  </si>
  <si>
    <t># text = E' in realtà il sé che prende decisioni perché, se consideriamo un paziente che ha avuto, per esempio, due colonscopie con due diversi medici e sta decidendo quale dei due scegliere, quello che lui scgelie é quello che ha il ricordo meno "negativo", e quello sarà il medico che verrà scelto.</t>
  </si>
  <si>
    <t>realtà</t>
  </si>
  <si>
    <t>prende</t>
  </si>
  <si>
    <t>decisioni</t>
  </si>
  <si>
    <t>consideriamo</t>
  </si>
  <si>
    <t>avuto</t>
  </si>
  <si>
    <t>medici</t>
  </si>
  <si>
    <t>sta</t>
  </si>
  <si>
    <t>decidendo</t>
  </si>
  <si>
    <t>SBJ_9</t>
  </si>
  <si>
    <t>scgelie</t>
  </si>
  <si>
    <t>é</t>
  </si>
  <si>
    <t>other_9</t>
  </si>
  <si>
    <t>SBJ_11</t>
  </si>
  <si>
    <t>OBJ_11</t>
  </si>
  <si>
    <t>negativo</t>
  </si>
  <si>
    <t>sarà</t>
  </si>
  <si>
    <t>medico</t>
  </si>
  <si>
    <t>other_10</t>
  </si>
  <si>
    <t>SBJ_12</t>
  </si>
  <si>
    <t>verrà</t>
  </si>
  <si>
    <t>scelto</t>
  </si>
  <si>
    <t># text = Il sè che vive le esperienze non ha voce in queste scelte.</t>
  </si>
  <si>
    <t>voce</t>
  </si>
  <si>
    <t>scelte</t>
  </si>
  <si>
    <t># text = Di fatto, noi non scegliamo tra esperienze, ma tra i ricordi di quelle esperienze.</t>
  </si>
  <si>
    <t>scegliamo</t>
  </si>
  <si>
    <t>quelle</t>
  </si>
  <si>
    <t># text = Ed anche quando pensiamo al nostro futuro, in genere non pensiamo al nostro futuro come esperienze.</t>
  </si>
  <si>
    <t>pensiamo</t>
  </si>
  <si>
    <t>nostro</t>
  </si>
  <si>
    <t>futuro</t>
  </si>
  <si>
    <t>genere</t>
  </si>
  <si>
    <t># text = Pensiamo al nostro futuro come memorie anticipate.</t>
  </si>
  <si>
    <t>Pensiamo</t>
  </si>
  <si>
    <t>memorie</t>
  </si>
  <si>
    <t>anticipate</t>
  </si>
  <si>
    <t># text = In pratica puoi considerare questa situazione, come una tirannia del sè che ricorda, e puoi pensare al sè che ricorda come se trascinasse il sè che vive le esperienze attraverso esperienze delle quali, il sé che vive le esperienze, non ha bisogno.</t>
  </si>
  <si>
    <t>puoi</t>
  </si>
  <si>
    <t>considerare</t>
  </si>
  <si>
    <t>situazione</t>
  </si>
  <si>
    <t>tirannia</t>
  </si>
  <si>
    <t>trascinasse</t>
  </si>
  <si>
    <t>attraverso</t>
  </si>
  <si>
    <t>bisogno</t>
  </si>
  <si>
    <t># text = Ho la sensazione che quando andiamo in vacanza si dia spesso il caso che, si vada in vacanza in buona parte al servizio del nostro sè che ricorda.</t>
  </si>
  <si>
    <t>andiamo</t>
  </si>
  <si>
    <t>dia</t>
  </si>
  <si>
    <t>spesso</t>
  </si>
  <si>
    <t>vada</t>
  </si>
  <si>
    <t>buona</t>
  </si>
  <si>
    <t>servizio</t>
  </si>
  <si>
    <t># text = E questo è un po' difficile da giustificare.</t>
  </si>
  <si>
    <t>po'</t>
  </si>
  <si>
    <t>difficile</t>
  </si>
  <si>
    <t>giustificare</t>
  </si>
  <si>
    <t># text = Ossia, quanto \"consumiamo\" le nostre memorie?</t>
  </si>
  <si>
    <t>consumiamo</t>
  </si>
  <si>
    <t># text = Questa è una delle spiegazioni che viene data per il predominio del sè che ricorda.</t>
  </si>
  <si>
    <t>Questa</t>
  </si>
  <si>
    <t>spiegazioni</t>
  </si>
  <si>
    <t>viene</t>
  </si>
  <si>
    <t>data</t>
  </si>
  <si>
    <t>predominio</t>
  </si>
  <si>
    <t># text = Quando penso a ciò, mi viene in mente una vacanza nell'Antartide di qualche anno fa, che è una delle migliori vacanze della mia vita, ed a cui penso relativamente spesso, rispetto alle altre vacanze.</t>
  </si>
  <si>
    <t>Quando</t>
  </si>
  <si>
    <t>penso</t>
  </si>
  <si>
    <t>mente</t>
  </si>
  <si>
    <t>Antartide</t>
  </si>
  <si>
    <t>anno</t>
  </si>
  <si>
    <t>migliori</t>
  </si>
  <si>
    <t>vacanze</t>
  </si>
  <si>
    <t>relativamente</t>
  </si>
  <si>
    <t>rispetto</t>
  </si>
  <si>
    <t># text = E probabilmente ho passato a pensare ai ricordi di quel viaggio di tre settimane, per diciamo, 25 minuti negli ultimi 4 anni.</t>
  </si>
  <si>
    <t>probabilmente</t>
  </si>
  <si>
    <t>diciamo</t>
  </si>
  <si>
    <t># text = Se avessi mai aperto la cartella con le 600 fotografie del viaggio, avrei trascorso un'altra ora (pensando al viaggio, ndt) Si tratta di tre settimane di viaggio che si traduce in massimo un'ora e mezza.</t>
  </si>
  <si>
    <t>avessi</t>
  </si>
  <si>
    <t>mai</t>
  </si>
  <si>
    <t>aperto</t>
  </si>
  <si>
    <t>cartella</t>
  </si>
  <si>
    <t>fotografie</t>
  </si>
  <si>
    <t>avrei</t>
  </si>
  <si>
    <t>trascorso</t>
  </si>
  <si>
    <t>pensando</t>
  </si>
  <si>
    <t>traduce</t>
  </si>
  <si>
    <t>mezza</t>
  </si>
  <si>
    <t># text = (di ricordi) Sembra che ci sia una discrepanza.</t>
  </si>
  <si>
    <t>Sembra</t>
  </si>
  <si>
    <t>discrepanza</t>
  </si>
  <si>
    <t># text = Ebbene, io potrei essere un po' estremo, nel mio scarso appetito per il consumo di ricordi, ma anche se tu facessi più di questo, una domanda genuina si pone.</t>
  </si>
  <si>
    <t>potrei</t>
  </si>
  <si>
    <t>estremo</t>
  </si>
  <si>
    <t>scarso</t>
  </si>
  <si>
    <t>appetito</t>
  </si>
  <si>
    <t>consumo</t>
  </si>
  <si>
    <t>tu</t>
  </si>
  <si>
    <t>facessi</t>
  </si>
  <si>
    <t>genuina</t>
  </si>
  <si>
    <t>pone</t>
  </si>
  <si>
    <t># text = Perché diamo tanto peso alla memoria rispetto al peso che diamo elle esperienze?</t>
  </si>
  <si>
    <t>Perché</t>
  </si>
  <si>
    <t>diamo</t>
  </si>
  <si>
    <t>peso</t>
  </si>
  <si>
    <t>elle</t>
  </si>
  <si>
    <t># text = Adesso voglio che pensiate ad un esperimento col pensiero.</t>
  </si>
  <si>
    <t>Adesso</t>
  </si>
  <si>
    <t>voglio</t>
  </si>
  <si>
    <t>pensiate</t>
  </si>
  <si>
    <t>esperimento</t>
  </si>
  <si>
    <t>pensiero</t>
  </si>
  <si>
    <t># text = Immaginate che durante le prossime vacanze sappiate che alla fine della vacanza tutte le fotografie verranno distrutte, e che prenderete una medicina per l'amnesia cosicché non ricorderete nulla.</t>
  </si>
  <si>
    <t>Immaginate</t>
  </si>
  <si>
    <t>prossime</t>
  </si>
  <si>
    <t>sappiate</t>
  </si>
  <si>
    <t>tutte</t>
  </si>
  <si>
    <t>verranno</t>
  </si>
  <si>
    <t>distrutte</t>
  </si>
  <si>
    <t>prenderete</t>
  </si>
  <si>
    <t>medicina</t>
  </si>
  <si>
    <t>amnesia</t>
  </si>
  <si>
    <t>cosicché</t>
  </si>
  <si>
    <t>ricorderete</t>
  </si>
  <si>
    <t>nulla</t>
  </si>
  <si>
    <t># text = Scegliereste la stessa vacanza?</t>
  </si>
  <si>
    <t>Scegliereste</t>
  </si>
  <si>
    <t>stessa</t>
  </si>
  <si>
    <t># text = (risate) E se poteste scegliere una vacanza differente, si crea un conflitto tra i due sè e dovete pensare a come risolvere tale conflitto ed in effetti non è così ovvio perché, se pensate in termini di tempo allora avrete una risposta.</t>
  </si>
  <si>
    <t>poteste</t>
  </si>
  <si>
    <t>differente</t>
  </si>
  <si>
    <t>crea</t>
  </si>
  <si>
    <t>dovete</t>
  </si>
  <si>
    <t>risolvere</t>
  </si>
  <si>
    <t>tale</t>
  </si>
  <si>
    <t>effetti</t>
  </si>
  <si>
    <t>così</t>
  </si>
  <si>
    <t>ovvio</t>
  </si>
  <si>
    <t>pensate</t>
  </si>
  <si>
    <t>avrete</t>
  </si>
  <si>
    <t># text = E se pensate in termini di ricordi, potreste ottenere un'altra risposta.</t>
  </si>
  <si>
    <t>potreste</t>
  </si>
  <si>
    <t># text = Il perché scegliamo le vacanze che facciamo, è un problema che ci mette di fronte a scelte tra i due sè.</t>
  </si>
  <si>
    <t>facciamo</t>
  </si>
  <si>
    <t>problema</t>
  </si>
  <si>
    <t>mette</t>
  </si>
  <si>
    <t>fronte</t>
  </si>
  <si>
    <t># text = I due sè portano due nozioni di felicita'.</t>
  </si>
  <si>
    <t>portano</t>
  </si>
  <si>
    <t>nozioni</t>
  </si>
  <si>
    <t>felicita</t>
  </si>
  <si>
    <t>'</t>
  </si>
  <si>
    <t># text = Esistono in realtà due concetti di felicita' che noi possiamo utilizzare, uno per ogni sè.</t>
  </si>
  <si>
    <t>Esistono</t>
  </si>
  <si>
    <t>utilizzare</t>
  </si>
  <si>
    <t>uno</t>
  </si>
  <si>
    <t># text = Per cui potete chiedere:</t>
  </si>
  <si>
    <t>potete</t>
  </si>
  <si>
    <t># text = Quanto è felice il sè che fa l'esperienza?</t>
  </si>
  <si>
    <t>felice</t>
  </si>
  <si>
    <t># text = E poi potete chiedere:</t>
  </si>
  <si>
    <t># text = Quanto felici sono i momenti nella vita del sè che vive le esperienze?</t>
  </si>
  <si>
    <t># text = E si tratta di --- felicità per momenti si tratta di un processo complicato.</t>
  </si>
  <si>
    <t>complicato</t>
  </si>
  <si>
    <t># text = Quali sono le emozioni che possiamo misurare?</t>
  </si>
  <si>
    <t>Quali</t>
  </si>
  <si>
    <t>emozioni</t>
  </si>
  <si>
    <t>misurare</t>
  </si>
  <si>
    <t># text = E, comunque, ora noi siamo in grado di farci un'idea abbastanza buona della felicità del sè che vive le esperienze nel tempo.</t>
  </si>
  <si>
    <t>comunque</t>
  </si>
  <si>
    <t>grado</t>
  </si>
  <si>
    <t>far</t>
  </si>
  <si>
    <t>idea</t>
  </si>
  <si>
    <t># text = Se domandate della felicità del sè che ricorda, è una cosa completamente diversa.</t>
  </si>
  <si>
    <t>domandate</t>
  </si>
  <si>
    <t>diversa</t>
  </si>
  <si>
    <t># text = Non si tratta di quanto felicemente una persona viva.</t>
  </si>
  <si>
    <t>felicemente</t>
  </si>
  <si>
    <t>viva</t>
  </si>
  <si>
    <t># text = Si tratta di quanto soddisfatta o compiaciuta sia la persona quando (la persona) pensa alla sua vita.</t>
  </si>
  <si>
    <t>soddisfatta</t>
  </si>
  <si>
    <t>compiaciuta</t>
  </si>
  <si>
    <t>pensa</t>
  </si>
  <si>
    <t># text = E' un'idea molto differente.</t>
  </si>
  <si>
    <t># text = Chiunque non sia in grado di distinguere queste due nozioni, non farà altro che "creare confusione" negli studi sulla felicità, ed io appartengo ad un gruppo di studenti di benessere, che hanno scompigliato gli studi sulla felicità per un lungo periodo esattamente in questa maniera.</t>
  </si>
  <si>
    <t>Chiunque</t>
  </si>
  <si>
    <t>distinguere</t>
  </si>
  <si>
    <t>farà</t>
  </si>
  <si>
    <t>altro</t>
  </si>
  <si>
    <t>creare</t>
  </si>
  <si>
    <t>studi</t>
  </si>
  <si>
    <t>appartengo</t>
  </si>
  <si>
    <t>gruppo</t>
  </si>
  <si>
    <t>studenti</t>
  </si>
  <si>
    <t>scompigliato</t>
  </si>
  <si>
    <t>lungo</t>
  </si>
  <si>
    <t>periodo</t>
  </si>
  <si>
    <t>esattamente</t>
  </si>
  <si>
    <t># text = La differenza tra la felicità del sè che vive le esperienze e la soddisfazione del sè che ricorda è stata riconosciuta negli ultimi anni, e vi sono ora degli sforzi per misurare i due separatamente, l'istituto Gallup ha un sondaggio a livello mondiale dove più di mezzo milione di persone sono state sottoposte a un questionario su quello che pensano della loro vita e sulle loro esperienze.</t>
  </si>
  <si>
    <t>soddisfazione</t>
  </si>
  <si>
    <t>riconosciuta</t>
  </si>
  <si>
    <t>sforzi</t>
  </si>
  <si>
    <t>separatamente</t>
  </si>
  <si>
    <t>istituto</t>
  </si>
  <si>
    <t>Gallup</t>
  </si>
  <si>
    <t>sondaggio</t>
  </si>
  <si>
    <t>livello</t>
  </si>
  <si>
    <t>mondiale</t>
  </si>
  <si>
    <t>mezzo</t>
  </si>
  <si>
    <t>milione</t>
  </si>
  <si>
    <t>state</t>
  </si>
  <si>
    <t>sottoposte</t>
  </si>
  <si>
    <t>questionario</t>
  </si>
  <si>
    <t># text = E vi sono stati altri studi in questa direzione.</t>
  </si>
  <si>
    <t>stati</t>
  </si>
  <si>
    <t>direzione</t>
  </si>
  <si>
    <t># text = Per cui negli ultimi anni, abbiamo iniziato ad apprendere (nuove cose) sulla felicità dei due sè.</t>
  </si>
  <si>
    <t>iniziato</t>
  </si>
  <si>
    <t>apprendere</t>
  </si>
  <si>
    <t>nuove</t>
  </si>
  <si>
    <t>cose</t>
  </si>
  <si>
    <t># text = E la lezione più grande che abbiamo imparato, è che sono molto diversi.</t>
  </si>
  <si>
    <t>imparato</t>
  </si>
  <si>
    <t># text = Potreste sapere quanto una persona sia soddisfatta con la propria vita, e comunque questo non vi dice molto su quanto felicemente stiano vivendo la propria vita e viceversa.</t>
  </si>
  <si>
    <t>Potreste</t>
  </si>
  <si>
    <t>stiano</t>
  </si>
  <si>
    <t>vivendo</t>
  </si>
  <si>
    <t>viceversa</t>
  </si>
  <si>
    <t># text = Per darvi un'idea della correlazione, la correlazione è circa 0.5.</t>
  </si>
  <si>
    <t>dar</t>
  </si>
  <si>
    <t>correlazione</t>
  </si>
  <si>
    <t>0.5</t>
  </si>
  <si>
    <t># text = Che significa che se incontraste qualcuno, e vi dicessero, "oh, suo padre e' alto 1.80 m" quanto sapreste della sua altezza?</t>
  </si>
  <si>
    <t>incontraste</t>
  </si>
  <si>
    <t>qualcuno</t>
  </si>
  <si>
    <t>dicessero</t>
  </si>
  <si>
    <t>oh</t>
  </si>
  <si>
    <t>suo</t>
  </si>
  <si>
    <t>padre</t>
  </si>
  <si>
    <t>alto</t>
  </si>
  <si>
    <t>1.80</t>
  </si>
  <si>
    <t>m</t>
  </si>
  <si>
    <t>sapreste</t>
  </si>
  <si>
    <t>altezza</t>
  </si>
  <si>
    <t># text = Be', sapreste qualcosa sulla sua altezza, ma con molta incertezza.</t>
  </si>
  <si>
    <t>molta</t>
  </si>
  <si>
    <t>incertezza</t>
  </si>
  <si>
    <t># text = Avreste sempre un po' di incertezza.</t>
  </si>
  <si>
    <t>Avreste</t>
  </si>
  <si>
    <t># text = Se vi dico che qualcuno pensa che la sua vita sia al livello 8 in una scala da uno a dieci sarete molto incerti su quanto felici essi siano con il loro sè che vive le esperienze.</t>
  </si>
  <si>
    <t>dico</t>
  </si>
  <si>
    <t>scala</t>
  </si>
  <si>
    <t>dieci</t>
  </si>
  <si>
    <t>sarete</t>
  </si>
  <si>
    <t>incerti</t>
  </si>
  <si>
    <t>essi</t>
  </si>
  <si>
    <t>siano</t>
  </si>
  <si>
    <t># text = Per cui la correlazione è bassa.</t>
  </si>
  <si>
    <t>bassa</t>
  </si>
  <si>
    <t># text = Abbiamo una certa conoscenza di cosa controlli la soddisfazione del sè felice.</t>
  </si>
  <si>
    <t>Abbiamo</t>
  </si>
  <si>
    <t>certa</t>
  </si>
  <si>
    <t>conoscenza</t>
  </si>
  <si>
    <t>controlli</t>
  </si>
  <si>
    <t># text = Sappiamo che il denaro è molto importante, gli obiettivi sono molto importanti.</t>
  </si>
  <si>
    <t>Sappiamo</t>
  </si>
  <si>
    <t>denaro</t>
  </si>
  <si>
    <t>importante</t>
  </si>
  <si>
    <t>obiettivi</t>
  </si>
  <si>
    <t># text = Sappiamo che essere felici significa essere soddisfatti con le persone che ci piacciono, trascorrere del tempo con le persone che ci piacciono.</t>
  </si>
  <si>
    <t>soddisfatti</t>
  </si>
  <si>
    <t>piacciono</t>
  </si>
  <si>
    <t># text = Vi sono pure altri piaceri, ma questi sono quelli principali.</t>
  </si>
  <si>
    <t>Vi</t>
  </si>
  <si>
    <t>pure</t>
  </si>
  <si>
    <t>piaceri</t>
  </si>
  <si>
    <t>quelli</t>
  </si>
  <si>
    <t>principali</t>
  </si>
  <si>
    <t># text = Per cui se volete massimizzare la felicità dei due sè, finirete facendo cose molto diverse.</t>
  </si>
  <si>
    <t>volete</t>
  </si>
  <si>
    <t>massimizzare</t>
  </si>
  <si>
    <t>finirete</t>
  </si>
  <si>
    <t># text = La conclusione di ciò che ho detto finora è che non dovremmo pensare alla felicità come ad un sostituto del benessere.</t>
  </si>
  <si>
    <t>conclusione</t>
  </si>
  <si>
    <t>detto</t>
  </si>
  <si>
    <t>finora</t>
  </si>
  <si>
    <t>dovremmo</t>
  </si>
  <si>
    <t>sostituto</t>
  </si>
  <si>
    <t># text = Si tratta di due idee completamente diverse.</t>
  </si>
  <si>
    <t># text = In più, molto velocemente, un'altra ragione per cui non possiamo pensare in maniera lineare alla felicità è che non prestiamo attenzione alle stesse cose quando pensiamo alla vita, e quando viviamo la vita.</t>
  </si>
  <si>
    <t>velocemente</t>
  </si>
  <si>
    <t>ragione</t>
  </si>
  <si>
    <t>lineare</t>
  </si>
  <si>
    <t>prestiamo</t>
  </si>
  <si>
    <t>attenzione</t>
  </si>
  <si>
    <t>stesse</t>
  </si>
  <si>
    <t>viviamo</t>
  </si>
  <si>
    <t># text = Pertanto, se fate la semplice domanda su quanto sia felice la gente in California, non potrete ottenere la risposta corretta.</t>
  </si>
  <si>
    <t>Pertanto</t>
  </si>
  <si>
    <t>fate</t>
  </si>
  <si>
    <t>gente</t>
  </si>
  <si>
    <t>California</t>
  </si>
  <si>
    <t>potrete</t>
  </si>
  <si>
    <t>corretta</t>
  </si>
  <si>
    <t># text = Quando fate questa domanda, pensate che dovreste essere più felici in California, che in Ohio.</t>
  </si>
  <si>
    <t>dovreste</t>
  </si>
  <si>
    <t>Ohio</t>
  </si>
  <si>
    <t># text = (Risate) Quello che succede è che quando pensate alla vita in California, state pensando al contrasto tra la California ed altri posti, e ad esempio quel confronto è sul clima.</t>
  </si>
  <si>
    <t>Risate</t>
  </si>
  <si>
    <t>contrasto</t>
  </si>
  <si>
    <t>posti</t>
  </si>
  <si>
    <t>confronto</t>
  </si>
  <si>
    <t>clima</t>
  </si>
  <si>
    <t># text = Bè, risulta che il clima non sia cosi' importante per il sè che vive le esperienze e non sia molto importante per il sè che riflette che è quello che decide quanto felici sono le persone.</t>
  </si>
  <si>
    <t>Bè</t>
  </si>
  <si>
    <t>risulta</t>
  </si>
  <si>
    <t>cosi</t>
  </si>
  <si>
    <t>riflette</t>
  </si>
  <si>
    <t>decide</t>
  </si>
  <si>
    <t># text = Ma siccome il sè che riflette è in carica, potreste finire -- alcune persone potrebbero, alla fine, trasferirsi in California.</t>
  </si>
  <si>
    <t>siccome</t>
  </si>
  <si>
    <t>carica</t>
  </si>
  <si>
    <t>alcune</t>
  </si>
  <si>
    <t>potrebbero</t>
  </si>
  <si>
    <t>trasferir</t>
  </si>
  <si>
    <t># text = Ed è interessante verificare cosa succederà alle persone che si trasferiscono in California nella speranza di essere più felici.</t>
  </si>
  <si>
    <t>interessante</t>
  </si>
  <si>
    <t>verificare</t>
  </si>
  <si>
    <t>succederà</t>
  </si>
  <si>
    <t>trasferiscono</t>
  </si>
  <si>
    <t>speranza</t>
  </si>
  <si>
    <t># text = Bè, il sè che vive le esperienze non diventerà piu' felice.</t>
  </si>
  <si>
    <t>diventerà</t>
  </si>
  <si>
    <t># text = Lo sappiamo.</t>
  </si>
  <si>
    <t>Lo</t>
  </si>
  <si>
    <t>sappiamo</t>
  </si>
  <si>
    <t># text = Ma una cosa succederà.</t>
  </si>
  <si>
    <t># text = Penseranno di essere più felici, perchè quando ci pensano, si ricorderanno di quanto terribile era il tempo in Ohio.</t>
  </si>
  <si>
    <t>Penseranno</t>
  </si>
  <si>
    <t>ricorderanno</t>
  </si>
  <si>
    <t>terribile</t>
  </si>
  <si>
    <t># text = E penseranno di aver preso la decisione giusta.</t>
  </si>
  <si>
    <t>penseranno</t>
  </si>
  <si>
    <t>preso</t>
  </si>
  <si>
    <t>decisione</t>
  </si>
  <si>
    <t># text = E' molto difficile pensare chiaramente al benessere e penso di avervi dato l'idea di quanto difficile sia.</t>
  </si>
  <si>
    <t>chiaramente</t>
  </si>
  <si>
    <t>avervi</t>
  </si>
  <si>
    <t># text = Grazie.</t>
  </si>
  <si>
    <t>Grazie</t>
  </si>
  <si>
    <t># text = (Applausi) Chris Anderson:</t>
  </si>
  <si>
    <t>Applausi</t>
  </si>
  <si>
    <t>Chris</t>
  </si>
  <si>
    <t>Anderson</t>
  </si>
  <si>
    <t># text = Ho una domanda per Lei.</t>
  </si>
  <si>
    <t>Lei</t>
  </si>
  <si>
    <t># text = Grazie mille.</t>
  </si>
  <si>
    <t>mille</t>
  </si>
  <si>
    <t># text = Quando eravamo al telefono un paio di settimane fa, mi ha menzionato che un risultato interessante che e' risultato dal sondaggio della Gallup.</t>
  </si>
  <si>
    <t>eravamo</t>
  </si>
  <si>
    <t>telefono</t>
  </si>
  <si>
    <t>menzionato</t>
  </si>
  <si>
    <t># text = E' qualcosa che pensa di poter condividere visto che abbiamo ancora qualche minuto?</t>
  </si>
  <si>
    <t>poter</t>
  </si>
  <si>
    <t>condividere</t>
  </si>
  <si>
    <t>visto</t>
  </si>
  <si>
    <t>ancora</t>
  </si>
  <si>
    <t># text = Daniel Kahneman:</t>
  </si>
  <si>
    <t>Kahneman</t>
  </si>
  <si>
    <t># text = Certo.</t>
  </si>
  <si>
    <t>Certo</t>
  </si>
  <si>
    <t># text = Credo che il risultato piu' interessante che abbiamo trovato nel sondaggio Gallup e' un numero, che non ci aspettavamo assolutamente di trovare.</t>
  </si>
  <si>
    <t>Credo</t>
  </si>
  <si>
    <t>trovato</t>
  </si>
  <si>
    <t>aspettavamo</t>
  </si>
  <si>
    <t># text = Abbiamo trovato che, con riferimento alla felicita' del sè che vive le esperienze.</t>
  </si>
  <si>
    <t>riferimento</t>
  </si>
  <si>
    <t># text = Quando abbiamo osservato come i sentimenti variassero con il reddito, abbiamo scoperto che, al di sotto di un reddito di 60.000 dollari all'anno, per gli americani, su uno studio condotto su un campione molto vasto di circa 600.000 americani, si tratta di un campione rappresentativo, al di sotto di un reddito di 600.000 dollari all'anno..</t>
  </si>
  <si>
    <t>osservato</t>
  </si>
  <si>
    <t>sentimenti</t>
  </si>
  <si>
    <t>variassero</t>
  </si>
  <si>
    <t>reddito</t>
  </si>
  <si>
    <t>scoperto</t>
  </si>
  <si>
    <t>sotto</t>
  </si>
  <si>
    <t>60.000</t>
  </si>
  <si>
    <t>dollari</t>
  </si>
  <si>
    <t>americani</t>
  </si>
  <si>
    <t>campione</t>
  </si>
  <si>
    <t>vasto</t>
  </si>
  <si>
    <t>rappresentativo</t>
  </si>
  <si>
    <t>anno..</t>
  </si>
  <si>
    <t># text = .</t>
  </si>
  <si>
    <t># text = CA: 60.000 DK:60.000 60.000 dollari all'anno, le persone sono infelici, e diventano progressivamente piu' infelici come diventano piu' povere, Al di sopra di quello, troviamo una linea piatta.</t>
  </si>
  <si>
    <t>CA</t>
  </si>
  <si>
    <t>DK:60.000</t>
  </si>
  <si>
    <t>infelici</t>
  </si>
  <si>
    <t>diventano</t>
  </si>
  <si>
    <t>progressivamente</t>
  </si>
  <si>
    <t>povere</t>
  </si>
  <si>
    <t>sopra</t>
  </si>
  <si>
    <t>troviamo</t>
  </si>
  <si>
    <t>piatta</t>
  </si>
  <si>
    <t># text = Voglio dire, ho visto raramente delle linee cosi' piatte.</t>
  </si>
  <si>
    <t>raramente</t>
  </si>
  <si>
    <t>linee</t>
  </si>
  <si>
    <t>piatte</t>
  </si>
  <si>
    <t># text = Chiaramente, quello che succede è che il denaro non compra la felicità dell'esperienza, ma la mancanza di denaro certamente acquista miseria, e possiamo misurare quella miseria molto, molto chiaramente.</t>
  </si>
  <si>
    <t>compra</t>
  </si>
  <si>
    <t>mancanza</t>
  </si>
  <si>
    <t>certamente</t>
  </si>
  <si>
    <t>acquista</t>
  </si>
  <si>
    <t>miseria</t>
  </si>
  <si>
    <t># text = In termini dell'altro sè, il sè che ricorda, è tutta un'altra storia.</t>
  </si>
  <si>
    <t>tutta</t>
  </si>
  <si>
    <t># text = Più soldi guadgani, più contento sei.</t>
  </si>
  <si>
    <t>Più</t>
  </si>
  <si>
    <t>soldi</t>
  </si>
  <si>
    <t>guadgani</t>
  </si>
  <si>
    <t>contento</t>
  </si>
  <si>
    <t># text = Questo discorso non regge sulle emozioni.</t>
  </si>
  <si>
    <t>regge</t>
  </si>
  <si>
    <t># text = CA: Ma Danny, tutti gli sforzi degli Americani riguardano la vita, la libertà, la ricerca della felicità.</t>
  </si>
  <si>
    <t>Danny</t>
  </si>
  <si>
    <t>Americani</t>
  </si>
  <si>
    <t>riguardano</t>
  </si>
  <si>
    <t>libertà</t>
  </si>
  <si>
    <t>ricerca</t>
  </si>
  <si>
    <t># text = Se le persone prendessero seriamente questa scoperta, in pratica si capovolge tutto quello in cui abbiamo creduto, per esempio, la politica sulle tasse e cosi' via.</t>
  </si>
  <si>
    <t>prendessero</t>
  </si>
  <si>
    <t>seriamente</t>
  </si>
  <si>
    <t>scoperta</t>
  </si>
  <si>
    <t>capovolge</t>
  </si>
  <si>
    <t>creduto</t>
  </si>
  <si>
    <t>politica</t>
  </si>
  <si>
    <t>tasse</t>
  </si>
  <si>
    <t>via</t>
  </si>
  <si>
    <t># text = Esiste la possibilità che i politici, e la nazione in generale, possano prendere una scoperta come quella seriamente e portare avanti una politica pubblica basata su di essa?</t>
  </si>
  <si>
    <t>Esiste</t>
  </si>
  <si>
    <t>possibilità</t>
  </si>
  <si>
    <t>politici</t>
  </si>
  <si>
    <t>nazione</t>
  </si>
  <si>
    <t>generale</t>
  </si>
  <si>
    <t>possano</t>
  </si>
  <si>
    <t>avanti</t>
  </si>
  <si>
    <t>pubblica</t>
  </si>
  <si>
    <t>basata</t>
  </si>
  <si>
    <t>essa</t>
  </si>
  <si>
    <t># text = DK:</t>
  </si>
  <si>
    <t>DK</t>
  </si>
  <si>
    <t># text = Sai che io penso che si riconosca il ruolo della felicità nella politica pubblica.</t>
  </si>
  <si>
    <t>Sai</t>
  </si>
  <si>
    <t>riconosca</t>
  </si>
  <si>
    <t>ruolo</t>
  </si>
  <si>
    <t># text = La presa di considerazione sarà lenta negli Stati Uniti non c'è dubbio, ma nel Regno Unito, sta diventando realtà, ed in altri stati pure.</t>
  </si>
  <si>
    <t>presa</t>
  </si>
  <si>
    <t>considerazione</t>
  </si>
  <si>
    <t>lenta</t>
  </si>
  <si>
    <t>Stati</t>
  </si>
  <si>
    <t>Uniti</t>
  </si>
  <si>
    <t>dubbio</t>
  </si>
  <si>
    <t>Regno</t>
  </si>
  <si>
    <t>Unito</t>
  </si>
  <si>
    <t>diventando</t>
  </si>
  <si>
    <t># text = La gente sta iniziando a riconoscere che dovrebbero pensare alla felicità quando pensano alla politica pubblica.</t>
  </si>
  <si>
    <t>iniziando</t>
  </si>
  <si>
    <t># text = Ci si metterà un pò e le persone inizieranno a discutere se vogliono studiare l'esperienza della felicità o se vogliono studiare la valutazione della vita per cui abbiamo bisogno di iniziare questo dibattito al piu' presto.</t>
  </si>
  <si>
    <t>Ci</t>
  </si>
  <si>
    <t>metterà</t>
  </si>
  <si>
    <t>inizieranno</t>
  </si>
  <si>
    <t>discutere</t>
  </si>
  <si>
    <t>vogliono</t>
  </si>
  <si>
    <t>studiare</t>
  </si>
  <si>
    <t>valutazione</t>
  </si>
  <si>
    <t>dibattito</t>
  </si>
  <si>
    <t>presto</t>
  </si>
  <si>
    <t># text = Come accrescere la felicita', prende direzioni diverse a seconda di come tu pensi, e a seconda che tu pensi al sè che ricorda o al sè che fa le esperienze.</t>
  </si>
  <si>
    <t>accrescere</t>
  </si>
  <si>
    <t>direzioni</t>
  </si>
  <si>
    <t>pensi</t>
  </si>
  <si>
    <t># text = Tutto questo influenzerà la politica, credo, negli anni che verranno.</t>
  </si>
  <si>
    <t>Tutto</t>
  </si>
  <si>
    <t>influenzerà</t>
  </si>
  <si>
    <t># text = Negli Stati Uniti, si stanno facendo degli sforzi per misurare l'esperienza di felicità della popolazione.</t>
  </si>
  <si>
    <t>stanno</t>
  </si>
  <si>
    <t>popolazione</t>
  </si>
  <si>
    <t># text = E questo, credo, entrerà a far parte entro il prossimo decennio, forse due (decenni), delle statistiche nazionali.</t>
  </si>
  <si>
    <t>entrerà</t>
  </si>
  <si>
    <t>entro</t>
  </si>
  <si>
    <t>prossimo</t>
  </si>
  <si>
    <t>decennio</t>
  </si>
  <si>
    <t>forse</t>
  </si>
  <si>
    <t>decenni</t>
  </si>
  <si>
    <t>statistiche</t>
  </si>
  <si>
    <t>nazionali</t>
  </si>
  <si>
    <t># text = CA: Bè, mi sembra che questo argomento sarà, o per lo meno dovrebbe essere, la discussione di politica più interessante da seguire nei prossimi anni.</t>
  </si>
  <si>
    <t>sembra</t>
  </si>
  <si>
    <t>argomento</t>
  </si>
  <si>
    <t>dovrebbe</t>
  </si>
  <si>
    <t>discussione</t>
  </si>
  <si>
    <t>seguire</t>
  </si>
  <si>
    <t>prossimi</t>
  </si>
  <si>
    <t># text = Grazie mille per aver inventato l'economia comportamentale.</t>
  </si>
  <si>
    <t>inventato</t>
  </si>
  <si>
    <t>economia</t>
  </si>
  <si>
    <t>comportamentale</t>
  </si>
  <si>
    <t># text = Grazie Danny Kahneman.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</si>
</sst>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8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16</v>
      </c>
      <c r="C4" s="6" t="s">
        <v>12</v>
      </c>
      <c r="D4" s="7" t="s">
        <v>21</v>
      </c>
      <c r="E4" s="8" t="s">
        <v>22</v>
      </c>
      <c r="F4" s="6" t="s">
        <v>23</v>
      </c>
      <c r="G4" s="9">
        <f>IF(A4=1,"_",IF(C4="_","???",C4))</f>
        <v/>
      </c>
      <c r="H4" s="10" t="s">
        <v>12</v>
      </c>
      <c r="I4" s="11" t="s">
        <v>12</v>
      </c>
      <c r="J4" s="12"/>
    </row>
    <row r="5" spans="1:10" ht="60" customHeight="1">
      <c r="A5" s="6" t="s">
        <v>24</v>
      </c>
      <c r="B5" s="6" t="s">
        <v>16</v>
      </c>
      <c r="C5" s="6" t="s">
        <v>12</v>
      </c>
      <c r="D5" s="7" t="s">
        <v>21</v>
      </c>
      <c r="E5" s="8" t="s">
        <v>25</v>
      </c>
      <c r="F5" s="6" t="s">
        <v>26</v>
      </c>
      <c r="G5" s="9">
        <f>IF(A5=1,"_",IF(C5="_","???",C5))</f>
        <v/>
      </c>
      <c r="H5" s="10" t="s">
        <v>12</v>
      </c>
      <c r="I5" s="11" t="s">
        <v>12</v>
      </c>
      <c r="J5" s="12"/>
    </row>
    <row r="6" spans="1:10" ht="60" customHeight="1">
      <c r="A6" s="6" t="s">
        <v>11</v>
      </c>
      <c r="B6" s="6" t="s">
        <v>16</v>
      </c>
      <c r="C6" s="6" t="s">
        <v>12</v>
      </c>
      <c r="D6" s="7" t="s">
        <v>27</v>
      </c>
      <c r="E6" s="8" t="s">
        <v>28</v>
      </c>
      <c r="F6" s="6" t="s">
        <v>29</v>
      </c>
      <c r="G6" s="9">
        <f>IF(A6=1,"_",IF(C6="_","???",C6))</f>
        <v/>
      </c>
      <c r="H6" s="10" t="s">
        <v>12</v>
      </c>
      <c r="I6" s="11" t="s">
        <v>12</v>
      </c>
      <c r="J6" s="12"/>
    </row>
    <row r="7" spans="1:10" ht="60" customHeight="1">
      <c r="A7" s="6" t="s">
        <v>30</v>
      </c>
      <c r="B7" s="6" t="s">
        <v>31</v>
      </c>
      <c r="C7" s="6" t="s">
        <v>32</v>
      </c>
      <c r="D7" s="7" t="s">
        <v>33</v>
      </c>
      <c r="E7" s="8" t="s">
        <v>34</v>
      </c>
      <c r="F7" s="6" t="s">
        <v>35</v>
      </c>
      <c r="G7" s="9">
        <f>IF(A7=1,"_",IF(C7="_","???",C7))</f>
        <v/>
      </c>
      <c r="H7" s="10" t="s">
        <v>12</v>
      </c>
      <c r="I7" s="11" t="s">
        <v>12</v>
      </c>
      <c r="J7" s="12"/>
    </row>
    <row r="8" spans="1:10" ht="60" customHeight="1">
      <c r="A8" s="6" t="s">
        <v>36</v>
      </c>
      <c r="B8" s="6" t="s">
        <v>30</v>
      </c>
      <c r="C8" s="6" t="s">
        <v>12</v>
      </c>
      <c r="D8" s="7" t="s">
        <v>37</v>
      </c>
      <c r="E8" s="8" t="s">
        <v>38</v>
      </c>
      <c r="F8" s="6" t="s">
        <v>39</v>
      </c>
      <c r="G8" s="9">
        <f>IF(A8=1,"_",IF(C8="_","???",C8))</f>
        <v/>
      </c>
      <c r="H8" s="10" t="s">
        <v>12</v>
      </c>
      <c r="I8" s="11" t="s">
        <v>12</v>
      </c>
      <c r="J8" s="12"/>
    </row>
    <row r="9" spans="1:10" ht="60" customHeight="1">
      <c r="A9" s="6" t="s">
        <v>40</v>
      </c>
      <c r="B9" s="6" t="s">
        <v>16</v>
      </c>
      <c r="C9" s="6" t="s">
        <v>41</v>
      </c>
      <c r="D9" s="7" t="s">
        <v>37</v>
      </c>
      <c r="E9" s="8" t="s">
        <v>42</v>
      </c>
      <c r="F9" s="6" t="s">
        <v>43</v>
      </c>
      <c r="G9" s="9">
        <f>IF(A9=1,"_",IF(C9="_","???",C9))</f>
        <v/>
      </c>
      <c r="H9" s="10" t="s">
        <v>12</v>
      </c>
      <c r="I9" s="11" t="s">
        <v>12</v>
      </c>
      <c r="J9" s="12"/>
    </row>
    <row r="10" spans="1:10" ht="60" customHeight="1">
      <c r="A10" s="6" t="s">
        <v>44</v>
      </c>
      <c r="B10" s="6" t="s">
        <v>30</v>
      </c>
      <c r="C10" s="6" t="s">
        <v>45</v>
      </c>
      <c r="D10" s="7" t="s">
        <v>46</v>
      </c>
      <c r="E10" s="8" t="s">
        <v>47</v>
      </c>
      <c r="F10" s="6" t="s">
        <v>48</v>
      </c>
      <c r="G10" s="9">
        <f>IF(A10=1,"_",IF(C10="_","???",C10))</f>
        <v/>
      </c>
      <c r="H10" s="10" t="s">
        <v>12</v>
      </c>
      <c r="I10" s="11" t="s">
        <v>12</v>
      </c>
      <c r="J10" s="12"/>
    </row>
    <row r="11" spans="1:10" ht="60" customHeight="1">
      <c r="A11" s="6" t="s">
        <v>31</v>
      </c>
      <c r="B11" s="6" t="s">
        <v>10</v>
      </c>
      <c r="C11" s="6" t="s">
        <v>49</v>
      </c>
      <c r="D11" s="7" t="s">
        <v>50</v>
      </c>
      <c r="E11" s="8" t="s">
        <v>51</v>
      </c>
      <c r="F11" s="6" t="s">
        <v>52</v>
      </c>
      <c r="G11" s="9">
        <f>IF(A11=1,"_",IF(C11="_","???",C11))</f>
        <v/>
      </c>
      <c r="H11" s="10" t="s">
        <v>12</v>
      </c>
      <c r="I11" s="11" t="s">
        <v>12</v>
      </c>
      <c r="J11" s="12"/>
    </row>
    <row r="12" spans="1:10" ht="60" customHeight="1">
      <c r="A12" s="6" t="s">
        <v>53</v>
      </c>
      <c r="B12" s="6" t="s">
        <v>16</v>
      </c>
      <c r="C12" s="6" t="s">
        <v>12</v>
      </c>
      <c r="D12" s="7" t="s">
        <v>54</v>
      </c>
      <c r="E12" s="8" t="s">
        <v>55</v>
      </c>
      <c r="F12" s="6" t="s">
        <v>56</v>
      </c>
      <c r="G12" s="9">
        <f>IF(A12=1,"_",IF(C12="_","???",C12))</f>
        <v/>
      </c>
      <c r="H12" s="10" t="s">
        <v>12</v>
      </c>
      <c r="I12" s="11" t="s">
        <v>12</v>
      </c>
      <c r="J12" s="12"/>
    </row>
    <row r="13" spans="1:10" ht="60" customHeight="1">
      <c r="A13" s="6" t="s">
        <v>57</v>
      </c>
      <c r="B13" s="6" t="s">
        <v>24</v>
      </c>
      <c r="C13" s="6" t="s">
        <v>12</v>
      </c>
      <c r="D13" s="7" t="s">
        <v>58</v>
      </c>
      <c r="E13" s="8" t="s">
        <v>59</v>
      </c>
      <c r="F13" s="6" t="s">
        <v>60</v>
      </c>
      <c r="G13" s="9">
        <f>IF(A13=1,"_",IF(C13="_","???",C13))</f>
        <v/>
      </c>
      <c r="H13" s="10" t="s">
        <v>12</v>
      </c>
      <c r="I13" s="11" t="s">
        <v>12</v>
      </c>
      <c r="J13" s="12"/>
    </row>
    <row r="14" spans="1:10" ht="60" customHeight="1">
      <c r="A14" s="6" t="s">
        <v>61</v>
      </c>
      <c r="B14" s="6" t="s">
        <v>24</v>
      </c>
      <c r="C14" s="6" t="s">
        <v>12</v>
      </c>
      <c r="D14" s="7" t="s">
        <v>62</v>
      </c>
      <c r="E14" s="8" t="s">
        <v>63</v>
      </c>
      <c r="F14" s="6" t="s">
        <v>64</v>
      </c>
      <c r="G14" s="9">
        <f>IF(A14=1,"_",IF(C14="_","???",C14))</f>
        <v/>
      </c>
      <c r="H14" s="10" t="s">
        <v>12</v>
      </c>
      <c r="I14" s="11" t="s">
        <v>12</v>
      </c>
      <c r="J14" s="12"/>
    </row>
    <row r="15" spans="1:10" ht="60" customHeight="1">
      <c r="A15" s="6" t="s">
        <v>65</v>
      </c>
      <c r="B15" s="6" t="s">
        <v>20</v>
      </c>
      <c r="C15" s="6" t="s">
        <v>41</v>
      </c>
      <c r="D15" s="7" t="s">
        <v>66</v>
      </c>
      <c r="E15" s="8" t="s">
        <v>67</v>
      </c>
      <c r="F15" s="6" t="s">
        <v>68</v>
      </c>
      <c r="G15" s="9">
        <f>IF(A15=1,"_",IF(C15="_","???",C15))</f>
        <v/>
      </c>
      <c r="H15" s="10" t="s">
        <v>12</v>
      </c>
      <c r="I15" s="11" t="s">
        <v>12</v>
      </c>
      <c r="J15" s="12"/>
    </row>
    <row r="16" spans="1:10" ht="60" customHeight="1">
      <c r="A16" s="6" t="s">
        <v>69</v>
      </c>
      <c r="B16" s="6" t="s">
        <v>36</v>
      </c>
      <c r="C16" s="6" t="s">
        <v>41</v>
      </c>
      <c r="D16" s="7" t="s">
        <v>70</v>
      </c>
      <c r="E16" s="8" t="s">
        <v>71</v>
      </c>
      <c r="F16" s="6" t="s">
        <v>72</v>
      </c>
      <c r="G16" s="9">
        <f>IF(A16=1,"_",IF(C16="_","???",C16))</f>
        <v/>
      </c>
      <c r="H16" s="10" t="s">
        <v>12</v>
      </c>
      <c r="I16" s="11" t="s">
        <v>12</v>
      </c>
      <c r="J16" s="12"/>
    </row>
    <row r="17" spans="1:10" ht="60" customHeight="1">
      <c r="A17" s="6" t="s">
        <v>73</v>
      </c>
      <c r="B17" s="6" t="s">
        <v>11</v>
      </c>
      <c r="C17" s="6" t="s">
        <v>12</v>
      </c>
      <c r="D17" s="7" t="s">
        <v>62</v>
      </c>
      <c r="E17" s="8" t="s">
        <v>74</v>
      </c>
      <c r="F17" s="6" t="s">
        <v>75</v>
      </c>
      <c r="G17" s="9">
        <f>IF(A17=1,"_",IF(C17="_","???",C17))</f>
        <v/>
      </c>
      <c r="H17" s="10" t="s">
        <v>12</v>
      </c>
      <c r="I17" s="11" t="s">
        <v>12</v>
      </c>
      <c r="J17" s="12"/>
    </row>
    <row r="18" spans="1:10" ht="60" customHeight="1">
      <c r="A18" s="6" t="s">
        <v>76</v>
      </c>
      <c r="B18" s="6" t="s">
        <v>24</v>
      </c>
      <c r="C18" s="6" t="s">
        <v>41</v>
      </c>
      <c r="D18" s="7" t="s">
        <v>21</v>
      </c>
      <c r="E18" s="8" t="s">
        <v>77</v>
      </c>
      <c r="F18" s="6" t="s">
        <v>78</v>
      </c>
      <c r="G18" s="9">
        <f>IF(A18=1,"_",IF(C18="_","???",C18))</f>
        <v/>
      </c>
      <c r="H18" s="10" t="s">
        <v>12</v>
      </c>
      <c r="I18" s="11" t="s">
        <v>12</v>
      </c>
      <c r="J18" s="12"/>
    </row>
    <row r="19" spans="1:10" ht="60" customHeight="1">
      <c r="A19" s="6" t="s">
        <v>79</v>
      </c>
      <c r="B19" s="6" t="s">
        <v>16</v>
      </c>
      <c r="C19" s="6" t="s">
        <v>12</v>
      </c>
      <c r="D19" s="7" t="s">
        <v>80</v>
      </c>
      <c r="E19" s="8" t="s">
        <v>81</v>
      </c>
      <c r="F19" s="6" t="s">
        <v>82</v>
      </c>
      <c r="G19" s="9">
        <f>IF(A19=1,"_",IF(C19="_","???",C19))</f>
        <v/>
      </c>
      <c r="H19" s="10" t="s">
        <v>12</v>
      </c>
      <c r="I19" s="11" t="s">
        <v>12</v>
      </c>
      <c r="J19" s="12"/>
    </row>
    <row r="20" spans="1:10" ht="60" customHeight="1">
      <c r="A20" s="6" t="s">
        <v>83</v>
      </c>
      <c r="B20" s="6" t="s">
        <v>10</v>
      </c>
      <c r="C20" s="6" t="s">
        <v>12</v>
      </c>
      <c r="D20" s="7" t="s">
        <v>84</v>
      </c>
      <c r="E20" s="8" t="s">
        <v>85</v>
      </c>
      <c r="F20" s="6" t="s">
        <v>86</v>
      </c>
      <c r="G20" s="9">
        <f>IF(A20=1,"_",IF(C20="_","???",C20))</f>
        <v/>
      </c>
      <c r="H20" s="10" t="s">
        <v>12</v>
      </c>
      <c r="I20" s="11" t="s">
        <v>12</v>
      </c>
      <c r="J20" s="12"/>
    </row>
    <row r="21" spans="1:10" ht="60" customHeight="1">
      <c r="A21" s="6" t="s">
        <v>87</v>
      </c>
      <c r="B21" s="6" t="s">
        <v>30</v>
      </c>
      <c r="C21" s="6" t="s">
        <v>12</v>
      </c>
      <c r="D21" s="7" t="s">
        <v>88</v>
      </c>
      <c r="E21" s="8" t="s">
        <v>89</v>
      </c>
      <c r="F21" s="6" t="s">
        <v>90</v>
      </c>
      <c r="G21" s="9">
        <f>IF(A21=1,"_",IF(C21="_","???",C21))</f>
        <v/>
      </c>
      <c r="H21" s="10" t="s">
        <v>12</v>
      </c>
      <c r="I21" s="11" t="s">
        <v>12</v>
      </c>
      <c r="J21" s="12"/>
    </row>
    <row r="22" spans="1:10" ht="60" customHeight="1">
      <c r="A22" s="6" t="s">
        <v>91</v>
      </c>
      <c r="B22" s="6" t="s">
        <v>20</v>
      </c>
      <c r="C22" s="6" t="s">
        <v>92</v>
      </c>
      <c r="D22" s="7" t="s">
        <v>93</v>
      </c>
      <c r="E22" s="8" t="s">
        <v>94</v>
      </c>
      <c r="F22" s="6" t="s">
        <v>95</v>
      </c>
      <c r="G22" s="9">
        <f>IF(A22=1,"_",IF(C22="_","???",C22))</f>
        <v/>
      </c>
      <c r="H22" s="10" t="s">
        <v>12</v>
      </c>
      <c r="I22" s="11" t="s">
        <v>12</v>
      </c>
      <c r="J22" s="12"/>
    </row>
    <row r="23" spans="1:10" ht="60" customHeight="1">
      <c r="A23" s="6" t="s">
        <v>96</v>
      </c>
      <c r="B23" s="6" t="s">
        <v>20</v>
      </c>
      <c r="C23" s="6" t="s">
        <v>97</v>
      </c>
      <c r="D23" s="7" t="s">
        <v>98</v>
      </c>
      <c r="E23" s="8" t="s">
        <v>99</v>
      </c>
      <c r="F23" s="6" t="s">
        <v>100</v>
      </c>
      <c r="G23" s="9">
        <f>IF(A23=1,"_",IF(C23="_","???",C23))</f>
        <v/>
      </c>
      <c r="H23" s="10" t="s">
        <v>12</v>
      </c>
      <c r="I23" s="11" t="s">
        <v>12</v>
      </c>
      <c r="J23" s="12"/>
    </row>
    <row r="24" spans="1:10" ht="60" customHeight="1">
      <c r="A24" s="6" t="s">
        <v>101</v>
      </c>
      <c r="B24" s="6" t="s">
        <v>30</v>
      </c>
      <c r="C24" s="6" t="s">
        <v>12</v>
      </c>
      <c r="D24" s="7" t="s">
        <v>102</v>
      </c>
      <c r="E24" s="8" t="s">
        <v>103</v>
      </c>
      <c r="F24" s="6" t="s">
        <v>104</v>
      </c>
      <c r="G24" s="9">
        <f>IF(A24=1,"_",IF(C24="_","???",C24))</f>
        <v/>
      </c>
      <c r="H24" s="10" t="s">
        <v>12</v>
      </c>
      <c r="I24" s="11" t="s">
        <v>12</v>
      </c>
      <c r="J24" s="12"/>
    </row>
    <row r="25" spans="1:10" ht="60" customHeight="1">
      <c r="A25" s="6" t="s">
        <v>105</v>
      </c>
      <c r="B25" s="6" t="s">
        <v>20</v>
      </c>
      <c r="C25" s="6" t="s">
        <v>12</v>
      </c>
      <c r="D25" s="7" t="s">
        <v>106</v>
      </c>
      <c r="E25" s="8" t="s">
        <v>107</v>
      </c>
      <c r="F25" s="6" t="s">
        <v>108</v>
      </c>
      <c r="G25" s="9">
        <f>IF(A25=1,"_",IF(C25="_","???",C25))</f>
        <v/>
      </c>
      <c r="H25" s="10" t="s">
        <v>12</v>
      </c>
      <c r="I25" s="11" t="s">
        <v>12</v>
      </c>
      <c r="J25" s="12"/>
    </row>
    <row r="26" spans="1:10" ht="60" customHeight="1">
      <c r="A26" s="6" t="s">
        <v>109</v>
      </c>
      <c r="B26" s="6" t="s">
        <v>20</v>
      </c>
      <c r="C26" s="6" t="s">
        <v>110</v>
      </c>
      <c r="D26" s="7" t="s">
        <v>111</v>
      </c>
      <c r="E26" s="8" t="s">
        <v>112</v>
      </c>
      <c r="F26" s="6" t="s">
        <v>113</v>
      </c>
      <c r="G26" s="9">
        <f>IF(A26=1,"_",IF(C26="_","???",C26))</f>
        <v/>
      </c>
      <c r="H26" s="10" t="s">
        <v>12</v>
      </c>
      <c r="I26" s="11" t="s">
        <v>12</v>
      </c>
      <c r="J26" s="12"/>
    </row>
    <row r="27" spans="1:10" ht="60" customHeight="1">
      <c r="A27" s="6" t="s">
        <v>114</v>
      </c>
      <c r="B27" s="6" t="s">
        <v>24</v>
      </c>
      <c r="C27" s="6" t="s">
        <v>110</v>
      </c>
      <c r="D27" s="7" t="s">
        <v>115</v>
      </c>
      <c r="E27" s="8" t="s">
        <v>116</v>
      </c>
      <c r="F27" s="6" t="s">
        <v>117</v>
      </c>
      <c r="G27" s="9">
        <f>IF(A27=1,"_",IF(C27="_","???",C27))</f>
        <v/>
      </c>
      <c r="H27" s="10" t="s">
        <v>12</v>
      </c>
      <c r="I27" s="11" t="s">
        <v>12</v>
      </c>
      <c r="J27" s="12"/>
    </row>
    <row r="28" spans="1:10" ht="60" customHeight="1">
      <c r="A28" s="6" t="s">
        <v>118</v>
      </c>
      <c r="B28" s="6" t="s">
        <v>24</v>
      </c>
      <c r="C28" s="6" t="s">
        <v>41</v>
      </c>
      <c r="D28" s="7" t="s">
        <v>119</v>
      </c>
      <c r="E28" s="8" t="s">
        <v>120</v>
      </c>
      <c r="F28" s="6" t="s">
        <v>121</v>
      </c>
      <c r="G28" s="9">
        <f>IF(A28=1,"_",IF(C28="_","???",C28))</f>
        <v/>
      </c>
      <c r="H28" s="10" t="s">
        <v>12</v>
      </c>
      <c r="I28" s="11" t="s">
        <v>12</v>
      </c>
      <c r="J28" s="12"/>
    </row>
    <row r="29" spans="1:10" ht="60" customHeight="1">
      <c r="A29" s="6" t="s">
        <v>122</v>
      </c>
      <c r="B29" s="6" t="s">
        <v>53</v>
      </c>
      <c r="C29" s="6" t="s">
        <v>12</v>
      </c>
      <c r="D29" s="7" t="s">
        <v>21</v>
      </c>
      <c r="E29" s="8" t="s">
        <v>123</v>
      </c>
      <c r="F29" s="6" t="s">
        <v>124</v>
      </c>
      <c r="G29" s="9">
        <f>IF(A29=1,"_",IF(C29="_","???",C29))</f>
        <v/>
      </c>
      <c r="H29" s="10" t="s">
        <v>12</v>
      </c>
      <c r="I29" s="11" t="s">
        <v>12</v>
      </c>
      <c r="J29" s="12"/>
    </row>
    <row r="30" spans="1:10" ht="60" customHeight="1">
      <c r="A30" s="6" t="s">
        <v>125</v>
      </c>
      <c r="B30" s="6" t="s">
        <v>16</v>
      </c>
      <c r="C30" s="6" t="s">
        <v>41</v>
      </c>
      <c r="D30" s="7" t="s">
        <v>21</v>
      </c>
      <c r="E30" s="8" t="s">
        <v>126</v>
      </c>
      <c r="F30" s="6" t="s">
        <v>127</v>
      </c>
      <c r="G30" s="9">
        <f>IF(A30=1,"_",IF(C30="_","???",C30))</f>
        <v/>
      </c>
      <c r="H30" s="10" t="s">
        <v>12</v>
      </c>
      <c r="I30" s="11" t="s">
        <v>12</v>
      </c>
      <c r="J30" s="12"/>
    </row>
    <row r="31" spans="1:10" ht="60" customHeight="1">
      <c r="A31" s="6" t="s">
        <v>128</v>
      </c>
      <c r="B31" s="6" t="s">
        <v>16</v>
      </c>
      <c r="C31" s="6" t="s">
        <v>12</v>
      </c>
      <c r="D31" s="7" t="s">
        <v>62</v>
      </c>
      <c r="E31" s="8" t="s">
        <v>129</v>
      </c>
      <c r="F31" s="6" t="s">
        <v>130</v>
      </c>
      <c r="G31" s="9">
        <f>IF(A31=1,"_",IF(C31="_","???",C31))</f>
        <v/>
      </c>
      <c r="H31" s="10" t="s">
        <v>12</v>
      </c>
      <c r="I31" s="11" t="s">
        <v>12</v>
      </c>
      <c r="J31" s="12"/>
    </row>
    <row r="32" spans="1:10" ht="60" customHeight="1">
      <c r="A32" s="6" t="s">
        <v>131</v>
      </c>
      <c r="B32" s="6" t="s">
        <v>24</v>
      </c>
      <c r="C32" s="6" t="s">
        <v>92</v>
      </c>
      <c r="D32" s="7" t="s">
        <v>21</v>
      </c>
      <c r="E32" s="8" t="s">
        <v>132</v>
      </c>
      <c r="F32" s="6" t="s">
        <v>133</v>
      </c>
      <c r="G32" s="9">
        <f>IF(A32=1,"_",IF(C32="_","???",C32))</f>
        <v/>
      </c>
      <c r="H32" s="10" t="s">
        <v>12</v>
      </c>
      <c r="I32" s="11" t="s">
        <v>12</v>
      </c>
      <c r="J32" s="12"/>
    </row>
    <row r="33" spans="1:10" ht="60" customHeight="1">
      <c r="A33" s="6" t="s">
        <v>134</v>
      </c>
      <c r="B33" s="6" t="s">
        <v>11</v>
      </c>
      <c r="C33" s="6" t="s">
        <v>135</v>
      </c>
      <c r="D33" s="7" t="s">
        <v>136</v>
      </c>
      <c r="E33" s="8" t="s">
        <v>137</v>
      </c>
      <c r="F33" s="6" t="s">
        <v>138</v>
      </c>
      <c r="G33" s="9">
        <f>IF(A33=1,"_",IF(C33="_","???",C33))</f>
        <v/>
      </c>
      <c r="H33" s="10" t="s">
        <v>12</v>
      </c>
      <c r="I33" s="11" t="s">
        <v>12</v>
      </c>
      <c r="J33" s="12"/>
    </row>
    <row r="34" spans="1:10" ht="60" customHeight="1">
      <c r="A34" s="6" t="s">
        <v>139</v>
      </c>
      <c r="B34" s="6" t="s">
        <v>16</v>
      </c>
      <c r="C34" s="6" t="s">
        <v>12</v>
      </c>
      <c r="D34" s="7" t="s">
        <v>140</v>
      </c>
      <c r="E34" s="8" t="s">
        <v>141</v>
      </c>
      <c r="F34" s="6" t="s">
        <v>142</v>
      </c>
      <c r="G34" s="9">
        <f>IF(A34=1,"_",IF(C34="_","???",C34))</f>
        <v/>
      </c>
      <c r="H34" s="10" t="s">
        <v>12</v>
      </c>
      <c r="I34" s="11" t="s">
        <v>12</v>
      </c>
      <c r="J34" s="12"/>
    </row>
    <row r="35" spans="1:10" ht="60" customHeight="1">
      <c r="A35" s="6" t="s">
        <v>143</v>
      </c>
      <c r="B35" s="6" t="s">
        <v>30</v>
      </c>
      <c r="C35" s="6" t="s">
        <v>12</v>
      </c>
      <c r="D35" s="7" t="s">
        <v>144</v>
      </c>
      <c r="E35" s="8" t="s">
        <v>145</v>
      </c>
      <c r="F35" s="6" t="s">
        <v>146</v>
      </c>
      <c r="G35" s="9">
        <f>IF(A35=1,"_",IF(C35="_","???",C35))</f>
        <v/>
      </c>
      <c r="H35" s="10" t="s">
        <v>12</v>
      </c>
      <c r="I35" s="11" t="s">
        <v>12</v>
      </c>
      <c r="J35" s="12"/>
    </row>
    <row r="36" spans="1:10" ht="60" customHeight="1">
      <c r="A36" s="6" t="s">
        <v>147</v>
      </c>
      <c r="B36" s="6" t="s">
        <v>24</v>
      </c>
      <c r="C36" s="6" t="s">
        <v>41</v>
      </c>
      <c r="D36" s="7" t="s">
        <v>148</v>
      </c>
      <c r="E36" s="8" t="s">
        <v>149</v>
      </c>
      <c r="F36" s="6" t="s">
        <v>150</v>
      </c>
      <c r="G36" s="9">
        <f>IF(A36=1,"_",IF(C36="_","???",C36))</f>
        <v/>
      </c>
      <c r="H36" s="10" t="s">
        <v>12</v>
      </c>
      <c r="I36" s="11" t="s">
        <v>12</v>
      </c>
      <c r="J36" s="12"/>
    </row>
    <row r="37" spans="1:10" ht="60" customHeight="1">
      <c r="A37" s="6" t="s">
        <v>151</v>
      </c>
      <c r="B37" s="6" t="s">
        <v>44</v>
      </c>
      <c r="C37" s="6" t="s">
        <v>152</v>
      </c>
      <c r="D37" s="7" t="s">
        <v>153</v>
      </c>
      <c r="E37" s="8" t="s">
        <v>154</v>
      </c>
      <c r="F37" s="6" t="s">
        <v>155</v>
      </c>
      <c r="G37" s="9">
        <f>IF(A37=1,"_",IF(C37="_","???",C37))</f>
        <v/>
      </c>
      <c r="H37" s="10" t="s">
        <v>12</v>
      </c>
      <c r="I37" s="11" t="s">
        <v>12</v>
      </c>
      <c r="J37" s="12"/>
    </row>
    <row r="38" spans="1:10" ht="60" customHeight="1">
      <c r="A38" s="6" t="s">
        <v>156</v>
      </c>
      <c r="B38" s="6" t="s">
        <v>11</v>
      </c>
      <c r="C38" s="6" t="s">
        <v>12</v>
      </c>
      <c r="D38" s="7" t="s">
        <v>157</v>
      </c>
      <c r="E38" s="8" t="s">
        <v>158</v>
      </c>
      <c r="F38" s="6" t="s">
        <v>159</v>
      </c>
      <c r="G38" s="9">
        <f>IF(A38=1,"_",IF(C38="_","???",C38))</f>
        <v/>
      </c>
      <c r="H38" s="10" t="s">
        <v>12</v>
      </c>
      <c r="I38" s="11" t="s">
        <v>12</v>
      </c>
      <c r="J38" s="12"/>
    </row>
    <row r="39" spans="1:10" ht="60" customHeight="1">
      <c r="A39" s="6" t="s">
        <v>160</v>
      </c>
      <c r="B39" s="6" t="s">
        <v>16</v>
      </c>
      <c r="C39" s="6" t="s">
        <v>12</v>
      </c>
      <c r="D39" s="7" t="s">
        <v>62</v>
      </c>
      <c r="E39" s="8" t="s">
        <v>161</v>
      </c>
      <c r="F39" s="6" t="s">
        <v>162</v>
      </c>
      <c r="G39" s="9">
        <f>IF(A39=1,"_",IF(C39="_","???",C39))</f>
        <v/>
      </c>
      <c r="H39" s="10" t="s">
        <v>12</v>
      </c>
      <c r="I39" s="11" t="s">
        <v>12</v>
      </c>
      <c r="J39" s="12"/>
    </row>
    <row r="40" spans="1:10" ht="60" customHeight="1">
      <c r="A40" s="6" t="s">
        <v>163</v>
      </c>
      <c r="B40" s="6" t="s">
        <v>16</v>
      </c>
      <c r="C40" s="6" t="s">
        <v>12</v>
      </c>
      <c r="D40" s="7" t="s">
        <v>164</v>
      </c>
      <c r="E40" s="8" t="s">
        <v>165</v>
      </c>
      <c r="F40" s="6" t="s">
        <v>166</v>
      </c>
      <c r="G40" s="9">
        <f>IF(A40=1,"_",IF(C40="_","???",C40))</f>
        <v/>
      </c>
      <c r="H40" s="10" t="s">
        <v>12</v>
      </c>
      <c r="I40" s="11" t="s">
        <v>12</v>
      </c>
      <c r="J40" s="12"/>
    </row>
    <row r="41" spans="1:10" ht="60" customHeight="1">
      <c r="A41" s="6" t="s">
        <v>167</v>
      </c>
      <c r="B41" s="6" t="s">
        <v>20</v>
      </c>
      <c r="C41" s="6" t="s">
        <v>12</v>
      </c>
      <c r="D41" s="7" t="s">
        <v>168</v>
      </c>
      <c r="E41" s="8" t="s">
        <v>169</v>
      </c>
      <c r="F41" s="6" t="s">
        <v>170</v>
      </c>
      <c r="G41" s="9">
        <f>IF(A41=1,"_",IF(C41="_","???",C41))</f>
        <v/>
      </c>
      <c r="H41" s="10" t="s">
        <v>12</v>
      </c>
      <c r="I41" s="11" t="s">
        <v>12</v>
      </c>
      <c r="J41" s="12"/>
    </row>
    <row r="42" spans="1:10" ht="60" customHeight="1">
      <c r="A42" s="6" t="s">
        <v>171</v>
      </c>
      <c r="B42" s="6" t="s">
        <v>16</v>
      </c>
      <c r="C42" s="6" t="s">
        <v>97</v>
      </c>
      <c r="D42" s="7" t="s">
        <v>172</v>
      </c>
      <c r="E42" s="8" t="s">
        <v>173</v>
      </c>
      <c r="F42" s="6" t="s">
        <v>174</v>
      </c>
      <c r="G42" s="9">
        <f>IF(A42=1,"_",IF(C42="_","???",C42))</f>
        <v/>
      </c>
      <c r="H42" s="10" t="s">
        <v>12</v>
      </c>
      <c r="I42" s="11" t="s">
        <v>12</v>
      </c>
      <c r="J42" s="12"/>
    </row>
    <row r="43" spans="1:10" ht="60" customHeight="1">
      <c r="A43" s="6" t="s">
        <v>175</v>
      </c>
      <c r="B43" s="6" t="s">
        <v>16</v>
      </c>
      <c r="C43" s="6" t="s">
        <v>12</v>
      </c>
      <c r="D43" s="7" t="s">
        <v>17</v>
      </c>
      <c r="E43" s="8" t="s">
        <v>176</v>
      </c>
      <c r="F43" s="6" t="s">
        <v>177</v>
      </c>
      <c r="G43" s="9">
        <f>IF(A43=1,"_",IF(C43="_","???",C43))</f>
        <v/>
      </c>
      <c r="H43" s="10" t="s">
        <v>12</v>
      </c>
      <c r="I43" s="11" t="s">
        <v>12</v>
      </c>
      <c r="J43" s="12"/>
    </row>
    <row r="44" spans="1:10" ht="60" customHeight="1">
      <c r="A44" s="6" t="s">
        <v>178</v>
      </c>
      <c r="B44" s="6" t="s">
        <v>11</v>
      </c>
      <c r="C44" s="6" t="s">
        <v>110</v>
      </c>
      <c r="D44" s="7" t="s">
        <v>179</v>
      </c>
      <c r="E44" s="8" t="s">
        <v>180</v>
      </c>
      <c r="F44" s="6" t="s">
        <v>181</v>
      </c>
      <c r="G44" s="9">
        <f>IF(A44=1,"_",IF(C44="_","???",C44))</f>
        <v/>
      </c>
      <c r="H44" s="10" t="s">
        <v>12</v>
      </c>
      <c r="I44" s="11" t="s">
        <v>12</v>
      </c>
      <c r="J44" s="12"/>
    </row>
    <row r="45" spans="1:10" ht="60" customHeight="1">
      <c r="A45" s="6" t="s">
        <v>182</v>
      </c>
      <c r="B45" s="6" t="s">
        <v>16</v>
      </c>
      <c r="C45" s="6" t="s">
        <v>12</v>
      </c>
      <c r="D45" s="7" t="s">
        <v>183</v>
      </c>
      <c r="E45" s="8" t="s">
        <v>184</v>
      </c>
      <c r="F45" s="6" t="s">
        <v>185</v>
      </c>
      <c r="G45" s="9">
        <f>IF(A45=1,"_",IF(C45="_","???",C45))</f>
        <v/>
      </c>
      <c r="H45" s="10" t="s">
        <v>12</v>
      </c>
      <c r="I45" s="11" t="s">
        <v>12</v>
      </c>
      <c r="J45" s="12"/>
    </row>
    <row r="46" spans="1:10" ht="60" customHeight="1">
      <c r="A46" s="6" t="s">
        <v>186</v>
      </c>
      <c r="B46" s="6" t="s">
        <v>53</v>
      </c>
      <c r="C46" s="6" t="s">
        <v>187</v>
      </c>
      <c r="D46" s="7" t="s">
        <v>188</v>
      </c>
      <c r="E46" s="8" t="s">
        <v>189</v>
      </c>
      <c r="F46" s="6" t="s">
        <v>190</v>
      </c>
      <c r="G46" s="9">
        <f>IF(A46=1,"_",IF(C46="_","???",C46))</f>
        <v/>
      </c>
      <c r="H46" s="10" t="s">
        <v>12</v>
      </c>
      <c r="I46" s="11" t="s">
        <v>12</v>
      </c>
      <c r="J46" s="12"/>
    </row>
    <row r="47" spans="1:10" ht="60" customHeight="1">
      <c r="A47" s="6" t="s">
        <v>191</v>
      </c>
      <c r="B47" s="6" t="s">
        <v>36</v>
      </c>
      <c r="C47" s="6" t="s">
        <v>12</v>
      </c>
      <c r="D47" s="7" t="s">
        <v>188</v>
      </c>
      <c r="E47" s="8" t="s">
        <v>192</v>
      </c>
      <c r="F47" s="6" t="s">
        <v>193</v>
      </c>
      <c r="G47" s="9">
        <f>IF(A47=1,"_",IF(C47="_","???",C47))</f>
        <v/>
      </c>
      <c r="H47" s="10" t="s">
        <v>12</v>
      </c>
      <c r="I47" s="11" t="s">
        <v>12</v>
      </c>
      <c r="J47" s="12"/>
    </row>
    <row r="48" spans="1:10" ht="60" customHeight="1">
      <c r="A48" s="6" t="s">
        <v>194</v>
      </c>
      <c r="B48" s="6" t="s">
        <v>24</v>
      </c>
      <c r="C48" s="6" t="s">
        <v>41</v>
      </c>
      <c r="D48" s="7" t="s">
        <v>195</v>
      </c>
      <c r="E48" s="8" t="s">
        <v>196</v>
      </c>
      <c r="F48" s="6" t="s">
        <v>197</v>
      </c>
      <c r="G48" s="9">
        <f>IF(A48=1,"_",IF(C48="_","???",C48))</f>
        <v/>
      </c>
      <c r="H48" s="10" t="s">
        <v>12</v>
      </c>
      <c r="I48" s="11" t="s">
        <v>12</v>
      </c>
      <c r="J48" s="12"/>
    </row>
    <row r="49" spans="1:10" ht="60" customHeight="1">
      <c r="A49" s="6" t="s">
        <v>198</v>
      </c>
      <c r="B49" s="6" t="s">
        <v>24</v>
      </c>
      <c r="C49" s="6" t="s">
        <v>97</v>
      </c>
      <c r="D49" s="7" t="s">
        <v>21</v>
      </c>
      <c r="E49" s="8" t="s">
        <v>199</v>
      </c>
      <c r="F49" s="6" t="s">
        <v>200</v>
      </c>
      <c r="G49" s="9">
        <f>IF(A49=1,"_",IF(C49="_","???",C49))</f>
        <v/>
      </c>
      <c r="H49" s="10" t="s">
        <v>12</v>
      </c>
      <c r="I49" s="11" t="s">
        <v>12</v>
      </c>
      <c r="J49" s="12"/>
    </row>
    <row r="50" spans="1:10" ht="60" customHeight="1">
      <c r="A50" s="6" t="s">
        <v>201</v>
      </c>
      <c r="B50" s="6" t="s">
        <v>11</v>
      </c>
      <c r="C50" s="6" t="s">
        <v>12</v>
      </c>
      <c r="D50" s="7" t="s">
        <v>202</v>
      </c>
      <c r="E50" s="8" t="s">
        <v>203</v>
      </c>
      <c r="F50" s="6" t="s">
        <v>204</v>
      </c>
      <c r="G50" s="9">
        <f>IF(A50=1,"_",IF(C50="_","???",C50))</f>
        <v/>
      </c>
      <c r="H50" s="10" t="s">
        <v>12</v>
      </c>
      <c r="I50" s="11" t="s">
        <v>12</v>
      </c>
      <c r="J50" s="12"/>
    </row>
    <row r="51" spans="1:10" ht="60" customHeight="1">
      <c r="A51" s="6" t="s">
        <v>205</v>
      </c>
      <c r="B51" s="6" t="s">
        <v>11</v>
      </c>
      <c r="C51" s="6" t="s">
        <v>206</v>
      </c>
      <c r="D51" s="7" t="s">
        <v>207</v>
      </c>
      <c r="E51" s="8" t="s">
        <v>208</v>
      </c>
      <c r="F51" s="6" t="s">
        <v>209</v>
      </c>
      <c r="G51" s="9">
        <f>IF(A51=1,"_",IF(C51="_","???",C51))</f>
        <v/>
      </c>
      <c r="H51" s="10" t="s">
        <v>12</v>
      </c>
      <c r="I51" s="11" t="s">
        <v>12</v>
      </c>
      <c r="J51" s="12"/>
    </row>
    <row r="52" spans="1:10" ht="60" customHeight="1">
      <c r="A52" s="6" t="s">
        <v>210</v>
      </c>
      <c r="B52" s="6" t="s">
        <v>30</v>
      </c>
      <c r="C52" s="6" t="s">
        <v>97</v>
      </c>
      <c r="D52" s="7" t="s">
        <v>211</v>
      </c>
      <c r="E52" s="8" t="s">
        <v>212</v>
      </c>
      <c r="F52" s="6" t="s">
        <v>213</v>
      </c>
      <c r="G52" s="9">
        <f>IF(A52=1,"_",IF(C52="_","???",C52))</f>
        <v/>
      </c>
      <c r="H52" s="10" t="s">
        <v>12</v>
      </c>
      <c r="I52" s="11" t="s">
        <v>12</v>
      </c>
      <c r="J52" s="12"/>
    </row>
    <row r="53" spans="1:10" ht="60" customHeight="1">
      <c r="A53" s="6" t="s">
        <v>214</v>
      </c>
      <c r="B53" s="6" t="s">
        <v>16</v>
      </c>
      <c r="C53" s="6" t="s">
        <v>12</v>
      </c>
      <c r="D53" s="7" t="s">
        <v>215</v>
      </c>
      <c r="E53" s="8" t="s">
        <v>216</v>
      </c>
      <c r="F53" s="6" t="s">
        <v>217</v>
      </c>
      <c r="G53" s="9">
        <f>IF(A53=1,"_",IF(C53="_","???",C53))</f>
        <v/>
      </c>
      <c r="H53" s="10" t="s">
        <v>12</v>
      </c>
      <c r="I53" s="11" t="s">
        <v>12</v>
      </c>
      <c r="J53" s="12"/>
    </row>
    <row r="54" spans="1:10" ht="60" customHeight="1">
      <c r="A54" s="6" t="s">
        <v>218</v>
      </c>
      <c r="B54" s="6" t="s">
        <v>24</v>
      </c>
      <c r="C54" s="6" t="s">
        <v>41</v>
      </c>
      <c r="D54" s="7" t="s">
        <v>219</v>
      </c>
      <c r="E54" s="8" t="s">
        <v>220</v>
      </c>
      <c r="F54" s="6" t="s">
        <v>221</v>
      </c>
      <c r="G54" s="9">
        <f>IF(A54=1,"_",IF(C54="_","???",C54))</f>
        <v/>
      </c>
      <c r="H54" s="10" t="s">
        <v>12</v>
      </c>
      <c r="I54" s="11" t="s">
        <v>12</v>
      </c>
      <c r="J54" s="12"/>
    </row>
    <row r="55" spans="1:10" ht="60" customHeight="1">
      <c r="A55" s="6" t="s">
        <v>222</v>
      </c>
      <c r="B55" s="6" t="s">
        <v>10</v>
      </c>
      <c r="C55" s="6" t="s">
        <v>12</v>
      </c>
      <c r="D55" s="7" t="s">
        <v>223</v>
      </c>
      <c r="E55" s="8" t="s">
        <v>224</v>
      </c>
      <c r="F55" s="6" t="s">
        <v>225</v>
      </c>
      <c r="G55" s="9">
        <f>IF(A55=1,"_",IF(C55="_","???",C55))</f>
        <v/>
      </c>
      <c r="H55" s="10" t="s">
        <v>12</v>
      </c>
      <c r="I55" s="11" t="s">
        <v>12</v>
      </c>
      <c r="J55" s="12"/>
    </row>
    <row r="56" spans="1:10" ht="60" customHeight="1">
      <c r="A56" s="6" t="s">
        <v>226</v>
      </c>
      <c r="B56" s="6" t="s">
        <v>16</v>
      </c>
      <c r="C56" s="6" t="s">
        <v>135</v>
      </c>
      <c r="D56" s="7" t="s">
        <v>227</v>
      </c>
      <c r="E56" s="8" t="s">
        <v>228</v>
      </c>
      <c r="F56" s="6" t="s">
        <v>229</v>
      </c>
      <c r="G56" s="9">
        <f>IF(A56=1,"_",IF(C56="_","???",C56))</f>
        <v/>
      </c>
      <c r="H56" s="10" t="s">
        <v>12</v>
      </c>
      <c r="I56" s="11" t="s">
        <v>12</v>
      </c>
      <c r="J56" s="12"/>
    </row>
    <row r="57" spans="1:10" ht="60" customHeight="1">
      <c r="A57" s="6" t="s">
        <v>230</v>
      </c>
      <c r="B57" s="6" t="s">
        <v>20</v>
      </c>
      <c r="C57" s="6" t="s">
        <v>231</v>
      </c>
      <c r="D57" s="7" t="s">
        <v>17</v>
      </c>
      <c r="E57" s="8" t="s">
        <v>232</v>
      </c>
      <c r="F57" s="6" t="s">
        <v>233</v>
      </c>
      <c r="G57" s="9">
        <f>IF(A57=1,"_",IF(C57="_","???",C57))</f>
        <v/>
      </c>
      <c r="H57" s="10" t="s">
        <v>12</v>
      </c>
      <c r="I57" s="11" t="s">
        <v>12</v>
      </c>
      <c r="J57" s="12"/>
    </row>
    <row r="58" spans="1:10" ht="60" customHeight="1">
      <c r="A58" s="6" t="s">
        <v>234</v>
      </c>
      <c r="B58" s="6" t="s">
        <v>16</v>
      </c>
      <c r="C58" s="6" t="s">
        <v>235</v>
      </c>
      <c r="D58" s="7" t="s">
        <v>62</v>
      </c>
      <c r="E58" s="8" t="s">
        <v>236</v>
      </c>
      <c r="F58" s="6" t="s">
        <v>237</v>
      </c>
      <c r="G58" s="9">
        <f>IF(A58=1,"_",IF(C58="_","???",C58))</f>
        <v/>
      </c>
      <c r="H58" s="10" t="s">
        <v>12</v>
      </c>
      <c r="I58" s="11" t="s">
        <v>12</v>
      </c>
      <c r="J58" s="12"/>
    </row>
    <row r="59" spans="1:10" ht="60" customHeight="1">
      <c r="A59" s="6" t="s">
        <v>238</v>
      </c>
      <c r="B59" s="6" t="s">
        <v>128</v>
      </c>
      <c r="C59" s="6" t="s">
        <v>235</v>
      </c>
      <c r="D59" s="7" t="s">
        <v>239</v>
      </c>
      <c r="E59" s="8" t="s">
        <v>240</v>
      </c>
      <c r="F59" s="6" t="s">
        <v>241</v>
      </c>
      <c r="G59" s="9">
        <f>IF(A59=1,"_",IF(C59="_","???",C59))</f>
        <v/>
      </c>
      <c r="H59" s="10" t="s">
        <v>12</v>
      </c>
      <c r="I59" s="11" t="s">
        <v>12</v>
      </c>
      <c r="J59" s="12"/>
    </row>
    <row r="60" spans="1:10" ht="60" customHeight="1">
      <c r="A60" s="6" t="s">
        <v>242</v>
      </c>
      <c r="B60" s="6" t="s">
        <v>16</v>
      </c>
      <c r="C60" s="6" t="s">
        <v>243</v>
      </c>
      <c r="D60" s="7" t="s">
        <v>244</v>
      </c>
      <c r="E60" s="8" t="s">
        <v>245</v>
      </c>
      <c r="F60" s="6" t="s">
        <v>246</v>
      </c>
      <c r="G60" s="9">
        <f>IF(A60=1,"_",IF(C60="_","???",C60))</f>
        <v/>
      </c>
      <c r="H60" s="10" t="s">
        <v>12</v>
      </c>
      <c r="I60" s="11" t="s">
        <v>12</v>
      </c>
      <c r="J60" s="12"/>
    </row>
    <row r="61" spans="1:10" ht="60" customHeight="1">
      <c r="A61" s="6" t="s">
        <v>247</v>
      </c>
      <c r="B61" s="6" t="s">
        <v>87</v>
      </c>
      <c r="C61" s="6" t="s">
        <v>41</v>
      </c>
      <c r="D61" s="7" t="s">
        <v>248</v>
      </c>
      <c r="E61" s="8" t="s">
        <v>249</v>
      </c>
      <c r="F61" s="6" t="s">
        <v>250</v>
      </c>
      <c r="G61" s="9">
        <f>IF(A61=1,"_",IF(C61="_","???",C61))</f>
        <v/>
      </c>
      <c r="H61" s="10" t="s">
        <v>12</v>
      </c>
      <c r="I61" s="11" t="s">
        <v>12</v>
      </c>
      <c r="J61" s="12"/>
    </row>
    <row r="62" spans="1:10" ht="60" customHeight="1">
      <c r="A62" s="6" t="s">
        <v>251</v>
      </c>
      <c r="B62" s="6" t="s">
        <v>20</v>
      </c>
      <c r="C62" s="6" t="s">
        <v>135</v>
      </c>
      <c r="D62" s="7" t="s">
        <v>252</v>
      </c>
      <c r="E62" s="8" t="s">
        <v>253</v>
      </c>
      <c r="F62" s="6" t="s">
        <v>254</v>
      </c>
      <c r="G62" s="9">
        <f>IF(A62=1,"_",IF(C62="_","???",C62))</f>
        <v/>
      </c>
      <c r="H62" s="10" t="s">
        <v>12</v>
      </c>
      <c r="I62" s="11" t="s">
        <v>12</v>
      </c>
      <c r="J62" s="12"/>
    </row>
    <row r="63" spans="1:10" ht="60" customHeight="1">
      <c r="A63" s="6" t="s">
        <v>255</v>
      </c>
      <c r="B63" s="6" t="s">
        <v>20</v>
      </c>
      <c r="C63" s="6" t="s">
        <v>110</v>
      </c>
      <c r="D63" s="7" t="s">
        <v>256</v>
      </c>
      <c r="E63" s="8" t="s">
        <v>257</v>
      </c>
      <c r="F63" s="6" t="s">
        <v>258</v>
      </c>
      <c r="G63" s="9">
        <f>IF(A63=1,"_",IF(C63="_","???",C63))</f>
        <v/>
      </c>
      <c r="H63" s="10" t="s">
        <v>12</v>
      </c>
      <c r="I63" s="11" t="s">
        <v>12</v>
      </c>
      <c r="J63" s="12"/>
    </row>
    <row r="64" spans="1:10" ht="60" customHeight="1">
      <c r="A64" s="6" t="s">
        <v>259</v>
      </c>
      <c r="B64" s="6" t="s">
        <v>36</v>
      </c>
      <c r="C64" s="6" t="s">
        <v>12</v>
      </c>
      <c r="D64" s="7" t="s">
        <v>260</v>
      </c>
      <c r="E64" s="8" t="s">
        <v>261</v>
      </c>
      <c r="F64" s="6" t="s">
        <v>262</v>
      </c>
      <c r="G64" s="9">
        <f>IF(A64=1,"_",IF(C64="_","???",C64))</f>
        <v/>
      </c>
      <c r="H64" s="10" t="s">
        <v>12</v>
      </c>
      <c r="I64" s="11" t="s">
        <v>12</v>
      </c>
      <c r="J64" s="12"/>
    </row>
    <row r="65" spans="1:10" ht="60" customHeight="1">
      <c r="A65" s="6" t="s">
        <v>263</v>
      </c>
      <c r="B65" s="6" t="s">
        <v>20</v>
      </c>
      <c r="C65" s="6" t="s">
        <v>12</v>
      </c>
      <c r="D65" s="7" t="s">
        <v>264</v>
      </c>
      <c r="E65" s="8" t="s">
        <v>265</v>
      </c>
      <c r="F65" s="6" t="s">
        <v>266</v>
      </c>
      <c r="G65" s="9">
        <f>IF(A65=1,"_",IF(C65="_","???",C65))</f>
        <v/>
      </c>
      <c r="H65" s="10" t="s">
        <v>12</v>
      </c>
      <c r="I65" s="11" t="s">
        <v>12</v>
      </c>
      <c r="J65" s="12"/>
    </row>
    <row r="66" spans="1:10" ht="60" customHeight="1">
      <c r="A66" s="6" t="s">
        <v>267</v>
      </c>
      <c r="B66" s="6" t="s">
        <v>44</v>
      </c>
      <c r="C66" s="6" t="s">
        <v>235</v>
      </c>
      <c r="D66" s="7" t="s">
        <v>106</v>
      </c>
      <c r="E66" s="8" t="s">
        <v>268</v>
      </c>
      <c r="F66" s="6" t="s">
        <v>269</v>
      </c>
      <c r="G66" s="9">
        <f>IF(A66=1,"_",IF(C66="_","???",C66))</f>
        <v/>
      </c>
      <c r="H66" s="10" t="s">
        <v>12</v>
      </c>
      <c r="I66" s="11" t="s">
        <v>12</v>
      </c>
      <c r="J66" s="12"/>
    </row>
    <row r="67" spans="1:10" ht="60" customHeight="1">
      <c r="A67" s="6" t="s">
        <v>270</v>
      </c>
      <c r="B67" s="6" t="s">
        <v>10</v>
      </c>
      <c r="C67" s="6" t="s">
        <v>12</v>
      </c>
      <c r="D67" s="7" t="s">
        <v>207</v>
      </c>
      <c r="E67" s="8" t="s">
        <v>271</v>
      </c>
      <c r="F67" s="6" t="s">
        <v>272</v>
      </c>
      <c r="G67" s="9">
        <f>IF(A67=1,"_",IF(C67="_","???",C67))</f>
        <v/>
      </c>
      <c r="H67" s="10" t="s">
        <v>12</v>
      </c>
      <c r="I67" s="11" t="s">
        <v>12</v>
      </c>
      <c r="J67" s="12"/>
    </row>
    <row r="68" spans="1:10" ht="60" customHeight="1">
      <c r="A68" s="6" t="s">
        <v>273</v>
      </c>
      <c r="B68" s="6" t="s">
        <v>16</v>
      </c>
      <c r="C68" s="6" t="s">
        <v>12</v>
      </c>
      <c r="D68" s="7" t="s">
        <v>274</v>
      </c>
      <c r="E68" s="8" t="s">
        <v>275</v>
      </c>
      <c r="F68" s="6" t="s">
        <v>276</v>
      </c>
      <c r="G68" s="9">
        <f>IF(A68=1,"_",IF(C68="_","???",C68))</f>
        <v/>
      </c>
      <c r="H68" s="10" t="s">
        <v>12</v>
      </c>
      <c r="I68" s="11" t="s">
        <v>12</v>
      </c>
      <c r="J68" s="12"/>
    </row>
    <row r="69" spans="1:10" ht="60" customHeight="1">
      <c r="A69" s="6" t="s">
        <v>277</v>
      </c>
      <c r="B69" s="6" t="s">
        <v>24</v>
      </c>
      <c r="C69" s="6" t="s">
        <v>41</v>
      </c>
      <c r="D69" s="7" t="s">
        <v>278</v>
      </c>
      <c r="E69" s="8" t="s">
        <v>279</v>
      </c>
      <c r="F69" s="6" t="s">
        <v>280</v>
      </c>
      <c r="G69" s="9">
        <f>IF(A69=1,"_",IF(C69="_","???",C69))</f>
        <v/>
      </c>
      <c r="H69" s="10" t="s">
        <v>12</v>
      </c>
      <c r="I69" s="11" t="s">
        <v>12</v>
      </c>
      <c r="J69" s="12"/>
    </row>
    <row r="70" spans="1:10" ht="60" customHeight="1">
      <c r="A70" s="6" t="s">
        <v>281</v>
      </c>
      <c r="B70" s="6" t="s">
        <v>16</v>
      </c>
      <c r="C70" s="6" t="s">
        <v>110</v>
      </c>
      <c r="D70" s="7" t="s">
        <v>282</v>
      </c>
      <c r="E70" s="8" t="s">
        <v>283</v>
      </c>
      <c r="F70" s="6" t="s">
        <v>284</v>
      </c>
      <c r="G70" s="9">
        <f>IF(A70=1,"_",IF(C70="_","???",C70))</f>
        <v/>
      </c>
      <c r="H70" s="10" t="s">
        <v>12</v>
      </c>
      <c r="I70" s="11" t="s">
        <v>12</v>
      </c>
      <c r="J70" s="12"/>
    </row>
    <row r="71" spans="1:10" ht="60" customHeight="1">
      <c r="A71" s="6" t="s">
        <v>285</v>
      </c>
      <c r="B71" s="6" t="s">
        <v>30</v>
      </c>
      <c r="C71" s="6" t="s">
        <v>12</v>
      </c>
      <c r="D71" s="7" t="s">
        <v>286</v>
      </c>
      <c r="E71" s="8" t="s">
        <v>287</v>
      </c>
      <c r="F71" s="6" t="s">
        <v>288</v>
      </c>
      <c r="G71" s="9">
        <f>IF(A71=1,"_",IF(C71="_","???",C71))</f>
        <v/>
      </c>
      <c r="H71" s="10" t="s">
        <v>12</v>
      </c>
      <c r="I71" s="11" t="s">
        <v>12</v>
      </c>
      <c r="J71" s="12"/>
    </row>
    <row r="72" spans="1:10" ht="60" customHeight="1">
      <c r="A72" s="6" t="s">
        <v>289</v>
      </c>
      <c r="B72" s="6" t="s">
        <v>36</v>
      </c>
      <c r="C72" s="6" t="s">
        <v>290</v>
      </c>
      <c r="D72" s="7" t="s">
        <v>207</v>
      </c>
      <c r="E72" s="8" t="s">
        <v>291</v>
      </c>
      <c r="F72" s="6" t="s">
        <v>292</v>
      </c>
      <c r="G72" s="9">
        <f>IF(A72=1,"_",IF(C72="_","???",C72))</f>
        <v/>
      </c>
      <c r="H72" s="10" t="s">
        <v>12</v>
      </c>
      <c r="I72" s="11" t="s">
        <v>12</v>
      </c>
      <c r="J72" s="12"/>
    </row>
    <row r="73" spans="1:10" ht="60" customHeight="1">
      <c r="A73" s="6" t="s">
        <v>293</v>
      </c>
      <c r="B73" s="6" t="s">
        <v>10</v>
      </c>
      <c r="C73" s="6" t="s">
        <v>12</v>
      </c>
      <c r="D73" s="7" t="s">
        <v>294</v>
      </c>
      <c r="E73" s="8" t="s">
        <v>295</v>
      </c>
      <c r="F73" s="6" t="s">
        <v>296</v>
      </c>
      <c r="G73" s="9">
        <f>IF(A73=1,"_",IF(C73="_","???",C73))</f>
        <v/>
      </c>
      <c r="H73" s="10" t="s">
        <v>12</v>
      </c>
      <c r="I73" s="11" t="s">
        <v>12</v>
      </c>
      <c r="J73" s="12"/>
    </row>
    <row r="74" spans="1:10" ht="60" customHeight="1">
      <c r="A74" s="6" t="s">
        <v>297</v>
      </c>
      <c r="B74" s="6" t="s">
        <v>30</v>
      </c>
      <c r="C74" s="6" t="s">
        <v>135</v>
      </c>
      <c r="D74" s="7" t="s">
        <v>298</v>
      </c>
      <c r="E74" s="8" t="s">
        <v>299</v>
      </c>
      <c r="F74" s="6" t="s">
        <v>300</v>
      </c>
      <c r="G74" s="9">
        <f>IF(A74=1,"_",IF(C74="_","???",C74))</f>
        <v/>
      </c>
      <c r="H74" s="10" t="s">
        <v>12</v>
      </c>
      <c r="I74" s="11" t="s">
        <v>12</v>
      </c>
      <c r="J74" s="12"/>
    </row>
    <row r="75" spans="1:10" ht="60" customHeight="1">
      <c r="A75" s="6" t="s">
        <v>301</v>
      </c>
      <c r="B75" s="6" t="s">
        <v>24</v>
      </c>
      <c r="C75" s="6" t="s">
        <v>302</v>
      </c>
      <c r="D75" s="7" t="s">
        <v>207</v>
      </c>
      <c r="E75" s="8" t="s">
        <v>303</v>
      </c>
      <c r="F75" s="6" t="s">
        <v>304</v>
      </c>
      <c r="G75" s="9">
        <f>IF(A75=1,"_",IF(C75="_","???",C75))</f>
        <v/>
      </c>
      <c r="H75" s="10" t="s">
        <v>12</v>
      </c>
      <c r="I75" s="11" t="s">
        <v>12</v>
      </c>
      <c r="J75" s="12"/>
    </row>
    <row r="76" spans="1:10" ht="60" customHeight="1">
      <c r="A76" s="6" t="s">
        <v>305</v>
      </c>
      <c r="B76" s="6" t="s">
        <v>31</v>
      </c>
      <c r="C76" s="6" t="s">
        <v>135</v>
      </c>
      <c r="D76" s="7" t="s">
        <v>62</v>
      </c>
      <c r="E76" s="8" t="s">
        <v>306</v>
      </c>
      <c r="F76" s="6" t="s">
        <v>307</v>
      </c>
      <c r="G76" s="9">
        <f>IF(A76=1,"_",IF(C76="_","???",C76))</f>
        <v/>
      </c>
      <c r="H76" s="10" t="s">
        <v>12</v>
      </c>
      <c r="I76" s="11" t="s">
        <v>12</v>
      </c>
      <c r="J76" s="12"/>
    </row>
    <row r="77" spans="1:10" ht="60" customHeight="1">
      <c r="A77" s="6" t="s">
        <v>308</v>
      </c>
      <c r="B77" s="6" t="s">
        <v>24</v>
      </c>
      <c r="C77" s="6" t="s">
        <v>97</v>
      </c>
      <c r="D77" s="7" t="s">
        <v>309</v>
      </c>
      <c r="E77" s="8" t="s">
        <v>310</v>
      </c>
      <c r="F77" s="6" t="s">
        <v>311</v>
      </c>
      <c r="G77" s="9">
        <f>IF(A77=1,"_",IF(C77="_","???",C77))</f>
        <v/>
      </c>
      <c r="H77" s="10" t="s">
        <v>12</v>
      </c>
      <c r="I77" s="11" t="s">
        <v>12</v>
      </c>
      <c r="J77" s="12"/>
    </row>
    <row r="78" spans="1:10" ht="60" customHeight="1">
      <c r="A78" s="6" t="s">
        <v>312</v>
      </c>
      <c r="B78" s="6" t="s">
        <v>57</v>
      </c>
      <c r="C78" s="6" t="s">
        <v>313</v>
      </c>
      <c r="D78" s="7" t="s">
        <v>314</v>
      </c>
      <c r="E78" s="8" t="s">
        <v>315</v>
      </c>
      <c r="F78" s="6" t="s">
        <v>316</v>
      </c>
      <c r="G78" s="9">
        <f>IF(A78=1,"_",IF(C78="_","???",C78))</f>
        <v/>
      </c>
      <c r="H78" s="10" t="s">
        <v>12</v>
      </c>
      <c r="I78" s="11" t="s">
        <v>12</v>
      </c>
      <c r="J78" s="12"/>
    </row>
    <row r="79" spans="1:10" ht="60" customHeight="1">
      <c r="A79" s="6" t="s">
        <v>317</v>
      </c>
      <c r="B79" s="6" t="s">
        <v>20</v>
      </c>
      <c r="C79" s="6" t="s">
        <v>12</v>
      </c>
      <c r="D79" s="7" t="s">
        <v>318</v>
      </c>
      <c r="E79" s="8" t="s">
        <v>319</v>
      </c>
      <c r="F79" s="6" t="s">
        <v>320</v>
      </c>
      <c r="G79" s="9">
        <f>IF(A79=1,"_",IF(C79="_","???",C79))</f>
        <v/>
      </c>
      <c r="H79" s="10" t="s">
        <v>12</v>
      </c>
      <c r="I79" s="11" t="s">
        <v>12</v>
      </c>
      <c r="J79" s="12"/>
    </row>
    <row r="80" spans="1:10" ht="60" customHeight="1">
      <c r="A80" s="6" t="s">
        <v>321</v>
      </c>
      <c r="B80" s="6" t="s">
        <v>40</v>
      </c>
      <c r="C80" s="6" t="s">
        <v>12</v>
      </c>
      <c r="D80" s="7" t="s">
        <v>322</v>
      </c>
      <c r="E80" s="8" t="s">
        <v>323</v>
      </c>
      <c r="F80" s="6" t="s">
        <v>324</v>
      </c>
      <c r="G80" s="9">
        <f>IF(A80=1,"_",IF(C80="_","???",C80))</f>
        <v/>
      </c>
      <c r="H80" s="10" t="s">
        <v>12</v>
      </c>
      <c r="I80" s="11" t="s">
        <v>12</v>
      </c>
      <c r="J80" s="12"/>
    </row>
    <row r="81" spans="1:10" ht="60" customHeight="1">
      <c r="A81" s="6" t="s">
        <v>325</v>
      </c>
      <c r="B81" s="6" t="s">
        <v>20</v>
      </c>
      <c r="C81" s="6" t="s">
        <v>12</v>
      </c>
      <c r="D81" s="7" t="s">
        <v>207</v>
      </c>
      <c r="E81" s="8" t="s">
        <v>326</v>
      </c>
      <c r="F81" s="6" t="s">
        <v>327</v>
      </c>
      <c r="G81" s="9">
        <f>IF(A81=1,"_",IF(C81="_","???",C81))</f>
        <v/>
      </c>
      <c r="H81" s="10" t="s">
        <v>12</v>
      </c>
      <c r="I81" s="11" t="s">
        <v>12</v>
      </c>
      <c r="J81" s="12"/>
    </row>
    <row r="82" spans="1:10" ht="60" customHeight="1">
      <c r="A82" s="6" t="s">
        <v>328</v>
      </c>
      <c r="B82" s="6" t="s">
        <v>24</v>
      </c>
      <c r="C82" s="6" t="s">
        <v>329</v>
      </c>
      <c r="D82" s="7" t="s">
        <v>330</v>
      </c>
      <c r="E82" s="8" t="s">
        <v>331</v>
      </c>
      <c r="F82" s="6" t="s">
        <v>332</v>
      </c>
      <c r="G82" s="9">
        <f>IF(A82=1,"_",IF(C82="_","???",C82))</f>
        <v/>
      </c>
      <c r="H82" s="10" t="s">
        <v>12</v>
      </c>
      <c r="I82" s="11" t="s">
        <v>12</v>
      </c>
      <c r="J82" s="12"/>
    </row>
    <row r="83" spans="1:10" ht="60" customHeight="1">
      <c r="A83" s="6" t="s">
        <v>333</v>
      </c>
      <c r="B83" s="6" t="s">
        <v>10</v>
      </c>
      <c r="C83" s="6" t="s">
        <v>334</v>
      </c>
      <c r="D83" s="7" t="s">
        <v>335</v>
      </c>
      <c r="E83" s="8" t="s">
        <v>336</v>
      </c>
      <c r="F83" s="6" t="s">
        <v>337</v>
      </c>
      <c r="G83" s="9">
        <f>IF(A83=1,"_",IF(C83="_","???",C83))</f>
        <v/>
      </c>
      <c r="H83" s="10" t="s">
        <v>12</v>
      </c>
      <c r="I83" s="11" t="s">
        <v>12</v>
      </c>
      <c r="J83" s="12"/>
    </row>
    <row r="84" spans="1:10" ht="60" customHeight="1">
      <c r="A84" s="6" t="s">
        <v>338</v>
      </c>
      <c r="B84" s="6" t="s">
        <v>40</v>
      </c>
      <c r="C84" s="6" t="s">
        <v>12</v>
      </c>
      <c r="D84" s="7" t="s">
        <v>207</v>
      </c>
      <c r="E84" s="8" t="s">
        <v>339</v>
      </c>
      <c r="F84" s="6" t="s">
        <v>340</v>
      </c>
      <c r="G84" s="9">
        <f>IF(A84=1,"_",IF(C84="_","???",C84))</f>
        <v/>
      </c>
      <c r="H84" s="10" t="s">
        <v>12</v>
      </c>
      <c r="I84" s="11" t="s">
        <v>12</v>
      </c>
      <c r="J84" s="12"/>
    </row>
    <row r="85" spans="1:10" ht="60" customHeight="1">
      <c r="A85" s="6" t="s">
        <v>341</v>
      </c>
      <c r="B85" s="6" t="s">
        <v>30</v>
      </c>
      <c r="C85" s="6" t="s">
        <v>342</v>
      </c>
      <c r="D85" s="7" t="s">
        <v>343</v>
      </c>
      <c r="E85" s="8" t="s">
        <v>344</v>
      </c>
      <c r="F85" s="6" t="s">
        <v>345</v>
      </c>
      <c r="G85" s="9">
        <f>IF(A85=1,"_",IF(C85="_","???",C85))</f>
        <v/>
      </c>
      <c r="H85" s="10" t="s">
        <v>12</v>
      </c>
      <c r="I85" s="11" t="s">
        <v>12</v>
      </c>
      <c r="J85" s="12"/>
    </row>
    <row r="86" spans="1:10" ht="60" customHeight="1">
      <c r="A86" s="6" t="s">
        <v>346</v>
      </c>
      <c r="B86" s="6" t="s">
        <v>24</v>
      </c>
      <c r="C86" s="6" t="s">
        <v>347</v>
      </c>
      <c r="D86" s="7" t="s">
        <v>348</v>
      </c>
      <c r="E86" s="8" t="s">
        <v>349</v>
      </c>
      <c r="F86" s="6" t="s">
        <v>350</v>
      </c>
      <c r="G86" s="9">
        <f>IF(A86=1,"_",IF(C86="_","???",C86))</f>
        <v/>
      </c>
      <c r="H86" s="10" t="s">
        <v>12</v>
      </c>
      <c r="I86" s="11" t="s">
        <v>12</v>
      </c>
      <c r="J86" s="12"/>
    </row>
    <row r="87" spans="1:10" ht="60" customHeight="1">
      <c r="A87" s="6" t="s">
        <v>351</v>
      </c>
      <c r="B87" s="6" t="s">
        <v>10</v>
      </c>
      <c r="C87" s="6" t="s">
        <v>135</v>
      </c>
      <c r="D87" s="7" t="s">
        <v>202</v>
      </c>
      <c r="E87" s="8" t="s">
        <v>352</v>
      </c>
      <c r="F87" s="6" t="s">
        <v>353</v>
      </c>
      <c r="G87" s="9">
        <f>IF(A87=1,"_",IF(C87="_","???",C87))</f>
        <v/>
      </c>
      <c r="H87" s="10" t="s">
        <v>12</v>
      </c>
      <c r="I87" s="11" t="s">
        <v>12</v>
      </c>
      <c r="J87" s="12"/>
    </row>
    <row r="88" spans="1:10" ht="60" customHeight="1">
      <c r="A88" s="6" t="s">
        <v>354</v>
      </c>
      <c r="B88" s="6" t="s">
        <v>105</v>
      </c>
      <c r="C88" s="6" t="s">
        <v>135</v>
      </c>
      <c r="D88" s="7" t="s">
        <v>355</v>
      </c>
      <c r="E88" s="8" t="s">
        <v>356</v>
      </c>
      <c r="F88" s="6" t="s">
        <v>357</v>
      </c>
      <c r="G88" s="9">
        <f>IF(A88=1,"_",IF(C88="_","???",C88))</f>
        <v/>
      </c>
      <c r="H88" s="10" t="s">
        <v>12</v>
      </c>
      <c r="I88" s="11" t="s">
        <v>12</v>
      </c>
      <c r="J88" s="12"/>
    </row>
    <row r="89" spans="1:10" ht="60" customHeight="1">
      <c r="A89" s="6" t="s">
        <v>358</v>
      </c>
      <c r="B89" s="6" t="s">
        <v>10</v>
      </c>
      <c r="C89" s="6" t="s">
        <v>12</v>
      </c>
      <c r="D89" s="7" t="s">
        <v>207</v>
      </c>
      <c r="E89" s="8" t="s">
        <v>359</v>
      </c>
      <c r="F89" s="6" t="s">
        <v>360</v>
      </c>
      <c r="G89" s="9">
        <f>IF(A89=1,"_",IF(C89="_","???",C89))</f>
        <v/>
      </c>
      <c r="H89" s="10" t="s">
        <v>12</v>
      </c>
      <c r="I89" s="11" t="s">
        <v>12</v>
      </c>
      <c r="J89" s="12"/>
    </row>
    <row r="90" spans="1:10" ht="60" customHeight="1">
      <c r="A90" s="6" t="s">
        <v>361</v>
      </c>
      <c r="B90" s="6" t="s">
        <v>20</v>
      </c>
      <c r="C90" s="6" t="s">
        <v>41</v>
      </c>
      <c r="D90" s="7" t="s">
        <v>362</v>
      </c>
      <c r="E90" s="8" t="s">
        <v>363</v>
      </c>
      <c r="F90" s="6" t="s">
        <v>364</v>
      </c>
      <c r="G90" s="9">
        <f>IF(A90=1,"_",IF(C90="_","???",C90))</f>
        <v/>
      </c>
      <c r="H90" s="10" t="s">
        <v>12</v>
      </c>
      <c r="I90" s="11" t="s">
        <v>12</v>
      </c>
      <c r="J90" s="12"/>
    </row>
    <row r="91" spans="1:10" ht="60" customHeight="1">
      <c r="A91" s="6" t="s">
        <v>365</v>
      </c>
      <c r="B91" s="6" t="s">
        <v>11</v>
      </c>
      <c r="C91" s="6" t="s">
        <v>206</v>
      </c>
      <c r="D91" s="7" t="s">
        <v>366</v>
      </c>
      <c r="E91" s="8" t="s">
        <v>367</v>
      </c>
      <c r="F91" s="6" t="s">
        <v>368</v>
      </c>
      <c r="G91" s="9">
        <f>IF(A91=1,"_",IF(C91="_","???",C91))</f>
        <v/>
      </c>
      <c r="H91" s="10" t="s">
        <v>12</v>
      </c>
      <c r="I91" s="11" t="s">
        <v>12</v>
      </c>
      <c r="J91" s="12"/>
    </row>
    <row r="92" spans="1:10" ht="60" customHeight="1">
      <c r="A92" s="6" t="s">
        <v>369</v>
      </c>
      <c r="B92" s="6" t="s">
        <v>16</v>
      </c>
      <c r="C92" s="6" t="s">
        <v>12</v>
      </c>
      <c r="D92" s="7" t="s">
        <v>370</v>
      </c>
      <c r="E92" s="8" t="s">
        <v>371</v>
      </c>
      <c r="F92" s="6" t="s">
        <v>372</v>
      </c>
      <c r="G92" s="9">
        <f>IF(A92=1,"_",IF(C92="_","???",C92))</f>
        <v/>
      </c>
      <c r="H92" s="10" t="s">
        <v>12</v>
      </c>
      <c r="I92" s="11" t="s">
        <v>12</v>
      </c>
      <c r="J92" s="12"/>
    </row>
    <row r="93" spans="1:10" ht="60" customHeight="1">
      <c r="A93" s="6" t="s">
        <v>373</v>
      </c>
      <c r="B93" s="6" t="s">
        <v>36</v>
      </c>
      <c r="C93" s="6" t="s">
        <v>152</v>
      </c>
      <c r="D93" s="7" t="s">
        <v>374</v>
      </c>
      <c r="E93" s="8" t="s">
        <v>375</v>
      </c>
      <c r="F93" s="6" t="s">
        <v>376</v>
      </c>
      <c r="G93" s="9">
        <f>IF(A93=1,"_",IF(C93="_","???",C93))</f>
        <v/>
      </c>
      <c r="H93" s="10" t="s">
        <v>12</v>
      </c>
      <c r="I93" s="11" t="s">
        <v>12</v>
      </c>
      <c r="J93" s="12"/>
    </row>
    <row r="94" spans="1:10" ht="60" customHeight="1">
      <c r="A94" s="6" t="s">
        <v>377</v>
      </c>
      <c r="B94" s="6" t="s">
        <v>24</v>
      </c>
      <c r="C94" s="6" t="s">
        <v>110</v>
      </c>
      <c r="D94" s="7" t="s">
        <v>378</v>
      </c>
      <c r="E94" s="8" t="s">
        <v>379</v>
      </c>
      <c r="F94" s="6" t="s">
        <v>380</v>
      </c>
      <c r="G94" s="9">
        <f>IF(A94=1,"_",IF(C94="_","???",C94))</f>
        <v/>
      </c>
      <c r="H94" s="10" t="s">
        <v>12</v>
      </c>
      <c r="I94" s="11" t="s">
        <v>12</v>
      </c>
      <c r="J94" s="12"/>
    </row>
    <row r="95" spans="1:10" ht="60" customHeight="1">
      <c r="A95" s="6" t="s">
        <v>381</v>
      </c>
      <c r="B95" s="6" t="s">
        <v>73</v>
      </c>
      <c r="C95" s="6" t="s">
        <v>187</v>
      </c>
      <c r="D95" s="7" t="s">
        <v>382</v>
      </c>
      <c r="E95" s="8" t="s">
        <v>383</v>
      </c>
      <c r="F95" s="6" t="s">
        <v>384</v>
      </c>
      <c r="G95" s="9">
        <f>IF(A95=1,"_",IF(C95="_","???",C95))</f>
        <v/>
      </c>
      <c r="H95" s="10" t="s">
        <v>12</v>
      </c>
      <c r="I95" s="11" t="s">
        <v>12</v>
      </c>
      <c r="J95" s="12"/>
    </row>
    <row r="96" spans="1:10" ht="60" customHeight="1">
      <c r="A96" s="6" t="s">
        <v>385</v>
      </c>
      <c r="B96" s="6" t="s">
        <v>11</v>
      </c>
      <c r="C96" s="6" t="s">
        <v>12</v>
      </c>
      <c r="D96" s="7" t="s">
        <v>298</v>
      </c>
      <c r="E96" s="8" t="s">
        <v>386</v>
      </c>
      <c r="F96" s="6" t="s">
        <v>387</v>
      </c>
      <c r="G96" s="9">
        <f>IF(A96=1,"_",IF(C96="_","???",C96))</f>
        <v/>
      </c>
      <c r="H96" s="10" t="s">
        <v>12</v>
      </c>
      <c r="I96" s="11" t="s">
        <v>12</v>
      </c>
      <c r="J96" s="12"/>
    </row>
    <row r="97" spans="1:10" ht="60" customHeight="1">
      <c r="A97" s="6" t="s">
        <v>388</v>
      </c>
      <c r="B97" s="6" t="s">
        <v>11</v>
      </c>
      <c r="C97" s="6" t="s">
        <v>329</v>
      </c>
      <c r="D97" s="7" t="s">
        <v>389</v>
      </c>
      <c r="E97" s="8" t="s">
        <v>390</v>
      </c>
      <c r="F97" s="6" t="s">
        <v>391</v>
      </c>
      <c r="G97" s="9">
        <f>IF(A97=1,"_",IF(C97="_","???",C97))</f>
        <v/>
      </c>
      <c r="H97" s="10" t="s">
        <v>12</v>
      </c>
      <c r="I97" s="11" t="s">
        <v>12</v>
      </c>
      <c r="J97" s="12"/>
    </row>
    <row r="98" spans="1:10" ht="60" customHeight="1">
      <c r="A98" s="6" t="s">
        <v>392</v>
      </c>
      <c r="B98" s="6" t="s">
        <v>16</v>
      </c>
      <c r="C98" s="6" t="s">
        <v>313</v>
      </c>
      <c r="D98" s="7" t="s">
        <v>393</v>
      </c>
      <c r="E98" s="8" t="s">
        <v>394</v>
      </c>
      <c r="F98" s="6" t="s">
        <v>395</v>
      </c>
      <c r="G98" s="9">
        <f>IF(A98=1,"_",IF(C98="_","???",C98))</f>
        <v/>
      </c>
      <c r="H98" s="10" t="s">
        <v>12</v>
      </c>
      <c r="I98" s="11" t="s">
        <v>12</v>
      </c>
      <c r="J98" s="12"/>
    </row>
    <row r="99" spans="1:10" ht="60" customHeight="1">
      <c r="A99" s="6" t="s">
        <v>396</v>
      </c>
      <c r="B99" s="6" t="s">
        <v>16</v>
      </c>
      <c r="C99" s="6" t="s">
        <v>12</v>
      </c>
      <c r="D99" s="7" t="s">
        <v>27</v>
      </c>
      <c r="E99" s="8" t="s">
        <v>397</v>
      </c>
      <c r="F99" s="6" t="s">
        <v>398</v>
      </c>
      <c r="G99" s="9">
        <f>IF(A99=1,"_",IF(C99="_","???",C99))</f>
        <v/>
      </c>
      <c r="H99" s="10" t="s">
        <v>12</v>
      </c>
      <c r="I99" s="11" t="s">
        <v>12</v>
      </c>
      <c r="J99" s="12"/>
    </row>
    <row r="100" spans="1:10" ht="60" customHeight="1">
      <c r="A100" s="6" t="s">
        <v>399</v>
      </c>
      <c r="B100" s="6" t="s">
        <v>10</v>
      </c>
      <c r="C100" s="6" t="s">
        <v>12</v>
      </c>
      <c r="D100" s="7" t="s">
        <v>400</v>
      </c>
      <c r="E100" s="8" t="s">
        <v>401</v>
      </c>
      <c r="F100" s="6" t="s">
        <v>402</v>
      </c>
      <c r="G100" s="9">
        <f>IF(A100=1,"_",IF(C100="_","???",C100))</f>
        <v/>
      </c>
      <c r="H100" s="10" t="s">
        <v>12</v>
      </c>
      <c r="I100" s="11" t="s">
        <v>12</v>
      </c>
      <c r="J100" s="12"/>
    </row>
    <row r="101" spans="1:10" ht="60" customHeight="1">
      <c r="A101" s="6" t="s">
        <v>403</v>
      </c>
      <c r="B101" s="6" t="s">
        <v>10</v>
      </c>
      <c r="C101" s="6" t="s">
        <v>12</v>
      </c>
      <c r="D101" s="7" t="s">
        <v>404</v>
      </c>
      <c r="E101" s="8" t="s">
        <v>405</v>
      </c>
      <c r="F101" s="6" t="s">
        <v>406</v>
      </c>
      <c r="G101" s="9">
        <f>IF(A101=1,"_",IF(C101="_","???",C101))</f>
        <v/>
      </c>
      <c r="H101" s="10" t="s">
        <v>12</v>
      </c>
      <c r="I101" s="11" t="s">
        <v>12</v>
      </c>
      <c r="J101" s="12"/>
    </row>
    <row r="102" spans="1:10" ht="60" customHeight="1">
      <c r="A102" s="6" t="s">
        <v>407</v>
      </c>
      <c r="B102" s="6" t="s">
        <v>16</v>
      </c>
      <c r="C102" s="6" t="s">
        <v>187</v>
      </c>
      <c r="D102" s="7" t="s">
        <v>215</v>
      </c>
      <c r="E102" s="8" t="s">
        <v>408</v>
      </c>
      <c r="F102" s="6" t="s">
        <v>409</v>
      </c>
      <c r="G102" s="9">
        <f>IF(A102=1,"_",IF(C102="_","???",C102))</f>
        <v/>
      </c>
      <c r="H102" s="10" t="s">
        <v>12</v>
      </c>
      <c r="I102" s="11" t="s">
        <v>12</v>
      </c>
      <c r="J102" s="12"/>
    </row>
    <row r="103" spans="1:10" ht="60" customHeight="1">
      <c r="A103" s="6" t="s">
        <v>410</v>
      </c>
      <c r="B103" s="6" t="s">
        <v>31</v>
      </c>
      <c r="C103" s="6" t="s">
        <v>187</v>
      </c>
      <c r="D103" s="7" t="s">
        <v>411</v>
      </c>
      <c r="E103" s="8" t="s">
        <v>412</v>
      </c>
      <c r="F103" s="6" t="s">
        <v>413</v>
      </c>
      <c r="G103" s="9">
        <f>IF(A103=1,"_",IF(C103="_","???",C103))</f>
        <v/>
      </c>
      <c r="H103" s="10" t="s">
        <v>12</v>
      </c>
      <c r="I103" s="11" t="s">
        <v>12</v>
      </c>
      <c r="J103" s="12"/>
    </row>
    <row r="104" spans="1:10" ht="60" customHeight="1">
      <c r="A104" s="6" t="s">
        <v>414</v>
      </c>
      <c r="B104" s="6" t="s">
        <v>44</v>
      </c>
      <c r="C104" s="6" t="s">
        <v>313</v>
      </c>
      <c r="D104" s="7" t="s">
        <v>415</v>
      </c>
      <c r="E104" s="8" t="s">
        <v>416</v>
      </c>
      <c r="F104" s="6" t="s">
        <v>417</v>
      </c>
      <c r="G104" s="9">
        <f>IF(A104=1,"_",IF(C104="_","???",C104))</f>
        <v/>
      </c>
      <c r="H104" s="10" t="s">
        <v>12</v>
      </c>
      <c r="I104" s="11" t="s">
        <v>12</v>
      </c>
      <c r="J104" s="12"/>
    </row>
    <row r="105" spans="1:10" ht="60" customHeight="1">
      <c r="A105" s="6" t="s">
        <v>418</v>
      </c>
      <c r="B105" s="6" t="s">
        <v>24</v>
      </c>
      <c r="C105" s="6" t="s">
        <v>12</v>
      </c>
      <c r="D105" s="7" t="s">
        <v>419</v>
      </c>
      <c r="E105" s="8" t="s">
        <v>420</v>
      </c>
      <c r="F105" s="6" t="s">
        <v>421</v>
      </c>
      <c r="G105" s="9">
        <f>IF(A105=1,"_",IF(C105="_","???",C105))</f>
        <v/>
      </c>
      <c r="H105" s="10" t="s">
        <v>12</v>
      </c>
      <c r="I105" s="11" t="s">
        <v>12</v>
      </c>
      <c r="J105" s="12"/>
    </row>
    <row r="106" spans="1:10" ht="60" customHeight="1">
      <c r="A106" s="6" t="s">
        <v>422</v>
      </c>
      <c r="B106" s="6" t="s">
        <v>10</v>
      </c>
      <c r="C106" s="6" t="s">
        <v>334</v>
      </c>
      <c r="D106" s="7" t="s">
        <v>423</v>
      </c>
      <c r="E106" s="8" t="s">
        <v>424</v>
      </c>
      <c r="F106" s="6" t="s">
        <v>425</v>
      </c>
      <c r="G106" s="9">
        <f>IF(A106=1,"_",IF(C106="_","???",C106))</f>
        <v/>
      </c>
      <c r="H106" s="10" t="s">
        <v>12</v>
      </c>
      <c r="I106" s="11" t="s">
        <v>12</v>
      </c>
      <c r="J106" s="12"/>
    </row>
    <row r="107" spans="1:10" ht="60" customHeight="1">
      <c r="A107" s="6" t="s">
        <v>426</v>
      </c>
      <c r="B107" s="6" t="s">
        <v>24</v>
      </c>
      <c r="C107" s="6" t="s">
        <v>302</v>
      </c>
      <c r="D107" s="7" t="s">
        <v>17</v>
      </c>
      <c r="E107" s="8" t="s">
        <v>427</v>
      </c>
      <c r="F107" s="6" t="s">
        <v>428</v>
      </c>
      <c r="G107" s="9">
        <f>IF(A107=1,"_",IF(C107="_","???",C107))</f>
        <v/>
      </c>
      <c r="H107" s="10" t="s">
        <v>12</v>
      </c>
      <c r="I107" s="11" t="s">
        <v>12</v>
      </c>
      <c r="J107" s="12"/>
    </row>
    <row r="108" spans="1:10" ht="60" customHeight="1">
      <c r="A108" s="6" t="s">
        <v>429</v>
      </c>
      <c r="B108" s="6" t="s">
        <v>16</v>
      </c>
      <c r="C108" s="6" t="s">
        <v>12</v>
      </c>
      <c r="D108" s="7" t="s">
        <v>430</v>
      </c>
      <c r="E108" s="8" t="s">
        <v>431</v>
      </c>
      <c r="F108" s="6" t="s">
        <v>432</v>
      </c>
      <c r="G108" s="9">
        <f>IF(A108=1,"_",IF(C108="_","???",C108))</f>
        <v/>
      </c>
      <c r="H108" s="10" t="s">
        <v>12</v>
      </c>
      <c r="I108" s="11" t="s">
        <v>12</v>
      </c>
      <c r="J108" s="12"/>
    </row>
    <row r="109" spans="1:10" ht="60" customHeight="1">
      <c r="A109" s="6" t="s">
        <v>433</v>
      </c>
      <c r="B109" s="6" t="s">
        <v>24</v>
      </c>
      <c r="C109" s="6" t="s">
        <v>92</v>
      </c>
      <c r="D109" s="7" t="s">
        <v>17</v>
      </c>
      <c r="E109" s="8" t="s">
        <v>434</v>
      </c>
      <c r="F109" s="6" t="s">
        <v>435</v>
      </c>
      <c r="G109" s="9">
        <f>IF(A109=1,"_",IF(C109="_","???",C109))</f>
        <v/>
      </c>
      <c r="H109" s="10" t="s">
        <v>12</v>
      </c>
      <c r="I109" s="11" t="s">
        <v>12</v>
      </c>
      <c r="J109" s="12"/>
    </row>
    <row r="110" spans="1:10" ht="60" customHeight="1">
      <c r="A110" s="6" t="s">
        <v>436</v>
      </c>
      <c r="B110" s="6" t="s">
        <v>20</v>
      </c>
      <c r="C110" s="6" t="s">
        <v>12</v>
      </c>
      <c r="D110" s="7" t="s">
        <v>430</v>
      </c>
      <c r="E110" s="8" t="s">
        <v>437</v>
      </c>
      <c r="F110" s="6" t="s">
        <v>438</v>
      </c>
      <c r="G110" s="9">
        <f>IF(A110=1,"_",IF(C110="_","???",C110))</f>
        <v/>
      </c>
      <c r="H110" s="10" t="s">
        <v>12</v>
      </c>
      <c r="I110" s="11" t="s">
        <v>12</v>
      </c>
      <c r="J110" s="12"/>
    </row>
    <row r="111" spans="1:10" ht="60" customHeight="1">
      <c r="A111" s="6" t="s">
        <v>439</v>
      </c>
      <c r="B111" s="6" t="s">
        <v>20</v>
      </c>
      <c r="C111" s="6" t="s">
        <v>41</v>
      </c>
      <c r="D111" s="7" t="s">
        <v>62</v>
      </c>
      <c r="E111" s="8" t="s">
        <v>440</v>
      </c>
      <c r="F111" s="6" t="s">
        <v>441</v>
      </c>
      <c r="G111" s="9">
        <f>IF(A111=1,"_",IF(C111="_","???",C111))</f>
        <v/>
      </c>
      <c r="H111" s="10" t="s">
        <v>12</v>
      </c>
      <c r="I111" s="11" t="s">
        <v>12</v>
      </c>
      <c r="J111" s="12"/>
    </row>
    <row r="112" spans="1:10" ht="60" customHeight="1">
      <c r="A112" s="6" t="s">
        <v>442</v>
      </c>
      <c r="B112" s="6" t="s">
        <v>16</v>
      </c>
      <c r="C112" s="6" t="s">
        <v>12</v>
      </c>
      <c r="D112" s="7" t="s">
        <v>443</v>
      </c>
      <c r="E112" s="8" t="s">
        <v>444</v>
      </c>
      <c r="F112" s="6" t="s">
        <v>445</v>
      </c>
      <c r="G112" s="9">
        <f>IF(A112=1,"_",IF(C112="_","???",C112))</f>
        <v/>
      </c>
      <c r="H112" s="10" t="s">
        <v>12</v>
      </c>
      <c r="I112" s="11" t="s">
        <v>12</v>
      </c>
      <c r="J112" s="12"/>
    </row>
    <row r="113" spans="1:10" ht="60" customHeight="1">
      <c r="A113" s="6" t="s">
        <v>446</v>
      </c>
      <c r="B113" s="6" t="s">
        <v>36</v>
      </c>
      <c r="C113" s="6" t="s">
        <v>447</v>
      </c>
      <c r="D113" s="7" t="s">
        <v>448</v>
      </c>
      <c r="E113" s="8" t="s">
        <v>449</v>
      </c>
      <c r="F113" s="6" t="s">
        <v>450</v>
      </c>
      <c r="G113" s="9">
        <f>IF(A113=1,"_",IF(C113="_","???",C113))</f>
        <v/>
      </c>
      <c r="H113" s="10" t="s">
        <v>12</v>
      </c>
      <c r="I113" s="11" t="s">
        <v>12</v>
      </c>
      <c r="J113" s="12"/>
    </row>
    <row r="114" spans="1:10" ht="60" customHeight="1">
      <c r="A114" s="6" t="s">
        <v>451</v>
      </c>
      <c r="B114" s="6" t="s">
        <v>57</v>
      </c>
      <c r="C114" s="6" t="s">
        <v>187</v>
      </c>
      <c r="D114" s="7" t="s">
        <v>452</v>
      </c>
      <c r="E114" s="8" t="s">
        <v>453</v>
      </c>
      <c r="F114" s="6" t="s">
        <v>454</v>
      </c>
      <c r="G114" s="9">
        <f>IF(A114=1,"_",IF(C114="_","???",C114))</f>
        <v/>
      </c>
      <c r="H114" s="10" t="s">
        <v>12</v>
      </c>
      <c r="I114" s="11" t="s">
        <v>12</v>
      </c>
      <c r="J114" s="12"/>
    </row>
    <row r="115" spans="1:10" ht="60" customHeight="1">
      <c r="A115" s="6" t="s">
        <v>455</v>
      </c>
      <c r="B115" s="6" t="s">
        <v>20</v>
      </c>
      <c r="C115" s="6" t="s">
        <v>12</v>
      </c>
      <c r="D115" s="7" t="s">
        <v>62</v>
      </c>
      <c r="E115" s="8" t="s">
        <v>456</v>
      </c>
      <c r="F115" s="6" t="s">
        <v>457</v>
      </c>
      <c r="G115" s="9">
        <f>IF(A115=1,"_",IF(C115="_","???",C115))</f>
        <v/>
      </c>
      <c r="H115" s="10" t="s">
        <v>12</v>
      </c>
      <c r="I115" s="11" t="s">
        <v>12</v>
      </c>
      <c r="J115" s="12"/>
    </row>
    <row r="116" spans="1:10" ht="60" customHeight="1">
      <c r="A116" s="6" t="s">
        <v>458</v>
      </c>
      <c r="B116" s="6" t="s">
        <v>16</v>
      </c>
      <c r="C116" s="6" t="s">
        <v>152</v>
      </c>
      <c r="D116" s="7" t="s">
        <v>62</v>
      </c>
      <c r="E116" s="8" t="s">
        <v>459</v>
      </c>
      <c r="F116" s="6" t="s">
        <v>460</v>
      </c>
      <c r="G116" s="9">
        <f>IF(A116=1,"_",IF(C116="_","???",C116))</f>
        <v/>
      </c>
      <c r="H116" s="10" t="s">
        <v>12</v>
      </c>
      <c r="I116" s="11" t="s">
        <v>12</v>
      </c>
      <c r="J116" s="12"/>
    </row>
    <row r="117" spans="1:10" ht="60" customHeight="1">
      <c r="A117" s="6" t="s">
        <v>461</v>
      </c>
      <c r="B117" s="6" t="s">
        <v>10</v>
      </c>
      <c r="C117" s="6" t="s">
        <v>12</v>
      </c>
      <c r="D117" s="7" t="s">
        <v>462</v>
      </c>
      <c r="E117" s="8" t="s">
        <v>463</v>
      </c>
      <c r="F117" s="6" t="s">
        <v>464</v>
      </c>
      <c r="G117" s="9">
        <f>IF(A117=1,"_",IF(C117="_","???",C117))</f>
        <v/>
      </c>
      <c r="H117" s="10" t="s">
        <v>12</v>
      </c>
      <c r="I117" s="11" t="s">
        <v>12</v>
      </c>
      <c r="J117" s="12"/>
    </row>
    <row r="118" spans="1:10" ht="60" customHeight="1">
      <c r="A118" s="6" t="s">
        <v>465</v>
      </c>
      <c r="B118" s="6" t="s">
        <v>61</v>
      </c>
      <c r="C118" s="6" t="s">
        <v>12</v>
      </c>
      <c r="D118" s="7" t="s">
        <v>227</v>
      </c>
      <c r="E118" s="8" t="s">
        <v>466</v>
      </c>
      <c r="F118" s="6" t="s">
        <v>467</v>
      </c>
      <c r="G118" s="9">
        <f>IF(A118=1,"_",IF(C118="_","???",C118))</f>
        <v/>
      </c>
      <c r="H118" s="10" t="s">
        <v>12</v>
      </c>
      <c r="I118" s="11" t="s">
        <v>12</v>
      </c>
      <c r="J118" s="12"/>
    </row>
    <row r="119" spans="1:10" ht="60" customHeight="1">
      <c r="A119" s="6" t="s">
        <v>468</v>
      </c>
      <c r="B119" s="6" t="s">
        <v>101</v>
      </c>
      <c r="C119" s="6" t="s">
        <v>41</v>
      </c>
      <c r="D119" s="7" t="s">
        <v>469</v>
      </c>
      <c r="E119" s="8" t="s">
        <v>470</v>
      </c>
      <c r="F119" s="6" t="s">
        <v>471</v>
      </c>
      <c r="G119" s="9">
        <f>IF(A119=1,"_",IF(C119="_","???",C119))</f>
        <v/>
      </c>
      <c r="H119" s="10" t="s">
        <v>12</v>
      </c>
      <c r="I119" s="11" t="s">
        <v>12</v>
      </c>
      <c r="J119" s="12"/>
    </row>
    <row r="120" spans="1:10" ht="60" customHeight="1">
      <c r="A120" s="6" t="s">
        <v>472</v>
      </c>
      <c r="B120" s="6" t="s">
        <v>24</v>
      </c>
      <c r="C120" s="6" t="s">
        <v>41</v>
      </c>
      <c r="D120" s="7" t="s">
        <v>21</v>
      </c>
      <c r="E120" s="8" t="s">
        <v>473</v>
      </c>
      <c r="F120" s="6" t="s">
        <v>474</v>
      </c>
      <c r="G120" s="9">
        <f>IF(A120=1,"_",IF(C120="_","???",C120))</f>
        <v/>
      </c>
      <c r="H120" s="10" t="s">
        <v>12</v>
      </c>
      <c r="I120" s="11" t="s">
        <v>12</v>
      </c>
      <c r="J120" s="12"/>
    </row>
    <row r="121" spans="1:10" ht="60" customHeight="1">
      <c r="A121" s="6" t="s">
        <v>475</v>
      </c>
      <c r="B121" s="6" t="s">
        <v>44</v>
      </c>
      <c r="C121" s="6" t="s">
        <v>302</v>
      </c>
      <c r="D121" s="7" t="s">
        <v>148</v>
      </c>
      <c r="E121" s="8" t="s">
        <v>476</v>
      </c>
      <c r="F121" s="6" t="s">
        <v>477</v>
      </c>
      <c r="G121" s="9">
        <f>IF(A121=1,"_",IF(C121="_","???",C121))</f>
        <v/>
      </c>
      <c r="H121" s="10" t="s">
        <v>12</v>
      </c>
      <c r="I121" s="11" t="s">
        <v>12</v>
      </c>
      <c r="J121" s="12"/>
    </row>
    <row r="122" spans="1:10" ht="60" customHeight="1">
      <c r="A122" s="6" t="s">
        <v>478</v>
      </c>
      <c r="B122" s="6" t="s">
        <v>31</v>
      </c>
      <c r="C122" s="6" t="s">
        <v>41</v>
      </c>
      <c r="D122" s="7" t="s">
        <v>21</v>
      </c>
      <c r="E122" s="8" t="s">
        <v>479</v>
      </c>
      <c r="F122" s="6" t="s">
        <v>480</v>
      </c>
      <c r="G122" s="9">
        <f>IF(A122=1,"_",IF(C122="_","???",C122))</f>
        <v/>
      </c>
      <c r="H122" s="10" t="s">
        <v>12</v>
      </c>
      <c r="I122" s="11" t="s">
        <v>12</v>
      </c>
      <c r="J122" s="12"/>
    </row>
    <row r="123" spans="1:10" ht="60" customHeight="1">
      <c r="A123" s="6" t="s">
        <v>481</v>
      </c>
      <c r="B123" s="6" t="s">
        <v>79</v>
      </c>
      <c r="C123" s="6" t="s">
        <v>482</v>
      </c>
      <c r="D123" s="7" t="s">
        <v>483</v>
      </c>
      <c r="E123" s="8" t="s">
        <v>484</v>
      </c>
      <c r="F123" s="6" t="s">
        <v>485</v>
      </c>
      <c r="G123" s="9">
        <f>IF(A123=1,"_",IF(C123="_","???",C123))</f>
        <v/>
      </c>
      <c r="H123" s="10" t="s">
        <v>12</v>
      </c>
      <c r="I123" s="11" t="s">
        <v>12</v>
      </c>
      <c r="J123" s="12"/>
    </row>
    <row r="124" spans="1:10" ht="60" customHeight="1">
      <c r="A124" s="6" t="s">
        <v>486</v>
      </c>
      <c r="B124" s="6" t="s">
        <v>57</v>
      </c>
      <c r="C124" s="6" t="s">
        <v>110</v>
      </c>
      <c r="D124" s="7" t="s">
        <v>487</v>
      </c>
      <c r="E124" s="8" t="s">
        <v>488</v>
      </c>
      <c r="F124" s="6" t="s">
        <v>489</v>
      </c>
      <c r="G124" s="9">
        <f>IF(A124=1,"_",IF(C124="_","???",C124))</f>
        <v/>
      </c>
      <c r="H124" s="10" t="s">
        <v>12</v>
      </c>
      <c r="I124" s="11" t="s">
        <v>12</v>
      </c>
      <c r="J124" s="12"/>
    </row>
    <row r="125" spans="1:10" ht="60" customHeight="1">
      <c r="A125" s="6" t="s">
        <v>490</v>
      </c>
      <c r="B125" s="6" t="s">
        <v>16</v>
      </c>
      <c r="C125" s="6" t="s">
        <v>12</v>
      </c>
      <c r="D125" s="7" t="s">
        <v>491</v>
      </c>
      <c r="E125" s="8" t="s">
        <v>492</v>
      </c>
      <c r="F125" s="6" t="s">
        <v>493</v>
      </c>
      <c r="G125" s="9">
        <f>IF(A125=1,"_",IF(C125="_","???",C125))</f>
        <v/>
      </c>
      <c r="H125" s="10" t="s">
        <v>12</v>
      </c>
      <c r="I125" s="11" t="s">
        <v>12</v>
      </c>
      <c r="J125" s="12"/>
    </row>
    <row r="126" spans="1:10" ht="60" customHeight="1">
      <c r="A126" s="6" t="s">
        <v>494</v>
      </c>
      <c r="B126" s="6" t="s">
        <v>10</v>
      </c>
      <c r="C126" s="6" t="s">
        <v>12</v>
      </c>
      <c r="D126" s="7" t="s">
        <v>495</v>
      </c>
      <c r="E126" s="8" t="s">
        <v>496</v>
      </c>
      <c r="F126" s="6" t="s">
        <v>497</v>
      </c>
      <c r="G126" s="9">
        <f>IF(A126=1,"_",IF(C126="_","???",C126))</f>
        <v/>
      </c>
      <c r="H126" s="10" t="s">
        <v>12</v>
      </c>
      <c r="I126" s="11" t="s">
        <v>12</v>
      </c>
      <c r="J126" s="12"/>
    </row>
    <row r="127" spans="1:10" ht="60" customHeight="1">
      <c r="A127" s="6" t="s">
        <v>498</v>
      </c>
      <c r="B127" s="6" t="s">
        <v>10</v>
      </c>
      <c r="C127" s="6" t="s">
        <v>12</v>
      </c>
      <c r="D127" s="7" t="s">
        <v>207</v>
      </c>
      <c r="E127" s="8" t="s">
        <v>499</v>
      </c>
      <c r="F127" s="6" t="s">
        <v>500</v>
      </c>
      <c r="G127" s="9">
        <f>IF(A127=1,"_",IF(C127="_","???",C127))</f>
        <v/>
      </c>
      <c r="H127" s="10" t="s">
        <v>12</v>
      </c>
      <c r="I127" s="11" t="s">
        <v>12</v>
      </c>
      <c r="J127" s="12"/>
    </row>
    <row r="128" spans="1:10" ht="60" customHeight="1">
      <c r="A128" s="6" t="s">
        <v>501</v>
      </c>
      <c r="B128" s="6" t="s">
        <v>30</v>
      </c>
      <c r="C128" s="6" t="s">
        <v>187</v>
      </c>
      <c r="D128" s="7" t="s">
        <v>502</v>
      </c>
      <c r="E128" s="8" t="s">
        <v>503</v>
      </c>
      <c r="F128" s="6" t="s">
        <v>504</v>
      </c>
      <c r="G128" s="9">
        <f>IF(A128=1,"_",IF(C128="_","???",C128))</f>
        <v/>
      </c>
      <c r="H128" s="10" t="s">
        <v>12</v>
      </c>
      <c r="I128" s="11" t="s">
        <v>12</v>
      </c>
      <c r="J128" s="12"/>
    </row>
    <row r="129" spans="1:10" ht="60" customHeight="1">
      <c r="A129" s="6" t="s">
        <v>505</v>
      </c>
      <c r="B129" s="6" t="s">
        <v>11</v>
      </c>
      <c r="C129" s="6" t="s">
        <v>302</v>
      </c>
      <c r="D129" s="7" t="s">
        <v>506</v>
      </c>
      <c r="E129" s="8" t="s">
        <v>507</v>
      </c>
      <c r="F129" s="6" t="s">
        <v>508</v>
      </c>
      <c r="G129" s="9">
        <f>IF(A129=1,"_",IF(C129="_","???",C129))</f>
        <v/>
      </c>
      <c r="H129" s="10" t="s">
        <v>12</v>
      </c>
      <c r="I129" s="11" t="s">
        <v>12</v>
      </c>
      <c r="J129" s="12"/>
    </row>
    <row r="130" spans="1:10" ht="60" customHeight="1">
      <c r="A130" s="6" t="s">
        <v>509</v>
      </c>
      <c r="B130" s="6" t="s">
        <v>10</v>
      </c>
      <c r="C130" s="6" t="s">
        <v>12</v>
      </c>
      <c r="D130" s="7" t="s">
        <v>207</v>
      </c>
      <c r="E130" s="8" t="s">
        <v>510</v>
      </c>
      <c r="F130" s="6" t="s">
        <v>511</v>
      </c>
      <c r="G130" s="9">
        <f>IF(A130=1,"_",IF(C130="_","???",C130))</f>
        <v/>
      </c>
      <c r="H130" s="10" t="s">
        <v>12</v>
      </c>
      <c r="I130" s="11" t="s">
        <v>12</v>
      </c>
      <c r="J130" s="12"/>
    </row>
    <row r="131" spans="1:10" ht="60" customHeight="1">
      <c r="A131" s="6" t="s">
        <v>512</v>
      </c>
      <c r="B131" s="6" t="s">
        <v>10</v>
      </c>
      <c r="C131" s="6" t="s">
        <v>12</v>
      </c>
      <c r="D131" s="7" t="s">
        <v>513</v>
      </c>
      <c r="E131" s="8" t="s">
        <v>514</v>
      </c>
      <c r="F131" s="6" t="s">
        <v>515</v>
      </c>
      <c r="G131" s="9">
        <f>IF(A131=1,"_",IF(C131="_","???",C131))</f>
        <v/>
      </c>
      <c r="H131" s="10" t="s">
        <v>12</v>
      </c>
      <c r="I131" s="11" t="s">
        <v>12</v>
      </c>
      <c r="J131" s="12"/>
    </row>
    <row r="132" spans="1:10" ht="60" customHeight="1">
      <c r="A132" s="6" t="s">
        <v>516</v>
      </c>
      <c r="B132" s="6" t="s">
        <v>11</v>
      </c>
      <c r="C132" s="6" t="s">
        <v>12</v>
      </c>
      <c r="D132" s="7" t="s">
        <v>491</v>
      </c>
      <c r="E132" s="8" t="s">
        <v>517</v>
      </c>
      <c r="F132" s="6" t="s">
        <v>518</v>
      </c>
      <c r="G132" s="9">
        <f>IF(A132=1,"_",IF(C132="_","???",C132))</f>
        <v/>
      </c>
      <c r="H132" s="10" t="s">
        <v>12</v>
      </c>
      <c r="I132" s="11" t="s">
        <v>12</v>
      </c>
      <c r="J132" s="12"/>
    </row>
    <row r="133" spans="1:10" ht="60" customHeight="1">
      <c r="A133" s="6" t="s">
        <v>519</v>
      </c>
      <c r="B133" s="6" t="s">
        <v>16</v>
      </c>
      <c r="C133" s="6" t="s">
        <v>520</v>
      </c>
      <c r="D133" s="7" t="s">
        <v>521</v>
      </c>
      <c r="E133" s="8" t="s">
        <v>522</v>
      </c>
      <c r="F133" s="6" t="s">
        <v>523</v>
      </c>
      <c r="G133" s="9">
        <f>IF(A133=1,"_",IF(C133="_","???",C133))</f>
        <v/>
      </c>
      <c r="H133" s="10" t="s">
        <v>12</v>
      </c>
      <c r="I133" s="11" t="s">
        <v>12</v>
      </c>
      <c r="J133" s="12"/>
    </row>
    <row r="134" spans="1:10" ht="60" customHeight="1">
      <c r="A134" s="6" t="s">
        <v>524</v>
      </c>
      <c r="B134" s="6" t="s">
        <v>65</v>
      </c>
      <c r="C134" s="6" t="s">
        <v>302</v>
      </c>
      <c r="D134" s="7" t="s">
        <v>227</v>
      </c>
      <c r="E134" s="8" t="s">
        <v>525</v>
      </c>
      <c r="F134" s="6" t="s">
        <v>526</v>
      </c>
      <c r="G134" s="9">
        <f>IF(A134=1,"_",IF(C134="_","???",C134))</f>
        <v/>
      </c>
      <c r="H134" s="10" t="s">
        <v>12</v>
      </c>
      <c r="I134" s="11" t="s">
        <v>12</v>
      </c>
      <c r="J134" s="12"/>
    </row>
    <row r="135" spans="1:10" ht="60" customHeight="1">
      <c r="A135" s="6" t="s">
        <v>527</v>
      </c>
      <c r="B135" s="6" t="s">
        <v>61</v>
      </c>
      <c r="C135" s="6" t="s">
        <v>135</v>
      </c>
      <c r="D135" s="7" t="s">
        <v>202</v>
      </c>
      <c r="E135" s="8" t="s">
        <v>528</v>
      </c>
      <c r="F135" s="6" t="s">
        <v>529</v>
      </c>
      <c r="G135" s="9">
        <f>IF(A135=1,"_",IF(C135="_","???",C135))</f>
        <v/>
      </c>
      <c r="H135" s="10" t="s">
        <v>12</v>
      </c>
      <c r="I135" s="11" t="s">
        <v>12</v>
      </c>
      <c r="J135" s="12"/>
    </row>
    <row r="136" spans="1:10" ht="60" customHeight="1">
      <c r="A136" s="6" t="s">
        <v>530</v>
      </c>
      <c r="B136" s="6" t="s">
        <v>16</v>
      </c>
      <c r="C136" s="6" t="s">
        <v>12</v>
      </c>
      <c r="D136" s="7" t="s">
        <v>62</v>
      </c>
      <c r="E136" s="8" t="s">
        <v>531</v>
      </c>
      <c r="F136" s="6" t="s">
        <v>532</v>
      </c>
      <c r="G136" s="9">
        <f>IF(A136=1,"_",IF(C136="_","???",C136))</f>
        <v/>
      </c>
      <c r="H136" s="10" t="s">
        <v>12</v>
      </c>
      <c r="I136" s="11" t="s">
        <v>12</v>
      </c>
      <c r="J136" s="12"/>
    </row>
    <row r="137" spans="1:10" ht="60" customHeight="1">
      <c r="A137" s="6" t="s">
        <v>533</v>
      </c>
      <c r="B137" s="6" t="s">
        <v>91</v>
      </c>
      <c r="C137" s="6" t="s">
        <v>152</v>
      </c>
      <c r="D137" s="7" t="s">
        <v>21</v>
      </c>
      <c r="E137" s="8" t="s">
        <v>534</v>
      </c>
      <c r="F137" s="6" t="s">
        <v>535</v>
      </c>
      <c r="G137" s="9">
        <f>IF(A137=1,"_",IF(C137="_","???",C137))</f>
        <v/>
      </c>
      <c r="H137" s="10" t="s">
        <v>12</v>
      </c>
      <c r="I137" s="11" t="s">
        <v>12</v>
      </c>
      <c r="J137" s="12"/>
    </row>
    <row r="138" spans="1:10" ht="60" customHeight="1">
      <c r="A138" s="6" t="s">
        <v>536</v>
      </c>
      <c r="B138" s="6" t="s">
        <v>83</v>
      </c>
      <c r="C138" s="6" t="s">
        <v>537</v>
      </c>
      <c r="D138" s="7" t="s">
        <v>411</v>
      </c>
      <c r="E138" s="8" t="s">
        <v>538</v>
      </c>
      <c r="F138" s="6" t="s">
        <v>539</v>
      </c>
      <c r="G138" s="9">
        <f>IF(A138=1,"_",IF(C138="_","???",C138))</f>
        <v/>
      </c>
      <c r="H138" s="10" t="s">
        <v>12</v>
      </c>
      <c r="I138" s="11" t="s">
        <v>12</v>
      </c>
      <c r="J138" s="12"/>
    </row>
    <row r="139" spans="1:10" ht="60" customHeight="1">
      <c r="A139" s="6" t="s">
        <v>540</v>
      </c>
      <c r="B139" s="6" t="s">
        <v>30</v>
      </c>
      <c r="C139" s="6" t="s">
        <v>152</v>
      </c>
      <c r="D139" s="7" t="s">
        <v>202</v>
      </c>
      <c r="E139" s="8" t="s">
        <v>541</v>
      </c>
      <c r="F139" s="6" t="s">
        <v>542</v>
      </c>
      <c r="G139" s="9">
        <f>IF(A139=1,"_",IF(C139="_","???",C139))</f>
        <v/>
      </c>
      <c r="H139" s="10" t="s">
        <v>12</v>
      </c>
      <c r="I139" s="11" t="s">
        <v>12</v>
      </c>
      <c r="J139" s="12"/>
    </row>
    <row r="140" spans="1:10" ht="60" customHeight="1">
      <c r="A140" s="6" t="s">
        <v>543</v>
      </c>
      <c r="B140" s="6" t="s">
        <v>36</v>
      </c>
      <c r="C140" s="6" t="s">
        <v>152</v>
      </c>
      <c r="D140" s="7" t="s">
        <v>21</v>
      </c>
      <c r="E140" s="8" t="s">
        <v>544</v>
      </c>
      <c r="F140" s="6" t="s">
        <v>545</v>
      </c>
      <c r="G140" s="9">
        <f>IF(A140=1,"_",IF(C140="_","???",C140))</f>
        <v/>
      </c>
      <c r="H140" s="10" t="s">
        <v>12</v>
      </c>
      <c r="I140" s="11" t="s">
        <v>12</v>
      </c>
      <c r="J140" s="12"/>
    </row>
    <row r="141" spans="1:10" ht="60" customHeight="1">
      <c r="A141" s="6" t="s">
        <v>546</v>
      </c>
      <c r="B141" s="6" t="s">
        <v>20</v>
      </c>
      <c r="C141" s="6" t="s">
        <v>12</v>
      </c>
      <c r="D141" s="7" t="s">
        <v>50</v>
      </c>
      <c r="E141" s="8" t="s">
        <v>547</v>
      </c>
      <c r="F141" s="6" t="s">
        <v>548</v>
      </c>
      <c r="G141" s="9">
        <f>IF(A141=1,"_",IF(C141="_","???",C141))</f>
        <v/>
      </c>
      <c r="H141" s="10" t="s">
        <v>12</v>
      </c>
      <c r="I141" s="11" t="s">
        <v>12</v>
      </c>
      <c r="J141" s="12"/>
    </row>
    <row r="142" spans="1:10" ht="60" customHeight="1">
      <c r="A142" s="6" t="s">
        <v>549</v>
      </c>
      <c r="B142" s="6" t="s">
        <v>57</v>
      </c>
      <c r="C142" s="6" t="s">
        <v>550</v>
      </c>
      <c r="D142" s="7" t="s">
        <v>551</v>
      </c>
      <c r="E142" s="8" t="s">
        <v>552</v>
      </c>
      <c r="F142" s="6" t="s">
        <v>553</v>
      </c>
      <c r="G142" s="9">
        <f>IF(A142=1,"_",IF(C142="_","???",C142))</f>
        <v/>
      </c>
      <c r="H142" s="10" t="s">
        <v>12</v>
      </c>
      <c r="I142" s="11" t="s">
        <v>12</v>
      </c>
      <c r="J142" s="12"/>
    </row>
    <row r="143" spans="1:10" ht="60" customHeight="1">
      <c r="A143" s="6" t="s">
        <v>554</v>
      </c>
      <c r="B143" s="6" t="s">
        <v>16</v>
      </c>
      <c r="C143" s="6" t="s">
        <v>12</v>
      </c>
      <c r="D143" s="7" t="s">
        <v>555</v>
      </c>
      <c r="E143" s="8" t="s">
        <v>556</v>
      </c>
      <c r="F143" s="6" t="s">
        <v>557</v>
      </c>
      <c r="G143" s="9">
        <f>IF(A143=1,"_",IF(C143="_","???",C143))</f>
        <v/>
      </c>
      <c r="H143" s="10" t="s">
        <v>12</v>
      </c>
      <c r="I143" s="11" t="s">
        <v>12</v>
      </c>
      <c r="J143" s="12"/>
    </row>
    <row r="144" spans="1:10" ht="60" customHeight="1">
      <c r="A144" s="6" t="s">
        <v>558</v>
      </c>
      <c r="B144" s="6" t="s">
        <v>31</v>
      </c>
      <c r="C144" s="6" t="s">
        <v>12</v>
      </c>
      <c r="D144" s="7" t="s">
        <v>559</v>
      </c>
      <c r="E144" s="8" t="s">
        <v>560</v>
      </c>
      <c r="F144" s="6" t="s">
        <v>561</v>
      </c>
      <c r="G144" s="9">
        <f>IF(A144=1,"_",IF(C144="_","???",C144))</f>
        <v/>
      </c>
      <c r="H144" s="10" t="s">
        <v>12</v>
      </c>
      <c r="I144" s="11" t="s">
        <v>12</v>
      </c>
      <c r="J144" s="12"/>
    </row>
    <row r="145" spans="1:10" ht="60" customHeight="1">
      <c r="A145" s="6" t="s">
        <v>562</v>
      </c>
      <c r="B145" s="6" t="s">
        <v>16</v>
      </c>
      <c r="C145" s="6" t="s">
        <v>12</v>
      </c>
      <c r="D145" s="7" t="s">
        <v>513</v>
      </c>
      <c r="E145" s="8" t="s">
        <v>563</v>
      </c>
      <c r="F145" s="6" t="s">
        <v>564</v>
      </c>
      <c r="G145" s="9">
        <f>IF(A145=1,"_",IF(C145="_","???",C145))</f>
        <v/>
      </c>
      <c r="H145" s="10" t="s">
        <v>12</v>
      </c>
      <c r="I145" s="11" t="s">
        <v>12</v>
      </c>
      <c r="J145" s="12"/>
    </row>
    <row r="146" spans="1:10" ht="60" customHeight="1">
      <c r="A146" s="6" t="s">
        <v>565</v>
      </c>
      <c r="B146" s="6" t="s">
        <v>24</v>
      </c>
      <c r="C146" s="6" t="s">
        <v>97</v>
      </c>
      <c r="D146" s="7" t="s">
        <v>274</v>
      </c>
      <c r="E146" s="8" t="s">
        <v>566</v>
      </c>
      <c r="F146" s="6" t="s">
        <v>567</v>
      </c>
      <c r="G146" s="9">
        <f>IF(A146=1,"_",IF(C146="_","???",C146))</f>
        <v/>
      </c>
      <c r="H146" s="10" t="s">
        <v>12</v>
      </c>
      <c r="I146" s="11" t="s">
        <v>12</v>
      </c>
      <c r="J146" s="12"/>
    </row>
    <row r="147" spans="1:10" ht="60" customHeight="1">
      <c r="A147" s="6" t="s">
        <v>568</v>
      </c>
      <c r="B147" s="6" t="s">
        <v>10</v>
      </c>
      <c r="C147" s="6" t="s">
        <v>12</v>
      </c>
      <c r="D147" s="7" t="s">
        <v>569</v>
      </c>
      <c r="E147" s="8" t="s">
        <v>570</v>
      </c>
      <c r="F147" s="6" t="s">
        <v>571</v>
      </c>
      <c r="G147" s="9">
        <f>IF(A147=1,"_",IF(C147="_","???",C147))</f>
        <v/>
      </c>
      <c r="H147" s="10" t="s">
        <v>12</v>
      </c>
      <c r="I147" s="11" t="s">
        <v>12</v>
      </c>
      <c r="J147" s="12"/>
    </row>
    <row r="148" spans="1:10" ht="60" customHeight="1">
      <c r="A148" s="6" t="s">
        <v>572</v>
      </c>
      <c r="B148" s="6" t="s">
        <v>16</v>
      </c>
      <c r="C148" s="6" t="s">
        <v>41</v>
      </c>
      <c r="D148" s="7" t="s">
        <v>202</v>
      </c>
      <c r="E148" s="8" t="s">
        <v>573</v>
      </c>
      <c r="F148" s="6" t="s">
        <v>574</v>
      </c>
      <c r="G148" s="9">
        <f>IF(A148=1,"_",IF(C148="_","???",C148))</f>
        <v/>
      </c>
      <c r="H148" s="10" t="s">
        <v>12</v>
      </c>
      <c r="I148" s="11" t="s">
        <v>12</v>
      </c>
      <c r="J148" s="12"/>
    </row>
    <row r="149" spans="1:10" ht="60" customHeight="1">
      <c r="A149" s="6" t="s">
        <v>575</v>
      </c>
      <c r="B149" s="6" t="s">
        <v>83</v>
      </c>
      <c r="C149" s="6" t="s">
        <v>12</v>
      </c>
      <c r="D149" s="7" t="s">
        <v>362</v>
      </c>
      <c r="E149" s="8" t="s">
        <v>576</v>
      </c>
      <c r="F149" s="6" t="s">
        <v>577</v>
      </c>
      <c r="G149" s="9">
        <f>IF(A149=1,"_",IF(C149="_","???",C149))</f>
        <v/>
      </c>
      <c r="H149" s="10" t="s">
        <v>12</v>
      </c>
      <c r="I149" s="11" t="s">
        <v>12</v>
      </c>
      <c r="J149" s="12"/>
    </row>
    <row r="150" spans="1:10" ht="60" customHeight="1">
      <c r="A150" s="6" t="s">
        <v>578</v>
      </c>
      <c r="B150" s="6" t="s">
        <v>10</v>
      </c>
      <c r="C150" s="6" t="s">
        <v>12</v>
      </c>
      <c r="D150" s="7" t="s">
        <v>579</v>
      </c>
      <c r="E150" s="8" t="s">
        <v>580</v>
      </c>
      <c r="F150" s="6" t="s">
        <v>581</v>
      </c>
      <c r="G150" s="9">
        <f>IF(A150=1,"_",IF(C150="_","???",C150))</f>
        <v/>
      </c>
      <c r="H150" s="10" t="s">
        <v>12</v>
      </c>
      <c r="I150" s="11" t="s">
        <v>12</v>
      </c>
      <c r="J150" s="12"/>
    </row>
    <row r="151" spans="1:10" ht="60" customHeight="1">
      <c r="A151" s="6" t="s">
        <v>582</v>
      </c>
      <c r="B151" s="6" t="s">
        <v>16</v>
      </c>
      <c r="C151" s="6" t="s">
        <v>12</v>
      </c>
      <c r="D151" s="7" t="s">
        <v>583</v>
      </c>
      <c r="E151" s="8" t="s">
        <v>584</v>
      </c>
      <c r="F151" s="6" t="s">
        <v>585</v>
      </c>
      <c r="G151" s="9">
        <f>IF(A151=1,"_",IF(C151="_","???",C151))</f>
        <v/>
      </c>
      <c r="H151" s="10" t="s">
        <v>12</v>
      </c>
      <c r="I151" s="11" t="s">
        <v>12</v>
      </c>
      <c r="J151" s="12"/>
    </row>
    <row r="152" spans="1:10" ht="60" customHeight="1">
      <c r="A152" s="6" t="s">
        <v>586</v>
      </c>
      <c r="B152" s="6" t="s">
        <v>10</v>
      </c>
      <c r="C152" s="6" t="s">
        <v>12</v>
      </c>
      <c r="D152" s="7" t="s">
        <v>579</v>
      </c>
      <c r="E152" s="8" t="s">
        <v>580</v>
      </c>
      <c r="F152" s="6" t="s">
        <v>587</v>
      </c>
      <c r="G152" s="9">
        <f>IF(A152=1,"_",IF(C152="_","???",C152))</f>
        <v/>
      </c>
      <c r="H152" s="10" t="s">
        <v>12</v>
      </c>
      <c r="I152" s="11" t="s">
        <v>12</v>
      </c>
      <c r="J152" s="12"/>
    </row>
    <row r="153" spans="1:10" ht="60" customHeight="1">
      <c r="A153" s="6" t="s">
        <v>588</v>
      </c>
      <c r="B153" s="6" t="s">
        <v>10</v>
      </c>
      <c r="C153" s="6" t="s">
        <v>12</v>
      </c>
      <c r="D153" s="7" t="s">
        <v>207</v>
      </c>
      <c r="E153" s="8" t="s">
        <v>589</v>
      </c>
      <c r="F153" s="6" t="s">
        <v>590</v>
      </c>
      <c r="G153" s="9">
        <f>IF(A153=1,"_",IF(C153="_","???",C153))</f>
        <v/>
      </c>
      <c r="H153" s="10" t="s">
        <v>12</v>
      </c>
      <c r="I153" s="11" t="s">
        <v>12</v>
      </c>
      <c r="J153" s="12"/>
    </row>
    <row r="154" spans="1:10" ht="60" customHeight="1">
      <c r="A154" s="6" t="s">
        <v>591</v>
      </c>
      <c r="B154" s="6" t="s">
        <v>10</v>
      </c>
      <c r="C154" s="6" t="s">
        <v>12</v>
      </c>
      <c r="D154" s="7" t="s">
        <v>579</v>
      </c>
      <c r="E154" s="8" t="s">
        <v>592</v>
      </c>
      <c r="F154" s="6" t="s">
        <v>593</v>
      </c>
      <c r="G154" s="9">
        <f>IF(A154=1,"_",IF(C154="_","???",C154))</f>
        <v/>
      </c>
      <c r="H154" s="10" t="s">
        <v>12</v>
      </c>
      <c r="I154" s="11" t="s">
        <v>12</v>
      </c>
      <c r="J154" s="12"/>
    </row>
    <row r="155" spans="1:10" ht="60" customHeight="1">
      <c r="A155" s="6" t="s">
        <v>594</v>
      </c>
      <c r="B155" s="6" t="s">
        <v>65</v>
      </c>
      <c r="C155" s="6" t="s">
        <v>152</v>
      </c>
      <c r="D155" s="7" t="s">
        <v>595</v>
      </c>
      <c r="E155" s="8" t="s">
        <v>596</v>
      </c>
      <c r="F155" s="6" t="s">
        <v>597</v>
      </c>
      <c r="G155" s="9">
        <f>IF(A155=1,"_",IF(C155="_","???",C155))</f>
        <v/>
      </c>
      <c r="H155" s="10" t="s">
        <v>12</v>
      </c>
      <c r="I155" s="11" t="s">
        <v>12</v>
      </c>
      <c r="J155" s="12"/>
    </row>
    <row r="156" spans="1:10" ht="60" customHeight="1">
      <c r="A156" s="6" t="s">
        <v>598</v>
      </c>
      <c r="B156" s="6" t="s">
        <v>10</v>
      </c>
      <c r="C156" s="6" t="s">
        <v>12</v>
      </c>
      <c r="D156" s="7" t="s">
        <v>599</v>
      </c>
      <c r="E156" s="8" t="s">
        <v>600</v>
      </c>
      <c r="F156" s="6" t="s">
        <v>601</v>
      </c>
      <c r="G156" s="9">
        <f>IF(A156=1,"_",IF(C156="_","???",C156))</f>
        <v/>
      </c>
      <c r="H156" s="10" t="s">
        <v>12</v>
      </c>
      <c r="I156" s="11" t="s">
        <v>12</v>
      </c>
      <c r="J156" s="12"/>
    </row>
    <row r="157" spans="1:10" ht="60" customHeight="1">
      <c r="A157" s="6" t="s">
        <v>602</v>
      </c>
      <c r="B157" s="6" t="s">
        <v>10</v>
      </c>
      <c r="C157" s="6" t="s">
        <v>12</v>
      </c>
      <c r="D157" s="7" t="s">
        <v>603</v>
      </c>
      <c r="E157" s="8" t="s">
        <v>604</v>
      </c>
      <c r="F157" s="6" t="s">
        <v>605</v>
      </c>
      <c r="G157" s="9">
        <f>IF(A157=1,"_",IF(C157="_","???",C157))</f>
        <v/>
      </c>
      <c r="H157" s="10" t="s">
        <v>12</v>
      </c>
      <c r="I157" s="11" t="s">
        <v>12</v>
      </c>
      <c r="J157" s="12"/>
    </row>
    <row r="158" spans="1:10" ht="60" customHeight="1">
      <c r="A158" s="6" t="s">
        <v>606</v>
      </c>
      <c r="B158" s="6" t="s">
        <v>10</v>
      </c>
      <c r="C158" s="6" t="s">
        <v>12</v>
      </c>
      <c r="D158" s="7" t="s">
        <v>607</v>
      </c>
      <c r="E158" s="8" t="s">
        <v>608</v>
      </c>
      <c r="F158" s="6" t="s">
        <v>609</v>
      </c>
      <c r="G158" s="9">
        <f>IF(A158=1,"_",IF(C158="_","???",C158))</f>
        <v/>
      </c>
      <c r="H158" s="10" t="s">
        <v>12</v>
      </c>
      <c r="I158" s="11" t="s">
        <v>12</v>
      </c>
      <c r="J158" s="12"/>
    </row>
    <row r="159" spans="1:10" ht="60" customHeight="1">
      <c r="A159" s="6" t="s">
        <v>610</v>
      </c>
      <c r="B159" s="6" t="s">
        <v>10</v>
      </c>
      <c r="C159" s="6" t="s">
        <v>12</v>
      </c>
      <c r="D159" s="7" t="s">
        <v>54</v>
      </c>
      <c r="E159" s="8" t="s">
        <v>611</v>
      </c>
      <c r="F159" s="6" t="s">
        <v>612</v>
      </c>
      <c r="G159" s="9">
        <f>IF(A159=1,"_",IF(C159="_","???",C159))</f>
        <v/>
      </c>
      <c r="H159" s="10" t="s">
        <v>12</v>
      </c>
      <c r="I159" s="11" t="s">
        <v>12</v>
      </c>
      <c r="J159" s="12"/>
    </row>
    <row r="160" spans="1:10" ht="60" customHeight="1">
      <c r="A160" s="6" t="s">
        <v>613</v>
      </c>
      <c r="B160" s="6" t="s">
        <v>16</v>
      </c>
      <c r="C160" s="6" t="s">
        <v>12</v>
      </c>
      <c r="D160" s="7" t="s">
        <v>614</v>
      </c>
      <c r="E160" s="8" t="s">
        <v>615</v>
      </c>
      <c r="F160" s="6" t="s">
        <v>616</v>
      </c>
      <c r="G160" s="9">
        <f>IF(A160=1,"_",IF(C160="_","???",C160))</f>
        <v/>
      </c>
      <c r="H160" s="10" t="s">
        <v>12</v>
      </c>
      <c r="I160" s="11" t="s">
        <v>12</v>
      </c>
      <c r="J160" s="12"/>
    </row>
    <row r="161" spans="1:10" ht="60" customHeight="1">
      <c r="A161" s="6" t="s">
        <v>617</v>
      </c>
      <c r="B161" s="6" t="s">
        <v>20</v>
      </c>
      <c r="C161" s="6" t="s">
        <v>152</v>
      </c>
      <c r="D161" s="7" t="s">
        <v>618</v>
      </c>
      <c r="E161" s="8" t="s">
        <v>619</v>
      </c>
      <c r="F161" s="6" t="s">
        <v>620</v>
      </c>
      <c r="G161" s="9">
        <f>IF(A161=1,"_",IF(C161="_","???",C161))</f>
        <v/>
      </c>
      <c r="H161" s="10" t="s">
        <v>12</v>
      </c>
      <c r="I161" s="11" t="s">
        <v>12</v>
      </c>
      <c r="J161" s="12"/>
    </row>
    <row r="162" spans="1:10" ht="60" customHeight="1">
      <c r="A162" s="6" t="s">
        <v>621</v>
      </c>
      <c r="B162" s="6" t="s">
        <v>10</v>
      </c>
      <c r="C162" s="6" t="s">
        <v>12</v>
      </c>
      <c r="D162" s="7" t="s">
        <v>622</v>
      </c>
      <c r="E162" s="8" t="s">
        <v>622</v>
      </c>
      <c r="F162" s="6" t="s">
        <v>623</v>
      </c>
      <c r="G162" s="9">
        <f>IF(A162=1,"_",IF(C162="_","???",C162))</f>
        <v/>
      </c>
      <c r="H162" s="10" t="s">
        <v>12</v>
      </c>
      <c r="I162" s="11" t="s">
        <v>12</v>
      </c>
      <c r="J162" s="12"/>
    </row>
    <row r="163" spans="1:10" ht="60" customHeight="1">
      <c r="A163" s="6" t="s">
        <v>624</v>
      </c>
      <c r="B163" s="6" t="s">
        <v>61</v>
      </c>
      <c r="C163" s="6" t="s">
        <v>41</v>
      </c>
      <c r="D163" s="7" t="s">
        <v>625</v>
      </c>
      <c r="E163" s="8" t="s">
        <v>626</v>
      </c>
      <c r="F163" s="6" t="s">
        <v>627</v>
      </c>
      <c r="G163" s="9">
        <f>IF(A163=1,"_",IF(C163="_","???",C163))</f>
        <v/>
      </c>
      <c r="H163" s="10" t="s">
        <v>12</v>
      </c>
      <c r="I163" s="11" t="s">
        <v>12</v>
      </c>
      <c r="J163" s="12"/>
    </row>
    <row r="164" spans="1:10" ht="60" customHeight="1">
      <c r="A164" s="6" t="s">
        <v>628</v>
      </c>
      <c r="B164" s="6" t="s">
        <v>10</v>
      </c>
      <c r="C164" s="6" t="s">
        <v>12</v>
      </c>
      <c r="D164" s="7" t="s">
        <v>629</v>
      </c>
      <c r="E164" s="8" t="s">
        <v>630</v>
      </c>
      <c r="F164" s="6" t="s">
        <v>631</v>
      </c>
      <c r="G164" s="9">
        <f>IF(A164=1,"_",IF(C164="_","???",C164))</f>
        <v/>
      </c>
      <c r="H164" s="10" t="s">
        <v>12</v>
      </c>
      <c r="I164" s="11" t="s">
        <v>12</v>
      </c>
      <c r="J164" s="12"/>
    </row>
    <row r="165" spans="1:10" ht="60" customHeight="1">
      <c r="A165" s="6" t="s">
        <v>632</v>
      </c>
      <c r="B165" s="6" t="s">
        <v>30</v>
      </c>
      <c r="C165" s="6" t="s">
        <v>12</v>
      </c>
      <c r="D165" s="7" t="s">
        <v>21</v>
      </c>
      <c r="E165" s="8" t="s">
        <v>633</v>
      </c>
      <c r="F165" s="6" t="s">
        <v>634</v>
      </c>
      <c r="G165" s="9">
        <f>IF(A165=1,"_",IF(C165="_","???",C165))</f>
        <v/>
      </c>
      <c r="H165" s="10" t="s">
        <v>12</v>
      </c>
      <c r="I165" s="11" t="s">
        <v>12</v>
      </c>
      <c r="J165" s="12"/>
    </row>
    <row r="166" spans="1:10" ht="60" customHeight="1">
      <c r="A166" s="6" t="s">
        <v>635</v>
      </c>
      <c r="B166" s="6" t="s">
        <v>61</v>
      </c>
      <c r="C166" s="6" t="s">
        <v>12</v>
      </c>
      <c r="D166" s="7" t="s">
        <v>223</v>
      </c>
      <c r="E166" s="8" t="s">
        <v>636</v>
      </c>
      <c r="F166" s="6" t="s">
        <v>637</v>
      </c>
      <c r="G166" s="9">
        <f>IF(A166=1,"_",IF(C166="_","???",C166))</f>
        <v/>
      </c>
      <c r="H166" s="10" t="s">
        <v>12</v>
      </c>
      <c r="I166" s="11" t="s">
        <v>12</v>
      </c>
      <c r="J166" s="12"/>
    </row>
    <row r="167" spans="1:10" ht="60" customHeight="1">
      <c r="A167" s="6" t="s">
        <v>638</v>
      </c>
      <c r="B167" s="6" t="s">
        <v>16</v>
      </c>
      <c r="C167" s="6" t="s">
        <v>12</v>
      </c>
      <c r="D167" s="7" t="s">
        <v>639</v>
      </c>
      <c r="E167" s="8" t="s">
        <v>640</v>
      </c>
      <c r="F167" s="6" t="s">
        <v>641</v>
      </c>
      <c r="G167" s="9">
        <f>IF(A167=1,"_",IF(C167="_","???",C167))</f>
        <v/>
      </c>
      <c r="H167" s="10" t="s">
        <v>12</v>
      </c>
      <c r="I167" s="11" t="s">
        <v>12</v>
      </c>
      <c r="J167" s="12"/>
    </row>
    <row r="168" spans="1:10" ht="60" customHeight="1">
      <c r="A168" s="6" t="s">
        <v>642</v>
      </c>
      <c r="B168" s="6" t="s">
        <v>24</v>
      </c>
      <c r="C168" s="6" t="s">
        <v>12</v>
      </c>
      <c r="D168" s="7" t="s">
        <v>643</v>
      </c>
      <c r="E168" s="8" t="s">
        <v>644</v>
      </c>
      <c r="F168" s="6" t="s">
        <v>645</v>
      </c>
      <c r="G168" s="9">
        <f>IF(A168=1,"_",IF(C168="_","???",C168))</f>
        <v/>
      </c>
      <c r="H168" s="10" t="s">
        <v>12</v>
      </c>
      <c r="I168" s="11" t="s">
        <v>12</v>
      </c>
      <c r="J168" s="12"/>
    </row>
    <row r="169" spans="1:10" ht="60" customHeight="1">
      <c r="A169" s="6" t="s">
        <v>646</v>
      </c>
      <c r="B169" s="6" t="s">
        <v>57</v>
      </c>
      <c r="C169" s="6" t="s">
        <v>12</v>
      </c>
      <c r="D169" s="7" t="s">
        <v>37</v>
      </c>
      <c r="E169" s="8" t="s">
        <v>647</v>
      </c>
      <c r="F169" s="6" t="s">
        <v>648</v>
      </c>
      <c r="G169" s="9">
        <f>IF(A169=1,"_",IF(C169="_","???",C169))</f>
        <v/>
      </c>
      <c r="H169" s="10" t="s">
        <v>12</v>
      </c>
      <c r="I169" s="11" t="s">
        <v>12</v>
      </c>
      <c r="J169" s="12"/>
    </row>
    <row r="170" spans="1:10" ht="60" customHeight="1">
      <c r="A170" s="6" t="s">
        <v>649</v>
      </c>
      <c r="B170" s="6" t="s">
        <v>57</v>
      </c>
      <c r="C170" s="6" t="s">
        <v>187</v>
      </c>
      <c r="D170" s="7" t="s">
        <v>650</v>
      </c>
      <c r="E170" s="8" t="s">
        <v>651</v>
      </c>
      <c r="F170" s="6" t="s">
        <v>652</v>
      </c>
      <c r="G170" s="9">
        <f>IF(A170=1,"_",IF(C170="_","???",C170))</f>
        <v/>
      </c>
      <c r="H170" s="10" t="s">
        <v>12</v>
      </c>
      <c r="I170" s="11" t="s">
        <v>12</v>
      </c>
      <c r="J170" s="12"/>
    </row>
    <row r="171" spans="1:10" ht="60" customHeight="1">
      <c r="A171" s="6" t="s">
        <v>653</v>
      </c>
      <c r="B171" s="6" t="s">
        <v>10</v>
      </c>
      <c r="C171" s="6" t="s">
        <v>12</v>
      </c>
      <c r="D171" s="7" t="s">
        <v>423</v>
      </c>
      <c r="E171" s="8" t="s">
        <v>654</v>
      </c>
      <c r="F171" s="6" t="s">
        <v>655</v>
      </c>
      <c r="G171" s="9">
        <f>IF(A171=1,"_",IF(C171="_","???",C171))</f>
        <v/>
      </c>
      <c r="H171" s="10" t="s">
        <v>12</v>
      </c>
      <c r="I171" s="11" t="s">
        <v>12</v>
      </c>
      <c r="J171" s="12"/>
    </row>
    <row r="172" spans="1:10" ht="60" customHeight="1">
      <c r="A172" s="6" t="s">
        <v>656</v>
      </c>
      <c r="B172" s="6" t="s">
        <v>10</v>
      </c>
      <c r="C172" s="6" t="s">
        <v>12</v>
      </c>
      <c r="D172" s="7" t="s">
        <v>657</v>
      </c>
      <c r="E172" s="8" t="s">
        <v>658</v>
      </c>
      <c r="F172" s="6" t="s">
        <v>659</v>
      </c>
      <c r="G172" s="9">
        <f>IF(A172=1,"_",IF(C172="_","???",C172))</f>
        <v/>
      </c>
      <c r="H172" s="10" t="s">
        <v>12</v>
      </c>
      <c r="I172" s="11" t="s">
        <v>12</v>
      </c>
      <c r="J172" s="12"/>
    </row>
    <row r="173" spans="1:10" ht="60" customHeight="1">
      <c r="A173" s="6" t="s">
        <v>660</v>
      </c>
      <c r="B173" s="6" t="s">
        <v>36</v>
      </c>
      <c r="C173" s="6" t="s">
        <v>12</v>
      </c>
      <c r="D173" s="7" t="s">
        <v>661</v>
      </c>
      <c r="E173" s="8" t="s">
        <v>662</v>
      </c>
      <c r="F173" s="6" t="s">
        <v>663</v>
      </c>
      <c r="G173" s="9">
        <f>IF(A173=1,"_",IF(C173="_","???",C173))</f>
        <v/>
      </c>
      <c r="H173" s="10" t="s">
        <v>12</v>
      </c>
      <c r="I173" s="11" t="s">
        <v>12</v>
      </c>
      <c r="J173" s="12"/>
    </row>
    <row r="174" spans="1:10" ht="60" customHeight="1">
      <c r="A174" s="6" t="s">
        <v>664</v>
      </c>
      <c r="B174" s="6" t="s">
        <v>11</v>
      </c>
      <c r="C174" s="6" t="s">
        <v>12</v>
      </c>
      <c r="D174" s="7" t="s">
        <v>665</v>
      </c>
      <c r="E174" s="8" t="s">
        <v>666</v>
      </c>
      <c r="F174" s="6" t="s">
        <v>667</v>
      </c>
      <c r="G174" s="9">
        <f>IF(A174=1,"_",IF(C174="_","???",C174))</f>
        <v/>
      </c>
      <c r="H174" s="10" t="s">
        <v>12</v>
      </c>
      <c r="I174" s="11" t="s">
        <v>12</v>
      </c>
      <c r="J174" s="12"/>
    </row>
    <row r="175" spans="1:10" ht="60" customHeight="1">
      <c r="A175" s="6" t="s">
        <v>668</v>
      </c>
      <c r="B175" s="6" t="s">
        <v>24</v>
      </c>
      <c r="C175" s="6" t="s">
        <v>12</v>
      </c>
      <c r="D175" s="7" t="s">
        <v>148</v>
      </c>
      <c r="E175" s="8" t="s">
        <v>669</v>
      </c>
      <c r="F175" s="6" t="s">
        <v>670</v>
      </c>
      <c r="G175" s="9">
        <f>IF(A175=1,"_",IF(C175="_","???",C175))</f>
        <v/>
      </c>
      <c r="H175" s="10" t="s">
        <v>12</v>
      </c>
      <c r="I175" s="11" t="s">
        <v>12</v>
      </c>
      <c r="J175" s="12"/>
    </row>
    <row r="176" spans="1:10" ht="60" customHeight="1">
      <c r="A176" s="6" t="s">
        <v>671</v>
      </c>
      <c r="B176" s="6" t="s">
        <v>20</v>
      </c>
      <c r="C176" s="6" t="s">
        <v>12</v>
      </c>
      <c r="D176" s="7" t="s">
        <v>672</v>
      </c>
      <c r="E176" s="8" t="s">
        <v>673</v>
      </c>
      <c r="F176" s="6" t="s">
        <v>674</v>
      </c>
      <c r="G176" s="9">
        <f>IF(A176=1,"_",IF(C176="_","???",C176))</f>
        <v/>
      </c>
      <c r="H176" s="10" t="s">
        <v>12</v>
      </c>
      <c r="I176" s="11" t="s">
        <v>12</v>
      </c>
      <c r="J176" s="12"/>
    </row>
    <row r="177" spans="1:10" ht="60" customHeight="1">
      <c r="A177" s="6" t="s">
        <v>675</v>
      </c>
      <c r="B177" s="6" t="s">
        <v>36</v>
      </c>
      <c r="C177" s="6" t="s">
        <v>135</v>
      </c>
      <c r="D177" s="7" t="s">
        <v>676</v>
      </c>
      <c r="E177" s="8" t="s">
        <v>677</v>
      </c>
      <c r="F177" s="6" t="s">
        <v>678</v>
      </c>
      <c r="G177" s="9">
        <f>IF(A177=1,"_",IF(C177="_","???",C177))</f>
        <v/>
      </c>
      <c r="H177" s="10" t="s">
        <v>12</v>
      </c>
      <c r="I177" s="11" t="s">
        <v>12</v>
      </c>
      <c r="J177" s="12"/>
    </row>
    <row r="178" spans="1:10" ht="60" customHeight="1">
      <c r="A178" s="6" t="s">
        <v>679</v>
      </c>
      <c r="B178" s="6" t="s">
        <v>20</v>
      </c>
      <c r="C178" s="6" t="s">
        <v>12</v>
      </c>
      <c r="D178" s="7" t="s">
        <v>680</v>
      </c>
      <c r="E178" s="8" t="s">
        <v>681</v>
      </c>
      <c r="F178" s="6" t="s">
        <v>682</v>
      </c>
      <c r="G178" s="9">
        <f>IF(A178=1,"_",IF(C178="_","???",C178))</f>
        <v/>
      </c>
      <c r="H178" s="10" t="s">
        <v>12</v>
      </c>
      <c r="I178" s="11" t="s">
        <v>12</v>
      </c>
      <c r="J178" s="12"/>
    </row>
    <row r="179" spans="1:10" ht="60" customHeight="1">
      <c r="A179" s="6" t="s">
        <v>683</v>
      </c>
      <c r="B179" s="6" t="s">
        <v>30</v>
      </c>
      <c r="C179" s="6" t="s">
        <v>41</v>
      </c>
      <c r="D179" s="7" t="s">
        <v>684</v>
      </c>
      <c r="E179" s="8" t="s">
        <v>685</v>
      </c>
      <c r="F179" s="6" t="s">
        <v>686</v>
      </c>
      <c r="G179" s="9">
        <f>IF(A179=1,"_",IF(C179="_","???",C179))</f>
        <v/>
      </c>
      <c r="H179" s="10" t="s">
        <v>12</v>
      </c>
      <c r="I179" s="11" t="s">
        <v>12</v>
      </c>
      <c r="J179" s="12"/>
    </row>
    <row r="180" spans="1:10" ht="60" customHeight="1">
      <c r="A180" s="6" t="s">
        <v>687</v>
      </c>
      <c r="B180" s="6" t="s">
        <v>30</v>
      </c>
      <c r="C180" s="6" t="s">
        <v>688</v>
      </c>
      <c r="D180" s="7" t="s">
        <v>298</v>
      </c>
      <c r="E180" s="8" t="s">
        <v>689</v>
      </c>
      <c r="F180" s="6" t="s">
        <v>690</v>
      </c>
      <c r="G180" s="9">
        <f>IF(A180=1,"_",IF(C180="_","???",C180))</f>
        <v/>
      </c>
      <c r="H180" s="10" t="s">
        <v>12</v>
      </c>
      <c r="I180" s="11" t="s">
        <v>12</v>
      </c>
      <c r="J180" s="12"/>
    </row>
    <row r="181" spans="1:10" ht="60" customHeight="1">
      <c r="A181" s="6" t="s">
        <v>691</v>
      </c>
      <c r="B181" s="6" t="s">
        <v>10</v>
      </c>
      <c r="C181" s="6" t="s">
        <v>110</v>
      </c>
      <c r="D181" s="7" t="s">
        <v>579</v>
      </c>
      <c r="E181" s="8" t="s">
        <v>692</v>
      </c>
      <c r="F181" s="6" t="s">
        <v>693</v>
      </c>
      <c r="G181" s="9">
        <f>IF(A181=1,"_",IF(C181="_","???",C181))</f>
        <v/>
      </c>
      <c r="H181" s="10" t="s">
        <v>12</v>
      </c>
      <c r="I181" s="11" t="s">
        <v>12</v>
      </c>
      <c r="J181" s="12"/>
    </row>
    <row r="182" spans="1:10" ht="60" customHeight="1">
      <c r="A182" s="6" t="s">
        <v>694</v>
      </c>
      <c r="B182" s="6" t="s">
        <v>10</v>
      </c>
      <c r="C182" s="6" t="s">
        <v>12</v>
      </c>
      <c r="D182" s="7" t="s">
        <v>579</v>
      </c>
      <c r="E182" s="8" t="s">
        <v>695</v>
      </c>
      <c r="F182" s="6" t="s">
        <v>696</v>
      </c>
      <c r="G182" s="9">
        <f>IF(A182=1,"_",IF(C182="_","???",C182))</f>
        <v/>
      </c>
      <c r="H182" s="10" t="s">
        <v>12</v>
      </c>
      <c r="I182" s="11" t="s">
        <v>12</v>
      </c>
      <c r="J18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12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697</v>
      </c>
      <c r="B1" s="13" t="s">
        <v>698</v>
      </c>
      <c r="C1" s="13" t="s">
        <v>699</v>
      </c>
      <c r="D1" s="13" t="s">
        <v>700</v>
      </c>
      <c r="E1" s="14" t="s">
        <v>701</v>
      </c>
      <c r="F1" s="15" t="s">
        <v>702</v>
      </c>
      <c r="G1" s="16" t="s">
        <v>703</v>
      </c>
      <c r="H1" s="17" t="s">
        <v>704</v>
      </c>
      <c r="I1" s="18" t="s">
        <v>705</v>
      </c>
      <c r="J1" s="18" t="s">
        <v>706</v>
      </c>
      <c r="K1" s="18" t="s">
        <v>707</v>
      </c>
      <c r="L1" s="19" t="s">
        <v>9</v>
      </c>
    </row>
    <row r="2" spans="1:12">
      <c r="A2" s="20" t="s">
        <v>708</v>
      </c>
    </row>
    <row r="3" spans="1:12">
      <c r="A3" s="20" t="s">
        <v>709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710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711</v>
      </c>
      <c r="B5" s="27" t="s">
        <v>712</v>
      </c>
      <c r="C5" s="27" t="s">
        <v>713</v>
      </c>
      <c r="D5" s="27" t="s">
        <v>714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715</v>
      </c>
      <c r="B6" s="27" t="s">
        <v>716</v>
      </c>
      <c r="C6" s="27" t="s">
        <v>717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718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719</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720</v>
      </c>
      <c r="B9" s="27" t="s">
        <v>712</v>
      </c>
      <c r="C9" s="27" t="s">
        <v>721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622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row>
    <row r="12" spans="1:12">
      <c r="A12" s="20" t="s">
        <v>722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723</v>
      </c>
    </row>
    <row r="14" spans="1:12">
      <c r="A14" s="20" t="s">
        <v>724</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725</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719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115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726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727</v>
      </c>
      <c r="B19" s="27" t="s">
        <v>728</v>
      </c>
      <c r="C19" s="27" t="s">
        <v>729</v>
      </c>
      <c r="D19" s="27" t="s">
        <v>714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719</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730</v>
      </c>
      <c r="B21" s="27" t="s">
        <v>731</v>
      </c>
      <c r="C21" s="27" t="s">
        <v>721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732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733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734</v>
      </c>
      <c r="B24" s="27" t="s">
        <v>735</v>
      </c>
      <c r="C24" s="27" t="s">
        <v>729</v>
      </c>
      <c r="D24" s="27" t="s">
        <v>714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736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720</v>
      </c>
      <c r="B26" s="27" t="s">
        <v>737</v>
      </c>
      <c r="C26" s="27" t="s">
        <v>729</v>
      </c>
      <c r="D26" s="27" t="s">
        <v>714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736</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738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726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739</v>
      </c>
      <c r="B30" s="27" t="s">
        <v>740</v>
      </c>
      <c r="C30" s="27" t="s">
        <v>741</v>
      </c>
      <c r="D30" s="27" t="s">
        <v>714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742</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743</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738</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744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745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746</v>
      </c>
      <c r="B37" s="27" t="s">
        <v>747</v>
      </c>
      <c r="C37" s="27" t="s">
        <v>741</v>
      </c>
      <c r="D37" s="27" t="s">
        <v>714</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748</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749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750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719</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115</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751</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752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753</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754</v>
      </c>
      <c r="B46" s="27" t="s">
        <v>755</v>
      </c>
      <c r="C46" s="27" t="s">
        <v>756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163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748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742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757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758</v>
      </c>
      <c r="B51" s="27" t="s">
        <v>735</v>
      </c>
      <c r="C51" s="27" t="s">
        <v>759</v>
      </c>
      <c r="D51" s="27" t="s">
        <v>714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760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761</v>
      </c>
      <c r="B53" s="27" t="s">
        <v>762</v>
      </c>
      <c r="C53" s="27" t="s">
        <v>717</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719</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763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622</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row>
    <row r="58" spans="1:12">
      <c r="A58" s="20" t="s">
        <v>764</v>
      </c>
    </row>
    <row r="59" spans="1:12">
      <c r="A59" s="20" t="s">
        <v>765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766</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767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768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769</v>
      </c>
      <c r="B63" s="27" t="s">
        <v>716</v>
      </c>
      <c r="C63" s="27" t="s">
        <v>729</v>
      </c>
      <c r="D63" s="27" t="s">
        <v>714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770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771</v>
      </c>
      <c r="B65" s="27" t="s">
        <v>772</v>
      </c>
      <c r="C65" s="27" t="s">
        <v>721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773</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733</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720</v>
      </c>
      <c r="B68" s="27" t="s">
        <v>712</v>
      </c>
      <c r="C68" s="27" t="s">
        <v>729</v>
      </c>
      <c r="D68" s="27" t="s">
        <v>714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748</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774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775</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776</v>
      </c>
      <c r="B72" s="27" t="s">
        <v>772</v>
      </c>
      <c r="C72" s="27" t="s">
        <v>741</v>
      </c>
      <c r="D72" s="27" t="s">
        <v>714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622</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722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777</v>
      </c>
    </row>
    <row r="77" spans="1:12">
      <c r="A77" s="20" t="s">
        <v>765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766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778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736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779</v>
      </c>
      <c r="B81" s="27" t="s">
        <v>716</v>
      </c>
      <c r="C81" s="27" t="s">
        <v>721</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736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780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781</v>
      </c>
      <c r="B84" s="27" t="s">
        <v>772</v>
      </c>
      <c r="C84" s="27" t="s">
        <v>721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782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773</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733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720</v>
      </c>
      <c r="B88" s="27" t="s">
        <v>712</v>
      </c>
      <c r="C88" s="27" t="s">
        <v>741</v>
      </c>
      <c r="D88" s="27" t="s">
        <v>714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622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row>
    <row r="91" spans="1:12">
      <c r="A91" s="20" t="s">
        <v>783</v>
      </c>
    </row>
    <row r="92" spans="1:12">
      <c r="A92" s="20" t="s">
        <v>784</v>
      </c>
      <c r="B92" s="27" t="s">
        <v>716</v>
      </c>
      <c r="C92" s="27" t="s">
        <v>717</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785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786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787</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788</v>
      </c>
      <c r="B96" s="27" t="s">
        <v>728</v>
      </c>
      <c r="C96" s="27" t="s">
        <v>741</v>
      </c>
      <c r="D96" s="27" t="s">
        <v>714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763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789</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622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722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790</v>
      </c>
    </row>
    <row r="103" spans="1:12">
      <c r="A103" s="20" t="s">
        <v>791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792</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793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794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795</v>
      </c>
      <c r="B107" s="27" t="s">
        <v>712</v>
      </c>
      <c r="C107" s="27" t="s">
        <v>713</v>
      </c>
      <c r="D107" s="27" t="s">
        <v>714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719</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796</v>
      </c>
      <c r="B109" s="27" t="s">
        <v>772</v>
      </c>
      <c r="C109" s="27" t="s">
        <v>721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748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797</v>
      </c>
      <c r="B111" s="27" t="s">
        <v>798</v>
      </c>
      <c r="C111" s="27" t="s">
        <v>759</v>
      </c>
      <c r="D111" s="27" t="s">
        <v>714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799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800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801</v>
      </c>
      <c r="B114" s="27" t="s">
        <v>712</v>
      </c>
      <c r="C114" s="27" t="s">
        <v>729</v>
      </c>
      <c r="D114" s="27" t="s">
        <v>714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719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736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802</v>
      </c>
      <c r="B117" s="27" t="s">
        <v>712</v>
      </c>
      <c r="C117" s="27" t="s">
        <v>721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803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736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804</v>
      </c>
      <c r="B120" s="27" t="s">
        <v>805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738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806</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807</v>
      </c>
      <c r="B123" s="27" t="s">
        <v>731</v>
      </c>
      <c r="C123" s="27" t="s">
        <v>808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809</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810</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811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812</v>
      </c>
      <c r="B127" s="27" t="s">
        <v>755</v>
      </c>
      <c r="C127" s="27" t="s">
        <v>721</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813</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773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733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720</v>
      </c>
      <c r="B131" s="27" t="s">
        <v>762</v>
      </c>
      <c r="C131" s="27" t="s">
        <v>741</v>
      </c>
      <c r="D131" s="27" t="s">
        <v>714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622</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722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814</v>
      </c>
    </row>
    <row r="136" spans="1:12">
      <c r="A136" s="20" t="s">
        <v>815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816</v>
      </c>
      <c r="B137" s="27" t="s">
        <v>772</v>
      </c>
      <c r="C137" s="27" t="s">
        <v>817</v>
      </c>
      <c r="D137" s="27" t="s">
        <v>714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818</v>
      </c>
      <c r="B138" s="27" t="s">
        <v>716</v>
      </c>
      <c r="C138" s="27" t="s">
        <v>741</v>
      </c>
      <c r="D138" s="27" t="s">
        <v>714</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719</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819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820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821</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822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736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802</v>
      </c>
      <c r="B145" s="27" t="s">
        <v>798</v>
      </c>
      <c r="C145" s="27" t="s">
        <v>713</v>
      </c>
      <c r="D145" s="27" t="s">
        <v>714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803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736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622</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823</v>
      </c>
    </row>
    <row r="151" spans="1:12">
      <c r="A151" s="20" t="s">
        <v>824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825</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826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788</v>
      </c>
      <c r="B154" s="27" t="s">
        <v>712</v>
      </c>
      <c r="C154" s="27" t="s">
        <v>729</v>
      </c>
      <c r="D154" s="27" t="s">
        <v>714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827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780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828</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829</v>
      </c>
      <c r="B158" s="27" t="s">
        <v>772</v>
      </c>
      <c r="C158" s="27" t="s">
        <v>721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782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804</v>
      </c>
      <c r="B160" s="27" t="s">
        <v>805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830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831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733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832</v>
      </c>
      <c r="B164" s="27" t="s">
        <v>762</v>
      </c>
      <c r="C164" s="27" t="s">
        <v>817</v>
      </c>
      <c r="D164" s="27" t="s">
        <v>714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720</v>
      </c>
      <c r="B165" s="27" t="s">
        <v>731</v>
      </c>
      <c r="C165" s="27" t="s">
        <v>741</v>
      </c>
      <c r="D165" s="27" t="s">
        <v>714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748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742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825</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833</v>
      </c>
      <c r="B169" s="27" t="s">
        <v>834</v>
      </c>
      <c r="C169" s="27" t="s">
        <v>721</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804</v>
      </c>
      <c r="B170" s="27" t="s">
        <v>835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836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733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720</v>
      </c>
      <c r="B173" s="27" t="s">
        <v>735</v>
      </c>
      <c r="C173" s="27" t="s">
        <v>741</v>
      </c>
      <c r="D173" s="27" t="s">
        <v>714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748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837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838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804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839</v>
      </c>
      <c r="B178" s="27" t="s">
        <v>840</v>
      </c>
      <c r="C178" s="27" t="s">
        <v>759</v>
      </c>
      <c r="D178" s="27" t="s">
        <v>714</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841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842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843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715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744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844</v>
      </c>
      <c r="B184" s="27" t="s">
        <v>740</v>
      </c>
      <c r="C184" s="27" t="s">
        <v>717</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622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row>
    <row r="187" spans="1:12">
      <c r="A187" s="20" t="s">
        <v>845</v>
      </c>
    </row>
    <row r="188" spans="1:12">
      <c r="A188" s="20" t="s">
        <v>846</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847</v>
      </c>
      <c r="B189" s="27" t="s">
        <v>716</v>
      </c>
      <c r="C189" s="27" t="s">
        <v>729</v>
      </c>
      <c r="D189" s="27" t="s">
        <v>714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719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822</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802</v>
      </c>
      <c r="B192" s="27" t="s">
        <v>772</v>
      </c>
      <c r="C192" s="27" t="s">
        <v>713</v>
      </c>
      <c r="D192" s="27" t="s">
        <v>714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766</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733</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848</v>
      </c>
      <c r="B195" s="27" t="s">
        <v>712</v>
      </c>
      <c r="C195" s="27" t="s">
        <v>741</v>
      </c>
      <c r="D195" s="27" t="s">
        <v>714</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849</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850</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733</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851</v>
      </c>
      <c r="B199" s="27" t="s">
        <v>728</v>
      </c>
      <c r="C199" s="27" t="s">
        <v>741</v>
      </c>
      <c r="D199" s="27" t="s">
        <v>714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622</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row>
    <row r="202" spans="1:12">
      <c r="A202" s="20" t="s">
        <v>852</v>
      </c>
    </row>
    <row r="203" spans="1:12">
      <c r="A203" s="20" t="s">
        <v>853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854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804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733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734</v>
      </c>
      <c r="B207" s="27" t="s">
        <v>855</v>
      </c>
      <c r="C207" s="27" t="s">
        <v>741</v>
      </c>
      <c r="D207" s="27" t="s">
        <v>714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720</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856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826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763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800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734</v>
      </c>
      <c r="B213" s="27" t="s">
        <v>728</v>
      </c>
      <c r="C213" s="27" t="s">
        <v>857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858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738</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859</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733</v>
      </c>
      <c r="B217" s="27" t="s">
        <v>735</v>
      </c>
      <c r="C217" s="27" t="s">
        <v>759</v>
      </c>
      <c r="D217" s="27" t="s">
        <v>714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860</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831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861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862</v>
      </c>
      <c r="B221" s="27" t="s">
        <v>863</v>
      </c>
      <c r="C221" s="27" t="s">
        <v>808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622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row>
    <row r="224" spans="1:12">
      <c r="A224" s="20" t="s">
        <v>722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864</v>
      </c>
    </row>
    <row r="226" spans="1:12">
      <c r="A226" s="20" t="s">
        <v>865</v>
      </c>
      <c r="B226" s="27" t="s">
        <v>716</v>
      </c>
      <c r="C226" s="27" t="s">
        <v>759</v>
      </c>
      <c r="D226" s="27" t="s">
        <v>714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866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804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733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867</v>
      </c>
      <c r="B230" s="27" t="s">
        <v>772</v>
      </c>
      <c r="C230" s="27" t="s">
        <v>759</v>
      </c>
      <c r="D230" s="27" t="s">
        <v>714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868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869</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849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767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870</v>
      </c>
      <c r="B235" s="27" t="s">
        <v>772</v>
      </c>
      <c r="C235" s="27" t="s">
        <v>857</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871</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872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738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873</v>
      </c>
      <c r="B239" s="27" t="s">
        <v>731</v>
      </c>
      <c r="C239" s="27" t="s">
        <v>721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719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874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748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875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876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877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719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878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879</v>
      </c>
      <c r="B248" s="27" t="s">
        <v>772</v>
      </c>
      <c r="C248" s="27" t="s">
        <v>713</v>
      </c>
      <c r="D248" s="27" t="s">
        <v>714</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742</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875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880</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733</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881</v>
      </c>
      <c r="B253" s="27" t="s">
        <v>834</v>
      </c>
      <c r="C253" s="27" t="s">
        <v>729</v>
      </c>
      <c r="D253" s="27" t="s">
        <v>714</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763</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882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719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804</v>
      </c>
      <c r="B257" s="27" t="s">
        <v>863</v>
      </c>
      <c r="C257" s="27" t="s">
        <v>883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884</v>
      </c>
      <c r="B258" s="27" t="s">
        <v>762</v>
      </c>
      <c r="C258" s="27" t="s">
        <v>808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826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726</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736</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885</v>
      </c>
      <c r="B262" s="27" t="s">
        <v>731</v>
      </c>
      <c r="C262" s="27" t="s">
        <v>741</v>
      </c>
      <c r="D262" s="27" t="s">
        <v>714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736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622</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row>
    <row r="266" spans="1:12">
      <c r="A266" s="20" t="s">
        <v>886</v>
      </c>
    </row>
    <row r="267" spans="1:12">
      <c r="A267" s="20" t="s">
        <v>846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887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888</v>
      </c>
      <c r="B269" s="27" t="s">
        <v>716</v>
      </c>
      <c r="C269" s="27" t="s">
        <v>741</v>
      </c>
      <c r="D269" s="27" t="s">
        <v>714</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766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733</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889</v>
      </c>
      <c r="B272" s="27" t="s">
        <v>712</v>
      </c>
      <c r="C272" s="27" t="s">
        <v>729</v>
      </c>
      <c r="D272" s="27" t="s">
        <v>714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774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890</v>
      </c>
      <c r="B274" s="27" t="s">
        <v>712</v>
      </c>
      <c r="C274" s="27" t="s">
        <v>721</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742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891</v>
      </c>
      <c r="B276" s="27" t="s">
        <v>772</v>
      </c>
      <c r="C276" s="27" t="s">
        <v>721</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892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row>
    <row r="279" spans="1:12">
      <c r="A279" s="20" t="s">
        <v>893</v>
      </c>
    </row>
    <row r="280" spans="1:12">
      <c r="A280" s="20" t="s">
        <v>738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894</v>
      </c>
      <c r="B281" s="27" t="s">
        <v>712</v>
      </c>
      <c r="C281" s="27" t="s">
        <v>721</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867</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895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719</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896</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774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21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789</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738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733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897</v>
      </c>
      <c r="B291" s="27" t="s">
        <v>731</v>
      </c>
      <c r="C291" s="27" t="s">
        <v>741</v>
      </c>
      <c r="D291" s="27" t="s">
        <v>714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898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789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719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733</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899</v>
      </c>
      <c r="B297" s="27" t="s">
        <v>863</v>
      </c>
      <c r="C297" s="27" t="s">
        <v>817</v>
      </c>
      <c r="D297" s="27" t="s">
        <v>714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897</v>
      </c>
      <c r="B298" s="27" t="s">
        <v>762</v>
      </c>
      <c r="C298" s="27" t="s">
        <v>741</v>
      </c>
      <c r="D298" s="27" t="s">
        <v>714</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900</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789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901</v>
      </c>
      <c r="B301" s="27" t="s">
        <v>902</v>
      </c>
      <c r="C301" s="27" t="s">
        <v>729</v>
      </c>
      <c r="D301" s="27" t="s">
        <v>714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831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733</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899</v>
      </c>
      <c r="B304" s="27" t="s">
        <v>737</v>
      </c>
      <c r="C304" s="27" t="s">
        <v>817</v>
      </c>
      <c r="D304" s="27" t="s">
        <v>714</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897</v>
      </c>
      <c r="B305" s="27" t="s">
        <v>863</v>
      </c>
      <c r="C305" s="27" t="s">
        <v>741</v>
      </c>
      <c r="D305" s="27" t="s">
        <v>714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622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row>
    <row r="308" spans="1:12">
      <c r="A308" s="20" t="s">
        <v>903</v>
      </c>
    </row>
    <row r="309" spans="1:12">
      <c r="A309" s="20" t="s">
        <v>824</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710</v>
      </c>
      <c r="B310" s="27" t="s">
        <v>716</v>
      </c>
      <c r="C310" s="27" t="s">
        <v>904</v>
      </c>
      <c r="D310" s="27" t="s">
        <v>714</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799</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905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906</v>
      </c>
      <c r="B313" s="27" t="s">
        <v>712</v>
      </c>
      <c r="C313" s="27" t="s">
        <v>756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907</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908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748</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909</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910</v>
      </c>
      <c r="B318" s="27" t="s">
        <v>712</v>
      </c>
      <c r="C318" s="27" t="s">
        <v>729</v>
      </c>
      <c r="D318" s="27" t="s">
        <v>714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719</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726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911</v>
      </c>
      <c r="B321" s="27" t="s">
        <v>772</v>
      </c>
      <c r="C321" s="27" t="s">
        <v>729</v>
      </c>
      <c r="D321" s="27" t="s">
        <v>714</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719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720</v>
      </c>
      <c r="B323" s="27" t="s">
        <v>731</v>
      </c>
      <c r="C323" s="27" t="s">
        <v>721</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622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row>
    <row r="326" spans="1:12">
      <c r="A326" s="20" t="s">
        <v>912</v>
      </c>
    </row>
    <row r="327" spans="1:12">
      <c r="A327" s="20" t="s">
        <v>824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733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913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780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888</v>
      </c>
      <c r="B331" s="27" t="s">
        <v>712</v>
      </c>
      <c r="C331" s="27" t="s">
        <v>721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782</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766</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914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915</v>
      </c>
      <c r="B335" s="27" t="s">
        <v>716</v>
      </c>
      <c r="C335" s="27" t="s">
        <v>729</v>
      </c>
      <c r="D335" s="27" t="s">
        <v>714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719</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733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916</v>
      </c>
      <c r="B338" s="27" t="s">
        <v>772</v>
      </c>
      <c r="C338" s="27" t="s">
        <v>741</v>
      </c>
      <c r="D338" s="27" t="s">
        <v>714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917</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918</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919</v>
      </c>
      <c r="B341" s="27" t="s">
        <v>772</v>
      </c>
      <c r="C341" s="27" t="s">
        <v>741</v>
      </c>
      <c r="D341" s="27" t="s">
        <v>714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920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921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922</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856</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923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202</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849</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924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925</v>
      </c>
      <c r="B350" s="27" t="s">
        <v>863</v>
      </c>
      <c r="C350" s="27" t="s">
        <v>808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804</v>
      </c>
      <c r="B351" s="27" t="s">
        <v>840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926</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773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726</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885</v>
      </c>
      <c r="B355" s="27" t="s">
        <v>740</v>
      </c>
      <c r="C355" s="27" t="s">
        <v>741</v>
      </c>
      <c r="D355" s="27" t="s">
        <v>714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927</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928</v>
      </c>
      <c r="B357" s="27" t="s">
        <v>863</v>
      </c>
      <c r="C357" s="27" t="s">
        <v>721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914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929</v>
      </c>
      <c r="B359" s="27" t="s">
        <v>735</v>
      </c>
      <c r="C359" s="27" t="s">
        <v>741</v>
      </c>
      <c r="D359" s="27" t="s">
        <v>714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622</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930</v>
      </c>
    </row>
    <row r="363" spans="1:12">
      <c r="A363" s="20" t="s">
        <v>931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393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748</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867</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895</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719</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800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932</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888</v>
      </c>
      <c r="B371" s="27" t="s">
        <v>712</v>
      </c>
      <c r="C371" s="27" t="s">
        <v>857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933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622</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row>
    <row r="375" spans="1:12">
      <c r="A375" s="20" t="s">
        <v>934</v>
      </c>
    </row>
    <row r="376" spans="1:12">
      <c r="A376" s="20" t="s">
        <v>742</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856</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935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766</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936</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807</v>
      </c>
      <c r="B381" s="27" t="s">
        <v>716</v>
      </c>
      <c r="C381" s="27" t="s">
        <v>808</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719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227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733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884</v>
      </c>
      <c r="B385" s="27" t="s">
        <v>834</v>
      </c>
      <c r="C385" s="27" t="s">
        <v>741</v>
      </c>
      <c r="D385" s="27" t="s">
        <v>714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937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622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row>
    <row r="389" spans="1:12">
      <c r="A389" s="20" t="s">
        <v>938</v>
      </c>
    </row>
    <row r="390" spans="1:12">
      <c r="A390" s="20" t="s">
        <v>939</v>
      </c>
      <c r="B390" s="27" t="s">
        <v>798</v>
      </c>
      <c r="C390" s="27" t="s">
        <v>759</v>
      </c>
      <c r="D390" s="27" t="s">
        <v>714</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940</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148</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941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767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942</v>
      </c>
      <c r="B395" s="27" t="s">
        <v>772</v>
      </c>
      <c r="C395" s="27" t="s">
        <v>729</v>
      </c>
      <c r="D395" s="27" t="s">
        <v>714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719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800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943</v>
      </c>
      <c r="B398" s="27" t="s">
        <v>731</v>
      </c>
      <c r="C398" s="27" t="s">
        <v>857</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804</v>
      </c>
      <c r="B399" s="27" t="s">
        <v>835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748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751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800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944</v>
      </c>
      <c r="B403" s="27" t="s">
        <v>863</v>
      </c>
      <c r="C403" s="27" t="s">
        <v>729</v>
      </c>
      <c r="D403" s="27" t="s">
        <v>714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719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945</v>
      </c>
      <c r="B405" s="27" t="s">
        <v>737</v>
      </c>
      <c r="C405" s="27" t="s">
        <v>721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742</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946</v>
      </c>
      <c r="B407" s="27" t="s">
        <v>740</v>
      </c>
      <c r="C407" s="27" t="s">
        <v>721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748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751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800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947</v>
      </c>
      <c r="B411" s="27" t="s">
        <v>737</v>
      </c>
      <c r="C411" s="27" t="s">
        <v>817</v>
      </c>
      <c r="D411" s="27" t="s">
        <v>714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948</v>
      </c>
      <c r="B412" s="27" t="s">
        <v>863</v>
      </c>
      <c r="C412" s="27" t="s">
        <v>857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748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949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800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950</v>
      </c>
      <c r="B416" s="27" t="s">
        <v>735</v>
      </c>
      <c r="C416" s="27" t="s">
        <v>857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622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row>
    <row r="419" spans="1:12">
      <c r="A419" s="20" t="s">
        <v>951</v>
      </c>
    </row>
    <row r="420" spans="1:12">
      <c r="A420" s="20" t="s">
        <v>84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856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952</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row>
    <row r="424" spans="1:12">
      <c r="A424" s="20" t="s">
        <v>953</v>
      </c>
    </row>
    <row r="425" spans="1:12">
      <c r="A425" s="20" t="s">
        <v>622</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954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955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804</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956</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957</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800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958</v>
      </c>
      <c r="B432" s="27" t="s">
        <v>834</v>
      </c>
      <c r="C432" s="27" t="s">
        <v>729</v>
      </c>
      <c r="D432" s="27" t="s">
        <v>714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719</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959</v>
      </c>
      <c r="B434" s="27" t="s">
        <v>762</v>
      </c>
      <c r="C434" s="27" t="s">
        <v>721</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960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961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962</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831</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733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963</v>
      </c>
      <c r="B440" s="27" t="s">
        <v>731</v>
      </c>
      <c r="C440" s="27" t="s">
        <v>729</v>
      </c>
      <c r="D440" s="27" t="s">
        <v>714</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719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733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964</v>
      </c>
      <c r="B443" s="27" t="s">
        <v>762</v>
      </c>
      <c r="C443" s="27" t="s">
        <v>965</v>
      </c>
      <c r="D443" s="27" t="s">
        <v>714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867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966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767</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967</v>
      </c>
      <c r="B447" s="27" t="s">
        <v>855</v>
      </c>
      <c r="C447" s="27" t="s">
        <v>857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968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969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622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row>
    <row r="452" spans="1:12">
      <c r="A452" s="20" t="s">
        <v>970</v>
      </c>
    </row>
    <row r="453" spans="1:12">
      <c r="A453" s="20" t="s">
        <v>824</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971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972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748</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738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973</v>
      </c>
      <c r="B458" s="27" t="s">
        <v>712</v>
      </c>
      <c r="C458" s="27" t="s">
        <v>721</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778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974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748</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804</v>
      </c>
      <c r="B462" s="27" t="s">
        <v>716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780</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975</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976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967</v>
      </c>
      <c r="B466" s="27" t="s">
        <v>772</v>
      </c>
      <c r="C466" s="27" t="s">
        <v>713</v>
      </c>
      <c r="D466" s="27" t="s">
        <v>714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748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977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782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978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979</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914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980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890</v>
      </c>
      <c r="B474" s="27" t="s">
        <v>755</v>
      </c>
      <c r="C474" s="27" t="s">
        <v>741</v>
      </c>
      <c r="D474" s="27" t="s">
        <v>714</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622</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row>
    <row r="477" spans="1:12">
      <c r="A477" s="20" t="s">
        <v>981</v>
      </c>
    </row>
    <row r="478" spans="1:12">
      <c r="A478" s="20" t="s">
        <v>791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856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982</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983</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622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row>
    <row r="484" spans="1:12">
      <c r="A484" s="20" t="s">
        <v>984</v>
      </c>
    </row>
    <row r="485" spans="1:12">
      <c r="A485" s="20" t="s">
        <v>985</v>
      </c>
      <c r="B485" s="27" t="s">
        <v>716</v>
      </c>
      <c r="C485" s="27" t="s">
        <v>904</v>
      </c>
      <c r="D485" s="27" t="s">
        <v>714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804</v>
      </c>
      <c r="B486" s="27" t="s">
        <v>805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982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986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979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982</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726</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987</v>
      </c>
      <c r="B492" s="27" t="s">
        <v>712</v>
      </c>
      <c r="C492" s="27" t="s">
        <v>729</v>
      </c>
      <c r="D492" s="27" t="s">
        <v>714</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719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914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890</v>
      </c>
      <c r="B495" s="27" t="s">
        <v>712</v>
      </c>
      <c r="C495" s="27" t="s">
        <v>741</v>
      </c>
      <c r="D495" s="27" t="s">
        <v>714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622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row>
    <row r="498" spans="1:12">
      <c r="A498" s="20" t="s">
        <v>988</v>
      </c>
    </row>
    <row r="499" spans="1:12">
      <c r="A499" s="20" t="s">
        <v>989</v>
      </c>
      <c r="B499" s="27" t="s">
        <v>716</v>
      </c>
      <c r="C499" s="27" t="s">
        <v>759</v>
      </c>
      <c r="D499" s="27" t="s">
        <v>714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978</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990</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914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890</v>
      </c>
      <c r="B503" s="27" t="s">
        <v>798</v>
      </c>
      <c r="C503" s="27" t="s">
        <v>741</v>
      </c>
      <c r="D503" s="27" t="s">
        <v>714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622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row>
    <row r="506" spans="1:12">
      <c r="A506" s="20" t="s">
        <v>991</v>
      </c>
    </row>
    <row r="507" spans="1:12">
      <c r="A507" s="20" t="s">
        <v>992</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978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993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921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994</v>
      </c>
      <c r="B512" s="27" t="s">
        <v>712</v>
      </c>
      <c r="C512" s="27" t="s">
        <v>729</v>
      </c>
      <c r="D512" s="27" t="s">
        <v>714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719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733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959</v>
      </c>
      <c r="B515" s="27" t="s">
        <v>772</v>
      </c>
      <c r="C515" s="27" t="s">
        <v>741</v>
      </c>
      <c r="D515" s="27" t="s">
        <v>714</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995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622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996</v>
      </c>
    </row>
    <row r="520" spans="1:12">
      <c r="A520" s="20" t="s">
        <v>872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997</v>
      </c>
      <c r="B521" s="27" t="s">
        <v>716</v>
      </c>
      <c r="C521" s="27" t="s">
        <v>904</v>
      </c>
      <c r="D521" s="27" t="s">
        <v>714</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856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998</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921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999</v>
      </c>
      <c r="B525" s="27" t="s">
        <v>712</v>
      </c>
      <c r="C525" s="27" t="s">
        <v>717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1000</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1001</v>
      </c>
      <c r="B527" s="27" t="s">
        <v>855</v>
      </c>
      <c r="C527" s="27" t="s">
        <v>759</v>
      </c>
      <c r="D527" s="27" t="s">
        <v>714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1002</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941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767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607</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987</v>
      </c>
      <c r="B532" s="27" t="s">
        <v>772</v>
      </c>
      <c r="C532" s="27" t="s">
        <v>857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1003</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row>
    <row r="535" spans="1:12">
      <c r="A535" s="20" t="s">
        <v>1004</v>
      </c>
    </row>
    <row r="536" spans="1:12">
      <c r="A536" s="20" t="s">
        <v>815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987</v>
      </c>
      <c r="B537" s="27" t="s">
        <v>716</v>
      </c>
      <c r="C537" s="27" t="s">
        <v>741</v>
      </c>
      <c r="D537" s="27" t="s">
        <v>714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982</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979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748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742</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726</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987</v>
      </c>
      <c r="B543" s="27" t="s">
        <v>855</v>
      </c>
      <c r="C543" s="27" t="s">
        <v>741</v>
      </c>
      <c r="D543" s="27" t="s">
        <v>714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982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793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997</v>
      </c>
      <c r="B546" s="27" t="s">
        <v>712</v>
      </c>
      <c r="C546" s="27" t="s">
        <v>904</v>
      </c>
      <c r="D546" s="27" t="s">
        <v>714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804</v>
      </c>
      <c r="B547" s="27" t="s">
        <v>805</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744</v>
      </c>
      <c r="B548" s="27" t="s">
        <v>834</v>
      </c>
      <c r="C548" s="27" t="s">
        <v>759</v>
      </c>
      <c r="D548" s="27" t="s">
        <v>714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1005</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622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row>
    <row r="552" spans="1:12">
      <c r="A552" s="20" t="s">
        <v>722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1006</v>
      </c>
    </row>
    <row r="554" spans="1:12">
      <c r="A554" s="20" t="s">
        <v>1007</v>
      </c>
      <c r="B554" s="27" t="s">
        <v>716</v>
      </c>
      <c r="C554" s="27" t="s">
        <v>904</v>
      </c>
      <c r="D554" s="27" t="s">
        <v>714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804</v>
      </c>
      <c r="B555" s="27" t="s">
        <v>834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794</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1008</v>
      </c>
      <c r="B557" s="27" t="s">
        <v>805</v>
      </c>
      <c r="C557" s="27" t="s">
        <v>713</v>
      </c>
      <c r="D557" s="27" t="s">
        <v>714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877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1009</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748</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738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1010</v>
      </c>
      <c r="B562" s="27" t="s">
        <v>712</v>
      </c>
      <c r="C562" s="27" t="s">
        <v>721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748</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766</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804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839</v>
      </c>
      <c r="B566" s="27" t="s">
        <v>855</v>
      </c>
      <c r="C566" s="27" t="s">
        <v>759</v>
      </c>
      <c r="D566" s="27" t="s">
        <v>714</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1011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202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831</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839</v>
      </c>
      <c r="B570" s="27" t="s">
        <v>772</v>
      </c>
      <c r="C570" s="27" t="s">
        <v>759</v>
      </c>
      <c r="D570" s="27" t="s">
        <v>714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1012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742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849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1013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788</v>
      </c>
      <c r="B575" s="27" t="s">
        <v>731</v>
      </c>
      <c r="C575" s="27" t="s">
        <v>808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738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1014</v>
      </c>
      <c r="B577" s="27" t="s">
        <v>772</v>
      </c>
      <c r="C577" s="27" t="s">
        <v>729</v>
      </c>
      <c r="D577" s="27" t="s">
        <v>714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719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905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736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1015</v>
      </c>
      <c r="B581" s="27" t="s">
        <v>731</v>
      </c>
      <c r="C581" s="27" t="s">
        <v>759</v>
      </c>
      <c r="D581" s="27" t="s">
        <v>714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736</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622</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1016</v>
      </c>
    </row>
    <row r="586" spans="1:12">
      <c r="A586" s="20" t="s">
        <v>765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766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767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1015</v>
      </c>
      <c r="B589" s="27" t="s">
        <v>716</v>
      </c>
      <c r="C589" s="27" t="s">
        <v>759</v>
      </c>
      <c r="D589" s="27" t="s">
        <v>714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804</v>
      </c>
      <c r="B590" s="27" t="s">
        <v>805</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1017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719</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787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1018</v>
      </c>
      <c r="B594" s="27" t="s">
        <v>731</v>
      </c>
      <c r="C594" s="27" t="s">
        <v>741</v>
      </c>
      <c r="D594" s="27" t="s">
        <v>714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748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804</v>
      </c>
      <c r="B596" s="27" t="s">
        <v>805</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1017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738</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726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1019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742</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1020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726</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1019</v>
      </c>
      <c r="B604" s="27" t="s">
        <v>728</v>
      </c>
      <c r="C604" s="27" t="s">
        <v>741</v>
      </c>
      <c r="D604" s="27" t="s">
        <v>714</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748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898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766</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1021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719</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1022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726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1023</v>
      </c>
      <c r="B612" s="27" t="s">
        <v>834</v>
      </c>
      <c r="C612" s="27" t="s">
        <v>741</v>
      </c>
      <c r="D612" s="27" t="s">
        <v>714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748</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872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804</v>
      </c>
      <c r="B615" s="27" t="s">
        <v>902</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738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894</v>
      </c>
      <c r="B617" s="27" t="s">
        <v>762</v>
      </c>
      <c r="C617" s="27" t="s">
        <v>721</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1024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1025</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726</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1019</v>
      </c>
      <c r="B621" s="27" t="s">
        <v>755</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622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row>
    <row r="624" spans="1:12">
      <c r="A624" s="20" t="s">
        <v>722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1026</v>
      </c>
    </row>
    <row r="626" spans="1:12">
      <c r="A626" s="20" t="s">
        <v>1027</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895</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719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726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736</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330</v>
      </c>
      <c r="B631" s="27" t="s">
        <v>712</v>
      </c>
      <c r="C631" s="27" t="s">
        <v>759</v>
      </c>
      <c r="D631" s="27" t="s">
        <v>714</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804</v>
      </c>
      <c r="B632" s="27" t="s">
        <v>805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1017</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787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1018</v>
      </c>
      <c r="B635" s="27" t="s">
        <v>834</v>
      </c>
      <c r="C635" s="27" t="s">
        <v>741</v>
      </c>
      <c r="D635" s="27" t="s">
        <v>714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736</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742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831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726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1028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726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1029</v>
      </c>
      <c r="B642" s="27" t="s">
        <v>902</v>
      </c>
      <c r="C642" s="27" t="s">
        <v>741</v>
      </c>
      <c r="D642" s="27" t="s">
        <v>714</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867</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1030</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12</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1031</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1032</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726</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1029</v>
      </c>
      <c r="B650" s="27" t="s">
        <v>1033</v>
      </c>
      <c r="C650" s="27" t="s">
        <v>741</v>
      </c>
      <c r="D650" s="27" t="s">
        <v>714</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1034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748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736</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1035</v>
      </c>
      <c r="B654" s="27" t="s">
        <v>1036</v>
      </c>
      <c r="C654" s="27" t="s">
        <v>759</v>
      </c>
      <c r="D654" s="27" t="s">
        <v>714</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1037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1038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1039</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748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1032</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1040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1041</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1042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736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row>
    <row r="665" spans="1:12">
      <c r="A665" s="20" t="s">
        <v>722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1043</v>
      </c>
    </row>
    <row r="667" spans="1:12">
      <c r="A667" s="20" t="s">
        <v>824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971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935</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766</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726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736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330</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804</v>
      </c>
      <c r="B674" s="27" t="s">
        <v>902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867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1044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736</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748</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867</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895</v>
      </c>
      <c r="B680" s="27" t="s">
        <v>716</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719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726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736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330</v>
      </c>
      <c r="B684" s="27" t="s">
        <v>772</v>
      </c>
      <c r="C684" s="27" t="s">
        <v>759</v>
      </c>
      <c r="D684" s="27" t="s">
        <v>714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804</v>
      </c>
      <c r="B685" s="27" t="s">
        <v>902</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867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1044</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736</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804</v>
      </c>
      <c r="B689" s="27" t="s">
        <v>835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1045</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775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1046</v>
      </c>
      <c r="B692" s="27" t="s">
        <v>735</v>
      </c>
      <c r="C692" s="27" t="s">
        <v>741</v>
      </c>
      <c r="D692" s="27" t="s">
        <v>714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748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742</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867</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1047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719</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733</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950</v>
      </c>
      <c r="B699" s="27" t="s">
        <v>737</v>
      </c>
      <c r="C699" s="27" t="s">
        <v>729</v>
      </c>
      <c r="D699" s="27" t="s">
        <v>714</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719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733</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1048</v>
      </c>
      <c r="B702" s="27" t="s">
        <v>747</v>
      </c>
      <c r="C702" s="27" t="s">
        <v>817</v>
      </c>
      <c r="D702" s="27" t="s">
        <v>714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897</v>
      </c>
      <c r="B703" s="27" t="s">
        <v>740</v>
      </c>
      <c r="C703" s="27" t="s">
        <v>741</v>
      </c>
      <c r="D703" s="27" t="s">
        <v>714</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748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898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766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1049</v>
      </c>
      <c r="B707" s="27" t="s">
        <v>863</v>
      </c>
      <c r="C707" s="27" t="s">
        <v>904</v>
      </c>
      <c r="D707" s="27" t="s">
        <v>714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736</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330</v>
      </c>
      <c r="B709" s="27" t="s">
        <v>737</v>
      </c>
      <c r="C709" s="27" t="s">
        <v>759</v>
      </c>
      <c r="D709" s="27" t="s">
        <v>714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736</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831</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922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726</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1029</v>
      </c>
      <c r="B714" s="27" t="s">
        <v>1050</v>
      </c>
      <c r="C714" s="27" t="s">
        <v>741</v>
      </c>
      <c r="D714" s="27" t="s">
        <v>714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867</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1030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1051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892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row>
    <row r="720" spans="1:12">
      <c r="A720" s="20" t="s">
        <v>722</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1052</v>
      </c>
    </row>
    <row r="722" spans="1:12">
      <c r="A722" s="20" t="s">
        <v>736</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1053</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1054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1055</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1056</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738</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744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745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711</v>
      </c>
      <c r="B730" s="27" t="s">
        <v>712</v>
      </c>
      <c r="C730" s="27" t="s">
        <v>741</v>
      </c>
      <c r="D730" s="27" t="s">
        <v>714</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1042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736</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900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736</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1057</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766</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1058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726</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1059</v>
      </c>
      <c r="B739" s="27" t="s">
        <v>731</v>
      </c>
      <c r="C739" s="27" t="s">
        <v>817</v>
      </c>
      <c r="D739" s="27" t="s">
        <v>714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1060</v>
      </c>
      <c r="B740" s="27" t="s">
        <v>855</v>
      </c>
      <c r="C740" s="27" t="s">
        <v>729</v>
      </c>
      <c r="D740" s="27" t="s">
        <v>714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738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1061</v>
      </c>
      <c r="B742" s="27" t="s">
        <v>731</v>
      </c>
      <c r="C742" s="27" t="s">
        <v>965</v>
      </c>
      <c r="D742" s="27" t="s">
        <v>714</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1042</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736</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900</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1062</v>
      </c>
      <c r="B746" s="27" t="s">
        <v>772</v>
      </c>
      <c r="C746" s="27" t="s">
        <v>717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719</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1063</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622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row>
    <row r="751" spans="1:12">
      <c r="A751" s="20" t="s">
        <v>1064</v>
      </c>
    </row>
    <row r="752" spans="1:12">
      <c r="A752" s="20" t="s">
        <v>1065</v>
      </c>
      <c r="B752" s="27" t="s">
        <v>716</v>
      </c>
      <c r="C752" s="27" t="s">
        <v>904</v>
      </c>
      <c r="D752" s="27" t="s">
        <v>714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799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905</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1066</v>
      </c>
      <c r="B755" s="27" t="s">
        <v>712</v>
      </c>
      <c r="C755" s="27" t="s">
        <v>756</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1067</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748</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726</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330</v>
      </c>
      <c r="B759" s="27" t="s">
        <v>712</v>
      </c>
      <c r="C759" s="27" t="s">
        <v>759</v>
      </c>
      <c r="D759" s="27" t="s">
        <v>714</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804</v>
      </c>
      <c r="B760" s="27" t="s">
        <v>805</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1017</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1068</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890</v>
      </c>
      <c r="B763" s="27" t="s">
        <v>834</v>
      </c>
      <c r="C763" s="27" t="s">
        <v>857</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742</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1069</v>
      </c>
      <c r="B765" s="27" t="s">
        <v>762</v>
      </c>
      <c r="C765" s="27" t="s">
        <v>904</v>
      </c>
      <c r="D765" s="27" t="s">
        <v>714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804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1070</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733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1044</v>
      </c>
      <c r="B769" s="27" t="s">
        <v>1033</v>
      </c>
      <c r="C769" s="27" t="s">
        <v>741</v>
      </c>
      <c r="D769" s="27" t="s">
        <v>714</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748</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742</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1071</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867</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774</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787</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905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766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910</v>
      </c>
      <c r="B778" s="27" t="s">
        <v>863</v>
      </c>
      <c r="C778" s="27" t="s">
        <v>729</v>
      </c>
      <c r="D778" s="27" t="s">
        <v>714</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719</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733</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889</v>
      </c>
      <c r="B781" s="27" t="s">
        <v>737</v>
      </c>
      <c r="C781" s="27" t="s">
        <v>729</v>
      </c>
      <c r="D781" s="27" t="s">
        <v>714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773</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733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1072</v>
      </c>
      <c r="B784" s="27" t="s">
        <v>740</v>
      </c>
      <c r="C784" s="27" t="s">
        <v>729</v>
      </c>
      <c r="D784" s="27" t="s">
        <v>714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719</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720</v>
      </c>
      <c r="B786" s="27" t="s">
        <v>747</v>
      </c>
      <c r="C786" s="27" t="s">
        <v>721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622</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row>
    <row r="789" spans="1:12">
      <c r="A789" s="20" t="s">
        <v>1073</v>
      </c>
    </row>
    <row r="790" spans="1:12">
      <c r="A790" s="20" t="s">
        <v>815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330</v>
      </c>
      <c r="B791" s="27" t="s">
        <v>716</v>
      </c>
      <c r="C791" s="27" t="s">
        <v>741</v>
      </c>
      <c r="D791" s="27" t="s">
        <v>714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804</v>
      </c>
      <c r="B792" s="27" t="s">
        <v>805</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1044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748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766</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767</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1074</v>
      </c>
      <c r="B797" s="27" t="s">
        <v>712</v>
      </c>
      <c r="C797" s="27" t="s">
        <v>857</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622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row>
    <row r="800" spans="1:12">
      <c r="A800" s="20" t="s">
        <v>1075</v>
      </c>
    </row>
    <row r="801" spans="1:12">
      <c r="A801" s="20" t="s">
        <v>824</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794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1076</v>
      </c>
      <c r="B803" s="27" t="s">
        <v>716</v>
      </c>
      <c r="C803" s="27" t="s">
        <v>713</v>
      </c>
      <c r="D803" s="27" t="s">
        <v>714</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1077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941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800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1078</v>
      </c>
      <c r="B807" s="27" t="s">
        <v>712</v>
      </c>
      <c r="C807" s="27" t="s">
        <v>729</v>
      </c>
      <c r="D807" s="27" t="s">
        <v>714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1079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719</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775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1080</v>
      </c>
      <c r="B811" s="27" t="s">
        <v>731</v>
      </c>
      <c r="C811" s="27" t="s">
        <v>817</v>
      </c>
      <c r="D811" s="27" t="s">
        <v>714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1081</v>
      </c>
      <c r="B812" s="27" t="s">
        <v>772</v>
      </c>
      <c r="C812" s="27" t="s">
        <v>741</v>
      </c>
      <c r="D812" s="27" t="s">
        <v>714</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12</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12</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1077</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1082</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622</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row>
    <row r="819" spans="1:12">
      <c r="A819" s="20" t="s">
        <v>1083</v>
      </c>
    </row>
    <row r="820" spans="1:12">
      <c r="A820" s="20" t="s">
        <v>1084</v>
      </c>
      <c r="B820" s="27" t="s">
        <v>716</v>
      </c>
      <c r="C820" s="27" t="s">
        <v>759</v>
      </c>
      <c r="D820" s="27" t="s">
        <v>714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856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1085</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1086</v>
      </c>
      <c r="B823" s="27" t="s">
        <v>798</v>
      </c>
      <c r="C823" s="27" t="s">
        <v>721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1025</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1032</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1087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719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1088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787</v>
      </c>
      <c r="B829" s="27" t="s">
        <v>834</v>
      </c>
      <c r="C829" s="27" t="s">
        <v>759</v>
      </c>
      <c r="D829" s="27" t="s">
        <v>714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622</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row>
    <row r="832" spans="1:12">
      <c r="A832" s="20" t="s">
        <v>1089</v>
      </c>
    </row>
    <row r="833" spans="1:12">
      <c r="A833" s="20" t="s">
        <v>846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1048</v>
      </c>
      <c r="B834" s="27" t="s">
        <v>772</v>
      </c>
      <c r="C834" s="27" t="s">
        <v>817</v>
      </c>
      <c r="D834" s="27" t="s">
        <v>714</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891</v>
      </c>
      <c r="B835" s="27" t="s">
        <v>716</v>
      </c>
      <c r="C835" s="27" t="s">
        <v>741</v>
      </c>
      <c r="D835" s="27" t="s">
        <v>714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877</v>
      </c>
      <c r="B836" s="27" t="s">
        <v>798</v>
      </c>
      <c r="C836" s="27" t="s">
        <v>759</v>
      </c>
      <c r="D836" s="27" t="s">
        <v>714</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1090</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1086</v>
      </c>
      <c r="B838" s="27" t="s">
        <v>798</v>
      </c>
      <c r="C838" s="27" t="s">
        <v>721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748</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917</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748</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1069</v>
      </c>
      <c r="B842" s="27" t="s">
        <v>805</v>
      </c>
      <c r="C842" s="27" t="s">
        <v>904</v>
      </c>
      <c r="D842" s="27" t="s">
        <v>714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804</v>
      </c>
      <c r="B843" s="27" t="s">
        <v>835</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877</v>
      </c>
      <c r="B844" s="27" t="s">
        <v>735</v>
      </c>
      <c r="C844" s="27" t="s">
        <v>759</v>
      </c>
      <c r="D844" s="27" t="s">
        <v>714</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1091</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719</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787</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1092</v>
      </c>
      <c r="B848" s="27" t="s">
        <v>737</v>
      </c>
      <c r="C848" s="27" t="s">
        <v>817</v>
      </c>
      <c r="D848" s="27" t="s">
        <v>714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1018</v>
      </c>
      <c r="B849" s="27" t="s">
        <v>863</v>
      </c>
      <c r="C849" s="27" t="s">
        <v>741</v>
      </c>
      <c r="D849" s="27" t="s">
        <v>714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766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800</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950</v>
      </c>
      <c r="B852" s="27" t="s">
        <v>772</v>
      </c>
      <c r="C852" s="27" t="s">
        <v>857</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622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1093</v>
      </c>
    </row>
    <row r="856" spans="1:12">
      <c r="A856" s="20" t="s">
        <v>1094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1095</v>
      </c>
      <c r="B857" s="27" t="s">
        <v>798</v>
      </c>
      <c r="C857" s="27" t="s">
        <v>759</v>
      </c>
      <c r="D857" s="27" t="s">
        <v>714</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148</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941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767</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942</v>
      </c>
      <c r="B861" s="27" t="s">
        <v>772</v>
      </c>
      <c r="C861" s="27" t="s">
        <v>857</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622</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row>
    <row r="864" spans="1:12">
      <c r="A864" s="20" t="s">
        <v>1096</v>
      </c>
    </row>
    <row r="865" spans="1:12">
      <c r="A865" s="20" t="s">
        <v>1027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895</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719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767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1097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1098</v>
      </c>
      <c r="B870" s="27" t="s">
        <v>712</v>
      </c>
      <c r="C870" s="27" t="s">
        <v>857</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622</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1099</v>
      </c>
    </row>
    <row r="874" spans="1:12">
      <c r="A874" s="20" t="s">
        <v>1100</v>
      </c>
      <c r="B874" s="27" t="s">
        <v>716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1101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787</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1018</v>
      </c>
      <c r="B877" s="27" t="s">
        <v>798</v>
      </c>
      <c r="C877" s="27" t="s">
        <v>729</v>
      </c>
      <c r="D877" s="27" t="s">
        <v>714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719</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905</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1102</v>
      </c>
      <c r="B880" s="27" t="s">
        <v>772</v>
      </c>
      <c r="C880" s="27" t="s">
        <v>756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1103</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800</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1104</v>
      </c>
      <c r="B883" s="27" t="s">
        <v>712</v>
      </c>
      <c r="C883" s="27" t="s">
        <v>857</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1105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622</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row>
    <row r="887" spans="1:12">
      <c r="A887" s="20" t="s">
        <v>1106</v>
      </c>
    </row>
    <row r="888" spans="1:12">
      <c r="A888" s="20" t="s">
        <v>1107</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1095</v>
      </c>
      <c r="B889" s="27" t="s">
        <v>798</v>
      </c>
      <c r="C889" s="27" t="s">
        <v>759</v>
      </c>
      <c r="D889" s="27" t="s">
        <v>714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1108</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738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1109</v>
      </c>
      <c r="B892" s="27" t="s">
        <v>712</v>
      </c>
      <c r="C892" s="27" t="s">
        <v>721</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622</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row>
    <row r="895" spans="1:12">
      <c r="A895" s="20" t="s">
        <v>1110</v>
      </c>
    </row>
    <row r="896" spans="1:12">
      <c r="A896" s="20" t="s">
        <v>1107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766</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1111</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763</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1105</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831</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726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1112</v>
      </c>
      <c r="B903" s="27" t="s">
        <v>712</v>
      </c>
      <c r="C903" s="27" t="s">
        <v>741</v>
      </c>
      <c r="D903" s="27" t="s">
        <v>714</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770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819</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748</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872</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982</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1105</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1032</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794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1098</v>
      </c>
      <c r="B912" s="27" t="s">
        <v>805</v>
      </c>
      <c r="C912" s="27" t="s">
        <v>713</v>
      </c>
      <c r="D912" s="27" t="s">
        <v>714</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1113</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1114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738</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744</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746</v>
      </c>
      <c r="B917" s="27" t="s">
        <v>731</v>
      </c>
      <c r="C917" s="27" t="s">
        <v>741</v>
      </c>
      <c r="D917" s="27" t="s">
        <v>714</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1115</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622</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row>
    <row r="921" spans="1:12">
      <c r="A921" s="20" t="s">
        <v>1116</v>
      </c>
    </row>
    <row r="922" spans="1:12">
      <c r="A922" s="20" t="s">
        <v>1027</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1117</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831</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775</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1102</v>
      </c>
      <c r="B926" s="27" t="s">
        <v>712</v>
      </c>
      <c r="C926" s="27" t="s">
        <v>741</v>
      </c>
      <c r="D926" s="27" t="s">
        <v>714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719</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164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726</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832</v>
      </c>
      <c r="B930" s="27" t="s">
        <v>731</v>
      </c>
      <c r="C930" s="27" t="s">
        <v>817</v>
      </c>
      <c r="D930" s="27" t="s">
        <v>714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1118</v>
      </c>
      <c r="B931" s="27" t="s">
        <v>728</v>
      </c>
      <c r="C931" s="27" t="s">
        <v>741</v>
      </c>
      <c r="D931" s="27" t="s">
        <v>714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1119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238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1120</v>
      </c>
      <c r="B934" s="27" t="s">
        <v>772</v>
      </c>
      <c r="C934" s="27" t="s">
        <v>756</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622</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row>
    <row r="937" spans="1:12">
      <c r="A937" s="20" t="s">
        <v>1121</v>
      </c>
    </row>
    <row r="938" spans="1:12">
      <c r="A938" s="20" t="s">
        <v>992</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1122</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1041</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775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1123</v>
      </c>
      <c r="B942" s="27" t="s">
        <v>712</v>
      </c>
      <c r="C942" s="27" t="s">
        <v>729</v>
      </c>
      <c r="D942" s="27" t="s">
        <v>714</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921</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905</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1102</v>
      </c>
      <c r="B945" s="27" t="s">
        <v>712</v>
      </c>
      <c r="C945" s="27" t="s">
        <v>756</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622</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row>
    <row r="948" spans="1:12">
      <c r="A948" s="20" t="s">
        <v>1124</v>
      </c>
    </row>
    <row r="949" spans="1:12">
      <c r="A949" s="20" t="s">
        <v>1125</v>
      </c>
      <c r="B949" s="27" t="s">
        <v>716</v>
      </c>
      <c r="C949" s="27" t="s">
        <v>904</v>
      </c>
      <c r="D949" s="27" t="s">
        <v>714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799</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775</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832</v>
      </c>
      <c r="B952" s="27" t="s">
        <v>712</v>
      </c>
      <c r="C952" s="27" t="s">
        <v>817</v>
      </c>
      <c r="D952" s="27" t="s">
        <v>714</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1123</v>
      </c>
      <c r="B953" s="27" t="s">
        <v>712</v>
      </c>
      <c r="C953" s="27" t="s">
        <v>741</v>
      </c>
      <c r="D953" s="27" t="s">
        <v>714</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622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row>
    <row r="956" spans="1:12">
      <c r="A956" s="20" t="s">
        <v>722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1126</v>
      </c>
    </row>
    <row r="958" spans="1:12">
      <c r="A958" s="20" t="s">
        <v>1127</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797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867</v>
      </c>
      <c r="B960" s="27" t="s">
        <v>772</v>
      </c>
      <c r="C960" s="27" t="s">
        <v>759</v>
      </c>
      <c r="D960" s="27" t="s">
        <v>714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1034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736</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1128</v>
      </c>
      <c r="B963" s="27" t="s">
        <v>716</v>
      </c>
      <c r="C963" s="27" t="s">
        <v>883</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719</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775</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905</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1024</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1129</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719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1130</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1042</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736</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1131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800</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1132</v>
      </c>
      <c r="B975" s="27" t="s">
        <v>798</v>
      </c>
      <c r="C975" s="27" t="s">
        <v>857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778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1133</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622</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1134</v>
      </c>
    </row>
    <row r="981" spans="1:12">
      <c r="A981" s="20" t="s">
        <v>1135</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748</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726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1136</v>
      </c>
      <c r="B984" s="27" t="s">
        <v>716</v>
      </c>
      <c r="C984" s="27" t="s">
        <v>965</v>
      </c>
      <c r="D984" s="27" t="s">
        <v>714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1137</v>
      </c>
      <c r="B985" s="27" t="s">
        <v>772</v>
      </c>
      <c r="C985" s="27" t="s">
        <v>965</v>
      </c>
      <c r="D985" s="27" t="s">
        <v>714</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1024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1129</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719</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1130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622</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row>
    <row r="992" spans="1:12">
      <c r="A992" s="20" t="s">
        <v>1138</v>
      </c>
    </row>
    <row r="993" spans="1:12">
      <c r="A993" s="20" t="s">
        <v>733</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1139</v>
      </c>
      <c r="B994" s="27" t="s">
        <v>772</v>
      </c>
      <c r="C994" s="27" t="s">
        <v>817</v>
      </c>
      <c r="D994" s="27" t="s">
        <v>714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1140</v>
      </c>
      <c r="B995" s="27" t="s">
        <v>716</v>
      </c>
      <c r="C995" s="27" t="s">
        <v>741</v>
      </c>
      <c r="D995" s="27" t="s">
        <v>714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1141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719</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763</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742</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921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1119</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1142</v>
      </c>
      <c r="B1002" s="27" t="s">
        <v>772</v>
      </c>
      <c r="C1002" s="27" t="s">
        <v>729</v>
      </c>
      <c r="D1002" s="27" t="s">
        <v>714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719</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1118</v>
      </c>
      <c r="B1004" s="27" t="s">
        <v>731</v>
      </c>
      <c r="C1004" s="27" t="s">
        <v>721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1129</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1143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726</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1144</v>
      </c>
      <c r="B1008" s="27" t="s">
        <v>863</v>
      </c>
      <c r="C1008" s="27" t="s">
        <v>729</v>
      </c>
      <c r="D1008" s="27" t="s">
        <v>714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1145</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726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1144</v>
      </c>
      <c r="B1011" s="27" t="s">
        <v>737</v>
      </c>
      <c r="C1011" s="27" t="s">
        <v>729</v>
      </c>
      <c r="D1011" s="27" t="s">
        <v>714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1137</v>
      </c>
      <c r="B1012" s="27" t="s">
        <v>740</v>
      </c>
      <c r="C1012" s="27" t="s">
        <v>965</v>
      </c>
      <c r="D1012" s="27" t="s">
        <v>714</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1024</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1129</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1146</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859</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1145</v>
      </c>
      <c r="B1017" s="27" t="s">
        <v>805</v>
      </c>
      <c r="C1017" s="27" t="s">
        <v>965</v>
      </c>
      <c r="D1017" s="27" t="s">
        <v>714</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900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719</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763</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622</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row>
    <row r="1023" spans="1:12">
      <c r="A1023" s="20" t="s">
        <v>1147</v>
      </c>
    </row>
    <row r="1024" spans="1:12">
      <c r="A1024" s="20" t="s">
        <v>791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1148</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935</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766</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1068</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1149</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1132</v>
      </c>
      <c r="B1030" s="27" t="s">
        <v>716</v>
      </c>
      <c r="C1030" s="27" t="s">
        <v>857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892</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row>
    <row r="1033" spans="1:12">
      <c r="A1033" s="20" t="s">
        <v>722</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1150</v>
      </c>
    </row>
    <row r="1035" spans="1:12">
      <c r="A1035" s="20" t="s">
        <v>736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1151</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710</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1102</v>
      </c>
      <c r="B1038" s="27" t="s">
        <v>716</v>
      </c>
      <c r="C1038" s="27" t="s">
        <v>713</v>
      </c>
      <c r="D1038" s="27" t="s">
        <v>714</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830</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719</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752</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1129</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1042</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736</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898</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1122</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733</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1152</v>
      </c>
      <c r="B1048" s="27" t="s">
        <v>712</v>
      </c>
      <c r="C1048" s="27" t="s">
        <v>741</v>
      </c>
      <c r="D1048" s="27" t="s">
        <v>714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892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row>
    <row r="1051" spans="1:12">
      <c r="A1051" s="20" t="s">
        <v>1153</v>
      </c>
    </row>
    <row r="1052" spans="1:12">
      <c r="A1052" s="20" t="s">
        <v>1154</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726</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1136</v>
      </c>
      <c r="B1054" s="27" t="s">
        <v>716</v>
      </c>
      <c r="C1054" s="27" t="s">
        <v>965</v>
      </c>
      <c r="D1054" s="27" t="s">
        <v>714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1145</v>
      </c>
      <c r="B1055" s="27" t="s">
        <v>772</v>
      </c>
      <c r="C1055" s="27" t="s">
        <v>965</v>
      </c>
      <c r="D1055" s="27" t="s">
        <v>714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978</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767</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987</v>
      </c>
      <c r="B1058" s="27" t="s">
        <v>798</v>
      </c>
      <c r="C1058" s="27" t="s">
        <v>729</v>
      </c>
      <c r="D1058" s="27" t="s">
        <v>714</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719</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733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1140</v>
      </c>
      <c r="B1061" s="27" t="s">
        <v>772</v>
      </c>
      <c r="C1061" s="27" t="s">
        <v>729</v>
      </c>
      <c r="D1061" s="27" t="s">
        <v>714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719</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1155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1156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1157</v>
      </c>
      <c r="B1065" s="27" t="s">
        <v>731</v>
      </c>
      <c r="C1065" s="27" t="s">
        <v>729</v>
      </c>
      <c r="D1065" s="27" t="s">
        <v>714</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719</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726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1136</v>
      </c>
      <c r="B1068" s="27" t="s">
        <v>762</v>
      </c>
      <c r="C1068" s="27" t="s">
        <v>965</v>
      </c>
      <c r="D1068" s="27" t="s">
        <v>714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1137</v>
      </c>
      <c r="B1069" s="27" t="s">
        <v>863</v>
      </c>
      <c r="C1069" s="27" t="s">
        <v>965</v>
      </c>
      <c r="D1069" s="27" t="s">
        <v>714</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622</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row>
    <row r="1072" spans="1:12">
      <c r="A1072" s="20" t="s">
        <v>1158</v>
      </c>
    </row>
    <row r="1073" spans="1:12">
      <c r="A1073" s="20" t="s">
        <v>1159</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1086</v>
      </c>
      <c r="B1074" s="27" t="s">
        <v>716</v>
      </c>
      <c r="C1074" s="27" t="s">
        <v>729</v>
      </c>
      <c r="D1074" s="27" t="s">
        <v>714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719</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787</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1160</v>
      </c>
      <c r="B1077" s="27" t="s">
        <v>772</v>
      </c>
      <c r="C1077" s="27" t="s">
        <v>741</v>
      </c>
      <c r="D1077" s="27" t="s">
        <v>714</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760</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1161</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1162</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804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800</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910</v>
      </c>
      <c r="B1083" s="27" t="s">
        <v>805</v>
      </c>
      <c r="C1083" s="27" t="s">
        <v>857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1163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1164</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719</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733</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1104</v>
      </c>
      <c r="B1088" s="27" t="s">
        <v>863</v>
      </c>
      <c r="C1088" s="27" t="s">
        <v>741</v>
      </c>
      <c r="D1088" s="27" t="s">
        <v>714</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766</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726</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807</v>
      </c>
      <c r="B1091" s="27" t="s">
        <v>772</v>
      </c>
      <c r="C1091" s="27" t="s">
        <v>741</v>
      </c>
      <c r="D1091" s="27" t="s">
        <v>714</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738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922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1165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12</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12</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1166</v>
      </c>
      <c r="B1097" s="27" t="s">
        <v>855</v>
      </c>
      <c r="C1097" s="27" t="s">
        <v>717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719</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822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1086</v>
      </c>
      <c r="B1100" s="27" t="s">
        <v>731</v>
      </c>
      <c r="C1100" s="27" t="s">
        <v>713</v>
      </c>
      <c r="D1100" s="27" t="s">
        <v>714</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766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1163</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1167</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12</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12</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872</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800</v>
      </c>
      <c r="B1107" s="27" t="s">
        <v>712</v>
      </c>
      <c r="C1107" s="27" t="s">
        <v>717</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719</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787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905</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766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1168</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row>
    <row r="1114" spans="1:12">
      <c r="A1114" s="20" t="s">
        <v>1169</v>
      </c>
    </row>
    <row r="1115" spans="1:12">
      <c r="A1115" s="20" t="s">
        <v>780</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1170</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782</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800</v>
      </c>
      <c r="B1118" s="27" t="s">
        <v>855</v>
      </c>
      <c r="C1118" s="27" t="s">
        <v>717</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719</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787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905</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766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1163</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1157</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719</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914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1149</v>
      </c>
      <c r="B1127" s="27" t="s">
        <v>772</v>
      </c>
      <c r="C1127" s="27" t="s">
        <v>717</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622</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row>
    <row r="1130" spans="1:12">
      <c r="A1130" s="20" t="s">
        <v>1171</v>
      </c>
    </row>
    <row r="1131" spans="1:12">
      <c r="A1131" s="20" t="s">
        <v>824</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733</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1157</v>
      </c>
      <c r="B1133" s="27" t="s">
        <v>716</v>
      </c>
      <c r="C1133" s="27" t="s">
        <v>741</v>
      </c>
      <c r="D1133" s="27" t="s">
        <v>714</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766</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1172</v>
      </c>
      <c r="B1135" s="27" t="s">
        <v>712</v>
      </c>
      <c r="C1135" s="27" t="s">
        <v>904</v>
      </c>
      <c r="D1135" s="27" t="s">
        <v>714</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1173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726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1118</v>
      </c>
      <c r="B1138" s="27" t="s">
        <v>855</v>
      </c>
      <c r="C1138" s="27" t="s">
        <v>741</v>
      </c>
      <c r="D1138" s="27" t="s">
        <v>714</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982</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1174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738</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726</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1175</v>
      </c>
      <c r="B1143" s="27" t="s">
        <v>772</v>
      </c>
      <c r="C1143" s="27" t="s">
        <v>741</v>
      </c>
      <c r="D1143" s="27" t="s">
        <v>714</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1176</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622</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row>
    <row r="1147" spans="1:12">
      <c r="A1147" s="20" t="s">
        <v>1177</v>
      </c>
    </row>
    <row r="1148" spans="1:12">
      <c r="A1148" s="20" t="s">
        <v>1131</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800</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950</v>
      </c>
      <c r="B1150" s="27" t="s">
        <v>712</v>
      </c>
      <c r="C1150" s="27" t="s">
        <v>857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1178</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622</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row>
    <row r="1154" spans="1:12">
      <c r="A1154" s="20" t="s">
        <v>1179</v>
      </c>
    </row>
    <row r="1155" spans="1:12">
      <c r="A1155" s="20" t="s">
        <v>1053</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1180</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831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1181</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918</v>
      </c>
      <c r="B1159" s="27" t="s">
        <v>728</v>
      </c>
      <c r="C1159" s="27" t="s">
        <v>759</v>
      </c>
      <c r="D1159" s="27" t="s">
        <v>714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1042</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row>
    <row r="1162" spans="1:12">
      <c r="A1162" s="20" t="s">
        <v>722</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1182</v>
      </c>
    </row>
    <row r="1164" spans="1:12">
      <c r="A1164" s="20" t="s">
        <v>1183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1184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725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831</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822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788</v>
      </c>
      <c r="B1169" s="27" t="s">
        <v>712</v>
      </c>
      <c r="C1169" s="27" t="s">
        <v>713</v>
      </c>
      <c r="D1169" s="27" t="s">
        <v>714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751</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733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1140</v>
      </c>
      <c r="B1172" s="27" t="s">
        <v>712</v>
      </c>
      <c r="C1172" s="27" t="s">
        <v>741</v>
      </c>
      <c r="D1172" s="27" t="s">
        <v>714</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748</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742</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1185</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831</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1186</v>
      </c>
      <c r="B1177" s="27" t="s">
        <v>855</v>
      </c>
      <c r="C1177" s="27" t="s">
        <v>729</v>
      </c>
      <c r="D1177" s="27" t="s">
        <v>714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719</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1187</v>
      </c>
      <c r="B1179" s="27" t="s">
        <v>731</v>
      </c>
      <c r="C1179" s="27" t="s">
        <v>721</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748</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736</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1151</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1178</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766</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1188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914</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890</v>
      </c>
      <c r="B1187" s="27" t="s">
        <v>798</v>
      </c>
      <c r="C1187" s="27" t="s">
        <v>741</v>
      </c>
      <c r="D1187" s="27" t="s">
        <v>714</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748</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793</v>
      </c>
      <c r="B1189" s="27" t="s">
        <v>834</v>
      </c>
      <c r="C1189" s="27" t="s">
        <v>717</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1189</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1042</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736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742</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1190</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719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1155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1156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1157</v>
      </c>
      <c r="B1198" s="27" t="s">
        <v>772</v>
      </c>
      <c r="C1198" s="27" t="s">
        <v>729</v>
      </c>
      <c r="D1198" s="27" t="s">
        <v>714</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921</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1145</v>
      </c>
      <c r="B1200" s="27" t="s">
        <v>731</v>
      </c>
      <c r="C1200" s="27" t="s">
        <v>965</v>
      </c>
      <c r="D1200" s="27" t="s">
        <v>714</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804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921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1137</v>
      </c>
      <c r="B1203" s="27" t="s">
        <v>863</v>
      </c>
      <c r="C1203" s="27" t="s">
        <v>965</v>
      </c>
      <c r="D1203" s="27" t="s">
        <v>714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748</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738</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726</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987</v>
      </c>
      <c r="B1207" s="27" t="s">
        <v>737</v>
      </c>
      <c r="C1207" s="27" t="s">
        <v>741</v>
      </c>
      <c r="D1207" s="27" t="s">
        <v>714</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622</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row>
    <row r="1210" spans="1:12">
      <c r="A1210" s="20" t="s">
        <v>1191</v>
      </c>
    </row>
    <row r="1211" spans="1:12">
      <c r="A1211" s="20" t="s">
        <v>1027</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895</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1192</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719</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767</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1193</v>
      </c>
      <c r="B1216" s="27" t="s">
        <v>712</v>
      </c>
      <c r="C1216" s="27" t="s">
        <v>729</v>
      </c>
      <c r="D1216" s="27" t="s">
        <v>714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1194</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774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726</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1015</v>
      </c>
      <c r="B1220" s="27" t="s">
        <v>772</v>
      </c>
      <c r="C1220" s="27" t="s">
        <v>759</v>
      </c>
      <c r="D1220" s="27" t="s">
        <v>714</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804</v>
      </c>
      <c r="B1221" s="27" t="s">
        <v>902</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1017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787</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1018</v>
      </c>
      <c r="B1224" s="27" t="s">
        <v>755</v>
      </c>
      <c r="C1224" s="27" t="s">
        <v>741</v>
      </c>
      <c r="D1224" s="27" t="s">
        <v>714</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898</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726</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1015</v>
      </c>
      <c r="B1227" s="27" t="s">
        <v>863</v>
      </c>
      <c r="C1227" s="27" t="s">
        <v>759</v>
      </c>
      <c r="D1227" s="27" t="s">
        <v>714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804</v>
      </c>
      <c r="B1228" s="27" t="s">
        <v>840</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787</v>
      </c>
      <c r="B1229" s="27" t="s">
        <v>1195</v>
      </c>
      <c r="C1229" s="27" t="s">
        <v>759</v>
      </c>
      <c r="D1229" s="27" t="s">
        <v>714</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1044</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622</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row>
    <row r="1233" spans="1:12">
      <c r="A1233" s="20" t="s">
        <v>1196</v>
      </c>
    </row>
    <row r="1234" spans="1:12">
      <c r="A1234" s="20" t="s">
        <v>1197</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726</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1198</v>
      </c>
      <c r="B1236" s="27" t="s">
        <v>712</v>
      </c>
      <c r="C1236" s="27" t="s">
        <v>729</v>
      </c>
      <c r="D1236" s="27" t="s">
        <v>714</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719</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1199</v>
      </c>
      <c r="B1238" s="27" t="s">
        <v>772</v>
      </c>
      <c r="C1238" s="27" t="s">
        <v>721</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719</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726</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1015</v>
      </c>
      <c r="B1241" s="27" t="s">
        <v>772</v>
      </c>
      <c r="C1241" s="27" t="s">
        <v>759</v>
      </c>
      <c r="D1241" s="27" t="s">
        <v>714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804</v>
      </c>
      <c r="B1242" s="27" t="s">
        <v>902</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1017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914</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890</v>
      </c>
      <c r="B1245" s="27" t="s">
        <v>755</v>
      </c>
      <c r="C1245" s="27" t="s">
        <v>741</v>
      </c>
      <c r="D1245" s="27" t="s">
        <v>714</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748</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766</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1200</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804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1137</v>
      </c>
      <c r="B1250" s="27" t="s">
        <v>855</v>
      </c>
      <c r="C1250" s="27" t="s">
        <v>965</v>
      </c>
      <c r="D1250" s="27" t="s">
        <v>714</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1024</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1129</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1201</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622</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row>
    <row r="1256" spans="1:12">
      <c r="A1256" s="20" t="s">
        <v>1202</v>
      </c>
    </row>
    <row r="1257" spans="1:12">
      <c r="A1257" s="20" t="s">
        <v>1203</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748</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1069</v>
      </c>
      <c r="B1259" s="27" t="s">
        <v>716</v>
      </c>
      <c r="C1259" s="27" t="s">
        <v>904</v>
      </c>
      <c r="D1259" s="27" t="s">
        <v>714</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804</v>
      </c>
      <c r="B1260" s="27" t="s">
        <v>834</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867</v>
      </c>
      <c r="B1261" s="27" t="s">
        <v>731</v>
      </c>
      <c r="C1261" s="27" t="s">
        <v>759</v>
      </c>
      <c r="D1261" s="27" t="s">
        <v>714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1204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227</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921</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726</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1144</v>
      </c>
      <c r="B1266" s="27" t="s">
        <v>731</v>
      </c>
      <c r="C1266" s="27" t="s">
        <v>729</v>
      </c>
      <c r="D1266" s="27" t="s">
        <v>714</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1145</v>
      </c>
      <c r="B1267" s="27" t="s">
        <v>762</v>
      </c>
      <c r="C1267" s="27" t="s">
        <v>965</v>
      </c>
      <c r="D1267" s="27" t="s">
        <v>714</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748</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898</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1184</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1205</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1206</v>
      </c>
      <c r="B1272" s="27" t="s">
        <v>834</v>
      </c>
      <c r="C1272" s="27" t="s">
        <v>721</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1207</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748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898</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766</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986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1208</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920</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748</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742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1209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748</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867</v>
      </c>
      <c r="B1284" s="27" t="s">
        <v>712</v>
      </c>
      <c r="C1284" s="27" t="s">
        <v>759</v>
      </c>
      <c r="D1284" s="27" t="s">
        <v>714</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1204</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239</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733</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1140</v>
      </c>
      <c r="B1288" s="27" t="s">
        <v>798</v>
      </c>
      <c r="C1288" s="27" t="s">
        <v>729</v>
      </c>
      <c r="D1288" s="27" t="s">
        <v>714</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719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726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1136</v>
      </c>
      <c r="B1291" s="27" t="s">
        <v>772</v>
      </c>
      <c r="C1291" s="27" t="s">
        <v>965</v>
      </c>
      <c r="D1291" s="27" t="s">
        <v>714</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1145</v>
      </c>
      <c r="B1292" s="27" t="s">
        <v>731</v>
      </c>
      <c r="C1292" s="27" t="s">
        <v>965</v>
      </c>
      <c r="D1292" s="27" t="s">
        <v>714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1210</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726</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1211</v>
      </c>
      <c r="B1295" s="27" t="s">
        <v>728</v>
      </c>
      <c r="C1295" s="27" t="s">
        <v>741</v>
      </c>
      <c r="D1295" s="27" t="s">
        <v>714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927</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1212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918</v>
      </c>
      <c r="B1298" s="27" t="s">
        <v>834</v>
      </c>
      <c r="C1298" s="27" t="s">
        <v>759</v>
      </c>
      <c r="D1298" s="27" t="s">
        <v>714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1213</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622</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1214</v>
      </c>
    </row>
    <row r="1303" spans="1:12">
      <c r="A1303" s="20" t="s">
        <v>1215</v>
      </c>
      <c r="B1303" s="27" t="s">
        <v>716</v>
      </c>
      <c r="C1303" s="27" t="s">
        <v>904</v>
      </c>
      <c r="D1303" s="27" t="s">
        <v>714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1216</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767</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1217</v>
      </c>
      <c r="B1306" s="27" t="s">
        <v>798</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719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1118</v>
      </c>
      <c r="B1308" s="27" t="s">
        <v>772</v>
      </c>
      <c r="C1308" s="27" t="s">
        <v>721</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738</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726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1144</v>
      </c>
      <c r="B1311" s="27" t="s">
        <v>772</v>
      </c>
      <c r="C1311" s="27" t="s">
        <v>741</v>
      </c>
      <c r="D1311" s="27" t="s">
        <v>714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748</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872</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1025</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767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1217</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748</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742</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778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1218</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719</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847</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622</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row>
    <row r="1325" spans="1:12">
      <c r="A1325" s="20" t="s">
        <v>1219</v>
      </c>
    </row>
    <row r="1326" spans="1:12">
      <c r="A1326" s="20" t="s">
        <v>824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1220</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794</v>
      </c>
      <c r="B1328" s="27" t="s">
        <v>728</v>
      </c>
      <c r="C1328" s="27" t="s">
        <v>904</v>
      </c>
      <c r="D1328" s="27" t="s">
        <v>714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921</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767</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1221</v>
      </c>
      <c r="B1331" s="27" t="s">
        <v>772</v>
      </c>
      <c r="C1331" s="27" t="s">
        <v>729</v>
      </c>
      <c r="D1331" s="27" t="s">
        <v>714</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719</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994</v>
      </c>
      <c r="B1333" s="27" t="s">
        <v>731</v>
      </c>
      <c r="C1333" s="27" t="s">
        <v>721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748</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726</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1015</v>
      </c>
      <c r="B1336" s="27" t="s">
        <v>716</v>
      </c>
      <c r="C1336" s="27" t="s">
        <v>759</v>
      </c>
      <c r="D1336" s="27" t="s">
        <v>714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804</v>
      </c>
      <c r="B1337" s="27" t="s">
        <v>805</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1017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914</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890</v>
      </c>
      <c r="B1340" s="27" t="s">
        <v>834</v>
      </c>
      <c r="C1340" s="27" t="s">
        <v>729</v>
      </c>
      <c r="D1340" s="27" t="s">
        <v>714</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719</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726</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1136</v>
      </c>
      <c r="B1343" s="27" t="s">
        <v>762</v>
      </c>
      <c r="C1343" s="27" t="s">
        <v>965</v>
      </c>
      <c r="D1343" s="27" t="s">
        <v>714</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1145</v>
      </c>
      <c r="B1344" s="27" t="s">
        <v>863</v>
      </c>
      <c r="C1344" s="27" t="s">
        <v>965</v>
      </c>
      <c r="D1344" s="27" t="s">
        <v>714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1222</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1223</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748</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898</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726</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1015</v>
      </c>
      <c r="B1350" s="27" t="s">
        <v>855</v>
      </c>
      <c r="C1350" s="27" t="s">
        <v>759</v>
      </c>
      <c r="D1350" s="27" t="s">
        <v>714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804</v>
      </c>
      <c r="B1351" s="27" t="s">
        <v>902</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1044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787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1018</v>
      </c>
      <c r="B1354" s="27" t="s">
        <v>755</v>
      </c>
      <c r="C1354" s="27" t="s">
        <v>729</v>
      </c>
      <c r="D1354" s="27" t="s">
        <v>714</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719</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726</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1136</v>
      </c>
      <c r="B1357" s="27" t="s">
        <v>863</v>
      </c>
      <c r="C1357" s="27" t="s">
        <v>965</v>
      </c>
      <c r="D1357" s="27" t="s">
        <v>714</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1145</v>
      </c>
      <c r="B1358" s="27" t="s">
        <v>737</v>
      </c>
      <c r="C1358" s="27" t="s">
        <v>965</v>
      </c>
      <c r="D1358" s="27" t="s">
        <v>714</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1222</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778</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1224</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748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1000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1148</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726</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1136</v>
      </c>
      <c r="B1366" s="27" t="s">
        <v>805</v>
      </c>
      <c r="C1366" s="27" t="s">
        <v>965</v>
      </c>
      <c r="D1366" s="27" t="s">
        <v>714</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1145</v>
      </c>
      <c r="B1367" s="27" t="s">
        <v>762</v>
      </c>
      <c r="C1367" s="27" t="s">
        <v>965</v>
      </c>
      <c r="D1367" s="27" t="s">
        <v>714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1024</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767</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987</v>
      </c>
      <c r="B1370" s="27" t="s">
        <v>834</v>
      </c>
      <c r="C1370" s="27" t="s">
        <v>729</v>
      </c>
      <c r="D1370" s="27" t="s">
        <v>714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1225</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719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733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1139</v>
      </c>
      <c r="B1374" s="27" t="s">
        <v>863</v>
      </c>
      <c r="C1374" s="27" t="s">
        <v>817</v>
      </c>
      <c r="D1374" s="27" t="s">
        <v>714</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890</v>
      </c>
      <c r="B1375" s="27" t="s">
        <v>762</v>
      </c>
      <c r="C1375" s="27" t="s">
        <v>741</v>
      </c>
      <c r="D1375" s="27" t="s">
        <v>714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622</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row>
    <row r="1378" spans="1:12">
      <c r="A1378" s="20" t="s">
        <v>1226</v>
      </c>
    </row>
    <row r="1379" spans="1:12">
      <c r="A1379" s="20" t="s">
        <v>1053</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867</v>
      </c>
      <c r="B1380" s="27" t="s">
        <v>712</v>
      </c>
      <c r="C1380" s="27" t="s">
        <v>759</v>
      </c>
      <c r="D1380" s="27" t="s">
        <v>714</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1227</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800</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950</v>
      </c>
      <c r="B1383" s="27" t="s">
        <v>716</v>
      </c>
      <c r="C1383" s="27" t="s">
        <v>857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1042</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row>
    <row r="1386" spans="1:12">
      <c r="A1386" s="20" t="s">
        <v>1228</v>
      </c>
    </row>
    <row r="1387" spans="1:12">
      <c r="A1387" s="20" t="s">
        <v>824</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794</v>
      </c>
      <c r="B1388" s="27" t="s">
        <v>716</v>
      </c>
      <c r="C1388" s="27" t="s">
        <v>904</v>
      </c>
      <c r="D1388" s="27" t="s">
        <v>714</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1229</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826</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921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787</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1086</v>
      </c>
      <c r="B1393" s="27" t="s">
        <v>712</v>
      </c>
      <c r="C1393" s="27" t="s">
        <v>741</v>
      </c>
      <c r="D1393" s="27" t="s">
        <v>714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804</v>
      </c>
      <c r="B1394" s="27" t="s">
        <v>805</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1230</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1143</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775</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1081</v>
      </c>
      <c r="B1398" s="27" t="s">
        <v>731</v>
      </c>
      <c r="C1398" s="27" t="s">
        <v>741</v>
      </c>
      <c r="D1398" s="27" t="s">
        <v>714</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804</v>
      </c>
      <c r="B1399" s="27" t="s">
        <v>735</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921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787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1086</v>
      </c>
      <c r="B1402" s="27" t="s">
        <v>863</v>
      </c>
      <c r="C1402" s="27" t="s">
        <v>741</v>
      </c>
      <c r="D1402" s="27" t="s">
        <v>714</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804</v>
      </c>
      <c r="B1403" s="27" t="s">
        <v>835</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1231</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row>
    <row r="1406" spans="1:12">
      <c r="A1406" s="20" t="s">
        <v>1232</v>
      </c>
    </row>
    <row r="1407" spans="1:12">
      <c r="A1407" s="20" t="s">
        <v>985</v>
      </c>
      <c r="B1407" s="27" t="s">
        <v>716</v>
      </c>
      <c r="C1407" s="27" t="s">
        <v>904</v>
      </c>
      <c r="D1407" s="27" t="s">
        <v>714</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804</v>
      </c>
      <c r="B1408" s="27" t="s">
        <v>805</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1227</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800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950</v>
      </c>
      <c r="B1411" s="27" t="s">
        <v>834</v>
      </c>
      <c r="C1411" s="27" t="s">
        <v>857</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748</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799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775</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1233</v>
      </c>
      <c r="B1415" s="27" t="s">
        <v>712</v>
      </c>
      <c r="C1415" s="27" t="s">
        <v>741</v>
      </c>
      <c r="D1415" s="27" t="s">
        <v>714</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775</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1234</v>
      </c>
      <c r="B1417" s="27" t="s">
        <v>716</v>
      </c>
      <c r="C1417" s="27" t="s">
        <v>741</v>
      </c>
      <c r="D1417" s="27" t="s">
        <v>714</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1235</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742</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775</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1236</v>
      </c>
      <c r="B1421" s="27" t="s">
        <v>772</v>
      </c>
      <c r="C1421" s="27" t="s">
        <v>741</v>
      </c>
      <c r="D1421" s="27" t="s">
        <v>714</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622</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1237</v>
      </c>
    </row>
    <row r="1425" spans="1:12">
      <c r="A1425" s="20" t="s">
        <v>1238</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1236</v>
      </c>
      <c r="B1426" s="27" t="s">
        <v>716</v>
      </c>
      <c r="C1426" s="27" t="s">
        <v>741</v>
      </c>
      <c r="D1426" s="27" t="s">
        <v>714</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799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778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748</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778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1239</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898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748</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738</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794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1240</v>
      </c>
      <c r="B1436" s="27" t="s">
        <v>772</v>
      </c>
      <c r="C1436" s="27" t="s">
        <v>713</v>
      </c>
      <c r="D1436" s="27" t="s">
        <v>714</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748</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726</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1176</v>
      </c>
      <c r="B1439" s="27" t="s">
        <v>855</v>
      </c>
      <c r="C1439" s="27" t="s">
        <v>741</v>
      </c>
      <c r="D1439" s="27" t="s">
        <v>714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1024</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1241</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622</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row>
    <row r="1444" spans="1:12">
      <c r="A1444" s="20" t="s">
        <v>1242</v>
      </c>
    </row>
    <row r="1445" spans="1:12">
      <c r="A1445" s="20" t="s">
        <v>1203</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748</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726</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1015</v>
      </c>
      <c r="B1448" s="27" t="s">
        <v>716</v>
      </c>
      <c r="C1448" s="27" t="s">
        <v>759</v>
      </c>
      <c r="D1448" s="27" t="s">
        <v>714</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804</v>
      </c>
      <c r="B1449" s="27" t="s">
        <v>805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1017</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787</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1018</v>
      </c>
      <c r="B1452" s="27" t="s">
        <v>834</v>
      </c>
      <c r="C1452" s="27" t="s">
        <v>741</v>
      </c>
      <c r="D1452" s="27" t="s">
        <v>714</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1017</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733</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1139</v>
      </c>
      <c r="B1455" s="27" t="s">
        <v>772</v>
      </c>
      <c r="C1455" s="27" t="s">
        <v>817</v>
      </c>
      <c r="D1455" s="27" t="s">
        <v>714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897</v>
      </c>
      <c r="B1456" s="27" t="s">
        <v>798</v>
      </c>
      <c r="C1456" s="27" t="s">
        <v>741</v>
      </c>
      <c r="D1456" s="27" t="s">
        <v>714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738</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973</v>
      </c>
      <c r="B1458" s="27" t="s">
        <v>712</v>
      </c>
      <c r="C1458" s="27" t="s">
        <v>721</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1243</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622</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row>
    <row r="1462" spans="1:12">
      <c r="A1462" s="20" t="s">
        <v>1244</v>
      </c>
    </row>
    <row r="1463" spans="1:12">
      <c r="A1463" s="20" t="s">
        <v>1245</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1234</v>
      </c>
      <c r="B1464" s="27" t="s">
        <v>798</v>
      </c>
      <c r="C1464" s="27" t="s">
        <v>721</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738</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922</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1017</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1018</v>
      </c>
      <c r="B1468" s="27" t="s">
        <v>728</v>
      </c>
      <c r="C1468" s="27" t="s">
        <v>721</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804</v>
      </c>
      <c r="B1469" s="27" t="s">
        <v>902</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867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1246</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824</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1054</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1247</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892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row>
    <row r="1477" spans="1:12">
      <c r="A1477" s="20" t="s">
        <v>1248</v>
      </c>
    </row>
    <row r="1478" spans="1:12">
      <c r="A1478" s="20" t="s">
        <v>884</v>
      </c>
      <c r="B1478" s="27" t="s">
        <v>716</v>
      </c>
      <c r="C1478" s="27" t="s">
        <v>883</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1249</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831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710</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1234</v>
      </c>
      <c r="B1482" s="27" t="s">
        <v>712</v>
      </c>
      <c r="C1482" s="27" t="s">
        <v>713</v>
      </c>
      <c r="D1482" s="27" t="s">
        <v>714</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1042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row>
    <row r="1485" spans="1:12">
      <c r="A1485" s="20" t="s">
        <v>1250</v>
      </c>
    </row>
    <row r="1486" spans="1:12">
      <c r="A1486" s="20" t="s">
        <v>824</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733</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1078</v>
      </c>
      <c r="B1488" s="27" t="s">
        <v>716</v>
      </c>
      <c r="C1488" s="27" t="s">
        <v>741</v>
      </c>
      <c r="D1488" s="27" t="s">
        <v>714</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766</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1133</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622</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row>
    <row r="1493" spans="1:12">
      <c r="A1493" s="20" t="s">
        <v>1251</v>
      </c>
    </row>
    <row r="1494" spans="1:12">
      <c r="A1494" s="20" t="s">
        <v>1252</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1253</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921</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1254</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1255</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393</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804</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733</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1256</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910</v>
      </c>
      <c r="B1503" s="27" t="s">
        <v>902</v>
      </c>
      <c r="C1503" s="27" t="s">
        <v>729</v>
      </c>
      <c r="D1503" s="27" t="s">
        <v>714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719</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775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1234</v>
      </c>
      <c r="B1506" s="27" t="s">
        <v>863</v>
      </c>
      <c r="C1506" s="27" t="s">
        <v>729</v>
      </c>
      <c r="D1506" s="27" t="s">
        <v>714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719</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733</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1048</v>
      </c>
      <c r="B1509" s="27" t="s">
        <v>740</v>
      </c>
      <c r="C1509" s="27" t="s">
        <v>817</v>
      </c>
      <c r="D1509" s="27" t="s">
        <v>714</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897</v>
      </c>
      <c r="B1510" s="27" t="s">
        <v>737</v>
      </c>
      <c r="C1510" s="27" t="s">
        <v>741</v>
      </c>
      <c r="D1510" s="27" t="s">
        <v>714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12</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921</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843</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1257</v>
      </c>
      <c r="B1515" s="27" t="s">
        <v>737</v>
      </c>
      <c r="C1515" s="27" t="s">
        <v>759</v>
      </c>
      <c r="D1515" s="27" t="s">
        <v>714</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1258</v>
      </c>
      <c r="B1516" s="27" t="s">
        <v>1036</v>
      </c>
      <c r="C1516" s="27" t="s">
        <v>759</v>
      </c>
      <c r="D1516" s="27" t="s">
        <v>714</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1259</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1260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12</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12</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1261</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726</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1019</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1262</v>
      </c>
      <c r="B1524" s="27" t="s">
        <v>1195</v>
      </c>
      <c r="C1524" s="27" t="s">
        <v>741</v>
      </c>
      <c r="D1524" s="27" t="s">
        <v>714</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867</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1009</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1263</v>
      </c>
      <c r="B1527" s="27" t="s">
        <v>755</v>
      </c>
      <c r="C1527" s="27" t="s">
        <v>721</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1264</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1265</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1120</v>
      </c>
      <c r="B1530" s="27" t="s">
        <v>762</v>
      </c>
      <c r="C1530" s="27" t="s">
        <v>756</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815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804</v>
      </c>
      <c r="B1532" s="27" t="s">
        <v>1033</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1266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804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738</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800</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897</v>
      </c>
      <c r="B1537" s="27" t="s">
        <v>740</v>
      </c>
      <c r="C1537" s="27" t="s">
        <v>857</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748</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965</v>
      </c>
      <c r="B1539" s="27" t="s">
        <v>1195</v>
      </c>
      <c r="C1539" s="27" t="s">
        <v>759</v>
      </c>
      <c r="D1539" s="27" t="s">
        <v>714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1267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1264</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1268</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1269</v>
      </c>
      <c r="B1543" s="27" t="s">
        <v>1195</v>
      </c>
      <c r="C1543" s="27" t="s">
        <v>756</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1270</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767</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1271</v>
      </c>
      <c r="B1546" s="27" t="s">
        <v>740</v>
      </c>
      <c r="C1546" s="27" t="s">
        <v>857</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1070</v>
      </c>
      <c r="B1547" s="27" t="s">
        <v>747</v>
      </c>
      <c r="C1547" s="27" t="s">
        <v>759</v>
      </c>
      <c r="D1547" s="27" t="s">
        <v>714</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965</v>
      </c>
      <c r="B1548" s="27" t="s">
        <v>1272</v>
      </c>
      <c r="C1548" s="27" t="s">
        <v>759</v>
      </c>
      <c r="D1548" s="27" t="s">
        <v>714</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1273</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1264</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1274</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733</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1256</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910</v>
      </c>
      <c r="B1554" s="27" t="s">
        <v>1272</v>
      </c>
      <c r="C1554" s="27" t="s">
        <v>729</v>
      </c>
      <c r="D1554" s="27" t="s">
        <v>714</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719</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775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1275</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856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1276</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1277</v>
      </c>
      <c r="B1560" s="27" t="s">
        <v>1278</v>
      </c>
      <c r="C1560" s="27" t="s">
        <v>721</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622</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row>
    <row r="1563" spans="1:12">
      <c r="A1563" s="20" t="s">
        <v>1279</v>
      </c>
    </row>
    <row r="1564" spans="1:12">
      <c r="A1564" s="20" t="s">
        <v>846</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1256</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910</v>
      </c>
      <c r="B1566" s="27" t="s">
        <v>716</v>
      </c>
      <c r="C1566" s="27" t="s">
        <v>741</v>
      </c>
      <c r="D1566" s="27" t="s">
        <v>714</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1230</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1280</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1281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1143</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726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1015</v>
      </c>
      <c r="B1572" s="27" t="s">
        <v>712</v>
      </c>
      <c r="C1572" s="27" t="s">
        <v>759</v>
      </c>
      <c r="D1572" s="27" t="s">
        <v>714</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804</v>
      </c>
      <c r="B1573" s="27" t="s">
        <v>805</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1044</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622</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1282</v>
      </c>
    </row>
    <row r="1578" spans="1:12">
      <c r="A1578" s="20" t="s">
        <v>824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1283</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748</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738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806</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807</v>
      </c>
      <c r="B1583" s="27" t="s">
        <v>712</v>
      </c>
      <c r="C1583" s="27" t="s">
        <v>808</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1284</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733</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1285</v>
      </c>
      <c r="B1586" s="27" t="s">
        <v>798</v>
      </c>
      <c r="C1586" s="27" t="s">
        <v>741</v>
      </c>
      <c r="D1586" s="27" t="s">
        <v>714</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804</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1286</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115</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748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804</v>
      </c>
      <c r="B1591" s="27" t="s">
        <v>902</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1069</v>
      </c>
      <c r="B1592" s="27" t="s">
        <v>902</v>
      </c>
      <c r="C1592" s="27" t="s">
        <v>904</v>
      </c>
      <c r="D1592" s="27" t="s">
        <v>714</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804</v>
      </c>
      <c r="B1593" s="27" t="s">
        <v>1033</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1249</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738</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710</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1234</v>
      </c>
      <c r="B1597" s="27" t="s">
        <v>737</v>
      </c>
      <c r="C1597" s="27" t="s">
        <v>713</v>
      </c>
      <c r="D1597" s="27" t="s">
        <v>714</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719</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890</v>
      </c>
      <c r="B1599" s="27" t="s">
        <v>740</v>
      </c>
      <c r="C1599" s="27" t="s">
        <v>721</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766</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733</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1048</v>
      </c>
      <c r="B1602" s="27" t="s">
        <v>762</v>
      </c>
      <c r="C1602" s="27" t="s">
        <v>817</v>
      </c>
      <c r="D1602" s="27" t="s">
        <v>714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897</v>
      </c>
      <c r="B1603" s="27" t="s">
        <v>731</v>
      </c>
      <c r="C1603" s="27" t="s">
        <v>741</v>
      </c>
      <c r="D1603" s="27" t="s">
        <v>714</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622</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row>
    <row r="1606" spans="1:12">
      <c r="A1606" s="20" t="s">
        <v>1287</v>
      </c>
    </row>
    <row r="1607" spans="1:12">
      <c r="A1607" s="20" t="s">
        <v>1252</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787</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1288</v>
      </c>
      <c r="B1609" s="27" t="s">
        <v>712</v>
      </c>
      <c r="C1609" s="27" t="s">
        <v>741</v>
      </c>
      <c r="D1609" s="27" t="s">
        <v>714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1289</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804</v>
      </c>
      <c r="B1611" s="27" t="s">
        <v>728</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1290</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1291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956</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841</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738</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794</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1292</v>
      </c>
      <c r="B1618" s="27" t="s">
        <v>772</v>
      </c>
      <c r="C1618" s="27" t="s">
        <v>713</v>
      </c>
      <c r="D1618" s="27" t="s">
        <v>714</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622</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row>
    <row r="1621" spans="1:12">
      <c r="A1621" s="20" t="s">
        <v>1293</v>
      </c>
    </row>
    <row r="1622" spans="1:12">
      <c r="A1622" s="20" t="s">
        <v>824</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843</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1294</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918</v>
      </c>
      <c r="B1625" s="27" t="s">
        <v>728</v>
      </c>
      <c r="C1625" s="27" t="s">
        <v>759</v>
      </c>
      <c r="D1625" s="27" t="s">
        <v>714</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748</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1295</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1296</v>
      </c>
      <c r="B1628" s="27" t="s">
        <v>798</v>
      </c>
      <c r="C1628" s="27" t="s">
        <v>883</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748</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872</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856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766</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878</v>
      </c>
      <c r="B1633" s="27" t="s">
        <v>712</v>
      </c>
      <c r="C1633" s="27" t="s">
        <v>904</v>
      </c>
      <c r="D1633" s="27" t="s">
        <v>714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733</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950</v>
      </c>
      <c r="B1635" s="27" t="s">
        <v>855</v>
      </c>
      <c r="C1635" s="27" t="s">
        <v>741</v>
      </c>
      <c r="D1635" s="27" t="s">
        <v>714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804</v>
      </c>
      <c r="B1636" s="27" t="s">
        <v>755</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726</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1015</v>
      </c>
      <c r="B1638" s="27" t="s">
        <v>902</v>
      </c>
      <c r="C1638" s="27" t="s">
        <v>759</v>
      </c>
      <c r="D1638" s="27" t="s">
        <v>714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804</v>
      </c>
      <c r="B1639" s="27" t="s">
        <v>1033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1044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1297</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921</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839</v>
      </c>
      <c r="B1643" s="27" t="s">
        <v>762</v>
      </c>
      <c r="C1643" s="27" t="s">
        <v>759</v>
      </c>
      <c r="D1643" s="27" t="s">
        <v>714</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622</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row>
    <row r="1646" spans="1:12">
      <c r="A1646" s="20" t="s">
        <v>1298</v>
      </c>
    </row>
    <row r="1647" spans="1:12">
      <c r="A1647" s="20" t="s">
        <v>1299</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922</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839</v>
      </c>
      <c r="B1649" s="27" t="s">
        <v>716</v>
      </c>
      <c r="C1649" s="27" t="s">
        <v>759</v>
      </c>
      <c r="D1649" s="27" t="s">
        <v>714</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1184</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767</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1015</v>
      </c>
      <c r="B1652" s="27" t="s">
        <v>798</v>
      </c>
      <c r="C1652" s="27" t="s">
        <v>759</v>
      </c>
      <c r="D1652" s="27" t="s">
        <v>714</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804</v>
      </c>
      <c r="B1653" s="27" t="s">
        <v>805</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1044</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898</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767</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1015</v>
      </c>
      <c r="B1657" s="27" t="s">
        <v>731</v>
      </c>
      <c r="C1657" s="27" t="s">
        <v>759</v>
      </c>
      <c r="D1657" s="27" t="s">
        <v>714</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804</v>
      </c>
      <c r="B1658" s="27" t="s">
        <v>835</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1017</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1018</v>
      </c>
      <c r="B1660" s="27" t="s">
        <v>735</v>
      </c>
      <c r="C1660" s="27" t="s">
        <v>721</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804</v>
      </c>
      <c r="B1661" s="27" t="s">
        <v>840</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799</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1300</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908</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622</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row>
    <row r="1667" spans="1:12">
      <c r="A1667" s="20" t="s">
        <v>1301</v>
      </c>
    </row>
    <row r="1668" spans="1:12">
      <c r="A1668" s="20" t="s">
        <v>846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763</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1302</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1303</v>
      </c>
      <c r="B1671" s="27" t="s">
        <v>716</v>
      </c>
      <c r="C1671" s="27" t="s">
        <v>741</v>
      </c>
      <c r="D1671" s="27" t="s">
        <v>714</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774</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775</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905</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766</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843</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62</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726</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1187</v>
      </c>
      <c r="B1679" s="27" t="s">
        <v>798</v>
      </c>
      <c r="C1679" s="27" t="s">
        <v>741</v>
      </c>
      <c r="D1679" s="27" t="s">
        <v>714</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622</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row>
    <row r="1682" spans="1:12">
      <c r="A1682" s="20" t="s">
        <v>1304</v>
      </c>
    </row>
    <row r="1683" spans="1:12">
      <c r="A1683" s="20" t="s">
        <v>1197</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726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1198</v>
      </c>
      <c r="B1685" s="27" t="s">
        <v>712</v>
      </c>
      <c r="C1685" s="27" t="s">
        <v>729</v>
      </c>
      <c r="D1685" s="27" t="s">
        <v>714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719</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1199</v>
      </c>
      <c r="B1687" s="27" t="s">
        <v>772</v>
      </c>
      <c r="C1687" s="27" t="s">
        <v>721</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719</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726</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1015</v>
      </c>
      <c r="B1690" s="27" t="s">
        <v>772</v>
      </c>
      <c r="C1690" s="27" t="s">
        <v>759</v>
      </c>
      <c r="D1690" s="27" t="s">
        <v>714</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804</v>
      </c>
      <c r="B1691" s="27" t="s">
        <v>902</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1017</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787</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1018</v>
      </c>
      <c r="B1694" s="27" t="s">
        <v>755</v>
      </c>
      <c r="C1694" s="27" t="s">
        <v>741</v>
      </c>
      <c r="D1694" s="27" t="s">
        <v>714</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748</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1070</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1305</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738</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1306</v>
      </c>
      <c r="B1699" s="27" t="s">
        <v>863</v>
      </c>
      <c r="C1699" s="27" t="s">
        <v>721</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748</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742</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733</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887</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1307</v>
      </c>
      <c r="B1704" s="27" t="s">
        <v>805</v>
      </c>
      <c r="C1704" s="27" t="s">
        <v>741</v>
      </c>
      <c r="D1704" s="27" t="s">
        <v>714</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766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1308</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1309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859</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733</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847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748</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1310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733</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1306</v>
      </c>
      <c r="B1714" s="27" t="s">
        <v>716</v>
      </c>
      <c r="C1714" s="27" t="s">
        <v>729</v>
      </c>
      <c r="D1714" s="27" t="s">
        <v>714</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719</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905</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1311</v>
      </c>
      <c r="B1717" s="27" t="s">
        <v>772</v>
      </c>
      <c r="C1717" s="27" t="s">
        <v>756</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766</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905</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1312</v>
      </c>
      <c r="B1720" s="27" t="s">
        <v>712</v>
      </c>
      <c r="C1720" s="27" t="s">
        <v>756</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1224</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719</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733</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1306</v>
      </c>
      <c r="B1724" s="27" t="s">
        <v>772</v>
      </c>
      <c r="C1724" s="27" t="s">
        <v>729</v>
      </c>
      <c r="D1724" s="27" t="s">
        <v>714</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719</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800</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1307</v>
      </c>
      <c r="B1727" s="27" t="s">
        <v>731</v>
      </c>
      <c r="C1727" s="27" t="s">
        <v>857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622</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row>
    <row r="1730" spans="1:12">
      <c r="A1730" s="20" t="s">
        <v>1313</v>
      </c>
    </row>
    <row r="1731" spans="1:12">
      <c r="A1731" s="20" t="s">
        <v>791</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794</v>
      </c>
      <c r="B1732" s="27" t="s">
        <v>716</v>
      </c>
      <c r="C1732" s="27" t="s">
        <v>904</v>
      </c>
      <c r="D1732" s="27" t="s">
        <v>714</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856</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766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960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726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807</v>
      </c>
      <c r="B1737" s="27" t="s">
        <v>712</v>
      </c>
      <c r="C1737" s="27" t="s">
        <v>741</v>
      </c>
      <c r="D1737" s="27" t="s">
        <v>714</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738</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922</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1209</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726</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1015</v>
      </c>
      <c r="B1742" s="27" t="s">
        <v>855</v>
      </c>
      <c r="C1742" s="27" t="s">
        <v>741</v>
      </c>
      <c r="D1742" s="27" t="s">
        <v>714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804</v>
      </c>
      <c r="B1743" s="27" t="s">
        <v>902</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1044</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622</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row>
    <row r="1747" spans="1:12">
      <c r="A1747" s="20" t="s">
        <v>1314</v>
      </c>
    </row>
    <row r="1748" spans="1:12">
      <c r="A1748" s="20" t="s">
        <v>1299</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726</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1015</v>
      </c>
      <c r="B1750" s="27" t="s">
        <v>712</v>
      </c>
      <c r="C1750" s="27" t="s">
        <v>759</v>
      </c>
      <c r="D1750" s="27" t="s">
        <v>714</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804</v>
      </c>
      <c r="B1751" s="27" t="s">
        <v>805</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1044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748</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800</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1306</v>
      </c>
      <c r="B1755" s="27" t="s">
        <v>716</v>
      </c>
      <c r="C1755" s="27" t="s">
        <v>729</v>
      </c>
      <c r="D1755" s="27" t="s">
        <v>714</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719</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905</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1311</v>
      </c>
      <c r="B1758" s="27" t="s">
        <v>772</v>
      </c>
      <c r="C1758" s="27" t="s">
        <v>756</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766</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1315</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1225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719</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800</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1307</v>
      </c>
      <c r="B1764" s="27" t="s">
        <v>712</v>
      </c>
      <c r="C1764" s="27" t="s">
        <v>729</v>
      </c>
      <c r="D1764" s="27" t="s">
        <v>714</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719</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1306</v>
      </c>
      <c r="B1766" s="27" t="s">
        <v>772</v>
      </c>
      <c r="C1766" s="27" t="s">
        <v>721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837</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856</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877</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799</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1316</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1081</v>
      </c>
      <c r="B1772" s="27" t="s">
        <v>855</v>
      </c>
      <c r="C1772" s="27" t="s">
        <v>721</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738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1317</v>
      </c>
      <c r="B1774" s="27" t="s">
        <v>772</v>
      </c>
      <c r="C1774" s="27" t="s">
        <v>721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622</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row>
    <row r="1777" spans="1:12">
      <c r="A1777" s="20" t="s">
        <v>1318</v>
      </c>
    </row>
    <row r="1778" spans="1:12">
      <c r="A1778" s="20" t="s">
        <v>1107</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1284</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1319</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733</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950</v>
      </c>
      <c r="B1782" s="27" t="s">
        <v>798</v>
      </c>
      <c r="C1782" s="27" t="s">
        <v>741</v>
      </c>
      <c r="D1782" s="27" t="s">
        <v>714</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622</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row>
    <row r="1785" spans="1:12">
      <c r="A1785" s="20" t="s">
        <v>1320</v>
      </c>
    </row>
    <row r="1786" spans="1:12">
      <c r="A1786" s="20" t="s">
        <v>992</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738</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794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807</v>
      </c>
      <c r="B1789" s="27" t="s">
        <v>712</v>
      </c>
      <c r="C1789" s="27" t="s">
        <v>713</v>
      </c>
      <c r="D1789" s="27" t="s">
        <v>714</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748</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726</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1187</v>
      </c>
      <c r="B1792" s="27" t="s">
        <v>716</v>
      </c>
      <c r="C1792" s="27" t="s">
        <v>741</v>
      </c>
      <c r="D1792" s="27" t="s">
        <v>714</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766</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733</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1321</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1322</v>
      </c>
      <c r="B1796" s="27" t="s">
        <v>712</v>
      </c>
      <c r="C1796" s="27" t="s">
        <v>741</v>
      </c>
      <c r="D1796" s="27" t="s">
        <v>714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804</v>
      </c>
      <c r="B1797" s="27" t="s">
        <v>855</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1323</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726</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1015</v>
      </c>
      <c r="B1800" s="27" t="s">
        <v>728</v>
      </c>
      <c r="C1800" s="27" t="s">
        <v>741</v>
      </c>
      <c r="D1800" s="27" t="s">
        <v>714</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804</v>
      </c>
      <c r="B1801" s="27" t="s">
        <v>902</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1044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1143</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726</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1015</v>
      </c>
      <c r="B1805" s="27" t="s">
        <v>762</v>
      </c>
      <c r="C1805" s="27" t="s">
        <v>759</v>
      </c>
      <c r="D1805" s="27" t="s">
        <v>714</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804</v>
      </c>
      <c r="B1806" s="27" t="s">
        <v>1033</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1017</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787</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1018</v>
      </c>
      <c r="B1809" s="27" t="s">
        <v>1036</v>
      </c>
      <c r="C1809" s="27" t="s">
        <v>741</v>
      </c>
      <c r="D1809" s="27" t="s">
        <v>714</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622</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row>
    <row r="1812" spans="1:12">
      <c r="A1812" s="20" t="s">
        <v>1324</v>
      </c>
    </row>
    <row r="1813" spans="1:12">
      <c r="A1813" s="20" t="s">
        <v>815</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1187</v>
      </c>
      <c r="B1814" s="27" t="s">
        <v>716</v>
      </c>
      <c r="C1814" s="27" t="s">
        <v>741</v>
      </c>
      <c r="D1814" s="27" t="s">
        <v>714</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1024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767</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1325</v>
      </c>
      <c r="B1817" s="27" t="s">
        <v>798</v>
      </c>
      <c r="C1817" s="27" t="s">
        <v>729</v>
      </c>
      <c r="D1817" s="27" t="s">
        <v>714</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1326</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773</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878</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950</v>
      </c>
      <c r="B1821" s="27" t="s">
        <v>772</v>
      </c>
      <c r="C1821" s="27" t="s">
        <v>713</v>
      </c>
      <c r="D1821" s="27" t="s">
        <v>714</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622</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row>
    <row r="1824" spans="1:12">
      <c r="A1824" s="20" t="s">
        <v>1327</v>
      </c>
    </row>
    <row r="1825" spans="1:12">
      <c r="A1825" s="20" t="s">
        <v>1328</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748</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726</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1015</v>
      </c>
      <c r="B1828" s="27" t="s">
        <v>712</v>
      </c>
      <c r="C1828" s="27" t="s">
        <v>759</v>
      </c>
      <c r="D1828" s="27" t="s">
        <v>714</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804</v>
      </c>
      <c r="B1829" s="27" t="s">
        <v>855</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1044</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787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1018</v>
      </c>
      <c r="B1832" s="27" t="s">
        <v>728</v>
      </c>
      <c r="C1832" s="27" t="s">
        <v>741</v>
      </c>
      <c r="D1832" s="27" t="s">
        <v>714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1037</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719</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763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804</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1329</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742</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157</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1086</v>
      </c>
      <c r="B1840" s="27" t="s">
        <v>735</v>
      </c>
      <c r="C1840" s="27" t="s">
        <v>721</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622</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row>
    <row r="1843" spans="1:12">
      <c r="A1843" s="20" t="s">
        <v>722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1330</v>
      </c>
    </row>
    <row r="1845" spans="1:12">
      <c r="A1845" s="20" t="s">
        <v>1131</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738</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1331</v>
      </c>
      <c r="B1847" s="27" t="s">
        <v>712</v>
      </c>
      <c r="C1847" s="27" t="s">
        <v>721</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726</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330</v>
      </c>
      <c r="B1849" s="27" t="s">
        <v>712</v>
      </c>
      <c r="C1849" s="27" t="s">
        <v>759</v>
      </c>
      <c r="D1849" s="27" t="s">
        <v>714</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804</v>
      </c>
      <c r="B1850" s="27" t="s">
        <v>855</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1332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1333</v>
      </c>
      <c r="B1852" s="27" t="s">
        <v>728</v>
      </c>
      <c r="C1852" s="27" t="s">
        <v>721</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837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748</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1070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1334</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767</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1144</v>
      </c>
      <c r="B1858" s="27" t="s">
        <v>755</v>
      </c>
      <c r="C1858" s="27" t="s">
        <v>857</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804</v>
      </c>
      <c r="B1859" s="27" t="s">
        <v>1033</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1024</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1335</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748</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921</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942</v>
      </c>
      <c r="B1864" s="27" t="s">
        <v>737</v>
      </c>
      <c r="C1864" s="27" t="s">
        <v>721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748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905</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1160</v>
      </c>
      <c r="B1867" s="27" t="s">
        <v>772</v>
      </c>
      <c r="C1867" s="27" t="s">
        <v>729</v>
      </c>
      <c r="D1867" s="27" t="s">
        <v>714</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941</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905</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908</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1336</v>
      </c>
      <c r="B1871" s="27" t="s">
        <v>731</v>
      </c>
      <c r="C1871" s="27" t="s">
        <v>756</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742</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1337</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1338</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1028</v>
      </c>
      <c r="B1875" s="27" t="s">
        <v>755</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719</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775</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905</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896</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748</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1069</v>
      </c>
      <c r="B1881" s="27" t="s">
        <v>1195</v>
      </c>
      <c r="C1881" s="27" t="s">
        <v>904</v>
      </c>
      <c r="D1881" s="27" t="s">
        <v>714</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804</v>
      </c>
      <c r="B1882" s="27" t="s">
        <v>1278</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1001</v>
      </c>
      <c r="B1883" s="27" t="s">
        <v>1339</v>
      </c>
      <c r="C1883" s="27" t="s">
        <v>759</v>
      </c>
      <c r="D1883" s="27" t="s">
        <v>714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1340</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1341</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1069</v>
      </c>
      <c r="B1886" s="27" t="s">
        <v>1342</v>
      </c>
      <c r="C1886" s="27" t="s">
        <v>904</v>
      </c>
      <c r="D1886" s="27" t="s">
        <v>714</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804</v>
      </c>
      <c r="B1887" s="27" t="s">
        <v>1343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1024</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726</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987</v>
      </c>
      <c r="B1890" s="27" t="s">
        <v>1344</v>
      </c>
      <c r="C1890" s="27" t="s">
        <v>741</v>
      </c>
      <c r="D1890" s="27" t="s">
        <v>714</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1218</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736</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1345</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736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748</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742</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1069</v>
      </c>
      <c r="B1897" s="27" t="s">
        <v>1343</v>
      </c>
      <c r="C1897" s="27" t="s">
        <v>904</v>
      </c>
      <c r="D1897" s="27" t="s">
        <v>714</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1346</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726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1347</v>
      </c>
      <c r="B1900" s="27" t="s">
        <v>1348</v>
      </c>
      <c r="C1900" s="27" t="s">
        <v>741</v>
      </c>
      <c r="D1900" s="27" t="s">
        <v>714</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804</v>
      </c>
      <c r="B1901" s="27" t="s">
        <v>1349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1350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1351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622</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row>
    <row r="1906" spans="1:12">
      <c r="A1906" s="20" t="s">
        <v>1352</v>
      </c>
    </row>
    <row r="1907" spans="1:12">
      <c r="A1907" s="20" t="s">
        <v>815</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1015</v>
      </c>
      <c r="B1908" s="27" t="s">
        <v>716</v>
      </c>
      <c r="C1908" s="27" t="s">
        <v>741</v>
      </c>
      <c r="D1908" s="27" t="s">
        <v>714</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804</v>
      </c>
      <c r="B1909" s="27" t="s">
        <v>805</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1017</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787</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1018</v>
      </c>
      <c r="B1912" s="27" t="s">
        <v>834</v>
      </c>
      <c r="C1912" s="27" t="s">
        <v>741</v>
      </c>
      <c r="D1912" s="27" t="s">
        <v>714</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856</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1024</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1353</v>
      </c>
      <c r="B1915" s="27" t="s">
        <v>798</v>
      </c>
      <c r="C1915" s="27" t="s">
        <v>721</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738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822</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1354</v>
      </c>
      <c r="B1918" s="27" t="s">
        <v>712</v>
      </c>
      <c r="C1918" s="27" t="s">
        <v>713</v>
      </c>
      <c r="D1918" s="27" t="s">
        <v>714</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622</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row>
    <row r="1921" spans="1:12">
      <c r="A1921" s="20" t="s">
        <v>1355</v>
      </c>
    </row>
    <row r="1922" spans="1:12">
      <c r="A1922" s="20" t="s">
        <v>709</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920</v>
      </c>
      <c r="B1923" s="27" t="s">
        <v>712</v>
      </c>
      <c r="C1923" s="27" t="s">
        <v>721</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748</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839</v>
      </c>
      <c r="B1925" s="27" t="s">
        <v>716</v>
      </c>
      <c r="C1925" s="27" t="s">
        <v>759</v>
      </c>
      <c r="D1925" s="27" t="s">
        <v>714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856</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1356</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774</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1018</v>
      </c>
      <c r="B1929" s="27" t="s">
        <v>712</v>
      </c>
      <c r="C1929" s="27" t="s">
        <v>721</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748</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872</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774</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775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1081</v>
      </c>
      <c r="B1934" s="27" t="s">
        <v>712</v>
      </c>
      <c r="C1934" s="27" t="s">
        <v>729</v>
      </c>
      <c r="D1934" s="27" t="s">
        <v>714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719</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1357</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1018</v>
      </c>
      <c r="B1937" s="27" t="s">
        <v>772</v>
      </c>
      <c r="C1937" s="27" t="s">
        <v>713</v>
      </c>
      <c r="D1937" s="27" t="s">
        <v>714</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622</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row>
    <row r="1940" spans="1:12">
      <c r="A1940" s="20" t="s">
        <v>1358</v>
      </c>
    </row>
    <row r="1941" spans="1:12">
      <c r="A1941" s="20" t="s">
        <v>992</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1185</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1032</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1359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831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726</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1360</v>
      </c>
      <c r="B1947" s="27" t="s">
        <v>731</v>
      </c>
      <c r="C1947" s="27" t="s">
        <v>817</v>
      </c>
      <c r="D1947" s="27" t="s">
        <v>714</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1361</v>
      </c>
      <c r="B1948" s="27" t="s">
        <v>772</v>
      </c>
      <c r="C1948" s="27" t="s">
        <v>741</v>
      </c>
      <c r="D1948" s="27" t="s">
        <v>714</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748</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738</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1362</v>
      </c>
      <c r="B1951" s="27" t="s">
        <v>712</v>
      </c>
      <c r="C1951" s="27" t="s">
        <v>721</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856</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1359</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831</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726</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1360</v>
      </c>
      <c r="B1956" s="27" t="s">
        <v>772</v>
      </c>
      <c r="C1956" s="27" t="s">
        <v>817</v>
      </c>
      <c r="D1956" s="27" t="s">
        <v>714</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1361</v>
      </c>
      <c r="B1957" s="27" t="s">
        <v>712</v>
      </c>
      <c r="C1957" s="27" t="s">
        <v>741</v>
      </c>
      <c r="D1957" s="27" t="s">
        <v>714</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843</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1018</v>
      </c>
      <c r="B1959" s="27" t="s">
        <v>712</v>
      </c>
      <c r="C1959" s="27" t="s">
        <v>721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622</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row>
    <row r="1962" spans="1:12">
      <c r="A1962" s="20" t="s">
        <v>1363</v>
      </c>
    </row>
    <row r="1963" spans="1:12">
      <c r="A1963" s="20" t="s">
        <v>1364</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831</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726</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1360</v>
      </c>
      <c r="B1966" s="27" t="s">
        <v>772</v>
      </c>
      <c r="C1966" s="27" t="s">
        <v>817</v>
      </c>
      <c r="D1966" s="27" t="s">
        <v>714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1361</v>
      </c>
      <c r="B1967" s="27" t="s">
        <v>712</v>
      </c>
      <c r="C1967" s="27" t="s">
        <v>741</v>
      </c>
      <c r="D1967" s="27" t="s">
        <v>714</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843</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1365</v>
      </c>
      <c r="B1969" s="27" t="s">
        <v>712</v>
      </c>
      <c r="C1969" s="27" t="s">
        <v>721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1366</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622</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row>
    <row r="1973" spans="1:12">
      <c r="A1973" s="20" t="s">
        <v>1367</v>
      </c>
    </row>
    <row r="1974" spans="1:12">
      <c r="A1974" s="20" t="s">
        <v>1270</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894</v>
      </c>
      <c r="B1975" s="27" t="s">
        <v>712</v>
      </c>
      <c r="C1975" s="27" t="s">
        <v>721</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1368</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1369</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878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1370</v>
      </c>
      <c r="B1979" s="27" t="s">
        <v>798</v>
      </c>
      <c r="C1979" s="27" t="s">
        <v>713</v>
      </c>
      <c r="D1979" s="27" t="s">
        <v>714</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748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843</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800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1371</v>
      </c>
      <c r="B1983" s="27" t="s">
        <v>712</v>
      </c>
      <c r="C1983" s="27" t="s">
        <v>729</v>
      </c>
      <c r="D1983" s="27" t="s">
        <v>714</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719</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726</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1015</v>
      </c>
      <c r="B1986" s="27" t="s">
        <v>772</v>
      </c>
      <c r="C1986" s="27" t="s">
        <v>741</v>
      </c>
      <c r="D1986" s="27" t="s">
        <v>714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804</v>
      </c>
      <c r="B1987" s="27" t="s">
        <v>902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1044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748</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742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1368</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202</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831</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726</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1015</v>
      </c>
      <c r="B1995" s="27" t="s">
        <v>772</v>
      </c>
      <c r="C1995" s="27" t="s">
        <v>759</v>
      </c>
      <c r="D1995" s="27" t="s">
        <v>714</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804</v>
      </c>
      <c r="B1996" s="27" t="s">
        <v>805</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1044</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843</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1070</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1372</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726</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1015</v>
      </c>
      <c r="B2002" s="27" t="s">
        <v>755</v>
      </c>
      <c r="C2002" s="27" t="s">
        <v>759</v>
      </c>
      <c r="D2002" s="27" t="s">
        <v>714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804</v>
      </c>
      <c r="B2003" s="27" t="s">
        <v>1033</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1017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787</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1018</v>
      </c>
      <c r="B2006" s="27" t="s">
        <v>1036</v>
      </c>
      <c r="C2006" s="27" t="s">
        <v>729</v>
      </c>
      <c r="D2006" s="27" t="s">
        <v>714</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1373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1018</v>
      </c>
      <c r="B2008" s="27" t="s">
        <v>740</v>
      </c>
      <c r="C2008" s="27" t="s">
        <v>729</v>
      </c>
      <c r="D2008" s="27" t="s">
        <v>714</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719</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787</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1275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748</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726</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330</v>
      </c>
      <c r="B2014" s="27" t="s">
        <v>863</v>
      </c>
      <c r="C2014" s="27" t="s">
        <v>759</v>
      </c>
      <c r="D2014" s="27" t="s">
        <v>714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804</v>
      </c>
      <c r="B2015" s="27" t="s">
        <v>840</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1017</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787</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1018</v>
      </c>
      <c r="B2018" s="27" t="s">
        <v>1195</v>
      </c>
      <c r="C2018" s="27" t="s">
        <v>741</v>
      </c>
      <c r="D2018" s="27" t="s">
        <v>714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748</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856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1024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1374</v>
      </c>
      <c r="B2022" s="27" t="s">
        <v>728</v>
      </c>
      <c r="C2022" s="27" t="s">
        <v>721</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622</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row>
    <row r="2025" spans="1:12">
      <c r="A2025" s="20" t="s">
        <v>1375</v>
      </c>
    </row>
    <row r="2026" spans="1:12">
      <c r="A2026" s="20" t="s">
        <v>724</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733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1285</v>
      </c>
      <c r="B2028" s="27" t="s">
        <v>798</v>
      </c>
      <c r="C2028" s="27" t="s">
        <v>741</v>
      </c>
      <c r="D2028" s="27" t="s">
        <v>714</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804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1032</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1376</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738</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1306</v>
      </c>
      <c r="B2033" s="27" t="s">
        <v>731</v>
      </c>
      <c r="C2033" s="27" t="s">
        <v>721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867</v>
      </c>
      <c r="B2034" s="27" t="s">
        <v>772</v>
      </c>
      <c r="C2034" s="27" t="s">
        <v>759</v>
      </c>
      <c r="D2034" s="27" t="s">
        <v>714</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1377</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1378</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726</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1240</v>
      </c>
      <c r="B2038" s="27" t="s">
        <v>855</v>
      </c>
      <c r="C2038" s="27" t="s">
        <v>741</v>
      </c>
      <c r="D2038" s="27" t="s">
        <v>714</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804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748</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867</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1379</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738</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1306</v>
      </c>
      <c r="B2044" s="27" t="s">
        <v>762</v>
      </c>
      <c r="C2044" s="27" t="s">
        <v>721</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738</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1380</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910</v>
      </c>
      <c r="B2047" s="27" t="s">
        <v>762</v>
      </c>
      <c r="C2047" s="27" t="s">
        <v>721</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831</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726</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1381</v>
      </c>
      <c r="B2050" s="27" t="s">
        <v>762</v>
      </c>
      <c r="C2050" s="27" t="s">
        <v>729</v>
      </c>
      <c r="D2050" s="27" t="s">
        <v>714</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719</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726</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1360</v>
      </c>
      <c r="B2053" s="27" t="s">
        <v>737</v>
      </c>
      <c r="C2053" s="27" t="s">
        <v>817</v>
      </c>
      <c r="D2053" s="27" t="s">
        <v>714</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1015</v>
      </c>
      <c r="B2054" s="27" t="s">
        <v>863</v>
      </c>
      <c r="C2054" s="27" t="s">
        <v>759</v>
      </c>
      <c r="D2054" s="27" t="s">
        <v>714</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804</v>
      </c>
      <c r="B2055" s="27" t="s">
        <v>1033</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1044</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622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row>
    <row r="2059" spans="1:12">
      <c r="A2059" s="20" t="s">
        <v>1382</v>
      </c>
    </row>
    <row r="2060" spans="1:12">
      <c r="A2060" s="20" t="s">
        <v>824</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794</v>
      </c>
      <c r="B2061" s="27" t="s">
        <v>716</v>
      </c>
      <c r="C2061" s="27" t="s">
        <v>904</v>
      </c>
      <c r="D2061" s="27" t="s">
        <v>714</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766</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767</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1383</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1384</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1143</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1385</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622</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row>
    <row r="2070" spans="1:12">
      <c r="A2070" s="20" t="s">
        <v>722</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1386</v>
      </c>
    </row>
    <row r="2072" spans="1:12">
      <c r="A2072" s="20" t="s">
        <v>1154</v>
      </c>
      <c r="B2072" s="27" t="s">
        <v>716</v>
      </c>
      <c r="C2072" s="27" t="s">
        <v>965</v>
      </c>
      <c r="D2072" s="27" t="s">
        <v>714</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748</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859</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736</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1387</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736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787</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1092</v>
      </c>
      <c r="B2079" s="27" t="s">
        <v>772</v>
      </c>
      <c r="C2079" s="27" t="s">
        <v>817</v>
      </c>
      <c r="D2079" s="27" t="s">
        <v>714</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1365</v>
      </c>
      <c r="B2080" s="27" t="s">
        <v>798</v>
      </c>
      <c r="C2080" s="27" t="s">
        <v>741</v>
      </c>
      <c r="D2080" s="27" t="s">
        <v>714</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1042</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row>
    <row r="2083" spans="1:12">
      <c r="A2083" s="20" t="s">
        <v>1388</v>
      </c>
    </row>
    <row r="2084" spans="1:12">
      <c r="A2084" s="20" t="s">
        <v>1389</v>
      </c>
      <c r="B2084" s="27" t="s">
        <v>716</v>
      </c>
      <c r="C2084" s="27" t="s">
        <v>904</v>
      </c>
      <c r="D2084" s="27" t="s">
        <v>714</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766</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800</v>
      </c>
      <c r="B2086" s="27" t="s">
        <v>712</v>
      </c>
      <c r="C2086" s="27" t="s">
        <v>717</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719</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787</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1390</v>
      </c>
      <c r="B2089" s="27" t="s">
        <v>712</v>
      </c>
      <c r="C2089" s="27" t="s">
        <v>741</v>
      </c>
      <c r="D2089" s="27" t="s">
        <v>714</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804</v>
      </c>
      <c r="B2090" s="27" t="s">
        <v>805</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1391</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1392</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921</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726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1393</v>
      </c>
      <c r="B2095" s="27" t="s">
        <v>731</v>
      </c>
      <c r="C2095" s="27" t="s">
        <v>729</v>
      </c>
      <c r="D2095" s="27" t="s">
        <v>714</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719</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726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1015</v>
      </c>
      <c r="B2098" s="27" t="s">
        <v>762</v>
      </c>
      <c r="C2098" s="27" t="s">
        <v>759</v>
      </c>
      <c r="D2098" s="27" t="s">
        <v>714</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804</v>
      </c>
      <c r="B2099" s="27" t="s">
        <v>1033</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1044</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622</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row>
    <row r="2103" spans="1:12">
      <c r="A2103" s="20" t="s">
        <v>1394</v>
      </c>
    </row>
    <row r="2104" spans="1:12">
      <c r="A2104" s="20" t="s">
        <v>1395</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1396</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831</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997</v>
      </c>
      <c r="B2107" s="27" t="s">
        <v>772</v>
      </c>
      <c r="C2107" s="27" t="s">
        <v>904</v>
      </c>
      <c r="D2107" s="27" t="s">
        <v>714</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748</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1095</v>
      </c>
      <c r="B2109" s="27" t="s">
        <v>798</v>
      </c>
      <c r="C2109" s="27" t="s">
        <v>759</v>
      </c>
      <c r="D2109" s="27" t="s">
        <v>714</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1391</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738</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1397</v>
      </c>
      <c r="B2112" s="27" t="s">
        <v>712</v>
      </c>
      <c r="C2112" s="27" t="s">
        <v>721</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800</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1306</v>
      </c>
      <c r="B2114" s="27" t="s">
        <v>716</v>
      </c>
      <c r="C2114" s="27" t="s">
        <v>729</v>
      </c>
      <c r="D2114" s="27" t="s">
        <v>714</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738</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914</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1398</v>
      </c>
      <c r="B2117" s="27" t="s">
        <v>772</v>
      </c>
      <c r="C2117" s="27" t="s">
        <v>965</v>
      </c>
      <c r="D2117" s="27" t="s">
        <v>714</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719</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806</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1399</v>
      </c>
      <c r="B2120" s="27" t="s">
        <v>731</v>
      </c>
      <c r="C2120" s="27" t="s">
        <v>808</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1037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748</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804</v>
      </c>
      <c r="B2123" s="27" t="s">
        <v>805</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766</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800</v>
      </c>
      <c r="B2125" s="27" t="s">
        <v>772</v>
      </c>
      <c r="C2125" s="27" t="s">
        <v>717</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719</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787</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1400</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1401</v>
      </c>
      <c r="B2129" s="27" t="s">
        <v>731</v>
      </c>
      <c r="C2129" s="27" t="s">
        <v>729</v>
      </c>
      <c r="D2129" s="27" t="s">
        <v>714</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719</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733</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947</v>
      </c>
      <c r="B2132" s="27" t="s">
        <v>863</v>
      </c>
      <c r="C2132" s="27" t="s">
        <v>817</v>
      </c>
      <c r="D2132" s="27" t="s">
        <v>714</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897</v>
      </c>
      <c r="B2133" s="27" t="s">
        <v>762</v>
      </c>
      <c r="C2133" s="27" t="s">
        <v>741</v>
      </c>
      <c r="D2133" s="27" t="s">
        <v>714</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748</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898</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831</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922</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1396</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1402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1378</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748</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1403</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831</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787</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1013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1401</v>
      </c>
      <c r="B2146" s="27" t="s">
        <v>772</v>
      </c>
      <c r="C2146" s="27" t="s">
        <v>741</v>
      </c>
      <c r="D2146" s="27" t="s">
        <v>714</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622</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row>
    <row r="2149" spans="1:12">
      <c r="A2149" s="20" t="s">
        <v>1404</v>
      </c>
    </row>
    <row r="2150" spans="1:12">
      <c r="A2150" s="20" t="s">
        <v>824</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1405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1259</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1023</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831</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202</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831</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775</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1081</v>
      </c>
      <c r="B2158" s="27" t="s">
        <v>772</v>
      </c>
      <c r="C2158" s="27" t="s">
        <v>729</v>
      </c>
      <c r="D2158" s="27" t="s">
        <v>714</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719</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1049</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1060</v>
      </c>
      <c r="B2161" s="27" t="s">
        <v>731</v>
      </c>
      <c r="C2161" s="27" t="s">
        <v>713</v>
      </c>
      <c r="D2161" s="27" t="s">
        <v>714</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719</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1265</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1311</v>
      </c>
      <c r="B2164" s="27" t="s">
        <v>762</v>
      </c>
      <c r="C2164" s="27" t="s">
        <v>756</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748</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921</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1406</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748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109</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994</v>
      </c>
      <c r="B2170" s="27" t="s">
        <v>728</v>
      </c>
      <c r="C2170" s="27" t="s">
        <v>756</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738</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744</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745</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24</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746</v>
      </c>
      <c r="B2175" s="27" t="s">
        <v>772</v>
      </c>
      <c r="C2175" s="27" t="s">
        <v>741</v>
      </c>
      <c r="D2175" s="27" t="s">
        <v>714</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622</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row>
    <row r="2178" spans="1:12">
      <c r="A2178" s="20" t="s">
        <v>1407</v>
      </c>
    </row>
    <row r="2179" spans="1:12">
      <c r="A2179" s="20" t="s">
        <v>1127</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1408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1409</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1410</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733</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1411</v>
      </c>
      <c r="B2184" s="27" t="s">
        <v>728</v>
      </c>
      <c r="C2184" s="27" t="s">
        <v>741</v>
      </c>
      <c r="D2184" s="27" t="s">
        <v>714</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941</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787</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1268</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1412</v>
      </c>
      <c r="B2188" s="27" t="s">
        <v>772</v>
      </c>
      <c r="C2188" s="27" t="s">
        <v>729</v>
      </c>
      <c r="D2188" s="27" t="s">
        <v>714</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719</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726</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1060</v>
      </c>
      <c r="B2191" s="27" t="s">
        <v>731</v>
      </c>
      <c r="C2191" s="27" t="s">
        <v>741</v>
      </c>
      <c r="D2191" s="27" t="s">
        <v>714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748</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1413</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1414</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1068</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1149</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1039</v>
      </c>
      <c r="B2197" s="27" t="s">
        <v>798</v>
      </c>
      <c r="C2197" s="27" t="s">
        <v>857</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780</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t="s">
        <v>1415</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831</v>
      </c>
      <c r="E2200" s="21">
        <f>IF(D2200="?OLD","!!!","")</f>
        <v/>
      </c>
      <c r="F2200" s="22" t="str">
        <f>IF(OR(E2200="",E2200="!!!"),"",IF(NOT(ISNA(VLOOKUP(E2200,E$1:E2199,1,FALSE()))),"OLD",IF(AND(E2200&lt;&gt;"",E2200&lt;&gt;"!!!"),"NEW","")))</f>
        <v> </v>
      </c>
      <c r="G2200" s="23" t="str">
        <f>IF(OR(E2200="",E2200="!!!"),"",IF(OR(J2200=0,AND(J2200=1,K2200=1),AND(J2200=1,I2200="SBJ"),AND(J2200=1,I2200=0)),"?IN_FOCUS",IF(J2200&lt;=2,"?ACTIVATED",IF(J2200&lt;&gt;"","?FAMILIAR",IF(F2200="NEW",IF(ISNA(VLOOKUP(E2200,#REF!,1,FALSE())),"?TYPE_IDENTIFIABLE","?REFERENTIAL"),"_")))))</f>
        <v> </v>
      </c>
      <c r="H2200" s="24" t="str">
        <f>IF(J2200&lt;&gt;1,"",IF(I2200="SBJ","CB","?"))</f>
        <v> </v>
      </c>
      <c r="I2200" s="25" t="str">
        <f>IF(OR(E2200="",E2200="!!!",F2200="NEW"),"",INDEX(B2199:B$2,-1+SUMPRODUCT(MAX(ROW(E2199:E$2)*(E2200=E2199:E$2)))))</f>
        <v> </v>
      </c>
      <c r="J2200" s="25" t="str">
        <f>IF(OR(E2200="",E2200="!!!",F2200="NEW"),"",COUNTBLANK(OFFSET(A$1,,,SUMPRODUCT(MAX(ROW(E$2:E2200)*(E2200=E$2:E2200)))))-COUNTBLANK(OFFSET(A$1,,,SUMPRODUCT(MAX(ROW(E$1:E2199)*(E2=E$1:E2199))))))</f>
        <v> </v>
      </c>
      <c r="K2200" s="25" t="str">
        <f>IF(OR(E2200="",E2200="!!!",F2200="NEW"),"",INDEX(J$1:J2199,SUMPRODUCT(MAX(ROW(E$1:E2199)*(E2200=E$1:E2199)))))</f>
        <v> </v>
      </c>
      <c r="L2200" s="26"/>
    </row>
    <row r="2201" spans="1:12">
      <c r="A2201" s="20" t="s">
        <v>726</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1060</v>
      </c>
      <c r="B2202" s="27" t="s">
        <v>772</v>
      </c>
      <c r="C2202" s="27" t="s">
        <v>741</v>
      </c>
      <c r="D2202" s="27" t="s">
        <v>714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748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977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782</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1027</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895</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719</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1265</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1311</v>
      </c>
      <c r="B2210" s="27" t="s">
        <v>731</v>
      </c>
      <c r="C2210" s="27" t="s">
        <v>729</v>
      </c>
      <c r="D2210" s="27" t="s">
        <v>714</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719</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1060</v>
      </c>
      <c r="B2212" s="27" t="s">
        <v>762</v>
      </c>
      <c r="C2212" s="27" t="s">
        <v>721</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804</v>
      </c>
      <c r="B2213" s="27" t="s">
        <v>835</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867</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1416</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738</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1174</v>
      </c>
      <c r="B2217" s="27" t="s">
        <v>863</v>
      </c>
      <c r="C2217" s="27" t="s">
        <v>721</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1068</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1039</v>
      </c>
      <c r="B2219" s="27" t="s">
        <v>735</v>
      </c>
      <c r="C2219" s="27" t="s">
        <v>857</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742</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1417</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622</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row>
    <row r="2224" spans="1:12">
      <c r="A2224" s="20" t="s">
        <v>1418</v>
      </c>
    </row>
    <row r="2225" spans="1:12">
      <c r="A2225" s="20" t="s">
        <v>780</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719</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1081</v>
      </c>
      <c r="B2227" s="27" t="s">
        <v>712</v>
      </c>
      <c r="C2227" s="27" t="s">
        <v>721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782</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1419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804</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877</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826</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800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1420</v>
      </c>
      <c r="B2234" s="27" t="s">
        <v>855</v>
      </c>
      <c r="C2234" s="27" t="s">
        <v>857</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622</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row>
    <row r="2237" spans="1:12">
      <c r="A2237" s="20" t="s">
        <v>1421</v>
      </c>
    </row>
    <row r="2238" spans="1:12">
      <c r="A2238" s="20" t="s">
        <v>1328</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748</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1257</v>
      </c>
      <c r="B2240" s="27" t="s">
        <v>716</v>
      </c>
      <c r="C2240" s="27" t="s">
        <v>759</v>
      </c>
      <c r="D2240" s="27" t="s">
        <v>714</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1422</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21</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767</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1383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1423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748</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738</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726</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816</v>
      </c>
      <c r="B2249" s="27" t="s">
        <v>772</v>
      </c>
      <c r="C2249" s="27" t="s">
        <v>817</v>
      </c>
      <c r="D2249" s="27" t="s">
        <v>714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1424</v>
      </c>
      <c r="B2250" s="27" t="s">
        <v>712</v>
      </c>
      <c r="C2250" s="27" t="s">
        <v>741</v>
      </c>
      <c r="D2250" s="27" t="s">
        <v>714</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1425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921</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726</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1426</v>
      </c>
      <c r="B2254" s="27" t="s">
        <v>731</v>
      </c>
      <c r="C2254" s="27" t="s">
        <v>729</v>
      </c>
      <c r="D2254" s="27" t="s">
        <v>714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719</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1081</v>
      </c>
      <c r="B2256" s="27" t="s">
        <v>762</v>
      </c>
      <c r="C2256" s="27" t="s">
        <v>721</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748</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872</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1185</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1070</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1427</v>
      </c>
      <c r="B2261" s="27" t="s">
        <v>855</v>
      </c>
      <c r="C2261" s="27" t="s">
        <v>759</v>
      </c>
      <c r="D2261" s="27" t="s">
        <v>714</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1428</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763</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719</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794</v>
      </c>
      <c r="B2265" s="27" t="s">
        <v>731</v>
      </c>
      <c r="C2265" s="27" t="s">
        <v>904</v>
      </c>
      <c r="D2265" s="27" t="s">
        <v>714</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748</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800</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1132</v>
      </c>
      <c r="B2268" s="27" t="s">
        <v>855</v>
      </c>
      <c r="C2268" s="27" t="s">
        <v>857</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1429</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867</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1430</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622</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row>
    <row r="2274" spans="1:12">
      <c r="A2274" s="20" t="s">
        <v>1431</v>
      </c>
    </row>
    <row r="2275" spans="1:12">
      <c r="A2275" s="20" t="s">
        <v>1432</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1433</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1309</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1434</v>
      </c>
      <c r="B2278" s="27" t="s">
        <v>798</v>
      </c>
      <c r="C2278" s="27" t="s">
        <v>808</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831</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733</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891</v>
      </c>
      <c r="B2281" s="27" t="s">
        <v>712</v>
      </c>
      <c r="C2281" s="27" t="s">
        <v>741</v>
      </c>
      <c r="D2281" s="27" t="s">
        <v>714</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1403</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831</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726</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1434</v>
      </c>
      <c r="B2285" s="27" t="s">
        <v>712</v>
      </c>
      <c r="C2285" s="27" t="s">
        <v>741</v>
      </c>
      <c r="D2285" s="27" t="s">
        <v>714</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804</v>
      </c>
      <c r="B2286" s="27" t="s">
        <v>805</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1433</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1435</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1018</v>
      </c>
      <c r="B2289" s="27" t="s">
        <v>834</v>
      </c>
      <c r="C2289" s="27" t="s">
        <v>713</v>
      </c>
      <c r="D2289" s="27" t="s">
        <v>714</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1042</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row>
    <row r="2292" spans="1:12">
      <c r="A2292" s="20" t="s">
        <v>1436</v>
      </c>
    </row>
    <row r="2293" spans="1:12">
      <c r="A2293" s="20" t="s">
        <v>1437</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1438</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804</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1439</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849</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767</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1440</v>
      </c>
      <c r="B2299" s="27" t="s">
        <v>772</v>
      </c>
      <c r="C2299" s="27" t="s">
        <v>729</v>
      </c>
      <c r="D2299" s="27" t="s">
        <v>714</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941</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726</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1441</v>
      </c>
      <c r="B2302" s="27" t="s">
        <v>731</v>
      </c>
      <c r="C2302" s="27" t="s">
        <v>741</v>
      </c>
      <c r="D2302" s="27" t="s">
        <v>714</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622</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row>
    <row r="2305" spans="1:12">
      <c r="A2305" s="20" t="s">
        <v>1442</v>
      </c>
    </row>
    <row r="2306" spans="1:12">
      <c r="A2306" s="20" t="s">
        <v>1443</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804</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1103</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787</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1444</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1401</v>
      </c>
      <c r="B2311" s="27" t="s">
        <v>772</v>
      </c>
      <c r="C2311" s="27" t="s">
        <v>741</v>
      </c>
      <c r="D2311" s="27" t="s">
        <v>714</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1445</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804</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831</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733</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963</v>
      </c>
      <c r="B2316" s="27" t="s">
        <v>731</v>
      </c>
      <c r="C2316" s="27" t="s">
        <v>729</v>
      </c>
      <c r="D2316" s="27" t="s">
        <v>714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719</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733</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1306</v>
      </c>
      <c r="B2319" s="27" t="s">
        <v>762</v>
      </c>
      <c r="C2319" s="27" t="s">
        <v>741</v>
      </c>
      <c r="D2319" s="27" t="s">
        <v>714</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1446</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787</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1412</v>
      </c>
      <c r="B2322" s="27" t="s">
        <v>805</v>
      </c>
      <c r="C2322" s="27" t="s">
        <v>741</v>
      </c>
      <c r="D2322" s="27" t="s">
        <v>714</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1447</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1448</v>
      </c>
      <c r="B2324" s="27" t="s">
        <v>834</v>
      </c>
      <c r="C2324" s="27" t="s">
        <v>717</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748</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742</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804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1449</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800</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1450</v>
      </c>
      <c r="B2330" s="27" t="s">
        <v>755</v>
      </c>
      <c r="C2330" s="27" t="s">
        <v>729</v>
      </c>
      <c r="D2330" s="27" t="s">
        <v>714</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921</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914</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1451</v>
      </c>
      <c r="B2333" s="27" t="s">
        <v>863</v>
      </c>
      <c r="C2333" s="27" t="s">
        <v>741</v>
      </c>
      <c r="D2333" s="27" t="s">
        <v>714</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1452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856</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1453</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1454</v>
      </c>
      <c r="B2337" s="27" t="s">
        <v>735</v>
      </c>
      <c r="C2337" s="27" t="s">
        <v>717</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622</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row>
    <row r="2340" spans="1:12">
      <c r="A2340" s="20" t="s">
        <v>1455</v>
      </c>
    </row>
    <row r="2341" spans="1:12">
      <c r="A2341" s="20" t="s">
        <v>1456</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733</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1457</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1306</v>
      </c>
      <c r="B2344" s="27" t="s">
        <v>798</v>
      </c>
      <c r="C2344" s="27" t="s">
        <v>741</v>
      </c>
      <c r="D2344" s="27" t="s">
        <v>714</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1042</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row>
    <row r="2347" spans="1:12">
      <c r="A2347" s="20" t="s">
        <v>1458</v>
      </c>
    </row>
    <row r="2348" spans="1:12">
      <c r="A2348" s="20" t="s">
        <v>780</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1170</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782</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824</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1070</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1459</v>
      </c>
      <c r="B2353" s="27" t="s">
        <v>855</v>
      </c>
      <c r="C2353" s="27" t="s">
        <v>904</v>
      </c>
      <c r="D2353" s="27" t="s">
        <v>714</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896</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800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1306</v>
      </c>
      <c r="B2356" s="27" t="s">
        <v>834</v>
      </c>
      <c r="C2356" s="27" t="s">
        <v>857</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1460</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748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867</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1461</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767</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1193</v>
      </c>
      <c r="B2362" s="27" t="s">
        <v>855</v>
      </c>
      <c r="C2362" s="27" t="s">
        <v>729</v>
      </c>
      <c r="D2362" s="27" t="s">
        <v>714</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774</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t="s">
        <v>775</v>
      </c>
      <c r="E2364" s="21">
        <f>IF(D2364="?OLD","!!!","")</f>
        <v/>
      </c>
      <c r="F2364" s="22" t="str">
        <f>IF(OR(E2364="",E2364="!!!"),"",IF(NOT(ISNA(VLOOKUP(E2364,E$1:E2363,1,FALSE()))),"OLD",IF(AND(E2364&lt;&gt;"",E2364&lt;&gt;"!!!"),"NEW","")))</f>
        <v> </v>
      </c>
      <c r="G2364" s="23" t="str">
        <f>IF(OR(E2364="",E2364="!!!"),"",IF(OR(J2364=0,AND(J2364=1,K2364=1),AND(J2364=1,I2364="SBJ"),AND(J2364=1,I2364=0)),"?IN_FOCUS",IF(J2364&lt;=2,"?ACTIVATED",IF(J2364&lt;&gt;"","?FAMILIAR",IF(F2364="NEW",IF(ISNA(VLOOKUP(E2364,#REF!,1,FALSE())),"?TYPE_IDENTIFIABLE","?REFERENTIAL"),"_")))))</f>
        <v> </v>
      </c>
      <c r="H2364" s="24" t="str">
        <f>IF(J2364&lt;&gt;1,"",IF(I2364="SBJ","CB","?"))</f>
        <v> </v>
      </c>
      <c r="I2364" s="25" t="str">
        <f>IF(OR(E2364="",E2364="!!!",F2364="NEW"),"",INDEX(B2363:B$2,-1+SUMPRODUCT(MAX(ROW(E2363:E$2)*(E2364=E2363:E$2)))))</f>
        <v> </v>
      </c>
      <c r="J2364" s="25" t="str">
        <f>IF(OR(E2364="",E2364="!!!",F2364="NEW"),"",COUNTBLANK(OFFSET(A$1,,,SUMPRODUCT(MAX(ROW(E$2:E2364)*(E2364=E$2:E2364)))))-COUNTBLANK(OFFSET(A$1,,,SUMPRODUCT(MAX(ROW(E$1:E2363)*(E2=E$1:E2363))))))</f>
        <v> </v>
      </c>
      <c r="K2364" s="25" t="str">
        <f>IF(OR(E2364="",E2364="!!!",F2364="NEW"),"",INDEX(J$1:J2363,SUMPRODUCT(MAX(ROW(E$1:E2363)*(E2364=E$1:E2363)))))</f>
        <v> </v>
      </c>
      <c r="L2364" s="26"/>
    </row>
    <row r="2365" spans="1:12">
      <c r="A2365" s="20" t="s">
        <v>905</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1015</v>
      </c>
      <c r="B2366" s="27" t="s">
        <v>731</v>
      </c>
      <c r="C2366" s="27" t="s">
        <v>759</v>
      </c>
      <c r="D2366" s="27" t="s">
        <v>714</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742</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1462</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202</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831</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843</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1463</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1464</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1193</v>
      </c>
      <c r="B2374" s="27" t="s">
        <v>755</v>
      </c>
      <c r="C2374" s="27" t="s">
        <v>713</v>
      </c>
      <c r="D2374" s="27" t="s">
        <v>714</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898</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738</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1465</v>
      </c>
      <c r="B2377" s="27" t="s">
        <v>863</v>
      </c>
      <c r="C2377" s="27" t="s">
        <v>721</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856</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766</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1466</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1467</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837</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748</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1070</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1468</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738</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1014</v>
      </c>
      <c r="B2387" s="27" t="s">
        <v>737</v>
      </c>
      <c r="C2387" s="27" t="s">
        <v>729</v>
      </c>
      <c r="D2387" s="27" t="s">
        <v>714</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719</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1187</v>
      </c>
      <c r="B2389" s="27" t="s">
        <v>740</v>
      </c>
      <c r="C2389" s="27" t="s">
        <v>721</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1310</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1469</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800</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1078</v>
      </c>
      <c r="B2393" s="27" t="s">
        <v>735</v>
      </c>
      <c r="C2393" s="27" t="s">
        <v>857</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622</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row>
    <row r="2396" spans="1:12">
      <c r="A2396" s="20" t="s">
        <v>1470</v>
      </c>
    </row>
    <row r="2397" spans="1:12">
      <c r="A2397" s="20" t="s">
        <v>824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1070</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1468</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738</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1014</v>
      </c>
      <c r="B2401" s="27" t="s">
        <v>772</v>
      </c>
      <c r="C2401" s="27" t="s">
        <v>729</v>
      </c>
      <c r="D2401" s="27" t="s">
        <v>714</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719</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1081</v>
      </c>
      <c r="B2403" s="27" t="s">
        <v>731</v>
      </c>
      <c r="C2403" s="27" t="s">
        <v>721</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748</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1471</v>
      </c>
      <c r="B2405" s="27" t="s">
        <v>716</v>
      </c>
      <c r="C2405" s="27" t="s">
        <v>904</v>
      </c>
      <c r="D2405" s="27" t="s">
        <v>714</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411</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1068</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1149</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1078</v>
      </c>
      <c r="B2409" s="27" t="s">
        <v>798</v>
      </c>
      <c r="C2409" s="27" t="s">
        <v>857</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622</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row>
    <row r="2412" spans="1:12">
      <c r="A2412" s="20" t="s">
        <v>1472</v>
      </c>
    </row>
    <row r="2413" spans="1:12">
      <c r="A2413" s="20" t="s">
        <v>815</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837</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1356</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787</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1401</v>
      </c>
      <c r="B2417" s="27" t="s">
        <v>728</v>
      </c>
      <c r="C2417" s="27" t="s">
        <v>741</v>
      </c>
      <c r="D2417" s="27" t="s">
        <v>714</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804</v>
      </c>
      <c r="B2418" s="27" t="s">
        <v>902</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1473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748</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766</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767</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1474</v>
      </c>
      <c r="B2423" s="27" t="s">
        <v>712</v>
      </c>
      <c r="C2423" s="27" t="s">
        <v>857</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804</v>
      </c>
      <c r="B2424" s="27" t="s">
        <v>855</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877</v>
      </c>
      <c r="B2425" s="27" t="s">
        <v>728</v>
      </c>
      <c r="C2425" s="27" t="s">
        <v>759</v>
      </c>
      <c r="D2425" s="27" t="s">
        <v>714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1475</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719</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1476</v>
      </c>
      <c r="B2428" s="27" t="s">
        <v>772</v>
      </c>
      <c r="C2428" s="27" t="s">
        <v>729</v>
      </c>
      <c r="D2428" s="27" t="s">
        <v>714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831</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1354</v>
      </c>
      <c r="B2430" s="27" t="s">
        <v>731</v>
      </c>
      <c r="C2430" s="27" t="s">
        <v>721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774</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775</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905</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1015</v>
      </c>
      <c r="B2434" s="27" t="s">
        <v>772</v>
      </c>
      <c r="C2434" s="27" t="s">
        <v>759</v>
      </c>
      <c r="D2434" s="27" t="s">
        <v>714</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622</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row>
    <row r="2437" spans="1:12">
      <c r="A2437" s="20" t="s">
        <v>1477</v>
      </c>
    </row>
    <row r="2438" spans="1:12">
      <c r="A2438" s="20" t="s">
        <v>1238</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905</v>
      </c>
      <c r="B2439" s="27" t="s">
        <v>716</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1015</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1478</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905</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1479</v>
      </c>
      <c r="B2443" s="27" t="s">
        <v>798</v>
      </c>
      <c r="C2443" s="27" t="s">
        <v>729</v>
      </c>
      <c r="D2443" s="27" t="s">
        <v>714</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719</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1480</v>
      </c>
      <c r="B2445" s="27" t="s">
        <v>772</v>
      </c>
      <c r="C2445" s="27" t="s">
        <v>721</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1481</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622</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row>
    <row r="2449" spans="1:12">
      <c r="A2449" s="20" t="s">
        <v>1482</v>
      </c>
    </row>
    <row r="2450" spans="1:12">
      <c r="A2450" s="20" t="s">
        <v>1483</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738</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1331</v>
      </c>
      <c r="B2452" s="27" t="s">
        <v>712</v>
      </c>
      <c r="C2452" s="27" t="s">
        <v>721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905</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906</v>
      </c>
      <c r="B2454" s="27" t="s">
        <v>716</v>
      </c>
      <c r="C2454" s="27" t="s">
        <v>729</v>
      </c>
      <c r="D2454" s="27" t="s">
        <v>714</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719</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1480</v>
      </c>
      <c r="B2456" s="27" t="s">
        <v>772</v>
      </c>
      <c r="C2456" s="27" t="s">
        <v>721</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1481</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804</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839</v>
      </c>
      <c r="B2459" s="27" t="s">
        <v>855</v>
      </c>
      <c r="C2459" s="27" t="s">
        <v>759</v>
      </c>
      <c r="D2459" s="27" t="s">
        <v>714</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923</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1484</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748</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1485</v>
      </c>
      <c r="B2463" s="27" t="s">
        <v>728</v>
      </c>
      <c r="C2463" s="27" t="s">
        <v>717</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921</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1119</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1015</v>
      </c>
      <c r="B2466" s="27" t="s">
        <v>731</v>
      </c>
      <c r="C2466" s="27" t="s">
        <v>759</v>
      </c>
      <c r="D2466" s="27" t="s">
        <v>714</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622</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row>
    <row r="2469" spans="1:12">
      <c r="A2469" s="20" t="s">
        <v>1486</v>
      </c>
    </row>
    <row r="2470" spans="1:12">
      <c r="A2470" s="20" t="s">
        <v>1299</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922</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1487</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892</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row>
    <row r="2476" spans="1:12">
      <c r="A2476" s="20" t="s">
        <v>1488</v>
      </c>
    </row>
    <row r="2477" spans="1:12">
      <c r="A2477" s="20" t="s">
        <v>1151</v>
      </c>
      <c r="B2477" s="27" t="s">
        <v>712</v>
      </c>
      <c r="C2477" s="27" t="s">
        <v>883</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766</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1489</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726</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1015</v>
      </c>
      <c r="B2481" s="27" t="s">
        <v>716</v>
      </c>
      <c r="C2481" s="27" t="s">
        <v>741</v>
      </c>
      <c r="D2481" s="27" t="s">
        <v>714</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804</v>
      </c>
      <c r="B2482" s="27" t="s">
        <v>805</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1037</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914</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890</v>
      </c>
      <c r="B2485" s="27" t="s">
        <v>834</v>
      </c>
      <c r="C2485" s="27" t="s">
        <v>741</v>
      </c>
      <c r="D2485" s="27" t="s">
        <v>714</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1042</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row>
    <row r="2488" spans="1:12">
      <c r="A2488" s="20" t="s">
        <v>1490</v>
      </c>
    </row>
    <row r="2489" spans="1:12">
      <c r="A2489" s="20" t="s">
        <v>824</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971</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1487</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17</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892</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row>
    <row r="2495" spans="1:12">
      <c r="A2495" s="20" t="s">
        <v>1491</v>
      </c>
    </row>
    <row r="2496" spans="1:12">
      <c r="A2496" s="20" t="s">
        <v>1151</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789</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799</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775</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1234</v>
      </c>
      <c r="B2500" s="27" t="s">
        <v>716</v>
      </c>
      <c r="C2500" s="27" t="s">
        <v>741</v>
      </c>
      <c r="D2500" s="27" t="s">
        <v>714</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t="s">
        <v>738</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733</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897</v>
      </c>
      <c r="B2503" s="27" t="s">
        <v>712</v>
      </c>
      <c r="C2503" s="27" t="s">
        <v>729</v>
      </c>
      <c r="D2503" s="27" t="s">
        <v>714</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719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726</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1015</v>
      </c>
      <c r="B2506" s="27" t="s">
        <v>772</v>
      </c>
      <c r="C2506" s="27" t="s">
        <v>759</v>
      </c>
      <c r="D2506" s="27" t="s">
        <v>714</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804</v>
      </c>
      <c r="B2507" s="27" t="s">
        <v>902</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1017</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787</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1018</v>
      </c>
      <c r="B2510" s="27" t="s">
        <v>755</v>
      </c>
      <c r="C2510" s="27" t="s">
        <v>741</v>
      </c>
      <c r="D2510" s="27" t="s">
        <v>714</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1042</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row>
    <row r="2513" spans="1:12">
      <c r="A2513" s="20" t="s">
        <v>1492</v>
      </c>
    </row>
    <row r="2514" spans="1:12">
      <c r="A2514" s="20" t="s">
        <v>824</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867</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895</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719</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12</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12</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12</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720</v>
      </c>
      <c r="B2521" s="27" t="s">
        <v>855</v>
      </c>
      <c r="C2521" s="27" t="s">
        <v>729</v>
      </c>
      <c r="D2521" s="27" t="s">
        <v>714</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921</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1234</v>
      </c>
      <c r="B2523" s="27" t="s">
        <v>731</v>
      </c>
      <c r="C2523" s="27" t="s">
        <v>721</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867</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895</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719</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767</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1076</v>
      </c>
      <c r="B2528" s="27" t="s">
        <v>772</v>
      </c>
      <c r="C2528" s="27" t="s">
        <v>857</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1493</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622</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row>
    <row r="2532" spans="1:12">
      <c r="A2532" s="20" t="s">
        <v>1494</v>
      </c>
    </row>
    <row r="2533" spans="1:12">
      <c r="A2533" s="20" t="s">
        <v>1495</v>
      </c>
      <c r="B2533" s="27" t="s">
        <v>712</v>
      </c>
      <c r="C2533" s="27" t="s">
        <v>883</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799</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787</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1496</v>
      </c>
      <c r="B2536" s="27" t="s">
        <v>716</v>
      </c>
      <c r="C2536" s="27" t="s">
        <v>741</v>
      </c>
      <c r="D2536" s="27" t="s">
        <v>714</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804</v>
      </c>
      <c r="B2537" s="27" t="s">
        <v>834</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923</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1497</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1042</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row>
    <row r="2542" spans="1:12">
      <c r="A2542" s="20" t="s">
        <v>1498</v>
      </c>
    </row>
    <row r="2543" spans="1:12">
      <c r="A2543" s="20" t="s">
        <v>824</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748</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1499</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748</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1039</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839</v>
      </c>
      <c r="B2548" s="27" t="s">
        <v>716</v>
      </c>
      <c r="C2548" s="27" t="s">
        <v>759</v>
      </c>
      <c r="D2548" s="27" t="s">
        <v>714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841</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738</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1500</v>
      </c>
      <c r="B2551" s="27" t="s">
        <v>712</v>
      </c>
      <c r="C2551" s="27" t="s">
        <v>721</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719</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1501</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877</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t="s">
        <v>1068</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1502</v>
      </c>
      <c r="B2556" s="27" t="s">
        <v>728</v>
      </c>
      <c r="C2556" s="27" t="s">
        <v>857</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1300</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1380</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719</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733</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720</v>
      </c>
      <c r="B2561" s="27" t="s">
        <v>762</v>
      </c>
      <c r="C2561" s="27" t="s">
        <v>729</v>
      </c>
      <c r="D2561" s="27" t="s">
        <v>714</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719</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726</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1015</v>
      </c>
      <c r="B2564" s="27" t="s">
        <v>863</v>
      </c>
      <c r="C2564" s="27" t="s">
        <v>759</v>
      </c>
      <c r="D2564" s="27" t="s">
        <v>714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804</v>
      </c>
      <c r="B2565" s="27" t="s">
        <v>1033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1017</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787</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1018</v>
      </c>
      <c r="B2568" s="27" t="s">
        <v>1036</v>
      </c>
      <c r="C2568" s="27" t="s">
        <v>741</v>
      </c>
      <c r="D2568" s="27" t="s">
        <v>714</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738</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726</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1187</v>
      </c>
      <c r="B2571" s="27" t="s">
        <v>737</v>
      </c>
      <c r="C2571" s="27" t="s">
        <v>741</v>
      </c>
      <c r="D2571" s="27" t="s">
        <v>714</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622</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row>
    <row r="2574" spans="1:12">
      <c r="A2574" s="20" t="s">
        <v>1503</v>
      </c>
    </row>
    <row r="2575" spans="1:12">
      <c r="A2575" s="20" t="s">
        <v>1127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1504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719</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733</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720</v>
      </c>
      <c r="B2579" s="27" t="s">
        <v>772</v>
      </c>
      <c r="C2579" s="27" t="s">
        <v>729</v>
      </c>
      <c r="D2579" s="27" t="s">
        <v>714</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719</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726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1015</v>
      </c>
      <c r="B2582" s="27" t="s">
        <v>731</v>
      </c>
      <c r="C2582" s="27" t="s">
        <v>759</v>
      </c>
      <c r="D2582" s="27" t="s">
        <v>714</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804</v>
      </c>
      <c r="B2583" s="27" t="s">
        <v>902</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1044</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748</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766</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800</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884</v>
      </c>
      <c r="B2588" s="27" t="s">
        <v>712</v>
      </c>
      <c r="C2588" s="27" t="s">
        <v>857</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1280</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1505</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622</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row>
    <row r="2593" spans="1:12">
      <c r="A2593" s="20" t="s">
        <v>1506</v>
      </c>
    </row>
    <row r="2594" spans="1:12">
      <c r="A2594" s="20" t="s">
        <v>1107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867</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895</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719</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859</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1507</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800</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943</v>
      </c>
      <c r="B2601" s="27" t="s">
        <v>716</v>
      </c>
      <c r="C2601" s="27" t="s">
        <v>857</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1508</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622</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row>
    <row r="2605" spans="1:12">
      <c r="A2605" s="20" t="s">
        <v>1509</v>
      </c>
    </row>
    <row r="2606" spans="1:12">
      <c r="A2606" s="20" t="s">
        <v>1027</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895</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719</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859</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1510</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900</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1511</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826</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733</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943</v>
      </c>
      <c r="B2615" s="27" t="s">
        <v>716</v>
      </c>
      <c r="C2615" s="27" t="s">
        <v>741</v>
      </c>
      <c r="D2615" s="27" t="s">
        <v>714</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1032</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780</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733</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943</v>
      </c>
      <c r="B2619" s="27" t="s">
        <v>855</v>
      </c>
      <c r="C2619" s="27" t="s">
        <v>741</v>
      </c>
      <c r="D2619" s="27" t="s">
        <v>714</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782</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1512</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831</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733</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1139</v>
      </c>
      <c r="B2624" s="27" t="s">
        <v>731</v>
      </c>
      <c r="C2624" s="27" t="s">
        <v>817</v>
      </c>
      <c r="D2624" s="27" t="s">
        <v>714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897</v>
      </c>
      <c r="B2625" s="27" t="s">
        <v>772</v>
      </c>
      <c r="C2625" s="27" t="s">
        <v>741</v>
      </c>
      <c r="D2625" s="27" t="s">
        <v>714</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622</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row>
    <row r="2628" spans="1:12">
      <c r="A2628" s="20" t="s">
        <v>1513</v>
      </c>
    </row>
    <row r="2629" spans="1:12">
      <c r="A2629" s="20" t="s">
        <v>1131</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1068</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1502</v>
      </c>
      <c r="B2631" s="27" t="s">
        <v>712</v>
      </c>
      <c r="C2631" s="27" t="s">
        <v>857</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778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1460</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622</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row>
    <row r="2636" spans="1:12">
      <c r="A2636" s="20" t="s">
        <v>722</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1514</v>
      </c>
    </row>
    <row r="2638" spans="1:12">
      <c r="A2638" s="20" t="s">
        <v>1515</v>
      </c>
      <c r="B2638" s="27" t="s">
        <v>855</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856</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826</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738</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1500</v>
      </c>
      <c r="B2642" s="27" t="s">
        <v>716</v>
      </c>
      <c r="C2642" s="27" t="s">
        <v>756</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719</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1516</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822</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905</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1479</v>
      </c>
      <c r="B2647" s="27" t="s">
        <v>834</v>
      </c>
      <c r="C2647" s="27" t="s">
        <v>713</v>
      </c>
      <c r="D2647" s="27" t="s">
        <v>714</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748</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856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1517</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1518</v>
      </c>
      <c r="B2651" s="27" t="s">
        <v>798</v>
      </c>
      <c r="C2651" s="27" t="s">
        <v>717</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804</v>
      </c>
      <c r="B2652" s="27" t="s">
        <v>805</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736</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1519</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889</v>
      </c>
      <c r="B2655" s="27" t="s">
        <v>834</v>
      </c>
      <c r="C2655" s="27" t="s">
        <v>721</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736</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738</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744</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1520</v>
      </c>
      <c r="B2659" s="27" t="s">
        <v>731</v>
      </c>
      <c r="C2659" s="27" t="s">
        <v>729</v>
      </c>
      <c r="D2659" s="27" t="s">
        <v>714</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t="s">
        <v>773</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733</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720</v>
      </c>
      <c r="B2662" s="27" t="s">
        <v>762</v>
      </c>
      <c r="C2662" s="27" t="s">
        <v>741</v>
      </c>
      <c r="D2662" s="27" t="s">
        <v>714</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748</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898</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1257</v>
      </c>
      <c r="B2665" s="27" t="s">
        <v>902</v>
      </c>
      <c r="C2665" s="27" t="s">
        <v>759</v>
      </c>
      <c r="D2665" s="27" t="s">
        <v>714</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1521</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849</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767</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1522</v>
      </c>
      <c r="B2669" s="27" t="s">
        <v>762</v>
      </c>
      <c r="C2669" s="27" t="s">
        <v>729</v>
      </c>
      <c r="D2669" s="27" t="s">
        <v>714</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719</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1523</v>
      </c>
      <c r="B2671" s="27" t="s">
        <v>863</v>
      </c>
      <c r="C2671" s="27" t="s">
        <v>729</v>
      </c>
      <c r="D2671" s="27" t="s">
        <v>714</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719</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885</v>
      </c>
      <c r="B2673" s="27" t="s">
        <v>737</v>
      </c>
      <c r="C2673" s="27" t="s">
        <v>721</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748</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804</v>
      </c>
      <c r="B2675" s="27" t="s">
        <v>902</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749</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1524</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744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1520</v>
      </c>
      <c r="B2679" s="27" t="s">
        <v>755</v>
      </c>
      <c r="C2679" s="27" t="s">
        <v>729</v>
      </c>
      <c r="D2679" s="27" t="s">
        <v>714</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773</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733</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720</v>
      </c>
      <c r="B2682" s="27" t="s">
        <v>863</v>
      </c>
      <c r="C2682" s="27" t="s">
        <v>741</v>
      </c>
      <c r="D2682" s="27" t="s">
        <v>714</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921</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767</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1525</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1526</v>
      </c>
      <c r="B2686" s="27" t="s">
        <v>762</v>
      </c>
      <c r="C2686" s="27" t="s">
        <v>857</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1527</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738</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878</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973</v>
      </c>
      <c r="B2690" s="27" t="s">
        <v>762</v>
      </c>
      <c r="C2690" s="27" t="s">
        <v>713</v>
      </c>
      <c r="D2690" s="27" t="s">
        <v>714</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622</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row>
    <row r="2693" spans="1:12">
      <c r="A2693" s="20" t="s">
        <v>1528</v>
      </c>
    </row>
    <row r="2694" spans="1:12">
      <c r="A2694" s="20" t="s">
        <v>846</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1303</v>
      </c>
      <c r="B2695" s="27" t="s">
        <v>716</v>
      </c>
      <c r="C2695" s="27" t="s">
        <v>729</v>
      </c>
      <c r="D2695" s="27" t="s">
        <v>714</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774</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733</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720</v>
      </c>
      <c r="B2698" s="27" t="s">
        <v>772</v>
      </c>
      <c r="C2698" s="27" t="s">
        <v>729</v>
      </c>
      <c r="D2698" s="27" t="s">
        <v>714</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719</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726</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1015</v>
      </c>
      <c r="B2701" s="27" t="s">
        <v>731</v>
      </c>
      <c r="C2701" s="27" t="s">
        <v>759</v>
      </c>
      <c r="D2701" s="27" t="s">
        <v>714</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804</v>
      </c>
      <c r="B2702" s="27" t="s">
        <v>835</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1017</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787</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1018</v>
      </c>
      <c r="B2705" s="27" t="s">
        <v>735</v>
      </c>
      <c r="C2705" s="27" t="s">
        <v>741</v>
      </c>
      <c r="D2705" s="27" t="s">
        <v>714</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742</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733</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1529</v>
      </c>
      <c r="B2708" s="27" t="s">
        <v>737</v>
      </c>
      <c r="C2708" s="27" t="s">
        <v>729</v>
      </c>
      <c r="D2708" s="27" t="s">
        <v>714</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719</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726</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1015</v>
      </c>
      <c r="B2711" s="27" t="s">
        <v>740</v>
      </c>
      <c r="C2711" s="27" t="s">
        <v>759</v>
      </c>
      <c r="D2711" s="27" t="s">
        <v>714</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804</v>
      </c>
      <c r="B2712" s="27" t="s">
        <v>1339</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1044</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766</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1188</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1530</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738</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744</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745</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746</v>
      </c>
      <c r="B2720" s="27" t="s">
        <v>712</v>
      </c>
      <c r="C2720" s="27" t="s">
        <v>741</v>
      </c>
      <c r="D2720" s="27" t="s">
        <v>714</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748</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742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797</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799</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1039</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719</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744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1531</v>
      </c>
      <c r="B2728" s="27" t="s">
        <v>712</v>
      </c>
      <c r="C2728" s="27" t="s">
        <v>741</v>
      </c>
      <c r="D2728" s="27" t="s">
        <v>714</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921</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1497</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775</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905</v>
      </c>
      <c r="B2732" s="27" t="s">
        <v>755</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1532</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748</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914</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1533</v>
      </c>
      <c r="B2736" s="27" t="s">
        <v>805</v>
      </c>
      <c r="C2736" s="27" t="s">
        <v>729</v>
      </c>
      <c r="D2736" s="27" t="s">
        <v>714</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1534</v>
      </c>
      <c r="B2737" s="27" t="s">
        <v>762</v>
      </c>
      <c r="C2737" s="27" t="s">
        <v>965</v>
      </c>
      <c r="D2737" s="27" t="s">
        <v>714</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1024</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767</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1535</v>
      </c>
      <c r="B2740" s="27" t="s">
        <v>834</v>
      </c>
      <c r="C2740" s="27" t="s">
        <v>729</v>
      </c>
      <c r="D2740" s="27" t="s">
        <v>714</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831</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1536</v>
      </c>
      <c r="B2742" s="27" t="s">
        <v>762</v>
      </c>
      <c r="C2742" s="27" t="s">
        <v>721</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1537</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1173</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763</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719</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1538</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1539</v>
      </c>
      <c r="B2748" s="27" t="s">
        <v>835</v>
      </c>
      <c r="C2748" s="27" t="s">
        <v>729</v>
      </c>
      <c r="D2748" s="27" t="s">
        <v>714</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719</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788</v>
      </c>
      <c r="B2750" s="27" t="s">
        <v>737</v>
      </c>
      <c r="C2750" s="27" t="s">
        <v>721</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799</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1540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1541</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831</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767</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1542</v>
      </c>
      <c r="B2756" s="27" t="s">
        <v>863</v>
      </c>
      <c r="C2756" s="27" t="s">
        <v>729</v>
      </c>
      <c r="D2756" s="27" t="s">
        <v>714</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773</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1069</v>
      </c>
      <c r="B2758" s="27" t="s">
        <v>737</v>
      </c>
      <c r="C2758" s="27" t="s">
        <v>904</v>
      </c>
      <c r="D2758" s="27" t="s">
        <v>714</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804</v>
      </c>
      <c r="B2759" s="27" t="s">
        <v>1050</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830</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719</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733</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832</v>
      </c>
      <c r="B2763" s="27" t="s">
        <v>1342</v>
      </c>
      <c r="C2763" s="27" t="s">
        <v>817</v>
      </c>
      <c r="D2763" s="27" t="s">
        <v>714</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897</v>
      </c>
      <c r="B2764" s="27" t="s">
        <v>747</v>
      </c>
      <c r="C2764" s="27" t="s">
        <v>741</v>
      </c>
      <c r="D2764" s="27" t="s">
        <v>714</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742</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773</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787</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832</v>
      </c>
      <c r="B2768" s="27" t="s">
        <v>1348</v>
      </c>
      <c r="C2768" s="27" t="s">
        <v>817</v>
      </c>
      <c r="D2768" s="27" t="s">
        <v>714</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1018</v>
      </c>
      <c r="B2769" s="27" t="s">
        <v>1342</v>
      </c>
      <c r="C2769" s="27" t="s">
        <v>741</v>
      </c>
      <c r="D2769" s="27" t="s">
        <v>714</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622</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row>
    <row r="2772" spans="1:12">
      <c r="A2772" s="20" t="s">
        <v>1543</v>
      </c>
    </row>
    <row r="2773" spans="1:12">
      <c r="A2773" s="20" t="s">
        <v>824</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797</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799</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1544</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844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1520</v>
      </c>
      <c r="B2778" s="27" t="s">
        <v>716</v>
      </c>
      <c r="C2778" s="27" t="s">
        <v>808</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738</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878</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1545</v>
      </c>
      <c r="B2781" s="27" t="s">
        <v>712</v>
      </c>
      <c r="C2781" s="27" t="s">
        <v>713</v>
      </c>
      <c r="D2781" s="27" t="s">
        <v>714</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622</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row>
    <row r="2784" spans="1:12">
      <c r="A2784" s="20" t="s">
        <v>1546</v>
      </c>
    </row>
    <row r="2785" spans="1:12">
      <c r="A2785" s="20" t="s">
        <v>1299</v>
      </c>
      <c r="E2785" s="21">
        <f>IF(D2785="?OLD","!!!","")</f>
        <v/>
      </c>
      <c r="F2785" s="22" t="str">
        <f>IF(OR(E2785="",E2785="!!!"),"",IF(NOT(ISNA(VLOOKUP(E2785,E$1:E2784,1,FALSE()))),"OLD",IF(AND(E2785&lt;&gt;"",E2785&lt;&gt;"!!!"),"NEW","")))</f>
        <v> </v>
      </c>
      <c r="G2785" s="23" t="str">
        <f>IF(OR(E2785="",E2785="!!!"),"",IF(OR(J2785=0,AND(J2785=1,K2785=1),AND(J2785=1,I2785="SBJ"),AND(J2785=1,I2785=0)),"?IN_FOCUS",IF(J2785&lt;=2,"?ACTIVATED",IF(J2785&lt;&gt;"","?FAMILIAR",IF(F2785="NEW",IF(ISNA(VLOOKUP(E2785,#REF!,1,FALSE())),"?TYPE_IDENTIFIABLE","?REFERENTIAL"),"_")))))</f>
        <v> </v>
      </c>
      <c r="H2785" s="24" t="str">
        <f>IF(J2785&lt;&gt;1,"",IF(I2785="SBJ","CB","?"))</f>
        <v> </v>
      </c>
      <c r="I2785" s="25" t="str">
        <f>IF(OR(E2785="",E2785="!!!",F2785="NEW"),"",INDEX(B2784:B$2,-1+SUMPRODUCT(MAX(ROW(E2784:E$2)*(E2785=E2784:E$2)))))</f>
        <v> </v>
      </c>
      <c r="J2785" s="25" t="str">
        <f>IF(OR(E2785="",E2785="!!!",F2785="NEW"),"",COUNTBLANK(OFFSET(A$1,,,SUMPRODUCT(MAX(ROW(E$2:E2785)*(E2785=E$2:E2785)))))-COUNTBLANK(OFFSET(A$1,,,SUMPRODUCT(MAX(ROW(E$1:E2784)*(E2=E$1:E2784))))))</f>
        <v> </v>
      </c>
      <c r="K2785" s="25" t="str">
        <f>IF(OR(E2785="",E2785="!!!",F2785="NEW"),"",INDEX(J$1:J2784,SUMPRODUCT(MAX(ROW(E$1:E2784)*(E2785=E$1:E2784)))))</f>
        <v> </v>
      </c>
      <c r="L2785" s="26"/>
    </row>
    <row r="2786" spans="1:12">
      <c r="A2786" s="20" t="s">
        <v>922</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738</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744</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745</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746</v>
      </c>
      <c r="B2790" s="27" t="s">
        <v>712</v>
      </c>
      <c r="C2790" s="27" t="s">
        <v>741</v>
      </c>
      <c r="D2790" s="27" t="s">
        <v>714</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748</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1184</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1547</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849</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1548</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780</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1549</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1550</v>
      </c>
      <c r="B2798" s="27" t="s">
        <v>728</v>
      </c>
      <c r="C2798" s="27" t="s">
        <v>721</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782</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773</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733</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720</v>
      </c>
      <c r="B2802" s="27" t="s">
        <v>712</v>
      </c>
      <c r="C2802" s="27" t="s">
        <v>729</v>
      </c>
      <c r="D2802" s="27" t="s">
        <v>714</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719</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775</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905</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1015</v>
      </c>
      <c r="B2806" s="27" t="s">
        <v>772</v>
      </c>
      <c r="C2806" s="27" t="s">
        <v>759</v>
      </c>
      <c r="D2806" s="27" t="s">
        <v>714</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622</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row>
    <row r="2809" spans="1:12">
      <c r="A2809" s="20" t="s">
        <v>1551</v>
      </c>
    </row>
    <row r="2810" spans="1:12">
      <c r="A2810" s="20" t="s">
        <v>824</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733</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948</v>
      </c>
      <c r="B2812" s="27" t="s">
        <v>716</v>
      </c>
      <c r="C2812" s="27" t="s">
        <v>741</v>
      </c>
      <c r="D2812" s="27" t="s">
        <v>714</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763</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1302</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804</v>
      </c>
      <c r="B2815" s="27" t="s">
        <v>834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1184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1552</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748</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766</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804</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799</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778</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908</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622</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row>
    <row r="2826" spans="1:12">
      <c r="A2826" s="20" t="s">
        <v>1553</v>
      </c>
    </row>
    <row r="2827" spans="1:12">
      <c r="A2827" s="20" t="s">
        <v>1554</v>
      </c>
      <c r="B2827" s="27" t="s">
        <v>716</v>
      </c>
      <c r="C2827" s="27" t="s">
        <v>904</v>
      </c>
      <c r="D2827" s="27" t="s">
        <v>714</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513</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859</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800</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943</v>
      </c>
      <c r="B2831" s="27" t="s">
        <v>855</v>
      </c>
      <c r="C2831" s="27" t="s">
        <v>857</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826</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1510</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941</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733</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899</v>
      </c>
      <c r="B2836" s="27" t="s">
        <v>731</v>
      </c>
      <c r="C2836" s="27" t="s">
        <v>817</v>
      </c>
      <c r="D2836" s="27" t="s">
        <v>714</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897</v>
      </c>
      <c r="B2837" s="27" t="s">
        <v>772</v>
      </c>
      <c r="C2837" s="27" t="s">
        <v>741</v>
      </c>
      <c r="D2837" s="27" t="s">
        <v>714</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748</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742</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1499</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794</v>
      </c>
      <c r="B2841" s="27" t="s">
        <v>855</v>
      </c>
      <c r="C2841" s="27" t="s">
        <v>904</v>
      </c>
      <c r="D2841" s="27" t="s">
        <v>714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856</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797</v>
      </c>
      <c r="B2843" s="27" t="s">
        <v>728</v>
      </c>
      <c r="C2843" s="27" t="s">
        <v>759</v>
      </c>
      <c r="D2843" s="27" t="s">
        <v>714</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1009</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778</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773</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859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1507</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1555</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1556</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733</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899</v>
      </c>
      <c r="B2852" s="27" t="s">
        <v>863</v>
      </c>
      <c r="C2852" s="27" t="s">
        <v>817</v>
      </c>
      <c r="D2852" s="27" t="s">
        <v>714</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897</v>
      </c>
      <c r="B2853" s="27" t="s">
        <v>755</v>
      </c>
      <c r="C2853" s="27" t="s">
        <v>741</v>
      </c>
      <c r="D2853" s="27" t="s">
        <v>714</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742</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1557</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622</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1558</v>
      </c>
    </row>
    <row r="2859" spans="1:12">
      <c r="A2859" s="20" t="s">
        <v>1299</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1559</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797</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1068</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1502</v>
      </c>
      <c r="B2863" s="27" t="s">
        <v>728</v>
      </c>
      <c r="C2863" s="27" t="s">
        <v>729</v>
      </c>
      <c r="D2863" s="27" t="s">
        <v>714</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719</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733</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1560</v>
      </c>
      <c r="B2866" s="27" t="s">
        <v>731</v>
      </c>
      <c r="C2866" s="27" t="s">
        <v>741</v>
      </c>
      <c r="D2866" s="27" t="s">
        <v>714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748</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733</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1560</v>
      </c>
      <c r="B2869" s="27" t="s">
        <v>716</v>
      </c>
      <c r="C2869" s="27" t="s">
        <v>741</v>
      </c>
      <c r="D2869" s="27" t="s">
        <v>714</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766</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1264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1561</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622</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row>
    <row r="2875" spans="1:12">
      <c r="A2875" s="20" t="s">
        <v>722</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1562</v>
      </c>
    </row>
    <row r="2877" spans="1:12">
      <c r="A2877" s="20" t="s">
        <v>1100</v>
      </c>
      <c r="B2877" s="27" t="s">
        <v>798</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1266</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804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1070</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1563</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1564</v>
      </c>
      <c r="B2882" s="27" t="s">
        <v>834</v>
      </c>
      <c r="C2882" s="27" t="s">
        <v>717</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748</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742</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797</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1565</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748</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736</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1566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748</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1567</v>
      </c>
      <c r="B2891" s="27" t="s">
        <v>772</v>
      </c>
      <c r="C2891" s="27" t="s">
        <v>817</v>
      </c>
      <c r="D2891" s="27" t="s">
        <v>714</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1568</v>
      </c>
      <c r="B2892" s="27" t="s">
        <v>716</v>
      </c>
      <c r="C2892" s="27" t="s">
        <v>729</v>
      </c>
      <c r="D2892" s="27" t="s">
        <v>714</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742</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1481</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1569</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1570</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1571</v>
      </c>
      <c r="B2897" s="27" t="s">
        <v>772</v>
      </c>
      <c r="C2897" s="27" t="s">
        <v>756</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736</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859</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1572</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719</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733</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1139</v>
      </c>
      <c r="B2903" s="27" t="s">
        <v>863</v>
      </c>
      <c r="C2903" s="27" t="s">
        <v>817</v>
      </c>
      <c r="D2903" s="27" t="s">
        <v>714</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1573</v>
      </c>
      <c r="B2904" s="27" t="s">
        <v>762</v>
      </c>
      <c r="C2904" s="27" t="s">
        <v>741</v>
      </c>
      <c r="D2904" s="27" t="s">
        <v>714</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1042</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row>
    <row r="2907" spans="1:12">
      <c r="A2907" s="20" t="s">
        <v>1574</v>
      </c>
    </row>
    <row r="2908" spans="1:12">
      <c r="A2908" s="20" t="s">
        <v>495</v>
      </c>
      <c r="B2908" s="27" t="s">
        <v>712</v>
      </c>
      <c r="C2908" s="27" t="s">
        <v>965</v>
      </c>
      <c r="D2908" s="27" t="s">
        <v>714</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1481</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748</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1572</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1062</v>
      </c>
      <c r="B2912" s="27" t="s">
        <v>855</v>
      </c>
      <c r="C2912" s="27" t="s">
        <v>717</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773</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733</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1139</v>
      </c>
      <c r="B2915" s="27" t="s">
        <v>762</v>
      </c>
      <c r="C2915" s="27" t="s">
        <v>817</v>
      </c>
      <c r="D2915" s="27" t="s">
        <v>714</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1573</v>
      </c>
      <c r="B2916" s="27" t="s">
        <v>731</v>
      </c>
      <c r="C2916" s="27" t="s">
        <v>741</v>
      </c>
      <c r="D2916" s="27" t="s">
        <v>714</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748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872</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941</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1575</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1576</v>
      </c>
      <c r="B2921" s="27" t="s">
        <v>762</v>
      </c>
      <c r="C2921" s="27" t="s">
        <v>808</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622</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row>
    <row r="2924" spans="1:12">
      <c r="A2924" s="20" t="s">
        <v>1577</v>
      </c>
    </row>
    <row r="2925" spans="1:12">
      <c r="A2925" s="20" t="s">
        <v>1578</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1254</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767</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1383</v>
      </c>
      <c r="B2928" s="27" t="s">
        <v>798</v>
      </c>
      <c r="C2928" s="27" t="s">
        <v>729</v>
      </c>
      <c r="D2928" s="27" t="s">
        <v>714</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719</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1576</v>
      </c>
      <c r="B2930" s="27" t="s">
        <v>772</v>
      </c>
      <c r="C2930" s="27" t="s">
        <v>721</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622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row>
    <row r="2933" spans="1:12">
      <c r="A2933" s="20" t="s">
        <v>1579</v>
      </c>
    </row>
    <row r="2934" spans="1:12">
      <c r="A2934" s="20" t="s">
        <v>1127</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797</v>
      </c>
      <c r="B2935" s="27" t="s">
        <v>798</v>
      </c>
      <c r="C2935" s="27" t="s">
        <v>759</v>
      </c>
      <c r="D2935" s="27" t="s">
        <v>714</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1580</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804</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1564</v>
      </c>
      <c r="B2938" s="27" t="s">
        <v>855</v>
      </c>
      <c r="C2938" s="27" t="s">
        <v>717</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1512</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804</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733</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1139</v>
      </c>
      <c r="B2942" s="27" t="s">
        <v>762</v>
      </c>
      <c r="C2942" s="27" t="s">
        <v>817</v>
      </c>
      <c r="D2942" s="27" t="s">
        <v>714</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897</v>
      </c>
      <c r="B2943" s="27" t="s">
        <v>805</v>
      </c>
      <c r="C2943" s="27" t="s">
        <v>741</v>
      </c>
      <c r="D2943" s="27" t="s">
        <v>714</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826</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831</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726</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1536</v>
      </c>
      <c r="B2947" s="27" t="s">
        <v>772</v>
      </c>
      <c r="C2947" s="27" t="s">
        <v>729</v>
      </c>
      <c r="D2947" s="27" t="s">
        <v>714</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40</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738</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800</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1581</v>
      </c>
      <c r="B2951" s="27" t="s">
        <v>731</v>
      </c>
      <c r="C2951" s="27" t="s">
        <v>857</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1143</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1485</v>
      </c>
      <c r="B2953" s="27" t="s">
        <v>762</v>
      </c>
      <c r="C2953" s="27" t="s">
        <v>717</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831</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1582</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1583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778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1584</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773</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859</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789</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1585</v>
      </c>
      <c r="B2962" s="27" t="s">
        <v>835</v>
      </c>
      <c r="C2962" s="27" t="s">
        <v>759</v>
      </c>
      <c r="D2962" s="27" t="s">
        <v>714</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1586</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941</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726</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832</v>
      </c>
      <c r="B2966" s="27" t="s">
        <v>863</v>
      </c>
      <c r="C2966" s="27" t="s">
        <v>817</v>
      </c>
      <c r="D2966" s="27" t="s">
        <v>714</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1015</v>
      </c>
      <c r="B2967" s="27" t="s">
        <v>762</v>
      </c>
      <c r="C2967" s="27" t="s">
        <v>759</v>
      </c>
      <c r="D2967" s="27" t="s">
        <v>714</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804</v>
      </c>
      <c r="B2968" s="27" t="s">
        <v>1033</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1017</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787</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1018</v>
      </c>
      <c r="B2971" s="27" t="s">
        <v>1036</v>
      </c>
      <c r="C2971" s="27" t="s">
        <v>741</v>
      </c>
      <c r="D2971" s="27" t="s">
        <v>714</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622</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row>
    <row r="2974" spans="1:12">
      <c r="A2974" s="20" t="s">
        <v>1587</v>
      </c>
    </row>
    <row r="2975" spans="1:12">
      <c r="A2975" s="20" t="s">
        <v>1299</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922</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733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1560</v>
      </c>
      <c r="B2978" s="27" t="s">
        <v>716</v>
      </c>
      <c r="C2978" s="27" t="s">
        <v>741</v>
      </c>
      <c r="D2978" s="27" t="s">
        <v>714</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766</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1588</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622</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row>
    <row r="2983" spans="1:12">
      <c r="A2983" s="20" t="s">
        <v>1589</v>
      </c>
    </row>
    <row r="2984" spans="1:12">
      <c r="A2984" s="20" t="s">
        <v>1590</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800</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1591</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1592</v>
      </c>
      <c r="B2987" s="27" t="s">
        <v>798</v>
      </c>
      <c r="C2987" s="27" t="s">
        <v>729</v>
      </c>
      <c r="D2987" s="27" t="s">
        <v>714</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719</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884</v>
      </c>
      <c r="B2989" s="27" t="s">
        <v>772</v>
      </c>
      <c r="C2989" s="27" t="s">
        <v>721</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1593</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733</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1529</v>
      </c>
      <c r="B2992" s="27" t="s">
        <v>716</v>
      </c>
      <c r="C2992" s="27" t="s">
        <v>729</v>
      </c>
      <c r="D2992" s="27" t="s">
        <v>714</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719</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726</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1015</v>
      </c>
      <c r="B2995" s="27" t="s">
        <v>772</v>
      </c>
      <c r="C2995" s="27" t="s">
        <v>741</v>
      </c>
      <c r="D2995" s="27" t="s">
        <v>714</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t="s">
        <v>1489</v>
      </c>
      <c r="E2996" s="21">
        <f>IF(D2996="?OLD","!!!","")</f>
        <v/>
      </c>
      <c r="F2996" s="22" t="str">
        <f>IF(OR(E2996="",E2996="!!!"),"",IF(NOT(ISNA(VLOOKUP(E2996,E$1:E2995,1,FALSE()))),"OLD",IF(AND(E2996&lt;&gt;"",E2996&lt;&gt;"!!!"),"NEW","")))</f>
        <v> </v>
      </c>
      <c r="G2996" s="23" t="str">
        <f>IF(OR(E2996="",E2996="!!!"),"",IF(OR(J2996=0,AND(J2996=1,K2996=1),AND(J2996=1,I2996="SBJ"),AND(J2996=1,I2996=0)),"?IN_FOCUS",IF(J2996&lt;=2,"?ACTIVATED",IF(J2996&lt;&gt;"","?FAMILIAR",IF(F2996="NEW",IF(ISNA(VLOOKUP(E2996,#REF!,1,FALSE())),"?TYPE_IDENTIFIABLE","?REFERENTIAL"),"_")))))</f>
        <v> </v>
      </c>
      <c r="H2996" s="24" t="str">
        <f>IF(J2996&lt;&gt;1,"",IF(I2996="SBJ","CB","?"))</f>
        <v> </v>
      </c>
      <c r="I2996" s="25" t="str">
        <f>IF(OR(E2996="",E2996="!!!",F2996="NEW"),"",INDEX(B2995:B$2,-1+SUMPRODUCT(MAX(ROW(E2995:E$2)*(E2996=E2995:E$2)))))</f>
        <v> </v>
      </c>
      <c r="J2996" s="25" t="str">
        <f>IF(OR(E2996="",E2996="!!!",F2996="NEW"),"",COUNTBLANK(OFFSET(A$1,,,SUMPRODUCT(MAX(ROW(E$2:E2996)*(E2996=E$2:E2996)))))-COUNTBLANK(OFFSET(A$1,,,SUMPRODUCT(MAX(ROW(E$1:E2995)*(E2=E$1:E2995))))))</f>
        <v> </v>
      </c>
      <c r="K2996" s="25" t="str">
        <f>IF(OR(E2996="",E2996="!!!",F2996="NEW"),"",INDEX(J$1:J2995,SUMPRODUCT(MAX(ROW(E$1:E2995)*(E2996=E$1:E2995)))))</f>
        <v> </v>
      </c>
      <c r="L2996" s="26"/>
    </row>
    <row r="2997" spans="1:12">
      <c r="A2997" s="20" t="s">
        <v>622</v>
      </c>
      <c r="E2997" s="21">
        <f>IF(D2997="?OLD","!!!","")</f>
        <v/>
      </c>
      <c r="F2997" s="22" t="str">
        <f>IF(OR(E2997="",E2997="!!!"),"",IF(NOT(ISNA(VLOOKUP(E2997,E$1:E2996,1,FALSE()))),"OLD",IF(AND(E2997&lt;&gt;"",E2997&lt;&gt;"!!!"),"NEW","")))</f>
        <v> </v>
      </c>
      <c r="G2997" s="23" t="str">
        <f>IF(OR(E2997="",E2997="!!!"),"",IF(OR(J2997=0,AND(J2997=1,K2997=1),AND(J2997=1,I2997="SBJ"),AND(J2997=1,I2997=0)),"?IN_FOCUS",IF(J2997&lt;=2,"?ACTIVATED",IF(J2997&lt;&gt;"","?FAMILIAR",IF(F2997="NEW",IF(ISNA(VLOOKUP(E2997,#REF!,1,FALSE())),"?TYPE_IDENTIFIABLE","?REFERENTIAL"),"_")))))</f>
        <v> </v>
      </c>
      <c r="H2997" s="24" t="str">
        <f>IF(J2997&lt;&gt;1,"",IF(I2997="SBJ","CB","?"))</f>
        <v> </v>
      </c>
      <c r="I2997" s="25" t="str">
        <f>IF(OR(E2997="",E2997="!!!",F2997="NEW"),"",INDEX(B2996:B$2,-1+SUMPRODUCT(MAX(ROW(E2996:E$2)*(E2997=E2996:E$2)))))</f>
        <v> </v>
      </c>
      <c r="J2997" s="25" t="str">
        <f>IF(OR(E2997="",E2997="!!!",F2997="NEW"),"",COUNTBLANK(OFFSET(A$1,,,SUMPRODUCT(MAX(ROW(E$2:E2997)*(E2997=E$2:E2997)))))-COUNTBLANK(OFFSET(A$1,,,SUMPRODUCT(MAX(ROW(E$1:E2996)*(E2=E$1:E2996))))))</f>
        <v> </v>
      </c>
      <c r="K2997" s="25" t="str">
        <f>IF(OR(E2997="",E2997="!!!",F2997="NEW"),"",INDEX(J$1:J2996,SUMPRODUCT(MAX(ROW(E$1:E2996)*(E2997=E$1:E2996)))))</f>
        <v> </v>
      </c>
      <c r="L2997" s="26"/>
    </row>
    <row r="2998" spans="1:12">
      <c r="A2998" s="20"/>
    </row>
    <row r="2999" spans="1:12">
      <c r="A2999" s="20" t="s">
        <v>1594</v>
      </c>
    </row>
    <row r="3000" spans="1:12">
      <c r="A3000" s="20" t="s">
        <v>1595</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804</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726</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1596</v>
      </c>
      <c r="B3003" s="27" t="s">
        <v>805</v>
      </c>
      <c r="C3003" s="27" t="s">
        <v>741</v>
      </c>
      <c r="D3003" s="27" t="s">
        <v>714</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766</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778</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1597</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748</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744</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1598</v>
      </c>
      <c r="B3009" s="27" t="s">
        <v>855</v>
      </c>
      <c r="C3009" s="27" t="s">
        <v>741</v>
      </c>
      <c r="D3009" s="27" t="s">
        <v>714</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799</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778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1239</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622</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row>
    <row r="3015" spans="1:12">
      <c r="A3015" s="20" t="s">
        <v>1599</v>
      </c>
    </row>
    <row r="3016" spans="1:12">
      <c r="A3016" s="20" t="s">
        <v>1595</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804</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21</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789</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1266</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21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1600</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941</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787</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788</v>
      </c>
      <c r="B3025" s="27" t="s">
        <v>772</v>
      </c>
      <c r="C3025" s="27" t="s">
        <v>741</v>
      </c>
      <c r="D3025" s="27" t="s">
        <v>714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804</v>
      </c>
      <c r="B3026" s="27" t="s">
        <v>902</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877</v>
      </c>
      <c r="B3027" s="27" t="s">
        <v>755</v>
      </c>
      <c r="C3027" s="27" t="s">
        <v>759</v>
      </c>
      <c r="D3027" s="27" t="s">
        <v>714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1601</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748</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382</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719</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726</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1187</v>
      </c>
      <c r="B3033" s="27" t="s">
        <v>731</v>
      </c>
      <c r="C3033" s="27" t="s">
        <v>741</v>
      </c>
      <c r="D3033" s="27" t="s">
        <v>714</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941</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787</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788</v>
      </c>
      <c r="B3036" s="27" t="s">
        <v>731</v>
      </c>
      <c r="C3036" s="27" t="s">
        <v>741</v>
      </c>
      <c r="D3036" s="27" t="s">
        <v>714</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804</v>
      </c>
      <c r="B3037" s="27" t="s">
        <v>835</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877</v>
      </c>
      <c r="B3038" s="27" t="s">
        <v>735</v>
      </c>
      <c r="C3038" s="27" t="s">
        <v>759</v>
      </c>
      <c r="D3038" s="27" t="s">
        <v>714</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1601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622</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row>
    <row r="3042" spans="1:12">
      <c r="A3042" s="20" t="s">
        <v>1602</v>
      </c>
    </row>
    <row r="3043" spans="1:12">
      <c r="A3043" s="20" t="s">
        <v>1603</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799</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1604</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844</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1605</v>
      </c>
      <c r="B3047" s="27" t="s">
        <v>712</v>
      </c>
      <c r="C3047" s="27" t="s">
        <v>721</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748</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872</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710</v>
      </c>
      <c r="B3050" s="27" t="s">
        <v>855</v>
      </c>
      <c r="C3050" s="27" t="s">
        <v>904</v>
      </c>
      <c r="D3050" s="27" t="s">
        <v>714</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799</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1606</v>
      </c>
      <c r="B3052" s="27" t="s">
        <v>712</v>
      </c>
      <c r="C3052" s="27" t="s">
        <v>904</v>
      </c>
      <c r="D3052" s="27" t="s">
        <v>714</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1607</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622</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row>
    <row r="3056" spans="1:12">
      <c r="A3056" s="20" t="s">
        <v>1608</v>
      </c>
    </row>
    <row r="3057" spans="1:12">
      <c r="A3057" s="20" t="s">
        <v>1299</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922</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1070</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1609</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1610</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733</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720</v>
      </c>
      <c r="B3063" s="27" t="s">
        <v>728</v>
      </c>
      <c r="C3063" s="27" t="s">
        <v>729</v>
      </c>
      <c r="D3063" s="27" t="s">
        <v>714</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719</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775</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905</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1015</v>
      </c>
      <c r="B3067" s="27" t="s">
        <v>731</v>
      </c>
      <c r="C3067" s="27" t="s">
        <v>759</v>
      </c>
      <c r="D3067" s="27" t="s">
        <v>714</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748</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1611</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1220</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1550</v>
      </c>
      <c r="B3071" s="27" t="s">
        <v>798</v>
      </c>
      <c r="C3071" s="27" t="s">
        <v>721</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778</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1161</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622</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1612</v>
      </c>
    </row>
    <row r="3077" spans="1:12">
      <c r="A3077" s="20" t="s">
        <v>846</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1613</v>
      </c>
      <c r="B3078" s="27" t="s">
        <v>716</v>
      </c>
      <c r="C3078" s="27" t="s">
        <v>729</v>
      </c>
      <c r="D3078" s="27" t="s">
        <v>714</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719</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997</v>
      </c>
      <c r="B3080" s="27" t="s">
        <v>772</v>
      </c>
      <c r="C3080" s="27" t="s">
        <v>904</v>
      </c>
      <c r="D3080" s="27" t="s">
        <v>714</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804</v>
      </c>
      <c r="B3081" s="27" t="s">
        <v>755</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1259</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1614</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1615</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766</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804</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856</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1616</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202</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831</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733</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720</v>
      </c>
      <c r="B3092" s="27" t="s">
        <v>712</v>
      </c>
      <c r="C3092" s="27" t="s">
        <v>741</v>
      </c>
      <c r="D3092" s="27" t="s">
        <v>714</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843</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849</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767</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1617</v>
      </c>
      <c r="B3096" s="27" t="s">
        <v>712</v>
      </c>
      <c r="C3096" s="27" t="s">
        <v>729</v>
      </c>
      <c r="D3096" s="27" t="s">
        <v>714</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719</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726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885</v>
      </c>
      <c r="B3099" s="27" t="s">
        <v>772</v>
      </c>
      <c r="C3099" s="27" t="s">
        <v>741</v>
      </c>
      <c r="D3099" s="27" t="s">
        <v>714</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622</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row>
    <row r="3102" spans="1:12">
      <c r="A3102" s="20" t="s">
        <v>1618</v>
      </c>
    </row>
    <row r="3103" spans="1:12">
      <c r="A3103" s="20" t="s">
        <v>1027</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t="s">
        <v>895</v>
      </c>
      <c r="E3104" s="21">
        <f>IF(D3104="?OLD","!!!","")</f>
        <v/>
      </c>
      <c r="F3104" s="22" t="str">
        <f>IF(OR(E3104="",E3104="!!!"),"",IF(NOT(ISNA(VLOOKUP(E3104,E$1:E3103,1,FALSE()))),"OLD",IF(AND(E3104&lt;&gt;"",E3104&lt;&gt;"!!!"),"NEW","")))</f>
        <v> </v>
      </c>
      <c r="G3104" s="23" t="str">
        <f>IF(OR(E3104="",E3104="!!!"),"",IF(OR(J3104=0,AND(J3104=1,K3104=1),AND(J3104=1,I3104="SBJ"),AND(J3104=1,I3104=0)),"?IN_FOCUS",IF(J3104&lt;=2,"?ACTIVATED",IF(J3104&lt;&gt;"","?FAMILIAR",IF(F3104="NEW",IF(ISNA(VLOOKUP(E3104,#REF!,1,FALSE())),"?TYPE_IDENTIFIABLE","?REFERENTIAL"),"_")))))</f>
        <v> </v>
      </c>
      <c r="H3104" s="24" t="str">
        <f>IF(J3104&lt;&gt;1,"",IF(I3104="SBJ","CB","?"))</f>
        <v> </v>
      </c>
      <c r="I3104" s="25" t="str">
        <f>IF(OR(E3104="",E3104="!!!",F3104="NEW"),"",INDEX(B3103:B$2,-1+SUMPRODUCT(MAX(ROW(E3103:E$2)*(E3104=E3103:E$2)))))</f>
        <v> </v>
      </c>
      <c r="J3104" s="25" t="str">
        <f>IF(OR(E3104="",E3104="!!!",F3104="NEW"),"",COUNTBLANK(OFFSET(A$1,,,SUMPRODUCT(MAX(ROW(E$2:E3104)*(E3104=E$2:E3104)))))-COUNTBLANK(OFFSET(A$1,,,SUMPRODUCT(MAX(ROW(E$1:E3103)*(E2=E$1:E3103))))))</f>
        <v> </v>
      </c>
      <c r="K3104" s="25" t="str">
        <f>IF(OR(E3104="",E3104="!!!",F3104="NEW"),"",INDEX(J$1:J3103,SUMPRODUCT(MAX(ROW(E$1:E3103)*(E3104=E$1:E3103)))))</f>
        <v> </v>
      </c>
      <c r="L3104" s="26"/>
    </row>
    <row r="3105" spans="1:12">
      <c r="A3105" s="20" t="s">
        <v>719</v>
      </c>
      <c r="E3105" s="21">
        <f>IF(D3105="?OLD","!!!","")</f>
        <v/>
      </c>
      <c r="F3105" s="22" t="str">
        <f>IF(OR(E3105="",E3105="!!!"),"",IF(NOT(ISNA(VLOOKUP(E3105,E$1:E3104,1,FALSE()))),"OLD",IF(AND(E3105&lt;&gt;"",E3105&lt;&gt;"!!!"),"NEW","")))</f>
        <v> </v>
      </c>
      <c r="G3105" s="23" t="str">
        <f>IF(OR(E3105="",E3105="!!!"),"",IF(OR(J3105=0,AND(J3105=1,K3105=1),AND(J3105=1,I3105="SBJ"),AND(J3105=1,I3105=0)),"?IN_FOCUS",IF(J3105&lt;=2,"?ACTIVATED",IF(J3105&lt;&gt;"","?FAMILIAR",IF(F3105="NEW",IF(ISNA(VLOOKUP(E3105,#REF!,1,FALSE())),"?TYPE_IDENTIFIABLE","?REFERENTIAL"),"_")))))</f>
        <v> </v>
      </c>
      <c r="H3105" s="24" t="str">
        <f>IF(J3105&lt;&gt;1,"",IF(I3105="SBJ","CB","?"))</f>
        <v> </v>
      </c>
      <c r="I3105" s="25" t="str">
        <f>IF(OR(E3105="",E3105="!!!",F3105="NEW"),"",INDEX(B3104:B$2,-1+SUMPRODUCT(MAX(ROW(E3104:E$2)*(E3105=E3104:E$2)))))</f>
        <v> </v>
      </c>
      <c r="J3105" s="25" t="str">
        <f>IF(OR(E3105="",E3105="!!!",F3105="NEW"),"",COUNTBLANK(OFFSET(A$1,,,SUMPRODUCT(MAX(ROW(E$2:E3105)*(E3105=E$2:E3105)))))-COUNTBLANK(OFFSET(A$1,,,SUMPRODUCT(MAX(ROW(E$1:E3104)*(E2=E$1:E3104))))))</f>
        <v> </v>
      </c>
      <c r="K3105" s="25" t="str">
        <f>IF(OR(E3105="",E3105="!!!",F3105="NEW"),"",INDEX(J$1:J3104,SUMPRODUCT(MAX(ROW(E$1:E3104)*(E3105=E$1:E3104)))))</f>
        <v> </v>
      </c>
      <c r="L3105" s="26"/>
    </row>
    <row r="3106" spans="1:12">
      <c r="A3106" s="20" t="s">
        <v>905</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812</v>
      </c>
      <c r="B3107" s="27" t="s">
        <v>712</v>
      </c>
      <c r="C3107" s="27" t="s">
        <v>756</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1280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1161</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622</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row>
    <row r="3112" spans="1:12">
      <c r="A3112" s="20" t="s">
        <v>1619</v>
      </c>
    </row>
    <row r="3113" spans="1:12">
      <c r="A3113" s="20" t="s">
        <v>1270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763</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748</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778</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1620</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748</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1068</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1149</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1621</v>
      </c>
      <c r="B3121" s="27" t="s">
        <v>716</v>
      </c>
      <c r="C3121" s="27" t="s">
        <v>857</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921</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922</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856</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923</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202</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738</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973</v>
      </c>
      <c r="B3128" s="27" t="s">
        <v>731</v>
      </c>
      <c r="C3128" s="27" t="s">
        <v>721</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1622</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831</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733</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720</v>
      </c>
      <c r="B3132" s="27" t="s">
        <v>863</v>
      </c>
      <c r="C3132" s="27" t="s">
        <v>741</v>
      </c>
      <c r="D3132" s="27" t="s">
        <v>714</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766</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804</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856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1623</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1624</v>
      </c>
      <c r="B3137" s="27" t="s">
        <v>728</v>
      </c>
      <c r="C3137" s="27" t="s">
        <v>721</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831</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787</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1625</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1550</v>
      </c>
      <c r="B3141" s="27" t="s">
        <v>772</v>
      </c>
      <c r="C3141" s="27" t="s">
        <v>741</v>
      </c>
      <c r="D3141" s="27" t="s">
        <v>714</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1032</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1359</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831</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733</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897</v>
      </c>
      <c r="B3146" s="27" t="s">
        <v>772</v>
      </c>
      <c r="C3146" s="27" t="s">
        <v>741</v>
      </c>
      <c r="D3146" s="27" t="s">
        <v>714</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748</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742</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1032</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1626</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733</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897</v>
      </c>
      <c r="B3152" s="27" t="s">
        <v>728</v>
      </c>
      <c r="C3152" s="27" t="s">
        <v>741</v>
      </c>
      <c r="D3152" s="27" t="s">
        <v>714</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622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row>
    <row r="3155" spans="1:12">
      <c r="A3155" s="20" t="s">
        <v>1627</v>
      </c>
    </row>
    <row r="3156" spans="1:12">
      <c r="A3156" s="20" t="s">
        <v>1628</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748</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1070</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1629</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733</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t="s">
        <v>1133</v>
      </c>
      <c r="E3161" s="21">
        <f>IF(D3161="?OLD","!!!","")</f>
        <v/>
      </c>
      <c r="F3161" s="22" t="str">
        <f>IF(OR(E3161="",E3161="!!!"),"",IF(NOT(ISNA(VLOOKUP(E3161,E$1:E3160,1,FALSE()))),"OLD",IF(AND(E3161&lt;&gt;"",E3161&lt;&gt;"!!!"),"NEW","")))</f>
        <v> </v>
      </c>
      <c r="G3161" s="23" t="str">
        <f>IF(OR(E3161="",E3161="!!!"),"",IF(OR(J3161=0,AND(J3161=1,K3161=1),AND(J3161=1,I3161="SBJ"),AND(J3161=1,I3161=0)),"?IN_FOCUS",IF(J3161&lt;=2,"?ACTIVATED",IF(J3161&lt;&gt;"","?FAMILIAR",IF(F3161="NEW",IF(ISNA(VLOOKUP(E3161,#REF!,1,FALSE())),"?TYPE_IDENTIFIABLE","?REFERENTIAL"),"_")))))</f>
        <v> </v>
      </c>
      <c r="H3161" s="24" t="str">
        <f>IF(J3161&lt;&gt;1,"",IF(I3161="SBJ","CB","?"))</f>
        <v> </v>
      </c>
      <c r="I3161" s="25" t="str">
        <f>IF(OR(E3161="",E3161="!!!",F3161="NEW"),"",INDEX(B3160:B$2,-1+SUMPRODUCT(MAX(ROW(E3160:E$2)*(E3161=E3160:E$2)))))</f>
        <v> </v>
      </c>
      <c r="J3161" s="25" t="str">
        <f>IF(OR(E3161="",E3161="!!!",F3161="NEW"),"",COUNTBLANK(OFFSET(A$1,,,SUMPRODUCT(MAX(ROW(E$2:E3161)*(E3161=E$2:E3161)))))-COUNTBLANK(OFFSET(A$1,,,SUMPRODUCT(MAX(ROW(E$1:E3160)*(E2=E$1:E3160))))))</f>
        <v> </v>
      </c>
      <c r="K3161" s="25" t="str">
        <f>IF(OR(E3161="",E3161="!!!",F3161="NEW"),"",INDEX(J$1:J3160,SUMPRODUCT(MAX(ROW(E$1:E3160)*(E3161=E$1:E3160)))))</f>
        <v> </v>
      </c>
      <c r="L3161" s="26"/>
    </row>
    <row r="3162" spans="1:12">
      <c r="A3162" s="20" t="s">
        <v>1132</v>
      </c>
      <c r="B3162" s="27" t="s">
        <v>728</v>
      </c>
      <c r="C3162" s="27" t="s">
        <v>729</v>
      </c>
      <c r="D3162" s="27" t="s">
        <v>714</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773</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859</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826</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1489</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733</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1630</v>
      </c>
      <c r="B3168" s="27" t="s">
        <v>835</v>
      </c>
      <c r="C3168" s="27" t="s">
        <v>741</v>
      </c>
      <c r="D3168" s="27" t="s">
        <v>714</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738</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1631</v>
      </c>
      <c r="B3170" s="27" t="s">
        <v>863</v>
      </c>
      <c r="C3170" s="27" t="s">
        <v>965</v>
      </c>
      <c r="D3170" s="27" t="s">
        <v>714</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748</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856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1632</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411</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733</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1078</v>
      </c>
      <c r="B3176" s="27" t="s">
        <v>798</v>
      </c>
      <c r="C3176" s="27" t="s">
        <v>741</v>
      </c>
      <c r="D3176" s="27" t="s">
        <v>714</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1633</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622</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row>
    <row r="3180" spans="1:12">
      <c r="A3180" s="20" t="s">
        <v>1634</v>
      </c>
    </row>
    <row r="3181" spans="1:12">
      <c r="A3181" s="20" t="s">
        <v>1395</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1629</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878</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1132</v>
      </c>
      <c r="B3184" s="27" t="s">
        <v>728</v>
      </c>
      <c r="C3184" s="27" t="s">
        <v>713</v>
      </c>
      <c r="D3184" s="27" t="s">
        <v>714</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748</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1468</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804</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1635</v>
      </c>
      <c r="B3188" s="27" t="s">
        <v>855</v>
      </c>
      <c r="C3188" s="27" t="s">
        <v>904</v>
      </c>
      <c r="D3188" s="27" t="s">
        <v>714</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21</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763</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789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738</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1631</v>
      </c>
      <c r="B3193" s="27" t="s">
        <v>772</v>
      </c>
      <c r="C3193" s="27" t="s">
        <v>965</v>
      </c>
      <c r="D3193" s="27" t="s">
        <v>714</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748</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804</v>
      </c>
      <c r="B3195" s="27" t="s">
        <v>805</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738</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1636</v>
      </c>
      <c r="B3197" s="27" t="s">
        <v>772</v>
      </c>
      <c r="C3197" s="27" t="s">
        <v>965</v>
      </c>
      <c r="D3197" s="27" t="s">
        <v>714</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622</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row>
    <row r="3200" spans="1:12">
      <c r="A3200" s="20" t="s">
        <v>1637</v>
      </c>
    </row>
    <row r="3201" spans="1:12">
      <c r="A3201" s="20" t="s">
        <v>780</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1638</v>
      </c>
      <c r="B3202" s="27" t="s">
        <v>772</v>
      </c>
      <c r="C3202" s="27" t="s">
        <v>965</v>
      </c>
      <c r="D3202" s="27" t="s">
        <v>714</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782</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985</v>
      </c>
      <c r="B3204" s="27" t="s">
        <v>716</v>
      </c>
      <c r="C3204" s="27" t="s">
        <v>904</v>
      </c>
      <c r="D3204" s="27" t="s">
        <v>714</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804</v>
      </c>
      <c r="B3205" s="27" t="s">
        <v>805</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1249</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766</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804</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1032</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1468</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831</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733</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897</v>
      </c>
      <c r="B3213" s="27" t="s">
        <v>772</v>
      </c>
      <c r="C3213" s="27" t="s">
        <v>729</v>
      </c>
      <c r="D3213" s="27" t="s">
        <v>714</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738</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1631</v>
      </c>
      <c r="B3215" s="27" t="s">
        <v>731</v>
      </c>
      <c r="C3215" s="27" t="s">
        <v>965</v>
      </c>
      <c r="D3215" s="27" t="s">
        <v>714</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748</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1540</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1415</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831</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726</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1639</v>
      </c>
      <c r="B3221" s="27" t="s">
        <v>772</v>
      </c>
      <c r="C3221" s="27" t="s">
        <v>729</v>
      </c>
      <c r="D3221" s="27" t="s">
        <v>714</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774</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733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1631</v>
      </c>
      <c r="B3224" s="27" t="s">
        <v>731</v>
      </c>
      <c r="C3224" s="27" t="s">
        <v>965</v>
      </c>
      <c r="D3224" s="27" t="s">
        <v>714</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898</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844</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1640</v>
      </c>
      <c r="B3227" s="27" t="s">
        <v>762</v>
      </c>
      <c r="C3227" s="27" t="s">
        <v>721</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748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742</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849</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942</v>
      </c>
      <c r="B3231" s="27" t="s">
        <v>772</v>
      </c>
      <c r="C3231" s="27" t="s">
        <v>721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1049</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1641</v>
      </c>
      <c r="B3233" s="27" t="s">
        <v>855</v>
      </c>
      <c r="C3233" s="27" t="s">
        <v>713</v>
      </c>
      <c r="D3233" s="27" t="s">
        <v>714</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766</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773</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726</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1642</v>
      </c>
      <c r="B3237" s="27" t="s">
        <v>712</v>
      </c>
      <c r="C3237" s="27" t="s">
        <v>741</v>
      </c>
      <c r="D3237" s="27" t="s">
        <v>714</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622</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row>
    <row r="3240" spans="1:12">
      <c r="A3240" s="20" t="s">
        <v>1643</v>
      </c>
    </row>
    <row r="3241" spans="1:12">
      <c r="A3241" s="20" t="s">
        <v>1644</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748</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1645</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804</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726</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1642</v>
      </c>
      <c r="B3246" s="27" t="s">
        <v>855</v>
      </c>
      <c r="C3246" s="27" t="s">
        <v>741</v>
      </c>
      <c r="D3246" s="27" t="s">
        <v>714</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856</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826</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1646</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1481</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1597</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921</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726</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1015</v>
      </c>
      <c r="B3254" s="27" t="s">
        <v>731</v>
      </c>
      <c r="C3254" s="27" t="s">
        <v>759</v>
      </c>
      <c r="D3254" s="27" t="s">
        <v>714</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804</v>
      </c>
      <c r="B3255" s="27" t="s">
        <v>902</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1017</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787</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1018</v>
      </c>
      <c r="B3258" s="27" t="s">
        <v>755</v>
      </c>
      <c r="C3258" s="27" t="s">
        <v>741</v>
      </c>
      <c r="D3258" s="27" t="s">
        <v>714</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742</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t="s">
        <v>856</v>
      </c>
      <c r="E3260" s="21">
        <f>IF(D3260="?OLD","!!!","")</f>
        <v/>
      </c>
      <c r="F3260" s="22" t="str">
        <f>IF(OR(E3260="",E3260="!!!"),"",IF(NOT(ISNA(VLOOKUP(E3260,E$1:E3259,1,FALSE()))),"OLD",IF(AND(E3260&lt;&gt;"",E3260&lt;&gt;"!!!"),"NEW","")))</f>
        <v> </v>
      </c>
      <c r="G3260" s="23" t="str">
        <f>IF(OR(E3260="",E3260="!!!"),"",IF(OR(J3260=0,AND(J3260=1,K3260=1),AND(J3260=1,I3260="SBJ"),AND(J3260=1,I3260=0)),"?IN_FOCUS",IF(J3260&lt;=2,"?ACTIVATED",IF(J3260&lt;&gt;"","?FAMILIAR",IF(F3260="NEW",IF(ISNA(VLOOKUP(E3260,#REF!,1,FALSE())),"?TYPE_IDENTIFIABLE","?REFERENTIAL"),"_")))))</f>
        <v> </v>
      </c>
      <c r="H3260" s="24" t="str">
        <f>IF(J3260&lt;&gt;1,"",IF(I3260="SBJ","CB","?"))</f>
        <v> </v>
      </c>
      <c r="I3260" s="25" t="str">
        <f>IF(OR(E3260="",E3260="!!!",F3260="NEW"),"",INDEX(B3259:B$2,-1+SUMPRODUCT(MAX(ROW(E3259:E$2)*(E3260=E3259:E$2)))))</f>
        <v> </v>
      </c>
      <c r="J3260" s="25" t="str">
        <f>IF(OR(E3260="",E3260="!!!",F3260="NEW"),"",COUNTBLANK(OFFSET(A$1,,,SUMPRODUCT(MAX(ROW(E$2:E3260)*(E3260=E$2:E3260)))))-COUNTBLANK(OFFSET(A$1,,,SUMPRODUCT(MAX(ROW(E$1:E3259)*(E2=E$1:E3259))))))</f>
        <v> </v>
      </c>
      <c r="K3260" s="25" t="str">
        <f>IF(OR(E3260="",E3260="!!!",F3260="NEW"),"",INDEX(J$1:J3259,SUMPRODUCT(MAX(ROW(E$1:E3259)*(E3260=E$1:E3259)))))</f>
        <v> </v>
      </c>
      <c r="L3260" s="26"/>
    </row>
    <row r="3261" spans="1:12">
      <c r="A3261" s="20" t="s">
        <v>826</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778</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1597</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921</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726</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1015</v>
      </c>
      <c r="B3266" s="27" t="s">
        <v>863</v>
      </c>
      <c r="C3266" s="27" t="s">
        <v>759</v>
      </c>
      <c r="D3266" s="27" t="s">
        <v>714</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804</v>
      </c>
      <c r="B3267" s="27" t="s">
        <v>840</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1647</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804</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766</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1069</v>
      </c>
      <c r="B3271" s="27" t="s">
        <v>740</v>
      </c>
      <c r="C3271" s="27" t="s">
        <v>904</v>
      </c>
      <c r="D3271" s="27" t="s">
        <v>714</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804</v>
      </c>
      <c r="B3272" s="27" t="s">
        <v>1339</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1648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859</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789</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799</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787</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788</v>
      </c>
      <c r="B3278" s="27" t="s">
        <v>747</v>
      </c>
      <c r="C3278" s="27" t="s">
        <v>741</v>
      </c>
      <c r="D3278" s="27" t="s">
        <v>714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622</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row>
    <row r="3281" spans="1:12">
      <c r="A3281" s="20" t="s">
        <v>1649</v>
      </c>
    </row>
    <row r="3282" spans="1:12">
      <c r="A3282" s="20" t="s">
        <v>791</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1650</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726</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1015</v>
      </c>
      <c r="B3285" s="27" t="s">
        <v>855</v>
      </c>
      <c r="C3285" s="27" t="s">
        <v>759</v>
      </c>
      <c r="D3285" s="27" t="s">
        <v>714</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804</v>
      </c>
      <c r="B3286" s="27" t="s">
        <v>902</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1647</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766</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738</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1651</v>
      </c>
      <c r="B3290" s="27" t="s">
        <v>712</v>
      </c>
      <c r="C3290" s="27" t="s">
        <v>721</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748</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1471</v>
      </c>
      <c r="B3292" s="27" t="s">
        <v>798</v>
      </c>
      <c r="C3292" s="27" t="s">
        <v>904</v>
      </c>
      <c r="D3292" s="27" t="s">
        <v>714</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551</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12</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12</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1652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788</v>
      </c>
      <c r="B3297" s="27" t="s">
        <v>855</v>
      </c>
      <c r="C3297" s="27" t="s">
        <v>808</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1653</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748</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831</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733</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963</v>
      </c>
      <c r="B3302" s="27" t="s">
        <v>712</v>
      </c>
      <c r="C3302" s="27" t="s">
        <v>741</v>
      </c>
      <c r="D3302" s="27" t="s">
        <v>714</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748</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1654</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867</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738</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1631</v>
      </c>
      <c r="B3307" s="27" t="s">
        <v>772</v>
      </c>
      <c r="C3307" s="27" t="s">
        <v>965</v>
      </c>
      <c r="D3307" s="27" t="s">
        <v>714</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622</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row>
    <row r="3310" spans="1:12">
      <c r="A3310" s="20" t="s">
        <v>1655</v>
      </c>
    </row>
    <row r="3311" spans="1:12">
      <c r="A3311" s="20" t="s">
        <v>992</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766</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1656</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1657</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884</v>
      </c>
      <c r="B3315" s="27" t="s">
        <v>834</v>
      </c>
      <c r="C3315" s="27" t="s">
        <v>883</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1658</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831</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787</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788</v>
      </c>
      <c r="B3319" s="27" t="s">
        <v>731</v>
      </c>
      <c r="C3319" s="27" t="s">
        <v>741</v>
      </c>
      <c r="D3319" s="27" t="s">
        <v>714</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804</v>
      </c>
      <c r="B3320" s="27" t="s">
        <v>835</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867</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1659</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738</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1631</v>
      </c>
      <c r="B3324" s="27" t="s">
        <v>863</v>
      </c>
      <c r="C3324" s="27" t="s">
        <v>965</v>
      </c>
      <c r="D3324" s="27" t="s">
        <v>714</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738</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733</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1660</v>
      </c>
      <c r="B3327" s="27" t="s">
        <v>863</v>
      </c>
      <c r="C3327" s="27" t="s">
        <v>741</v>
      </c>
      <c r="D3327" s="27" t="s">
        <v>714</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719</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21</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763</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789</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622</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row>
    <row r="3334" spans="1:12">
      <c r="A3334" s="20" t="s">
        <v>1661</v>
      </c>
    </row>
    <row r="3335" spans="1:12">
      <c r="A3335" s="20" t="s">
        <v>1644</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748</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726</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1015</v>
      </c>
      <c r="B3338" s="27" t="s">
        <v>716</v>
      </c>
      <c r="C3338" s="27" t="s">
        <v>759</v>
      </c>
      <c r="D3338" s="27" t="s">
        <v>714</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804</v>
      </c>
      <c r="B3339" s="27" t="s">
        <v>805</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1017</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787</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1018</v>
      </c>
      <c r="B3342" s="27" t="s">
        <v>834</v>
      </c>
      <c r="C3342" s="27" t="s">
        <v>741</v>
      </c>
      <c r="D3342" s="27" t="s">
        <v>714</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856</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1662</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1130</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1489</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622</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row>
    <row r="3349" spans="1:12">
      <c r="A3349" s="20" t="s">
        <v>1663</v>
      </c>
    </row>
    <row r="3350" spans="1:12">
      <c r="A3350" s="20" t="s">
        <v>1664</v>
      </c>
      <c r="B3350" s="27" t="s">
        <v>798</v>
      </c>
      <c r="C3350" s="27" t="s">
        <v>759</v>
      </c>
      <c r="D3350" s="27" t="s">
        <v>714</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1665</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622</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row>
    <row r="3354" spans="1:12">
      <c r="A3354" s="20" t="s">
        <v>1666</v>
      </c>
    </row>
    <row r="3355" spans="1:12">
      <c r="A3355" s="20" t="s">
        <v>791</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800</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884</v>
      </c>
      <c r="B3357" s="27" t="s">
        <v>716</v>
      </c>
      <c r="C3357" s="27" t="s">
        <v>857</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1658</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622</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row>
    <row r="3361" spans="1:12">
      <c r="A3361" s="20" t="s">
        <v>1667</v>
      </c>
    </row>
    <row r="3362" spans="1:12">
      <c r="A3362" s="20" t="s">
        <v>1668</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719</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21</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763</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789</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748</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1000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1032</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877</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t="s">
        <v>830</v>
      </c>
      <c r="E3371" s="21">
        <f>IF(D3371="?OLD","!!!","")</f>
        <v/>
      </c>
      <c r="F3371" s="22" t="str">
        <f>IF(OR(E3371="",E3371="!!!"),"",IF(NOT(ISNA(VLOOKUP(E3371,E$1:E3370,1,FALSE()))),"OLD",IF(AND(E3371&lt;&gt;"",E3371&lt;&gt;"!!!"),"NEW","")))</f>
        <v> </v>
      </c>
      <c r="G3371" s="23" t="str">
        <f>IF(OR(E3371="",E3371="!!!"),"",IF(OR(J3371=0,AND(J3371=1,K3371=1),AND(J3371=1,I3371="SBJ"),AND(J3371=1,I3371=0)),"?IN_FOCUS",IF(J3371&lt;=2,"?ACTIVATED",IF(J3371&lt;&gt;"","?FAMILIAR",IF(F3371="NEW",IF(ISNA(VLOOKUP(E3371,#REF!,1,FALSE())),"?TYPE_IDENTIFIABLE","?REFERENTIAL"),"_")))))</f>
        <v> </v>
      </c>
      <c r="H3371" s="24" t="str">
        <f>IF(J3371&lt;&gt;1,"",IF(I3371="SBJ","CB","?"))</f>
        <v> </v>
      </c>
      <c r="I3371" s="25" t="str">
        <f>IF(OR(E3371="",E3371="!!!",F3371="NEW"),"",INDEX(B3370:B$2,-1+SUMPRODUCT(MAX(ROW(E3370:E$2)*(E3371=E3370:E$2)))))</f>
        <v> </v>
      </c>
      <c r="J3371" s="25" t="str">
        <f>IF(OR(E3371="",E3371="!!!",F3371="NEW"),"",COUNTBLANK(OFFSET(A$1,,,SUMPRODUCT(MAX(ROW(E$2:E3371)*(E3371=E$2:E3371)))))-COUNTBLANK(OFFSET(A$1,,,SUMPRODUCT(MAX(ROW(E$1:E3370)*(E2=E$1:E3370))))))</f>
        <v> </v>
      </c>
      <c r="K3371" s="25" t="str">
        <f>IF(OR(E3371="",E3371="!!!",F3371="NEW"),"",INDEX(J$1:J3370,SUMPRODUCT(MAX(ROW(E$1:E3370)*(E3371=E$1:E3370)))))</f>
        <v> </v>
      </c>
      <c r="L3371" s="26"/>
    </row>
    <row r="3372" spans="1:12">
      <c r="A3372" s="20" t="s">
        <v>748</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867</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1669</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719</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859</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1670</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982</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726</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1187</v>
      </c>
      <c r="B3380" s="27" t="s">
        <v>902</v>
      </c>
      <c r="C3380" s="27" t="s">
        <v>741</v>
      </c>
      <c r="D3380" s="27" t="s">
        <v>714</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738</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1636</v>
      </c>
      <c r="B3382" s="27" t="s">
        <v>762</v>
      </c>
      <c r="C3382" s="27" t="s">
        <v>965</v>
      </c>
      <c r="D3382" s="27" t="s">
        <v>714</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622</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row>
    <row r="3385" spans="1:12">
      <c r="A3385" s="20" t="s">
        <v>1671</v>
      </c>
    </row>
    <row r="3386" spans="1:12">
      <c r="A3386" s="20" t="s">
        <v>824</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1672</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719</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752</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1673</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733</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1674</v>
      </c>
      <c r="B3392" s="27" t="s">
        <v>728</v>
      </c>
      <c r="C3392" s="27" t="s">
        <v>741</v>
      </c>
      <c r="D3392" s="27" t="s">
        <v>714</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937</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622</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row>
    <row r="3396" spans="1:12">
      <c r="A3396" s="20" t="s">
        <v>1675</v>
      </c>
    </row>
    <row r="3397" spans="1:12">
      <c r="A3397" s="20" t="s">
        <v>1131</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778</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1384</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202</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1676</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831</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726</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885</v>
      </c>
      <c r="B3404" s="27" t="s">
        <v>772</v>
      </c>
      <c r="C3404" s="27" t="s">
        <v>741</v>
      </c>
      <c r="D3404" s="27" t="s">
        <v>714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742</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1396</v>
      </c>
      <c r="B3406" s="27" t="s">
        <v>731</v>
      </c>
      <c r="C3406" s="27" t="s">
        <v>729</v>
      </c>
      <c r="D3406" s="27" t="s">
        <v>714</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719</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1677</v>
      </c>
      <c r="B3408" s="27" t="s">
        <v>762</v>
      </c>
      <c r="C3408" s="27" t="s">
        <v>721</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1162</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914</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1502</v>
      </c>
      <c r="B3411" s="27" t="s">
        <v>834</v>
      </c>
      <c r="C3411" s="27" t="s">
        <v>729</v>
      </c>
      <c r="D3411" s="27" t="s">
        <v>714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719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859</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1384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826</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622</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row>
    <row r="3418" spans="1:12">
      <c r="A3418" s="20" t="s">
        <v>1678</v>
      </c>
    </row>
    <row r="3419" spans="1:12">
      <c r="A3419" s="20" t="s">
        <v>1679</v>
      </c>
      <c r="B3419" s="27" t="s">
        <v>712</v>
      </c>
      <c r="C3419" s="27" t="s">
        <v>721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622</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row>
    <row r="3422" spans="1:12">
      <c r="A3422" s="20" t="s">
        <v>1680</v>
      </c>
    </row>
    <row r="3423" spans="1:12">
      <c r="A3423" s="20" t="s">
        <v>780</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1681</v>
      </c>
      <c r="B3424" s="27" t="s">
        <v>712</v>
      </c>
      <c r="C3424" s="27" t="s">
        <v>965</v>
      </c>
      <c r="D3424" s="27" t="s">
        <v>714</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782</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1682</v>
      </c>
      <c r="B3426" s="27" t="s">
        <v>712</v>
      </c>
      <c r="C3426" s="27" t="s">
        <v>965</v>
      </c>
      <c r="D3426" s="27" t="s">
        <v>714</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1683</v>
      </c>
      <c r="B3427" s="27" t="s">
        <v>712</v>
      </c>
      <c r="C3427" s="27" t="s">
        <v>965</v>
      </c>
      <c r="D3427" s="27" t="s">
        <v>714</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892</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row>
    <row r="3430" spans="1:12">
      <c r="A3430" s="20" t="s">
        <v>1678</v>
      </c>
    </row>
    <row r="3431" spans="1:12">
      <c r="A3431" s="20" t="s">
        <v>1679</v>
      </c>
      <c r="B3431" s="27" t="s">
        <v>712</v>
      </c>
      <c r="C3431" s="27" t="s">
        <v>721</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622</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row>
    <row r="3434" spans="1:12">
      <c r="A3434" s="20" t="s">
        <v>1684</v>
      </c>
    </row>
    <row r="3435" spans="1:12">
      <c r="A3435" s="20" t="s">
        <v>724</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800</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1132</v>
      </c>
      <c r="B3437" s="27" t="s">
        <v>798</v>
      </c>
      <c r="C3437" s="27" t="s">
        <v>729</v>
      </c>
      <c r="D3437" s="27" t="s">
        <v>714</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921</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1685</v>
      </c>
      <c r="B3439" s="27" t="s">
        <v>772</v>
      </c>
      <c r="C3439" s="27" t="s">
        <v>965</v>
      </c>
      <c r="D3439" s="27" t="s">
        <v>714</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622</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row>
    <row r="3442" spans="1:12">
      <c r="A3442" s="20" t="s">
        <v>1686</v>
      </c>
    </row>
    <row r="3443" spans="1:12">
      <c r="A3443" s="20" t="s">
        <v>1679</v>
      </c>
      <c r="B3443" s="27" t="s">
        <v>712</v>
      </c>
      <c r="C3443" s="27" t="s">
        <v>756</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1687</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622</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row>
    <row r="3447" spans="1:12">
      <c r="A3447" s="20" t="s">
        <v>1688</v>
      </c>
    </row>
    <row r="3448" spans="1:12">
      <c r="A3448" s="20" t="s">
        <v>1395</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1689</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831</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726</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1690</v>
      </c>
      <c r="B3452" s="27" t="s">
        <v>712</v>
      </c>
      <c r="C3452" s="27" t="s">
        <v>741</v>
      </c>
      <c r="D3452" s="27" t="s">
        <v>714</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767</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1221</v>
      </c>
      <c r="B3454" s="27" t="s">
        <v>855</v>
      </c>
      <c r="C3454" s="27" t="s">
        <v>729</v>
      </c>
      <c r="D3454" s="27" t="s">
        <v>714</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719</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1311</v>
      </c>
      <c r="B3456" s="27" t="s">
        <v>731</v>
      </c>
      <c r="C3456" s="27" t="s">
        <v>721</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1037</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748</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1095</v>
      </c>
      <c r="B3459" s="27" t="s">
        <v>798</v>
      </c>
      <c r="C3459" s="27" t="s">
        <v>759</v>
      </c>
      <c r="D3459" s="27" t="s">
        <v>714</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1024</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1691</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804</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767</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179</v>
      </c>
      <c r="B3464" s="27" t="s">
        <v>712</v>
      </c>
      <c r="C3464" s="27" t="s">
        <v>857</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1656</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804</v>
      </c>
      <c r="B3466" s="27" t="s">
        <v>805</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742</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1481</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179</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1143</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726</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1535</v>
      </c>
      <c r="B3472" s="27" t="s">
        <v>731</v>
      </c>
      <c r="C3472" s="27" t="s">
        <v>729</v>
      </c>
      <c r="D3472" s="27" t="s">
        <v>714</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719</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733</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1534</v>
      </c>
      <c r="B3475" s="27" t="s">
        <v>762</v>
      </c>
      <c r="C3475" s="27" t="s">
        <v>965</v>
      </c>
      <c r="D3475" s="27" t="s">
        <v>714</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622</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row>
    <row r="3478" spans="1:12">
      <c r="A3478" s="20" t="s">
        <v>1692</v>
      </c>
    </row>
    <row r="3479" spans="1:12">
      <c r="A3479" s="20" t="s">
        <v>1131</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1062</v>
      </c>
      <c r="B3480" s="27" t="s">
        <v>712</v>
      </c>
      <c r="C3480" s="27" t="s">
        <v>717</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804</v>
      </c>
      <c r="B3481" s="27" t="s">
        <v>855</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1512</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719</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1693</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1694</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1695</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804</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1184</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1696</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t="s">
        <v>806</v>
      </c>
      <c r="E3490" s="21">
        <f>IF(D3490="?OLD","!!!","")</f>
        <v/>
      </c>
      <c r="F3490" s="22" t="str">
        <f>IF(OR(E3490="",E3490="!!!"),"",IF(NOT(ISNA(VLOOKUP(E3490,E$1:E3489,1,FALSE()))),"OLD",IF(AND(E3490&lt;&gt;"",E3490&lt;&gt;"!!!"),"NEW","")))</f>
        <v> </v>
      </c>
      <c r="G3490" s="23" t="str">
        <f>IF(OR(E3490="",E3490="!!!"),"",IF(OR(J3490=0,AND(J3490=1,K3490=1),AND(J3490=1,I3490="SBJ"),AND(J3490=1,I3490=0)),"?IN_FOCUS",IF(J3490&lt;=2,"?ACTIVATED",IF(J3490&lt;&gt;"","?FAMILIAR",IF(F3490="NEW",IF(ISNA(VLOOKUP(E3490,#REF!,1,FALSE())),"?TYPE_IDENTIFIABLE","?REFERENTIAL"),"_")))))</f>
        <v> </v>
      </c>
      <c r="H3490" s="24" t="str">
        <f>IF(J3490&lt;&gt;1,"",IF(I3490="SBJ","CB","?"))</f>
        <v> </v>
      </c>
      <c r="I3490" s="25" t="str">
        <f>IF(OR(E3490="",E3490="!!!",F3490="NEW"),"",INDEX(B3489:B$2,-1+SUMPRODUCT(MAX(ROW(E3489:E$2)*(E3490=E3489:E$2)))))</f>
        <v> </v>
      </c>
      <c r="J3490" s="25" t="str">
        <f>IF(OR(E3490="",E3490="!!!",F3490="NEW"),"",COUNTBLANK(OFFSET(A$1,,,SUMPRODUCT(MAX(ROW(E$2:E3490)*(E3490=E$2:E3490)))))-COUNTBLANK(OFFSET(A$1,,,SUMPRODUCT(MAX(ROW(E$1:E3489)*(E2=E$1:E3489))))))</f>
        <v> </v>
      </c>
      <c r="K3490" s="25" t="str">
        <f>IF(OR(E3490="",E3490="!!!",F3490="NEW"),"",INDEX(J$1:J3489,SUMPRODUCT(MAX(ROW(E$1:E3489)*(E3490=E$1:E3489)))))</f>
        <v> </v>
      </c>
      <c r="L3490" s="26"/>
    </row>
    <row r="3491" spans="1:12">
      <c r="A3491" s="20" t="s">
        <v>1142</v>
      </c>
      <c r="B3491" s="27" t="s">
        <v>735</v>
      </c>
      <c r="C3491" s="27" t="s">
        <v>808</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1042</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row>
    <row r="3494" spans="1:12">
      <c r="A3494" s="20" t="s">
        <v>1697</v>
      </c>
    </row>
    <row r="3495" spans="1:12">
      <c r="A3495" s="20" t="s">
        <v>603</v>
      </c>
      <c r="B3495" s="27" t="s">
        <v>712</v>
      </c>
      <c r="C3495" s="27" t="s">
        <v>965</v>
      </c>
      <c r="D3495" s="27" t="s">
        <v>714</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1698</v>
      </c>
      <c r="B3496" s="27" t="s">
        <v>712</v>
      </c>
      <c r="C3496" s="27" t="s">
        <v>965</v>
      </c>
      <c r="D3496" s="27" t="s">
        <v>714</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892</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row>
    <row r="3499" spans="1:12">
      <c r="A3499" s="20" t="s">
        <v>1699</v>
      </c>
    </row>
    <row r="3500" spans="1:12">
      <c r="A3500" s="20" t="s">
        <v>1700</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622</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row>
    <row r="3503" spans="1:12">
      <c r="A3503" s="20" t="s">
        <v>1701</v>
      </c>
    </row>
    <row r="3504" spans="1:12">
      <c r="A3504" s="20" t="s">
        <v>1702</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804</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726</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179</v>
      </c>
      <c r="B3507" s="27" t="s">
        <v>712</v>
      </c>
      <c r="C3507" s="27" t="s">
        <v>741</v>
      </c>
      <c r="D3507" s="27" t="s">
        <v>714</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1130</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1656</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804</v>
      </c>
      <c r="B3510" s="27" t="s">
        <v>834</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1184</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1703</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738</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726</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1535</v>
      </c>
      <c r="B3515" s="27" t="s">
        <v>731</v>
      </c>
      <c r="C3515" s="27" t="s">
        <v>729</v>
      </c>
      <c r="D3515" s="27" t="s">
        <v>714</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1534</v>
      </c>
      <c r="B3516" s="27" t="s">
        <v>762</v>
      </c>
      <c r="C3516" s="27" t="s">
        <v>965</v>
      </c>
      <c r="D3516" s="27" t="s">
        <v>714</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742</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1481</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767</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727</v>
      </c>
      <c r="B3520" s="27" t="s">
        <v>762</v>
      </c>
      <c r="C3520" s="27" t="s">
        <v>857</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t="s">
        <v>748</v>
      </c>
      <c r="E3521" s="21">
        <f>IF(D3521="?OLD","!!!","")</f>
        <v/>
      </c>
      <c r="F3521" s="22" t="str">
        <f>IF(OR(E3521="",E3521="!!!"),"",IF(NOT(ISNA(VLOOKUP(E3521,E$1:E3520,1,FALSE()))),"OLD",IF(AND(E3521&lt;&gt;"",E3521&lt;&gt;"!!!"),"NEW","")))</f>
        <v> </v>
      </c>
      <c r="G3521" s="23" t="str">
        <f>IF(OR(E3521="",E3521="!!!"),"",IF(OR(J3521=0,AND(J3521=1,K3521=1),AND(J3521=1,I3521="SBJ"),AND(J3521=1,I3521=0)),"?IN_FOCUS",IF(J3521&lt;=2,"?ACTIVATED",IF(J3521&lt;&gt;"","?FAMILIAR",IF(F3521="NEW",IF(ISNA(VLOOKUP(E3521,#REF!,1,FALSE())),"?TYPE_IDENTIFIABLE","?REFERENTIAL"),"_")))))</f>
        <v> </v>
      </c>
      <c r="H3521" s="24" t="str">
        <f>IF(J3521&lt;&gt;1,"",IF(I3521="SBJ","CB","?"))</f>
        <v> </v>
      </c>
      <c r="I3521" s="25" t="str">
        <f>IF(OR(E3521="",E3521="!!!",F3521="NEW"),"",INDEX(B3520:B$2,-1+SUMPRODUCT(MAX(ROW(E3520:E$2)*(E3521=E3520:E$2)))))</f>
        <v> </v>
      </c>
      <c r="J3521" s="25" t="str">
        <f>IF(OR(E3521="",E3521="!!!",F3521="NEW"),"",COUNTBLANK(OFFSET(A$1,,,SUMPRODUCT(MAX(ROW(E$2:E3521)*(E3521=E$2:E3521)))))-COUNTBLANK(OFFSET(A$1,,,SUMPRODUCT(MAX(ROW(E$1:E3520)*(E2=E$1:E3520))))))</f>
        <v> </v>
      </c>
      <c r="K3521" s="25" t="str">
        <f>IF(OR(E3521="",E3521="!!!",F3521="NEW"),"",INDEX(J$1:J3520,SUMPRODUCT(MAX(ROW(E$1:E3520)*(E3521=E$1:E3520)))))</f>
        <v> </v>
      </c>
      <c r="L3521" s="26"/>
    </row>
    <row r="3522" spans="1:12">
      <c r="A3522" s="20" t="s">
        <v>804</v>
      </c>
      <c r="B3522" s="27" t="s">
        <v>1033</v>
      </c>
      <c r="E3522" s="21">
        <f>IF(D3522="?OLD","!!!","")</f>
        <v/>
      </c>
      <c r="F3522" s="22" t="str">
        <f>IF(OR(E3522="",E3522="!!!"),"",IF(NOT(ISNA(VLOOKUP(E3522,E$1:E3521,1,FALSE()))),"OLD",IF(AND(E3522&lt;&gt;"",E3522&lt;&gt;"!!!"),"NEW","")))</f>
        <v> </v>
      </c>
      <c r="G3522" s="23" t="str">
        <f>IF(OR(E3522="",E3522="!!!"),"",IF(OR(J3522=0,AND(J3522=1,K3522=1),AND(J3522=1,I3522="SBJ"),AND(J3522=1,I3522=0)),"?IN_FOCUS",IF(J3522&lt;=2,"?ACTIVATED",IF(J3522&lt;&gt;"","?FAMILIAR",IF(F3522="NEW",IF(ISNA(VLOOKUP(E3522,#REF!,1,FALSE())),"?TYPE_IDENTIFIABLE","?REFERENTIAL"),"_")))))</f>
        <v> </v>
      </c>
      <c r="H3522" s="24" t="str">
        <f>IF(J3522&lt;&gt;1,"",IF(I3522="SBJ","CB","?"))</f>
        <v> </v>
      </c>
      <c r="I3522" s="25" t="str">
        <f>IF(OR(E3522="",E3522="!!!",F3522="NEW"),"",INDEX(B3521:B$2,-1+SUMPRODUCT(MAX(ROW(E3521:E$2)*(E3522=E3521:E$2)))))</f>
        <v> </v>
      </c>
      <c r="J3522" s="25" t="str">
        <f>IF(OR(E3522="",E3522="!!!",F3522="NEW"),"",COUNTBLANK(OFFSET(A$1,,,SUMPRODUCT(MAX(ROW(E$2:E3522)*(E3522=E$2:E3522)))))-COUNTBLANK(OFFSET(A$1,,,SUMPRODUCT(MAX(ROW(E$1:E3521)*(E2=E$1:E3521))))))</f>
        <v> </v>
      </c>
      <c r="K3522" s="25" t="str">
        <f>IF(OR(E3522="",E3522="!!!",F3522="NEW"),"",INDEX(J$1:J3521,SUMPRODUCT(MAX(ROW(E$1:E3521)*(E3522=E$1:E3521)))))</f>
        <v> </v>
      </c>
      <c r="L3522" s="26"/>
    </row>
    <row r="3523" spans="1:12">
      <c r="A3523" s="20" t="s">
        <v>856</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877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1704</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960</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719</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614</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622</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row>
    <row r="3531" spans="1:12">
      <c r="A3531" s="20" t="s">
        <v>1705</v>
      </c>
    </row>
    <row r="3532" spans="1:12">
      <c r="A3532" s="20" t="s">
        <v>1590</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1703</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804</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748</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941</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1706</v>
      </c>
      <c r="B3537" s="27" t="s">
        <v>712</v>
      </c>
      <c r="C3537" s="27" t="s">
        <v>729</v>
      </c>
      <c r="D3537" s="27" t="s">
        <v>714</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831</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733</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1480</v>
      </c>
      <c r="B3540" s="27" t="s">
        <v>772</v>
      </c>
      <c r="C3540" s="27" t="s">
        <v>729</v>
      </c>
      <c r="D3540" s="27" t="s">
        <v>714</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1481</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719</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726</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t="s">
        <v>1015</v>
      </c>
      <c r="B3544" s="27" t="s">
        <v>731</v>
      </c>
      <c r="C3544" s="27" t="s">
        <v>759</v>
      </c>
      <c r="D3544" s="27" t="s">
        <v>714</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804</v>
      </c>
      <c r="B3545" s="27" t="s">
        <v>835</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1017</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787</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1018</v>
      </c>
      <c r="B3548" s="27" t="s">
        <v>735</v>
      </c>
      <c r="C3548" s="27" t="s">
        <v>741</v>
      </c>
      <c r="D3548" s="27" t="s">
        <v>714</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622</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row>
    <row r="3551" spans="1:12">
      <c r="A3551" s="20" t="s">
        <v>1707</v>
      </c>
    </row>
    <row r="3552" spans="1:12">
      <c r="A3552" s="20" t="s">
        <v>1395</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1184</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1708</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843</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775</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1709</v>
      </c>
      <c r="B3557" s="27" t="s">
        <v>772</v>
      </c>
      <c r="C3557" s="27" t="s">
        <v>741</v>
      </c>
      <c r="D3557" s="27" t="s">
        <v>714</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1710</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941</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726</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1711</v>
      </c>
      <c r="B3561" s="27" t="s">
        <v>762</v>
      </c>
      <c r="C3561" s="27" t="s">
        <v>741</v>
      </c>
      <c r="D3561" s="27" t="s">
        <v>714</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748</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1184</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1712</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804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748</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831</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726</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719</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1713</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719</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767</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1711</v>
      </c>
      <c r="B3573" s="27" t="s">
        <v>855</v>
      </c>
      <c r="C3573" s="27" t="s">
        <v>729</v>
      </c>
      <c r="D3573" s="27" t="s">
        <v>714</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719</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1714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1715</v>
      </c>
      <c r="B3576" s="27" t="s">
        <v>731</v>
      </c>
      <c r="C3576" s="27" t="s">
        <v>756</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831</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914</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1399</v>
      </c>
      <c r="B3579" s="27" t="s">
        <v>731</v>
      </c>
      <c r="C3579" s="27" t="s">
        <v>741</v>
      </c>
      <c r="D3579" s="27" t="s">
        <v>714</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748</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921</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744</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1716</v>
      </c>
      <c r="B3583" s="27" t="s">
        <v>731</v>
      </c>
      <c r="C3583" s="27" t="s">
        <v>741</v>
      </c>
      <c r="D3583" s="27" t="s">
        <v>714</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748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773</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1485</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1098</v>
      </c>
      <c r="B3587" s="27" t="s">
        <v>731</v>
      </c>
      <c r="C3587" s="27" t="s">
        <v>857</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t="s">
        <v>1114</v>
      </c>
      <c r="E3588" s="21">
        <f>IF(D3588="?OLD","!!!","")</f>
        <v/>
      </c>
      <c r="F3588" s="22" t="str">
        <f>IF(OR(E3588="",E3588="!!!"),"",IF(NOT(ISNA(VLOOKUP(E3588,E$1:E3587,1,FALSE()))),"OLD",IF(AND(E3588&lt;&gt;"",E3588&lt;&gt;"!!!"),"NEW","")))</f>
        <v> </v>
      </c>
      <c r="G3588" s="23" t="str">
        <f>IF(OR(E3588="",E3588="!!!"),"",IF(OR(J3588=0,AND(J3588=1,K3588=1),AND(J3588=1,I3588="SBJ"),AND(J3588=1,I3588=0)),"?IN_FOCUS",IF(J3588&lt;=2,"?ACTIVATED",IF(J3588&lt;&gt;"","?FAMILIAR",IF(F3588="NEW",IF(ISNA(VLOOKUP(E3588,#REF!,1,FALSE())),"?TYPE_IDENTIFIABLE","?REFERENTIAL"),"_")))))</f>
        <v> </v>
      </c>
      <c r="H3588" s="24" t="str">
        <f>IF(J3588&lt;&gt;1,"",IF(I3588="SBJ","CB","?"))</f>
        <v> </v>
      </c>
      <c r="I3588" s="25" t="str">
        <f>IF(OR(E3588="",E3588="!!!",F3588="NEW"),"",INDEX(B3587:B$2,-1+SUMPRODUCT(MAX(ROW(E3587:E$2)*(E3588=E3587:E$2)))))</f>
        <v> </v>
      </c>
      <c r="J3588" s="25" t="str">
        <f>IF(OR(E3588="",E3588="!!!",F3588="NEW"),"",COUNTBLANK(OFFSET(A$1,,,SUMPRODUCT(MAX(ROW(E$2:E3588)*(E3588=E$2:E3588)))))-COUNTBLANK(OFFSET(A$1,,,SUMPRODUCT(MAX(ROW(E$1:E3587)*(E2=E$1:E3587))))))</f>
        <v> </v>
      </c>
      <c r="K3588" s="25" t="str">
        <f>IF(OR(E3588="",E3588="!!!",F3588="NEW"),"",INDEX(J$1:J3587,SUMPRODUCT(MAX(ROW(E$1:E3587)*(E3588=E$1:E3587)))))</f>
        <v> </v>
      </c>
      <c r="L3588" s="26"/>
    </row>
    <row r="3589" spans="1:12">
      <c r="A3589" s="20" t="s">
        <v>773</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767</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1717</v>
      </c>
      <c r="B3591" s="27" t="s">
        <v>863</v>
      </c>
      <c r="C3591" s="27" t="s">
        <v>729</v>
      </c>
      <c r="D3591" s="27" t="s">
        <v>714</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778</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1718</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719</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1264</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1274</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1716</v>
      </c>
      <c r="B3597" s="27" t="s">
        <v>737</v>
      </c>
      <c r="C3597" s="27" t="s">
        <v>756</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748</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867</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895</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719</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767</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1717</v>
      </c>
      <c r="B3603" s="27" t="s">
        <v>772</v>
      </c>
      <c r="C3603" s="27" t="s">
        <v>729</v>
      </c>
      <c r="D3603" s="27" t="s">
        <v>714</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1719</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748</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831</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726</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719</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1713</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719</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767</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1711</v>
      </c>
      <c r="B3612" s="27" t="s">
        <v>731</v>
      </c>
      <c r="C3612" s="27" t="s">
        <v>729</v>
      </c>
      <c r="D3612" s="27" t="s">
        <v>714</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719</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1274</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1715</v>
      </c>
      <c r="B3615" s="27" t="s">
        <v>762</v>
      </c>
      <c r="C3615" s="27" t="s">
        <v>756</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831</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914</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1720</v>
      </c>
      <c r="B3618" s="27" t="s">
        <v>772</v>
      </c>
      <c r="C3618" s="27" t="s">
        <v>741</v>
      </c>
      <c r="D3618" s="27" t="s">
        <v>714</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row>
    <row r="3620" spans="1:12">
      <c r="A3620" s="20" t="s">
        <v>1721</v>
      </c>
    </row>
    <row r="3621" spans="1:12">
      <c r="A3621" s="20" t="s">
        <v>622</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row>
    <row r="3623" spans="1:12">
      <c r="A3623" s="20" t="s">
        <v>1722</v>
      </c>
    </row>
    <row r="3624" spans="1:12">
      <c r="A3624" s="20" t="s">
        <v>1723</v>
      </c>
      <c r="B3624" s="27" t="s">
        <v>712</v>
      </c>
      <c r="C3624" s="27" t="s">
        <v>965</v>
      </c>
      <c r="D3624" s="27" t="s">
        <v>714</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892</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1714</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1724</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1714</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1715</v>
      </c>
      <c r="B3629" s="27" t="s">
        <v>772</v>
      </c>
      <c r="C3629" s="27" t="s">
        <v>756</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831</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914</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1399</v>
      </c>
      <c r="B3632" s="27" t="s">
        <v>772</v>
      </c>
      <c r="C3632" s="27" t="s">
        <v>741</v>
      </c>
      <c r="D3632" s="27" t="s">
        <v>714</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748</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787</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788</v>
      </c>
      <c r="B3635" s="27" t="s">
        <v>716</v>
      </c>
      <c r="C3635" s="27" t="s">
        <v>741</v>
      </c>
      <c r="D3635" s="27" t="s">
        <v>714</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799</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1725</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748</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742</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1726</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1727</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1130</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1725</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843</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1726</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1130</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1728</v>
      </c>
      <c r="B3647" s="27" t="s">
        <v>805</v>
      </c>
      <c r="C3647" s="27" t="s">
        <v>713</v>
      </c>
      <c r="D3647" s="27" t="s">
        <v>714</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748</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1145</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726</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719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1729</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719</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1069</v>
      </c>
      <c r="B3654" s="27" t="s">
        <v>762</v>
      </c>
      <c r="C3654" s="27" t="s">
        <v>904</v>
      </c>
      <c r="D3654" s="27" t="s">
        <v>714</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748</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1730</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800</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873</v>
      </c>
      <c r="B3658" s="27" t="s">
        <v>728</v>
      </c>
      <c r="C3658" s="27" t="s">
        <v>857</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1731</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622</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row>
    <row r="3662" spans="1:12">
      <c r="A3662" s="20" t="s">
        <v>1732</v>
      </c>
    </row>
    <row r="3663" spans="1:12">
      <c r="A3663" s="20" t="s">
        <v>931</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393</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748</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1259</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1695</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1733</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719</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787</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1734</v>
      </c>
      <c r="B3671" s="27" t="s">
        <v>772</v>
      </c>
      <c r="C3671" s="27" t="s">
        <v>741</v>
      </c>
      <c r="D3671" s="27" t="s">
        <v>714</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1646</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1481</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1735</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622</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row>
    <row r="3677" spans="1:12">
      <c r="A3677" s="20" t="s">
        <v>1736</v>
      </c>
    </row>
    <row r="3678" spans="1:12">
      <c r="A3678" s="20" t="s">
        <v>1135</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748</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1069</v>
      </c>
      <c r="B3680" s="27" t="s">
        <v>716</v>
      </c>
      <c r="C3680" s="27" t="s">
        <v>904</v>
      </c>
      <c r="D3680" s="27" t="s">
        <v>714</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804</v>
      </c>
      <c r="B3681" s="27" t="s">
        <v>805</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1249</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766</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804</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726</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1596</v>
      </c>
      <c r="B3686" s="27" t="s">
        <v>855</v>
      </c>
      <c r="C3686" s="27" t="s">
        <v>741</v>
      </c>
      <c r="D3686" s="27" t="s">
        <v>714</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856</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1737</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733</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720</v>
      </c>
      <c r="B3690" s="27" t="s">
        <v>728</v>
      </c>
      <c r="C3690" s="27" t="s">
        <v>729</v>
      </c>
      <c r="D3690" s="27" t="s">
        <v>714</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719</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914</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890</v>
      </c>
      <c r="B3693" s="27" t="s">
        <v>731</v>
      </c>
      <c r="C3693" s="27" t="s">
        <v>741</v>
      </c>
      <c r="D3693" s="27" t="s">
        <v>714</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748</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872</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733</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1738</v>
      </c>
      <c r="B3697" s="27" t="s">
        <v>772</v>
      </c>
      <c r="C3697" s="27" t="s">
        <v>729</v>
      </c>
      <c r="D3697" s="27" t="s">
        <v>714</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719</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1596</v>
      </c>
      <c r="B3699" s="27" t="s">
        <v>731</v>
      </c>
      <c r="C3699" s="27" t="s">
        <v>721</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1739</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1740</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1741</v>
      </c>
      <c r="B3702" s="27" t="s">
        <v>731</v>
      </c>
      <c r="C3702" s="27" t="s">
        <v>721</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748</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742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923</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1497</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1172</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1741</v>
      </c>
      <c r="B3708" s="27" t="s">
        <v>735</v>
      </c>
      <c r="C3708" s="27" t="s">
        <v>713</v>
      </c>
      <c r="D3708" s="27" t="s">
        <v>714</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778</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748</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778</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1676</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622</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row>
    <row r="3715" spans="1:12">
      <c r="A3715" s="20" t="s">
        <v>1742</v>
      </c>
    </row>
    <row r="3716" spans="1:12">
      <c r="A3716" s="20" t="s">
        <v>1270</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t="s">
        <v>1014</v>
      </c>
      <c r="B3717" s="27" t="s">
        <v>712</v>
      </c>
      <c r="C3717" s="27" t="s">
        <v>729</v>
      </c>
      <c r="D3717" s="27" t="s">
        <v>714</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719</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914</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1518</v>
      </c>
      <c r="B3720" s="27" t="s">
        <v>772</v>
      </c>
      <c r="C3720" s="27" t="s">
        <v>717</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1015</v>
      </c>
      <c r="B3721" s="27" t="s">
        <v>772</v>
      </c>
      <c r="C3721" s="27" t="s">
        <v>759</v>
      </c>
      <c r="D3721" s="27" t="s">
        <v>714</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748</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726</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1015</v>
      </c>
      <c r="B3724" s="27" t="s">
        <v>716</v>
      </c>
      <c r="C3724" s="27" t="s">
        <v>759</v>
      </c>
      <c r="D3724" s="27" t="s">
        <v>714</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804</v>
      </c>
      <c r="B3725" s="27" t="s">
        <v>805</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1044</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748</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766</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1743</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1068</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1149</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950</v>
      </c>
      <c r="B3732" s="27" t="s">
        <v>712</v>
      </c>
      <c r="C3732" s="27" t="s">
        <v>857</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622</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row>
    <row r="3735" spans="1:12">
      <c r="A3735" s="20" t="s">
        <v>1744</v>
      </c>
    </row>
    <row r="3736" spans="1:12">
      <c r="A3736" s="20" t="s">
        <v>1745</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1746</v>
      </c>
      <c r="B3737" s="27" t="s">
        <v>712</v>
      </c>
      <c r="C3737" s="27" t="s">
        <v>721</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1747</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748</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763</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1748</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1055</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622</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row>
    <row r="3745" spans="1:12">
      <c r="A3745" s="20" t="s">
        <v>1749</v>
      </c>
    </row>
    <row r="3746" spans="1:12">
      <c r="A3746" s="20" t="s">
        <v>1215</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818</v>
      </c>
      <c r="B3747" s="27" t="s">
        <v>716</v>
      </c>
      <c r="C3747" s="27" t="s">
        <v>713</v>
      </c>
      <c r="D3747" s="27" t="s">
        <v>714</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856</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1750</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773</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787</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1496</v>
      </c>
      <c r="B3752" s="27" t="s">
        <v>712</v>
      </c>
      <c r="C3752" s="27" t="s">
        <v>741</v>
      </c>
      <c r="D3752" s="27" t="s">
        <v>714</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622</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row>
    <row r="3755" spans="1:12">
      <c r="A3755" s="20" t="s">
        <v>1751</v>
      </c>
    </row>
    <row r="3756" spans="1:12">
      <c r="A3756" s="20" t="s">
        <v>1723</v>
      </c>
      <c r="B3756" s="27" t="s">
        <v>712</v>
      </c>
      <c r="C3756" s="27" t="s">
        <v>965</v>
      </c>
      <c r="D3756" s="27" t="s">
        <v>714</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892</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791</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1752</v>
      </c>
      <c r="B3759" s="27" t="s">
        <v>772</v>
      </c>
      <c r="C3759" s="27" t="s">
        <v>965</v>
      </c>
      <c r="D3759" s="27" t="s">
        <v>714</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748</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715</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744</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1531</v>
      </c>
      <c r="B3763" s="27" t="s">
        <v>716</v>
      </c>
      <c r="C3763" s="27" t="s">
        <v>729</v>
      </c>
      <c r="D3763" s="27" t="s">
        <v>714</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719</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744</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1753</v>
      </c>
      <c r="B3766" s="27" t="s">
        <v>772</v>
      </c>
      <c r="C3766" s="27" t="s">
        <v>965</v>
      </c>
      <c r="D3766" s="27" t="s">
        <v>714</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1754</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733</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897</v>
      </c>
      <c r="B3769" s="27" t="s">
        <v>798</v>
      </c>
      <c r="C3769" s="27" t="s">
        <v>741</v>
      </c>
      <c r="D3769" s="27" t="s">
        <v>714</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748</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733</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1755</v>
      </c>
      <c r="B3772" s="27" t="s">
        <v>772</v>
      </c>
      <c r="C3772" s="27" t="s">
        <v>741</v>
      </c>
      <c r="D3772" s="27" t="s">
        <v>714</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748</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733</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1756</v>
      </c>
      <c r="B3775" s="27" t="s">
        <v>772</v>
      </c>
      <c r="C3775" s="27" t="s">
        <v>729</v>
      </c>
      <c r="D3775" s="27" t="s">
        <v>714</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t="s">
        <v>719</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733</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720</v>
      </c>
      <c r="B3778" s="27" t="s">
        <v>731</v>
      </c>
      <c r="C3778" s="27" t="s">
        <v>741</v>
      </c>
      <c r="D3778" s="27" t="s">
        <v>714</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622</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row>
    <row r="3781" spans="1:12">
      <c r="A3781" s="20" t="s">
        <v>1757</v>
      </c>
    </row>
    <row r="3782" spans="1:12">
      <c r="A3782" s="20" t="s">
        <v>1127</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787</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788</v>
      </c>
      <c r="B3784" s="27" t="s">
        <v>855</v>
      </c>
      <c r="C3784" s="27" t="s">
        <v>741</v>
      </c>
      <c r="D3784" s="27" t="s">
        <v>714</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1758</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1759</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878</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1760</v>
      </c>
      <c r="B3788" s="27" t="s">
        <v>728</v>
      </c>
      <c r="C3788" s="27" t="s">
        <v>713</v>
      </c>
      <c r="D3788" s="27" t="s">
        <v>714</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748</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738</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894</v>
      </c>
      <c r="B3791" s="27" t="s">
        <v>712</v>
      </c>
      <c r="C3791" s="27" t="s">
        <v>721</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867</v>
      </c>
      <c r="B3792" s="27" t="s">
        <v>712</v>
      </c>
      <c r="C3792" s="27" t="s">
        <v>759</v>
      </c>
      <c r="D3792" s="27" t="s">
        <v>714</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1761</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793</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1069</v>
      </c>
      <c r="B3795" s="27" t="s">
        <v>716</v>
      </c>
      <c r="C3795" s="27" t="s">
        <v>904</v>
      </c>
      <c r="D3795" s="27" t="s">
        <v>714</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738</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922</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1184</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1762</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748</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921</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942</v>
      </c>
      <c r="B3802" s="27" t="s">
        <v>731</v>
      </c>
      <c r="C3802" s="27" t="s">
        <v>721</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748</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733</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1763</v>
      </c>
      <c r="B3805" s="27" t="s">
        <v>772</v>
      </c>
      <c r="C3805" s="27" t="s">
        <v>729</v>
      </c>
      <c r="D3805" s="27" t="s">
        <v>714</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773</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787</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1764</v>
      </c>
      <c r="B3808" s="27" t="s">
        <v>731</v>
      </c>
      <c r="C3808" s="27" t="s">
        <v>741</v>
      </c>
      <c r="D3808" s="27" t="s">
        <v>714</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742</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1646</v>
      </c>
      <c r="B3810" s="27" t="s">
        <v>762</v>
      </c>
      <c r="C3810" s="27" t="s">
        <v>729</v>
      </c>
      <c r="D3810" s="27" t="s">
        <v>714</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1481</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1765</v>
      </c>
      <c r="B3812" s="27" t="s">
        <v>863</v>
      </c>
      <c r="C3812" s="27" t="s">
        <v>721</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622</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row>
    <row r="3815" spans="1:12">
      <c r="A3815" s="20" t="s">
        <v>1766</v>
      </c>
    </row>
    <row r="3816" spans="1:12">
      <c r="A3816" s="20" t="s">
        <v>1767</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733</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1768</v>
      </c>
      <c r="B3818" s="27" t="s">
        <v>716</v>
      </c>
      <c r="C3818" s="27" t="s">
        <v>741</v>
      </c>
      <c r="D3818" s="27" t="s">
        <v>714</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804</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775</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1769</v>
      </c>
      <c r="B3821" s="27" t="s">
        <v>855</v>
      </c>
      <c r="C3821" s="27" t="s">
        <v>741</v>
      </c>
      <c r="D3821" s="27" t="s">
        <v>714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748</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742</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733</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1770</v>
      </c>
      <c r="B3825" s="27" t="s">
        <v>731</v>
      </c>
      <c r="C3825" s="27" t="s">
        <v>729</v>
      </c>
      <c r="D3825" s="27" t="s">
        <v>714</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738</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1771</v>
      </c>
      <c r="B3827" s="27" t="s">
        <v>762</v>
      </c>
      <c r="C3827" s="27" t="s">
        <v>721</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748</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1772</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676</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800</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1760</v>
      </c>
      <c r="B3832" s="27" t="s">
        <v>728</v>
      </c>
      <c r="C3832" s="27" t="s">
        <v>729</v>
      </c>
      <c r="D3832" s="27" t="s">
        <v>714</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843</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1172</v>
      </c>
      <c r="B3834" s="27" t="s">
        <v>731</v>
      </c>
      <c r="C3834" s="27" t="s">
        <v>904</v>
      </c>
      <c r="D3834" s="27" t="s">
        <v>714</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1759</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742</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419</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1773</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800</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1763</v>
      </c>
      <c r="B3840" s="27" t="s">
        <v>1036</v>
      </c>
      <c r="C3840" s="27" t="s">
        <v>857</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1774</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1775</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773</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719</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1776</v>
      </c>
      <c r="B3845" s="27" t="s">
        <v>747</v>
      </c>
      <c r="C3845" s="27" t="s">
        <v>759</v>
      </c>
      <c r="D3845" s="27" t="s">
        <v>714</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1042</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row>
    <row r="3848" spans="1:12">
      <c r="A3848" s="20" t="s">
        <v>1777</v>
      </c>
    </row>
    <row r="3849" spans="1:12">
      <c r="A3849" s="20" t="s">
        <v>1778</v>
      </c>
      <c r="B3849" s="27" t="s">
        <v>712</v>
      </c>
      <c r="C3849" s="27" t="s">
        <v>721</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892</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row>
    <row r="3852" spans="1:12">
      <c r="A3852" s="20" t="s">
        <v>1779</v>
      </c>
    </row>
    <row r="3853" spans="1:12">
      <c r="A3853" s="20" t="s">
        <v>1780</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804</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1257</v>
      </c>
      <c r="B3855" s="27" t="s">
        <v>855</v>
      </c>
      <c r="C3855" s="27" t="s">
        <v>759</v>
      </c>
      <c r="D3855" s="27" t="s">
        <v>714</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1396</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804</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867</v>
      </c>
      <c r="B3858" s="27" t="s">
        <v>731</v>
      </c>
      <c r="C3858" s="27" t="s">
        <v>759</v>
      </c>
      <c r="D3858" s="27" t="s">
        <v>714</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1781</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726</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1782</v>
      </c>
      <c r="B3861" s="27" t="s">
        <v>805</v>
      </c>
      <c r="C3861" s="27" t="s">
        <v>729</v>
      </c>
      <c r="D3861" s="27" t="s">
        <v>714</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719</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733</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720</v>
      </c>
      <c r="B3864" s="27" t="s">
        <v>762</v>
      </c>
      <c r="C3864" s="27" t="s">
        <v>741</v>
      </c>
      <c r="D3864" s="27" t="s">
        <v>714</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738</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733</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1763</v>
      </c>
      <c r="B3867" s="27" t="s">
        <v>731</v>
      </c>
      <c r="C3867" s="27" t="s">
        <v>741</v>
      </c>
      <c r="D3867" s="27" t="s">
        <v>714</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1774</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622</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row>
    <row r="3871" spans="1:12">
      <c r="A3871" s="20" t="s">
        <v>1783</v>
      </c>
    </row>
    <row r="3872" spans="1:12">
      <c r="A3872" s="20" t="s">
        <v>846</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1784</v>
      </c>
      <c r="B3873" s="27" t="s">
        <v>716</v>
      </c>
      <c r="C3873" s="27" t="s">
        <v>729</v>
      </c>
      <c r="D3873" s="27" t="s">
        <v>714</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719</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1785</v>
      </c>
      <c r="B3875" s="27" t="s">
        <v>772</v>
      </c>
      <c r="C3875" s="27" t="s">
        <v>721</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1346</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1786</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738</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744</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1787</v>
      </c>
      <c r="B3880" s="27" t="s">
        <v>712</v>
      </c>
      <c r="C3880" s="27" t="s">
        <v>965</v>
      </c>
      <c r="D3880" s="27" t="s">
        <v>714</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1788</v>
      </c>
      <c r="B3881" s="27" t="s">
        <v>772</v>
      </c>
      <c r="C3881" s="27" t="s">
        <v>965</v>
      </c>
      <c r="D3881" s="27" t="s">
        <v>714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856</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935</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766</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1789</v>
      </c>
      <c r="B3885" s="27" t="s">
        <v>855</v>
      </c>
      <c r="C3885" s="27" t="s">
        <v>721</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748</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872</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738</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726</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1790</v>
      </c>
      <c r="B3890" s="27" t="s">
        <v>762</v>
      </c>
      <c r="C3890" s="27" t="s">
        <v>965</v>
      </c>
      <c r="D3890" s="27" t="s">
        <v>714</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1791</v>
      </c>
      <c r="B3891" s="27" t="s">
        <v>863</v>
      </c>
      <c r="C3891" s="27" t="s">
        <v>965</v>
      </c>
      <c r="D3891" s="27" t="s">
        <v>714</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748</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1337</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1792</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1331</v>
      </c>
      <c r="B3895" s="27" t="s">
        <v>755</v>
      </c>
      <c r="C3895" s="27" t="s">
        <v>721</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748</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898</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738</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844</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1544</v>
      </c>
      <c r="B3900" s="27" t="s">
        <v>863</v>
      </c>
      <c r="C3900" s="27" t="s">
        <v>721</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1604</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622</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row>
    <row r="3904" spans="1:12">
      <c r="A3904" s="20" t="s">
        <v>1793</v>
      </c>
    </row>
    <row r="3905" spans="1:12">
      <c r="A3905" s="20" t="s">
        <v>846</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1630</v>
      </c>
      <c r="B3906" s="27" t="s">
        <v>716</v>
      </c>
      <c r="C3906" s="27" t="s">
        <v>741</v>
      </c>
      <c r="D3906" s="27" t="s">
        <v>714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1337</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1794</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831</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469</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804</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1286</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202</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831</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733</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720</v>
      </c>
      <c r="B3916" s="27" t="s">
        <v>731</v>
      </c>
      <c r="C3916" s="27" t="s">
        <v>741</v>
      </c>
      <c r="D3916" s="27" t="s">
        <v>714</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1032</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830</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831</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733</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1763</v>
      </c>
      <c r="B3921" s="27" t="s">
        <v>762</v>
      </c>
      <c r="C3921" s="27" t="s">
        <v>741</v>
      </c>
      <c r="D3921" s="27" t="s">
        <v>714</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1774</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622</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row>
    <row r="3925" spans="1:12">
      <c r="A3925" s="20" t="s">
        <v>1795</v>
      </c>
    </row>
    <row r="3926" spans="1:12">
      <c r="A3926" s="20" t="s">
        <v>1796</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867</v>
      </c>
      <c r="B3927" s="27" t="s">
        <v>712</v>
      </c>
      <c r="C3927" s="27" t="s">
        <v>759</v>
      </c>
      <c r="D3927" s="27" t="s">
        <v>714</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1797</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767</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1217</v>
      </c>
      <c r="B3930" s="27" t="s">
        <v>798</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742</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787</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788</v>
      </c>
      <c r="B3933" s="27" t="s">
        <v>805</v>
      </c>
      <c r="C3933" s="27" t="s">
        <v>741</v>
      </c>
      <c r="D3933" s="27" t="s">
        <v>714</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1798</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831</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1799</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1070</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1800</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1801</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914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890</v>
      </c>
      <c r="B3941" s="27" t="s">
        <v>834</v>
      </c>
      <c r="C3941" s="27" t="s">
        <v>729</v>
      </c>
      <c r="D3941" s="27" t="s">
        <v>714</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719</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733</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720</v>
      </c>
      <c r="B3944" s="27" t="s">
        <v>762</v>
      </c>
      <c r="C3944" s="27" t="s">
        <v>741</v>
      </c>
      <c r="D3944" s="27" t="s">
        <v>714</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900</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1070</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1800</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1801</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733</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1802</v>
      </c>
      <c r="B3950" s="27" t="s">
        <v>755</v>
      </c>
      <c r="C3950" s="27" t="s">
        <v>729</v>
      </c>
      <c r="D3950" s="27" t="s">
        <v>714</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719</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733</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897</v>
      </c>
      <c r="B3953" s="27" t="s">
        <v>863</v>
      </c>
      <c r="C3953" s="27" t="s">
        <v>741</v>
      </c>
      <c r="D3953" s="27" t="s">
        <v>714</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t="s">
        <v>921</v>
      </c>
      <c r="E3954" s="21">
        <f>IF(D3954="?OLD","!!!","")</f>
        <v/>
      </c>
      <c r="F3954" s="22" t="str">
        <f>IF(OR(E3954="",E3954="!!!"),"",IF(NOT(ISNA(VLOOKUP(E3954,E$1:E3953,1,FALSE()))),"OLD",IF(AND(E3954&lt;&gt;"",E3954&lt;&gt;"!!!"),"NEW","")))</f>
        <v> </v>
      </c>
      <c r="G3954" s="23" t="str">
        <f>IF(OR(E3954="",E3954="!!!"),"",IF(OR(J3954=0,AND(J3954=1,K3954=1),AND(J3954=1,I3954="SBJ"),AND(J3954=1,I3954=0)),"?IN_FOCUS",IF(J3954&lt;=2,"?ACTIVATED",IF(J3954&lt;&gt;"","?FAMILIAR",IF(F3954="NEW",IF(ISNA(VLOOKUP(E3954,#REF!,1,FALSE())),"?TYPE_IDENTIFIABLE","?REFERENTIAL"),"_")))))</f>
        <v> </v>
      </c>
      <c r="H3954" s="24" t="str">
        <f>IF(J3954&lt;&gt;1,"",IF(I3954="SBJ","CB","?"))</f>
        <v> </v>
      </c>
      <c r="I3954" s="25" t="str">
        <f>IF(OR(E3954="",E3954="!!!",F3954="NEW"),"",INDEX(B3953:B$2,-1+SUMPRODUCT(MAX(ROW(E3953:E$2)*(E3954=E3953:E$2)))))</f>
        <v> </v>
      </c>
      <c r="J3954" s="25" t="str">
        <f>IF(OR(E3954="",E3954="!!!",F3954="NEW"),"",COUNTBLANK(OFFSET(A$1,,,SUMPRODUCT(MAX(ROW(E$2:E3954)*(E3954=E$2:E3954)))))-COUNTBLANK(OFFSET(A$1,,,SUMPRODUCT(MAX(ROW(E$1:E3953)*(E2=E$1:E3953))))))</f>
        <v> </v>
      </c>
      <c r="K3954" s="25" t="str">
        <f>IF(OR(E3954="",E3954="!!!",F3954="NEW"),"",INDEX(J$1:J3953,SUMPRODUCT(MAX(ROW(E$1:E3953)*(E3954=E$1:E3953)))))</f>
        <v> </v>
      </c>
      <c r="L3954" s="26"/>
    </row>
    <row r="3955" spans="1:12">
      <c r="A3955" s="20" t="s">
        <v>922</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1184</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1374</v>
      </c>
      <c r="B3957" s="27" t="s">
        <v>1195</v>
      </c>
      <c r="C3957" s="27" t="s">
        <v>721</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719</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148</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794</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1803</v>
      </c>
      <c r="B3961" s="27" t="s">
        <v>1278</v>
      </c>
      <c r="C3961" s="27" t="s">
        <v>713</v>
      </c>
      <c r="D3961" s="27" t="s">
        <v>714</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831</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726</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t="s">
        <v>1130</v>
      </c>
      <c r="E3964" s="21">
        <f>IF(D3964="?OLD","!!!","")</f>
        <v/>
      </c>
      <c r="F3964" s="22" t="str">
        <f>IF(OR(E3964="",E3964="!!!"),"",IF(NOT(ISNA(VLOOKUP(E3964,E$1:E3963,1,FALSE()))),"OLD",IF(AND(E3964&lt;&gt;"",E3964&lt;&gt;"!!!"),"NEW","")))</f>
        <v> </v>
      </c>
      <c r="G3964" s="23" t="str">
        <f>IF(OR(E3964="",E3964="!!!"),"",IF(OR(J3964=0,AND(J3964=1,K3964=1),AND(J3964=1,I3964="SBJ"),AND(J3964=1,I3964=0)),"?IN_FOCUS",IF(J3964&lt;=2,"?ACTIVATED",IF(J3964&lt;&gt;"","?FAMILIAR",IF(F3964="NEW",IF(ISNA(VLOOKUP(E3964,#REF!,1,FALSE())),"?TYPE_IDENTIFIABLE","?REFERENTIAL"),"_")))))</f>
        <v> </v>
      </c>
      <c r="H3964" s="24" t="str">
        <f>IF(J3964&lt;&gt;1,"",IF(I3964="SBJ","CB","?"))</f>
        <v> </v>
      </c>
      <c r="I3964" s="25" t="str">
        <f>IF(OR(E3964="",E3964="!!!",F3964="NEW"),"",INDEX(B3963:B$2,-1+SUMPRODUCT(MAX(ROW(E3963:E$2)*(E3964=E3963:E$2)))))</f>
        <v> </v>
      </c>
      <c r="J3964" s="25" t="str">
        <f>IF(OR(E3964="",E3964="!!!",F3964="NEW"),"",COUNTBLANK(OFFSET(A$1,,,SUMPRODUCT(MAX(ROW(E$2:E3964)*(E3964=E$2:E3964)))))-COUNTBLANK(OFFSET(A$1,,,SUMPRODUCT(MAX(ROW(E$1:E3963)*(E2=E$1:E3963))))))</f>
        <v> </v>
      </c>
      <c r="K3964" s="25" t="str">
        <f>IF(OR(E3964="",E3964="!!!",F3964="NEW"),"",INDEX(J$1:J3963,SUMPRODUCT(MAX(ROW(E$1:E3963)*(E3964=E$1:E3963)))))</f>
        <v> </v>
      </c>
      <c r="L3964" s="26"/>
    </row>
    <row r="3965" spans="1:12">
      <c r="A3965" s="20" t="s">
        <v>1804</v>
      </c>
      <c r="B3965" s="27" t="s">
        <v>1342</v>
      </c>
      <c r="C3965" s="27" t="s">
        <v>741</v>
      </c>
      <c r="D3965" s="27" t="s">
        <v>714</v>
      </c>
      <c r="E3965" s="21">
        <f>IF(D3965="?OLD","!!!","")</f>
        <v/>
      </c>
      <c r="F3965" s="22" t="str">
        <f>IF(OR(E3965="",E3965="!!!"),"",IF(NOT(ISNA(VLOOKUP(E3965,E$1:E3964,1,FALSE()))),"OLD",IF(AND(E3965&lt;&gt;"",E3965&lt;&gt;"!!!"),"NEW","")))</f>
        <v> </v>
      </c>
      <c r="G3965" s="23" t="str">
        <f>IF(OR(E3965="",E3965="!!!"),"",IF(OR(J3965=0,AND(J3965=1,K3965=1),AND(J3965=1,I3965="SBJ"),AND(J3965=1,I3965=0)),"?IN_FOCUS",IF(J3965&lt;=2,"?ACTIVATED",IF(J3965&lt;&gt;"","?FAMILIAR",IF(F3965="NEW",IF(ISNA(VLOOKUP(E3965,#REF!,1,FALSE())),"?TYPE_IDENTIFIABLE","?REFERENTIAL"),"_")))))</f>
        <v> </v>
      </c>
      <c r="H3965" s="24" t="str">
        <f>IF(J3965&lt;&gt;1,"",IF(I3965="SBJ","CB","?"))</f>
        <v> </v>
      </c>
      <c r="I3965" s="25" t="str">
        <f>IF(OR(E3965="",E3965="!!!",F3965="NEW"),"",INDEX(B3964:B$2,-1+SUMPRODUCT(MAX(ROW(E3964:E$2)*(E3965=E3964:E$2)))))</f>
        <v> </v>
      </c>
      <c r="J3965" s="25" t="str">
        <f>IF(OR(E3965="",E3965="!!!",F3965="NEW"),"",COUNTBLANK(OFFSET(A$1,,,SUMPRODUCT(MAX(ROW(E$2:E3965)*(E3965=E$2:E3965)))))-COUNTBLANK(OFFSET(A$1,,,SUMPRODUCT(MAX(ROW(E$1:E3964)*(E2=E$1:E3964))))))</f>
        <v> </v>
      </c>
      <c r="K3965" s="25" t="str">
        <f>IF(OR(E3965="",E3965="!!!",F3965="NEW"),"",INDEX(J$1:J3964,SUMPRODUCT(MAX(ROW(E$1:E3964)*(E3965=E$1:E3964)))))</f>
        <v> </v>
      </c>
      <c r="L3965" s="26"/>
    </row>
    <row r="3966" spans="1:12">
      <c r="A3966" s="20" t="s">
        <v>622</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row>
    <row r="3968" spans="1:12">
      <c r="A3968" s="20" t="s">
        <v>1805</v>
      </c>
    </row>
    <row r="3969" spans="1:12">
      <c r="A3969" s="20" t="s">
        <v>1053</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1806</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733</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1480</v>
      </c>
      <c r="B3972" s="27" t="s">
        <v>728</v>
      </c>
      <c r="C3972" s="27" t="s">
        <v>741</v>
      </c>
      <c r="D3972" s="27" t="s">
        <v>714</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1481</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748</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1332</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1807</v>
      </c>
      <c r="B3976" s="27" t="s">
        <v>716</v>
      </c>
      <c r="C3976" s="27" t="s">
        <v>729</v>
      </c>
      <c r="D3976" s="27" t="s">
        <v>714</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1161</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831</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887</v>
      </c>
      <c r="B3979" s="27" t="s">
        <v>772</v>
      </c>
      <c r="C3979" s="27" t="s">
        <v>721</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719</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843</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1427</v>
      </c>
      <c r="B3982" s="27" t="s">
        <v>805</v>
      </c>
      <c r="C3982" s="27" t="s">
        <v>759</v>
      </c>
      <c r="D3982" s="27" t="s">
        <v>714</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1808</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748</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742</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831</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887</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804</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1427</v>
      </c>
      <c r="B3989" s="27" t="s">
        <v>902</v>
      </c>
      <c r="C3989" s="27" t="s">
        <v>759</v>
      </c>
      <c r="D3989" s="27" t="s">
        <v>714</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1808</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831</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726</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1015</v>
      </c>
      <c r="B3993" s="27" t="s">
        <v>762</v>
      </c>
      <c r="C3993" s="27" t="s">
        <v>759</v>
      </c>
      <c r="D3993" s="27" t="s">
        <v>714</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804</v>
      </c>
      <c r="B3994" s="27" t="s">
        <v>1033</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1044</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900</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831</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726</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1015</v>
      </c>
      <c r="B3999" s="27" t="s">
        <v>737</v>
      </c>
      <c r="C3999" s="27" t="s">
        <v>759</v>
      </c>
      <c r="D3999" s="27" t="s">
        <v>714</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804</v>
      </c>
      <c r="B4000" s="27" t="s">
        <v>1050</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1037</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787</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1018</v>
      </c>
      <c r="B4003" s="27" t="s">
        <v>1272</v>
      </c>
      <c r="C4003" s="27" t="s">
        <v>741</v>
      </c>
      <c r="D4003" s="27" t="s">
        <v>714</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622</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row>
    <row r="4006" spans="1:12">
      <c r="A4006" s="20" t="s">
        <v>1809</v>
      </c>
    </row>
    <row r="4007" spans="1:12">
      <c r="A4007" s="20" t="s">
        <v>1810</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794</v>
      </c>
      <c r="B4008" s="27" t="s">
        <v>716</v>
      </c>
      <c r="C4008" s="27" t="s">
        <v>904</v>
      </c>
      <c r="D4008" s="27" t="s">
        <v>714</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1811</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733</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1763</v>
      </c>
      <c r="B4011" s="27" t="s">
        <v>798</v>
      </c>
      <c r="C4011" s="27" t="s">
        <v>741</v>
      </c>
      <c r="D4011" s="27" t="s">
        <v>714</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748</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866</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748</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738</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744</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746</v>
      </c>
      <c r="B4017" s="27" t="s">
        <v>772</v>
      </c>
      <c r="C4017" s="27" t="s">
        <v>741</v>
      </c>
      <c r="D4017" s="27" t="s">
        <v>714</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804</v>
      </c>
      <c r="B4018" s="27" t="s">
        <v>902</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1447</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622</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row>
    <row r="4022" spans="1:12">
      <c r="A4022" s="20" t="s">
        <v>1812</v>
      </c>
    </row>
    <row r="4023" spans="1:12">
      <c r="A4023" s="20" t="s">
        <v>1270</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744</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1787</v>
      </c>
      <c r="B4025" s="27" t="s">
        <v>712</v>
      </c>
      <c r="C4025" s="27" t="s">
        <v>965</v>
      </c>
      <c r="D4025" s="27" t="s">
        <v>714</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1788</v>
      </c>
      <c r="B4026" s="27" t="s">
        <v>772</v>
      </c>
      <c r="C4026" s="27" t="s">
        <v>965</v>
      </c>
      <c r="D4026" s="27" t="s">
        <v>714</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748</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867</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1813</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1220</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719</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744</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1531</v>
      </c>
      <c r="B4033" s="27" t="s">
        <v>712</v>
      </c>
      <c r="C4033" s="27" t="s">
        <v>741</v>
      </c>
      <c r="D4033" s="27" t="s">
        <v>714</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921</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1497</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914</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890</v>
      </c>
      <c r="B4037" s="27" t="s">
        <v>728</v>
      </c>
      <c r="C4037" s="27" t="s">
        <v>729</v>
      </c>
      <c r="D4037" s="27" t="s">
        <v>714</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719</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720</v>
      </c>
      <c r="B4039" s="27" t="s">
        <v>731</v>
      </c>
      <c r="C4039" s="27" t="s">
        <v>729</v>
      </c>
      <c r="D4039" s="27" t="s">
        <v>714</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719</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733</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1814</v>
      </c>
      <c r="B4042" s="27" t="s">
        <v>762</v>
      </c>
      <c r="C4042" s="27" t="s">
        <v>741</v>
      </c>
      <c r="D4042" s="27" t="s">
        <v>714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622</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row>
    <row r="4045" spans="1:12">
      <c r="A4045" s="20" t="s">
        <v>1815</v>
      </c>
    </row>
    <row r="4046" spans="1:12">
      <c r="A4046" s="20" t="s">
        <v>824</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794</v>
      </c>
      <c r="B4047" s="27" t="s">
        <v>716</v>
      </c>
      <c r="C4047" s="27" t="s">
        <v>904</v>
      </c>
      <c r="D4047" s="27" t="s">
        <v>714</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748</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866</v>
      </c>
      <c r="B4049" s="27" t="s">
        <v>716</v>
      </c>
      <c r="C4049" s="27" t="s">
        <v>721</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748</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1816</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831</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1501</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910</v>
      </c>
      <c r="B4054" s="27" t="s">
        <v>834</v>
      </c>
      <c r="C4054" s="27" t="s">
        <v>721</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1817</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726</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1818</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1819</v>
      </c>
      <c r="B4058" s="27" t="s">
        <v>731</v>
      </c>
      <c r="C4058" s="27" t="s">
        <v>741</v>
      </c>
      <c r="D4058" s="27" t="s">
        <v>714</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748</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1820</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905</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780</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1821</v>
      </c>
      <c r="B4063" s="27" t="s">
        <v>798</v>
      </c>
      <c r="C4063" s="27" t="s">
        <v>729</v>
      </c>
      <c r="D4063" s="27" t="s">
        <v>714</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782</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t="s">
        <v>748</v>
      </c>
      <c r="E4065" s="21">
        <f>IF(D4065="?OLD","!!!","")</f>
        <v/>
      </c>
      <c r="F4065" s="22" t="str">
        <f>IF(OR(E4065="",E4065="!!!"),"",IF(NOT(ISNA(VLOOKUP(E4065,E$1:E4064,1,FALSE()))),"OLD",IF(AND(E4065&lt;&gt;"",E4065&lt;&gt;"!!!"),"NEW","")))</f>
        <v> </v>
      </c>
      <c r="G4065" s="23" t="str">
        <f>IF(OR(E4065="",E4065="!!!"),"",IF(OR(J4065=0,AND(J4065=1,K4065=1),AND(J4065=1,I4065="SBJ"),AND(J4065=1,I4065=0)),"?IN_FOCUS",IF(J4065&lt;=2,"?ACTIVATED",IF(J4065&lt;&gt;"","?FAMILIAR",IF(F4065="NEW",IF(ISNA(VLOOKUP(E4065,#REF!,1,FALSE())),"?TYPE_IDENTIFIABLE","?REFERENTIAL"),"_")))))</f>
        <v> </v>
      </c>
      <c r="H4065" s="24" t="str">
        <f>IF(J4065&lt;&gt;1,"",IF(I4065="SBJ","CB","?"))</f>
        <v> </v>
      </c>
      <c r="I4065" s="25" t="str">
        <f>IF(OR(E4065="",E4065="!!!",F4065="NEW"),"",INDEX(B4064:B$2,-1+SUMPRODUCT(MAX(ROW(E4064:E$2)*(E4065=E4064:E$2)))))</f>
        <v> </v>
      </c>
      <c r="J4065" s="25" t="str">
        <f>IF(OR(E4065="",E4065="!!!",F4065="NEW"),"",COUNTBLANK(OFFSET(A$1,,,SUMPRODUCT(MAX(ROW(E$2:E4065)*(E4065=E$2:E4065)))))-COUNTBLANK(OFFSET(A$1,,,SUMPRODUCT(MAX(ROW(E$1:E4064)*(E2=E$1:E4064))))))</f>
        <v> </v>
      </c>
      <c r="K4065" s="25" t="str">
        <f>IF(OR(E4065="",E4065="!!!",F4065="NEW"),"",INDEX(J$1:J4064,SUMPRODUCT(MAX(ROW(E$1:E4064)*(E4065=E$1:E4064)))))</f>
        <v> </v>
      </c>
      <c r="L4065" s="26"/>
    </row>
    <row r="4066" spans="1:12">
      <c r="A4066" s="20" t="s">
        <v>719</v>
      </c>
      <c r="E4066" s="21">
        <f>IF(D4066="?OLD","!!!","")</f>
        <v/>
      </c>
      <c r="F4066" s="22" t="str">
        <f>IF(OR(E4066="",E4066="!!!"),"",IF(NOT(ISNA(VLOOKUP(E4066,E$1:E4065,1,FALSE()))),"OLD",IF(AND(E4066&lt;&gt;"",E4066&lt;&gt;"!!!"),"NEW","")))</f>
        <v> </v>
      </c>
      <c r="G4066" s="23" t="str">
        <f>IF(OR(E4066="",E4066="!!!"),"",IF(OR(J4066=0,AND(J4066=1,K4066=1),AND(J4066=1,I4066="SBJ"),AND(J4066=1,I4066=0)),"?IN_FOCUS",IF(J4066&lt;=2,"?ACTIVATED",IF(J4066&lt;&gt;"","?FAMILIAR",IF(F4066="NEW",IF(ISNA(VLOOKUP(E4066,#REF!,1,FALSE())),"?TYPE_IDENTIFIABLE","?REFERENTIAL"),"_")))))</f>
        <v> </v>
      </c>
      <c r="H4066" s="24" t="str">
        <f>IF(J4066&lt;&gt;1,"",IF(I4066="SBJ","CB","?"))</f>
        <v> </v>
      </c>
      <c r="I4066" s="25" t="str">
        <f>IF(OR(E4066="",E4066="!!!",F4066="NEW"),"",INDEX(B4065:B$2,-1+SUMPRODUCT(MAX(ROW(E4065:E$2)*(E4066=E4065:E$2)))))</f>
        <v> </v>
      </c>
      <c r="J4066" s="25" t="str">
        <f>IF(OR(E4066="",E4066="!!!",F4066="NEW"),"",COUNTBLANK(OFFSET(A$1,,,SUMPRODUCT(MAX(ROW(E$2:E4066)*(E4066=E$2:E4066)))))-COUNTBLANK(OFFSET(A$1,,,SUMPRODUCT(MAX(ROW(E$1:E4065)*(E2=E$1:E4065))))))</f>
        <v> </v>
      </c>
      <c r="K4066" s="25" t="str">
        <f>IF(OR(E4066="",E4066="!!!",F4066="NEW"),"",INDEX(J$1:J4065,SUMPRODUCT(MAX(ROW(E$1:E4065)*(E4066=E$1:E4065)))))</f>
        <v> </v>
      </c>
      <c r="L4066" s="26"/>
    </row>
    <row r="4067" spans="1:12">
      <c r="A4067" s="20" t="s">
        <v>787</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1822</v>
      </c>
      <c r="B4068" s="27" t="s">
        <v>772</v>
      </c>
      <c r="C4068" s="27" t="s">
        <v>741</v>
      </c>
      <c r="D4068" s="27" t="s">
        <v>714</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1823</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622</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row>
    <row r="4072" spans="1:12">
      <c r="A4072" s="20" t="s">
        <v>1824</v>
      </c>
    </row>
    <row r="4073" spans="1:12">
      <c r="A4073" s="20" t="s">
        <v>1723</v>
      </c>
      <c r="B4073" s="27" t="s">
        <v>716</v>
      </c>
      <c r="C4073" s="27" t="s">
        <v>965</v>
      </c>
      <c r="D4073" s="27" t="s">
        <v>714</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892</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1644</v>
      </c>
      <c r="B4075" s="27" t="s">
        <v>772</v>
      </c>
      <c r="C4075" s="27" t="s">
        <v>965</v>
      </c>
      <c r="D4075" s="27" t="s">
        <v>714</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748</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1095</v>
      </c>
      <c r="B4077" s="27" t="s">
        <v>798</v>
      </c>
      <c r="C4077" s="27" t="s">
        <v>759</v>
      </c>
      <c r="D4077" s="27" t="s">
        <v>714</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1825</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804</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794</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1826</v>
      </c>
      <c r="B4081" s="27" t="s">
        <v>855</v>
      </c>
      <c r="C4081" s="27" t="s">
        <v>713</v>
      </c>
      <c r="D4081" s="27" t="s">
        <v>714</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1346</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748</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900</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921</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918</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t="s">
        <v>1218</v>
      </c>
      <c r="B4087" s="27" t="s">
        <v>772</v>
      </c>
      <c r="C4087" s="27" t="s">
        <v>741</v>
      </c>
      <c r="D4087" s="27" t="s">
        <v>714</v>
      </c>
      <c r="E4087" s="21">
        <f>IF(D4087="?OLD","!!!","")</f>
        <v/>
      </c>
      <c r="F4087" s="22" t="str">
        <f>IF(OR(E4087="",E4087="!!!"),"",IF(NOT(ISNA(VLOOKUP(E4087,E$1:E4086,1,FALSE()))),"OLD",IF(AND(E4087&lt;&gt;"",E4087&lt;&gt;"!!!"),"NEW","")))</f>
        <v> </v>
      </c>
      <c r="G4087" s="23" t="str">
        <f>IF(OR(E4087="",E4087="!!!"),"",IF(OR(J4087=0,AND(J4087=1,K4087=1),AND(J4087=1,I4087="SBJ"),AND(J4087=1,I4087=0)),"?IN_FOCUS",IF(J4087&lt;=2,"?ACTIVATED",IF(J4087&lt;&gt;"","?FAMILIAR",IF(F4087="NEW",IF(ISNA(VLOOKUP(E4087,#REF!,1,FALSE())),"?TYPE_IDENTIFIABLE","?REFERENTIAL"),"_")))))</f>
        <v> </v>
      </c>
      <c r="H4087" s="24" t="str">
        <f>IF(J4087&lt;&gt;1,"",IF(I4087="SBJ","CB","?"))</f>
        <v> </v>
      </c>
      <c r="I4087" s="25" t="str">
        <f>IF(OR(E4087="",E4087="!!!",F4087="NEW"),"",INDEX(B4086:B$2,-1+SUMPRODUCT(MAX(ROW(E4086:E$2)*(E4087=E4086:E$2)))))</f>
        <v> </v>
      </c>
      <c r="J4087" s="25" t="str">
        <f>IF(OR(E4087="",E4087="!!!",F4087="NEW"),"",COUNTBLANK(OFFSET(A$1,,,SUMPRODUCT(MAX(ROW(E$2:E4087)*(E4087=E$2:E4087)))))-COUNTBLANK(OFFSET(A$1,,,SUMPRODUCT(MAX(ROW(E$1:E4086)*(E2=E$1:E4086))))))</f>
        <v> </v>
      </c>
      <c r="K4087" s="25" t="str">
        <f>IF(OR(E4087="",E4087="!!!",F4087="NEW"),"",INDEX(J$1:J4086,SUMPRODUCT(MAX(ROW(E$1:E4086)*(E4087=E$1:E4086)))))</f>
        <v> </v>
      </c>
      <c r="L4087" s="26"/>
    </row>
    <row r="4088" spans="1:12">
      <c r="A4088" s="20" t="s">
        <v>1827</v>
      </c>
      <c r="E4088" s="21">
        <f>IF(D4088="?OLD","!!!","")</f>
        <v/>
      </c>
      <c r="F4088" s="22" t="str">
        <f>IF(OR(E4088="",E4088="!!!"),"",IF(NOT(ISNA(VLOOKUP(E4088,E$1:E4087,1,FALSE()))),"OLD",IF(AND(E4088&lt;&gt;"",E4088&lt;&gt;"!!!"),"NEW","")))</f>
        <v> </v>
      </c>
      <c r="G4088" s="23" t="str">
        <f>IF(OR(E4088="",E4088="!!!"),"",IF(OR(J4088=0,AND(J4088=1,K4088=1),AND(J4088=1,I4088="SBJ"),AND(J4088=1,I4088=0)),"?IN_FOCUS",IF(J4088&lt;=2,"?ACTIVATED",IF(J4088&lt;&gt;"","?FAMILIAR",IF(F4088="NEW",IF(ISNA(VLOOKUP(E4088,#REF!,1,FALSE())),"?TYPE_IDENTIFIABLE","?REFERENTIAL"),"_")))))</f>
        <v> </v>
      </c>
      <c r="H4088" s="24" t="str">
        <f>IF(J4088&lt;&gt;1,"",IF(I4088="SBJ","CB","?"))</f>
        <v> </v>
      </c>
      <c r="I4088" s="25" t="str">
        <f>IF(OR(E4088="",E4088="!!!",F4088="NEW"),"",INDEX(B4087:B$2,-1+SUMPRODUCT(MAX(ROW(E4087:E$2)*(E4088=E4087:E$2)))))</f>
        <v> </v>
      </c>
      <c r="J4088" s="25" t="str">
        <f>IF(OR(E4088="",E4088="!!!",F4088="NEW"),"",COUNTBLANK(OFFSET(A$1,,,SUMPRODUCT(MAX(ROW(E$2:E4088)*(E4088=E$2:E4088)))))-COUNTBLANK(OFFSET(A$1,,,SUMPRODUCT(MAX(ROW(E$1:E4087)*(E2=E$1:E4087))))))</f>
        <v> </v>
      </c>
      <c r="K4088" s="25" t="str">
        <f>IF(OR(E4088="",E4088="!!!",F4088="NEW"),"",INDEX(J$1:J4087,SUMPRODUCT(MAX(ROW(E$1:E4087)*(E4088=E$1:E4087)))))</f>
        <v> </v>
      </c>
      <c r="L4088" s="26"/>
    </row>
    <row r="4089" spans="1:12">
      <c r="A4089" s="20" t="s">
        <v>21</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748</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733</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1828</v>
      </c>
      <c r="B4092" s="27" t="s">
        <v>712</v>
      </c>
      <c r="C4092" s="27" t="s">
        <v>729</v>
      </c>
      <c r="D4092" s="27" t="s">
        <v>714</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719</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1763</v>
      </c>
      <c r="B4094" s="27" t="s">
        <v>772</v>
      </c>
      <c r="C4094" s="27" t="s">
        <v>721</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763</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1656</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1143</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1829</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738</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775</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1830</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746</v>
      </c>
      <c r="B4102" s="27" t="s">
        <v>863</v>
      </c>
      <c r="C4102" s="27" t="s">
        <v>741</v>
      </c>
      <c r="D4102" s="27" t="s">
        <v>714</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622</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row>
    <row r="4105" spans="1:12">
      <c r="A4105" s="20" t="s">
        <v>1831</v>
      </c>
    </row>
    <row r="4106" spans="1:12">
      <c r="A4106" s="20" t="s">
        <v>1679</v>
      </c>
      <c r="B4106" s="27" t="s">
        <v>712</v>
      </c>
      <c r="C4106" s="27" t="s">
        <v>756</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1687</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921</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752</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1832</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914</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1833</v>
      </c>
      <c r="B4112" s="27" t="s">
        <v>728</v>
      </c>
      <c r="C4112" s="27" t="s">
        <v>741</v>
      </c>
      <c r="D4112" s="27" t="s">
        <v>714</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1834</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622</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row>
    <row r="4116" spans="1:12">
      <c r="A4116" s="20" t="s">
        <v>1835</v>
      </c>
    </row>
    <row r="4117" spans="1:12">
      <c r="A4117" s="20" t="s">
        <v>1679</v>
      </c>
      <c r="B4117" s="27" t="s">
        <v>712</v>
      </c>
      <c r="C4117" s="27" t="s">
        <v>721</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1752</v>
      </c>
      <c r="B4118" s="27" t="s">
        <v>712</v>
      </c>
      <c r="C4118" s="27" t="s">
        <v>965</v>
      </c>
      <c r="D4118" s="27" t="s">
        <v>714</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1698</v>
      </c>
      <c r="B4119" s="27" t="s">
        <v>712</v>
      </c>
      <c r="C4119" s="27" t="s">
        <v>965</v>
      </c>
      <c r="D4119" s="27" t="s">
        <v>714</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t="s">
        <v>622</v>
      </c>
      <c r="E4120" s="21">
        <f>IF(D4120="?OLD","!!!","")</f>
        <v/>
      </c>
      <c r="F4120" s="22" t="str">
        <f>IF(OR(E4120="",E4120="!!!"),"",IF(NOT(ISNA(VLOOKUP(E4120,E$1:E4119,1,FALSE()))),"OLD",IF(AND(E4120&lt;&gt;"",E4120&lt;&gt;"!!!"),"NEW","")))</f>
        <v> </v>
      </c>
      <c r="G4120" s="23" t="str">
        <f>IF(OR(E4120="",E4120="!!!"),"",IF(OR(J4120=0,AND(J4120=1,K4120=1),AND(J4120=1,I4120="SBJ"),AND(J4120=1,I4120=0)),"?IN_FOCUS",IF(J4120&lt;=2,"?ACTIVATED",IF(J4120&lt;&gt;"","?FAMILIAR",IF(F4120="NEW",IF(ISNA(VLOOKUP(E4120,#REF!,1,FALSE())),"?TYPE_IDENTIFIABLE","?REFERENTIAL"),"_")))))</f>
        <v> </v>
      </c>
      <c r="H4120" s="24" t="str">
        <f>IF(J4120&lt;&gt;1,"",IF(I4120="SBJ","CB","?"))</f>
        <v> </v>
      </c>
      <c r="I4120" s="25" t="str">
        <f>IF(OR(E4120="",E4120="!!!",F4120="NEW"),"",INDEX(B4119:B$2,-1+SUMPRODUCT(MAX(ROW(E4119:E$2)*(E4120=E4119:E$2)))))</f>
        <v> </v>
      </c>
      <c r="J4120" s="25" t="str">
        <f>IF(OR(E4120="",E4120="!!!",F4120="NEW"),"",COUNTBLANK(OFFSET(A$1,,,SUMPRODUCT(MAX(ROW(E$2:E4120)*(E4120=E$2:E4120)))))-COUNTBLANK(OFFSET(A$1,,,SUMPRODUCT(MAX(ROW(E$1:E4119)*(E2=E$1:E4119))))))</f>
        <v> </v>
      </c>
      <c r="K4120" s="25" t="str">
        <f>IF(OR(E4120="",E4120="!!!",F4120="NEW"),"",INDEX(J$1:J4119,SUMPRODUCT(MAX(ROW(E$1:E4119)*(E4120=E$1:E4119)))))</f>
        <v> </v>
      </c>
      <c r="L4120" s="26"/>
    </row>
    <row r="4121" spans="1:12">
      <c r="A412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2025-07-11T07:03:59Z</dcterms:created>
  <dcterms:modified xsi:type="dcterms:W3CDTF">2025-07-11T07:03:59Z</dcterms:modified>
</cp:coreProperties>
</file>