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<sst xmlns="http://schemas.openxmlformats.org/spreadsheetml/2006/main" count="1874" uniqueCount="452">
  <si>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</si>
  <si>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</si>
  <si>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</si>
  <si>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</si>
  <si>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</si>
  <si>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</si>
  <si>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</si>
  <si>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</si>
  <si>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</si>
  <si>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</si>
  <si>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</si>
  <si>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</si>
  <si>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</si>
  <si>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</si>
  <si>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</si>
  <si>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</si>
  <si>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</si>
  <si>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</si>
  <si>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</si>
  <si>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</si>
  <si>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</si>
  <si>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Charles Perrault 1697 1875 Carlo Collodi fiabe letteratura Cappuccetto Rosso Intestazione 31 gennaio 2010 75% fiabe</t>
  </si>
  <si>
    <t>Charles</t>
  </si>
  <si>
    <t>SBJ</t>
  </si>
  <si>
    <t>ne</t>
  </si>
  <si>
    <t>?OLD</t>
  </si>
  <si>
    <t>Perrault</t>
  </si>
  <si>
    <t>other_2</t>
  </si>
  <si>
    <t>1697</t>
  </si>
  <si>
    <t>1875</t>
  </si>
  <si>
    <t>Carlo</t>
  </si>
  <si>
    <t>Collodi</t>
  </si>
  <si>
    <t>fiabe</t>
  </si>
  <si>
    <t>other_3</t>
  </si>
  <si>
    <t>indef-np.bare</t>
  </si>
  <si>
    <t>letteratura</t>
  </si>
  <si>
    <t>Cappuccetto</t>
  </si>
  <si>
    <t>Rosso</t>
  </si>
  <si>
    <t>Intestazione</t>
  </si>
  <si>
    <t>def-np.poss</t>
  </si>
  <si>
    <t>31</t>
  </si>
  <si>
    <t>gennaio</t>
  </si>
  <si>
    <t>2010</t>
  </si>
  <si>
    <t>75</t>
  </si>
  <si>
    <t>%</t>
  </si>
  <si>
    <t>other</t>
  </si>
  <si>
    <t># text = C'era una volta in un villaggio una bambina, la più carina che si potesse mai vedere.</t>
  </si>
  <si>
    <t>C'</t>
  </si>
  <si>
    <t>era</t>
  </si>
  <si>
    <t>una</t>
  </si>
  <si>
    <t>volta</t>
  </si>
  <si>
    <t>indef-np.a</t>
  </si>
  <si>
    <t>in</t>
  </si>
  <si>
    <t>un</t>
  </si>
  <si>
    <t>villaggio</t>
  </si>
  <si>
    <t>bambina</t>
  </si>
  <si>
    <t>,</t>
  </si>
  <si>
    <t>la</t>
  </si>
  <si>
    <t>più</t>
  </si>
  <si>
    <t>carina</t>
  </si>
  <si>
    <t>def-np.the</t>
  </si>
  <si>
    <t>che</t>
  </si>
  <si>
    <t>si</t>
  </si>
  <si>
    <t>other_4</t>
  </si>
  <si>
    <t>pron.pper</t>
  </si>
  <si>
    <t>potesse</t>
  </si>
  <si>
    <t>mai</t>
  </si>
  <si>
    <t>vedere</t>
  </si>
  <si>
    <t>.</t>
  </si>
  <si>
    <t># text = La sua mamma n'era matta, e la sua nonna anche di più.</t>
  </si>
  <si>
    <t>La</t>
  </si>
  <si>
    <t>sua</t>
  </si>
  <si>
    <t>pron.ppos</t>
  </si>
  <si>
    <t>mamma</t>
  </si>
  <si>
    <t>n'</t>
  </si>
  <si>
    <t>matta</t>
  </si>
  <si>
    <t>e</t>
  </si>
  <si>
    <t>nonna</t>
  </si>
  <si>
    <t>anche</t>
  </si>
  <si>
    <t>di</t>
  </si>
  <si>
    <t># text = Quella buona donna di sua madre le aveva fatto fare un cappuccetto rosso, il quale le tornava così bene a viso, che la chiamavano dappertutto Cappuccetto Rosso.</t>
  </si>
  <si>
    <t>Quella</t>
  </si>
  <si>
    <t>buona</t>
  </si>
  <si>
    <t>donna</t>
  </si>
  <si>
    <t>def-np.dem</t>
  </si>
  <si>
    <t>madre</t>
  </si>
  <si>
    <t>indef-np</t>
  </si>
  <si>
    <t>le</t>
  </si>
  <si>
    <t>OBJ</t>
  </si>
  <si>
    <t>aveva</t>
  </si>
  <si>
    <t>fatto</t>
  </si>
  <si>
    <t>fare</t>
  </si>
  <si>
    <t>cappuccetto</t>
  </si>
  <si>
    <t>OBJ_2</t>
  </si>
  <si>
    <t>rosso</t>
  </si>
  <si>
    <t>il</t>
  </si>
  <si>
    <t>quale</t>
  </si>
  <si>
    <t>SBJ_4</t>
  </si>
  <si>
    <t>OBJ_4</t>
  </si>
  <si>
    <t>tornava</t>
  </si>
  <si>
    <t>così</t>
  </si>
  <si>
    <t>bene</t>
  </si>
  <si>
    <t>a</t>
  </si>
  <si>
    <t>viso</t>
  </si>
  <si>
    <t>chiamavano</t>
  </si>
  <si>
    <t>dappertutto</t>
  </si>
  <si>
    <t>other_5</t>
  </si>
  <si>
    <t># text = Un giorno sua madre, avendo cavate di forno alcune stiacciate, le disse:</t>
  </si>
  <si>
    <t>Un</t>
  </si>
  <si>
    <t>giorno</t>
  </si>
  <si>
    <t>avendo</t>
  </si>
  <si>
    <t>cavate</t>
  </si>
  <si>
    <t>forno</t>
  </si>
  <si>
    <t>alcune</t>
  </si>
  <si>
    <t>stiacciate</t>
  </si>
  <si>
    <t>disse</t>
  </si>
  <si>
    <t>:</t>
  </si>
  <si>
    <t>--</t>
  </si>
  <si>
    <t># text = \"Va' un po' a vedere come sta la tua nonna, perché mi hanno detto che era un po' incomodata:</t>
  </si>
  <si>
    <t>&amp;quot;</t>
  </si>
  <si>
    <t>Va</t>
  </si>
  <si>
    <t>'</t>
  </si>
  <si>
    <t>po'</t>
  </si>
  <si>
    <t>come</t>
  </si>
  <si>
    <t>sta</t>
  </si>
  <si>
    <t>tua</t>
  </si>
  <si>
    <t>OBJ_3</t>
  </si>
  <si>
    <t>perché</t>
  </si>
  <si>
    <t>mi</t>
  </si>
  <si>
    <t>hanno</t>
  </si>
  <si>
    <t>detto</t>
  </si>
  <si>
    <t>incomodata</t>
  </si>
  <si>
    <t># text = e intanto portale questa stiacciata e questo vasetto di burro\".</t>
  </si>
  <si>
    <t>intanto</t>
  </si>
  <si>
    <t>portale</t>
  </si>
  <si>
    <t>questa</t>
  </si>
  <si>
    <t>pron.pds</t>
  </si>
  <si>
    <t>stiacciata</t>
  </si>
  <si>
    <t>questo</t>
  </si>
  <si>
    <t>vasetto</t>
  </si>
  <si>
    <t>burro</t>
  </si>
  <si>
    <t># text = Cappuccetto Rosso, senza farselo dire due volte, partì per andare dalla sua nonna, la quale stava in un altro villaggio.</t>
  </si>
  <si>
    <t>senza</t>
  </si>
  <si>
    <t>far</t>
  </si>
  <si>
    <t>se</t>
  </si>
  <si>
    <t>lo</t>
  </si>
  <si>
    <t>dire</t>
  </si>
  <si>
    <t>due</t>
  </si>
  <si>
    <t>volte</t>
  </si>
  <si>
    <t>indef-np.quant</t>
  </si>
  <si>
    <t>partì</t>
  </si>
  <si>
    <t>per</t>
  </si>
  <si>
    <t>andare</t>
  </si>
  <si>
    <t>da</t>
  </si>
  <si>
    <t>stava</t>
  </si>
  <si>
    <t>altro</t>
  </si>
  <si>
    <t># text = E passando per un bosco s'imbatté in quella buona lana del Lupo, il quale avrebbe avuto una gran voglia di mangiarsela; ma poi non ebbe il coraggio di farlo, a motivo di certi taglialegna che erano lì nella foresta.</t>
  </si>
  <si>
    <t>E</t>
  </si>
  <si>
    <t>passando</t>
  </si>
  <si>
    <t>bosco</t>
  </si>
  <si>
    <t>s'</t>
  </si>
  <si>
    <t>imbatté</t>
  </si>
  <si>
    <t>quella</t>
  </si>
  <si>
    <t>lana</t>
  </si>
  <si>
    <t>Lupo</t>
  </si>
  <si>
    <t>SBJ_3</t>
  </si>
  <si>
    <t>avrebbe</t>
  </si>
  <si>
    <t>avuto</t>
  </si>
  <si>
    <t>gran</t>
  </si>
  <si>
    <t>voglia</t>
  </si>
  <si>
    <t>mangiar</t>
  </si>
  <si>
    <t>;</t>
  </si>
  <si>
    <t>ma</t>
  </si>
  <si>
    <t>poi</t>
  </si>
  <si>
    <t>non</t>
  </si>
  <si>
    <t>ebbe</t>
  </si>
  <si>
    <t>coraggio</t>
  </si>
  <si>
    <t>OBJ_6</t>
  </si>
  <si>
    <t>OBJ_8</t>
  </si>
  <si>
    <t>motivo</t>
  </si>
  <si>
    <t>other_8</t>
  </si>
  <si>
    <t>certi</t>
  </si>
  <si>
    <t>taglialegna</t>
  </si>
  <si>
    <t>other_9</t>
  </si>
  <si>
    <t>SBJ_11</t>
  </si>
  <si>
    <t>erano</t>
  </si>
  <si>
    <t>lì</t>
  </si>
  <si>
    <t>foresta</t>
  </si>
  <si>
    <t>other_10</t>
  </si>
  <si>
    <t># text = Egli le domandò dove andava.</t>
  </si>
  <si>
    <t>Egli</t>
  </si>
  <si>
    <t>domandò</t>
  </si>
  <si>
    <t>dove</t>
  </si>
  <si>
    <t>andava</t>
  </si>
  <si>
    <t># text = La povera bambina, che non sapeva quanto sia pericoloso fermarsi per dar retta al Lupo, gli disse:</t>
  </si>
  <si>
    <t>povera</t>
  </si>
  <si>
    <t>sapeva</t>
  </si>
  <si>
    <t>quanto</t>
  </si>
  <si>
    <t>sia</t>
  </si>
  <si>
    <t>pericoloso</t>
  </si>
  <si>
    <t>fermar</t>
  </si>
  <si>
    <t>dar</t>
  </si>
  <si>
    <t>retta</t>
  </si>
  <si>
    <t>other_6</t>
  </si>
  <si>
    <t>gli</t>
  </si>
  <si>
    <t># text = "Vo' a vedere la mia nonna e a portarle una stiacciata, con questo vasetto di burro, che le manda la mamma mia".</t>
  </si>
  <si>
    <t>Vo'</t>
  </si>
  <si>
    <t>mia</t>
  </si>
  <si>
    <t>portar</t>
  </si>
  <si>
    <t>con</t>
  </si>
  <si>
    <t>SBJ_5</t>
  </si>
  <si>
    <t>OBJ_5</t>
  </si>
  <si>
    <t>manda</t>
  </si>
  <si>
    <t># text = "Sta molto lontana di qui?", disse il Lupo.</t>
  </si>
  <si>
    <t>Sta</t>
  </si>
  <si>
    <t>molto</t>
  </si>
  <si>
    <t>lontana</t>
  </si>
  <si>
    <t>qui</t>
  </si>
  <si>
    <t>?</t>
  </si>
  <si>
    <t>SBJ_2</t>
  </si>
  <si>
    <t># text = \"Oh, altro!\", disse Cappuccetto Rosso.</t>
  </si>
  <si>
    <t>Oh</t>
  </si>
  <si>
    <t>!</t>
  </si>
  <si>
    <t># text = "La sta laggiù, passato quel mulino, che si vede di qui, nella prima casa, al principio del villaggio."</t>
  </si>
  <si>
    <t>laggiù</t>
  </si>
  <si>
    <t>passato</t>
  </si>
  <si>
    <t>quel</t>
  </si>
  <si>
    <t>mulino</t>
  </si>
  <si>
    <t>vede</t>
  </si>
  <si>
    <t>prima</t>
  </si>
  <si>
    <t>casa</t>
  </si>
  <si>
    <t>principio</t>
  </si>
  <si>
    <t># text = \"Benissimo\", disse il Lupo, \"voglio venire a vederla anch'io.</t>
  </si>
  <si>
    <t>Benissimo</t>
  </si>
  <si>
    <t>voglio</t>
  </si>
  <si>
    <t>venire</t>
  </si>
  <si>
    <t>veder</t>
  </si>
  <si>
    <t>anch'</t>
  </si>
  <si>
    <t>io</t>
  </si>
  <si>
    <t># text = Io piglierò da questa parte, e tu da quell'altra, e faremo a chi arriva più presto."</t>
  </si>
  <si>
    <t>Io</t>
  </si>
  <si>
    <t>piglierò</t>
  </si>
  <si>
    <t>parte</t>
  </si>
  <si>
    <t>tu</t>
  </si>
  <si>
    <t>quell'</t>
  </si>
  <si>
    <t>altra</t>
  </si>
  <si>
    <t>pron.pind</t>
  </si>
  <si>
    <t>faremo</t>
  </si>
  <si>
    <t>chi</t>
  </si>
  <si>
    <t>arriva</t>
  </si>
  <si>
    <t>presto</t>
  </si>
  <si>
    <t># text = Il Lupo si messe a correre per la sua strada, che era una scorciatoia, con quanta forza avea nelle gambe:</t>
  </si>
  <si>
    <t>Il</t>
  </si>
  <si>
    <t>messe</t>
  </si>
  <si>
    <t>correre</t>
  </si>
  <si>
    <t>strada</t>
  </si>
  <si>
    <t>scorciatoia</t>
  </si>
  <si>
    <t>quanta</t>
  </si>
  <si>
    <t>pron.pint</t>
  </si>
  <si>
    <t>forza</t>
  </si>
  <si>
    <t>avea</t>
  </si>
  <si>
    <t>gambe</t>
  </si>
  <si>
    <t># text = e la bambina se ne andò per la sua strada, che era la più lunga, baloccandosi a cogliere le nocciuole, a dar dietro alle farfalle, e a fare dei mazzetti con tutti i fiorellini, che incontrava lungo la via.</t>
  </si>
  <si>
    <t>andò</t>
  </si>
  <si>
    <t>lunga</t>
  </si>
  <si>
    <t>baloccando</t>
  </si>
  <si>
    <t>cogliere</t>
  </si>
  <si>
    <t>nocciuole</t>
  </si>
  <si>
    <t>dietro</t>
  </si>
  <si>
    <t>farfalle</t>
  </si>
  <si>
    <t>i</t>
  </si>
  <si>
    <t>mazzetti</t>
  </si>
  <si>
    <t>tutti</t>
  </si>
  <si>
    <t>fiorellini</t>
  </si>
  <si>
    <t>incontrava</t>
  </si>
  <si>
    <t>lungo</t>
  </si>
  <si>
    <t>via</t>
  </si>
  <si>
    <t># text = Il Lupo in due salti arrivò a casa della nonna e bussò.</t>
  </si>
  <si>
    <t>salti</t>
  </si>
  <si>
    <t>arrivò</t>
  </si>
  <si>
    <t>bussò</t>
  </si>
  <si>
    <t># text = \"Toc, toc.\"</t>
  </si>
  <si>
    <t>Toc</t>
  </si>
  <si>
    <t>toc</t>
  </si>
  <si>
    <t># text = \"Chi è?\"</t>
  </si>
  <si>
    <t>Chi</t>
  </si>
  <si>
    <t>è</t>
  </si>
  <si>
    <t># text = \"Sono la vostra bambina, son Cappuccetto Rosso\", disse il Lupo, contraffacendone la voce, \"e vengo a portarvi una stiacciata e un vasetto di burro, che vi manda la mamma mia.\"</t>
  </si>
  <si>
    <t>Sono</t>
  </si>
  <si>
    <t>vostra</t>
  </si>
  <si>
    <t>son</t>
  </si>
  <si>
    <t>contraffacendo</t>
  </si>
  <si>
    <t>voce</t>
  </si>
  <si>
    <t>vengo</t>
  </si>
  <si>
    <t>vi</t>
  </si>
  <si>
    <t>SBJ_6</t>
  </si>
  <si>
    <t>other_7</t>
  </si>
  <si>
    <t># text = La buona nonna, che era a letto perché non si sentiva troppo bene, gli gridò:</t>
  </si>
  <si>
    <t>letto</t>
  </si>
  <si>
    <t>sentiva</t>
  </si>
  <si>
    <t>troppo</t>
  </si>
  <si>
    <t>gridò</t>
  </si>
  <si>
    <t># text = "Tira la stanghetta, e la porta si aprirà".</t>
  </si>
  <si>
    <t>Tira</t>
  </si>
  <si>
    <t>stanghetta</t>
  </si>
  <si>
    <t>porta</t>
  </si>
  <si>
    <t>aprirà</t>
  </si>
  <si>
    <t># text = Il Lupo tirò la stanghetta, e la porta si aprì.</t>
  </si>
  <si>
    <t>tirò</t>
  </si>
  <si>
    <t>aprì</t>
  </si>
  <si>
    <t># text = Appena dentro, si gettò sulla buona donna e la divorò in men che non si dice, perché erano tre giorni che non s'era sdigiunato.</t>
  </si>
  <si>
    <t>Appena</t>
  </si>
  <si>
    <t>dentro</t>
  </si>
  <si>
    <t>gettò</t>
  </si>
  <si>
    <t>su</t>
  </si>
  <si>
    <t>divorò</t>
  </si>
  <si>
    <t>men</t>
  </si>
  <si>
    <t>dice</t>
  </si>
  <si>
    <t>tre</t>
  </si>
  <si>
    <t>giorni</t>
  </si>
  <si>
    <t>sdigiunato</t>
  </si>
  <si>
    <t># text = Quindi rinchiuse la porta e andò a mettersi nel letto della nonna, aspettando che arrivasse Cappuccetto Rosso, che, di lì a poco, venne a picchiare alla porta.</t>
  </si>
  <si>
    <t>Quindi</t>
  </si>
  <si>
    <t>rinchiuse</t>
  </si>
  <si>
    <t>metter</t>
  </si>
  <si>
    <t>aspettando</t>
  </si>
  <si>
    <t>arrivasse</t>
  </si>
  <si>
    <t>poco</t>
  </si>
  <si>
    <t>venne</t>
  </si>
  <si>
    <t>picchiare</t>
  </si>
  <si>
    <t># text = Cappuccetto Rosso, che sentì il vocione grosso del Lupo, ebbe dapprincipio un po' di paura; ma credendo che la sua nonna fosse infreddata rispose:</t>
  </si>
  <si>
    <t>sentì</t>
  </si>
  <si>
    <t>vocione</t>
  </si>
  <si>
    <t>grosso</t>
  </si>
  <si>
    <t>dapprincipio</t>
  </si>
  <si>
    <t>paura</t>
  </si>
  <si>
    <t>credendo</t>
  </si>
  <si>
    <t>fosse</t>
  </si>
  <si>
    <t>infreddata</t>
  </si>
  <si>
    <t>rispose</t>
  </si>
  <si>
    <t># text = "Sono la vostra bambina, son Cappuccetto Rosso, che vengo a portarvi una stiacciata e un vasetto di burro, che vi manda la mamma mia".</t>
  </si>
  <si>
    <t>SBJ_7</t>
  </si>
  <si>
    <t>OBJ_7</t>
  </si>
  <si>
    <t># text = Il Lupo gridò di dentro, assottigliando un po' la voce:</t>
  </si>
  <si>
    <t>assottigliando</t>
  </si>
  <si>
    <t># text = \"Tira la stanghetta e la porta si aprirà.\"</t>
  </si>
  <si>
    <t># text = Cappuccetto Rosso tirò la stanghetta e la porta si aprì.</t>
  </si>
  <si>
    <t># text = Il Lupo, vistala entrare, le disse, nascondendosi sotto le coperte:</t>
  </si>
  <si>
    <t>vista</t>
  </si>
  <si>
    <t>entrare</t>
  </si>
  <si>
    <t>nascondendo</t>
  </si>
  <si>
    <t>sotto</t>
  </si>
  <si>
    <t>coperte</t>
  </si>
  <si>
    <t># text = \"Posa la stiacciata e il vasetto di burro sulla madia e vieni a letto con me\".</t>
  </si>
  <si>
    <t>Posa</t>
  </si>
  <si>
    <t>madia</t>
  </si>
  <si>
    <t>vieni</t>
  </si>
  <si>
    <t>me</t>
  </si>
  <si>
    <t># text = Cappuccetto Rosso si spogliò ed entrò nel letto, dove ebbe una gran sorpresa nel vedere com'era fatta la sua nonna, quando era tutta spogliata.</t>
  </si>
  <si>
    <t>spogliò</t>
  </si>
  <si>
    <t>ed</t>
  </si>
  <si>
    <t>entrò</t>
  </si>
  <si>
    <t>sorpresa</t>
  </si>
  <si>
    <t>com'</t>
  </si>
  <si>
    <t>fatta</t>
  </si>
  <si>
    <t>quando</t>
  </si>
  <si>
    <t>tutta</t>
  </si>
  <si>
    <t>spogliata</t>
  </si>
  <si>
    <t># text = E cominciò a dire:</t>
  </si>
  <si>
    <t>cominciò</t>
  </si>
  <si>
    <t># text = "O nonna mia, che braccia grandi che avete!".</t>
  </si>
  <si>
    <t>_</t>
  </si>
  <si>
    <t>braccia</t>
  </si>
  <si>
    <t>grandi</t>
  </si>
  <si>
    <t>avete</t>
  </si>
  <si>
    <t># text = \"Gli è per abbracciarti meglio, bambina mia.\"</t>
  </si>
  <si>
    <t>Gli</t>
  </si>
  <si>
    <t>abbracciar</t>
  </si>
  <si>
    <t>ti</t>
  </si>
  <si>
    <t>meglio</t>
  </si>
  <si>
    <t># text = \"O nonna mia, che gambe grandi che avete!\"</t>
  </si>
  <si>
    <t># text = \"Gli è per correr meglio, bambina mia.\"</t>
  </si>
  <si>
    <t>correr</t>
  </si>
  <si>
    <t># text = \"O nonna mia, che orecchie grandi che avete!\"</t>
  </si>
  <si>
    <t>orecchie</t>
  </si>
  <si>
    <t># text = \"Gli è per sentirci meglio, bambina mia.\"</t>
  </si>
  <si>
    <t>sentir</t>
  </si>
  <si>
    <t>ci</t>
  </si>
  <si>
    <t># text = "O nonna mia, che occhioni grandi che avete!"</t>
  </si>
  <si>
    <t>occhioni</t>
  </si>
  <si>
    <t># text = "Gli è per vederci meglio, bambina mia."</t>
  </si>
  <si>
    <t># text = "O nonna mia, che denti grandi che avete!"</t>
  </si>
  <si>
    <t>denti</t>
  </si>
  <si>
    <t># text = "Gli è per mangiarti meglio."</t>
  </si>
  <si>
    <t># text = E nel dir così, quel malanno di Lupo si gettò sul povero Cappuccetto Rosso, e ne fece un boccone.</t>
  </si>
  <si>
    <t>dir</t>
  </si>
  <si>
    <t>malanno</t>
  </si>
  <si>
    <t>povero</t>
  </si>
  <si>
    <t>fece</t>
  </si>
  <si>
    <t>boccone</t>
  </si>
  <si>
    <t># text = La storia di Cappuccetto Rosso fa vedere ai giovinetti e alle giovinette, e segnatamente alle giovinette, che non bisogna mai fermarsi a discorrere per la strada con gente che non si conosce:</t>
  </si>
  <si>
    <t>storia</t>
  </si>
  <si>
    <t>fa</t>
  </si>
  <si>
    <t>giovinetti</t>
  </si>
  <si>
    <t>giovinette</t>
  </si>
  <si>
    <t>segnatamente</t>
  </si>
  <si>
    <t>bisogna</t>
  </si>
  <si>
    <t>discorrere</t>
  </si>
  <si>
    <t>gente</t>
  </si>
  <si>
    <t>conosce</t>
  </si>
  <si>
    <t># text = perché dei lupi ce n'è dappertutto e di diverse specie, e i più pericolosi sono appunto quelli che hanno faccia di persone garbate e piene di complimenti e di belle maniere.</t>
  </si>
  <si>
    <t>lupi</t>
  </si>
  <si>
    <t>ce</t>
  </si>
  <si>
    <t>diverse</t>
  </si>
  <si>
    <t>specie</t>
  </si>
  <si>
    <t>pericolosi</t>
  </si>
  <si>
    <t>sono</t>
  </si>
  <si>
    <t>appunto</t>
  </si>
  <si>
    <t>quelli</t>
  </si>
  <si>
    <t>faccia</t>
  </si>
  <si>
    <t>persone</t>
  </si>
  <si>
    <t>garbate</t>
  </si>
  <si>
    <t>piene</t>
  </si>
  <si>
    <t>complimenti</t>
  </si>
  <si>
    <t>belle</t>
  </si>
  <si>
    <t>maniere</t>
  </si>
  <si>
    <t># text = [(https://it.wikipedia.org/wiki/ "Collabora a Wikipedia")] **Wikipedia** ha una voce di approfondimento su **(https://it.wikipedia.org/wiki/Cappuccetto_Rosso "w:Cappuccetto Rosso")**</t>
  </si>
  <si>
    <t>[</t>
  </si>
  <si>
    <t>(</t>
  </si>
  <si>
    <t>https://it.wikipedia.org/wiki/</t>
  </si>
  <si>
    <t>Collabora</t>
  </si>
  <si>
    <t>Wikipedia</t>
  </si>
  <si>
    <t>)</t>
  </si>
  <si>
    <t>]</t>
  </si>
  <si>
    <t>**</t>
  </si>
  <si>
    <t>*</t>
  </si>
  <si>
    <t>ha</t>
  </si>
  <si>
    <t>approfondimento</t>
  </si>
  <si>
    <t>https://it.wikipedia.org/wiki/Cappuccetto_Rosso</t>
  </si>
  <si>
    <t>w:Cappuccetto</t>
  </si>
  <si>
    <t># text = [(https://commons.wikimedia.org/wiki/ \"Collabora a Commons\")] **Commons** contiene file multimediali su **(https://commons.wikimedia.org/wiki/Category:Le_Petit_Chaperon_rouge_(Perrault) \"c:Category:Le Petit Chaperon rouge (Perrault)\")**</t>
  </si>
  <si>
    <t>https://commons.wikimedia.org/wiki/</t>
  </si>
  <si>
    <t>Commons</t>
  </si>
  <si>
    <t>Commons*</t>
  </si>
  <si>
    <t>contiene</t>
  </si>
  <si>
    <t>file</t>
  </si>
  <si>
    <t>multimediali</t>
  </si>
  <si>
    <t>https://commons.wikimedia.org/wiki/Category:Le_Petit_Chaperon_rouge_(Perrault)</t>
  </si>
  <si>
    <t>c:Category:Le</t>
  </si>
  <si>
    <t>Petit</t>
  </si>
  <si>
    <t>Chaperon</t>
  </si>
  <si>
    <t>rouge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</si>
</sst>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t.wikipedia.org/wiki/" TargetMode="External"/><Relationship Id="rId2" Type="http://schemas.openxmlformats.org/officeDocument/2006/relationships/hyperlink" Target="https://it.wikipedia.org/wiki/Cappuccetto_Rosso" TargetMode="External"/><Relationship Id="rId3" Type="http://schemas.openxmlformats.org/officeDocument/2006/relationships/hyperlink" Target="https://commons.wikimedia.org/wiki/" TargetMode="External"/><Relationship Id="rId4" Type="http://schemas.openxmlformats.org/officeDocument/2006/relationships/hyperlink" Target="https://commons.wikimedia.org/wiki/Category:Le_Petit_Chaperon_rouge_(Perraul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>
      <c r="A2" s="13" t="s">
        <v>21</v>
      </c>
    </row>
    <row r="3" spans="1:12">
      <c r="A3" s="13" t="s">
        <v>22</v>
      </c>
      <c r="B3" s="14" t="s">
        <v>23</v>
      </c>
      <c r="C3" s="14" t="s">
        <v>24</v>
      </c>
      <c r="D3" s="14" t="s">
        <v>25</v>
      </c>
      <c r="E3" s="15">
        <f>IF(D3="?OLD","!!!","")</f>
        <v/>
      </c>
      <c r="F3" s="16" t="str">
        <f>IF(OR(E3="",E3="!!!"),"",IF(NOT(ISNA(VLOOKUP(E3,E$1:E2,1,FALSE()))),"OLD",IF(AND(E3&lt;&gt;"",E3&lt;&gt;"!!!"),"NEW","")))</f>
        <v> </v>
      </c>
      <c r="G3" s="17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18" t="str">
        <f>IF(J3&lt;&gt;1,"",IF(I3="SBJ","CB","?"))</f>
        <v> </v>
      </c>
      <c r="I3" s="19" t="str">
        <f>IF(OR(E3="",E3="!!!",F3="NEW"),"",INDEX(B2:B$2,-1+SUMPRODUCT(MAX(ROW(E2:E$2)*(E3=E2:E$2)))))</f>
        <v> </v>
      </c>
      <c r="J3" s="19" t="str">
        <f>IF(OR(E3="",E3="!!!",F3="NEW"),"",COUNTBLANK(OFFSET(A$1,,,SUMPRODUCT(MAX(ROW(E$2:E3)*(E3=E$2:E3)))))-COUNTBLANK(OFFSET(A$1,,,SUMPRODUCT(MAX(ROW(E$1:E2)*(E2=E$1:E2))))))</f>
        <v> </v>
      </c>
      <c r="K3" s="19" t="str">
        <f>IF(OR(E3="",E3="!!!",F3="NEW"),"",INDEX(J$1:J2,SUMPRODUCT(MAX(ROW(E$1:E2)*(E3=E$1:E2)))))</f>
        <v> </v>
      </c>
      <c r="L3" s="20"/>
    </row>
    <row r="4" spans="1:12">
      <c r="A4" s="13" t="s">
        <v>26</v>
      </c>
      <c r="B4" s="14" t="s">
        <v>27</v>
      </c>
      <c r="C4" s="14" t="s">
        <v>24</v>
      </c>
      <c r="D4" s="14" t="s">
        <v>25</v>
      </c>
      <c r="E4" s="15">
        <f>IF(D4="?OLD","!!!","")</f>
        <v/>
      </c>
      <c r="F4" s="16" t="str">
        <f>IF(OR(E4="",E4="!!!"),"",IF(NOT(ISNA(VLOOKUP(E4,E$1:E3,1,FALSE()))),"OLD",IF(AND(E4&lt;&gt;"",E4&lt;&gt;"!!!"),"NEW","")))</f>
        <v> </v>
      </c>
      <c r="G4" s="17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18" t="str">
        <f>IF(J4&lt;&gt;1,"",IF(I4="SBJ","CB","?"))</f>
        <v> </v>
      </c>
      <c r="I4" s="19" t="str">
        <f>IF(OR(E4="",E4="!!!",F4="NEW"),"",INDEX(B3:B$2,-1+SUMPRODUCT(MAX(ROW(E3:E$2)*(E4=E3:E$2)))))</f>
        <v> </v>
      </c>
      <c r="J4" s="19" t="str">
        <f>IF(OR(E4="",E4="!!!",F4="NEW"),"",COUNTBLANK(OFFSET(A$1,,,SUMPRODUCT(MAX(ROW(E$2:E4)*(E4=E$2:E4)))))-COUNTBLANK(OFFSET(A$1,,,SUMPRODUCT(MAX(ROW(E$1:E3)*(E2=E$1:E3))))))</f>
        <v> </v>
      </c>
      <c r="K4" s="19" t="str">
        <f>IF(OR(E4="",E4="!!!",F4="NEW"),"",INDEX(J$1:J3,SUMPRODUCT(MAX(ROW(E$1:E3)*(E4=E$1:E3)))))</f>
        <v> </v>
      </c>
      <c r="L4" s="20"/>
    </row>
    <row r="5" spans="1:12">
      <c r="A5" s="13" t="s">
        <v>28</v>
      </c>
      <c r="E5" s="15">
        <f>IF(D5="?OLD","!!!","")</f>
        <v/>
      </c>
      <c r="F5" s="16" t="str">
        <f>IF(OR(E5="",E5="!!!"),"",IF(NOT(ISNA(VLOOKUP(E5,E$1:E4,1,FALSE()))),"OLD",IF(AND(E5&lt;&gt;"",E5&lt;&gt;"!!!"),"NEW","")))</f>
        <v> </v>
      </c>
      <c r="G5" s="17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18" t="str">
        <f>IF(J5&lt;&gt;1,"",IF(I5="SBJ","CB","?"))</f>
        <v> </v>
      </c>
      <c r="I5" s="19" t="str">
        <f>IF(OR(E5="",E5="!!!",F5="NEW"),"",INDEX(B4:B$2,-1+SUMPRODUCT(MAX(ROW(E4:E$2)*(E5=E4:E$2)))))</f>
        <v> </v>
      </c>
      <c r="J5" s="19" t="str">
        <f>IF(OR(E5="",E5="!!!",F5="NEW"),"",COUNTBLANK(OFFSET(A$1,,,SUMPRODUCT(MAX(ROW(E$2:E5)*(E5=E$2:E5)))))-COUNTBLANK(OFFSET(A$1,,,SUMPRODUCT(MAX(ROW(E$1:E4)*(E2=E$1:E4))))))</f>
        <v> </v>
      </c>
      <c r="K5" s="19" t="str">
        <f>IF(OR(E5="",E5="!!!",F5="NEW"),"",INDEX(J$1:J4,SUMPRODUCT(MAX(ROW(E$1:E4)*(E5=E$1:E4)))))</f>
        <v> </v>
      </c>
      <c r="L5" s="20"/>
    </row>
    <row r="6" spans="1:12">
      <c r="A6" s="13" t="s">
        <v>29</v>
      </c>
      <c r="E6" s="15">
        <f>IF(D6="?OLD","!!!","")</f>
        <v/>
      </c>
      <c r="F6" s="16" t="str">
        <f>IF(OR(E6="",E6="!!!"),"",IF(NOT(ISNA(VLOOKUP(E6,E$1:E5,1,FALSE()))),"OLD",IF(AND(E6&lt;&gt;"",E6&lt;&gt;"!!!"),"NEW","")))</f>
        <v> </v>
      </c>
      <c r="G6" s="17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18" t="str">
        <f>IF(J6&lt;&gt;1,"",IF(I6="SBJ","CB","?"))</f>
        <v> </v>
      </c>
      <c r="I6" s="19" t="str">
        <f>IF(OR(E6="",E6="!!!",F6="NEW"),"",INDEX(B5:B$2,-1+SUMPRODUCT(MAX(ROW(E5:E$2)*(E6=E5:E$2)))))</f>
        <v> </v>
      </c>
      <c r="J6" s="19" t="str">
        <f>IF(OR(E6="",E6="!!!",F6="NEW"),"",COUNTBLANK(OFFSET(A$1,,,SUMPRODUCT(MAX(ROW(E$2:E6)*(E6=E$2:E6)))))-COUNTBLANK(OFFSET(A$1,,,SUMPRODUCT(MAX(ROW(E$1:E5)*(E2=E$1:E5))))))</f>
        <v> </v>
      </c>
      <c r="K6" s="19" t="str">
        <f>IF(OR(E6="",E6="!!!",F6="NEW"),"",INDEX(J$1:J5,SUMPRODUCT(MAX(ROW(E$1:E5)*(E6=E$1:E5)))))</f>
        <v> </v>
      </c>
      <c r="L6" s="20"/>
    </row>
    <row r="7" spans="1:12">
      <c r="A7" s="13" t="s">
        <v>30</v>
      </c>
      <c r="B7" s="14" t="s">
        <v>27</v>
      </c>
      <c r="C7" s="14" t="s">
        <v>24</v>
      </c>
      <c r="D7" s="14" t="s">
        <v>25</v>
      </c>
      <c r="E7" s="15">
        <f>IF(D7="?OLD","!!!","")</f>
        <v/>
      </c>
      <c r="F7" s="16" t="str">
        <f>IF(OR(E7="",E7="!!!"),"",IF(NOT(ISNA(VLOOKUP(E7,E$1:E6,1,FALSE()))),"OLD",IF(AND(E7&lt;&gt;"",E7&lt;&gt;"!!!"),"NEW","")))</f>
        <v> </v>
      </c>
      <c r="G7" s="17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18" t="str">
        <f>IF(J7&lt;&gt;1,"",IF(I7="SBJ","CB","?"))</f>
        <v> </v>
      </c>
      <c r="I7" s="19" t="str">
        <f>IF(OR(E7="",E7="!!!",F7="NEW"),"",INDEX(B6:B$2,-1+SUMPRODUCT(MAX(ROW(E6:E$2)*(E7=E6:E$2)))))</f>
        <v> </v>
      </c>
      <c r="J7" s="19" t="str">
        <f>IF(OR(E7="",E7="!!!",F7="NEW"),"",COUNTBLANK(OFFSET(A$1,,,SUMPRODUCT(MAX(ROW(E$2:E7)*(E7=E$2:E7)))))-COUNTBLANK(OFFSET(A$1,,,SUMPRODUCT(MAX(ROW(E$1:E6)*(E2=E$1:E6))))))</f>
        <v> </v>
      </c>
      <c r="K7" s="19" t="str">
        <f>IF(OR(E7="",E7="!!!",F7="NEW"),"",INDEX(J$1:J6,SUMPRODUCT(MAX(ROW(E$1:E6)*(E7=E$1:E6)))))</f>
        <v> </v>
      </c>
      <c r="L7" s="20"/>
    </row>
    <row r="8" spans="1:12">
      <c r="A8" s="13" t="s">
        <v>31</v>
      </c>
      <c r="B8" s="14" t="s">
        <v>27</v>
      </c>
      <c r="C8" s="14" t="s">
        <v>24</v>
      </c>
      <c r="D8" s="14" t="s">
        <v>25</v>
      </c>
      <c r="E8" s="15">
        <f>IF(D8="?OLD","!!!","")</f>
        <v/>
      </c>
      <c r="F8" s="16" t="str">
        <f>IF(OR(E8="",E8="!!!"),"",IF(NOT(ISNA(VLOOKUP(E8,E$1:E7,1,FALSE()))),"OLD",IF(AND(E8&lt;&gt;"",E8&lt;&gt;"!!!"),"NEW","")))</f>
        <v> </v>
      </c>
      <c r="G8" s="17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18" t="str">
        <f>IF(J8&lt;&gt;1,"",IF(I8="SBJ","CB","?"))</f>
        <v> </v>
      </c>
      <c r="I8" s="19" t="str">
        <f>IF(OR(E8="",E8="!!!",F8="NEW"),"",INDEX(B7:B$2,-1+SUMPRODUCT(MAX(ROW(E7:E$2)*(E8=E7:E$2)))))</f>
        <v> </v>
      </c>
      <c r="J8" s="19" t="str">
        <f>IF(OR(E8="",E8="!!!",F8="NEW"),"",COUNTBLANK(OFFSET(A$1,,,SUMPRODUCT(MAX(ROW(E$2:E8)*(E8=E$2:E8)))))-COUNTBLANK(OFFSET(A$1,,,SUMPRODUCT(MAX(ROW(E$1:E7)*(E2=E$1:E7))))))</f>
        <v> </v>
      </c>
      <c r="K8" s="19" t="str">
        <f>IF(OR(E8="",E8="!!!",F8="NEW"),"",INDEX(J$1:J7,SUMPRODUCT(MAX(ROW(E$1:E7)*(E8=E$1:E7)))))</f>
        <v> </v>
      </c>
      <c r="L8" s="20"/>
    </row>
    <row r="9" spans="1:12">
      <c r="A9" s="13" t="s">
        <v>32</v>
      </c>
      <c r="B9" s="14" t="s">
        <v>33</v>
      </c>
      <c r="C9" s="14" t="s">
        <v>34</v>
      </c>
      <c r="E9" s="15">
        <f>IF(D9="?OLD","!!!","")</f>
        <v/>
      </c>
      <c r="F9" s="16" t="str">
        <f>IF(OR(E9="",E9="!!!"),"",IF(NOT(ISNA(VLOOKUP(E9,E$1:E8,1,FALSE()))),"OLD",IF(AND(E9&lt;&gt;"",E9&lt;&gt;"!!!"),"NEW","")))</f>
        <v> </v>
      </c>
      <c r="G9" s="17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18" t="str">
        <f>IF(J9&lt;&gt;1,"",IF(I9="SBJ","CB","?"))</f>
        <v> </v>
      </c>
      <c r="I9" s="19" t="str">
        <f>IF(OR(E9="",E9="!!!",F9="NEW"),"",INDEX(B8:B$2,-1+SUMPRODUCT(MAX(ROW(E8:E$2)*(E9=E8:E$2)))))</f>
        <v> </v>
      </c>
      <c r="J9" s="19" t="str">
        <f>IF(OR(E9="",E9="!!!",F9="NEW"),"",COUNTBLANK(OFFSET(A$1,,,SUMPRODUCT(MAX(ROW(E$2:E9)*(E9=E$2:E9)))))-COUNTBLANK(OFFSET(A$1,,,SUMPRODUCT(MAX(ROW(E$1:E8)*(E2=E$1:E8))))))</f>
        <v> </v>
      </c>
      <c r="K9" s="19" t="str">
        <f>IF(OR(E9="",E9="!!!",F9="NEW"),"",INDEX(J$1:J8,SUMPRODUCT(MAX(ROW(E$1:E8)*(E9=E$1:E8)))))</f>
        <v> </v>
      </c>
      <c r="L9" s="20"/>
    </row>
    <row r="10" spans="1:12">
      <c r="A10" s="13" t="s">
        <v>35</v>
      </c>
      <c r="B10" s="14" t="s">
        <v>33</v>
      </c>
      <c r="C10" s="14" t="s">
        <v>34</v>
      </c>
      <c r="E10" s="15">
        <f>IF(D10="?OLD","!!!","")</f>
        <v/>
      </c>
      <c r="F10" s="16" t="str">
        <f>IF(OR(E10="",E10="!!!"),"",IF(NOT(ISNA(VLOOKUP(E10,E$1:E9,1,FALSE()))),"OLD",IF(AND(E10&lt;&gt;"",E10&lt;&gt;"!!!"),"NEW","")))</f>
        <v> </v>
      </c>
      <c r="G10" s="17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18" t="str">
        <f>IF(J10&lt;&gt;1,"",IF(I10="SBJ","CB","?"))</f>
        <v> </v>
      </c>
      <c r="I10" s="19" t="str">
        <f>IF(OR(E10="",E10="!!!",F10="NEW"),"",INDEX(B9:B$2,-1+SUMPRODUCT(MAX(ROW(E9:E$2)*(E10=E9:E$2)))))</f>
        <v> </v>
      </c>
      <c r="J10" s="19" t="str">
        <f>IF(OR(E10="",E10="!!!",F10="NEW"),"",COUNTBLANK(OFFSET(A$1,,,SUMPRODUCT(MAX(ROW(E$2:E10)*(E10=E$2:E10)))))-COUNTBLANK(OFFSET(A$1,,,SUMPRODUCT(MAX(ROW(E$1:E9)*(E2=E$1:E9))))))</f>
        <v> </v>
      </c>
      <c r="K10" s="19" t="str">
        <f>IF(OR(E10="",E10="!!!",F10="NEW"),"",INDEX(J$1:J9,SUMPRODUCT(MAX(ROW(E$1:E9)*(E10=E$1:E9)))))</f>
        <v> </v>
      </c>
      <c r="L10" s="20"/>
    </row>
    <row r="11" spans="1:12">
      <c r="A11" s="13" t="s">
        <v>36</v>
      </c>
      <c r="B11" s="14" t="s">
        <v>33</v>
      </c>
      <c r="C11" s="14" t="s">
        <v>24</v>
      </c>
      <c r="D11" s="14" t="s">
        <v>25</v>
      </c>
      <c r="E11" s="15">
        <f>IF(D11="?OLD","!!!","")</f>
        <v/>
      </c>
      <c r="F11" s="16" t="str">
        <f>IF(OR(E11="",E11="!!!"),"",IF(NOT(ISNA(VLOOKUP(E11,E$1:E10,1,FALSE()))),"OLD",IF(AND(E11&lt;&gt;"",E11&lt;&gt;"!!!"),"NEW","")))</f>
        <v> </v>
      </c>
      <c r="G11" s="17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18" t="str">
        <f>IF(J11&lt;&gt;1,"",IF(I11="SBJ","CB","?"))</f>
        <v> </v>
      </c>
      <c r="I11" s="19" t="str">
        <f>IF(OR(E11="",E11="!!!",F11="NEW"),"",INDEX(B10:B$2,-1+SUMPRODUCT(MAX(ROW(E10:E$2)*(E11=E10:E$2)))))</f>
        <v> </v>
      </c>
      <c r="J11" s="19" t="str">
        <f>IF(OR(E11="",E11="!!!",F11="NEW"),"",COUNTBLANK(OFFSET(A$1,,,SUMPRODUCT(MAX(ROW(E$2:E11)*(E11=E$2:E11)))))-COUNTBLANK(OFFSET(A$1,,,SUMPRODUCT(MAX(ROW(E$1:E10)*(E2=E$1:E10))))))</f>
        <v> </v>
      </c>
      <c r="K11" s="19" t="str">
        <f>IF(OR(E11="",E11="!!!",F11="NEW"),"",INDEX(J$1:J10,SUMPRODUCT(MAX(ROW(E$1:E10)*(E11=E$1:E10)))))</f>
        <v> </v>
      </c>
      <c r="L11" s="20"/>
    </row>
    <row r="12" spans="1:12">
      <c r="A12" s="13" t="s">
        <v>37</v>
      </c>
      <c r="B12" s="14" t="s">
        <v>33</v>
      </c>
      <c r="C12" s="14" t="s">
        <v>24</v>
      </c>
      <c r="D12" s="14" t="s">
        <v>25</v>
      </c>
      <c r="E12" s="15">
        <f>IF(D12="?OLD","!!!","")</f>
        <v/>
      </c>
      <c r="F12" s="16" t="str">
        <f>IF(OR(E12="",E12="!!!"),"",IF(NOT(ISNA(VLOOKUP(E12,E$1:E11,1,FALSE()))),"OLD",IF(AND(E12&lt;&gt;"",E12&lt;&gt;"!!!"),"NEW","")))</f>
        <v> </v>
      </c>
      <c r="G12" s="17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18" t="str">
        <f>IF(J12&lt;&gt;1,"",IF(I12="SBJ","CB","?"))</f>
        <v> </v>
      </c>
      <c r="I12" s="19" t="str">
        <f>IF(OR(E12="",E12="!!!",F12="NEW"),"",INDEX(B11:B$2,-1+SUMPRODUCT(MAX(ROW(E11:E$2)*(E12=E11:E$2)))))</f>
        <v> </v>
      </c>
      <c r="J12" s="19" t="str">
        <f>IF(OR(E12="",E12="!!!",F12="NEW"),"",COUNTBLANK(OFFSET(A$1,,,SUMPRODUCT(MAX(ROW(E$2:E12)*(E12=E$2:E12)))))-COUNTBLANK(OFFSET(A$1,,,SUMPRODUCT(MAX(ROW(E$1:E11)*(E2=E$1:E11))))))</f>
        <v> </v>
      </c>
      <c r="K12" s="19" t="str">
        <f>IF(OR(E12="",E12="!!!",F12="NEW"),"",INDEX(J$1:J11,SUMPRODUCT(MAX(ROW(E$1:E11)*(E12=E$1:E11)))))</f>
        <v> </v>
      </c>
      <c r="L12" s="20"/>
    </row>
    <row r="13" spans="1:12">
      <c r="A13" s="13" t="s">
        <v>38</v>
      </c>
      <c r="B13" s="14" t="s">
        <v>33</v>
      </c>
      <c r="C13" s="14" t="s">
        <v>39</v>
      </c>
      <c r="D13" s="14" t="s">
        <v>25</v>
      </c>
      <c r="E13" s="15">
        <f>IF(D13="?OLD","!!!","")</f>
        <v/>
      </c>
      <c r="F13" s="16" t="str">
        <f>IF(OR(E13="",E13="!!!"),"",IF(NOT(ISNA(VLOOKUP(E13,E$1:E12,1,FALSE()))),"OLD",IF(AND(E13&lt;&gt;"",E13&lt;&gt;"!!!"),"NEW","")))</f>
        <v> </v>
      </c>
      <c r="G13" s="17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18" t="str">
        <f>IF(J13&lt;&gt;1,"",IF(I13="SBJ","CB","?"))</f>
        <v> </v>
      </c>
      <c r="I13" s="19" t="str">
        <f>IF(OR(E13="",E13="!!!",F13="NEW"),"",INDEX(B12:B$2,-1+SUMPRODUCT(MAX(ROW(E12:E$2)*(E13=E12:E$2)))))</f>
        <v> </v>
      </c>
      <c r="J13" s="19" t="str">
        <f>IF(OR(E13="",E13="!!!",F13="NEW"),"",COUNTBLANK(OFFSET(A$1,,,SUMPRODUCT(MAX(ROW(E$2:E13)*(E13=E$2:E13)))))-COUNTBLANK(OFFSET(A$1,,,SUMPRODUCT(MAX(ROW(E$1:E12)*(E2=E$1:E12))))))</f>
        <v> </v>
      </c>
      <c r="K13" s="19" t="str">
        <f>IF(OR(E13="",E13="!!!",F13="NEW"),"",INDEX(J$1:J12,SUMPRODUCT(MAX(ROW(E$1:E12)*(E13=E$1:E12)))))</f>
        <v> </v>
      </c>
      <c r="L13" s="20"/>
    </row>
    <row r="14" spans="1:12">
      <c r="A14" s="13" t="s">
        <v>40</v>
      </c>
      <c r="E14" s="15">
        <f>IF(D14="?OLD","!!!","")</f>
        <v/>
      </c>
      <c r="F14" s="16" t="str">
        <f>IF(OR(E14="",E14="!!!"),"",IF(NOT(ISNA(VLOOKUP(E14,E$1:E13,1,FALSE()))),"OLD",IF(AND(E14&lt;&gt;"",E14&lt;&gt;"!!!"),"NEW","")))</f>
        <v> </v>
      </c>
      <c r="G14" s="17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18" t="str">
        <f>IF(J14&lt;&gt;1,"",IF(I14="SBJ","CB","?"))</f>
        <v> </v>
      </c>
      <c r="I14" s="19" t="str">
        <f>IF(OR(E14="",E14="!!!",F14="NEW"),"",INDEX(B13:B$2,-1+SUMPRODUCT(MAX(ROW(E13:E$2)*(E14=E13:E$2)))))</f>
        <v> </v>
      </c>
      <c r="J14" s="19" t="str">
        <f>IF(OR(E14="",E14="!!!",F14="NEW"),"",COUNTBLANK(OFFSET(A$1,,,SUMPRODUCT(MAX(ROW(E$2:E14)*(E14=E$2:E14)))))-COUNTBLANK(OFFSET(A$1,,,SUMPRODUCT(MAX(ROW(E$1:E13)*(E2=E$1:E13))))))</f>
        <v> </v>
      </c>
      <c r="K14" s="19" t="str">
        <f>IF(OR(E14="",E14="!!!",F14="NEW"),"",INDEX(J$1:J13,SUMPRODUCT(MAX(ROW(E$1:E13)*(E14=E$1:E13)))))</f>
        <v> </v>
      </c>
      <c r="L14" s="20"/>
    </row>
    <row r="15" spans="1:12">
      <c r="A15" s="13" t="s">
        <v>41</v>
      </c>
      <c r="E15" s="15">
        <f>IF(D15="?OLD","!!!","")</f>
        <v/>
      </c>
      <c r="F15" s="16" t="str">
        <f>IF(OR(E15="",E15="!!!"),"",IF(NOT(ISNA(VLOOKUP(E15,E$1:E14,1,FALSE()))),"OLD",IF(AND(E15&lt;&gt;"",E15&lt;&gt;"!!!"),"NEW","")))</f>
        <v> </v>
      </c>
      <c r="G15" s="17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18" t="str">
        <f>IF(J15&lt;&gt;1,"",IF(I15="SBJ","CB","?"))</f>
        <v> </v>
      </c>
      <c r="I15" s="19" t="str">
        <f>IF(OR(E15="",E15="!!!",F15="NEW"),"",INDEX(B14:B$2,-1+SUMPRODUCT(MAX(ROW(E14:E$2)*(E15=E14:E$2)))))</f>
        <v> </v>
      </c>
      <c r="J15" s="19" t="str">
        <f>IF(OR(E15="",E15="!!!",F15="NEW"),"",COUNTBLANK(OFFSET(A$1,,,SUMPRODUCT(MAX(ROW(E$2:E15)*(E15=E$2:E15)))))-COUNTBLANK(OFFSET(A$1,,,SUMPRODUCT(MAX(ROW(E$1:E14)*(E2=E$1:E14))))))</f>
        <v> </v>
      </c>
      <c r="K15" s="19" t="str">
        <f>IF(OR(E15="",E15="!!!",F15="NEW"),"",INDEX(J$1:J14,SUMPRODUCT(MAX(ROW(E$1:E14)*(E15=E$1:E14)))))</f>
        <v> </v>
      </c>
      <c r="L15" s="20"/>
    </row>
    <row r="16" spans="1:12">
      <c r="A16" s="13" t="s">
        <v>42</v>
      </c>
      <c r="E16" s="15">
        <f>IF(D16="?OLD","!!!","")</f>
        <v/>
      </c>
      <c r="F16" s="16" t="str">
        <f>IF(OR(E16="",E16="!!!"),"",IF(NOT(ISNA(VLOOKUP(E16,E$1:E15,1,FALSE()))),"OLD",IF(AND(E16&lt;&gt;"",E16&lt;&gt;"!!!"),"NEW","")))</f>
        <v> </v>
      </c>
      <c r="G16" s="17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18" t="str">
        <f>IF(J16&lt;&gt;1,"",IF(I16="SBJ","CB","?"))</f>
        <v> </v>
      </c>
      <c r="I16" s="19" t="str">
        <f>IF(OR(E16="",E16="!!!",F16="NEW"),"",INDEX(B15:B$2,-1+SUMPRODUCT(MAX(ROW(E15:E$2)*(E16=E15:E$2)))))</f>
        <v> </v>
      </c>
      <c r="J16" s="19" t="str">
        <f>IF(OR(E16="",E16="!!!",F16="NEW"),"",COUNTBLANK(OFFSET(A$1,,,SUMPRODUCT(MAX(ROW(E$2:E16)*(E16=E$2:E16)))))-COUNTBLANK(OFFSET(A$1,,,SUMPRODUCT(MAX(ROW(E$1:E15)*(E2=E$1:E15))))))</f>
        <v> </v>
      </c>
      <c r="K16" s="19" t="str">
        <f>IF(OR(E16="",E16="!!!",F16="NEW"),"",INDEX(J$1:J15,SUMPRODUCT(MAX(ROW(E$1:E15)*(E16=E$1:E15)))))</f>
        <v> </v>
      </c>
      <c r="L16" s="20"/>
    </row>
    <row r="17" spans="1:12">
      <c r="A17" s="13" t="s">
        <v>43</v>
      </c>
      <c r="E17" s="15">
        <f>IF(D17="?OLD","!!!","")</f>
        <v/>
      </c>
      <c r="F17" s="16" t="str">
        <f>IF(OR(E17="",E17="!!!"),"",IF(NOT(ISNA(VLOOKUP(E17,E$1:E16,1,FALSE()))),"OLD",IF(AND(E17&lt;&gt;"",E17&lt;&gt;"!!!"),"NEW","")))</f>
        <v> </v>
      </c>
      <c r="G17" s="17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18" t="str">
        <f>IF(J17&lt;&gt;1,"",IF(I17="SBJ","CB","?"))</f>
        <v> </v>
      </c>
      <c r="I17" s="19" t="str">
        <f>IF(OR(E17="",E17="!!!",F17="NEW"),"",INDEX(B16:B$2,-1+SUMPRODUCT(MAX(ROW(E16:E$2)*(E17=E16:E$2)))))</f>
        <v> </v>
      </c>
      <c r="J17" s="19" t="str">
        <f>IF(OR(E17="",E17="!!!",F17="NEW"),"",COUNTBLANK(OFFSET(A$1,,,SUMPRODUCT(MAX(ROW(E$2:E17)*(E17=E$2:E17)))))-COUNTBLANK(OFFSET(A$1,,,SUMPRODUCT(MAX(ROW(E$1:E16)*(E2=E$1:E16))))))</f>
        <v> </v>
      </c>
      <c r="K17" s="19" t="str">
        <f>IF(OR(E17="",E17="!!!",F17="NEW"),"",INDEX(J$1:J16,SUMPRODUCT(MAX(ROW(E$1:E16)*(E17=E$1:E16)))))</f>
        <v> </v>
      </c>
      <c r="L17" s="20"/>
    </row>
    <row r="18" spans="1:12">
      <c r="A18" s="13" t="s">
        <v>44</v>
      </c>
      <c r="E18" s="15">
        <f>IF(D18="?OLD","!!!","")</f>
        <v/>
      </c>
      <c r="F18" s="16" t="str">
        <f>IF(OR(E18="",E18="!!!"),"",IF(NOT(ISNA(VLOOKUP(E18,E$1:E17,1,FALSE()))),"OLD",IF(AND(E18&lt;&gt;"",E18&lt;&gt;"!!!"),"NEW","")))</f>
        <v> </v>
      </c>
      <c r="G18" s="17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18" t="str">
        <f>IF(J18&lt;&gt;1,"",IF(I18="SBJ","CB","?"))</f>
        <v> </v>
      </c>
      <c r="I18" s="19" t="str">
        <f>IF(OR(E18="",E18="!!!",F18="NEW"),"",INDEX(B17:B$2,-1+SUMPRODUCT(MAX(ROW(E17:E$2)*(E18=E17:E$2)))))</f>
        <v> </v>
      </c>
      <c r="J18" s="19" t="str">
        <f>IF(OR(E18="",E18="!!!",F18="NEW"),"",COUNTBLANK(OFFSET(A$1,,,SUMPRODUCT(MAX(ROW(E$2:E18)*(E18=E$2:E18)))))-COUNTBLANK(OFFSET(A$1,,,SUMPRODUCT(MAX(ROW(E$1:E17)*(E2=E$1:E17))))))</f>
        <v> </v>
      </c>
      <c r="K18" s="19" t="str">
        <f>IF(OR(E18="",E18="!!!",F18="NEW"),"",INDEX(J$1:J17,SUMPRODUCT(MAX(ROW(E$1:E17)*(E18=E$1:E17)))))</f>
        <v> </v>
      </c>
      <c r="L18" s="20"/>
    </row>
    <row r="19" spans="1:12">
      <c r="A19" s="13" t="s">
        <v>32</v>
      </c>
      <c r="B19" s="14" t="s">
        <v>45</v>
      </c>
      <c r="C19" s="14" t="s">
        <v>34</v>
      </c>
      <c r="E19" s="15">
        <f>IF(D19="?OLD","!!!","")</f>
        <v/>
      </c>
      <c r="F19" s="16" t="str">
        <f>IF(OR(E19="",E19="!!!"),"",IF(NOT(ISNA(VLOOKUP(E19,E$1:E18,1,FALSE()))),"OLD",IF(AND(E19&lt;&gt;"",E19&lt;&gt;"!!!"),"NEW","")))</f>
        <v> </v>
      </c>
      <c r="G19" s="17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18" t="str">
        <f>IF(J19&lt;&gt;1,"",IF(I19="SBJ","CB","?"))</f>
        <v> </v>
      </c>
      <c r="I19" s="19" t="str">
        <f>IF(OR(E19="",E19="!!!",F19="NEW"),"",INDEX(B18:B$2,-1+SUMPRODUCT(MAX(ROW(E18:E$2)*(E19=E18:E$2)))))</f>
        <v> </v>
      </c>
      <c r="J19" s="19" t="str">
        <f>IF(OR(E19="",E19="!!!",F19="NEW"),"",COUNTBLANK(OFFSET(A$1,,,SUMPRODUCT(MAX(ROW(E$2:E19)*(E19=E$2:E19)))))-COUNTBLANK(OFFSET(A$1,,,SUMPRODUCT(MAX(ROW(E$1:E18)*(E2=E$1:E18))))))</f>
        <v> </v>
      </c>
      <c r="K19" s="19" t="str">
        <f>IF(OR(E19="",E19="!!!",F19="NEW"),"",INDEX(J$1:J18,SUMPRODUCT(MAX(ROW(E$1:E18)*(E19=E$1:E18)))))</f>
        <v> </v>
      </c>
      <c r="L19" s="20"/>
    </row>
    <row r="20" spans="1:12">
      <c r="A20" s="13"/>
    </row>
    <row r="21" spans="1:12">
      <c r="A21" s="13" t="s">
        <v>46</v>
      </c>
    </row>
    <row r="22" spans="1:12">
      <c r="A22" s="13" t="s">
        <v>47</v>
      </c>
      <c r="E22" s="15">
        <f>IF(D22="?OLD","!!!","")</f>
        <v/>
      </c>
      <c r="F22" s="16" t="str">
        <f>IF(OR(E22="",E22="!!!"),"",IF(NOT(ISNA(VLOOKUP(E22,E$1:E21,1,FALSE()))),"OLD",IF(AND(E22&lt;&gt;"",E22&lt;&gt;"!!!"),"NEW","")))</f>
        <v> </v>
      </c>
      <c r="G22" s="17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18" t="str">
        <f>IF(J22&lt;&gt;1,"",IF(I22="SBJ","CB","?"))</f>
        <v> </v>
      </c>
      <c r="I22" s="19" t="str">
        <f>IF(OR(E22="",E22="!!!",F22="NEW"),"",INDEX(B21:B$2,-1+SUMPRODUCT(MAX(ROW(E21:E$2)*(E22=E21:E$2)))))</f>
        <v> </v>
      </c>
      <c r="J22" s="19" t="str">
        <f>IF(OR(E22="",E22="!!!",F22="NEW"),"",COUNTBLANK(OFFSET(A$1,,,SUMPRODUCT(MAX(ROW(E$2:E22)*(E22=E$2:E22)))))-COUNTBLANK(OFFSET(A$1,,,SUMPRODUCT(MAX(ROW(E$1:E21)*(E2=E$1:E21))))))</f>
        <v> </v>
      </c>
      <c r="K22" s="19" t="str">
        <f>IF(OR(E22="",E22="!!!",F22="NEW"),"",INDEX(J$1:J21,SUMPRODUCT(MAX(ROW(E$1:E21)*(E22=E$1:E21)))))</f>
        <v> </v>
      </c>
      <c r="L22" s="20"/>
    </row>
    <row r="23" spans="1:12">
      <c r="A23" s="13" t="s">
        <v>48</v>
      </c>
      <c r="E23" s="15">
        <f>IF(D23="?OLD","!!!","")</f>
        <v/>
      </c>
      <c r="F23" s="16" t="str">
        <f>IF(OR(E23="",E23="!!!"),"",IF(NOT(ISNA(VLOOKUP(E23,E$1:E22,1,FALSE()))),"OLD",IF(AND(E23&lt;&gt;"",E23&lt;&gt;"!!!"),"NEW","")))</f>
        <v> </v>
      </c>
      <c r="G23" s="17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18" t="str">
        <f>IF(J23&lt;&gt;1,"",IF(I23="SBJ","CB","?"))</f>
        <v> </v>
      </c>
      <c r="I23" s="19" t="str">
        <f>IF(OR(E23="",E23="!!!",F23="NEW"),"",INDEX(B22:B$2,-1+SUMPRODUCT(MAX(ROW(E22:E$2)*(E23=E22:E$2)))))</f>
        <v> </v>
      </c>
      <c r="J23" s="19" t="str">
        <f>IF(OR(E23="",E23="!!!",F23="NEW"),"",COUNTBLANK(OFFSET(A$1,,,SUMPRODUCT(MAX(ROW(E$2:E23)*(E23=E$2:E23)))))-COUNTBLANK(OFFSET(A$1,,,SUMPRODUCT(MAX(ROW(E$1:E22)*(E2=E$1:E22))))))</f>
        <v> </v>
      </c>
      <c r="K23" s="19" t="str">
        <f>IF(OR(E23="",E23="!!!",F23="NEW"),"",INDEX(J$1:J22,SUMPRODUCT(MAX(ROW(E$1:E22)*(E23=E$1:E22)))))</f>
        <v> </v>
      </c>
      <c r="L23" s="20"/>
    </row>
    <row r="24" spans="1:12">
      <c r="A24" s="13" t="s">
        <v>49</v>
      </c>
      <c r="E24" s="15">
        <f>IF(D24="?OLD","!!!","")</f>
        <v/>
      </c>
      <c r="F24" s="16" t="str">
        <f>IF(OR(E24="",E24="!!!"),"",IF(NOT(ISNA(VLOOKUP(E24,E$1:E23,1,FALSE()))),"OLD",IF(AND(E24&lt;&gt;"",E24&lt;&gt;"!!!"),"NEW","")))</f>
        <v> </v>
      </c>
      <c r="G24" s="17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18" t="str">
        <f>IF(J24&lt;&gt;1,"",IF(I24="SBJ","CB","?"))</f>
        <v> </v>
      </c>
      <c r="I24" s="19" t="str">
        <f>IF(OR(E24="",E24="!!!",F24="NEW"),"",INDEX(B23:B$2,-1+SUMPRODUCT(MAX(ROW(E23:E$2)*(E24=E23:E$2)))))</f>
        <v> </v>
      </c>
      <c r="J24" s="19" t="str">
        <f>IF(OR(E24="",E24="!!!",F24="NEW"),"",COUNTBLANK(OFFSET(A$1,,,SUMPRODUCT(MAX(ROW(E$2:E24)*(E24=E$2:E24)))))-COUNTBLANK(OFFSET(A$1,,,SUMPRODUCT(MAX(ROW(E$1:E23)*(E2=E$1:E23))))))</f>
        <v> </v>
      </c>
      <c r="K24" s="19" t="str">
        <f>IF(OR(E24="",E24="!!!",F24="NEW"),"",INDEX(J$1:J23,SUMPRODUCT(MAX(ROW(E$1:E23)*(E24=E$1:E23)))))</f>
        <v> </v>
      </c>
      <c r="L24" s="20"/>
    </row>
    <row r="25" spans="1:12">
      <c r="A25" s="13" t="s">
        <v>50</v>
      </c>
      <c r="B25" s="14" t="s">
        <v>45</v>
      </c>
      <c r="C25" s="14" t="s">
        <v>51</v>
      </c>
      <c r="E25" s="15">
        <f>IF(D25="?OLD","!!!","")</f>
        <v/>
      </c>
      <c r="F25" s="16" t="str">
        <f>IF(OR(E25="",E25="!!!"),"",IF(NOT(ISNA(VLOOKUP(E25,E$1:E24,1,FALSE()))),"OLD",IF(AND(E25&lt;&gt;"",E25&lt;&gt;"!!!"),"NEW","")))</f>
        <v> </v>
      </c>
      <c r="G25" s="17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18" t="str">
        <f>IF(J25&lt;&gt;1,"",IF(I25="SBJ","CB","?"))</f>
        <v> </v>
      </c>
      <c r="I25" s="19" t="str">
        <f>IF(OR(E25="",E25="!!!",F25="NEW"),"",INDEX(B24:B$2,-1+SUMPRODUCT(MAX(ROW(E24:E$2)*(E25=E24:E$2)))))</f>
        <v> </v>
      </c>
      <c r="J25" s="19" t="str">
        <f>IF(OR(E25="",E25="!!!",F25="NEW"),"",COUNTBLANK(OFFSET(A$1,,,SUMPRODUCT(MAX(ROW(E$2:E25)*(E25=E$2:E25)))))-COUNTBLANK(OFFSET(A$1,,,SUMPRODUCT(MAX(ROW(E$1:E24)*(E2=E$1:E24))))))</f>
        <v> </v>
      </c>
      <c r="K25" s="19" t="str">
        <f>IF(OR(E25="",E25="!!!",F25="NEW"),"",INDEX(J$1:J24,SUMPRODUCT(MAX(ROW(E$1:E24)*(E25=E$1:E24)))))</f>
        <v> </v>
      </c>
      <c r="L25" s="20"/>
    </row>
    <row r="26" spans="1:12">
      <c r="A26" s="13" t="s">
        <v>52</v>
      </c>
      <c r="E26" s="15">
        <f>IF(D26="?OLD","!!!","")</f>
        <v/>
      </c>
      <c r="F26" s="16" t="str">
        <f>IF(OR(E26="",E26="!!!"),"",IF(NOT(ISNA(VLOOKUP(E26,E$1:E25,1,FALSE()))),"OLD",IF(AND(E26&lt;&gt;"",E26&lt;&gt;"!!!"),"NEW","")))</f>
        <v> </v>
      </c>
      <c r="G26" s="17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18" t="str">
        <f>IF(J26&lt;&gt;1,"",IF(I26="SBJ","CB","?"))</f>
        <v> </v>
      </c>
      <c r="I26" s="19" t="str">
        <f>IF(OR(E26="",E26="!!!",F26="NEW"),"",INDEX(B25:B$2,-1+SUMPRODUCT(MAX(ROW(E25:E$2)*(E26=E25:E$2)))))</f>
        <v> </v>
      </c>
      <c r="J26" s="19" t="str">
        <f>IF(OR(E26="",E26="!!!",F26="NEW"),"",COUNTBLANK(OFFSET(A$1,,,SUMPRODUCT(MAX(ROW(E$2:E26)*(E26=E$2:E26)))))-COUNTBLANK(OFFSET(A$1,,,SUMPRODUCT(MAX(ROW(E$1:E25)*(E2=E$1:E25))))))</f>
        <v> </v>
      </c>
      <c r="K26" s="19" t="str">
        <f>IF(OR(E26="",E26="!!!",F26="NEW"),"",INDEX(J$1:J25,SUMPRODUCT(MAX(ROW(E$1:E25)*(E26=E$1:E25)))))</f>
        <v> </v>
      </c>
      <c r="L26" s="20"/>
    </row>
    <row r="27" spans="1:12">
      <c r="A27" s="13" t="s">
        <v>53</v>
      </c>
      <c r="E27" s="15">
        <f>IF(D27="?OLD","!!!","")</f>
        <v/>
      </c>
      <c r="F27" s="16" t="str">
        <f>IF(OR(E27="",E27="!!!"),"",IF(NOT(ISNA(VLOOKUP(E27,E$1:E26,1,FALSE()))),"OLD",IF(AND(E27&lt;&gt;"",E27&lt;&gt;"!!!"),"NEW","")))</f>
        <v> </v>
      </c>
      <c r="G27" s="17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18" t="str">
        <f>IF(J27&lt;&gt;1,"",IF(I27="SBJ","CB","?"))</f>
        <v> </v>
      </c>
      <c r="I27" s="19" t="str">
        <f>IF(OR(E27="",E27="!!!",F27="NEW"),"",INDEX(B26:B$2,-1+SUMPRODUCT(MAX(ROW(E26:E$2)*(E27=E26:E$2)))))</f>
        <v> </v>
      </c>
      <c r="J27" s="19" t="str">
        <f>IF(OR(E27="",E27="!!!",F27="NEW"),"",COUNTBLANK(OFFSET(A$1,,,SUMPRODUCT(MAX(ROW(E$2:E27)*(E27=E$2:E27)))))-COUNTBLANK(OFFSET(A$1,,,SUMPRODUCT(MAX(ROW(E$1:E26)*(E2=E$1:E26))))))</f>
        <v> </v>
      </c>
      <c r="K27" s="19" t="str">
        <f>IF(OR(E27="",E27="!!!",F27="NEW"),"",INDEX(J$1:J26,SUMPRODUCT(MAX(ROW(E$1:E26)*(E27=E$1:E26)))))</f>
        <v> </v>
      </c>
      <c r="L27" s="20"/>
    </row>
    <row r="28" spans="1:12">
      <c r="A28" s="13" t="s">
        <v>54</v>
      </c>
      <c r="B28" s="14" t="s">
        <v>45</v>
      </c>
      <c r="C28" s="14" t="s">
        <v>51</v>
      </c>
      <c r="E28" s="15">
        <f>IF(D28="?OLD","!!!","")</f>
        <v/>
      </c>
      <c r="F28" s="16" t="str">
        <f>IF(OR(E28="",E28="!!!"),"",IF(NOT(ISNA(VLOOKUP(E28,E$1:E27,1,FALSE()))),"OLD",IF(AND(E28&lt;&gt;"",E28&lt;&gt;"!!!"),"NEW","")))</f>
        <v> </v>
      </c>
      <c r="G28" s="17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18" t="str">
        <f>IF(J28&lt;&gt;1,"",IF(I28="SBJ","CB","?"))</f>
        <v> </v>
      </c>
      <c r="I28" s="19" t="str">
        <f>IF(OR(E28="",E28="!!!",F28="NEW"),"",INDEX(B27:B$2,-1+SUMPRODUCT(MAX(ROW(E27:E$2)*(E28=E27:E$2)))))</f>
        <v> </v>
      </c>
      <c r="J28" s="19" t="str">
        <f>IF(OR(E28="",E28="!!!",F28="NEW"),"",COUNTBLANK(OFFSET(A$1,,,SUMPRODUCT(MAX(ROW(E$2:E28)*(E28=E$2:E28)))))-COUNTBLANK(OFFSET(A$1,,,SUMPRODUCT(MAX(ROW(E$1:E27)*(E2=E$1:E27))))))</f>
        <v> </v>
      </c>
      <c r="K28" s="19" t="str">
        <f>IF(OR(E28="",E28="!!!",F28="NEW"),"",INDEX(J$1:J27,SUMPRODUCT(MAX(ROW(E$1:E27)*(E28=E$1:E27)))))</f>
        <v> </v>
      </c>
      <c r="L28" s="20"/>
    </row>
    <row r="29" spans="1:12">
      <c r="A29" s="13" t="s">
        <v>49</v>
      </c>
      <c r="E29" s="15">
        <f>IF(D29="?OLD","!!!","")</f>
        <v/>
      </c>
      <c r="F29" s="16" t="str">
        <f>IF(OR(E29="",E29="!!!"),"",IF(NOT(ISNA(VLOOKUP(E29,E$1:E28,1,FALSE()))),"OLD",IF(AND(E29&lt;&gt;"",E29&lt;&gt;"!!!"),"NEW","")))</f>
        <v> </v>
      </c>
      <c r="G29" s="17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18" t="str">
        <f>IF(J29&lt;&gt;1,"",IF(I29="SBJ","CB","?"))</f>
        <v> </v>
      </c>
      <c r="I29" s="19" t="str">
        <f>IF(OR(E29="",E29="!!!",F29="NEW"),"",INDEX(B28:B$2,-1+SUMPRODUCT(MAX(ROW(E28:E$2)*(E29=E28:E$2)))))</f>
        <v> </v>
      </c>
      <c r="J29" s="19" t="str">
        <f>IF(OR(E29="",E29="!!!",F29="NEW"),"",COUNTBLANK(OFFSET(A$1,,,SUMPRODUCT(MAX(ROW(E$2:E29)*(E29=E$2:E29)))))-COUNTBLANK(OFFSET(A$1,,,SUMPRODUCT(MAX(ROW(E$1:E28)*(E2=E$1:E28))))))</f>
        <v> </v>
      </c>
      <c r="K29" s="19" t="str">
        <f>IF(OR(E29="",E29="!!!",F29="NEW"),"",INDEX(J$1:J28,SUMPRODUCT(MAX(ROW(E$1:E28)*(E29=E$1:E28)))))</f>
        <v> </v>
      </c>
      <c r="L29" s="20"/>
    </row>
    <row r="30" spans="1:12">
      <c r="A30" s="13" t="s">
        <v>55</v>
      </c>
      <c r="B30" s="14" t="s">
        <v>23</v>
      </c>
      <c r="C30" s="14" t="s">
        <v>51</v>
      </c>
      <c r="E30" s="15">
        <f>IF(D30="?OLD","!!!","")</f>
        <v/>
      </c>
      <c r="F30" s="16" t="str">
        <f>IF(OR(E30="",E30="!!!"),"",IF(NOT(ISNA(VLOOKUP(E30,E$1:E29,1,FALSE()))),"OLD",IF(AND(E30&lt;&gt;"",E30&lt;&gt;"!!!"),"NEW","")))</f>
        <v> </v>
      </c>
      <c r="G30" s="17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18" t="str">
        <f>IF(J30&lt;&gt;1,"",IF(I30="SBJ","CB","?"))</f>
        <v> </v>
      </c>
      <c r="I30" s="19" t="str">
        <f>IF(OR(E30="",E30="!!!",F30="NEW"),"",INDEX(B29:B$2,-1+SUMPRODUCT(MAX(ROW(E29:E$2)*(E30=E29:E$2)))))</f>
        <v> </v>
      </c>
      <c r="J30" s="19" t="str">
        <f>IF(OR(E30="",E30="!!!",F30="NEW"),"",COUNTBLANK(OFFSET(A$1,,,SUMPRODUCT(MAX(ROW(E$2:E30)*(E30=E$2:E30)))))-COUNTBLANK(OFFSET(A$1,,,SUMPRODUCT(MAX(ROW(E$1:E29)*(E2=E$1:E29))))))</f>
        <v> </v>
      </c>
      <c r="K30" s="19" t="str">
        <f>IF(OR(E30="",E30="!!!",F30="NEW"),"",INDEX(J$1:J29,SUMPRODUCT(MAX(ROW(E$1:E29)*(E30=E$1:E29)))))</f>
        <v> </v>
      </c>
      <c r="L30" s="20"/>
    </row>
    <row r="31" spans="1:12">
      <c r="A31" s="13" t="s">
        <v>56</v>
      </c>
      <c r="E31" s="15">
        <f>IF(D31="?OLD","!!!","")</f>
        <v/>
      </c>
      <c r="F31" s="16" t="str">
        <f>IF(OR(E31="",E31="!!!"),"",IF(NOT(ISNA(VLOOKUP(E31,E$1:E30,1,FALSE()))),"OLD",IF(AND(E31&lt;&gt;"",E31&lt;&gt;"!!!"),"NEW","")))</f>
        <v> </v>
      </c>
      <c r="G31" s="17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18" t="str">
        <f>IF(J31&lt;&gt;1,"",IF(I31="SBJ","CB","?"))</f>
        <v> </v>
      </c>
      <c r="I31" s="19" t="str">
        <f>IF(OR(E31="",E31="!!!",F31="NEW"),"",INDEX(B30:B$2,-1+SUMPRODUCT(MAX(ROW(E30:E$2)*(E31=E30:E$2)))))</f>
        <v> </v>
      </c>
      <c r="J31" s="19" t="str">
        <f>IF(OR(E31="",E31="!!!",F31="NEW"),"",COUNTBLANK(OFFSET(A$1,,,SUMPRODUCT(MAX(ROW(E$2:E31)*(E31=E$2:E31)))))-COUNTBLANK(OFFSET(A$1,,,SUMPRODUCT(MAX(ROW(E$1:E30)*(E2=E$1:E30))))))</f>
        <v> </v>
      </c>
      <c r="K31" s="19" t="str">
        <f>IF(OR(E31="",E31="!!!",F31="NEW"),"",INDEX(J$1:J30,SUMPRODUCT(MAX(ROW(E$1:E30)*(E31=E$1:E30)))))</f>
        <v> </v>
      </c>
      <c r="L31" s="20"/>
    </row>
    <row r="32" spans="1:12">
      <c r="A32" s="13" t="s">
        <v>57</v>
      </c>
      <c r="E32" s="15">
        <f>IF(D32="?OLD","!!!","")</f>
        <v/>
      </c>
      <c r="F32" s="16" t="str">
        <f>IF(OR(E32="",E32="!!!"),"",IF(NOT(ISNA(VLOOKUP(E32,E$1:E31,1,FALSE()))),"OLD",IF(AND(E32&lt;&gt;"",E32&lt;&gt;"!!!"),"NEW","")))</f>
        <v> </v>
      </c>
      <c r="G32" s="17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18" t="str">
        <f>IF(J32&lt;&gt;1,"",IF(I32="SBJ","CB","?"))</f>
        <v> </v>
      </c>
      <c r="I32" s="19" t="str">
        <f>IF(OR(E32="",E32="!!!",F32="NEW"),"",INDEX(B31:B$2,-1+SUMPRODUCT(MAX(ROW(E31:E$2)*(E32=E31:E$2)))))</f>
        <v> </v>
      </c>
      <c r="J32" s="19" t="str">
        <f>IF(OR(E32="",E32="!!!",F32="NEW"),"",COUNTBLANK(OFFSET(A$1,,,SUMPRODUCT(MAX(ROW(E$2:E32)*(E32=E$2:E32)))))-COUNTBLANK(OFFSET(A$1,,,SUMPRODUCT(MAX(ROW(E$1:E31)*(E2=E$1:E31))))))</f>
        <v> </v>
      </c>
      <c r="K32" s="19" t="str">
        <f>IF(OR(E32="",E32="!!!",F32="NEW"),"",INDEX(J$1:J31,SUMPRODUCT(MAX(ROW(E$1:E31)*(E32=E$1:E31)))))</f>
        <v> </v>
      </c>
      <c r="L32" s="20"/>
    </row>
    <row r="33" spans="1:12">
      <c r="A33" s="13" t="s">
        <v>58</v>
      </c>
      <c r="E33" s="15">
        <f>IF(D33="?OLD","!!!","")</f>
        <v/>
      </c>
      <c r="F33" s="16" t="str">
        <f>IF(OR(E33="",E33="!!!"),"",IF(NOT(ISNA(VLOOKUP(E33,E$1:E32,1,FALSE()))),"OLD",IF(AND(E33&lt;&gt;"",E33&lt;&gt;"!!!"),"NEW","")))</f>
        <v> </v>
      </c>
      <c r="G33" s="17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18" t="str">
        <f>IF(J33&lt;&gt;1,"",IF(I33="SBJ","CB","?"))</f>
        <v> </v>
      </c>
      <c r="I33" s="19" t="str">
        <f>IF(OR(E33="",E33="!!!",F33="NEW"),"",INDEX(B32:B$2,-1+SUMPRODUCT(MAX(ROW(E32:E$2)*(E33=E32:E$2)))))</f>
        <v> </v>
      </c>
      <c r="J33" s="19" t="str">
        <f>IF(OR(E33="",E33="!!!",F33="NEW"),"",COUNTBLANK(OFFSET(A$1,,,SUMPRODUCT(MAX(ROW(E$2:E33)*(E33=E$2:E33)))))-COUNTBLANK(OFFSET(A$1,,,SUMPRODUCT(MAX(ROW(E$1:E32)*(E2=E$1:E32))))))</f>
        <v> </v>
      </c>
      <c r="K33" s="19" t="str">
        <f>IF(OR(E33="",E33="!!!",F33="NEW"),"",INDEX(J$1:J32,SUMPRODUCT(MAX(ROW(E$1:E32)*(E33=E$1:E32)))))</f>
        <v> </v>
      </c>
      <c r="L33" s="20"/>
    </row>
    <row r="34" spans="1:12">
      <c r="A34" s="13" t="s">
        <v>59</v>
      </c>
      <c r="B34" s="14" t="s">
        <v>27</v>
      </c>
      <c r="C34" s="14" t="s">
        <v>60</v>
      </c>
      <c r="D34" s="14" t="s">
        <v>25</v>
      </c>
      <c r="E34" s="15">
        <f>IF(D34="?OLD","!!!","")</f>
        <v/>
      </c>
      <c r="F34" s="16" t="str">
        <f>IF(OR(E34="",E34="!!!"),"",IF(NOT(ISNA(VLOOKUP(E34,E$1:E33,1,FALSE()))),"OLD",IF(AND(E34&lt;&gt;"",E34&lt;&gt;"!!!"),"NEW","")))</f>
        <v> </v>
      </c>
      <c r="G34" s="17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18" t="str">
        <f>IF(J34&lt;&gt;1,"",IF(I34="SBJ","CB","?"))</f>
        <v> </v>
      </c>
      <c r="I34" s="19" t="str">
        <f>IF(OR(E34="",E34="!!!",F34="NEW"),"",INDEX(B33:B$2,-1+SUMPRODUCT(MAX(ROW(E33:E$2)*(E34=E33:E$2)))))</f>
        <v> </v>
      </c>
      <c r="J34" s="19" t="str">
        <f>IF(OR(E34="",E34="!!!",F34="NEW"),"",COUNTBLANK(OFFSET(A$1,,,SUMPRODUCT(MAX(ROW(E$2:E34)*(E34=E$2:E34)))))-COUNTBLANK(OFFSET(A$1,,,SUMPRODUCT(MAX(ROW(E$1:E33)*(E2=E$1:E33))))))</f>
        <v> </v>
      </c>
      <c r="K34" s="19" t="str">
        <f>IF(OR(E34="",E34="!!!",F34="NEW"),"",INDEX(J$1:J33,SUMPRODUCT(MAX(ROW(E$1:E33)*(E34=E$1:E33)))))</f>
        <v> </v>
      </c>
      <c r="L34" s="20"/>
    </row>
    <row r="35" spans="1:12">
      <c r="A35" s="13" t="s">
        <v>61</v>
      </c>
      <c r="E35" s="15">
        <f>IF(D35="?OLD","!!!","")</f>
        <v/>
      </c>
      <c r="F35" s="16" t="str">
        <f>IF(OR(E35="",E35="!!!"),"",IF(NOT(ISNA(VLOOKUP(E35,E$1:E34,1,FALSE()))),"OLD",IF(AND(E35&lt;&gt;"",E35&lt;&gt;"!!!"),"NEW","")))</f>
        <v> </v>
      </c>
      <c r="G35" s="17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18" t="str">
        <f>IF(J35&lt;&gt;1,"",IF(I35="SBJ","CB","?"))</f>
        <v> </v>
      </c>
      <c r="I35" s="19" t="str">
        <f>IF(OR(E35="",E35="!!!",F35="NEW"),"",INDEX(B34:B$2,-1+SUMPRODUCT(MAX(ROW(E34:E$2)*(E35=E34:E$2)))))</f>
        <v> </v>
      </c>
      <c r="J35" s="19" t="str">
        <f>IF(OR(E35="",E35="!!!",F35="NEW"),"",COUNTBLANK(OFFSET(A$1,,,SUMPRODUCT(MAX(ROW(E$2:E35)*(E35=E$2:E35)))))-COUNTBLANK(OFFSET(A$1,,,SUMPRODUCT(MAX(ROW(E$1:E34)*(E2=E$1:E34))))))</f>
        <v> </v>
      </c>
      <c r="K35" s="19" t="str">
        <f>IF(OR(E35="",E35="!!!",F35="NEW"),"",INDEX(J$1:J34,SUMPRODUCT(MAX(ROW(E$1:E34)*(E35=E$1:E34)))))</f>
        <v> </v>
      </c>
      <c r="L35" s="20"/>
    </row>
    <row r="36" spans="1:12">
      <c r="A36" s="13" t="s">
        <v>62</v>
      </c>
      <c r="B36" s="14" t="s">
        <v>63</v>
      </c>
      <c r="C36" s="14" t="s">
        <v>64</v>
      </c>
      <c r="D36" s="14" t="s">
        <v>25</v>
      </c>
      <c r="E36" s="15">
        <f>IF(D36="?OLD","!!!","")</f>
        <v/>
      </c>
      <c r="F36" s="16" t="str">
        <f>IF(OR(E36="",E36="!!!"),"",IF(NOT(ISNA(VLOOKUP(E36,E$1:E35,1,FALSE()))),"OLD",IF(AND(E36&lt;&gt;"",E36&lt;&gt;"!!!"),"NEW","")))</f>
        <v> </v>
      </c>
      <c r="G36" s="17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18" t="str">
        <f>IF(J36&lt;&gt;1,"",IF(I36="SBJ","CB","?"))</f>
        <v> </v>
      </c>
      <c r="I36" s="19" t="str">
        <f>IF(OR(E36="",E36="!!!",F36="NEW"),"",INDEX(B35:B$2,-1+SUMPRODUCT(MAX(ROW(E35:E$2)*(E36=E35:E$2)))))</f>
        <v> </v>
      </c>
      <c r="J36" s="19" t="str">
        <f>IF(OR(E36="",E36="!!!",F36="NEW"),"",COUNTBLANK(OFFSET(A$1,,,SUMPRODUCT(MAX(ROW(E$2:E36)*(E36=E$2:E36)))))-COUNTBLANK(OFFSET(A$1,,,SUMPRODUCT(MAX(ROW(E$1:E35)*(E2=E$1:E35))))))</f>
        <v> </v>
      </c>
      <c r="K36" s="19" t="str">
        <f>IF(OR(E36="",E36="!!!",F36="NEW"),"",INDEX(J$1:J35,SUMPRODUCT(MAX(ROW(E$1:E35)*(E36=E$1:E35)))))</f>
        <v> </v>
      </c>
      <c r="L36" s="20"/>
    </row>
    <row r="37" spans="1:12">
      <c r="A37" s="13" t="s">
        <v>65</v>
      </c>
      <c r="E37" s="15">
        <f>IF(D37="?OLD","!!!","")</f>
        <v/>
      </c>
      <c r="F37" s="16" t="str">
        <f>IF(OR(E37="",E37="!!!"),"",IF(NOT(ISNA(VLOOKUP(E37,E$1:E36,1,FALSE()))),"OLD",IF(AND(E37&lt;&gt;"",E37&lt;&gt;"!!!"),"NEW","")))</f>
        <v> </v>
      </c>
      <c r="G37" s="17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18" t="str">
        <f>IF(J37&lt;&gt;1,"",IF(I37="SBJ","CB","?"))</f>
        <v> </v>
      </c>
      <c r="I37" s="19" t="str">
        <f>IF(OR(E37="",E37="!!!",F37="NEW"),"",INDEX(B36:B$2,-1+SUMPRODUCT(MAX(ROW(E36:E$2)*(E37=E36:E$2)))))</f>
        <v> </v>
      </c>
      <c r="J37" s="19" t="str">
        <f>IF(OR(E37="",E37="!!!",F37="NEW"),"",COUNTBLANK(OFFSET(A$1,,,SUMPRODUCT(MAX(ROW(E$2:E37)*(E37=E$2:E37)))))-COUNTBLANK(OFFSET(A$1,,,SUMPRODUCT(MAX(ROW(E$1:E36)*(E2=E$1:E36))))))</f>
        <v> </v>
      </c>
      <c r="K37" s="19" t="str">
        <f>IF(OR(E37="",E37="!!!",F37="NEW"),"",INDEX(J$1:J36,SUMPRODUCT(MAX(ROW(E$1:E36)*(E37=E$1:E36)))))</f>
        <v> </v>
      </c>
      <c r="L37" s="20"/>
    </row>
    <row r="38" spans="1:12">
      <c r="A38" s="13" t="s">
        <v>66</v>
      </c>
      <c r="E38" s="15">
        <f>IF(D38="?OLD","!!!","")</f>
        <v/>
      </c>
      <c r="F38" s="16" t="str">
        <f>IF(OR(E38="",E38="!!!"),"",IF(NOT(ISNA(VLOOKUP(E38,E$1:E37,1,FALSE()))),"OLD",IF(AND(E38&lt;&gt;"",E38&lt;&gt;"!!!"),"NEW","")))</f>
        <v> </v>
      </c>
      <c r="G38" s="17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18" t="str">
        <f>IF(J38&lt;&gt;1,"",IF(I38="SBJ","CB","?"))</f>
        <v> </v>
      </c>
      <c r="I38" s="19" t="str">
        <f>IF(OR(E38="",E38="!!!",F38="NEW"),"",INDEX(B37:B$2,-1+SUMPRODUCT(MAX(ROW(E37:E$2)*(E38=E37:E$2)))))</f>
        <v> </v>
      </c>
      <c r="J38" s="19" t="str">
        <f>IF(OR(E38="",E38="!!!",F38="NEW"),"",COUNTBLANK(OFFSET(A$1,,,SUMPRODUCT(MAX(ROW(E$2:E38)*(E38=E$2:E38)))))-COUNTBLANK(OFFSET(A$1,,,SUMPRODUCT(MAX(ROW(E$1:E37)*(E2=E$1:E37))))))</f>
        <v> </v>
      </c>
      <c r="K38" s="19" t="str">
        <f>IF(OR(E38="",E38="!!!",F38="NEW"),"",INDEX(J$1:J37,SUMPRODUCT(MAX(ROW(E$1:E37)*(E38=E$1:E37)))))</f>
        <v> </v>
      </c>
      <c r="L38" s="20"/>
    </row>
    <row r="39" spans="1:12">
      <c r="A39" s="13" t="s">
        <v>67</v>
      </c>
      <c r="E39" s="15">
        <f>IF(D39="?OLD","!!!","")</f>
        <v/>
      </c>
      <c r="F39" s="16" t="str">
        <f>IF(OR(E39="",E39="!!!"),"",IF(NOT(ISNA(VLOOKUP(E39,E$1:E38,1,FALSE()))),"OLD",IF(AND(E39&lt;&gt;"",E39&lt;&gt;"!!!"),"NEW","")))</f>
        <v> </v>
      </c>
      <c r="G39" s="17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18" t="str">
        <f>IF(J39&lt;&gt;1,"",IF(I39="SBJ","CB","?"))</f>
        <v> </v>
      </c>
      <c r="I39" s="19" t="str">
        <f>IF(OR(E39="",E39="!!!",F39="NEW"),"",INDEX(B38:B$2,-1+SUMPRODUCT(MAX(ROW(E38:E$2)*(E39=E38:E$2)))))</f>
        <v> </v>
      </c>
      <c r="J39" s="19" t="str">
        <f>IF(OR(E39="",E39="!!!",F39="NEW"),"",COUNTBLANK(OFFSET(A$1,,,SUMPRODUCT(MAX(ROW(E$2:E39)*(E39=E$2:E39)))))-COUNTBLANK(OFFSET(A$1,,,SUMPRODUCT(MAX(ROW(E$1:E38)*(E2=E$1:E38))))))</f>
        <v> </v>
      </c>
      <c r="K39" s="19" t="str">
        <f>IF(OR(E39="",E39="!!!",F39="NEW"),"",INDEX(J$1:J38,SUMPRODUCT(MAX(ROW(E$1:E38)*(E39=E$1:E38)))))</f>
        <v> </v>
      </c>
      <c r="L39" s="20"/>
    </row>
    <row r="40" spans="1:12">
      <c r="A40" s="13" t="s">
        <v>68</v>
      </c>
      <c r="E40" s="15">
        <f>IF(D40="?OLD","!!!","")</f>
        <v/>
      </c>
      <c r="F40" s="16" t="str">
        <f>IF(OR(E40="",E40="!!!"),"",IF(NOT(ISNA(VLOOKUP(E40,E$1:E39,1,FALSE()))),"OLD",IF(AND(E40&lt;&gt;"",E40&lt;&gt;"!!!"),"NEW","")))</f>
        <v> </v>
      </c>
      <c r="G40" s="17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18" t="str">
        <f>IF(J40&lt;&gt;1,"",IF(I40="SBJ","CB","?"))</f>
        <v> </v>
      </c>
      <c r="I40" s="19" t="str">
        <f>IF(OR(E40="",E40="!!!",F40="NEW"),"",INDEX(B39:B$2,-1+SUMPRODUCT(MAX(ROW(E39:E$2)*(E40=E39:E$2)))))</f>
        <v> </v>
      </c>
      <c r="J40" s="19" t="str">
        <f>IF(OR(E40="",E40="!!!",F40="NEW"),"",COUNTBLANK(OFFSET(A$1,,,SUMPRODUCT(MAX(ROW(E$2:E40)*(E40=E$2:E40)))))-COUNTBLANK(OFFSET(A$1,,,SUMPRODUCT(MAX(ROW(E$1:E39)*(E2=E$1:E39))))))</f>
        <v> </v>
      </c>
      <c r="K40" s="19" t="str">
        <f>IF(OR(E40="",E40="!!!",F40="NEW"),"",INDEX(J$1:J39,SUMPRODUCT(MAX(ROW(E$1:E39)*(E40=E$1:E39)))))</f>
        <v> </v>
      </c>
      <c r="L40" s="20"/>
    </row>
    <row r="41" spans="1:12">
      <c r="A41" s="13"/>
    </row>
    <row r="42" spans="1:12">
      <c r="A42" s="13" t="s">
        <v>69</v>
      </c>
    </row>
    <row r="43" spans="1:12">
      <c r="A43" s="13" t="s">
        <v>70</v>
      </c>
      <c r="E43" s="15">
        <f>IF(D43="?OLD","!!!","")</f>
        <v/>
      </c>
      <c r="F43" s="16" t="str">
        <f>IF(OR(E43="",E43="!!!"),"",IF(NOT(ISNA(VLOOKUP(E43,E$1:E42,1,FALSE()))),"OLD",IF(AND(E43&lt;&gt;"",E43&lt;&gt;"!!!"),"NEW","")))</f>
        <v> </v>
      </c>
      <c r="G43" s="17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18" t="str">
        <f>IF(J43&lt;&gt;1,"",IF(I43="SBJ","CB","?"))</f>
        <v> </v>
      </c>
      <c r="I43" s="19" t="str">
        <f>IF(OR(E43="",E43="!!!",F43="NEW"),"",INDEX(B42:B$2,-1+SUMPRODUCT(MAX(ROW(E42:E$2)*(E43=E42:E$2)))))</f>
        <v> </v>
      </c>
      <c r="J43" s="19" t="str">
        <f>IF(OR(E43="",E43="!!!",F43="NEW"),"",COUNTBLANK(OFFSET(A$1,,,SUMPRODUCT(MAX(ROW(E$2:E43)*(E43=E$2:E43)))))-COUNTBLANK(OFFSET(A$1,,,SUMPRODUCT(MAX(ROW(E$1:E42)*(E2=E$1:E42))))))</f>
        <v> </v>
      </c>
      <c r="K43" s="19" t="str">
        <f>IF(OR(E43="",E43="!!!",F43="NEW"),"",INDEX(J$1:J42,SUMPRODUCT(MAX(ROW(E$1:E42)*(E43=E$1:E42)))))</f>
        <v> </v>
      </c>
      <c r="L43" s="20"/>
    </row>
    <row r="44" spans="1:12">
      <c r="A44" s="13" t="s">
        <v>71</v>
      </c>
      <c r="B44" s="14" t="s">
        <v>27</v>
      </c>
      <c r="C44" s="14" t="s">
        <v>72</v>
      </c>
      <c r="D44" s="14" t="s">
        <v>25</v>
      </c>
      <c r="E44" s="15">
        <f>IF(D44="?OLD","!!!","")</f>
        <v/>
      </c>
      <c r="F44" s="16" t="str">
        <f>IF(OR(E44="",E44="!!!"),"",IF(NOT(ISNA(VLOOKUP(E44,E$1:E43,1,FALSE()))),"OLD",IF(AND(E44&lt;&gt;"",E44&lt;&gt;"!!!"),"NEW","")))</f>
        <v> </v>
      </c>
      <c r="G44" s="17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18" t="str">
        <f>IF(J44&lt;&gt;1,"",IF(I44="SBJ","CB","?"))</f>
        <v> </v>
      </c>
      <c r="I44" s="19" t="str">
        <f>IF(OR(E44="",E44="!!!",F44="NEW"),"",INDEX(B43:B$2,-1+SUMPRODUCT(MAX(ROW(E43:E$2)*(E44=E43:E$2)))))</f>
        <v> </v>
      </c>
      <c r="J44" s="19" t="str">
        <f>IF(OR(E44="",E44="!!!",F44="NEW"),"",COUNTBLANK(OFFSET(A$1,,,SUMPRODUCT(MAX(ROW(E$2:E44)*(E44=E$2:E44)))))-COUNTBLANK(OFFSET(A$1,,,SUMPRODUCT(MAX(ROW(E$1:E43)*(E2=E$1:E43))))))</f>
        <v> </v>
      </c>
      <c r="K44" s="19" t="str">
        <f>IF(OR(E44="",E44="!!!",F44="NEW"),"",INDEX(J$1:J43,SUMPRODUCT(MAX(ROW(E$1:E43)*(E44=E$1:E43)))))</f>
        <v> </v>
      </c>
      <c r="L44" s="20"/>
    </row>
    <row r="45" spans="1:12">
      <c r="A45" s="13" t="s">
        <v>73</v>
      </c>
      <c r="B45" s="14" t="s">
        <v>23</v>
      </c>
      <c r="C45" s="14" t="s">
        <v>60</v>
      </c>
      <c r="D45" s="14" t="s">
        <v>25</v>
      </c>
      <c r="E45" s="15">
        <f>IF(D45="?OLD","!!!","")</f>
        <v/>
      </c>
      <c r="F45" s="16" t="str">
        <f>IF(OR(E45="",E45="!!!"),"",IF(NOT(ISNA(VLOOKUP(E45,E$1:E44,1,FALSE()))),"OLD",IF(AND(E45&lt;&gt;"",E45&lt;&gt;"!!!"),"NEW","")))</f>
        <v> </v>
      </c>
      <c r="G45" s="17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18" t="str">
        <f>IF(J45&lt;&gt;1,"",IF(I45="SBJ","CB","?"))</f>
        <v> </v>
      </c>
      <c r="I45" s="19" t="str">
        <f>IF(OR(E45="",E45="!!!",F45="NEW"),"",INDEX(B44:B$2,-1+SUMPRODUCT(MAX(ROW(E44:E$2)*(E45=E44:E$2)))))</f>
        <v> </v>
      </c>
      <c r="J45" s="19" t="str">
        <f>IF(OR(E45="",E45="!!!",F45="NEW"),"",COUNTBLANK(OFFSET(A$1,,,SUMPRODUCT(MAX(ROW(E$2:E45)*(E45=E$2:E45)))))-COUNTBLANK(OFFSET(A$1,,,SUMPRODUCT(MAX(ROW(E$1:E44)*(E2=E$1:E44))))))</f>
        <v> </v>
      </c>
      <c r="K45" s="19" t="str">
        <f>IF(OR(E45="",E45="!!!",F45="NEW"),"",INDEX(J$1:J44,SUMPRODUCT(MAX(ROW(E$1:E44)*(E45=E$1:E44)))))</f>
        <v> </v>
      </c>
      <c r="L45" s="20"/>
    </row>
    <row r="46" spans="1:12">
      <c r="A46" s="13" t="s">
        <v>74</v>
      </c>
      <c r="E46" s="15">
        <f>IF(D46="?OLD","!!!","")</f>
        <v/>
      </c>
      <c r="F46" s="16" t="str">
        <f>IF(OR(E46="",E46="!!!"),"",IF(NOT(ISNA(VLOOKUP(E46,E$1:E45,1,FALSE()))),"OLD",IF(AND(E46&lt;&gt;"",E46&lt;&gt;"!!!"),"NEW","")))</f>
        <v> </v>
      </c>
      <c r="G46" s="17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18" t="str">
        <f>IF(J46&lt;&gt;1,"",IF(I46="SBJ","CB","?"))</f>
        <v> </v>
      </c>
      <c r="I46" s="19" t="str">
        <f>IF(OR(E46="",E46="!!!",F46="NEW"),"",INDEX(B45:B$2,-1+SUMPRODUCT(MAX(ROW(E45:E$2)*(E46=E45:E$2)))))</f>
        <v> </v>
      </c>
      <c r="J46" s="19" t="str">
        <f>IF(OR(E46="",E46="!!!",F46="NEW"),"",COUNTBLANK(OFFSET(A$1,,,SUMPRODUCT(MAX(ROW(E$2:E46)*(E46=E$2:E46)))))-COUNTBLANK(OFFSET(A$1,,,SUMPRODUCT(MAX(ROW(E$1:E45)*(E2=E$1:E45))))))</f>
        <v> </v>
      </c>
      <c r="K46" s="19" t="str">
        <f>IF(OR(E46="",E46="!!!",F46="NEW"),"",INDEX(J$1:J45,SUMPRODUCT(MAX(ROW(E$1:E45)*(E46=E$1:E45)))))</f>
        <v> </v>
      </c>
      <c r="L46" s="20"/>
    </row>
    <row r="47" spans="1:12">
      <c r="A47" s="13" t="s">
        <v>48</v>
      </c>
      <c r="E47" s="15">
        <f>IF(D47="?OLD","!!!","")</f>
        <v/>
      </c>
      <c r="F47" s="16" t="str">
        <f>IF(OR(E47="",E47="!!!"),"",IF(NOT(ISNA(VLOOKUP(E47,E$1:E46,1,FALSE()))),"OLD",IF(AND(E47&lt;&gt;"",E47&lt;&gt;"!!!"),"NEW","")))</f>
        <v> </v>
      </c>
      <c r="G47" s="17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18" t="str">
        <f>IF(J47&lt;&gt;1,"",IF(I47="SBJ","CB","?"))</f>
        <v> </v>
      </c>
      <c r="I47" s="19" t="str">
        <f>IF(OR(E47="",E47="!!!",F47="NEW"),"",INDEX(B46:B$2,-1+SUMPRODUCT(MAX(ROW(E46:E$2)*(E47=E46:E$2)))))</f>
        <v> </v>
      </c>
      <c r="J47" s="19" t="str">
        <f>IF(OR(E47="",E47="!!!",F47="NEW"),"",COUNTBLANK(OFFSET(A$1,,,SUMPRODUCT(MAX(ROW(E$2:E47)*(E47=E$2:E47)))))-COUNTBLANK(OFFSET(A$1,,,SUMPRODUCT(MAX(ROW(E$1:E46)*(E2=E$1:E46))))))</f>
        <v> </v>
      </c>
      <c r="K47" s="19" t="str">
        <f>IF(OR(E47="",E47="!!!",F47="NEW"),"",INDEX(J$1:J46,SUMPRODUCT(MAX(ROW(E$1:E46)*(E47=E$1:E46)))))</f>
        <v> </v>
      </c>
      <c r="L47" s="20"/>
    </row>
    <row r="48" spans="1:12">
      <c r="A48" s="13" t="s">
        <v>75</v>
      </c>
      <c r="E48" s="15">
        <f>IF(D48="?OLD","!!!","")</f>
        <v/>
      </c>
      <c r="F48" s="16" t="str">
        <f>IF(OR(E48="",E48="!!!"),"",IF(NOT(ISNA(VLOOKUP(E48,E$1:E47,1,FALSE()))),"OLD",IF(AND(E48&lt;&gt;"",E48&lt;&gt;"!!!"),"NEW","")))</f>
        <v> </v>
      </c>
      <c r="G48" s="17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18" t="str">
        <f>IF(J48&lt;&gt;1,"",IF(I48="SBJ","CB","?"))</f>
        <v> </v>
      </c>
      <c r="I48" s="19" t="str">
        <f>IF(OR(E48="",E48="!!!",F48="NEW"),"",INDEX(B47:B$2,-1+SUMPRODUCT(MAX(ROW(E47:E$2)*(E48=E47:E$2)))))</f>
        <v> </v>
      </c>
      <c r="J48" s="19" t="str">
        <f>IF(OR(E48="",E48="!!!",F48="NEW"),"",COUNTBLANK(OFFSET(A$1,,,SUMPRODUCT(MAX(ROW(E$2:E48)*(E48=E$2:E48)))))-COUNTBLANK(OFFSET(A$1,,,SUMPRODUCT(MAX(ROW(E$1:E47)*(E2=E$1:E47))))))</f>
        <v> </v>
      </c>
      <c r="K48" s="19" t="str">
        <f>IF(OR(E48="",E48="!!!",F48="NEW"),"",INDEX(J$1:J47,SUMPRODUCT(MAX(ROW(E$1:E47)*(E48=E$1:E47)))))</f>
        <v> </v>
      </c>
      <c r="L48" s="20"/>
    </row>
    <row r="49" spans="1:12">
      <c r="A49" s="13" t="s">
        <v>56</v>
      </c>
      <c r="E49" s="15">
        <f>IF(D49="?OLD","!!!","")</f>
        <v/>
      </c>
      <c r="F49" s="16" t="str">
        <f>IF(OR(E49="",E49="!!!"),"",IF(NOT(ISNA(VLOOKUP(E49,E$1:E48,1,FALSE()))),"OLD",IF(AND(E49&lt;&gt;"",E49&lt;&gt;"!!!"),"NEW","")))</f>
        <v> </v>
      </c>
      <c r="G49" s="17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18" t="str">
        <f>IF(J49&lt;&gt;1,"",IF(I49="SBJ","CB","?"))</f>
        <v> </v>
      </c>
      <c r="I49" s="19" t="str">
        <f>IF(OR(E49="",E49="!!!",F49="NEW"),"",INDEX(B48:B$2,-1+SUMPRODUCT(MAX(ROW(E48:E$2)*(E49=E48:E$2)))))</f>
        <v> </v>
      </c>
      <c r="J49" s="19" t="str">
        <f>IF(OR(E49="",E49="!!!",F49="NEW"),"",COUNTBLANK(OFFSET(A$1,,,SUMPRODUCT(MAX(ROW(E$2:E49)*(E49=E$2:E49)))))-COUNTBLANK(OFFSET(A$1,,,SUMPRODUCT(MAX(ROW(E$1:E48)*(E2=E$1:E48))))))</f>
        <v> </v>
      </c>
      <c r="K49" s="19" t="str">
        <f>IF(OR(E49="",E49="!!!",F49="NEW"),"",INDEX(J$1:J48,SUMPRODUCT(MAX(ROW(E$1:E48)*(E49=E$1:E48)))))</f>
        <v> </v>
      </c>
      <c r="L49" s="20"/>
    </row>
    <row r="50" spans="1:12">
      <c r="A50" s="13" t="s">
        <v>76</v>
      </c>
      <c r="E50" s="15">
        <f>IF(D50="?OLD","!!!","")</f>
        <v/>
      </c>
      <c r="F50" s="16" t="str">
        <f>IF(OR(E50="",E50="!!!"),"",IF(NOT(ISNA(VLOOKUP(E50,E$1:E49,1,FALSE()))),"OLD",IF(AND(E50&lt;&gt;"",E50&lt;&gt;"!!!"),"NEW","")))</f>
        <v> </v>
      </c>
      <c r="G50" s="17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18" t="str">
        <f>IF(J50&lt;&gt;1,"",IF(I50="SBJ","CB","?"))</f>
        <v> </v>
      </c>
      <c r="I50" s="19" t="str">
        <f>IF(OR(E50="",E50="!!!",F50="NEW"),"",INDEX(B49:B$2,-1+SUMPRODUCT(MAX(ROW(E49:E$2)*(E50=E49:E$2)))))</f>
        <v> </v>
      </c>
      <c r="J50" s="19" t="str">
        <f>IF(OR(E50="",E50="!!!",F50="NEW"),"",COUNTBLANK(OFFSET(A$1,,,SUMPRODUCT(MAX(ROW(E$2:E50)*(E50=E$2:E50)))))-COUNTBLANK(OFFSET(A$1,,,SUMPRODUCT(MAX(ROW(E$1:E49)*(E2=E$1:E49))))))</f>
        <v> </v>
      </c>
      <c r="K50" s="19" t="str">
        <f>IF(OR(E50="",E50="!!!",F50="NEW"),"",INDEX(J$1:J49,SUMPRODUCT(MAX(ROW(E$1:E49)*(E50=E$1:E49)))))</f>
        <v> </v>
      </c>
      <c r="L50" s="20"/>
    </row>
    <row r="51" spans="1:12">
      <c r="A51" s="13" t="s">
        <v>57</v>
      </c>
      <c r="E51" s="15">
        <f>IF(D51="?OLD","!!!","")</f>
        <v/>
      </c>
      <c r="F51" s="16" t="str">
        <f>IF(OR(E51="",E51="!!!"),"",IF(NOT(ISNA(VLOOKUP(E51,E$1:E50,1,FALSE()))),"OLD",IF(AND(E51&lt;&gt;"",E51&lt;&gt;"!!!"),"NEW","")))</f>
        <v> </v>
      </c>
      <c r="G51" s="17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18" t="str">
        <f>IF(J51&lt;&gt;1,"",IF(I51="SBJ","CB","?"))</f>
        <v> </v>
      </c>
      <c r="I51" s="19" t="str">
        <f>IF(OR(E51="",E51="!!!",F51="NEW"),"",INDEX(B50:B$2,-1+SUMPRODUCT(MAX(ROW(E50:E$2)*(E51=E50:E$2)))))</f>
        <v> </v>
      </c>
      <c r="J51" s="19" t="str">
        <f>IF(OR(E51="",E51="!!!",F51="NEW"),"",COUNTBLANK(OFFSET(A$1,,,SUMPRODUCT(MAX(ROW(E$2:E51)*(E51=E$2:E51)))))-COUNTBLANK(OFFSET(A$1,,,SUMPRODUCT(MAX(ROW(E$1:E50)*(E2=E$1:E50))))))</f>
        <v> </v>
      </c>
      <c r="K51" s="19" t="str">
        <f>IF(OR(E51="",E51="!!!",F51="NEW"),"",INDEX(J$1:J50,SUMPRODUCT(MAX(ROW(E$1:E50)*(E51=E$1:E50)))))</f>
        <v> </v>
      </c>
      <c r="L51" s="20"/>
    </row>
    <row r="52" spans="1:12">
      <c r="A52" s="13" t="s">
        <v>71</v>
      </c>
      <c r="B52" s="14" t="s">
        <v>27</v>
      </c>
      <c r="C52" s="14" t="s">
        <v>72</v>
      </c>
      <c r="D52" s="14" t="s">
        <v>25</v>
      </c>
      <c r="E52" s="15">
        <f>IF(D52="?OLD","!!!","")</f>
        <v/>
      </c>
      <c r="F52" s="16" t="str">
        <f>IF(OR(E52="",E52="!!!"),"",IF(NOT(ISNA(VLOOKUP(E52,E$1:E51,1,FALSE()))),"OLD",IF(AND(E52&lt;&gt;"",E52&lt;&gt;"!!!"),"NEW","")))</f>
        <v> </v>
      </c>
      <c r="G52" s="17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18" t="str">
        <f>IF(J52&lt;&gt;1,"",IF(I52="SBJ","CB","?"))</f>
        <v> </v>
      </c>
      <c r="I52" s="19" t="str">
        <f>IF(OR(E52="",E52="!!!",F52="NEW"),"",INDEX(B51:B$2,-1+SUMPRODUCT(MAX(ROW(E51:E$2)*(E52=E51:E$2)))))</f>
        <v> </v>
      </c>
      <c r="J52" s="19" t="str">
        <f>IF(OR(E52="",E52="!!!",F52="NEW"),"",COUNTBLANK(OFFSET(A$1,,,SUMPRODUCT(MAX(ROW(E$2:E52)*(E52=E$2:E52)))))-COUNTBLANK(OFFSET(A$1,,,SUMPRODUCT(MAX(ROW(E$1:E51)*(E2=E$1:E51))))))</f>
        <v> </v>
      </c>
      <c r="K52" s="19" t="str">
        <f>IF(OR(E52="",E52="!!!",F52="NEW"),"",INDEX(J$1:J51,SUMPRODUCT(MAX(ROW(E$1:E51)*(E52=E$1:E51)))))</f>
        <v> </v>
      </c>
      <c r="L52" s="20"/>
    </row>
    <row r="53" spans="1:12">
      <c r="A53" s="13" t="s">
        <v>77</v>
      </c>
      <c r="B53" s="14" t="s">
        <v>45</v>
      </c>
      <c r="C53" s="14" t="s">
        <v>60</v>
      </c>
      <c r="D53" s="14" t="s">
        <v>25</v>
      </c>
      <c r="E53" s="15">
        <f>IF(D53="?OLD","!!!","")</f>
        <v/>
      </c>
      <c r="F53" s="16" t="str">
        <f>IF(OR(E53="",E53="!!!"),"",IF(NOT(ISNA(VLOOKUP(E53,E$1:E52,1,FALSE()))),"OLD",IF(AND(E53&lt;&gt;"",E53&lt;&gt;"!!!"),"NEW","")))</f>
        <v> </v>
      </c>
      <c r="G53" s="17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18" t="str">
        <f>IF(J53&lt;&gt;1,"",IF(I53="SBJ","CB","?"))</f>
        <v> </v>
      </c>
      <c r="I53" s="19" t="str">
        <f>IF(OR(E53="",E53="!!!",F53="NEW"),"",INDEX(B52:B$2,-1+SUMPRODUCT(MAX(ROW(E52:E$2)*(E53=E52:E$2)))))</f>
        <v> </v>
      </c>
      <c r="J53" s="19" t="str">
        <f>IF(OR(E53="",E53="!!!",F53="NEW"),"",COUNTBLANK(OFFSET(A$1,,,SUMPRODUCT(MAX(ROW(E$2:E53)*(E53=E$2:E53)))))-COUNTBLANK(OFFSET(A$1,,,SUMPRODUCT(MAX(ROW(E$1:E52)*(E2=E$1:E52))))))</f>
        <v> </v>
      </c>
      <c r="K53" s="19" t="str">
        <f>IF(OR(E53="",E53="!!!",F53="NEW"),"",INDEX(J$1:J52,SUMPRODUCT(MAX(ROW(E$1:E52)*(E53=E$1:E52)))))</f>
        <v> </v>
      </c>
      <c r="L53" s="20"/>
    </row>
    <row r="54" spans="1:12">
      <c r="A54" s="13" t="s">
        <v>78</v>
      </c>
      <c r="E54" s="15">
        <f>IF(D54="?OLD","!!!","")</f>
        <v/>
      </c>
      <c r="F54" s="16" t="str">
        <f>IF(OR(E54="",E54="!!!"),"",IF(NOT(ISNA(VLOOKUP(E54,E$1:E53,1,FALSE()))),"OLD",IF(AND(E54&lt;&gt;"",E54&lt;&gt;"!!!"),"NEW","")))</f>
        <v> </v>
      </c>
      <c r="G54" s="17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18" t="str">
        <f>IF(J54&lt;&gt;1,"",IF(I54="SBJ","CB","?"))</f>
        <v> </v>
      </c>
      <c r="I54" s="19" t="str">
        <f>IF(OR(E54="",E54="!!!",F54="NEW"),"",INDEX(B53:B$2,-1+SUMPRODUCT(MAX(ROW(E53:E$2)*(E54=E53:E$2)))))</f>
        <v> </v>
      </c>
      <c r="J54" s="19" t="str">
        <f>IF(OR(E54="",E54="!!!",F54="NEW"),"",COUNTBLANK(OFFSET(A$1,,,SUMPRODUCT(MAX(ROW(E$2:E54)*(E54=E$2:E54)))))-COUNTBLANK(OFFSET(A$1,,,SUMPRODUCT(MAX(ROW(E$1:E53)*(E2=E$1:E53))))))</f>
        <v> </v>
      </c>
      <c r="K54" s="19" t="str">
        <f>IF(OR(E54="",E54="!!!",F54="NEW"),"",INDEX(J$1:J53,SUMPRODUCT(MAX(ROW(E$1:E53)*(E54=E$1:E53)))))</f>
        <v> </v>
      </c>
      <c r="L54" s="20"/>
    </row>
    <row r="55" spans="1:12">
      <c r="A55" s="13" t="s">
        <v>79</v>
      </c>
      <c r="E55" s="15">
        <f>IF(D55="?OLD","!!!","")</f>
        <v/>
      </c>
      <c r="F55" s="16" t="str">
        <f>IF(OR(E55="",E55="!!!"),"",IF(NOT(ISNA(VLOOKUP(E55,E$1:E54,1,FALSE()))),"OLD",IF(AND(E55&lt;&gt;"",E55&lt;&gt;"!!!"),"NEW","")))</f>
        <v> </v>
      </c>
      <c r="G55" s="17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18" t="str">
        <f>IF(J55&lt;&gt;1,"",IF(I55="SBJ","CB","?"))</f>
        <v> </v>
      </c>
      <c r="I55" s="19" t="str">
        <f>IF(OR(E55="",E55="!!!",F55="NEW"),"",INDEX(B54:B$2,-1+SUMPRODUCT(MAX(ROW(E54:E$2)*(E55=E54:E$2)))))</f>
        <v> </v>
      </c>
      <c r="J55" s="19" t="str">
        <f>IF(OR(E55="",E55="!!!",F55="NEW"),"",COUNTBLANK(OFFSET(A$1,,,SUMPRODUCT(MAX(ROW(E$2:E55)*(E55=E$2:E55)))))-COUNTBLANK(OFFSET(A$1,,,SUMPRODUCT(MAX(ROW(E$1:E54)*(E2=E$1:E54))))))</f>
        <v> </v>
      </c>
      <c r="K55" s="19" t="str">
        <f>IF(OR(E55="",E55="!!!",F55="NEW"),"",INDEX(J$1:J54,SUMPRODUCT(MAX(ROW(E$1:E54)*(E55=E$1:E54)))))</f>
        <v> </v>
      </c>
      <c r="L55" s="20"/>
    </row>
    <row r="56" spans="1:12">
      <c r="A56" s="13" t="s">
        <v>58</v>
      </c>
      <c r="E56" s="15">
        <f>IF(D56="?OLD","!!!","")</f>
        <v/>
      </c>
      <c r="F56" s="16" t="str">
        <f>IF(OR(E56="",E56="!!!"),"",IF(NOT(ISNA(VLOOKUP(E56,E$1:E55,1,FALSE()))),"OLD",IF(AND(E56&lt;&gt;"",E56&lt;&gt;"!!!"),"NEW","")))</f>
        <v> </v>
      </c>
      <c r="G56" s="17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18" t="str">
        <f>IF(J56&lt;&gt;1,"",IF(I56="SBJ","CB","?"))</f>
        <v> </v>
      </c>
      <c r="I56" s="19" t="str">
        <f>IF(OR(E56="",E56="!!!",F56="NEW"),"",INDEX(B55:B$2,-1+SUMPRODUCT(MAX(ROW(E55:E$2)*(E56=E55:E$2)))))</f>
        <v> </v>
      </c>
      <c r="J56" s="19" t="str">
        <f>IF(OR(E56="",E56="!!!",F56="NEW"),"",COUNTBLANK(OFFSET(A$1,,,SUMPRODUCT(MAX(ROW(E$2:E56)*(E56=E$2:E56)))))-COUNTBLANK(OFFSET(A$1,,,SUMPRODUCT(MAX(ROW(E$1:E55)*(E2=E$1:E55))))))</f>
        <v> </v>
      </c>
      <c r="K56" s="19" t="str">
        <f>IF(OR(E56="",E56="!!!",F56="NEW"),"",INDEX(J$1:J55,SUMPRODUCT(MAX(ROW(E$1:E55)*(E56=E$1:E55)))))</f>
        <v> </v>
      </c>
      <c r="L56" s="20"/>
    </row>
    <row r="57" spans="1:12">
      <c r="A57" s="13" t="s">
        <v>68</v>
      </c>
      <c r="E57" s="15">
        <f>IF(D57="?OLD","!!!","")</f>
        <v/>
      </c>
      <c r="F57" s="16" t="str">
        <f>IF(OR(E57="",E57="!!!"),"",IF(NOT(ISNA(VLOOKUP(E57,E$1:E56,1,FALSE()))),"OLD",IF(AND(E57&lt;&gt;"",E57&lt;&gt;"!!!"),"NEW","")))</f>
        <v> </v>
      </c>
      <c r="G57" s="17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18" t="str">
        <f>IF(J57&lt;&gt;1,"",IF(I57="SBJ","CB","?"))</f>
        <v> </v>
      </c>
      <c r="I57" s="19" t="str">
        <f>IF(OR(E57="",E57="!!!",F57="NEW"),"",INDEX(B56:B$2,-1+SUMPRODUCT(MAX(ROW(E56:E$2)*(E57=E56:E$2)))))</f>
        <v> </v>
      </c>
      <c r="J57" s="19" t="str">
        <f>IF(OR(E57="",E57="!!!",F57="NEW"),"",COUNTBLANK(OFFSET(A$1,,,SUMPRODUCT(MAX(ROW(E$2:E57)*(E57=E$2:E57)))))-COUNTBLANK(OFFSET(A$1,,,SUMPRODUCT(MAX(ROW(E$1:E56)*(E2=E$1:E56))))))</f>
        <v> </v>
      </c>
      <c r="K57" s="19" t="str">
        <f>IF(OR(E57="",E57="!!!",F57="NEW"),"",INDEX(J$1:J56,SUMPRODUCT(MAX(ROW(E$1:E56)*(E57=E$1:E56)))))</f>
        <v> </v>
      </c>
      <c r="L57" s="20"/>
    </row>
    <row r="58" spans="1:12">
      <c r="A58" s="13"/>
    </row>
    <row r="59" spans="1:12">
      <c r="A59" s="13" t="s">
        <v>80</v>
      </c>
    </row>
    <row r="60" spans="1:12">
      <c r="A60" s="13" t="s">
        <v>81</v>
      </c>
      <c r="E60" s="15">
        <f>IF(D60="?OLD","!!!","")</f>
        <v/>
      </c>
      <c r="F60" s="16" t="str">
        <f>IF(OR(E60="",E60="!!!"),"",IF(NOT(ISNA(VLOOKUP(E60,E$1:E59,1,FALSE()))),"OLD",IF(AND(E60&lt;&gt;"",E60&lt;&gt;"!!!"),"NEW","")))</f>
        <v> </v>
      </c>
      <c r="G60" s="17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18" t="str">
        <f>IF(J60&lt;&gt;1,"",IF(I60="SBJ","CB","?"))</f>
        <v> </v>
      </c>
      <c r="I60" s="19" t="str">
        <f>IF(OR(E60="",E60="!!!",F60="NEW"),"",INDEX(B59:B$2,-1+SUMPRODUCT(MAX(ROW(E59:E$2)*(E60=E59:E$2)))))</f>
        <v> </v>
      </c>
      <c r="J60" s="19" t="str">
        <f>IF(OR(E60="",E60="!!!",F60="NEW"),"",COUNTBLANK(OFFSET(A$1,,,SUMPRODUCT(MAX(ROW(E$2:E60)*(E60=E$2:E60)))))-COUNTBLANK(OFFSET(A$1,,,SUMPRODUCT(MAX(ROW(E$1:E59)*(E2=E$1:E59))))))</f>
        <v> </v>
      </c>
      <c r="K60" s="19" t="str">
        <f>IF(OR(E60="",E60="!!!",F60="NEW"),"",INDEX(J$1:J59,SUMPRODUCT(MAX(ROW(E$1:E59)*(E60=E$1:E59)))))</f>
        <v> </v>
      </c>
      <c r="L60" s="20"/>
    </row>
    <row r="61" spans="1:12">
      <c r="A61" s="13" t="s">
        <v>82</v>
      </c>
      <c r="E61" s="15">
        <f>IF(D61="?OLD","!!!","")</f>
        <v/>
      </c>
      <c r="F61" s="16" t="str">
        <f>IF(OR(E61="",E61="!!!"),"",IF(NOT(ISNA(VLOOKUP(E61,E$1:E60,1,FALSE()))),"OLD",IF(AND(E61&lt;&gt;"",E61&lt;&gt;"!!!"),"NEW","")))</f>
        <v> </v>
      </c>
      <c r="G61" s="17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18" t="str">
        <f>IF(J61&lt;&gt;1,"",IF(I61="SBJ","CB","?"))</f>
        <v> </v>
      </c>
      <c r="I61" s="19" t="str">
        <f>IF(OR(E61="",E61="!!!",F61="NEW"),"",INDEX(B60:B$2,-1+SUMPRODUCT(MAX(ROW(E60:E$2)*(E61=E60:E$2)))))</f>
        <v> </v>
      </c>
      <c r="J61" s="19" t="str">
        <f>IF(OR(E61="",E61="!!!",F61="NEW"),"",COUNTBLANK(OFFSET(A$1,,,SUMPRODUCT(MAX(ROW(E$2:E61)*(E61=E$2:E61)))))-COUNTBLANK(OFFSET(A$1,,,SUMPRODUCT(MAX(ROW(E$1:E60)*(E2=E$1:E60))))))</f>
        <v> </v>
      </c>
      <c r="K61" s="19" t="str">
        <f>IF(OR(E61="",E61="!!!",F61="NEW"),"",INDEX(J$1:J60,SUMPRODUCT(MAX(ROW(E$1:E60)*(E61=E$1:E60)))))</f>
        <v> </v>
      </c>
      <c r="L61" s="20"/>
    </row>
    <row r="62" spans="1:12">
      <c r="A62" s="13" t="s">
        <v>83</v>
      </c>
      <c r="B62" s="14" t="s">
        <v>23</v>
      </c>
      <c r="C62" s="14" t="s">
        <v>84</v>
      </c>
      <c r="D62" s="14" t="s">
        <v>25</v>
      </c>
      <c r="E62" s="15">
        <f>IF(D62="?OLD","!!!","")</f>
        <v/>
      </c>
      <c r="F62" s="16" t="str">
        <f>IF(OR(E62="",E62="!!!"),"",IF(NOT(ISNA(VLOOKUP(E62,E$1:E61,1,FALSE()))),"OLD",IF(AND(E62&lt;&gt;"",E62&lt;&gt;"!!!"),"NEW","")))</f>
        <v> </v>
      </c>
      <c r="G62" s="17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18" t="str">
        <f>IF(J62&lt;&gt;1,"",IF(I62="SBJ","CB","?"))</f>
        <v> </v>
      </c>
      <c r="I62" s="19" t="str">
        <f>IF(OR(E62="",E62="!!!",F62="NEW"),"",INDEX(B61:B$2,-1+SUMPRODUCT(MAX(ROW(E61:E$2)*(E62=E61:E$2)))))</f>
        <v> </v>
      </c>
      <c r="J62" s="19" t="str">
        <f>IF(OR(E62="",E62="!!!",F62="NEW"),"",COUNTBLANK(OFFSET(A$1,,,SUMPRODUCT(MAX(ROW(E$2:E62)*(E62=E$2:E62)))))-COUNTBLANK(OFFSET(A$1,,,SUMPRODUCT(MAX(ROW(E$1:E61)*(E2=E$1:E61))))))</f>
        <v> </v>
      </c>
      <c r="K62" s="19" t="str">
        <f>IF(OR(E62="",E62="!!!",F62="NEW"),"",INDEX(J$1:J61,SUMPRODUCT(MAX(ROW(E$1:E61)*(E62=E$1:E61)))))</f>
        <v> </v>
      </c>
      <c r="L62" s="20"/>
    </row>
    <row r="63" spans="1:12">
      <c r="A63" s="13" t="s">
        <v>79</v>
      </c>
      <c r="E63" s="15">
        <f>IF(D63="?OLD","!!!","")</f>
        <v/>
      </c>
      <c r="F63" s="16" t="str">
        <f>IF(OR(E63="",E63="!!!"),"",IF(NOT(ISNA(VLOOKUP(E63,E$1:E62,1,FALSE()))),"OLD",IF(AND(E63&lt;&gt;"",E63&lt;&gt;"!!!"),"NEW","")))</f>
        <v> </v>
      </c>
      <c r="G63" s="17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18" t="str">
        <f>IF(J63&lt;&gt;1,"",IF(I63="SBJ","CB","?"))</f>
        <v> </v>
      </c>
      <c r="I63" s="19" t="str">
        <f>IF(OR(E63="",E63="!!!",F63="NEW"),"",INDEX(B62:B$2,-1+SUMPRODUCT(MAX(ROW(E62:E$2)*(E63=E62:E$2)))))</f>
        <v> </v>
      </c>
      <c r="J63" s="19" t="str">
        <f>IF(OR(E63="",E63="!!!",F63="NEW"),"",COUNTBLANK(OFFSET(A$1,,,SUMPRODUCT(MAX(ROW(E$2:E63)*(E63=E$2:E63)))))-COUNTBLANK(OFFSET(A$1,,,SUMPRODUCT(MAX(ROW(E$1:E62)*(E2=E$1:E62))))))</f>
        <v> </v>
      </c>
      <c r="K63" s="19" t="str">
        <f>IF(OR(E63="",E63="!!!",F63="NEW"),"",INDEX(J$1:J62,SUMPRODUCT(MAX(ROW(E$1:E62)*(E63=E$1:E62)))))</f>
        <v> </v>
      </c>
      <c r="L63" s="20"/>
    </row>
    <row r="64" spans="1:12">
      <c r="A64" s="13" t="s">
        <v>71</v>
      </c>
      <c r="B64" s="14" t="s">
        <v>33</v>
      </c>
      <c r="C64" s="14" t="s">
        <v>72</v>
      </c>
      <c r="D64" s="14" t="s">
        <v>25</v>
      </c>
      <c r="E64" s="15">
        <f>IF(D64="?OLD","!!!","")</f>
        <v/>
      </c>
      <c r="F64" s="16" t="str">
        <f>IF(OR(E64="",E64="!!!"),"",IF(NOT(ISNA(VLOOKUP(E64,E$1:E63,1,FALSE()))),"OLD",IF(AND(E64&lt;&gt;"",E64&lt;&gt;"!!!"),"NEW","")))</f>
        <v> </v>
      </c>
      <c r="G64" s="17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18" t="str">
        <f>IF(J64&lt;&gt;1,"",IF(I64="SBJ","CB","?"))</f>
        <v> </v>
      </c>
      <c r="I64" s="19" t="str">
        <f>IF(OR(E64="",E64="!!!",F64="NEW"),"",INDEX(B63:B$2,-1+SUMPRODUCT(MAX(ROW(E63:E$2)*(E64=E63:E$2)))))</f>
        <v> </v>
      </c>
      <c r="J64" s="19" t="str">
        <f>IF(OR(E64="",E64="!!!",F64="NEW"),"",COUNTBLANK(OFFSET(A$1,,,SUMPRODUCT(MAX(ROW(E$2:E64)*(E64=E$2:E64)))))-COUNTBLANK(OFFSET(A$1,,,SUMPRODUCT(MAX(ROW(E$1:E63)*(E2=E$1:E63))))))</f>
        <v> </v>
      </c>
      <c r="K64" s="19" t="str">
        <f>IF(OR(E64="",E64="!!!",F64="NEW"),"",INDEX(J$1:J63,SUMPRODUCT(MAX(ROW(E$1:E63)*(E64=E$1:E63)))))</f>
        <v> </v>
      </c>
      <c r="L64" s="20"/>
    </row>
    <row r="65" spans="1:12">
      <c r="A65" s="13" t="s">
        <v>85</v>
      </c>
      <c r="B65" s="14" t="s">
        <v>27</v>
      </c>
      <c r="C65" s="14" t="s">
        <v>86</v>
      </c>
      <c r="E65" s="15">
        <f>IF(D65="?OLD","!!!","")</f>
        <v/>
      </c>
      <c r="F65" s="16" t="str">
        <f>IF(OR(E65="",E65="!!!"),"",IF(NOT(ISNA(VLOOKUP(E65,E$1:E64,1,FALSE()))),"OLD",IF(AND(E65&lt;&gt;"",E65&lt;&gt;"!!!"),"NEW","")))</f>
        <v> </v>
      </c>
      <c r="G65" s="17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18" t="str">
        <f>IF(J65&lt;&gt;1,"",IF(I65="SBJ","CB","?"))</f>
        <v> </v>
      </c>
      <c r="I65" s="19" t="str">
        <f>IF(OR(E65="",E65="!!!",F65="NEW"),"",INDEX(B64:B$2,-1+SUMPRODUCT(MAX(ROW(E64:E$2)*(E65=E64:E$2)))))</f>
        <v> </v>
      </c>
      <c r="J65" s="19" t="str">
        <f>IF(OR(E65="",E65="!!!",F65="NEW"),"",COUNTBLANK(OFFSET(A$1,,,SUMPRODUCT(MAX(ROW(E$2:E65)*(E65=E$2:E65)))))-COUNTBLANK(OFFSET(A$1,,,SUMPRODUCT(MAX(ROW(E$1:E64)*(E2=E$1:E64))))))</f>
        <v> </v>
      </c>
      <c r="K65" s="19" t="str">
        <f>IF(OR(E65="",E65="!!!",F65="NEW"),"",INDEX(J$1:J64,SUMPRODUCT(MAX(ROW(E$1:E64)*(E65=E$1:E64)))))</f>
        <v> </v>
      </c>
      <c r="L65" s="20"/>
    </row>
    <row r="66" spans="1:12">
      <c r="A66" s="13" t="s">
        <v>87</v>
      </c>
      <c r="B66" s="14" t="s">
        <v>88</v>
      </c>
      <c r="C66" s="14" t="s">
        <v>64</v>
      </c>
      <c r="D66" s="14" t="s">
        <v>25</v>
      </c>
      <c r="E66" s="15">
        <f>IF(D66="?OLD","!!!","")</f>
        <v/>
      </c>
      <c r="F66" s="16" t="str">
        <f>IF(OR(E66="",E66="!!!"),"",IF(NOT(ISNA(VLOOKUP(E66,E$1:E65,1,FALSE()))),"OLD",IF(AND(E66&lt;&gt;"",E66&lt;&gt;"!!!"),"NEW","")))</f>
        <v> </v>
      </c>
      <c r="G66" s="17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18" t="str">
        <f>IF(J66&lt;&gt;1,"",IF(I66="SBJ","CB","?"))</f>
        <v> </v>
      </c>
      <c r="I66" s="19" t="str">
        <f>IF(OR(E66="",E66="!!!",F66="NEW"),"",INDEX(B65:B$2,-1+SUMPRODUCT(MAX(ROW(E65:E$2)*(E66=E65:E$2)))))</f>
        <v> </v>
      </c>
      <c r="J66" s="19" t="str">
        <f>IF(OR(E66="",E66="!!!",F66="NEW"),"",COUNTBLANK(OFFSET(A$1,,,SUMPRODUCT(MAX(ROW(E$2:E66)*(E66=E$2:E66)))))-COUNTBLANK(OFFSET(A$1,,,SUMPRODUCT(MAX(ROW(E$1:E65)*(E2=E$1:E65))))))</f>
        <v> </v>
      </c>
      <c r="K66" s="19" t="str">
        <f>IF(OR(E66="",E66="!!!",F66="NEW"),"",INDEX(J$1:J65,SUMPRODUCT(MAX(ROW(E$1:E65)*(E66=E$1:E65)))))</f>
        <v> </v>
      </c>
      <c r="L66" s="20"/>
    </row>
    <row r="67" spans="1:12">
      <c r="A67" s="13" t="s">
        <v>89</v>
      </c>
      <c r="E67" s="15">
        <f>IF(D67="?OLD","!!!","")</f>
        <v/>
      </c>
      <c r="F67" s="16" t="str">
        <f>IF(OR(E67="",E67="!!!"),"",IF(NOT(ISNA(VLOOKUP(E67,E$1:E66,1,FALSE()))),"OLD",IF(AND(E67&lt;&gt;"",E67&lt;&gt;"!!!"),"NEW","")))</f>
        <v> </v>
      </c>
      <c r="G67" s="17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18" t="str">
        <f>IF(J67&lt;&gt;1,"",IF(I67="SBJ","CB","?"))</f>
        <v> </v>
      </c>
      <c r="I67" s="19" t="str">
        <f>IF(OR(E67="",E67="!!!",F67="NEW"),"",INDEX(B66:B$2,-1+SUMPRODUCT(MAX(ROW(E66:E$2)*(E67=E66:E$2)))))</f>
        <v> </v>
      </c>
      <c r="J67" s="19" t="str">
        <f>IF(OR(E67="",E67="!!!",F67="NEW"),"",COUNTBLANK(OFFSET(A$1,,,SUMPRODUCT(MAX(ROW(E$2:E67)*(E67=E$2:E67)))))-COUNTBLANK(OFFSET(A$1,,,SUMPRODUCT(MAX(ROW(E$1:E66)*(E2=E$1:E66))))))</f>
        <v> </v>
      </c>
      <c r="K67" s="19" t="str">
        <f>IF(OR(E67="",E67="!!!",F67="NEW"),"",INDEX(J$1:J66,SUMPRODUCT(MAX(ROW(E$1:E66)*(E67=E$1:E66)))))</f>
        <v> </v>
      </c>
      <c r="L67" s="20"/>
    </row>
    <row r="68" spans="1:12">
      <c r="A68" s="13" t="s">
        <v>90</v>
      </c>
      <c r="E68" s="15">
        <f>IF(D68="?OLD","!!!","")</f>
        <v/>
      </c>
      <c r="F68" s="16" t="str">
        <f>IF(OR(E68="",E68="!!!"),"",IF(NOT(ISNA(VLOOKUP(E68,E$1:E67,1,FALSE()))),"OLD",IF(AND(E68&lt;&gt;"",E68&lt;&gt;"!!!"),"NEW","")))</f>
        <v> </v>
      </c>
      <c r="G68" s="17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18" t="str">
        <f>IF(J68&lt;&gt;1,"",IF(I68="SBJ","CB","?"))</f>
        <v> </v>
      </c>
      <c r="I68" s="19" t="str">
        <f>IF(OR(E68="",E68="!!!",F68="NEW"),"",INDEX(B67:B$2,-1+SUMPRODUCT(MAX(ROW(E67:E$2)*(E68=E67:E$2)))))</f>
        <v> </v>
      </c>
      <c r="J68" s="19" t="str">
        <f>IF(OR(E68="",E68="!!!",F68="NEW"),"",COUNTBLANK(OFFSET(A$1,,,SUMPRODUCT(MAX(ROW(E$2:E68)*(E68=E$2:E68)))))-COUNTBLANK(OFFSET(A$1,,,SUMPRODUCT(MAX(ROW(E$1:E67)*(E2=E$1:E67))))))</f>
        <v> </v>
      </c>
      <c r="K68" s="19" t="str">
        <f>IF(OR(E68="",E68="!!!",F68="NEW"),"",INDEX(J$1:J67,SUMPRODUCT(MAX(ROW(E$1:E67)*(E68=E$1:E67)))))</f>
        <v> </v>
      </c>
      <c r="L68" s="20"/>
    </row>
    <row r="69" spans="1:12">
      <c r="A69" s="13" t="s">
        <v>91</v>
      </c>
      <c r="E69" s="15">
        <f>IF(D69="?OLD","!!!","")</f>
        <v/>
      </c>
      <c r="F69" s="16" t="str">
        <f>IF(OR(E69="",E69="!!!"),"",IF(NOT(ISNA(VLOOKUP(E69,E$1:E68,1,FALSE()))),"OLD",IF(AND(E69&lt;&gt;"",E69&lt;&gt;"!!!"),"NEW","")))</f>
        <v> </v>
      </c>
      <c r="G69" s="17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18" t="str">
        <f>IF(J69&lt;&gt;1,"",IF(I69="SBJ","CB","?"))</f>
        <v> </v>
      </c>
      <c r="I69" s="19" t="str">
        <f>IF(OR(E69="",E69="!!!",F69="NEW"),"",INDEX(B68:B$2,-1+SUMPRODUCT(MAX(ROW(E68:E$2)*(E69=E68:E$2)))))</f>
        <v> </v>
      </c>
      <c r="J69" s="19" t="str">
        <f>IF(OR(E69="",E69="!!!",F69="NEW"),"",COUNTBLANK(OFFSET(A$1,,,SUMPRODUCT(MAX(ROW(E$2:E69)*(E69=E$2:E69)))))-COUNTBLANK(OFFSET(A$1,,,SUMPRODUCT(MAX(ROW(E$1:E68)*(E2=E$1:E68))))))</f>
        <v> </v>
      </c>
      <c r="K69" s="19" t="str">
        <f>IF(OR(E69="",E69="!!!",F69="NEW"),"",INDEX(J$1:J68,SUMPRODUCT(MAX(ROW(E$1:E68)*(E69=E$1:E68)))))</f>
        <v> </v>
      </c>
      <c r="L69" s="20"/>
    </row>
    <row r="70" spans="1:12">
      <c r="A70" s="13" t="s">
        <v>53</v>
      </c>
      <c r="E70" s="15">
        <f>IF(D70="?OLD","!!!","")</f>
        <v/>
      </c>
      <c r="F70" s="16" t="str">
        <f>IF(OR(E70="",E70="!!!"),"",IF(NOT(ISNA(VLOOKUP(E70,E$1:E69,1,FALSE()))),"OLD",IF(AND(E70&lt;&gt;"",E70&lt;&gt;"!!!"),"NEW","")))</f>
        <v> </v>
      </c>
      <c r="G70" s="17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18" t="str">
        <f>IF(J70&lt;&gt;1,"",IF(I70="SBJ","CB","?"))</f>
        <v> </v>
      </c>
      <c r="I70" s="19" t="str">
        <f>IF(OR(E70="",E70="!!!",F70="NEW"),"",INDEX(B69:B$2,-1+SUMPRODUCT(MAX(ROW(E69:E$2)*(E70=E69:E$2)))))</f>
        <v> </v>
      </c>
      <c r="J70" s="19" t="str">
        <f>IF(OR(E70="",E70="!!!",F70="NEW"),"",COUNTBLANK(OFFSET(A$1,,,SUMPRODUCT(MAX(ROW(E$2:E70)*(E70=E$2:E70)))))-COUNTBLANK(OFFSET(A$1,,,SUMPRODUCT(MAX(ROW(E$1:E69)*(E2=E$1:E69))))))</f>
        <v> </v>
      </c>
      <c r="K70" s="19" t="str">
        <f>IF(OR(E70="",E70="!!!",F70="NEW"),"",INDEX(J$1:J69,SUMPRODUCT(MAX(ROW(E$1:E69)*(E70=E$1:E69)))))</f>
        <v> </v>
      </c>
      <c r="L70" s="20"/>
    </row>
    <row r="71" spans="1:12">
      <c r="A71" s="13" t="s">
        <v>92</v>
      </c>
      <c r="B71" s="14" t="s">
        <v>93</v>
      </c>
      <c r="C71" s="14" t="s">
        <v>51</v>
      </c>
      <c r="E71" s="15">
        <f>IF(D71="?OLD","!!!","")</f>
        <v/>
      </c>
      <c r="F71" s="16" t="str">
        <f>IF(OR(E71="",E71="!!!"),"",IF(NOT(ISNA(VLOOKUP(E71,E$1:E70,1,FALSE()))),"OLD",IF(AND(E71&lt;&gt;"",E71&lt;&gt;"!!!"),"NEW","")))</f>
        <v> </v>
      </c>
      <c r="G71" s="17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18" t="str">
        <f>IF(J71&lt;&gt;1,"",IF(I71="SBJ","CB","?"))</f>
        <v> </v>
      </c>
      <c r="I71" s="19" t="str">
        <f>IF(OR(E71="",E71="!!!",F71="NEW"),"",INDEX(B70:B$2,-1+SUMPRODUCT(MAX(ROW(E70:E$2)*(E71=E70:E$2)))))</f>
        <v> </v>
      </c>
      <c r="J71" s="19" t="str">
        <f>IF(OR(E71="",E71="!!!",F71="NEW"),"",COUNTBLANK(OFFSET(A$1,,,SUMPRODUCT(MAX(ROW(E$2:E71)*(E71=E$2:E71)))))-COUNTBLANK(OFFSET(A$1,,,SUMPRODUCT(MAX(ROW(E$1:E70)*(E2=E$1:E70))))))</f>
        <v> </v>
      </c>
      <c r="K71" s="19" t="str">
        <f>IF(OR(E71="",E71="!!!",F71="NEW"),"",INDEX(J$1:J70,SUMPRODUCT(MAX(ROW(E$1:E70)*(E71=E$1:E70)))))</f>
        <v> </v>
      </c>
      <c r="L71" s="20"/>
    </row>
    <row r="72" spans="1:12">
      <c r="A72" s="13" t="s">
        <v>94</v>
      </c>
      <c r="E72" s="15">
        <f>IF(D72="?OLD","!!!","")</f>
        <v/>
      </c>
      <c r="F72" s="16" t="str">
        <f>IF(OR(E72="",E72="!!!"),"",IF(NOT(ISNA(VLOOKUP(E72,E$1:E71,1,FALSE()))),"OLD",IF(AND(E72&lt;&gt;"",E72&lt;&gt;"!!!"),"NEW","")))</f>
        <v> </v>
      </c>
      <c r="G72" s="17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18" t="str">
        <f>IF(J72&lt;&gt;1,"",IF(I72="SBJ","CB","?"))</f>
        <v> </v>
      </c>
      <c r="I72" s="19" t="str">
        <f>IF(OR(E72="",E72="!!!",F72="NEW"),"",INDEX(B71:B$2,-1+SUMPRODUCT(MAX(ROW(E71:E$2)*(E72=E71:E$2)))))</f>
        <v> </v>
      </c>
      <c r="J72" s="19" t="str">
        <f>IF(OR(E72="",E72="!!!",F72="NEW"),"",COUNTBLANK(OFFSET(A$1,,,SUMPRODUCT(MAX(ROW(E$2:E72)*(E72=E$2:E72)))))-COUNTBLANK(OFFSET(A$1,,,SUMPRODUCT(MAX(ROW(E$1:E71)*(E2=E$1:E71))))))</f>
        <v> </v>
      </c>
      <c r="K72" s="19" t="str">
        <f>IF(OR(E72="",E72="!!!",F72="NEW"),"",INDEX(J$1:J71,SUMPRODUCT(MAX(ROW(E$1:E71)*(E72=E$1:E71)))))</f>
        <v> </v>
      </c>
      <c r="L72" s="20"/>
    </row>
    <row r="73" spans="1:12">
      <c r="A73" s="13" t="s">
        <v>56</v>
      </c>
      <c r="E73" s="15">
        <f>IF(D73="?OLD","!!!","")</f>
        <v/>
      </c>
      <c r="F73" s="16" t="str">
        <f>IF(OR(E73="",E73="!!!"),"",IF(NOT(ISNA(VLOOKUP(E73,E$1:E72,1,FALSE()))),"OLD",IF(AND(E73&lt;&gt;"",E73&lt;&gt;"!!!"),"NEW","")))</f>
        <v> </v>
      </c>
      <c r="G73" s="17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18" t="str">
        <f>IF(J73&lt;&gt;1,"",IF(I73="SBJ","CB","?"))</f>
        <v> </v>
      </c>
      <c r="I73" s="19" t="str">
        <f>IF(OR(E73="",E73="!!!",F73="NEW"),"",INDEX(B72:B$2,-1+SUMPRODUCT(MAX(ROW(E72:E$2)*(E73=E72:E$2)))))</f>
        <v> </v>
      </c>
      <c r="J73" s="19" t="str">
        <f>IF(OR(E73="",E73="!!!",F73="NEW"),"",COUNTBLANK(OFFSET(A$1,,,SUMPRODUCT(MAX(ROW(E$2:E73)*(E73=E$2:E73)))))-COUNTBLANK(OFFSET(A$1,,,SUMPRODUCT(MAX(ROW(E$1:E72)*(E2=E$1:E72))))))</f>
        <v> </v>
      </c>
      <c r="K73" s="19" t="str">
        <f>IF(OR(E73="",E73="!!!",F73="NEW"),"",INDEX(J$1:J72,SUMPRODUCT(MAX(ROW(E$1:E72)*(E73=E$1:E72)))))</f>
        <v> </v>
      </c>
      <c r="L73" s="20"/>
    </row>
    <row r="74" spans="1:12">
      <c r="A74" s="13" t="s">
        <v>95</v>
      </c>
      <c r="E74" s="15">
        <f>IF(D74="?OLD","!!!","")</f>
        <v/>
      </c>
      <c r="F74" s="16" t="str">
        <f>IF(OR(E74="",E74="!!!"),"",IF(NOT(ISNA(VLOOKUP(E74,E$1:E73,1,FALSE()))),"OLD",IF(AND(E74&lt;&gt;"",E74&lt;&gt;"!!!"),"NEW","")))</f>
        <v> </v>
      </c>
      <c r="G74" s="17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18" t="str">
        <f>IF(J74&lt;&gt;1,"",IF(I74="SBJ","CB","?"))</f>
        <v> </v>
      </c>
      <c r="I74" s="19" t="str">
        <f>IF(OR(E74="",E74="!!!",F74="NEW"),"",INDEX(B73:B$2,-1+SUMPRODUCT(MAX(ROW(E73:E$2)*(E74=E73:E$2)))))</f>
        <v> </v>
      </c>
      <c r="J74" s="19" t="str">
        <f>IF(OR(E74="",E74="!!!",F74="NEW"),"",COUNTBLANK(OFFSET(A$1,,,SUMPRODUCT(MAX(ROW(E$2:E74)*(E74=E$2:E74)))))-COUNTBLANK(OFFSET(A$1,,,SUMPRODUCT(MAX(ROW(E$1:E73)*(E2=E$1:E73))))))</f>
        <v> </v>
      </c>
      <c r="K74" s="19" t="str">
        <f>IF(OR(E74="",E74="!!!",F74="NEW"),"",INDEX(J$1:J73,SUMPRODUCT(MAX(ROW(E$1:E73)*(E74=E$1:E73)))))</f>
        <v> </v>
      </c>
      <c r="L74" s="20"/>
    </row>
    <row r="75" spans="1:12">
      <c r="A75" s="13" t="s">
        <v>96</v>
      </c>
      <c r="B75" s="14" t="s">
        <v>97</v>
      </c>
      <c r="E75" s="15">
        <f>IF(D75="?OLD","!!!","")</f>
        <v/>
      </c>
      <c r="F75" s="16" t="str">
        <f>IF(OR(E75="",E75="!!!"),"",IF(NOT(ISNA(VLOOKUP(E75,E$1:E74,1,FALSE()))),"OLD",IF(AND(E75&lt;&gt;"",E75&lt;&gt;"!!!"),"NEW","")))</f>
        <v> </v>
      </c>
      <c r="G75" s="17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18" t="str">
        <f>IF(J75&lt;&gt;1,"",IF(I75="SBJ","CB","?"))</f>
        <v> </v>
      </c>
      <c r="I75" s="19" t="str">
        <f>IF(OR(E75="",E75="!!!",F75="NEW"),"",INDEX(B74:B$2,-1+SUMPRODUCT(MAX(ROW(E74:E$2)*(E75=E74:E$2)))))</f>
        <v> </v>
      </c>
      <c r="J75" s="19" t="str">
        <f>IF(OR(E75="",E75="!!!",F75="NEW"),"",COUNTBLANK(OFFSET(A$1,,,SUMPRODUCT(MAX(ROW(E$2:E75)*(E75=E$2:E75)))))-COUNTBLANK(OFFSET(A$1,,,SUMPRODUCT(MAX(ROW(E$1:E74)*(E2=E$1:E74))))))</f>
        <v> </v>
      </c>
      <c r="K75" s="19" t="str">
        <f>IF(OR(E75="",E75="!!!",F75="NEW"),"",INDEX(J$1:J74,SUMPRODUCT(MAX(ROW(E$1:E74)*(E75=E$1:E74)))))</f>
        <v> </v>
      </c>
      <c r="L75" s="20"/>
    </row>
    <row r="76" spans="1:12">
      <c r="A76" s="13" t="s">
        <v>87</v>
      </c>
      <c r="B76" s="14" t="s">
        <v>98</v>
      </c>
      <c r="C76" s="14" t="s">
        <v>64</v>
      </c>
      <c r="D76" s="14" t="s">
        <v>25</v>
      </c>
      <c r="E76" s="15">
        <f>IF(D76="?OLD","!!!","")</f>
        <v/>
      </c>
      <c r="F76" s="16" t="str">
        <f>IF(OR(E76="",E76="!!!"),"",IF(NOT(ISNA(VLOOKUP(E76,E$1:E75,1,FALSE()))),"OLD",IF(AND(E76&lt;&gt;"",E76&lt;&gt;"!!!"),"NEW","")))</f>
        <v> </v>
      </c>
      <c r="G76" s="17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18" t="str">
        <f>IF(J76&lt;&gt;1,"",IF(I76="SBJ","CB","?"))</f>
        <v> </v>
      </c>
      <c r="I76" s="19" t="str">
        <f>IF(OR(E76="",E76="!!!",F76="NEW"),"",INDEX(B75:B$2,-1+SUMPRODUCT(MAX(ROW(E75:E$2)*(E76=E75:E$2)))))</f>
        <v> </v>
      </c>
      <c r="J76" s="19" t="str">
        <f>IF(OR(E76="",E76="!!!",F76="NEW"),"",COUNTBLANK(OFFSET(A$1,,,SUMPRODUCT(MAX(ROW(E$2:E76)*(E76=E$2:E76)))))-COUNTBLANK(OFFSET(A$1,,,SUMPRODUCT(MAX(ROW(E$1:E75)*(E2=E$1:E75))))))</f>
        <v> </v>
      </c>
      <c r="K76" s="19" t="str">
        <f>IF(OR(E76="",E76="!!!",F76="NEW"),"",INDEX(J$1:J75,SUMPRODUCT(MAX(ROW(E$1:E75)*(E76=E$1:E75)))))</f>
        <v> </v>
      </c>
      <c r="L76" s="20"/>
    </row>
    <row r="77" spans="1:12">
      <c r="A77" s="13" t="s">
        <v>99</v>
      </c>
      <c r="E77" s="15">
        <f>IF(D77="?OLD","!!!","")</f>
        <v/>
      </c>
      <c r="F77" s="16" t="str">
        <f>IF(OR(E77="",E77="!!!"),"",IF(NOT(ISNA(VLOOKUP(E77,E$1:E76,1,FALSE()))),"OLD",IF(AND(E77&lt;&gt;"",E77&lt;&gt;"!!!"),"NEW","")))</f>
        <v> </v>
      </c>
      <c r="G77" s="17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18" t="str">
        <f>IF(J77&lt;&gt;1,"",IF(I77="SBJ","CB","?"))</f>
        <v> </v>
      </c>
      <c r="I77" s="19" t="str">
        <f>IF(OR(E77="",E77="!!!",F77="NEW"),"",INDEX(B76:B$2,-1+SUMPRODUCT(MAX(ROW(E76:E$2)*(E77=E76:E$2)))))</f>
        <v> </v>
      </c>
      <c r="J77" s="19" t="str">
        <f>IF(OR(E77="",E77="!!!",F77="NEW"),"",COUNTBLANK(OFFSET(A$1,,,SUMPRODUCT(MAX(ROW(E$2:E77)*(E77=E$2:E77)))))-COUNTBLANK(OFFSET(A$1,,,SUMPRODUCT(MAX(ROW(E$1:E76)*(E2=E$1:E76))))))</f>
        <v> </v>
      </c>
      <c r="K77" s="19" t="str">
        <f>IF(OR(E77="",E77="!!!",F77="NEW"),"",INDEX(J$1:J76,SUMPRODUCT(MAX(ROW(E$1:E76)*(E77=E$1:E76)))))</f>
        <v> </v>
      </c>
      <c r="L77" s="20"/>
    </row>
    <row r="78" spans="1:12">
      <c r="A78" s="13" t="s">
        <v>100</v>
      </c>
      <c r="E78" s="15">
        <f>IF(D78="?OLD","!!!","")</f>
        <v/>
      </c>
      <c r="F78" s="16" t="str">
        <f>IF(OR(E78="",E78="!!!"),"",IF(NOT(ISNA(VLOOKUP(E78,E$1:E77,1,FALSE()))),"OLD",IF(AND(E78&lt;&gt;"",E78&lt;&gt;"!!!"),"NEW","")))</f>
        <v> </v>
      </c>
      <c r="G78" s="17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18" t="str">
        <f>IF(J78&lt;&gt;1,"",IF(I78="SBJ","CB","?"))</f>
        <v> </v>
      </c>
      <c r="I78" s="19" t="str">
        <f>IF(OR(E78="",E78="!!!",F78="NEW"),"",INDEX(B77:B$2,-1+SUMPRODUCT(MAX(ROW(E77:E$2)*(E78=E77:E$2)))))</f>
        <v> </v>
      </c>
      <c r="J78" s="19" t="str">
        <f>IF(OR(E78="",E78="!!!",F78="NEW"),"",COUNTBLANK(OFFSET(A$1,,,SUMPRODUCT(MAX(ROW(E$2:E78)*(E78=E$2:E78)))))-COUNTBLANK(OFFSET(A$1,,,SUMPRODUCT(MAX(ROW(E$1:E77)*(E2=E$1:E77))))))</f>
        <v> </v>
      </c>
      <c r="K78" s="19" t="str">
        <f>IF(OR(E78="",E78="!!!",F78="NEW"),"",INDEX(J$1:J77,SUMPRODUCT(MAX(ROW(E$1:E77)*(E78=E$1:E77)))))</f>
        <v> </v>
      </c>
      <c r="L78" s="20"/>
    </row>
    <row r="79" spans="1:12">
      <c r="A79" s="13" t="s">
        <v>101</v>
      </c>
      <c r="E79" s="15">
        <f>IF(D79="?OLD","!!!","")</f>
        <v/>
      </c>
      <c r="F79" s="16" t="str">
        <f>IF(OR(E79="",E79="!!!"),"",IF(NOT(ISNA(VLOOKUP(E79,E$1:E78,1,FALSE()))),"OLD",IF(AND(E79&lt;&gt;"",E79&lt;&gt;"!!!"),"NEW","")))</f>
        <v> </v>
      </c>
      <c r="G79" s="17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18" t="str">
        <f>IF(J79&lt;&gt;1,"",IF(I79="SBJ","CB","?"))</f>
        <v> </v>
      </c>
      <c r="I79" s="19" t="str">
        <f>IF(OR(E79="",E79="!!!",F79="NEW"),"",INDEX(B78:B$2,-1+SUMPRODUCT(MAX(ROW(E78:E$2)*(E79=E78:E$2)))))</f>
        <v> </v>
      </c>
      <c r="J79" s="19" t="str">
        <f>IF(OR(E79="",E79="!!!",F79="NEW"),"",COUNTBLANK(OFFSET(A$1,,,SUMPRODUCT(MAX(ROW(E$2:E79)*(E79=E$2:E79)))))-COUNTBLANK(OFFSET(A$1,,,SUMPRODUCT(MAX(ROW(E$1:E78)*(E2=E$1:E78))))))</f>
        <v> </v>
      </c>
      <c r="K79" s="19" t="str">
        <f>IF(OR(E79="",E79="!!!",F79="NEW"),"",INDEX(J$1:J78,SUMPRODUCT(MAX(ROW(E$1:E78)*(E79=E$1:E78)))))</f>
        <v> </v>
      </c>
      <c r="L79" s="20"/>
    </row>
    <row r="80" spans="1:12">
      <c r="A80" s="13" t="s">
        <v>102</v>
      </c>
      <c r="E80" s="15">
        <f>IF(D80="?OLD","!!!","")</f>
        <v/>
      </c>
      <c r="F80" s="16" t="str">
        <f>IF(OR(E80="",E80="!!!"),"",IF(NOT(ISNA(VLOOKUP(E80,E$1:E79,1,FALSE()))),"OLD",IF(AND(E80&lt;&gt;"",E80&lt;&gt;"!!!"),"NEW","")))</f>
        <v> </v>
      </c>
      <c r="G80" s="17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18" t="str">
        <f>IF(J80&lt;&gt;1,"",IF(I80="SBJ","CB","?"))</f>
        <v> </v>
      </c>
      <c r="I80" s="19" t="str">
        <f>IF(OR(E80="",E80="!!!",F80="NEW"),"",INDEX(B79:B$2,-1+SUMPRODUCT(MAX(ROW(E79:E$2)*(E80=E79:E$2)))))</f>
        <v> </v>
      </c>
      <c r="J80" s="19" t="str">
        <f>IF(OR(E80="",E80="!!!",F80="NEW"),"",COUNTBLANK(OFFSET(A$1,,,SUMPRODUCT(MAX(ROW(E$2:E80)*(E80=E$2:E80)))))-COUNTBLANK(OFFSET(A$1,,,SUMPRODUCT(MAX(ROW(E$1:E79)*(E2=E$1:E79))))))</f>
        <v> </v>
      </c>
      <c r="K80" s="19" t="str">
        <f>IF(OR(E80="",E80="!!!",F80="NEW"),"",INDEX(J$1:J79,SUMPRODUCT(MAX(ROW(E$1:E79)*(E80=E$1:E79)))))</f>
        <v> </v>
      </c>
      <c r="L80" s="20"/>
    </row>
    <row r="81" spans="1:12">
      <c r="A81" s="13" t="s">
        <v>103</v>
      </c>
      <c r="B81" s="14" t="s">
        <v>63</v>
      </c>
      <c r="C81" s="14" t="s">
        <v>34</v>
      </c>
      <c r="E81" s="15">
        <f>IF(D81="?OLD","!!!","")</f>
        <v/>
      </c>
      <c r="F81" s="16" t="str">
        <f>IF(OR(E81="",E81="!!!"),"",IF(NOT(ISNA(VLOOKUP(E81,E$1:E80,1,FALSE()))),"OLD",IF(AND(E81&lt;&gt;"",E81&lt;&gt;"!!!"),"NEW","")))</f>
        <v> </v>
      </c>
      <c r="G81" s="17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18" t="str">
        <f>IF(J81&lt;&gt;1,"",IF(I81="SBJ","CB","?"))</f>
        <v> </v>
      </c>
      <c r="I81" s="19" t="str">
        <f>IF(OR(E81="",E81="!!!",F81="NEW"),"",INDEX(B80:B$2,-1+SUMPRODUCT(MAX(ROW(E80:E$2)*(E81=E80:E$2)))))</f>
        <v> </v>
      </c>
      <c r="J81" s="19" t="str">
        <f>IF(OR(E81="",E81="!!!",F81="NEW"),"",COUNTBLANK(OFFSET(A$1,,,SUMPRODUCT(MAX(ROW(E$2:E81)*(E81=E$2:E81)))))-COUNTBLANK(OFFSET(A$1,,,SUMPRODUCT(MAX(ROW(E$1:E80)*(E2=E$1:E80))))))</f>
        <v> </v>
      </c>
      <c r="K81" s="19" t="str">
        <f>IF(OR(E81="",E81="!!!",F81="NEW"),"",INDEX(J$1:J80,SUMPRODUCT(MAX(ROW(E$1:E80)*(E81=E$1:E80)))))</f>
        <v> </v>
      </c>
      <c r="L81" s="20"/>
    </row>
    <row r="82" spans="1:12">
      <c r="A82" s="13" t="s">
        <v>56</v>
      </c>
      <c r="E82" s="15">
        <f>IF(D82="?OLD","!!!","")</f>
        <v/>
      </c>
      <c r="F82" s="16" t="str">
        <f>IF(OR(E82="",E82="!!!"),"",IF(NOT(ISNA(VLOOKUP(E82,E$1:E81,1,FALSE()))),"OLD",IF(AND(E82&lt;&gt;"",E82&lt;&gt;"!!!"),"NEW","")))</f>
        <v> </v>
      </c>
      <c r="G82" s="17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18" t="str">
        <f>IF(J82&lt;&gt;1,"",IF(I82="SBJ","CB","?"))</f>
        <v> </v>
      </c>
      <c r="I82" s="19" t="str">
        <f>IF(OR(E82="",E82="!!!",F82="NEW"),"",INDEX(B81:B$2,-1+SUMPRODUCT(MAX(ROW(E81:E$2)*(E82=E81:E$2)))))</f>
        <v> </v>
      </c>
      <c r="J82" s="19" t="str">
        <f>IF(OR(E82="",E82="!!!",F82="NEW"),"",COUNTBLANK(OFFSET(A$1,,,SUMPRODUCT(MAX(ROW(E$2:E82)*(E82=E$2:E82)))))-COUNTBLANK(OFFSET(A$1,,,SUMPRODUCT(MAX(ROW(E$1:E81)*(E2=E$1:E81))))))</f>
        <v> </v>
      </c>
      <c r="K82" s="19" t="str">
        <f>IF(OR(E82="",E82="!!!",F82="NEW"),"",INDEX(J$1:J81,SUMPRODUCT(MAX(ROW(E$1:E81)*(E82=E$1:E81)))))</f>
        <v> </v>
      </c>
      <c r="L82" s="20"/>
    </row>
    <row r="83" spans="1:12">
      <c r="A83" s="13" t="s">
        <v>61</v>
      </c>
      <c r="B83" s="14" t="s">
        <v>97</v>
      </c>
      <c r="E83" s="15">
        <f>IF(D83="?OLD","!!!","")</f>
        <v/>
      </c>
      <c r="F83" s="16" t="str">
        <f>IF(OR(E83="",E83="!!!"),"",IF(NOT(ISNA(VLOOKUP(E83,E$1:E82,1,FALSE()))),"OLD",IF(AND(E83&lt;&gt;"",E83&lt;&gt;"!!!"),"NEW","")))</f>
        <v> </v>
      </c>
      <c r="G83" s="17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18" t="str">
        <f>IF(J83&lt;&gt;1,"",IF(I83="SBJ","CB","?"))</f>
        <v> </v>
      </c>
      <c r="I83" s="19" t="str">
        <f>IF(OR(E83="",E83="!!!",F83="NEW"),"",INDEX(B82:B$2,-1+SUMPRODUCT(MAX(ROW(E82:E$2)*(E83=E82:E$2)))))</f>
        <v> </v>
      </c>
      <c r="J83" s="19" t="str">
        <f>IF(OR(E83="",E83="!!!",F83="NEW"),"",COUNTBLANK(OFFSET(A$1,,,SUMPRODUCT(MAX(ROW(E$2:E83)*(E83=E$2:E83)))))-COUNTBLANK(OFFSET(A$1,,,SUMPRODUCT(MAX(ROW(E$1:E82)*(E2=E$1:E82))))))</f>
        <v> </v>
      </c>
      <c r="K83" s="19" t="str">
        <f>IF(OR(E83="",E83="!!!",F83="NEW"),"",INDEX(J$1:J82,SUMPRODUCT(MAX(ROW(E$1:E82)*(E83=E$1:E82)))))</f>
        <v> </v>
      </c>
      <c r="L83" s="20"/>
    </row>
    <row r="84" spans="1:12">
      <c r="A84" s="13" t="s">
        <v>57</v>
      </c>
      <c r="B84" s="14" t="s">
        <v>98</v>
      </c>
      <c r="C84" s="14" t="s">
        <v>64</v>
      </c>
      <c r="D84" s="14" t="s">
        <v>25</v>
      </c>
      <c r="E84" s="15">
        <f>IF(D84="?OLD","!!!","")</f>
        <v/>
      </c>
      <c r="F84" s="16" t="str">
        <f>IF(OR(E84="",E84="!!!"),"",IF(NOT(ISNA(VLOOKUP(E84,E$1:E83,1,FALSE()))),"OLD",IF(AND(E84&lt;&gt;"",E84&lt;&gt;"!!!"),"NEW","")))</f>
        <v> </v>
      </c>
      <c r="G84" s="17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18" t="str">
        <f>IF(J84&lt;&gt;1,"",IF(I84="SBJ","CB","?"))</f>
        <v> </v>
      </c>
      <c r="I84" s="19" t="str">
        <f>IF(OR(E84="",E84="!!!",F84="NEW"),"",INDEX(B83:B$2,-1+SUMPRODUCT(MAX(ROW(E83:E$2)*(E84=E83:E$2)))))</f>
        <v> </v>
      </c>
      <c r="J84" s="19" t="str">
        <f>IF(OR(E84="",E84="!!!",F84="NEW"),"",COUNTBLANK(OFFSET(A$1,,,SUMPRODUCT(MAX(ROW(E$2:E84)*(E84=E$2:E84)))))-COUNTBLANK(OFFSET(A$1,,,SUMPRODUCT(MAX(ROW(E$1:E83)*(E2=E$1:E83))))))</f>
        <v> </v>
      </c>
      <c r="K84" s="19" t="str">
        <f>IF(OR(E84="",E84="!!!",F84="NEW"),"",INDEX(J$1:J83,SUMPRODUCT(MAX(ROW(E$1:E83)*(E84=E$1:E83)))))</f>
        <v> </v>
      </c>
      <c r="L84" s="20"/>
    </row>
    <row r="85" spans="1:12">
      <c r="A85" s="13" t="s">
        <v>104</v>
      </c>
      <c r="E85" s="15">
        <f>IF(D85="?OLD","!!!","")</f>
        <v/>
      </c>
      <c r="F85" s="16" t="str">
        <f>IF(OR(E85="",E85="!!!"),"",IF(NOT(ISNA(VLOOKUP(E85,E$1:E84,1,FALSE()))),"OLD",IF(AND(E85&lt;&gt;"",E85&lt;&gt;"!!!"),"NEW","")))</f>
        <v> </v>
      </c>
      <c r="G85" s="17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18" t="str">
        <f>IF(J85&lt;&gt;1,"",IF(I85="SBJ","CB","?"))</f>
        <v> </v>
      </c>
      <c r="I85" s="19" t="str">
        <f>IF(OR(E85="",E85="!!!",F85="NEW"),"",INDEX(B84:B$2,-1+SUMPRODUCT(MAX(ROW(E84:E$2)*(E85=E84:E$2)))))</f>
        <v> </v>
      </c>
      <c r="J85" s="19" t="str">
        <f>IF(OR(E85="",E85="!!!",F85="NEW"),"",COUNTBLANK(OFFSET(A$1,,,SUMPRODUCT(MAX(ROW(E$2:E85)*(E85=E$2:E85)))))-COUNTBLANK(OFFSET(A$1,,,SUMPRODUCT(MAX(ROW(E$1:E84)*(E2=E$1:E84))))))</f>
        <v> </v>
      </c>
      <c r="K85" s="19" t="str">
        <f>IF(OR(E85="",E85="!!!",F85="NEW"),"",INDEX(J$1:J84,SUMPRODUCT(MAX(ROW(E$1:E84)*(E85=E$1:E84)))))</f>
        <v> </v>
      </c>
      <c r="L85" s="20"/>
    </row>
    <row r="86" spans="1:12">
      <c r="A86" s="13" t="s">
        <v>105</v>
      </c>
      <c r="E86" s="15">
        <f>IF(D86="?OLD","!!!","")</f>
        <v/>
      </c>
      <c r="F86" s="16" t="str">
        <f>IF(OR(E86="",E86="!!!"),"",IF(NOT(ISNA(VLOOKUP(E86,E$1:E85,1,FALSE()))),"OLD",IF(AND(E86&lt;&gt;"",E86&lt;&gt;"!!!"),"NEW","")))</f>
        <v> </v>
      </c>
      <c r="G86" s="17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18" t="str">
        <f>IF(J86&lt;&gt;1,"",IF(I86="SBJ","CB","?"))</f>
        <v> </v>
      </c>
      <c r="I86" s="19" t="str">
        <f>IF(OR(E86="",E86="!!!",F86="NEW"),"",INDEX(B85:B$2,-1+SUMPRODUCT(MAX(ROW(E85:E$2)*(E86=E85:E$2)))))</f>
        <v> </v>
      </c>
      <c r="J86" s="19" t="str">
        <f>IF(OR(E86="",E86="!!!",F86="NEW"),"",COUNTBLANK(OFFSET(A$1,,,SUMPRODUCT(MAX(ROW(E$2:E86)*(E86=E$2:E86)))))-COUNTBLANK(OFFSET(A$1,,,SUMPRODUCT(MAX(ROW(E$1:E85)*(E2=E$1:E85))))))</f>
        <v> </v>
      </c>
      <c r="K86" s="19" t="str">
        <f>IF(OR(E86="",E86="!!!",F86="NEW"),"",INDEX(J$1:J85,SUMPRODUCT(MAX(ROW(E$1:E85)*(E86=E$1:E85)))))</f>
        <v> </v>
      </c>
      <c r="L86" s="20"/>
    </row>
    <row r="87" spans="1:12">
      <c r="A87" s="13" t="s">
        <v>36</v>
      </c>
      <c r="B87" s="14" t="s">
        <v>97</v>
      </c>
      <c r="C87" s="14" t="s">
        <v>24</v>
      </c>
      <c r="D87" s="14" t="s">
        <v>25</v>
      </c>
      <c r="E87" s="15">
        <f>IF(D87="?OLD","!!!","")</f>
        <v/>
      </c>
      <c r="F87" s="16" t="str">
        <f>IF(OR(E87="",E87="!!!"),"",IF(NOT(ISNA(VLOOKUP(E87,E$1:E86,1,FALSE()))),"OLD",IF(AND(E87&lt;&gt;"",E87&lt;&gt;"!!!"),"NEW","")))</f>
        <v> </v>
      </c>
      <c r="G87" s="17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18" t="str">
        <f>IF(J87&lt;&gt;1,"",IF(I87="SBJ","CB","?"))</f>
        <v> </v>
      </c>
      <c r="I87" s="19" t="str">
        <f>IF(OR(E87="",E87="!!!",F87="NEW"),"",INDEX(B86:B$2,-1+SUMPRODUCT(MAX(ROW(E86:E$2)*(E87=E86:E$2)))))</f>
        <v> </v>
      </c>
      <c r="J87" s="19" t="str">
        <f>IF(OR(E87="",E87="!!!",F87="NEW"),"",COUNTBLANK(OFFSET(A$1,,,SUMPRODUCT(MAX(ROW(E$2:E87)*(E87=E$2:E87)))))-COUNTBLANK(OFFSET(A$1,,,SUMPRODUCT(MAX(ROW(E$1:E86)*(E2=E$1:E86))))))</f>
        <v> </v>
      </c>
      <c r="K87" s="19" t="str">
        <f>IF(OR(E87="",E87="!!!",F87="NEW"),"",INDEX(J$1:J86,SUMPRODUCT(MAX(ROW(E$1:E86)*(E87=E$1:E86)))))</f>
        <v> </v>
      </c>
      <c r="L87" s="20"/>
    </row>
    <row r="88" spans="1:12">
      <c r="A88" s="13" t="s">
        <v>37</v>
      </c>
      <c r="B88" s="14" t="s">
        <v>106</v>
      </c>
      <c r="C88" s="14" t="s">
        <v>24</v>
      </c>
      <c r="D88" s="14" t="s">
        <v>25</v>
      </c>
      <c r="E88" s="15">
        <f>IF(D88="?OLD","!!!","")</f>
        <v/>
      </c>
      <c r="F88" s="16" t="str">
        <f>IF(OR(E88="",E88="!!!"),"",IF(NOT(ISNA(VLOOKUP(E88,E$1:E87,1,FALSE()))),"OLD",IF(AND(E88&lt;&gt;"",E88&lt;&gt;"!!!"),"NEW","")))</f>
        <v> </v>
      </c>
      <c r="G88" s="17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18" t="str">
        <f>IF(J88&lt;&gt;1,"",IF(I88="SBJ","CB","?"))</f>
        <v> </v>
      </c>
      <c r="I88" s="19" t="str">
        <f>IF(OR(E88="",E88="!!!",F88="NEW"),"",INDEX(B87:B$2,-1+SUMPRODUCT(MAX(ROW(E87:E$2)*(E88=E87:E$2)))))</f>
        <v> </v>
      </c>
      <c r="J88" s="19" t="str">
        <f>IF(OR(E88="",E88="!!!",F88="NEW"),"",COUNTBLANK(OFFSET(A$1,,,SUMPRODUCT(MAX(ROW(E$2:E88)*(E88=E$2:E88)))))-COUNTBLANK(OFFSET(A$1,,,SUMPRODUCT(MAX(ROW(E$1:E87)*(E2=E$1:E87))))))</f>
        <v> </v>
      </c>
      <c r="K88" s="19" t="str">
        <f>IF(OR(E88="",E88="!!!",F88="NEW"),"",INDEX(J$1:J87,SUMPRODUCT(MAX(ROW(E$1:E87)*(E88=E$1:E87)))))</f>
        <v> </v>
      </c>
      <c r="L88" s="20"/>
    </row>
    <row r="89" spans="1:12">
      <c r="A89" s="13" t="s">
        <v>68</v>
      </c>
      <c r="E89" s="15">
        <f>IF(D89="?OLD","!!!","")</f>
        <v/>
      </c>
      <c r="F89" s="16" t="str">
        <f>IF(OR(E89="",E89="!!!"),"",IF(NOT(ISNA(VLOOKUP(E89,E$1:E88,1,FALSE()))),"OLD",IF(AND(E89&lt;&gt;"",E89&lt;&gt;"!!!"),"NEW","")))</f>
        <v> </v>
      </c>
      <c r="G89" s="17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18" t="str">
        <f>IF(J89&lt;&gt;1,"",IF(I89="SBJ","CB","?"))</f>
        <v> </v>
      </c>
      <c r="I89" s="19" t="str">
        <f>IF(OR(E89="",E89="!!!",F89="NEW"),"",INDEX(B88:B$2,-1+SUMPRODUCT(MAX(ROW(E88:E$2)*(E89=E88:E$2)))))</f>
        <v> </v>
      </c>
      <c r="J89" s="19" t="str">
        <f>IF(OR(E89="",E89="!!!",F89="NEW"),"",COUNTBLANK(OFFSET(A$1,,,SUMPRODUCT(MAX(ROW(E$2:E89)*(E89=E$2:E89)))))-COUNTBLANK(OFFSET(A$1,,,SUMPRODUCT(MAX(ROW(E$1:E88)*(E2=E$1:E88))))))</f>
        <v> </v>
      </c>
      <c r="K89" s="19" t="str">
        <f>IF(OR(E89="",E89="!!!",F89="NEW"),"",INDEX(J$1:J88,SUMPRODUCT(MAX(ROW(E$1:E88)*(E89=E$1:E88)))))</f>
        <v> </v>
      </c>
      <c r="L89" s="20"/>
    </row>
    <row r="90" spans="1:12">
      <c r="A90" s="13"/>
    </row>
    <row r="91" spans="1:12">
      <c r="A91" s="13" t="s">
        <v>107</v>
      </c>
    </row>
    <row r="92" spans="1:12">
      <c r="A92" s="13" t="s">
        <v>108</v>
      </c>
      <c r="E92" s="15">
        <f>IF(D92="?OLD","!!!","")</f>
        <v/>
      </c>
      <c r="F92" s="16" t="str">
        <f>IF(OR(E92="",E92="!!!"),"",IF(NOT(ISNA(VLOOKUP(E92,E$1:E91,1,FALSE()))),"OLD",IF(AND(E92&lt;&gt;"",E92&lt;&gt;"!!!"),"NEW","")))</f>
        <v> </v>
      </c>
      <c r="G92" s="17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18" t="str">
        <f>IF(J92&lt;&gt;1,"",IF(I92="SBJ","CB","?"))</f>
        <v> </v>
      </c>
      <c r="I92" s="19" t="str">
        <f>IF(OR(E92="",E92="!!!",F92="NEW"),"",INDEX(B91:B$2,-1+SUMPRODUCT(MAX(ROW(E91:E$2)*(E92=E91:E$2)))))</f>
        <v> </v>
      </c>
      <c r="J92" s="19" t="str">
        <f>IF(OR(E92="",E92="!!!",F92="NEW"),"",COUNTBLANK(OFFSET(A$1,,,SUMPRODUCT(MAX(ROW(E$2:E92)*(E92=E$2:E92)))))-COUNTBLANK(OFFSET(A$1,,,SUMPRODUCT(MAX(ROW(E$1:E91)*(E2=E$1:E91))))))</f>
        <v> </v>
      </c>
      <c r="K92" s="19" t="str">
        <f>IF(OR(E92="",E92="!!!",F92="NEW"),"",INDEX(J$1:J91,SUMPRODUCT(MAX(ROW(E$1:E91)*(E92=E$1:E91)))))</f>
        <v> </v>
      </c>
      <c r="L92" s="20"/>
    </row>
    <row r="93" spans="1:12">
      <c r="A93" s="13" t="s">
        <v>109</v>
      </c>
      <c r="B93" s="14" t="s">
        <v>45</v>
      </c>
      <c r="C93" s="14" t="s">
        <v>51</v>
      </c>
      <c r="E93" s="15">
        <f>IF(D93="?OLD","!!!","")</f>
        <v/>
      </c>
      <c r="F93" s="16" t="str">
        <f>IF(OR(E93="",E93="!!!"),"",IF(NOT(ISNA(VLOOKUP(E93,E$1:E92,1,FALSE()))),"OLD",IF(AND(E93&lt;&gt;"",E93&lt;&gt;"!!!"),"NEW","")))</f>
        <v> </v>
      </c>
      <c r="G93" s="17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18" t="str">
        <f>IF(J93&lt;&gt;1,"",IF(I93="SBJ","CB","?"))</f>
        <v> </v>
      </c>
      <c r="I93" s="19" t="str">
        <f>IF(OR(E93="",E93="!!!",F93="NEW"),"",INDEX(B92:B$2,-1+SUMPRODUCT(MAX(ROW(E92:E$2)*(E93=E92:E$2)))))</f>
        <v> </v>
      </c>
      <c r="J93" s="19" t="str">
        <f>IF(OR(E93="",E93="!!!",F93="NEW"),"",COUNTBLANK(OFFSET(A$1,,,SUMPRODUCT(MAX(ROW(E$2:E93)*(E93=E$2:E93)))))-COUNTBLANK(OFFSET(A$1,,,SUMPRODUCT(MAX(ROW(E$1:E92)*(E2=E$1:E92))))))</f>
        <v> </v>
      </c>
      <c r="K93" s="19" t="str">
        <f>IF(OR(E93="",E93="!!!",F93="NEW"),"",INDEX(J$1:J92,SUMPRODUCT(MAX(ROW(E$1:E92)*(E93=E$1:E92)))))</f>
        <v> </v>
      </c>
      <c r="L93" s="20"/>
    </row>
    <row r="94" spans="1:12">
      <c r="A94" s="13" t="s">
        <v>71</v>
      </c>
      <c r="B94" s="14" t="s">
        <v>27</v>
      </c>
      <c r="C94" s="14" t="s">
        <v>72</v>
      </c>
      <c r="D94" s="14" t="s">
        <v>25</v>
      </c>
      <c r="E94" s="15">
        <f>IF(D94="?OLD","!!!","")</f>
        <v/>
      </c>
      <c r="F94" s="16" t="str">
        <f>IF(OR(E94="",E94="!!!"),"",IF(NOT(ISNA(VLOOKUP(E94,E$1:E93,1,FALSE()))),"OLD",IF(AND(E94&lt;&gt;"",E94&lt;&gt;"!!!"),"NEW","")))</f>
        <v> </v>
      </c>
      <c r="G94" s="17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18" t="str">
        <f>IF(J94&lt;&gt;1,"",IF(I94="SBJ","CB","?"))</f>
        <v> </v>
      </c>
      <c r="I94" s="19" t="str">
        <f>IF(OR(E94="",E94="!!!",F94="NEW"),"",INDEX(B93:B$2,-1+SUMPRODUCT(MAX(ROW(E93:E$2)*(E94=E93:E$2)))))</f>
        <v> </v>
      </c>
      <c r="J94" s="19" t="str">
        <f>IF(OR(E94="",E94="!!!",F94="NEW"),"",COUNTBLANK(OFFSET(A$1,,,SUMPRODUCT(MAX(ROW(E$2:E94)*(E94=E$2:E94)))))-COUNTBLANK(OFFSET(A$1,,,SUMPRODUCT(MAX(ROW(E$1:E93)*(E2=E$1:E93))))))</f>
        <v> </v>
      </c>
      <c r="K94" s="19" t="str">
        <f>IF(OR(E94="",E94="!!!",F94="NEW"),"",INDEX(J$1:J93,SUMPRODUCT(MAX(ROW(E$1:E93)*(E94=E$1:E93)))))</f>
        <v> </v>
      </c>
      <c r="L94" s="20"/>
    </row>
    <row r="95" spans="1:12">
      <c r="A95" s="13" t="s">
        <v>85</v>
      </c>
      <c r="B95" s="14" t="s">
        <v>23</v>
      </c>
      <c r="C95" s="14" t="s">
        <v>86</v>
      </c>
      <c r="E95" s="15">
        <f>IF(D95="?OLD","!!!","")</f>
        <v/>
      </c>
      <c r="F95" s="16" t="str">
        <f>IF(OR(E95="",E95="!!!"),"",IF(NOT(ISNA(VLOOKUP(E95,E$1:E94,1,FALSE()))),"OLD",IF(AND(E95&lt;&gt;"",E95&lt;&gt;"!!!"),"NEW","")))</f>
        <v> </v>
      </c>
      <c r="G95" s="17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18" t="str">
        <f>IF(J95&lt;&gt;1,"",IF(I95="SBJ","CB","?"))</f>
        <v> </v>
      </c>
      <c r="I95" s="19" t="str">
        <f>IF(OR(E95="",E95="!!!",F95="NEW"),"",INDEX(B94:B$2,-1+SUMPRODUCT(MAX(ROW(E94:E$2)*(E95=E94:E$2)))))</f>
        <v> </v>
      </c>
      <c r="J95" s="19" t="str">
        <f>IF(OR(E95="",E95="!!!",F95="NEW"),"",COUNTBLANK(OFFSET(A$1,,,SUMPRODUCT(MAX(ROW(E$2:E95)*(E95=E$2:E95)))))-COUNTBLANK(OFFSET(A$1,,,SUMPRODUCT(MAX(ROW(E$1:E94)*(E2=E$1:E94))))))</f>
        <v> </v>
      </c>
      <c r="K95" s="19" t="str">
        <f>IF(OR(E95="",E95="!!!",F95="NEW"),"",INDEX(J$1:J94,SUMPRODUCT(MAX(ROW(E$1:E94)*(E95=E$1:E94)))))</f>
        <v> </v>
      </c>
      <c r="L95" s="20"/>
    </row>
    <row r="96" spans="1:12">
      <c r="A96" s="13" t="s">
        <v>56</v>
      </c>
      <c r="E96" s="15">
        <f>IF(D96="?OLD","!!!","")</f>
        <v/>
      </c>
      <c r="F96" s="16" t="str">
        <f>IF(OR(E96="",E96="!!!"),"",IF(NOT(ISNA(VLOOKUP(E96,E$1:E95,1,FALSE()))),"OLD",IF(AND(E96&lt;&gt;"",E96&lt;&gt;"!!!"),"NEW","")))</f>
        <v> </v>
      </c>
      <c r="G96" s="17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18" t="str">
        <f>IF(J96&lt;&gt;1,"",IF(I96="SBJ","CB","?"))</f>
        <v> </v>
      </c>
      <c r="I96" s="19" t="str">
        <f>IF(OR(E96="",E96="!!!",F96="NEW"),"",INDEX(B95:B$2,-1+SUMPRODUCT(MAX(ROW(E95:E$2)*(E96=E95:E$2)))))</f>
        <v> </v>
      </c>
      <c r="J96" s="19" t="str">
        <f>IF(OR(E96="",E96="!!!",F96="NEW"),"",COUNTBLANK(OFFSET(A$1,,,SUMPRODUCT(MAX(ROW(E$2:E96)*(E96=E$2:E96)))))-COUNTBLANK(OFFSET(A$1,,,SUMPRODUCT(MAX(ROW(E$1:E95)*(E2=E$1:E95))))))</f>
        <v> </v>
      </c>
      <c r="K96" s="19" t="str">
        <f>IF(OR(E96="",E96="!!!",F96="NEW"),"",INDEX(J$1:J95,SUMPRODUCT(MAX(ROW(E$1:E95)*(E96=E$1:E95)))))</f>
        <v> </v>
      </c>
      <c r="L96" s="20"/>
    </row>
    <row r="97" spans="1:12">
      <c r="A97" s="13" t="s">
        <v>110</v>
      </c>
      <c r="E97" s="15">
        <f>IF(D97="?OLD","!!!","")</f>
        <v/>
      </c>
      <c r="F97" s="16" t="str">
        <f>IF(OR(E97="",E97="!!!"),"",IF(NOT(ISNA(VLOOKUP(E97,E$1:E96,1,FALSE()))),"OLD",IF(AND(E97&lt;&gt;"",E97&lt;&gt;"!!!"),"NEW","")))</f>
        <v> </v>
      </c>
      <c r="G97" s="17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18" t="str">
        <f>IF(J97&lt;&gt;1,"",IF(I97="SBJ","CB","?"))</f>
        <v> </v>
      </c>
      <c r="I97" s="19" t="str">
        <f>IF(OR(E97="",E97="!!!",F97="NEW"),"",INDEX(B96:B$2,-1+SUMPRODUCT(MAX(ROW(E96:E$2)*(E97=E96:E$2)))))</f>
        <v> </v>
      </c>
      <c r="J97" s="19" t="str">
        <f>IF(OR(E97="",E97="!!!",F97="NEW"),"",COUNTBLANK(OFFSET(A$1,,,SUMPRODUCT(MAX(ROW(E$2:E97)*(E97=E$2:E97)))))-COUNTBLANK(OFFSET(A$1,,,SUMPRODUCT(MAX(ROW(E$1:E96)*(E2=E$1:E96))))))</f>
        <v> </v>
      </c>
      <c r="K97" s="19" t="str">
        <f>IF(OR(E97="",E97="!!!",F97="NEW"),"",INDEX(J$1:J96,SUMPRODUCT(MAX(ROW(E$1:E96)*(E97=E$1:E96)))))</f>
        <v> </v>
      </c>
      <c r="L97" s="20"/>
    </row>
    <row r="98" spans="1:12">
      <c r="A98" s="13" t="s">
        <v>111</v>
      </c>
      <c r="B98" s="14" t="s">
        <v>93</v>
      </c>
      <c r="C98" s="14" t="s">
        <v>39</v>
      </c>
      <c r="D98" s="14" t="s">
        <v>25</v>
      </c>
      <c r="E98" s="15">
        <f>IF(D98="?OLD","!!!","")</f>
        <v/>
      </c>
      <c r="F98" s="16" t="str">
        <f>IF(OR(E98="",E98="!!!"),"",IF(NOT(ISNA(VLOOKUP(E98,E$1:E97,1,FALSE()))),"OLD",IF(AND(E98&lt;&gt;"",E98&lt;&gt;"!!!"),"NEW","")))</f>
        <v> </v>
      </c>
      <c r="G98" s="17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18" t="str">
        <f>IF(J98&lt;&gt;1,"",IF(I98="SBJ","CB","?"))</f>
        <v> </v>
      </c>
      <c r="I98" s="19" t="str">
        <f>IF(OR(E98="",E98="!!!",F98="NEW"),"",INDEX(B97:B$2,-1+SUMPRODUCT(MAX(ROW(E97:E$2)*(E98=E97:E$2)))))</f>
        <v> </v>
      </c>
      <c r="J98" s="19" t="str">
        <f>IF(OR(E98="",E98="!!!",F98="NEW"),"",COUNTBLANK(OFFSET(A$1,,,SUMPRODUCT(MAX(ROW(E$2:E98)*(E98=E$2:E98)))))-COUNTBLANK(OFFSET(A$1,,,SUMPRODUCT(MAX(ROW(E$1:E97)*(E2=E$1:E97))))))</f>
        <v> </v>
      </c>
      <c r="K98" s="19" t="str">
        <f>IF(OR(E98="",E98="!!!",F98="NEW"),"",INDEX(J$1:J97,SUMPRODUCT(MAX(ROW(E$1:E97)*(E98=E$1:E97)))))</f>
        <v> </v>
      </c>
      <c r="L98" s="20"/>
    </row>
    <row r="99" spans="1:12">
      <c r="A99" s="13" t="s">
        <v>79</v>
      </c>
      <c r="E99" s="15">
        <f>IF(D99="?OLD","!!!","")</f>
        <v/>
      </c>
      <c r="F99" s="16" t="str">
        <f>IF(OR(E99="",E99="!!!"),"",IF(NOT(ISNA(VLOOKUP(E99,E$1:E98,1,FALSE()))),"OLD",IF(AND(E99&lt;&gt;"",E99&lt;&gt;"!!!"),"NEW","")))</f>
        <v> </v>
      </c>
      <c r="G99" s="17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18" t="str">
        <f>IF(J99&lt;&gt;1,"",IF(I99="SBJ","CB","?"))</f>
        <v> </v>
      </c>
      <c r="I99" s="19" t="str">
        <f>IF(OR(E99="",E99="!!!",F99="NEW"),"",INDEX(B98:B$2,-1+SUMPRODUCT(MAX(ROW(E98:E$2)*(E99=E98:E$2)))))</f>
        <v> </v>
      </c>
      <c r="J99" s="19" t="str">
        <f>IF(OR(E99="",E99="!!!",F99="NEW"),"",COUNTBLANK(OFFSET(A$1,,,SUMPRODUCT(MAX(ROW(E$2:E99)*(E99=E$2:E99)))))-COUNTBLANK(OFFSET(A$1,,,SUMPRODUCT(MAX(ROW(E$1:E98)*(E2=E$1:E98))))))</f>
        <v> </v>
      </c>
      <c r="K99" s="19" t="str">
        <f>IF(OR(E99="",E99="!!!",F99="NEW"),"",INDEX(J$1:J98,SUMPRODUCT(MAX(ROW(E$1:E98)*(E99=E$1:E98)))))</f>
        <v> </v>
      </c>
      <c r="L99" s="20"/>
    </row>
    <row r="100" spans="1:12">
      <c r="A100" s="13" t="s">
        <v>112</v>
      </c>
      <c r="B100" s="14" t="s">
        <v>33</v>
      </c>
      <c r="C100" s="14" t="s">
        <v>34</v>
      </c>
      <c r="E100" s="15">
        <f>IF(D100="?OLD","!!!","")</f>
        <v/>
      </c>
      <c r="F100" s="16" t="str">
        <f>IF(OR(E100="",E100="!!!"),"",IF(NOT(ISNA(VLOOKUP(E100,E$1:E99,1,FALSE()))),"OLD",IF(AND(E100&lt;&gt;"",E100&lt;&gt;"!!!"),"NEW","")))</f>
        <v> </v>
      </c>
      <c r="G100" s="17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18" t="str">
        <f>IF(J100&lt;&gt;1,"",IF(I100="SBJ","CB","?"))</f>
        <v> </v>
      </c>
      <c r="I100" s="19" t="str">
        <f>IF(OR(E100="",E100="!!!",F100="NEW"),"",INDEX(B99:B$2,-1+SUMPRODUCT(MAX(ROW(E99:E$2)*(E100=E99:E$2)))))</f>
        <v> </v>
      </c>
      <c r="J100" s="19" t="str">
        <f>IF(OR(E100="",E100="!!!",F100="NEW"),"",COUNTBLANK(OFFSET(A$1,,,SUMPRODUCT(MAX(ROW(E$2:E100)*(E100=E$2:E100)))))-COUNTBLANK(OFFSET(A$1,,,SUMPRODUCT(MAX(ROW(E$1:E99)*(E2=E$1:E99))))))</f>
        <v> </v>
      </c>
      <c r="K100" s="19" t="str">
        <f>IF(OR(E100="",E100="!!!",F100="NEW"),"",INDEX(J$1:J99,SUMPRODUCT(MAX(ROW(E$1:E99)*(E100=E$1:E99)))))</f>
        <v> </v>
      </c>
      <c r="L100" s="20"/>
    </row>
    <row r="101" spans="1:12">
      <c r="A101" s="13" t="s">
        <v>113</v>
      </c>
      <c r="E101" s="15">
        <f>IF(D101="?OLD","!!!","")</f>
        <v/>
      </c>
      <c r="F101" s="16" t="str">
        <f>IF(OR(E101="",E101="!!!"),"",IF(NOT(ISNA(VLOOKUP(E101,E$1:E100,1,FALSE()))),"OLD",IF(AND(E101&lt;&gt;"",E101&lt;&gt;"!!!"),"NEW","")))</f>
        <v> </v>
      </c>
      <c r="G101" s="17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18" t="str">
        <f>IF(J101&lt;&gt;1,"",IF(I101="SBJ","CB","?"))</f>
        <v> </v>
      </c>
      <c r="I101" s="19" t="str">
        <f>IF(OR(E101="",E101="!!!",F101="NEW"),"",INDEX(B100:B$2,-1+SUMPRODUCT(MAX(ROW(E100:E$2)*(E101=E100:E$2)))))</f>
        <v> </v>
      </c>
      <c r="J101" s="19" t="str">
        <f>IF(OR(E101="",E101="!!!",F101="NEW"),"",COUNTBLANK(OFFSET(A$1,,,SUMPRODUCT(MAX(ROW(E$2:E101)*(E101=E$2:E101)))))-COUNTBLANK(OFFSET(A$1,,,SUMPRODUCT(MAX(ROW(E$1:E100)*(E2=E$1:E100))))))</f>
        <v> </v>
      </c>
      <c r="K101" s="19" t="str">
        <f>IF(OR(E101="",E101="!!!",F101="NEW"),"",INDEX(J$1:J100,SUMPRODUCT(MAX(ROW(E$1:E100)*(E101=E$1:E100)))))</f>
        <v> </v>
      </c>
      <c r="L101" s="20"/>
    </row>
    <row r="102" spans="1:12">
      <c r="A102" s="13" t="s">
        <v>114</v>
      </c>
      <c r="B102" s="14" t="s">
        <v>33</v>
      </c>
      <c r="C102" s="14" t="s">
        <v>86</v>
      </c>
      <c r="E102" s="15">
        <f>IF(D102="?OLD","!!!","")</f>
        <v/>
      </c>
      <c r="F102" s="16" t="str">
        <f>IF(OR(E102="",E102="!!!"),"",IF(NOT(ISNA(VLOOKUP(E102,E$1:E101,1,FALSE()))),"OLD",IF(AND(E102&lt;&gt;"",E102&lt;&gt;"!!!"),"NEW","")))</f>
        <v> </v>
      </c>
      <c r="G102" s="17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18" t="str">
        <f>IF(J102&lt;&gt;1,"",IF(I102="SBJ","CB","?"))</f>
        <v> </v>
      </c>
      <c r="I102" s="19" t="str">
        <f>IF(OR(E102="",E102="!!!",F102="NEW"),"",INDEX(B101:B$2,-1+SUMPRODUCT(MAX(ROW(E101:E$2)*(E102=E101:E$2)))))</f>
        <v> </v>
      </c>
      <c r="J102" s="19" t="str">
        <f>IF(OR(E102="",E102="!!!",F102="NEW"),"",COUNTBLANK(OFFSET(A$1,,,SUMPRODUCT(MAX(ROW(E$2:E102)*(E102=E$2:E102)))))-COUNTBLANK(OFFSET(A$1,,,SUMPRODUCT(MAX(ROW(E$1:E101)*(E2=E$1:E101))))))</f>
        <v> </v>
      </c>
      <c r="K102" s="19" t="str">
        <f>IF(OR(E102="",E102="!!!",F102="NEW"),"",INDEX(J$1:J101,SUMPRODUCT(MAX(ROW(E$1:E101)*(E102=E$1:E101)))))</f>
        <v> </v>
      </c>
      <c r="L102" s="20"/>
    </row>
    <row r="103" spans="1:12">
      <c r="A103" s="13" t="s">
        <v>56</v>
      </c>
      <c r="E103" s="15">
        <f>IF(D103="?OLD","!!!","")</f>
        <v/>
      </c>
      <c r="F103" s="16" t="str">
        <f>IF(OR(E103="",E103="!!!"),"",IF(NOT(ISNA(VLOOKUP(E103,E$1:E102,1,FALSE()))),"OLD",IF(AND(E103&lt;&gt;"",E103&lt;&gt;"!!!"),"NEW","")))</f>
        <v> </v>
      </c>
      <c r="G103" s="17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18" t="str">
        <f>IF(J103&lt;&gt;1,"",IF(I103="SBJ","CB","?"))</f>
        <v> </v>
      </c>
      <c r="I103" s="19" t="str">
        <f>IF(OR(E103="",E103="!!!",F103="NEW"),"",INDEX(B102:B$2,-1+SUMPRODUCT(MAX(ROW(E102:E$2)*(E103=E102:E$2)))))</f>
        <v> </v>
      </c>
      <c r="J103" s="19" t="str">
        <f>IF(OR(E103="",E103="!!!",F103="NEW"),"",COUNTBLANK(OFFSET(A$1,,,SUMPRODUCT(MAX(ROW(E$2:E103)*(E103=E$2:E103)))))-COUNTBLANK(OFFSET(A$1,,,SUMPRODUCT(MAX(ROW(E$1:E102)*(E2=E$1:E102))))))</f>
        <v> </v>
      </c>
      <c r="K103" s="19" t="str">
        <f>IF(OR(E103="",E103="!!!",F103="NEW"),"",INDEX(J$1:J102,SUMPRODUCT(MAX(ROW(E$1:E102)*(E103=E$1:E102)))))</f>
        <v> </v>
      </c>
      <c r="L103" s="20"/>
    </row>
    <row r="104" spans="1:12">
      <c r="A104" s="13" t="s">
        <v>87</v>
      </c>
      <c r="B104" s="14" t="s">
        <v>88</v>
      </c>
      <c r="C104" s="14" t="s">
        <v>64</v>
      </c>
      <c r="D104" s="14" t="s">
        <v>25</v>
      </c>
      <c r="E104" s="15">
        <f>IF(D104="?OLD","!!!","")</f>
        <v/>
      </c>
      <c r="F104" s="16" t="str">
        <f>IF(OR(E104="",E104="!!!"),"",IF(NOT(ISNA(VLOOKUP(E104,E$1:E103,1,FALSE()))),"OLD",IF(AND(E104&lt;&gt;"",E104&lt;&gt;"!!!"),"NEW","")))</f>
        <v> </v>
      </c>
      <c r="G104" s="17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18" t="str">
        <f>IF(J104&lt;&gt;1,"",IF(I104="SBJ","CB","?"))</f>
        <v> </v>
      </c>
      <c r="I104" s="19" t="str">
        <f>IF(OR(E104="",E104="!!!",F104="NEW"),"",INDEX(B103:B$2,-1+SUMPRODUCT(MAX(ROW(E103:E$2)*(E104=E103:E$2)))))</f>
        <v> </v>
      </c>
      <c r="J104" s="19" t="str">
        <f>IF(OR(E104="",E104="!!!",F104="NEW"),"",COUNTBLANK(OFFSET(A$1,,,SUMPRODUCT(MAX(ROW(E$2:E104)*(E104=E$2:E104)))))-COUNTBLANK(OFFSET(A$1,,,SUMPRODUCT(MAX(ROW(E$1:E103)*(E2=E$1:E103))))))</f>
        <v> </v>
      </c>
      <c r="K104" s="19" t="str">
        <f>IF(OR(E104="",E104="!!!",F104="NEW"),"",INDEX(J$1:J103,SUMPRODUCT(MAX(ROW(E$1:E103)*(E104=E$1:E103)))))</f>
        <v> </v>
      </c>
      <c r="L104" s="20"/>
    </row>
    <row r="105" spans="1:12">
      <c r="A105" s="13" t="s">
        <v>115</v>
      </c>
      <c r="E105" s="15">
        <f>IF(D105="?OLD","!!!","")</f>
        <v/>
      </c>
      <c r="F105" s="16" t="str">
        <f>IF(OR(E105="",E105="!!!"),"",IF(NOT(ISNA(VLOOKUP(E105,E$1:E104,1,FALSE()))),"OLD",IF(AND(E105&lt;&gt;"",E105&lt;&gt;"!!!"),"NEW","")))</f>
        <v> </v>
      </c>
      <c r="G105" s="17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18" t="str">
        <f>IF(J105&lt;&gt;1,"",IF(I105="SBJ","CB","?"))</f>
        <v> </v>
      </c>
      <c r="I105" s="19" t="str">
        <f>IF(OR(E105="",E105="!!!",F105="NEW"),"",INDEX(B104:B$2,-1+SUMPRODUCT(MAX(ROW(E104:E$2)*(E105=E104:E$2)))))</f>
        <v> </v>
      </c>
      <c r="J105" s="19" t="str">
        <f>IF(OR(E105="",E105="!!!",F105="NEW"),"",COUNTBLANK(OFFSET(A$1,,,SUMPRODUCT(MAX(ROW(E$2:E105)*(E105=E$2:E105)))))-COUNTBLANK(OFFSET(A$1,,,SUMPRODUCT(MAX(ROW(E$1:E104)*(E2=E$1:E104))))))</f>
        <v> </v>
      </c>
      <c r="K105" s="19" t="str">
        <f>IF(OR(E105="",E105="!!!",F105="NEW"),"",INDEX(J$1:J104,SUMPRODUCT(MAX(ROW(E$1:E104)*(E105=E$1:E104)))))</f>
        <v> </v>
      </c>
      <c r="L105" s="20"/>
    </row>
    <row r="106" spans="1:12">
      <c r="A106" s="13" t="s">
        <v>116</v>
      </c>
      <c r="E106" s="15">
        <f>IF(D106="?OLD","!!!","")</f>
        <v/>
      </c>
      <c r="F106" s="16" t="str">
        <f>IF(OR(E106="",E106="!!!"),"",IF(NOT(ISNA(VLOOKUP(E106,E$1:E105,1,FALSE()))),"OLD",IF(AND(E106&lt;&gt;"",E106&lt;&gt;"!!!"),"NEW","")))</f>
        <v> </v>
      </c>
      <c r="G106" s="17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18" t="str">
        <f>IF(J106&lt;&gt;1,"",IF(I106="SBJ","CB","?"))</f>
        <v> </v>
      </c>
      <c r="I106" s="19" t="str">
        <f>IF(OR(E106="",E106="!!!",F106="NEW"),"",INDEX(B105:B$2,-1+SUMPRODUCT(MAX(ROW(E105:E$2)*(E106=E105:E$2)))))</f>
        <v> </v>
      </c>
      <c r="J106" s="19" t="str">
        <f>IF(OR(E106="",E106="!!!",F106="NEW"),"",COUNTBLANK(OFFSET(A$1,,,SUMPRODUCT(MAX(ROW(E$2:E106)*(E106=E$2:E106)))))-COUNTBLANK(OFFSET(A$1,,,SUMPRODUCT(MAX(ROW(E$1:E105)*(E2=E$1:E105))))))</f>
        <v> </v>
      </c>
      <c r="K106" s="19" t="str">
        <f>IF(OR(E106="",E106="!!!",F106="NEW"),"",INDEX(J$1:J105,SUMPRODUCT(MAX(ROW(E$1:E105)*(E106=E$1:E105)))))</f>
        <v> </v>
      </c>
      <c r="L106" s="20"/>
    </row>
    <row r="107" spans="1:12">
      <c r="A107" s="13"/>
    </row>
    <row r="108" spans="1:12">
      <c r="A108" s="13" t="s">
        <v>117</v>
      </c>
      <c r="E108" s="15">
        <f>IF(D108="?OLD","!!!","")</f>
        <v/>
      </c>
      <c r="F108" s="16" t="str">
        <f>IF(OR(E108="",E108="!!!"),"",IF(NOT(ISNA(VLOOKUP(E108,E$1:E107,1,FALSE()))),"OLD",IF(AND(E108&lt;&gt;"",E108&lt;&gt;"!!!"),"NEW","")))</f>
        <v> </v>
      </c>
      <c r="G108" s="17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18" t="str">
        <f>IF(J108&lt;&gt;1,"",IF(I108="SBJ","CB","?"))</f>
        <v> </v>
      </c>
      <c r="I108" s="19" t="str">
        <f>IF(OR(E108="",E108="!!!",F108="NEW"),"",INDEX(B107:B$2,-1+SUMPRODUCT(MAX(ROW(E107:E$2)*(E108=E107:E$2)))))</f>
        <v> </v>
      </c>
      <c r="J108" s="19" t="str">
        <f>IF(OR(E108="",E108="!!!",F108="NEW"),"",COUNTBLANK(OFFSET(A$1,,,SUMPRODUCT(MAX(ROW(E$2:E108)*(E108=E$2:E108)))))-COUNTBLANK(OFFSET(A$1,,,SUMPRODUCT(MAX(ROW(E$1:E107)*(E2=E$1:E107))))))</f>
        <v> </v>
      </c>
      <c r="K108" s="19" t="str">
        <f>IF(OR(E108="",E108="!!!",F108="NEW"),"",INDEX(J$1:J107,SUMPRODUCT(MAX(ROW(E$1:E107)*(E108=E$1:E107)))))</f>
        <v> </v>
      </c>
      <c r="L108" s="20"/>
    </row>
    <row r="109" spans="1:12">
      <c r="A109" s="13" t="s">
        <v>118</v>
      </c>
    </row>
    <row r="110" spans="1:12">
      <c r="A110" s="13" t="s">
        <v>119</v>
      </c>
      <c r="E110" s="15">
        <f>IF(D110="?OLD","!!!","")</f>
        <v/>
      </c>
      <c r="F110" s="16" t="str">
        <f>IF(OR(E110="",E110="!!!"),"",IF(NOT(ISNA(VLOOKUP(E110,E$1:E109,1,FALSE()))),"OLD",IF(AND(E110&lt;&gt;"",E110&lt;&gt;"!!!"),"NEW","")))</f>
        <v> </v>
      </c>
      <c r="G110" s="17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18" t="str">
        <f>IF(J110&lt;&gt;1,"",IF(I110="SBJ","CB","?"))</f>
        <v> </v>
      </c>
      <c r="I110" s="19" t="str">
        <f>IF(OR(E110="",E110="!!!",F110="NEW"),"",INDEX(B109:B$2,-1+SUMPRODUCT(MAX(ROW(E109:E$2)*(E110=E109:E$2)))))</f>
        <v> </v>
      </c>
      <c r="J110" s="19" t="str">
        <f>IF(OR(E110="",E110="!!!",F110="NEW"),"",COUNTBLANK(OFFSET(A$1,,,SUMPRODUCT(MAX(ROW(E$2:E110)*(E110=E$2:E110)))))-COUNTBLANK(OFFSET(A$1,,,SUMPRODUCT(MAX(ROW(E$1:E109)*(E2=E$1:E109))))))</f>
        <v> </v>
      </c>
      <c r="K110" s="19" t="str">
        <f>IF(OR(E110="",E110="!!!",F110="NEW"),"",INDEX(J$1:J109,SUMPRODUCT(MAX(ROW(E$1:E109)*(E110=E$1:E109)))))</f>
        <v> </v>
      </c>
      <c r="L110" s="20"/>
    </row>
    <row r="111" spans="1:12">
      <c r="A111" s="13" t="s">
        <v>120</v>
      </c>
      <c r="B111" s="14" t="s">
        <v>45</v>
      </c>
      <c r="C111" s="14" t="s">
        <v>24</v>
      </c>
      <c r="D111" s="14" t="s">
        <v>25</v>
      </c>
      <c r="E111" s="15">
        <f>IF(D111="?OLD","!!!","")</f>
        <v/>
      </c>
      <c r="F111" s="16" t="str">
        <f>IF(OR(E111="",E111="!!!"),"",IF(NOT(ISNA(VLOOKUP(E111,E$1:E110,1,FALSE()))),"OLD",IF(AND(E111&lt;&gt;"",E111&lt;&gt;"!!!"),"NEW","")))</f>
        <v> </v>
      </c>
      <c r="G111" s="17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18" t="str">
        <f>IF(J111&lt;&gt;1,"",IF(I111="SBJ","CB","?"))</f>
        <v> </v>
      </c>
      <c r="I111" s="19" t="str">
        <f>IF(OR(E111="",E111="!!!",F111="NEW"),"",INDEX(B110:B$2,-1+SUMPRODUCT(MAX(ROW(E110:E$2)*(E111=E110:E$2)))))</f>
        <v> </v>
      </c>
      <c r="J111" s="19" t="str">
        <f>IF(OR(E111="",E111="!!!",F111="NEW"),"",COUNTBLANK(OFFSET(A$1,,,SUMPRODUCT(MAX(ROW(E$2:E111)*(E111=E$2:E111)))))-COUNTBLANK(OFFSET(A$1,,,SUMPRODUCT(MAX(ROW(E$1:E110)*(E2=E$1:E110))))))</f>
        <v> </v>
      </c>
      <c r="K111" s="19" t="str">
        <f>IF(OR(E111="",E111="!!!",F111="NEW"),"",INDEX(J$1:J110,SUMPRODUCT(MAX(ROW(E$1:E110)*(E111=E$1:E110)))))</f>
        <v> </v>
      </c>
      <c r="L111" s="20"/>
    </row>
    <row r="112" spans="1:12">
      <c r="A112" s="13" t="s">
        <v>121</v>
      </c>
      <c r="E112" s="15">
        <f>IF(D112="?OLD","!!!","")</f>
        <v/>
      </c>
      <c r="F112" s="16" t="str">
        <f>IF(OR(E112="",E112="!!!"),"",IF(NOT(ISNA(VLOOKUP(E112,E$1:E111,1,FALSE()))),"OLD",IF(AND(E112&lt;&gt;"",E112&lt;&gt;"!!!"),"NEW","")))</f>
        <v> </v>
      </c>
      <c r="G112" s="17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18" t="str">
        <f>IF(J112&lt;&gt;1,"",IF(I112="SBJ","CB","?"))</f>
        <v> </v>
      </c>
      <c r="I112" s="19" t="str">
        <f>IF(OR(E112="",E112="!!!",F112="NEW"),"",INDEX(B111:B$2,-1+SUMPRODUCT(MAX(ROW(E111:E$2)*(E112=E111:E$2)))))</f>
        <v> </v>
      </c>
      <c r="J112" s="19" t="str">
        <f>IF(OR(E112="",E112="!!!",F112="NEW"),"",COUNTBLANK(OFFSET(A$1,,,SUMPRODUCT(MAX(ROW(E$2:E112)*(E112=E$2:E112)))))-COUNTBLANK(OFFSET(A$1,,,SUMPRODUCT(MAX(ROW(E$1:E111)*(E2=E$1:E111))))))</f>
        <v> </v>
      </c>
      <c r="K112" s="19" t="str">
        <f>IF(OR(E112="",E112="!!!",F112="NEW"),"",INDEX(J$1:J111,SUMPRODUCT(MAX(ROW(E$1:E111)*(E112=E$1:E111)))))</f>
        <v> </v>
      </c>
      <c r="L112" s="20"/>
    </row>
    <row r="113" spans="1:12">
      <c r="A113" s="13" t="s">
        <v>53</v>
      </c>
      <c r="E113" s="15">
        <f>IF(D113="?OLD","!!!","")</f>
        <v/>
      </c>
      <c r="F113" s="16" t="str">
        <f>IF(OR(E113="",E113="!!!"),"",IF(NOT(ISNA(VLOOKUP(E113,E$1:E112,1,FALSE()))),"OLD",IF(AND(E113&lt;&gt;"",E113&lt;&gt;"!!!"),"NEW","")))</f>
        <v> </v>
      </c>
      <c r="G113" s="17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18" t="str">
        <f>IF(J113&lt;&gt;1,"",IF(I113="SBJ","CB","?"))</f>
        <v> </v>
      </c>
      <c r="I113" s="19" t="str">
        <f>IF(OR(E113="",E113="!!!",F113="NEW"),"",INDEX(B112:B$2,-1+SUMPRODUCT(MAX(ROW(E112:E$2)*(E113=E112:E$2)))))</f>
        <v> </v>
      </c>
      <c r="J113" s="19" t="str">
        <f>IF(OR(E113="",E113="!!!",F113="NEW"),"",COUNTBLANK(OFFSET(A$1,,,SUMPRODUCT(MAX(ROW(E$2:E113)*(E113=E$2:E113)))))-COUNTBLANK(OFFSET(A$1,,,SUMPRODUCT(MAX(ROW(E$1:E112)*(E2=E$1:E112))))))</f>
        <v> </v>
      </c>
      <c r="K113" s="19" t="str">
        <f>IF(OR(E113="",E113="!!!",F113="NEW"),"",INDEX(J$1:J112,SUMPRODUCT(MAX(ROW(E$1:E112)*(E113=E$1:E112)))))</f>
        <v> </v>
      </c>
      <c r="L113" s="20"/>
    </row>
    <row r="114" spans="1:12">
      <c r="A114" s="13" t="s">
        <v>122</v>
      </c>
      <c r="E114" s="15">
        <f>IF(D114="?OLD","!!!","")</f>
        <v/>
      </c>
      <c r="F114" s="16" t="str">
        <f>IF(OR(E114="",E114="!!!"),"",IF(NOT(ISNA(VLOOKUP(E114,E$1:E113,1,FALSE()))),"OLD",IF(AND(E114&lt;&gt;"",E114&lt;&gt;"!!!"),"NEW","")))</f>
        <v> </v>
      </c>
      <c r="G114" s="17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18" t="str">
        <f>IF(J114&lt;&gt;1,"",IF(I114="SBJ","CB","?"))</f>
        <v> </v>
      </c>
      <c r="I114" s="19" t="str">
        <f>IF(OR(E114="",E114="!!!",F114="NEW"),"",INDEX(B113:B$2,-1+SUMPRODUCT(MAX(ROW(E113:E$2)*(E114=E113:E$2)))))</f>
        <v> </v>
      </c>
      <c r="J114" s="19" t="str">
        <f>IF(OR(E114="",E114="!!!",F114="NEW"),"",COUNTBLANK(OFFSET(A$1,,,SUMPRODUCT(MAX(ROW(E$2:E114)*(E114=E$2:E114)))))-COUNTBLANK(OFFSET(A$1,,,SUMPRODUCT(MAX(ROW(E$1:E113)*(E2=E$1:E113))))))</f>
        <v> </v>
      </c>
      <c r="K114" s="19" t="str">
        <f>IF(OR(E114="",E114="!!!",F114="NEW"),"",INDEX(J$1:J113,SUMPRODUCT(MAX(ROW(E$1:E113)*(E114=E$1:E113)))))</f>
        <v> </v>
      </c>
      <c r="L114" s="20"/>
    </row>
    <row r="115" spans="1:12">
      <c r="A115" s="13" t="s">
        <v>102</v>
      </c>
      <c r="E115" s="15">
        <f>IF(D115="?OLD","!!!","")</f>
        <v/>
      </c>
      <c r="F115" s="16" t="str">
        <f>IF(OR(E115="",E115="!!!"),"",IF(NOT(ISNA(VLOOKUP(E115,E$1:E114,1,FALSE()))),"OLD",IF(AND(E115&lt;&gt;"",E115&lt;&gt;"!!!"),"NEW","")))</f>
        <v> </v>
      </c>
      <c r="G115" s="17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18" t="str">
        <f>IF(J115&lt;&gt;1,"",IF(I115="SBJ","CB","?"))</f>
        <v> </v>
      </c>
      <c r="I115" s="19" t="str">
        <f>IF(OR(E115="",E115="!!!",F115="NEW"),"",INDEX(B114:B$2,-1+SUMPRODUCT(MAX(ROW(E114:E$2)*(E115=E114:E$2)))))</f>
        <v> </v>
      </c>
      <c r="J115" s="19" t="str">
        <f>IF(OR(E115="",E115="!!!",F115="NEW"),"",COUNTBLANK(OFFSET(A$1,,,SUMPRODUCT(MAX(ROW(E$2:E115)*(E115=E$2:E115)))))-COUNTBLANK(OFFSET(A$1,,,SUMPRODUCT(MAX(ROW(E$1:E114)*(E2=E$1:E114))))))</f>
        <v> </v>
      </c>
      <c r="K115" s="19" t="str">
        <f>IF(OR(E115="",E115="!!!",F115="NEW"),"",INDEX(J$1:J114,SUMPRODUCT(MAX(ROW(E$1:E114)*(E115=E$1:E114)))))</f>
        <v> </v>
      </c>
      <c r="L115" s="20"/>
    </row>
    <row r="116" spans="1:12">
      <c r="A116" s="13" t="s">
        <v>67</v>
      </c>
      <c r="E116" s="15">
        <f>IF(D116="?OLD","!!!","")</f>
        <v/>
      </c>
      <c r="F116" s="16" t="str">
        <f>IF(OR(E116="",E116="!!!"),"",IF(NOT(ISNA(VLOOKUP(E116,E$1:E115,1,FALSE()))),"OLD",IF(AND(E116&lt;&gt;"",E116&lt;&gt;"!!!"),"NEW","")))</f>
        <v> </v>
      </c>
      <c r="G116" s="17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18" t="str">
        <f>IF(J116&lt;&gt;1,"",IF(I116="SBJ","CB","?"))</f>
        <v> </v>
      </c>
      <c r="I116" s="19" t="str">
        <f>IF(OR(E116="",E116="!!!",F116="NEW"),"",INDEX(B115:B$2,-1+SUMPRODUCT(MAX(ROW(E115:E$2)*(E116=E115:E$2)))))</f>
        <v> </v>
      </c>
      <c r="J116" s="19" t="str">
        <f>IF(OR(E116="",E116="!!!",F116="NEW"),"",COUNTBLANK(OFFSET(A$1,,,SUMPRODUCT(MAX(ROW(E$2:E116)*(E116=E$2:E116)))))-COUNTBLANK(OFFSET(A$1,,,SUMPRODUCT(MAX(ROW(E$1:E115)*(E2=E$1:E115))))))</f>
        <v> </v>
      </c>
      <c r="K116" s="19" t="str">
        <f>IF(OR(E116="",E116="!!!",F116="NEW"),"",INDEX(J$1:J115,SUMPRODUCT(MAX(ROW(E$1:E115)*(E116=E$1:E115)))))</f>
        <v> </v>
      </c>
      <c r="L116" s="20"/>
    </row>
    <row r="117" spans="1:12">
      <c r="A117" s="13" t="s">
        <v>123</v>
      </c>
      <c r="E117" s="15">
        <f>IF(D117="?OLD","!!!","")</f>
        <v/>
      </c>
      <c r="F117" s="16" t="str">
        <f>IF(OR(E117="",E117="!!!"),"",IF(NOT(ISNA(VLOOKUP(E117,E$1:E116,1,FALSE()))),"OLD",IF(AND(E117&lt;&gt;"",E117&lt;&gt;"!!!"),"NEW","")))</f>
        <v> </v>
      </c>
      <c r="G117" s="17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18" t="str">
        <f>IF(J117&lt;&gt;1,"",IF(I117="SBJ","CB","?"))</f>
        <v> </v>
      </c>
      <c r="I117" s="19" t="str">
        <f>IF(OR(E117="",E117="!!!",F117="NEW"),"",INDEX(B116:B$2,-1+SUMPRODUCT(MAX(ROW(E116:E$2)*(E117=E116:E$2)))))</f>
        <v> </v>
      </c>
      <c r="J117" s="19" t="str">
        <f>IF(OR(E117="",E117="!!!",F117="NEW"),"",COUNTBLANK(OFFSET(A$1,,,SUMPRODUCT(MAX(ROW(E$2:E117)*(E117=E$2:E117)))))-COUNTBLANK(OFFSET(A$1,,,SUMPRODUCT(MAX(ROW(E$1:E116)*(E2=E$1:E116))))))</f>
        <v> </v>
      </c>
      <c r="K117" s="19" t="str">
        <f>IF(OR(E117="",E117="!!!",F117="NEW"),"",INDEX(J$1:J116,SUMPRODUCT(MAX(ROW(E$1:E116)*(E117=E$1:E116)))))</f>
        <v> </v>
      </c>
      <c r="L117" s="20"/>
    </row>
    <row r="118" spans="1:12">
      <c r="A118" s="13" t="s">
        <v>124</v>
      </c>
      <c r="E118" s="15">
        <f>IF(D118="?OLD","!!!","")</f>
        <v/>
      </c>
      <c r="F118" s="16" t="str">
        <f>IF(OR(E118="",E118="!!!"),"",IF(NOT(ISNA(VLOOKUP(E118,E$1:E117,1,FALSE()))),"OLD",IF(AND(E118&lt;&gt;"",E118&lt;&gt;"!!!"),"NEW","")))</f>
        <v> </v>
      </c>
      <c r="G118" s="17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18" t="str">
        <f>IF(J118&lt;&gt;1,"",IF(I118="SBJ","CB","?"))</f>
        <v> </v>
      </c>
      <c r="I118" s="19" t="str">
        <f>IF(OR(E118="",E118="!!!",F118="NEW"),"",INDEX(B117:B$2,-1+SUMPRODUCT(MAX(ROW(E117:E$2)*(E118=E117:E$2)))))</f>
        <v> </v>
      </c>
      <c r="J118" s="19" t="str">
        <f>IF(OR(E118="",E118="!!!",F118="NEW"),"",COUNTBLANK(OFFSET(A$1,,,SUMPRODUCT(MAX(ROW(E$2:E118)*(E118=E$2:E118)))))-COUNTBLANK(OFFSET(A$1,,,SUMPRODUCT(MAX(ROW(E$1:E117)*(E2=E$1:E117))))))</f>
        <v> </v>
      </c>
      <c r="K118" s="19" t="str">
        <f>IF(OR(E118="",E118="!!!",F118="NEW"),"",INDEX(J$1:J117,SUMPRODUCT(MAX(ROW(E$1:E117)*(E118=E$1:E117)))))</f>
        <v> </v>
      </c>
      <c r="L118" s="20"/>
    </row>
    <row r="119" spans="1:12">
      <c r="A119" s="13" t="s">
        <v>57</v>
      </c>
      <c r="E119" s="15">
        <f>IF(D119="?OLD","!!!","")</f>
        <v/>
      </c>
      <c r="F119" s="16" t="str">
        <f>IF(OR(E119="",E119="!!!"),"",IF(NOT(ISNA(VLOOKUP(E119,E$1:E118,1,FALSE()))),"OLD",IF(AND(E119&lt;&gt;"",E119&lt;&gt;"!!!"),"NEW","")))</f>
        <v> </v>
      </c>
      <c r="G119" s="17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18" t="str">
        <f>IF(J119&lt;&gt;1,"",IF(I119="SBJ","CB","?"))</f>
        <v> </v>
      </c>
      <c r="I119" s="19" t="str">
        <f>IF(OR(E119="",E119="!!!",F119="NEW"),"",INDEX(B118:B$2,-1+SUMPRODUCT(MAX(ROW(E118:E$2)*(E119=E118:E$2)))))</f>
        <v> </v>
      </c>
      <c r="J119" s="19" t="str">
        <f>IF(OR(E119="",E119="!!!",F119="NEW"),"",COUNTBLANK(OFFSET(A$1,,,SUMPRODUCT(MAX(ROW(E$2:E119)*(E119=E$2:E119)))))-COUNTBLANK(OFFSET(A$1,,,SUMPRODUCT(MAX(ROW(E$1:E118)*(E2=E$1:E118))))))</f>
        <v> </v>
      </c>
      <c r="K119" s="19" t="str">
        <f>IF(OR(E119="",E119="!!!",F119="NEW"),"",INDEX(J$1:J118,SUMPRODUCT(MAX(ROW(E$1:E118)*(E119=E$1:E118)))))</f>
        <v> </v>
      </c>
      <c r="L119" s="20"/>
    </row>
    <row r="120" spans="1:12">
      <c r="A120" s="13" t="s">
        <v>125</v>
      </c>
      <c r="B120" s="14" t="s">
        <v>63</v>
      </c>
      <c r="C120" s="14" t="s">
        <v>72</v>
      </c>
      <c r="D120" s="14" t="s">
        <v>25</v>
      </c>
      <c r="E120" s="15">
        <f>IF(D120="?OLD","!!!","")</f>
        <v/>
      </c>
      <c r="F120" s="16" t="str">
        <f>IF(OR(E120="",E120="!!!"),"",IF(NOT(ISNA(VLOOKUP(E120,E$1:E119,1,FALSE()))),"OLD",IF(AND(E120&lt;&gt;"",E120&lt;&gt;"!!!"),"NEW","")))</f>
        <v> </v>
      </c>
      <c r="G120" s="17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18" t="str">
        <f>IF(J120&lt;&gt;1,"",IF(I120="SBJ","CB","?"))</f>
        <v> </v>
      </c>
      <c r="I120" s="19" t="str">
        <f>IF(OR(E120="",E120="!!!",F120="NEW"),"",INDEX(B119:B$2,-1+SUMPRODUCT(MAX(ROW(E119:E$2)*(E120=E119:E$2)))))</f>
        <v> </v>
      </c>
      <c r="J120" s="19" t="str">
        <f>IF(OR(E120="",E120="!!!",F120="NEW"),"",COUNTBLANK(OFFSET(A$1,,,SUMPRODUCT(MAX(ROW(E$2:E120)*(E120=E$2:E120)))))-COUNTBLANK(OFFSET(A$1,,,SUMPRODUCT(MAX(ROW(E$1:E119)*(E2=E$1:E119))))))</f>
        <v> </v>
      </c>
      <c r="K120" s="19" t="str">
        <f>IF(OR(E120="",E120="!!!",F120="NEW"),"",INDEX(J$1:J119,SUMPRODUCT(MAX(ROW(E$1:E119)*(E120=E$1:E119)))))</f>
        <v> </v>
      </c>
      <c r="L120" s="20"/>
    </row>
    <row r="121" spans="1:12">
      <c r="A121" s="13" t="s">
        <v>77</v>
      </c>
      <c r="B121" s="14" t="s">
        <v>126</v>
      </c>
      <c r="C121" s="14" t="s">
        <v>60</v>
      </c>
      <c r="D121" s="14" t="s">
        <v>25</v>
      </c>
      <c r="E121" s="15">
        <f>IF(D121="?OLD","!!!","")</f>
        <v/>
      </c>
      <c r="F121" s="16" t="str">
        <f>IF(OR(E121="",E121="!!!"),"",IF(NOT(ISNA(VLOOKUP(E121,E$1:E120,1,FALSE()))),"OLD",IF(AND(E121&lt;&gt;"",E121&lt;&gt;"!!!"),"NEW","")))</f>
        <v> </v>
      </c>
      <c r="G121" s="17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18" t="str">
        <f>IF(J121&lt;&gt;1,"",IF(I121="SBJ","CB","?"))</f>
        <v> </v>
      </c>
      <c r="I121" s="19" t="str">
        <f>IF(OR(E121="",E121="!!!",F121="NEW"),"",INDEX(B120:B$2,-1+SUMPRODUCT(MAX(ROW(E120:E$2)*(E121=E120:E$2)))))</f>
        <v> </v>
      </c>
      <c r="J121" s="19" t="str">
        <f>IF(OR(E121="",E121="!!!",F121="NEW"),"",COUNTBLANK(OFFSET(A$1,,,SUMPRODUCT(MAX(ROW(E$2:E121)*(E121=E$2:E121)))))-COUNTBLANK(OFFSET(A$1,,,SUMPRODUCT(MAX(ROW(E$1:E120)*(E2=E$1:E120))))))</f>
        <v> </v>
      </c>
      <c r="K121" s="19" t="str">
        <f>IF(OR(E121="",E121="!!!",F121="NEW"),"",INDEX(J$1:J120,SUMPRODUCT(MAX(ROW(E$1:E120)*(E121=E$1:E120)))))</f>
        <v> </v>
      </c>
      <c r="L121" s="20"/>
    </row>
    <row r="122" spans="1:12">
      <c r="A122" s="13" t="s">
        <v>56</v>
      </c>
      <c r="E122" s="15">
        <f>IF(D122="?OLD","!!!","")</f>
        <v/>
      </c>
      <c r="F122" s="16" t="str">
        <f>IF(OR(E122="",E122="!!!"),"",IF(NOT(ISNA(VLOOKUP(E122,E$1:E121,1,FALSE()))),"OLD",IF(AND(E122&lt;&gt;"",E122&lt;&gt;"!!!"),"NEW","")))</f>
        <v> </v>
      </c>
      <c r="G122" s="17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18" t="str">
        <f>IF(J122&lt;&gt;1,"",IF(I122="SBJ","CB","?"))</f>
        <v> </v>
      </c>
      <c r="I122" s="19" t="str">
        <f>IF(OR(E122="",E122="!!!",F122="NEW"),"",INDEX(B121:B$2,-1+SUMPRODUCT(MAX(ROW(E121:E$2)*(E122=E121:E$2)))))</f>
        <v> </v>
      </c>
      <c r="J122" s="19" t="str">
        <f>IF(OR(E122="",E122="!!!",F122="NEW"),"",COUNTBLANK(OFFSET(A$1,,,SUMPRODUCT(MAX(ROW(E$2:E122)*(E122=E$2:E122)))))-COUNTBLANK(OFFSET(A$1,,,SUMPRODUCT(MAX(ROW(E$1:E121)*(E2=E$1:E121))))))</f>
        <v> </v>
      </c>
      <c r="K122" s="19" t="str">
        <f>IF(OR(E122="",E122="!!!",F122="NEW"),"",INDEX(J$1:J121,SUMPRODUCT(MAX(ROW(E$1:E121)*(E122=E$1:E121)))))</f>
        <v> </v>
      </c>
      <c r="L122" s="20"/>
    </row>
    <row r="123" spans="1:12">
      <c r="A123" s="13" t="s">
        <v>127</v>
      </c>
      <c r="E123" s="15">
        <f>IF(D123="?OLD","!!!","")</f>
        <v/>
      </c>
      <c r="F123" s="16" t="str">
        <f>IF(OR(E123="",E123="!!!"),"",IF(NOT(ISNA(VLOOKUP(E123,E$1:E122,1,FALSE()))),"OLD",IF(AND(E123&lt;&gt;"",E123&lt;&gt;"!!!"),"NEW","")))</f>
        <v> </v>
      </c>
      <c r="G123" s="17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18" t="str">
        <f>IF(J123&lt;&gt;1,"",IF(I123="SBJ","CB","?"))</f>
        <v> </v>
      </c>
      <c r="I123" s="19" t="str">
        <f>IF(OR(E123="",E123="!!!",F123="NEW"),"",INDEX(B122:B$2,-1+SUMPRODUCT(MAX(ROW(E122:E$2)*(E123=E122:E$2)))))</f>
        <v> </v>
      </c>
      <c r="J123" s="19" t="str">
        <f>IF(OR(E123="",E123="!!!",F123="NEW"),"",COUNTBLANK(OFFSET(A$1,,,SUMPRODUCT(MAX(ROW(E$2:E123)*(E123=E$2:E123)))))-COUNTBLANK(OFFSET(A$1,,,SUMPRODUCT(MAX(ROW(E$1:E122)*(E2=E$1:E122))))))</f>
        <v> </v>
      </c>
      <c r="K123" s="19" t="str">
        <f>IF(OR(E123="",E123="!!!",F123="NEW"),"",INDEX(J$1:J122,SUMPRODUCT(MAX(ROW(E$1:E122)*(E123=E$1:E122)))))</f>
        <v> </v>
      </c>
      <c r="L123" s="20"/>
    </row>
    <row r="124" spans="1:12">
      <c r="A124" s="13" t="s">
        <v>128</v>
      </c>
      <c r="B124" s="14" t="s">
        <v>126</v>
      </c>
      <c r="C124" s="14" t="s">
        <v>64</v>
      </c>
      <c r="D124" s="14" t="s">
        <v>25</v>
      </c>
      <c r="E124" s="15">
        <f>IF(D124="?OLD","!!!","")</f>
        <v/>
      </c>
      <c r="F124" s="16" t="str">
        <f>IF(OR(E124="",E124="!!!"),"",IF(NOT(ISNA(VLOOKUP(E124,E$1:E123,1,FALSE()))),"OLD",IF(AND(E124&lt;&gt;"",E124&lt;&gt;"!!!"),"NEW","")))</f>
        <v> </v>
      </c>
      <c r="G124" s="17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18" t="str">
        <f>IF(J124&lt;&gt;1,"",IF(I124="SBJ","CB","?"))</f>
        <v> </v>
      </c>
      <c r="I124" s="19" t="str">
        <f>IF(OR(E124="",E124="!!!",F124="NEW"),"",INDEX(B123:B$2,-1+SUMPRODUCT(MAX(ROW(E123:E$2)*(E124=E123:E$2)))))</f>
        <v> </v>
      </c>
      <c r="J124" s="19" t="str">
        <f>IF(OR(E124="",E124="!!!",F124="NEW"),"",COUNTBLANK(OFFSET(A$1,,,SUMPRODUCT(MAX(ROW(E$2:E124)*(E124=E$2:E124)))))-COUNTBLANK(OFFSET(A$1,,,SUMPRODUCT(MAX(ROW(E$1:E123)*(E2=E$1:E123))))))</f>
        <v> </v>
      </c>
      <c r="K124" s="19" t="str">
        <f>IF(OR(E124="",E124="!!!",F124="NEW"),"",INDEX(J$1:J123,SUMPRODUCT(MAX(ROW(E$1:E123)*(E124=E$1:E123)))))</f>
        <v> </v>
      </c>
      <c r="L124" s="20"/>
    </row>
    <row r="125" spans="1:12">
      <c r="A125" s="13" t="s">
        <v>129</v>
      </c>
      <c r="E125" s="15">
        <f>IF(D125="?OLD","!!!","")</f>
        <v/>
      </c>
      <c r="F125" s="16" t="str">
        <f>IF(OR(E125="",E125="!!!"),"",IF(NOT(ISNA(VLOOKUP(E125,E$1:E124,1,FALSE()))),"OLD",IF(AND(E125&lt;&gt;"",E125&lt;&gt;"!!!"),"NEW","")))</f>
        <v> </v>
      </c>
      <c r="G125" s="17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18" t="str">
        <f>IF(J125&lt;&gt;1,"",IF(I125="SBJ","CB","?"))</f>
        <v> </v>
      </c>
      <c r="I125" s="19" t="str">
        <f>IF(OR(E125="",E125="!!!",F125="NEW"),"",INDEX(B124:B$2,-1+SUMPRODUCT(MAX(ROW(E124:E$2)*(E125=E124:E$2)))))</f>
        <v> </v>
      </c>
      <c r="J125" s="19" t="str">
        <f>IF(OR(E125="",E125="!!!",F125="NEW"),"",COUNTBLANK(OFFSET(A$1,,,SUMPRODUCT(MAX(ROW(E$2:E125)*(E125=E$2:E125)))))-COUNTBLANK(OFFSET(A$1,,,SUMPRODUCT(MAX(ROW(E$1:E124)*(E2=E$1:E124))))))</f>
        <v> </v>
      </c>
      <c r="K125" s="19" t="str">
        <f>IF(OR(E125="",E125="!!!",F125="NEW"),"",INDEX(J$1:J124,SUMPRODUCT(MAX(ROW(E$1:E124)*(E125=E$1:E124)))))</f>
        <v> </v>
      </c>
      <c r="L125" s="20"/>
    </row>
    <row r="126" spans="1:12">
      <c r="A126" s="13" t="s">
        <v>130</v>
      </c>
      <c r="E126" s="15">
        <f>IF(D126="?OLD","!!!","")</f>
        <v/>
      </c>
      <c r="F126" s="16" t="str">
        <f>IF(OR(E126="",E126="!!!"),"",IF(NOT(ISNA(VLOOKUP(E126,E$1:E125,1,FALSE()))),"OLD",IF(AND(E126&lt;&gt;"",E126&lt;&gt;"!!!"),"NEW","")))</f>
        <v> </v>
      </c>
      <c r="G126" s="17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18" t="str">
        <f>IF(J126&lt;&gt;1,"",IF(I126="SBJ","CB","?"))</f>
        <v> </v>
      </c>
      <c r="I126" s="19" t="str">
        <f>IF(OR(E126="",E126="!!!",F126="NEW"),"",INDEX(B125:B$2,-1+SUMPRODUCT(MAX(ROW(E125:E$2)*(E126=E125:E$2)))))</f>
        <v> </v>
      </c>
      <c r="J126" s="19" t="str">
        <f>IF(OR(E126="",E126="!!!",F126="NEW"),"",COUNTBLANK(OFFSET(A$1,,,SUMPRODUCT(MAX(ROW(E$2:E126)*(E126=E$2:E126)))))-COUNTBLANK(OFFSET(A$1,,,SUMPRODUCT(MAX(ROW(E$1:E125)*(E2=E$1:E125))))))</f>
        <v> </v>
      </c>
      <c r="K126" s="19" t="str">
        <f>IF(OR(E126="",E126="!!!",F126="NEW"),"",INDEX(J$1:J125,SUMPRODUCT(MAX(ROW(E$1:E125)*(E126=E$1:E125)))))</f>
        <v> </v>
      </c>
      <c r="L126" s="20"/>
    </row>
    <row r="127" spans="1:12">
      <c r="A127" s="13" t="s">
        <v>61</v>
      </c>
      <c r="E127" s="15">
        <f>IF(D127="?OLD","!!!","")</f>
        <v/>
      </c>
      <c r="F127" s="16" t="str">
        <f>IF(OR(E127="",E127="!!!"),"",IF(NOT(ISNA(VLOOKUP(E127,E$1:E126,1,FALSE()))),"OLD",IF(AND(E127&lt;&gt;"",E127&lt;&gt;"!!!"),"NEW","")))</f>
        <v> </v>
      </c>
      <c r="G127" s="17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18" t="str">
        <f>IF(J127&lt;&gt;1,"",IF(I127="SBJ","CB","?"))</f>
        <v> </v>
      </c>
      <c r="I127" s="19" t="str">
        <f>IF(OR(E127="",E127="!!!",F127="NEW"),"",INDEX(B126:B$2,-1+SUMPRODUCT(MAX(ROW(E126:E$2)*(E127=E126:E$2)))))</f>
        <v> </v>
      </c>
      <c r="J127" s="19" t="str">
        <f>IF(OR(E127="",E127="!!!",F127="NEW"),"",COUNTBLANK(OFFSET(A$1,,,SUMPRODUCT(MAX(ROW(E$2:E127)*(E127=E$2:E127)))))-COUNTBLANK(OFFSET(A$1,,,SUMPRODUCT(MAX(ROW(E$1:E126)*(E2=E$1:E126))))))</f>
        <v> </v>
      </c>
      <c r="K127" s="19" t="str">
        <f>IF(OR(E127="",E127="!!!",F127="NEW"),"",INDEX(J$1:J126,SUMPRODUCT(MAX(ROW(E$1:E126)*(E127=E$1:E126)))))</f>
        <v> </v>
      </c>
      <c r="L127" s="20"/>
    </row>
    <row r="128" spans="1:12">
      <c r="A128" s="13" t="s">
        <v>48</v>
      </c>
      <c r="E128" s="15">
        <f>IF(D128="?OLD","!!!","")</f>
        <v/>
      </c>
      <c r="F128" s="16" t="str">
        <f>IF(OR(E128="",E128="!!!"),"",IF(NOT(ISNA(VLOOKUP(E128,E$1:E127,1,FALSE()))),"OLD",IF(AND(E128&lt;&gt;"",E128&lt;&gt;"!!!"),"NEW","")))</f>
        <v> </v>
      </c>
      <c r="G128" s="17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18" t="str">
        <f>IF(J128&lt;&gt;1,"",IF(I128="SBJ","CB","?"))</f>
        <v> </v>
      </c>
      <c r="I128" s="19" t="str">
        <f>IF(OR(E128="",E128="!!!",F128="NEW"),"",INDEX(B127:B$2,-1+SUMPRODUCT(MAX(ROW(E127:E$2)*(E128=E127:E$2)))))</f>
        <v> </v>
      </c>
      <c r="J128" s="19" t="str">
        <f>IF(OR(E128="",E128="!!!",F128="NEW"),"",COUNTBLANK(OFFSET(A$1,,,SUMPRODUCT(MAX(ROW(E$2:E128)*(E128=E$2:E128)))))-COUNTBLANK(OFFSET(A$1,,,SUMPRODUCT(MAX(ROW(E$1:E127)*(E2=E$1:E127))))))</f>
        <v> </v>
      </c>
      <c r="K128" s="19" t="str">
        <f>IF(OR(E128="",E128="!!!",F128="NEW"),"",INDEX(J$1:J127,SUMPRODUCT(MAX(ROW(E$1:E127)*(E128=E$1:E127)))))</f>
        <v> </v>
      </c>
      <c r="L128" s="20"/>
    </row>
    <row r="129" spans="1:12">
      <c r="A129" s="13" t="s">
        <v>53</v>
      </c>
      <c r="E129" s="15">
        <f>IF(D129="?OLD","!!!","")</f>
        <v/>
      </c>
      <c r="F129" s="16" t="str">
        <f>IF(OR(E129="",E129="!!!"),"",IF(NOT(ISNA(VLOOKUP(E129,E$1:E128,1,FALSE()))),"OLD",IF(AND(E129&lt;&gt;"",E129&lt;&gt;"!!!"),"NEW","")))</f>
        <v> </v>
      </c>
      <c r="G129" s="17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18" t="str">
        <f>IF(J129&lt;&gt;1,"",IF(I129="SBJ","CB","?"))</f>
        <v> </v>
      </c>
      <c r="I129" s="19" t="str">
        <f>IF(OR(E129="",E129="!!!",F129="NEW"),"",INDEX(B128:B$2,-1+SUMPRODUCT(MAX(ROW(E128:E$2)*(E129=E128:E$2)))))</f>
        <v> </v>
      </c>
      <c r="J129" s="19" t="str">
        <f>IF(OR(E129="",E129="!!!",F129="NEW"),"",COUNTBLANK(OFFSET(A$1,,,SUMPRODUCT(MAX(ROW(E$2:E129)*(E129=E$2:E129)))))-COUNTBLANK(OFFSET(A$1,,,SUMPRODUCT(MAX(ROW(E$1:E128)*(E2=E$1:E128))))))</f>
        <v> </v>
      </c>
      <c r="K129" s="19" t="str">
        <f>IF(OR(E129="",E129="!!!",F129="NEW"),"",INDEX(J$1:J128,SUMPRODUCT(MAX(ROW(E$1:E128)*(E129=E$1:E128)))))</f>
        <v> </v>
      </c>
      <c r="L129" s="20"/>
    </row>
    <row r="130" spans="1:12">
      <c r="A130" s="13" t="s">
        <v>122</v>
      </c>
      <c r="E130" s="15">
        <f>IF(D130="?OLD","!!!","")</f>
        <v/>
      </c>
      <c r="F130" s="16" t="str">
        <f>IF(OR(E130="",E130="!!!"),"",IF(NOT(ISNA(VLOOKUP(E130,E$1:E129,1,FALSE()))),"OLD",IF(AND(E130&lt;&gt;"",E130&lt;&gt;"!!!"),"NEW","")))</f>
        <v> </v>
      </c>
      <c r="G130" s="17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18" t="str">
        <f>IF(J130&lt;&gt;1,"",IF(I130="SBJ","CB","?"))</f>
        <v> </v>
      </c>
      <c r="I130" s="19" t="str">
        <f>IF(OR(E130="",E130="!!!",F130="NEW"),"",INDEX(B129:B$2,-1+SUMPRODUCT(MAX(ROW(E129:E$2)*(E130=E129:E$2)))))</f>
        <v> </v>
      </c>
      <c r="J130" s="19" t="str">
        <f>IF(OR(E130="",E130="!!!",F130="NEW"),"",COUNTBLANK(OFFSET(A$1,,,SUMPRODUCT(MAX(ROW(E$2:E130)*(E130=E$2:E130)))))-COUNTBLANK(OFFSET(A$1,,,SUMPRODUCT(MAX(ROW(E$1:E129)*(E2=E$1:E129))))))</f>
        <v> </v>
      </c>
      <c r="K130" s="19" t="str">
        <f>IF(OR(E130="",E130="!!!",F130="NEW"),"",INDEX(J$1:J129,SUMPRODUCT(MAX(ROW(E$1:E129)*(E130=E$1:E129)))))</f>
        <v> </v>
      </c>
      <c r="L130" s="20"/>
    </row>
    <row r="131" spans="1:12">
      <c r="A131" s="13" t="s">
        <v>131</v>
      </c>
      <c r="E131" s="15">
        <f>IF(D131="?OLD","!!!","")</f>
        <v/>
      </c>
      <c r="F131" s="16" t="str">
        <f>IF(OR(E131="",E131="!!!"),"",IF(NOT(ISNA(VLOOKUP(E131,E$1:E130,1,FALSE()))),"OLD",IF(AND(E131&lt;&gt;"",E131&lt;&gt;"!!!"),"NEW","")))</f>
        <v> </v>
      </c>
      <c r="G131" s="17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18" t="str">
        <f>IF(J131&lt;&gt;1,"",IF(I131="SBJ","CB","?"))</f>
        <v> </v>
      </c>
      <c r="I131" s="19" t="str">
        <f>IF(OR(E131="",E131="!!!",F131="NEW"),"",INDEX(B130:B$2,-1+SUMPRODUCT(MAX(ROW(E130:E$2)*(E131=E130:E$2)))))</f>
        <v> </v>
      </c>
      <c r="J131" s="19" t="str">
        <f>IF(OR(E131="",E131="!!!",F131="NEW"),"",COUNTBLANK(OFFSET(A$1,,,SUMPRODUCT(MAX(ROW(E$2:E131)*(E131=E$2:E131)))))-COUNTBLANK(OFFSET(A$1,,,SUMPRODUCT(MAX(ROW(E$1:E130)*(E2=E$1:E130))))))</f>
        <v> </v>
      </c>
      <c r="K131" s="19" t="str">
        <f>IF(OR(E131="",E131="!!!",F131="NEW"),"",INDEX(J$1:J130,SUMPRODUCT(MAX(ROW(E$1:E130)*(E131=E$1:E130)))))</f>
        <v> </v>
      </c>
      <c r="L131" s="20"/>
    </row>
    <row r="132" spans="1:12">
      <c r="A132" s="13" t="s">
        <v>116</v>
      </c>
      <c r="E132" s="15">
        <f>IF(D132="?OLD","!!!","")</f>
        <v/>
      </c>
      <c r="F132" s="16" t="str">
        <f>IF(OR(E132="",E132="!!!"),"",IF(NOT(ISNA(VLOOKUP(E132,E$1:E131,1,FALSE()))),"OLD",IF(AND(E132&lt;&gt;"",E132&lt;&gt;"!!!"),"NEW","")))</f>
        <v> </v>
      </c>
      <c r="G132" s="17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18" t="str">
        <f>IF(J132&lt;&gt;1,"",IF(I132="SBJ","CB","?"))</f>
        <v> </v>
      </c>
      <c r="I132" s="19" t="str">
        <f>IF(OR(E132="",E132="!!!",F132="NEW"),"",INDEX(B131:B$2,-1+SUMPRODUCT(MAX(ROW(E131:E$2)*(E132=E131:E$2)))))</f>
        <v> </v>
      </c>
      <c r="J132" s="19" t="str">
        <f>IF(OR(E132="",E132="!!!",F132="NEW"),"",COUNTBLANK(OFFSET(A$1,,,SUMPRODUCT(MAX(ROW(E$2:E132)*(E132=E$2:E132)))))-COUNTBLANK(OFFSET(A$1,,,SUMPRODUCT(MAX(ROW(E$1:E131)*(E2=E$1:E131))))))</f>
        <v> </v>
      </c>
      <c r="K132" s="19" t="str">
        <f>IF(OR(E132="",E132="!!!",F132="NEW"),"",INDEX(J$1:J131,SUMPRODUCT(MAX(ROW(E$1:E131)*(E132=E$1:E131)))))</f>
        <v> </v>
      </c>
      <c r="L132" s="20"/>
    </row>
    <row r="133" spans="1:12">
      <c r="A133" s="13"/>
    </row>
    <row r="134" spans="1:12">
      <c r="A134" s="13" t="s">
        <v>117</v>
      </c>
      <c r="E134" s="15">
        <f>IF(D134="?OLD","!!!","")</f>
        <v/>
      </c>
      <c r="F134" s="16" t="str">
        <f>IF(OR(E134="",E134="!!!"),"",IF(NOT(ISNA(VLOOKUP(E134,E$1:E133,1,FALSE()))),"OLD",IF(AND(E134&lt;&gt;"",E134&lt;&gt;"!!!"),"NEW","")))</f>
        <v> </v>
      </c>
      <c r="G134" s="17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18" t="str">
        <f>IF(J134&lt;&gt;1,"",IF(I134="SBJ","CB","?"))</f>
        <v> </v>
      </c>
      <c r="I134" s="19" t="str">
        <f>IF(OR(E134="",E134="!!!",F134="NEW"),"",INDEX(B133:B$2,-1+SUMPRODUCT(MAX(ROW(E133:E$2)*(E134=E133:E$2)))))</f>
        <v> </v>
      </c>
      <c r="J134" s="19" t="str">
        <f>IF(OR(E134="",E134="!!!",F134="NEW"),"",COUNTBLANK(OFFSET(A$1,,,SUMPRODUCT(MAX(ROW(E$2:E134)*(E134=E$2:E134)))))-COUNTBLANK(OFFSET(A$1,,,SUMPRODUCT(MAX(ROW(E$1:E133)*(E2=E$1:E133))))))</f>
        <v> </v>
      </c>
      <c r="K134" s="19" t="str">
        <f>IF(OR(E134="",E134="!!!",F134="NEW"),"",INDEX(J$1:J133,SUMPRODUCT(MAX(ROW(E$1:E133)*(E134=E$1:E133)))))</f>
        <v> </v>
      </c>
      <c r="L134" s="20"/>
    </row>
    <row r="135" spans="1:12">
      <c r="A135" s="13" t="s">
        <v>132</v>
      </c>
    </row>
    <row r="136" spans="1:12">
      <c r="A136" s="13" t="s">
        <v>76</v>
      </c>
      <c r="E136" s="15">
        <f>IF(D136="?OLD","!!!","")</f>
        <v/>
      </c>
      <c r="F136" s="16" t="str">
        <f>IF(OR(E136="",E136="!!!"),"",IF(NOT(ISNA(VLOOKUP(E136,E$1:E135,1,FALSE()))),"OLD",IF(AND(E136&lt;&gt;"",E136&lt;&gt;"!!!"),"NEW","")))</f>
        <v> </v>
      </c>
      <c r="G136" s="17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18" t="str">
        <f>IF(J136&lt;&gt;1,"",IF(I136="SBJ","CB","?"))</f>
        <v> </v>
      </c>
      <c r="I136" s="19" t="str">
        <f>IF(OR(E136="",E136="!!!",F136="NEW"),"",INDEX(B135:B$2,-1+SUMPRODUCT(MAX(ROW(E135:E$2)*(E136=E135:E$2)))))</f>
        <v> </v>
      </c>
      <c r="J136" s="19" t="str">
        <f>IF(OR(E136="",E136="!!!",F136="NEW"),"",COUNTBLANK(OFFSET(A$1,,,SUMPRODUCT(MAX(ROW(E$2:E136)*(E136=E$2:E136)))))-COUNTBLANK(OFFSET(A$1,,,SUMPRODUCT(MAX(ROW(E$1:E135)*(E2=E$1:E135))))))</f>
        <v> </v>
      </c>
      <c r="K136" s="19" t="str">
        <f>IF(OR(E136="",E136="!!!",F136="NEW"),"",INDEX(J$1:J135,SUMPRODUCT(MAX(ROW(E$1:E135)*(E136=E$1:E135)))))</f>
        <v> </v>
      </c>
      <c r="L136" s="20"/>
    </row>
    <row r="137" spans="1:12">
      <c r="A137" s="13" t="s">
        <v>133</v>
      </c>
      <c r="E137" s="15">
        <f>IF(D137="?OLD","!!!","")</f>
        <v/>
      </c>
      <c r="F137" s="16" t="str">
        <f>IF(OR(E137="",E137="!!!"),"",IF(NOT(ISNA(VLOOKUP(E137,E$1:E136,1,FALSE()))),"OLD",IF(AND(E137&lt;&gt;"",E137&lt;&gt;"!!!"),"NEW","")))</f>
        <v> </v>
      </c>
      <c r="G137" s="17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18" t="str">
        <f>IF(J137&lt;&gt;1,"",IF(I137="SBJ","CB","?"))</f>
        <v> </v>
      </c>
      <c r="I137" s="19" t="str">
        <f>IF(OR(E137="",E137="!!!",F137="NEW"),"",INDEX(B136:B$2,-1+SUMPRODUCT(MAX(ROW(E136:E$2)*(E137=E136:E$2)))))</f>
        <v> </v>
      </c>
      <c r="J137" s="19" t="str">
        <f>IF(OR(E137="",E137="!!!",F137="NEW"),"",COUNTBLANK(OFFSET(A$1,,,SUMPRODUCT(MAX(ROW(E$2:E137)*(E137=E$2:E137)))))-COUNTBLANK(OFFSET(A$1,,,SUMPRODUCT(MAX(ROW(E$1:E136)*(E2=E$1:E136))))))</f>
        <v> </v>
      </c>
      <c r="K137" s="19" t="str">
        <f>IF(OR(E137="",E137="!!!",F137="NEW"),"",INDEX(J$1:J136,SUMPRODUCT(MAX(ROW(E$1:E136)*(E137=E$1:E136)))))</f>
        <v> </v>
      </c>
      <c r="L137" s="20"/>
    </row>
    <row r="138" spans="1:12">
      <c r="A138" s="13" t="s">
        <v>134</v>
      </c>
      <c r="E138" s="15">
        <f>IF(D138="?OLD","!!!","")</f>
        <v/>
      </c>
      <c r="F138" s="16" t="str">
        <f>IF(OR(E138="",E138="!!!"),"",IF(NOT(ISNA(VLOOKUP(E138,E$1:E137,1,FALSE()))),"OLD",IF(AND(E138&lt;&gt;"",E138&lt;&gt;"!!!"),"NEW","")))</f>
        <v> </v>
      </c>
      <c r="G138" s="17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18" t="str">
        <f>IF(J138&lt;&gt;1,"",IF(I138="SBJ","CB","?"))</f>
        <v> </v>
      </c>
      <c r="I138" s="19" t="str">
        <f>IF(OR(E138="",E138="!!!",F138="NEW"),"",INDEX(B137:B$2,-1+SUMPRODUCT(MAX(ROW(E137:E$2)*(E138=E137:E$2)))))</f>
        <v> </v>
      </c>
      <c r="J138" s="19" t="str">
        <f>IF(OR(E138="",E138="!!!",F138="NEW"),"",COUNTBLANK(OFFSET(A$1,,,SUMPRODUCT(MAX(ROW(E$2:E138)*(E138=E$2:E138)))))-COUNTBLANK(OFFSET(A$1,,,SUMPRODUCT(MAX(ROW(E$1:E137)*(E2=E$1:E137))))))</f>
        <v> </v>
      </c>
      <c r="K138" s="19" t="str">
        <f>IF(OR(E138="",E138="!!!",F138="NEW"),"",INDEX(J$1:J137,SUMPRODUCT(MAX(ROW(E$1:E137)*(E138=E$1:E137)))))</f>
        <v> </v>
      </c>
      <c r="L138" s="20"/>
    </row>
    <row r="139" spans="1:12">
      <c r="A139" s="13" t="s">
        <v>135</v>
      </c>
      <c r="B139" s="14" t="s">
        <v>23</v>
      </c>
      <c r="C139" s="14" t="s">
        <v>136</v>
      </c>
      <c r="D139" s="14" t="s">
        <v>25</v>
      </c>
      <c r="E139" s="15">
        <f>IF(D139="?OLD","!!!","")</f>
        <v/>
      </c>
      <c r="F139" s="16" t="str">
        <f>IF(OR(E139="",E139="!!!"),"",IF(NOT(ISNA(VLOOKUP(E139,E$1:E138,1,FALSE()))),"OLD",IF(AND(E139&lt;&gt;"",E139&lt;&gt;"!!!"),"NEW","")))</f>
        <v> </v>
      </c>
      <c r="G139" s="17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18" t="str">
        <f>IF(J139&lt;&gt;1,"",IF(I139="SBJ","CB","?"))</f>
        <v> </v>
      </c>
      <c r="I139" s="19" t="str">
        <f>IF(OR(E139="",E139="!!!",F139="NEW"),"",INDEX(B138:B$2,-1+SUMPRODUCT(MAX(ROW(E138:E$2)*(E139=E138:E$2)))))</f>
        <v> </v>
      </c>
      <c r="J139" s="19" t="str">
        <f>IF(OR(E139="",E139="!!!",F139="NEW"),"",COUNTBLANK(OFFSET(A$1,,,SUMPRODUCT(MAX(ROW(E$2:E139)*(E139=E$2:E139)))))-COUNTBLANK(OFFSET(A$1,,,SUMPRODUCT(MAX(ROW(E$1:E138)*(E2=E$1:E138))))))</f>
        <v> </v>
      </c>
      <c r="K139" s="19" t="str">
        <f>IF(OR(E139="",E139="!!!",F139="NEW"),"",INDEX(J$1:J138,SUMPRODUCT(MAX(ROW(E$1:E138)*(E139=E$1:E138)))))</f>
        <v> </v>
      </c>
      <c r="L139" s="20"/>
    </row>
    <row r="140" spans="1:12">
      <c r="A140" s="13" t="s">
        <v>137</v>
      </c>
      <c r="E140" s="15">
        <f>IF(D140="?OLD","!!!","")</f>
        <v/>
      </c>
      <c r="F140" s="16" t="str">
        <f>IF(OR(E140="",E140="!!!"),"",IF(NOT(ISNA(VLOOKUP(E140,E$1:E139,1,FALSE()))),"OLD",IF(AND(E140&lt;&gt;"",E140&lt;&gt;"!!!"),"NEW","")))</f>
        <v> </v>
      </c>
      <c r="G140" s="17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18" t="str">
        <f>IF(J140&lt;&gt;1,"",IF(I140="SBJ","CB","?"))</f>
        <v> </v>
      </c>
      <c r="I140" s="19" t="str">
        <f>IF(OR(E140="",E140="!!!",F140="NEW"),"",INDEX(B139:B$2,-1+SUMPRODUCT(MAX(ROW(E139:E$2)*(E140=E139:E$2)))))</f>
        <v> </v>
      </c>
      <c r="J140" s="19" t="str">
        <f>IF(OR(E140="",E140="!!!",F140="NEW"),"",COUNTBLANK(OFFSET(A$1,,,SUMPRODUCT(MAX(ROW(E$2:E140)*(E140=E$2:E140)))))-COUNTBLANK(OFFSET(A$1,,,SUMPRODUCT(MAX(ROW(E$1:E139)*(E2=E$1:E139))))))</f>
        <v> </v>
      </c>
      <c r="K140" s="19" t="str">
        <f>IF(OR(E140="",E140="!!!",F140="NEW"),"",INDEX(J$1:J139,SUMPRODUCT(MAX(ROW(E$1:E139)*(E140=E$1:E139)))))</f>
        <v> </v>
      </c>
      <c r="L140" s="20"/>
    </row>
    <row r="141" spans="1:12">
      <c r="A141" s="13" t="s">
        <v>76</v>
      </c>
      <c r="E141" s="15">
        <f>IF(D141="?OLD","!!!","")</f>
        <v/>
      </c>
      <c r="F141" s="16" t="str">
        <f>IF(OR(E141="",E141="!!!"),"",IF(NOT(ISNA(VLOOKUP(E141,E$1:E140,1,FALSE()))),"OLD",IF(AND(E141&lt;&gt;"",E141&lt;&gt;"!!!"),"NEW","")))</f>
        <v> </v>
      </c>
      <c r="G141" s="17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18" t="str">
        <f>IF(J141&lt;&gt;1,"",IF(I141="SBJ","CB","?"))</f>
        <v> </v>
      </c>
      <c r="I141" s="19" t="str">
        <f>IF(OR(E141="",E141="!!!",F141="NEW"),"",INDEX(B140:B$2,-1+SUMPRODUCT(MAX(ROW(E140:E$2)*(E141=E140:E$2)))))</f>
        <v> </v>
      </c>
      <c r="J141" s="19" t="str">
        <f>IF(OR(E141="",E141="!!!",F141="NEW"),"",COUNTBLANK(OFFSET(A$1,,,SUMPRODUCT(MAX(ROW(E$2:E141)*(E141=E$2:E141)))))-COUNTBLANK(OFFSET(A$1,,,SUMPRODUCT(MAX(ROW(E$1:E140)*(E2=E$1:E140))))))</f>
        <v> </v>
      </c>
      <c r="K141" s="19" t="str">
        <f>IF(OR(E141="",E141="!!!",F141="NEW"),"",INDEX(J$1:J140,SUMPRODUCT(MAX(ROW(E$1:E140)*(E141=E$1:E140)))))</f>
        <v> </v>
      </c>
      <c r="L141" s="20"/>
    </row>
    <row r="142" spans="1:12">
      <c r="A142" s="13" t="s">
        <v>138</v>
      </c>
      <c r="E142" s="15">
        <f>IF(D142="?OLD","!!!","")</f>
        <v/>
      </c>
      <c r="F142" s="16" t="str">
        <f>IF(OR(E142="",E142="!!!"),"",IF(NOT(ISNA(VLOOKUP(E142,E$1:E141,1,FALSE()))),"OLD",IF(AND(E142&lt;&gt;"",E142&lt;&gt;"!!!"),"NEW","")))</f>
        <v> </v>
      </c>
      <c r="G142" s="17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18" t="str">
        <f>IF(J142&lt;&gt;1,"",IF(I142="SBJ","CB","?"))</f>
        <v> </v>
      </c>
      <c r="I142" s="19" t="str">
        <f>IF(OR(E142="",E142="!!!",F142="NEW"),"",INDEX(B141:B$2,-1+SUMPRODUCT(MAX(ROW(E141:E$2)*(E142=E141:E$2)))))</f>
        <v> </v>
      </c>
      <c r="J142" s="19" t="str">
        <f>IF(OR(E142="",E142="!!!",F142="NEW"),"",COUNTBLANK(OFFSET(A$1,,,SUMPRODUCT(MAX(ROW(E$2:E142)*(E142=E$2:E142)))))-COUNTBLANK(OFFSET(A$1,,,SUMPRODUCT(MAX(ROW(E$1:E141)*(E2=E$1:E141))))))</f>
        <v> </v>
      </c>
      <c r="K142" s="19" t="str">
        <f>IF(OR(E142="",E142="!!!",F142="NEW"),"",INDEX(J$1:J141,SUMPRODUCT(MAX(ROW(E$1:E141)*(E142=E$1:E141)))))</f>
        <v> </v>
      </c>
      <c r="L142" s="20"/>
    </row>
    <row r="143" spans="1:12">
      <c r="A143" s="13" t="s">
        <v>139</v>
      </c>
      <c r="B143" s="14" t="s">
        <v>33</v>
      </c>
      <c r="C143" s="14" t="s">
        <v>84</v>
      </c>
      <c r="D143" s="14" t="s">
        <v>25</v>
      </c>
      <c r="E143" s="15">
        <f>IF(D143="?OLD","!!!","")</f>
        <v/>
      </c>
      <c r="F143" s="16" t="str">
        <f>IF(OR(E143="",E143="!!!"),"",IF(NOT(ISNA(VLOOKUP(E143,E$1:E142,1,FALSE()))),"OLD",IF(AND(E143&lt;&gt;"",E143&lt;&gt;"!!!"),"NEW","")))</f>
        <v> </v>
      </c>
      <c r="G143" s="17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18" t="str">
        <f>IF(J143&lt;&gt;1,"",IF(I143="SBJ","CB","?"))</f>
        <v> </v>
      </c>
      <c r="I143" s="19" t="str">
        <f>IF(OR(E143="",E143="!!!",F143="NEW"),"",INDEX(B142:B$2,-1+SUMPRODUCT(MAX(ROW(E142:E$2)*(E143=E142:E$2)))))</f>
        <v> </v>
      </c>
      <c r="J143" s="19" t="str">
        <f>IF(OR(E143="",E143="!!!",F143="NEW"),"",COUNTBLANK(OFFSET(A$1,,,SUMPRODUCT(MAX(ROW(E$2:E143)*(E143=E$2:E143)))))-COUNTBLANK(OFFSET(A$1,,,SUMPRODUCT(MAX(ROW(E$1:E142)*(E2=E$1:E142))))))</f>
        <v> </v>
      </c>
      <c r="K143" s="19" t="str">
        <f>IF(OR(E143="",E143="!!!",F143="NEW"),"",INDEX(J$1:J142,SUMPRODUCT(MAX(ROW(E$1:E142)*(E143=E$1:E142)))))</f>
        <v> </v>
      </c>
      <c r="L143" s="20"/>
    </row>
    <row r="144" spans="1:12">
      <c r="A144" s="13" t="s">
        <v>79</v>
      </c>
      <c r="E144" s="15">
        <f>IF(D144="?OLD","!!!","")</f>
        <v/>
      </c>
      <c r="F144" s="16" t="str">
        <f>IF(OR(E144="",E144="!!!"),"",IF(NOT(ISNA(VLOOKUP(E144,E$1:E143,1,FALSE()))),"OLD",IF(AND(E144&lt;&gt;"",E144&lt;&gt;"!!!"),"NEW","")))</f>
        <v> </v>
      </c>
      <c r="G144" s="17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18" t="str">
        <f>IF(J144&lt;&gt;1,"",IF(I144="SBJ","CB","?"))</f>
        <v> </v>
      </c>
      <c r="I144" s="19" t="str">
        <f>IF(OR(E144="",E144="!!!",F144="NEW"),"",INDEX(B143:B$2,-1+SUMPRODUCT(MAX(ROW(E143:E$2)*(E144=E143:E$2)))))</f>
        <v> </v>
      </c>
      <c r="J144" s="19" t="str">
        <f>IF(OR(E144="",E144="!!!",F144="NEW"),"",COUNTBLANK(OFFSET(A$1,,,SUMPRODUCT(MAX(ROW(E$2:E144)*(E144=E$2:E144)))))-COUNTBLANK(OFFSET(A$1,,,SUMPRODUCT(MAX(ROW(E$1:E143)*(E2=E$1:E143))))))</f>
        <v> </v>
      </c>
      <c r="K144" s="19" t="str">
        <f>IF(OR(E144="",E144="!!!",F144="NEW"),"",INDEX(J$1:J143,SUMPRODUCT(MAX(ROW(E$1:E143)*(E144=E$1:E143)))))</f>
        <v> </v>
      </c>
      <c r="L144" s="20"/>
    </row>
    <row r="145" spans="1:12">
      <c r="A145" s="13" t="s">
        <v>140</v>
      </c>
      <c r="B145" s="14" t="s">
        <v>63</v>
      </c>
      <c r="C145" s="14" t="s">
        <v>34</v>
      </c>
      <c r="E145" s="15">
        <f>IF(D145="?OLD","!!!","")</f>
        <v/>
      </c>
      <c r="F145" s="16" t="str">
        <f>IF(OR(E145="",E145="!!!"),"",IF(NOT(ISNA(VLOOKUP(E145,E$1:E144,1,FALSE()))),"OLD",IF(AND(E145&lt;&gt;"",E145&lt;&gt;"!!!"),"NEW","")))</f>
        <v> </v>
      </c>
      <c r="G145" s="17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18" t="str">
        <f>IF(J145&lt;&gt;1,"",IF(I145="SBJ","CB","?"))</f>
        <v> </v>
      </c>
      <c r="I145" s="19" t="str">
        <f>IF(OR(E145="",E145="!!!",F145="NEW"),"",INDEX(B144:B$2,-1+SUMPRODUCT(MAX(ROW(E144:E$2)*(E145=E144:E$2)))))</f>
        <v> </v>
      </c>
      <c r="J145" s="19" t="str">
        <f>IF(OR(E145="",E145="!!!",F145="NEW"),"",COUNTBLANK(OFFSET(A$1,,,SUMPRODUCT(MAX(ROW(E$2:E145)*(E145=E$2:E145)))))-COUNTBLANK(OFFSET(A$1,,,SUMPRODUCT(MAX(ROW(E$1:E144)*(E2=E$1:E144))))))</f>
        <v> </v>
      </c>
      <c r="K145" s="19" t="str">
        <f>IF(OR(E145="",E145="!!!",F145="NEW"),"",INDEX(J$1:J144,SUMPRODUCT(MAX(ROW(E$1:E144)*(E145=E$1:E144)))))</f>
        <v> </v>
      </c>
      <c r="L145" s="20"/>
    </row>
    <row r="146" spans="1:12">
      <c r="A146" s="13" t="s">
        <v>119</v>
      </c>
      <c r="E146" s="15">
        <f>IF(D146="?OLD","!!!","")</f>
        <v/>
      </c>
      <c r="F146" s="16" t="str">
        <f>IF(OR(E146="",E146="!!!"),"",IF(NOT(ISNA(VLOOKUP(E146,E$1:E145,1,FALSE()))),"OLD",IF(AND(E146&lt;&gt;"",E146&lt;&gt;"!!!"),"NEW","")))</f>
        <v> </v>
      </c>
      <c r="G146" s="17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18" t="str">
        <f>IF(J146&lt;&gt;1,"",IF(I146="SBJ","CB","?"))</f>
        <v> </v>
      </c>
      <c r="I146" s="19" t="str">
        <f>IF(OR(E146="",E146="!!!",F146="NEW"),"",INDEX(B145:B$2,-1+SUMPRODUCT(MAX(ROW(E145:E$2)*(E146=E145:E$2)))))</f>
        <v> </v>
      </c>
      <c r="J146" s="19" t="str">
        <f>IF(OR(E146="",E146="!!!",F146="NEW"),"",COUNTBLANK(OFFSET(A$1,,,SUMPRODUCT(MAX(ROW(E$2:E146)*(E146=E$2:E146)))))-COUNTBLANK(OFFSET(A$1,,,SUMPRODUCT(MAX(ROW(E$1:E145)*(E2=E$1:E145))))))</f>
        <v> </v>
      </c>
      <c r="K146" s="19" t="str">
        <f>IF(OR(E146="",E146="!!!",F146="NEW"),"",INDEX(J$1:J145,SUMPRODUCT(MAX(ROW(E$1:E145)*(E146=E$1:E145)))))</f>
        <v> </v>
      </c>
      <c r="L146" s="20"/>
    </row>
    <row r="147" spans="1:12">
      <c r="A147" s="13" t="s">
        <v>68</v>
      </c>
      <c r="E147" s="15">
        <f>IF(D147="?OLD","!!!","")</f>
        <v/>
      </c>
      <c r="F147" s="16" t="str">
        <f>IF(OR(E147="",E147="!!!"),"",IF(NOT(ISNA(VLOOKUP(E147,E$1:E146,1,FALSE()))),"OLD",IF(AND(E147&lt;&gt;"",E147&lt;&gt;"!!!"),"NEW","")))</f>
        <v> </v>
      </c>
      <c r="G147" s="17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18" t="str">
        <f>IF(J147&lt;&gt;1,"",IF(I147="SBJ","CB","?"))</f>
        <v> </v>
      </c>
      <c r="I147" s="19" t="str">
        <f>IF(OR(E147="",E147="!!!",F147="NEW"),"",INDEX(B146:B$2,-1+SUMPRODUCT(MAX(ROW(E146:E$2)*(E147=E146:E$2)))))</f>
        <v> </v>
      </c>
      <c r="J147" s="19" t="str">
        <f>IF(OR(E147="",E147="!!!",F147="NEW"),"",COUNTBLANK(OFFSET(A$1,,,SUMPRODUCT(MAX(ROW(E$2:E147)*(E147=E$2:E147)))))-COUNTBLANK(OFFSET(A$1,,,SUMPRODUCT(MAX(ROW(E$1:E146)*(E2=E$1:E146))))))</f>
        <v> </v>
      </c>
      <c r="K147" s="19" t="str">
        <f>IF(OR(E147="",E147="!!!",F147="NEW"),"",INDEX(J$1:J146,SUMPRODUCT(MAX(ROW(E$1:E146)*(E147=E$1:E146)))))</f>
        <v> </v>
      </c>
      <c r="L147" s="20"/>
    </row>
    <row r="148" spans="1:12">
      <c r="A148" s="13"/>
    </row>
    <row r="149" spans="1:12">
      <c r="A149" s="13" t="s">
        <v>141</v>
      </c>
    </row>
    <row r="150" spans="1:12">
      <c r="A150" s="13" t="s">
        <v>36</v>
      </c>
      <c r="B150" s="14" t="s">
        <v>23</v>
      </c>
      <c r="C150" s="14" t="s">
        <v>24</v>
      </c>
      <c r="D150" s="14" t="s">
        <v>25</v>
      </c>
      <c r="E150" s="15">
        <f>IF(D150="?OLD","!!!","")</f>
        <v/>
      </c>
      <c r="F150" s="16" t="str">
        <f>IF(OR(E150="",E150="!!!"),"",IF(NOT(ISNA(VLOOKUP(E150,E$1:E149,1,FALSE()))),"OLD",IF(AND(E150&lt;&gt;"",E150&lt;&gt;"!!!"),"NEW","")))</f>
        <v> </v>
      </c>
      <c r="G150" s="17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18" t="str">
        <f>IF(J150&lt;&gt;1,"",IF(I150="SBJ","CB","?"))</f>
        <v> </v>
      </c>
      <c r="I150" s="19" t="str">
        <f>IF(OR(E150="",E150="!!!",F150="NEW"),"",INDEX(B149:B$2,-1+SUMPRODUCT(MAX(ROW(E149:E$2)*(E150=E149:E$2)))))</f>
        <v> </v>
      </c>
      <c r="J150" s="19" t="str">
        <f>IF(OR(E150="",E150="!!!",F150="NEW"),"",COUNTBLANK(OFFSET(A$1,,,SUMPRODUCT(MAX(ROW(E$2:E150)*(E150=E$2:E150)))))-COUNTBLANK(OFFSET(A$1,,,SUMPRODUCT(MAX(ROW(E$1:E149)*(E2=E$1:E149))))))</f>
        <v> </v>
      </c>
      <c r="K150" s="19" t="str">
        <f>IF(OR(E150="",E150="!!!",F150="NEW"),"",INDEX(J$1:J149,SUMPRODUCT(MAX(ROW(E$1:E149)*(E150=E$1:E149)))))</f>
        <v> </v>
      </c>
      <c r="L150" s="20"/>
    </row>
    <row r="151" spans="1:12">
      <c r="A151" s="13" t="s">
        <v>37</v>
      </c>
      <c r="B151" s="14" t="s">
        <v>27</v>
      </c>
      <c r="C151" s="14" t="s">
        <v>24</v>
      </c>
      <c r="D151" s="14" t="s">
        <v>25</v>
      </c>
      <c r="E151" s="15">
        <f>IF(D151="?OLD","!!!","")</f>
        <v/>
      </c>
      <c r="F151" s="16" t="str">
        <f>IF(OR(E151="",E151="!!!"),"",IF(NOT(ISNA(VLOOKUP(E151,E$1:E150,1,FALSE()))),"OLD",IF(AND(E151&lt;&gt;"",E151&lt;&gt;"!!!"),"NEW","")))</f>
        <v> </v>
      </c>
      <c r="G151" s="17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18" t="str">
        <f>IF(J151&lt;&gt;1,"",IF(I151="SBJ","CB","?"))</f>
        <v> </v>
      </c>
      <c r="I151" s="19" t="str">
        <f>IF(OR(E151="",E151="!!!",F151="NEW"),"",INDEX(B150:B$2,-1+SUMPRODUCT(MAX(ROW(E150:E$2)*(E151=E150:E$2)))))</f>
        <v> </v>
      </c>
      <c r="J151" s="19" t="str">
        <f>IF(OR(E151="",E151="!!!",F151="NEW"),"",COUNTBLANK(OFFSET(A$1,,,SUMPRODUCT(MAX(ROW(E$2:E151)*(E151=E$2:E151)))))-COUNTBLANK(OFFSET(A$1,,,SUMPRODUCT(MAX(ROW(E$1:E150)*(E2=E$1:E150))))))</f>
        <v> </v>
      </c>
      <c r="K151" s="19" t="str">
        <f>IF(OR(E151="",E151="!!!",F151="NEW"),"",INDEX(J$1:J150,SUMPRODUCT(MAX(ROW(E$1:E150)*(E151=E$1:E150)))))</f>
        <v> </v>
      </c>
      <c r="L151" s="20"/>
    </row>
    <row r="152" spans="1:12">
      <c r="A152" s="13" t="s">
        <v>56</v>
      </c>
      <c r="E152" s="15">
        <f>IF(D152="?OLD","!!!","")</f>
        <v/>
      </c>
      <c r="F152" s="16" t="str">
        <f>IF(OR(E152="",E152="!!!"),"",IF(NOT(ISNA(VLOOKUP(E152,E$1:E151,1,FALSE()))),"OLD",IF(AND(E152&lt;&gt;"",E152&lt;&gt;"!!!"),"NEW","")))</f>
        <v> </v>
      </c>
      <c r="G152" s="17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18" t="str">
        <f>IF(J152&lt;&gt;1,"",IF(I152="SBJ","CB","?"))</f>
        <v> </v>
      </c>
      <c r="I152" s="19" t="str">
        <f>IF(OR(E152="",E152="!!!",F152="NEW"),"",INDEX(B151:B$2,-1+SUMPRODUCT(MAX(ROW(E151:E$2)*(E152=E151:E$2)))))</f>
        <v> </v>
      </c>
      <c r="J152" s="19" t="str">
        <f>IF(OR(E152="",E152="!!!",F152="NEW"),"",COUNTBLANK(OFFSET(A$1,,,SUMPRODUCT(MAX(ROW(E$2:E152)*(E152=E$2:E152)))))-COUNTBLANK(OFFSET(A$1,,,SUMPRODUCT(MAX(ROW(E$1:E151)*(E2=E$1:E151))))))</f>
        <v> </v>
      </c>
      <c r="K152" s="19" t="str">
        <f>IF(OR(E152="",E152="!!!",F152="NEW"),"",INDEX(J$1:J151,SUMPRODUCT(MAX(ROW(E$1:E151)*(E152=E$1:E151)))))</f>
        <v> </v>
      </c>
      <c r="L152" s="20"/>
    </row>
    <row r="153" spans="1:12">
      <c r="A153" s="13" t="s">
        <v>142</v>
      </c>
      <c r="E153" s="15">
        <f>IF(D153="?OLD","!!!","")</f>
        <v/>
      </c>
      <c r="F153" s="16" t="str">
        <f>IF(OR(E153="",E153="!!!"),"",IF(NOT(ISNA(VLOOKUP(E153,E$1:E152,1,FALSE()))),"OLD",IF(AND(E153&lt;&gt;"",E153&lt;&gt;"!!!"),"NEW","")))</f>
        <v> </v>
      </c>
      <c r="G153" s="17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18" t="str">
        <f>IF(J153&lt;&gt;1,"",IF(I153="SBJ","CB","?"))</f>
        <v> </v>
      </c>
      <c r="I153" s="19" t="str">
        <f>IF(OR(E153="",E153="!!!",F153="NEW"),"",INDEX(B152:B$2,-1+SUMPRODUCT(MAX(ROW(E152:E$2)*(E153=E152:E$2)))))</f>
        <v> </v>
      </c>
      <c r="J153" s="19" t="str">
        <f>IF(OR(E153="",E153="!!!",F153="NEW"),"",COUNTBLANK(OFFSET(A$1,,,SUMPRODUCT(MAX(ROW(E$2:E153)*(E153=E$2:E153)))))-COUNTBLANK(OFFSET(A$1,,,SUMPRODUCT(MAX(ROW(E$1:E152)*(E2=E$1:E152))))))</f>
        <v> </v>
      </c>
      <c r="K153" s="19" t="str">
        <f>IF(OR(E153="",E153="!!!",F153="NEW"),"",INDEX(J$1:J152,SUMPRODUCT(MAX(ROW(E$1:E152)*(E153=E$1:E152)))))</f>
        <v> </v>
      </c>
      <c r="L153" s="20"/>
    </row>
    <row r="154" spans="1:12">
      <c r="A154" s="13" t="s">
        <v>143</v>
      </c>
      <c r="E154" s="15">
        <f>IF(D154="?OLD","!!!","")</f>
        <v/>
      </c>
      <c r="F154" s="16" t="str">
        <f>IF(OR(E154="",E154="!!!"),"",IF(NOT(ISNA(VLOOKUP(E154,E$1:E153,1,FALSE()))),"OLD",IF(AND(E154&lt;&gt;"",E154&lt;&gt;"!!!"),"NEW","")))</f>
        <v> </v>
      </c>
      <c r="G154" s="17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18" t="str">
        <f>IF(J154&lt;&gt;1,"",IF(I154="SBJ","CB","?"))</f>
        <v> </v>
      </c>
      <c r="I154" s="19" t="str">
        <f>IF(OR(E154="",E154="!!!",F154="NEW"),"",INDEX(B153:B$2,-1+SUMPRODUCT(MAX(ROW(E153:E$2)*(E154=E153:E$2)))))</f>
        <v> </v>
      </c>
      <c r="J154" s="19" t="str">
        <f>IF(OR(E154="",E154="!!!",F154="NEW"),"",COUNTBLANK(OFFSET(A$1,,,SUMPRODUCT(MAX(ROW(E$2:E154)*(E154=E$2:E154)))))-COUNTBLANK(OFFSET(A$1,,,SUMPRODUCT(MAX(ROW(E$1:E153)*(E2=E$1:E153))))))</f>
        <v> </v>
      </c>
      <c r="K154" s="19" t="str">
        <f>IF(OR(E154="",E154="!!!",F154="NEW"),"",INDEX(J$1:J153,SUMPRODUCT(MAX(ROW(E$1:E153)*(E154=E$1:E153)))))</f>
        <v> </v>
      </c>
      <c r="L154" s="20"/>
    </row>
    <row r="155" spans="1:12">
      <c r="A155" s="13" t="s">
        <v>144</v>
      </c>
      <c r="E155" s="15">
        <f>IF(D155="?OLD","!!!","")</f>
        <v/>
      </c>
      <c r="F155" s="16" t="str">
        <f>IF(OR(E155="",E155="!!!"),"",IF(NOT(ISNA(VLOOKUP(E155,E$1:E154,1,FALSE()))),"OLD",IF(AND(E155&lt;&gt;"",E155&lt;&gt;"!!!"),"NEW","")))</f>
        <v> </v>
      </c>
      <c r="G155" s="17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18" t="str">
        <f>IF(J155&lt;&gt;1,"",IF(I155="SBJ","CB","?"))</f>
        <v> </v>
      </c>
      <c r="I155" s="19" t="str">
        <f>IF(OR(E155="",E155="!!!",F155="NEW"),"",INDEX(B154:B$2,-1+SUMPRODUCT(MAX(ROW(E154:E$2)*(E155=E154:E$2)))))</f>
        <v> </v>
      </c>
      <c r="J155" s="19" t="str">
        <f>IF(OR(E155="",E155="!!!",F155="NEW"),"",COUNTBLANK(OFFSET(A$1,,,SUMPRODUCT(MAX(ROW(E$2:E155)*(E155=E$2:E155)))))-COUNTBLANK(OFFSET(A$1,,,SUMPRODUCT(MAX(ROW(E$1:E154)*(E2=E$1:E154))))))</f>
        <v> </v>
      </c>
      <c r="K155" s="19" t="str">
        <f>IF(OR(E155="",E155="!!!",F155="NEW"),"",INDEX(J$1:J154,SUMPRODUCT(MAX(ROW(E$1:E154)*(E155=E$1:E154)))))</f>
        <v> </v>
      </c>
      <c r="L155" s="20"/>
    </row>
    <row r="156" spans="1:12">
      <c r="A156" s="13" t="s">
        <v>145</v>
      </c>
      <c r="B156" s="14" t="s">
        <v>93</v>
      </c>
      <c r="C156" s="14" t="s">
        <v>64</v>
      </c>
      <c r="D156" s="14" t="s">
        <v>25</v>
      </c>
      <c r="E156" s="15">
        <f>IF(D156="?OLD","!!!","")</f>
        <v/>
      </c>
      <c r="F156" s="16" t="str">
        <f>IF(OR(E156="",E156="!!!"),"",IF(NOT(ISNA(VLOOKUP(E156,E$1:E155,1,FALSE()))),"OLD",IF(AND(E156&lt;&gt;"",E156&lt;&gt;"!!!"),"NEW","")))</f>
        <v> </v>
      </c>
      <c r="G156" s="17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18" t="str">
        <f>IF(J156&lt;&gt;1,"",IF(I156="SBJ","CB","?"))</f>
        <v> </v>
      </c>
      <c r="I156" s="19" t="str">
        <f>IF(OR(E156="",E156="!!!",F156="NEW"),"",INDEX(B155:B$2,-1+SUMPRODUCT(MAX(ROW(E155:E$2)*(E156=E155:E$2)))))</f>
        <v> </v>
      </c>
      <c r="J156" s="19" t="str">
        <f>IF(OR(E156="",E156="!!!",F156="NEW"),"",COUNTBLANK(OFFSET(A$1,,,SUMPRODUCT(MAX(ROW(E$2:E156)*(E156=E$2:E156)))))-COUNTBLANK(OFFSET(A$1,,,SUMPRODUCT(MAX(ROW(E$1:E155)*(E2=E$1:E155))))))</f>
        <v> </v>
      </c>
      <c r="K156" s="19" t="str">
        <f>IF(OR(E156="",E156="!!!",F156="NEW"),"",INDEX(J$1:J155,SUMPRODUCT(MAX(ROW(E$1:E155)*(E156=E$1:E155)))))</f>
        <v> </v>
      </c>
      <c r="L156" s="20"/>
    </row>
    <row r="157" spans="1:12">
      <c r="A157" s="13" t="s">
        <v>146</v>
      </c>
      <c r="E157" s="15">
        <f>IF(D157="?OLD","!!!","")</f>
        <v/>
      </c>
      <c r="F157" s="16" t="str">
        <f>IF(OR(E157="",E157="!!!"),"",IF(NOT(ISNA(VLOOKUP(E157,E$1:E156,1,FALSE()))),"OLD",IF(AND(E157&lt;&gt;"",E157&lt;&gt;"!!!"),"NEW","")))</f>
        <v> </v>
      </c>
      <c r="G157" s="17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18" t="str">
        <f>IF(J157&lt;&gt;1,"",IF(I157="SBJ","CB","?"))</f>
        <v> </v>
      </c>
      <c r="I157" s="19" t="str">
        <f>IF(OR(E157="",E157="!!!",F157="NEW"),"",INDEX(B156:B$2,-1+SUMPRODUCT(MAX(ROW(E156:E$2)*(E157=E156:E$2)))))</f>
        <v> </v>
      </c>
      <c r="J157" s="19" t="str">
        <f>IF(OR(E157="",E157="!!!",F157="NEW"),"",COUNTBLANK(OFFSET(A$1,,,SUMPRODUCT(MAX(ROW(E$2:E157)*(E157=E$2:E157)))))-COUNTBLANK(OFFSET(A$1,,,SUMPRODUCT(MAX(ROW(E$1:E156)*(E2=E$1:E156))))))</f>
        <v> </v>
      </c>
      <c r="K157" s="19" t="str">
        <f>IF(OR(E157="",E157="!!!",F157="NEW"),"",INDEX(J$1:J156,SUMPRODUCT(MAX(ROW(E$1:E156)*(E157=E$1:E156)))))</f>
        <v> </v>
      </c>
      <c r="L157" s="20"/>
    </row>
    <row r="158" spans="1:12">
      <c r="A158" s="13" t="s">
        <v>147</v>
      </c>
      <c r="E158" s="15">
        <f>IF(D158="?OLD","!!!","")</f>
        <v/>
      </c>
      <c r="F158" s="16" t="str">
        <f>IF(OR(E158="",E158="!!!"),"",IF(NOT(ISNA(VLOOKUP(E158,E$1:E157,1,FALSE()))),"OLD",IF(AND(E158&lt;&gt;"",E158&lt;&gt;"!!!"),"NEW","")))</f>
        <v> </v>
      </c>
      <c r="G158" s="17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18" t="str">
        <f>IF(J158&lt;&gt;1,"",IF(I158="SBJ","CB","?"))</f>
        <v> </v>
      </c>
      <c r="I158" s="19" t="str">
        <f>IF(OR(E158="",E158="!!!",F158="NEW"),"",INDEX(B157:B$2,-1+SUMPRODUCT(MAX(ROW(E157:E$2)*(E158=E157:E$2)))))</f>
        <v> </v>
      </c>
      <c r="J158" s="19" t="str">
        <f>IF(OR(E158="",E158="!!!",F158="NEW"),"",COUNTBLANK(OFFSET(A$1,,,SUMPRODUCT(MAX(ROW(E$2:E158)*(E158=E$2:E158)))))-COUNTBLANK(OFFSET(A$1,,,SUMPRODUCT(MAX(ROW(E$1:E157)*(E2=E$1:E157))))))</f>
        <v> </v>
      </c>
      <c r="K158" s="19" t="str">
        <f>IF(OR(E158="",E158="!!!",F158="NEW"),"",INDEX(J$1:J157,SUMPRODUCT(MAX(ROW(E$1:E157)*(E158=E$1:E157)))))</f>
        <v> </v>
      </c>
      <c r="L158" s="20"/>
    </row>
    <row r="159" spans="1:12">
      <c r="A159" s="13" t="s">
        <v>148</v>
      </c>
      <c r="B159" s="14" t="s">
        <v>33</v>
      </c>
      <c r="C159" s="14" t="s">
        <v>149</v>
      </c>
      <c r="E159" s="15">
        <f>IF(D159="?OLD","!!!","")</f>
        <v/>
      </c>
      <c r="F159" s="16" t="str">
        <f>IF(OR(E159="",E159="!!!"),"",IF(NOT(ISNA(VLOOKUP(E159,E$1:E158,1,FALSE()))),"OLD",IF(AND(E159&lt;&gt;"",E159&lt;&gt;"!!!"),"NEW","")))</f>
        <v> </v>
      </c>
      <c r="G159" s="17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18" t="str">
        <f>IF(J159&lt;&gt;1,"",IF(I159="SBJ","CB","?"))</f>
        <v> </v>
      </c>
      <c r="I159" s="19" t="str">
        <f>IF(OR(E159="",E159="!!!",F159="NEW"),"",INDEX(B158:B$2,-1+SUMPRODUCT(MAX(ROW(E158:E$2)*(E159=E158:E$2)))))</f>
        <v> </v>
      </c>
      <c r="J159" s="19" t="str">
        <f>IF(OR(E159="",E159="!!!",F159="NEW"),"",COUNTBLANK(OFFSET(A$1,,,SUMPRODUCT(MAX(ROW(E$2:E159)*(E159=E$2:E159)))))-COUNTBLANK(OFFSET(A$1,,,SUMPRODUCT(MAX(ROW(E$1:E158)*(E2=E$1:E158))))))</f>
        <v> </v>
      </c>
      <c r="K159" s="19" t="str">
        <f>IF(OR(E159="",E159="!!!",F159="NEW"),"",INDEX(J$1:J158,SUMPRODUCT(MAX(ROW(E$1:E158)*(E159=E$1:E158)))))</f>
        <v> </v>
      </c>
      <c r="L159" s="20"/>
    </row>
    <row r="160" spans="1:12">
      <c r="A160" s="13" t="s">
        <v>56</v>
      </c>
      <c r="E160" s="15">
        <f>IF(D160="?OLD","!!!","")</f>
        <v/>
      </c>
      <c r="F160" s="16" t="str">
        <f>IF(OR(E160="",E160="!!!"),"",IF(NOT(ISNA(VLOOKUP(E160,E$1:E159,1,FALSE()))),"OLD",IF(AND(E160&lt;&gt;"",E160&lt;&gt;"!!!"),"NEW","")))</f>
        <v> </v>
      </c>
      <c r="G160" s="17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18" t="str">
        <f>IF(J160&lt;&gt;1,"",IF(I160="SBJ","CB","?"))</f>
        <v> </v>
      </c>
      <c r="I160" s="19" t="str">
        <f>IF(OR(E160="",E160="!!!",F160="NEW"),"",INDEX(B159:B$2,-1+SUMPRODUCT(MAX(ROW(E159:E$2)*(E160=E159:E$2)))))</f>
        <v> </v>
      </c>
      <c r="J160" s="19" t="str">
        <f>IF(OR(E160="",E160="!!!",F160="NEW"),"",COUNTBLANK(OFFSET(A$1,,,SUMPRODUCT(MAX(ROW(E$2:E160)*(E160=E$2:E160)))))-COUNTBLANK(OFFSET(A$1,,,SUMPRODUCT(MAX(ROW(E$1:E159)*(E2=E$1:E159))))))</f>
        <v> </v>
      </c>
      <c r="K160" s="19" t="str">
        <f>IF(OR(E160="",E160="!!!",F160="NEW"),"",INDEX(J$1:J159,SUMPRODUCT(MAX(ROW(E$1:E159)*(E160=E$1:E159)))))</f>
        <v> </v>
      </c>
      <c r="L160" s="20"/>
    </row>
    <row r="161" spans="1:12">
      <c r="A161" s="13" t="s">
        <v>150</v>
      </c>
      <c r="E161" s="15">
        <f>IF(D161="?OLD","!!!","")</f>
        <v/>
      </c>
      <c r="F161" s="16" t="str">
        <f>IF(OR(E161="",E161="!!!"),"",IF(NOT(ISNA(VLOOKUP(E161,E$1:E160,1,FALSE()))),"OLD",IF(AND(E161&lt;&gt;"",E161&lt;&gt;"!!!"),"NEW","")))</f>
        <v> </v>
      </c>
      <c r="G161" s="17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18" t="str">
        <f>IF(J161&lt;&gt;1,"",IF(I161="SBJ","CB","?"))</f>
        <v> </v>
      </c>
      <c r="I161" s="19" t="str">
        <f>IF(OR(E161="",E161="!!!",F161="NEW"),"",INDEX(B160:B$2,-1+SUMPRODUCT(MAX(ROW(E160:E$2)*(E161=E160:E$2)))))</f>
        <v> </v>
      </c>
      <c r="J161" s="19" t="str">
        <f>IF(OR(E161="",E161="!!!",F161="NEW"),"",COUNTBLANK(OFFSET(A$1,,,SUMPRODUCT(MAX(ROW(E$2:E161)*(E161=E$2:E161)))))-COUNTBLANK(OFFSET(A$1,,,SUMPRODUCT(MAX(ROW(E$1:E160)*(E2=E$1:E160))))))</f>
        <v> </v>
      </c>
      <c r="K161" s="19" t="str">
        <f>IF(OR(E161="",E161="!!!",F161="NEW"),"",INDEX(J$1:J160,SUMPRODUCT(MAX(ROW(E$1:E160)*(E161=E$1:E160)))))</f>
        <v> </v>
      </c>
      <c r="L161" s="20"/>
    </row>
    <row r="162" spans="1:12">
      <c r="A162" s="13" t="s">
        <v>151</v>
      </c>
      <c r="E162" s="15">
        <f>IF(D162="?OLD","!!!","")</f>
        <v/>
      </c>
      <c r="F162" s="16" t="str">
        <f>IF(OR(E162="",E162="!!!"),"",IF(NOT(ISNA(VLOOKUP(E162,E$1:E161,1,FALSE()))),"OLD",IF(AND(E162&lt;&gt;"",E162&lt;&gt;"!!!"),"NEW","")))</f>
        <v> </v>
      </c>
      <c r="G162" s="17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18" t="str">
        <f>IF(J162&lt;&gt;1,"",IF(I162="SBJ","CB","?"))</f>
        <v> </v>
      </c>
      <c r="I162" s="19" t="str">
        <f>IF(OR(E162="",E162="!!!",F162="NEW"),"",INDEX(B161:B$2,-1+SUMPRODUCT(MAX(ROW(E161:E$2)*(E162=E161:E$2)))))</f>
        <v> </v>
      </c>
      <c r="J162" s="19" t="str">
        <f>IF(OR(E162="",E162="!!!",F162="NEW"),"",COUNTBLANK(OFFSET(A$1,,,SUMPRODUCT(MAX(ROW(E$2:E162)*(E162=E$2:E162)))))-COUNTBLANK(OFFSET(A$1,,,SUMPRODUCT(MAX(ROW(E$1:E161)*(E2=E$1:E161))))))</f>
        <v> </v>
      </c>
      <c r="K162" s="19" t="str">
        <f>IF(OR(E162="",E162="!!!",F162="NEW"),"",INDEX(J$1:J161,SUMPRODUCT(MAX(ROW(E$1:E161)*(E162=E$1:E161)))))</f>
        <v> </v>
      </c>
      <c r="L162" s="20"/>
    </row>
    <row r="163" spans="1:12">
      <c r="A163" s="13" t="s">
        <v>152</v>
      </c>
      <c r="E163" s="15">
        <f>IF(D163="?OLD","!!!","")</f>
        <v/>
      </c>
      <c r="F163" s="16" t="str">
        <f>IF(OR(E163="",E163="!!!"),"",IF(NOT(ISNA(VLOOKUP(E163,E$1:E162,1,FALSE()))),"OLD",IF(AND(E163&lt;&gt;"",E163&lt;&gt;"!!!"),"NEW","")))</f>
        <v> </v>
      </c>
      <c r="G163" s="17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18" t="str">
        <f>IF(J163&lt;&gt;1,"",IF(I163="SBJ","CB","?"))</f>
        <v> </v>
      </c>
      <c r="I163" s="19" t="str">
        <f>IF(OR(E163="",E163="!!!",F163="NEW"),"",INDEX(B162:B$2,-1+SUMPRODUCT(MAX(ROW(E162:E$2)*(E163=E162:E$2)))))</f>
        <v> </v>
      </c>
      <c r="J163" s="19" t="str">
        <f>IF(OR(E163="",E163="!!!",F163="NEW"),"",COUNTBLANK(OFFSET(A$1,,,SUMPRODUCT(MAX(ROW(E$2:E163)*(E163=E$2:E163)))))-COUNTBLANK(OFFSET(A$1,,,SUMPRODUCT(MAX(ROW(E$1:E162)*(E2=E$1:E162))))))</f>
        <v> </v>
      </c>
      <c r="K163" s="19" t="str">
        <f>IF(OR(E163="",E163="!!!",F163="NEW"),"",INDEX(J$1:J162,SUMPRODUCT(MAX(ROW(E$1:E162)*(E163=E$1:E162)))))</f>
        <v> </v>
      </c>
      <c r="L163" s="20"/>
    </row>
    <row r="164" spans="1:12">
      <c r="A164" s="13" t="s">
        <v>153</v>
      </c>
      <c r="E164" s="15">
        <f>IF(D164="?OLD","!!!","")</f>
        <v/>
      </c>
      <c r="F164" s="16" t="str">
        <f>IF(OR(E164="",E164="!!!"),"",IF(NOT(ISNA(VLOOKUP(E164,E$1:E163,1,FALSE()))),"OLD",IF(AND(E164&lt;&gt;"",E164&lt;&gt;"!!!"),"NEW","")))</f>
        <v> </v>
      </c>
      <c r="G164" s="17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18" t="str">
        <f>IF(J164&lt;&gt;1,"",IF(I164="SBJ","CB","?"))</f>
        <v> </v>
      </c>
      <c r="I164" s="19" t="str">
        <f>IF(OR(E164="",E164="!!!",F164="NEW"),"",INDEX(B163:B$2,-1+SUMPRODUCT(MAX(ROW(E163:E$2)*(E164=E163:E$2)))))</f>
        <v> </v>
      </c>
      <c r="J164" s="19" t="str">
        <f>IF(OR(E164="",E164="!!!",F164="NEW"),"",COUNTBLANK(OFFSET(A$1,,,SUMPRODUCT(MAX(ROW(E$2:E164)*(E164=E$2:E164)))))-COUNTBLANK(OFFSET(A$1,,,SUMPRODUCT(MAX(ROW(E$1:E163)*(E2=E$1:E163))))))</f>
        <v> </v>
      </c>
      <c r="K164" s="19" t="str">
        <f>IF(OR(E164="",E164="!!!",F164="NEW"),"",INDEX(J$1:J163,SUMPRODUCT(MAX(ROW(E$1:E163)*(E164=E$1:E163)))))</f>
        <v> </v>
      </c>
      <c r="L164" s="20"/>
    </row>
    <row r="165" spans="1:12">
      <c r="A165" s="13" t="s">
        <v>57</v>
      </c>
      <c r="E165" s="15">
        <f>IF(D165="?OLD","!!!","")</f>
        <v/>
      </c>
      <c r="F165" s="16" t="str">
        <f>IF(OR(E165="",E165="!!!"),"",IF(NOT(ISNA(VLOOKUP(E165,E$1:E164,1,FALSE()))),"OLD",IF(AND(E165&lt;&gt;"",E165&lt;&gt;"!!!"),"NEW","")))</f>
        <v> </v>
      </c>
      <c r="G165" s="17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18" t="str">
        <f>IF(J165&lt;&gt;1,"",IF(I165="SBJ","CB","?"))</f>
        <v> </v>
      </c>
      <c r="I165" s="19" t="str">
        <f>IF(OR(E165="",E165="!!!",F165="NEW"),"",INDEX(B164:B$2,-1+SUMPRODUCT(MAX(ROW(E164:E$2)*(E165=E164:E$2)))))</f>
        <v> </v>
      </c>
      <c r="J165" s="19" t="str">
        <f>IF(OR(E165="",E165="!!!",F165="NEW"),"",COUNTBLANK(OFFSET(A$1,,,SUMPRODUCT(MAX(ROW(E$2:E165)*(E165=E$2:E165)))))-COUNTBLANK(OFFSET(A$1,,,SUMPRODUCT(MAX(ROW(E$1:E164)*(E2=E$1:E164))))))</f>
        <v> </v>
      </c>
      <c r="K165" s="19" t="str">
        <f>IF(OR(E165="",E165="!!!",F165="NEW"),"",INDEX(J$1:J164,SUMPRODUCT(MAX(ROW(E$1:E164)*(E165=E$1:E164)))))</f>
        <v> </v>
      </c>
      <c r="L165" s="20"/>
    </row>
    <row r="166" spans="1:12">
      <c r="A166" s="13" t="s">
        <v>71</v>
      </c>
      <c r="B166" s="14" t="s">
        <v>33</v>
      </c>
      <c r="C166" s="14" t="s">
        <v>72</v>
      </c>
      <c r="D166" s="14" t="s">
        <v>25</v>
      </c>
      <c r="E166" s="15">
        <f>IF(D166="?OLD","!!!","")</f>
        <v/>
      </c>
      <c r="F166" s="16" t="str">
        <f>IF(OR(E166="",E166="!!!"),"",IF(NOT(ISNA(VLOOKUP(E166,E$1:E165,1,FALSE()))),"OLD",IF(AND(E166&lt;&gt;"",E166&lt;&gt;"!!!"),"NEW","")))</f>
        <v> </v>
      </c>
      <c r="G166" s="17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18" t="str">
        <f>IF(J166&lt;&gt;1,"",IF(I166="SBJ","CB","?"))</f>
        <v> </v>
      </c>
      <c r="I166" s="19" t="str">
        <f>IF(OR(E166="",E166="!!!",F166="NEW"),"",INDEX(B165:B$2,-1+SUMPRODUCT(MAX(ROW(E165:E$2)*(E166=E165:E$2)))))</f>
        <v> </v>
      </c>
      <c r="J166" s="19" t="str">
        <f>IF(OR(E166="",E166="!!!",F166="NEW"),"",COUNTBLANK(OFFSET(A$1,,,SUMPRODUCT(MAX(ROW(E$2:E166)*(E166=E$2:E166)))))-COUNTBLANK(OFFSET(A$1,,,SUMPRODUCT(MAX(ROW(E$1:E165)*(E2=E$1:E165))))))</f>
        <v> </v>
      </c>
      <c r="K166" s="19" t="str">
        <f>IF(OR(E166="",E166="!!!",F166="NEW"),"",INDEX(J$1:J165,SUMPRODUCT(MAX(ROW(E$1:E165)*(E166=E$1:E165)))))</f>
        <v> </v>
      </c>
      <c r="L166" s="20"/>
    </row>
    <row r="167" spans="1:12">
      <c r="A167" s="13" t="s">
        <v>77</v>
      </c>
      <c r="B167" s="14" t="s">
        <v>27</v>
      </c>
      <c r="C167" s="14" t="s">
        <v>60</v>
      </c>
      <c r="D167" s="14" t="s">
        <v>25</v>
      </c>
      <c r="E167" s="15">
        <f>IF(D167="?OLD","!!!","")</f>
        <v/>
      </c>
      <c r="F167" s="16" t="str">
        <f>IF(OR(E167="",E167="!!!"),"",IF(NOT(ISNA(VLOOKUP(E167,E$1:E166,1,FALSE()))),"OLD",IF(AND(E167&lt;&gt;"",E167&lt;&gt;"!!!"),"NEW","")))</f>
        <v> </v>
      </c>
      <c r="G167" s="17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18" t="str">
        <f>IF(J167&lt;&gt;1,"",IF(I167="SBJ","CB","?"))</f>
        <v> </v>
      </c>
      <c r="I167" s="19" t="str">
        <f>IF(OR(E167="",E167="!!!",F167="NEW"),"",INDEX(B166:B$2,-1+SUMPRODUCT(MAX(ROW(E166:E$2)*(E167=E166:E$2)))))</f>
        <v> </v>
      </c>
      <c r="J167" s="19" t="str">
        <f>IF(OR(E167="",E167="!!!",F167="NEW"),"",COUNTBLANK(OFFSET(A$1,,,SUMPRODUCT(MAX(ROW(E$2:E167)*(E167=E$2:E167)))))-COUNTBLANK(OFFSET(A$1,,,SUMPRODUCT(MAX(ROW(E$1:E166)*(E2=E$1:E166))))))</f>
        <v> </v>
      </c>
      <c r="K167" s="19" t="str">
        <f>IF(OR(E167="",E167="!!!",F167="NEW"),"",INDEX(J$1:J166,SUMPRODUCT(MAX(ROW(E$1:E166)*(E167=E$1:E166)))))</f>
        <v> </v>
      </c>
      <c r="L167" s="20"/>
    </row>
    <row r="168" spans="1:12">
      <c r="A168" s="13" t="s">
        <v>56</v>
      </c>
      <c r="E168" s="15">
        <f>IF(D168="?OLD","!!!","")</f>
        <v/>
      </c>
      <c r="F168" s="16" t="str">
        <f>IF(OR(E168="",E168="!!!"),"",IF(NOT(ISNA(VLOOKUP(E168,E$1:E167,1,FALSE()))),"OLD",IF(AND(E168&lt;&gt;"",E168&lt;&gt;"!!!"),"NEW","")))</f>
        <v> </v>
      </c>
      <c r="G168" s="17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18" t="str">
        <f>IF(J168&lt;&gt;1,"",IF(I168="SBJ","CB","?"))</f>
        <v> </v>
      </c>
      <c r="I168" s="19" t="str">
        <f>IF(OR(E168="",E168="!!!",F168="NEW"),"",INDEX(B167:B$2,-1+SUMPRODUCT(MAX(ROW(E167:E$2)*(E168=E167:E$2)))))</f>
        <v> </v>
      </c>
      <c r="J168" s="19" t="str">
        <f>IF(OR(E168="",E168="!!!",F168="NEW"),"",COUNTBLANK(OFFSET(A$1,,,SUMPRODUCT(MAX(ROW(E$2:E168)*(E168=E$2:E168)))))-COUNTBLANK(OFFSET(A$1,,,SUMPRODUCT(MAX(ROW(E$1:E167)*(E2=E$1:E167))))))</f>
        <v> </v>
      </c>
      <c r="K168" s="19" t="str">
        <f>IF(OR(E168="",E168="!!!",F168="NEW"),"",INDEX(J$1:J167,SUMPRODUCT(MAX(ROW(E$1:E167)*(E168=E$1:E167)))))</f>
        <v> </v>
      </c>
      <c r="L168" s="20"/>
    </row>
    <row r="169" spans="1:12">
      <c r="A169" s="13" t="s">
        <v>57</v>
      </c>
      <c r="E169" s="15">
        <f>IF(D169="?OLD","!!!","")</f>
        <v/>
      </c>
      <c r="F169" s="16" t="str">
        <f>IF(OR(E169="",E169="!!!"),"",IF(NOT(ISNA(VLOOKUP(E169,E$1:E168,1,FALSE()))),"OLD",IF(AND(E169&lt;&gt;"",E169&lt;&gt;"!!!"),"NEW","")))</f>
        <v> </v>
      </c>
      <c r="G169" s="17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18" t="str">
        <f>IF(J169&lt;&gt;1,"",IF(I169="SBJ","CB","?"))</f>
        <v> </v>
      </c>
      <c r="I169" s="19" t="str">
        <f>IF(OR(E169="",E169="!!!",F169="NEW"),"",INDEX(B168:B$2,-1+SUMPRODUCT(MAX(ROW(E168:E$2)*(E169=E168:E$2)))))</f>
        <v> </v>
      </c>
      <c r="J169" s="19" t="str">
        <f>IF(OR(E169="",E169="!!!",F169="NEW"),"",COUNTBLANK(OFFSET(A$1,,,SUMPRODUCT(MAX(ROW(E$2:E169)*(E169=E$2:E169)))))-COUNTBLANK(OFFSET(A$1,,,SUMPRODUCT(MAX(ROW(E$1:E168)*(E2=E$1:E168))))))</f>
        <v> </v>
      </c>
      <c r="K169" s="19" t="str">
        <f>IF(OR(E169="",E169="!!!",F169="NEW"),"",INDEX(J$1:J168,SUMPRODUCT(MAX(ROW(E$1:E168)*(E169=E$1:E168)))))</f>
        <v> </v>
      </c>
      <c r="L169" s="20"/>
    </row>
    <row r="170" spans="1:12">
      <c r="A170" s="13" t="s">
        <v>96</v>
      </c>
      <c r="B170" s="14" t="s">
        <v>97</v>
      </c>
      <c r="E170" s="15">
        <f>IF(D170="?OLD","!!!","")</f>
        <v/>
      </c>
      <c r="F170" s="16" t="str">
        <f>IF(OR(E170="",E170="!!!"),"",IF(NOT(ISNA(VLOOKUP(E170,E$1:E169,1,FALSE()))),"OLD",IF(AND(E170&lt;&gt;"",E170&lt;&gt;"!!!"),"NEW","")))</f>
        <v> </v>
      </c>
      <c r="G170" s="17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18" t="str">
        <f>IF(J170&lt;&gt;1,"",IF(I170="SBJ","CB","?"))</f>
        <v> </v>
      </c>
      <c r="I170" s="19" t="str">
        <f>IF(OR(E170="",E170="!!!",F170="NEW"),"",INDEX(B169:B$2,-1+SUMPRODUCT(MAX(ROW(E169:E$2)*(E170=E169:E$2)))))</f>
        <v> </v>
      </c>
      <c r="J170" s="19" t="str">
        <f>IF(OR(E170="",E170="!!!",F170="NEW"),"",COUNTBLANK(OFFSET(A$1,,,SUMPRODUCT(MAX(ROW(E$2:E170)*(E170=E$2:E170)))))-COUNTBLANK(OFFSET(A$1,,,SUMPRODUCT(MAX(ROW(E$1:E169)*(E2=E$1:E169))))))</f>
        <v> </v>
      </c>
      <c r="K170" s="19" t="str">
        <f>IF(OR(E170="",E170="!!!",F170="NEW"),"",INDEX(J$1:J169,SUMPRODUCT(MAX(ROW(E$1:E169)*(E170=E$1:E169)))))</f>
        <v> </v>
      </c>
      <c r="L170" s="20"/>
    </row>
    <row r="171" spans="1:12">
      <c r="A171" s="13" t="s">
        <v>154</v>
      </c>
      <c r="E171" s="15">
        <f>IF(D171="?OLD","!!!","")</f>
        <v/>
      </c>
      <c r="F171" s="16" t="str">
        <f>IF(OR(E171="",E171="!!!"),"",IF(NOT(ISNA(VLOOKUP(E171,E$1:E170,1,FALSE()))),"OLD",IF(AND(E171&lt;&gt;"",E171&lt;&gt;"!!!"),"NEW","")))</f>
        <v> </v>
      </c>
      <c r="G171" s="17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18" t="str">
        <f>IF(J171&lt;&gt;1,"",IF(I171="SBJ","CB","?"))</f>
        <v> </v>
      </c>
      <c r="I171" s="19" t="str">
        <f>IF(OR(E171="",E171="!!!",F171="NEW"),"",INDEX(B170:B$2,-1+SUMPRODUCT(MAX(ROW(E170:E$2)*(E171=E170:E$2)))))</f>
        <v> </v>
      </c>
      <c r="J171" s="19" t="str">
        <f>IF(OR(E171="",E171="!!!",F171="NEW"),"",COUNTBLANK(OFFSET(A$1,,,SUMPRODUCT(MAX(ROW(E$2:E171)*(E171=E$2:E171)))))-COUNTBLANK(OFFSET(A$1,,,SUMPRODUCT(MAX(ROW(E$1:E170)*(E2=E$1:E170))))))</f>
        <v> </v>
      </c>
      <c r="K171" s="19" t="str">
        <f>IF(OR(E171="",E171="!!!",F171="NEW"),"",INDEX(J$1:J170,SUMPRODUCT(MAX(ROW(E$1:E170)*(E171=E$1:E170)))))</f>
        <v> </v>
      </c>
      <c r="L171" s="20"/>
    </row>
    <row r="172" spans="1:12">
      <c r="A172" s="13" t="s">
        <v>52</v>
      </c>
      <c r="E172" s="15">
        <f>IF(D172="?OLD","!!!","")</f>
        <v/>
      </c>
      <c r="F172" s="16" t="str">
        <f>IF(OR(E172="",E172="!!!"),"",IF(NOT(ISNA(VLOOKUP(E172,E$1:E171,1,FALSE()))),"OLD",IF(AND(E172&lt;&gt;"",E172&lt;&gt;"!!!"),"NEW","")))</f>
        <v> </v>
      </c>
      <c r="G172" s="17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18" t="str">
        <f>IF(J172&lt;&gt;1,"",IF(I172="SBJ","CB","?"))</f>
        <v> </v>
      </c>
      <c r="I172" s="19" t="str">
        <f>IF(OR(E172="",E172="!!!",F172="NEW"),"",INDEX(B171:B$2,-1+SUMPRODUCT(MAX(ROW(E171:E$2)*(E172=E171:E$2)))))</f>
        <v> </v>
      </c>
      <c r="J172" s="19" t="str">
        <f>IF(OR(E172="",E172="!!!",F172="NEW"),"",COUNTBLANK(OFFSET(A$1,,,SUMPRODUCT(MAX(ROW(E$2:E172)*(E172=E$2:E172)))))-COUNTBLANK(OFFSET(A$1,,,SUMPRODUCT(MAX(ROW(E$1:E171)*(E2=E$1:E171))))))</f>
        <v> </v>
      </c>
      <c r="K172" s="19" t="str">
        <f>IF(OR(E172="",E172="!!!",F172="NEW"),"",INDEX(J$1:J171,SUMPRODUCT(MAX(ROW(E$1:E171)*(E172=E$1:E171)))))</f>
        <v> </v>
      </c>
      <c r="L172" s="20"/>
    </row>
    <row r="173" spans="1:12">
      <c r="A173" s="13" t="s">
        <v>53</v>
      </c>
      <c r="E173" s="15">
        <f>IF(D173="?OLD","!!!","")</f>
        <v/>
      </c>
      <c r="F173" s="16" t="str">
        <f>IF(OR(E173="",E173="!!!"),"",IF(NOT(ISNA(VLOOKUP(E173,E$1:E172,1,FALSE()))),"OLD",IF(AND(E173&lt;&gt;"",E173&lt;&gt;"!!!"),"NEW","")))</f>
        <v> </v>
      </c>
      <c r="G173" s="17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18" t="str">
        <f>IF(J173&lt;&gt;1,"",IF(I173="SBJ","CB","?"))</f>
        <v> </v>
      </c>
      <c r="I173" s="19" t="str">
        <f>IF(OR(E173="",E173="!!!",F173="NEW"),"",INDEX(B172:B$2,-1+SUMPRODUCT(MAX(ROW(E172:E$2)*(E173=E172:E$2)))))</f>
        <v> </v>
      </c>
      <c r="J173" s="19" t="str">
        <f>IF(OR(E173="",E173="!!!",F173="NEW"),"",COUNTBLANK(OFFSET(A$1,,,SUMPRODUCT(MAX(ROW(E$2:E173)*(E173=E$2:E173)))))-COUNTBLANK(OFFSET(A$1,,,SUMPRODUCT(MAX(ROW(E$1:E172)*(E2=E$1:E172))))))</f>
        <v> </v>
      </c>
      <c r="K173" s="19" t="str">
        <f>IF(OR(E173="",E173="!!!",F173="NEW"),"",INDEX(J$1:J172,SUMPRODUCT(MAX(ROW(E$1:E172)*(E173=E$1:E172)))))</f>
        <v> </v>
      </c>
      <c r="L173" s="20"/>
    </row>
    <row r="174" spans="1:12">
      <c r="A174" s="13" t="s">
        <v>155</v>
      </c>
      <c r="E174" s="15">
        <f>IF(D174="?OLD","!!!","")</f>
        <v/>
      </c>
      <c r="F174" s="16" t="str">
        <f>IF(OR(E174="",E174="!!!"),"",IF(NOT(ISNA(VLOOKUP(E174,E$1:E173,1,FALSE()))),"OLD",IF(AND(E174&lt;&gt;"",E174&lt;&gt;"!!!"),"NEW","")))</f>
        <v> </v>
      </c>
      <c r="G174" s="17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18" t="str">
        <f>IF(J174&lt;&gt;1,"",IF(I174="SBJ","CB","?"))</f>
        <v> </v>
      </c>
      <c r="I174" s="19" t="str">
        <f>IF(OR(E174="",E174="!!!",F174="NEW"),"",INDEX(B173:B$2,-1+SUMPRODUCT(MAX(ROW(E173:E$2)*(E174=E173:E$2)))))</f>
        <v> </v>
      </c>
      <c r="J174" s="19" t="str">
        <f>IF(OR(E174="",E174="!!!",F174="NEW"),"",COUNTBLANK(OFFSET(A$1,,,SUMPRODUCT(MAX(ROW(E$2:E174)*(E174=E$2:E174)))))-COUNTBLANK(OFFSET(A$1,,,SUMPRODUCT(MAX(ROW(E$1:E173)*(E2=E$1:E173))))))</f>
        <v> </v>
      </c>
      <c r="K174" s="19" t="str">
        <f>IF(OR(E174="",E174="!!!",F174="NEW"),"",INDEX(J$1:J173,SUMPRODUCT(MAX(ROW(E$1:E173)*(E174=E$1:E173)))))</f>
        <v> </v>
      </c>
      <c r="L174" s="20"/>
    </row>
    <row r="175" spans="1:12">
      <c r="A175" s="13" t="s">
        <v>54</v>
      </c>
      <c r="B175" s="14" t="s">
        <v>63</v>
      </c>
      <c r="C175" s="14" t="s">
        <v>51</v>
      </c>
      <c r="E175" s="15">
        <f>IF(D175="?OLD","!!!","")</f>
        <v/>
      </c>
      <c r="F175" s="16" t="str">
        <f>IF(OR(E175="",E175="!!!"),"",IF(NOT(ISNA(VLOOKUP(E175,E$1:E174,1,FALSE()))),"OLD",IF(AND(E175&lt;&gt;"",E175&lt;&gt;"!!!"),"NEW","")))</f>
        <v> </v>
      </c>
      <c r="G175" s="17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18" t="str">
        <f>IF(J175&lt;&gt;1,"",IF(I175="SBJ","CB","?"))</f>
        <v> </v>
      </c>
      <c r="I175" s="19" t="str">
        <f>IF(OR(E175="",E175="!!!",F175="NEW"),"",INDEX(B174:B$2,-1+SUMPRODUCT(MAX(ROW(E174:E$2)*(E175=E174:E$2)))))</f>
        <v> </v>
      </c>
      <c r="J175" s="19" t="str">
        <f>IF(OR(E175="",E175="!!!",F175="NEW"),"",COUNTBLANK(OFFSET(A$1,,,SUMPRODUCT(MAX(ROW(E$2:E175)*(E175=E$2:E175)))))-COUNTBLANK(OFFSET(A$1,,,SUMPRODUCT(MAX(ROW(E$1:E174)*(E2=E$1:E174))))))</f>
        <v> </v>
      </c>
      <c r="K175" s="19" t="str">
        <f>IF(OR(E175="",E175="!!!",F175="NEW"),"",INDEX(J$1:J174,SUMPRODUCT(MAX(ROW(E$1:E174)*(E175=E$1:E174)))))</f>
        <v> </v>
      </c>
      <c r="L175" s="20"/>
    </row>
    <row r="176" spans="1:12">
      <c r="A176" s="13" t="s">
        <v>68</v>
      </c>
      <c r="E176" s="15">
        <f>IF(D176="?OLD","!!!","")</f>
        <v/>
      </c>
      <c r="F176" s="16" t="str">
        <f>IF(OR(E176="",E176="!!!"),"",IF(NOT(ISNA(VLOOKUP(E176,E$1:E175,1,FALSE()))),"OLD",IF(AND(E176&lt;&gt;"",E176&lt;&gt;"!!!"),"NEW","")))</f>
        <v> </v>
      </c>
      <c r="G176" s="17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18" t="str">
        <f>IF(J176&lt;&gt;1,"",IF(I176="SBJ","CB","?"))</f>
        <v> </v>
      </c>
      <c r="I176" s="19" t="str">
        <f>IF(OR(E176="",E176="!!!",F176="NEW"),"",INDEX(B175:B$2,-1+SUMPRODUCT(MAX(ROW(E175:E$2)*(E176=E175:E$2)))))</f>
        <v> </v>
      </c>
      <c r="J176" s="19" t="str">
        <f>IF(OR(E176="",E176="!!!",F176="NEW"),"",COUNTBLANK(OFFSET(A$1,,,SUMPRODUCT(MAX(ROW(E$2:E176)*(E176=E$2:E176)))))-COUNTBLANK(OFFSET(A$1,,,SUMPRODUCT(MAX(ROW(E$1:E175)*(E2=E$1:E175))))))</f>
        <v> </v>
      </c>
      <c r="K176" s="19" t="str">
        <f>IF(OR(E176="",E176="!!!",F176="NEW"),"",INDEX(J$1:J175,SUMPRODUCT(MAX(ROW(E$1:E175)*(E176=E$1:E175)))))</f>
        <v> </v>
      </c>
      <c r="L176" s="20"/>
    </row>
    <row r="177" spans="1:12">
      <c r="A177" s="13"/>
    </row>
    <row r="178" spans="1:12">
      <c r="A178" s="13" t="s">
        <v>156</v>
      </c>
    </row>
    <row r="179" spans="1:12">
      <c r="A179" s="13" t="s">
        <v>157</v>
      </c>
      <c r="E179" s="15">
        <f>IF(D179="?OLD","!!!","")</f>
        <v/>
      </c>
      <c r="F179" s="16" t="str">
        <f>IF(OR(E179="",E179="!!!"),"",IF(NOT(ISNA(VLOOKUP(E179,E$1:E178,1,FALSE()))),"OLD",IF(AND(E179&lt;&gt;"",E179&lt;&gt;"!!!"),"NEW","")))</f>
        <v> </v>
      </c>
      <c r="G179" s="17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18" t="str">
        <f>IF(J179&lt;&gt;1,"",IF(I179="SBJ","CB","?"))</f>
        <v> </v>
      </c>
      <c r="I179" s="19" t="str">
        <f>IF(OR(E179="",E179="!!!",F179="NEW"),"",INDEX(B178:B$2,-1+SUMPRODUCT(MAX(ROW(E178:E$2)*(E179=E178:E$2)))))</f>
        <v> </v>
      </c>
      <c r="J179" s="19" t="str">
        <f>IF(OR(E179="",E179="!!!",F179="NEW"),"",COUNTBLANK(OFFSET(A$1,,,SUMPRODUCT(MAX(ROW(E$2:E179)*(E179=E$2:E179)))))-COUNTBLANK(OFFSET(A$1,,,SUMPRODUCT(MAX(ROW(E$1:E178)*(E2=E$1:E178))))))</f>
        <v> </v>
      </c>
      <c r="K179" s="19" t="str">
        <f>IF(OR(E179="",E179="!!!",F179="NEW"),"",INDEX(J$1:J178,SUMPRODUCT(MAX(ROW(E$1:E178)*(E179=E$1:E178)))))</f>
        <v> </v>
      </c>
      <c r="L179" s="20"/>
    </row>
    <row r="180" spans="1:12">
      <c r="A180" s="13" t="s">
        <v>158</v>
      </c>
      <c r="E180" s="15">
        <f>IF(D180="?OLD","!!!","")</f>
        <v/>
      </c>
      <c r="F180" s="16" t="str">
        <f>IF(OR(E180="",E180="!!!"),"",IF(NOT(ISNA(VLOOKUP(E180,E$1:E179,1,FALSE()))),"OLD",IF(AND(E180&lt;&gt;"",E180&lt;&gt;"!!!"),"NEW","")))</f>
        <v> </v>
      </c>
      <c r="G180" s="17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18" t="str">
        <f>IF(J180&lt;&gt;1,"",IF(I180="SBJ","CB","?"))</f>
        <v> </v>
      </c>
      <c r="I180" s="19" t="str">
        <f>IF(OR(E180="",E180="!!!",F180="NEW"),"",INDEX(B179:B$2,-1+SUMPRODUCT(MAX(ROW(E179:E$2)*(E180=E179:E$2)))))</f>
        <v> </v>
      </c>
      <c r="J180" s="19" t="str">
        <f>IF(OR(E180="",E180="!!!",F180="NEW"),"",COUNTBLANK(OFFSET(A$1,,,SUMPRODUCT(MAX(ROW(E$2:E180)*(E180=E$2:E180)))))-COUNTBLANK(OFFSET(A$1,,,SUMPRODUCT(MAX(ROW(E$1:E179)*(E2=E$1:E179))))))</f>
        <v> </v>
      </c>
      <c r="K180" s="19" t="str">
        <f>IF(OR(E180="",E180="!!!",F180="NEW"),"",INDEX(J$1:J179,SUMPRODUCT(MAX(ROW(E$1:E179)*(E180=E$1:E179)))))</f>
        <v> </v>
      </c>
      <c r="L180" s="20"/>
    </row>
    <row r="181" spans="1:12">
      <c r="A181" s="13" t="s">
        <v>151</v>
      </c>
      <c r="E181" s="15">
        <f>IF(D181="?OLD","!!!","")</f>
        <v/>
      </c>
      <c r="F181" s="16" t="str">
        <f>IF(OR(E181="",E181="!!!"),"",IF(NOT(ISNA(VLOOKUP(E181,E$1:E180,1,FALSE()))),"OLD",IF(AND(E181&lt;&gt;"",E181&lt;&gt;"!!!"),"NEW","")))</f>
        <v> </v>
      </c>
      <c r="G181" s="17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18" t="str">
        <f>IF(J181&lt;&gt;1,"",IF(I181="SBJ","CB","?"))</f>
        <v> </v>
      </c>
      <c r="I181" s="19" t="str">
        <f>IF(OR(E181="",E181="!!!",F181="NEW"),"",INDEX(B180:B$2,-1+SUMPRODUCT(MAX(ROW(E180:E$2)*(E181=E180:E$2)))))</f>
        <v> </v>
      </c>
      <c r="J181" s="19" t="str">
        <f>IF(OR(E181="",E181="!!!",F181="NEW"),"",COUNTBLANK(OFFSET(A$1,,,SUMPRODUCT(MAX(ROW(E$2:E181)*(E181=E$2:E181)))))-COUNTBLANK(OFFSET(A$1,,,SUMPRODUCT(MAX(ROW(E$1:E180)*(E2=E$1:E180))))))</f>
        <v> </v>
      </c>
      <c r="K181" s="19" t="str">
        <f>IF(OR(E181="",E181="!!!",F181="NEW"),"",INDEX(J$1:J180,SUMPRODUCT(MAX(ROW(E$1:E180)*(E181=E$1:E180)))))</f>
        <v> </v>
      </c>
      <c r="L181" s="20"/>
    </row>
    <row r="182" spans="1:12">
      <c r="A182" s="13" t="s">
        <v>53</v>
      </c>
      <c r="E182" s="15">
        <f>IF(D182="?OLD","!!!","")</f>
        <v/>
      </c>
      <c r="F182" s="16" t="str">
        <f>IF(OR(E182="",E182="!!!"),"",IF(NOT(ISNA(VLOOKUP(E182,E$1:E181,1,FALSE()))),"OLD",IF(AND(E182&lt;&gt;"",E182&lt;&gt;"!!!"),"NEW","")))</f>
        <v> </v>
      </c>
      <c r="G182" s="17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18" t="str">
        <f>IF(J182&lt;&gt;1,"",IF(I182="SBJ","CB","?"))</f>
        <v> </v>
      </c>
      <c r="I182" s="19" t="str">
        <f>IF(OR(E182="",E182="!!!",F182="NEW"),"",INDEX(B181:B$2,-1+SUMPRODUCT(MAX(ROW(E181:E$2)*(E182=E181:E$2)))))</f>
        <v> </v>
      </c>
      <c r="J182" s="19" t="str">
        <f>IF(OR(E182="",E182="!!!",F182="NEW"),"",COUNTBLANK(OFFSET(A$1,,,SUMPRODUCT(MAX(ROW(E$2:E182)*(E182=E$2:E182)))))-COUNTBLANK(OFFSET(A$1,,,SUMPRODUCT(MAX(ROW(E$1:E181)*(E2=E$1:E181))))))</f>
        <v> </v>
      </c>
      <c r="K182" s="19" t="str">
        <f>IF(OR(E182="",E182="!!!",F182="NEW"),"",INDEX(J$1:J181,SUMPRODUCT(MAX(ROW(E$1:E181)*(E182=E$1:E181)))))</f>
        <v> </v>
      </c>
      <c r="L182" s="20"/>
    </row>
    <row r="183" spans="1:12">
      <c r="A183" s="13" t="s">
        <v>159</v>
      </c>
      <c r="B183" s="14" t="s">
        <v>45</v>
      </c>
      <c r="C183" s="14" t="s">
        <v>51</v>
      </c>
      <c r="E183" s="15">
        <f>IF(D183="?OLD","!!!","")</f>
        <v/>
      </c>
      <c r="F183" s="16" t="str">
        <f>IF(OR(E183="",E183="!!!"),"",IF(NOT(ISNA(VLOOKUP(E183,E$1:E182,1,FALSE()))),"OLD",IF(AND(E183&lt;&gt;"",E183&lt;&gt;"!!!"),"NEW","")))</f>
        <v> </v>
      </c>
      <c r="G183" s="17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18" t="str">
        <f>IF(J183&lt;&gt;1,"",IF(I183="SBJ","CB","?"))</f>
        <v> </v>
      </c>
      <c r="I183" s="19" t="str">
        <f>IF(OR(E183="",E183="!!!",F183="NEW"),"",INDEX(B182:B$2,-1+SUMPRODUCT(MAX(ROW(E182:E$2)*(E183=E182:E$2)))))</f>
        <v> </v>
      </c>
      <c r="J183" s="19" t="str">
        <f>IF(OR(E183="",E183="!!!",F183="NEW"),"",COUNTBLANK(OFFSET(A$1,,,SUMPRODUCT(MAX(ROW(E$2:E183)*(E183=E$2:E183)))))-COUNTBLANK(OFFSET(A$1,,,SUMPRODUCT(MAX(ROW(E$1:E182)*(E2=E$1:E182))))))</f>
        <v> </v>
      </c>
      <c r="K183" s="19" t="str">
        <f>IF(OR(E183="",E183="!!!",F183="NEW"),"",INDEX(J$1:J182,SUMPRODUCT(MAX(ROW(E$1:E182)*(E183=E$1:E182)))))</f>
        <v> </v>
      </c>
      <c r="L183" s="20"/>
    </row>
    <row r="184" spans="1:12">
      <c r="A184" s="13" t="s">
        <v>160</v>
      </c>
      <c r="E184" s="15">
        <f>IF(D184="?OLD","!!!","")</f>
        <v/>
      </c>
      <c r="F184" s="16" t="str">
        <f>IF(OR(E184="",E184="!!!"),"",IF(NOT(ISNA(VLOOKUP(E184,E$1:E183,1,FALSE()))),"OLD",IF(AND(E184&lt;&gt;"",E184&lt;&gt;"!!!"),"NEW","")))</f>
        <v> </v>
      </c>
      <c r="G184" s="17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18" t="str">
        <f>IF(J184&lt;&gt;1,"",IF(I184="SBJ","CB","?"))</f>
        <v> </v>
      </c>
      <c r="I184" s="19" t="str">
        <f>IF(OR(E184="",E184="!!!",F184="NEW"),"",INDEX(B183:B$2,-1+SUMPRODUCT(MAX(ROW(E183:E$2)*(E184=E183:E$2)))))</f>
        <v> </v>
      </c>
      <c r="J184" s="19" t="str">
        <f>IF(OR(E184="",E184="!!!",F184="NEW"),"",COUNTBLANK(OFFSET(A$1,,,SUMPRODUCT(MAX(ROW(E$2:E184)*(E184=E$2:E184)))))-COUNTBLANK(OFFSET(A$1,,,SUMPRODUCT(MAX(ROW(E$1:E183)*(E2=E$1:E183))))))</f>
        <v> </v>
      </c>
      <c r="K184" s="19" t="str">
        <f>IF(OR(E184="",E184="!!!",F184="NEW"),"",INDEX(J$1:J183,SUMPRODUCT(MAX(ROW(E$1:E183)*(E184=E$1:E183)))))</f>
        <v> </v>
      </c>
      <c r="L184" s="20"/>
    </row>
    <row r="185" spans="1:12">
      <c r="A185" s="13" t="s">
        <v>161</v>
      </c>
      <c r="E185" s="15">
        <f>IF(D185="?OLD","!!!","")</f>
        <v/>
      </c>
      <c r="F185" s="16" t="str">
        <f>IF(OR(E185="",E185="!!!"),"",IF(NOT(ISNA(VLOOKUP(E185,E$1:E184,1,FALSE()))),"OLD",IF(AND(E185&lt;&gt;"",E185&lt;&gt;"!!!"),"NEW","")))</f>
        <v> </v>
      </c>
      <c r="G185" s="17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18" t="str">
        <f>IF(J185&lt;&gt;1,"",IF(I185="SBJ","CB","?"))</f>
        <v> </v>
      </c>
      <c r="I185" s="19" t="str">
        <f>IF(OR(E185="",E185="!!!",F185="NEW"),"",INDEX(B184:B$2,-1+SUMPRODUCT(MAX(ROW(E184:E$2)*(E185=E184:E$2)))))</f>
        <v> </v>
      </c>
      <c r="J185" s="19" t="str">
        <f>IF(OR(E185="",E185="!!!",F185="NEW"),"",COUNTBLANK(OFFSET(A$1,,,SUMPRODUCT(MAX(ROW(E$2:E185)*(E185=E$2:E185)))))-COUNTBLANK(OFFSET(A$1,,,SUMPRODUCT(MAX(ROW(E$1:E184)*(E2=E$1:E184))))))</f>
        <v> </v>
      </c>
      <c r="K185" s="19" t="str">
        <f>IF(OR(E185="",E185="!!!",F185="NEW"),"",INDEX(J$1:J184,SUMPRODUCT(MAX(ROW(E$1:E184)*(E185=E$1:E184)))))</f>
        <v> </v>
      </c>
      <c r="L185" s="20"/>
    </row>
    <row r="186" spans="1:12">
      <c r="A186" s="13" t="s">
        <v>52</v>
      </c>
      <c r="E186" s="15">
        <f>IF(D186="?OLD","!!!","")</f>
        <v/>
      </c>
      <c r="F186" s="16" t="str">
        <f>IF(OR(E186="",E186="!!!"),"",IF(NOT(ISNA(VLOOKUP(E186,E$1:E185,1,FALSE()))),"OLD",IF(AND(E186&lt;&gt;"",E186&lt;&gt;"!!!"),"NEW","")))</f>
        <v> </v>
      </c>
      <c r="G186" s="17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18" t="str">
        <f>IF(J186&lt;&gt;1,"",IF(I186="SBJ","CB","?"))</f>
        <v> </v>
      </c>
      <c r="I186" s="19" t="str">
        <f>IF(OR(E186="",E186="!!!",F186="NEW"),"",INDEX(B185:B$2,-1+SUMPRODUCT(MAX(ROW(E185:E$2)*(E186=E185:E$2)))))</f>
        <v> </v>
      </c>
      <c r="J186" s="19" t="str">
        <f>IF(OR(E186="",E186="!!!",F186="NEW"),"",COUNTBLANK(OFFSET(A$1,,,SUMPRODUCT(MAX(ROW(E$2:E186)*(E186=E$2:E186)))))-COUNTBLANK(OFFSET(A$1,,,SUMPRODUCT(MAX(ROW(E$1:E185)*(E2=E$1:E185))))))</f>
        <v> </v>
      </c>
      <c r="K186" s="19" t="str">
        <f>IF(OR(E186="",E186="!!!",F186="NEW"),"",INDEX(J$1:J185,SUMPRODUCT(MAX(ROW(E$1:E185)*(E186=E$1:E185)))))</f>
        <v> </v>
      </c>
      <c r="L186" s="20"/>
    </row>
    <row r="187" spans="1:12">
      <c r="A187" s="13" t="s">
        <v>162</v>
      </c>
      <c r="E187" s="15">
        <f>IF(D187="?OLD","!!!","")</f>
        <v/>
      </c>
      <c r="F187" s="16" t="str">
        <f>IF(OR(E187="",E187="!!!"),"",IF(NOT(ISNA(VLOOKUP(E187,E$1:E186,1,FALSE()))),"OLD",IF(AND(E187&lt;&gt;"",E187&lt;&gt;"!!!"),"NEW","")))</f>
        <v> </v>
      </c>
      <c r="G187" s="17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18" t="str">
        <f>IF(J187&lt;&gt;1,"",IF(I187="SBJ","CB","?"))</f>
        <v> </v>
      </c>
      <c r="I187" s="19" t="str">
        <f>IF(OR(E187="",E187="!!!",F187="NEW"),"",INDEX(B186:B$2,-1+SUMPRODUCT(MAX(ROW(E186:E$2)*(E187=E186:E$2)))))</f>
        <v> </v>
      </c>
      <c r="J187" s="19" t="str">
        <f>IF(OR(E187="",E187="!!!",F187="NEW"),"",COUNTBLANK(OFFSET(A$1,,,SUMPRODUCT(MAX(ROW(E$2:E187)*(E187=E$2:E187)))))-COUNTBLANK(OFFSET(A$1,,,SUMPRODUCT(MAX(ROW(E$1:E186)*(E2=E$1:E186))))))</f>
        <v> </v>
      </c>
      <c r="K187" s="19" t="str">
        <f>IF(OR(E187="",E187="!!!",F187="NEW"),"",INDEX(J$1:J186,SUMPRODUCT(MAX(ROW(E$1:E186)*(E187=E$1:E186)))))</f>
        <v> </v>
      </c>
      <c r="L187" s="20"/>
    </row>
    <row r="188" spans="1:12">
      <c r="A188" s="13" t="s">
        <v>82</v>
      </c>
      <c r="E188" s="15">
        <f>IF(D188="?OLD","!!!","")</f>
        <v/>
      </c>
      <c r="F188" s="16" t="str">
        <f>IF(OR(E188="",E188="!!!"),"",IF(NOT(ISNA(VLOOKUP(E188,E$1:E187,1,FALSE()))),"OLD",IF(AND(E188&lt;&gt;"",E188&lt;&gt;"!!!"),"NEW","")))</f>
        <v> </v>
      </c>
      <c r="G188" s="17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18" t="str">
        <f>IF(J188&lt;&gt;1,"",IF(I188="SBJ","CB","?"))</f>
        <v> </v>
      </c>
      <c r="I188" s="19" t="str">
        <f>IF(OR(E188="",E188="!!!",F188="NEW"),"",INDEX(B187:B$2,-1+SUMPRODUCT(MAX(ROW(E187:E$2)*(E188=E187:E$2)))))</f>
        <v> </v>
      </c>
      <c r="J188" s="19" t="str">
        <f>IF(OR(E188="",E188="!!!",F188="NEW"),"",COUNTBLANK(OFFSET(A$1,,,SUMPRODUCT(MAX(ROW(E$2:E188)*(E188=E$2:E188)))))-COUNTBLANK(OFFSET(A$1,,,SUMPRODUCT(MAX(ROW(E$1:E187)*(E2=E$1:E187))))))</f>
        <v> </v>
      </c>
      <c r="K188" s="19" t="str">
        <f>IF(OR(E188="",E188="!!!",F188="NEW"),"",INDEX(J$1:J187,SUMPRODUCT(MAX(ROW(E$1:E187)*(E188=E$1:E187)))))</f>
        <v> </v>
      </c>
      <c r="L188" s="20"/>
    </row>
    <row r="189" spans="1:12">
      <c r="A189" s="13" t="s">
        <v>163</v>
      </c>
      <c r="B189" s="14" t="s">
        <v>45</v>
      </c>
      <c r="C189" s="14" t="s">
        <v>84</v>
      </c>
      <c r="D189" s="14" t="s">
        <v>25</v>
      </c>
      <c r="E189" s="15">
        <f>IF(D189="?OLD","!!!","")</f>
        <v/>
      </c>
      <c r="F189" s="16" t="str">
        <f>IF(OR(E189="",E189="!!!"),"",IF(NOT(ISNA(VLOOKUP(E189,E$1:E188,1,FALSE()))),"OLD",IF(AND(E189&lt;&gt;"",E189&lt;&gt;"!!!"),"NEW","")))</f>
        <v> </v>
      </c>
      <c r="G189" s="17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18" t="str">
        <f>IF(J189&lt;&gt;1,"",IF(I189="SBJ","CB","?"))</f>
        <v> </v>
      </c>
      <c r="I189" s="19" t="str">
        <f>IF(OR(E189="",E189="!!!",F189="NEW"),"",INDEX(B188:B$2,-1+SUMPRODUCT(MAX(ROW(E188:E$2)*(E189=E188:E$2)))))</f>
        <v> </v>
      </c>
      <c r="J189" s="19" t="str">
        <f>IF(OR(E189="",E189="!!!",F189="NEW"),"",COUNTBLANK(OFFSET(A$1,,,SUMPRODUCT(MAX(ROW(E$2:E189)*(E189=E$2:E189)))))-COUNTBLANK(OFFSET(A$1,,,SUMPRODUCT(MAX(ROW(E$1:E188)*(E2=E$1:E188))))))</f>
        <v> </v>
      </c>
      <c r="K189" s="19" t="str">
        <f>IF(OR(E189="",E189="!!!",F189="NEW"),"",INDEX(J$1:J188,SUMPRODUCT(MAX(ROW(E$1:E188)*(E189=E$1:E188)))))</f>
        <v> </v>
      </c>
      <c r="L189" s="20"/>
    </row>
    <row r="190" spans="1:12">
      <c r="A190" s="13" t="s">
        <v>79</v>
      </c>
      <c r="E190" s="15">
        <f>IF(D190="?OLD","!!!","")</f>
        <v/>
      </c>
      <c r="F190" s="16" t="str">
        <f>IF(OR(E190="",E190="!!!"),"",IF(NOT(ISNA(VLOOKUP(E190,E$1:E189,1,FALSE()))),"OLD",IF(AND(E190&lt;&gt;"",E190&lt;&gt;"!!!"),"NEW","")))</f>
        <v> </v>
      </c>
      <c r="G190" s="17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18" t="str">
        <f>IF(J190&lt;&gt;1,"",IF(I190="SBJ","CB","?"))</f>
        <v> </v>
      </c>
      <c r="I190" s="19" t="str">
        <f>IF(OR(E190="",E190="!!!",F190="NEW"),"",INDEX(B189:B$2,-1+SUMPRODUCT(MAX(ROW(E189:E$2)*(E190=E189:E$2)))))</f>
        <v> </v>
      </c>
      <c r="J190" s="19" t="str">
        <f>IF(OR(E190="",E190="!!!",F190="NEW"),"",COUNTBLANK(OFFSET(A$1,,,SUMPRODUCT(MAX(ROW(E$2:E190)*(E190=E$2:E190)))))-COUNTBLANK(OFFSET(A$1,,,SUMPRODUCT(MAX(ROW(E$1:E189)*(E2=E$1:E189))))))</f>
        <v> </v>
      </c>
      <c r="K190" s="19" t="str">
        <f>IF(OR(E190="",E190="!!!",F190="NEW"),"",INDEX(J$1:J189,SUMPRODUCT(MAX(ROW(E$1:E189)*(E190=E$1:E189)))))</f>
        <v> </v>
      </c>
      <c r="L190" s="20"/>
    </row>
    <row r="191" spans="1:12">
      <c r="A191" s="13" t="s">
        <v>95</v>
      </c>
      <c r="E191" s="15">
        <f>IF(D191="?OLD","!!!","")</f>
        <v/>
      </c>
      <c r="F191" s="16" t="str">
        <f>IF(OR(E191="",E191="!!!"),"",IF(NOT(ISNA(VLOOKUP(E191,E$1:E190,1,FALSE()))),"OLD",IF(AND(E191&lt;&gt;"",E191&lt;&gt;"!!!"),"NEW","")))</f>
        <v> </v>
      </c>
      <c r="G191" s="17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18" t="str">
        <f>IF(J191&lt;&gt;1,"",IF(I191="SBJ","CB","?"))</f>
        <v> </v>
      </c>
      <c r="I191" s="19" t="str">
        <f>IF(OR(E191="",E191="!!!",F191="NEW"),"",INDEX(B190:B$2,-1+SUMPRODUCT(MAX(ROW(E190:E$2)*(E191=E190:E$2)))))</f>
        <v> </v>
      </c>
      <c r="J191" s="19" t="str">
        <f>IF(OR(E191="",E191="!!!",F191="NEW"),"",COUNTBLANK(OFFSET(A$1,,,SUMPRODUCT(MAX(ROW(E$2:E191)*(E191=E$2:E191)))))-COUNTBLANK(OFFSET(A$1,,,SUMPRODUCT(MAX(ROW(E$1:E190)*(E2=E$1:E190))))))</f>
        <v> </v>
      </c>
      <c r="K191" s="19" t="str">
        <f>IF(OR(E191="",E191="!!!",F191="NEW"),"",INDEX(J$1:J190,SUMPRODUCT(MAX(ROW(E$1:E190)*(E191=E$1:E190)))))</f>
        <v> </v>
      </c>
      <c r="L191" s="20"/>
    </row>
    <row r="192" spans="1:12">
      <c r="A192" s="13" t="s">
        <v>164</v>
      </c>
      <c r="B192" s="14" t="s">
        <v>27</v>
      </c>
      <c r="C192" s="14" t="s">
        <v>24</v>
      </c>
      <c r="D192" s="14" t="s">
        <v>25</v>
      </c>
      <c r="E192" s="15">
        <f>IF(D192="?OLD","!!!","")</f>
        <v/>
      </c>
      <c r="F192" s="16" t="str">
        <f>IF(OR(E192="",E192="!!!"),"",IF(NOT(ISNA(VLOOKUP(E192,E$1:E191,1,FALSE()))),"OLD",IF(AND(E192&lt;&gt;"",E192&lt;&gt;"!!!"),"NEW","")))</f>
        <v> </v>
      </c>
      <c r="G192" s="17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18" t="str">
        <f>IF(J192&lt;&gt;1,"",IF(I192="SBJ","CB","?"))</f>
        <v> </v>
      </c>
      <c r="I192" s="19" t="str">
        <f>IF(OR(E192="",E192="!!!",F192="NEW"),"",INDEX(B191:B$2,-1+SUMPRODUCT(MAX(ROW(E191:E$2)*(E192=E191:E$2)))))</f>
        <v> </v>
      </c>
      <c r="J192" s="19" t="str">
        <f>IF(OR(E192="",E192="!!!",F192="NEW"),"",COUNTBLANK(OFFSET(A$1,,,SUMPRODUCT(MAX(ROW(E$2:E192)*(E192=E$2:E192)))))-COUNTBLANK(OFFSET(A$1,,,SUMPRODUCT(MAX(ROW(E$1:E191)*(E2=E$1:E191))))))</f>
        <v> </v>
      </c>
      <c r="K192" s="19" t="str">
        <f>IF(OR(E192="",E192="!!!",F192="NEW"),"",INDEX(J$1:J191,SUMPRODUCT(MAX(ROW(E$1:E191)*(E192=E$1:E191)))))</f>
        <v> </v>
      </c>
      <c r="L192" s="20"/>
    </row>
    <row r="193" spans="1:12">
      <c r="A193" s="13" t="s">
        <v>56</v>
      </c>
      <c r="E193" s="15">
        <f>IF(D193="?OLD","!!!","")</f>
        <v/>
      </c>
      <c r="F193" s="16" t="str">
        <f>IF(OR(E193="",E193="!!!"),"",IF(NOT(ISNA(VLOOKUP(E193,E$1:E192,1,FALSE()))),"OLD",IF(AND(E193&lt;&gt;"",E193&lt;&gt;"!!!"),"NEW","")))</f>
        <v> </v>
      </c>
      <c r="G193" s="17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18" t="str">
        <f>IF(J193&lt;&gt;1,"",IF(I193="SBJ","CB","?"))</f>
        <v> </v>
      </c>
      <c r="I193" s="19" t="str">
        <f>IF(OR(E193="",E193="!!!",F193="NEW"),"",INDEX(B192:B$2,-1+SUMPRODUCT(MAX(ROW(E192:E$2)*(E193=E192:E$2)))))</f>
        <v> </v>
      </c>
      <c r="J193" s="19" t="str">
        <f>IF(OR(E193="",E193="!!!",F193="NEW"),"",COUNTBLANK(OFFSET(A$1,,,SUMPRODUCT(MAX(ROW(E$2:E193)*(E193=E$2:E193)))))-COUNTBLANK(OFFSET(A$1,,,SUMPRODUCT(MAX(ROW(E$1:E192)*(E2=E$1:E192))))))</f>
        <v> </v>
      </c>
      <c r="K193" s="19" t="str">
        <f>IF(OR(E193="",E193="!!!",F193="NEW"),"",INDEX(J$1:J192,SUMPRODUCT(MAX(ROW(E$1:E192)*(E193=E$1:E192)))))</f>
        <v> </v>
      </c>
      <c r="L193" s="20"/>
    </row>
    <row r="194" spans="1:12">
      <c r="A194" s="13" t="s">
        <v>95</v>
      </c>
      <c r="E194" s="15">
        <f>IF(D194="?OLD","!!!","")</f>
        <v/>
      </c>
      <c r="F194" s="16" t="str">
        <f>IF(OR(E194="",E194="!!!"),"",IF(NOT(ISNA(VLOOKUP(E194,E$1:E193,1,FALSE()))),"OLD",IF(AND(E194&lt;&gt;"",E194&lt;&gt;"!!!"),"NEW","")))</f>
        <v> </v>
      </c>
      <c r="G194" s="17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18" t="str">
        <f>IF(J194&lt;&gt;1,"",IF(I194="SBJ","CB","?"))</f>
        <v> </v>
      </c>
      <c r="I194" s="19" t="str">
        <f>IF(OR(E194="",E194="!!!",F194="NEW"),"",INDEX(B193:B$2,-1+SUMPRODUCT(MAX(ROW(E193:E$2)*(E194=E193:E$2)))))</f>
        <v> </v>
      </c>
      <c r="J194" s="19" t="str">
        <f>IF(OR(E194="",E194="!!!",F194="NEW"),"",COUNTBLANK(OFFSET(A$1,,,SUMPRODUCT(MAX(ROW(E$2:E194)*(E194=E$2:E194)))))-COUNTBLANK(OFFSET(A$1,,,SUMPRODUCT(MAX(ROW(E$1:E193)*(E2=E$1:E193))))))</f>
        <v> </v>
      </c>
      <c r="K194" s="19" t="str">
        <f>IF(OR(E194="",E194="!!!",F194="NEW"),"",INDEX(J$1:J193,SUMPRODUCT(MAX(ROW(E$1:E193)*(E194=E$1:E193)))))</f>
        <v> </v>
      </c>
      <c r="L194" s="20"/>
    </row>
    <row r="195" spans="1:12">
      <c r="A195" s="13" t="s">
        <v>96</v>
      </c>
      <c r="B195" s="14" t="s">
        <v>165</v>
      </c>
      <c r="E195" s="15">
        <f>IF(D195="?OLD","!!!","")</f>
        <v/>
      </c>
      <c r="F195" s="16" t="str">
        <f>IF(OR(E195="",E195="!!!"),"",IF(NOT(ISNA(VLOOKUP(E195,E$1:E194,1,FALSE()))),"OLD",IF(AND(E195&lt;&gt;"",E195&lt;&gt;"!!!"),"NEW","")))</f>
        <v> </v>
      </c>
      <c r="G195" s="17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18" t="str">
        <f>IF(J195&lt;&gt;1,"",IF(I195="SBJ","CB","?"))</f>
        <v> </v>
      </c>
      <c r="I195" s="19" t="str">
        <f>IF(OR(E195="",E195="!!!",F195="NEW"),"",INDEX(B194:B$2,-1+SUMPRODUCT(MAX(ROW(E194:E$2)*(E195=E194:E$2)))))</f>
        <v> </v>
      </c>
      <c r="J195" s="19" t="str">
        <f>IF(OR(E195="",E195="!!!",F195="NEW"),"",COUNTBLANK(OFFSET(A$1,,,SUMPRODUCT(MAX(ROW(E$2:E195)*(E195=E$2:E195)))))-COUNTBLANK(OFFSET(A$1,,,SUMPRODUCT(MAX(ROW(E$1:E194)*(E2=E$1:E194))))))</f>
        <v> </v>
      </c>
      <c r="K195" s="19" t="str">
        <f>IF(OR(E195="",E195="!!!",F195="NEW"),"",INDEX(J$1:J194,SUMPRODUCT(MAX(ROW(E$1:E194)*(E195=E$1:E194)))))</f>
        <v> </v>
      </c>
      <c r="L195" s="20"/>
    </row>
    <row r="196" spans="1:12">
      <c r="A196" s="13" t="s">
        <v>166</v>
      </c>
      <c r="E196" s="15">
        <f>IF(D196="?OLD","!!!","")</f>
        <v/>
      </c>
      <c r="F196" s="16" t="str">
        <f>IF(OR(E196="",E196="!!!"),"",IF(NOT(ISNA(VLOOKUP(E196,E$1:E195,1,FALSE()))),"OLD",IF(AND(E196&lt;&gt;"",E196&lt;&gt;"!!!"),"NEW","")))</f>
        <v> </v>
      </c>
      <c r="G196" s="17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18" t="str">
        <f>IF(J196&lt;&gt;1,"",IF(I196="SBJ","CB","?"))</f>
        <v> </v>
      </c>
      <c r="I196" s="19" t="str">
        <f>IF(OR(E196="",E196="!!!",F196="NEW"),"",INDEX(B195:B$2,-1+SUMPRODUCT(MAX(ROW(E195:E$2)*(E196=E195:E$2)))))</f>
        <v> </v>
      </c>
      <c r="J196" s="19" t="str">
        <f>IF(OR(E196="",E196="!!!",F196="NEW"),"",COUNTBLANK(OFFSET(A$1,,,SUMPRODUCT(MAX(ROW(E$2:E196)*(E196=E$2:E196)))))-COUNTBLANK(OFFSET(A$1,,,SUMPRODUCT(MAX(ROW(E$1:E195)*(E2=E$1:E195))))))</f>
        <v> </v>
      </c>
      <c r="K196" s="19" t="str">
        <f>IF(OR(E196="",E196="!!!",F196="NEW"),"",INDEX(J$1:J195,SUMPRODUCT(MAX(ROW(E$1:E195)*(E196=E$1:E195)))))</f>
        <v> </v>
      </c>
      <c r="L196" s="20"/>
    </row>
    <row r="197" spans="1:12">
      <c r="A197" s="13" t="s">
        <v>167</v>
      </c>
      <c r="E197" s="15">
        <f>IF(D197="?OLD","!!!","")</f>
        <v/>
      </c>
      <c r="F197" s="16" t="str">
        <f>IF(OR(E197="",E197="!!!"),"",IF(NOT(ISNA(VLOOKUP(E197,E$1:E196,1,FALSE()))),"OLD",IF(AND(E197&lt;&gt;"",E197&lt;&gt;"!!!"),"NEW","")))</f>
        <v> </v>
      </c>
      <c r="G197" s="17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18" t="str">
        <f>IF(J197&lt;&gt;1,"",IF(I197="SBJ","CB","?"))</f>
        <v> </v>
      </c>
      <c r="I197" s="19" t="str">
        <f>IF(OR(E197="",E197="!!!",F197="NEW"),"",INDEX(B196:B$2,-1+SUMPRODUCT(MAX(ROW(E196:E$2)*(E197=E196:E$2)))))</f>
        <v> </v>
      </c>
      <c r="J197" s="19" t="str">
        <f>IF(OR(E197="",E197="!!!",F197="NEW"),"",COUNTBLANK(OFFSET(A$1,,,SUMPRODUCT(MAX(ROW(E$2:E197)*(E197=E$2:E197)))))-COUNTBLANK(OFFSET(A$1,,,SUMPRODUCT(MAX(ROW(E$1:E196)*(E2=E$1:E196))))))</f>
        <v> </v>
      </c>
      <c r="K197" s="19" t="str">
        <f>IF(OR(E197="",E197="!!!",F197="NEW"),"",INDEX(J$1:J196,SUMPRODUCT(MAX(ROW(E$1:E196)*(E197=E$1:E196)))))</f>
        <v> </v>
      </c>
      <c r="L197" s="20"/>
    </row>
    <row r="198" spans="1:12">
      <c r="A198" s="13" t="s">
        <v>49</v>
      </c>
      <c r="E198" s="15">
        <f>IF(D198="?OLD","!!!","")</f>
        <v/>
      </c>
      <c r="F198" s="16" t="str">
        <f>IF(OR(E198="",E198="!!!"),"",IF(NOT(ISNA(VLOOKUP(E198,E$1:E197,1,FALSE()))),"OLD",IF(AND(E198&lt;&gt;"",E198&lt;&gt;"!!!"),"NEW","")))</f>
        <v> </v>
      </c>
      <c r="G198" s="17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18" t="str">
        <f>IF(J198&lt;&gt;1,"",IF(I198="SBJ","CB","?"))</f>
        <v> </v>
      </c>
      <c r="I198" s="19" t="str">
        <f>IF(OR(E198="",E198="!!!",F198="NEW"),"",INDEX(B197:B$2,-1+SUMPRODUCT(MAX(ROW(E197:E$2)*(E198=E197:E$2)))))</f>
        <v> </v>
      </c>
      <c r="J198" s="19" t="str">
        <f>IF(OR(E198="",E198="!!!",F198="NEW"),"",COUNTBLANK(OFFSET(A$1,,,SUMPRODUCT(MAX(ROW(E$2:E198)*(E198=E$2:E198)))))-COUNTBLANK(OFFSET(A$1,,,SUMPRODUCT(MAX(ROW(E$1:E197)*(E2=E$1:E197))))))</f>
        <v> </v>
      </c>
      <c r="K198" s="19" t="str">
        <f>IF(OR(E198="",E198="!!!",F198="NEW"),"",INDEX(J$1:J197,SUMPRODUCT(MAX(ROW(E$1:E197)*(E198=E$1:E197)))))</f>
        <v> </v>
      </c>
      <c r="L198" s="20"/>
    </row>
    <row r="199" spans="1:12">
      <c r="A199" s="13" t="s">
        <v>168</v>
      </c>
      <c r="E199" s="15">
        <f>IF(D199="?OLD","!!!","")</f>
        <v/>
      </c>
      <c r="F199" s="16" t="str">
        <f>IF(OR(E199="",E199="!!!"),"",IF(NOT(ISNA(VLOOKUP(E199,E$1:E198,1,FALSE()))),"OLD",IF(AND(E199&lt;&gt;"",E199&lt;&gt;"!!!"),"NEW","")))</f>
        <v> </v>
      </c>
      <c r="G199" s="17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18" t="str">
        <f>IF(J199&lt;&gt;1,"",IF(I199="SBJ","CB","?"))</f>
        <v> </v>
      </c>
      <c r="I199" s="19" t="str">
        <f>IF(OR(E199="",E199="!!!",F199="NEW"),"",INDEX(B198:B$2,-1+SUMPRODUCT(MAX(ROW(E198:E$2)*(E199=E198:E$2)))))</f>
        <v> </v>
      </c>
      <c r="J199" s="19" t="str">
        <f>IF(OR(E199="",E199="!!!",F199="NEW"),"",COUNTBLANK(OFFSET(A$1,,,SUMPRODUCT(MAX(ROW(E$2:E199)*(E199=E$2:E199)))))-COUNTBLANK(OFFSET(A$1,,,SUMPRODUCT(MAX(ROW(E$1:E198)*(E2=E$1:E198))))))</f>
        <v> </v>
      </c>
      <c r="K199" s="19" t="str">
        <f>IF(OR(E199="",E199="!!!",F199="NEW"),"",INDEX(J$1:J198,SUMPRODUCT(MAX(ROW(E$1:E198)*(E199=E$1:E198)))))</f>
        <v> </v>
      </c>
      <c r="L199" s="20"/>
    </row>
    <row r="200" spans="1:12">
      <c r="A200" s="13" t="s">
        <v>169</v>
      </c>
      <c r="B200" s="14" t="s">
        <v>126</v>
      </c>
      <c r="C200" s="14" t="s">
        <v>51</v>
      </c>
      <c r="E200" s="15">
        <f>IF(D200="?OLD","!!!","")</f>
        <v/>
      </c>
      <c r="F200" s="16" t="str">
        <f>IF(OR(E200="",E200="!!!"),"",IF(NOT(ISNA(VLOOKUP(E200,E$1:E199,1,FALSE()))),"OLD",IF(AND(E200&lt;&gt;"",E200&lt;&gt;"!!!"),"NEW","")))</f>
        <v> </v>
      </c>
      <c r="G200" s="17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18" t="str">
        <f>IF(J200&lt;&gt;1,"",IF(I200="SBJ","CB","?"))</f>
        <v> </v>
      </c>
      <c r="I200" s="19" t="str">
        <f>IF(OR(E200="",E200="!!!",F200="NEW"),"",INDEX(B199:B$2,-1+SUMPRODUCT(MAX(ROW(E199:E$2)*(E200=E199:E$2)))))</f>
        <v> </v>
      </c>
      <c r="J200" s="19" t="str">
        <f>IF(OR(E200="",E200="!!!",F200="NEW"),"",COUNTBLANK(OFFSET(A$1,,,SUMPRODUCT(MAX(ROW(E$2:E200)*(E200=E$2:E200)))))-COUNTBLANK(OFFSET(A$1,,,SUMPRODUCT(MAX(ROW(E$1:E199)*(E2=E$1:E199))))))</f>
        <v> </v>
      </c>
      <c r="K200" s="19" t="str">
        <f>IF(OR(E200="",E200="!!!",F200="NEW"),"",INDEX(J$1:J199,SUMPRODUCT(MAX(ROW(E$1:E199)*(E200=E$1:E199)))))</f>
        <v> </v>
      </c>
      <c r="L200" s="20"/>
    </row>
    <row r="201" spans="1:12">
      <c r="A201" s="13" t="s">
        <v>79</v>
      </c>
      <c r="E201" s="15">
        <f>IF(D201="?OLD","!!!","")</f>
        <v/>
      </c>
      <c r="F201" s="16" t="str">
        <f>IF(OR(E201="",E201="!!!"),"",IF(NOT(ISNA(VLOOKUP(E201,E$1:E200,1,FALSE()))),"OLD",IF(AND(E201&lt;&gt;"",E201&lt;&gt;"!!!"),"NEW","")))</f>
        <v> </v>
      </c>
      <c r="G201" s="17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18" t="str">
        <f>IF(J201&lt;&gt;1,"",IF(I201="SBJ","CB","?"))</f>
        <v> </v>
      </c>
      <c r="I201" s="19" t="str">
        <f>IF(OR(E201="",E201="!!!",F201="NEW"),"",INDEX(B200:B$2,-1+SUMPRODUCT(MAX(ROW(E200:E$2)*(E201=E200:E$2)))))</f>
        <v> </v>
      </c>
      <c r="J201" s="19" t="str">
        <f>IF(OR(E201="",E201="!!!",F201="NEW"),"",COUNTBLANK(OFFSET(A$1,,,SUMPRODUCT(MAX(ROW(E$2:E201)*(E201=E$2:E201)))))-COUNTBLANK(OFFSET(A$1,,,SUMPRODUCT(MAX(ROW(E$1:E200)*(E2=E$1:E200))))))</f>
        <v> </v>
      </c>
      <c r="K201" s="19" t="str">
        <f>IF(OR(E201="",E201="!!!",F201="NEW"),"",INDEX(J$1:J200,SUMPRODUCT(MAX(ROW(E$1:E200)*(E201=E$1:E200)))))</f>
        <v> </v>
      </c>
      <c r="L201" s="20"/>
    </row>
    <row r="202" spans="1:12">
      <c r="A202" s="13" t="s">
        <v>170</v>
      </c>
      <c r="E202" s="15">
        <f>IF(D202="?OLD","!!!","")</f>
        <v/>
      </c>
      <c r="F202" s="16" t="str">
        <f>IF(OR(E202="",E202="!!!"),"",IF(NOT(ISNA(VLOOKUP(E202,E$1:E201,1,FALSE()))),"OLD",IF(AND(E202&lt;&gt;"",E202&lt;&gt;"!!!"),"NEW","")))</f>
        <v> </v>
      </c>
      <c r="G202" s="17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18" t="str">
        <f>IF(J202&lt;&gt;1,"",IF(I202="SBJ","CB","?"))</f>
        <v> </v>
      </c>
      <c r="I202" s="19" t="str">
        <f>IF(OR(E202="",E202="!!!",F202="NEW"),"",INDEX(B201:B$2,-1+SUMPRODUCT(MAX(ROW(E201:E$2)*(E202=E201:E$2)))))</f>
        <v> </v>
      </c>
      <c r="J202" s="19" t="str">
        <f>IF(OR(E202="",E202="!!!",F202="NEW"),"",COUNTBLANK(OFFSET(A$1,,,SUMPRODUCT(MAX(ROW(E$2:E202)*(E202=E$2:E202)))))-COUNTBLANK(OFFSET(A$1,,,SUMPRODUCT(MAX(ROW(E$1:E201)*(E2=E$1:E201))))))</f>
        <v> </v>
      </c>
      <c r="K202" s="19" t="str">
        <f>IF(OR(E202="",E202="!!!",F202="NEW"),"",INDEX(J$1:J201,SUMPRODUCT(MAX(ROW(E$1:E201)*(E202=E$1:E201)))))</f>
        <v> </v>
      </c>
      <c r="L202" s="20"/>
    </row>
    <row r="203" spans="1:12">
      <c r="A203" s="13" t="s">
        <v>144</v>
      </c>
      <c r="E203" s="15">
        <f>IF(D203="?OLD","!!!","")</f>
        <v/>
      </c>
      <c r="F203" s="16" t="str">
        <f>IF(OR(E203="",E203="!!!"),"",IF(NOT(ISNA(VLOOKUP(E203,E$1:E202,1,FALSE()))),"OLD",IF(AND(E203&lt;&gt;"",E203&lt;&gt;"!!!"),"NEW","")))</f>
        <v> </v>
      </c>
      <c r="G203" s="17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18" t="str">
        <f>IF(J203&lt;&gt;1,"",IF(I203="SBJ","CB","?"))</f>
        <v> </v>
      </c>
      <c r="I203" s="19" t="str">
        <f>IF(OR(E203="",E203="!!!",F203="NEW"),"",INDEX(B202:B$2,-1+SUMPRODUCT(MAX(ROW(E202:E$2)*(E203=E202:E$2)))))</f>
        <v> </v>
      </c>
      <c r="J203" s="19" t="str">
        <f>IF(OR(E203="",E203="!!!",F203="NEW"),"",COUNTBLANK(OFFSET(A$1,,,SUMPRODUCT(MAX(ROW(E$2:E203)*(E203=E$2:E203)))))-COUNTBLANK(OFFSET(A$1,,,SUMPRODUCT(MAX(ROW(E$1:E202)*(E2=E$1:E202))))))</f>
        <v> </v>
      </c>
      <c r="K203" s="19" t="str">
        <f>IF(OR(E203="",E203="!!!",F203="NEW"),"",INDEX(J$1:J202,SUMPRODUCT(MAX(ROW(E$1:E202)*(E203=E$1:E202)))))</f>
        <v> </v>
      </c>
      <c r="L203" s="20"/>
    </row>
    <row r="204" spans="1:12">
      <c r="A204" s="13" t="s">
        <v>57</v>
      </c>
      <c r="E204" s="15">
        <f>IF(D204="?OLD","!!!","")</f>
        <v/>
      </c>
      <c r="F204" s="16" t="str">
        <f>IF(OR(E204="",E204="!!!"),"",IF(NOT(ISNA(VLOOKUP(E204,E$1:E203,1,FALSE()))),"OLD",IF(AND(E204&lt;&gt;"",E204&lt;&gt;"!!!"),"NEW","")))</f>
        <v> </v>
      </c>
      <c r="G204" s="17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18" t="str">
        <f>IF(J204&lt;&gt;1,"",IF(I204="SBJ","CB","?"))</f>
        <v> </v>
      </c>
      <c r="I204" s="19" t="str">
        <f>IF(OR(E204="",E204="!!!",F204="NEW"),"",INDEX(B203:B$2,-1+SUMPRODUCT(MAX(ROW(E203:E$2)*(E204=E203:E$2)))))</f>
        <v> </v>
      </c>
      <c r="J204" s="19" t="str">
        <f>IF(OR(E204="",E204="!!!",F204="NEW"),"",COUNTBLANK(OFFSET(A$1,,,SUMPRODUCT(MAX(ROW(E$2:E204)*(E204=E$2:E204)))))-COUNTBLANK(OFFSET(A$1,,,SUMPRODUCT(MAX(ROW(E$1:E203)*(E2=E$1:E203))))))</f>
        <v> </v>
      </c>
      <c r="K204" s="19" t="str">
        <f>IF(OR(E204="",E204="!!!",F204="NEW"),"",INDEX(J$1:J203,SUMPRODUCT(MAX(ROW(E$1:E203)*(E204=E$1:E203)))))</f>
        <v> </v>
      </c>
      <c r="L204" s="20"/>
    </row>
    <row r="205" spans="1:12">
      <c r="A205" s="13" t="s">
        <v>171</v>
      </c>
      <c r="E205" s="15">
        <f>IF(D205="?OLD","!!!","")</f>
        <v/>
      </c>
      <c r="F205" s="16" t="str">
        <f>IF(OR(E205="",E205="!!!"),"",IF(NOT(ISNA(VLOOKUP(E205,E$1:E204,1,FALSE()))),"OLD",IF(AND(E205&lt;&gt;"",E205&lt;&gt;"!!!"),"NEW","")))</f>
        <v> </v>
      </c>
      <c r="G205" s="17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18" t="str">
        <f>IF(J205&lt;&gt;1,"",IF(I205="SBJ","CB","?"))</f>
        <v> </v>
      </c>
      <c r="I205" s="19" t="str">
        <f>IF(OR(E205="",E205="!!!",F205="NEW"),"",INDEX(B204:B$2,-1+SUMPRODUCT(MAX(ROW(E204:E$2)*(E205=E204:E$2)))))</f>
        <v> </v>
      </c>
      <c r="J205" s="19" t="str">
        <f>IF(OR(E205="",E205="!!!",F205="NEW"),"",COUNTBLANK(OFFSET(A$1,,,SUMPRODUCT(MAX(ROW(E$2:E205)*(E205=E$2:E205)))))-COUNTBLANK(OFFSET(A$1,,,SUMPRODUCT(MAX(ROW(E$1:E204)*(E2=E$1:E204))))))</f>
        <v> </v>
      </c>
      <c r="K205" s="19" t="str">
        <f>IF(OR(E205="",E205="!!!",F205="NEW"),"",INDEX(J$1:J204,SUMPRODUCT(MAX(ROW(E$1:E204)*(E205=E$1:E204)))))</f>
        <v> </v>
      </c>
      <c r="L205" s="20"/>
    </row>
    <row r="206" spans="1:12">
      <c r="A206" s="13" t="s">
        <v>172</v>
      </c>
      <c r="E206" s="15">
        <f>IF(D206="?OLD","!!!","")</f>
        <v/>
      </c>
      <c r="F206" s="16" t="str">
        <f>IF(OR(E206="",E206="!!!"),"",IF(NOT(ISNA(VLOOKUP(E206,E$1:E205,1,FALSE()))),"OLD",IF(AND(E206&lt;&gt;"",E206&lt;&gt;"!!!"),"NEW","")))</f>
        <v> </v>
      </c>
      <c r="G206" s="17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18" t="str">
        <f>IF(J206&lt;&gt;1,"",IF(I206="SBJ","CB","?"))</f>
        <v> </v>
      </c>
      <c r="I206" s="19" t="str">
        <f>IF(OR(E206="",E206="!!!",F206="NEW"),"",INDEX(B205:B$2,-1+SUMPRODUCT(MAX(ROW(E205:E$2)*(E206=E205:E$2)))))</f>
        <v> </v>
      </c>
      <c r="J206" s="19" t="str">
        <f>IF(OR(E206="",E206="!!!",F206="NEW"),"",COUNTBLANK(OFFSET(A$1,,,SUMPRODUCT(MAX(ROW(E$2:E206)*(E206=E$2:E206)))))-COUNTBLANK(OFFSET(A$1,,,SUMPRODUCT(MAX(ROW(E$1:E205)*(E2=E$1:E205))))))</f>
        <v> </v>
      </c>
      <c r="K206" s="19" t="str">
        <f>IF(OR(E206="",E206="!!!",F206="NEW"),"",INDEX(J$1:J205,SUMPRODUCT(MAX(ROW(E$1:E205)*(E206=E$1:E205)))))</f>
        <v> </v>
      </c>
      <c r="L206" s="20"/>
    </row>
    <row r="207" spans="1:12">
      <c r="A207" s="13" t="s">
        <v>173</v>
      </c>
      <c r="E207" s="15">
        <f>IF(D207="?OLD","!!!","")</f>
        <v/>
      </c>
      <c r="F207" s="16" t="str">
        <f>IF(OR(E207="",E207="!!!"),"",IF(NOT(ISNA(VLOOKUP(E207,E$1:E206,1,FALSE()))),"OLD",IF(AND(E207&lt;&gt;"",E207&lt;&gt;"!!!"),"NEW","")))</f>
        <v> </v>
      </c>
      <c r="G207" s="17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18" t="str">
        <f>IF(J207&lt;&gt;1,"",IF(I207="SBJ","CB","?"))</f>
        <v> </v>
      </c>
      <c r="I207" s="19" t="str">
        <f>IF(OR(E207="",E207="!!!",F207="NEW"),"",INDEX(B206:B$2,-1+SUMPRODUCT(MAX(ROW(E206:E$2)*(E207=E206:E$2)))))</f>
        <v> </v>
      </c>
      <c r="J207" s="19" t="str">
        <f>IF(OR(E207="",E207="!!!",F207="NEW"),"",COUNTBLANK(OFFSET(A$1,,,SUMPRODUCT(MAX(ROW(E$2:E207)*(E207=E$2:E207)))))-COUNTBLANK(OFFSET(A$1,,,SUMPRODUCT(MAX(ROW(E$1:E206)*(E2=E$1:E206))))))</f>
        <v> </v>
      </c>
      <c r="K207" s="19" t="str">
        <f>IF(OR(E207="",E207="!!!",F207="NEW"),"",INDEX(J$1:J206,SUMPRODUCT(MAX(ROW(E$1:E206)*(E207=E$1:E206)))))</f>
        <v> </v>
      </c>
      <c r="L207" s="20"/>
    </row>
    <row r="208" spans="1:12">
      <c r="A208" s="13" t="s">
        <v>174</v>
      </c>
      <c r="E208" s="15">
        <f>IF(D208="?OLD","!!!","")</f>
        <v/>
      </c>
      <c r="F208" s="16" t="str">
        <f>IF(OR(E208="",E208="!!!"),"",IF(NOT(ISNA(VLOOKUP(E208,E$1:E207,1,FALSE()))),"OLD",IF(AND(E208&lt;&gt;"",E208&lt;&gt;"!!!"),"NEW","")))</f>
        <v> </v>
      </c>
      <c r="G208" s="17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18" t="str">
        <f>IF(J208&lt;&gt;1,"",IF(I208="SBJ","CB","?"))</f>
        <v> </v>
      </c>
      <c r="I208" s="19" t="str">
        <f>IF(OR(E208="",E208="!!!",F208="NEW"),"",INDEX(B207:B$2,-1+SUMPRODUCT(MAX(ROW(E207:E$2)*(E208=E207:E$2)))))</f>
        <v> </v>
      </c>
      <c r="J208" s="19" t="str">
        <f>IF(OR(E208="",E208="!!!",F208="NEW"),"",COUNTBLANK(OFFSET(A$1,,,SUMPRODUCT(MAX(ROW(E$2:E208)*(E208=E$2:E208)))))-COUNTBLANK(OFFSET(A$1,,,SUMPRODUCT(MAX(ROW(E$1:E207)*(E2=E$1:E207))))))</f>
        <v> </v>
      </c>
      <c r="K208" s="19" t="str">
        <f>IF(OR(E208="",E208="!!!",F208="NEW"),"",INDEX(J$1:J207,SUMPRODUCT(MAX(ROW(E$1:E207)*(E208=E$1:E207)))))</f>
        <v> </v>
      </c>
      <c r="L208" s="20"/>
    </row>
    <row r="209" spans="1:12">
      <c r="A209" s="13" t="s">
        <v>175</v>
      </c>
      <c r="E209" s="15">
        <f>IF(D209="?OLD","!!!","")</f>
        <v/>
      </c>
      <c r="F209" s="16" t="str">
        <f>IF(OR(E209="",E209="!!!"),"",IF(NOT(ISNA(VLOOKUP(E209,E$1:E208,1,FALSE()))),"OLD",IF(AND(E209&lt;&gt;"",E209&lt;&gt;"!!!"),"NEW","")))</f>
        <v> </v>
      </c>
      <c r="G209" s="17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18" t="str">
        <f>IF(J209&lt;&gt;1,"",IF(I209="SBJ","CB","?"))</f>
        <v> </v>
      </c>
      <c r="I209" s="19" t="str">
        <f>IF(OR(E209="",E209="!!!",F209="NEW"),"",INDEX(B208:B$2,-1+SUMPRODUCT(MAX(ROW(E208:E$2)*(E209=E208:E$2)))))</f>
        <v> </v>
      </c>
      <c r="J209" s="19" t="str">
        <f>IF(OR(E209="",E209="!!!",F209="NEW"),"",COUNTBLANK(OFFSET(A$1,,,SUMPRODUCT(MAX(ROW(E$2:E209)*(E209=E$2:E209)))))-COUNTBLANK(OFFSET(A$1,,,SUMPRODUCT(MAX(ROW(E$1:E208)*(E2=E$1:E208))))))</f>
        <v> </v>
      </c>
      <c r="K209" s="19" t="str">
        <f>IF(OR(E209="",E209="!!!",F209="NEW"),"",INDEX(J$1:J208,SUMPRODUCT(MAX(ROW(E$1:E208)*(E209=E$1:E208)))))</f>
        <v> </v>
      </c>
      <c r="L209" s="20"/>
    </row>
    <row r="210" spans="1:12">
      <c r="A210" s="13" t="s">
        <v>95</v>
      </c>
      <c r="E210" s="15">
        <f>IF(D210="?OLD","!!!","")</f>
        <v/>
      </c>
      <c r="F210" s="16" t="str">
        <f>IF(OR(E210="",E210="!!!"),"",IF(NOT(ISNA(VLOOKUP(E210,E$1:E209,1,FALSE()))),"OLD",IF(AND(E210&lt;&gt;"",E210&lt;&gt;"!!!"),"NEW","")))</f>
        <v> </v>
      </c>
      <c r="G210" s="17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18" t="str">
        <f>IF(J210&lt;&gt;1,"",IF(I210="SBJ","CB","?"))</f>
        <v> </v>
      </c>
      <c r="I210" s="19" t="str">
        <f>IF(OR(E210="",E210="!!!",F210="NEW"),"",INDEX(B209:B$2,-1+SUMPRODUCT(MAX(ROW(E209:E$2)*(E210=E209:E$2)))))</f>
        <v> </v>
      </c>
      <c r="J210" s="19" t="str">
        <f>IF(OR(E210="",E210="!!!",F210="NEW"),"",COUNTBLANK(OFFSET(A$1,,,SUMPRODUCT(MAX(ROW(E$2:E210)*(E210=E$2:E210)))))-COUNTBLANK(OFFSET(A$1,,,SUMPRODUCT(MAX(ROW(E$1:E209)*(E2=E$1:E209))))))</f>
        <v> </v>
      </c>
      <c r="K210" s="19" t="str">
        <f>IF(OR(E210="",E210="!!!",F210="NEW"),"",INDEX(J$1:J209,SUMPRODUCT(MAX(ROW(E$1:E209)*(E210=E$1:E209)))))</f>
        <v> </v>
      </c>
      <c r="L210" s="20"/>
    </row>
    <row r="211" spans="1:12">
      <c r="A211" s="13" t="s">
        <v>176</v>
      </c>
      <c r="B211" s="14" t="s">
        <v>177</v>
      </c>
      <c r="C211" s="14" t="s">
        <v>60</v>
      </c>
      <c r="D211" s="14" t="s">
        <v>25</v>
      </c>
      <c r="E211" s="15">
        <f>IF(D211="?OLD","!!!","")</f>
        <v/>
      </c>
      <c r="F211" s="16" t="str">
        <f>IF(OR(E211="",E211="!!!"),"",IF(NOT(ISNA(VLOOKUP(E211,E$1:E210,1,FALSE()))),"OLD",IF(AND(E211&lt;&gt;"",E211&lt;&gt;"!!!"),"NEW","")))</f>
        <v> </v>
      </c>
      <c r="G211" s="17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18" t="str">
        <f>IF(J211&lt;&gt;1,"",IF(I211="SBJ","CB","?"))</f>
        <v> </v>
      </c>
      <c r="I211" s="19" t="str">
        <f>IF(OR(E211="",E211="!!!",F211="NEW"),"",INDEX(B210:B$2,-1+SUMPRODUCT(MAX(ROW(E210:E$2)*(E211=E210:E$2)))))</f>
        <v> </v>
      </c>
      <c r="J211" s="19" t="str">
        <f>IF(OR(E211="",E211="!!!",F211="NEW"),"",COUNTBLANK(OFFSET(A$1,,,SUMPRODUCT(MAX(ROW(E$2:E211)*(E211=E$2:E211)))))-COUNTBLANK(OFFSET(A$1,,,SUMPRODUCT(MAX(ROW(E$1:E210)*(E2=E$1:E210))))))</f>
        <v> </v>
      </c>
      <c r="K211" s="19" t="str">
        <f>IF(OR(E211="",E211="!!!",F211="NEW"),"",INDEX(J$1:J210,SUMPRODUCT(MAX(ROW(E$1:E210)*(E211=E$1:E210)))))</f>
        <v> </v>
      </c>
      <c r="L211" s="20"/>
    </row>
    <row r="212" spans="1:12">
      <c r="A212" s="13" t="s">
        <v>79</v>
      </c>
      <c r="E212" s="15">
        <f>IF(D212="?OLD","!!!","")</f>
        <v/>
      </c>
      <c r="F212" s="16" t="str">
        <f>IF(OR(E212="",E212="!!!"),"",IF(NOT(ISNA(VLOOKUP(E212,E$1:E211,1,FALSE()))),"OLD",IF(AND(E212&lt;&gt;"",E212&lt;&gt;"!!!"),"NEW","")))</f>
        <v> </v>
      </c>
      <c r="G212" s="17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18" t="str">
        <f>IF(J212&lt;&gt;1,"",IF(I212="SBJ","CB","?"))</f>
        <v> </v>
      </c>
      <c r="I212" s="19" t="str">
        <f>IF(OR(E212="",E212="!!!",F212="NEW"),"",INDEX(B211:B$2,-1+SUMPRODUCT(MAX(ROW(E211:E$2)*(E212=E211:E$2)))))</f>
        <v> </v>
      </c>
      <c r="J212" s="19" t="str">
        <f>IF(OR(E212="",E212="!!!",F212="NEW"),"",COUNTBLANK(OFFSET(A$1,,,SUMPRODUCT(MAX(ROW(E$2:E212)*(E212=E$2:E212)))))-COUNTBLANK(OFFSET(A$1,,,SUMPRODUCT(MAX(ROW(E$1:E211)*(E2=E$1:E211))))))</f>
        <v> </v>
      </c>
      <c r="K212" s="19" t="str">
        <f>IF(OR(E212="",E212="!!!",F212="NEW"),"",INDEX(J$1:J211,SUMPRODUCT(MAX(ROW(E$1:E211)*(E212=E$1:E211)))))</f>
        <v> </v>
      </c>
      <c r="L212" s="20"/>
    </row>
    <row r="213" spans="1:12">
      <c r="A213" s="13" t="s">
        <v>143</v>
      </c>
      <c r="E213" s="15">
        <f>IF(D213="?OLD","!!!","")</f>
        <v/>
      </c>
      <c r="F213" s="16" t="str">
        <f>IF(OR(E213="",E213="!!!"),"",IF(NOT(ISNA(VLOOKUP(E213,E$1:E212,1,FALSE()))),"OLD",IF(AND(E213&lt;&gt;"",E213&lt;&gt;"!!!"),"NEW","")))</f>
        <v> </v>
      </c>
      <c r="G213" s="17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18" t="str">
        <f>IF(J213&lt;&gt;1,"",IF(I213="SBJ","CB","?"))</f>
        <v> </v>
      </c>
      <c r="I213" s="19" t="str">
        <f>IF(OR(E213="",E213="!!!",F213="NEW"),"",INDEX(B212:B$2,-1+SUMPRODUCT(MAX(ROW(E212:E$2)*(E213=E212:E$2)))))</f>
        <v> </v>
      </c>
      <c r="J213" s="19" t="str">
        <f>IF(OR(E213="",E213="!!!",F213="NEW"),"",COUNTBLANK(OFFSET(A$1,,,SUMPRODUCT(MAX(ROW(E$2:E213)*(E213=E$2:E213)))))-COUNTBLANK(OFFSET(A$1,,,SUMPRODUCT(MAX(ROW(E$1:E212)*(E2=E$1:E212))))))</f>
        <v> </v>
      </c>
      <c r="K213" s="19" t="str">
        <f>IF(OR(E213="",E213="!!!",F213="NEW"),"",INDEX(J$1:J212,SUMPRODUCT(MAX(ROW(E$1:E212)*(E213=E$1:E212)))))</f>
        <v> </v>
      </c>
      <c r="L213" s="20"/>
    </row>
    <row r="214" spans="1:12">
      <c r="A214" s="13" t="s">
        <v>145</v>
      </c>
      <c r="B214" s="14" t="s">
        <v>178</v>
      </c>
      <c r="C214" s="14" t="s">
        <v>64</v>
      </c>
      <c r="D214" s="14" t="s">
        <v>25</v>
      </c>
      <c r="E214" s="15">
        <f>IF(D214="?OLD","!!!","")</f>
        <v/>
      </c>
      <c r="F214" s="16" t="str">
        <f>IF(OR(E214="",E214="!!!"),"",IF(NOT(ISNA(VLOOKUP(E214,E$1:E213,1,FALSE()))),"OLD",IF(AND(E214&lt;&gt;"",E214&lt;&gt;"!!!"),"NEW","")))</f>
        <v> </v>
      </c>
      <c r="G214" s="17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18" t="str">
        <f>IF(J214&lt;&gt;1,"",IF(I214="SBJ","CB","?"))</f>
        <v> </v>
      </c>
      <c r="I214" s="19" t="str">
        <f>IF(OR(E214="",E214="!!!",F214="NEW"),"",INDEX(B213:B$2,-1+SUMPRODUCT(MAX(ROW(E213:E$2)*(E214=E213:E$2)))))</f>
        <v> </v>
      </c>
      <c r="J214" s="19" t="str">
        <f>IF(OR(E214="",E214="!!!",F214="NEW"),"",COUNTBLANK(OFFSET(A$1,,,SUMPRODUCT(MAX(ROW(E$2:E214)*(E214=E$2:E214)))))-COUNTBLANK(OFFSET(A$1,,,SUMPRODUCT(MAX(ROW(E$1:E213)*(E2=E$1:E213))))))</f>
        <v> </v>
      </c>
      <c r="K214" s="19" t="str">
        <f>IF(OR(E214="",E214="!!!",F214="NEW"),"",INDEX(J$1:J213,SUMPRODUCT(MAX(ROW(E$1:E213)*(E214=E$1:E213)))))</f>
        <v> </v>
      </c>
      <c r="L214" s="20"/>
    </row>
    <row r="215" spans="1:12">
      <c r="A215" s="13" t="s">
        <v>56</v>
      </c>
      <c r="E215" s="15">
        <f>IF(D215="?OLD","!!!","")</f>
        <v/>
      </c>
      <c r="F215" s="16" t="str">
        <f>IF(OR(E215="",E215="!!!"),"",IF(NOT(ISNA(VLOOKUP(E215,E$1:E214,1,FALSE()))),"OLD",IF(AND(E215&lt;&gt;"",E215&lt;&gt;"!!!"),"NEW","")))</f>
        <v> </v>
      </c>
      <c r="G215" s="17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18" t="str">
        <f>IF(J215&lt;&gt;1,"",IF(I215="SBJ","CB","?"))</f>
        <v> </v>
      </c>
      <c r="I215" s="19" t="str">
        <f>IF(OR(E215="",E215="!!!",F215="NEW"),"",INDEX(B214:B$2,-1+SUMPRODUCT(MAX(ROW(E214:E$2)*(E215=E214:E$2)))))</f>
        <v> </v>
      </c>
      <c r="J215" s="19" t="str">
        <f>IF(OR(E215="",E215="!!!",F215="NEW"),"",COUNTBLANK(OFFSET(A$1,,,SUMPRODUCT(MAX(ROW(E$2:E215)*(E215=E$2:E215)))))-COUNTBLANK(OFFSET(A$1,,,SUMPRODUCT(MAX(ROW(E$1:E214)*(E2=E$1:E214))))))</f>
        <v> </v>
      </c>
      <c r="K215" s="19" t="str">
        <f>IF(OR(E215="",E215="!!!",F215="NEW"),"",INDEX(J$1:J214,SUMPRODUCT(MAX(ROW(E$1:E214)*(E215=E$1:E214)))))</f>
        <v> </v>
      </c>
      <c r="L215" s="20"/>
    </row>
    <row r="216" spans="1:12">
      <c r="A216" s="13" t="s">
        <v>102</v>
      </c>
      <c r="E216" s="15">
        <f>IF(D216="?OLD","!!!","")</f>
        <v/>
      </c>
      <c r="F216" s="16" t="str">
        <f>IF(OR(E216="",E216="!!!"),"",IF(NOT(ISNA(VLOOKUP(E216,E$1:E215,1,FALSE()))),"OLD",IF(AND(E216&lt;&gt;"",E216&lt;&gt;"!!!"),"NEW","")))</f>
        <v> </v>
      </c>
      <c r="G216" s="17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18" t="str">
        <f>IF(J216&lt;&gt;1,"",IF(I216="SBJ","CB","?"))</f>
        <v> </v>
      </c>
      <c r="I216" s="19" t="str">
        <f>IF(OR(E216="",E216="!!!",F216="NEW"),"",INDEX(B215:B$2,-1+SUMPRODUCT(MAX(ROW(E215:E$2)*(E216=E215:E$2)))))</f>
        <v> </v>
      </c>
      <c r="J216" s="19" t="str">
        <f>IF(OR(E216="",E216="!!!",F216="NEW"),"",COUNTBLANK(OFFSET(A$1,,,SUMPRODUCT(MAX(ROW(E$2:E216)*(E216=E$2:E216)))))-COUNTBLANK(OFFSET(A$1,,,SUMPRODUCT(MAX(ROW(E$1:E215)*(E2=E$1:E215))))))</f>
        <v> </v>
      </c>
      <c r="K216" s="19" t="str">
        <f>IF(OR(E216="",E216="!!!",F216="NEW"),"",INDEX(J$1:J215,SUMPRODUCT(MAX(ROW(E$1:E215)*(E216=E$1:E215)))))</f>
        <v> </v>
      </c>
      <c r="L216" s="20"/>
    </row>
    <row r="217" spans="1:12">
      <c r="A217" s="13" t="s">
        <v>179</v>
      </c>
      <c r="B217" s="14" t="s">
        <v>180</v>
      </c>
      <c r="C217" s="14" t="s">
        <v>39</v>
      </c>
      <c r="D217" s="14" t="s">
        <v>25</v>
      </c>
      <c r="E217" s="15">
        <f>IF(D217="?OLD","!!!","")</f>
        <v/>
      </c>
      <c r="F217" s="16" t="str">
        <f>IF(OR(E217="",E217="!!!"),"",IF(NOT(ISNA(VLOOKUP(E217,E$1:E216,1,FALSE()))),"OLD",IF(AND(E217&lt;&gt;"",E217&lt;&gt;"!!!"),"NEW","")))</f>
        <v> </v>
      </c>
      <c r="G217" s="17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18" t="str">
        <f>IF(J217&lt;&gt;1,"",IF(I217="SBJ","CB","?"))</f>
        <v> </v>
      </c>
      <c r="I217" s="19" t="str">
        <f>IF(OR(E217="",E217="!!!",F217="NEW"),"",INDEX(B216:B$2,-1+SUMPRODUCT(MAX(ROW(E216:E$2)*(E217=E216:E$2)))))</f>
        <v> </v>
      </c>
      <c r="J217" s="19" t="str">
        <f>IF(OR(E217="",E217="!!!",F217="NEW"),"",COUNTBLANK(OFFSET(A$1,,,SUMPRODUCT(MAX(ROW(E$2:E217)*(E217=E$2:E217)))))-COUNTBLANK(OFFSET(A$1,,,SUMPRODUCT(MAX(ROW(E$1:E216)*(E2=E$1:E216))))))</f>
        <v> </v>
      </c>
      <c r="K217" s="19" t="str">
        <f>IF(OR(E217="",E217="!!!",F217="NEW"),"",INDEX(J$1:J216,SUMPRODUCT(MAX(ROW(E$1:E216)*(E217=E$1:E216)))))</f>
        <v> </v>
      </c>
      <c r="L217" s="20"/>
    </row>
    <row r="218" spans="1:12">
      <c r="A218" s="13" t="s">
        <v>79</v>
      </c>
      <c r="E218" s="15">
        <f>IF(D218="?OLD","!!!","")</f>
        <v/>
      </c>
      <c r="F218" s="16" t="str">
        <f>IF(OR(E218="",E218="!!!"),"",IF(NOT(ISNA(VLOOKUP(E218,E$1:E217,1,FALSE()))),"OLD",IF(AND(E218&lt;&gt;"",E218&lt;&gt;"!!!"),"NEW","")))</f>
        <v> </v>
      </c>
      <c r="G218" s="17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18" t="str">
        <f>IF(J218&lt;&gt;1,"",IF(I218="SBJ","CB","?"))</f>
        <v> </v>
      </c>
      <c r="I218" s="19" t="str">
        <f>IF(OR(E218="",E218="!!!",F218="NEW"),"",INDEX(B217:B$2,-1+SUMPRODUCT(MAX(ROW(E217:E$2)*(E218=E217:E$2)))))</f>
        <v> </v>
      </c>
      <c r="J218" s="19" t="str">
        <f>IF(OR(E218="",E218="!!!",F218="NEW"),"",COUNTBLANK(OFFSET(A$1,,,SUMPRODUCT(MAX(ROW(E$2:E218)*(E218=E$2:E218)))))-COUNTBLANK(OFFSET(A$1,,,SUMPRODUCT(MAX(ROW(E$1:E217)*(E2=E$1:E217))))))</f>
        <v> </v>
      </c>
      <c r="K218" s="19" t="str">
        <f>IF(OR(E218="",E218="!!!",F218="NEW"),"",INDEX(J$1:J217,SUMPRODUCT(MAX(ROW(E$1:E217)*(E218=E$1:E217)))))</f>
        <v> </v>
      </c>
      <c r="L218" s="20"/>
    </row>
    <row r="219" spans="1:12">
      <c r="A219" s="13" t="s">
        <v>181</v>
      </c>
      <c r="E219" s="15">
        <f>IF(D219="?OLD","!!!","")</f>
        <v/>
      </c>
      <c r="F219" s="16" t="str">
        <f>IF(OR(E219="",E219="!!!"),"",IF(NOT(ISNA(VLOOKUP(E219,E$1:E218,1,FALSE()))),"OLD",IF(AND(E219&lt;&gt;"",E219&lt;&gt;"!!!"),"NEW","")))</f>
        <v> </v>
      </c>
      <c r="G219" s="17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18" t="str">
        <f>IF(J219&lt;&gt;1,"",IF(I219="SBJ","CB","?"))</f>
        <v> </v>
      </c>
      <c r="I219" s="19" t="str">
        <f>IF(OR(E219="",E219="!!!",F219="NEW"),"",INDEX(B218:B$2,-1+SUMPRODUCT(MAX(ROW(E218:E$2)*(E219=E218:E$2)))))</f>
        <v> </v>
      </c>
      <c r="J219" s="19" t="str">
        <f>IF(OR(E219="",E219="!!!",F219="NEW"),"",COUNTBLANK(OFFSET(A$1,,,SUMPRODUCT(MAX(ROW(E$2:E219)*(E219=E$2:E219)))))-COUNTBLANK(OFFSET(A$1,,,SUMPRODUCT(MAX(ROW(E$1:E218)*(E2=E$1:E218))))))</f>
        <v> </v>
      </c>
      <c r="K219" s="19" t="str">
        <f>IF(OR(E219="",E219="!!!",F219="NEW"),"",INDEX(J$1:J218,SUMPRODUCT(MAX(ROW(E$1:E218)*(E219=E$1:E218)))))</f>
        <v> </v>
      </c>
      <c r="L219" s="20"/>
    </row>
    <row r="220" spans="1:12">
      <c r="A220" s="13" t="s">
        <v>182</v>
      </c>
      <c r="B220" s="14" t="s">
        <v>183</v>
      </c>
      <c r="C220" s="14" t="s">
        <v>86</v>
      </c>
      <c r="E220" s="15">
        <f>IF(D220="?OLD","!!!","")</f>
        <v/>
      </c>
      <c r="F220" s="16" t="str">
        <f>IF(OR(E220="",E220="!!!"),"",IF(NOT(ISNA(VLOOKUP(E220,E$1:E219,1,FALSE()))),"OLD",IF(AND(E220&lt;&gt;"",E220&lt;&gt;"!!!"),"NEW","")))</f>
        <v> </v>
      </c>
      <c r="G220" s="17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18" t="str">
        <f>IF(J220&lt;&gt;1,"",IF(I220="SBJ","CB","?"))</f>
        <v> </v>
      </c>
      <c r="I220" s="19" t="str">
        <f>IF(OR(E220="",E220="!!!",F220="NEW"),"",INDEX(B219:B$2,-1+SUMPRODUCT(MAX(ROW(E219:E$2)*(E220=E219:E$2)))))</f>
        <v> </v>
      </c>
      <c r="J220" s="19" t="str">
        <f>IF(OR(E220="",E220="!!!",F220="NEW"),"",COUNTBLANK(OFFSET(A$1,,,SUMPRODUCT(MAX(ROW(E$2:E220)*(E220=E$2:E220)))))-COUNTBLANK(OFFSET(A$1,,,SUMPRODUCT(MAX(ROW(E$1:E219)*(E2=E$1:E219))))))</f>
        <v> </v>
      </c>
      <c r="K220" s="19" t="str">
        <f>IF(OR(E220="",E220="!!!",F220="NEW"),"",INDEX(J$1:J219,SUMPRODUCT(MAX(ROW(E$1:E219)*(E220=E$1:E219)))))</f>
        <v> </v>
      </c>
      <c r="L220" s="20"/>
    </row>
    <row r="221" spans="1:12">
      <c r="A221" s="13" t="s">
        <v>61</v>
      </c>
      <c r="B221" s="14" t="s">
        <v>184</v>
      </c>
      <c r="E221" s="15">
        <f>IF(D221="?OLD","!!!","")</f>
        <v/>
      </c>
      <c r="F221" s="16" t="str">
        <f>IF(OR(E221="",E221="!!!"),"",IF(NOT(ISNA(VLOOKUP(E221,E$1:E220,1,FALSE()))),"OLD",IF(AND(E221&lt;&gt;"",E221&lt;&gt;"!!!"),"NEW","")))</f>
        <v> </v>
      </c>
      <c r="G221" s="17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18" t="str">
        <f>IF(J221&lt;&gt;1,"",IF(I221="SBJ","CB","?"))</f>
        <v> </v>
      </c>
      <c r="I221" s="19" t="str">
        <f>IF(OR(E221="",E221="!!!",F221="NEW"),"",INDEX(B220:B$2,-1+SUMPRODUCT(MAX(ROW(E220:E$2)*(E221=E220:E$2)))))</f>
        <v> </v>
      </c>
      <c r="J221" s="19" t="str">
        <f>IF(OR(E221="",E221="!!!",F221="NEW"),"",COUNTBLANK(OFFSET(A$1,,,SUMPRODUCT(MAX(ROW(E$2:E221)*(E221=E$2:E221)))))-COUNTBLANK(OFFSET(A$1,,,SUMPRODUCT(MAX(ROW(E$1:E220)*(E2=E$1:E220))))))</f>
        <v> </v>
      </c>
      <c r="K221" s="19" t="str">
        <f>IF(OR(E221="",E221="!!!",F221="NEW"),"",INDEX(J$1:J220,SUMPRODUCT(MAX(ROW(E$1:E220)*(E221=E$1:E220)))))</f>
        <v> </v>
      </c>
      <c r="L221" s="20"/>
    </row>
    <row r="222" spans="1:12">
      <c r="A222" s="13" t="s">
        <v>185</v>
      </c>
      <c r="E222" s="15">
        <f>IF(D222="?OLD","!!!","")</f>
        <v/>
      </c>
      <c r="F222" s="16" t="str">
        <f>IF(OR(E222="",E222="!!!"),"",IF(NOT(ISNA(VLOOKUP(E222,E$1:E221,1,FALSE()))),"OLD",IF(AND(E222&lt;&gt;"",E222&lt;&gt;"!!!"),"NEW","")))</f>
        <v> </v>
      </c>
      <c r="G222" s="17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18" t="str">
        <f>IF(J222&lt;&gt;1,"",IF(I222="SBJ","CB","?"))</f>
        <v> </v>
      </c>
      <c r="I222" s="19" t="str">
        <f>IF(OR(E222="",E222="!!!",F222="NEW"),"",INDEX(B221:B$2,-1+SUMPRODUCT(MAX(ROW(E221:E$2)*(E222=E221:E$2)))))</f>
        <v> </v>
      </c>
      <c r="J222" s="19" t="str">
        <f>IF(OR(E222="",E222="!!!",F222="NEW"),"",COUNTBLANK(OFFSET(A$1,,,SUMPRODUCT(MAX(ROW(E$2:E222)*(E222=E$2:E222)))))-COUNTBLANK(OFFSET(A$1,,,SUMPRODUCT(MAX(ROW(E$1:E221)*(E2=E$1:E221))))))</f>
        <v> </v>
      </c>
      <c r="K222" s="19" t="str">
        <f>IF(OR(E222="",E222="!!!",F222="NEW"),"",INDEX(J$1:J221,SUMPRODUCT(MAX(ROW(E$1:E221)*(E222=E$1:E221)))))</f>
        <v> </v>
      </c>
      <c r="L222" s="20"/>
    </row>
    <row r="223" spans="1:12">
      <c r="A223" s="13" t="s">
        <v>186</v>
      </c>
      <c r="E223" s="15">
        <f>IF(D223="?OLD","!!!","")</f>
        <v/>
      </c>
      <c r="F223" s="16" t="str">
        <f>IF(OR(E223="",E223="!!!"),"",IF(NOT(ISNA(VLOOKUP(E223,E$1:E222,1,FALSE()))),"OLD",IF(AND(E223&lt;&gt;"",E223&lt;&gt;"!!!"),"NEW","")))</f>
        <v> </v>
      </c>
      <c r="G223" s="17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18" t="str">
        <f>IF(J223&lt;&gt;1,"",IF(I223="SBJ","CB","?"))</f>
        <v> </v>
      </c>
      <c r="I223" s="19" t="str">
        <f>IF(OR(E223="",E223="!!!",F223="NEW"),"",INDEX(B222:B$2,-1+SUMPRODUCT(MAX(ROW(E222:E$2)*(E223=E222:E$2)))))</f>
        <v> </v>
      </c>
      <c r="J223" s="19" t="str">
        <f>IF(OR(E223="",E223="!!!",F223="NEW"),"",COUNTBLANK(OFFSET(A$1,,,SUMPRODUCT(MAX(ROW(E$2:E223)*(E223=E$2:E223)))))-COUNTBLANK(OFFSET(A$1,,,SUMPRODUCT(MAX(ROW(E$1:E222)*(E2=E$1:E222))))))</f>
        <v> </v>
      </c>
      <c r="K223" s="19" t="str">
        <f>IF(OR(E223="",E223="!!!",F223="NEW"),"",INDEX(J$1:J222,SUMPRODUCT(MAX(ROW(E$1:E222)*(E223=E$1:E222)))))</f>
        <v> </v>
      </c>
      <c r="L223" s="20"/>
    </row>
    <row r="224" spans="1:12">
      <c r="A224" s="13" t="s">
        <v>52</v>
      </c>
      <c r="E224" s="15">
        <f>IF(D224="?OLD","!!!","")</f>
        <v/>
      </c>
      <c r="F224" s="16" t="str">
        <f>IF(OR(E224="",E224="!!!"),"",IF(NOT(ISNA(VLOOKUP(E224,E$1:E223,1,FALSE()))),"OLD",IF(AND(E224&lt;&gt;"",E224&lt;&gt;"!!!"),"NEW","")))</f>
        <v> </v>
      </c>
      <c r="G224" s="17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18" t="str">
        <f>IF(J224&lt;&gt;1,"",IF(I224="SBJ","CB","?"))</f>
        <v> </v>
      </c>
      <c r="I224" s="19" t="str">
        <f>IF(OR(E224="",E224="!!!",F224="NEW"),"",INDEX(B223:B$2,-1+SUMPRODUCT(MAX(ROW(E223:E$2)*(E224=E223:E$2)))))</f>
        <v> </v>
      </c>
      <c r="J224" s="19" t="str">
        <f>IF(OR(E224="",E224="!!!",F224="NEW"),"",COUNTBLANK(OFFSET(A$1,,,SUMPRODUCT(MAX(ROW(E$2:E224)*(E224=E$2:E224)))))-COUNTBLANK(OFFSET(A$1,,,SUMPRODUCT(MAX(ROW(E$1:E223)*(E2=E$1:E223))))))</f>
        <v> </v>
      </c>
      <c r="K224" s="19" t="str">
        <f>IF(OR(E224="",E224="!!!",F224="NEW"),"",INDEX(J$1:J223,SUMPRODUCT(MAX(ROW(E$1:E223)*(E224=E$1:E223)))))</f>
        <v> </v>
      </c>
      <c r="L224" s="20"/>
    </row>
    <row r="225" spans="1:12">
      <c r="A225" s="13" t="s">
        <v>57</v>
      </c>
      <c r="E225" s="15">
        <f>IF(D225="?OLD","!!!","")</f>
        <v/>
      </c>
      <c r="F225" s="16" t="str">
        <f>IF(OR(E225="",E225="!!!"),"",IF(NOT(ISNA(VLOOKUP(E225,E$1:E224,1,FALSE()))),"OLD",IF(AND(E225&lt;&gt;"",E225&lt;&gt;"!!!"),"NEW","")))</f>
        <v> </v>
      </c>
      <c r="G225" s="17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18" t="str">
        <f>IF(J225&lt;&gt;1,"",IF(I225="SBJ","CB","?"))</f>
        <v> </v>
      </c>
      <c r="I225" s="19" t="str">
        <f>IF(OR(E225="",E225="!!!",F225="NEW"),"",INDEX(B224:B$2,-1+SUMPRODUCT(MAX(ROW(E224:E$2)*(E225=E224:E$2)))))</f>
        <v> </v>
      </c>
      <c r="J225" s="19" t="str">
        <f>IF(OR(E225="",E225="!!!",F225="NEW"),"",COUNTBLANK(OFFSET(A$1,,,SUMPRODUCT(MAX(ROW(E$2:E225)*(E225=E$2:E225)))))-COUNTBLANK(OFFSET(A$1,,,SUMPRODUCT(MAX(ROW(E$1:E224)*(E2=E$1:E224))))))</f>
        <v> </v>
      </c>
      <c r="K225" s="19" t="str">
        <f>IF(OR(E225="",E225="!!!",F225="NEW"),"",INDEX(J$1:J224,SUMPRODUCT(MAX(ROW(E$1:E224)*(E225=E$1:E224)))))</f>
        <v> </v>
      </c>
      <c r="L225" s="20"/>
    </row>
    <row r="226" spans="1:12">
      <c r="A226" s="13" t="s">
        <v>187</v>
      </c>
      <c r="B226" s="14" t="s">
        <v>188</v>
      </c>
      <c r="C226" s="14" t="s">
        <v>60</v>
      </c>
      <c r="D226" s="14" t="s">
        <v>25</v>
      </c>
      <c r="E226" s="15">
        <f>IF(D226="?OLD","!!!","")</f>
        <v/>
      </c>
      <c r="F226" s="16" t="str">
        <f>IF(OR(E226="",E226="!!!"),"",IF(NOT(ISNA(VLOOKUP(E226,E$1:E225,1,FALSE()))),"OLD",IF(AND(E226&lt;&gt;"",E226&lt;&gt;"!!!"),"NEW","")))</f>
        <v> </v>
      </c>
      <c r="G226" s="17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18" t="str">
        <f>IF(J226&lt;&gt;1,"",IF(I226="SBJ","CB","?"))</f>
        <v> </v>
      </c>
      <c r="I226" s="19" t="str">
        <f>IF(OR(E226="",E226="!!!",F226="NEW"),"",INDEX(B225:B$2,-1+SUMPRODUCT(MAX(ROW(E225:E$2)*(E226=E225:E$2)))))</f>
        <v> </v>
      </c>
      <c r="J226" s="19" t="str">
        <f>IF(OR(E226="",E226="!!!",F226="NEW"),"",COUNTBLANK(OFFSET(A$1,,,SUMPRODUCT(MAX(ROW(E$2:E226)*(E226=E$2:E226)))))-COUNTBLANK(OFFSET(A$1,,,SUMPRODUCT(MAX(ROW(E$1:E225)*(E2=E$1:E225))))))</f>
        <v> </v>
      </c>
      <c r="K226" s="19" t="str">
        <f>IF(OR(E226="",E226="!!!",F226="NEW"),"",INDEX(J$1:J225,SUMPRODUCT(MAX(ROW(E$1:E225)*(E226=E$1:E225)))))</f>
        <v> </v>
      </c>
      <c r="L226" s="20"/>
    </row>
    <row r="227" spans="1:12">
      <c r="A227" s="13" t="s">
        <v>68</v>
      </c>
      <c r="E227" s="15">
        <f>IF(D227="?OLD","!!!","")</f>
        <v/>
      </c>
      <c r="F227" s="16" t="str">
        <f>IF(OR(E227="",E227="!!!"),"",IF(NOT(ISNA(VLOOKUP(E227,E$1:E226,1,FALSE()))),"OLD",IF(AND(E227&lt;&gt;"",E227&lt;&gt;"!!!"),"NEW","")))</f>
        <v> </v>
      </c>
      <c r="G227" s="17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18" t="str">
        <f>IF(J227&lt;&gt;1,"",IF(I227="SBJ","CB","?"))</f>
        <v> </v>
      </c>
      <c r="I227" s="19" t="str">
        <f>IF(OR(E227="",E227="!!!",F227="NEW"),"",INDEX(B226:B$2,-1+SUMPRODUCT(MAX(ROW(E226:E$2)*(E227=E226:E$2)))))</f>
        <v> </v>
      </c>
      <c r="J227" s="19" t="str">
        <f>IF(OR(E227="",E227="!!!",F227="NEW"),"",COUNTBLANK(OFFSET(A$1,,,SUMPRODUCT(MAX(ROW(E$2:E227)*(E227=E$2:E227)))))-COUNTBLANK(OFFSET(A$1,,,SUMPRODUCT(MAX(ROW(E$1:E226)*(E2=E$1:E226))))))</f>
        <v> </v>
      </c>
      <c r="K227" s="19" t="str">
        <f>IF(OR(E227="",E227="!!!",F227="NEW"),"",INDEX(J$1:J226,SUMPRODUCT(MAX(ROW(E$1:E226)*(E227=E$1:E226)))))</f>
        <v> </v>
      </c>
      <c r="L227" s="20"/>
    </row>
    <row r="228" spans="1:12">
      <c r="A228" s="13"/>
    </row>
    <row r="229" spans="1:12">
      <c r="A229" s="13" t="s">
        <v>189</v>
      </c>
    </row>
    <row r="230" spans="1:12">
      <c r="A230" s="13" t="s">
        <v>190</v>
      </c>
      <c r="B230" s="14" t="s">
        <v>23</v>
      </c>
      <c r="C230" s="14" t="s">
        <v>64</v>
      </c>
      <c r="D230" s="14" t="s">
        <v>25</v>
      </c>
      <c r="E230" s="15">
        <f>IF(D230="?OLD","!!!","")</f>
        <v/>
      </c>
      <c r="F230" s="16" t="str">
        <f>IF(OR(E230="",E230="!!!"),"",IF(NOT(ISNA(VLOOKUP(E230,E$1:E229,1,FALSE()))),"OLD",IF(AND(E230&lt;&gt;"",E230&lt;&gt;"!!!"),"NEW","")))</f>
        <v> </v>
      </c>
      <c r="G230" s="17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18" t="str">
        <f>IF(J230&lt;&gt;1,"",IF(I230="SBJ","CB","?"))</f>
        <v> </v>
      </c>
      <c r="I230" s="19" t="str">
        <f>IF(OR(E230="",E230="!!!",F230="NEW"),"",INDEX(B229:B$2,-1+SUMPRODUCT(MAX(ROW(E229:E$2)*(E230=E229:E$2)))))</f>
        <v> </v>
      </c>
      <c r="J230" s="19" t="str">
        <f>IF(OR(E230="",E230="!!!",F230="NEW"),"",COUNTBLANK(OFFSET(A$1,,,SUMPRODUCT(MAX(ROW(E$2:E230)*(E230=E$2:E230)))))-COUNTBLANK(OFFSET(A$1,,,SUMPRODUCT(MAX(ROW(E$1:E229)*(E2=E$1:E229))))))</f>
        <v> </v>
      </c>
      <c r="K230" s="19" t="str">
        <f>IF(OR(E230="",E230="!!!",F230="NEW"),"",INDEX(J$1:J229,SUMPRODUCT(MAX(ROW(E$1:E229)*(E230=E$1:E229)))))</f>
        <v> </v>
      </c>
      <c r="L230" s="20"/>
    </row>
    <row r="231" spans="1:12">
      <c r="A231" s="13" t="s">
        <v>87</v>
      </c>
      <c r="B231" s="14" t="s">
        <v>88</v>
      </c>
      <c r="C231" s="14" t="s">
        <v>64</v>
      </c>
      <c r="D231" s="14" t="s">
        <v>25</v>
      </c>
      <c r="E231" s="15">
        <f>IF(D231="?OLD","!!!","")</f>
        <v/>
      </c>
      <c r="F231" s="16" t="str">
        <f>IF(OR(E231="",E231="!!!"),"",IF(NOT(ISNA(VLOOKUP(E231,E$1:E230,1,FALSE()))),"OLD",IF(AND(E231&lt;&gt;"",E231&lt;&gt;"!!!"),"NEW","")))</f>
        <v> </v>
      </c>
      <c r="G231" s="17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18" t="str">
        <f>IF(J231&lt;&gt;1,"",IF(I231="SBJ","CB","?"))</f>
        <v> </v>
      </c>
      <c r="I231" s="19" t="str">
        <f>IF(OR(E231="",E231="!!!",F231="NEW"),"",INDEX(B230:B$2,-1+SUMPRODUCT(MAX(ROW(E230:E$2)*(E231=E230:E$2)))))</f>
        <v> </v>
      </c>
      <c r="J231" s="19" t="str">
        <f>IF(OR(E231="",E231="!!!",F231="NEW"),"",COUNTBLANK(OFFSET(A$1,,,SUMPRODUCT(MAX(ROW(E$2:E231)*(E231=E$2:E231)))))-COUNTBLANK(OFFSET(A$1,,,SUMPRODUCT(MAX(ROW(E$1:E230)*(E2=E$1:E230))))))</f>
        <v> </v>
      </c>
      <c r="K231" s="19" t="str">
        <f>IF(OR(E231="",E231="!!!",F231="NEW"),"",INDEX(J$1:J230,SUMPRODUCT(MAX(ROW(E$1:E230)*(E231=E$1:E230)))))</f>
        <v> </v>
      </c>
      <c r="L231" s="20"/>
    </row>
    <row r="232" spans="1:12">
      <c r="A232" s="13" t="s">
        <v>191</v>
      </c>
      <c r="E232" s="15">
        <f>IF(D232="?OLD","!!!","")</f>
        <v/>
      </c>
      <c r="F232" s="16" t="str">
        <f>IF(OR(E232="",E232="!!!"),"",IF(NOT(ISNA(VLOOKUP(E232,E$1:E231,1,FALSE()))),"OLD",IF(AND(E232&lt;&gt;"",E232&lt;&gt;"!!!"),"NEW","")))</f>
        <v> </v>
      </c>
      <c r="G232" s="17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18" t="str">
        <f>IF(J232&lt;&gt;1,"",IF(I232="SBJ","CB","?"))</f>
        <v> </v>
      </c>
      <c r="I232" s="19" t="str">
        <f>IF(OR(E232="",E232="!!!",F232="NEW"),"",INDEX(B231:B$2,-1+SUMPRODUCT(MAX(ROW(E231:E$2)*(E232=E231:E$2)))))</f>
        <v> </v>
      </c>
      <c r="J232" s="19" t="str">
        <f>IF(OR(E232="",E232="!!!",F232="NEW"),"",COUNTBLANK(OFFSET(A$1,,,SUMPRODUCT(MAX(ROW(E$2:E232)*(E232=E$2:E232)))))-COUNTBLANK(OFFSET(A$1,,,SUMPRODUCT(MAX(ROW(E$1:E231)*(E2=E$1:E231))))))</f>
        <v> </v>
      </c>
      <c r="K232" s="19" t="str">
        <f>IF(OR(E232="",E232="!!!",F232="NEW"),"",INDEX(J$1:J231,SUMPRODUCT(MAX(ROW(E$1:E231)*(E232=E$1:E231)))))</f>
        <v> </v>
      </c>
      <c r="L232" s="20"/>
    </row>
    <row r="233" spans="1:12">
      <c r="A233" s="13" t="s">
        <v>192</v>
      </c>
      <c r="E233" s="15">
        <f>IF(D233="?OLD","!!!","")</f>
        <v/>
      </c>
      <c r="F233" s="16" t="str">
        <f>IF(OR(E233="",E233="!!!"),"",IF(NOT(ISNA(VLOOKUP(E233,E$1:E232,1,FALSE()))),"OLD",IF(AND(E233&lt;&gt;"",E233&lt;&gt;"!!!"),"NEW","")))</f>
        <v> </v>
      </c>
      <c r="G233" s="17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18" t="str">
        <f>IF(J233&lt;&gt;1,"",IF(I233="SBJ","CB","?"))</f>
        <v> </v>
      </c>
      <c r="I233" s="19" t="str">
        <f>IF(OR(E233="",E233="!!!",F233="NEW"),"",INDEX(B232:B$2,-1+SUMPRODUCT(MAX(ROW(E232:E$2)*(E233=E232:E$2)))))</f>
        <v> </v>
      </c>
      <c r="J233" s="19" t="str">
        <f>IF(OR(E233="",E233="!!!",F233="NEW"),"",COUNTBLANK(OFFSET(A$1,,,SUMPRODUCT(MAX(ROW(E$2:E233)*(E233=E$2:E233)))))-COUNTBLANK(OFFSET(A$1,,,SUMPRODUCT(MAX(ROW(E$1:E232)*(E2=E$1:E232))))))</f>
        <v> </v>
      </c>
      <c r="K233" s="19" t="str">
        <f>IF(OR(E233="",E233="!!!",F233="NEW"),"",INDEX(J$1:J232,SUMPRODUCT(MAX(ROW(E$1:E232)*(E233=E$1:E232)))))</f>
        <v> </v>
      </c>
      <c r="L233" s="20"/>
    </row>
    <row r="234" spans="1:12">
      <c r="A234" s="13" t="s">
        <v>193</v>
      </c>
      <c r="E234" s="15">
        <f>IF(D234="?OLD","!!!","")</f>
        <v/>
      </c>
      <c r="F234" s="16" t="str">
        <f>IF(OR(E234="",E234="!!!"),"",IF(NOT(ISNA(VLOOKUP(E234,E$1:E233,1,FALSE()))),"OLD",IF(AND(E234&lt;&gt;"",E234&lt;&gt;"!!!"),"NEW","")))</f>
        <v> </v>
      </c>
      <c r="G234" s="17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18" t="str">
        <f>IF(J234&lt;&gt;1,"",IF(I234="SBJ","CB","?"))</f>
        <v> </v>
      </c>
      <c r="I234" s="19" t="str">
        <f>IF(OR(E234="",E234="!!!",F234="NEW"),"",INDEX(B233:B$2,-1+SUMPRODUCT(MAX(ROW(E233:E$2)*(E234=E233:E$2)))))</f>
        <v> </v>
      </c>
      <c r="J234" s="19" t="str">
        <f>IF(OR(E234="",E234="!!!",F234="NEW"),"",COUNTBLANK(OFFSET(A$1,,,SUMPRODUCT(MAX(ROW(E$2:E234)*(E234=E$2:E234)))))-COUNTBLANK(OFFSET(A$1,,,SUMPRODUCT(MAX(ROW(E$1:E233)*(E2=E$1:E233))))))</f>
        <v> </v>
      </c>
      <c r="K234" s="19" t="str">
        <f>IF(OR(E234="",E234="!!!",F234="NEW"),"",INDEX(J$1:J233,SUMPRODUCT(MAX(ROW(E$1:E233)*(E234=E$1:E233)))))</f>
        <v> </v>
      </c>
      <c r="L234" s="20"/>
    </row>
    <row r="235" spans="1:12">
      <c r="A235" s="13" t="s">
        <v>68</v>
      </c>
      <c r="E235" s="15">
        <f>IF(D235="?OLD","!!!","")</f>
        <v/>
      </c>
      <c r="F235" s="16" t="str">
        <f>IF(OR(E235="",E235="!!!"),"",IF(NOT(ISNA(VLOOKUP(E235,E$1:E234,1,FALSE()))),"OLD",IF(AND(E235&lt;&gt;"",E235&lt;&gt;"!!!"),"NEW","")))</f>
        <v> </v>
      </c>
      <c r="G235" s="17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18" t="str">
        <f>IF(J235&lt;&gt;1,"",IF(I235="SBJ","CB","?"))</f>
        <v> </v>
      </c>
      <c r="I235" s="19" t="str">
        <f>IF(OR(E235="",E235="!!!",F235="NEW"),"",INDEX(B234:B$2,-1+SUMPRODUCT(MAX(ROW(E234:E$2)*(E235=E234:E$2)))))</f>
        <v> </v>
      </c>
      <c r="J235" s="19" t="str">
        <f>IF(OR(E235="",E235="!!!",F235="NEW"),"",COUNTBLANK(OFFSET(A$1,,,SUMPRODUCT(MAX(ROW(E$2:E235)*(E235=E$2:E235)))))-COUNTBLANK(OFFSET(A$1,,,SUMPRODUCT(MAX(ROW(E$1:E234)*(E2=E$1:E234))))))</f>
        <v> </v>
      </c>
      <c r="K235" s="19" t="str">
        <f>IF(OR(E235="",E235="!!!",F235="NEW"),"",INDEX(J$1:J234,SUMPRODUCT(MAX(ROW(E$1:E234)*(E235=E$1:E234)))))</f>
        <v> </v>
      </c>
      <c r="L235" s="20"/>
    </row>
    <row r="236" spans="1:12">
      <c r="A236" s="13"/>
    </row>
    <row r="237" spans="1:12">
      <c r="A237" s="13" t="s">
        <v>194</v>
      </c>
    </row>
    <row r="238" spans="1:12">
      <c r="A238" s="13" t="s">
        <v>70</v>
      </c>
      <c r="E238" s="15">
        <f>IF(D238="?OLD","!!!","")</f>
        <v/>
      </c>
      <c r="F238" s="16" t="str">
        <f>IF(OR(E238="",E238="!!!"),"",IF(NOT(ISNA(VLOOKUP(E238,E$1:E237,1,FALSE()))),"OLD",IF(AND(E238&lt;&gt;"",E238&lt;&gt;"!!!"),"NEW","")))</f>
        <v> </v>
      </c>
      <c r="G238" s="17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18" t="str">
        <f>IF(J238&lt;&gt;1,"",IF(I238="SBJ","CB","?"))</f>
        <v> </v>
      </c>
      <c r="I238" s="19" t="str">
        <f>IF(OR(E238="",E238="!!!",F238="NEW"),"",INDEX(B237:B$2,-1+SUMPRODUCT(MAX(ROW(E237:E$2)*(E238=E237:E$2)))))</f>
        <v> </v>
      </c>
      <c r="J238" s="19" t="str">
        <f>IF(OR(E238="",E238="!!!",F238="NEW"),"",COUNTBLANK(OFFSET(A$1,,,SUMPRODUCT(MAX(ROW(E$2:E238)*(E238=E$2:E238)))))-COUNTBLANK(OFFSET(A$1,,,SUMPRODUCT(MAX(ROW(E$1:E237)*(E2=E$1:E237))))))</f>
        <v> </v>
      </c>
      <c r="K238" s="19" t="str">
        <f>IF(OR(E238="",E238="!!!",F238="NEW"),"",INDEX(J$1:J237,SUMPRODUCT(MAX(ROW(E$1:E237)*(E238=E$1:E237)))))</f>
        <v> </v>
      </c>
      <c r="L238" s="20"/>
    </row>
    <row r="239" spans="1:12">
      <c r="A239" s="13" t="s">
        <v>195</v>
      </c>
      <c r="B239" s="14" t="s">
        <v>23</v>
      </c>
      <c r="C239" s="14" t="s">
        <v>60</v>
      </c>
      <c r="D239" s="14" t="s">
        <v>25</v>
      </c>
      <c r="E239" s="15">
        <f>IF(D239="?OLD","!!!","")</f>
        <v/>
      </c>
      <c r="F239" s="16" t="str">
        <f>IF(OR(E239="",E239="!!!"),"",IF(NOT(ISNA(VLOOKUP(E239,E$1:E238,1,FALSE()))),"OLD",IF(AND(E239&lt;&gt;"",E239&lt;&gt;"!!!"),"NEW","")))</f>
        <v> </v>
      </c>
      <c r="G239" s="17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18" t="str">
        <f>IF(J239&lt;&gt;1,"",IF(I239="SBJ","CB","?"))</f>
        <v> </v>
      </c>
      <c r="I239" s="19" t="str">
        <f>IF(OR(E239="",E239="!!!",F239="NEW"),"",INDEX(B238:B$2,-1+SUMPRODUCT(MAX(ROW(E238:E$2)*(E239=E238:E$2)))))</f>
        <v> </v>
      </c>
      <c r="J239" s="19" t="str">
        <f>IF(OR(E239="",E239="!!!",F239="NEW"),"",COUNTBLANK(OFFSET(A$1,,,SUMPRODUCT(MAX(ROW(E$2:E239)*(E239=E$2:E239)))))-COUNTBLANK(OFFSET(A$1,,,SUMPRODUCT(MAX(ROW(E$1:E238)*(E2=E$1:E238))))))</f>
        <v> </v>
      </c>
      <c r="K239" s="19" t="str">
        <f>IF(OR(E239="",E239="!!!",F239="NEW"),"",INDEX(J$1:J238,SUMPRODUCT(MAX(ROW(E$1:E238)*(E239=E$1:E238)))))</f>
        <v> </v>
      </c>
      <c r="L239" s="20"/>
    </row>
    <row r="240" spans="1:12">
      <c r="A240" s="13" t="s">
        <v>55</v>
      </c>
      <c r="E240" s="15">
        <f>IF(D240="?OLD","!!!","")</f>
        <v/>
      </c>
      <c r="F240" s="16" t="str">
        <f>IF(OR(E240="",E240="!!!"),"",IF(NOT(ISNA(VLOOKUP(E240,E$1:E239,1,FALSE()))),"OLD",IF(AND(E240&lt;&gt;"",E240&lt;&gt;"!!!"),"NEW","")))</f>
        <v> </v>
      </c>
      <c r="G240" s="17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18" t="str">
        <f>IF(J240&lt;&gt;1,"",IF(I240="SBJ","CB","?"))</f>
        <v> </v>
      </c>
      <c r="I240" s="19" t="str">
        <f>IF(OR(E240="",E240="!!!",F240="NEW"),"",INDEX(B239:B$2,-1+SUMPRODUCT(MAX(ROW(E239:E$2)*(E240=E239:E$2)))))</f>
        <v> </v>
      </c>
      <c r="J240" s="19" t="str">
        <f>IF(OR(E240="",E240="!!!",F240="NEW"),"",COUNTBLANK(OFFSET(A$1,,,SUMPRODUCT(MAX(ROW(E$2:E240)*(E240=E$2:E240)))))-COUNTBLANK(OFFSET(A$1,,,SUMPRODUCT(MAX(ROW(E$1:E239)*(E2=E$1:E239))))))</f>
        <v> </v>
      </c>
      <c r="K240" s="19" t="str">
        <f>IF(OR(E240="",E240="!!!",F240="NEW"),"",INDEX(J$1:J239,SUMPRODUCT(MAX(ROW(E$1:E239)*(E240=E$1:E239)))))</f>
        <v> </v>
      </c>
      <c r="L240" s="20"/>
    </row>
    <row r="241" spans="1:12">
      <c r="A241" s="13" t="s">
        <v>56</v>
      </c>
      <c r="E241" s="15">
        <f>IF(D241="?OLD","!!!","")</f>
        <v/>
      </c>
      <c r="F241" s="16" t="str">
        <f>IF(OR(E241="",E241="!!!"),"",IF(NOT(ISNA(VLOOKUP(E241,E$1:E240,1,FALSE()))),"OLD",IF(AND(E241&lt;&gt;"",E241&lt;&gt;"!!!"),"NEW","")))</f>
        <v> </v>
      </c>
      <c r="G241" s="17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18" t="str">
        <f>IF(J241&lt;&gt;1,"",IF(I241="SBJ","CB","?"))</f>
        <v> </v>
      </c>
      <c r="I241" s="19" t="str">
        <f>IF(OR(E241="",E241="!!!",F241="NEW"),"",INDEX(B240:B$2,-1+SUMPRODUCT(MAX(ROW(E240:E$2)*(E241=E240:E$2)))))</f>
        <v> </v>
      </c>
      <c r="J241" s="19" t="str">
        <f>IF(OR(E241="",E241="!!!",F241="NEW"),"",COUNTBLANK(OFFSET(A$1,,,SUMPRODUCT(MAX(ROW(E$2:E241)*(E241=E$2:E241)))))-COUNTBLANK(OFFSET(A$1,,,SUMPRODUCT(MAX(ROW(E$1:E240)*(E2=E$1:E240))))))</f>
        <v> </v>
      </c>
      <c r="K241" s="19" t="str">
        <f>IF(OR(E241="",E241="!!!",F241="NEW"),"",INDEX(J$1:J240,SUMPRODUCT(MAX(ROW(E$1:E240)*(E241=E$1:E240)))))</f>
        <v> </v>
      </c>
      <c r="L241" s="20"/>
    </row>
    <row r="242" spans="1:12">
      <c r="A242" s="13" t="s">
        <v>61</v>
      </c>
      <c r="B242" s="14" t="s">
        <v>165</v>
      </c>
      <c r="E242" s="15">
        <f>IF(D242="?OLD","!!!","")</f>
        <v/>
      </c>
      <c r="F242" s="16" t="str">
        <f>IF(OR(E242="",E242="!!!"),"",IF(NOT(ISNA(VLOOKUP(E242,E$1:E241,1,FALSE()))),"OLD",IF(AND(E242&lt;&gt;"",E242&lt;&gt;"!!!"),"NEW","")))</f>
        <v> </v>
      </c>
      <c r="G242" s="17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18" t="str">
        <f>IF(J242&lt;&gt;1,"",IF(I242="SBJ","CB","?"))</f>
        <v> </v>
      </c>
      <c r="I242" s="19" t="str">
        <f>IF(OR(E242="",E242="!!!",F242="NEW"),"",INDEX(B241:B$2,-1+SUMPRODUCT(MAX(ROW(E241:E$2)*(E242=E241:E$2)))))</f>
        <v> </v>
      </c>
      <c r="J242" s="19" t="str">
        <f>IF(OR(E242="",E242="!!!",F242="NEW"),"",COUNTBLANK(OFFSET(A$1,,,SUMPRODUCT(MAX(ROW(E$2:E242)*(E242=E$2:E242)))))-COUNTBLANK(OFFSET(A$1,,,SUMPRODUCT(MAX(ROW(E$1:E241)*(E2=E$1:E241))))))</f>
        <v> </v>
      </c>
      <c r="K242" s="19" t="str">
        <f>IF(OR(E242="",E242="!!!",F242="NEW"),"",INDEX(J$1:J241,SUMPRODUCT(MAX(ROW(E$1:E241)*(E242=E$1:E241)))))</f>
        <v> </v>
      </c>
      <c r="L242" s="20"/>
    </row>
    <row r="243" spans="1:12">
      <c r="A243" s="13" t="s">
        <v>174</v>
      </c>
      <c r="E243" s="15">
        <f>IF(D243="?OLD","!!!","")</f>
        <v/>
      </c>
      <c r="F243" s="16" t="str">
        <f>IF(OR(E243="",E243="!!!"),"",IF(NOT(ISNA(VLOOKUP(E243,E$1:E242,1,FALSE()))),"OLD",IF(AND(E243&lt;&gt;"",E243&lt;&gt;"!!!"),"NEW","")))</f>
        <v> </v>
      </c>
      <c r="G243" s="17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18" t="str">
        <f>IF(J243&lt;&gt;1,"",IF(I243="SBJ","CB","?"))</f>
        <v> </v>
      </c>
      <c r="I243" s="19" t="str">
        <f>IF(OR(E243="",E243="!!!",F243="NEW"),"",INDEX(B242:B$2,-1+SUMPRODUCT(MAX(ROW(E242:E$2)*(E243=E242:E$2)))))</f>
        <v> </v>
      </c>
      <c r="J243" s="19" t="str">
        <f>IF(OR(E243="",E243="!!!",F243="NEW"),"",COUNTBLANK(OFFSET(A$1,,,SUMPRODUCT(MAX(ROW(E$2:E243)*(E243=E$2:E243)))))-COUNTBLANK(OFFSET(A$1,,,SUMPRODUCT(MAX(ROW(E$1:E242)*(E2=E$1:E242))))))</f>
        <v> </v>
      </c>
      <c r="K243" s="19" t="str">
        <f>IF(OR(E243="",E243="!!!",F243="NEW"),"",INDEX(J$1:J242,SUMPRODUCT(MAX(ROW(E$1:E242)*(E243=E$1:E242)))))</f>
        <v> </v>
      </c>
      <c r="L243" s="20"/>
    </row>
    <row r="244" spans="1:12">
      <c r="A244" s="13" t="s">
        <v>196</v>
      </c>
      <c r="E244" s="15">
        <f>IF(D244="?OLD","!!!","")</f>
        <v/>
      </c>
      <c r="F244" s="16" t="str">
        <f>IF(OR(E244="",E244="!!!"),"",IF(NOT(ISNA(VLOOKUP(E244,E$1:E243,1,FALSE()))),"OLD",IF(AND(E244&lt;&gt;"",E244&lt;&gt;"!!!"),"NEW","")))</f>
        <v> </v>
      </c>
      <c r="G244" s="17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18" t="str">
        <f>IF(J244&lt;&gt;1,"",IF(I244="SBJ","CB","?"))</f>
        <v> </v>
      </c>
      <c r="I244" s="19" t="str">
        <f>IF(OR(E244="",E244="!!!",F244="NEW"),"",INDEX(B243:B$2,-1+SUMPRODUCT(MAX(ROW(E243:E$2)*(E244=E243:E$2)))))</f>
        <v> </v>
      </c>
      <c r="J244" s="19" t="str">
        <f>IF(OR(E244="",E244="!!!",F244="NEW"),"",COUNTBLANK(OFFSET(A$1,,,SUMPRODUCT(MAX(ROW(E$2:E244)*(E244=E$2:E244)))))-COUNTBLANK(OFFSET(A$1,,,SUMPRODUCT(MAX(ROW(E$1:E243)*(E2=E$1:E243))))))</f>
        <v> </v>
      </c>
      <c r="K244" s="19" t="str">
        <f>IF(OR(E244="",E244="!!!",F244="NEW"),"",INDEX(J$1:J243,SUMPRODUCT(MAX(ROW(E$1:E243)*(E244=E$1:E243)))))</f>
        <v> </v>
      </c>
      <c r="L244" s="20"/>
    </row>
    <row r="245" spans="1:12">
      <c r="A245" s="13" t="s">
        <v>197</v>
      </c>
      <c r="E245" s="15">
        <f>IF(D245="?OLD","!!!","")</f>
        <v/>
      </c>
      <c r="F245" s="16" t="str">
        <f>IF(OR(E245="",E245="!!!"),"",IF(NOT(ISNA(VLOOKUP(E245,E$1:E244,1,FALSE()))),"OLD",IF(AND(E245&lt;&gt;"",E245&lt;&gt;"!!!"),"NEW","")))</f>
        <v> </v>
      </c>
      <c r="G245" s="17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18" t="str">
        <f>IF(J245&lt;&gt;1,"",IF(I245="SBJ","CB","?"))</f>
        <v> </v>
      </c>
      <c r="I245" s="19" t="str">
        <f>IF(OR(E245="",E245="!!!",F245="NEW"),"",INDEX(B244:B$2,-1+SUMPRODUCT(MAX(ROW(E244:E$2)*(E245=E244:E$2)))))</f>
        <v> </v>
      </c>
      <c r="J245" s="19" t="str">
        <f>IF(OR(E245="",E245="!!!",F245="NEW"),"",COUNTBLANK(OFFSET(A$1,,,SUMPRODUCT(MAX(ROW(E$2:E245)*(E245=E$2:E245)))))-COUNTBLANK(OFFSET(A$1,,,SUMPRODUCT(MAX(ROW(E$1:E244)*(E2=E$1:E244))))))</f>
        <v> </v>
      </c>
      <c r="K245" s="19" t="str">
        <f>IF(OR(E245="",E245="!!!",F245="NEW"),"",INDEX(J$1:J244,SUMPRODUCT(MAX(ROW(E$1:E244)*(E245=E$1:E244)))))</f>
        <v> </v>
      </c>
      <c r="L245" s="20"/>
    </row>
    <row r="246" spans="1:12">
      <c r="A246" s="13" t="s">
        <v>198</v>
      </c>
      <c r="E246" s="15">
        <f>IF(D246="?OLD","!!!","")</f>
        <v/>
      </c>
      <c r="F246" s="16" t="str">
        <f>IF(OR(E246="",E246="!!!"),"",IF(NOT(ISNA(VLOOKUP(E246,E$1:E245,1,FALSE()))),"OLD",IF(AND(E246&lt;&gt;"",E246&lt;&gt;"!!!"),"NEW","")))</f>
        <v> </v>
      </c>
      <c r="G246" s="17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18" t="str">
        <f>IF(J246&lt;&gt;1,"",IF(I246="SBJ","CB","?"))</f>
        <v> </v>
      </c>
      <c r="I246" s="19" t="str">
        <f>IF(OR(E246="",E246="!!!",F246="NEW"),"",INDEX(B245:B$2,-1+SUMPRODUCT(MAX(ROW(E245:E$2)*(E246=E245:E$2)))))</f>
        <v> </v>
      </c>
      <c r="J246" s="19" t="str">
        <f>IF(OR(E246="",E246="!!!",F246="NEW"),"",COUNTBLANK(OFFSET(A$1,,,SUMPRODUCT(MAX(ROW(E$2:E246)*(E246=E$2:E246)))))-COUNTBLANK(OFFSET(A$1,,,SUMPRODUCT(MAX(ROW(E$1:E245)*(E2=E$1:E245))))))</f>
        <v> </v>
      </c>
      <c r="K246" s="19" t="str">
        <f>IF(OR(E246="",E246="!!!",F246="NEW"),"",INDEX(J$1:J245,SUMPRODUCT(MAX(ROW(E$1:E245)*(E246=E$1:E245)))))</f>
        <v> </v>
      </c>
      <c r="L246" s="20"/>
    </row>
    <row r="247" spans="1:12">
      <c r="A247" s="13" t="s">
        <v>199</v>
      </c>
      <c r="E247" s="15">
        <f>IF(D247="?OLD","!!!","")</f>
        <v/>
      </c>
      <c r="F247" s="16" t="str">
        <f>IF(OR(E247="",E247="!!!"),"",IF(NOT(ISNA(VLOOKUP(E247,E$1:E246,1,FALSE()))),"OLD",IF(AND(E247&lt;&gt;"",E247&lt;&gt;"!!!"),"NEW","")))</f>
        <v> </v>
      </c>
      <c r="G247" s="17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18" t="str">
        <f>IF(J247&lt;&gt;1,"",IF(I247="SBJ","CB","?"))</f>
        <v> </v>
      </c>
      <c r="I247" s="19" t="str">
        <f>IF(OR(E247="",E247="!!!",F247="NEW"),"",INDEX(B246:B$2,-1+SUMPRODUCT(MAX(ROW(E246:E$2)*(E247=E246:E$2)))))</f>
        <v> </v>
      </c>
      <c r="J247" s="19" t="str">
        <f>IF(OR(E247="",E247="!!!",F247="NEW"),"",COUNTBLANK(OFFSET(A$1,,,SUMPRODUCT(MAX(ROW(E$2:E247)*(E247=E$2:E247)))))-COUNTBLANK(OFFSET(A$1,,,SUMPRODUCT(MAX(ROW(E$1:E246)*(E2=E$1:E246))))))</f>
        <v> </v>
      </c>
      <c r="K247" s="19" t="str">
        <f>IF(OR(E247="",E247="!!!",F247="NEW"),"",INDEX(J$1:J246,SUMPRODUCT(MAX(ROW(E$1:E246)*(E247=E$1:E246)))))</f>
        <v> </v>
      </c>
      <c r="L247" s="20"/>
    </row>
    <row r="248" spans="1:12">
      <c r="A248" s="13" t="s">
        <v>200</v>
      </c>
      <c r="E248" s="15">
        <f>IF(D248="?OLD","!!!","")</f>
        <v/>
      </c>
      <c r="F248" s="16" t="str">
        <f>IF(OR(E248="",E248="!!!"),"",IF(NOT(ISNA(VLOOKUP(E248,E$1:E247,1,FALSE()))),"OLD",IF(AND(E248&lt;&gt;"",E248&lt;&gt;"!!!"),"NEW","")))</f>
        <v> </v>
      </c>
      <c r="G248" s="17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18" t="str">
        <f>IF(J248&lt;&gt;1,"",IF(I248="SBJ","CB","?"))</f>
        <v> </v>
      </c>
      <c r="I248" s="19" t="str">
        <f>IF(OR(E248="",E248="!!!",F248="NEW"),"",INDEX(B247:B$2,-1+SUMPRODUCT(MAX(ROW(E247:E$2)*(E248=E247:E$2)))))</f>
        <v> </v>
      </c>
      <c r="J248" s="19" t="str">
        <f>IF(OR(E248="",E248="!!!",F248="NEW"),"",COUNTBLANK(OFFSET(A$1,,,SUMPRODUCT(MAX(ROW(E$2:E248)*(E248=E$2:E248)))))-COUNTBLANK(OFFSET(A$1,,,SUMPRODUCT(MAX(ROW(E$1:E247)*(E2=E$1:E247))))))</f>
        <v> </v>
      </c>
      <c r="K248" s="19" t="str">
        <f>IF(OR(E248="",E248="!!!",F248="NEW"),"",INDEX(J$1:J247,SUMPRODUCT(MAX(ROW(E$1:E247)*(E248=E$1:E247)))))</f>
        <v> </v>
      </c>
      <c r="L248" s="20"/>
    </row>
    <row r="249" spans="1:12">
      <c r="A249" s="13" t="s">
        <v>62</v>
      </c>
      <c r="E249" s="15">
        <f>IF(D249="?OLD","!!!","")</f>
        <v/>
      </c>
      <c r="F249" s="16" t="str">
        <f>IF(OR(E249="",E249="!!!"),"",IF(NOT(ISNA(VLOOKUP(E249,E$1:E248,1,FALSE()))),"OLD",IF(AND(E249&lt;&gt;"",E249&lt;&gt;"!!!"),"NEW","")))</f>
        <v> </v>
      </c>
      <c r="G249" s="17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18" t="str">
        <f>IF(J249&lt;&gt;1,"",IF(I249="SBJ","CB","?"))</f>
        <v> </v>
      </c>
      <c r="I249" s="19" t="str">
        <f>IF(OR(E249="",E249="!!!",F249="NEW"),"",INDEX(B248:B$2,-1+SUMPRODUCT(MAX(ROW(E248:E$2)*(E249=E248:E$2)))))</f>
        <v> </v>
      </c>
      <c r="J249" s="19" t="str">
        <f>IF(OR(E249="",E249="!!!",F249="NEW"),"",COUNTBLANK(OFFSET(A$1,,,SUMPRODUCT(MAX(ROW(E$2:E249)*(E249=E$2:E249)))))-COUNTBLANK(OFFSET(A$1,,,SUMPRODUCT(MAX(ROW(E$1:E248)*(E2=E$1:E248))))))</f>
        <v> </v>
      </c>
      <c r="K249" s="19" t="str">
        <f>IF(OR(E249="",E249="!!!",F249="NEW"),"",INDEX(J$1:J248,SUMPRODUCT(MAX(ROW(E$1:E248)*(E249=E$1:E248)))))</f>
        <v> </v>
      </c>
      <c r="L249" s="20"/>
    </row>
    <row r="250" spans="1:12">
      <c r="A250" s="13" t="s">
        <v>151</v>
      </c>
      <c r="E250" s="15">
        <f>IF(D250="?OLD","!!!","")</f>
        <v/>
      </c>
      <c r="F250" s="16" t="str">
        <f>IF(OR(E250="",E250="!!!"),"",IF(NOT(ISNA(VLOOKUP(E250,E$1:E249,1,FALSE()))),"OLD",IF(AND(E250&lt;&gt;"",E250&lt;&gt;"!!!"),"NEW","")))</f>
        <v> </v>
      </c>
      <c r="G250" s="17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18" t="str">
        <f>IF(J250&lt;&gt;1,"",IF(I250="SBJ","CB","?"))</f>
        <v> </v>
      </c>
      <c r="I250" s="19" t="str">
        <f>IF(OR(E250="",E250="!!!",F250="NEW"),"",INDEX(B249:B$2,-1+SUMPRODUCT(MAX(ROW(E249:E$2)*(E250=E249:E$2)))))</f>
        <v> </v>
      </c>
      <c r="J250" s="19" t="str">
        <f>IF(OR(E250="",E250="!!!",F250="NEW"),"",COUNTBLANK(OFFSET(A$1,,,SUMPRODUCT(MAX(ROW(E$2:E250)*(E250=E$2:E250)))))-COUNTBLANK(OFFSET(A$1,,,SUMPRODUCT(MAX(ROW(E$1:E249)*(E2=E$1:E249))))))</f>
        <v> </v>
      </c>
      <c r="K250" s="19" t="str">
        <f>IF(OR(E250="",E250="!!!",F250="NEW"),"",INDEX(J$1:J249,SUMPRODUCT(MAX(ROW(E$1:E249)*(E250=E$1:E249)))))</f>
        <v> </v>
      </c>
      <c r="L250" s="20"/>
    </row>
    <row r="251" spans="1:12">
      <c r="A251" s="13" t="s">
        <v>201</v>
      </c>
      <c r="E251" s="15">
        <f>IF(D251="?OLD","!!!","")</f>
        <v/>
      </c>
      <c r="F251" s="16" t="str">
        <f>IF(OR(E251="",E251="!!!"),"",IF(NOT(ISNA(VLOOKUP(E251,E$1:E250,1,FALSE()))),"OLD",IF(AND(E251&lt;&gt;"",E251&lt;&gt;"!!!"),"NEW","")))</f>
        <v> </v>
      </c>
      <c r="G251" s="17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18" t="str">
        <f>IF(J251&lt;&gt;1,"",IF(I251="SBJ","CB","?"))</f>
        <v> </v>
      </c>
      <c r="I251" s="19" t="str">
        <f>IF(OR(E251="",E251="!!!",F251="NEW"),"",INDEX(B250:B$2,-1+SUMPRODUCT(MAX(ROW(E250:E$2)*(E251=E250:E$2)))))</f>
        <v> </v>
      </c>
      <c r="J251" s="19" t="str">
        <f>IF(OR(E251="",E251="!!!",F251="NEW"),"",COUNTBLANK(OFFSET(A$1,,,SUMPRODUCT(MAX(ROW(E$2:E251)*(E251=E$2:E251)))))-COUNTBLANK(OFFSET(A$1,,,SUMPRODUCT(MAX(ROW(E$1:E250)*(E2=E$1:E250))))))</f>
        <v> </v>
      </c>
      <c r="K251" s="19" t="str">
        <f>IF(OR(E251="",E251="!!!",F251="NEW"),"",INDEX(J$1:J250,SUMPRODUCT(MAX(ROW(E$1:E250)*(E251=E$1:E250)))))</f>
        <v> </v>
      </c>
      <c r="L251" s="20"/>
    </row>
    <row r="252" spans="1:12">
      <c r="A252" s="13" t="s">
        <v>202</v>
      </c>
      <c r="B252" s="14" t="s">
        <v>177</v>
      </c>
      <c r="C252" s="14" t="s">
        <v>34</v>
      </c>
      <c r="E252" s="15">
        <f>IF(D252="?OLD","!!!","")</f>
        <v/>
      </c>
      <c r="F252" s="16" t="str">
        <f>IF(OR(E252="",E252="!!!"),"",IF(NOT(ISNA(VLOOKUP(E252,E$1:E251,1,FALSE()))),"OLD",IF(AND(E252&lt;&gt;"",E252&lt;&gt;"!!!"),"NEW","")))</f>
        <v> </v>
      </c>
      <c r="G252" s="17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18" t="str">
        <f>IF(J252&lt;&gt;1,"",IF(I252="SBJ","CB","?"))</f>
        <v> </v>
      </c>
      <c r="I252" s="19" t="str">
        <f>IF(OR(E252="",E252="!!!",F252="NEW"),"",INDEX(B251:B$2,-1+SUMPRODUCT(MAX(ROW(E251:E$2)*(E252=E251:E$2)))))</f>
        <v> </v>
      </c>
      <c r="J252" s="19" t="str">
        <f>IF(OR(E252="",E252="!!!",F252="NEW"),"",COUNTBLANK(OFFSET(A$1,,,SUMPRODUCT(MAX(ROW(E$2:E252)*(E252=E$2:E252)))))-COUNTBLANK(OFFSET(A$1,,,SUMPRODUCT(MAX(ROW(E$1:E251)*(E2=E$1:E251))))))</f>
        <v> </v>
      </c>
      <c r="K252" s="19" t="str">
        <f>IF(OR(E252="",E252="!!!",F252="NEW"),"",INDEX(J$1:J251,SUMPRODUCT(MAX(ROW(E$1:E251)*(E252=E$1:E251)))))</f>
        <v> </v>
      </c>
      <c r="L252" s="20"/>
    </row>
    <row r="253" spans="1:12">
      <c r="A253" s="13" t="s">
        <v>102</v>
      </c>
      <c r="E253" s="15">
        <f>IF(D253="?OLD","!!!","")</f>
        <v/>
      </c>
      <c r="F253" s="16" t="str">
        <f>IF(OR(E253="",E253="!!!"),"",IF(NOT(ISNA(VLOOKUP(E253,E$1:E252,1,FALSE()))),"OLD",IF(AND(E253&lt;&gt;"",E253&lt;&gt;"!!!"),"NEW","")))</f>
        <v> </v>
      </c>
      <c r="G253" s="17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18" t="str">
        <f>IF(J253&lt;&gt;1,"",IF(I253="SBJ","CB","?"))</f>
        <v> </v>
      </c>
      <c r="I253" s="19" t="str">
        <f>IF(OR(E253="",E253="!!!",F253="NEW"),"",INDEX(B252:B$2,-1+SUMPRODUCT(MAX(ROW(E252:E$2)*(E253=E252:E$2)))))</f>
        <v> </v>
      </c>
      <c r="J253" s="19" t="str">
        <f>IF(OR(E253="",E253="!!!",F253="NEW"),"",COUNTBLANK(OFFSET(A$1,,,SUMPRODUCT(MAX(ROW(E$2:E253)*(E253=E$2:E253)))))-COUNTBLANK(OFFSET(A$1,,,SUMPRODUCT(MAX(ROW(E$1:E252)*(E2=E$1:E252))))))</f>
        <v> </v>
      </c>
      <c r="K253" s="19" t="str">
        <f>IF(OR(E253="",E253="!!!",F253="NEW"),"",INDEX(J$1:J252,SUMPRODUCT(MAX(ROW(E$1:E252)*(E253=E$1:E252)))))</f>
        <v> </v>
      </c>
      <c r="L253" s="20"/>
    </row>
    <row r="254" spans="1:12">
      <c r="A254" s="13" t="s">
        <v>95</v>
      </c>
      <c r="E254" s="15">
        <f>IF(D254="?OLD","!!!","")</f>
        <v/>
      </c>
      <c r="F254" s="16" t="str">
        <f>IF(OR(E254="",E254="!!!"),"",IF(NOT(ISNA(VLOOKUP(E254,E$1:E253,1,FALSE()))),"OLD",IF(AND(E254&lt;&gt;"",E254&lt;&gt;"!!!"),"NEW","")))</f>
        <v> </v>
      </c>
      <c r="G254" s="17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18" t="str">
        <f>IF(J254&lt;&gt;1,"",IF(I254="SBJ","CB","?"))</f>
        <v> </v>
      </c>
      <c r="I254" s="19" t="str">
        <f>IF(OR(E254="",E254="!!!",F254="NEW"),"",INDEX(B253:B$2,-1+SUMPRODUCT(MAX(ROW(E253:E$2)*(E254=E253:E$2)))))</f>
        <v> </v>
      </c>
      <c r="J254" s="19" t="str">
        <f>IF(OR(E254="",E254="!!!",F254="NEW"),"",COUNTBLANK(OFFSET(A$1,,,SUMPRODUCT(MAX(ROW(E$2:E254)*(E254=E$2:E254)))))-COUNTBLANK(OFFSET(A$1,,,SUMPRODUCT(MAX(ROW(E$1:E253)*(E2=E$1:E253))))))</f>
        <v> </v>
      </c>
      <c r="K254" s="19" t="str">
        <f>IF(OR(E254="",E254="!!!",F254="NEW"),"",INDEX(J$1:J253,SUMPRODUCT(MAX(ROW(E$1:E253)*(E254=E$1:E253)))))</f>
        <v> </v>
      </c>
      <c r="L254" s="20"/>
    </row>
    <row r="255" spans="1:12">
      <c r="A255" s="13" t="s">
        <v>164</v>
      </c>
      <c r="B255" s="14" t="s">
        <v>203</v>
      </c>
      <c r="C255" s="14" t="s">
        <v>24</v>
      </c>
      <c r="D255" s="14" t="s">
        <v>25</v>
      </c>
      <c r="E255" s="15">
        <f>IF(D255="?OLD","!!!","")</f>
        <v/>
      </c>
      <c r="F255" s="16" t="str">
        <f>IF(OR(E255="",E255="!!!"),"",IF(NOT(ISNA(VLOOKUP(E255,E$1:E254,1,FALSE()))),"OLD",IF(AND(E255&lt;&gt;"",E255&lt;&gt;"!!!"),"NEW","")))</f>
        <v> </v>
      </c>
      <c r="G255" s="17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18" t="str">
        <f>IF(J255&lt;&gt;1,"",IF(I255="SBJ","CB","?"))</f>
        <v> </v>
      </c>
      <c r="I255" s="19" t="str">
        <f>IF(OR(E255="",E255="!!!",F255="NEW"),"",INDEX(B254:B$2,-1+SUMPRODUCT(MAX(ROW(E254:E$2)*(E255=E254:E$2)))))</f>
        <v> </v>
      </c>
      <c r="J255" s="19" t="str">
        <f>IF(OR(E255="",E255="!!!",F255="NEW"),"",COUNTBLANK(OFFSET(A$1,,,SUMPRODUCT(MAX(ROW(E$2:E255)*(E255=E$2:E255)))))-COUNTBLANK(OFFSET(A$1,,,SUMPRODUCT(MAX(ROW(E$1:E254)*(E2=E$1:E254))))))</f>
        <v> </v>
      </c>
      <c r="K255" s="19" t="str">
        <f>IF(OR(E255="",E255="!!!",F255="NEW"),"",INDEX(J$1:J254,SUMPRODUCT(MAX(ROW(E$1:E254)*(E255=E$1:E254)))))</f>
        <v> </v>
      </c>
      <c r="L255" s="20"/>
    </row>
    <row r="256" spans="1:12">
      <c r="A256" s="13" t="s">
        <v>56</v>
      </c>
      <c r="E256" s="15">
        <f>IF(D256="?OLD","!!!","")</f>
        <v/>
      </c>
      <c r="F256" s="16" t="str">
        <f>IF(OR(E256="",E256="!!!"),"",IF(NOT(ISNA(VLOOKUP(E256,E$1:E255,1,FALSE()))),"OLD",IF(AND(E256&lt;&gt;"",E256&lt;&gt;"!!!"),"NEW","")))</f>
        <v> </v>
      </c>
      <c r="G256" s="17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18" t="str">
        <f>IF(J256&lt;&gt;1,"",IF(I256="SBJ","CB","?"))</f>
        <v> </v>
      </c>
      <c r="I256" s="19" t="str">
        <f>IF(OR(E256="",E256="!!!",F256="NEW"),"",INDEX(B255:B$2,-1+SUMPRODUCT(MAX(ROW(E255:E$2)*(E256=E255:E$2)))))</f>
        <v> </v>
      </c>
      <c r="J256" s="19" t="str">
        <f>IF(OR(E256="",E256="!!!",F256="NEW"),"",COUNTBLANK(OFFSET(A$1,,,SUMPRODUCT(MAX(ROW(E$2:E256)*(E256=E$2:E256)))))-COUNTBLANK(OFFSET(A$1,,,SUMPRODUCT(MAX(ROW(E$1:E255)*(E2=E$1:E255))))))</f>
        <v> </v>
      </c>
      <c r="K256" s="19" t="str">
        <f>IF(OR(E256="",E256="!!!",F256="NEW"),"",INDEX(J$1:J255,SUMPRODUCT(MAX(ROW(E$1:E255)*(E256=E$1:E255)))))</f>
        <v> </v>
      </c>
      <c r="L256" s="20"/>
    </row>
    <row r="257" spans="1:12">
      <c r="A257" s="13" t="s">
        <v>204</v>
      </c>
      <c r="B257" s="14" t="s">
        <v>88</v>
      </c>
      <c r="C257" s="14" t="s">
        <v>64</v>
      </c>
      <c r="D257" s="14" t="s">
        <v>25</v>
      </c>
      <c r="E257" s="15">
        <f>IF(D257="?OLD","!!!","")</f>
        <v/>
      </c>
      <c r="F257" s="16" t="str">
        <f>IF(OR(E257="",E257="!!!"),"",IF(NOT(ISNA(VLOOKUP(E257,E$1:E256,1,FALSE()))),"OLD",IF(AND(E257&lt;&gt;"",E257&lt;&gt;"!!!"),"NEW","")))</f>
        <v> </v>
      </c>
      <c r="G257" s="17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18" t="str">
        <f>IF(J257&lt;&gt;1,"",IF(I257="SBJ","CB","?"))</f>
        <v> </v>
      </c>
      <c r="I257" s="19" t="str">
        <f>IF(OR(E257="",E257="!!!",F257="NEW"),"",INDEX(B256:B$2,-1+SUMPRODUCT(MAX(ROW(E256:E$2)*(E257=E256:E$2)))))</f>
        <v> </v>
      </c>
      <c r="J257" s="19" t="str">
        <f>IF(OR(E257="",E257="!!!",F257="NEW"),"",COUNTBLANK(OFFSET(A$1,,,SUMPRODUCT(MAX(ROW(E$2:E257)*(E257=E$2:E257)))))-COUNTBLANK(OFFSET(A$1,,,SUMPRODUCT(MAX(ROW(E$1:E256)*(E2=E$1:E256))))))</f>
        <v> </v>
      </c>
      <c r="K257" s="19" t="str">
        <f>IF(OR(E257="",E257="!!!",F257="NEW"),"",INDEX(J$1:J256,SUMPRODUCT(MAX(ROW(E$1:E256)*(E257=E$1:E256)))))</f>
        <v> </v>
      </c>
      <c r="L257" s="20"/>
    </row>
    <row r="258" spans="1:12">
      <c r="A258" s="13" t="s">
        <v>115</v>
      </c>
      <c r="E258" s="15">
        <f>IF(D258="?OLD","!!!","")</f>
        <v/>
      </c>
      <c r="F258" s="16" t="str">
        <f>IF(OR(E258="",E258="!!!"),"",IF(NOT(ISNA(VLOOKUP(E258,E$1:E257,1,FALSE()))),"OLD",IF(AND(E258&lt;&gt;"",E258&lt;&gt;"!!!"),"NEW","")))</f>
        <v> </v>
      </c>
      <c r="G258" s="17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18" t="str">
        <f>IF(J258&lt;&gt;1,"",IF(I258="SBJ","CB","?"))</f>
        <v> </v>
      </c>
      <c r="I258" s="19" t="str">
        <f>IF(OR(E258="",E258="!!!",F258="NEW"),"",INDEX(B257:B$2,-1+SUMPRODUCT(MAX(ROW(E257:E$2)*(E258=E257:E$2)))))</f>
        <v> </v>
      </c>
      <c r="J258" s="19" t="str">
        <f>IF(OR(E258="",E258="!!!",F258="NEW"),"",COUNTBLANK(OFFSET(A$1,,,SUMPRODUCT(MAX(ROW(E$2:E258)*(E258=E$2:E258)))))-COUNTBLANK(OFFSET(A$1,,,SUMPRODUCT(MAX(ROW(E$1:E257)*(E2=E$1:E257))))))</f>
        <v> </v>
      </c>
      <c r="K258" s="19" t="str">
        <f>IF(OR(E258="",E258="!!!",F258="NEW"),"",INDEX(J$1:J257,SUMPRODUCT(MAX(ROW(E$1:E257)*(E258=E$1:E257)))))</f>
        <v> </v>
      </c>
      <c r="L258" s="20"/>
    </row>
    <row r="259" spans="1:12">
      <c r="A259" s="13" t="s">
        <v>116</v>
      </c>
      <c r="E259" s="15">
        <f>IF(D259="?OLD","!!!","")</f>
        <v/>
      </c>
      <c r="F259" s="16" t="str">
        <f>IF(OR(E259="",E259="!!!"),"",IF(NOT(ISNA(VLOOKUP(E259,E$1:E258,1,FALSE()))),"OLD",IF(AND(E259&lt;&gt;"",E259&lt;&gt;"!!!"),"NEW","")))</f>
        <v> </v>
      </c>
      <c r="G259" s="17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18" t="str">
        <f>IF(J259&lt;&gt;1,"",IF(I259="SBJ","CB","?"))</f>
        <v> </v>
      </c>
      <c r="I259" s="19" t="str">
        <f>IF(OR(E259="",E259="!!!",F259="NEW"),"",INDEX(B258:B$2,-1+SUMPRODUCT(MAX(ROW(E258:E$2)*(E259=E258:E$2)))))</f>
        <v> </v>
      </c>
      <c r="J259" s="19" t="str">
        <f>IF(OR(E259="",E259="!!!",F259="NEW"),"",COUNTBLANK(OFFSET(A$1,,,SUMPRODUCT(MAX(ROW(E$2:E259)*(E259=E$2:E259)))))-COUNTBLANK(OFFSET(A$1,,,SUMPRODUCT(MAX(ROW(E$1:E258)*(E2=E$1:E258))))))</f>
        <v> </v>
      </c>
      <c r="K259" s="19" t="str">
        <f>IF(OR(E259="",E259="!!!",F259="NEW"),"",INDEX(J$1:J258,SUMPRODUCT(MAX(ROW(E$1:E258)*(E259=E$1:E258)))))</f>
        <v> </v>
      </c>
      <c r="L259" s="20"/>
    </row>
    <row r="260" spans="1:12">
      <c r="A260" s="13"/>
    </row>
    <row r="261" spans="1:12">
      <c r="A261" s="13" t="s">
        <v>117</v>
      </c>
      <c r="E261" s="15">
        <f>IF(D261="?OLD","!!!","")</f>
        <v/>
      </c>
      <c r="F261" s="16" t="str">
        <f>IF(OR(E261="",E261="!!!"),"",IF(NOT(ISNA(VLOOKUP(E261,E$1:E260,1,FALSE()))),"OLD",IF(AND(E261&lt;&gt;"",E261&lt;&gt;"!!!"),"NEW","")))</f>
        <v> </v>
      </c>
      <c r="G261" s="17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18" t="str">
        <f>IF(J261&lt;&gt;1,"",IF(I261="SBJ","CB","?"))</f>
        <v> </v>
      </c>
      <c r="I261" s="19" t="str">
        <f>IF(OR(E261="",E261="!!!",F261="NEW"),"",INDEX(B260:B$2,-1+SUMPRODUCT(MAX(ROW(E260:E$2)*(E261=E260:E$2)))))</f>
        <v> </v>
      </c>
      <c r="J261" s="19" t="str">
        <f>IF(OR(E261="",E261="!!!",F261="NEW"),"",COUNTBLANK(OFFSET(A$1,,,SUMPRODUCT(MAX(ROW(E$2:E261)*(E261=E$2:E261)))))-COUNTBLANK(OFFSET(A$1,,,SUMPRODUCT(MAX(ROW(E$1:E260)*(E2=E$1:E260))))))</f>
        <v> </v>
      </c>
      <c r="K261" s="19" t="str">
        <f>IF(OR(E261="",E261="!!!",F261="NEW"),"",INDEX(J$1:J260,SUMPRODUCT(MAX(ROW(E$1:E260)*(E261=E$1:E260)))))</f>
        <v> </v>
      </c>
      <c r="L261" s="20"/>
    </row>
    <row r="262" spans="1:12">
      <c r="A262" s="13" t="s">
        <v>205</v>
      </c>
    </row>
    <row r="263" spans="1:12">
      <c r="A263" s="13" t="s">
        <v>119</v>
      </c>
      <c r="E263" s="15">
        <f>IF(D263="?OLD","!!!","")</f>
        <v/>
      </c>
      <c r="F263" s="16" t="str">
        <f>IF(OR(E263="",E263="!!!"),"",IF(NOT(ISNA(VLOOKUP(E263,E$1:E262,1,FALSE()))),"OLD",IF(AND(E263&lt;&gt;"",E263&lt;&gt;"!!!"),"NEW","")))</f>
        <v> </v>
      </c>
      <c r="G263" s="17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18" t="str">
        <f>IF(J263&lt;&gt;1,"",IF(I263="SBJ","CB","?"))</f>
        <v> </v>
      </c>
      <c r="I263" s="19" t="str">
        <f>IF(OR(E263="",E263="!!!",F263="NEW"),"",INDEX(B262:B$2,-1+SUMPRODUCT(MAX(ROW(E262:E$2)*(E263=E262:E$2)))))</f>
        <v> </v>
      </c>
      <c r="J263" s="19" t="str">
        <f>IF(OR(E263="",E263="!!!",F263="NEW"),"",COUNTBLANK(OFFSET(A$1,,,SUMPRODUCT(MAX(ROW(E$2:E263)*(E263=E$2:E263)))))-COUNTBLANK(OFFSET(A$1,,,SUMPRODUCT(MAX(ROW(E$1:E262)*(E2=E$1:E262))))))</f>
        <v> </v>
      </c>
      <c r="K263" s="19" t="str">
        <f>IF(OR(E263="",E263="!!!",F263="NEW"),"",INDEX(J$1:J262,SUMPRODUCT(MAX(ROW(E$1:E262)*(E263=E$1:E262)))))</f>
        <v> </v>
      </c>
      <c r="L263" s="20"/>
    </row>
    <row r="264" spans="1:12">
      <c r="A264" s="13" t="s">
        <v>206</v>
      </c>
      <c r="E264" s="15">
        <f>IF(D264="?OLD","!!!","")</f>
        <v/>
      </c>
      <c r="F264" s="16" t="str">
        <f>IF(OR(E264="",E264="!!!"),"",IF(NOT(ISNA(VLOOKUP(E264,E$1:E263,1,FALSE()))),"OLD",IF(AND(E264&lt;&gt;"",E264&lt;&gt;"!!!"),"NEW","")))</f>
        <v> </v>
      </c>
      <c r="G264" s="17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18" t="str">
        <f>IF(J264&lt;&gt;1,"",IF(I264="SBJ","CB","?"))</f>
        <v> </v>
      </c>
      <c r="I264" s="19" t="str">
        <f>IF(OR(E264="",E264="!!!",F264="NEW"),"",INDEX(B263:B$2,-1+SUMPRODUCT(MAX(ROW(E263:E$2)*(E264=E263:E$2)))))</f>
        <v> </v>
      </c>
      <c r="J264" s="19" t="str">
        <f>IF(OR(E264="",E264="!!!",F264="NEW"),"",COUNTBLANK(OFFSET(A$1,,,SUMPRODUCT(MAX(ROW(E$2:E264)*(E264=E$2:E264)))))-COUNTBLANK(OFFSET(A$1,,,SUMPRODUCT(MAX(ROW(E$1:E263)*(E2=E$1:E263))))))</f>
        <v> </v>
      </c>
      <c r="K264" s="19" t="str">
        <f>IF(OR(E264="",E264="!!!",F264="NEW"),"",INDEX(J$1:J263,SUMPRODUCT(MAX(ROW(E$1:E263)*(E264=E$1:E263)))))</f>
        <v> </v>
      </c>
      <c r="L264" s="20"/>
    </row>
    <row r="265" spans="1:12">
      <c r="A265" s="13" t="s">
        <v>102</v>
      </c>
      <c r="E265" s="15">
        <f>IF(D265="?OLD","!!!","")</f>
        <v/>
      </c>
      <c r="F265" s="16" t="str">
        <f>IF(OR(E265="",E265="!!!"),"",IF(NOT(ISNA(VLOOKUP(E265,E$1:E264,1,FALSE()))),"OLD",IF(AND(E265&lt;&gt;"",E265&lt;&gt;"!!!"),"NEW","")))</f>
        <v> </v>
      </c>
      <c r="G265" s="17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18" t="str">
        <f>IF(J265&lt;&gt;1,"",IF(I265="SBJ","CB","?"))</f>
        <v> </v>
      </c>
      <c r="I265" s="19" t="str">
        <f>IF(OR(E265="",E265="!!!",F265="NEW"),"",INDEX(B264:B$2,-1+SUMPRODUCT(MAX(ROW(E264:E$2)*(E265=E264:E$2)))))</f>
        <v> </v>
      </c>
      <c r="J265" s="19" t="str">
        <f>IF(OR(E265="",E265="!!!",F265="NEW"),"",COUNTBLANK(OFFSET(A$1,,,SUMPRODUCT(MAX(ROW(E$2:E265)*(E265=E$2:E265)))))-COUNTBLANK(OFFSET(A$1,,,SUMPRODUCT(MAX(ROW(E$1:E264)*(E2=E$1:E264))))))</f>
        <v> </v>
      </c>
      <c r="K265" s="19" t="str">
        <f>IF(OR(E265="",E265="!!!",F265="NEW"),"",INDEX(J$1:J264,SUMPRODUCT(MAX(ROW(E$1:E264)*(E265=E$1:E264)))))</f>
        <v> </v>
      </c>
      <c r="L265" s="20"/>
    </row>
    <row r="266" spans="1:12">
      <c r="A266" s="13" t="s">
        <v>67</v>
      </c>
      <c r="E266" s="15">
        <f>IF(D266="?OLD","!!!","")</f>
        <v/>
      </c>
      <c r="F266" s="16" t="str">
        <f>IF(OR(E266="",E266="!!!"),"",IF(NOT(ISNA(VLOOKUP(E266,E$1:E265,1,FALSE()))),"OLD",IF(AND(E266&lt;&gt;"",E266&lt;&gt;"!!!"),"NEW","")))</f>
        <v> </v>
      </c>
      <c r="G266" s="17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18" t="str">
        <f>IF(J266&lt;&gt;1,"",IF(I266="SBJ","CB","?"))</f>
        <v> </v>
      </c>
      <c r="I266" s="19" t="str">
        <f>IF(OR(E266="",E266="!!!",F266="NEW"),"",INDEX(B265:B$2,-1+SUMPRODUCT(MAX(ROW(E265:E$2)*(E266=E265:E$2)))))</f>
        <v> </v>
      </c>
      <c r="J266" s="19" t="str">
        <f>IF(OR(E266="",E266="!!!",F266="NEW"),"",COUNTBLANK(OFFSET(A$1,,,SUMPRODUCT(MAX(ROW(E$2:E266)*(E266=E$2:E266)))))-COUNTBLANK(OFFSET(A$1,,,SUMPRODUCT(MAX(ROW(E$1:E265)*(E2=E$1:E265))))))</f>
        <v> </v>
      </c>
      <c r="K266" s="19" t="str">
        <f>IF(OR(E266="",E266="!!!",F266="NEW"),"",INDEX(J$1:J265,SUMPRODUCT(MAX(ROW(E$1:E265)*(E266=E$1:E265)))))</f>
        <v> </v>
      </c>
      <c r="L266" s="20"/>
    </row>
    <row r="267" spans="1:12">
      <c r="A267" s="13" t="s">
        <v>57</v>
      </c>
      <c r="E267" s="15">
        <f>IF(D267="?OLD","!!!","")</f>
        <v/>
      </c>
      <c r="F267" s="16" t="str">
        <f>IF(OR(E267="",E267="!!!"),"",IF(NOT(ISNA(VLOOKUP(E267,E$1:E266,1,FALSE()))),"OLD",IF(AND(E267&lt;&gt;"",E267&lt;&gt;"!!!"),"NEW","")))</f>
        <v> </v>
      </c>
      <c r="G267" s="17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18" t="str">
        <f>IF(J267&lt;&gt;1,"",IF(I267="SBJ","CB","?"))</f>
        <v> </v>
      </c>
      <c r="I267" s="19" t="str">
        <f>IF(OR(E267="",E267="!!!",F267="NEW"),"",INDEX(B266:B$2,-1+SUMPRODUCT(MAX(ROW(E266:E$2)*(E267=E266:E$2)))))</f>
        <v> </v>
      </c>
      <c r="J267" s="19" t="str">
        <f>IF(OR(E267="",E267="!!!",F267="NEW"),"",COUNTBLANK(OFFSET(A$1,,,SUMPRODUCT(MAX(ROW(E$2:E267)*(E267=E$2:E267)))))-COUNTBLANK(OFFSET(A$1,,,SUMPRODUCT(MAX(ROW(E$1:E266)*(E2=E$1:E266))))))</f>
        <v> </v>
      </c>
      <c r="K267" s="19" t="str">
        <f>IF(OR(E267="",E267="!!!",F267="NEW"),"",INDEX(J$1:J266,SUMPRODUCT(MAX(ROW(E$1:E266)*(E267=E$1:E266)))))</f>
        <v> </v>
      </c>
      <c r="L267" s="20"/>
    </row>
    <row r="268" spans="1:12">
      <c r="A268" s="13" t="s">
        <v>207</v>
      </c>
      <c r="B268" s="14" t="s">
        <v>27</v>
      </c>
      <c r="C268" s="14" t="s">
        <v>72</v>
      </c>
      <c r="D268" s="14" t="s">
        <v>25</v>
      </c>
      <c r="E268" s="15">
        <f>IF(D268="?OLD","!!!","")</f>
        <v/>
      </c>
      <c r="F268" s="16" t="str">
        <f>IF(OR(E268="",E268="!!!"),"",IF(NOT(ISNA(VLOOKUP(E268,E$1:E267,1,FALSE()))),"OLD",IF(AND(E268&lt;&gt;"",E268&lt;&gt;"!!!"),"NEW","")))</f>
        <v> </v>
      </c>
      <c r="G268" s="17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18" t="str">
        <f>IF(J268&lt;&gt;1,"",IF(I268="SBJ","CB","?"))</f>
        <v> </v>
      </c>
      <c r="I268" s="19" t="str">
        <f>IF(OR(E268="",E268="!!!",F268="NEW"),"",INDEX(B267:B$2,-1+SUMPRODUCT(MAX(ROW(E267:E$2)*(E268=E267:E$2)))))</f>
        <v> </v>
      </c>
      <c r="J268" s="19" t="str">
        <f>IF(OR(E268="",E268="!!!",F268="NEW"),"",COUNTBLANK(OFFSET(A$1,,,SUMPRODUCT(MAX(ROW(E$2:E268)*(E268=E$2:E268)))))-COUNTBLANK(OFFSET(A$1,,,SUMPRODUCT(MAX(ROW(E$1:E267)*(E2=E$1:E267))))))</f>
        <v> </v>
      </c>
      <c r="K268" s="19" t="str">
        <f>IF(OR(E268="",E268="!!!",F268="NEW"),"",INDEX(J$1:J267,SUMPRODUCT(MAX(ROW(E$1:E267)*(E268=E$1:E267)))))</f>
        <v> </v>
      </c>
      <c r="L268" s="20"/>
    </row>
    <row r="269" spans="1:12">
      <c r="A269" s="13" t="s">
        <v>77</v>
      </c>
      <c r="B269" s="14" t="s">
        <v>88</v>
      </c>
      <c r="C269" s="14" t="s">
        <v>60</v>
      </c>
      <c r="D269" s="14" t="s">
        <v>25</v>
      </c>
      <c r="E269" s="15">
        <f>IF(D269="?OLD","!!!","")</f>
        <v/>
      </c>
      <c r="F269" s="16" t="str">
        <f>IF(OR(E269="",E269="!!!"),"",IF(NOT(ISNA(VLOOKUP(E269,E$1:E268,1,FALSE()))),"OLD",IF(AND(E269&lt;&gt;"",E269&lt;&gt;"!!!"),"NEW","")))</f>
        <v> </v>
      </c>
      <c r="G269" s="17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18" t="str">
        <f>IF(J269&lt;&gt;1,"",IF(I269="SBJ","CB","?"))</f>
        <v> </v>
      </c>
      <c r="I269" s="19" t="str">
        <f>IF(OR(E269="",E269="!!!",F269="NEW"),"",INDEX(B268:B$2,-1+SUMPRODUCT(MAX(ROW(E268:E$2)*(E269=E268:E$2)))))</f>
        <v> </v>
      </c>
      <c r="J269" s="19" t="str">
        <f>IF(OR(E269="",E269="!!!",F269="NEW"),"",COUNTBLANK(OFFSET(A$1,,,SUMPRODUCT(MAX(ROW(E$2:E269)*(E269=E$2:E269)))))-COUNTBLANK(OFFSET(A$1,,,SUMPRODUCT(MAX(ROW(E$1:E268)*(E2=E$1:E268))))))</f>
        <v> </v>
      </c>
      <c r="K269" s="19" t="str">
        <f>IF(OR(E269="",E269="!!!",F269="NEW"),"",INDEX(J$1:J268,SUMPRODUCT(MAX(ROW(E$1:E268)*(E269=E$1:E268)))))</f>
        <v> </v>
      </c>
      <c r="L269" s="20"/>
    </row>
    <row r="270" spans="1:12">
      <c r="A270" s="13" t="s">
        <v>76</v>
      </c>
      <c r="E270" s="15">
        <f>IF(D270="?OLD","!!!","")</f>
        <v/>
      </c>
      <c r="F270" s="16" t="str">
        <f>IF(OR(E270="",E270="!!!"),"",IF(NOT(ISNA(VLOOKUP(E270,E$1:E269,1,FALSE()))),"OLD",IF(AND(E270&lt;&gt;"",E270&lt;&gt;"!!!"),"NEW","")))</f>
        <v> </v>
      </c>
      <c r="G270" s="17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18" t="str">
        <f>IF(J270&lt;&gt;1,"",IF(I270="SBJ","CB","?"))</f>
        <v> </v>
      </c>
      <c r="I270" s="19" t="str">
        <f>IF(OR(E270="",E270="!!!",F270="NEW"),"",INDEX(B269:B$2,-1+SUMPRODUCT(MAX(ROW(E269:E$2)*(E270=E269:E$2)))))</f>
        <v> </v>
      </c>
      <c r="J270" s="19" t="str">
        <f>IF(OR(E270="",E270="!!!",F270="NEW"),"",COUNTBLANK(OFFSET(A$1,,,SUMPRODUCT(MAX(ROW(E$2:E270)*(E270=E$2:E270)))))-COUNTBLANK(OFFSET(A$1,,,SUMPRODUCT(MAX(ROW(E$1:E269)*(E2=E$1:E269))))))</f>
        <v> </v>
      </c>
      <c r="K270" s="19" t="str">
        <f>IF(OR(E270="",E270="!!!",F270="NEW"),"",INDEX(J$1:J269,SUMPRODUCT(MAX(ROW(E$1:E269)*(E270=E$1:E269)))))</f>
        <v> </v>
      </c>
      <c r="L270" s="20"/>
    </row>
    <row r="271" spans="1:12">
      <c r="A271" s="13" t="s">
        <v>102</v>
      </c>
      <c r="E271" s="15">
        <f>IF(D271="?OLD","!!!","")</f>
        <v/>
      </c>
      <c r="F271" s="16" t="str">
        <f>IF(OR(E271="",E271="!!!"),"",IF(NOT(ISNA(VLOOKUP(E271,E$1:E270,1,FALSE()))),"OLD",IF(AND(E271&lt;&gt;"",E271&lt;&gt;"!!!"),"NEW","")))</f>
        <v> </v>
      </c>
      <c r="G271" s="17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18" t="str">
        <f>IF(J271&lt;&gt;1,"",IF(I271="SBJ","CB","?"))</f>
        <v> </v>
      </c>
      <c r="I271" s="19" t="str">
        <f>IF(OR(E271="",E271="!!!",F271="NEW"),"",INDEX(B270:B$2,-1+SUMPRODUCT(MAX(ROW(E270:E$2)*(E271=E270:E$2)))))</f>
        <v> </v>
      </c>
      <c r="J271" s="19" t="str">
        <f>IF(OR(E271="",E271="!!!",F271="NEW"),"",COUNTBLANK(OFFSET(A$1,,,SUMPRODUCT(MAX(ROW(E$2:E271)*(E271=E$2:E271)))))-COUNTBLANK(OFFSET(A$1,,,SUMPRODUCT(MAX(ROW(E$1:E270)*(E2=E$1:E270))))))</f>
        <v> </v>
      </c>
      <c r="K271" s="19" t="str">
        <f>IF(OR(E271="",E271="!!!",F271="NEW"),"",INDEX(J$1:J270,SUMPRODUCT(MAX(ROW(E$1:E270)*(E271=E$1:E270)))))</f>
        <v> </v>
      </c>
      <c r="L271" s="20"/>
    </row>
    <row r="272" spans="1:12">
      <c r="A272" s="13" t="s">
        <v>208</v>
      </c>
      <c r="E272" s="15">
        <f>IF(D272="?OLD","!!!","")</f>
        <v/>
      </c>
      <c r="F272" s="16" t="str">
        <f>IF(OR(E272="",E272="!!!"),"",IF(NOT(ISNA(VLOOKUP(E272,E$1:E271,1,FALSE()))),"OLD",IF(AND(E272&lt;&gt;"",E272&lt;&gt;"!!!"),"NEW","")))</f>
        <v> </v>
      </c>
      <c r="G272" s="17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18" t="str">
        <f>IF(J272&lt;&gt;1,"",IF(I272="SBJ","CB","?"))</f>
        <v> </v>
      </c>
      <c r="I272" s="19" t="str">
        <f>IF(OR(E272="",E272="!!!",F272="NEW"),"",INDEX(B271:B$2,-1+SUMPRODUCT(MAX(ROW(E271:E$2)*(E272=E271:E$2)))))</f>
        <v> </v>
      </c>
      <c r="J272" s="19" t="str">
        <f>IF(OR(E272="",E272="!!!",F272="NEW"),"",COUNTBLANK(OFFSET(A$1,,,SUMPRODUCT(MAX(ROW(E$2:E272)*(E272=E$2:E272)))))-COUNTBLANK(OFFSET(A$1,,,SUMPRODUCT(MAX(ROW(E$1:E271)*(E2=E$1:E271))))))</f>
        <v> </v>
      </c>
      <c r="K272" s="19" t="str">
        <f>IF(OR(E272="",E272="!!!",F272="NEW"),"",INDEX(J$1:J271,SUMPRODUCT(MAX(ROW(E$1:E271)*(E272=E$1:E271)))))</f>
        <v> </v>
      </c>
      <c r="L272" s="20"/>
    </row>
    <row r="273" spans="1:12">
      <c r="A273" s="13" t="s">
        <v>87</v>
      </c>
      <c r="B273" s="14" t="s">
        <v>93</v>
      </c>
      <c r="C273" s="14" t="s">
        <v>64</v>
      </c>
      <c r="D273" s="14" t="s">
        <v>25</v>
      </c>
      <c r="E273" s="15">
        <f>IF(D273="?OLD","!!!","")</f>
        <v/>
      </c>
      <c r="F273" s="16" t="str">
        <f>IF(OR(E273="",E273="!!!"),"",IF(NOT(ISNA(VLOOKUP(E273,E$1:E272,1,FALSE()))),"OLD",IF(AND(E273&lt;&gt;"",E273&lt;&gt;"!!!"),"NEW","")))</f>
        <v> </v>
      </c>
      <c r="G273" s="17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18" t="str">
        <f>IF(J273&lt;&gt;1,"",IF(I273="SBJ","CB","?"))</f>
        <v> </v>
      </c>
      <c r="I273" s="19" t="str">
        <f>IF(OR(E273="",E273="!!!",F273="NEW"),"",INDEX(B272:B$2,-1+SUMPRODUCT(MAX(ROW(E272:E$2)*(E273=E272:E$2)))))</f>
        <v> </v>
      </c>
      <c r="J273" s="19" t="str">
        <f>IF(OR(E273="",E273="!!!",F273="NEW"),"",COUNTBLANK(OFFSET(A$1,,,SUMPRODUCT(MAX(ROW(E$2:E273)*(E273=E$2:E273)))))-COUNTBLANK(OFFSET(A$1,,,SUMPRODUCT(MAX(ROW(E$1:E272)*(E2=E$1:E272))))))</f>
        <v> </v>
      </c>
      <c r="K273" s="19" t="str">
        <f>IF(OR(E273="",E273="!!!",F273="NEW"),"",INDEX(J$1:J272,SUMPRODUCT(MAX(ROW(E$1:E272)*(E273=E$1:E272)))))</f>
        <v> </v>
      </c>
      <c r="L273" s="20"/>
    </row>
    <row r="274" spans="1:12">
      <c r="A274" s="13" t="s">
        <v>49</v>
      </c>
      <c r="E274" s="15">
        <f>IF(D274="?OLD","!!!","")</f>
        <v/>
      </c>
      <c r="F274" s="16" t="str">
        <f>IF(OR(E274="",E274="!!!"),"",IF(NOT(ISNA(VLOOKUP(E274,E$1:E273,1,FALSE()))),"OLD",IF(AND(E274&lt;&gt;"",E274&lt;&gt;"!!!"),"NEW","")))</f>
        <v> </v>
      </c>
      <c r="G274" s="17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18" t="str">
        <f>IF(J274&lt;&gt;1,"",IF(I274="SBJ","CB","?"))</f>
        <v> </v>
      </c>
      <c r="I274" s="19" t="str">
        <f>IF(OR(E274="",E274="!!!",F274="NEW"),"",INDEX(B273:B$2,-1+SUMPRODUCT(MAX(ROW(E273:E$2)*(E274=E273:E$2)))))</f>
        <v> </v>
      </c>
      <c r="J274" s="19" t="str">
        <f>IF(OR(E274="",E274="!!!",F274="NEW"),"",COUNTBLANK(OFFSET(A$1,,,SUMPRODUCT(MAX(ROW(E$2:E274)*(E274=E$2:E274)))))-COUNTBLANK(OFFSET(A$1,,,SUMPRODUCT(MAX(ROW(E$1:E273)*(E2=E$1:E273))))))</f>
        <v> </v>
      </c>
      <c r="K274" s="19" t="str">
        <f>IF(OR(E274="",E274="!!!",F274="NEW"),"",INDEX(J$1:J273,SUMPRODUCT(MAX(ROW(E$1:E273)*(E274=E$1:E273)))))</f>
        <v> </v>
      </c>
      <c r="L274" s="20"/>
    </row>
    <row r="275" spans="1:12">
      <c r="A275" s="13" t="s">
        <v>137</v>
      </c>
      <c r="B275" s="14" t="s">
        <v>93</v>
      </c>
      <c r="C275" s="14" t="s">
        <v>51</v>
      </c>
      <c r="E275" s="15">
        <f>IF(D275="?OLD","!!!","")</f>
        <v/>
      </c>
      <c r="F275" s="16" t="str">
        <f>IF(OR(E275="",E275="!!!"),"",IF(NOT(ISNA(VLOOKUP(E275,E$1:E274,1,FALSE()))),"OLD",IF(AND(E275&lt;&gt;"",E275&lt;&gt;"!!!"),"NEW","")))</f>
        <v> </v>
      </c>
      <c r="G275" s="17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18" t="str">
        <f>IF(J275&lt;&gt;1,"",IF(I275="SBJ","CB","?"))</f>
        <v> </v>
      </c>
      <c r="I275" s="19" t="str">
        <f>IF(OR(E275="",E275="!!!",F275="NEW"),"",INDEX(B274:B$2,-1+SUMPRODUCT(MAX(ROW(E274:E$2)*(E275=E274:E$2)))))</f>
        <v> </v>
      </c>
      <c r="J275" s="19" t="str">
        <f>IF(OR(E275="",E275="!!!",F275="NEW"),"",COUNTBLANK(OFFSET(A$1,,,SUMPRODUCT(MAX(ROW(E$2:E275)*(E275=E$2:E275)))))-COUNTBLANK(OFFSET(A$1,,,SUMPRODUCT(MAX(ROW(E$1:E274)*(E2=E$1:E274))))))</f>
        <v> </v>
      </c>
      <c r="K275" s="19" t="str">
        <f>IF(OR(E275="",E275="!!!",F275="NEW"),"",INDEX(J$1:J274,SUMPRODUCT(MAX(ROW(E$1:E274)*(E275=E$1:E274)))))</f>
        <v> </v>
      </c>
      <c r="L275" s="20"/>
    </row>
    <row r="276" spans="1:12">
      <c r="A276" s="13" t="s">
        <v>56</v>
      </c>
      <c r="E276" s="15">
        <f>IF(D276="?OLD","!!!","")</f>
        <v/>
      </c>
      <c r="F276" s="16" t="str">
        <f>IF(OR(E276="",E276="!!!"),"",IF(NOT(ISNA(VLOOKUP(E276,E$1:E275,1,FALSE()))),"OLD",IF(AND(E276&lt;&gt;"",E276&lt;&gt;"!!!"),"NEW","")))</f>
        <v> </v>
      </c>
      <c r="G276" s="17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18" t="str">
        <f>IF(J276&lt;&gt;1,"",IF(I276="SBJ","CB","?"))</f>
        <v> </v>
      </c>
      <c r="I276" s="19" t="str">
        <f>IF(OR(E276="",E276="!!!",F276="NEW"),"",INDEX(B275:B$2,-1+SUMPRODUCT(MAX(ROW(E275:E$2)*(E276=E275:E$2)))))</f>
        <v> </v>
      </c>
      <c r="J276" s="19" t="str">
        <f>IF(OR(E276="",E276="!!!",F276="NEW"),"",COUNTBLANK(OFFSET(A$1,,,SUMPRODUCT(MAX(ROW(E$2:E276)*(E276=E$2:E276)))))-COUNTBLANK(OFFSET(A$1,,,SUMPRODUCT(MAX(ROW(E$1:E275)*(E2=E$1:E275))))))</f>
        <v> </v>
      </c>
      <c r="K276" s="19" t="str">
        <f>IF(OR(E276="",E276="!!!",F276="NEW"),"",INDEX(J$1:J275,SUMPRODUCT(MAX(ROW(E$1:E275)*(E276=E$1:E275)))))</f>
        <v> </v>
      </c>
      <c r="L276" s="20"/>
    </row>
    <row r="277" spans="1:12">
      <c r="A277" s="13" t="s">
        <v>209</v>
      </c>
      <c r="E277" s="15">
        <f>IF(D277="?OLD","!!!","")</f>
        <v/>
      </c>
      <c r="F277" s="16" t="str">
        <f>IF(OR(E277="",E277="!!!"),"",IF(NOT(ISNA(VLOOKUP(E277,E$1:E276,1,FALSE()))),"OLD",IF(AND(E277&lt;&gt;"",E277&lt;&gt;"!!!"),"NEW","")))</f>
        <v> </v>
      </c>
      <c r="G277" s="17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18" t="str">
        <f>IF(J277&lt;&gt;1,"",IF(I277="SBJ","CB","?"))</f>
        <v> </v>
      </c>
      <c r="I277" s="19" t="str">
        <f>IF(OR(E277="",E277="!!!",F277="NEW"),"",INDEX(B276:B$2,-1+SUMPRODUCT(MAX(ROW(E276:E$2)*(E277=E276:E$2)))))</f>
        <v> </v>
      </c>
      <c r="J277" s="19" t="str">
        <f>IF(OR(E277="",E277="!!!",F277="NEW"),"",COUNTBLANK(OFFSET(A$1,,,SUMPRODUCT(MAX(ROW(E$2:E277)*(E277=E$2:E277)))))-COUNTBLANK(OFFSET(A$1,,,SUMPRODUCT(MAX(ROW(E$1:E276)*(E2=E$1:E276))))))</f>
        <v> </v>
      </c>
      <c r="K277" s="19" t="str">
        <f>IF(OR(E277="",E277="!!!",F277="NEW"),"",INDEX(J$1:J276,SUMPRODUCT(MAX(ROW(E$1:E276)*(E277=E$1:E276)))))</f>
        <v> </v>
      </c>
      <c r="L277" s="20"/>
    </row>
    <row r="278" spans="1:12">
      <c r="A278" s="13" t="s">
        <v>138</v>
      </c>
      <c r="E278" s="15">
        <f>IF(D278="?OLD","!!!","")</f>
        <v/>
      </c>
      <c r="F278" s="16" t="str">
        <f>IF(OR(E278="",E278="!!!"),"",IF(NOT(ISNA(VLOOKUP(E278,E$1:E277,1,FALSE()))),"OLD",IF(AND(E278&lt;&gt;"",E278&lt;&gt;"!!!"),"NEW","")))</f>
        <v> </v>
      </c>
      <c r="G278" s="17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18" t="str">
        <f>IF(J278&lt;&gt;1,"",IF(I278="SBJ","CB","?"))</f>
        <v> </v>
      </c>
      <c r="I278" s="19" t="str">
        <f>IF(OR(E278="",E278="!!!",F278="NEW"),"",INDEX(B277:B$2,-1+SUMPRODUCT(MAX(ROW(E277:E$2)*(E278=E277:E$2)))))</f>
        <v> </v>
      </c>
      <c r="J278" s="19" t="str">
        <f>IF(OR(E278="",E278="!!!",F278="NEW"),"",COUNTBLANK(OFFSET(A$1,,,SUMPRODUCT(MAX(ROW(E$2:E278)*(E278=E$2:E278)))))-COUNTBLANK(OFFSET(A$1,,,SUMPRODUCT(MAX(ROW(E$1:E277)*(E2=E$1:E277))))))</f>
        <v> </v>
      </c>
      <c r="K278" s="19" t="str">
        <f>IF(OR(E278="",E278="!!!",F278="NEW"),"",INDEX(J$1:J277,SUMPRODUCT(MAX(ROW(E$1:E277)*(E278=E$1:E277)))))</f>
        <v> </v>
      </c>
      <c r="L278" s="20"/>
    </row>
    <row r="279" spans="1:12">
      <c r="A279" s="13" t="s">
        <v>139</v>
      </c>
      <c r="B279" s="14" t="s">
        <v>27</v>
      </c>
      <c r="C279" s="14" t="s">
        <v>84</v>
      </c>
      <c r="D279" s="14" t="s">
        <v>25</v>
      </c>
      <c r="E279" s="15">
        <f>IF(D279="?OLD","!!!","")</f>
        <v/>
      </c>
      <c r="F279" s="16" t="str">
        <f>IF(OR(E279="",E279="!!!"),"",IF(NOT(ISNA(VLOOKUP(E279,E$1:E278,1,FALSE()))),"OLD",IF(AND(E279&lt;&gt;"",E279&lt;&gt;"!!!"),"NEW","")))</f>
        <v> </v>
      </c>
      <c r="G279" s="17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18" t="str">
        <f>IF(J279&lt;&gt;1,"",IF(I279="SBJ","CB","?"))</f>
        <v> </v>
      </c>
      <c r="I279" s="19" t="str">
        <f>IF(OR(E279="",E279="!!!",F279="NEW"),"",INDEX(B278:B$2,-1+SUMPRODUCT(MAX(ROW(E278:E$2)*(E279=E278:E$2)))))</f>
        <v> </v>
      </c>
      <c r="J279" s="19" t="str">
        <f>IF(OR(E279="",E279="!!!",F279="NEW"),"",COUNTBLANK(OFFSET(A$1,,,SUMPRODUCT(MAX(ROW(E$2:E279)*(E279=E$2:E279)))))-COUNTBLANK(OFFSET(A$1,,,SUMPRODUCT(MAX(ROW(E$1:E278)*(E2=E$1:E278))))))</f>
        <v> </v>
      </c>
      <c r="K279" s="19" t="str">
        <f>IF(OR(E279="",E279="!!!",F279="NEW"),"",INDEX(J$1:J278,SUMPRODUCT(MAX(ROW(E$1:E278)*(E279=E$1:E278)))))</f>
        <v> </v>
      </c>
      <c r="L279" s="20"/>
    </row>
    <row r="280" spans="1:12">
      <c r="A280" s="13" t="s">
        <v>79</v>
      </c>
      <c r="E280" s="15">
        <f>IF(D280="?OLD","!!!","")</f>
        <v/>
      </c>
      <c r="F280" s="16" t="str">
        <f>IF(OR(E280="",E280="!!!"),"",IF(NOT(ISNA(VLOOKUP(E280,E$1:E279,1,FALSE()))),"OLD",IF(AND(E280&lt;&gt;"",E280&lt;&gt;"!!!"),"NEW","")))</f>
        <v> </v>
      </c>
      <c r="G280" s="17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18" t="str">
        <f>IF(J280&lt;&gt;1,"",IF(I280="SBJ","CB","?"))</f>
        <v> </v>
      </c>
      <c r="I280" s="19" t="str">
        <f>IF(OR(E280="",E280="!!!",F280="NEW"),"",INDEX(B279:B$2,-1+SUMPRODUCT(MAX(ROW(E279:E$2)*(E280=E279:E$2)))))</f>
        <v> </v>
      </c>
      <c r="J280" s="19" t="str">
        <f>IF(OR(E280="",E280="!!!",F280="NEW"),"",COUNTBLANK(OFFSET(A$1,,,SUMPRODUCT(MAX(ROW(E$2:E280)*(E280=E$2:E280)))))-COUNTBLANK(OFFSET(A$1,,,SUMPRODUCT(MAX(ROW(E$1:E279)*(E2=E$1:E279))))))</f>
        <v> </v>
      </c>
      <c r="K280" s="19" t="str">
        <f>IF(OR(E280="",E280="!!!",F280="NEW"),"",INDEX(J$1:J279,SUMPRODUCT(MAX(ROW(E$1:E279)*(E280=E$1:E279)))))</f>
        <v> </v>
      </c>
      <c r="L280" s="20"/>
    </row>
    <row r="281" spans="1:12">
      <c r="A281" s="13" t="s">
        <v>140</v>
      </c>
      <c r="B281" s="14" t="s">
        <v>33</v>
      </c>
      <c r="C281" s="14" t="s">
        <v>34</v>
      </c>
      <c r="E281" s="15">
        <f>IF(D281="?OLD","!!!","")</f>
        <v/>
      </c>
      <c r="F281" s="16" t="str">
        <f>IF(OR(E281="",E281="!!!"),"",IF(NOT(ISNA(VLOOKUP(E281,E$1:E280,1,FALSE()))),"OLD",IF(AND(E281&lt;&gt;"",E281&lt;&gt;"!!!"),"NEW","")))</f>
        <v> </v>
      </c>
      <c r="G281" s="17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18" t="str">
        <f>IF(J281&lt;&gt;1,"",IF(I281="SBJ","CB","?"))</f>
        <v> </v>
      </c>
      <c r="I281" s="19" t="str">
        <f>IF(OR(E281="",E281="!!!",F281="NEW"),"",INDEX(B280:B$2,-1+SUMPRODUCT(MAX(ROW(E280:E$2)*(E281=E280:E$2)))))</f>
        <v> </v>
      </c>
      <c r="J281" s="19" t="str">
        <f>IF(OR(E281="",E281="!!!",F281="NEW"),"",COUNTBLANK(OFFSET(A$1,,,SUMPRODUCT(MAX(ROW(E$2:E281)*(E281=E$2:E281)))))-COUNTBLANK(OFFSET(A$1,,,SUMPRODUCT(MAX(ROW(E$1:E280)*(E2=E$1:E280))))))</f>
        <v> </v>
      </c>
      <c r="K281" s="19" t="str">
        <f>IF(OR(E281="",E281="!!!",F281="NEW"),"",INDEX(J$1:J280,SUMPRODUCT(MAX(ROW(E$1:E280)*(E281=E$1:E280)))))</f>
        <v> </v>
      </c>
      <c r="L281" s="20"/>
    </row>
    <row r="282" spans="1:12">
      <c r="A282" s="13" t="s">
        <v>56</v>
      </c>
      <c r="E282" s="15">
        <f>IF(D282="?OLD","!!!","")</f>
        <v/>
      </c>
      <c r="F282" s="16" t="str">
        <f>IF(OR(E282="",E282="!!!"),"",IF(NOT(ISNA(VLOOKUP(E282,E$1:E281,1,FALSE()))),"OLD",IF(AND(E282&lt;&gt;"",E282&lt;&gt;"!!!"),"NEW","")))</f>
        <v> </v>
      </c>
      <c r="G282" s="17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18" t="str">
        <f>IF(J282&lt;&gt;1,"",IF(I282="SBJ","CB","?"))</f>
        <v> </v>
      </c>
      <c r="I282" s="19" t="str">
        <f>IF(OR(E282="",E282="!!!",F282="NEW"),"",INDEX(B281:B$2,-1+SUMPRODUCT(MAX(ROW(E281:E$2)*(E282=E281:E$2)))))</f>
        <v> </v>
      </c>
      <c r="J282" s="19" t="str">
        <f>IF(OR(E282="",E282="!!!",F282="NEW"),"",COUNTBLANK(OFFSET(A$1,,,SUMPRODUCT(MAX(ROW(E$2:E282)*(E282=E$2:E282)))))-COUNTBLANK(OFFSET(A$1,,,SUMPRODUCT(MAX(ROW(E$1:E281)*(E2=E$1:E281))))))</f>
        <v> </v>
      </c>
      <c r="K282" s="19" t="str">
        <f>IF(OR(E282="",E282="!!!",F282="NEW"),"",INDEX(J$1:J281,SUMPRODUCT(MAX(ROW(E$1:E281)*(E282=E$1:E281)))))</f>
        <v> </v>
      </c>
      <c r="L282" s="20"/>
    </row>
    <row r="283" spans="1:12">
      <c r="A283" s="13" t="s">
        <v>61</v>
      </c>
      <c r="B283" s="14" t="s">
        <v>210</v>
      </c>
      <c r="E283" s="15">
        <f>IF(D283="?OLD","!!!","")</f>
        <v/>
      </c>
      <c r="F283" s="16" t="str">
        <f>IF(OR(E283="",E283="!!!"),"",IF(NOT(ISNA(VLOOKUP(E283,E$1:E282,1,FALSE()))),"OLD",IF(AND(E283&lt;&gt;"",E283&lt;&gt;"!!!"),"NEW","")))</f>
        <v> </v>
      </c>
      <c r="G283" s="17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18" t="str">
        <f>IF(J283&lt;&gt;1,"",IF(I283="SBJ","CB","?"))</f>
        <v> </v>
      </c>
      <c r="I283" s="19" t="str">
        <f>IF(OR(E283="",E283="!!!",F283="NEW"),"",INDEX(B282:B$2,-1+SUMPRODUCT(MAX(ROW(E282:E$2)*(E283=E282:E$2)))))</f>
        <v> </v>
      </c>
      <c r="J283" s="19" t="str">
        <f>IF(OR(E283="",E283="!!!",F283="NEW"),"",COUNTBLANK(OFFSET(A$1,,,SUMPRODUCT(MAX(ROW(E$2:E283)*(E283=E$2:E283)))))-COUNTBLANK(OFFSET(A$1,,,SUMPRODUCT(MAX(ROW(E$1:E282)*(E2=E$1:E282))))))</f>
        <v> </v>
      </c>
      <c r="K283" s="19" t="str">
        <f>IF(OR(E283="",E283="!!!",F283="NEW"),"",INDEX(J$1:J282,SUMPRODUCT(MAX(ROW(E$1:E282)*(E283=E$1:E282)))))</f>
        <v> </v>
      </c>
      <c r="L283" s="20"/>
    </row>
    <row r="284" spans="1:12">
      <c r="A284" s="13" t="s">
        <v>87</v>
      </c>
      <c r="B284" s="14" t="s">
        <v>211</v>
      </c>
      <c r="C284" s="14" t="s">
        <v>64</v>
      </c>
      <c r="D284" s="14" t="s">
        <v>25</v>
      </c>
      <c r="E284" s="15">
        <f>IF(D284="?OLD","!!!","")</f>
        <v/>
      </c>
      <c r="F284" s="16" t="str">
        <f>IF(OR(E284="",E284="!!!"),"",IF(NOT(ISNA(VLOOKUP(E284,E$1:E283,1,FALSE()))),"OLD",IF(AND(E284&lt;&gt;"",E284&lt;&gt;"!!!"),"NEW","")))</f>
        <v> </v>
      </c>
      <c r="G284" s="17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18" t="str">
        <f>IF(J284&lt;&gt;1,"",IF(I284="SBJ","CB","?"))</f>
        <v> </v>
      </c>
      <c r="I284" s="19" t="str">
        <f>IF(OR(E284="",E284="!!!",F284="NEW"),"",INDEX(B283:B$2,-1+SUMPRODUCT(MAX(ROW(E283:E$2)*(E284=E283:E$2)))))</f>
        <v> </v>
      </c>
      <c r="J284" s="19" t="str">
        <f>IF(OR(E284="",E284="!!!",F284="NEW"),"",COUNTBLANK(OFFSET(A$1,,,SUMPRODUCT(MAX(ROW(E$2:E284)*(E284=E$2:E284)))))-COUNTBLANK(OFFSET(A$1,,,SUMPRODUCT(MAX(ROW(E$1:E283)*(E2=E$1:E283))))))</f>
        <v> </v>
      </c>
      <c r="K284" s="19" t="str">
        <f>IF(OR(E284="",E284="!!!",F284="NEW"),"",INDEX(J$1:J283,SUMPRODUCT(MAX(ROW(E$1:E283)*(E284=E$1:E283)))))</f>
        <v> </v>
      </c>
      <c r="L284" s="20"/>
    </row>
    <row r="285" spans="1:12">
      <c r="A285" s="13" t="s">
        <v>212</v>
      </c>
      <c r="E285" s="15">
        <f>IF(D285="?OLD","!!!","")</f>
        <v/>
      </c>
      <c r="F285" s="16" t="str">
        <f>IF(OR(E285="",E285="!!!"),"",IF(NOT(ISNA(VLOOKUP(E285,E$1:E284,1,FALSE()))),"OLD",IF(AND(E285&lt;&gt;"",E285&lt;&gt;"!!!"),"NEW","")))</f>
        <v> </v>
      </c>
      <c r="G285" s="17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18" t="str">
        <f>IF(J285&lt;&gt;1,"",IF(I285="SBJ","CB","?"))</f>
        <v> </v>
      </c>
      <c r="I285" s="19" t="str">
        <f>IF(OR(E285="",E285="!!!",F285="NEW"),"",INDEX(B284:B$2,-1+SUMPRODUCT(MAX(ROW(E284:E$2)*(E285=E284:E$2)))))</f>
        <v> </v>
      </c>
      <c r="J285" s="19" t="str">
        <f>IF(OR(E285="",E285="!!!",F285="NEW"),"",COUNTBLANK(OFFSET(A$1,,,SUMPRODUCT(MAX(ROW(E$2:E285)*(E285=E$2:E285)))))-COUNTBLANK(OFFSET(A$1,,,SUMPRODUCT(MAX(ROW(E$1:E284)*(E2=E$1:E284))))))</f>
        <v> </v>
      </c>
      <c r="K285" s="19" t="str">
        <f>IF(OR(E285="",E285="!!!",F285="NEW"),"",INDEX(J$1:J284,SUMPRODUCT(MAX(ROW(E$1:E284)*(E285=E$1:E284)))))</f>
        <v> </v>
      </c>
      <c r="L285" s="20"/>
    </row>
    <row r="286" spans="1:12">
      <c r="A286" s="13" t="s">
        <v>57</v>
      </c>
      <c r="E286" s="15">
        <f>IF(D286="?OLD","!!!","")</f>
        <v/>
      </c>
      <c r="F286" s="16" t="str">
        <f>IF(OR(E286="",E286="!!!"),"",IF(NOT(ISNA(VLOOKUP(E286,E$1:E285,1,FALSE()))),"OLD",IF(AND(E286&lt;&gt;"",E286&lt;&gt;"!!!"),"NEW","")))</f>
        <v> </v>
      </c>
      <c r="G286" s="17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18" t="str">
        <f>IF(J286&lt;&gt;1,"",IF(I286="SBJ","CB","?"))</f>
        <v> </v>
      </c>
      <c r="I286" s="19" t="str">
        <f>IF(OR(E286="",E286="!!!",F286="NEW"),"",INDEX(B285:B$2,-1+SUMPRODUCT(MAX(ROW(E285:E$2)*(E286=E285:E$2)))))</f>
        <v> </v>
      </c>
      <c r="J286" s="19" t="str">
        <f>IF(OR(E286="",E286="!!!",F286="NEW"),"",COUNTBLANK(OFFSET(A$1,,,SUMPRODUCT(MAX(ROW(E$2:E286)*(E286=E$2:E286)))))-COUNTBLANK(OFFSET(A$1,,,SUMPRODUCT(MAX(ROW(E$1:E285)*(E2=E$1:E285))))))</f>
        <v> </v>
      </c>
      <c r="K286" s="19" t="str">
        <f>IF(OR(E286="",E286="!!!",F286="NEW"),"",INDEX(J$1:J285,SUMPRODUCT(MAX(ROW(E$1:E285)*(E286=E$1:E285)))))</f>
        <v> </v>
      </c>
      <c r="L286" s="20"/>
    </row>
    <row r="287" spans="1:12">
      <c r="A287" s="13" t="s">
        <v>73</v>
      </c>
      <c r="B287" s="14" t="s">
        <v>211</v>
      </c>
      <c r="C287" s="14" t="s">
        <v>60</v>
      </c>
      <c r="D287" s="14" t="s">
        <v>25</v>
      </c>
      <c r="E287" s="15">
        <f>IF(D287="?OLD","!!!","")</f>
        <v/>
      </c>
      <c r="F287" s="16" t="str">
        <f>IF(OR(E287="",E287="!!!"),"",IF(NOT(ISNA(VLOOKUP(E287,E$1:E286,1,FALSE()))),"OLD",IF(AND(E287&lt;&gt;"",E287&lt;&gt;"!!!"),"NEW","")))</f>
        <v> </v>
      </c>
      <c r="G287" s="17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18" t="str">
        <f>IF(J287&lt;&gt;1,"",IF(I287="SBJ","CB","?"))</f>
        <v> </v>
      </c>
      <c r="I287" s="19" t="str">
        <f>IF(OR(E287="",E287="!!!",F287="NEW"),"",INDEX(B286:B$2,-1+SUMPRODUCT(MAX(ROW(E286:E$2)*(E287=E286:E$2)))))</f>
        <v> </v>
      </c>
      <c r="J287" s="19" t="str">
        <f>IF(OR(E287="",E287="!!!",F287="NEW"),"",COUNTBLANK(OFFSET(A$1,,,SUMPRODUCT(MAX(ROW(E$2:E287)*(E287=E$2:E287)))))-COUNTBLANK(OFFSET(A$1,,,SUMPRODUCT(MAX(ROW(E$1:E286)*(E2=E$1:E286))))))</f>
        <v> </v>
      </c>
      <c r="K287" s="19" t="str">
        <f>IF(OR(E287="",E287="!!!",F287="NEW"),"",INDEX(J$1:J286,SUMPRODUCT(MAX(ROW(E$1:E286)*(E287=E$1:E286)))))</f>
        <v> </v>
      </c>
      <c r="L287" s="20"/>
    </row>
    <row r="288" spans="1:12">
      <c r="A288" s="13" t="s">
        <v>207</v>
      </c>
      <c r="B288" s="14" t="s">
        <v>203</v>
      </c>
      <c r="C288" s="14" t="s">
        <v>72</v>
      </c>
      <c r="D288" s="14" t="s">
        <v>25</v>
      </c>
      <c r="E288" s="15">
        <f>IF(D288="?OLD","!!!","")</f>
        <v/>
      </c>
      <c r="F288" s="16" t="str">
        <f>IF(OR(E288="",E288="!!!"),"",IF(NOT(ISNA(VLOOKUP(E288,E$1:E287,1,FALSE()))),"OLD",IF(AND(E288&lt;&gt;"",E288&lt;&gt;"!!!"),"NEW","")))</f>
        <v> </v>
      </c>
      <c r="G288" s="17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18" t="str">
        <f>IF(J288&lt;&gt;1,"",IF(I288="SBJ","CB","?"))</f>
        <v> </v>
      </c>
      <c r="I288" s="19" t="str">
        <f>IF(OR(E288="",E288="!!!",F288="NEW"),"",INDEX(B287:B$2,-1+SUMPRODUCT(MAX(ROW(E287:E$2)*(E288=E287:E$2)))))</f>
        <v> </v>
      </c>
      <c r="J288" s="19" t="str">
        <f>IF(OR(E288="",E288="!!!",F288="NEW"),"",COUNTBLANK(OFFSET(A$1,,,SUMPRODUCT(MAX(ROW(E$2:E288)*(E288=E$2:E288)))))-COUNTBLANK(OFFSET(A$1,,,SUMPRODUCT(MAX(ROW(E$1:E287)*(E2=E$1:E287))))))</f>
        <v> </v>
      </c>
      <c r="K288" s="19" t="str">
        <f>IF(OR(E288="",E288="!!!",F288="NEW"),"",INDEX(J$1:J287,SUMPRODUCT(MAX(ROW(E$1:E287)*(E288=E$1:E287)))))</f>
        <v> </v>
      </c>
      <c r="L288" s="20"/>
    </row>
    <row r="289" spans="1:12">
      <c r="A289" s="13" t="s">
        <v>119</v>
      </c>
      <c r="E289" s="15">
        <f>IF(D289="?OLD","!!!","")</f>
        <v/>
      </c>
      <c r="F289" s="16" t="str">
        <f>IF(OR(E289="",E289="!!!"),"",IF(NOT(ISNA(VLOOKUP(E289,E$1:E288,1,FALSE()))),"OLD",IF(AND(E289&lt;&gt;"",E289&lt;&gt;"!!!"),"NEW","")))</f>
        <v> </v>
      </c>
      <c r="G289" s="17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18" t="str">
        <f>IF(J289&lt;&gt;1,"",IF(I289="SBJ","CB","?"))</f>
        <v> </v>
      </c>
      <c r="I289" s="19" t="str">
        <f>IF(OR(E289="",E289="!!!",F289="NEW"),"",INDEX(B288:B$2,-1+SUMPRODUCT(MAX(ROW(E288:E$2)*(E289=E288:E$2)))))</f>
        <v> </v>
      </c>
      <c r="J289" s="19" t="str">
        <f>IF(OR(E289="",E289="!!!",F289="NEW"),"",COUNTBLANK(OFFSET(A$1,,,SUMPRODUCT(MAX(ROW(E$2:E289)*(E289=E$2:E289)))))-COUNTBLANK(OFFSET(A$1,,,SUMPRODUCT(MAX(ROW(E$1:E288)*(E2=E$1:E288))))))</f>
        <v> </v>
      </c>
      <c r="K289" s="19" t="str">
        <f>IF(OR(E289="",E289="!!!",F289="NEW"),"",INDEX(J$1:J288,SUMPRODUCT(MAX(ROW(E$1:E288)*(E289=E$1:E288)))))</f>
        <v> </v>
      </c>
      <c r="L289" s="20"/>
    </row>
    <row r="290" spans="1:12">
      <c r="A290" s="13" t="s">
        <v>68</v>
      </c>
      <c r="E290" s="15">
        <f>IF(D290="?OLD","!!!","")</f>
        <v/>
      </c>
      <c r="F290" s="16" t="str">
        <f>IF(OR(E290="",E290="!!!"),"",IF(NOT(ISNA(VLOOKUP(E290,E$1:E289,1,FALSE()))),"OLD",IF(AND(E290&lt;&gt;"",E290&lt;&gt;"!!!"),"NEW","")))</f>
        <v> </v>
      </c>
      <c r="G290" s="17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18" t="str">
        <f>IF(J290&lt;&gt;1,"",IF(I290="SBJ","CB","?"))</f>
        <v> </v>
      </c>
      <c r="I290" s="19" t="str">
        <f>IF(OR(E290="",E290="!!!",F290="NEW"),"",INDEX(B289:B$2,-1+SUMPRODUCT(MAX(ROW(E289:E$2)*(E290=E289:E$2)))))</f>
        <v> </v>
      </c>
      <c r="J290" s="19" t="str">
        <f>IF(OR(E290="",E290="!!!",F290="NEW"),"",COUNTBLANK(OFFSET(A$1,,,SUMPRODUCT(MAX(ROW(E$2:E290)*(E290=E$2:E290)))))-COUNTBLANK(OFFSET(A$1,,,SUMPRODUCT(MAX(ROW(E$1:E289)*(E2=E$1:E289))))))</f>
        <v> </v>
      </c>
      <c r="K290" s="19" t="str">
        <f>IF(OR(E290="",E290="!!!",F290="NEW"),"",INDEX(J$1:J289,SUMPRODUCT(MAX(ROW(E$1:E289)*(E290=E$1:E289)))))</f>
        <v> </v>
      </c>
      <c r="L290" s="20"/>
    </row>
    <row r="291" spans="1:12">
      <c r="A291" s="13"/>
    </row>
    <row r="292" spans="1:12">
      <c r="A292" s="13" t="s">
        <v>117</v>
      </c>
      <c r="E292" s="15">
        <f>IF(D292="?OLD","!!!","")</f>
        <v/>
      </c>
      <c r="F292" s="16" t="str">
        <f>IF(OR(E292="",E292="!!!"),"",IF(NOT(ISNA(VLOOKUP(E292,E$1:E291,1,FALSE()))),"OLD",IF(AND(E292&lt;&gt;"",E292&lt;&gt;"!!!"),"NEW","")))</f>
        <v> </v>
      </c>
      <c r="G292" s="17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18" t="str">
        <f>IF(J292&lt;&gt;1,"",IF(I292="SBJ","CB","?"))</f>
        <v> </v>
      </c>
      <c r="I292" s="19" t="str">
        <f>IF(OR(E292="",E292="!!!",F292="NEW"),"",INDEX(B291:B$2,-1+SUMPRODUCT(MAX(ROW(E291:E$2)*(E292=E291:E$2)))))</f>
        <v> </v>
      </c>
      <c r="J292" s="19" t="str">
        <f>IF(OR(E292="",E292="!!!",F292="NEW"),"",COUNTBLANK(OFFSET(A$1,,,SUMPRODUCT(MAX(ROW(E$2:E292)*(E292=E$2:E292)))))-COUNTBLANK(OFFSET(A$1,,,SUMPRODUCT(MAX(ROW(E$1:E291)*(E2=E$1:E291))))))</f>
        <v> </v>
      </c>
      <c r="K292" s="19" t="str">
        <f>IF(OR(E292="",E292="!!!",F292="NEW"),"",INDEX(J$1:J291,SUMPRODUCT(MAX(ROW(E$1:E291)*(E292=E$1:E291)))))</f>
        <v> </v>
      </c>
      <c r="L292" s="20"/>
    </row>
    <row r="293" spans="1:12">
      <c r="A293" s="13" t="s">
        <v>213</v>
      </c>
    </row>
    <row r="294" spans="1:12">
      <c r="A294" s="13" t="s">
        <v>119</v>
      </c>
      <c r="E294" s="15">
        <f>IF(D294="?OLD","!!!","")</f>
        <v/>
      </c>
      <c r="F294" s="16" t="str">
        <f>IF(OR(E294="",E294="!!!"),"",IF(NOT(ISNA(VLOOKUP(E294,E$1:E293,1,FALSE()))),"OLD",IF(AND(E294&lt;&gt;"",E294&lt;&gt;"!!!"),"NEW","")))</f>
        <v> </v>
      </c>
      <c r="G294" s="17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18" t="str">
        <f>IF(J294&lt;&gt;1,"",IF(I294="SBJ","CB","?"))</f>
        <v> </v>
      </c>
      <c r="I294" s="19" t="str">
        <f>IF(OR(E294="",E294="!!!",F294="NEW"),"",INDEX(B293:B$2,-1+SUMPRODUCT(MAX(ROW(E293:E$2)*(E294=E293:E$2)))))</f>
        <v> </v>
      </c>
      <c r="J294" s="19" t="str">
        <f>IF(OR(E294="",E294="!!!",F294="NEW"),"",COUNTBLANK(OFFSET(A$1,,,SUMPRODUCT(MAX(ROW(E$2:E294)*(E294=E$2:E294)))))-COUNTBLANK(OFFSET(A$1,,,SUMPRODUCT(MAX(ROW(E$1:E293)*(E2=E$1:E293))))))</f>
        <v> </v>
      </c>
      <c r="K294" s="19" t="str">
        <f>IF(OR(E294="",E294="!!!",F294="NEW"),"",INDEX(J$1:J293,SUMPRODUCT(MAX(ROW(E$1:E293)*(E294=E$1:E293)))))</f>
        <v> </v>
      </c>
      <c r="L294" s="20"/>
    </row>
    <row r="295" spans="1:12">
      <c r="A295" s="13" t="s">
        <v>214</v>
      </c>
      <c r="E295" s="15">
        <f>IF(D295="?OLD","!!!","")</f>
        <v/>
      </c>
      <c r="F295" s="16" t="str">
        <f>IF(OR(E295="",E295="!!!"),"",IF(NOT(ISNA(VLOOKUP(E295,E$1:E294,1,FALSE()))),"OLD",IF(AND(E295&lt;&gt;"",E295&lt;&gt;"!!!"),"NEW","")))</f>
        <v> </v>
      </c>
      <c r="G295" s="17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18" t="str">
        <f>IF(J295&lt;&gt;1,"",IF(I295="SBJ","CB","?"))</f>
        <v> </v>
      </c>
      <c r="I295" s="19" t="str">
        <f>IF(OR(E295="",E295="!!!",F295="NEW"),"",INDEX(B294:B$2,-1+SUMPRODUCT(MAX(ROW(E294:E$2)*(E295=E294:E$2)))))</f>
        <v> </v>
      </c>
      <c r="J295" s="19" t="str">
        <f>IF(OR(E295="",E295="!!!",F295="NEW"),"",COUNTBLANK(OFFSET(A$1,,,SUMPRODUCT(MAX(ROW(E$2:E295)*(E295=E$2:E295)))))-COUNTBLANK(OFFSET(A$1,,,SUMPRODUCT(MAX(ROW(E$1:E294)*(E2=E$1:E294))))))</f>
        <v> </v>
      </c>
      <c r="K295" s="19" t="str">
        <f>IF(OR(E295="",E295="!!!",F295="NEW"),"",INDEX(J$1:J294,SUMPRODUCT(MAX(ROW(E$1:E294)*(E295=E$1:E294)))))</f>
        <v> </v>
      </c>
      <c r="L295" s="20"/>
    </row>
    <row r="296" spans="1:12">
      <c r="A296" s="13" t="s">
        <v>215</v>
      </c>
      <c r="E296" s="15">
        <f>IF(D296="?OLD","!!!","")</f>
        <v/>
      </c>
      <c r="F296" s="16" t="str">
        <f>IF(OR(E296="",E296="!!!"),"",IF(NOT(ISNA(VLOOKUP(E296,E$1:E295,1,FALSE()))),"OLD",IF(AND(E296&lt;&gt;"",E296&lt;&gt;"!!!"),"NEW","")))</f>
        <v> </v>
      </c>
      <c r="G296" s="17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18" t="str">
        <f>IF(J296&lt;&gt;1,"",IF(I296="SBJ","CB","?"))</f>
        <v> </v>
      </c>
      <c r="I296" s="19" t="str">
        <f>IF(OR(E296="",E296="!!!",F296="NEW"),"",INDEX(B295:B$2,-1+SUMPRODUCT(MAX(ROW(E295:E$2)*(E296=E295:E$2)))))</f>
        <v> </v>
      </c>
      <c r="J296" s="19" t="str">
        <f>IF(OR(E296="",E296="!!!",F296="NEW"),"",COUNTBLANK(OFFSET(A$1,,,SUMPRODUCT(MAX(ROW(E$2:E296)*(E296=E$2:E296)))))-COUNTBLANK(OFFSET(A$1,,,SUMPRODUCT(MAX(ROW(E$1:E295)*(E2=E$1:E295))))))</f>
        <v> </v>
      </c>
      <c r="K296" s="19" t="str">
        <f>IF(OR(E296="",E296="!!!",F296="NEW"),"",INDEX(J$1:J295,SUMPRODUCT(MAX(ROW(E$1:E295)*(E296=E$1:E295)))))</f>
        <v> </v>
      </c>
      <c r="L296" s="20"/>
    </row>
    <row r="297" spans="1:12">
      <c r="A297" s="13" t="s">
        <v>216</v>
      </c>
      <c r="E297" s="15">
        <f>IF(D297="?OLD","!!!","")</f>
        <v/>
      </c>
      <c r="F297" s="16" t="str">
        <f>IF(OR(E297="",E297="!!!"),"",IF(NOT(ISNA(VLOOKUP(E297,E$1:E296,1,FALSE()))),"OLD",IF(AND(E297&lt;&gt;"",E297&lt;&gt;"!!!"),"NEW","")))</f>
        <v> </v>
      </c>
      <c r="G297" s="17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18" t="str">
        <f>IF(J297&lt;&gt;1,"",IF(I297="SBJ","CB","?"))</f>
        <v> </v>
      </c>
      <c r="I297" s="19" t="str">
        <f>IF(OR(E297="",E297="!!!",F297="NEW"),"",INDEX(B296:B$2,-1+SUMPRODUCT(MAX(ROW(E296:E$2)*(E297=E296:E$2)))))</f>
        <v> </v>
      </c>
      <c r="J297" s="19" t="str">
        <f>IF(OR(E297="",E297="!!!",F297="NEW"),"",COUNTBLANK(OFFSET(A$1,,,SUMPRODUCT(MAX(ROW(E$2:E297)*(E297=E$2:E297)))))-COUNTBLANK(OFFSET(A$1,,,SUMPRODUCT(MAX(ROW(E$1:E296)*(E2=E$1:E296))))))</f>
        <v> </v>
      </c>
      <c r="K297" s="19" t="str">
        <f>IF(OR(E297="",E297="!!!",F297="NEW"),"",INDEX(J$1:J296,SUMPRODUCT(MAX(ROW(E$1:E296)*(E297=E$1:E296)))))</f>
        <v> </v>
      </c>
      <c r="L297" s="20"/>
    </row>
    <row r="298" spans="1:12">
      <c r="A298" s="13" t="s">
        <v>79</v>
      </c>
      <c r="E298" s="15">
        <f>IF(D298="?OLD","!!!","")</f>
        <v/>
      </c>
      <c r="F298" s="16" t="str">
        <f>IF(OR(E298="",E298="!!!"),"",IF(NOT(ISNA(VLOOKUP(E298,E$1:E297,1,FALSE()))),"OLD",IF(AND(E298&lt;&gt;"",E298&lt;&gt;"!!!"),"NEW","")))</f>
        <v> </v>
      </c>
      <c r="G298" s="17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18" t="str">
        <f>IF(J298&lt;&gt;1,"",IF(I298="SBJ","CB","?"))</f>
        <v> </v>
      </c>
      <c r="I298" s="19" t="str">
        <f>IF(OR(E298="",E298="!!!",F298="NEW"),"",INDEX(B297:B$2,-1+SUMPRODUCT(MAX(ROW(E297:E$2)*(E298=E297:E$2)))))</f>
        <v> </v>
      </c>
      <c r="J298" s="19" t="str">
        <f>IF(OR(E298="",E298="!!!",F298="NEW"),"",COUNTBLANK(OFFSET(A$1,,,SUMPRODUCT(MAX(ROW(E$2:E298)*(E298=E$2:E298)))))-COUNTBLANK(OFFSET(A$1,,,SUMPRODUCT(MAX(ROW(E$1:E297)*(E2=E$1:E297))))))</f>
        <v> </v>
      </c>
      <c r="K298" s="19" t="str">
        <f>IF(OR(E298="",E298="!!!",F298="NEW"),"",INDEX(J$1:J297,SUMPRODUCT(MAX(ROW(E$1:E297)*(E298=E$1:E297)))))</f>
        <v> </v>
      </c>
      <c r="L298" s="20"/>
    </row>
    <row r="299" spans="1:12">
      <c r="A299" s="13" t="s">
        <v>217</v>
      </c>
      <c r="E299" s="15">
        <f>IF(D299="?OLD","!!!","")</f>
        <v/>
      </c>
      <c r="F299" s="16" t="str">
        <f>IF(OR(E299="",E299="!!!"),"",IF(NOT(ISNA(VLOOKUP(E299,E$1:E298,1,FALSE()))),"OLD",IF(AND(E299&lt;&gt;"",E299&lt;&gt;"!!!"),"NEW","")))</f>
        <v> </v>
      </c>
      <c r="G299" s="17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18" t="str">
        <f>IF(J299&lt;&gt;1,"",IF(I299="SBJ","CB","?"))</f>
        <v> </v>
      </c>
      <c r="I299" s="19" t="str">
        <f>IF(OR(E299="",E299="!!!",F299="NEW"),"",INDEX(B298:B$2,-1+SUMPRODUCT(MAX(ROW(E298:E$2)*(E299=E298:E$2)))))</f>
        <v> </v>
      </c>
      <c r="J299" s="19" t="str">
        <f>IF(OR(E299="",E299="!!!",F299="NEW"),"",COUNTBLANK(OFFSET(A$1,,,SUMPRODUCT(MAX(ROW(E$2:E299)*(E299=E$2:E299)))))-COUNTBLANK(OFFSET(A$1,,,SUMPRODUCT(MAX(ROW(E$1:E298)*(E2=E$1:E298))))))</f>
        <v> </v>
      </c>
      <c r="K299" s="19" t="str">
        <f>IF(OR(E299="",E299="!!!",F299="NEW"),"",INDEX(J$1:J298,SUMPRODUCT(MAX(ROW(E$1:E298)*(E299=E$1:E298)))))</f>
        <v> </v>
      </c>
      <c r="L299" s="20"/>
    </row>
    <row r="300" spans="1:12">
      <c r="A300" s="13" t="s">
        <v>218</v>
      </c>
      <c r="E300" s="15">
        <f>IF(D300="?OLD","!!!","")</f>
        <v/>
      </c>
      <c r="F300" s="16" t="str">
        <f>IF(OR(E300="",E300="!!!"),"",IF(NOT(ISNA(VLOOKUP(E300,E$1:E299,1,FALSE()))),"OLD",IF(AND(E300&lt;&gt;"",E300&lt;&gt;"!!!"),"NEW","")))</f>
        <v> </v>
      </c>
      <c r="G300" s="17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18" t="str">
        <f>IF(J300&lt;&gt;1,"",IF(I300="SBJ","CB","?"))</f>
        <v> </v>
      </c>
      <c r="I300" s="19" t="str">
        <f>IF(OR(E300="",E300="!!!",F300="NEW"),"",INDEX(B299:B$2,-1+SUMPRODUCT(MAX(ROW(E299:E$2)*(E300=E299:E$2)))))</f>
        <v> </v>
      </c>
      <c r="J300" s="19" t="str">
        <f>IF(OR(E300="",E300="!!!",F300="NEW"),"",COUNTBLANK(OFFSET(A$1,,,SUMPRODUCT(MAX(ROW(E$2:E300)*(E300=E$2:E300)))))-COUNTBLANK(OFFSET(A$1,,,SUMPRODUCT(MAX(ROW(E$1:E299)*(E2=E$1:E299))))))</f>
        <v> </v>
      </c>
      <c r="K300" s="19" t="str">
        <f>IF(OR(E300="",E300="!!!",F300="NEW"),"",INDEX(J$1:J299,SUMPRODUCT(MAX(ROW(E$1:E299)*(E300=E$1:E299)))))</f>
        <v> </v>
      </c>
      <c r="L300" s="20"/>
    </row>
    <row r="301" spans="1:12">
      <c r="A301" s="13" t="s">
        <v>119</v>
      </c>
      <c r="E301" s="15">
        <f>IF(D301="?OLD","!!!","")</f>
        <v/>
      </c>
      <c r="F301" s="16" t="str">
        <f>IF(OR(E301="",E301="!!!"),"",IF(NOT(ISNA(VLOOKUP(E301,E$1:E300,1,FALSE()))),"OLD",IF(AND(E301&lt;&gt;"",E301&lt;&gt;"!!!"),"NEW","")))</f>
        <v> </v>
      </c>
      <c r="G301" s="17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18" t="str">
        <f>IF(J301&lt;&gt;1,"",IF(I301="SBJ","CB","?"))</f>
        <v> </v>
      </c>
      <c r="I301" s="19" t="str">
        <f>IF(OR(E301="",E301="!!!",F301="NEW"),"",INDEX(B300:B$2,-1+SUMPRODUCT(MAX(ROW(E300:E$2)*(E301=E300:E$2)))))</f>
        <v> </v>
      </c>
      <c r="J301" s="19" t="str">
        <f>IF(OR(E301="",E301="!!!",F301="NEW"),"",COUNTBLANK(OFFSET(A$1,,,SUMPRODUCT(MAX(ROW(E$2:E301)*(E301=E$2:E301)))))-COUNTBLANK(OFFSET(A$1,,,SUMPRODUCT(MAX(ROW(E$1:E300)*(E2=E$1:E300))))))</f>
        <v> </v>
      </c>
      <c r="K301" s="19" t="str">
        <f>IF(OR(E301="",E301="!!!",F301="NEW"),"",INDEX(J$1:J300,SUMPRODUCT(MAX(ROW(E$1:E300)*(E301=E$1:E300)))))</f>
        <v> </v>
      </c>
      <c r="L301" s="20"/>
    </row>
    <row r="302" spans="1:12">
      <c r="A302" s="13" t="s">
        <v>56</v>
      </c>
      <c r="E302" s="15">
        <f>IF(D302="?OLD","!!!","")</f>
        <v/>
      </c>
      <c r="F302" s="16" t="str">
        <f>IF(OR(E302="",E302="!!!"),"",IF(NOT(ISNA(VLOOKUP(E302,E$1:E301,1,FALSE()))),"OLD",IF(AND(E302&lt;&gt;"",E302&lt;&gt;"!!!"),"NEW","")))</f>
        <v> </v>
      </c>
      <c r="G302" s="17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18" t="str">
        <f>IF(J302&lt;&gt;1,"",IF(I302="SBJ","CB","?"))</f>
        <v> </v>
      </c>
      <c r="I302" s="19" t="str">
        <f>IF(OR(E302="",E302="!!!",F302="NEW"),"",INDEX(B301:B$2,-1+SUMPRODUCT(MAX(ROW(E301:E$2)*(E302=E301:E$2)))))</f>
        <v> </v>
      </c>
      <c r="J302" s="19" t="str">
        <f>IF(OR(E302="",E302="!!!",F302="NEW"),"",COUNTBLANK(OFFSET(A$1,,,SUMPRODUCT(MAX(ROW(E$2:E302)*(E302=E$2:E302)))))-COUNTBLANK(OFFSET(A$1,,,SUMPRODUCT(MAX(ROW(E$1:E301)*(E2=E$1:E301))))))</f>
        <v> </v>
      </c>
      <c r="K302" s="19" t="str">
        <f>IF(OR(E302="",E302="!!!",F302="NEW"),"",INDEX(J$1:J301,SUMPRODUCT(MAX(ROW(E$1:E301)*(E302=E$1:E301)))))</f>
        <v> </v>
      </c>
      <c r="L302" s="20"/>
    </row>
    <row r="303" spans="1:12">
      <c r="A303" s="13" t="s">
        <v>115</v>
      </c>
      <c r="E303" s="15">
        <f>IF(D303="?OLD","!!!","")</f>
        <v/>
      </c>
      <c r="F303" s="16" t="str">
        <f>IF(OR(E303="",E303="!!!"),"",IF(NOT(ISNA(VLOOKUP(E303,E$1:E302,1,FALSE()))),"OLD",IF(AND(E303&lt;&gt;"",E303&lt;&gt;"!!!"),"NEW","")))</f>
        <v> </v>
      </c>
      <c r="G303" s="17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18" t="str">
        <f>IF(J303&lt;&gt;1,"",IF(I303="SBJ","CB","?"))</f>
        <v> </v>
      </c>
      <c r="I303" s="19" t="str">
        <f>IF(OR(E303="",E303="!!!",F303="NEW"),"",INDEX(B302:B$2,-1+SUMPRODUCT(MAX(ROW(E302:E$2)*(E303=E302:E$2)))))</f>
        <v> </v>
      </c>
      <c r="J303" s="19" t="str">
        <f>IF(OR(E303="",E303="!!!",F303="NEW"),"",COUNTBLANK(OFFSET(A$1,,,SUMPRODUCT(MAX(ROW(E$2:E303)*(E303=E$2:E303)))))-COUNTBLANK(OFFSET(A$1,,,SUMPRODUCT(MAX(ROW(E$1:E302)*(E2=E$1:E302))))))</f>
        <v> </v>
      </c>
      <c r="K303" s="19" t="str">
        <f>IF(OR(E303="",E303="!!!",F303="NEW"),"",INDEX(J$1:J302,SUMPRODUCT(MAX(ROW(E$1:E302)*(E303=E$1:E302)))))</f>
        <v> </v>
      </c>
      <c r="L303" s="20"/>
    </row>
    <row r="304" spans="1:12">
      <c r="A304" s="13" t="s">
        <v>95</v>
      </c>
      <c r="E304" s="15">
        <f>IF(D304="?OLD","!!!","")</f>
        <v/>
      </c>
      <c r="F304" s="16" t="str">
        <f>IF(OR(E304="",E304="!!!"),"",IF(NOT(ISNA(VLOOKUP(E304,E$1:E303,1,FALSE()))),"OLD",IF(AND(E304&lt;&gt;"",E304&lt;&gt;"!!!"),"NEW","")))</f>
        <v> </v>
      </c>
      <c r="G304" s="17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18" t="str">
        <f>IF(J304&lt;&gt;1,"",IF(I304="SBJ","CB","?"))</f>
        <v> </v>
      </c>
      <c r="I304" s="19" t="str">
        <f>IF(OR(E304="",E304="!!!",F304="NEW"),"",INDEX(B303:B$2,-1+SUMPRODUCT(MAX(ROW(E303:E$2)*(E304=E303:E$2)))))</f>
        <v> </v>
      </c>
      <c r="J304" s="19" t="str">
        <f>IF(OR(E304="",E304="!!!",F304="NEW"),"",COUNTBLANK(OFFSET(A$1,,,SUMPRODUCT(MAX(ROW(E$2:E304)*(E304=E$2:E304)))))-COUNTBLANK(OFFSET(A$1,,,SUMPRODUCT(MAX(ROW(E$1:E303)*(E2=E$1:E303))))))</f>
        <v> </v>
      </c>
      <c r="K304" s="19" t="str">
        <f>IF(OR(E304="",E304="!!!",F304="NEW"),"",INDEX(J$1:J303,SUMPRODUCT(MAX(ROW(E$1:E303)*(E304=E$1:E303)))))</f>
        <v> </v>
      </c>
      <c r="L304" s="20"/>
    </row>
    <row r="305" spans="1:12">
      <c r="A305" s="13" t="s">
        <v>164</v>
      </c>
      <c r="B305" s="14" t="s">
        <v>219</v>
      </c>
      <c r="C305" s="14" t="s">
        <v>24</v>
      </c>
      <c r="D305" s="14" t="s">
        <v>25</v>
      </c>
      <c r="E305" s="15">
        <f>IF(D305="?OLD","!!!","")</f>
        <v/>
      </c>
      <c r="F305" s="16" t="str">
        <f>IF(OR(E305="",E305="!!!"),"",IF(NOT(ISNA(VLOOKUP(E305,E$1:E304,1,FALSE()))),"OLD",IF(AND(E305&lt;&gt;"",E305&lt;&gt;"!!!"),"NEW","")))</f>
        <v> </v>
      </c>
      <c r="G305" s="17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18" t="str">
        <f>IF(J305&lt;&gt;1,"",IF(I305="SBJ","CB","?"))</f>
        <v> </v>
      </c>
      <c r="I305" s="19" t="str">
        <f>IF(OR(E305="",E305="!!!",F305="NEW"),"",INDEX(B304:B$2,-1+SUMPRODUCT(MAX(ROW(E304:E$2)*(E305=E304:E$2)))))</f>
        <v> </v>
      </c>
      <c r="J305" s="19" t="str">
        <f>IF(OR(E305="",E305="!!!",F305="NEW"),"",COUNTBLANK(OFFSET(A$1,,,SUMPRODUCT(MAX(ROW(E$2:E305)*(E305=E$2:E305)))))-COUNTBLANK(OFFSET(A$1,,,SUMPRODUCT(MAX(ROW(E$1:E304)*(E2=E$1:E304))))))</f>
        <v> </v>
      </c>
      <c r="K305" s="19" t="str">
        <f>IF(OR(E305="",E305="!!!",F305="NEW"),"",INDEX(J$1:J304,SUMPRODUCT(MAX(ROW(E$1:E304)*(E305=E$1:E304)))))</f>
        <v> </v>
      </c>
      <c r="L305" s="20"/>
    </row>
    <row r="306" spans="1:12">
      <c r="A306" s="13" t="s">
        <v>68</v>
      </c>
      <c r="E306" s="15">
        <f>IF(D306="?OLD","!!!","")</f>
        <v/>
      </c>
      <c r="F306" s="16" t="str">
        <f>IF(OR(E306="",E306="!!!"),"",IF(NOT(ISNA(VLOOKUP(E306,E$1:E305,1,FALSE()))),"OLD",IF(AND(E306&lt;&gt;"",E306&lt;&gt;"!!!"),"NEW","")))</f>
        <v> </v>
      </c>
      <c r="G306" s="17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18" t="str">
        <f>IF(J306&lt;&gt;1,"",IF(I306="SBJ","CB","?"))</f>
        <v> </v>
      </c>
      <c r="I306" s="19" t="str">
        <f>IF(OR(E306="",E306="!!!",F306="NEW"),"",INDEX(B305:B$2,-1+SUMPRODUCT(MAX(ROW(E305:E$2)*(E306=E305:E$2)))))</f>
        <v> </v>
      </c>
      <c r="J306" s="19" t="str">
        <f>IF(OR(E306="",E306="!!!",F306="NEW"),"",COUNTBLANK(OFFSET(A$1,,,SUMPRODUCT(MAX(ROW(E$2:E306)*(E306=E$2:E306)))))-COUNTBLANK(OFFSET(A$1,,,SUMPRODUCT(MAX(ROW(E$1:E305)*(E2=E$1:E305))))))</f>
        <v> </v>
      </c>
      <c r="K306" s="19" t="str">
        <f>IF(OR(E306="",E306="!!!",F306="NEW"),"",INDEX(J$1:J305,SUMPRODUCT(MAX(ROW(E$1:E305)*(E306=E$1:E305)))))</f>
        <v> </v>
      </c>
      <c r="L306" s="20"/>
    </row>
    <row r="307" spans="1:12">
      <c r="A307" s="13"/>
    </row>
    <row r="308" spans="1:12">
      <c r="A308" s="13" t="s">
        <v>117</v>
      </c>
      <c r="E308" s="15">
        <f>IF(D308="?OLD","!!!","")</f>
        <v/>
      </c>
      <c r="F308" s="16" t="str">
        <f>IF(OR(E308="",E308="!!!"),"",IF(NOT(ISNA(VLOOKUP(E308,E$1:E307,1,FALSE()))),"OLD",IF(AND(E308&lt;&gt;"",E308&lt;&gt;"!!!"),"NEW","")))</f>
        <v> </v>
      </c>
      <c r="G308" s="17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18" t="str">
        <f>IF(J308&lt;&gt;1,"",IF(I308="SBJ","CB","?"))</f>
        <v> </v>
      </c>
      <c r="I308" s="19" t="str">
        <f>IF(OR(E308="",E308="!!!",F308="NEW"),"",INDEX(B307:B$2,-1+SUMPRODUCT(MAX(ROW(E307:E$2)*(E308=E307:E$2)))))</f>
        <v> </v>
      </c>
      <c r="J308" s="19" t="str">
        <f>IF(OR(E308="",E308="!!!",F308="NEW"),"",COUNTBLANK(OFFSET(A$1,,,SUMPRODUCT(MAX(ROW(E$2:E308)*(E308=E$2:E308)))))-COUNTBLANK(OFFSET(A$1,,,SUMPRODUCT(MAX(ROW(E$1:E307)*(E2=E$1:E307))))))</f>
        <v> </v>
      </c>
      <c r="K308" s="19" t="str">
        <f>IF(OR(E308="",E308="!!!",F308="NEW"),"",INDEX(J$1:J307,SUMPRODUCT(MAX(ROW(E$1:E307)*(E308=E$1:E307)))))</f>
        <v> </v>
      </c>
      <c r="L308" s="20"/>
    </row>
    <row r="309" spans="1:12">
      <c r="A309" s="13" t="s">
        <v>220</v>
      </c>
    </row>
    <row r="310" spans="1:12">
      <c r="A310" s="13" t="s">
        <v>119</v>
      </c>
      <c r="E310" s="15">
        <f>IF(D310="?OLD","!!!","")</f>
        <v/>
      </c>
      <c r="F310" s="16" t="str">
        <f>IF(OR(E310="",E310="!!!"),"",IF(NOT(ISNA(VLOOKUP(E310,E$1:E309,1,FALSE()))),"OLD",IF(AND(E310&lt;&gt;"",E310&lt;&gt;"!!!"),"NEW","")))</f>
        <v> </v>
      </c>
      <c r="G310" s="17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18" t="str">
        <f>IF(J310&lt;&gt;1,"",IF(I310="SBJ","CB","?"))</f>
        <v> </v>
      </c>
      <c r="I310" s="19" t="str">
        <f>IF(OR(E310="",E310="!!!",F310="NEW"),"",INDEX(B309:B$2,-1+SUMPRODUCT(MAX(ROW(E309:E$2)*(E310=E309:E$2)))))</f>
        <v> </v>
      </c>
      <c r="J310" s="19" t="str">
        <f>IF(OR(E310="",E310="!!!",F310="NEW"),"",COUNTBLANK(OFFSET(A$1,,,SUMPRODUCT(MAX(ROW(E$2:E310)*(E310=E$2:E310)))))-COUNTBLANK(OFFSET(A$1,,,SUMPRODUCT(MAX(ROW(E$1:E309)*(E2=E$1:E309))))))</f>
        <v> </v>
      </c>
      <c r="K310" s="19" t="str">
        <f>IF(OR(E310="",E310="!!!",F310="NEW"),"",INDEX(J$1:J309,SUMPRODUCT(MAX(ROW(E$1:E309)*(E310=E$1:E309)))))</f>
        <v> </v>
      </c>
      <c r="L310" s="20"/>
    </row>
    <row r="311" spans="1:12">
      <c r="A311" s="13" t="s">
        <v>221</v>
      </c>
      <c r="E311" s="15">
        <f>IF(D311="?OLD","!!!","")</f>
        <v/>
      </c>
      <c r="F311" s="16" t="str">
        <f>IF(OR(E311="",E311="!!!"),"",IF(NOT(ISNA(VLOOKUP(E311,E$1:E310,1,FALSE()))),"OLD",IF(AND(E311&lt;&gt;"",E311&lt;&gt;"!!!"),"NEW","")))</f>
        <v> </v>
      </c>
      <c r="G311" s="17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18" t="str">
        <f>IF(J311&lt;&gt;1,"",IF(I311="SBJ","CB","?"))</f>
        <v> </v>
      </c>
      <c r="I311" s="19" t="str">
        <f>IF(OR(E311="",E311="!!!",F311="NEW"),"",INDEX(B310:B$2,-1+SUMPRODUCT(MAX(ROW(E310:E$2)*(E311=E310:E$2)))))</f>
        <v> </v>
      </c>
      <c r="J311" s="19" t="str">
        <f>IF(OR(E311="",E311="!!!",F311="NEW"),"",COUNTBLANK(OFFSET(A$1,,,SUMPRODUCT(MAX(ROW(E$2:E311)*(E311=E$2:E311)))))-COUNTBLANK(OFFSET(A$1,,,SUMPRODUCT(MAX(ROW(E$1:E310)*(E2=E$1:E310))))))</f>
        <v> </v>
      </c>
      <c r="K311" s="19" t="str">
        <f>IF(OR(E311="",E311="!!!",F311="NEW"),"",INDEX(J$1:J310,SUMPRODUCT(MAX(ROW(E$1:E310)*(E311=E$1:E310)))))</f>
        <v> </v>
      </c>
      <c r="L311" s="20"/>
    </row>
    <row r="312" spans="1:12">
      <c r="A312" s="13" t="s">
        <v>56</v>
      </c>
      <c r="E312" s="15">
        <f>IF(D312="?OLD","!!!","")</f>
        <v/>
      </c>
      <c r="F312" s="16" t="str">
        <f>IF(OR(E312="",E312="!!!"),"",IF(NOT(ISNA(VLOOKUP(E312,E$1:E311,1,FALSE()))),"OLD",IF(AND(E312&lt;&gt;"",E312&lt;&gt;"!!!"),"NEW","")))</f>
        <v> </v>
      </c>
      <c r="G312" s="17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18" t="str">
        <f>IF(J312&lt;&gt;1,"",IF(I312="SBJ","CB","?"))</f>
        <v> </v>
      </c>
      <c r="I312" s="19" t="str">
        <f>IF(OR(E312="",E312="!!!",F312="NEW"),"",INDEX(B311:B$2,-1+SUMPRODUCT(MAX(ROW(E311:E$2)*(E312=E311:E$2)))))</f>
        <v> </v>
      </c>
      <c r="J312" s="19" t="str">
        <f>IF(OR(E312="",E312="!!!",F312="NEW"),"",COUNTBLANK(OFFSET(A$1,,,SUMPRODUCT(MAX(ROW(E$2:E312)*(E312=E$2:E312)))))-COUNTBLANK(OFFSET(A$1,,,SUMPRODUCT(MAX(ROW(E$1:E311)*(E2=E$1:E311))))))</f>
        <v> </v>
      </c>
      <c r="K312" s="19" t="str">
        <f>IF(OR(E312="",E312="!!!",F312="NEW"),"",INDEX(J$1:J311,SUMPRODUCT(MAX(ROW(E$1:E311)*(E312=E$1:E311)))))</f>
        <v> </v>
      </c>
      <c r="L312" s="20"/>
    </row>
    <row r="313" spans="1:12">
      <c r="A313" s="13" t="s">
        <v>155</v>
      </c>
      <c r="E313" s="15">
        <f>IF(D313="?OLD","!!!","")</f>
        <v/>
      </c>
      <c r="F313" s="16" t="str">
        <f>IF(OR(E313="",E313="!!!"),"",IF(NOT(ISNA(VLOOKUP(E313,E$1:E312,1,FALSE()))),"OLD",IF(AND(E313&lt;&gt;"",E313&lt;&gt;"!!!"),"NEW","")))</f>
        <v> </v>
      </c>
      <c r="G313" s="17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18" t="str">
        <f>IF(J313&lt;&gt;1,"",IF(I313="SBJ","CB","?"))</f>
        <v> </v>
      </c>
      <c r="I313" s="19" t="str">
        <f>IF(OR(E313="",E313="!!!",F313="NEW"),"",INDEX(B312:B$2,-1+SUMPRODUCT(MAX(ROW(E312:E$2)*(E313=E312:E$2)))))</f>
        <v> </v>
      </c>
      <c r="J313" s="19" t="str">
        <f>IF(OR(E313="",E313="!!!",F313="NEW"),"",COUNTBLANK(OFFSET(A$1,,,SUMPRODUCT(MAX(ROW(E$2:E313)*(E313=E$2:E313)))))-COUNTBLANK(OFFSET(A$1,,,SUMPRODUCT(MAX(ROW(E$1:E312)*(E2=E$1:E312))))))</f>
        <v> </v>
      </c>
      <c r="K313" s="19" t="str">
        <f>IF(OR(E313="",E313="!!!",F313="NEW"),"",INDEX(J$1:J312,SUMPRODUCT(MAX(ROW(E$1:E312)*(E313=E$1:E312)))))</f>
        <v> </v>
      </c>
      <c r="L313" s="20"/>
    </row>
    <row r="314" spans="1:12">
      <c r="A314" s="13" t="s">
        <v>222</v>
      </c>
      <c r="E314" s="15">
        <f>IF(D314="?OLD","!!!","")</f>
        <v/>
      </c>
      <c r="F314" s="16" t="str">
        <f>IF(OR(E314="",E314="!!!"),"",IF(NOT(ISNA(VLOOKUP(E314,E$1:E313,1,FALSE()))),"OLD",IF(AND(E314&lt;&gt;"",E314&lt;&gt;"!!!"),"NEW","")))</f>
        <v> </v>
      </c>
      <c r="G314" s="17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18" t="str">
        <f>IF(J314&lt;&gt;1,"",IF(I314="SBJ","CB","?"))</f>
        <v> </v>
      </c>
      <c r="I314" s="19" t="str">
        <f>IF(OR(E314="",E314="!!!",F314="NEW"),"",INDEX(B313:B$2,-1+SUMPRODUCT(MAX(ROW(E313:E$2)*(E314=E313:E$2)))))</f>
        <v> </v>
      </c>
      <c r="J314" s="19" t="str">
        <f>IF(OR(E314="",E314="!!!",F314="NEW"),"",COUNTBLANK(OFFSET(A$1,,,SUMPRODUCT(MAX(ROW(E$2:E314)*(E314=E$2:E314)))))-COUNTBLANK(OFFSET(A$1,,,SUMPRODUCT(MAX(ROW(E$1:E313)*(E2=E$1:E313))))))</f>
        <v> </v>
      </c>
      <c r="K314" s="19" t="str">
        <f>IF(OR(E314="",E314="!!!",F314="NEW"),"",INDEX(J$1:J313,SUMPRODUCT(MAX(ROW(E$1:E313)*(E314=E$1:E313)))))</f>
        <v> </v>
      </c>
      <c r="L314" s="20"/>
    </row>
    <row r="315" spans="1:12">
      <c r="A315" s="13" t="s">
        <v>119</v>
      </c>
      <c r="E315" s="15">
        <f>IF(D315="?OLD","!!!","")</f>
        <v/>
      </c>
      <c r="F315" s="16" t="str">
        <f>IF(OR(E315="",E315="!!!"),"",IF(NOT(ISNA(VLOOKUP(E315,E$1:E314,1,FALSE()))),"OLD",IF(AND(E315&lt;&gt;"",E315&lt;&gt;"!!!"),"NEW","")))</f>
        <v> </v>
      </c>
      <c r="G315" s="17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18" t="str">
        <f>IF(J315&lt;&gt;1,"",IF(I315="SBJ","CB","?"))</f>
        <v> </v>
      </c>
      <c r="I315" s="19" t="str">
        <f>IF(OR(E315="",E315="!!!",F315="NEW"),"",INDEX(B314:B$2,-1+SUMPRODUCT(MAX(ROW(E314:E$2)*(E315=E314:E$2)))))</f>
        <v> </v>
      </c>
      <c r="J315" s="19" t="str">
        <f>IF(OR(E315="",E315="!!!",F315="NEW"),"",COUNTBLANK(OFFSET(A$1,,,SUMPRODUCT(MAX(ROW(E$2:E315)*(E315=E$2:E315)))))-COUNTBLANK(OFFSET(A$1,,,SUMPRODUCT(MAX(ROW(E$1:E314)*(E2=E$1:E314))))))</f>
        <v> </v>
      </c>
      <c r="K315" s="19" t="str">
        <f>IF(OR(E315="",E315="!!!",F315="NEW"),"",INDEX(J$1:J314,SUMPRODUCT(MAX(ROW(E$1:E314)*(E315=E$1:E314)))))</f>
        <v> </v>
      </c>
      <c r="L315" s="20"/>
    </row>
    <row r="316" spans="1:12">
      <c r="A316" s="13" t="s">
        <v>56</v>
      </c>
      <c r="E316" s="15">
        <f>IF(D316="?OLD","!!!","")</f>
        <v/>
      </c>
      <c r="F316" s="16" t="str">
        <f>IF(OR(E316="",E316="!!!"),"",IF(NOT(ISNA(VLOOKUP(E316,E$1:E315,1,FALSE()))),"OLD",IF(AND(E316&lt;&gt;"",E316&lt;&gt;"!!!"),"NEW","")))</f>
        <v> </v>
      </c>
      <c r="G316" s="17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18" t="str">
        <f>IF(J316&lt;&gt;1,"",IF(I316="SBJ","CB","?"))</f>
        <v> </v>
      </c>
      <c r="I316" s="19" t="str">
        <f>IF(OR(E316="",E316="!!!",F316="NEW"),"",INDEX(B315:B$2,-1+SUMPRODUCT(MAX(ROW(E315:E$2)*(E316=E315:E$2)))))</f>
        <v> </v>
      </c>
      <c r="J316" s="19" t="str">
        <f>IF(OR(E316="",E316="!!!",F316="NEW"),"",COUNTBLANK(OFFSET(A$1,,,SUMPRODUCT(MAX(ROW(E$2:E316)*(E316=E$2:E316)))))-COUNTBLANK(OFFSET(A$1,,,SUMPRODUCT(MAX(ROW(E$1:E315)*(E2=E$1:E315))))))</f>
        <v> </v>
      </c>
      <c r="K316" s="19" t="str">
        <f>IF(OR(E316="",E316="!!!",F316="NEW"),"",INDEX(J$1:J315,SUMPRODUCT(MAX(ROW(E$1:E315)*(E316=E$1:E315)))))</f>
        <v> </v>
      </c>
      <c r="L316" s="20"/>
    </row>
    <row r="317" spans="1:12">
      <c r="A317" s="13" t="s">
        <v>115</v>
      </c>
      <c r="E317" s="15">
        <f>IF(D317="?OLD","!!!","")</f>
        <v/>
      </c>
      <c r="F317" s="16" t="str">
        <f>IF(OR(E317="",E317="!!!"),"",IF(NOT(ISNA(VLOOKUP(E317,E$1:E316,1,FALSE()))),"OLD",IF(AND(E317&lt;&gt;"",E317&lt;&gt;"!!!"),"NEW","")))</f>
        <v> </v>
      </c>
      <c r="G317" s="17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18" t="str">
        <f>IF(J317&lt;&gt;1,"",IF(I317="SBJ","CB","?"))</f>
        <v> </v>
      </c>
      <c r="I317" s="19" t="str">
        <f>IF(OR(E317="",E317="!!!",F317="NEW"),"",INDEX(B316:B$2,-1+SUMPRODUCT(MAX(ROW(E316:E$2)*(E317=E316:E$2)))))</f>
        <v> </v>
      </c>
      <c r="J317" s="19" t="str">
        <f>IF(OR(E317="",E317="!!!",F317="NEW"),"",COUNTBLANK(OFFSET(A$1,,,SUMPRODUCT(MAX(ROW(E$2:E317)*(E317=E$2:E317)))))-COUNTBLANK(OFFSET(A$1,,,SUMPRODUCT(MAX(ROW(E$1:E316)*(E2=E$1:E316))))))</f>
        <v> </v>
      </c>
      <c r="K317" s="19" t="str">
        <f>IF(OR(E317="",E317="!!!",F317="NEW"),"",INDEX(J$1:J316,SUMPRODUCT(MAX(ROW(E$1:E316)*(E317=E$1:E316)))))</f>
        <v> </v>
      </c>
      <c r="L317" s="20"/>
    </row>
    <row r="318" spans="1:12">
      <c r="A318" s="13" t="s">
        <v>36</v>
      </c>
      <c r="B318" s="14" t="s">
        <v>23</v>
      </c>
      <c r="C318" s="14" t="s">
        <v>24</v>
      </c>
      <c r="D318" s="14" t="s">
        <v>25</v>
      </c>
      <c r="E318" s="15">
        <f>IF(D318="?OLD","!!!","")</f>
        <v/>
      </c>
      <c r="F318" s="16" t="str">
        <f>IF(OR(E318="",E318="!!!"),"",IF(NOT(ISNA(VLOOKUP(E318,E$1:E317,1,FALSE()))),"OLD",IF(AND(E318&lt;&gt;"",E318&lt;&gt;"!!!"),"NEW","")))</f>
        <v> </v>
      </c>
      <c r="G318" s="17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18" t="str">
        <f>IF(J318&lt;&gt;1,"",IF(I318="SBJ","CB","?"))</f>
        <v> </v>
      </c>
      <c r="I318" s="19" t="str">
        <f>IF(OR(E318="",E318="!!!",F318="NEW"),"",INDEX(B317:B$2,-1+SUMPRODUCT(MAX(ROW(E317:E$2)*(E318=E317:E$2)))))</f>
        <v> </v>
      </c>
      <c r="J318" s="19" t="str">
        <f>IF(OR(E318="",E318="!!!",F318="NEW"),"",COUNTBLANK(OFFSET(A$1,,,SUMPRODUCT(MAX(ROW(E$2:E318)*(E318=E$2:E318)))))-COUNTBLANK(OFFSET(A$1,,,SUMPRODUCT(MAX(ROW(E$1:E317)*(E2=E$1:E317))))))</f>
        <v> </v>
      </c>
      <c r="K318" s="19" t="str">
        <f>IF(OR(E318="",E318="!!!",F318="NEW"),"",INDEX(J$1:J317,SUMPRODUCT(MAX(ROW(E$1:E317)*(E318=E$1:E317)))))</f>
        <v> </v>
      </c>
      <c r="L318" s="20"/>
    </row>
    <row r="319" spans="1:12">
      <c r="A319" s="13" t="s">
        <v>37</v>
      </c>
      <c r="B319" s="14" t="s">
        <v>27</v>
      </c>
      <c r="C319" s="14" t="s">
        <v>24</v>
      </c>
      <c r="D319" s="14" t="s">
        <v>25</v>
      </c>
      <c r="E319" s="15">
        <f>IF(D319="?OLD","!!!","")</f>
        <v/>
      </c>
      <c r="F319" s="16" t="str">
        <f>IF(OR(E319="",E319="!!!"),"",IF(NOT(ISNA(VLOOKUP(E319,E$1:E318,1,FALSE()))),"OLD",IF(AND(E319&lt;&gt;"",E319&lt;&gt;"!!!"),"NEW","")))</f>
        <v> </v>
      </c>
      <c r="G319" s="17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18" t="str">
        <f>IF(J319&lt;&gt;1,"",IF(I319="SBJ","CB","?"))</f>
        <v> </v>
      </c>
      <c r="I319" s="19" t="str">
        <f>IF(OR(E319="",E319="!!!",F319="NEW"),"",INDEX(B318:B$2,-1+SUMPRODUCT(MAX(ROW(E318:E$2)*(E319=E318:E$2)))))</f>
        <v> </v>
      </c>
      <c r="J319" s="19" t="str">
        <f>IF(OR(E319="",E319="!!!",F319="NEW"),"",COUNTBLANK(OFFSET(A$1,,,SUMPRODUCT(MAX(ROW(E$2:E319)*(E319=E$2:E319)))))-COUNTBLANK(OFFSET(A$1,,,SUMPRODUCT(MAX(ROW(E$1:E318)*(E2=E$1:E318))))))</f>
        <v> </v>
      </c>
      <c r="K319" s="19" t="str">
        <f>IF(OR(E319="",E319="!!!",F319="NEW"),"",INDEX(J$1:J318,SUMPRODUCT(MAX(ROW(E$1:E318)*(E319=E$1:E318)))))</f>
        <v> </v>
      </c>
      <c r="L319" s="20"/>
    </row>
    <row r="320" spans="1:12">
      <c r="A320" s="13" t="s">
        <v>68</v>
      </c>
      <c r="E320" s="15">
        <f>IF(D320="?OLD","!!!","")</f>
        <v/>
      </c>
      <c r="F320" s="16" t="str">
        <f>IF(OR(E320="",E320="!!!"),"",IF(NOT(ISNA(VLOOKUP(E320,E$1:E319,1,FALSE()))),"OLD",IF(AND(E320&lt;&gt;"",E320&lt;&gt;"!!!"),"NEW","")))</f>
        <v> </v>
      </c>
      <c r="G320" s="17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18" t="str">
        <f>IF(J320&lt;&gt;1,"",IF(I320="SBJ","CB","?"))</f>
        <v> </v>
      </c>
      <c r="I320" s="19" t="str">
        <f>IF(OR(E320="",E320="!!!",F320="NEW"),"",INDEX(B319:B$2,-1+SUMPRODUCT(MAX(ROW(E319:E$2)*(E320=E319:E$2)))))</f>
        <v> </v>
      </c>
      <c r="J320" s="19" t="str">
        <f>IF(OR(E320="",E320="!!!",F320="NEW"),"",COUNTBLANK(OFFSET(A$1,,,SUMPRODUCT(MAX(ROW(E$2:E320)*(E320=E$2:E320)))))-COUNTBLANK(OFFSET(A$1,,,SUMPRODUCT(MAX(ROW(E$1:E319)*(E2=E$1:E319))))))</f>
        <v> </v>
      </c>
      <c r="K320" s="19" t="str">
        <f>IF(OR(E320="",E320="!!!",F320="NEW"),"",INDEX(J$1:J319,SUMPRODUCT(MAX(ROW(E$1:E319)*(E320=E$1:E319)))))</f>
        <v> </v>
      </c>
      <c r="L320" s="20"/>
    </row>
    <row r="321" spans="1:12">
      <c r="A321" s="13"/>
    </row>
    <row r="322" spans="1:12">
      <c r="A322" s="13" t="s">
        <v>117</v>
      </c>
      <c r="E322" s="15">
        <f>IF(D322="?OLD","!!!","")</f>
        <v/>
      </c>
      <c r="F322" s="16" t="str">
        <f>IF(OR(E322="",E322="!!!"),"",IF(NOT(ISNA(VLOOKUP(E322,E$1:E321,1,FALSE()))),"OLD",IF(AND(E322&lt;&gt;"",E322&lt;&gt;"!!!"),"NEW","")))</f>
        <v> </v>
      </c>
      <c r="G322" s="17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18" t="str">
        <f>IF(J322&lt;&gt;1,"",IF(I322="SBJ","CB","?"))</f>
        <v> </v>
      </c>
      <c r="I322" s="19" t="str">
        <f>IF(OR(E322="",E322="!!!",F322="NEW"),"",INDEX(B321:B$2,-1+SUMPRODUCT(MAX(ROW(E321:E$2)*(E322=E321:E$2)))))</f>
        <v> </v>
      </c>
      <c r="J322" s="19" t="str">
        <f>IF(OR(E322="",E322="!!!",F322="NEW"),"",COUNTBLANK(OFFSET(A$1,,,SUMPRODUCT(MAX(ROW(E$2:E322)*(E322=E$2:E322)))))-COUNTBLANK(OFFSET(A$1,,,SUMPRODUCT(MAX(ROW(E$1:E321)*(E2=E$1:E321))))))</f>
        <v> </v>
      </c>
      <c r="K322" s="19" t="str">
        <f>IF(OR(E322="",E322="!!!",F322="NEW"),"",INDEX(J$1:J321,SUMPRODUCT(MAX(ROW(E$1:E321)*(E322=E$1:E321)))))</f>
        <v> </v>
      </c>
      <c r="L322" s="20"/>
    </row>
    <row r="323" spans="1:12">
      <c r="A323" s="13" t="s">
        <v>223</v>
      </c>
    </row>
    <row r="324" spans="1:12">
      <c r="A324" s="13" t="s">
        <v>119</v>
      </c>
      <c r="E324" s="15">
        <f>IF(D324="?OLD","!!!","")</f>
        <v/>
      </c>
      <c r="F324" s="16" t="str">
        <f>IF(OR(E324="",E324="!!!"),"",IF(NOT(ISNA(VLOOKUP(E324,E$1:E323,1,FALSE()))),"OLD",IF(AND(E324&lt;&gt;"",E324&lt;&gt;"!!!"),"NEW","")))</f>
        <v> </v>
      </c>
      <c r="G324" s="17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18" t="str">
        <f>IF(J324&lt;&gt;1,"",IF(I324="SBJ","CB","?"))</f>
        <v> </v>
      </c>
      <c r="I324" s="19" t="str">
        <f>IF(OR(E324="",E324="!!!",F324="NEW"),"",INDEX(B323:B$2,-1+SUMPRODUCT(MAX(ROW(E323:E$2)*(E324=E323:E$2)))))</f>
        <v> </v>
      </c>
      <c r="J324" s="19" t="str">
        <f>IF(OR(E324="",E324="!!!",F324="NEW"),"",COUNTBLANK(OFFSET(A$1,,,SUMPRODUCT(MAX(ROW(E$2:E324)*(E324=E$2:E324)))))-COUNTBLANK(OFFSET(A$1,,,SUMPRODUCT(MAX(ROW(E$1:E323)*(E2=E$1:E323))))))</f>
        <v> </v>
      </c>
      <c r="K324" s="19" t="str">
        <f>IF(OR(E324="",E324="!!!",F324="NEW"),"",INDEX(J$1:J323,SUMPRODUCT(MAX(ROW(E$1:E323)*(E324=E$1:E323)))))</f>
        <v> </v>
      </c>
      <c r="L324" s="20"/>
    </row>
    <row r="325" spans="1:12">
      <c r="A325" s="13" t="s">
        <v>70</v>
      </c>
      <c r="E325" s="15">
        <f>IF(D325="?OLD","!!!","")</f>
        <v/>
      </c>
      <c r="F325" s="16" t="str">
        <f>IF(OR(E325="",E325="!!!"),"",IF(NOT(ISNA(VLOOKUP(E325,E$1:E324,1,FALSE()))),"OLD",IF(AND(E325&lt;&gt;"",E325&lt;&gt;"!!!"),"NEW","")))</f>
        <v> </v>
      </c>
      <c r="G325" s="17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18" t="str">
        <f>IF(J325&lt;&gt;1,"",IF(I325="SBJ","CB","?"))</f>
        <v> </v>
      </c>
      <c r="I325" s="19" t="str">
        <f>IF(OR(E325="",E325="!!!",F325="NEW"),"",INDEX(B324:B$2,-1+SUMPRODUCT(MAX(ROW(E324:E$2)*(E325=E324:E$2)))))</f>
        <v> </v>
      </c>
      <c r="J325" s="19" t="str">
        <f>IF(OR(E325="",E325="!!!",F325="NEW"),"",COUNTBLANK(OFFSET(A$1,,,SUMPRODUCT(MAX(ROW(E$2:E325)*(E325=E$2:E325)))))-COUNTBLANK(OFFSET(A$1,,,SUMPRODUCT(MAX(ROW(E$1:E324)*(E2=E$1:E324))))))</f>
        <v> </v>
      </c>
      <c r="K325" s="19" t="str">
        <f>IF(OR(E325="",E325="!!!",F325="NEW"),"",INDEX(J$1:J324,SUMPRODUCT(MAX(ROW(E$1:E324)*(E325=E$1:E324)))))</f>
        <v> </v>
      </c>
      <c r="L325" s="20"/>
    </row>
    <row r="326" spans="1:12">
      <c r="A326" s="13" t="s">
        <v>124</v>
      </c>
      <c r="B326" s="14" t="s">
        <v>45</v>
      </c>
      <c r="C326" s="14" t="s">
        <v>60</v>
      </c>
      <c r="D326" s="14" t="s">
        <v>25</v>
      </c>
      <c r="E326" s="15">
        <f>IF(D326="?OLD","!!!","")</f>
        <v/>
      </c>
      <c r="F326" s="16" t="str">
        <f>IF(OR(E326="",E326="!!!"),"",IF(NOT(ISNA(VLOOKUP(E326,E$1:E325,1,FALSE()))),"OLD",IF(AND(E326&lt;&gt;"",E326&lt;&gt;"!!!"),"NEW","")))</f>
        <v> </v>
      </c>
      <c r="G326" s="17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18" t="str">
        <f>IF(J326&lt;&gt;1,"",IF(I326="SBJ","CB","?"))</f>
        <v> </v>
      </c>
      <c r="I326" s="19" t="str">
        <f>IF(OR(E326="",E326="!!!",F326="NEW"),"",INDEX(B325:B$2,-1+SUMPRODUCT(MAX(ROW(E325:E$2)*(E326=E325:E$2)))))</f>
        <v> </v>
      </c>
      <c r="J326" s="19" t="str">
        <f>IF(OR(E326="",E326="!!!",F326="NEW"),"",COUNTBLANK(OFFSET(A$1,,,SUMPRODUCT(MAX(ROW(E$2:E326)*(E326=E$2:E326)))))-COUNTBLANK(OFFSET(A$1,,,SUMPRODUCT(MAX(ROW(E$1:E325)*(E2=E$1:E325))))))</f>
        <v> </v>
      </c>
      <c r="K326" s="19" t="str">
        <f>IF(OR(E326="",E326="!!!",F326="NEW"),"",INDEX(J$1:J325,SUMPRODUCT(MAX(ROW(E$1:E325)*(E326=E$1:E325)))))</f>
        <v> </v>
      </c>
      <c r="L326" s="20"/>
    </row>
    <row r="327" spans="1:12">
      <c r="A327" s="13" t="s">
        <v>224</v>
      </c>
      <c r="E327" s="15">
        <f>IF(D327="?OLD","!!!","")</f>
        <v/>
      </c>
      <c r="F327" s="16" t="str">
        <f>IF(OR(E327="",E327="!!!"),"",IF(NOT(ISNA(VLOOKUP(E327,E$1:E326,1,FALSE()))),"OLD",IF(AND(E327&lt;&gt;"",E327&lt;&gt;"!!!"),"NEW","")))</f>
        <v> </v>
      </c>
      <c r="G327" s="17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18" t="str">
        <f>IF(J327&lt;&gt;1,"",IF(I327="SBJ","CB","?"))</f>
        <v> </v>
      </c>
      <c r="I327" s="19" t="str">
        <f>IF(OR(E327="",E327="!!!",F327="NEW"),"",INDEX(B326:B$2,-1+SUMPRODUCT(MAX(ROW(E326:E$2)*(E327=E326:E$2)))))</f>
        <v> </v>
      </c>
      <c r="J327" s="19" t="str">
        <f>IF(OR(E327="",E327="!!!",F327="NEW"),"",COUNTBLANK(OFFSET(A$1,,,SUMPRODUCT(MAX(ROW(E$2:E327)*(E327=E$2:E327)))))-COUNTBLANK(OFFSET(A$1,,,SUMPRODUCT(MAX(ROW(E$1:E326)*(E2=E$1:E326))))))</f>
        <v> </v>
      </c>
      <c r="K327" s="19" t="str">
        <f>IF(OR(E327="",E327="!!!",F327="NEW"),"",INDEX(J$1:J326,SUMPRODUCT(MAX(ROW(E$1:E326)*(E327=E$1:E326)))))</f>
        <v> </v>
      </c>
      <c r="L327" s="20"/>
    </row>
    <row r="328" spans="1:12">
      <c r="A328" s="13" t="s">
        <v>56</v>
      </c>
      <c r="E328" s="15">
        <f>IF(D328="?OLD","!!!","")</f>
        <v/>
      </c>
      <c r="F328" s="16" t="str">
        <f>IF(OR(E328="",E328="!!!"),"",IF(NOT(ISNA(VLOOKUP(E328,E$1:E327,1,FALSE()))),"OLD",IF(AND(E328&lt;&gt;"",E328&lt;&gt;"!!!"),"NEW","")))</f>
        <v> </v>
      </c>
      <c r="G328" s="17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18" t="str">
        <f>IF(J328&lt;&gt;1,"",IF(I328="SBJ","CB","?"))</f>
        <v> </v>
      </c>
      <c r="I328" s="19" t="str">
        <f>IF(OR(E328="",E328="!!!",F328="NEW"),"",INDEX(B327:B$2,-1+SUMPRODUCT(MAX(ROW(E327:E$2)*(E328=E327:E$2)))))</f>
        <v> </v>
      </c>
      <c r="J328" s="19" t="str">
        <f>IF(OR(E328="",E328="!!!",F328="NEW"),"",COUNTBLANK(OFFSET(A$1,,,SUMPRODUCT(MAX(ROW(E$2:E328)*(E328=E$2:E328)))))-COUNTBLANK(OFFSET(A$1,,,SUMPRODUCT(MAX(ROW(E$1:E327)*(E2=E$1:E327))))))</f>
        <v> </v>
      </c>
      <c r="K328" s="19" t="str">
        <f>IF(OR(E328="",E328="!!!",F328="NEW"),"",INDEX(J$1:J327,SUMPRODUCT(MAX(ROW(E$1:E327)*(E328=E$1:E327)))))</f>
        <v> </v>
      </c>
      <c r="L328" s="20"/>
    </row>
    <row r="329" spans="1:12">
      <c r="A329" s="13" t="s">
        <v>225</v>
      </c>
      <c r="E329" s="15">
        <f>IF(D329="?OLD","!!!","")</f>
        <v/>
      </c>
      <c r="F329" s="16" t="str">
        <f>IF(OR(E329="",E329="!!!"),"",IF(NOT(ISNA(VLOOKUP(E329,E$1:E328,1,FALSE()))),"OLD",IF(AND(E329&lt;&gt;"",E329&lt;&gt;"!!!"),"NEW","")))</f>
        <v> </v>
      </c>
      <c r="G329" s="17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18" t="str">
        <f>IF(J329&lt;&gt;1,"",IF(I329="SBJ","CB","?"))</f>
        <v> </v>
      </c>
      <c r="I329" s="19" t="str">
        <f>IF(OR(E329="",E329="!!!",F329="NEW"),"",INDEX(B328:B$2,-1+SUMPRODUCT(MAX(ROW(E328:E$2)*(E329=E328:E$2)))))</f>
        <v> </v>
      </c>
      <c r="J329" s="19" t="str">
        <f>IF(OR(E329="",E329="!!!",F329="NEW"),"",COUNTBLANK(OFFSET(A$1,,,SUMPRODUCT(MAX(ROW(E$2:E329)*(E329=E$2:E329)))))-COUNTBLANK(OFFSET(A$1,,,SUMPRODUCT(MAX(ROW(E$1:E328)*(E2=E$1:E328))))))</f>
        <v> </v>
      </c>
      <c r="K329" s="19" t="str">
        <f>IF(OR(E329="",E329="!!!",F329="NEW"),"",INDEX(J$1:J328,SUMPRODUCT(MAX(ROW(E$1:E328)*(E329=E$1:E328)))))</f>
        <v> </v>
      </c>
      <c r="L329" s="20"/>
    </row>
    <row r="330" spans="1:12">
      <c r="A330" s="13" t="s">
        <v>226</v>
      </c>
      <c r="E330" s="15">
        <f>IF(D330="?OLD","!!!","")</f>
        <v/>
      </c>
      <c r="F330" s="16" t="str">
        <f>IF(OR(E330="",E330="!!!"),"",IF(NOT(ISNA(VLOOKUP(E330,E$1:E329,1,FALSE()))),"OLD",IF(AND(E330&lt;&gt;"",E330&lt;&gt;"!!!"),"NEW","")))</f>
        <v> </v>
      </c>
      <c r="G330" s="17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18" t="str">
        <f>IF(J330&lt;&gt;1,"",IF(I330="SBJ","CB","?"))</f>
        <v> </v>
      </c>
      <c r="I330" s="19" t="str">
        <f>IF(OR(E330="",E330="!!!",F330="NEW"),"",INDEX(B329:B$2,-1+SUMPRODUCT(MAX(ROW(E329:E$2)*(E330=E329:E$2)))))</f>
        <v> </v>
      </c>
      <c r="J330" s="19" t="str">
        <f>IF(OR(E330="",E330="!!!",F330="NEW"),"",COUNTBLANK(OFFSET(A$1,,,SUMPRODUCT(MAX(ROW(E$2:E330)*(E330=E$2:E330)))))-COUNTBLANK(OFFSET(A$1,,,SUMPRODUCT(MAX(ROW(E$1:E329)*(E2=E$1:E329))))))</f>
        <v> </v>
      </c>
      <c r="K330" s="19" t="str">
        <f>IF(OR(E330="",E330="!!!",F330="NEW"),"",INDEX(J$1:J329,SUMPRODUCT(MAX(ROW(E$1:E329)*(E330=E$1:E329)))))</f>
        <v> </v>
      </c>
      <c r="L330" s="20"/>
    </row>
    <row r="331" spans="1:12">
      <c r="A331" s="13" t="s">
        <v>227</v>
      </c>
      <c r="B331" s="14" t="s">
        <v>23</v>
      </c>
      <c r="C331" s="14" t="s">
        <v>84</v>
      </c>
      <c r="D331" s="14" t="s">
        <v>25</v>
      </c>
      <c r="E331" s="15">
        <f>IF(D331="?OLD","!!!","")</f>
        <v/>
      </c>
      <c r="F331" s="16" t="str">
        <f>IF(OR(E331="",E331="!!!"),"",IF(NOT(ISNA(VLOOKUP(E331,E$1:E330,1,FALSE()))),"OLD",IF(AND(E331&lt;&gt;"",E331&lt;&gt;"!!!"),"NEW","")))</f>
        <v> </v>
      </c>
      <c r="G331" s="17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18" t="str">
        <f>IF(J331&lt;&gt;1,"",IF(I331="SBJ","CB","?"))</f>
        <v> </v>
      </c>
      <c r="I331" s="19" t="str">
        <f>IF(OR(E331="",E331="!!!",F331="NEW"),"",INDEX(B330:B$2,-1+SUMPRODUCT(MAX(ROW(E330:E$2)*(E331=E330:E$2)))))</f>
        <v> </v>
      </c>
      <c r="J331" s="19" t="str">
        <f>IF(OR(E331="",E331="!!!",F331="NEW"),"",COUNTBLANK(OFFSET(A$1,,,SUMPRODUCT(MAX(ROW(E$2:E331)*(E331=E$2:E331)))))-COUNTBLANK(OFFSET(A$1,,,SUMPRODUCT(MAX(ROW(E$1:E330)*(E2=E$1:E330))))))</f>
        <v> </v>
      </c>
      <c r="K331" s="19" t="str">
        <f>IF(OR(E331="",E331="!!!",F331="NEW"),"",INDEX(J$1:J330,SUMPRODUCT(MAX(ROW(E$1:E330)*(E331=E$1:E330)))))</f>
        <v> </v>
      </c>
      <c r="L331" s="20"/>
    </row>
    <row r="332" spans="1:12">
      <c r="A332" s="13" t="s">
        <v>56</v>
      </c>
      <c r="E332" s="15">
        <f>IF(D332="?OLD","!!!","")</f>
        <v/>
      </c>
      <c r="F332" s="16" t="str">
        <f>IF(OR(E332="",E332="!!!"),"",IF(NOT(ISNA(VLOOKUP(E332,E$1:E331,1,FALSE()))),"OLD",IF(AND(E332&lt;&gt;"",E332&lt;&gt;"!!!"),"NEW","")))</f>
        <v> </v>
      </c>
      <c r="G332" s="17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18" t="str">
        <f>IF(J332&lt;&gt;1,"",IF(I332="SBJ","CB","?"))</f>
        <v> </v>
      </c>
      <c r="I332" s="19" t="str">
        <f>IF(OR(E332="",E332="!!!",F332="NEW"),"",INDEX(B331:B$2,-1+SUMPRODUCT(MAX(ROW(E331:E$2)*(E332=E331:E$2)))))</f>
        <v> </v>
      </c>
      <c r="J332" s="19" t="str">
        <f>IF(OR(E332="",E332="!!!",F332="NEW"),"",COUNTBLANK(OFFSET(A$1,,,SUMPRODUCT(MAX(ROW(E$2:E332)*(E332=E$2:E332)))))-COUNTBLANK(OFFSET(A$1,,,SUMPRODUCT(MAX(ROW(E$1:E331)*(E2=E$1:E331))))))</f>
        <v> </v>
      </c>
      <c r="K332" s="19" t="str">
        <f>IF(OR(E332="",E332="!!!",F332="NEW"),"",INDEX(J$1:J331,SUMPRODUCT(MAX(ROW(E$1:E331)*(E332=E$1:E331)))))</f>
        <v> </v>
      </c>
      <c r="L332" s="20"/>
    </row>
    <row r="333" spans="1:12">
      <c r="A333" s="13" t="s">
        <v>61</v>
      </c>
      <c r="B333" s="14" t="s">
        <v>165</v>
      </c>
      <c r="E333" s="15">
        <f>IF(D333="?OLD","!!!","")</f>
        <v/>
      </c>
      <c r="F333" s="16" t="str">
        <f>IF(OR(E333="",E333="!!!"),"",IF(NOT(ISNA(VLOOKUP(E333,E$1:E332,1,FALSE()))),"OLD",IF(AND(E333&lt;&gt;"",E333&lt;&gt;"!!!"),"NEW","")))</f>
        <v> </v>
      </c>
      <c r="G333" s="17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18" t="str">
        <f>IF(J333&lt;&gt;1,"",IF(I333="SBJ","CB","?"))</f>
        <v> </v>
      </c>
      <c r="I333" s="19" t="str">
        <f>IF(OR(E333="",E333="!!!",F333="NEW"),"",INDEX(B332:B$2,-1+SUMPRODUCT(MAX(ROW(E332:E$2)*(E333=E332:E$2)))))</f>
        <v> </v>
      </c>
      <c r="J333" s="19" t="str">
        <f>IF(OR(E333="",E333="!!!",F333="NEW"),"",COUNTBLANK(OFFSET(A$1,,,SUMPRODUCT(MAX(ROW(E$2:E333)*(E333=E$2:E333)))))-COUNTBLANK(OFFSET(A$1,,,SUMPRODUCT(MAX(ROW(E$1:E332)*(E2=E$1:E332))))))</f>
        <v> </v>
      </c>
      <c r="K333" s="19" t="str">
        <f>IF(OR(E333="",E333="!!!",F333="NEW"),"",INDEX(J$1:J332,SUMPRODUCT(MAX(ROW(E$1:E332)*(E333=E$1:E332)))))</f>
        <v> </v>
      </c>
      <c r="L333" s="20"/>
    </row>
    <row r="334" spans="1:12">
      <c r="A334" s="13" t="s">
        <v>62</v>
      </c>
      <c r="E334" s="15">
        <f>IF(D334="?OLD","!!!","")</f>
        <v/>
      </c>
      <c r="F334" s="16" t="str">
        <f>IF(OR(E334="",E334="!!!"),"",IF(NOT(ISNA(VLOOKUP(E334,E$1:E333,1,FALSE()))),"OLD",IF(AND(E334&lt;&gt;"",E334&lt;&gt;"!!!"),"NEW","")))</f>
        <v> </v>
      </c>
      <c r="G334" s="17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18" t="str">
        <f>IF(J334&lt;&gt;1,"",IF(I334="SBJ","CB","?"))</f>
        <v> </v>
      </c>
      <c r="I334" s="19" t="str">
        <f>IF(OR(E334="",E334="!!!",F334="NEW"),"",INDEX(B333:B$2,-1+SUMPRODUCT(MAX(ROW(E333:E$2)*(E334=E333:E$2)))))</f>
        <v> </v>
      </c>
      <c r="J334" s="19" t="str">
        <f>IF(OR(E334="",E334="!!!",F334="NEW"),"",COUNTBLANK(OFFSET(A$1,,,SUMPRODUCT(MAX(ROW(E$2:E334)*(E334=E$2:E334)))))-COUNTBLANK(OFFSET(A$1,,,SUMPRODUCT(MAX(ROW(E$1:E333)*(E2=E$1:E333))))))</f>
        <v> </v>
      </c>
      <c r="K334" s="19" t="str">
        <f>IF(OR(E334="",E334="!!!",F334="NEW"),"",INDEX(J$1:J333,SUMPRODUCT(MAX(ROW(E$1:E333)*(E334=E$1:E333)))))</f>
        <v> </v>
      </c>
      <c r="L334" s="20"/>
    </row>
    <row r="335" spans="1:12">
      <c r="A335" s="13" t="s">
        <v>228</v>
      </c>
      <c r="E335" s="15">
        <f>IF(D335="?OLD","!!!","")</f>
        <v/>
      </c>
      <c r="F335" s="16" t="str">
        <f>IF(OR(E335="",E335="!!!"),"",IF(NOT(ISNA(VLOOKUP(E335,E$1:E334,1,FALSE()))),"OLD",IF(AND(E335&lt;&gt;"",E335&lt;&gt;"!!!"),"NEW","")))</f>
        <v> </v>
      </c>
      <c r="G335" s="17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18" t="str">
        <f>IF(J335&lt;&gt;1,"",IF(I335="SBJ","CB","?"))</f>
        <v> </v>
      </c>
      <c r="I335" s="19" t="str">
        <f>IF(OR(E335="",E335="!!!",F335="NEW"),"",INDEX(B334:B$2,-1+SUMPRODUCT(MAX(ROW(E334:E$2)*(E335=E334:E$2)))))</f>
        <v> </v>
      </c>
      <c r="J335" s="19" t="str">
        <f>IF(OR(E335="",E335="!!!",F335="NEW"),"",COUNTBLANK(OFFSET(A$1,,,SUMPRODUCT(MAX(ROW(E$2:E335)*(E335=E$2:E335)))))-COUNTBLANK(OFFSET(A$1,,,SUMPRODUCT(MAX(ROW(E$1:E334)*(E2=E$1:E334))))))</f>
        <v> </v>
      </c>
      <c r="K335" s="19" t="str">
        <f>IF(OR(E335="",E335="!!!",F335="NEW"),"",INDEX(J$1:J334,SUMPRODUCT(MAX(ROW(E$1:E334)*(E335=E$1:E334)))))</f>
        <v> </v>
      </c>
      <c r="L335" s="20"/>
    </row>
    <row r="336" spans="1:12">
      <c r="A336" s="13" t="s">
        <v>79</v>
      </c>
      <c r="E336" s="15">
        <f>IF(D336="?OLD","!!!","")</f>
        <v/>
      </c>
      <c r="F336" s="16" t="str">
        <f>IF(OR(E336="",E336="!!!"),"",IF(NOT(ISNA(VLOOKUP(E336,E$1:E335,1,FALSE()))),"OLD",IF(AND(E336&lt;&gt;"",E336&lt;&gt;"!!!"),"NEW","")))</f>
        <v> </v>
      </c>
      <c r="G336" s="17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18" t="str">
        <f>IF(J336&lt;&gt;1,"",IF(I336="SBJ","CB","?"))</f>
        <v> </v>
      </c>
      <c r="I336" s="19" t="str">
        <f>IF(OR(E336="",E336="!!!",F336="NEW"),"",INDEX(B335:B$2,-1+SUMPRODUCT(MAX(ROW(E335:E$2)*(E336=E335:E$2)))))</f>
        <v> </v>
      </c>
      <c r="J336" s="19" t="str">
        <f>IF(OR(E336="",E336="!!!",F336="NEW"),"",COUNTBLANK(OFFSET(A$1,,,SUMPRODUCT(MAX(ROW(E$2:E336)*(E336=E$2:E336)))))-COUNTBLANK(OFFSET(A$1,,,SUMPRODUCT(MAX(ROW(E$1:E335)*(E2=E$1:E335))))))</f>
        <v> </v>
      </c>
      <c r="K336" s="19" t="str">
        <f>IF(OR(E336="",E336="!!!",F336="NEW"),"",INDEX(J$1:J335,SUMPRODUCT(MAX(ROW(E$1:E335)*(E336=E$1:E335)))))</f>
        <v> </v>
      </c>
      <c r="L336" s="20"/>
    </row>
    <row r="337" spans="1:12">
      <c r="A337" s="13" t="s">
        <v>217</v>
      </c>
      <c r="E337" s="15">
        <f>IF(D337="?OLD","!!!","")</f>
        <v/>
      </c>
      <c r="F337" s="16" t="str">
        <f>IF(OR(E337="",E337="!!!"),"",IF(NOT(ISNA(VLOOKUP(E337,E$1:E336,1,FALSE()))),"OLD",IF(AND(E337&lt;&gt;"",E337&lt;&gt;"!!!"),"NEW","")))</f>
        <v> </v>
      </c>
      <c r="G337" s="17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18" t="str">
        <f>IF(J337&lt;&gt;1,"",IF(I337="SBJ","CB","?"))</f>
        <v> </v>
      </c>
      <c r="I337" s="19" t="str">
        <f>IF(OR(E337="",E337="!!!",F337="NEW"),"",INDEX(B336:B$2,-1+SUMPRODUCT(MAX(ROW(E336:E$2)*(E337=E336:E$2)))))</f>
        <v> </v>
      </c>
      <c r="J337" s="19" t="str">
        <f>IF(OR(E337="",E337="!!!",F337="NEW"),"",COUNTBLANK(OFFSET(A$1,,,SUMPRODUCT(MAX(ROW(E$2:E337)*(E337=E$2:E337)))))-COUNTBLANK(OFFSET(A$1,,,SUMPRODUCT(MAX(ROW(E$1:E336)*(E2=E$1:E336))))))</f>
        <v> </v>
      </c>
      <c r="K337" s="19" t="str">
        <f>IF(OR(E337="",E337="!!!",F337="NEW"),"",INDEX(J$1:J336,SUMPRODUCT(MAX(ROW(E$1:E336)*(E337=E$1:E336)))))</f>
        <v> </v>
      </c>
      <c r="L337" s="20"/>
    </row>
    <row r="338" spans="1:12">
      <c r="A338" s="13" t="s">
        <v>56</v>
      </c>
      <c r="E338" s="15">
        <f>IF(D338="?OLD","!!!","")</f>
        <v/>
      </c>
      <c r="F338" s="16" t="str">
        <f>IF(OR(E338="",E338="!!!"),"",IF(NOT(ISNA(VLOOKUP(E338,E$1:E337,1,FALSE()))),"OLD",IF(AND(E338&lt;&gt;"",E338&lt;&gt;"!!!"),"NEW","")))</f>
        <v> </v>
      </c>
      <c r="G338" s="17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18" t="str">
        <f>IF(J338&lt;&gt;1,"",IF(I338="SBJ","CB","?"))</f>
        <v> </v>
      </c>
      <c r="I338" s="19" t="str">
        <f>IF(OR(E338="",E338="!!!",F338="NEW"),"",INDEX(B337:B$2,-1+SUMPRODUCT(MAX(ROW(E337:E$2)*(E338=E337:E$2)))))</f>
        <v> </v>
      </c>
      <c r="J338" s="19" t="str">
        <f>IF(OR(E338="",E338="!!!",F338="NEW"),"",COUNTBLANK(OFFSET(A$1,,,SUMPRODUCT(MAX(ROW(E$2:E338)*(E338=E$2:E338)))))-COUNTBLANK(OFFSET(A$1,,,SUMPRODUCT(MAX(ROW(E$1:E337)*(E2=E$1:E337))))))</f>
        <v> </v>
      </c>
      <c r="K338" s="19" t="str">
        <f>IF(OR(E338="",E338="!!!",F338="NEW"),"",INDEX(J$1:J337,SUMPRODUCT(MAX(ROW(E$1:E337)*(E338=E$1:E337)))))</f>
        <v> </v>
      </c>
      <c r="L338" s="20"/>
    </row>
    <row r="339" spans="1:12">
      <c r="A339" s="13" t="s">
        <v>52</v>
      </c>
      <c r="E339" s="15">
        <f>IF(D339="?OLD","!!!","")</f>
        <v/>
      </c>
      <c r="F339" s="16" t="str">
        <f>IF(OR(E339="",E339="!!!"),"",IF(NOT(ISNA(VLOOKUP(E339,E$1:E338,1,FALSE()))),"OLD",IF(AND(E339&lt;&gt;"",E339&lt;&gt;"!!!"),"NEW","")))</f>
        <v> </v>
      </c>
      <c r="G339" s="17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18" t="str">
        <f>IF(J339&lt;&gt;1,"",IF(I339="SBJ","CB","?"))</f>
        <v> </v>
      </c>
      <c r="I339" s="19" t="str">
        <f>IF(OR(E339="",E339="!!!",F339="NEW"),"",INDEX(B338:B$2,-1+SUMPRODUCT(MAX(ROW(E338:E$2)*(E339=E338:E$2)))))</f>
        <v> </v>
      </c>
      <c r="J339" s="19" t="str">
        <f>IF(OR(E339="",E339="!!!",F339="NEW"),"",COUNTBLANK(OFFSET(A$1,,,SUMPRODUCT(MAX(ROW(E$2:E339)*(E339=E$2:E339)))))-COUNTBLANK(OFFSET(A$1,,,SUMPRODUCT(MAX(ROW(E$1:E338)*(E2=E$1:E338))))))</f>
        <v> </v>
      </c>
      <c r="K339" s="19" t="str">
        <f>IF(OR(E339="",E339="!!!",F339="NEW"),"",INDEX(J$1:J338,SUMPRODUCT(MAX(ROW(E$1:E338)*(E339=E$1:E338)))))</f>
        <v> </v>
      </c>
      <c r="L339" s="20"/>
    </row>
    <row r="340" spans="1:12">
      <c r="A340" s="13" t="s">
        <v>57</v>
      </c>
      <c r="E340" s="15">
        <f>IF(D340="?OLD","!!!","")</f>
        <v/>
      </c>
      <c r="F340" s="16" t="str">
        <f>IF(OR(E340="",E340="!!!"),"",IF(NOT(ISNA(VLOOKUP(E340,E$1:E339,1,FALSE()))),"OLD",IF(AND(E340&lt;&gt;"",E340&lt;&gt;"!!!"),"NEW","")))</f>
        <v> </v>
      </c>
      <c r="G340" s="17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18" t="str">
        <f>IF(J340&lt;&gt;1,"",IF(I340="SBJ","CB","?"))</f>
        <v> </v>
      </c>
      <c r="I340" s="19" t="str">
        <f>IF(OR(E340="",E340="!!!",F340="NEW"),"",INDEX(B339:B$2,-1+SUMPRODUCT(MAX(ROW(E339:E$2)*(E340=E339:E$2)))))</f>
        <v> </v>
      </c>
      <c r="J340" s="19" t="str">
        <f>IF(OR(E340="",E340="!!!",F340="NEW"),"",COUNTBLANK(OFFSET(A$1,,,SUMPRODUCT(MAX(ROW(E$2:E340)*(E340=E$2:E340)))))-COUNTBLANK(OFFSET(A$1,,,SUMPRODUCT(MAX(ROW(E$1:E339)*(E2=E$1:E339))))))</f>
        <v> </v>
      </c>
      <c r="K340" s="19" t="str">
        <f>IF(OR(E340="",E340="!!!",F340="NEW"),"",INDEX(J$1:J339,SUMPRODUCT(MAX(ROW(E$1:E339)*(E340=E$1:E339)))))</f>
        <v> </v>
      </c>
      <c r="L340" s="20"/>
    </row>
    <row r="341" spans="1:12">
      <c r="A341" s="13" t="s">
        <v>229</v>
      </c>
      <c r="E341" s="15">
        <f>IF(D341="?OLD","!!!","")</f>
        <v/>
      </c>
      <c r="F341" s="16" t="str">
        <f>IF(OR(E341="",E341="!!!"),"",IF(NOT(ISNA(VLOOKUP(E341,E$1:E340,1,FALSE()))),"OLD",IF(AND(E341&lt;&gt;"",E341&lt;&gt;"!!!"),"NEW","")))</f>
        <v> </v>
      </c>
      <c r="G341" s="17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18" t="str">
        <f>IF(J341&lt;&gt;1,"",IF(I341="SBJ","CB","?"))</f>
        <v> </v>
      </c>
      <c r="I341" s="19" t="str">
        <f>IF(OR(E341="",E341="!!!",F341="NEW"),"",INDEX(B340:B$2,-1+SUMPRODUCT(MAX(ROW(E340:E$2)*(E341=E340:E$2)))))</f>
        <v> </v>
      </c>
      <c r="J341" s="19" t="str">
        <f>IF(OR(E341="",E341="!!!",F341="NEW"),"",COUNTBLANK(OFFSET(A$1,,,SUMPRODUCT(MAX(ROW(E$2:E341)*(E341=E$2:E341)))))-COUNTBLANK(OFFSET(A$1,,,SUMPRODUCT(MAX(ROW(E$1:E340)*(E2=E$1:E340))))))</f>
        <v> </v>
      </c>
      <c r="K341" s="19" t="str">
        <f>IF(OR(E341="",E341="!!!",F341="NEW"),"",INDEX(J$1:J340,SUMPRODUCT(MAX(ROW(E$1:E340)*(E341=E$1:E340)))))</f>
        <v> </v>
      </c>
      <c r="L341" s="20"/>
    </row>
    <row r="342" spans="1:12">
      <c r="A342" s="13" t="s">
        <v>230</v>
      </c>
      <c r="B342" s="14" t="s">
        <v>33</v>
      </c>
      <c r="C342" s="14" t="s">
        <v>60</v>
      </c>
      <c r="D342" s="14" t="s">
        <v>25</v>
      </c>
      <c r="E342" s="15">
        <f>IF(D342="?OLD","!!!","")</f>
        <v/>
      </c>
      <c r="F342" s="16" t="str">
        <f>IF(OR(E342="",E342="!!!"),"",IF(NOT(ISNA(VLOOKUP(E342,E$1:E341,1,FALSE()))),"OLD",IF(AND(E342&lt;&gt;"",E342&lt;&gt;"!!!"),"NEW","")))</f>
        <v> </v>
      </c>
      <c r="G342" s="17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18" t="str">
        <f>IF(J342&lt;&gt;1,"",IF(I342="SBJ","CB","?"))</f>
        <v> </v>
      </c>
      <c r="I342" s="19" t="str">
        <f>IF(OR(E342="",E342="!!!",F342="NEW"),"",INDEX(B341:B$2,-1+SUMPRODUCT(MAX(ROW(E341:E$2)*(E342=E341:E$2)))))</f>
        <v> </v>
      </c>
      <c r="J342" s="19" t="str">
        <f>IF(OR(E342="",E342="!!!",F342="NEW"),"",COUNTBLANK(OFFSET(A$1,,,SUMPRODUCT(MAX(ROW(E$2:E342)*(E342=E$2:E342)))))-COUNTBLANK(OFFSET(A$1,,,SUMPRODUCT(MAX(ROW(E$1:E341)*(E2=E$1:E341))))))</f>
        <v> </v>
      </c>
      <c r="K342" s="19" t="str">
        <f>IF(OR(E342="",E342="!!!",F342="NEW"),"",INDEX(J$1:J341,SUMPRODUCT(MAX(ROW(E$1:E341)*(E342=E$1:E341)))))</f>
        <v> </v>
      </c>
      <c r="L342" s="20"/>
    </row>
    <row r="343" spans="1:12">
      <c r="A343" s="13" t="s">
        <v>56</v>
      </c>
      <c r="E343" s="15">
        <f>IF(D343="?OLD","!!!","")</f>
        <v/>
      </c>
      <c r="F343" s="16" t="str">
        <f>IF(OR(E343="",E343="!!!"),"",IF(NOT(ISNA(VLOOKUP(E343,E$1:E342,1,FALSE()))),"OLD",IF(AND(E343&lt;&gt;"",E343&lt;&gt;"!!!"),"NEW","")))</f>
        <v> </v>
      </c>
      <c r="G343" s="17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18" t="str">
        <f>IF(J343&lt;&gt;1,"",IF(I343="SBJ","CB","?"))</f>
        <v> </v>
      </c>
      <c r="I343" s="19" t="str">
        <f>IF(OR(E343="",E343="!!!",F343="NEW"),"",INDEX(B342:B$2,-1+SUMPRODUCT(MAX(ROW(E342:E$2)*(E343=E342:E$2)))))</f>
        <v> </v>
      </c>
      <c r="J343" s="19" t="str">
        <f>IF(OR(E343="",E343="!!!",F343="NEW"),"",COUNTBLANK(OFFSET(A$1,,,SUMPRODUCT(MAX(ROW(E$2:E343)*(E343=E$2:E343)))))-COUNTBLANK(OFFSET(A$1,,,SUMPRODUCT(MAX(ROW(E$1:E342)*(E2=E$1:E342))))))</f>
        <v> </v>
      </c>
      <c r="K343" s="19" t="str">
        <f>IF(OR(E343="",E343="!!!",F343="NEW"),"",INDEX(J$1:J342,SUMPRODUCT(MAX(ROW(E$1:E342)*(E343=E$1:E342)))))</f>
        <v> </v>
      </c>
      <c r="L343" s="20"/>
    </row>
    <row r="344" spans="1:12">
      <c r="A344" s="13" t="s">
        <v>102</v>
      </c>
      <c r="E344" s="15">
        <f>IF(D344="?OLD","!!!","")</f>
        <v/>
      </c>
      <c r="F344" s="16" t="str">
        <f>IF(OR(E344="",E344="!!!"),"",IF(NOT(ISNA(VLOOKUP(E344,E$1:E343,1,FALSE()))),"OLD",IF(AND(E344&lt;&gt;"",E344&lt;&gt;"!!!"),"NEW","")))</f>
        <v> </v>
      </c>
      <c r="G344" s="17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18" t="str">
        <f>IF(J344&lt;&gt;1,"",IF(I344="SBJ","CB","?"))</f>
        <v> </v>
      </c>
      <c r="I344" s="19" t="str">
        <f>IF(OR(E344="",E344="!!!",F344="NEW"),"",INDEX(B343:B$2,-1+SUMPRODUCT(MAX(ROW(E343:E$2)*(E344=E343:E$2)))))</f>
        <v> </v>
      </c>
      <c r="J344" s="19" t="str">
        <f>IF(OR(E344="",E344="!!!",F344="NEW"),"",COUNTBLANK(OFFSET(A$1,,,SUMPRODUCT(MAX(ROW(E$2:E344)*(E344=E$2:E344)))))-COUNTBLANK(OFFSET(A$1,,,SUMPRODUCT(MAX(ROW(E$1:E343)*(E2=E$1:E343))))))</f>
        <v> </v>
      </c>
      <c r="K344" s="19" t="str">
        <f>IF(OR(E344="",E344="!!!",F344="NEW"),"",INDEX(J$1:J343,SUMPRODUCT(MAX(ROW(E$1:E343)*(E344=E$1:E343)))))</f>
        <v> </v>
      </c>
      <c r="L344" s="20"/>
    </row>
    <row r="345" spans="1:12">
      <c r="A345" s="13" t="s">
        <v>95</v>
      </c>
      <c r="E345" s="15">
        <f>IF(D345="?OLD","!!!","")</f>
        <v/>
      </c>
      <c r="F345" s="16" t="str">
        <f>IF(OR(E345="",E345="!!!"),"",IF(NOT(ISNA(VLOOKUP(E345,E$1:E344,1,FALSE()))),"OLD",IF(AND(E345&lt;&gt;"",E345&lt;&gt;"!!!"),"NEW","")))</f>
        <v> </v>
      </c>
      <c r="G345" s="17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18" t="str">
        <f>IF(J345&lt;&gt;1,"",IF(I345="SBJ","CB","?"))</f>
        <v> </v>
      </c>
      <c r="I345" s="19" t="str">
        <f>IF(OR(E345="",E345="!!!",F345="NEW"),"",INDEX(B344:B$2,-1+SUMPRODUCT(MAX(ROW(E344:E$2)*(E345=E344:E$2)))))</f>
        <v> </v>
      </c>
      <c r="J345" s="19" t="str">
        <f>IF(OR(E345="",E345="!!!",F345="NEW"),"",COUNTBLANK(OFFSET(A$1,,,SUMPRODUCT(MAX(ROW(E$2:E345)*(E345=E$2:E345)))))-COUNTBLANK(OFFSET(A$1,,,SUMPRODUCT(MAX(ROW(E$1:E344)*(E2=E$1:E344))))))</f>
        <v> </v>
      </c>
      <c r="K345" s="19" t="str">
        <f>IF(OR(E345="",E345="!!!",F345="NEW"),"",INDEX(J$1:J344,SUMPRODUCT(MAX(ROW(E$1:E344)*(E345=E$1:E344)))))</f>
        <v> </v>
      </c>
      <c r="L345" s="20"/>
    </row>
    <row r="346" spans="1:12">
      <c r="A346" s="13" t="s">
        <v>231</v>
      </c>
      <c r="B346" s="14" t="s">
        <v>33</v>
      </c>
      <c r="C346" s="14" t="s">
        <v>39</v>
      </c>
      <c r="D346" s="14" t="s">
        <v>25</v>
      </c>
      <c r="E346" s="15">
        <f>IF(D346="?OLD","!!!","")</f>
        <v/>
      </c>
      <c r="F346" s="16" t="str">
        <f>IF(OR(E346="",E346="!!!"),"",IF(NOT(ISNA(VLOOKUP(E346,E$1:E345,1,FALSE()))),"OLD",IF(AND(E346&lt;&gt;"",E346&lt;&gt;"!!!"),"NEW","")))</f>
        <v> </v>
      </c>
      <c r="G346" s="17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18" t="str">
        <f>IF(J346&lt;&gt;1,"",IF(I346="SBJ","CB","?"))</f>
        <v> </v>
      </c>
      <c r="I346" s="19" t="str">
        <f>IF(OR(E346="",E346="!!!",F346="NEW"),"",INDEX(B345:B$2,-1+SUMPRODUCT(MAX(ROW(E345:E$2)*(E346=E345:E$2)))))</f>
        <v> </v>
      </c>
      <c r="J346" s="19" t="str">
        <f>IF(OR(E346="",E346="!!!",F346="NEW"),"",COUNTBLANK(OFFSET(A$1,,,SUMPRODUCT(MAX(ROW(E$2:E346)*(E346=E$2:E346)))))-COUNTBLANK(OFFSET(A$1,,,SUMPRODUCT(MAX(ROW(E$1:E345)*(E2=E$1:E345))))))</f>
        <v> </v>
      </c>
      <c r="K346" s="19" t="str">
        <f>IF(OR(E346="",E346="!!!",F346="NEW"),"",INDEX(J$1:J345,SUMPRODUCT(MAX(ROW(E$1:E345)*(E346=E$1:E345)))))</f>
        <v> </v>
      </c>
      <c r="L346" s="20"/>
    </row>
    <row r="347" spans="1:12">
      <c r="A347" s="13" t="s">
        <v>79</v>
      </c>
      <c r="E347" s="15">
        <f>IF(D347="?OLD","!!!","")</f>
        <v/>
      </c>
      <c r="F347" s="16" t="str">
        <f>IF(OR(E347="",E347="!!!"),"",IF(NOT(ISNA(VLOOKUP(E347,E$1:E346,1,FALSE()))),"OLD",IF(AND(E347&lt;&gt;"",E347&lt;&gt;"!!!"),"NEW","")))</f>
        <v> </v>
      </c>
      <c r="G347" s="17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18" t="str">
        <f>IF(J347&lt;&gt;1,"",IF(I347="SBJ","CB","?"))</f>
        <v> </v>
      </c>
      <c r="I347" s="19" t="str">
        <f>IF(OR(E347="",E347="!!!",F347="NEW"),"",INDEX(B346:B$2,-1+SUMPRODUCT(MAX(ROW(E346:E$2)*(E347=E346:E$2)))))</f>
        <v> </v>
      </c>
      <c r="J347" s="19" t="str">
        <f>IF(OR(E347="",E347="!!!",F347="NEW"),"",COUNTBLANK(OFFSET(A$1,,,SUMPRODUCT(MAX(ROW(E$2:E347)*(E347=E$2:E347)))))-COUNTBLANK(OFFSET(A$1,,,SUMPRODUCT(MAX(ROW(E$1:E346)*(E2=E$1:E346))))))</f>
        <v> </v>
      </c>
      <c r="K347" s="19" t="str">
        <f>IF(OR(E347="",E347="!!!",F347="NEW"),"",INDEX(J$1:J346,SUMPRODUCT(MAX(ROW(E$1:E346)*(E347=E$1:E346)))))</f>
        <v> </v>
      </c>
      <c r="L347" s="20"/>
    </row>
    <row r="348" spans="1:12">
      <c r="A348" s="13" t="s">
        <v>95</v>
      </c>
      <c r="E348" s="15">
        <f>IF(D348="?OLD","!!!","")</f>
        <v/>
      </c>
      <c r="F348" s="16" t="str">
        <f>IF(OR(E348="",E348="!!!"),"",IF(NOT(ISNA(VLOOKUP(E348,E$1:E347,1,FALSE()))),"OLD",IF(AND(E348&lt;&gt;"",E348&lt;&gt;"!!!"),"NEW","")))</f>
        <v> </v>
      </c>
      <c r="G348" s="17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18" t="str">
        <f>IF(J348&lt;&gt;1,"",IF(I348="SBJ","CB","?"))</f>
        <v> </v>
      </c>
      <c r="I348" s="19" t="str">
        <f>IF(OR(E348="",E348="!!!",F348="NEW"),"",INDEX(B347:B$2,-1+SUMPRODUCT(MAX(ROW(E347:E$2)*(E348=E347:E$2)))))</f>
        <v> </v>
      </c>
      <c r="J348" s="19" t="str">
        <f>IF(OR(E348="",E348="!!!",F348="NEW"),"",COUNTBLANK(OFFSET(A$1,,,SUMPRODUCT(MAX(ROW(E$2:E348)*(E348=E$2:E348)))))-COUNTBLANK(OFFSET(A$1,,,SUMPRODUCT(MAX(ROW(E$1:E347)*(E2=E$1:E347))))))</f>
        <v> </v>
      </c>
      <c r="K348" s="19" t="str">
        <f>IF(OR(E348="",E348="!!!",F348="NEW"),"",INDEX(J$1:J347,SUMPRODUCT(MAX(ROW(E$1:E347)*(E348=E$1:E347)))))</f>
        <v> </v>
      </c>
      <c r="L348" s="20"/>
    </row>
    <row r="349" spans="1:12">
      <c r="A349" s="13" t="s">
        <v>54</v>
      </c>
      <c r="B349" s="14" t="s">
        <v>63</v>
      </c>
      <c r="C349" s="14" t="s">
        <v>60</v>
      </c>
      <c r="D349" s="14" t="s">
        <v>25</v>
      </c>
      <c r="E349" s="15">
        <f>IF(D349="?OLD","!!!","")</f>
        <v/>
      </c>
      <c r="F349" s="16" t="str">
        <f>IF(OR(E349="",E349="!!!"),"",IF(NOT(ISNA(VLOOKUP(E349,E$1:E348,1,FALSE()))),"OLD",IF(AND(E349&lt;&gt;"",E349&lt;&gt;"!!!"),"NEW","")))</f>
        <v> </v>
      </c>
      <c r="G349" s="17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18" t="str">
        <f>IF(J349&lt;&gt;1,"",IF(I349="SBJ","CB","?"))</f>
        <v> </v>
      </c>
      <c r="I349" s="19" t="str">
        <f>IF(OR(E349="",E349="!!!",F349="NEW"),"",INDEX(B348:B$2,-1+SUMPRODUCT(MAX(ROW(E348:E$2)*(E349=E348:E$2)))))</f>
        <v> </v>
      </c>
      <c r="J349" s="19" t="str">
        <f>IF(OR(E349="",E349="!!!",F349="NEW"),"",COUNTBLANK(OFFSET(A$1,,,SUMPRODUCT(MAX(ROW(E$2:E349)*(E349=E$2:E349)))))-COUNTBLANK(OFFSET(A$1,,,SUMPRODUCT(MAX(ROW(E$1:E348)*(E2=E$1:E348))))))</f>
        <v> </v>
      </c>
      <c r="K349" s="19" t="str">
        <f>IF(OR(E349="",E349="!!!",F349="NEW"),"",INDEX(J$1:J348,SUMPRODUCT(MAX(ROW(E$1:E348)*(E349=E$1:E348)))))</f>
        <v> </v>
      </c>
      <c r="L349" s="20"/>
    </row>
    <row r="350" spans="1:12">
      <c r="A350" s="13" t="s">
        <v>68</v>
      </c>
      <c r="E350" s="15">
        <f>IF(D350="?OLD","!!!","")</f>
        <v/>
      </c>
      <c r="F350" s="16" t="str">
        <f>IF(OR(E350="",E350="!!!"),"",IF(NOT(ISNA(VLOOKUP(E350,E$1:E349,1,FALSE()))),"OLD",IF(AND(E350&lt;&gt;"",E350&lt;&gt;"!!!"),"NEW","")))</f>
        <v> </v>
      </c>
      <c r="G350" s="17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18" t="str">
        <f>IF(J350&lt;&gt;1,"",IF(I350="SBJ","CB","?"))</f>
        <v> </v>
      </c>
      <c r="I350" s="19" t="str">
        <f>IF(OR(E350="",E350="!!!",F350="NEW"),"",INDEX(B349:B$2,-1+SUMPRODUCT(MAX(ROW(E349:E$2)*(E350=E349:E$2)))))</f>
        <v> </v>
      </c>
      <c r="J350" s="19" t="str">
        <f>IF(OR(E350="",E350="!!!",F350="NEW"),"",COUNTBLANK(OFFSET(A$1,,,SUMPRODUCT(MAX(ROW(E$2:E350)*(E350=E$2:E350)))))-COUNTBLANK(OFFSET(A$1,,,SUMPRODUCT(MAX(ROW(E$1:E349)*(E2=E$1:E349))))))</f>
        <v> </v>
      </c>
      <c r="K350" s="19" t="str">
        <f>IF(OR(E350="",E350="!!!",F350="NEW"),"",INDEX(J$1:J349,SUMPRODUCT(MAX(ROW(E$1:E349)*(E350=E$1:E349)))))</f>
        <v> </v>
      </c>
      <c r="L350" s="20"/>
    </row>
    <row r="351" spans="1:12">
      <c r="A351" s="13" t="s">
        <v>119</v>
      </c>
      <c r="E351" s="15">
        <f>IF(D351="?OLD","!!!","")</f>
        <v/>
      </c>
      <c r="F351" s="16" t="str">
        <f>IF(OR(E351="",E351="!!!"),"",IF(NOT(ISNA(VLOOKUP(E351,E$1:E350,1,FALSE()))),"OLD",IF(AND(E351&lt;&gt;"",E351&lt;&gt;"!!!"),"NEW","")))</f>
        <v> </v>
      </c>
      <c r="G351" s="17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18" t="str">
        <f>IF(J351&lt;&gt;1,"",IF(I351="SBJ","CB","?"))</f>
        <v> </v>
      </c>
      <c r="I351" s="19" t="str">
        <f>IF(OR(E351="",E351="!!!",F351="NEW"),"",INDEX(B350:B$2,-1+SUMPRODUCT(MAX(ROW(E350:E$2)*(E351=E350:E$2)))))</f>
        <v> </v>
      </c>
      <c r="J351" s="19" t="str">
        <f>IF(OR(E351="",E351="!!!",F351="NEW"),"",COUNTBLANK(OFFSET(A$1,,,SUMPRODUCT(MAX(ROW(E$2:E351)*(E351=E$2:E351)))))-COUNTBLANK(OFFSET(A$1,,,SUMPRODUCT(MAX(ROW(E$1:E350)*(E2=E$1:E350))))))</f>
        <v> </v>
      </c>
      <c r="K351" s="19" t="str">
        <f>IF(OR(E351="",E351="!!!",F351="NEW"),"",INDEX(J$1:J350,SUMPRODUCT(MAX(ROW(E$1:E350)*(E351=E$1:E350)))))</f>
        <v> </v>
      </c>
      <c r="L351" s="20"/>
    </row>
    <row r="352" spans="1:12">
      <c r="A352" s="13"/>
    </row>
    <row r="353" spans="1:12">
      <c r="A353" s="13" t="s">
        <v>117</v>
      </c>
      <c r="E353" s="15">
        <f>IF(D353="?OLD","!!!","")</f>
        <v/>
      </c>
      <c r="F353" s="16" t="str">
        <f>IF(OR(E353="",E353="!!!"),"",IF(NOT(ISNA(VLOOKUP(E353,E$1:E352,1,FALSE()))),"OLD",IF(AND(E353&lt;&gt;"",E353&lt;&gt;"!!!"),"NEW","")))</f>
        <v> </v>
      </c>
      <c r="G353" s="17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18" t="str">
        <f>IF(J353&lt;&gt;1,"",IF(I353="SBJ","CB","?"))</f>
        <v> </v>
      </c>
      <c r="I353" s="19" t="str">
        <f>IF(OR(E353="",E353="!!!",F353="NEW"),"",INDEX(B352:B$2,-1+SUMPRODUCT(MAX(ROW(E352:E$2)*(E353=E352:E$2)))))</f>
        <v> </v>
      </c>
      <c r="J353" s="19" t="str">
        <f>IF(OR(E353="",E353="!!!",F353="NEW"),"",COUNTBLANK(OFFSET(A$1,,,SUMPRODUCT(MAX(ROW(E$2:E353)*(E353=E$2:E353)))))-COUNTBLANK(OFFSET(A$1,,,SUMPRODUCT(MAX(ROW(E$1:E352)*(E2=E$1:E352))))))</f>
        <v> </v>
      </c>
      <c r="K353" s="19" t="str">
        <f>IF(OR(E353="",E353="!!!",F353="NEW"),"",INDEX(J$1:J352,SUMPRODUCT(MAX(ROW(E$1:E352)*(E353=E$1:E352)))))</f>
        <v> </v>
      </c>
      <c r="L353" s="20"/>
    </row>
    <row r="354" spans="1:12">
      <c r="A354" s="13" t="s">
        <v>232</v>
      </c>
    </row>
    <row r="355" spans="1:12">
      <c r="A355" s="13" t="s">
        <v>119</v>
      </c>
      <c r="E355" s="15">
        <f>IF(D355="?OLD","!!!","")</f>
        <v/>
      </c>
      <c r="F355" s="16" t="str">
        <f>IF(OR(E355="",E355="!!!"),"",IF(NOT(ISNA(VLOOKUP(E355,E$1:E354,1,FALSE()))),"OLD",IF(AND(E355&lt;&gt;"",E355&lt;&gt;"!!!"),"NEW","")))</f>
        <v> </v>
      </c>
      <c r="G355" s="17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18" t="str">
        <f>IF(J355&lt;&gt;1,"",IF(I355="SBJ","CB","?"))</f>
        <v> </v>
      </c>
      <c r="I355" s="19" t="str">
        <f>IF(OR(E355="",E355="!!!",F355="NEW"),"",INDEX(B354:B$2,-1+SUMPRODUCT(MAX(ROW(E354:E$2)*(E355=E354:E$2)))))</f>
        <v> </v>
      </c>
      <c r="J355" s="19" t="str">
        <f>IF(OR(E355="",E355="!!!",F355="NEW"),"",COUNTBLANK(OFFSET(A$1,,,SUMPRODUCT(MAX(ROW(E$2:E355)*(E355=E$2:E355)))))-COUNTBLANK(OFFSET(A$1,,,SUMPRODUCT(MAX(ROW(E$1:E354)*(E2=E$1:E354))))))</f>
        <v> </v>
      </c>
      <c r="K355" s="19" t="str">
        <f>IF(OR(E355="",E355="!!!",F355="NEW"),"",INDEX(J$1:J354,SUMPRODUCT(MAX(ROW(E$1:E354)*(E355=E$1:E354)))))</f>
        <v> </v>
      </c>
      <c r="L355" s="20"/>
    </row>
    <row r="356" spans="1:12">
      <c r="A356" s="13" t="s">
        <v>233</v>
      </c>
      <c r="E356" s="15">
        <f>IF(D356="?OLD","!!!","")</f>
        <v/>
      </c>
      <c r="F356" s="16" t="str">
        <f>IF(OR(E356="",E356="!!!"),"",IF(NOT(ISNA(VLOOKUP(E356,E$1:E355,1,FALSE()))),"OLD",IF(AND(E356&lt;&gt;"",E356&lt;&gt;"!!!"),"NEW","")))</f>
        <v> </v>
      </c>
      <c r="G356" s="17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18" t="str">
        <f>IF(J356&lt;&gt;1,"",IF(I356="SBJ","CB","?"))</f>
        <v> </v>
      </c>
      <c r="I356" s="19" t="str">
        <f>IF(OR(E356="",E356="!!!",F356="NEW"),"",INDEX(B355:B$2,-1+SUMPRODUCT(MAX(ROW(E355:E$2)*(E356=E355:E$2)))))</f>
        <v> </v>
      </c>
      <c r="J356" s="19" t="str">
        <f>IF(OR(E356="",E356="!!!",F356="NEW"),"",COUNTBLANK(OFFSET(A$1,,,SUMPRODUCT(MAX(ROW(E$2:E356)*(E356=E$2:E356)))))-COUNTBLANK(OFFSET(A$1,,,SUMPRODUCT(MAX(ROW(E$1:E355)*(E2=E$1:E355))))))</f>
        <v> </v>
      </c>
      <c r="K356" s="19" t="str">
        <f>IF(OR(E356="",E356="!!!",F356="NEW"),"",INDEX(J$1:J355,SUMPRODUCT(MAX(ROW(E$1:E355)*(E356=E$1:E355)))))</f>
        <v> </v>
      </c>
      <c r="L356" s="20"/>
    </row>
    <row r="357" spans="1:12">
      <c r="A357" s="13" t="s">
        <v>119</v>
      </c>
      <c r="E357" s="15">
        <f>IF(D357="?OLD","!!!","")</f>
        <v/>
      </c>
      <c r="F357" s="16" t="str">
        <f>IF(OR(E357="",E357="!!!"),"",IF(NOT(ISNA(VLOOKUP(E357,E$1:E356,1,FALSE()))),"OLD",IF(AND(E357&lt;&gt;"",E357&lt;&gt;"!!!"),"NEW","")))</f>
        <v> </v>
      </c>
      <c r="G357" s="17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18" t="str">
        <f>IF(J357&lt;&gt;1,"",IF(I357="SBJ","CB","?"))</f>
        <v> </v>
      </c>
      <c r="I357" s="19" t="str">
        <f>IF(OR(E357="",E357="!!!",F357="NEW"),"",INDEX(B356:B$2,-1+SUMPRODUCT(MAX(ROW(E356:E$2)*(E357=E356:E$2)))))</f>
        <v> </v>
      </c>
      <c r="J357" s="19" t="str">
        <f>IF(OR(E357="",E357="!!!",F357="NEW"),"",COUNTBLANK(OFFSET(A$1,,,SUMPRODUCT(MAX(ROW(E$2:E357)*(E357=E$2:E357)))))-COUNTBLANK(OFFSET(A$1,,,SUMPRODUCT(MAX(ROW(E$1:E356)*(E2=E$1:E356))))))</f>
        <v> </v>
      </c>
      <c r="K357" s="19" t="str">
        <f>IF(OR(E357="",E357="!!!",F357="NEW"),"",INDEX(J$1:J356,SUMPRODUCT(MAX(ROW(E$1:E356)*(E357=E$1:E356)))))</f>
        <v> </v>
      </c>
      <c r="L357" s="20"/>
    </row>
    <row r="358" spans="1:12">
      <c r="A358" s="13" t="s">
        <v>56</v>
      </c>
      <c r="E358" s="15">
        <f>IF(D358="?OLD","!!!","")</f>
        <v/>
      </c>
      <c r="F358" s="16" t="str">
        <f>IF(OR(E358="",E358="!!!"),"",IF(NOT(ISNA(VLOOKUP(E358,E$1:E357,1,FALSE()))),"OLD",IF(AND(E358&lt;&gt;"",E358&lt;&gt;"!!!"),"NEW","")))</f>
        <v> </v>
      </c>
      <c r="G358" s="17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18" t="str">
        <f>IF(J358&lt;&gt;1,"",IF(I358="SBJ","CB","?"))</f>
        <v> </v>
      </c>
      <c r="I358" s="19" t="str">
        <f>IF(OR(E358="",E358="!!!",F358="NEW"),"",INDEX(B357:B$2,-1+SUMPRODUCT(MAX(ROW(E357:E$2)*(E358=E357:E$2)))))</f>
        <v> </v>
      </c>
      <c r="J358" s="19" t="str">
        <f>IF(OR(E358="",E358="!!!",F358="NEW"),"",COUNTBLANK(OFFSET(A$1,,,SUMPRODUCT(MAX(ROW(E$2:E358)*(E358=E$2:E358)))))-COUNTBLANK(OFFSET(A$1,,,SUMPRODUCT(MAX(ROW(E$1:E357)*(E2=E$1:E357))))))</f>
        <v> </v>
      </c>
      <c r="K358" s="19" t="str">
        <f>IF(OR(E358="",E358="!!!",F358="NEW"),"",INDEX(J$1:J357,SUMPRODUCT(MAX(ROW(E$1:E357)*(E358=E$1:E357)))))</f>
        <v> </v>
      </c>
      <c r="L358" s="20"/>
    </row>
    <row r="359" spans="1:12">
      <c r="A359" s="13" t="s">
        <v>115</v>
      </c>
      <c r="E359" s="15">
        <f>IF(D359="?OLD","!!!","")</f>
        <v/>
      </c>
      <c r="F359" s="16" t="str">
        <f>IF(OR(E359="",E359="!!!"),"",IF(NOT(ISNA(VLOOKUP(E359,E$1:E358,1,FALSE()))),"OLD",IF(AND(E359&lt;&gt;"",E359&lt;&gt;"!!!"),"NEW","")))</f>
        <v> </v>
      </c>
      <c r="G359" s="17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18" t="str">
        <f>IF(J359&lt;&gt;1,"",IF(I359="SBJ","CB","?"))</f>
        <v> </v>
      </c>
      <c r="I359" s="19" t="str">
        <f>IF(OR(E359="",E359="!!!",F359="NEW"),"",INDEX(B358:B$2,-1+SUMPRODUCT(MAX(ROW(E358:E$2)*(E359=E358:E$2)))))</f>
        <v> </v>
      </c>
      <c r="J359" s="19" t="str">
        <f>IF(OR(E359="",E359="!!!",F359="NEW"),"",COUNTBLANK(OFFSET(A$1,,,SUMPRODUCT(MAX(ROW(E$2:E359)*(E359=E$2:E359)))))-COUNTBLANK(OFFSET(A$1,,,SUMPRODUCT(MAX(ROW(E$1:E358)*(E2=E$1:E358))))))</f>
        <v> </v>
      </c>
      <c r="K359" s="19" t="str">
        <f>IF(OR(E359="",E359="!!!",F359="NEW"),"",INDEX(J$1:J358,SUMPRODUCT(MAX(ROW(E$1:E358)*(E359=E$1:E358)))))</f>
        <v> </v>
      </c>
      <c r="L359" s="20"/>
    </row>
    <row r="360" spans="1:12">
      <c r="A360" s="13" t="s">
        <v>95</v>
      </c>
      <c r="E360" s="15">
        <f>IF(D360="?OLD","!!!","")</f>
        <v/>
      </c>
      <c r="F360" s="16" t="str">
        <f>IF(OR(E360="",E360="!!!"),"",IF(NOT(ISNA(VLOOKUP(E360,E$1:E359,1,FALSE()))),"OLD",IF(AND(E360&lt;&gt;"",E360&lt;&gt;"!!!"),"NEW","")))</f>
        <v> </v>
      </c>
      <c r="G360" s="17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18" t="str">
        <f>IF(J360&lt;&gt;1,"",IF(I360="SBJ","CB","?"))</f>
        <v> </v>
      </c>
      <c r="I360" s="19" t="str">
        <f>IF(OR(E360="",E360="!!!",F360="NEW"),"",INDEX(B359:B$2,-1+SUMPRODUCT(MAX(ROW(E359:E$2)*(E360=E359:E$2)))))</f>
        <v> </v>
      </c>
      <c r="J360" s="19" t="str">
        <f>IF(OR(E360="",E360="!!!",F360="NEW"),"",COUNTBLANK(OFFSET(A$1,,,SUMPRODUCT(MAX(ROW(E$2:E360)*(E360=E$2:E360)))))-COUNTBLANK(OFFSET(A$1,,,SUMPRODUCT(MAX(ROW(E$1:E359)*(E2=E$1:E359))))))</f>
        <v> </v>
      </c>
      <c r="K360" s="19" t="str">
        <f>IF(OR(E360="",E360="!!!",F360="NEW"),"",INDEX(J$1:J359,SUMPRODUCT(MAX(ROW(E$1:E359)*(E360=E$1:E359)))))</f>
        <v> </v>
      </c>
      <c r="L360" s="20"/>
    </row>
    <row r="361" spans="1:12">
      <c r="A361" s="13" t="s">
        <v>164</v>
      </c>
      <c r="B361" s="14" t="s">
        <v>93</v>
      </c>
      <c r="C361" s="14" t="s">
        <v>24</v>
      </c>
      <c r="D361" s="14" t="s">
        <v>25</v>
      </c>
      <c r="E361" s="15">
        <f>IF(D361="?OLD","!!!","")</f>
        <v/>
      </c>
      <c r="F361" s="16" t="str">
        <f>IF(OR(E361="",E361="!!!"),"",IF(NOT(ISNA(VLOOKUP(E361,E$1:E360,1,FALSE()))),"OLD",IF(AND(E361&lt;&gt;"",E361&lt;&gt;"!!!"),"NEW","")))</f>
        <v> </v>
      </c>
      <c r="G361" s="17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18" t="str">
        <f>IF(J361&lt;&gt;1,"",IF(I361="SBJ","CB","?"))</f>
        <v> </v>
      </c>
      <c r="I361" s="19" t="str">
        <f>IF(OR(E361="",E361="!!!",F361="NEW"),"",INDEX(B360:B$2,-1+SUMPRODUCT(MAX(ROW(E360:E$2)*(E361=E360:E$2)))))</f>
        <v> </v>
      </c>
      <c r="J361" s="19" t="str">
        <f>IF(OR(E361="",E361="!!!",F361="NEW"),"",COUNTBLANK(OFFSET(A$1,,,SUMPRODUCT(MAX(ROW(E$2:E361)*(E361=E$2:E361)))))-COUNTBLANK(OFFSET(A$1,,,SUMPRODUCT(MAX(ROW(E$1:E360)*(E2=E$1:E360))))))</f>
        <v> </v>
      </c>
      <c r="K361" s="19" t="str">
        <f>IF(OR(E361="",E361="!!!",F361="NEW"),"",INDEX(J$1:J360,SUMPRODUCT(MAX(ROW(E$1:E360)*(E361=E$1:E360)))))</f>
        <v> </v>
      </c>
      <c r="L361" s="20"/>
    </row>
    <row r="362" spans="1:12">
      <c r="A362" s="13" t="s">
        <v>56</v>
      </c>
      <c r="E362" s="15">
        <f>IF(D362="?OLD","!!!","")</f>
        <v/>
      </c>
      <c r="F362" s="16" t="str">
        <f>IF(OR(E362="",E362="!!!"),"",IF(NOT(ISNA(VLOOKUP(E362,E$1:E361,1,FALSE()))),"OLD",IF(AND(E362&lt;&gt;"",E362&lt;&gt;"!!!"),"NEW","")))</f>
        <v> </v>
      </c>
      <c r="G362" s="17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18" t="str">
        <f>IF(J362&lt;&gt;1,"",IF(I362="SBJ","CB","?"))</f>
        <v> </v>
      </c>
      <c r="I362" s="19" t="str">
        <f>IF(OR(E362="",E362="!!!",F362="NEW"),"",INDEX(B361:B$2,-1+SUMPRODUCT(MAX(ROW(E361:E$2)*(E362=E361:E$2)))))</f>
        <v> </v>
      </c>
      <c r="J362" s="19" t="str">
        <f>IF(OR(E362="",E362="!!!",F362="NEW"),"",COUNTBLANK(OFFSET(A$1,,,SUMPRODUCT(MAX(ROW(E$2:E362)*(E362=E$2:E362)))))-COUNTBLANK(OFFSET(A$1,,,SUMPRODUCT(MAX(ROW(E$1:E361)*(E2=E$1:E361))))))</f>
        <v> </v>
      </c>
      <c r="K362" s="19" t="str">
        <f>IF(OR(E362="",E362="!!!",F362="NEW"),"",INDEX(J$1:J361,SUMPRODUCT(MAX(ROW(E$1:E361)*(E362=E$1:E361)))))</f>
        <v> </v>
      </c>
      <c r="L362" s="20"/>
    </row>
    <row r="363" spans="1:12">
      <c r="A363" s="13" t="s">
        <v>119</v>
      </c>
      <c r="E363" s="15">
        <f>IF(D363="?OLD","!!!","")</f>
        <v/>
      </c>
      <c r="F363" s="16" t="str">
        <f>IF(OR(E363="",E363="!!!"),"",IF(NOT(ISNA(VLOOKUP(E363,E$1:E362,1,FALSE()))),"OLD",IF(AND(E363&lt;&gt;"",E363&lt;&gt;"!!!"),"NEW","")))</f>
        <v> </v>
      </c>
      <c r="G363" s="17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18" t="str">
        <f>IF(J363&lt;&gt;1,"",IF(I363="SBJ","CB","?"))</f>
        <v> </v>
      </c>
      <c r="I363" s="19" t="str">
        <f>IF(OR(E363="",E363="!!!",F363="NEW"),"",INDEX(B362:B$2,-1+SUMPRODUCT(MAX(ROW(E362:E$2)*(E363=E362:E$2)))))</f>
        <v> </v>
      </c>
      <c r="J363" s="19" t="str">
        <f>IF(OR(E363="",E363="!!!",F363="NEW"),"",COUNTBLANK(OFFSET(A$1,,,SUMPRODUCT(MAX(ROW(E$2:E363)*(E363=E$2:E363)))))-COUNTBLANK(OFFSET(A$1,,,SUMPRODUCT(MAX(ROW(E$1:E362)*(E2=E$1:E362))))))</f>
        <v> </v>
      </c>
      <c r="K363" s="19" t="str">
        <f>IF(OR(E363="",E363="!!!",F363="NEW"),"",INDEX(J$1:J362,SUMPRODUCT(MAX(ROW(E$1:E362)*(E363=E$1:E362)))))</f>
        <v> </v>
      </c>
      <c r="L363" s="20"/>
    </row>
    <row r="364" spans="1:12">
      <c r="A364" s="13" t="s">
        <v>234</v>
      </c>
      <c r="E364" s="15">
        <f>IF(D364="?OLD","!!!","")</f>
        <v/>
      </c>
      <c r="F364" s="16" t="str">
        <f>IF(OR(E364="",E364="!!!"),"",IF(NOT(ISNA(VLOOKUP(E364,E$1:E363,1,FALSE()))),"OLD",IF(AND(E364&lt;&gt;"",E364&lt;&gt;"!!!"),"NEW","")))</f>
        <v> </v>
      </c>
      <c r="G364" s="17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18" t="str">
        <f>IF(J364&lt;&gt;1,"",IF(I364="SBJ","CB","?"))</f>
        <v> </v>
      </c>
      <c r="I364" s="19" t="str">
        <f>IF(OR(E364="",E364="!!!",F364="NEW"),"",INDEX(B363:B$2,-1+SUMPRODUCT(MAX(ROW(E363:E$2)*(E364=E363:E$2)))))</f>
        <v> </v>
      </c>
      <c r="J364" s="19" t="str">
        <f>IF(OR(E364="",E364="!!!",F364="NEW"),"",COUNTBLANK(OFFSET(A$1,,,SUMPRODUCT(MAX(ROW(E$2:E364)*(E364=E$2:E364)))))-COUNTBLANK(OFFSET(A$1,,,SUMPRODUCT(MAX(ROW(E$1:E363)*(E2=E$1:E363))))))</f>
        <v> </v>
      </c>
      <c r="K364" s="19" t="str">
        <f>IF(OR(E364="",E364="!!!",F364="NEW"),"",INDEX(J$1:J363,SUMPRODUCT(MAX(ROW(E$1:E363)*(E364=E$1:E363)))))</f>
        <v> </v>
      </c>
      <c r="L364" s="20"/>
    </row>
    <row r="365" spans="1:12">
      <c r="A365" s="13" t="s">
        <v>235</v>
      </c>
      <c r="E365" s="15">
        <f>IF(D365="?OLD","!!!","")</f>
        <v/>
      </c>
      <c r="F365" s="16" t="str">
        <f>IF(OR(E365="",E365="!!!"),"",IF(NOT(ISNA(VLOOKUP(E365,E$1:E364,1,FALSE()))),"OLD",IF(AND(E365&lt;&gt;"",E365&lt;&gt;"!!!"),"NEW","")))</f>
        <v> </v>
      </c>
      <c r="G365" s="17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18" t="str">
        <f>IF(J365&lt;&gt;1,"",IF(I365="SBJ","CB","?"))</f>
        <v> </v>
      </c>
      <c r="I365" s="19" t="str">
        <f>IF(OR(E365="",E365="!!!",F365="NEW"),"",INDEX(B364:B$2,-1+SUMPRODUCT(MAX(ROW(E364:E$2)*(E365=E364:E$2)))))</f>
        <v> </v>
      </c>
      <c r="J365" s="19" t="str">
        <f>IF(OR(E365="",E365="!!!",F365="NEW"),"",COUNTBLANK(OFFSET(A$1,,,SUMPRODUCT(MAX(ROW(E$2:E365)*(E365=E$2:E365)))))-COUNTBLANK(OFFSET(A$1,,,SUMPRODUCT(MAX(ROW(E$1:E364)*(E2=E$1:E364))))))</f>
        <v> </v>
      </c>
      <c r="K365" s="19" t="str">
        <f>IF(OR(E365="",E365="!!!",F365="NEW"),"",INDEX(J$1:J364,SUMPRODUCT(MAX(ROW(E$1:E364)*(E365=E$1:E364)))))</f>
        <v> </v>
      </c>
      <c r="L365" s="20"/>
    </row>
    <row r="366" spans="1:12">
      <c r="A366" s="13" t="s">
        <v>102</v>
      </c>
      <c r="E366" s="15">
        <f>IF(D366="?OLD","!!!","")</f>
        <v/>
      </c>
      <c r="F366" s="16" t="str">
        <f>IF(OR(E366="",E366="!!!"),"",IF(NOT(ISNA(VLOOKUP(E366,E$1:E365,1,FALSE()))),"OLD",IF(AND(E366&lt;&gt;"",E366&lt;&gt;"!!!"),"NEW","")))</f>
        <v> </v>
      </c>
      <c r="G366" s="17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18" t="str">
        <f>IF(J366&lt;&gt;1,"",IF(I366="SBJ","CB","?"))</f>
        <v> </v>
      </c>
      <c r="I366" s="19" t="str">
        <f>IF(OR(E366="",E366="!!!",F366="NEW"),"",INDEX(B365:B$2,-1+SUMPRODUCT(MAX(ROW(E365:E$2)*(E366=E365:E$2)))))</f>
        <v> </v>
      </c>
      <c r="J366" s="19" t="str">
        <f>IF(OR(E366="",E366="!!!",F366="NEW"),"",COUNTBLANK(OFFSET(A$1,,,SUMPRODUCT(MAX(ROW(E$2:E366)*(E366=E$2:E366)))))-COUNTBLANK(OFFSET(A$1,,,SUMPRODUCT(MAX(ROW(E$1:E365)*(E2=E$1:E365))))))</f>
        <v> </v>
      </c>
      <c r="K366" s="19" t="str">
        <f>IF(OR(E366="",E366="!!!",F366="NEW"),"",INDEX(J$1:J365,SUMPRODUCT(MAX(ROW(E$1:E365)*(E366=E$1:E365)))))</f>
        <v> </v>
      </c>
      <c r="L366" s="20"/>
    </row>
    <row r="367" spans="1:12">
      <c r="A367" s="13" t="s">
        <v>236</v>
      </c>
      <c r="E367" s="15">
        <f>IF(D367="?OLD","!!!","")</f>
        <v/>
      </c>
      <c r="F367" s="16" t="str">
        <f>IF(OR(E367="",E367="!!!"),"",IF(NOT(ISNA(VLOOKUP(E367,E$1:E366,1,FALSE()))),"OLD",IF(AND(E367&lt;&gt;"",E367&lt;&gt;"!!!"),"NEW","")))</f>
        <v> </v>
      </c>
      <c r="G367" s="17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18" t="str">
        <f>IF(J367&lt;&gt;1,"",IF(I367="SBJ","CB","?"))</f>
        <v> </v>
      </c>
      <c r="I367" s="19" t="str">
        <f>IF(OR(E367="",E367="!!!",F367="NEW"),"",INDEX(B366:B$2,-1+SUMPRODUCT(MAX(ROW(E366:E$2)*(E367=E366:E$2)))))</f>
        <v> </v>
      </c>
      <c r="J367" s="19" t="str">
        <f>IF(OR(E367="",E367="!!!",F367="NEW"),"",COUNTBLANK(OFFSET(A$1,,,SUMPRODUCT(MAX(ROW(E$2:E367)*(E367=E$2:E367)))))-COUNTBLANK(OFFSET(A$1,,,SUMPRODUCT(MAX(ROW(E$1:E366)*(E2=E$1:E366))))))</f>
        <v> </v>
      </c>
      <c r="K367" s="19" t="str">
        <f>IF(OR(E367="",E367="!!!",F367="NEW"),"",INDEX(J$1:J366,SUMPRODUCT(MAX(ROW(E$1:E366)*(E367=E$1:E366)))))</f>
        <v> </v>
      </c>
      <c r="L367" s="20"/>
    </row>
    <row r="368" spans="1:12">
      <c r="A368" s="13" t="s">
        <v>57</v>
      </c>
      <c r="B368" s="14" t="s">
        <v>93</v>
      </c>
      <c r="C368" s="14" t="s">
        <v>64</v>
      </c>
      <c r="D368" s="14" t="s">
        <v>25</v>
      </c>
      <c r="E368" s="15">
        <f>IF(D368="?OLD","!!!","")</f>
        <v/>
      </c>
      <c r="F368" s="16" t="str">
        <f>IF(OR(E368="",E368="!!!"),"",IF(NOT(ISNA(VLOOKUP(E368,E$1:E367,1,FALSE()))),"OLD",IF(AND(E368&lt;&gt;"",E368&lt;&gt;"!!!"),"NEW","")))</f>
        <v> </v>
      </c>
      <c r="G368" s="17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18" t="str">
        <f>IF(J368&lt;&gt;1,"",IF(I368="SBJ","CB","?"))</f>
        <v> </v>
      </c>
      <c r="I368" s="19" t="str">
        <f>IF(OR(E368="",E368="!!!",F368="NEW"),"",INDEX(B367:B$2,-1+SUMPRODUCT(MAX(ROW(E367:E$2)*(E368=E367:E$2)))))</f>
        <v> </v>
      </c>
      <c r="J368" s="19" t="str">
        <f>IF(OR(E368="",E368="!!!",F368="NEW"),"",COUNTBLANK(OFFSET(A$1,,,SUMPRODUCT(MAX(ROW(E$2:E368)*(E368=E$2:E368)))))-COUNTBLANK(OFFSET(A$1,,,SUMPRODUCT(MAX(ROW(E$1:E367)*(E2=E$1:E367))))))</f>
        <v> </v>
      </c>
      <c r="K368" s="19" t="str">
        <f>IF(OR(E368="",E368="!!!",F368="NEW"),"",INDEX(J$1:J367,SUMPRODUCT(MAX(ROW(E$1:E367)*(E368=E$1:E367)))))</f>
        <v> </v>
      </c>
      <c r="L368" s="20"/>
    </row>
    <row r="369" spans="1:12">
      <c r="A369" s="13" t="s">
        <v>237</v>
      </c>
      <c r="E369" s="15">
        <f>IF(D369="?OLD","!!!","")</f>
        <v/>
      </c>
      <c r="F369" s="16" t="str">
        <f>IF(OR(E369="",E369="!!!"),"",IF(NOT(ISNA(VLOOKUP(E369,E$1:E368,1,FALSE()))),"OLD",IF(AND(E369&lt;&gt;"",E369&lt;&gt;"!!!"),"NEW","")))</f>
        <v> </v>
      </c>
      <c r="G369" s="17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18" t="str">
        <f>IF(J369&lt;&gt;1,"",IF(I369="SBJ","CB","?"))</f>
        <v> </v>
      </c>
      <c r="I369" s="19" t="str">
        <f>IF(OR(E369="",E369="!!!",F369="NEW"),"",INDEX(B368:B$2,-1+SUMPRODUCT(MAX(ROW(E368:E$2)*(E369=E368:E$2)))))</f>
        <v> </v>
      </c>
      <c r="J369" s="19" t="str">
        <f>IF(OR(E369="",E369="!!!",F369="NEW"),"",COUNTBLANK(OFFSET(A$1,,,SUMPRODUCT(MAX(ROW(E$2:E369)*(E369=E$2:E369)))))-COUNTBLANK(OFFSET(A$1,,,SUMPRODUCT(MAX(ROW(E$1:E368)*(E2=E$1:E368))))))</f>
        <v> </v>
      </c>
      <c r="K369" s="19" t="str">
        <f>IF(OR(E369="",E369="!!!",F369="NEW"),"",INDEX(J$1:J368,SUMPRODUCT(MAX(ROW(E$1:E368)*(E369=E$1:E368)))))</f>
        <v> </v>
      </c>
      <c r="L369" s="20"/>
    </row>
    <row r="370" spans="1:12">
      <c r="A370" s="13" t="s">
        <v>238</v>
      </c>
      <c r="B370" s="14" t="s">
        <v>27</v>
      </c>
      <c r="C370" s="14" t="s">
        <v>64</v>
      </c>
      <c r="D370" s="14" t="s">
        <v>25</v>
      </c>
      <c r="E370" s="15">
        <f>IF(D370="?OLD","!!!","")</f>
        <v/>
      </c>
      <c r="F370" s="16" t="str">
        <f>IF(OR(E370="",E370="!!!"),"",IF(NOT(ISNA(VLOOKUP(E370,E$1:E369,1,FALSE()))),"OLD",IF(AND(E370&lt;&gt;"",E370&lt;&gt;"!!!"),"NEW","")))</f>
        <v> </v>
      </c>
      <c r="G370" s="17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18" t="str">
        <f>IF(J370&lt;&gt;1,"",IF(I370="SBJ","CB","?"))</f>
        <v> </v>
      </c>
      <c r="I370" s="19" t="str">
        <f>IF(OR(E370="",E370="!!!",F370="NEW"),"",INDEX(B369:B$2,-1+SUMPRODUCT(MAX(ROW(E369:E$2)*(E370=E369:E$2)))))</f>
        <v> </v>
      </c>
      <c r="J370" s="19" t="str">
        <f>IF(OR(E370="",E370="!!!",F370="NEW"),"",COUNTBLANK(OFFSET(A$1,,,SUMPRODUCT(MAX(ROW(E$2:E370)*(E370=E$2:E370)))))-COUNTBLANK(OFFSET(A$1,,,SUMPRODUCT(MAX(ROW(E$1:E369)*(E2=E$1:E369))))))</f>
        <v> </v>
      </c>
      <c r="K370" s="19" t="str">
        <f>IF(OR(E370="",E370="!!!",F370="NEW"),"",INDEX(J$1:J369,SUMPRODUCT(MAX(ROW(E$1:E369)*(E370=E$1:E369)))))</f>
        <v> </v>
      </c>
      <c r="L370" s="20"/>
    </row>
    <row r="371" spans="1:12">
      <c r="A371" s="13" t="s">
        <v>68</v>
      </c>
      <c r="E371" s="15">
        <f>IF(D371="?OLD","!!!","")</f>
        <v/>
      </c>
      <c r="F371" s="16" t="str">
        <f>IF(OR(E371="",E371="!!!"),"",IF(NOT(ISNA(VLOOKUP(E371,E$1:E370,1,FALSE()))),"OLD",IF(AND(E371&lt;&gt;"",E371&lt;&gt;"!!!"),"NEW","")))</f>
        <v> </v>
      </c>
      <c r="G371" s="17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18" t="str">
        <f>IF(J371&lt;&gt;1,"",IF(I371="SBJ","CB","?"))</f>
        <v> </v>
      </c>
      <c r="I371" s="19" t="str">
        <f>IF(OR(E371="",E371="!!!",F371="NEW"),"",INDEX(B370:B$2,-1+SUMPRODUCT(MAX(ROW(E370:E$2)*(E371=E370:E$2)))))</f>
        <v> </v>
      </c>
      <c r="J371" s="19" t="str">
        <f>IF(OR(E371="",E371="!!!",F371="NEW"),"",COUNTBLANK(OFFSET(A$1,,,SUMPRODUCT(MAX(ROW(E$2:E371)*(E371=E$2:E371)))))-COUNTBLANK(OFFSET(A$1,,,SUMPRODUCT(MAX(ROW(E$1:E370)*(E2=E$1:E370))))))</f>
        <v> </v>
      </c>
      <c r="K371" s="19" t="str">
        <f>IF(OR(E371="",E371="!!!",F371="NEW"),"",INDEX(J$1:J370,SUMPRODUCT(MAX(ROW(E$1:E370)*(E371=E$1:E370)))))</f>
        <v> </v>
      </c>
      <c r="L371" s="20"/>
    </row>
    <row r="372" spans="1:12">
      <c r="A372" s="13"/>
    </row>
    <row r="373" spans="1:12">
      <c r="A373" s="13" t="s">
        <v>117</v>
      </c>
      <c r="E373" s="15">
        <f>IF(D373="?OLD","!!!","")</f>
        <v/>
      </c>
      <c r="F373" s="16" t="str">
        <f>IF(OR(E373="",E373="!!!"),"",IF(NOT(ISNA(VLOOKUP(E373,E$1:E372,1,FALSE()))),"OLD",IF(AND(E373&lt;&gt;"",E373&lt;&gt;"!!!"),"NEW","")))</f>
        <v> </v>
      </c>
      <c r="G373" s="17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18" t="str">
        <f>IF(J373&lt;&gt;1,"",IF(I373="SBJ","CB","?"))</f>
        <v> </v>
      </c>
      <c r="I373" s="19" t="str">
        <f>IF(OR(E373="",E373="!!!",F373="NEW"),"",INDEX(B372:B$2,-1+SUMPRODUCT(MAX(ROW(E372:E$2)*(E373=E372:E$2)))))</f>
        <v> </v>
      </c>
      <c r="J373" s="19" t="str">
        <f>IF(OR(E373="",E373="!!!",F373="NEW"),"",COUNTBLANK(OFFSET(A$1,,,SUMPRODUCT(MAX(ROW(E$2:E373)*(E373=E$2:E373)))))-COUNTBLANK(OFFSET(A$1,,,SUMPRODUCT(MAX(ROW(E$1:E372)*(E2=E$1:E372))))))</f>
        <v> </v>
      </c>
      <c r="K373" s="19" t="str">
        <f>IF(OR(E373="",E373="!!!",F373="NEW"),"",INDEX(J$1:J372,SUMPRODUCT(MAX(ROW(E$1:E372)*(E373=E$1:E372)))))</f>
        <v> </v>
      </c>
      <c r="L373" s="20"/>
    </row>
    <row r="374" spans="1:12">
      <c r="A374" s="13" t="s">
        <v>239</v>
      </c>
    </row>
    <row r="375" spans="1:12">
      <c r="A375" s="13" t="s">
        <v>240</v>
      </c>
      <c r="B375" s="14" t="s">
        <v>23</v>
      </c>
      <c r="C375" s="14" t="s">
        <v>64</v>
      </c>
      <c r="D375" s="14" t="s">
        <v>25</v>
      </c>
      <c r="E375" s="15">
        <f>IF(D375="?OLD","!!!","")</f>
        <v/>
      </c>
      <c r="F375" s="16" t="str">
        <f>IF(OR(E375="",E375="!!!"),"",IF(NOT(ISNA(VLOOKUP(E375,E$1:E374,1,FALSE()))),"OLD",IF(AND(E375&lt;&gt;"",E375&lt;&gt;"!!!"),"NEW","")))</f>
        <v> </v>
      </c>
      <c r="G375" s="17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18" t="str">
        <f>IF(J375&lt;&gt;1,"",IF(I375="SBJ","CB","?"))</f>
        <v> </v>
      </c>
      <c r="I375" s="19" t="str">
        <f>IF(OR(E375="",E375="!!!",F375="NEW"),"",INDEX(B374:B$2,-1+SUMPRODUCT(MAX(ROW(E374:E$2)*(E375=E374:E$2)))))</f>
        <v> </v>
      </c>
      <c r="J375" s="19" t="str">
        <f>IF(OR(E375="",E375="!!!",F375="NEW"),"",COUNTBLANK(OFFSET(A$1,,,SUMPRODUCT(MAX(ROW(E$2:E375)*(E375=E$2:E375)))))-COUNTBLANK(OFFSET(A$1,,,SUMPRODUCT(MAX(ROW(E$1:E374)*(E2=E$1:E374))))))</f>
        <v> </v>
      </c>
      <c r="K375" s="19" t="str">
        <f>IF(OR(E375="",E375="!!!",F375="NEW"),"",INDEX(J$1:J374,SUMPRODUCT(MAX(ROW(E$1:E374)*(E375=E$1:E374)))))</f>
        <v> </v>
      </c>
      <c r="L375" s="20"/>
    </row>
    <row r="376" spans="1:12">
      <c r="A376" s="13" t="s">
        <v>241</v>
      </c>
      <c r="E376" s="15">
        <f>IF(D376="?OLD","!!!","")</f>
        <v/>
      </c>
      <c r="F376" s="16" t="str">
        <f>IF(OR(E376="",E376="!!!"),"",IF(NOT(ISNA(VLOOKUP(E376,E$1:E375,1,FALSE()))),"OLD",IF(AND(E376&lt;&gt;"",E376&lt;&gt;"!!!"),"NEW","")))</f>
        <v> </v>
      </c>
      <c r="G376" s="17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18" t="str">
        <f>IF(J376&lt;&gt;1,"",IF(I376="SBJ","CB","?"))</f>
        <v> </v>
      </c>
      <c r="I376" s="19" t="str">
        <f>IF(OR(E376="",E376="!!!",F376="NEW"),"",INDEX(B375:B$2,-1+SUMPRODUCT(MAX(ROW(E375:E$2)*(E376=E375:E$2)))))</f>
        <v> </v>
      </c>
      <c r="J376" s="19" t="str">
        <f>IF(OR(E376="",E376="!!!",F376="NEW"),"",COUNTBLANK(OFFSET(A$1,,,SUMPRODUCT(MAX(ROW(E$2:E376)*(E376=E$2:E376)))))-COUNTBLANK(OFFSET(A$1,,,SUMPRODUCT(MAX(ROW(E$1:E375)*(E2=E$1:E375))))))</f>
        <v> </v>
      </c>
      <c r="K376" s="19" t="str">
        <f>IF(OR(E376="",E376="!!!",F376="NEW"),"",INDEX(J$1:J375,SUMPRODUCT(MAX(ROW(E$1:E375)*(E376=E$1:E375)))))</f>
        <v> </v>
      </c>
      <c r="L376" s="20"/>
    </row>
    <row r="377" spans="1:12">
      <c r="A377" s="13" t="s">
        <v>153</v>
      </c>
      <c r="E377" s="15">
        <f>IF(D377="?OLD","!!!","")</f>
        <v/>
      </c>
      <c r="F377" s="16" t="str">
        <f>IF(OR(E377="",E377="!!!"),"",IF(NOT(ISNA(VLOOKUP(E377,E$1:E376,1,FALSE()))),"OLD",IF(AND(E377&lt;&gt;"",E377&lt;&gt;"!!!"),"NEW","")))</f>
        <v> </v>
      </c>
      <c r="G377" s="17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18" t="str">
        <f>IF(J377&lt;&gt;1,"",IF(I377="SBJ","CB","?"))</f>
        <v> </v>
      </c>
      <c r="I377" s="19" t="str">
        <f>IF(OR(E377="",E377="!!!",F377="NEW"),"",INDEX(B376:B$2,-1+SUMPRODUCT(MAX(ROW(E376:E$2)*(E377=E376:E$2)))))</f>
        <v> </v>
      </c>
      <c r="J377" s="19" t="str">
        <f>IF(OR(E377="",E377="!!!",F377="NEW"),"",COUNTBLANK(OFFSET(A$1,,,SUMPRODUCT(MAX(ROW(E$2:E377)*(E377=E$2:E377)))))-COUNTBLANK(OFFSET(A$1,,,SUMPRODUCT(MAX(ROW(E$1:E376)*(E2=E$1:E376))))))</f>
        <v> </v>
      </c>
      <c r="K377" s="19" t="str">
        <f>IF(OR(E377="",E377="!!!",F377="NEW"),"",INDEX(J$1:J376,SUMPRODUCT(MAX(ROW(E$1:E376)*(E377=E$1:E376)))))</f>
        <v> </v>
      </c>
      <c r="L377" s="20"/>
    </row>
    <row r="378" spans="1:12">
      <c r="A378" s="13" t="s">
        <v>135</v>
      </c>
      <c r="E378" s="15">
        <f>IF(D378="?OLD","!!!","")</f>
        <v/>
      </c>
      <c r="F378" s="16" t="str">
        <f>IF(OR(E378="",E378="!!!"),"",IF(NOT(ISNA(VLOOKUP(E378,E$1:E377,1,FALSE()))),"OLD",IF(AND(E378&lt;&gt;"",E378&lt;&gt;"!!!"),"NEW","")))</f>
        <v> </v>
      </c>
      <c r="G378" s="17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18" t="str">
        <f>IF(J378&lt;&gt;1,"",IF(I378="SBJ","CB","?"))</f>
        <v> </v>
      </c>
      <c r="I378" s="19" t="str">
        <f>IF(OR(E378="",E378="!!!",F378="NEW"),"",INDEX(B377:B$2,-1+SUMPRODUCT(MAX(ROW(E377:E$2)*(E378=E377:E$2)))))</f>
        <v> </v>
      </c>
      <c r="J378" s="19" t="str">
        <f>IF(OR(E378="",E378="!!!",F378="NEW"),"",COUNTBLANK(OFFSET(A$1,,,SUMPRODUCT(MAX(ROW(E$2:E378)*(E378=E$2:E378)))))-COUNTBLANK(OFFSET(A$1,,,SUMPRODUCT(MAX(ROW(E$1:E377)*(E2=E$1:E377))))))</f>
        <v> </v>
      </c>
      <c r="K378" s="19" t="str">
        <f>IF(OR(E378="",E378="!!!",F378="NEW"),"",INDEX(J$1:J377,SUMPRODUCT(MAX(ROW(E$1:E377)*(E378=E$1:E377)))))</f>
        <v> </v>
      </c>
      <c r="L378" s="20"/>
    </row>
    <row r="379" spans="1:12">
      <c r="A379" s="13" t="s">
        <v>242</v>
      </c>
      <c r="B379" s="14" t="s">
        <v>45</v>
      </c>
      <c r="C379" s="14" t="s">
        <v>84</v>
      </c>
      <c r="D379" s="14" t="s">
        <v>25</v>
      </c>
      <c r="E379" s="15">
        <f>IF(D379="?OLD","!!!","")</f>
        <v/>
      </c>
      <c r="F379" s="16" t="str">
        <f>IF(OR(E379="",E379="!!!"),"",IF(NOT(ISNA(VLOOKUP(E379,E$1:E378,1,FALSE()))),"OLD",IF(AND(E379&lt;&gt;"",E379&lt;&gt;"!!!"),"NEW","")))</f>
        <v> </v>
      </c>
      <c r="G379" s="17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18" t="str">
        <f>IF(J379&lt;&gt;1,"",IF(I379="SBJ","CB","?"))</f>
        <v> </v>
      </c>
      <c r="I379" s="19" t="str">
        <f>IF(OR(E379="",E379="!!!",F379="NEW"),"",INDEX(B378:B$2,-1+SUMPRODUCT(MAX(ROW(E378:E$2)*(E379=E378:E$2)))))</f>
        <v> </v>
      </c>
      <c r="J379" s="19" t="str">
        <f>IF(OR(E379="",E379="!!!",F379="NEW"),"",COUNTBLANK(OFFSET(A$1,,,SUMPRODUCT(MAX(ROW(E$2:E379)*(E379=E$2:E379)))))-COUNTBLANK(OFFSET(A$1,,,SUMPRODUCT(MAX(ROW(E$1:E378)*(E2=E$1:E378))))))</f>
        <v> </v>
      </c>
      <c r="K379" s="19" t="str">
        <f>IF(OR(E379="",E379="!!!",F379="NEW"),"",INDEX(J$1:J378,SUMPRODUCT(MAX(ROW(E$1:E378)*(E379=E$1:E378)))))</f>
        <v> </v>
      </c>
      <c r="L379" s="20"/>
    </row>
    <row r="380" spans="1:12">
      <c r="A380" s="13" t="s">
        <v>56</v>
      </c>
      <c r="E380" s="15">
        <f>IF(D380="?OLD","!!!","")</f>
        <v/>
      </c>
      <c r="F380" s="16" t="str">
        <f>IF(OR(E380="",E380="!!!"),"",IF(NOT(ISNA(VLOOKUP(E380,E$1:E379,1,FALSE()))),"OLD",IF(AND(E380&lt;&gt;"",E380&lt;&gt;"!!!"),"NEW","")))</f>
        <v> </v>
      </c>
      <c r="G380" s="17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18" t="str">
        <f>IF(J380&lt;&gt;1,"",IF(I380="SBJ","CB","?"))</f>
        <v> </v>
      </c>
      <c r="I380" s="19" t="str">
        <f>IF(OR(E380="",E380="!!!",F380="NEW"),"",INDEX(B379:B$2,-1+SUMPRODUCT(MAX(ROW(E379:E$2)*(E380=E379:E$2)))))</f>
        <v> </v>
      </c>
      <c r="J380" s="19" t="str">
        <f>IF(OR(E380="",E380="!!!",F380="NEW"),"",COUNTBLANK(OFFSET(A$1,,,SUMPRODUCT(MAX(ROW(E$2:E380)*(E380=E$2:E380)))))-COUNTBLANK(OFFSET(A$1,,,SUMPRODUCT(MAX(ROW(E$1:E379)*(E2=E$1:E379))))))</f>
        <v> </v>
      </c>
      <c r="K380" s="19" t="str">
        <f>IF(OR(E380="",E380="!!!",F380="NEW"),"",INDEX(J$1:J379,SUMPRODUCT(MAX(ROW(E$1:E379)*(E380=E$1:E379)))))</f>
        <v> </v>
      </c>
      <c r="L380" s="20"/>
    </row>
    <row r="381" spans="1:12">
      <c r="A381" s="13" t="s">
        <v>76</v>
      </c>
      <c r="E381" s="15">
        <f>IF(D381="?OLD","!!!","")</f>
        <v/>
      </c>
      <c r="F381" s="16" t="str">
        <f>IF(OR(E381="",E381="!!!"),"",IF(NOT(ISNA(VLOOKUP(E381,E$1:E380,1,FALSE()))),"OLD",IF(AND(E381&lt;&gt;"",E381&lt;&gt;"!!!"),"NEW","")))</f>
        <v> </v>
      </c>
      <c r="G381" s="17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18" t="str">
        <f>IF(J381&lt;&gt;1,"",IF(I381="SBJ","CB","?"))</f>
        <v> </v>
      </c>
      <c r="I381" s="19" t="str">
        <f>IF(OR(E381="",E381="!!!",F381="NEW"),"",INDEX(B380:B$2,-1+SUMPRODUCT(MAX(ROW(E380:E$2)*(E381=E380:E$2)))))</f>
        <v> </v>
      </c>
      <c r="J381" s="19" t="str">
        <f>IF(OR(E381="",E381="!!!",F381="NEW"),"",COUNTBLANK(OFFSET(A$1,,,SUMPRODUCT(MAX(ROW(E$2:E381)*(E381=E$2:E381)))))-COUNTBLANK(OFFSET(A$1,,,SUMPRODUCT(MAX(ROW(E$1:E380)*(E2=E$1:E380))))))</f>
        <v> </v>
      </c>
      <c r="K381" s="19" t="str">
        <f>IF(OR(E381="",E381="!!!",F381="NEW"),"",INDEX(J$1:J380,SUMPRODUCT(MAX(ROW(E$1:E380)*(E381=E$1:E380)))))</f>
        <v> </v>
      </c>
      <c r="L381" s="20"/>
    </row>
    <row r="382" spans="1:12">
      <c r="A382" s="13" t="s">
        <v>243</v>
      </c>
      <c r="B382" s="14" t="s">
        <v>45</v>
      </c>
      <c r="C382" s="14" t="s">
        <v>64</v>
      </c>
      <c r="D382" s="14" t="s">
        <v>25</v>
      </c>
      <c r="E382" s="15">
        <f>IF(D382="?OLD","!!!","")</f>
        <v/>
      </c>
      <c r="F382" s="16" t="str">
        <f>IF(OR(E382="",E382="!!!"),"",IF(NOT(ISNA(VLOOKUP(E382,E$1:E381,1,FALSE()))),"OLD",IF(AND(E382&lt;&gt;"",E382&lt;&gt;"!!!"),"NEW","")))</f>
        <v> </v>
      </c>
      <c r="G382" s="17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18" t="str">
        <f>IF(J382&lt;&gt;1,"",IF(I382="SBJ","CB","?"))</f>
        <v> </v>
      </c>
      <c r="I382" s="19" t="str">
        <f>IF(OR(E382="",E382="!!!",F382="NEW"),"",INDEX(B381:B$2,-1+SUMPRODUCT(MAX(ROW(E381:E$2)*(E382=E381:E$2)))))</f>
        <v> </v>
      </c>
      <c r="J382" s="19" t="str">
        <f>IF(OR(E382="",E382="!!!",F382="NEW"),"",COUNTBLANK(OFFSET(A$1,,,SUMPRODUCT(MAX(ROW(E$2:E382)*(E382=E$2:E382)))))-COUNTBLANK(OFFSET(A$1,,,SUMPRODUCT(MAX(ROW(E$1:E381)*(E2=E$1:E381))))))</f>
        <v> </v>
      </c>
      <c r="K382" s="19" t="str">
        <f>IF(OR(E382="",E382="!!!",F382="NEW"),"",INDEX(J$1:J381,SUMPRODUCT(MAX(ROW(E$1:E381)*(E382=E$1:E381)))))</f>
        <v> </v>
      </c>
      <c r="L382" s="20"/>
    </row>
    <row r="383" spans="1:12">
      <c r="A383" s="13" t="s">
        <v>153</v>
      </c>
      <c r="E383" s="15">
        <f>IF(D383="?OLD","!!!","")</f>
        <v/>
      </c>
      <c r="F383" s="16" t="str">
        <f>IF(OR(E383="",E383="!!!"),"",IF(NOT(ISNA(VLOOKUP(E383,E$1:E382,1,FALSE()))),"OLD",IF(AND(E383&lt;&gt;"",E383&lt;&gt;"!!!"),"NEW","")))</f>
        <v> </v>
      </c>
      <c r="G383" s="17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18" t="str">
        <f>IF(J383&lt;&gt;1,"",IF(I383="SBJ","CB","?"))</f>
        <v> </v>
      </c>
      <c r="I383" s="19" t="str">
        <f>IF(OR(E383="",E383="!!!",F383="NEW"),"",INDEX(B382:B$2,-1+SUMPRODUCT(MAX(ROW(E382:E$2)*(E383=E382:E$2)))))</f>
        <v> </v>
      </c>
      <c r="J383" s="19" t="str">
        <f>IF(OR(E383="",E383="!!!",F383="NEW"),"",COUNTBLANK(OFFSET(A$1,,,SUMPRODUCT(MAX(ROW(E$2:E383)*(E383=E$2:E383)))))-COUNTBLANK(OFFSET(A$1,,,SUMPRODUCT(MAX(ROW(E$1:E382)*(E2=E$1:E382))))))</f>
        <v> </v>
      </c>
      <c r="K383" s="19" t="str">
        <f>IF(OR(E383="",E383="!!!",F383="NEW"),"",INDEX(J$1:J382,SUMPRODUCT(MAX(ROW(E$1:E382)*(E383=E$1:E382)))))</f>
        <v> </v>
      </c>
      <c r="L383" s="20"/>
    </row>
    <row r="384" spans="1:12">
      <c r="A384" s="13" t="s">
        <v>244</v>
      </c>
      <c r="E384" s="15">
        <f>IF(D384="?OLD","!!!","")</f>
        <v/>
      </c>
      <c r="F384" s="16" t="str">
        <f>IF(OR(E384="",E384="!!!"),"",IF(NOT(ISNA(VLOOKUP(E384,E$1:E383,1,FALSE()))),"OLD",IF(AND(E384&lt;&gt;"",E384&lt;&gt;"!!!"),"NEW","")))</f>
        <v> </v>
      </c>
      <c r="G384" s="17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18" t="str">
        <f>IF(J384&lt;&gt;1,"",IF(I384="SBJ","CB","?"))</f>
        <v> </v>
      </c>
      <c r="I384" s="19" t="str">
        <f>IF(OR(E384="",E384="!!!",F384="NEW"),"",INDEX(B383:B$2,-1+SUMPRODUCT(MAX(ROW(E383:E$2)*(E384=E383:E$2)))))</f>
        <v> </v>
      </c>
      <c r="J384" s="19" t="str">
        <f>IF(OR(E384="",E384="!!!",F384="NEW"),"",COUNTBLANK(OFFSET(A$1,,,SUMPRODUCT(MAX(ROW(E$2:E384)*(E384=E$2:E384)))))-COUNTBLANK(OFFSET(A$1,,,SUMPRODUCT(MAX(ROW(E$1:E383)*(E2=E$1:E383))))))</f>
        <v> </v>
      </c>
      <c r="K384" s="19" t="str">
        <f>IF(OR(E384="",E384="!!!",F384="NEW"),"",INDEX(J$1:J383,SUMPRODUCT(MAX(ROW(E$1:E383)*(E384=E$1:E383)))))</f>
        <v> </v>
      </c>
      <c r="L384" s="20"/>
    </row>
    <row r="385" spans="1:12">
      <c r="A385" s="13" t="s">
        <v>245</v>
      </c>
      <c r="B385" s="14" t="s">
        <v>27</v>
      </c>
      <c r="C385" s="14" t="s">
        <v>246</v>
      </c>
      <c r="E385" s="15">
        <f>IF(D385="?OLD","!!!","")</f>
        <v/>
      </c>
      <c r="F385" s="16" t="str">
        <f>IF(OR(E385="",E385="!!!"),"",IF(NOT(ISNA(VLOOKUP(E385,E$1:E384,1,FALSE()))),"OLD",IF(AND(E385&lt;&gt;"",E385&lt;&gt;"!!!"),"NEW","")))</f>
        <v> </v>
      </c>
      <c r="G385" s="17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18" t="str">
        <f>IF(J385&lt;&gt;1,"",IF(I385="SBJ","CB","?"))</f>
        <v> </v>
      </c>
      <c r="I385" s="19" t="str">
        <f>IF(OR(E385="",E385="!!!",F385="NEW"),"",INDEX(B384:B$2,-1+SUMPRODUCT(MAX(ROW(E384:E$2)*(E385=E384:E$2)))))</f>
        <v> </v>
      </c>
      <c r="J385" s="19" t="str">
        <f>IF(OR(E385="",E385="!!!",F385="NEW"),"",COUNTBLANK(OFFSET(A$1,,,SUMPRODUCT(MAX(ROW(E$2:E385)*(E385=E$2:E385)))))-COUNTBLANK(OFFSET(A$1,,,SUMPRODUCT(MAX(ROW(E$1:E384)*(E2=E$1:E384))))))</f>
        <v> </v>
      </c>
      <c r="K385" s="19" t="str">
        <f>IF(OR(E385="",E385="!!!",F385="NEW"),"",INDEX(J$1:J384,SUMPRODUCT(MAX(ROW(E$1:E384)*(E385=E$1:E384)))))</f>
        <v> </v>
      </c>
      <c r="L385" s="20"/>
    </row>
    <row r="386" spans="1:12">
      <c r="A386" s="13" t="s">
        <v>56</v>
      </c>
      <c r="E386" s="15">
        <f>IF(D386="?OLD","!!!","")</f>
        <v/>
      </c>
      <c r="F386" s="16" t="str">
        <f>IF(OR(E386="",E386="!!!"),"",IF(NOT(ISNA(VLOOKUP(E386,E$1:E385,1,FALSE()))),"OLD",IF(AND(E386&lt;&gt;"",E386&lt;&gt;"!!!"),"NEW","")))</f>
        <v> </v>
      </c>
      <c r="G386" s="17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18" t="str">
        <f>IF(J386&lt;&gt;1,"",IF(I386="SBJ","CB","?"))</f>
        <v> </v>
      </c>
      <c r="I386" s="19" t="str">
        <f>IF(OR(E386="",E386="!!!",F386="NEW"),"",INDEX(B385:B$2,-1+SUMPRODUCT(MAX(ROW(E385:E$2)*(E386=E385:E$2)))))</f>
        <v> </v>
      </c>
      <c r="J386" s="19" t="str">
        <f>IF(OR(E386="",E386="!!!",F386="NEW"),"",COUNTBLANK(OFFSET(A$1,,,SUMPRODUCT(MAX(ROW(E$2:E386)*(E386=E$2:E386)))))-COUNTBLANK(OFFSET(A$1,,,SUMPRODUCT(MAX(ROW(E$1:E385)*(E2=E$1:E385))))))</f>
        <v> </v>
      </c>
      <c r="K386" s="19" t="str">
        <f>IF(OR(E386="",E386="!!!",F386="NEW"),"",INDEX(J$1:J385,SUMPRODUCT(MAX(ROW(E$1:E385)*(E386=E$1:E385)))))</f>
        <v> </v>
      </c>
      <c r="L386" s="20"/>
    </row>
    <row r="387" spans="1:12">
      <c r="A387" s="13" t="s">
        <v>76</v>
      </c>
      <c r="E387" s="15">
        <f>IF(D387="?OLD","!!!","")</f>
        <v/>
      </c>
      <c r="F387" s="16" t="str">
        <f>IF(OR(E387="",E387="!!!"),"",IF(NOT(ISNA(VLOOKUP(E387,E$1:E386,1,FALSE()))),"OLD",IF(AND(E387&lt;&gt;"",E387&lt;&gt;"!!!"),"NEW","")))</f>
        <v> </v>
      </c>
      <c r="G387" s="17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18" t="str">
        <f>IF(J387&lt;&gt;1,"",IF(I387="SBJ","CB","?"))</f>
        <v> </v>
      </c>
      <c r="I387" s="19" t="str">
        <f>IF(OR(E387="",E387="!!!",F387="NEW"),"",INDEX(B386:B$2,-1+SUMPRODUCT(MAX(ROW(E386:E$2)*(E387=E386:E$2)))))</f>
        <v> </v>
      </c>
      <c r="J387" s="19" t="str">
        <f>IF(OR(E387="",E387="!!!",F387="NEW"),"",COUNTBLANK(OFFSET(A$1,,,SUMPRODUCT(MAX(ROW(E$2:E387)*(E387=E$2:E387)))))-COUNTBLANK(OFFSET(A$1,,,SUMPRODUCT(MAX(ROW(E$1:E386)*(E2=E$1:E386))))))</f>
        <v> </v>
      </c>
      <c r="K387" s="19" t="str">
        <f>IF(OR(E387="",E387="!!!",F387="NEW"),"",INDEX(J$1:J386,SUMPRODUCT(MAX(ROW(E$1:E386)*(E387=E$1:E386)))))</f>
        <v> </v>
      </c>
      <c r="L387" s="20"/>
    </row>
    <row r="388" spans="1:12">
      <c r="A388" s="13" t="s">
        <v>247</v>
      </c>
      <c r="E388" s="15">
        <f>IF(D388="?OLD","!!!","")</f>
        <v/>
      </c>
      <c r="F388" s="16" t="str">
        <f>IF(OR(E388="",E388="!!!"),"",IF(NOT(ISNA(VLOOKUP(E388,E$1:E387,1,FALSE()))),"OLD",IF(AND(E388&lt;&gt;"",E388&lt;&gt;"!!!"),"NEW","")))</f>
        <v> </v>
      </c>
      <c r="G388" s="17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18" t="str">
        <f>IF(J388&lt;&gt;1,"",IF(I388="SBJ","CB","?"))</f>
        <v> </v>
      </c>
      <c r="I388" s="19" t="str">
        <f>IF(OR(E388="",E388="!!!",F388="NEW"),"",INDEX(B387:B$2,-1+SUMPRODUCT(MAX(ROW(E387:E$2)*(E388=E387:E$2)))))</f>
        <v> </v>
      </c>
      <c r="J388" s="19" t="str">
        <f>IF(OR(E388="",E388="!!!",F388="NEW"),"",COUNTBLANK(OFFSET(A$1,,,SUMPRODUCT(MAX(ROW(E$2:E388)*(E388=E$2:E388)))))-COUNTBLANK(OFFSET(A$1,,,SUMPRODUCT(MAX(ROW(E$1:E387)*(E2=E$1:E387))))))</f>
        <v> </v>
      </c>
      <c r="K388" s="19" t="str">
        <f>IF(OR(E388="",E388="!!!",F388="NEW"),"",INDEX(J$1:J387,SUMPRODUCT(MAX(ROW(E$1:E387)*(E388=E$1:E387)))))</f>
        <v> </v>
      </c>
      <c r="L388" s="20"/>
    </row>
    <row r="389" spans="1:12">
      <c r="A389" s="13" t="s">
        <v>102</v>
      </c>
      <c r="E389" s="15">
        <f>IF(D389="?OLD","!!!","")</f>
        <v/>
      </c>
      <c r="F389" s="16" t="str">
        <f>IF(OR(E389="",E389="!!!"),"",IF(NOT(ISNA(VLOOKUP(E389,E$1:E388,1,FALSE()))),"OLD",IF(AND(E389&lt;&gt;"",E389&lt;&gt;"!!!"),"NEW","")))</f>
        <v> </v>
      </c>
      <c r="G389" s="17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18" t="str">
        <f>IF(J389&lt;&gt;1,"",IF(I389="SBJ","CB","?"))</f>
        <v> </v>
      </c>
      <c r="I389" s="19" t="str">
        <f>IF(OR(E389="",E389="!!!",F389="NEW"),"",INDEX(B388:B$2,-1+SUMPRODUCT(MAX(ROW(E388:E$2)*(E389=E388:E$2)))))</f>
        <v> </v>
      </c>
      <c r="J389" s="19" t="str">
        <f>IF(OR(E389="",E389="!!!",F389="NEW"),"",COUNTBLANK(OFFSET(A$1,,,SUMPRODUCT(MAX(ROW(E$2:E389)*(E389=E$2:E389)))))-COUNTBLANK(OFFSET(A$1,,,SUMPRODUCT(MAX(ROW(E$1:E388)*(E2=E$1:E388))))))</f>
        <v> </v>
      </c>
      <c r="K389" s="19" t="str">
        <f>IF(OR(E389="",E389="!!!",F389="NEW"),"",INDEX(J$1:J388,SUMPRODUCT(MAX(ROW(E$1:E388)*(E389=E$1:E388)))))</f>
        <v> </v>
      </c>
      <c r="L389" s="20"/>
    </row>
    <row r="390" spans="1:12">
      <c r="A390" s="13" t="s">
        <v>248</v>
      </c>
      <c r="E390" s="15">
        <f>IF(D390="?OLD","!!!","")</f>
        <v/>
      </c>
      <c r="F390" s="16" t="str">
        <f>IF(OR(E390="",E390="!!!"),"",IF(NOT(ISNA(VLOOKUP(E390,E$1:E389,1,FALSE()))),"OLD",IF(AND(E390&lt;&gt;"",E390&lt;&gt;"!!!"),"NEW","")))</f>
        <v> </v>
      </c>
      <c r="G390" s="17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18" t="str">
        <f>IF(J390&lt;&gt;1,"",IF(I390="SBJ","CB","?"))</f>
        <v> </v>
      </c>
      <c r="I390" s="19" t="str">
        <f>IF(OR(E390="",E390="!!!",F390="NEW"),"",INDEX(B389:B$2,-1+SUMPRODUCT(MAX(ROW(E389:E$2)*(E390=E389:E$2)))))</f>
        <v> </v>
      </c>
      <c r="J390" s="19" t="str">
        <f>IF(OR(E390="",E390="!!!",F390="NEW"),"",COUNTBLANK(OFFSET(A$1,,,SUMPRODUCT(MAX(ROW(E$2:E390)*(E390=E$2:E390)))))-COUNTBLANK(OFFSET(A$1,,,SUMPRODUCT(MAX(ROW(E$1:E389)*(E2=E$1:E389))))))</f>
        <v> </v>
      </c>
      <c r="K390" s="19" t="str">
        <f>IF(OR(E390="",E390="!!!",F390="NEW"),"",INDEX(J$1:J389,SUMPRODUCT(MAX(ROW(E$1:E389)*(E390=E$1:E389)))))</f>
        <v> </v>
      </c>
      <c r="L390" s="20"/>
    </row>
    <row r="391" spans="1:12">
      <c r="A391" s="13" t="s">
        <v>249</v>
      </c>
      <c r="E391" s="15">
        <f>IF(D391="?OLD","!!!","")</f>
        <v/>
      </c>
      <c r="F391" s="16" t="str">
        <f>IF(OR(E391="",E391="!!!"),"",IF(NOT(ISNA(VLOOKUP(E391,E$1:E390,1,FALSE()))),"OLD",IF(AND(E391&lt;&gt;"",E391&lt;&gt;"!!!"),"NEW","")))</f>
        <v> </v>
      </c>
      <c r="G391" s="17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18" t="str">
        <f>IF(J391&lt;&gt;1,"",IF(I391="SBJ","CB","?"))</f>
        <v> </v>
      </c>
      <c r="I391" s="19" t="str">
        <f>IF(OR(E391="",E391="!!!",F391="NEW"),"",INDEX(B390:B$2,-1+SUMPRODUCT(MAX(ROW(E390:E$2)*(E391=E390:E$2)))))</f>
        <v> </v>
      </c>
      <c r="J391" s="19" t="str">
        <f>IF(OR(E391="",E391="!!!",F391="NEW"),"",COUNTBLANK(OFFSET(A$1,,,SUMPRODUCT(MAX(ROW(E$2:E391)*(E391=E$2:E391)))))-COUNTBLANK(OFFSET(A$1,,,SUMPRODUCT(MAX(ROW(E$1:E390)*(E2=E$1:E390))))))</f>
        <v> </v>
      </c>
      <c r="K391" s="19" t="str">
        <f>IF(OR(E391="",E391="!!!",F391="NEW"),"",INDEX(J$1:J390,SUMPRODUCT(MAX(ROW(E$1:E390)*(E391=E$1:E390)))))</f>
        <v> </v>
      </c>
      <c r="L391" s="20"/>
    </row>
    <row r="392" spans="1:12">
      <c r="A392" s="13" t="s">
        <v>58</v>
      </c>
      <c r="E392" s="15">
        <f>IF(D392="?OLD","!!!","")</f>
        <v/>
      </c>
      <c r="F392" s="16" t="str">
        <f>IF(OR(E392="",E392="!!!"),"",IF(NOT(ISNA(VLOOKUP(E392,E$1:E391,1,FALSE()))),"OLD",IF(AND(E392&lt;&gt;"",E392&lt;&gt;"!!!"),"NEW","")))</f>
        <v> </v>
      </c>
      <c r="G392" s="17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18" t="str">
        <f>IF(J392&lt;&gt;1,"",IF(I392="SBJ","CB","?"))</f>
        <v> </v>
      </c>
      <c r="I392" s="19" t="str">
        <f>IF(OR(E392="",E392="!!!",F392="NEW"),"",INDEX(B391:B$2,-1+SUMPRODUCT(MAX(ROW(E391:E$2)*(E392=E391:E$2)))))</f>
        <v> </v>
      </c>
      <c r="J392" s="19" t="str">
        <f>IF(OR(E392="",E392="!!!",F392="NEW"),"",COUNTBLANK(OFFSET(A$1,,,SUMPRODUCT(MAX(ROW(E$2:E392)*(E392=E$2:E392)))))-COUNTBLANK(OFFSET(A$1,,,SUMPRODUCT(MAX(ROW(E$1:E391)*(E2=E$1:E391))))))</f>
        <v> </v>
      </c>
      <c r="K392" s="19" t="str">
        <f>IF(OR(E392="",E392="!!!",F392="NEW"),"",INDEX(J$1:J391,SUMPRODUCT(MAX(ROW(E$1:E391)*(E392=E$1:E391)))))</f>
        <v> </v>
      </c>
      <c r="L392" s="20"/>
    </row>
    <row r="393" spans="1:12">
      <c r="A393" s="13" t="s">
        <v>250</v>
      </c>
      <c r="E393" s="15">
        <f>IF(D393="?OLD","!!!","")</f>
        <v/>
      </c>
      <c r="F393" s="16" t="str">
        <f>IF(OR(E393="",E393="!!!"),"",IF(NOT(ISNA(VLOOKUP(E393,E$1:E392,1,FALSE()))),"OLD",IF(AND(E393&lt;&gt;"",E393&lt;&gt;"!!!"),"NEW","")))</f>
        <v> </v>
      </c>
      <c r="G393" s="17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18" t="str">
        <f>IF(J393&lt;&gt;1,"",IF(I393="SBJ","CB","?"))</f>
        <v> </v>
      </c>
      <c r="I393" s="19" t="str">
        <f>IF(OR(E393="",E393="!!!",F393="NEW"),"",INDEX(B392:B$2,-1+SUMPRODUCT(MAX(ROW(E392:E$2)*(E393=E392:E$2)))))</f>
        <v> </v>
      </c>
      <c r="J393" s="19" t="str">
        <f>IF(OR(E393="",E393="!!!",F393="NEW"),"",COUNTBLANK(OFFSET(A$1,,,SUMPRODUCT(MAX(ROW(E$2:E393)*(E393=E$2:E393)))))-COUNTBLANK(OFFSET(A$1,,,SUMPRODUCT(MAX(ROW(E$1:E392)*(E2=E$1:E392))))))</f>
        <v> </v>
      </c>
      <c r="K393" s="19" t="str">
        <f>IF(OR(E393="",E393="!!!",F393="NEW"),"",INDEX(J$1:J392,SUMPRODUCT(MAX(ROW(E$1:E392)*(E393=E$1:E392)))))</f>
        <v> </v>
      </c>
      <c r="L393" s="20"/>
    </row>
    <row r="394" spans="1:12">
      <c r="A394" s="13" t="s">
        <v>68</v>
      </c>
      <c r="E394" s="15">
        <f>IF(D394="?OLD","!!!","")</f>
        <v/>
      </c>
      <c r="F394" s="16" t="str">
        <f>IF(OR(E394="",E394="!!!"),"",IF(NOT(ISNA(VLOOKUP(E394,E$1:E393,1,FALSE()))),"OLD",IF(AND(E394&lt;&gt;"",E394&lt;&gt;"!!!"),"NEW","")))</f>
        <v> </v>
      </c>
      <c r="G394" s="17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18" t="str">
        <f>IF(J394&lt;&gt;1,"",IF(I394="SBJ","CB","?"))</f>
        <v> </v>
      </c>
      <c r="I394" s="19" t="str">
        <f>IF(OR(E394="",E394="!!!",F394="NEW"),"",INDEX(B393:B$2,-1+SUMPRODUCT(MAX(ROW(E393:E$2)*(E394=E393:E$2)))))</f>
        <v> </v>
      </c>
      <c r="J394" s="19" t="str">
        <f>IF(OR(E394="",E394="!!!",F394="NEW"),"",COUNTBLANK(OFFSET(A$1,,,SUMPRODUCT(MAX(ROW(E$2:E394)*(E394=E$2:E394)))))-COUNTBLANK(OFFSET(A$1,,,SUMPRODUCT(MAX(ROW(E$1:E393)*(E2=E$1:E393))))))</f>
        <v> </v>
      </c>
      <c r="K394" s="19" t="str">
        <f>IF(OR(E394="",E394="!!!",F394="NEW"),"",INDEX(J$1:J393,SUMPRODUCT(MAX(ROW(E$1:E393)*(E394=E$1:E393)))))</f>
        <v> </v>
      </c>
      <c r="L394" s="20"/>
    </row>
    <row r="395" spans="1:12">
      <c r="A395" s="13" t="s">
        <v>119</v>
      </c>
      <c r="E395" s="15">
        <f>IF(D395="?OLD","!!!","")</f>
        <v/>
      </c>
      <c r="F395" s="16" t="str">
        <f>IF(OR(E395="",E395="!!!"),"",IF(NOT(ISNA(VLOOKUP(E395,E$1:E394,1,FALSE()))),"OLD",IF(AND(E395&lt;&gt;"",E395&lt;&gt;"!!!"),"NEW","")))</f>
        <v> </v>
      </c>
      <c r="G395" s="17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18" t="str">
        <f>IF(J395&lt;&gt;1,"",IF(I395="SBJ","CB","?"))</f>
        <v> </v>
      </c>
      <c r="I395" s="19" t="str">
        <f>IF(OR(E395="",E395="!!!",F395="NEW"),"",INDEX(B394:B$2,-1+SUMPRODUCT(MAX(ROW(E394:E$2)*(E395=E394:E$2)))))</f>
        <v> </v>
      </c>
      <c r="J395" s="19" t="str">
        <f>IF(OR(E395="",E395="!!!",F395="NEW"),"",COUNTBLANK(OFFSET(A$1,,,SUMPRODUCT(MAX(ROW(E$2:E395)*(E395=E$2:E395)))))-COUNTBLANK(OFFSET(A$1,,,SUMPRODUCT(MAX(ROW(E$1:E394)*(E2=E$1:E394))))))</f>
        <v> </v>
      </c>
      <c r="K395" s="19" t="str">
        <f>IF(OR(E395="",E395="!!!",F395="NEW"),"",INDEX(J$1:J394,SUMPRODUCT(MAX(ROW(E$1:E394)*(E395=E$1:E394)))))</f>
        <v> </v>
      </c>
      <c r="L395" s="20"/>
    </row>
    <row r="396" spans="1:12">
      <c r="A396" s="13"/>
    </row>
    <row r="397" spans="1:12">
      <c r="A397" s="13" t="s">
        <v>251</v>
      </c>
    </row>
    <row r="398" spans="1:12">
      <c r="A398" s="13" t="s">
        <v>252</v>
      </c>
      <c r="E398" s="15">
        <f>IF(D398="?OLD","!!!","")</f>
        <v/>
      </c>
      <c r="F398" s="16" t="str">
        <f>IF(OR(E398="",E398="!!!"),"",IF(NOT(ISNA(VLOOKUP(E398,E$1:E397,1,FALSE()))),"OLD",IF(AND(E398&lt;&gt;"",E398&lt;&gt;"!!!"),"NEW","")))</f>
        <v> </v>
      </c>
      <c r="G398" s="17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18" t="str">
        <f>IF(J398&lt;&gt;1,"",IF(I398="SBJ","CB","?"))</f>
        <v> </v>
      </c>
      <c r="I398" s="19" t="str">
        <f>IF(OR(E398="",E398="!!!",F398="NEW"),"",INDEX(B397:B$2,-1+SUMPRODUCT(MAX(ROW(E397:E$2)*(E398=E397:E$2)))))</f>
        <v> </v>
      </c>
      <c r="J398" s="19" t="str">
        <f>IF(OR(E398="",E398="!!!",F398="NEW"),"",COUNTBLANK(OFFSET(A$1,,,SUMPRODUCT(MAX(ROW(E$2:E398)*(E398=E$2:E398)))))-COUNTBLANK(OFFSET(A$1,,,SUMPRODUCT(MAX(ROW(E$1:E397)*(E2=E$1:E397))))))</f>
        <v> </v>
      </c>
      <c r="K398" s="19" t="str">
        <f>IF(OR(E398="",E398="!!!",F398="NEW"),"",INDEX(J$1:J397,SUMPRODUCT(MAX(ROW(E$1:E397)*(E398=E$1:E397)))))</f>
        <v> </v>
      </c>
      <c r="L398" s="20"/>
    </row>
    <row r="399" spans="1:12">
      <c r="A399" s="13" t="s">
        <v>164</v>
      </c>
      <c r="B399" s="14" t="s">
        <v>45</v>
      </c>
      <c r="C399" s="14" t="s">
        <v>24</v>
      </c>
      <c r="D399" s="14" t="s">
        <v>25</v>
      </c>
      <c r="E399" s="15">
        <f>IF(D399="?OLD","!!!","")</f>
        <v/>
      </c>
      <c r="F399" s="16" t="str">
        <f>IF(OR(E399="",E399="!!!"),"",IF(NOT(ISNA(VLOOKUP(E399,E$1:E398,1,FALSE()))),"OLD",IF(AND(E399&lt;&gt;"",E399&lt;&gt;"!!!"),"NEW","")))</f>
        <v> </v>
      </c>
      <c r="G399" s="17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18" t="str">
        <f>IF(J399&lt;&gt;1,"",IF(I399="SBJ","CB","?"))</f>
        <v> </v>
      </c>
      <c r="I399" s="19" t="str">
        <f>IF(OR(E399="",E399="!!!",F399="NEW"),"",INDEX(B398:B$2,-1+SUMPRODUCT(MAX(ROW(E398:E$2)*(E399=E398:E$2)))))</f>
        <v> </v>
      </c>
      <c r="J399" s="19" t="str">
        <f>IF(OR(E399="",E399="!!!",F399="NEW"),"",COUNTBLANK(OFFSET(A$1,,,SUMPRODUCT(MAX(ROW(E$2:E399)*(E399=E$2:E399)))))-COUNTBLANK(OFFSET(A$1,,,SUMPRODUCT(MAX(ROW(E$1:E398)*(E2=E$1:E398))))))</f>
        <v> </v>
      </c>
      <c r="K399" s="19" t="str">
        <f>IF(OR(E399="",E399="!!!",F399="NEW"),"",INDEX(J$1:J398,SUMPRODUCT(MAX(ROW(E$1:E398)*(E399=E$1:E398)))))</f>
        <v> </v>
      </c>
      <c r="L399" s="20"/>
    </row>
    <row r="400" spans="1:12">
      <c r="A400" s="13" t="s">
        <v>62</v>
      </c>
      <c r="E400" s="15">
        <f>IF(D400="?OLD","!!!","")</f>
        <v/>
      </c>
      <c r="F400" s="16" t="str">
        <f>IF(OR(E400="",E400="!!!"),"",IF(NOT(ISNA(VLOOKUP(E400,E$1:E399,1,FALSE()))),"OLD",IF(AND(E400&lt;&gt;"",E400&lt;&gt;"!!!"),"NEW","")))</f>
        <v> </v>
      </c>
      <c r="G400" s="17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18" t="str">
        <f>IF(J400&lt;&gt;1,"",IF(I400="SBJ","CB","?"))</f>
        <v> </v>
      </c>
      <c r="I400" s="19" t="str">
        <f>IF(OR(E400="",E400="!!!",F400="NEW"),"",INDEX(B399:B$2,-1+SUMPRODUCT(MAX(ROW(E399:E$2)*(E400=E399:E$2)))))</f>
        <v> </v>
      </c>
      <c r="J400" s="19" t="str">
        <f>IF(OR(E400="",E400="!!!",F400="NEW"),"",COUNTBLANK(OFFSET(A$1,,,SUMPRODUCT(MAX(ROW(E$2:E400)*(E400=E$2:E400)))))-COUNTBLANK(OFFSET(A$1,,,SUMPRODUCT(MAX(ROW(E$1:E399)*(E2=E$1:E399))))))</f>
        <v> </v>
      </c>
      <c r="K400" s="19" t="str">
        <f>IF(OR(E400="",E400="!!!",F400="NEW"),"",INDEX(J$1:J399,SUMPRODUCT(MAX(ROW(E$1:E399)*(E400=E$1:E399)))))</f>
        <v> </v>
      </c>
      <c r="L400" s="20"/>
    </row>
    <row r="401" spans="1:12">
      <c r="A401" s="13" t="s">
        <v>253</v>
      </c>
      <c r="E401" s="15">
        <f>IF(D401="?OLD","!!!","")</f>
        <v/>
      </c>
      <c r="F401" s="16" t="str">
        <f>IF(OR(E401="",E401="!!!"),"",IF(NOT(ISNA(VLOOKUP(E401,E$1:E400,1,FALSE()))),"OLD",IF(AND(E401&lt;&gt;"",E401&lt;&gt;"!!!"),"NEW","")))</f>
        <v> </v>
      </c>
      <c r="G401" s="17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18" t="str">
        <f>IF(J401&lt;&gt;1,"",IF(I401="SBJ","CB","?"))</f>
        <v> </v>
      </c>
      <c r="I401" s="19" t="str">
        <f>IF(OR(E401="",E401="!!!",F401="NEW"),"",INDEX(B400:B$2,-1+SUMPRODUCT(MAX(ROW(E400:E$2)*(E401=E400:E$2)))))</f>
        <v> </v>
      </c>
      <c r="J401" s="19" t="str">
        <f>IF(OR(E401="",E401="!!!",F401="NEW"),"",COUNTBLANK(OFFSET(A$1,,,SUMPRODUCT(MAX(ROW(E$2:E401)*(E401=E$2:E401)))))-COUNTBLANK(OFFSET(A$1,,,SUMPRODUCT(MAX(ROW(E$1:E400)*(E2=E$1:E400))))))</f>
        <v> </v>
      </c>
      <c r="K401" s="19" t="str">
        <f>IF(OR(E401="",E401="!!!",F401="NEW"),"",INDEX(J$1:J400,SUMPRODUCT(MAX(ROW(E$1:E400)*(E401=E$1:E400)))))</f>
        <v> </v>
      </c>
      <c r="L401" s="20"/>
    </row>
    <row r="402" spans="1:12">
      <c r="A402" s="13" t="s">
        <v>102</v>
      </c>
      <c r="E402" s="15">
        <f>IF(D402="?OLD","!!!","")</f>
        <v/>
      </c>
      <c r="F402" s="16" t="str">
        <f>IF(OR(E402="",E402="!!!"),"",IF(NOT(ISNA(VLOOKUP(E402,E$1:E401,1,FALSE()))),"OLD",IF(AND(E402&lt;&gt;"",E402&lt;&gt;"!!!"),"NEW","")))</f>
        <v> </v>
      </c>
      <c r="G402" s="17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18" t="str">
        <f>IF(J402&lt;&gt;1,"",IF(I402="SBJ","CB","?"))</f>
        <v> </v>
      </c>
      <c r="I402" s="19" t="str">
        <f>IF(OR(E402="",E402="!!!",F402="NEW"),"",INDEX(B401:B$2,-1+SUMPRODUCT(MAX(ROW(E401:E$2)*(E402=E401:E$2)))))</f>
        <v> </v>
      </c>
      <c r="J402" s="19" t="str">
        <f>IF(OR(E402="",E402="!!!",F402="NEW"),"",COUNTBLANK(OFFSET(A$1,,,SUMPRODUCT(MAX(ROW(E$2:E402)*(E402=E$2:E402)))))-COUNTBLANK(OFFSET(A$1,,,SUMPRODUCT(MAX(ROW(E$1:E401)*(E2=E$1:E401))))))</f>
        <v> </v>
      </c>
      <c r="K402" s="19" t="str">
        <f>IF(OR(E402="",E402="!!!",F402="NEW"),"",INDEX(J$1:J401,SUMPRODUCT(MAX(ROW(E$1:E401)*(E402=E$1:E401)))))</f>
        <v> </v>
      </c>
      <c r="L402" s="20"/>
    </row>
    <row r="403" spans="1:12">
      <c r="A403" s="13" t="s">
        <v>254</v>
      </c>
      <c r="E403" s="15">
        <f>IF(D403="?OLD","!!!","")</f>
        <v/>
      </c>
      <c r="F403" s="16" t="str">
        <f>IF(OR(E403="",E403="!!!"),"",IF(NOT(ISNA(VLOOKUP(E403,E$1:E402,1,FALSE()))),"OLD",IF(AND(E403&lt;&gt;"",E403&lt;&gt;"!!!"),"NEW","")))</f>
        <v> </v>
      </c>
      <c r="G403" s="17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18" t="str">
        <f>IF(J403&lt;&gt;1,"",IF(I403="SBJ","CB","?"))</f>
        <v> </v>
      </c>
      <c r="I403" s="19" t="str">
        <f>IF(OR(E403="",E403="!!!",F403="NEW"),"",INDEX(B402:B$2,-1+SUMPRODUCT(MAX(ROW(E402:E$2)*(E403=E402:E$2)))))</f>
        <v> </v>
      </c>
      <c r="J403" s="19" t="str">
        <f>IF(OR(E403="",E403="!!!",F403="NEW"),"",COUNTBLANK(OFFSET(A$1,,,SUMPRODUCT(MAX(ROW(E$2:E403)*(E403=E$2:E403)))))-COUNTBLANK(OFFSET(A$1,,,SUMPRODUCT(MAX(ROW(E$1:E402)*(E2=E$1:E402))))))</f>
        <v> </v>
      </c>
      <c r="K403" s="19" t="str">
        <f>IF(OR(E403="",E403="!!!",F403="NEW"),"",INDEX(J$1:J402,SUMPRODUCT(MAX(ROW(E$1:E402)*(E403=E$1:E402)))))</f>
        <v> </v>
      </c>
      <c r="L403" s="20"/>
    </row>
    <row r="404" spans="1:12">
      <c r="A404" s="13" t="s">
        <v>151</v>
      </c>
      <c r="E404" s="15">
        <f>IF(D404="?OLD","!!!","")</f>
        <v/>
      </c>
      <c r="F404" s="16" t="str">
        <f>IF(OR(E404="",E404="!!!"),"",IF(NOT(ISNA(VLOOKUP(E404,E$1:E403,1,FALSE()))),"OLD",IF(AND(E404&lt;&gt;"",E404&lt;&gt;"!!!"),"NEW","")))</f>
        <v> </v>
      </c>
      <c r="G404" s="17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18" t="str">
        <f>IF(J404&lt;&gt;1,"",IF(I404="SBJ","CB","?"))</f>
        <v> </v>
      </c>
      <c r="I404" s="19" t="str">
        <f>IF(OR(E404="",E404="!!!",F404="NEW"),"",INDEX(B403:B$2,-1+SUMPRODUCT(MAX(ROW(E403:E$2)*(E404=E403:E$2)))))</f>
        <v> </v>
      </c>
      <c r="J404" s="19" t="str">
        <f>IF(OR(E404="",E404="!!!",F404="NEW"),"",COUNTBLANK(OFFSET(A$1,,,SUMPRODUCT(MAX(ROW(E$2:E404)*(E404=E$2:E404)))))-COUNTBLANK(OFFSET(A$1,,,SUMPRODUCT(MAX(ROW(E$1:E403)*(E2=E$1:E403))))))</f>
        <v> </v>
      </c>
      <c r="K404" s="19" t="str">
        <f>IF(OR(E404="",E404="!!!",F404="NEW"),"",INDEX(J$1:J403,SUMPRODUCT(MAX(ROW(E$1:E403)*(E404=E$1:E403)))))</f>
        <v> </v>
      </c>
      <c r="L404" s="20"/>
    </row>
    <row r="405" spans="1:12">
      <c r="A405" s="13" t="s">
        <v>57</v>
      </c>
      <c r="E405" s="15">
        <f>IF(D405="?OLD","!!!","")</f>
        <v/>
      </c>
      <c r="F405" s="16" t="str">
        <f>IF(OR(E405="",E405="!!!"),"",IF(NOT(ISNA(VLOOKUP(E405,E$1:E404,1,FALSE()))),"OLD",IF(AND(E405&lt;&gt;"",E405&lt;&gt;"!!!"),"NEW","")))</f>
        <v> </v>
      </c>
      <c r="G405" s="17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18" t="str">
        <f>IF(J405&lt;&gt;1,"",IF(I405="SBJ","CB","?"))</f>
        <v> </v>
      </c>
      <c r="I405" s="19" t="str">
        <f>IF(OR(E405="",E405="!!!",F405="NEW"),"",INDEX(B404:B$2,-1+SUMPRODUCT(MAX(ROW(E404:E$2)*(E405=E404:E$2)))))</f>
        <v> </v>
      </c>
      <c r="J405" s="19" t="str">
        <f>IF(OR(E405="",E405="!!!",F405="NEW"),"",COUNTBLANK(OFFSET(A$1,,,SUMPRODUCT(MAX(ROW(E$2:E405)*(E405=E$2:E405)))))-COUNTBLANK(OFFSET(A$1,,,SUMPRODUCT(MAX(ROW(E$1:E404)*(E2=E$1:E404))))))</f>
        <v> </v>
      </c>
      <c r="K405" s="19" t="str">
        <f>IF(OR(E405="",E405="!!!",F405="NEW"),"",INDEX(J$1:J404,SUMPRODUCT(MAX(ROW(E$1:E404)*(E405=E$1:E404)))))</f>
        <v> </v>
      </c>
      <c r="L405" s="20"/>
    </row>
    <row r="406" spans="1:12">
      <c r="A406" s="13" t="s">
        <v>71</v>
      </c>
      <c r="B406" s="14" t="s">
        <v>63</v>
      </c>
      <c r="C406" s="14" t="s">
        <v>72</v>
      </c>
      <c r="D406" s="14" t="s">
        <v>25</v>
      </c>
      <c r="E406" s="15">
        <f>IF(D406="?OLD","!!!","")</f>
        <v/>
      </c>
      <c r="F406" s="16" t="str">
        <f>IF(OR(E406="",E406="!!!"),"",IF(NOT(ISNA(VLOOKUP(E406,E$1:E405,1,FALSE()))),"OLD",IF(AND(E406&lt;&gt;"",E406&lt;&gt;"!!!"),"NEW","")))</f>
        <v> </v>
      </c>
      <c r="G406" s="17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18" t="str">
        <f>IF(J406&lt;&gt;1,"",IF(I406="SBJ","CB","?"))</f>
        <v> </v>
      </c>
      <c r="I406" s="19" t="str">
        <f>IF(OR(E406="",E406="!!!",F406="NEW"),"",INDEX(B405:B$2,-1+SUMPRODUCT(MAX(ROW(E405:E$2)*(E406=E405:E$2)))))</f>
        <v> </v>
      </c>
      <c r="J406" s="19" t="str">
        <f>IF(OR(E406="",E406="!!!",F406="NEW"),"",COUNTBLANK(OFFSET(A$1,,,SUMPRODUCT(MAX(ROW(E$2:E406)*(E406=E$2:E406)))))-COUNTBLANK(OFFSET(A$1,,,SUMPRODUCT(MAX(ROW(E$1:E405)*(E2=E$1:E405))))))</f>
        <v> </v>
      </c>
      <c r="K406" s="19" t="str">
        <f>IF(OR(E406="",E406="!!!",F406="NEW"),"",INDEX(J$1:J405,SUMPRODUCT(MAX(ROW(E$1:E405)*(E406=E$1:E405)))))</f>
        <v> </v>
      </c>
      <c r="L406" s="20"/>
    </row>
    <row r="407" spans="1:12">
      <c r="A407" s="13" t="s">
        <v>255</v>
      </c>
      <c r="B407" s="14" t="s">
        <v>33</v>
      </c>
      <c r="C407" s="14" t="s">
        <v>60</v>
      </c>
      <c r="D407" s="14" t="s">
        <v>25</v>
      </c>
      <c r="E407" s="15">
        <f>IF(D407="?OLD","!!!","")</f>
        <v/>
      </c>
      <c r="F407" s="16" t="str">
        <f>IF(OR(E407="",E407="!!!"),"",IF(NOT(ISNA(VLOOKUP(E407,E$1:E406,1,FALSE()))),"OLD",IF(AND(E407&lt;&gt;"",E407&lt;&gt;"!!!"),"NEW","")))</f>
        <v> </v>
      </c>
      <c r="G407" s="17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18" t="str">
        <f>IF(J407&lt;&gt;1,"",IF(I407="SBJ","CB","?"))</f>
        <v> </v>
      </c>
      <c r="I407" s="19" t="str">
        <f>IF(OR(E407="",E407="!!!",F407="NEW"),"",INDEX(B406:B$2,-1+SUMPRODUCT(MAX(ROW(E406:E$2)*(E407=E406:E$2)))))</f>
        <v> </v>
      </c>
      <c r="J407" s="19" t="str">
        <f>IF(OR(E407="",E407="!!!",F407="NEW"),"",COUNTBLANK(OFFSET(A$1,,,SUMPRODUCT(MAX(ROW(E$2:E407)*(E407=E$2:E407)))))-COUNTBLANK(OFFSET(A$1,,,SUMPRODUCT(MAX(ROW(E$1:E406)*(E2=E$1:E406))))))</f>
        <v> </v>
      </c>
      <c r="K407" s="19" t="str">
        <f>IF(OR(E407="",E407="!!!",F407="NEW"),"",INDEX(J$1:J406,SUMPRODUCT(MAX(ROW(E$1:E406)*(E407=E$1:E406)))))</f>
        <v> </v>
      </c>
      <c r="L407" s="20"/>
    </row>
    <row r="408" spans="1:12">
      <c r="A408" s="13" t="s">
        <v>56</v>
      </c>
      <c r="E408" s="15">
        <f>IF(D408="?OLD","!!!","")</f>
        <v/>
      </c>
      <c r="F408" s="16" t="str">
        <f>IF(OR(E408="",E408="!!!"),"",IF(NOT(ISNA(VLOOKUP(E408,E$1:E407,1,FALSE()))),"OLD",IF(AND(E408&lt;&gt;"",E408&lt;&gt;"!!!"),"NEW","")))</f>
        <v> </v>
      </c>
      <c r="G408" s="17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18" t="str">
        <f>IF(J408&lt;&gt;1,"",IF(I408="SBJ","CB","?"))</f>
        <v> </v>
      </c>
      <c r="I408" s="19" t="str">
        <f>IF(OR(E408="",E408="!!!",F408="NEW"),"",INDEX(B407:B$2,-1+SUMPRODUCT(MAX(ROW(E407:E$2)*(E408=E407:E$2)))))</f>
        <v> </v>
      </c>
      <c r="J408" s="19" t="str">
        <f>IF(OR(E408="",E408="!!!",F408="NEW"),"",COUNTBLANK(OFFSET(A$1,,,SUMPRODUCT(MAX(ROW(E$2:E408)*(E408=E$2:E408)))))-COUNTBLANK(OFFSET(A$1,,,SUMPRODUCT(MAX(ROW(E$1:E407)*(E2=E$1:E407))))))</f>
        <v> </v>
      </c>
      <c r="K408" s="19" t="str">
        <f>IF(OR(E408="",E408="!!!",F408="NEW"),"",INDEX(J$1:J407,SUMPRODUCT(MAX(ROW(E$1:E407)*(E408=E$1:E407)))))</f>
        <v> </v>
      </c>
      <c r="L408" s="20"/>
    </row>
    <row r="409" spans="1:12">
      <c r="A409" s="13" t="s">
        <v>61</v>
      </c>
      <c r="B409" s="14" t="s">
        <v>210</v>
      </c>
      <c r="E409" s="15">
        <f>IF(D409="?OLD","!!!","")</f>
        <v/>
      </c>
      <c r="F409" s="16" t="str">
        <f>IF(OR(E409="",E409="!!!"),"",IF(NOT(ISNA(VLOOKUP(E409,E$1:E408,1,FALSE()))),"OLD",IF(AND(E409&lt;&gt;"",E409&lt;&gt;"!!!"),"NEW","")))</f>
        <v> </v>
      </c>
      <c r="G409" s="17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18" t="str">
        <f>IF(J409&lt;&gt;1,"",IF(I409="SBJ","CB","?"))</f>
        <v> </v>
      </c>
      <c r="I409" s="19" t="str">
        <f>IF(OR(E409="",E409="!!!",F409="NEW"),"",INDEX(B408:B$2,-1+SUMPRODUCT(MAX(ROW(E408:E$2)*(E409=E408:E$2)))))</f>
        <v> </v>
      </c>
      <c r="J409" s="19" t="str">
        <f>IF(OR(E409="",E409="!!!",F409="NEW"),"",COUNTBLANK(OFFSET(A$1,,,SUMPRODUCT(MAX(ROW(E$2:E409)*(E409=E$2:E409)))))-COUNTBLANK(OFFSET(A$1,,,SUMPRODUCT(MAX(ROW(E$1:E408)*(E2=E$1:E408))))))</f>
        <v> </v>
      </c>
      <c r="K409" s="19" t="str">
        <f>IF(OR(E409="",E409="!!!",F409="NEW"),"",INDEX(J$1:J408,SUMPRODUCT(MAX(ROW(E$1:E408)*(E409=E$1:E408)))))</f>
        <v> </v>
      </c>
      <c r="L409" s="20"/>
    </row>
    <row r="410" spans="1:12">
      <c r="A410" s="13" t="s">
        <v>48</v>
      </c>
      <c r="E410" s="15">
        <f>IF(D410="?OLD","!!!","")</f>
        <v/>
      </c>
      <c r="F410" s="16" t="str">
        <f>IF(OR(E410="",E410="!!!"),"",IF(NOT(ISNA(VLOOKUP(E410,E$1:E409,1,FALSE()))),"OLD",IF(AND(E410&lt;&gt;"",E410&lt;&gt;"!!!"),"NEW","")))</f>
        <v> </v>
      </c>
      <c r="G410" s="17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18" t="str">
        <f>IF(J410&lt;&gt;1,"",IF(I410="SBJ","CB","?"))</f>
        <v> </v>
      </c>
      <c r="I410" s="19" t="str">
        <f>IF(OR(E410="",E410="!!!",F410="NEW"),"",INDEX(B409:B$2,-1+SUMPRODUCT(MAX(ROW(E409:E$2)*(E410=E409:E$2)))))</f>
        <v> </v>
      </c>
      <c r="J410" s="19" t="str">
        <f>IF(OR(E410="",E410="!!!",F410="NEW"),"",COUNTBLANK(OFFSET(A$1,,,SUMPRODUCT(MAX(ROW(E$2:E410)*(E410=E$2:E410)))))-COUNTBLANK(OFFSET(A$1,,,SUMPRODUCT(MAX(ROW(E$1:E409)*(E2=E$1:E409))))))</f>
        <v> </v>
      </c>
      <c r="K410" s="19" t="str">
        <f>IF(OR(E410="",E410="!!!",F410="NEW"),"",INDEX(J$1:J409,SUMPRODUCT(MAX(ROW(E$1:E409)*(E410=E$1:E409)))))</f>
        <v> </v>
      </c>
      <c r="L410" s="20"/>
    </row>
    <row r="411" spans="1:12">
      <c r="A411" s="13" t="s">
        <v>49</v>
      </c>
      <c r="E411" s="15">
        <f>IF(D411="?OLD","!!!","")</f>
        <v/>
      </c>
      <c r="F411" s="16" t="str">
        <f>IF(OR(E411="",E411="!!!"),"",IF(NOT(ISNA(VLOOKUP(E411,E$1:E410,1,FALSE()))),"OLD",IF(AND(E411&lt;&gt;"",E411&lt;&gt;"!!!"),"NEW","")))</f>
        <v> </v>
      </c>
      <c r="G411" s="17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18" t="str">
        <f>IF(J411&lt;&gt;1,"",IF(I411="SBJ","CB","?"))</f>
        <v> </v>
      </c>
      <c r="I411" s="19" t="str">
        <f>IF(OR(E411="",E411="!!!",F411="NEW"),"",INDEX(B410:B$2,-1+SUMPRODUCT(MAX(ROW(E410:E$2)*(E411=E410:E$2)))))</f>
        <v> </v>
      </c>
      <c r="J411" s="19" t="str">
        <f>IF(OR(E411="",E411="!!!",F411="NEW"),"",COUNTBLANK(OFFSET(A$1,,,SUMPRODUCT(MAX(ROW(E$2:E411)*(E411=E$2:E411)))))-COUNTBLANK(OFFSET(A$1,,,SUMPRODUCT(MAX(ROW(E$1:E410)*(E2=E$1:E410))))))</f>
        <v> </v>
      </c>
      <c r="K411" s="19" t="str">
        <f>IF(OR(E411="",E411="!!!",F411="NEW"),"",INDEX(J$1:J410,SUMPRODUCT(MAX(ROW(E$1:E410)*(E411=E$1:E410)))))</f>
        <v> </v>
      </c>
      <c r="L411" s="20"/>
    </row>
    <row r="412" spans="1:12">
      <c r="A412" s="13" t="s">
        <v>256</v>
      </c>
      <c r="B412" s="14" t="s">
        <v>63</v>
      </c>
      <c r="C412" s="14" t="s">
        <v>51</v>
      </c>
      <c r="E412" s="15">
        <f>IF(D412="?OLD","!!!","")</f>
        <v/>
      </c>
      <c r="F412" s="16" t="str">
        <f>IF(OR(E412="",E412="!!!"),"",IF(NOT(ISNA(VLOOKUP(E412,E$1:E411,1,FALSE()))),"OLD",IF(AND(E412&lt;&gt;"",E412&lt;&gt;"!!!"),"NEW","")))</f>
        <v> </v>
      </c>
      <c r="G412" s="17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18" t="str">
        <f>IF(J412&lt;&gt;1,"",IF(I412="SBJ","CB","?"))</f>
        <v> </v>
      </c>
      <c r="I412" s="19" t="str">
        <f>IF(OR(E412="",E412="!!!",F412="NEW"),"",INDEX(B411:B$2,-1+SUMPRODUCT(MAX(ROW(E411:E$2)*(E412=E411:E$2)))))</f>
        <v> </v>
      </c>
      <c r="J412" s="19" t="str">
        <f>IF(OR(E412="",E412="!!!",F412="NEW"),"",COUNTBLANK(OFFSET(A$1,,,SUMPRODUCT(MAX(ROW(E$2:E412)*(E412=E$2:E412)))))-COUNTBLANK(OFFSET(A$1,,,SUMPRODUCT(MAX(ROW(E$1:E411)*(E2=E$1:E411))))))</f>
        <v> </v>
      </c>
      <c r="K412" s="19" t="str">
        <f>IF(OR(E412="",E412="!!!",F412="NEW"),"",INDEX(J$1:J411,SUMPRODUCT(MAX(ROW(E$1:E411)*(E412=E$1:E411)))))</f>
        <v> </v>
      </c>
      <c r="L412" s="20"/>
    </row>
    <row r="413" spans="1:12">
      <c r="A413" s="13" t="s">
        <v>56</v>
      </c>
      <c r="E413" s="15">
        <f>IF(D413="?OLD","!!!","")</f>
        <v/>
      </c>
      <c r="F413" s="16" t="str">
        <f>IF(OR(E413="",E413="!!!"),"",IF(NOT(ISNA(VLOOKUP(E413,E$1:E412,1,FALSE()))),"OLD",IF(AND(E413&lt;&gt;"",E413&lt;&gt;"!!!"),"NEW","")))</f>
        <v> </v>
      </c>
      <c r="G413" s="17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18" t="str">
        <f>IF(J413&lt;&gt;1,"",IF(I413="SBJ","CB","?"))</f>
        <v> </v>
      </c>
      <c r="I413" s="19" t="str">
        <f>IF(OR(E413="",E413="!!!",F413="NEW"),"",INDEX(B412:B$2,-1+SUMPRODUCT(MAX(ROW(E412:E$2)*(E413=E412:E$2)))))</f>
        <v> </v>
      </c>
      <c r="J413" s="19" t="str">
        <f>IF(OR(E413="",E413="!!!",F413="NEW"),"",COUNTBLANK(OFFSET(A$1,,,SUMPRODUCT(MAX(ROW(E$2:E413)*(E413=E$2:E413)))))-COUNTBLANK(OFFSET(A$1,,,SUMPRODUCT(MAX(ROW(E$1:E412)*(E2=E$1:E412))))))</f>
        <v> </v>
      </c>
      <c r="K413" s="19" t="str">
        <f>IF(OR(E413="",E413="!!!",F413="NEW"),"",INDEX(J$1:J412,SUMPRODUCT(MAX(ROW(E$1:E412)*(E413=E$1:E412)))))</f>
        <v> </v>
      </c>
      <c r="L413" s="20"/>
    </row>
    <row r="414" spans="1:12">
      <c r="A414" s="13" t="s">
        <v>209</v>
      </c>
      <c r="E414" s="15">
        <f>IF(D414="?OLD","!!!","")</f>
        <v/>
      </c>
      <c r="F414" s="16" t="str">
        <f>IF(OR(E414="",E414="!!!"),"",IF(NOT(ISNA(VLOOKUP(E414,E$1:E413,1,FALSE()))),"OLD",IF(AND(E414&lt;&gt;"",E414&lt;&gt;"!!!"),"NEW","")))</f>
        <v> </v>
      </c>
      <c r="G414" s="17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18" t="str">
        <f>IF(J414&lt;&gt;1,"",IF(I414="SBJ","CB","?"))</f>
        <v> </v>
      </c>
      <c r="I414" s="19" t="str">
        <f>IF(OR(E414="",E414="!!!",F414="NEW"),"",INDEX(B413:B$2,-1+SUMPRODUCT(MAX(ROW(E413:E$2)*(E414=E413:E$2)))))</f>
        <v> </v>
      </c>
      <c r="J414" s="19" t="str">
        <f>IF(OR(E414="",E414="!!!",F414="NEW"),"",COUNTBLANK(OFFSET(A$1,,,SUMPRODUCT(MAX(ROW(E$2:E414)*(E414=E$2:E414)))))-COUNTBLANK(OFFSET(A$1,,,SUMPRODUCT(MAX(ROW(E$1:E413)*(E2=E$1:E413))))))</f>
        <v> </v>
      </c>
      <c r="K414" s="19" t="str">
        <f>IF(OR(E414="",E414="!!!",F414="NEW"),"",INDEX(J$1:J413,SUMPRODUCT(MAX(ROW(E$1:E413)*(E414=E$1:E413)))))</f>
        <v> </v>
      </c>
      <c r="L414" s="20"/>
    </row>
    <row r="415" spans="1:12">
      <c r="A415" s="13" t="s">
        <v>257</v>
      </c>
      <c r="B415" s="14" t="s">
        <v>27</v>
      </c>
      <c r="C415" s="14" t="s">
        <v>258</v>
      </c>
      <c r="E415" s="15">
        <f>IF(D415="?OLD","!!!","")</f>
        <v/>
      </c>
      <c r="F415" s="16" t="str">
        <f>IF(OR(E415="",E415="!!!"),"",IF(NOT(ISNA(VLOOKUP(E415,E$1:E414,1,FALSE()))),"OLD",IF(AND(E415&lt;&gt;"",E415&lt;&gt;"!!!"),"NEW","")))</f>
        <v> </v>
      </c>
      <c r="G415" s="17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18" t="str">
        <f>IF(J415&lt;&gt;1,"",IF(I415="SBJ","CB","?"))</f>
        <v> </v>
      </c>
      <c r="I415" s="19" t="str">
        <f>IF(OR(E415="",E415="!!!",F415="NEW"),"",INDEX(B414:B$2,-1+SUMPRODUCT(MAX(ROW(E414:E$2)*(E415=E414:E$2)))))</f>
        <v> </v>
      </c>
      <c r="J415" s="19" t="str">
        <f>IF(OR(E415="",E415="!!!",F415="NEW"),"",COUNTBLANK(OFFSET(A$1,,,SUMPRODUCT(MAX(ROW(E$2:E415)*(E415=E$2:E415)))))-COUNTBLANK(OFFSET(A$1,,,SUMPRODUCT(MAX(ROW(E$1:E414)*(E2=E$1:E414))))))</f>
        <v> </v>
      </c>
      <c r="K415" s="19" t="str">
        <f>IF(OR(E415="",E415="!!!",F415="NEW"),"",INDEX(J$1:J414,SUMPRODUCT(MAX(ROW(E$1:E414)*(E415=E$1:E414)))))</f>
        <v> </v>
      </c>
      <c r="L415" s="20"/>
    </row>
    <row r="416" spans="1:12">
      <c r="A416" s="13" t="s">
        <v>259</v>
      </c>
      <c r="B416" s="14" t="s">
        <v>45</v>
      </c>
      <c r="C416" s="14" t="s">
        <v>39</v>
      </c>
      <c r="D416" s="14" t="s">
        <v>25</v>
      </c>
      <c r="E416" s="15">
        <f>IF(D416="?OLD","!!!","")</f>
        <v/>
      </c>
      <c r="F416" s="16" t="str">
        <f>IF(OR(E416="",E416="!!!"),"",IF(NOT(ISNA(VLOOKUP(E416,E$1:E415,1,FALSE()))),"OLD",IF(AND(E416&lt;&gt;"",E416&lt;&gt;"!!!"),"NEW","")))</f>
        <v> </v>
      </c>
      <c r="G416" s="17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18" t="str">
        <f>IF(J416&lt;&gt;1,"",IF(I416="SBJ","CB","?"))</f>
        <v> </v>
      </c>
      <c r="I416" s="19" t="str">
        <f>IF(OR(E416="",E416="!!!",F416="NEW"),"",INDEX(B415:B$2,-1+SUMPRODUCT(MAX(ROW(E415:E$2)*(E416=E415:E$2)))))</f>
        <v> </v>
      </c>
      <c r="J416" s="19" t="str">
        <f>IF(OR(E416="",E416="!!!",F416="NEW"),"",COUNTBLANK(OFFSET(A$1,,,SUMPRODUCT(MAX(ROW(E$2:E416)*(E416=E$2:E416)))))-COUNTBLANK(OFFSET(A$1,,,SUMPRODUCT(MAX(ROW(E$1:E415)*(E2=E$1:E415))))))</f>
        <v> </v>
      </c>
      <c r="K416" s="19" t="str">
        <f>IF(OR(E416="",E416="!!!",F416="NEW"),"",INDEX(J$1:J415,SUMPRODUCT(MAX(ROW(E$1:E415)*(E416=E$1:E415)))))</f>
        <v> </v>
      </c>
      <c r="L416" s="20"/>
    </row>
    <row r="417" spans="1:12">
      <c r="A417" s="13" t="s">
        <v>260</v>
      </c>
      <c r="E417" s="15">
        <f>IF(D417="?OLD","!!!","")</f>
        <v/>
      </c>
      <c r="F417" s="16" t="str">
        <f>IF(OR(E417="",E417="!!!"),"",IF(NOT(ISNA(VLOOKUP(E417,E$1:E416,1,FALSE()))),"OLD",IF(AND(E417&lt;&gt;"",E417&lt;&gt;"!!!"),"NEW","")))</f>
        <v> </v>
      </c>
      <c r="G417" s="17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18" t="str">
        <f>IF(J417&lt;&gt;1,"",IF(I417="SBJ","CB","?"))</f>
        <v> </v>
      </c>
      <c r="I417" s="19" t="str">
        <f>IF(OR(E417="",E417="!!!",F417="NEW"),"",INDEX(B416:B$2,-1+SUMPRODUCT(MAX(ROW(E416:E$2)*(E417=E416:E$2)))))</f>
        <v> </v>
      </c>
      <c r="J417" s="19" t="str">
        <f>IF(OR(E417="",E417="!!!",F417="NEW"),"",COUNTBLANK(OFFSET(A$1,,,SUMPRODUCT(MAX(ROW(E$2:E417)*(E417=E$2:E417)))))-COUNTBLANK(OFFSET(A$1,,,SUMPRODUCT(MAX(ROW(E$1:E416)*(E2=E$1:E416))))))</f>
        <v> </v>
      </c>
      <c r="K417" s="19" t="str">
        <f>IF(OR(E417="",E417="!!!",F417="NEW"),"",INDEX(J$1:J416,SUMPRODUCT(MAX(ROW(E$1:E416)*(E417=E$1:E416)))))</f>
        <v> </v>
      </c>
      <c r="L417" s="20"/>
    </row>
    <row r="418" spans="1:12">
      <c r="A418" s="13" t="s">
        <v>52</v>
      </c>
      <c r="E418" s="15">
        <f>IF(D418="?OLD","!!!","")</f>
        <v/>
      </c>
      <c r="F418" s="16" t="str">
        <f>IF(OR(E418="",E418="!!!"),"",IF(NOT(ISNA(VLOOKUP(E418,E$1:E417,1,FALSE()))),"OLD",IF(AND(E418&lt;&gt;"",E418&lt;&gt;"!!!"),"NEW","")))</f>
        <v> </v>
      </c>
      <c r="G418" s="17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18" t="str">
        <f>IF(J418&lt;&gt;1,"",IF(I418="SBJ","CB","?"))</f>
        <v> </v>
      </c>
      <c r="I418" s="19" t="str">
        <f>IF(OR(E418="",E418="!!!",F418="NEW"),"",INDEX(B417:B$2,-1+SUMPRODUCT(MAX(ROW(E417:E$2)*(E418=E417:E$2)))))</f>
        <v> </v>
      </c>
      <c r="J418" s="19" t="str">
        <f>IF(OR(E418="",E418="!!!",F418="NEW"),"",COUNTBLANK(OFFSET(A$1,,,SUMPRODUCT(MAX(ROW(E$2:E418)*(E418=E$2:E418)))))-COUNTBLANK(OFFSET(A$1,,,SUMPRODUCT(MAX(ROW(E$1:E417)*(E2=E$1:E417))))))</f>
        <v> </v>
      </c>
      <c r="K418" s="19" t="str">
        <f>IF(OR(E418="",E418="!!!",F418="NEW"),"",INDEX(J$1:J417,SUMPRODUCT(MAX(ROW(E$1:E417)*(E418=E$1:E417)))))</f>
        <v> </v>
      </c>
      <c r="L418" s="20"/>
    </row>
    <row r="419" spans="1:12">
      <c r="A419" s="13" t="s">
        <v>87</v>
      </c>
      <c r="E419" s="15">
        <f>IF(D419="?OLD","!!!","")</f>
        <v/>
      </c>
      <c r="F419" s="16" t="str">
        <f>IF(OR(E419="",E419="!!!"),"",IF(NOT(ISNA(VLOOKUP(E419,E$1:E418,1,FALSE()))),"OLD",IF(AND(E419&lt;&gt;"",E419&lt;&gt;"!!!"),"NEW","")))</f>
        <v> </v>
      </c>
      <c r="G419" s="17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18" t="str">
        <f>IF(J419&lt;&gt;1,"",IF(I419="SBJ","CB","?"))</f>
        <v> </v>
      </c>
      <c r="I419" s="19" t="str">
        <f>IF(OR(E419="",E419="!!!",F419="NEW"),"",INDEX(B418:B$2,-1+SUMPRODUCT(MAX(ROW(E418:E$2)*(E419=E418:E$2)))))</f>
        <v> </v>
      </c>
      <c r="J419" s="19" t="str">
        <f>IF(OR(E419="",E419="!!!",F419="NEW"),"",COUNTBLANK(OFFSET(A$1,,,SUMPRODUCT(MAX(ROW(E$2:E419)*(E419=E$2:E419)))))-COUNTBLANK(OFFSET(A$1,,,SUMPRODUCT(MAX(ROW(E$1:E418)*(E2=E$1:E418))))))</f>
        <v> </v>
      </c>
      <c r="K419" s="19" t="str">
        <f>IF(OR(E419="",E419="!!!",F419="NEW"),"",INDEX(J$1:J418,SUMPRODUCT(MAX(ROW(E$1:E418)*(E419=E$1:E418)))))</f>
        <v> </v>
      </c>
      <c r="L419" s="20"/>
    </row>
    <row r="420" spans="1:12">
      <c r="A420" s="13" t="s">
        <v>261</v>
      </c>
      <c r="B420" s="14" t="s">
        <v>27</v>
      </c>
      <c r="C420" s="14" t="s">
        <v>60</v>
      </c>
      <c r="D420" s="14" t="s">
        <v>25</v>
      </c>
      <c r="E420" s="15">
        <f>IF(D420="?OLD","!!!","")</f>
        <v/>
      </c>
      <c r="F420" s="16" t="str">
        <f>IF(OR(E420="",E420="!!!"),"",IF(NOT(ISNA(VLOOKUP(E420,E$1:E419,1,FALSE()))),"OLD",IF(AND(E420&lt;&gt;"",E420&lt;&gt;"!!!"),"NEW","")))</f>
        <v> </v>
      </c>
      <c r="G420" s="17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18" t="str">
        <f>IF(J420&lt;&gt;1,"",IF(I420="SBJ","CB","?"))</f>
        <v> </v>
      </c>
      <c r="I420" s="19" t="str">
        <f>IF(OR(E420="",E420="!!!",F420="NEW"),"",INDEX(B419:B$2,-1+SUMPRODUCT(MAX(ROW(E419:E$2)*(E420=E419:E$2)))))</f>
        <v> </v>
      </c>
      <c r="J420" s="19" t="str">
        <f>IF(OR(E420="",E420="!!!",F420="NEW"),"",COUNTBLANK(OFFSET(A$1,,,SUMPRODUCT(MAX(ROW(E$2:E420)*(E420=E$2:E420)))))-COUNTBLANK(OFFSET(A$1,,,SUMPRODUCT(MAX(ROW(E$1:E419)*(E2=E$1:E419))))))</f>
        <v> </v>
      </c>
      <c r="K420" s="19" t="str">
        <f>IF(OR(E420="",E420="!!!",F420="NEW"),"",INDEX(J$1:J419,SUMPRODUCT(MAX(ROW(E$1:E419)*(E420=E$1:E419)))))</f>
        <v> </v>
      </c>
      <c r="L420" s="20"/>
    </row>
    <row r="421" spans="1:12">
      <c r="A421" s="13" t="s">
        <v>116</v>
      </c>
      <c r="E421" s="15">
        <f>IF(D421="?OLD","!!!","")</f>
        <v/>
      </c>
      <c r="F421" s="16" t="str">
        <f>IF(OR(E421="",E421="!!!"),"",IF(NOT(ISNA(VLOOKUP(E421,E$1:E420,1,FALSE()))),"OLD",IF(AND(E421&lt;&gt;"",E421&lt;&gt;"!!!"),"NEW","")))</f>
        <v> </v>
      </c>
      <c r="G421" s="17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18" t="str">
        <f>IF(J421&lt;&gt;1,"",IF(I421="SBJ","CB","?"))</f>
        <v> </v>
      </c>
      <c r="I421" s="19" t="str">
        <f>IF(OR(E421="",E421="!!!",F421="NEW"),"",INDEX(B420:B$2,-1+SUMPRODUCT(MAX(ROW(E420:E$2)*(E421=E420:E$2)))))</f>
        <v> </v>
      </c>
      <c r="J421" s="19" t="str">
        <f>IF(OR(E421="",E421="!!!",F421="NEW"),"",COUNTBLANK(OFFSET(A$1,,,SUMPRODUCT(MAX(ROW(E$2:E421)*(E421=E$2:E421)))))-COUNTBLANK(OFFSET(A$1,,,SUMPRODUCT(MAX(ROW(E$1:E420)*(E2=E$1:E420))))))</f>
        <v> </v>
      </c>
      <c r="K421" s="19" t="str">
        <f>IF(OR(E421="",E421="!!!",F421="NEW"),"",INDEX(J$1:J420,SUMPRODUCT(MAX(ROW(E$1:E420)*(E421=E$1:E420)))))</f>
        <v> </v>
      </c>
      <c r="L421" s="20"/>
    </row>
    <row r="422" spans="1:12">
      <c r="A422" s="13"/>
    </row>
    <row r="423" spans="1:12">
      <c r="A423" s="13" t="s">
        <v>262</v>
      </c>
    </row>
    <row r="424" spans="1:12">
      <c r="A424" s="13" t="s">
        <v>76</v>
      </c>
      <c r="E424" s="15">
        <f>IF(D424="?OLD","!!!","")</f>
        <v/>
      </c>
      <c r="F424" s="16" t="str">
        <f>IF(OR(E424="",E424="!!!"),"",IF(NOT(ISNA(VLOOKUP(E424,E$1:E423,1,FALSE()))),"OLD",IF(AND(E424&lt;&gt;"",E424&lt;&gt;"!!!"),"NEW","")))</f>
        <v> </v>
      </c>
      <c r="G424" s="17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18" t="str">
        <f>IF(J424&lt;&gt;1,"",IF(I424="SBJ","CB","?"))</f>
        <v> </v>
      </c>
      <c r="I424" s="19" t="str">
        <f>IF(OR(E424="",E424="!!!",F424="NEW"),"",INDEX(B423:B$2,-1+SUMPRODUCT(MAX(ROW(E423:E$2)*(E424=E423:E$2)))))</f>
        <v> </v>
      </c>
      <c r="J424" s="19" t="str">
        <f>IF(OR(E424="",E424="!!!",F424="NEW"),"",COUNTBLANK(OFFSET(A$1,,,SUMPRODUCT(MAX(ROW(E$2:E424)*(E424=E$2:E424)))))-COUNTBLANK(OFFSET(A$1,,,SUMPRODUCT(MAX(ROW(E$1:E423)*(E2=E$1:E423))))))</f>
        <v> </v>
      </c>
      <c r="K424" s="19" t="str">
        <f>IF(OR(E424="",E424="!!!",F424="NEW"),"",INDEX(J$1:J423,SUMPRODUCT(MAX(ROW(E$1:E423)*(E424=E$1:E423)))))</f>
        <v> </v>
      </c>
      <c r="L424" s="20"/>
    </row>
    <row r="425" spans="1:12">
      <c r="A425" s="13" t="s">
        <v>57</v>
      </c>
      <c r="E425" s="15">
        <f>IF(D425="?OLD","!!!","")</f>
        <v/>
      </c>
      <c r="F425" s="16" t="str">
        <f>IF(OR(E425="",E425="!!!"),"",IF(NOT(ISNA(VLOOKUP(E425,E$1:E424,1,FALSE()))),"OLD",IF(AND(E425&lt;&gt;"",E425&lt;&gt;"!!!"),"NEW","")))</f>
        <v> </v>
      </c>
      <c r="G425" s="17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18" t="str">
        <f>IF(J425&lt;&gt;1,"",IF(I425="SBJ","CB","?"))</f>
        <v> </v>
      </c>
      <c r="I425" s="19" t="str">
        <f>IF(OR(E425="",E425="!!!",F425="NEW"),"",INDEX(B424:B$2,-1+SUMPRODUCT(MAX(ROW(E424:E$2)*(E425=E424:E$2)))))</f>
        <v> </v>
      </c>
      <c r="J425" s="19" t="str">
        <f>IF(OR(E425="",E425="!!!",F425="NEW"),"",COUNTBLANK(OFFSET(A$1,,,SUMPRODUCT(MAX(ROW(E$2:E425)*(E425=E$2:E425)))))-COUNTBLANK(OFFSET(A$1,,,SUMPRODUCT(MAX(ROW(E$1:E424)*(E2=E$1:E424))))))</f>
        <v> </v>
      </c>
      <c r="K425" s="19" t="str">
        <f>IF(OR(E425="",E425="!!!",F425="NEW"),"",INDEX(J$1:J424,SUMPRODUCT(MAX(ROW(E$1:E424)*(E425=E$1:E424)))))</f>
        <v> </v>
      </c>
      <c r="L425" s="20"/>
    </row>
    <row r="426" spans="1:12">
      <c r="A426" s="13" t="s">
        <v>55</v>
      </c>
      <c r="B426" s="14" t="s">
        <v>23</v>
      </c>
      <c r="C426" s="14" t="s">
        <v>60</v>
      </c>
      <c r="D426" s="14" t="s">
        <v>25</v>
      </c>
      <c r="E426" s="15">
        <f>IF(D426="?OLD","!!!","")</f>
        <v/>
      </c>
      <c r="F426" s="16" t="str">
        <f>IF(OR(E426="",E426="!!!"),"",IF(NOT(ISNA(VLOOKUP(E426,E$1:E425,1,FALSE()))),"OLD",IF(AND(E426&lt;&gt;"",E426&lt;&gt;"!!!"),"NEW","")))</f>
        <v> </v>
      </c>
      <c r="G426" s="17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18" t="str">
        <f>IF(J426&lt;&gt;1,"",IF(I426="SBJ","CB","?"))</f>
        <v> </v>
      </c>
      <c r="I426" s="19" t="str">
        <f>IF(OR(E426="",E426="!!!",F426="NEW"),"",INDEX(B425:B$2,-1+SUMPRODUCT(MAX(ROW(E425:E$2)*(E426=E425:E$2)))))</f>
        <v> </v>
      </c>
      <c r="J426" s="19" t="str">
        <f>IF(OR(E426="",E426="!!!",F426="NEW"),"",COUNTBLANK(OFFSET(A$1,,,SUMPRODUCT(MAX(ROW(E$2:E426)*(E426=E$2:E426)))))-COUNTBLANK(OFFSET(A$1,,,SUMPRODUCT(MAX(ROW(E$1:E425)*(E2=E$1:E425))))))</f>
        <v> </v>
      </c>
      <c r="K426" s="19" t="str">
        <f>IF(OR(E426="",E426="!!!",F426="NEW"),"",INDEX(J$1:J425,SUMPRODUCT(MAX(ROW(E$1:E425)*(E426=E$1:E425)))))</f>
        <v> </v>
      </c>
      <c r="L426" s="20"/>
    </row>
    <row r="427" spans="1:12">
      <c r="A427" s="13" t="s">
        <v>144</v>
      </c>
      <c r="E427" s="15">
        <f>IF(D427="?OLD","!!!","")</f>
        <v/>
      </c>
      <c r="F427" s="16" t="str">
        <f>IF(OR(E427="",E427="!!!"),"",IF(NOT(ISNA(VLOOKUP(E427,E$1:E426,1,FALSE()))),"OLD",IF(AND(E427&lt;&gt;"",E427&lt;&gt;"!!!"),"NEW","")))</f>
        <v> </v>
      </c>
      <c r="G427" s="17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18" t="str">
        <f>IF(J427&lt;&gt;1,"",IF(I427="SBJ","CB","?"))</f>
        <v> </v>
      </c>
      <c r="I427" s="19" t="str">
        <f>IF(OR(E427="",E427="!!!",F427="NEW"),"",INDEX(B426:B$2,-1+SUMPRODUCT(MAX(ROW(E426:E$2)*(E427=E426:E$2)))))</f>
        <v> </v>
      </c>
      <c r="J427" s="19" t="str">
        <f>IF(OR(E427="",E427="!!!",F427="NEW"),"",COUNTBLANK(OFFSET(A$1,,,SUMPRODUCT(MAX(ROW(E$2:E427)*(E427=E$2:E427)))))-COUNTBLANK(OFFSET(A$1,,,SUMPRODUCT(MAX(ROW(E$1:E426)*(E2=E$1:E426))))))</f>
        <v> </v>
      </c>
      <c r="K427" s="19" t="str">
        <f>IF(OR(E427="",E427="!!!",F427="NEW"),"",INDEX(J$1:J426,SUMPRODUCT(MAX(ROW(E$1:E426)*(E427=E$1:E426)))))</f>
        <v> </v>
      </c>
      <c r="L427" s="20"/>
    </row>
    <row r="428" spans="1:12">
      <c r="A428" s="13" t="s">
        <v>24</v>
      </c>
      <c r="E428" s="15">
        <f>IF(D428="?OLD","!!!","")</f>
        <v/>
      </c>
      <c r="F428" s="16" t="str">
        <f>IF(OR(E428="",E428="!!!"),"",IF(NOT(ISNA(VLOOKUP(E428,E$1:E427,1,FALSE()))),"OLD",IF(AND(E428&lt;&gt;"",E428&lt;&gt;"!!!"),"NEW","")))</f>
        <v> </v>
      </c>
      <c r="G428" s="17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18" t="str">
        <f>IF(J428&lt;&gt;1,"",IF(I428="SBJ","CB","?"))</f>
        <v> </v>
      </c>
      <c r="I428" s="19" t="str">
        <f>IF(OR(E428="",E428="!!!",F428="NEW"),"",INDEX(B427:B$2,-1+SUMPRODUCT(MAX(ROW(E427:E$2)*(E428=E427:E$2)))))</f>
        <v> </v>
      </c>
      <c r="J428" s="19" t="str">
        <f>IF(OR(E428="",E428="!!!",F428="NEW"),"",COUNTBLANK(OFFSET(A$1,,,SUMPRODUCT(MAX(ROW(E$2:E428)*(E428=E$2:E428)))))-COUNTBLANK(OFFSET(A$1,,,SUMPRODUCT(MAX(ROW(E$1:E427)*(E2=E$1:E427))))))</f>
        <v> </v>
      </c>
      <c r="K428" s="19" t="str">
        <f>IF(OR(E428="",E428="!!!",F428="NEW"),"",INDEX(J$1:J427,SUMPRODUCT(MAX(ROW(E$1:E427)*(E428=E$1:E427)))))</f>
        <v> </v>
      </c>
      <c r="L428" s="20"/>
    </row>
    <row r="429" spans="1:12">
      <c r="A429" s="13" t="s">
        <v>263</v>
      </c>
      <c r="E429" s="15">
        <f>IF(D429="?OLD","!!!","")</f>
        <v/>
      </c>
      <c r="F429" s="16" t="str">
        <f>IF(OR(E429="",E429="!!!"),"",IF(NOT(ISNA(VLOOKUP(E429,E$1:E428,1,FALSE()))),"OLD",IF(AND(E429&lt;&gt;"",E429&lt;&gt;"!!!"),"NEW","")))</f>
        <v> </v>
      </c>
      <c r="G429" s="17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18" t="str">
        <f>IF(J429&lt;&gt;1,"",IF(I429="SBJ","CB","?"))</f>
        <v> </v>
      </c>
      <c r="I429" s="19" t="str">
        <f>IF(OR(E429="",E429="!!!",F429="NEW"),"",INDEX(B428:B$2,-1+SUMPRODUCT(MAX(ROW(E428:E$2)*(E429=E428:E$2)))))</f>
        <v> </v>
      </c>
      <c r="J429" s="19" t="str">
        <f>IF(OR(E429="",E429="!!!",F429="NEW"),"",COUNTBLANK(OFFSET(A$1,,,SUMPRODUCT(MAX(ROW(E$2:E429)*(E429=E$2:E429)))))-COUNTBLANK(OFFSET(A$1,,,SUMPRODUCT(MAX(ROW(E$1:E428)*(E2=E$1:E428))))))</f>
        <v> </v>
      </c>
      <c r="K429" s="19" t="str">
        <f>IF(OR(E429="",E429="!!!",F429="NEW"),"",INDEX(J$1:J428,SUMPRODUCT(MAX(ROW(E$1:E428)*(E429=E$1:E428)))))</f>
        <v> </v>
      </c>
      <c r="L429" s="20"/>
    </row>
    <row r="430" spans="1:12">
      <c r="A430" s="13" t="s">
        <v>151</v>
      </c>
      <c r="E430" s="15">
        <f>IF(D430="?OLD","!!!","")</f>
        <v/>
      </c>
      <c r="F430" s="16" t="str">
        <f>IF(OR(E430="",E430="!!!"),"",IF(NOT(ISNA(VLOOKUP(E430,E$1:E429,1,FALSE()))),"OLD",IF(AND(E430&lt;&gt;"",E430&lt;&gt;"!!!"),"NEW","")))</f>
        <v> </v>
      </c>
      <c r="G430" s="17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18" t="str">
        <f>IF(J430&lt;&gt;1,"",IF(I430="SBJ","CB","?"))</f>
        <v> </v>
      </c>
      <c r="I430" s="19" t="str">
        <f>IF(OR(E430="",E430="!!!",F430="NEW"),"",INDEX(B429:B$2,-1+SUMPRODUCT(MAX(ROW(E429:E$2)*(E430=E429:E$2)))))</f>
        <v> </v>
      </c>
      <c r="J430" s="19" t="str">
        <f>IF(OR(E430="",E430="!!!",F430="NEW"),"",COUNTBLANK(OFFSET(A$1,,,SUMPRODUCT(MAX(ROW(E$2:E430)*(E430=E$2:E430)))))-COUNTBLANK(OFFSET(A$1,,,SUMPRODUCT(MAX(ROW(E$1:E429)*(E2=E$1:E429))))))</f>
        <v> </v>
      </c>
      <c r="K430" s="19" t="str">
        <f>IF(OR(E430="",E430="!!!",F430="NEW"),"",INDEX(J$1:J429,SUMPRODUCT(MAX(ROW(E$1:E429)*(E430=E$1:E429)))))</f>
        <v> </v>
      </c>
      <c r="L430" s="20"/>
    </row>
    <row r="431" spans="1:12">
      <c r="A431" s="13" t="s">
        <v>57</v>
      </c>
      <c r="E431" s="15">
        <f>IF(D431="?OLD","!!!","")</f>
        <v/>
      </c>
      <c r="F431" s="16" t="str">
        <f>IF(OR(E431="",E431="!!!"),"",IF(NOT(ISNA(VLOOKUP(E431,E$1:E430,1,FALSE()))),"OLD",IF(AND(E431&lt;&gt;"",E431&lt;&gt;"!!!"),"NEW","")))</f>
        <v> </v>
      </c>
      <c r="G431" s="17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18" t="str">
        <f>IF(J431&lt;&gt;1,"",IF(I431="SBJ","CB","?"))</f>
        <v> </v>
      </c>
      <c r="I431" s="19" t="str">
        <f>IF(OR(E431="",E431="!!!",F431="NEW"),"",INDEX(B430:B$2,-1+SUMPRODUCT(MAX(ROW(E430:E$2)*(E431=E430:E$2)))))</f>
        <v> </v>
      </c>
      <c r="J431" s="19" t="str">
        <f>IF(OR(E431="",E431="!!!",F431="NEW"),"",COUNTBLANK(OFFSET(A$1,,,SUMPRODUCT(MAX(ROW(E$2:E431)*(E431=E$2:E431)))))-COUNTBLANK(OFFSET(A$1,,,SUMPRODUCT(MAX(ROW(E$1:E430)*(E2=E$1:E430))))))</f>
        <v> </v>
      </c>
      <c r="K431" s="19" t="str">
        <f>IF(OR(E431="",E431="!!!",F431="NEW"),"",INDEX(J$1:J430,SUMPRODUCT(MAX(ROW(E$1:E430)*(E431=E$1:E430)))))</f>
        <v> </v>
      </c>
      <c r="L431" s="20"/>
    </row>
    <row r="432" spans="1:12">
      <c r="A432" s="13" t="s">
        <v>71</v>
      </c>
      <c r="B432" s="14" t="s">
        <v>27</v>
      </c>
      <c r="C432" s="14" t="s">
        <v>72</v>
      </c>
      <c r="D432" s="14" t="s">
        <v>25</v>
      </c>
      <c r="E432" s="15">
        <f>IF(D432="?OLD","!!!","")</f>
        <v/>
      </c>
      <c r="F432" s="16" t="str">
        <f>IF(OR(E432="",E432="!!!"),"",IF(NOT(ISNA(VLOOKUP(E432,E$1:E431,1,FALSE()))),"OLD",IF(AND(E432&lt;&gt;"",E432&lt;&gt;"!!!"),"NEW","")))</f>
        <v> </v>
      </c>
      <c r="G432" s="17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18" t="str">
        <f>IF(J432&lt;&gt;1,"",IF(I432="SBJ","CB","?"))</f>
        <v> </v>
      </c>
      <c r="I432" s="19" t="str">
        <f>IF(OR(E432="",E432="!!!",F432="NEW"),"",INDEX(B431:B$2,-1+SUMPRODUCT(MAX(ROW(E431:E$2)*(E432=E431:E$2)))))</f>
        <v> </v>
      </c>
      <c r="J432" s="19" t="str">
        <f>IF(OR(E432="",E432="!!!",F432="NEW"),"",COUNTBLANK(OFFSET(A$1,,,SUMPRODUCT(MAX(ROW(E$2:E432)*(E432=E$2:E432)))))-COUNTBLANK(OFFSET(A$1,,,SUMPRODUCT(MAX(ROW(E$1:E431)*(E2=E$1:E431))))))</f>
        <v> </v>
      </c>
      <c r="K432" s="19" t="str">
        <f>IF(OR(E432="",E432="!!!",F432="NEW"),"",INDEX(J$1:J431,SUMPRODUCT(MAX(ROW(E$1:E431)*(E432=E$1:E431)))))</f>
        <v> </v>
      </c>
      <c r="L432" s="20"/>
    </row>
    <row r="433" spans="1:12">
      <c r="A433" s="13" t="s">
        <v>255</v>
      </c>
      <c r="B433" s="14" t="s">
        <v>45</v>
      </c>
      <c r="C433" s="14" t="s">
        <v>60</v>
      </c>
      <c r="D433" s="14" t="s">
        <v>25</v>
      </c>
      <c r="E433" s="15">
        <f>IF(D433="?OLD","!!!","")</f>
        <v/>
      </c>
      <c r="F433" s="16" t="str">
        <f>IF(OR(E433="",E433="!!!"),"",IF(NOT(ISNA(VLOOKUP(E433,E$1:E432,1,FALSE()))),"OLD",IF(AND(E433&lt;&gt;"",E433&lt;&gt;"!!!"),"NEW","")))</f>
        <v> </v>
      </c>
      <c r="G433" s="17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18" t="str">
        <f>IF(J433&lt;&gt;1,"",IF(I433="SBJ","CB","?"))</f>
        <v> </v>
      </c>
      <c r="I433" s="19" t="str">
        <f>IF(OR(E433="",E433="!!!",F433="NEW"),"",INDEX(B432:B$2,-1+SUMPRODUCT(MAX(ROW(E432:E$2)*(E433=E432:E$2)))))</f>
        <v> </v>
      </c>
      <c r="J433" s="19" t="str">
        <f>IF(OR(E433="",E433="!!!",F433="NEW"),"",COUNTBLANK(OFFSET(A$1,,,SUMPRODUCT(MAX(ROW(E$2:E433)*(E433=E$2:E433)))))-COUNTBLANK(OFFSET(A$1,,,SUMPRODUCT(MAX(ROW(E$1:E432)*(E2=E$1:E432))))))</f>
        <v> </v>
      </c>
      <c r="K433" s="19" t="str">
        <f>IF(OR(E433="",E433="!!!",F433="NEW"),"",INDEX(J$1:J432,SUMPRODUCT(MAX(ROW(E$1:E432)*(E433=E$1:E432)))))</f>
        <v> </v>
      </c>
      <c r="L433" s="20"/>
    </row>
    <row r="434" spans="1:12">
      <c r="A434" s="13" t="s">
        <v>56</v>
      </c>
      <c r="E434" s="15">
        <f>IF(D434="?OLD","!!!","")</f>
        <v/>
      </c>
      <c r="F434" s="16" t="str">
        <f>IF(OR(E434="",E434="!!!"),"",IF(NOT(ISNA(VLOOKUP(E434,E$1:E433,1,FALSE()))),"OLD",IF(AND(E434&lt;&gt;"",E434&lt;&gt;"!!!"),"NEW","")))</f>
        <v> </v>
      </c>
      <c r="G434" s="17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18" t="str">
        <f>IF(J434&lt;&gt;1,"",IF(I434="SBJ","CB","?"))</f>
        <v> </v>
      </c>
      <c r="I434" s="19" t="str">
        <f>IF(OR(E434="",E434="!!!",F434="NEW"),"",INDEX(B433:B$2,-1+SUMPRODUCT(MAX(ROW(E433:E$2)*(E434=E433:E$2)))))</f>
        <v> </v>
      </c>
      <c r="J434" s="19" t="str">
        <f>IF(OR(E434="",E434="!!!",F434="NEW"),"",COUNTBLANK(OFFSET(A$1,,,SUMPRODUCT(MAX(ROW(E$2:E434)*(E434=E$2:E434)))))-COUNTBLANK(OFFSET(A$1,,,SUMPRODUCT(MAX(ROW(E$1:E433)*(E2=E$1:E433))))))</f>
        <v> </v>
      </c>
      <c r="K434" s="19" t="str">
        <f>IF(OR(E434="",E434="!!!",F434="NEW"),"",INDEX(J$1:J433,SUMPRODUCT(MAX(ROW(E$1:E433)*(E434=E$1:E433)))))</f>
        <v> </v>
      </c>
      <c r="L434" s="20"/>
    </row>
    <row r="435" spans="1:12">
      <c r="A435" s="13" t="s">
        <v>61</v>
      </c>
      <c r="B435" s="14" t="s">
        <v>219</v>
      </c>
      <c r="E435" s="15">
        <f>IF(D435="?OLD","!!!","")</f>
        <v/>
      </c>
      <c r="F435" s="16" t="str">
        <f>IF(OR(E435="",E435="!!!"),"",IF(NOT(ISNA(VLOOKUP(E435,E$1:E434,1,FALSE()))),"OLD",IF(AND(E435&lt;&gt;"",E435&lt;&gt;"!!!"),"NEW","")))</f>
        <v> </v>
      </c>
      <c r="G435" s="17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18" t="str">
        <f>IF(J435&lt;&gt;1,"",IF(I435="SBJ","CB","?"))</f>
        <v> </v>
      </c>
      <c r="I435" s="19" t="str">
        <f>IF(OR(E435="",E435="!!!",F435="NEW"),"",INDEX(B434:B$2,-1+SUMPRODUCT(MAX(ROW(E434:E$2)*(E435=E434:E$2)))))</f>
        <v> </v>
      </c>
      <c r="J435" s="19" t="str">
        <f>IF(OR(E435="",E435="!!!",F435="NEW"),"",COUNTBLANK(OFFSET(A$1,,,SUMPRODUCT(MAX(ROW(E$2:E435)*(E435=E$2:E435)))))-COUNTBLANK(OFFSET(A$1,,,SUMPRODUCT(MAX(ROW(E$1:E434)*(E2=E$1:E434))))))</f>
        <v> </v>
      </c>
      <c r="K435" s="19" t="str">
        <f>IF(OR(E435="",E435="!!!",F435="NEW"),"",INDEX(J$1:J434,SUMPRODUCT(MAX(ROW(E$1:E434)*(E435=E$1:E434)))))</f>
        <v> </v>
      </c>
      <c r="L435" s="20"/>
    </row>
    <row r="436" spans="1:12">
      <c r="A436" s="13" t="s">
        <v>48</v>
      </c>
      <c r="E436" s="15">
        <f>IF(D436="?OLD","!!!","")</f>
        <v/>
      </c>
      <c r="F436" s="16" t="str">
        <f>IF(OR(E436="",E436="!!!"),"",IF(NOT(ISNA(VLOOKUP(E436,E$1:E435,1,FALSE()))),"OLD",IF(AND(E436&lt;&gt;"",E436&lt;&gt;"!!!"),"NEW","")))</f>
        <v> </v>
      </c>
      <c r="G436" s="17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18" t="str">
        <f>IF(J436&lt;&gt;1,"",IF(I436="SBJ","CB","?"))</f>
        <v> </v>
      </c>
      <c r="I436" s="19" t="str">
        <f>IF(OR(E436="",E436="!!!",F436="NEW"),"",INDEX(B435:B$2,-1+SUMPRODUCT(MAX(ROW(E435:E$2)*(E436=E435:E$2)))))</f>
        <v> </v>
      </c>
      <c r="J436" s="19" t="str">
        <f>IF(OR(E436="",E436="!!!",F436="NEW"),"",COUNTBLANK(OFFSET(A$1,,,SUMPRODUCT(MAX(ROW(E$2:E436)*(E436=E$2:E436)))))-COUNTBLANK(OFFSET(A$1,,,SUMPRODUCT(MAX(ROW(E$1:E435)*(E2=E$1:E435))))))</f>
        <v> </v>
      </c>
      <c r="K436" s="19" t="str">
        <f>IF(OR(E436="",E436="!!!",F436="NEW"),"",INDEX(J$1:J435,SUMPRODUCT(MAX(ROW(E$1:E435)*(E436=E$1:E435)))))</f>
        <v> </v>
      </c>
      <c r="L436" s="20"/>
    </row>
    <row r="437" spans="1:12">
      <c r="A437" s="13" t="s">
        <v>57</v>
      </c>
      <c r="E437" s="15">
        <f>IF(D437="?OLD","!!!","")</f>
        <v/>
      </c>
      <c r="F437" s="16" t="str">
        <f>IF(OR(E437="",E437="!!!"),"",IF(NOT(ISNA(VLOOKUP(E437,E$1:E436,1,FALSE()))),"OLD",IF(AND(E437&lt;&gt;"",E437&lt;&gt;"!!!"),"NEW","")))</f>
        <v> </v>
      </c>
      <c r="G437" s="17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18" t="str">
        <f>IF(J437&lt;&gt;1,"",IF(I437="SBJ","CB","?"))</f>
        <v> </v>
      </c>
      <c r="I437" s="19" t="str">
        <f>IF(OR(E437="",E437="!!!",F437="NEW"),"",INDEX(B436:B$2,-1+SUMPRODUCT(MAX(ROW(E436:E$2)*(E437=E436:E$2)))))</f>
        <v> </v>
      </c>
      <c r="J437" s="19" t="str">
        <f>IF(OR(E437="",E437="!!!",F437="NEW"),"",COUNTBLANK(OFFSET(A$1,,,SUMPRODUCT(MAX(ROW(E$2:E437)*(E437=E$2:E437)))))-COUNTBLANK(OFFSET(A$1,,,SUMPRODUCT(MAX(ROW(E$1:E436)*(E2=E$1:E436))))))</f>
        <v> </v>
      </c>
      <c r="K437" s="19" t="str">
        <f>IF(OR(E437="",E437="!!!",F437="NEW"),"",INDEX(J$1:J436,SUMPRODUCT(MAX(ROW(E$1:E436)*(E437=E$1:E436)))))</f>
        <v> </v>
      </c>
      <c r="L437" s="20"/>
    </row>
    <row r="438" spans="1:12">
      <c r="A438" s="13" t="s">
        <v>58</v>
      </c>
      <c r="E438" s="15">
        <f>IF(D438="?OLD","!!!","")</f>
        <v/>
      </c>
      <c r="F438" s="16" t="str">
        <f>IF(OR(E438="",E438="!!!"),"",IF(NOT(ISNA(VLOOKUP(E438,E$1:E437,1,FALSE()))),"OLD",IF(AND(E438&lt;&gt;"",E438&lt;&gt;"!!!"),"NEW","")))</f>
        <v> </v>
      </c>
      <c r="G438" s="17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18" t="str">
        <f>IF(J438&lt;&gt;1,"",IF(I438="SBJ","CB","?"))</f>
        <v> </v>
      </c>
      <c r="I438" s="19" t="str">
        <f>IF(OR(E438="",E438="!!!",F438="NEW"),"",INDEX(B437:B$2,-1+SUMPRODUCT(MAX(ROW(E437:E$2)*(E438=E437:E$2)))))</f>
        <v> </v>
      </c>
      <c r="J438" s="19" t="str">
        <f>IF(OR(E438="",E438="!!!",F438="NEW"),"",COUNTBLANK(OFFSET(A$1,,,SUMPRODUCT(MAX(ROW(E$2:E438)*(E438=E$2:E438)))))-COUNTBLANK(OFFSET(A$1,,,SUMPRODUCT(MAX(ROW(E$1:E437)*(E2=E$1:E437))))))</f>
        <v> </v>
      </c>
      <c r="K438" s="19" t="str">
        <f>IF(OR(E438="",E438="!!!",F438="NEW"),"",INDEX(J$1:J437,SUMPRODUCT(MAX(ROW(E$1:E437)*(E438=E$1:E437)))))</f>
        <v> </v>
      </c>
      <c r="L438" s="20"/>
    </row>
    <row r="439" spans="1:12">
      <c r="A439" s="13" t="s">
        <v>264</v>
      </c>
      <c r="E439" s="15">
        <f>IF(D439="?OLD","!!!","")</f>
        <v/>
      </c>
      <c r="F439" s="16" t="str">
        <f>IF(OR(E439="",E439="!!!"),"",IF(NOT(ISNA(VLOOKUP(E439,E$1:E438,1,FALSE()))),"OLD",IF(AND(E439&lt;&gt;"",E439&lt;&gt;"!!!"),"NEW","")))</f>
        <v> </v>
      </c>
      <c r="G439" s="17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18" t="str">
        <f>IF(J439&lt;&gt;1,"",IF(I439="SBJ","CB","?"))</f>
        <v> </v>
      </c>
      <c r="I439" s="19" t="str">
        <f>IF(OR(E439="",E439="!!!",F439="NEW"),"",INDEX(B438:B$2,-1+SUMPRODUCT(MAX(ROW(E438:E$2)*(E439=E438:E$2)))))</f>
        <v> </v>
      </c>
      <c r="J439" s="19" t="str">
        <f>IF(OR(E439="",E439="!!!",F439="NEW"),"",COUNTBLANK(OFFSET(A$1,,,SUMPRODUCT(MAX(ROW(E$2:E439)*(E439=E$2:E439)))))-COUNTBLANK(OFFSET(A$1,,,SUMPRODUCT(MAX(ROW(E$1:E438)*(E2=E$1:E438))))))</f>
        <v> </v>
      </c>
      <c r="K439" s="19" t="str">
        <f>IF(OR(E439="",E439="!!!",F439="NEW"),"",INDEX(J$1:J438,SUMPRODUCT(MAX(ROW(E$1:E438)*(E439=E$1:E438)))))</f>
        <v> </v>
      </c>
      <c r="L439" s="20"/>
    </row>
    <row r="440" spans="1:12">
      <c r="A440" s="13" t="s">
        <v>56</v>
      </c>
      <c r="E440" s="15">
        <f>IF(D440="?OLD","!!!","")</f>
        <v/>
      </c>
      <c r="F440" s="16" t="str">
        <f>IF(OR(E440="",E440="!!!"),"",IF(NOT(ISNA(VLOOKUP(E440,E$1:E439,1,FALSE()))),"OLD",IF(AND(E440&lt;&gt;"",E440&lt;&gt;"!!!"),"NEW","")))</f>
        <v> </v>
      </c>
      <c r="G440" s="17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18" t="str">
        <f>IF(J440&lt;&gt;1,"",IF(I440="SBJ","CB","?"))</f>
        <v> </v>
      </c>
      <c r="I440" s="19" t="str">
        <f>IF(OR(E440="",E440="!!!",F440="NEW"),"",INDEX(B439:B$2,-1+SUMPRODUCT(MAX(ROW(E439:E$2)*(E440=E439:E$2)))))</f>
        <v> </v>
      </c>
      <c r="J440" s="19" t="str">
        <f>IF(OR(E440="",E440="!!!",F440="NEW"),"",COUNTBLANK(OFFSET(A$1,,,SUMPRODUCT(MAX(ROW(E$2:E440)*(E440=E$2:E440)))))-COUNTBLANK(OFFSET(A$1,,,SUMPRODUCT(MAX(ROW(E$1:E439)*(E2=E$1:E439))))))</f>
        <v> </v>
      </c>
      <c r="K440" s="19" t="str">
        <f>IF(OR(E440="",E440="!!!",F440="NEW"),"",INDEX(J$1:J439,SUMPRODUCT(MAX(ROW(E$1:E439)*(E440=E$1:E439)))))</f>
        <v> </v>
      </c>
      <c r="L440" s="20"/>
    </row>
    <row r="441" spans="1:12">
      <c r="A441" s="13" t="s">
        <v>265</v>
      </c>
      <c r="E441" s="15">
        <f>IF(D441="?OLD","!!!","")</f>
        <v/>
      </c>
      <c r="F441" s="16" t="str">
        <f>IF(OR(E441="",E441="!!!"),"",IF(NOT(ISNA(VLOOKUP(E441,E$1:E440,1,FALSE()))),"OLD",IF(AND(E441&lt;&gt;"",E441&lt;&gt;"!!!"),"NEW","")))</f>
        <v> </v>
      </c>
      <c r="G441" s="17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18" t="str">
        <f>IF(J441&lt;&gt;1,"",IF(I441="SBJ","CB","?"))</f>
        <v> </v>
      </c>
      <c r="I441" s="19" t="str">
        <f>IF(OR(E441="",E441="!!!",F441="NEW"),"",INDEX(B440:B$2,-1+SUMPRODUCT(MAX(ROW(E440:E$2)*(E441=E440:E$2)))))</f>
        <v> </v>
      </c>
      <c r="J441" s="19" t="str">
        <f>IF(OR(E441="",E441="!!!",F441="NEW"),"",COUNTBLANK(OFFSET(A$1,,,SUMPRODUCT(MAX(ROW(E$2:E441)*(E441=E$2:E441)))))-COUNTBLANK(OFFSET(A$1,,,SUMPRODUCT(MAX(ROW(E$1:E440)*(E2=E$1:E440))))))</f>
        <v> </v>
      </c>
      <c r="K441" s="19" t="str">
        <f>IF(OR(E441="",E441="!!!",F441="NEW"),"",INDEX(J$1:J440,SUMPRODUCT(MAX(ROW(E$1:E440)*(E441=E$1:E440)))))</f>
        <v> </v>
      </c>
      <c r="L441" s="20"/>
    </row>
    <row r="442" spans="1:12">
      <c r="A442" s="13" t="s">
        <v>62</v>
      </c>
      <c r="E442" s="15">
        <f>IF(D442="?OLD","!!!","")</f>
        <v/>
      </c>
      <c r="F442" s="16" t="str">
        <f>IF(OR(E442="",E442="!!!"),"",IF(NOT(ISNA(VLOOKUP(E442,E$1:E441,1,FALSE()))),"OLD",IF(AND(E442&lt;&gt;"",E442&lt;&gt;"!!!"),"NEW","")))</f>
        <v> </v>
      </c>
      <c r="G442" s="17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18" t="str">
        <f>IF(J442&lt;&gt;1,"",IF(I442="SBJ","CB","?"))</f>
        <v> </v>
      </c>
      <c r="I442" s="19" t="str">
        <f>IF(OR(E442="",E442="!!!",F442="NEW"),"",INDEX(B441:B$2,-1+SUMPRODUCT(MAX(ROW(E441:E$2)*(E442=E441:E$2)))))</f>
        <v> </v>
      </c>
      <c r="J442" s="19" t="str">
        <f>IF(OR(E442="",E442="!!!",F442="NEW"),"",COUNTBLANK(OFFSET(A$1,,,SUMPRODUCT(MAX(ROW(E$2:E442)*(E442=E$2:E442)))))-COUNTBLANK(OFFSET(A$1,,,SUMPRODUCT(MAX(ROW(E$1:E441)*(E2=E$1:E441))))))</f>
        <v> </v>
      </c>
      <c r="K442" s="19" t="str">
        <f>IF(OR(E442="",E442="!!!",F442="NEW"),"",INDEX(J$1:J441,SUMPRODUCT(MAX(ROW(E$1:E441)*(E442=E$1:E441)))))</f>
        <v> </v>
      </c>
      <c r="L442" s="20"/>
    </row>
    <row r="443" spans="1:12">
      <c r="A443" s="13" t="s">
        <v>102</v>
      </c>
      <c r="E443" s="15">
        <f>IF(D443="?OLD","!!!","")</f>
        <v/>
      </c>
      <c r="F443" s="16" t="str">
        <f>IF(OR(E443="",E443="!!!"),"",IF(NOT(ISNA(VLOOKUP(E443,E$1:E442,1,FALSE()))),"OLD",IF(AND(E443&lt;&gt;"",E443&lt;&gt;"!!!"),"NEW","")))</f>
        <v> </v>
      </c>
      <c r="G443" s="17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18" t="str">
        <f>IF(J443&lt;&gt;1,"",IF(I443="SBJ","CB","?"))</f>
        <v> </v>
      </c>
      <c r="I443" s="19" t="str">
        <f>IF(OR(E443="",E443="!!!",F443="NEW"),"",INDEX(B442:B$2,-1+SUMPRODUCT(MAX(ROW(E442:E$2)*(E443=E442:E$2)))))</f>
        <v> </v>
      </c>
      <c r="J443" s="19" t="str">
        <f>IF(OR(E443="",E443="!!!",F443="NEW"),"",COUNTBLANK(OFFSET(A$1,,,SUMPRODUCT(MAX(ROW(E$2:E443)*(E443=E$2:E443)))))-COUNTBLANK(OFFSET(A$1,,,SUMPRODUCT(MAX(ROW(E$1:E442)*(E2=E$1:E442))))))</f>
        <v> </v>
      </c>
      <c r="K443" s="19" t="str">
        <f>IF(OR(E443="",E443="!!!",F443="NEW"),"",INDEX(J$1:J442,SUMPRODUCT(MAX(ROW(E$1:E442)*(E443=E$1:E442)))))</f>
        <v> </v>
      </c>
      <c r="L443" s="20"/>
    </row>
    <row r="444" spans="1:12">
      <c r="A444" s="13" t="s">
        <v>266</v>
      </c>
      <c r="E444" s="15">
        <f>IF(D444="?OLD","!!!","")</f>
        <v/>
      </c>
      <c r="F444" s="16" t="str">
        <f>IF(OR(E444="",E444="!!!"),"",IF(NOT(ISNA(VLOOKUP(E444,E$1:E443,1,FALSE()))),"OLD",IF(AND(E444&lt;&gt;"",E444&lt;&gt;"!!!"),"NEW","")))</f>
        <v> </v>
      </c>
      <c r="G444" s="17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18" t="str">
        <f>IF(J444&lt;&gt;1,"",IF(I444="SBJ","CB","?"))</f>
        <v> </v>
      </c>
      <c r="I444" s="19" t="str">
        <f>IF(OR(E444="",E444="!!!",F444="NEW"),"",INDEX(B443:B$2,-1+SUMPRODUCT(MAX(ROW(E443:E$2)*(E444=E443:E$2)))))</f>
        <v> </v>
      </c>
      <c r="J444" s="19" t="str">
        <f>IF(OR(E444="",E444="!!!",F444="NEW"),"",COUNTBLANK(OFFSET(A$1,,,SUMPRODUCT(MAX(ROW(E$2:E444)*(E444=E$2:E444)))))-COUNTBLANK(OFFSET(A$1,,,SUMPRODUCT(MAX(ROW(E$1:E443)*(E2=E$1:E443))))))</f>
        <v> </v>
      </c>
      <c r="K444" s="19" t="str">
        <f>IF(OR(E444="",E444="!!!",F444="NEW"),"",INDEX(J$1:J443,SUMPRODUCT(MAX(ROW(E$1:E443)*(E444=E$1:E443)))))</f>
        <v> </v>
      </c>
      <c r="L444" s="20"/>
    </row>
    <row r="445" spans="1:12">
      <c r="A445" s="13" t="s">
        <v>87</v>
      </c>
      <c r="E445" s="15">
        <f>IF(D445="?OLD","!!!","")</f>
        <v/>
      </c>
      <c r="F445" s="16" t="str">
        <f>IF(OR(E445="",E445="!!!"),"",IF(NOT(ISNA(VLOOKUP(E445,E$1:E444,1,FALSE()))),"OLD",IF(AND(E445&lt;&gt;"",E445&lt;&gt;"!!!"),"NEW","")))</f>
        <v> </v>
      </c>
      <c r="G445" s="17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18" t="str">
        <f>IF(J445&lt;&gt;1,"",IF(I445="SBJ","CB","?"))</f>
        <v> </v>
      </c>
      <c r="I445" s="19" t="str">
        <f>IF(OR(E445="",E445="!!!",F445="NEW"),"",INDEX(B444:B$2,-1+SUMPRODUCT(MAX(ROW(E444:E$2)*(E445=E444:E$2)))))</f>
        <v> </v>
      </c>
      <c r="J445" s="19" t="str">
        <f>IF(OR(E445="",E445="!!!",F445="NEW"),"",COUNTBLANK(OFFSET(A$1,,,SUMPRODUCT(MAX(ROW(E$2:E445)*(E445=E$2:E445)))))-COUNTBLANK(OFFSET(A$1,,,SUMPRODUCT(MAX(ROW(E$1:E444)*(E2=E$1:E444))))))</f>
        <v> </v>
      </c>
      <c r="K445" s="19" t="str">
        <f>IF(OR(E445="",E445="!!!",F445="NEW"),"",INDEX(J$1:J444,SUMPRODUCT(MAX(ROW(E$1:E444)*(E445=E$1:E444)))))</f>
        <v> </v>
      </c>
      <c r="L445" s="20"/>
    </row>
    <row r="446" spans="1:12">
      <c r="A446" s="13" t="s">
        <v>267</v>
      </c>
      <c r="B446" s="14" t="s">
        <v>98</v>
      </c>
      <c r="C446" s="14" t="s">
        <v>60</v>
      </c>
      <c r="D446" s="14" t="s">
        <v>25</v>
      </c>
      <c r="E446" s="15">
        <f>IF(D446="?OLD","!!!","")</f>
        <v/>
      </c>
      <c r="F446" s="16" t="str">
        <f>IF(OR(E446="",E446="!!!"),"",IF(NOT(ISNA(VLOOKUP(E446,E$1:E445,1,FALSE()))),"OLD",IF(AND(E446&lt;&gt;"",E446&lt;&gt;"!!!"),"NEW","")))</f>
        <v> </v>
      </c>
      <c r="G446" s="17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18" t="str">
        <f>IF(J446&lt;&gt;1,"",IF(I446="SBJ","CB","?"))</f>
        <v> </v>
      </c>
      <c r="I446" s="19" t="str">
        <f>IF(OR(E446="",E446="!!!",F446="NEW"),"",INDEX(B445:B$2,-1+SUMPRODUCT(MAX(ROW(E445:E$2)*(E446=E445:E$2)))))</f>
        <v> </v>
      </c>
      <c r="J446" s="19" t="str">
        <f>IF(OR(E446="",E446="!!!",F446="NEW"),"",COUNTBLANK(OFFSET(A$1,,,SUMPRODUCT(MAX(ROW(E$2:E446)*(E446=E$2:E446)))))-COUNTBLANK(OFFSET(A$1,,,SUMPRODUCT(MAX(ROW(E$1:E445)*(E2=E$1:E445))))))</f>
        <v> </v>
      </c>
      <c r="K446" s="19" t="str">
        <f>IF(OR(E446="",E446="!!!",F446="NEW"),"",INDEX(J$1:J445,SUMPRODUCT(MAX(ROW(E$1:E445)*(E446=E$1:E445)))))</f>
        <v> </v>
      </c>
      <c r="L446" s="20"/>
    </row>
    <row r="447" spans="1:12">
      <c r="A447" s="13" t="s">
        <v>56</v>
      </c>
      <c r="E447" s="15">
        <f>IF(D447="?OLD","!!!","")</f>
        <v/>
      </c>
      <c r="F447" s="16" t="str">
        <f>IF(OR(E447="",E447="!!!"),"",IF(NOT(ISNA(VLOOKUP(E447,E$1:E446,1,FALSE()))),"OLD",IF(AND(E447&lt;&gt;"",E447&lt;&gt;"!!!"),"NEW","")))</f>
        <v> </v>
      </c>
      <c r="G447" s="17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18" t="str">
        <f>IF(J447&lt;&gt;1,"",IF(I447="SBJ","CB","?"))</f>
        <v> </v>
      </c>
      <c r="I447" s="19" t="str">
        <f>IF(OR(E447="",E447="!!!",F447="NEW"),"",INDEX(B446:B$2,-1+SUMPRODUCT(MAX(ROW(E446:E$2)*(E447=E446:E$2)))))</f>
        <v> </v>
      </c>
      <c r="J447" s="19" t="str">
        <f>IF(OR(E447="",E447="!!!",F447="NEW"),"",COUNTBLANK(OFFSET(A$1,,,SUMPRODUCT(MAX(ROW(E$2:E447)*(E447=E$2:E447)))))-COUNTBLANK(OFFSET(A$1,,,SUMPRODUCT(MAX(ROW(E$1:E446)*(E2=E$1:E446))))))</f>
        <v> </v>
      </c>
      <c r="K447" s="19" t="str">
        <f>IF(OR(E447="",E447="!!!",F447="NEW"),"",INDEX(J$1:J446,SUMPRODUCT(MAX(ROW(E$1:E446)*(E447=E$1:E446)))))</f>
        <v> </v>
      </c>
      <c r="L447" s="20"/>
    </row>
    <row r="448" spans="1:12">
      <c r="A448" s="13" t="s">
        <v>102</v>
      </c>
      <c r="E448" s="15">
        <f>IF(D448="?OLD","!!!","")</f>
        <v/>
      </c>
      <c r="F448" s="16" t="str">
        <f>IF(OR(E448="",E448="!!!"),"",IF(NOT(ISNA(VLOOKUP(E448,E$1:E447,1,FALSE()))),"OLD",IF(AND(E448&lt;&gt;"",E448&lt;&gt;"!!!"),"NEW","")))</f>
        <v> </v>
      </c>
      <c r="G448" s="17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18" t="str">
        <f>IF(J448&lt;&gt;1,"",IF(I448="SBJ","CB","?"))</f>
        <v> </v>
      </c>
      <c r="I448" s="19" t="str">
        <f>IF(OR(E448="",E448="!!!",F448="NEW"),"",INDEX(B447:B$2,-1+SUMPRODUCT(MAX(ROW(E447:E$2)*(E448=E447:E$2)))))</f>
        <v> </v>
      </c>
      <c r="J448" s="19" t="str">
        <f>IF(OR(E448="",E448="!!!",F448="NEW"),"",COUNTBLANK(OFFSET(A$1,,,SUMPRODUCT(MAX(ROW(E$2:E448)*(E448=E$2:E448)))))-COUNTBLANK(OFFSET(A$1,,,SUMPRODUCT(MAX(ROW(E$1:E447)*(E2=E$1:E447))))))</f>
        <v> </v>
      </c>
      <c r="K448" s="19" t="str">
        <f>IF(OR(E448="",E448="!!!",F448="NEW"),"",INDEX(J$1:J447,SUMPRODUCT(MAX(ROW(E$1:E447)*(E448=E$1:E447)))))</f>
        <v> </v>
      </c>
      <c r="L448" s="20"/>
    </row>
    <row r="449" spans="1:12">
      <c r="A449" s="13" t="s">
        <v>201</v>
      </c>
      <c r="E449" s="15">
        <f>IF(D449="?OLD","!!!","")</f>
        <v/>
      </c>
      <c r="F449" s="16" t="str">
        <f>IF(OR(E449="",E449="!!!"),"",IF(NOT(ISNA(VLOOKUP(E449,E$1:E448,1,FALSE()))),"OLD",IF(AND(E449&lt;&gt;"",E449&lt;&gt;"!!!"),"NEW","")))</f>
        <v> </v>
      </c>
      <c r="G449" s="17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18" t="str">
        <f>IF(J449&lt;&gt;1,"",IF(I449="SBJ","CB","?"))</f>
        <v> </v>
      </c>
      <c r="I449" s="19" t="str">
        <f>IF(OR(E449="",E449="!!!",F449="NEW"),"",INDEX(B448:B$2,-1+SUMPRODUCT(MAX(ROW(E448:E$2)*(E449=E448:E$2)))))</f>
        <v> </v>
      </c>
      <c r="J449" s="19" t="str">
        <f>IF(OR(E449="",E449="!!!",F449="NEW"),"",COUNTBLANK(OFFSET(A$1,,,SUMPRODUCT(MAX(ROW(E$2:E449)*(E449=E$2:E449)))))-COUNTBLANK(OFFSET(A$1,,,SUMPRODUCT(MAX(ROW(E$1:E448)*(E2=E$1:E448))))))</f>
        <v> </v>
      </c>
      <c r="K449" s="19" t="str">
        <f>IF(OR(E449="",E449="!!!",F449="NEW"),"",INDEX(J$1:J448,SUMPRODUCT(MAX(ROW(E$1:E448)*(E449=E$1:E448)))))</f>
        <v> </v>
      </c>
      <c r="L449" s="20"/>
    </row>
    <row r="450" spans="1:12">
      <c r="A450" s="13" t="s">
        <v>268</v>
      </c>
      <c r="E450" s="15">
        <f>IF(D450="?OLD","!!!","")</f>
        <v/>
      </c>
      <c r="F450" s="16" t="str">
        <f>IF(OR(E450="",E450="!!!"),"",IF(NOT(ISNA(VLOOKUP(E450,E$1:E449,1,FALSE()))),"OLD",IF(AND(E450&lt;&gt;"",E450&lt;&gt;"!!!"),"NEW","")))</f>
        <v> </v>
      </c>
      <c r="G450" s="17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18" t="str">
        <f>IF(J450&lt;&gt;1,"",IF(I450="SBJ","CB","?"))</f>
        <v> </v>
      </c>
      <c r="I450" s="19" t="str">
        <f>IF(OR(E450="",E450="!!!",F450="NEW"),"",INDEX(B449:B$2,-1+SUMPRODUCT(MAX(ROW(E449:E$2)*(E450=E449:E$2)))))</f>
        <v> </v>
      </c>
      <c r="J450" s="19" t="str">
        <f>IF(OR(E450="",E450="!!!",F450="NEW"),"",COUNTBLANK(OFFSET(A$1,,,SUMPRODUCT(MAX(ROW(E$2:E450)*(E450=E$2:E450)))))-COUNTBLANK(OFFSET(A$1,,,SUMPRODUCT(MAX(ROW(E$1:E449)*(E2=E$1:E449))))))</f>
        <v> </v>
      </c>
      <c r="K450" s="19" t="str">
        <f>IF(OR(E450="",E450="!!!",F450="NEW"),"",INDEX(J$1:J449,SUMPRODUCT(MAX(ROW(E$1:E449)*(E450=E$1:E449)))))</f>
        <v> </v>
      </c>
      <c r="L450" s="20"/>
    </row>
    <row r="451" spans="1:12">
      <c r="A451" s="13" t="s">
        <v>102</v>
      </c>
      <c r="E451" s="15">
        <f>IF(D451="?OLD","!!!","")</f>
        <v/>
      </c>
      <c r="F451" s="16" t="str">
        <f>IF(OR(E451="",E451="!!!"),"",IF(NOT(ISNA(VLOOKUP(E451,E$1:E450,1,FALSE()))),"OLD",IF(AND(E451&lt;&gt;"",E451&lt;&gt;"!!!"),"NEW","")))</f>
        <v> </v>
      </c>
      <c r="G451" s="17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18" t="str">
        <f>IF(J451&lt;&gt;1,"",IF(I451="SBJ","CB","?"))</f>
        <v> </v>
      </c>
      <c r="I451" s="19" t="str">
        <f>IF(OR(E451="",E451="!!!",F451="NEW"),"",INDEX(B450:B$2,-1+SUMPRODUCT(MAX(ROW(E450:E$2)*(E451=E450:E$2)))))</f>
        <v> </v>
      </c>
      <c r="J451" s="19" t="str">
        <f>IF(OR(E451="",E451="!!!",F451="NEW"),"",COUNTBLANK(OFFSET(A$1,,,SUMPRODUCT(MAX(ROW(E$2:E451)*(E451=E$2:E451)))))-COUNTBLANK(OFFSET(A$1,,,SUMPRODUCT(MAX(ROW(E$1:E450)*(E2=E$1:E450))))))</f>
        <v> </v>
      </c>
      <c r="K451" s="19" t="str">
        <f>IF(OR(E451="",E451="!!!",F451="NEW"),"",INDEX(J$1:J450,SUMPRODUCT(MAX(ROW(E$1:E450)*(E451=E$1:E450)))))</f>
        <v> </v>
      </c>
      <c r="L451" s="20"/>
    </row>
    <row r="452" spans="1:12">
      <c r="A452" s="13" t="s">
        <v>87</v>
      </c>
      <c r="E452" s="15">
        <f>IF(D452="?OLD","!!!","")</f>
        <v/>
      </c>
      <c r="F452" s="16" t="str">
        <f>IF(OR(E452="",E452="!!!"),"",IF(NOT(ISNA(VLOOKUP(E452,E$1:E451,1,FALSE()))),"OLD",IF(AND(E452&lt;&gt;"",E452&lt;&gt;"!!!"),"NEW","")))</f>
        <v> </v>
      </c>
      <c r="G452" s="17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18" t="str">
        <f>IF(J452&lt;&gt;1,"",IF(I452="SBJ","CB","?"))</f>
        <v> </v>
      </c>
      <c r="I452" s="19" t="str">
        <f>IF(OR(E452="",E452="!!!",F452="NEW"),"",INDEX(B451:B$2,-1+SUMPRODUCT(MAX(ROW(E451:E$2)*(E452=E451:E$2)))))</f>
        <v> </v>
      </c>
      <c r="J452" s="19" t="str">
        <f>IF(OR(E452="",E452="!!!",F452="NEW"),"",COUNTBLANK(OFFSET(A$1,,,SUMPRODUCT(MAX(ROW(E$2:E452)*(E452=E$2:E452)))))-COUNTBLANK(OFFSET(A$1,,,SUMPRODUCT(MAX(ROW(E$1:E451)*(E2=E$1:E451))))))</f>
        <v> </v>
      </c>
      <c r="K452" s="19" t="str">
        <f>IF(OR(E452="",E452="!!!",F452="NEW"),"",INDEX(J$1:J451,SUMPRODUCT(MAX(ROW(E$1:E451)*(E452=E$1:E451)))))</f>
        <v> </v>
      </c>
      <c r="L452" s="20"/>
    </row>
    <row r="453" spans="1:12">
      <c r="A453" s="13" t="s">
        <v>269</v>
      </c>
      <c r="B453" s="14" t="s">
        <v>33</v>
      </c>
      <c r="C453" s="14" t="s">
        <v>60</v>
      </c>
      <c r="D453" s="14" t="s">
        <v>25</v>
      </c>
      <c r="E453" s="15">
        <f>IF(D453="?OLD","!!!","")</f>
        <v/>
      </c>
      <c r="F453" s="16" t="str">
        <f>IF(OR(E453="",E453="!!!"),"",IF(NOT(ISNA(VLOOKUP(E453,E$1:E452,1,FALSE()))),"OLD",IF(AND(E453&lt;&gt;"",E453&lt;&gt;"!!!"),"NEW","")))</f>
        <v> </v>
      </c>
      <c r="G453" s="17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18" t="str">
        <f>IF(J453&lt;&gt;1,"",IF(I453="SBJ","CB","?"))</f>
        <v> </v>
      </c>
      <c r="I453" s="19" t="str">
        <f>IF(OR(E453="",E453="!!!",F453="NEW"),"",INDEX(B452:B$2,-1+SUMPRODUCT(MAX(ROW(E452:E$2)*(E453=E452:E$2)))))</f>
        <v> </v>
      </c>
      <c r="J453" s="19" t="str">
        <f>IF(OR(E453="",E453="!!!",F453="NEW"),"",COUNTBLANK(OFFSET(A$1,,,SUMPRODUCT(MAX(ROW(E$2:E453)*(E453=E$2:E453)))))-COUNTBLANK(OFFSET(A$1,,,SUMPRODUCT(MAX(ROW(E$1:E452)*(E2=E$1:E452))))))</f>
        <v> </v>
      </c>
      <c r="K453" s="19" t="str">
        <f>IF(OR(E453="",E453="!!!",F453="NEW"),"",INDEX(J$1:J452,SUMPRODUCT(MAX(ROW(E$1:E452)*(E453=E$1:E452)))))</f>
        <v> </v>
      </c>
      <c r="L453" s="20"/>
    </row>
    <row r="454" spans="1:12">
      <c r="A454" s="13" t="s">
        <v>56</v>
      </c>
      <c r="E454" s="15">
        <f>IF(D454="?OLD","!!!","")</f>
        <v/>
      </c>
      <c r="F454" s="16" t="str">
        <f>IF(OR(E454="",E454="!!!"),"",IF(NOT(ISNA(VLOOKUP(E454,E$1:E453,1,FALSE()))),"OLD",IF(AND(E454&lt;&gt;"",E454&lt;&gt;"!!!"),"NEW","")))</f>
        <v> </v>
      </c>
      <c r="G454" s="17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18" t="str">
        <f>IF(J454&lt;&gt;1,"",IF(I454="SBJ","CB","?"))</f>
        <v> </v>
      </c>
      <c r="I454" s="19" t="str">
        <f>IF(OR(E454="",E454="!!!",F454="NEW"),"",INDEX(B453:B$2,-1+SUMPRODUCT(MAX(ROW(E453:E$2)*(E454=E453:E$2)))))</f>
        <v> </v>
      </c>
      <c r="J454" s="19" t="str">
        <f>IF(OR(E454="",E454="!!!",F454="NEW"),"",COUNTBLANK(OFFSET(A$1,,,SUMPRODUCT(MAX(ROW(E$2:E454)*(E454=E$2:E454)))))-COUNTBLANK(OFFSET(A$1,,,SUMPRODUCT(MAX(ROW(E$1:E453)*(E2=E$1:E453))))))</f>
        <v> </v>
      </c>
      <c r="K454" s="19" t="str">
        <f>IF(OR(E454="",E454="!!!",F454="NEW"),"",INDEX(J$1:J453,SUMPRODUCT(MAX(ROW(E$1:E453)*(E454=E$1:E453)))))</f>
        <v> </v>
      </c>
      <c r="L454" s="20"/>
    </row>
    <row r="455" spans="1:12">
      <c r="A455" s="13" t="s">
        <v>76</v>
      </c>
      <c r="E455" s="15">
        <f>IF(D455="?OLD","!!!","")</f>
        <v/>
      </c>
      <c r="F455" s="16" t="str">
        <f>IF(OR(E455="",E455="!!!"),"",IF(NOT(ISNA(VLOOKUP(E455,E$1:E454,1,FALSE()))),"OLD",IF(AND(E455&lt;&gt;"",E455&lt;&gt;"!!!"),"NEW","")))</f>
        <v> </v>
      </c>
      <c r="G455" s="17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18" t="str">
        <f>IF(J455&lt;&gt;1,"",IF(I455="SBJ","CB","?"))</f>
        <v> </v>
      </c>
      <c r="I455" s="19" t="str">
        <f>IF(OR(E455="",E455="!!!",F455="NEW"),"",INDEX(B454:B$2,-1+SUMPRODUCT(MAX(ROW(E454:E$2)*(E455=E454:E$2)))))</f>
        <v> </v>
      </c>
      <c r="J455" s="19" t="str">
        <f>IF(OR(E455="",E455="!!!",F455="NEW"),"",COUNTBLANK(OFFSET(A$1,,,SUMPRODUCT(MAX(ROW(E$2:E455)*(E455=E$2:E455)))))-COUNTBLANK(OFFSET(A$1,,,SUMPRODUCT(MAX(ROW(E$1:E454)*(E2=E$1:E454))))))</f>
        <v> </v>
      </c>
      <c r="K455" s="19" t="str">
        <f>IF(OR(E455="",E455="!!!",F455="NEW"),"",INDEX(J$1:J454,SUMPRODUCT(MAX(ROW(E$1:E454)*(E455=E$1:E454)))))</f>
        <v> </v>
      </c>
      <c r="L455" s="20"/>
    </row>
    <row r="456" spans="1:12">
      <c r="A456" s="13" t="s">
        <v>102</v>
      </c>
      <c r="E456" s="15">
        <f>IF(D456="?OLD","!!!","")</f>
        <v/>
      </c>
      <c r="F456" s="16" t="str">
        <f>IF(OR(E456="",E456="!!!"),"",IF(NOT(ISNA(VLOOKUP(E456,E$1:E455,1,FALSE()))),"OLD",IF(AND(E456&lt;&gt;"",E456&lt;&gt;"!!!"),"NEW","")))</f>
        <v> </v>
      </c>
      <c r="G456" s="17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18" t="str">
        <f>IF(J456&lt;&gt;1,"",IF(I456="SBJ","CB","?"))</f>
        <v> </v>
      </c>
      <c r="I456" s="19" t="str">
        <f>IF(OR(E456="",E456="!!!",F456="NEW"),"",INDEX(B455:B$2,-1+SUMPRODUCT(MAX(ROW(E455:E$2)*(E456=E455:E$2)))))</f>
        <v> </v>
      </c>
      <c r="J456" s="19" t="str">
        <f>IF(OR(E456="",E456="!!!",F456="NEW"),"",COUNTBLANK(OFFSET(A$1,,,SUMPRODUCT(MAX(ROW(E$2:E456)*(E456=E$2:E456)))))-COUNTBLANK(OFFSET(A$1,,,SUMPRODUCT(MAX(ROW(E$1:E455)*(E2=E$1:E455))))))</f>
        <v> </v>
      </c>
      <c r="K456" s="19" t="str">
        <f>IF(OR(E456="",E456="!!!",F456="NEW"),"",INDEX(J$1:J455,SUMPRODUCT(MAX(ROW(E$1:E455)*(E456=E$1:E455)))))</f>
        <v> </v>
      </c>
      <c r="L456" s="20"/>
    </row>
    <row r="457" spans="1:12">
      <c r="A457" s="13" t="s">
        <v>91</v>
      </c>
      <c r="E457" s="15">
        <f>IF(D457="?OLD","!!!","")</f>
        <v/>
      </c>
      <c r="F457" s="16" t="str">
        <f>IF(OR(E457="",E457="!!!"),"",IF(NOT(ISNA(VLOOKUP(E457,E$1:E456,1,FALSE()))),"OLD",IF(AND(E457&lt;&gt;"",E457&lt;&gt;"!!!"),"NEW","")))</f>
        <v> </v>
      </c>
      <c r="G457" s="17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18" t="str">
        <f>IF(J457&lt;&gt;1,"",IF(I457="SBJ","CB","?"))</f>
        <v> </v>
      </c>
      <c r="I457" s="19" t="str">
        <f>IF(OR(E457="",E457="!!!",F457="NEW"),"",INDEX(B456:B$2,-1+SUMPRODUCT(MAX(ROW(E456:E$2)*(E457=E456:E$2)))))</f>
        <v> </v>
      </c>
      <c r="J457" s="19" t="str">
        <f>IF(OR(E457="",E457="!!!",F457="NEW"),"",COUNTBLANK(OFFSET(A$1,,,SUMPRODUCT(MAX(ROW(E$2:E457)*(E457=E$2:E457)))))-COUNTBLANK(OFFSET(A$1,,,SUMPRODUCT(MAX(ROW(E$1:E456)*(E2=E$1:E456))))))</f>
        <v> </v>
      </c>
      <c r="K457" s="19" t="str">
        <f>IF(OR(E457="",E457="!!!",F457="NEW"),"",INDEX(J$1:J456,SUMPRODUCT(MAX(ROW(E$1:E456)*(E457=E$1:E456)))))</f>
        <v> </v>
      </c>
      <c r="L457" s="20"/>
    </row>
    <row r="458" spans="1:12">
      <c r="A458" s="13" t="s">
        <v>79</v>
      </c>
      <c r="E458" s="15">
        <f>IF(D458="?OLD","!!!","")</f>
        <v/>
      </c>
      <c r="F458" s="16" t="str">
        <f>IF(OR(E458="",E458="!!!"),"",IF(NOT(ISNA(VLOOKUP(E458,E$1:E457,1,FALSE()))),"OLD",IF(AND(E458&lt;&gt;"",E458&lt;&gt;"!!!"),"NEW","")))</f>
        <v> </v>
      </c>
      <c r="G458" s="17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18" t="str">
        <f>IF(J458&lt;&gt;1,"",IF(I458="SBJ","CB","?"))</f>
        <v> </v>
      </c>
      <c r="I458" s="19" t="str">
        <f>IF(OR(E458="",E458="!!!",F458="NEW"),"",INDEX(B457:B$2,-1+SUMPRODUCT(MAX(ROW(E457:E$2)*(E458=E457:E$2)))))</f>
        <v> </v>
      </c>
      <c r="J458" s="19" t="str">
        <f>IF(OR(E458="",E458="!!!",F458="NEW"),"",COUNTBLANK(OFFSET(A$1,,,SUMPRODUCT(MAX(ROW(E$2:E458)*(E458=E$2:E458)))))-COUNTBLANK(OFFSET(A$1,,,SUMPRODUCT(MAX(ROW(E$1:E457)*(E2=E$1:E457))))))</f>
        <v> </v>
      </c>
      <c r="K458" s="19" t="str">
        <f>IF(OR(E458="",E458="!!!",F458="NEW"),"",INDEX(J$1:J457,SUMPRODUCT(MAX(ROW(E$1:E457)*(E458=E$1:E457)))))</f>
        <v> </v>
      </c>
      <c r="L458" s="20"/>
    </row>
    <row r="459" spans="1:12">
      <c r="A459" s="13" t="s">
        <v>270</v>
      </c>
      <c r="E459" s="15">
        <f>IF(D459="?OLD","!!!","")</f>
        <v/>
      </c>
      <c r="F459" s="16" t="str">
        <f>IF(OR(E459="",E459="!!!"),"",IF(NOT(ISNA(VLOOKUP(E459,E$1:E458,1,FALSE()))),"OLD",IF(AND(E459&lt;&gt;"",E459&lt;&gt;"!!!"),"NEW","")))</f>
        <v> </v>
      </c>
      <c r="G459" s="17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18" t="str">
        <f>IF(J459&lt;&gt;1,"",IF(I459="SBJ","CB","?"))</f>
        <v> </v>
      </c>
      <c r="I459" s="19" t="str">
        <f>IF(OR(E459="",E459="!!!",F459="NEW"),"",INDEX(B458:B$2,-1+SUMPRODUCT(MAX(ROW(E458:E$2)*(E459=E458:E$2)))))</f>
        <v> </v>
      </c>
      <c r="J459" s="19" t="str">
        <f>IF(OR(E459="",E459="!!!",F459="NEW"),"",COUNTBLANK(OFFSET(A$1,,,SUMPRODUCT(MAX(ROW(E$2:E459)*(E459=E$2:E459)))))-COUNTBLANK(OFFSET(A$1,,,SUMPRODUCT(MAX(ROW(E$1:E458)*(E2=E$1:E458))))))</f>
        <v> </v>
      </c>
      <c r="K459" s="19" t="str">
        <f>IF(OR(E459="",E459="!!!",F459="NEW"),"",INDEX(J$1:J458,SUMPRODUCT(MAX(ROW(E$1:E458)*(E459=E$1:E458)))))</f>
        <v> </v>
      </c>
      <c r="L459" s="20"/>
    </row>
    <row r="460" spans="1:12">
      <c r="A460" s="13" t="s">
        <v>271</v>
      </c>
      <c r="B460" s="14" t="s">
        <v>33</v>
      </c>
      <c r="C460" s="14" t="s">
        <v>60</v>
      </c>
      <c r="D460" s="14" t="s">
        <v>25</v>
      </c>
      <c r="E460" s="15">
        <f>IF(D460="?OLD","!!!","")</f>
        <v/>
      </c>
      <c r="F460" s="16" t="str">
        <f>IF(OR(E460="",E460="!!!"),"",IF(NOT(ISNA(VLOOKUP(E460,E$1:E459,1,FALSE()))),"OLD",IF(AND(E460&lt;&gt;"",E460&lt;&gt;"!!!"),"NEW","")))</f>
        <v> </v>
      </c>
      <c r="G460" s="17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18" t="str">
        <f>IF(J460&lt;&gt;1,"",IF(I460="SBJ","CB","?"))</f>
        <v> </v>
      </c>
      <c r="I460" s="19" t="str">
        <f>IF(OR(E460="",E460="!!!",F460="NEW"),"",INDEX(B459:B$2,-1+SUMPRODUCT(MAX(ROW(E459:E$2)*(E460=E459:E$2)))))</f>
        <v> </v>
      </c>
      <c r="J460" s="19" t="str">
        <f>IF(OR(E460="",E460="!!!",F460="NEW"),"",COUNTBLANK(OFFSET(A$1,,,SUMPRODUCT(MAX(ROW(E$2:E460)*(E460=E$2:E460)))))-COUNTBLANK(OFFSET(A$1,,,SUMPRODUCT(MAX(ROW(E$1:E459)*(E2=E$1:E459))))))</f>
        <v> </v>
      </c>
      <c r="K460" s="19" t="str">
        <f>IF(OR(E460="",E460="!!!",F460="NEW"),"",INDEX(J$1:J459,SUMPRODUCT(MAX(ROW(E$1:E459)*(E460=E$1:E459)))))</f>
        <v> </v>
      </c>
      <c r="L460" s="20"/>
    </row>
    <row r="461" spans="1:12">
      <c r="A461" s="13" t="s">
        <v>209</v>
      </c>
      <c r="E461" s="15">
        <f>IF(D461="?OLD","!!!","")</f>
        <v/>
      </c>
      <c r="F461" s="16" t="str">
        <f>IF(OR(E461="",E461="!!!"),"",IF(NOT(ISNA(VLOOKUP(E461,E$1:E460,1,FALSE()))),"OLD",IF(AND(E461&lt;&gt;"",E461&lt;&gt;"!!!"),"NEW","")))</f>
        <v> </v>
      </c>
      <c r="G461" s="17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18" t="str">
        <f>IF(J461&lt;&gt;1,"",IF(I461="SBJ","CB","?"))</f>
        <v> </v>
      </c>
      <c r="I461" s="19" t="str">
        <f>IF(OR(E461="",E461="!!!",F461="NEW"),"",INDEX(B460:B$2,-1+SUMPRODUCT(MAX(ROW(E460:E$2)*(E461=E460:E$2)))))</f>
        <v> </v>
      </c>
      <c r="J461" s="19" t="str">
        <f>IF(OR(E461="",E461="!!!",F461="NEW"),"",COUNTBLANK(OFFSET(A$1,,,SUMPRODUCT(MAX(ROW(E$2:E461)*(E461=E$2:E461)))))-COUNTBLANK(OFFSET(A$1,,,SUMPRODUCT(MAX(ROW(E$1:E460)*(E2=E$1:E460))))))</f>
        <v> </v>
      </c>
      <c r="K461" s="19" t="str">
        <f>IF(OR(E461="",E461="!!!",F461="NEW"),"",INDEX(J$1:J460,SUMPRODUCT(MAX(ROW(E$1:E460)*(E461=E$1:E460)))))</f>
        <v> </v>
      </c>
      <c r="L461" s="20"/>
    </row>
    <row r="462" spans="1:12">
      <c r="A462" s="13" t="s">
        <v>272</v>
      </c>
      <c r="E462" s="15">
        <f>IF(D462="?OLD","!!!","")</f>
        <v/>
      </c>
      <c r="F462" s="16" t="str">
        <f>IF(OR(E462="",E462="!!!"),"",IF(NOT(ISNA(VLOOKUP(E462,E$1:E461,1,FALSE()))),"OLD",IF(AND(E462&lt;&gt;"",E462&lt;&gt;"!!!"),"NEW","")))</f>
        <v> </v>
      </c>
      <c r="G462" s="17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18" t="str">
        <f>IF(J462&lt;&gt;1,"",IF(I462="SBJ","CB","?"))</f>
        <v> </v>
      </c>
      <c r="I462" s="19" t="str">
        <f>IF(OR(E462="",E462="!!!",F462="NEW"),"",INDEX(B461:B$2,-1+SUMPRODUCT(MAX(ROW(E461:E$2)*(E462=E461:E$2)))))</f>
        <v> </v>
      </c>
      <c r="J462" s="19" t="str">
        <f>IF(OR(E462="",E462="!!!",F462="NEW"),"",COUNTBLANK(OFFSET(A$1,,,SUMPRODUCT(MAX(ROW(E$2:E462)*(E462=E$2:E462)))))-COUNTBLANK(OFFSET(A$1,,,SUMPRODUCT(MAX(ROW(E$1:E461)*(E2=E$1:E461))))))</f>
        <v> </v>
      </c>
      <c r="K462" s="19" t="str">
        <f>IF(OR(E462="",E462="!!!",F462="NEW"),"",INDEX(J$1:J461,SUMPRODUCT(MAX(ROW(E$1:E461)*(E462=E$1:E461)))))</f>
        <v> </v>
      </c>
      <c r="L462" s="20"/>
    </row>
    <row r="463" spans="1:12">
      <c r="A463" s="13" t="s">
        <v>270</v>
      </c>
      <c r="E463" s="15">
        <f>IF(D463="?OLD","!!!","")</f>
        <v/>
      </c>
      <c r="F463" s="16" t="str">
        <f>IF(OR(E463="",E463="!!!"),"",IF(NOT(ISNA(VLOOKUP(E463,E$1:E462,1,FALSE()))),"OLD",IF(AND(E463&lt;&gt;"",E463&lt;&gt;"!!!"),"NEW","")))</f>
        <v> </v>
      </c>
      <c r="G463" s="17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18" t="str">
        <f>IF(J463&lt;&gt;1,"",IF(I463="SBJ","CB","?"))</f>
        <v> </v>
      </c>
      <c r="I463" s="19" t="str">
        <f>IF(OR(E463="",E463="!!!",F463="NEW"),"",INDEX(B462:B$2,-1+SUMPRODUCT(MAX(ROW(E462:E$2)*(E463=E462:E$2)))))</f>
        <v> </v>
      </c>
      <c r="J463" s="19" t="str">
        <f>IF(OR(E463="",E463="!!!",F463="NEW"),"",COUNTBLANK(OFFSET(A$1,,,SUMPRODUCT(MAX(ROW(E$2:E463)*(E463=E$2:E463)))))-COUNTBLANK(OFFSET(A$1,,,SUMPRODUCT(MAX(ROW(E$1:E462)*(E2=E$1:E462))))))</f>
        <v> </v>
      </c>
      <c r="K463" s="19" t="str">
        <f>IF(OR(E463="",E463="!!!",F463="NEW"),"",INDEX(J$1:J462,SUMPRODUCT(MAX(ROW(E$1:E462)*(E463=E$1:E462)))))</f>
        <v> </v>
      </c>
      <c r="L463" s="20"/>
    </row>
    <row r="464" spans="1:12">
      <c r="A464" s="13" t="s">
        <v>273</v>
      </c>
      <c r="B464" s="14" t="s">
        <v>33</v>
      </c>
      <c r="C464" s="14" t="s">
        <v>60</v>
      </c>
      <c r="D464" s="14" t="s">
        <v>25</v>
      </c>
      <c r="E464" s="15">
        <f>IF(D464="?OLD","!!!","")</f>
        <v/>
      </c>
      <c r="F464" s="16" t="str">
        <f>IF(OR(E464="",E464="!!!"),"",IF(NOT(ISNA(VLOOKUP(E464,E$1:E463,1,FALSE()))),"OLD",IF(AND(E464&lt;&gt;"",E464&lt;&gt;"!!!"),"NEW","")))</f>
        <v> </v>
      </c>
      <c r="G464" s="17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18" t="str">
        <f>IF(J464&lt;&gt;1,"",IF(I464="SBJ","CB","?"))</f>
        <v> </v>
      </c>
      <c r="I464" s="19" t="str">
        <f>IF(OR(E464="",E464="!!!",F464="NEW"),"",INDEX(B463:B$2,-1+SUMPRODUCT(MAX(ROW(E463:E$2)*(E464=E463:E$2)))))</f>
        <v> </v>
      </c>
      <c r="J464" s="19" t="str">
        <f>IF(OR(E464="",E464="!!!",F464="NEW"),"",COUNTBLANK(OFFSET(A$1,,,SUMPRODUCT(MAX(ROW(E$2:E464)*(E464=E$2:E464)))))-COUNTBLANK(OFFSET(A$1,,,SUMPRODUCT(MAX(ROW(E$1:E463)*(E2=E$1:E463))))))</f>
        <v> </v>
      </c>
      <c r="K464" s="19" t="str">
        <f>IF(OR(E464="",E464="!!!",F464="NEW"),"",INDEX(J$1:J463,SUMPRODUCT(MAX(ROW(E$1:E463)*(E464=E$1:E463)))))</f>
        <v> </v>
      </c>
      <c r="L464" s="20"/>
    </row>
    <row r="465" spans="1:12">
      <c r="A465" s="13" t="s">
        <v>56</v>
      </c>
      <c r="E465" s="15">
        <f>IF(D465="?OLD","!!!","")</f>
        <v/>
      </c>
      <c r="F465" s="16" t="str">
        <f>IF(OR(E465="",E465="!!!"),"",IF(NOT(ISNA(VLOOKUP(E465,E$1:E464,1,FALSE()))),"OLD",IF(AND(E465&lt;&gt;"",E465&lt;&gt;"!!!"),"NEW","")))</f>
        <v> </v>
      </c>
      <c r="G465" s="17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18" t="str">
        <f>IF(J465&lt;&gt;1,"",IF(I465="SBJ","CB","?"))</f>
        <v> </v>
      </c>
      <c r="I465" s="19" t="str">
        <f>IF(OR(E465="",E465="!!!",F465="NEW"),"",INDEX(B464:B$2,-1+SUMPRODUCT(MAX(ROW(E464:E$2)*(E465=E464:E$2)))))</f>
        <v> </v>
      </c>
      <c r="J465" s="19" t="str">
        <f>IF(OR(E465="",E465="!!!",F465="NEW"),"",COUNTBLANK(OFFSET(A$1,,,SUMPRODUCT(MAX(ROW(E$2:E465)*(E465=E$2:E465)))))-COUNTBLANK(OFFSET(A$1,,,SUMPRODUCT(MAX(ROW(E$1:E464)*(E2=E$1:E464))))))</f>
        <v> </v>
      </c>
      <c r="K465" s="19" t="str">
        <f>IF(OR(E465="",E465="!!!",F465="NEW"),"",INDEX(J$1:J464,SUMPRODUCT(MAX(ROW(E$1:E464)*(E465=E$1:E464)))))</f>
        <v> </v>
      </c>
      <c r="L465" s="20"/>
    </row>
    <row r="466" spans="1:12">
      <c r="A466" s="13" t="s">
        <v>61</v>
      </c>
      <c r="B466" s="14" t="s">
        <v>210</v>
      </c>
      <c r="E466" s="15">
        <f>IF(D466="?OLD","!!!","")</f>
        <v/>
      </c>
      <c r="F466" s="16" t="str">
        <f>IF(OR(E466="",E466="!!!"),"",IF(NOT(ISNA(VLOOKUP(E466,E$1:E465,1,FALSE()))),"OLD",IF(AND(E466&lt;&gt;"",E466&lt;&gt;"!!!"),"NEW","")))</f>
        <v> </v>
      </c>
      <c r="G466" s="17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18" t="str">
        <f>IF(J466&lt;&gt;1,"",IF(I466="SBJ","CB","?"))</f>
        <v> </v>
      </c>
      <c r="I466" s="19" t="str">
        <f>IF(OR(E466="",E466="!!!",F466="NEW"),"",INDEX(B465:B$2,-1+SUMPRODUCT(MAX(ROW(E465:E$2)*(E466=E465:E$2)))))</f>
        <v> </v>
      </c>
      <c r="J466" s="19" t="str">
        <f>IF(OR(E466="",E466="!!!",F466="NEW"),"",COUNTBLANK(OFFSET(A$1,,,SUMPRODUCT(MAX(ROW(E$2:E466)*(E466=E$2:E466)))))-COUNTBLANK(OFFSET(A$1,,,SUMPRODUCT(MAX(ROW(E$1:E465)*(E2=E$1:E465))))))</f>
        <v> </v>
      </c>
      <c r="K466" s="19" t="str">
        <f>IF(OR(E466="",E466="!!!",F466="NEW"),"",INDEX(J$1:J465,SUMPRODUCT(MAX(ROW(E$1:E465)*(E466=E$1:E465)))))</f>
        <v> </v>
      </c>
      <c r="L466" s="20"/>
    </row>
    <row r="467" spans="1:12">
      <c r="A467" s="13" t="s">
        <v>274</v>
      </c>
      <c r="E467" s="15">
        <f>IF(D467="?OLD","!!!","")</f>
        <v/>
      </c>
      <c r="F467" s="16" t="str">
        <f>IF(OR(E467="",E467="!!!"),"",IF(NOT(ISNA(VLOOKUP(E467,E$1:E466,1,FALSE()))),"OLD",IF(AND(E467&lt;&gt;"",E467&lt;&gt;"!!!"),"NEW","")))</f>
        <v> </v>
      </c>
      <c r="G467" s="17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18" t="str">
        <f>IF(J467&lt;&gt;1,"",IF(I467="SBJ","CB","?"))</f>
        <v> </v>
      </c>
      <c r="I467" s="19" t="str">
        <f>IF(OR(E467="",E467="!!!",F467="NEW"),"",INDEX(B466:B$2,-1+SUMPRODUCT(MAX(ROW(E466:E$2)*(E467=E466:E$2)))))</f>
        <v> </v>
      </c>
      <c r="J467" s="19" t="str">
        <f>IF(OR(E467="",E467="!!!",F467="NEW"),"",COUNTBLANK(OFFSET(A$1,,,SUMPRODUCT(MAX(ROW(E$2:E467)*(E467=E$2:E467)))))-COUNTBLANK(OFFSET(A$1,,,SUMPRODUCT(MAX(ROW(E$1:E466)*(E2=E$1:E466))))))</f>
        <v> </v>
      </c>
      <c r="K467" s="19" t="str">
        <f>IF(OR(E467="",E467="!!!",F467="NEW"),"",INDEX(J$1:J466,SUMPRODUCT(MAX(ROW(E$1:E466)*(E467=E$1:E466)))))</f>
        <v> </v>
      </c>
      <c r="L467" s="20"/>
    </row>
    <row r="468" spans="1:12">
      <c r="A468" s="13" t="s">
        <v>275</v>
      </c>
      <c r="E468" s="15">
        <f>IF(D468="?OLD","!!!","")</f>
        <v/>
      </c>
      <c r="F468" s="16" t="str">
        <f>IF(OR(E468="",E468="!!!"),"",IF(NOT(ISNA(VLOOKUP(E468,E$1:E467,1,FALSE()))),"OLD",IF(AND(E468&lt;&gt;"",E468&lt;&gt;"!!!"),"NEW","")))</f>
        <v> </v>
      </c>
      <c r="G468" s="17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18" t="str">
        <f>IF(J468&lt;&gt;1,"",IF(I468="SBJ","CB","?"))</f>
        <v> </v>
      </c>
      <c r="I468" s="19" t="str">
        <f>IF(OR(E468="",E468="!!!",F468="NEW"),"",INDEX(B467:B$2,-1+SUMPRODUCT(MAX(ROW(E467:E$2)*(E468=E467:E$2)))))</f>
        <v> </v>
      </c>
      <c r="J468" s="19" t="str">
        <f>IF(OR(E468="",E468="!!!",F468="NEW"),"",COUNTBLANK(OFFSET(A$1,,,SUMPRODUCT(MAX(ROW(E$2:E468)*(E468=E$2:E468)))))-COUNTBLANK(OFFSET(A$1,,,SUMPRODUCT(MAX(ROW(E$1:E467)*(E2=E$1:E467))))))</f>
        <v> </v>
      </c>
      <c r="K468" s="19" t="str">
        <f>IF(OR(E468="",E468="!!!",F468="NEW"),"",INDEX(J$1:J467,SUMPRODUCT(MAX(ROW(E$1:E467)*(E468=E$1:E467)))))</f>
        <v> </v>
      </c>
      <c r="L468" s="20"/>
    </row>
    <row r="469" spans="1:12">
      <c r="A469" s="13" t="s">
        <v>57</v>
      </c>
      <c r="E469" s="15">
        <f>IF(D469="?OLD","!!!","")</f>
        <v/>
      </c>
      <c r="F469" s="16" t="str">
        <f>IF(OR(E469="",E469="!!!"),"",IF(NOT(ISNA(VLOOKUP(E469,E$1:E468,1,FALSE()))),"OLD",IF(AND(E469&lt;&gt;"",E469&lt;&gt;"!!!"),"NEW","")))</f>
        <v> </v>
      </c>
      <c r="G469" s="17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18" t="str">
        <f>IF(J469&lt;&gt;1,"",IF(I469="SBJ","CB","?"))</f>
        <v> </v>
      </c>
      <c r="I469" s="19" t="str">
        <f>IF(OR(E469="",E469="!!!",F469="NEW"),"",INDEX(B468:B$2,-1+SUMPRODUCT(MAX(ROW(E468:E$2)*(E469=E468:E$2)))))</f>
        <v> </v>
      </c>
      <c r="J469" s="19" t="str">
        <f>IF(OR(E469="",E469="!!!",F469="NEW"),"",COUNTBLANK(OFFSET(A$1,,,SUMPRODUCT(MAX(ROW(E$2:E469)*(E469=E$2:E469)))))-COUNTBLANK(OFFSET(A$1,,,SUMPRODUCT(MAX(ROW(E$1:E468)*(E2=E$1:E468))))))</f>
        <v> </v>
      </c>
      <c r="K469" s="19" t="str">
        <f>IF(OR(E469="",E469="!!!",F469="NEW"),"",INDEX(J$1:J468,SUMPRODUCT(MAX(ROW(E$1:E468)*(E469=E$1:E468)))))</f>
        <v> </v>
      </c>
      <c r="L469" s="20"/>
    </row>
    <row r="470" spans="1:12">
      <c r="A470" s="13" t="s">
        <v>276</v>
      </c>
      <c r="B470" s="14" t="s">
        <v>106</v>
      </c>
      <c r="C470" s="14" t="s">
        <v>60</v>
      </c>
      <c r="D470" s="14" t="s">
        <v>25</v>
      </c>
      <c r="E470" s="15">
        <f>IF(D470="?OLD","!!!","")</f>
        <v/>
      </c>
      <c r="F470" s="16" t="str">
        <f>IF(OR(E470="",E470="!!!"),"",IF(NOT(ISNA(VLOOKUP(E470,E$1:E469,1,FALSE()))),"OLD",IF(AND(E470&lt;&gt;"",E470&lt;&gt;"!!!"),"NEW","")))</f>
        <v> </v>
      </c>
      <c r="G470" s="17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18" t="str">
        <f>IF(J470&lt;&gt;1,"",IF(I470="SBJ","CB","?"))</f>
        <v> </v>
      </c>
      <c r="I470" s="19" t="str">
        <f>IF(OR(E470="",E470="!!!",F470="NEW"),"",INDEX(B469:B$2,-1+SUMPRODUCT(MAX(ROW(E469:E$2)*(E470=E469:E$2)))))</f>
        <v> </v>
      </c>
      <c r="J470" s="19" t="str">
        <f>IF(OR(E470="",E470="!!!",F470="NEW"),"",COUNTBLANK(OFFSET(A$1,,,SUMPRODUCT(MAX(ROW(E$2:E470)*(E470=E$2:E470)))))-COUNTBLANK(OFFSET(A$1,,,SUMPRODUCT(MAX(ROW(E$1:E469)*(E2=E$1:E469))))))</f>
        <v> </v>
      </c>
      <c r="K470" s="19" t="str">
        <f>IF(OR(E470="",E470="!!!",F470="NEW"),"",INDEX(J$1:J469,SUMPRODUCT(MAX(ROW(E$1:E469)*(E470=E$1:E469)))))</f>
        <v> </v>
      </c>
      <c r="L470" s="20"/>
    </row>
    <row r="471" spans="1:12">
      <c r="A471" s="13" t="s">
        <v>68</v>
      </c>
      <c r="E471" s="15">
        <f>IF(D471="?OLD","!!!","")</f>
        <v/>
      </c>
      <c r="F471" s="16" t="str">
        <f>IF(OR(E471="",E471="!!!"),"",IF(NOT(ISNA(VLOOKUP(E471,E$1:E470,1,FALSE()))),"OLD",IF(AND(E471&lt;&gt;"",E471&lt;&gt;"!!!"),"NEW","")))</f>
        <v> </v>
      </c>
      <c r="G471" s="17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18" t="str">
        <f>IF(J471&lt;&gt;1,"",IF(I471="SBJ","CB","?"))</f>
        <v> </v>
      </c>
      <c r="I471" s="19" t="str">
        <f>IF(OR(E471="",E471="!!!",F471="NEW"),"",INDEX(B470:B$2,-1+SUMPRODUCT(MAX(ROW(E470:E$2)*(E471=E470:E$2)))))</f>
        <v> </v>
      </c>
      <c r="J471" s="19" t="str">
        <f>IF(OR(E471="",E471="!!!",F471="NEW"),"",COUNTBLANK(OFFSET(A$1,,,SUMPRODUCT(MAX(ROW(E$2:E471)*(E471=E$2:E471)))))-COUNTBLANK(OFFSET(A$1,,,SUMPRODUCT(MAX(ROW(E$1:E470)*(E2=E$1:E470))))))</f>
        <v> </v>
      </c>
      <c r="K471" s="19" t="str">
        <f>IF(OR(E471="",E471="!!!",F471="NEW"),"",INDEX(J$1:J470,SUMPRODUCT(MAX(ROW(E$1:E470)*(E471=E$1:E470)))))</f>
        <v> </v>
      </c>
      <c r="L471" s="20"/>
    </row>
    <row r="472" spans="1:12">
      <c r="A472" s="13"/>
    </row>
    <row r="473" spans="1:12">
      <c r="A473" s="13" t="s">
        <v>277</v>
      </c>
    </row>
    <row r="474" spans="1:12">
      <c r="A474" s="13" t="s">
        <v>252</v>
      </c>
      <c r="E474" s="15">
        <f>IF(D474="?OLD","!!!","")</f>
        <v/>
      </c>
      <c r="F474" s="16" t="str">
        <f>IF(OR(E474="",E474="!!!"),"",IF(NOT(ISNA(VLOOKUP(E474,E$1:E473,1,FALSE()))),"OLD",IF(AND(E474&lt;&gt;"",E474&lt;&gt;"!!!"),"NEW","")))</f>
        <v> </v>
      </c>
      <c r="G474" s="17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18" t="str">
        <f>IF(J474&lt;&gt;1,"",IF(I474="SBJ","CB","?"))</f>
        <v> </v>
      </c>
      <c r="I474" s="19" t="str">
        <f>IF(OR(E474="",E474="!!!",F474="NEW"),"",INDEX(B473:B$2,-1+SUMPRODUCT(MAX(ROW(E473:E$2)*(E474=E473:E$2)))))</f>
        <v> </v>
      </c>
      <c r="J474" s="19" t="str">
        <f>IF(OR(E474="",E474="!!!",F474="NEW"),"",COUNTBLANK(OFFSET(A$1,,,SUMPRODUCT(MAX(ROW(E$2:E474)*(E474=E$2:E474)))))-COUNTBLANK(OFFSET(A$1,,,SUMPRODUCT(MAX(ROW(E$1:E473)*(E2=E$1:E473))))))</f>
        <v> </v>
      </c>
      <c r="K474" s="19" t="str">
        <f>IF(OR(E474="",E474="!!!",F474="NEW"),"",INDEX(J$1:J473,SUMPRODUCT(MAX(ROW(E$1:E473)*(E474=E$1:E473)))))</f>
        <v> </v>
      </c>
      <c r="L474" s="20"/>
    </row>
    <row r="475" spans="1:12">
      <c r="A475" s="13" t="s">
        <v>164</v>
      </c>
      <c r="B475" s="14" t="s">
        <v>23</v>
      </c>
      <c r="C475" s="14" t="s">
        <v>24</v>
      </c>
      <c r="D475" s="14" t="s">
        <v>25</v>
      </c>
      <c r="E475" s="15">
        <f>IF(D475="?OLD","!!!","")</f>
        <v/>
      </c>
      <c r="F475" s="16" t="str">
        <f>IF(OR(E475="",E475="!!!"),"",IF(NOT(ISNA(VLOOKUP(E475,E$1:E474,1,FALSE()))),"OLD",IF(AND(E475&lt;&gt;"",E475&lt;&gt;"!!!"),"NEW","")))</f>
        <v> </v>
      </c>
      <c r="G475" s="17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18" t="str">
        <f>IF(J475&lt;&gt;1,"",IF(I475="SBJ","CB","?"))</f>
        <v> </v>
      </c>
      <c r="I475" s="19" t="str">
        <f>IF(OR(E475="",E475="!!!",F475="NEW"),"",INDEX(B474:B$2,-1+SUMPRODUCT(MAX(ROW(E474:E$2)*(E475=E474:E$2)))))</f>
        <v> </v>
      </c>
      <c r="J475" s="19" t="str">
        <f>IF(OR(E475="",E475="!!!",F475="NEW"),"",COUNTBLANK(OFFSET(A$1,,,SUMPRODUCT(MAX(ROW(E$2:E475)*(E475=E$2:E475)))))-COUNTBLANK(OFFSET(A$1,,,SUMPRODUCT(MAX(ROW(E$1:E474)*(E2=E$1:E474))))))</f>
        <v> </v>
      </c>
      <c r="K475" s="19" t="str">
        <f>IF(OR(E475="",E475="!!!",F475="NEW"),"",INDEX(J$1:J474,SUMPRODUCT(MAX(ROW(E$1:E474)*(E475=E$1:E474)))))</f>
        <v> </v>
      </c>
      <c r="L475" s="20"/>
    </row>
    <row r="476" spans="1:12">
      <c r="A476" s="13" t="s">
        <v>52</v>
      </c>
      <c r="E476" s="15">
        <f>IF(D476="?OLD","!!!","")</f>
        <v/>
      </c>
      <c r="F476" s="16" t="str">
        <f>IF(OR(E476="",E476="!!!"),"",IF(NOT(ISNA(VLOOKUP(E476,E$1:E475,1,FALSE()))),"OLD",IF(AND(E476&lt;&gt;"",E476&lt;&gt;"!!!"),"NEW","")))</f>
        <v> </v>
      </c>
      <c r="G476" s="17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18" t="str">
        <f>IF(J476&lt;&gt;1,"",IF(I476="SBJ","CB","?"))</f>
        <v> </v>
      </c>
      <c r="I476" s="19" t="str">
        <f>IF(OR(E476="",E476="!!!",F476="NEW"),"",INDEX(B475:B$2,-1+SUMPRODUCT(MAX(ROW(E475:E$2)*(E476=E475:E$2)))))</f>
        <v> </v>
      </c>
      <c r="J476" s="19" t="str">
        <f>IF(OR(E476="",E476="!!!",F476="NEW"),"",COUNTBLANK(OFFSET(A$1,,,SUMPRODUCT(MAX(ROW(E$2:E476)*(E476=E$2:E476)))))-COUNTBLANK(OFFSET(A$1,,,SUMPRODUCT(MAX(ROW(E$1:E475)*(E2=E$1:E475))))))</f>
        <v> </v>
      </c>
      <c r="K476" s="19" t="str">
        <f>IF(OR(E476="",E476="!!!",F476="NEW"),"",INDEX(J$1:J475,SUMPRODUCT(MAX(ROW(E$1:E475)*(E476=E$1:E475)))))</f>
        <v> </v>
      </c>
      <c r="L476" s="20"/>
    </row>
    <row r="477" spans="1:12">
      <c r="A477" s="13" t="s">
        <v>147</v>
      </c>
      <c r="E477" s="15">
        <f>IF(D477="?OLD","!!!","")</f>
        <v/>
      </c>
      <c r="F477" s="16" t="str">
        <f>IF(OR(E477="",E477="!!!"),"",IF(NOT(ISNA(VLOOKUP(E477,E$1:E476,1,FALSE()))),"OLD",IF(AND(E477&lt;&gt;"",E477&lt;&gt;"!!!"),"NEW","")))</f>
        <v> </v>
      </c>
      <c r="G477" s="17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18" t="str">
        <f>IF(J477&lt;&gt;1,"",IF(I477="SBJ","CB","?"))</f>
        <v> </v>
      </c>
      <c r="I477" s="19" t="str">
        <f>IF(OR(E477="",E477="!!!",F477="NEW"),"",INDEX(B476:B$2,-1+SUMPRODUCT(MAX(ROW(E476:E$2)*(E477=E476:E$2)))))</f>
        <v> </v>
      </c>
      <c r="J477" s="19" t="str">
        <f>IF(OR(E477="",E477="!!!",F477="NEW"),"",COUNTBLANK(OFFSET(A$1,,,SUMPRODUCT(MAX(ROW(E$2:E477)*(E477=E$2:E477)))))-COUNTBLANK(OFFSET(A$1,,,SUMPRODUCT(MAX(ROW(E$1:E476)*(E2=E$1:E476))))))</f>
        <v> </v>
      </c>
      <c r="K477" s="19" t="str">
        <f>IF(OR(E477="",E477="!!!",F477="NEW"),"",INDEX(J$1:J476,SUMPRODUCT(MAX(ROW(E$1:E476)*(E477=E$1:E476)))))</f>
        <v> </v>
      </c>
      <c r="L477" s="20"/>
    </row>
    <row r="478" spans="1:12">
      <c r="A478" s="13" t="s">
        <v>278</v>
      </c>
      <c r="B478" s="14" t="s">
        <v>27</v>
      </c>
      <c r="C478" s="14" t="s">
        <v>149</v>
      </c>
      <c r="E478" s="15">
        <f>IF(D478="?OLD","!!!","")</f>
        <v/>
      </c>
      <c r="F478" s="16" t="str">
        <f>IF(OR(E478="",E478="!!!"),"",IF(NOT(ISNA(VLOOKUP(E478,E$1:E477,1,FALSE()))),"OLD",IF(AND(E478&lt;&gt;"",E478&lt;&gt;"!!!"),"NEW","")))</f>
        <v> </v>
      </c>
      <c r="G478" s="17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18" t="str">
        <f>IF(J478&lt;&gt;1,"",IF(I478="SBJ","CB","?"))</f>
        <v> </v>
      </c>
      <c r="I478" s="19" t="str">
        <f>IF(OR(E478="",E478="!!!",F478="NEW"),"",INDEX(B477:B$2,-1+SUMPRODUCT(MAX(ROW(E477:E$2)*(E478=E477:E$2)))))</f>
        <v> </v>
      </c>
      <c r="J478" s="19" t="str">
        <f>IF(OR(E478="",E478="!!!",F478="NEW"),"",COUNTBLANK(OFFSET(A$1,,,SUMPRODUCT(MAX(ROW(E$2:E478)*(E478=E$2:E478)))))-COUNTBLANK(OFFSET(A$1,,,SUMPRODUCT(MAX(ROW(E$1:E477)*(E2=E$1:E477))))))</f>
        <v> </v>
      </c>
      <c r="K478" s="19" t="str">
        <f>IF(OR(E478="",E478="!!!",F478="NEW"),"",INDEX(J$1:J477,SUMPRODUCT(MAX(ROW(E$1:E477)*(E478=E$1:E477)))))</f>
        <v> </v>
      </c>
      <c r="L478" s="20"/>
    </row>
    <row r="479" spans="1:12">
      <c r="A479" s="13" t="s">
        <v>279</v>
      </c>
      <c r="E479" s="15">
        <f>IF(D479="?OLD","!!!","")</f>
        <v/>
      </c>
      <c r="F479" s="16" t="str">
        <f>IF(OR(E479="",E479="!!!"),"",IF(NOT(ISNA(VLOOKUP(E479,E$1:E478,1,FALSE()))),"OLD",IF(AND(E479&lt;&gt;"",E479&lt;&gt;"!!!"),"NEW","")))</f>
        <v> </v>
      </c>
      <c r="G479" s="17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18" t="str">
        <f>IF(J479&lt;&gt;1,"",IF(I479="SBJ","CB","?"))</f>
        <v> </v>
      </c>
      <c r="I479" s="19" t="str">
        <f>IF(OR(E479="",E479="!!!",F479="NEW"),"",INDEX(B478:B$2,-1+SUMPRODUCT(MAX(ROW(E478:E$2)*(E479=E478:E$2)))))</f>
        <v> </v>
      </c>
      <c r="J479" s="19" t="str">
        <f>IF(OR(E479="",E479="!!!",F479="NEW"),"",COUNTBLANK(OFFSET(A$1,,,SUMPRODUCT(MAX(ROW(E$2:E479)*(E479=E$2:E479)))))-COUNTBLANK(OFFSET(A$1,,,SUMPRODUCT(MAX(ROW(E$1:E478)*(E2=E$1:E478))))))</f>
        <v> </v>
      </c>
      <c r="K479" s="19" t="str">
        <f>IF(OR(E479="",E479="!!!",F479="NEW"),"",INDEX(J$1:J478,SUMPRODUCT(MAX(ROW(E$1:E478)*(E479=E$1:E478)))))</f>
        <v> </v>
      </c>
      <c r="L479" s="20"/>
    </row>
    <row r="480" spans="1:12">
      <c r="A480" s="13" t="s">
        <v>102</v>
      </c>
      <c r="E480" s="15">
        <f>IF(D480="?OLD","!!!","")</f>
        <v/>
      </c>
      <c r="F480" s="16" t="str">
        <f>IF(OR(E480="",E480="!!!"),"",IF(NOT(ISNA(VLOOKUP(E480,E$1:E479,1,FALSE()))),"OLD",IF(AND(E480&lt;&gt;"",E480&lt;&gt;"!!!"),"NEW","")))</f>
        <v> </v>
      </c>
      <c r="G480" s="17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18" t="str">
        <f>IF(J480&lt;&gt;1,"",IF(I480="SBJ","CB","?"))</f>
        <v> </v>
      </c>
      <c r="I480" s="19" t="str">
        <f>IF(OR(E480="",E480="!!!",F480="NEW"),"",INDEX(B479:B$2,-1+SUMPRODUCT(MAX(ROW(E479:E$2)*(E480=E479:E$2)))))</f>
        <v> </v>
      </c>
      <c r="J480" s="19" t="str">
        <f>IF(OR(E480="",E480="!!!",F480="NEW"),"",COUNTBLANK(OFFSET(A$1,,,SUMPRODUCT(MAX(ROW(E$2:E480)*(E480=E$2:E480)))))-COUNTBLANK(OFFSET(A$1,,,SUMPRODUCT(MAX(ROW(E$1:E479)*(E2=E$1:E479))))))</f>
        <v> </v>
      </c>
      <c r="K480" s="19" t="str">
        <f>IF(OR(E480="",E480="!!!",F480="NEW"),"",INDEX(J$1:J479,SUMPRODUCT(MAX(ROW(E$1:E479)*(E480=E$1:E479)))))</f>
        <v> </v>
      </c>
      <c r="L480" s="20"/>
    </row>
    <row r="481" spans="1:12">
      <c r="A481" s="13" t="s">
        <v>230</v>
      </c>
      <c r="B481" s="14" t="s">
        <v>45</v>
      </c>
      <c r="C481" s="14" t="s">
        <v>39</v>
      </c>
      <c r="D481" s="14" t="s">
        <v>25</v>
      </c>
      <c r="E481" s="15">
        <f>IF(D481="?OLD","!!!","")</f>
        <v/>
      </c>
      <c r="F481" s="16" t="str">
        <f>IF(OR(E481="",E481="!!!"),"",IF(NOT(ISNA(VLOOKUP(E481,E$1:E480,1,FALSE()))),"OLD",IF(AND(E481&lt;&gt;"",E481&lt;&gt;"!!!"),"NEW","")))</f>
        <v> </v>
      </c>
      <c r="G481" s="17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18" t="str">
        <f>IF(J481&lt;&gt;1,"",IF(I481="SBJ","CB","?"))</f>
        <v> </v>
      </c>
      <c r="I481" s="19" t="str">
        <f>IF(OR(E481="",E481="!!!",F481="NEW"),"",INDEX(B480:B$2,-1+SUMPRODUCT(MAX(ROW(E480:E$2)*(E481=E480:E$2)))))</f>
        <v> </v>
      </c>
      <c r="J481" s="19" t="str">
        <f>IF(OR(E481="",E481="!!!",F481="NEW"),"",COUNTBLANK(OFFSET(A$1,,,SUMPRODUCT(MAX(ROW(E$2:E481)*(E481=E$2:E481)))))-COUNTBLANK(OFFSET(A$1,,,SUMPRODUCT(MAX(ROW(E$1:E480)*(E2=E$1:E480))))))</f>
        <v> </v>
      </c>
      <c r="K481" s="19" t="str">
        <f>IF(OR(E481="",E481="!!!",F481="NEW"),"",INDEX(J$1:J480,SUMPRODUCT(MAX(ROW(E$1:E480)*(E481=E$1:E480)))))</f>
        <v> </v>
      </c>
      <c r="L481" s="20"/>
    </row>
    <row r="482" spans="1:12">
      <c r="A482" s="13" t="s">
        <v>79</v>
      </c>
      <c r="E482" s="15">
        <f>IF(D482="?OLD","!!!","")</f>
        <v/>
      </c>
      <c r="F482" s="16" t="str">
        <f>IF(OR(E482="",E482="!!!"),"",IF(NOT(ISNA(VLOOKUP(E482,E$1:E481,1,FALSE()))),"OLD",IF(AND(E482&lt;&gt;"",E482&lt;&gt;"!!!"),"NEW","")))</f>
        <v> </v>
      </c>
      <c r="G482" s="17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18" t="str">
        <f>IF(J482&lt;&gt;1,"",IF(I482="SBJ","CB","?"))</f>
        <v> </v>
      </c>
      <c r="I482" s="19" t="str">
        <f>IF(OR(E482="",E482="!!!",F482="NEW"),"",INDEX(B481:B$2,-1+SUMPRODUCT(MAX(ROW(E481:E$2)*(E482=E481:E$2)))))</f>
        <v> </v>
      </c>
      <c r="J482" s="19" t="str">
        <f>IF(OR(E482="",E482="!!!",F482="NEW"),"",COUNTBLANK(OFFSET(A$1,,,SUMPRODUCT(MAX(ROW(E$2:E482)*(E482=E$2:E482)))))-COUNTBLANK(OFFSET(A$1,,,SUMPRODUCT(MAX(ROW(E$1:E481)*(E2=E$1:E481))))))</f>
        <v> </v>
      </c>
      <c r="K482" s="19" t="str">
        <f>IF(OR(E482="",E482="!!!",F482="NEW"),"",INDEX(J$1:J481,SUMPRODUCT(MAX(ROW(E$1:E481)*(E482=E$1:E481)))))</f>
        <v> </v>
      </c>
      <c r="L482" s="20"/>
    </row>
    <row r="483" spans="1:12">
      <c r="A483" s="13" t="s">
        <v>57</v>
      </c>
      <c r="E483" s="15">
        <f>IF(D483="?OLD","!!!","")</f>
        <v/>
      </c>
      <c r="F483" s="16" t="str">
        <f>IF(OR(E483="",E483="!!!"),"",IF(NOT(ISNA(VLOOKUP(E483,E$1:E482,1,FALSE()))),"OLD",IF(AND(E483&lt;&gt;"",E483&lt;&gt;"!!!"),"NEW","")))</f>
        <v> </v>
      </c>
      <c r="G483" s="17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18" t="str">
        <f>IF(J483&lt;&gt;1,"",IF(I483="SBJ","CB","?"))</f>
        <v> </v>
      </c>
      <c r="I483" s="19" t="str">
        <f>IF(OR(E483="",E483="!!!",F483="NEW"),"",INDEX(B482:B$2,-1+SUMPRODUCT(MAX(ROW(E482:E$2)*(E483=E482:E$2)))))</f>
        <v> </v>
      </c>
      <c r="J483" s="19" t="str">
        <f>IF(OR(E483="",E483="!!!",F483="NEW"),"",COUNTBLANK(OFFSET(A$1,,,SUMPRODUCT(MAX(ROW(E$2:E483)*(E483=E$2:E483)))))-COUNTBLANK(OFFSET(A$1,,,SUMPRODUCT(MAX(ROW(E$1:E482)*(E2=E$1:E482))))))</f>
        <v> </v>
      </c>
      <c r="K483" s="19" t="str">
        <f>IF(OR(E483="",E483="!!!",F483="NEW"),"",INDEX(J$1:J482,SUMPRODUCT(MAX(ROW(E$1:E482)*(E483=E$1:E482)))))</f>
        <v> </v>
      </c>
      <c r="L483" s="20"/>
    </row>
    <row r="484" spans="1:12">
      <c r="A484" s="13" t="s">
        <v>77</v>
      </c>
      <c r="B484" s="14" t="s">
        <v>27</v>
      </c>
      <c r="C484" s="14" t="s">
        <v>60</v>
      </c>
      <c r="D484" s="14" t="s">
        <v>25</v>
      </c>
      <c r="E484" s="15">
        <f>IF(D484="?OLD","!!!","")</f>
        <v/>
      </c>
      <c r="F484" s="16" t="str">
        <f>IF(OR(E484="",E484="!!!"),"",IF(NOT(ISNA(VLOOKUP(E484,E$1:E483,1,FALSE()))),"OLD",IF(AND(E484&lt;&gt;"",E484&lt;&gt;"!!!"),"NEW","")))</f>
        <v> </v>
      </c>
      <c r="G484" s="17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18" t="str">
        <f>IF(J484&lt;&gt;1,"",IF(I484="SBJ","CB","?"))</f>
        <v> </v>
      </c>
      <c r="I484" s="19" t="str">
        <f>IF(OR(E484="",E484="!!!",F484="NEW"),"",INDEX(B483:B$2,-1+SUMPRODUCT(MAX(ROW(E483:E$2)*(E484=E483:E$2)))))</f>
        <v> </v>
      </c>
      <c r="J484" s="19" t="str">
        <f>IF(OR(E484="",E484="!!!",F484="NEW"),"",COUNTBLANK(OFFSET(A$1,,,SUMPRODUCT(MAX(ROW(E$2:E484)*(E484=E$2:E484)))))-COUNTBLANK(OFFSET(A$1,,,SUMPRODUCT(MAX(ROW(E$1:E483)*(E2=E$1:E483))))))</f>
        <v> </v>
      </c>
      <c r="K484" s="19" t="str">
        <f>IF(OR(E484="",E484="!!!",F484="NEW"),"",INDEX(J$1:J483,SUMPRODUCT(MAX(ROW(E$1:E483)*(E484=E$1:E483)))))</f>
        <v> </v>
      </c>
      <c r="L484" s="20"/>
    </row>
    <row r="485" spans="1:12">
      <c r="A485" s="13" t="s">
        <v>76</v>
      </c>
      <c r="E485" s="15">
        <f>IF(D485="?OLD","!!!","")</f>
        <v/>
      </c>
      <c r="F485" s="16" t="str">
        <f>IF(OR(E485="",E485="!!!"),"",IF(NOT(ISNA(VLOOKUP(E485,E$1:E484,1,FALSE()))),"OLD",IF(AND(E485&lt;&gt;"",E485&lt;&gt;"!!!"),"NEW","")))</f>
        <v> </v>
      </c>
      <c r="G485" s="17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18" t="str">
        <f>IF(J485&lt;&gt;1,"",IF(I485="SBJ","CB","?"))</f>
        <v> </v>
      </c>
      <c r="I485" s="19" t="str">
        <f>IF(OR(E485="",E485="!!!",F485="NEW"),"",INDEX(B484:B$2,-1+SUMPRODUCT(MAX(ROW(E484:E$2)*(E485=E484:E$2)))))</f>
        <v> </v>
      </c>
      <c r="J485" s="19" t="str">
        <f>IF(OR(E485="",E485="!!!",F485="NEW"),"",COUNTBLANK(OFFSET(A$1,,,SUMPRODUCT(MAX(ROW(E$2:E485)*(E485=E$2:E485)))))-COUNTBLANK(OFFSET(A$1,,,SUMPRODUCT(MAX(ROW(E$1:E484)*(E2=E$1:E484))))))</f>
        <v> </v>
      </c>
      <c r="K485" s="19" t="str">
        <f>IF(OR(E485="",E485="!!!",F485="NEW"),"",INDEX(J$1:J484,SUMPRODUCT(MAX(ROW(E$1:E484)*(E485=E$1:E484)))))</f>
        <v> </v>
      </c>
      <c r="L485" s="20"/>
    </row>
    <row r="486" spans="1:12">
      <c r="A486" s="13" t="s">
        <v>280</v>
      </c>
      <c r="E486" s="15">
        <f>IF(D486="?OLD","!!!","")</f>
        <v/>
      </c>
      <c r="F486" s="16" t="str">
        <f>IF(OR(E486="",E486="!!!"),"",IF(NOT(ISNA(VLOOKUP(E486,E$1:E485,1,FALSE()))),"OLD",IF(AND(E486&lt;&gt;"",E486&lt;&gt;"!!!"),"NEW","")))</f>
        <v> </v>
      </c>
      <c r="G486" s="17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18" t="str">
        <f>IF(J486&lt;&gt;1,"",IF(I486="SBJ","CB","?"))</f>
        <v> </v>
      </c>
      <c r="I486" s="19" t="str">
        <f>IF(OR(E486="",E486="!!!",F486="NEW"),"",INDEX(B485:B$2,-1+SUMPRODUCT(MAX(ROW(E485:E$2)*(E486=E485:E$2)))))</f>
        <v> </v>
      </c>
      <c r="J486" s="19" t="str">
        <f>IF(OR(E486="",E486="!!!",F486="NEW"),"",COUNTBLANK(OFFSET(A$1,,,SUMPRODUCT(MAX(ROW(E$2:E486)*(E486=E$2:E486)))))-COUNTBLANK(OFFSET(A$1,,,SUMPRODUCT(MAX(ROW(E$1:E485)*(E2=E$1:E485))))))</f>
        <v> </v>
      </c>
      <c r="K486" s="19" t="str">
        <f>IF(OR(E486="",E486="!!!",F486="NEW"),"",INDEX(J$1:J485,SUMPRODUCT(MAX(ROW(E$1:E485)*(E486=E$1:E485)))))</f>
        <v> </v>
      </c>
      <c r="L486" s="20"/>
    </row>
    <row r="487" spans="1:12">
      <c r="A487" s="13" t="s">
        <v>68</v>
      </c>
      <c r="E487" s="15">
        <f>IF(D487="?OLD","!!!","")</f>
        <v/>
      </c>
      <c r="F487" s="16" t="str">
        <f>IF(OR(E487="",E487="!!!"),"",IF(NOT(ISNA(VLOOKUP(E487,E$1:E486,1,FALSE()))),"OLD",IF(AND(E487&lt;&gt;"",E487&lt;&gt;"!!!"),"NEW","")))</f>
        <v> </v>
      </c>
      <c r="G487" s="17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18" t="str">
        <f>IF(J487&lt;&gt;1,"",IF(I487="SBJ","CB","?"))</f>
        <v> </v>
      </c>
      <c r="I487" s="19" t="str">
        <f>IF(OR(E487="",E487="!!!",F487="NEW"),"",INDEX(B486:B$2,-1+SUMPRODUCT(MAX(ROW(E486:E$2)*(E487=E486:E$2)))))</f>
        <v> </v>
      </c>
      <c r="J487" s="19" t="str">
        <f>IF(OR(E487="",E487="!!!",F487="NEW"),"",COUNTBLANK(OFFSET(A$1,,,SUMPRODUCT(MAX(ROW(E$2:E487)*(E487=E$2:E487)))))-COUNTBLANK(OFFSET(A$1,,,SUMPRODUCT(MAX(ROW(E$1:E486)*(E2=E$1:E486))))))</f>
        <v> </v>
      </c>
      <c r="K487" s="19" t="str">
        <f>IF(OR(E487="",E487="!!!",F487="NEW"),"",INDEX(J$1:J486,SUMPRODUCT(MAX(ROW(E$1:E486)*(E487=E$1:E486)))))</f>
        <v> </v>
      </c>
      <c r="L487" s="20"/>
    </row>
    <row r="488" spans="1:12">
      <c r="A488" s="13"/>
    </row>
    <row r="489" spans="1:12">
      <c r="A489" s="13" t="s">
        <v>117</v>
      </c>
      <c r="E489" s="15">
        <f>IF(D489="?OLD","!!!","")</f>
        <v/>
      </c>
      <c r="F489" s="16" t="str">
        <f>IF(OR(E489="",E489="!!!"),"",IF(NOT(ISNA(VLOOKUP(E489,E$1:E488,1,FALSE()))),"OLD",IF(AND(E489&lt;&gt;"",E489&lt;&gt;"!!!"),"NEW","")))</f>
        <v> </v>
      </c>
      <c r="G489" s="17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18" t="str">
        <f>IF(J489&lt;&gt;1,"",IF(I489="SBJ","CB","?"))</f>
        <v> </v>
      </c>
      <c r="I489" s="19" t="str">
        <f>IF(OR(E489="",E489="!!!",F489="NEW"),"",INDEX(B488:B$2,-1+SUMPRODUCT(MAX(ROW(E488:E$2)*(E489=E488:E$2)))))</f>
        <v> </v>
      </c>
      <c r="J489" s="19" t="str">
        <f>IF(OR(E489="",E489="!!!",F489="NEW"),"",COUNTBLANK(OFFSET(A$1,,,SUMPRODUCT(MAX(ROW(E$2:E489)*(E489=E$2:E489)))))-COUNTBLANK(OFFSET(A$1,,,SUMPRODUCT(MAX(ROW(E$1:E488)*(E2=E$1:E488))))))</f>
        <v> </v>
      </c>
      <c r="K489" s="19" t="str">
        <f>IF(OR(E489="",E489="!!!",F489="NEW"),"",INDEX(J$1:J488,SUMPRODUCT(MAX(ROW(E$1:E488)*(E489=E$1:E488)))))</f>
        <v> </v>
      </c>
      <c r="L489" s="20"/>
    </row>
    <row r="490" spans="1:12">
      <c r="A490" s="13" t="s">
        <v>281</v>
      </c>
    </row>
    <row r="491" spans="1:12">
      <c r="A491" s="13" t="s">
        <v>119</v>
      </c>
      <c r="E491" s="15">
        <f>IF(D491="?OLD","!!!","")</f>
        <v/>
      </c>
      <c r="F491" s="16" t="str">
        <f>IF(OR(E491="",E491="!!!"),"",IF(NOT(ISNA(VLOOKUP(E491,E$1:E490,1,FALSE()))),"OLD",IF(AND(E491&lt;&gt;"",E491&lt;&gt;"!!!"),"NEW","")))</f>
        <v> </v>
      </c>
      <c r="G491" s="17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18" t="str">
        <f>IF(J491&lt;&gt;1,"",IF(I491="SBJ","CB","?"))</f>
        <v> </v>
      </c>
      <c r="I491" s="19" t="str">
        <f>IF(OR(E491="",E491="!!!",F491="NEW"),"",INDEX(B490:B$2,-1+SUMPRODUCT(MAX(ROW(E490:E$2)*(E491=E490:E$2)))))</f>
        <v> </v>
      </c>
      <c r="J491" s="19" t="str">
        <f>IF(OR(E491="",E491="!!!",F491="NEW"),"",COUNTBLANK(OFFSET(A$1,,,SUMPRODUCT(MAX(ROW(E$2:E491)*(E491=E$2:E491)))))-COUNTBLANK(OFFSET(A$1,,,SUMPRODUCT(MAX(ROW(E$1:E490)*(E2=E$1:E490))))))</f>
        <v> </v>
      </c>
      <c r="K491" s="19" t="str">
        <f>IF(OR(E491="",E491="!!!",F491="NEW"),"",INDEX(J$1:J490,SUMPRODUCT(MAX(ROW(E$1:E490)*(E491=E$1:E490)))))</f>
        <v> </v>
      </c>
      <c r="L491" s="20"/>
    </row>
    <row r="492" spans="1:12">
      <c r="A492" s="13" t="s">
        <v>282</v>
      </c>
      <c r="B492" s="14" t="s">
        <v>45</v>
      </c>
      <c r="C492" s="14" t="s">
        <v>24</v>
      </c>
      <c r="D492" s="14" t="s">
        <v>25</v>
      </c>
      <c r="E492" s="15">
        <f>IF(D492="?OLD","!!!","")</f>
        <v/>
      </c>
      <c r="F492" s="16" t="str">
        <f>IF(OR(E492="",E492="!!!"),"",IF(NOT(ISNA(VLOOKUP(E492,E$1:E491,1,FALSE()))),"OLD",IF(AND(E492&lt;&gt;"",E492&lt;&gt;"!!!"),"NEW","")))</f>
        <v> </v>
      </c>
      <c r="G492" s="17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18" t="str">
        <f>IF(J492&lt;&gt;1,"",IF(I492="SBJ","CB","?"))</f>
        <v> </v>
      </c>
      <c r="I492" s="19" t="str">
        <f>IF(OR(E492="",E492="!!!",F492="NEW"),"",INDEX(B491:B$2,-1+SUMPRODUCT(MAX(ROW(E491:E$2)*(E492=E491:E$2)))))</f>
        <v> </v>
      </c>
      <c r="J492" s="19" t="str">
        <f>IF(OR(E492="",E492="!!!",F492="NEW"),"",COUNTBLANK(OFFSET(A$1,,,SUMPRODUCT(MAX(ROW(E$2:E492)*(E492=E$2:E492)))))-COUNTBLANK(OFFSET(A$1,,,SUMPRODUCT(MAX(ROW(E$1:E491)*(E2=E$1:E491))))))</f>
        <v> </v>
      </c>
      <c r="K492" s="19" t="str">
        <f>IF(OR(E492="",E492="!!!",F492="NEW"),"",INDEX(J$1:J491,SUMPRODUCT(MAX(ROW(E$1:E491)*(E492=E$1:E491)))))</f>
        <v> </v>
      </c>
      <c r="L492" s="20"/>
    </row>
    <row r="493" spans="1:12">
      <c r="A493" s="13" t="s">
        <v>56</v>
      </c>
      <c r="E493" s="15">
        <f>IF(D493="?OLD","!!!","")</f>
        <v/>
      </c>
      <c r="F493" s="16" t="str">
        <f>IF(OR(E493="",E493="!!!"),"",IF(NOT(ISNA(VLOOKUP(E493,E$1:E492,1,FALSE()))),"OLD",IF(AND(E493&lt;&gt;"",E493&lt;&gt;"!!!"),"NEW","")))</f>
        <v> </v>
      </c>
      <c r="G493" s="17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18" t="str">
        <f>IF(J493&lt;&gt;1,"",IF(I493="SBJ","CB","?"))</f>
        <v> </v>
      </c>
      <c r="I493" s="19" t="str">
        <f>IF(OR(E493="",E493="!!!",F493="NEW"),"",INDEX(B492:B$2,-1+SUMPRODUCT(MAX(ROW(E492:E$2)*(E493=E492:E$2)))))</f>
        <v> </v>
      </c>
      <c r="J493" s="19" t="str">
        <f>IF(OR(E493="",E493="!!!",F493="NEW"),"",COUNTBLANK(OFFSET(A$1,,,SUMPRODUCT(MAX(ROW(E$2:E493)*(E493=E$2:E493)))))-COUNTBLANK(OFFSET(A$1,,,SUMPRODUCT(MAX(ROW(E$1:E492)*(E2=E$1:E492))))))</f>
        <v> </v>
      </c>
      <c r="K493" s="19" t="str">
        <f>IF(OR(E493="",E493="!!!",F493="NEW"),"",INDEX(J$1:J492,SUMPRODUCT(MAX(ROW(E$1:E492)*(E493=E$1:E492)))))</f>
        <v> </v>
      </c>
      <c r="L493" s="20"/>
    </row>
    <row r="494" spans="1:12">
      <c r="A494" s="13" t="s">
        <v>283</v>
      </c>
      <c r="B494" s="14" t="s">
        <v>45</v>
      </c>
      <c r="C494" s="14" t="s">
        <v>34</v>
      </c>
      <c r="E494" s="15">
        <f>IF(D494="?OLD","!!!","")</f>
        <v/>
      </c>
      <c r="F494" s="16" t="str">
        <f>IF(OR(E494="",E494="!!!"),"",IF(NOT(ISNA(VLOOKUP(E494,E$1:E493,1,FALSE()))),"OLD",IF(AND(E494&lt;&gt;"",E494&lt;&gt;"!!!"),"NEW","")))</f>
        <v> </v>
      </c>
      <c r="G494" s="17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18" t="str">
        <f>IF(J494&lt;&gt;1,"",IF(I494="SBJ","CB","?"))</f>
        <v> </v>
      </c>
      <c r="I494" s="19" t="str">
        <f>IF(OR(E494="",E494="!!!",F494="NEW"),"",INDEX(B493:B$2,-1+SUMPRODUCT(MAX(ROW(E493:E$2)*(E494=E493:E$2)))))</f>
        <v> </v>
      </c>
      <c r="J494" s="19" t="str">
        <f>IF(OR(E494="",E494="!!!",F494="NEW"),"",COUNTBLANK(OFFSET(A$1,,,SUMPRODUCT(MAX(ROW(E$2:E494)*(E494=E$2:E494)))))-COUNTBLANK(OFFSET(A$1,,,SUMPRODUCT(MAX(ROW(E$1:E493)*(E2=E$1:E493))))))</f>
        <v> </v>
      </c>
      <c r="K494" s="19" t="str">
        <f>IF(OR(E494="",E494="!!!",F494="NEW"),"",INDEX(J$1:J493,SUMPRODUCT(MAX(ROW(E$1:E493)*(E494=E$1:E493)))))</f>
        <v> </v>
      </c>
      <c r="L494" s="20"/>
    </row>
    <row r="495" spans="1:12">
      <c r="A495" s="13" t="s">
        <v>68</v>
      </c>
      <c r="E495" s="15">
        <f>IF(D495="?OLD","!!!","")</f>
        <v/>
      </c>
      <c r="F495" s="16" t="str">
        <f>IF(OR(E495="",E495="!!!"),"",IF(NOT(ISNA(VLOOKUP(E495,E$1:E494,1,FALSE()))),"OLD",IF(AND(E495&lt;&gt;"",E495&lt;&gt;"!!!"),"NEW","")))</f>
        <v> </v>
      </c>
      <c r="G495" s="17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18" t="str">
        <f>IF(J495&lt;&gt;1,"",IF(I495="SBJ","CB","?"))</f>
        <v> </v>
      </c>
      <c r="I495" s="19" t="str">
        <f>IF(OR(E495="",E495="!!!",F495="NEW"),"",INDEX(B494:B$2,-1+SUMPRODUCT(MAX(ROW(E494:E$2)*(E495=E494:E$2)))))</f>
        <v> </v>
      </c>
      <c r="J495" s="19" t="str">
        <f>IF(OR(E495="",E495="!!!",F495="NEW"),"",COUNTBLANK(OFFSET(A$1,,,SUMPRODUCT(MAX(ROW(E$2:E495)*(E495=E$2:E495)))))-COUNTBLANK(OFFSET(A$1,,,SUMPRODUCT(MAX(ROW(E$1:E494)*(E2=E$1:E494))))))</f>
        <v> </v>
      </c>
      <c r="K495" s="19" t="str">
        <f>IF(OR(E495="",E495="!!!",F495="NEW"),"",INDEX(J$1:J494,SUMPRODUCT(MAX(ROW(E$1:E494)*(E495=E$1:E494)))))</f>
        <v> </v>
      </c>
      <c r="L495" s="20"/>
    </row>
    <row r="496" spans="1:12">
      <c r="A496" s="13" t="s">
        <v>119</v>
      </c>
      <c r="E496" s="15">
        <f>IF(D496="?OLD","!!!","")</f>
        <v/>
      </c>
      <c r="F496" s="16" t="str">
        <f>IF(OR(E496="",E496="!!!"),"",IF(NOT(ISNA(VLOOKUP(E496,E$1:E495,1,FALSE()))),"OLD",IF(AND(E496&lt;&gt;"",E496&lt;&gt;"!!!"),"NEW","")))</f>
        <v> </v>
      </c>
      <c r="G496" s="17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18" t="str">
        <f>IF(J496&lt;&gt;1,"",IF(I496="SBJ","CB","?"))</f>
        <v> </v>
      </c>
      <c r="I496" s="19" t="str">
        <f>IF(OR(E496="",E496="!!!",F496="NEW"),"",INDEX(B495:B$2,-1+SUMPRODUCT(MAX(ROW(E495:E$2)*(E496=E495:E$2)))))</f>
        <v> </v>
      </c>
      <c r="J496" s="19" t="str">
        <f>IF(OR(E496="",E496="!!!",F496="NEW"),"",COUNTBLANK(OFFSET(A$1,,,SUMPRODUCT(MAX(ROW(E$2:E496)*(E496=E$2:E496)))))-COUNTBLANK(OFFSET(A$1,,,SUMPRODUCT(MAX(ROW(E$1:E495)*(E2=E$1:E495))))))</f>
        <v> </v>
      </c>
      <c r="K496" s="19" t="str">
        <f>IF(OR(E496="",E496="!!!",F496="NEW"),"",INDEX(J$1:J495,SUMPRODUCT(MAX(ROW(E$1:E495)*(E496=E$1:E495)))))</f>
        <v> </v>
      </c>
      <c r="L496" s="20"/>
    </row>
    <row r="497" spans="1:12">
      <c r="A497" s="13"/>
    </row>
    <row r="498" spans="1:12">
      <c r="A498" s="13" t="s">
        <v>117</v>
      </c>
      <c r="E498" s="15">
        <f>IF(D498="?OLD","!!!","")</f>
        <v/>
      </c>
      <c r="F498" s="16" t="str">
        <f>IF(OR(E498="",E498="!!!"),"",IF(NOT(ISNA(VLOOKUP(E498,E$1:E497,1,FALSE()))),"OLD",IF(AND(E498&lt;&gt;"",E498&lt;&gt;"!!!"),"NEW","")))</f>
        <v> </v>
      </c>
      <c r="G498" s="17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18" t="str">
        <f>IF(J498&lt;&gt;1,"",IF(I498="SBJ","CB","?"))</f>
        <v> </v>
      </c>
      <c r="I498" s="19" t="str">
        <f>IF(OR(E498="",E498="!!!",F498="NEW"),"",INDEX(B497:B$2,-1+SUMPRODUCT(MAX(ROW(E497:E$2)*(E498=E497:E$2)))))</f>
        <v> </v>
      </c>
      <c r="J498" s="19" t="str">
        <f>IF(OR(E498="",E498="!!!",F498="NEW"),"",COUNTBLANK(OFFSET(A$1,,,SUMPRODUCT(MAX(ROW(E$2:E498)*(E498=E$2:E498)))))-COUNTBLANK(OFFSET(A$1,,,SUMPRODUCT(MAX(ROW(E$1:E497)*(E2=E$1:E497))))))</f>
        <v> </v>
      </c>
      <c r="K498" s="19" t="str">
        <f>IF(OR(E498="",E498="!!!",F498="NEW"),"",INDEX(J$1:J497,SUMPRODUCT(MAX(ROW(E$1:E497)*(E498=E$1:E497)))))</f>
        <v> </v>
      </c>
      <c r="L498" s="20"/>
    </row>
    <row r="499" spans="1:12">
      <c r="A499" s="13" t="s">
        <v>284</v>
      </c>
    </row>
    <row r="500" spans="1:12">
      <c r="A500" s="13" t="s">
        <v>119</v>
      </c>
      <c r="E500" s="15">
        <f>IF(D500="?OLD","!!!","")</f>
        <v/>
      </c>
      <c r="F500" s="16" t="str">
        <f>IF(OR(E500="",E500="!!!"),"",IF(NOT(ISNA(VLOOKUP(E500,E$1:E499,1,FALSE()))),"OLD",IF(AND(E500&lt;&gt;"",E500&lt;&gt;"!!!"),"NEW","")))</f>
        <v> </v>
      </c>
      <c r="G500" s="17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18" t="str">
        <f>IF(J500&lt;&gt;1,"",IF(I500="SBJ","CB","?"))</f>
        <v> </v>
      </c>
      <c r="I500" s="19" t="str">
        <f>IF(OR(E500="",E500="!!!",F500="NEW"),"",INDEX(B499:B$2,-1+SUMPRODUCT(MAX(ROW(E499:E$2)*(E500=E499:E$2)))))</f>
        <v> </v>
      </c>
      <c r="J500" s="19" t="str">
        <f>IF(OR(E500="",E500="!!!",F500="NEW"),"",COUNTBLANK(OFFSET(A$1,,,SUMPRODUCT(MAX(ROW(E$2:E500)*(E500=E$2:E500)))))-COUNTBLANK(OFFSET(A$1,,,SUMPRODUCT(MAX(ROW(E$1:E499)*(E2=E$1:E499))))))</f>
        <v> </v>
      </c>
      <c r="K500" s="19" t="str">
        <f>IF(OR(E500="",E500="!!!",F500="NEW"),"",INDEX(J$1:J499,SUMPRODUCT(MAX(ROW(E$1:E499)*(E500=E$1:E499)))))</f>
        <v> </v>
      </c>
      <c r="L500" s="20"/>
    </row>
    <row r="501" spans="1:12">
      <c r="A501" s="13" t="s">
        <v>285</v>
      </c>
      <c r="B501" s="14" t="s">
        <v>23</v>
      </c>
      <c r="C501" s="14" t="s">
        <v>258</v>
      </c>
      <c r="E501" s="15">
        <f>IF(D501="?OLD","!!!","")</f>
        <v/>
      </c>
      <c r="F501" s="16" t="str">
        <f>IF(OR(E501="",E501="!!!"),"",IF(NOT(ISNA(VLOOKUP(E501,E$1:E500,1,FALSE()))),"OLD",IF(AND(E501&lt;&gt;"",E501&lt;&gt;"!!!"),"NEW","")))</f>
        <v> </v>
      </c>
      <c r="G501" s="17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18" t="str">
        <f>IF(J501&lt;&gt;1,"",IF(I501="SBJ","CB","?"))</f>
        <v> </v>
      </c>
      <c r="I501" s="19" t="str">
        <f>IF(OR(E501="",E501="!!!",F501="NEW"),"",INDEX(B500:B$2,-1+SUMPRODUCT(MAX(ROW(E500:E$2)*(E501=E500:E$2)))))</f>
        <v> </v>
      </c>
      <c r="J501" s="19" t="str">
        <f>IF(OR(E501="",E501="!!!",F501="NEW"),"",COUNTBLANK(OFFSET(A$1,,,SUMPRODUCT(MAX(ROW(E$2:E501)*(E501=E$2:E501)))))-COUNTBLANK(OFFSET(A$1,,,SUMPRODUCT(MAX(ROW(E$1:E500)*(E2=E$1:E500))))))</f>
        <v> </v>
      </c>
      <c r="K501" s="19" t="str">
        <f>IF(OR(E501="",E501="!!!",F501="NEW"),"",INDEX(J$1:J500,SUMPRODUCT(MAX(ROW(E$1:E500)*(E501=E$1:E500)))))</f>
        <v> </v>
      </c>
      <c r="L501" s="20"/>
    </row>
    <row r="502" spans="1:12">
      <c r="A502" s="13" t="s">
        <v>286</v>
      </c>
      <c r="E502" s="15">
        <f>IF(D502="?OLD","!!!","")</f>
        <v/>
      </c>
      <c r="F502" s="16" t="str">
        <f>IF(OR(E502="",E502="!!!"),"",IF(NOT(ISNA(VLOOKUP(E502,E$1:E501,1,FALSE()))),"OLD",IF(AND(E502&lt;&gt;"",E502&lt;&gt;"!!!"),"NEW","")))</f>
        <v> </v>
      </c>
      <c r="G502" s="17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18" t="str">
        <f>IF(J502&lt;&gt;1,"",IF(I502="SBJ","CB","?"))</f>
        <v> </v>
      </c>
      <c r="I502" s="19" t="str">
        <f>IF(OR(E502="",E502="!!!",F502="NEW"),"",INDEX(B501:B$2,-1+SUMPRODUCT(MAX(ROW(E501:E$2)*(E502=E501:E$2)))))</f>
        <v> </v>
      </c>
      <c r="J502" s="19" t="str">
        <f>IF(OR(E502="",E502="!!!",F502="NEW"),"",COUNTBLANK(OFFSET(A$1,,,SUMPRODUCT(MAX(ROW(E$2:E502)*(E502=E$2:E502)))))-COUNTBLANK(OFFSET(A$1,,,SUMPRODUCT(MAX(ROW(E$1:E501)*(E2=E$1:E501))))))</f>
        <v> </v>
      </c>
      <c r="K502" s="19" t="str">
        <f>IF(OR(E502="",E502="!!!",F502="NEW"),"",INDEX(J$1:J501,SUMPRODUCT(MAX(ROW(E$1:E501)*(E502=E$1:E501)))))</f>
        <v> </v>
      </c>
      <c r="L502" s="20"/>
    </row>
    <row r="503" spans="1:12">
      <c r="A503" s="13" t="s">
        <v>218</v>
      </c>
      <c r="E503" s="15">
        <f>IF(D503="?OLD","!!!","")</f>
        <v/>
      </c>
      <c r="F503" s="16" t="str">
        <f>IF(OR(E503="",E503="!!!"),"",IF(NOT(ISNA(VLOOKUP(E503,E$1:E502,1,FALSE()))),"OLD",IF(AND(E503&lt;&gt;"",E503&lt;&gt;"!!!"),"NEW","")))</f>
        <v> </v>
      </c>
      <c r="G503" s="17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18" t="str">
        <f>IF(J503&lt;&gt;1,"",IF(I503="SBJ","CB","?"))</f>
        <v> </v>
      </c>
      <c r="I503" s="19" t="str">
        <f>IF(OR(E503="",E503="!!!",F503="NEW"),"",INDEX(B502:B$2,-1+SUMPRODUCT(MAX(ROW(E502:E$2)*(E503=E502:E$2)))))</f>
        <v> </v>
      </c>
      <c r="J503" s="19" t="str">
        <f>IF(OR(E503="",E503="!!!",F503="NEW"),"",COUNTBLANK(OFFSET(A$1,,,SUMPRODUCT(MAX(ROW(E$2:E503)*(E503=E$2:E503)))))-COUNTBLANK(OFFSET(A$1,,,SUMPRODUCT(MAX(ROW(E$1:E502)*(E2=E$1:E502))))))</f>
        <v> </v>
      </c>
      <c r="K503" s="19" t="str">
        <f>IF(OR(E503="",E503="!!!",F503="NEW"),"",INDEX(J$1:J502,SUMPRODUCT(MAX(ROW(E$1:E502)*(E503=E$1:E502)))))</f>
        <v> </v>
      </c>
      <c r="L503" s="20"/>
    </row>
    <row r="504" spans="1:12">
      <c r="A504" s="13" t="s">
        <v>119</v>
      </c>
      <c r="E504" s="15">
        <f>IF(D504="?OLD","!!!","")</f>
        <v/>
      </c>
      <c r="F504" s="16" t="str">
        <f>IF(OR(E504="",E504="!!!"),"",IF(NOT(ISNA(VLOOKUP(E504,E$1:E503,1,FALSE()))),"OLD",IF(AND(E504&lt;&gt;"",E504&lt;&gt;"!!!"),"NEW","")))</f>
        <v> </v>
      </c>
      <c r="G504" s="17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18" t="str">
        <f>IF(J504&lt;&gt;1,"",IF(I504="SBJ","CB","?"))</f>
        <v> </v>
      </c>
      <c r="I504" s="19" t="str">
        <f>IF(OR(E504="",E504="!!!",F504="NEW"),"",INDEX(B503:B$2,-1+SUMPRODUCT(MAX(ROW(E503:E$2)*(E504=E503:E$2)))))</f>
        <v> </v>
      </c>
      <c r="J504" s="19" t="str">
        <f>IF(OR(E504="",E504="!!!",F504="NEW"),"",COUNTBLANK(OFFSET(A$1,,,SUMPRODUCT(MAX(ROW(E$2:E504)*(E504=E$2:E504)))))-COUNTBLANK(OFFSET(A$1,,,SUMPRODUCT(MAX(ROW(E$1:E503)*(E2=E$1:E503))))))</f>
        <v> </v>
      </c>
      <c r="K504" s="19" t="str">
        <f>IF(OR(E504="",E504="!!!",F504="NEW"),"",INDEX(J$1:J503,SUMPRODUCT(MAX(ROW(E$1:E503)*(E504=E$1:E503)))))</f>
        <v> </v>
      </c>
      <c r="L504" s="20"/>
    </row>
    <row r="505" spans="1:12">
      <c r="A505" s="13"/>
    </row>
    <row r="506" spans="1:12">
      <c r="A506" s="13" t="s">
        <v>117</v>
      </c>
      <c r="E506" s="15">
        <f>IF(D506="?OLD","!!!","")</f>
        <v/>
      </c>
      <c r="F506" s="16" t="str">
        <f>IF(OR(E506="",E506="!!!"),"",IF(NOT(ISNA(VLOOKUP(E506,E$1:E505,1,FALSE()))),"OLD",IF(AND(E506&lt;&gt;"",E506&lt;&gt;"!!!"),"NEW","")))</f>
        <v> </v>
      </c>
      <c r="G506" s="17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18" t="str">
        <f>IF(J506&lt;&gt;1,"",IF(I506="SBJ","CB","?"))</f>
        <v> </v>
      </c>
      <c r="I506" s="19" t="str">
        <f>IF(OR(E506="",E506="!!!",F506="NEW"),"",INDEX(B505:B$2,-1+SUMPRODUCT(MAX(ROW(E505:E$2)*(E506=E505:E$2)))))</f>
        <v> </v>
      </c>
      <c r="J506" s="19" t="str">
        <f>IF(OR(E506="",E506="!!!",F506="NEW"),"",COUNTBLANK(OFFSET(A$1,,,SUMPRODUCT(MAX(ROW(E$2:E506)*(E506=E$2:E506)))))-COUNTBLANK(OFFSET(A$1,,,SUMPRODUCT(MAX(ROW(E$1:E505)*(E2=E$1:E505))))))</f>
        <v> </v>
      </c>
      <c r="K506" s="19" t="str">
        <f>IF(OR(E506="",E506="!!!",F506="NEW"),"",INDEX(J$1:J505,SUMPRODUCT(MAX(ROW(E$1:E505)*(E506=E$1:E505)))))</f>
        <v> </v>
      </c>
      <c r="L506" s="20"/>
    </row>
    <row r="507" spans="1:12">
      <c r="A507" s="13" t="s">
        <v>287</v>
      </c>
    </row>
    <row r="508" spans="1:12">
      <c r="A508" s="13" t="s">
        <v>119</v>
      </c>
      <c r="E508" s="15">
        <f>IF(D508="?OLD","!!!","")</f>
        <v/>
      </c>
      <c r="F508" s="16" t="str">
        <f>IF(OR(E508="",E508="!!!"),"",IF(NOT(ISNA(VLOOKUP(E508,E$1:E507,1,FALSE()))),"OLD",IF(AND(E508&lt;&gt;"",E508&lt;&gt;"!!!"),"NEW","")))</f>
        <v> </v>
      </c>
      <c r="G508" s="17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18" t="str">
        <f>IF(J508&lt;&gt;1,"",IF(I508="SBJ","CB","?"))</f>
        <v> </v>
      </c>
      <c r="I508" s="19" t="str">
        <f>IF(OR(E508="",E508="!!!",F508="NEW"),"",INDEX(B507:B$2,-1+SUMPRODUCT(MAX(ROW(E507:E$2)*(E508=E507:E$2)))))</f>
        <v> </v>
      </c>
      <c r="J508" s="19" t="str">
        <f>IF(OR(E508="",E508="!!!",F508="NEW"),"",COUNTBLANK(OFFSET(A$1,,,SUMPRODUCT(MAX(ROW(E$2:E508)*(E508=E$2:E508)))))-COUNTBLANK(OFFSET(A$1,,,SUMPRODUCT(MAX(ROW(E$1:E507)*(E2=E$1:E507))))))</f>
        <v> </v>
      </c>
      <c r="K508" s="19" t="str">
        <f>IF(OR(E508="",E508="!!!",F508="NEW"),"",INDEX(J$1:J507,SUMPRODUCT(MAX(ROW(E$1:E507)*(E508=E$1:E507)))))</f>
        <v> </v>
      </c>
      <c r="L508" s="20"/>
    </row>
    <row r="509" spans="1:12">
      <c r="A509" s="13" t="s">
        <v>288</v>
      </c>
      <c r="E509" s="15">
        <f>IF(D509="?OLD","!!!","")</f>
        <v/>
      </c>
      <c r="F509" s="16" t="str">
        <f>IF(OR(E509="",E509="!!!"),"",IF(NOT(ISNA(VLOOKUP(E509,E$1:E508,1,FALSE()))),"OLD",IF(AND(E509&lt;&gt;"",E509&lt;&gt;"!!!"),"NEW","")))</f>
        <v> </v>
      </c>
      <c r="G509" s="17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18" t="str">
        <f>IF(J509&lt;&gt;1,"",IF(I509="SBJ","CB","?"))</f>
        <v> </v>
      </c>
      <c r="I509" s="19" t="str">
        <f>IF(OR(E509="",E509="!!!",F509="NEW"),"",INDEX(B508:B$2,-1+SUMPRODUCT(MAX(ROW(E508:E$2)*(E509=E508:E$2)))))</f>
        <v> </v>
      </c>
      <c r="J509" s="19" t="str">
        <f>IF(OR(E509="",E509="!!!",F509="NEW"),"",COUNTBLANK(OFFSET(A$1,,,SUMPRODUCT(MAX(ROW(E$2:E509)*(E509=E$2:E509)))))-COUNTBLANK(OFFSET(A$1,,,SUMPRODUCT(MAX(ROW(E$1:E508)*(E2=E$1:E508))))))</f>
        <v> </v>
      </c>
      <c r="K509" s="19" t="str">
        <f>IF(OR(E509="",E509="!!!",F509="NEW"),"",INDEX(J$1:J508,SUMPRODUCT(MAX(ROW(E$1:E508)*(E509=E$1:E508)))))</f>
        <v> </v>
      </c>
      <c r="L509" s="20"/>
    </row>
    <row r="510" spans="1:12">
      <c r="A510" s="13" t="s">
        <v>57</v>
      </c>
      <c r="E510" s="15">
        <f>IF(D510="?OLD","!!!","")</f>
        <v/>
      </c>
      <c r="F510" s="16" t="str">
        <f>IF(OR(E510="",E510="!!!"),"",IF(NOT(ISNA(VLOOKUP(E510,E$1:E509,1,FALSE()))),"OLD",IF(AND(E510&lt;&gt;"",E510&lt;&gt;"!!!"),"NEW","")))</f>
        <v> </v>
      </c>
      <c r="G510" s="17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18" t="str">
        <f>IF(J510&lt;&gt;1,"",IF(I510="SBJ","CB","?"))</f>
        <v> </v>
      </c>
      <c r="I510" s="19" t="str">
        <f>IF(OR(E510="",E510="!!!",F510="NEW"),"",INDEX(B509:B$2,-1+SUMPRODUCT(MAX(ROW(E509:E$2)*(E510=E509:E$2)))))</f>
        <v> </v>
      </c>
      <c r="J510" s="19" t="str">
        <f>IF(OR(E510="",E510="!!!",F510="NEW"),"",COUNTBLANK(OFFSET(A$1,,,SUMPRODUCT(MAX(ROW(E$2:E510)*(E510=E$2:E510)))))-COUNTBLANK(OFFSET(A$1,,,SUMPRODUCT(MAX(ROW(E$1:E509)*(E2=E$1:E509))))))</f>
        <v> </v>
      </c>
      <c r="K510" s="19" t="str">
        <f>IF(OR(E510="",E510="!!!",F510="NEW"),"",INDEX(J$1:J509,SUMPRODUCT(MAX(ROW(E$1:E509)*(E510=E$1:E509)))))</f>
        <v> </v>
      </c>
      <c r="L510" s="20"/>
    </row>
    <row r="511" spans="1:12">
      <c r="A511" s="13" t="s">
        <v>289</v>
      </c>
      <c r="B511" s="14" t="s">
        <v>45</v>
      </c>
      <c r="C511" s="14" t="s">
        <v>60</v>
      </c>
      <c r="D511" s="14" t="s">
        <v>25</v>
      </c>
      <c r="E511" s="15">
        <f>IF(D511="?OLD","!!!","")</f>
        <v/>
      </c>
      <c r="F511" s="16" t="str">
        <f>IF(OR(E511="",E511="!!!"),"",IF(NOT(ISNA(VLOOKUP(E511,E$1:E510,1,FALSE()))),"OLD",IF(AND(E511&lt;&gt;"",E511&lt;&gt;"!!!"),"NEW","")))</f>
        <v> </v>
      </c>
      <c r="G511" s="17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18" t="str">
        <f>IF(J511&lt;&gt;1,"",IF(I511="SBJ","CB","?"))</f>
        <v> </v>
      </c>
      <c r="I511" s="19" t="str">
        <f>IF(OR(E511="",E511="!!!",F511="NEW"),"",INDEX(B510:B$2,-1+SUMPRODUCT(MAX(ROW(E510:E$2)*(E511=E510:E$2)))))</f>
        <v> </v>
      </c>
      <c r="J511" s="19" t="str">
        <f>IF(OR(E511="",E511="!!!",F511="NEW"),"",COUNTBLANK(OFFSET(A$1,,,SUMPRODUCT(MAX(ROW(E$2:E511)*(E511=E$2:E511)))))-COUNTBLANK(OFFSET(A$1,,,SUMPRODUCT(MAX(ROW(E$1:E510)*(E2=E$1:E510))))))</f>
        <v> </v>
      </c>
      <c r="K511" s="19" t="str">
        <f>IF(OR(E511="",E511="!!!",F511="NEW"),"",INDEX(J$1:J510,SUMPRODUCT(MAX(ROW(E$1:E510)*(E511=E$1:E510)))))</f>
        <v> </v>
      </c>
      <c r="L511" s="20"/>
    </row>
    <row r="512" spans="1:12">
      <c r="A512" s="13" t="s">
        <v>55</v>
      </c>
      <c r="E512" s="15">
        <f>IF(D512="?OLD","!!!","")</f>
        <v/>
      </c>
      <c r="F512" s="16" t="str">
        <f>IF(OR(E512="",E512="!!!"),"",IF(NOT(ISNA(VLOOKUP(E512,E$1:E511,1,FALSE()))),"OLD",IF(AND(E512&lt;&gt;"",E512&lt;&gt;"!!!"),"NEW","")))</f>
        <v> </v>
      </c>
      <c r="G512" s="17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18" t="str">
        <f>IF(J512&lt;&gt;1,"",IF(I512="SBJ","CB","?"))</f>
        <v> </v>
      </c>
      <c r="I512" s="19" t="str">
        <f>IF(OR(E512="",E512="!!!",F512="NEW"),"",INDEX(B511:B$2,-1+SUMPRODUCT(MAX(ROW(E511:E$2)*(E512=E511:E$2)))))</f>
        <v> </v>
      </c>
      <c r="J512" s="19" t="str">
        <f>IF(OR(E512="",E512="!!!",F512="NEW"),"",COUNTBLANK(OFFSET(A$1,,,SUMPRODUCT(MAX(ROW(E$2:E512)*(E512=E$2:E512)))))-COUNTBLANK(OFFSET(A$1,,,SUMPRODUCT(MAX(ROW(E$1:E511)*(E2=E$1:E511))))))</f>
        <v> </v>
      </c>
      <c r="K512" s="19" t="str">
        <f>IF(OR(E512="",E512="!!!",F512="NEW"),"",INDEX(J$1:J511,SUMPRODUCT(MAX(ROW(E$1:E511)*(E512=E$1:E511)))))</f>
        <v> </v>
      </c>
      <c r="L512" s="20"/>
    </row>
    <row r="513" spans="1:12">
      <c r="A513" s="13" t="s">
        <v>56</v>
      </c>
      <c r="E513" s="15">
        <f>IF(D513="?OLD","!!!","")</f>
        <v/>
      </c>
      <c r="F513" s="16" t="str">
        <f>IF(OR(E513="",E513="!!!"),"",IF(NOT(ISNA(VLOOKUP(E513,E$1:E512,1,FALSE()))),"OLD",IF(AND(E513&lt;&gt;"",E513&lt;&gt;"!!!"),"NEW","")))</f>
        <v> </v>
      </c>
      <c r="G513" s="17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18" t="str">
        <f>IF(J513&lt;&gt;1,"",IF(I513="SBJ","CB","?"))</f>
        <v> </v>
      </c>
      <c r="I513" s="19" t="str">
        <f>IF(OR(E513="",E513="!!!",F513="NEW"),"",INDEX(B512:B$2,-1+SUMPRODUCT(MAX(ROW(E512:E$2)*(E513=E512:E$2)))))</f>
        <v> </v>
      </c>
      <c r="J513" s="19" t="str">
        <f>IF(OR(E513="",E513="!!!",F513="NEW"),"",COUNTBLANK(OFFSET(A$1,,,SUMPRODUCT(MAX(ROW(E$2:E513)*(E513=E$2:E513)))))-COUNTBLANK(OFFSET(A$1,,,SUMPRODUCT(MAX(ROW(E$1:E512)*(E2=E$1:E512))))))</f>
        <v> </v>
      </c>
      <c r="K513" s="19" t="str">
        <f>IF(OR(E513="",E513="!!!",F513="NEW"),"",INDEX(J$1:J512,SUMPRODUCT(MAX(ROW(E$1:E512)*(E513=E$1:E512)))))</f>
        <v> </v>
      </c>
      <c r="L513" s="20"/>
    </row>
    <row r="514" spans="1:12">
      <c r="A514" s="13" t="s">
        <v>290</v>
      </c>
      <c r="E514" s="15">
        <f>IF(D514="?OLD","!!!","")</f>
        <v/>
      </c>
      <c r="F514" s="16" t="str">
        <f>IF(OR(E514="",E514="!!!"),"",IF(NOT(ISNA(VLOOKUP(E514,E$1:E513,1,FALSE()))),"OLD",IF(AND(E514&lt;&gt;"",E514&lt;&gt;"!!!"),"NEW","")))</f>
        <v> </v>
      </c>
      <c r="G514" s="17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18" t="str">
        <f>IF(J514&lt;&gt;1,"",IF(I514="SBJ","CB","?"))</f>
        <v> </v>
      </c>
      <c r="I514" s="19" t="str">
        <f>IF(OR(E514="",E514="!!!",F514="NEW"),"",INDEX(B513:B$2,-1+SUMPRODUCT(MAX(ROW(E513:E$2)*(E514=E513:E$2)))))</f>
        <v> </v>
      </c>
      <c r="J514" s="19" t="str">
        <f>IF(OR(E514="",E514="!!!",F514="NEW"),"",COUNTBLANK(OFFSET(A$1,,,SUMPRODUCT(MAX(ROW(E$2:E514)*(E514=E$2:E514)))))-COUNTBLANK(OFFSET(A$1,,,SUMPRODUCT(MAX(ROW(E$1:E513)*(E2=E$1:E513))))))</f>
        <v> </v>
      </c>
      <c r="K514" s="19" t="str">
        <f>IF(OR(E514="",E514="!!!",F514="NEW"),"",INDEX(J$1:J513,SUMPRODUCT(MAX(ROW(E$1:E513)*(E514=E$1:E513)))))</f>
        <v> </v>
      </c>
      <c r="L514" s="20"/>
    </row>
    <row r="515" spans="1:12">
      <c r="A515" s="13" t="s">
        <v>36</v>
      </c>
      <c r="B515" s="14" t="s">
        <v>45</v>
      </c>
      <c r="C515" s="14" t="s">
        <v>24</v>
      </c>
      <c r="D515" s="14" t="s">
        <v>25</v>
      </c>
      <c r="E515" s="15">
        <f>IF(D515="?OLD","!!!","")</f>
        <v/>
      </c>
      <c r="F515" s="16" t="str">
        <f>IF(OR(E515="",E515="!!!"),"",IF(NOT(ISNA(VLOOKUP(E515,E$1:E514,1,FALSE()))),"OLD",IF(AND(E515&lt;&gt;"",E515&lt;&gt;"!!!"),"NEW","")))</f>
        <v> </v>
      </c>
      <c r="G515" s="17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18" t="str">
        <f>IF(J515&lt;&gt;1,"",IF(I515="SBJ","CB","?"))</f>
        <v> </v>
      </c>
      <c r="I515" s="19" t="str">
        <f>IF(OR(E515="",E515="!!!",F515="NEW"),"",INDEX(B514:B$2,-1+SUMPRODUCT(MAX(ROW(E514:E$2)*(E515=E514:E$2)))))</f>
        <v> </v>
      </c>
      <c r="J515" s="19" t="str">
        <f>IF(OR(E515="",E515="!!!",F515="NEW"),"",COUNTBLANK(OFFSET(A$1,,,SUMPRODUCT(MAX(ROW(E$2:E515)*(E515=E$2:E515)))))-COUNTBLANK(OFFSET(A$1,,,SUMPRODUCT(MAX(ROW(E$1:E514)*(E2=E$1:E514))))))</f>
        <v> </v>
      </c>
      <c r="K515" s="19" t="str">
        <f>IF(OR(E515="",E515="!!!",F515="NEW"),"",INDEX(J$1:J514,SUMPRODUCT(MAX(ROW(E$1:E514)*(E515=E$1:E514)))))</f>
        <v> </v>
      </c>
      <c r="L515" s="20"/>
    </row>
    <row r="516" spans="1:12">
      <c r="A516" s="13" t="s">
        <v>37</v>
      </c>
      <c r="B516" s="14" t="s">
        <v>27</v>
      </c>
      <c r="C516" s="14" t="s">
        <v>24</v>
      </c>
      <c r="D516" s="14" t="s">
        <v>25</v>
      </c>
      <c r="E516" s="15">
        <f>IF(D516="?OLD","!!!","")</f>
        <v/>
      </c>
      <c r="F516" s="16" t="str">
        <f>IF(OR(E516="",E516="!!!"),"",IF(NOT(ISNA(VLOOKUP(E516,E$1:E515,1,FALSE()))),"OLD",IF(AND(E516&lt;&gt;"",E516&lt;&gt;"!!!"),"NEW","")))</f>
        <v> </v>
      </c>
      <c r="G516" s="17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18" t="str">
        <f>IF(J516&lt;&gt;1,"",IF(I516="SBJ","CB","?"))</f>
        <v> </v>
      </c>
      <c r="I516" s="19" t="str">
        <f>IF(OR(E516="",E516="!!!",F516="NEW"),"",INDEX(B515:B$2,-1+SUMPRODUCT(MAX(ROW(E515:E$2)*(E516=E515:E$2)))))</f>
        <v> </v>
      </c>
      <c r="J516" s="19" t="str">
        <f>IF(OR(E516="",E516="!!!",F516="NEW"),"",COUNTBLANK(OFFSET(A$1,,,SUMPRODUCT(MAX(ROW(E$2:E516)*(E516=E$2:E516)))))-COUNTBLANK(OFFSET(A$1,,,SUMPRODUCT(MAX(ROW(E$1:E515)*(E2=E$1:E515))))))</f>
        <v> </v>
      </c>
      <c r="K516" s="19" t="str">
        <f>IF(OR(E516="",E516="!!!",F516="NEW"),"",INDEX(J$1:J515,SUMPRODUCT(MAX(ROW(E$1:E515)*(E516=E$1:E515)))))</f>
        <v> </v>
      </c>
      <c r="L516" s="20"/>
    </row>
    <row r="517" spans="1:12">
      <c r="A517" s="13" t="s">
        <v>119</v>
      </c>
      <c r="E517" s="15">
        <f>IF(D517="?OLD","!!!","")</f>
        <v/>
      </c>
      <c r="F517" s="16" t="str">
        <f>IF(OR(E517="",E517="!!!"),"",IF(NOT(ISNA(VLOOKUP(E517,E$1:E516,1,FALSE()))),"OLD",IF(AND(E517&lt;&gt;"",E517&lt;&gt;"!!!"),"NEW","")))</f>
        <v> </v>
      </c>
      <c r="G517" s="17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18" t="str">
        <f>IF(J517&lt;&gt;1,"",IF(I517="SBJ","CB","?"))</f>
        <v> </v>
      </c>
      <c r="I517" s="19" t="str">
        <f>IF(OR(E517="",E517="!!!",F517="NEW"),"",INDEX(B516:B$2,-1+SUMPRODUCT(MAX(ROW(E516:E$2)*(E517=E516:E$2)))))</f>
        <v> </v>
      </c>
      <c r="J517" s="19" t="str">
        <f>IF(OR(E517="",E517="!!!",F517="NEW"),"",COUNTBLANK(OFFSET(A$1,,,SUMPRODUCT(MAX(ROW(E$2:E517)*(E517=E$2:E517)))))-COUNTBLANK(OFFSET(A$1,,,SUMPRODUCT(MAX(ROW(E$1:E516)*(E2=E$1:E516))))))</f>
        <v> </v>
      </c>
      <c r="K517" s="19" t="str">
        <f>IF(OR(E517="",E517="!!!",F517="NEW"),"",INDEX(J$1:J516,SUMPRODUCT(MAX(ROW(E$1:E516)*(E517=E$1:E516)))))</f>
        <v> </v>
      </c>
      <c r="L517" s="20"/>
    </row>
    <row r="518" spans="1:12">
      <c r="A518" s="13" t="s">
        <v>56</v>
      </c>
      <c r="E518" s="15">
        <f>IF(D518="?OLD","!!!","")</f>
        <v/>
      </c>
      <c r="F518" s="16" t="str">
        <f>IF(OR(E518="",E518="!!!"),"",IF(NOT(ISNA(VLOOKUP(E518,E$1:E517,1,FALSE()))),"OLD",IF(AND(E518&lt;&gt;"",E518&lt;&gt;"!!!"),"NEW","")))</f>
        <v> </v>
      </c>
      <c r="G518" s="17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18" t="str">
        <f>IF(J518&lt;&gt;1,"",IF(I518="SBJ","CB","?"))</f>
        <v> </v>
      </c>
      <c r="I518" s="19" t="str">
        <f>IF(OR(E518="",E518="!!!",F518="NEW"),"",INDEX(B517:B$2,-1+SUMPRODUCT(MAX(ROW(E517:E$2)*(E518=E517:E$2)))))</f>
        <v> </v>
      </c>
      <c r="J518" s="19" t="str">
        <f>IF(OR(E518="",E518="!!!",F518="NEW"),"",COUNTBLANK(OFFSET(A$1,,,SUMPRODUCT(MAX(ROW(E$2:E518)*(E518=E$2:E518)))))-COUNTBLANK(OFFSET(A$1,,,SUMPRODUCT(MAX(ROW(E$1:E517)*(E2=E$1:E517))))))</f>
        <v> </v>
      </c>
      <c r="K518" s="19" t="str">
        <f>IF(OR(E518="",E518="!!!",F518="NEW"),"",INDEX(J$1:J517,SUMPRODUCT(MAX(ROW(E$1:E517)*(E518=E$1:E517)))))</f>
        <v> </v>
      </c>
      <c r="L518" s="20"/>
    </row>
    <row r="519" spans="1:12">
      <c r="A519" s="13" t="s">
        <v>115</v>
      </c>
      <c r="E519" s="15">
        <f>IF(D519="?OLD","!!!","")</f>
        <v/>
      </c>
      <c r="F519" s="16" t="str">
        <f>IF(OR(E519="",E519="!!!"),"",IF(NOT(ISNA(VLOOKUP(E519,E$1:E518,1,FALSE()))),"OLD",IF(AND(E519&lt;&gt;"",E519&lt;&gt;"!!!"),"NEW","")))</f>
        <v> </v>
      </c>
      <c r="G519" s="17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18" t="str">
        <f>IF(J519&lt;&gt;1,"",IF(I519="SBJ","CB","?"))</f>
        <v> </v>
      </c>
      <c r="I519" s="19" t="str">
        <f>IF(OR(E519="",E519="!!!",F519="NEW"),"",INDEX(B518:B$2,-1+SUMPRODUCT(MAX(ROW(E518:E$2)*(E519=E518:E$2)))))</f>
        <v> </v>
      </c>
      <c r="J519" s="19" t="str">
        <f>IF(OR(E519="",E519="!!!",F519="NEW"),"",COUNTBLANK(OFFSET(A$1,,,SUMPRODUCT(MAX(ROW(E$2:E519)*(E519=E$2:E519)))))-COUNTBLANK(OFFSET(A$1,,,SUMPRODUCT(MAX(ROW(E$1:E518)*(E2=E$1:E518))))))</f>
        <v> </v>
      </c>
      <c r="K519" s="19" t="str">
        <f>IF(OR(E519="",E519="!!!",F519="NEW"),"",INDEX(J$1:J518,SUMPRODUCT(MAX(ROW(E$1:E518)*(E519=E$1:E518)))))</f>
        <v> </v>
      </c>
      <c r="L519" s="20"/>
    </row>
    <row r="520" spans="1:12">
      <c r="A520" s="13" t="s">
        <v>95</v>
      </c>
      <c r="E520" s="15">
        <f>IF(D520="?OLD","!!!","")</f>
        <v/>
      </c>
      <c r="F520" s="16" t="str">
        <f>IF(OR(E520="",E520="!!!"),"",IF(NOT(ISNA(VLOOKUP(E520,E$1:E519,1,FALSE()))),"OLD",IF(AND(E520&lt;&gt;"",E520&lt;&gt;"!!!"),"NEW","")))</f>
        <v> </v>
      </c>
      <c r="G520" s="17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18" t="str">
        <f>IF(J520&lt;&gt;1,"",IF(I520="SBJ","CB","?"))</f>
        <v> </v>
      </c>
      <c r="I520" s="19" t="str">
        <f>IF(OR(E520="",E520="!!!",F520="NEW"),"",INDEX(B519:B$2,-1+SUMPRODUCT(MAX(ROW(E519:E$2)*(E520=E519:E$2)))))</f>
        <v> </v>
      </c>
      <c r="J520" s="19" t="str">
        <f>IF(OR(E520="",E520="!!!",F520="NEW"),"",COUNTBLANK(OFFSET(A$1,,,SUMPRODUCT(MAX(ROW(E$2:E520)*(E520=E$2:E520)))))-COUNTBLANK(OFFSET(A$1,,,SUMPRODUCT(MAX(ROW(E$1:E519)*(E2=E$1:E519))))))</f>
        <v> </v>
      </c>
      <c r="K520" s="19" t="str">
        <f>IF(OR(E520="",E520="!!!",F520="NEW"),"",INDEX(J$1:J519,SUMPRODUCT(MAX(ROW(E$1:E519)*(E520=E$1:E519)))))</f>
        <v> </v>
      </c>
      <c r="L520" s="20"/>
    </row>
    <row r="521" spans="1:12">
      <c r="A521" s="13" t="s">
        <v>164</v>
      </c>
      <c r="B521" s="14" t="s">
        <v>126</v>
      </c>
      <c r="C521" s="14" t="s">
        <v>24</v>
      </c>
      <c r="D521" s="14" t="s">
        <v>25</v>
      </c>
      <c r="E521" s="15">
        <f>IF(D521="?OLD","!!!","")</f>
        <v/>
      </c>
      <c r="F521" s="16" t="str">
        <f>IF(OR(E521="",E521="!!!"),"",IF(NOT(ISNA(VLOOKUP(E521,E$1:E520,1,FALSE()))),"OLD",IF(AND(E521&lt;&gt;"",E521&lt;&gt;"!!!"),"NEW","")))</f>
        <v> </v>
      </c>
      <c r="G521" s="17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18" t="str">
        <f>IF(J521&lt;&gt;1,"",IF(I521="SBJ","CB","?"))</f>
        <v> </v>
      </c>
      <c r="I521" s="19" t="str">
        <f>IF(OR(E521="",E521="!!!",F521="NEW"),"",INDEX(B520:B$2,-1+SUMPRODUCT(MAX(ROW(E520:E$2)*(E521=E520:E$2)))))</f>
        <v> </v>
      </c>
      <c r="J521" s="19" t="str">
        <f>IF(OR(E521="",E521="!!!",F521="NEW"),"",COUNTBLANK(OFFSET(A$1,,,SUMPRODUCT(MAX(ROW(E$2:E521)*(E521=E$2:E521)))))-COUNTBLANK(OFFSET(A$1,,,SUMPRODUCT(MAX(ROW(E$1:E520)*(E2=E$1:E520))))))</f>
        <v> </v>
      </c>
      <c r="K521" s="19" t="str">
        <f>IF(OR(E521="",E521="!!!",F521="NEW"),"",INDEX(J$1:J520,SUMPRODUCT(MAX(ROW(E$1:E520)*(E521=E$1:E520)))))</f>
        <v> </v>
      </c>
      <c r="L521" s="20"/>
    </row>
    <row r="522" spans="1:12">
      <c r="A522" s="13" t="s">
        <v>56</v>
      </c>
      <c r="E522" s="15">
        <f>IF(D522="?OLD","!!!","")</f>
        <v/>
      </c>
      <c r="F522" s="16" t="str">
        <f>IF(OR(E522="",E522="!!!"),"",IF(NOT(ISNA(VLOOKUP(E522,E$1:E521,1,FALSE()))),"OLD",IF(AND(E522&lt;&gt;"",E522&lt;&gt;"!!!"),"NEW","")))</f>
        <v> </v>
      </c>
      <c r="G522" s="17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18" t="str">
        <f>IF(J522&lt;&gt;1,"",IF(I522="SBJ","CB","?"))</f>
        <v> </v>
      </c>
      <c r="I522" s="19" t="str">
        <f>IF(OR(E522="",E522="!!!",F522="NEW"),"",INDEX(B521:B$2,-1+SUMPRODUCT(MAX(ROW(E521:E$2)*(E522=E521:E$2)))))</f>
        <v> </v>
      </c>
      <c r="J522" s="19" t="str">
        <f>IF(OR(E522="",E522="!!!",F522="NEW"),"",COUNTBLANK(OFFSET(A$1,,,SUMPRODUCT(MAX(ROW(E$2:E522)*(E522=E$2:E522)))))-COUNTBLANK(OFFSET(A$1,,,SUMPRODUCT(MAX(ROW(E$1:E521)*(E2=E$1:E521))))))</f>
        <v> </v>
      </c>
      <c r="K522" s="19" t="str">
        <f>IF(OR(E522="",E522="!!!",F522="NEW"),"",INDEX(J$1:J521,SUMPRODUCT(MAX(ROW(E$1:E521)*(E522=E$1:E521)))))</f>
        <v> </v>
      </c>
      <c r="L522" s="20"/>
    </row>
    <row r="523" spans="1:12">
      <c r="A523" s="13" t="s">
        <v>291</v>
      </c>
      <c r="E523" s="15">
        <f>IF(D523="?OLD","!!!","")</f>
        <v/>
      </c>
      <c r="F523" s="16" t="str">
        <f>IF(OR(E523="",E523="!!!"),"",IF(NOT(ISNA(VLOOKUP(E523,E$1:E522,1,FALSE()))),"OLD",IF(AND(E523&lt;&gt;"",E523&lt;&gt;"!!!"),"NEW","")))</f>
        <v> </v>
      </c>
      <c r="G523" s="17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18" t="str">
        <f>IF(J523&lt;&gt;1,"",IF(I523="SBJ","CB","?"))</f>
        <v> </v>
      </c>
      <c r="I523" s="19" t="str">
        <f>IF(OR(E523="",E523="!!!",F523="NEW"),"",INDEX(B522:B$2,-1+SUMPRODUCT(MAX(ROW(E522:E$2)*(E523=E522:E$2)))))</f>
        <v> </v>
      </c>
      <c r="J523" s="19" t="str">
        <f>IF(OR(E523="",E523="!!!",F523="NEW"),"",COUNTBLANK(OFFSET(A$1,,,SUMPRODUCT(MAX(ROW(E$2:E523)*(E523=E$2:E523)))))-COUNTBLANK(OFFSET(A$1,,,SUMPRODUCT(MAX(ROW(E$1:E522)*(E2=E$1:E522))))))</f>
        <v> </v>
      </c>
      <c r="K523" s="19" t="str">
        <f>IF(OR(E523="",E523="!!!",F523="NEW"),"",INDEX(J$1:J522,SUMPRODUCT(MAX(ROW(E$1:E522)*(E523=E$1:E522)))))</f>
        <v> </v>
      </c>
      <c r="L523" s="20"/>
    </row>
    <row r="524" spans="1:12">
      <c r="A524" s="13" t="s">
        <v>24</v>
      </c>
      <c r="B524" s="14" t="s">
        <v>126</v>
      </c>
      <c r="C524" s="14" t="s">
        <v>64</v>
      </c>
      <c r="D524" s="14" t="s">
        <v>25</v>
      </c>
      <c r="E524" s="15">
        <f>IF(D524="?OLD","!!!","")</f>
        <v/>
      </c>
      <c r="F524" s="16" t="str">
        <f>IF(OR(E524="",E524="!!!"),"",IF(NOT(ISNA(VLOOKUP(E524,E$1:E523,1,FALSE()))),"OLD",IF(AND(E524&lt;&gt;"",E524&lt;&gt;"!!!"),"NEW","")))</f>
        <v> </v>
      </c>
      <c r="G524" s="17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18" t="str">
        <f>IF(J524&lt;&gt;1,"",IF(I524="SBJ","CB","?"))</f>
        <v> </v>
      </c>
      <c r="I524" s="19" t="str">
        <f>IF(OR(E524="",E524="!!!",F524="NEW"),"",INDEX(B523:B$2,-1+SUMPRODUCT(MAX(ROW(E523:E$2)*(E524=E523:E$2)))))</f>
        <v> </v>
      </c>
      <c r="J524" s="19" t="str">
        <f>IF(OR(E524="",E524="!!!",F524="NEW"),"",COUNTBLANK(OFFSET(A$1,,,SUMPRODUCT(MAX(ROW(E$2:E524)*(E524=E$2:E524)))))-COUNTBLANK(OFFSET(A$1,,,SUMPRODUCT(MAX(ROW(E$1:E523)*(E2=E$1:E523))))))</f>
        <v> </v>
      </c>
      <c r="K524" s="19" t="str">
        <f>IF(OR(E524="",E524="!!!",F524="NEW"),"",INDEX(J$1:J523,SUMPRODUCT(MAX(ROW(E$1:E523)*(E524=E$1:E523)))))</f>
        <v> </v>
      </c>
      <c r="L524" s="20"/>
    </row>
    <row r="525" spans="1:12">
      <c r="A525" s="13" t="s">
        <v>57</v>
      </c>
      <c r="E525" s="15">
        <f>IF(D525="?OLD","!!!","")</f>
        <v/>
      </c>
      <c r="F525" s="16" t="str">
        <f>IF(OR(E525="",E525="!!!"),"",IF(NOT(ISNA(VLOOKUP(E525,E$1:E524,1,FALSE()))),"OLD",IF(AND(E525&lt;&gt;"",E525&lt;&gt;"!!!"),"NEW","")))</f>
        <v> </v>
      </c>
      <c r="G525" s="17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18" t="str">
        <f>IF(J525&lt;&gt;1,"",IF(I525="SBJ","CB","?"))</f>
        <v> </v>
      </c>
      <c r="I525" s="19" t="str">
        <f>IF(OR(E525="",E525="!!!",F525="NEW"),"",INDEX(B524:B$2,-1+SUMPRODUCT(MAX(ROW(E524:E$2)*(E525=E524:E$2)))))</f>
        <v> </v>
      </c>
      <c r="J525" s="19" t="str">
        <f>IF(OR(E525="",E525="!!!",F525="NEW"),"",COUNTBLANK(OFFSET(A$1,,,SUMPRODUCT(MAX(ROW(E$2:E525)*(E525=E$2:E525)))))-COUNTBLANK(OFFSET(A$1,,,SUMPRODUCT(MAX(ROW(E$1:E524)*(E2=E$1:E524))))))</f>
        <v> </v>
      </c>
      <c r="K525" s="19" t="str">
        <f>IF(OR(E525="",E525="!!!",F525="NEW"),"",INDEX(J$1:J524,SUMPRODUCT(MAX(ROW(E$1:E524)*(E525=E$1:E524)))))</f>
        <v> </v>
      </c>
      <c r="L525" s="20"/>
    </row>
    <row r="526" spans="1:12">
      <c r="A526" s="13" t="s">
        <v>292</v>
      </c>
      <c r="B526" s="14" t="s">
        <v>27</v>
      </c>
      <c r="C526" s="14" t="s">
        <v>60</v>
      </c>
      <c r="D526" s="14" t="s">
        <v>25</v>
      </c>
      <c r="E526" s="15">
        <f>IF(D526="?OLD","!!!","")</f>
        <v/>
      </c>
      <c r="F526" s="16" t="str">
        <f>IF(OR(E526="",E526="!!!"),"",IF(NOT(ISNA(VLOOKUP(E526,E$1:E525,1,FALSE()))),"OLD",IF(AND(E526&lt;&gt;"",E526&lt;&gt;"!!!"),"NEW","")))</f>
        <v> </v>
      </c>
      <c r="G526" s="17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18" t="str">
        <f>IF(J526&lt;&gt;1,"",IF(I526="SBJ","CB","?"))</f>
        <v> </v>
      </c>
      <c r="I526" s="19" t="str">
        <f>IF(OR(E526="",E526="!!!",F526="NEW"),"",INDEX(B525:B$2,-1+SUMPRODUCT(MAX(ROW(E525:E$2)*(E526=E525:E$2)))))</f>
        <v> </v>
      </c>
      <c r="J526" s="19" t="str">
        <f>IF(OR(E526="",E526="!!!",F526="NEW"),"",COUNTBLANK(OFFSET(A$1,,,SUMPRODUCT(MAX(ROW(E$2:E526)*(E526=E$2:E526)))))-COUNTBLANK(OFFSET(A$1,,,SUMPRODUCT(MAX(ROW(E$1:E525)*(E2=E$1:E525))))))</f>
        <v> </v>
      </c>
      <c r="K526" s="19" t="str">
        <f>IF(OR(E526="",E526="!!!",F526="NEW"),"",INDEX(J$1:J525,SUMPRODUCT(MAX(ROW(E$1:E525)*(E526=E$1:E525)))))</f>
        <v> </v>
      </c>
      <c r="L526" s="20"/>
    </row>
    <row r="527" spans="1:12">
      <c r="A527" s="13" t="s">
        <v>56</v>
      </c>
      <c r="E527" s="15">
        <f>IF(D527="?OLD","!!!","")</f>
        <v/>
      </c>
      <c r="F527" s="16" t="str">
        <f>IF(OR(E527="",E527="!!!"),"",IF(NOT(ISNA(VLOOKUP(E527,E$1:E526,1,FALSE()))),"OLD",IF(AND(E527&lt;&gt;"",E527&lt;&gt;"!!!"),"NEW","")))</f>
        <v> </v>
      </c>
      <c r="G527" s="17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18" t="str">
        <f>IF(J527&lt;&gt;1,"",IF(I527="SBJ","CB","?"))</f>
        <v> </v>
      </c>
      <c r="I527" s="19" t="str">
        <f>IF(OR(E527="",E527="!!!",F527="NEW"),"",INDEX(B526:B$2,-1+SUMPRODUCT(MAX(ROW(E526:E$2)*(E527=E526:E$2)))))</f>
        <v> </v>
      </c>
      <c r="J527" s="19" t="str">
        <f>IF(OR(E527="",E527="!!!",F527="NEW"),"",COUNTBLANK(OFFSET(A$1,,,SUMPRODUCT(MAX(ROW(E$2:E527)*(E527=E$2:E527)))))-COUNTBLANK(OFFSET(A$1,,,SUMPRODUCT(MAX(ROW(E$1:E526)*(E2=E$1:E526))))))</f>
        <v> </v>
      </c>
      <c r="K527" s="19" t="str">
        <f>IF(OR(E527="",E527="!!!",F527="NEW"),"",INDEX(J$1:J526,SUMPRODUCT(MAX(ROW(E$1:E526)*(E527=E$1:E526)))))</f>
        <v> </v>
      </c>
      <c r="L527" s="20"/>
    </row>
    <row r="528" spans="1:12">
      <c r="A528" s="13" t="s">
        <v>119</v>
      </c>
      <c r="E528" s="15">
        <f>IF(D528="?OLD","!!!","")</f>
        <v/>
      </c>
      <c r="F528" s="16" t="str">
        <f>IF(OR(E528="",E528="!!!"),"",IF(NOT(ISNA(VLOOKUP(E528,E$1:E527,1,FALSE()))),"OLD",IF(AND(E528&lt;&gt;"",E528&lt;&gt;"!!!"),"NEW","")))</f>
        <v> </v>
      </c>
      <c r="G528" s="17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18" t="str">
        <f>IF(J528&lt;&gt;1,"",IF(I528="SBJ","CB","?"))</f>
        <v> </v>
      </c>
      <c r="I528" s="19" t="str">
        <f>IF(OR(E528="",E528="!!!",F528="NEW"),"",INDEX(B527:B$2,-1+SUMPRODUCT(MAX(ROW(E527:E$2)*(E528=E527:E$2)))))</f>
        <v> </v>
      </c>
      <c r="J528" s="19" t="str">
        <f>IF(OR(E528="",E528="!!!",F528="NEW"),"",COUNTBLANK(OFFSET(A$1,,,SUMPRODUCT(MAX(ROW(E$2:E528)*(E528=E$2:E528)))))-COUNTBLANK(OFFSET(A$1,,,SUMPRODUCT(MAX(ROW(E$1:E527)*(E2=E$1:E527))))))</f>
        <v> </v>
      </c>
      <c r="K528" s="19" t="str">
        <f>IF(OR(E528="",E528="!!!",F528="NEW"),"",INDEX(J$1:J527,SUMPRODUCT(MAX(ROW(E$1:E527)*(E528=E$1:E527)))))</f>
        <v> </v>
      </c>
      <c r="L528" s="20"/>
    </row>
    <row r="529" spans="1:12">
      <c r="A529" s="13" t="s">
        <v>76</v>
      </c>
      <c r="E529" s="15">
        <f>IF(D529="?OLD","!!!","")</f>
        <v/>
      </c>
      <c r="F529" s="16" t="str">
        <f>IF(OR(E529="",E529="!!!"),"",IF(NOT(ISNA(VLOOKUP(E529,E$1:E528,1,FALSE()))),"OLD",IF(AND(E529&lt;&gt;"",E529&lt;&gt;"!!!"),"NEW","")))</f>
        <v> </v>
      </c>
      <c r="G529" s="17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18" t="str">
        <f>IF(J529&lt;&gt;1,"",IF(I529="SBJ","CB","?"))</f>
        <v> </v>
      </c>
      <c r="I529" s="19" t="str">
        <f>IF(OR(E529="",E529="!!!",F529="NEW"),"",INDEX(B528:B$2,-1+SUMPRODUCT(MAX(ROW(E528:E$2)*(E529=E528:E$2)))))</f>
        <v> </v>
      </c>
      <c r="J529" s="19" t="str">
        <f>IF(OR(E529="",E529="!!!",F529="NEW"),"",COUNTBLANK(OFFSET(A$1,,,SUMPRODUCT(MAX(ROW(E$2:E529)*(E529=E$2:E529)))))-COUNTBLANK(OFFSET(A$1,,,SUMPRODUCT(MAX(ROW(E$1:E528)*(E2=E$1:E528))))))</f>
        <v> </v>
      </c>
      <c r="K529" s="19" t="str">
        <f>IF(OR(E529="",E529="!!!",F529="NEW"),"",INDEX(J$1:J528,SUMPRODUCT(MAX(ROW(E$1:E528)*(E529=E$1:E528)))))</f>
        <v> </v>
      </c>
      <c r="L529" s="20"/>
    </row>
    <row r="530" spans="1:12">
      <c r="A530" s="13" t="s">
        <v>293</v>
      </c>
      <c r="E530" s="15">
        <f>IF(D530="?OLD","!!!","")</f>
        <v/>
      </c>
      <c r="F530" s="16" t="str">
        <f>IF(OR(E530="",E530="!!!"),"",IF(NOT(ISNA(VLOOKUP(E530,E$1:E529,1,FALSE()))),"OLD",IF(AND(E530&lt;&gt;"",E530&lt;&gt;"!!!"),"NEW","")))</f>
        <v> </v>
      </c>
      <c r="G530" s="17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18" t="str">
        <f>IF(J530&lt;&gt;1,"",IF(I530="SBJ","CB","?"))</f>
        <v> </v>
      </c>
      <c r="I530" s="19" t="str">
        <f>IF(OR(E530="",E530="!!!",F530="NEW"),"",INDEX(B529:B$2,-1+SUMPRODUCT(MAX(ROW(E529:E$2)*(E530=E529:E$2)))))</f>
        <v> </v>
      </c>
      <c r="J530" s="19" t="str">
        <f>IF(OR(E530="",E530="!!!",F530="NEW"),"",COUNTBLANK(OFFSET(A$1,,,SUMPRODUCT(MAX(ROW(E$2:E530)*(E530=E$2:E530)))))-COUNTBLANK(OFFSET(A$1,,,SUMPRODUCT(MAX(ROW(E$1:E529)*(E2=E$1:E529))))))</f>
        <v> </v>
      </c>
      <c r="K530" s="19" t="str">
        <f>IF(OR(E530="",E530="!!!",F530="NEW"),"",INDEX(J$1:J529,SUMPRODUCT(MAX(ROW(E$1:E529)*(E530=E$1:E529)))))</f>
        <v> </v>
      </c>
      <c r="L530" s="20"/>
    </row>
    <row r="531" spans="1:12">
      <c r="A531" s="13" t="s">
        <v>102</v>
      </c>
      <c r="E531" s="15">
        <f>IF(D531="?OLD","!!!","")</f>
        <v/>
      </c>
      <c r="F531" s="16" t="str">
        <f>IF(OR(E531="",E531="!!!"),"",IF(NOT(ISNA(VLOOKUP(E531,E$1:E530,1,FALSE()))),"OLD",IF(AND(E531&lt;&gt;"",E531&lt;&gt;"!!!"),"NEW","")))</f>
        <v> </v>
      </c>
      <c r="G531" s="17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18" t="str">
        <f>IF(J531&lt;&gt;1,"",IF(I531="SBJ","CB","?"))</f>
        <v> </v>
      </c>
      <c r="I531" s="19" t="str">
        <f>IF(OR(E531="",E531="!!!",F531="NEW"),"",INDEX(B530:B$2,-1+SUMPRODUCT(MAX(ROW(E530:E$2)*(E531=E530:E$2)))))</f>
        <v> </v>
      </c>
      <c r="J531" s="19" t="str">
        <f>IF(OR(E531="",E531="!!!",F531="NEW"),"",COUNTBLANK(OFFSET(A$1,,,SUMPRODUCT(MAX(ROW(E$2:E531)*(E531=E$2:E531)))))-COUNTBLANK(OFFSET(A$1,,,SUMPRODUCT(MAX(ROW(E$1:E530)*(E2=E$1:E530))))))</f>
        <v> </v>
      </c>
      <c r="K531" s="19" t="str">
        <f>IF(OR(E531="",E531="!!!",F531="NEW"),"",INDEX(J$1:J530,SUMPRODUCT(MAX(ROW(E$1:E530)*(E531=E$1:E530)))))</f>
        <v> </v>
      </c>
      <c r="L531" s="20"/>
    </row>
    <row r="532" spans="1:12">
      <c r="A532" s="13" t="s">
        <v>208</v>
      </c>
      <c r="E532" s="15">
        <f>IF(D532="?OLD","!!!","")</f>
        <v/>
      </c>
      <c r="F532" s="16" t="str">
        <f>IF(OR(E532="",E532="!!!"),"",IF(NOT(ISNA(VLOOKUP(E532,E$1:E531,1,FALSE()))),"OLD",IF(AND(E532&lt;&gt;"",E532&lt;&gt;"!!!"),"NEW","")))</f>
        <v> </v>
      </c>
      <c r="G532" s="17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18" t="str">
        <f>IF(J532&lt;&gt;1,"",IF(I532="SBJ","CB","?"))</f>
        <v> </v>
      </c>
      <c r="I532" s="19" t="str">
        <f>IF(OR(E532="",E532="!!!",F532="NEW"),"",INDEX(B531:B$2,-1+SUMPRODUCT(MAX(ROW(E531:E$2)*(E532=E531:E$2)))))</f>
        <v> </v>
      </c>
      <c r="J532" s="19" t="str">
        <f>IF(OR(E532="",E532="!!!",F532="NEW"),"",COUNTBLANK(OFFSET(A$1,,,SUMPRODUCT(MAX(ROW(E$2:E532)*(E532=E$2:E532)))))-COUNTBLANK(OFFSET(A$1,,,SUMPRODUCT(MAX(ROW(E$1:E531)*(E2=E$1:E531))))))</f>
        <v> </v>
      </c>
      <c r="K532" s="19" t="str">
        <f>IF(OR(E532="",E532="!!!",F532="NEW"),"",INDEX(J$1:J531,SUMPRODUCT(MAX(ROW(E$1:E531)*(E532=E$1:E531)))))</f>
        <v> </v>
      </c>
      <c r="L532" s="20"/>
    </row>
    <row r="533" spans="1:12">
      <c r="A533" s="13" t="s">
        <v>294</v>
      </c>
      <c r="E533" s="15">
        <f>IF(D533="?OLD","!!!","")</f>
        <v/>
      </c>
      <c r="F533" s="16" t="str">
        <f>IF(OR(E533="",E533="!!!"),"",IF(NOT(ISNA(VLOOKUP(E533,E$1:E532,1,FALSE()))),"OLD",IF(AND(E533&lt;&gt;"",E533&lt;&gt;"!!!"),"NEW","")))</f>
        <v> </v>
      </c>
      <c r="G533" s="17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18" t="str">
        <f>IF(J533&lt;&gt;1,"",IF(I533="SBJ","CB","?"))</f>
        <v> </v>
      </c>
      <c r="I533" s="19" t="str">
        <f>IF(OR(E533="",E533="!!!",F533="NEW"),"",INDEX(B532:B$2,-1+SUMPRODUCT(MAX(ROW(E532:E$2)*(E533=E532:E$2)))))</f>
        <v> </v>
      </c>
      <c r="J533" s="19" t="str">
        <f>IF(OR(E533="",E533="!!!",F533="NEW"),"",COUNTBLANK(OFFSET(A$1,,,SUMPRODUCT(MAX(ROW(E$2:E533)*(E533=E$2:E533)))))-COUNTBLANK(OFFSET(A$1,,,SUMPRODUCT(MAX(ROW(E$1:E532)*(E2=E$1:E532))))))</f>
        <v> </v>
      </c>
      <c r="K533" s="19" t="str">
        <f>IF(OR(E533="",E533="!!!",F533="NEW"),"",INDEX(J$1:J532,SUMPRODUCT(MAX(ROW(E$1:E532)*(E533=E$1:E532)))))</f>
        <v> </v>
      </c>
      <c r="L533" s="20"/>
    </row>
    <row r="534" spans="1:12">
      <c r="A534" s="13" t="s">
        <v>49</v>
      </c>
      <c r="E534" s="15">
        <f>IF(D534="?OLD","!!!","")</f>
        <v/>
      </c>
      <c r="F534" s="16" t="str">
        <f>IF(OR(E534="",E534="!!!"),"",IF(NOT(ISNA(VLOOKUP(E534,E$1:E533,1,FALSE()))),"OLD",IF(AND(E534&lt;&gt;"",E534&lt;&gt;"!!!"),"NEW","")))</f>
        <v> </v>
      </c>
      <c r="G534" s="17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18" t="str">
        <f>IF(J534&lt;&gt;1,"",IF(I534="SBJ","CB","?"))</f>
        <v> </v>
      </c>
      <c r="I534" s="19" t="str">
        <f>IF(OR(E534="",E534="!!!",F534="NEW"),"",INDEX(B533:B$2,-1+SUMPRODUCT(MAX(ROW(E533:E$2)*(E534=E533:E$2)))))</f>
        <v> </v>
      </c>
      <c r="J534" s="19" t="str">
        <f>IF(OR(E534="",E534="!!!",F534="NEW"),"",COUNTBLANK(OFFSET(A$1,,,SUMPRODUCT(MAX(ROW(E$2:E534)*(E534=E$2:E534)))))-COUNTBLANK(OFFSET(A$1,,,SUMPRODUCT(MAX(ROW(E$1:E533)*(E2=E$1:E533))))))</f>
        <v> </v>
      </c>
      <c r="K534" s="19" t="str">
        <f>IF(OR(E534="",E534="!!!",F534="NEW"),"",INDEX(J$1:J533,SUMPRODUCT(MAX(ROW(E$1:E533)*(E534=E$1:E533)))))</f>
        <v> </v>
      </c>
      <c r="L534" s="20"/>
    </row>
    <row r="535" spans="1:12">
      <c r="A535" s="13" t="s">
        <v>137</v>
      </c>
      <c r="B535" s="14" t="s">
        <v>126</v>
      </c>
      <c r="C535" s="14" t="s">
        <v>51</v>
      </c>
      <c r="E535" s="15">
        <f>IF(D535="?OLD","!!!","")</f>
        <v/>
      </c>
      <c r="F535" s="16" t="str">
        <f>IF(OR(E535="",E535="!!!"),"",IF(NOT(ISNA(VLOOKUP(E535,E$1:E534,1,FALSE()))),"OLD",IF(AND(E535&lt;&gt;"",E535&lt;&gt;"!!!"),"NEW","")))</f>
        <v> </v>
      </c>
      <c r="G535" s="17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18" t="str">
        <f>IF(J535&lt;&gt;1,"",IF(I535="SBJ","CB","?"))</f>
        <v> </v>
      </c>
      <c r="I535" s="19" t="str">
        <f>IF(OR(E535="",E535="!!!",F535="NEW"),"",INDEX(B534:B$2,-1+SUMPRODUCT(MAX(ROW(E534:E$2)*(E535=E534:E$2)))))</f>
        <v> </v>
      </c>
      <c r="J535" s="19" t="str">
        <f>IF(OR(E535="",E535="!!!",F535="NEW"),"",COUNTBLANK(OFFSET(A$1,,,SUMPRODUCT(MAX(ROW(E$2:E535)*(E535=E$2:E535)))))-COUNTBLANK(OFFSET(A$1,,,SUMPRODUCT(MAX(ROW(E$1:E534)*(E2=E$1:E534))))))</f>
        <v> </v>
      </c>
      <c r="K535" s="19" t="str">
        <f>IF(OR(E535="",E535="!!!",F535="NEW"),"",INDEX(J$1:J534,SUMPRODUCT(MAX(ROW(E$1:E534)*(E535=E$1:E534)))))</f>
        <v> </v>
      </c>
      <c r="L535" s="20"/>
    </row>
    <row r="536" spans="1:12">
      <c r="A536" s="13" t="s">
        <v>76</v>
      </c>
      <c r="E536" s="15">
        <f>IF(D536="?OLD","!!!","")</f>
        <v/>
      </c>
      <c r="F536" s="16" t="str">
        <f>IF(OR(E536="",E536="!!!"),"",IF(NOT(ISNA(VLOOKUP(E536,E$1:E535,1,FALSE()))),"OLD",IF(AND(E536&lt;&gt;"",E536&lt;&gt;"!!!"),"NEW","")))</f>
        <v> </v>
      </c>
      <c r="G536" s="17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18" t="str">
        <f>IF(J536&lt;&gt;1,"",IF(I536="SBJ","CB","?"))</f>
        <v> </v>
      </c>
      <c r="I536" s="19" t="str">
        <f>IF(OR(E536="",E536="!!!",F536="NEW"),"",INDEX(B535:B$2,-1+SUMPRODUCT(MAX(ROW(E535:E$2)*(E536=E535:E$2)))))</f>
        <v> </v>
      </c>
      <c r="J536" s="19" t="str">
        <f>IF(OR(E536="",E536="!!!",F536="NEW"),"",COUNTBLANK(OFFSET(A$1,,,SUMPRODUCT(MAX(ROW(E$2:E536)*(E536=E$2:E536)))))-COUNTBLANK(OFFSET(A$1,,,SUMPRODUCT(MAX(ROW(E$1:E535)*(E2=E$1:E535))))))</f>
        <v> </v>
      </c>
      <c r="K536" s="19" t="str">
        <f>IF(OR(E536="",E536="!!!",F536="NEW"),"",INDEX(J$1:J535,SUMPRODUCT(MAX(ROW(E$1:E535)*(E536=E$1:E535)))))</f>
        <v> </v>
      </c>
      <c r="L536" s="20"/>
    </row>
    <row r="537" spans="1:12">
      <c r="A537" s="13" t="s">
        <v>53</v>
      </c>
      <c r="E537" s="15">
        <f>IF(D537="?OLD","!!!","")</f>
        <v/>
      </c>
      <c r="F537" s="16" t="str">
        <f>IF(OR(E537="",E537="!!!"),"",IF(NOT(ISNA(VLOOKUP(E537,E$1:E536,1,FALSE()))),"OLD",IF(AND(E537&lt;&gt;"",E537&lt;&gt;"!!!"),"NEW","")))</f>
        <v> </v>
      </c>
      <c r="G537" s="17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18" t="str">
        <f>IF(J537&lt;&gt;1,"",IF(I537="SBJ","CB","?"))</f>
        <v> </v>
      </c>
      <c r="I537" s="19" t="str">
        <f>IF(OR(E537="",E537="!!!",F537="NEW"),"",INDEX(B536:B$2,-1+SUMPRODUCT(MAX(ROW(E536:E$2)*(E537=E536:E$2)))))</f>
        <v> </v>
      </c>
      <c r="J537" s="19" t="str">
        <f>IF(OR(E537="",E537="!!!",F537="NEW"),"",COUNTBLANK(OFFSET(A$1,,,SUMPRODUCT(MAX(ROW(E$2:E537)*(E537=E$2:E537)))))-COUNTBLANK(OFFSET(A$1,,,SUMPRODUCT(MAX(ROW(E$1:E536)*(E2=E$1:E536))))))</f>
        <v> </v>
      </c>
      <c r="K537" s="19" t="str">
        <f>IF(OR(E537="",E537="!!!",F537="NEW"),"",INDEX(J$1:J536,SUMPRODUCT(MAX(ROW(E$1:E536)*(E537=E$1:E536)))))</f>
        <v> </v>
      </c>
      <c r="L537" s="20"/>
    </row>
    <row r="538" spans="1:12">
      <c r="A538" s="13" t="s">
        <v>139</v>
      </c>
      <c r="B538" s="14" t="s">
        <v>63</v>
      </c>
      <c r="C538" s="14" t="s">
        <v>39</v>
      </c>
      <c r="D538" s="14" t="s">
        <v>25</v>
      </c>
      <c r="E538" s="15">
        <f>IF(D538="?OLD","!!!","")</f>
        <v/>
      </c>
      <c r="F538" s="16" t="str">
        <f>IF(OR(E538="",E538="!!!"),"",IF(NOT(ISNA(VLOOKUP(E538,E$1:E537,1,FALSE()))),"OLD",IF(AND(E538&lt;&gt;"",E538&lt;&gt;"!!!"),"NEW","")))</f>
        <v> </v>
      </c>
      <c r="G538" s="17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18" t="str">
        <f>IF(J538&lt;&gt;1,"",IF(I538="SBJ","CB","?"))</f>
        <v> </v>
      </c>
      <c r="I538" s="19" t="str">
        <f>IF(OR(E538="",E538="!!!",F538="NEW"),"",INDEX(B537:B$2,-1+SUMPRODUCT(MAX(ROW(E537:E$2)*(E538=E537:E$2)))))</f>
        <v> </v>
      </c>
      <c r="J538" s="19" t="str">
        <f>IF(OR(E538="",E538="!!!",F538="NEW"),"",COUNTBLANK(OFFSET(A$1,,,SUMPRODUCT(MAX(ROW(E$2:E538)*(E538=E$2:E538)))))-COUNTBLANK(OFFSET(A$1,,,SUMPRODUCT(MAX(ROW(E$1:E537)*(E2=E$1:E537))))))</f>
        <v> </v>
      </c>
      <c r="K538" s="19" t="str">
        <f>IF(OR(E538="",E538="!!!",F538="NEW"),"",INDEX(J$1:J537,SUMPRODUCT(MAX(ROW(E$1:E537)*(E538=E$1:E537)))))</f>
        <v> </v>
      </c>
      <c r="L538" s="20"/>
    </row>
    <row r="539" spans="1:12">
      <c r="A539" s="13" t="s">
        <v>79</v>
      </c>
      <c r="E539" s="15">
        <f>IF(D539="?OLD","!!!","")</f>
        <v/>
      </c>
      <c r="F539" s="16" t="str">
        <f>IF(OR(E539="",E539="!!!"),"",IF(NOT(ISNA(VLOOKUP(E539,E$1:E538,1,FALSE()))),"OLD",IF(AND(E539&lt;&gt;"",E539&lt;&gt;"!!!"),"NEW","")))</f>
        <v> </v>
      </c>
      <c r="G539" s="17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18" t="str">
        <f>IF(J539&lt;&gt;1,"",IF(I539="SBJ","CB","?"))</f>
        <v> </v>
      </c>
      <c r="I539" s="19" t="str">
        <f>IF(OR(E539="",E539="!!!",F539="NEW"),"",INDEX(B538:B$2,-1+SUMPRODUCT(MAX(ROW(E538:E$2)*(E539=E538:E$2)))))</f>
        <v> </v>
      </c>
      <c r="J539" s="19" t="str">
        <f>IF(OR(E539="",E539="!!!",F539="NEW"),"",COUNTBLANK(OFFSET(A$1,,,SUMPRODUCT(MAX(ROW(E$2:E539)*(E539=E$2:E539)))))-COUNTBLANK(OFFSET(A$1,,,SUMPRODUCT(MAX(ROW(E$1:E538)*(E2=E$1:E538))))))</f>
        <v> </v>
      </c>
      <c r="K539" s="19" t="str">
        <f>IF(OR(E539="",E539="!!!",F539="NEW"),"",INDEX(J$1:J538,SUMPRODUCT(MAX(ROW(E$1:E538)*(E539=E$1:E538)))))</f>
        <v> </v>
      </c>
      <c r="L539" s="20"/>
    </row>
    <row r="540" spans="1:12">
      <c r="A540" s="13" t="s">
        <v>140</v>
      </c>
      <c r="B540" s="14" t="s">
        <v>106</v>
      </c>
      <c r="C540" s="14" t="s">
        <v>34</v>
      </c>
      <c r="E540" s="15">
        <f>IF(D540="?OLD","!!!","")</f>
        <v/>
      </c>
      <c r="F540" s="16" t="str">
        <f>IF(OR(E540="",E540="!!!"),"",IF(NOT(ISNA(VLOOKUP(E540,E$1:E539,1,FALSE()))),"OLD",IF(AND(E540&lt;&gt;"",E540&lt;&gt;"!!!"),"NEW","")))</f>
        <v> </v>
      </c>
      <c r="G540" s="17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18" t="str">
        <f>IF(J540&lt;&gt;1,"",IF(I540="SBJ","CB","?"))</f>
        <v> </v>
      </c>
      <c r="I540" s="19" t="str">
        <f>IF(OR(E540="",E540="!!!",F540="NEW"),"",INDEX(B539:B$2,-1+SUMPRODUCT(MAX(ROW(E539:E$2)*(E540=E539:E$2)))))</f>
        <v> </v>
      </c>
      <c r="J540" s="19" t="str">
        <f>IF(OR(E540="",E540="!!!",F540="NEW"),"",COUNTBLANK(OFFSET(A$1,,,SUMPRODUCT(MAX(ROW(E$2:E540)*(E540=E$2:E540)))))-COUNTBLANK(OFFSET(A$1,,,SUMPRODUCT(MAX(ROW(E$1:E539)*(E2=E$1:E539))))))</f>
        <v> </v>
      </c>
      <c r="K540" s="19" t="str">
        <f>IF(OR(E540="",E540="!!!",F540="NEW"),"",INDEX(J$1:J539,SUMPRODUCT(MAX(ROW(E$1:E539)*(E540=E$1:E539)))))</f>
        <v> </v>
      </c>
      <c r="L540" s="20"/>
    </row>
    <row r="541" spans="1:12">
      <c r="A541" s="13" t="s">
        <v>56</v>
      </c>
      <c r="E541" s="15">
        <f>IF(D541="?OLD","!!!","")</f>
        <v/>
      </c>
      <c r="F541" s="16" t="str">
        <f>IF(OR(E541="",E541="!!!"),"",IF(NOT(ISNA(VLOOKUP(E541,E$1:E540,1,FALSE()))),"OLD",IF(AND(E541&lt;&gt;"",E541&lt;&gt;"!!!"),"NEW","")))</f>
        <v> </v>
      </c>
      <c r="G541" s="17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18" t="str">
        <f>IF(J541&lt;&gt;1,"",IF(I541="SBJ","CB","?"))</f>
        <v> </v>
      </c>
      <c r="I541" s="19" t="str">
        <f>IF(OR(E541="",E541="!!!",F541="NEW"),"",INDEX(B540:B$2,-1+SUMPRODUCT(MAX(ROW(E540:E$2)*(E541=E540:E$2)))))</f>
        <v> </v>
      </c>
      <c r="J541" s="19" t="str">
        <f>IF(OR(E541="",E541="!!!",F541="NEW"),"",COUNTBLANK(OFFSET(A$1,,,SUMPRODUCT(MAX(ROW(E$2:E541)*(E541=E$2:E541)))))-COUNTBLANK(OFFSET(A$1,,,SUMPRODUCT(MAX(ROW(E$1:E540)*(E2=E$1:E540))))))</f>
        <v> </v>
      </c>
      <c r="K541" s="19" t="str">
        <f>IF(OR(E541="",E541="!!!",F541="NEW"),"",INDEX(J$1:J540,SUMPRODUCT(MAX(ROW(E$1:E540)*(E541=E$1:E540)))))</f>
        <v> </v>
      </c>
      <c r="L541" s="20"/>
    </row>
    <row r="542" spans="1:12">
      <c r="A542" s="13" t="s">
        <v>61</v>
      </c>
      <c r="B542" s="14" t="s">
        <v>295</v>
      </c>
      <c r="E542" s="15">
        <f>IF(D542="?OLD","!!!","")</f>
        <v/>
      </c>
      <c r="F542" s="16" t="str">
        <f>IF(OR(E542="",E542="!!!"),"",IF(NOT(ISNA(VLOOKUP(E542,E$1:E541,1,FALSE()))),"OLD",IF(AND(E542&lt;&gt;"",E542&lt;&gt;"!!!"),"NEW","")))</f>
        <v> </v>
      </c>
      <c r="G542" s="17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18" t="str">
        <f>IF(J542&lt;&gt;1,"",IF(I542="SBJ","CB","?"))</f>
        <v> </v>
      </c>
      <c r="I542" s="19" t="str">
        <f>IF(OR(E542="",E542="!!!",F542="NEW"),"",INDEX(B541:B$2,-1+SUMPRODUCT(MAX(ROW(E541:E$2)*(E542=E541:E$2)))))</f>
        <v> </v>
      </c>
      <c r="J542" s="19" t="str">
        <f>IF(OR(E542="",E542="!!!",F542="NEW"),"",COUNTBLANK(OFFSET(A$1,,,SUMPRODUCT(MAX(ROW(E$2:E542)*(E542=E$2:E542)))))-COUNTBLANK(OFFSET(A$1,,,SUMPRODUCT(MAX(ROW(E$1:E541)*(E2=E$1:E541))))))</f>
        <v> </v>
      </c>
      <c r="K542" s="19" t="str">
        <f>IF(OR(E542="",E542="!!!",F542="NEW"),"",INDEX(J$1:J541,SUMPRODUCT(MAX(ROW(E$1:E541)*(E542=E$1:E541)))))</f>
        <v> </v>
      </c>
      <c r="L542" s="20"/>
    </row>
    <row r="543" spans="1:12">
      <c r="A543" s="13" t="s">
        <v>294</v>
      </c>
      <c r="E543" s="15">
        <f>IF(D543="?OLD","!!!","")</f>
        <v/>
      </c>
      <c r="F543" s="16" t="str">
        <f>IF(OR(E543="",E543="!!!"),"",IF(NOT(ISNA(VLOOKUP(E543,E$1:E542,1,FALSE()))),"OLD",IF(AND(E543&lt;&gt;"",E543&lt;&gt;"!!!"),"NEW","")))</f>
        <v> </v>
      </c>
      <c r="G543" s="17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18" t="str">
        <f>IF(J543&lt;&gt;1,"",IF(I543="SBJ","CB","?"))</f>
        <v> </v>
      </c>
      <c r="I543" s="19" t="str">
        <f>IF(OR(E543="",E543="!!!",F543="NEW"),"",INDEX(B542:B$2,-1+SUMPRODUCT(MAX(ROW(E542:E$2)*(E543=E542:E$2)))))</f>
        <v> </v>
      </c>
      <c r="J543" s="19" t="str">
        <f>IF(OR(E543="",E543="!!!",F543="NEW"),"",COUNTBLANK(OFFSET(A$1,,,SUMPRODUCT(MAX(ROW(E$2:E543)*(E543=E$2:E543)))))-COUNTBLANK(OFFSET(A$1,,,SUMPRODUCT(MAX(ROW(E$1:E542)*(E2=E$1:E542))))))</f>
        <v> </v>
      </c>
      <c r="K543" s="19" t="str">
        <f>IF(OR(E543="",E543="!!!",F543="NEW"),"",INDEX(J$1:J542,SUMPRODUCT(MAX(ROW(E$1:E542)*(E543=E$1:E542)))))</f>
        <v> </v>
      </c>
      <c r="L543" s="20"/>
    </row>
    <row r="544" spans="1:12">
      <c r="A544" s="13" t="s">
        <v>212</v>
      </c>
      <c r="E544" s="15">
        <f>IF(D544="?OLD","!!!","")</f>
        <v/>
      </c>
      <c r="F544" s="16" t="str">
        <f>IF(OR(E544="",E544="!!!"),"",IF(NOT(ISNA(VLOOKUP(E544,E$1:E543,1,FALSE()))),"OLD",IF(AND(E544&lt;&gt;"",E544&lt;&gt;"!!!"),"NEW","")))</f>
        <v> </v>
      </c>
      <c r="G544" s="17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18" t="str">
        <f>IF(J544&lt;&gt;1,"",IF(I544="SBJ","CB","?"))</f>
        <v> </v>
      </c>
      <c r="I544" s="19" t="str">
        <f>IF(OR(E544="",E544="!!!",F544="NEW"),"",INDEX(B543:B$2,-1+SUMPRODUCT(MAX(ROW(E543:E$2)*(E544=E543:E$2)))))</f>
        <v> </v>
      </c>
      <c r="J544" s="19" t="str">
        <f>IF(OR(E544="",E544="!!!",F544="NEW"),"",COUNTBLANK(OFFSET(A$1,,,SUMPRODUCT(MAX(ROW(E$2:E544)*(E544=E$2:E544)))))-COUNTBLANK(OFFSET(A$1,,,SUMPRODUCT(MAX(ROW(E$1:E543)*(E2=E$1:E543))))))</f>
        <v> </v>
      </c>
      <c r="K544" s="19" t="str">
        <f>IF(OR(E544="",E544="!!!",F544="NEW"),"",INDEX(J$1:J543,SUMPRODUCT(MAX(ROW(E$1:E543)*(E544=E$1:E543)))))</f>
        <v> </v>
      </c>
      <c r="L544" s="20"/>
    </row>
    <row r="545" spans="1:12">
      <c r="A545" s="13" t="s">
        <v>57</v>
      </c>
      <c r="E545" s="15">
        <f>IF(D545="?OLD","!!!","")</f>
        <v/>
      </c>
      <c r="F545" s="16" t="str">
        <f>IF(OR(E545="",E545="!!!"),"",IF(NOT(ISNA(VLOOKUP(E545,E$1:E544,1,FALSE()))),"OLD",IF(AND(E545&lt;&gt;"",E545&lt;&gt;"!!!"),"NEW","")))</f>
        <v> </v>
      </c>
      <c r="G545" s="17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18" t="str">
        <f>IF(J545&lt;&gt;1,"",IF(I545="SBJ","CB","?"))</f>
        <v> </v>
      </c>
      <c r="I545" s="19" t="str">
        <f>IF(OR(E545="",E545="!!!",F545="NEW"),"",INDEX(B544:B$2,-1+SUMPRODUCT(MAX(ROW(E544:E$2)*(E545=E544:E$2)))))</f>
        <v> </v>
      </c>
      <c r="J545" s="19" t="str">
        <f>IF(OR(E545="",E545="!!!",F545="NEW"),"",COUNTBLANK(OFFSET(A$1,,,SUMPRODUCT(MAX(ROW(E$2:E545)*(E545=E$2:E545)))))-COUNTBLANK(OFFSET(A$1,,,SUMPRODUCT(MAX(ROW(E$1:E544)*(E2=E$1:E544))))))</f>
        <v> </v>
      </c>
      <c r="K545" s="19" t="str">
        <f>IF(OR(E545="",E545="!!!",F545="NEW"),"",INDEX(J$1:J544,SUMPRODUCT(MAX(ROW(E$1:E544)*(E545=E$1:E544)))))</f>
        <v> </v>
      </c>
      <c r="L545" s="20"/>
    </row>
    <row r="546" spans="1:12">
      <c r="A546" s="13" t="s">
        <v>73</v>
      </c>
      <c r="B546" s="14" t="s">
        <v>177</v>
      </c>
      <c r="C546" s="14" t="s">
        <v>60</v>
      </c>
      <c r="D546" s="14" t="s">
        <v>25</v>
      </c>
      <c r="E546" s="15">
        <f>IF(D546="?OLD","!!!","")</f>
        <v/>
      </c>
      <c r="F546" s="16" t="str">
        <f>IF(OR(E546="",E546="!!!"),"",IF(NOT(ISNA(VLOOKUP(E546,E$1:E545,1,FALSE()))),"OLD",IF(AND(E546&lt;&gt;"",E546&lt;&gt;"!!!"),"NEW","")))</f>
        <v> </v>
      </c>
      <c r="G546" s="17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18" t="str">
        <f>IF(J546&lt;&gt;1,"",IF(I546="SBJ","CB","?"))</f>
        <v> </v>
      </c>
      <c r="I546" s="19" t="str">
        <f>IF(OR(E546="",E546="!!!",F546="NEW"),"",INDEX(B545:B$2,-1+SUMPRODUCT(MAX(ROW(E545:E$2)*(E546=E545:E$2)))))</f>
        <v> </v>
      </c>
      <c r="J546" s="19" t="str">
        <f>IF(OR(E546="",E546="!!!",F546="NEW"),"",COUNTBLANK(OFFSET(A$1,,,SUMPRODUCT(MAX(ROW(E$2:E546)*(E546=E$2:E546)))))-COUNTBLANK(OFFSET(A$1,,,SUMPRODUCT(MAX(ROW(E$1:E545)*(E2=E$1:E545))))))</f>
        <v> </v>
      </c>
      <c r="K546" s="19" t="str">
        <f>IF(OR(E546="",E546="!!!",F546="NEW"),"",INDEX(J$1:J545,SUMPRODUCT(MAX(ROW(E$1:E545)*(E546=E$1:E545)))))</f>
        <v> </v>
      </c>
      <c r="L546" s="20"/>
    </row>
    <row r="547" spans="1:12">
      <c r="A547" s="13" t="s">
        <v>207</v>
      </c>
      <c r="B547" s="14" t="s">
        <v>296</v>
      </c>
      <c r="C547" s="14" t="s">
        <v>72</v>
      </c>
      <c r="D547" s="14" t="s">
        <v>25</v>
      </c>
      <c r="E547" s="15">
        <f>IF(D547="?OLD","!!!","")</f>
        <v/>
      </c>
      <c r="F547" s="16" t="str">
        <f>IF(OR(E547="",E547="!!!"),"",IF(NOT(ISNA(VLOOKUP(E547,E$1:E546,1,FALSE()))),"OLD",IF(AND(E547&lt;&gt;"",E547&lt;&gt;"!!!"),"NEW","")))</f>
        <v> </v>
      </c>
      <c r="G547" s="17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18" t="str">
        <f>IF(J547&lt;&gt;1,"",IF(I547="SBJ","CB","?"))</f>
        <v> </v>
      </c>
      <c r="I547" s="19" t="str">
        <f>IF(OR(E547="",E547="!!!",F547="NEW"),"",INDEX(B546:B$2,-1+SUMPRODUCT(MAX(ROW(E546:E$2)*(E547=E546:E$2)))))</f>
        <v> </v>
      </c>
      <c r="J547" s="19" t="str">
        <f>IF(OR(E547="",E547="!!!",F547="NEW"),"",COUNTBLANK(OFFSET(A$1,,,SUMPRODUCT(MAX(ROW(E$2:E547)*(E547=E$2:E547)))))-COUNTBLANK(OFFSET(A$1,,,SUMPRODUCT(MAX(ROW(E$1:E546)*(E2=E$1:E546))))))</f>
        <v> </v>
      </c>
      <c r="K547" s="19" t="str">
        <f>IF(OR(E547="",E547="!!!",F547="NEW"),"",INDEX(J$1:J546,SUMPRODUCT(MAX(ROW(E$1:E546)*(E547=E$1:E546)))))</f>
        <v> </v>
      </c>
      <c r="L547" s="20"/>
    </row>
    <row r="548" spans="1:12">
      <c r="A548" s="13" t="s">
        <v>68</v>
      </c>
      <c r="E548" s="15">
        <f>IF(D548="?OLD","!!!","")</f>
        <v/>
      </c>
      <c r="F548" s="16" t="str">
        <f>IF(OR(E548="",E548="!!!"),"",IF(NOT(ISNA(VLOOKUP(E548,E$1:E547,1,FALSE()))),"OLD",IF(AND(E548&lt;&gt;"",E548&lt;&gt;"!!!"),"NEW","")))</f>
        <v> </v>
      </c>
      <c r="G548" s="17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18" t="str">
        <f>IF(J548&lt;&gt;1,"",IF(I548="SBJ","CB","?"))</f>
        <v> </v>
      </c>
      <c r="I548" s="19" t="str">
        <f>IF(OR(E548="",E548="!!!",F548="NEW"),"",INDEX(B547:B$2,-1+SUMPRODUCT(MAX(ROW(E547:E$2)*(E548=E547:E$2)))))</f>
        <v> </v>
      </c>
      <c r="J548" s="19" t="str">
        <f>IF(OR(E548="",E548="!!!",F548="NEW"),"",COUNTBLANK(OFFSET(A$1,,,SUMPRODUCT(MAX(ROW(E$2:E548)*(E548=E$2:E548)))))-COUNTBLANK(OFFSET(A$1,,,SUMPRODUCT(MAX(ROW(E$1:E547)*(E2=E$1:E547))))))</f>
        <v> </v>
      </c>
      <c r="K548" s="19" t="str">
        <f>IF(OR(E548="",E548="!!!",F548="NEW"),"",INDEX(J$1:J547,SUMPRODUCT(MAX(ROW(E$1:E547)*(E548=E$1:E547)))))</f>
        <v> </v>
      </c>
      <c r="L548" s="20"/>
    </row>
    <row r="549" spans="1:12">
      <c r="A549" s="13" t="s">
        <v>119</v>
      </c>
      <c r="E549" s="15">
        <f>IF(D549="?OLD","!!!","")</f>
        <v/>
      </c>
      <c r="F549" s="16" t="str">
        <f>IF(OR(E549="",E549="!!!"),"",IF(NOT(ISNA(VLOOKUP(E549,E$1:E548,1,FALSE()))),"OLD",IF(AND(E549&lt;&gt;"",E549&lt;&gt;"!!!"),"NEW","")))</f>
        <v> </v>
      </c>
      <c r="G549" s="17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18" t="str">
        <f>IF(J549&lt;&gt;1,"",IF(I549="SBJ","CB","?"))</f>
        <v> </v>
      </c>
      <c r="I549" s="19" t="str">
        <f>IF(OR(E549="",E549="!!!",F549="NEW"),"",INDEX(B548:B$2,-1+SUMPRODUCT(MAX(ROW(E548:E$2)*(E549=E548:E$2)))))</f>
        <v> </v>
      </c>
      <c r="J549" s="19" t="str">
        <f>IF(OR(E549="",E549="!!!",F549="NEW"),"",COUNTBLANK(OFFSET(A$1,,,SUMPRODUCT(MAX(ROW(E$2:E549)*(E549=E$2:E549)))))-COUNTBLANK(OFFSET(A$1,,,SUMPRODUCT(MAX(ROW(E$1:E548)*(E2=E$1:E548))))))</f>
        <v> </v>
      </c>
      <c r="K549" s="19" t="str">
        <f>IF(OR(E549="",E549="!!!",F549="NEW"),"",INDEX(J$1:J548,SUMPRODUCT(MAX(ROW(E$1:E548)*(E549=E$1:E548)))))</f>
        <v> </v>
      </c>
      <c r="L549" s="20"/>
    </row>
    <row r="550" spans="1:12">
      <c r="A550" s="13"/>
    </row>
    <row r="551" spans="1:12">
      <c r="A551" s="13" t="s">
        <v>297</v>
      </c>
    </row>
    <row r="552" spans="1:12">
      <c r="A552" s="13" t="s">
        <v>70</v>
      </c>
      <c r="E552" s="15">
        <f>IF(D552="?OLD","!!!","")</f>
        <v/>
      </c>
      <c r="F552" s="16" t="str">
        <f>IF(OR(E552="",E552="!!!"),"",IF(NOT(ISNA(VLOOKUP(E552,E$1:E551,1,FALSE()))),"OLD",IF(AND(E552&lt;&gt;"",E552&lt;&gt;"!!!"),"NEW","")))</f>
        <v> </v>
      </c>
      <c r="G552" s="17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18" t="str">
        <f>IF(J552&lt;&gt;1,"",IF(I552="SBJ","CB","?"))</f>
        <v> </v>
      </c>
      <c r="I552" s="19" t="str">
        <f>IF(OR(E552="",E552="!!!",F552="NEW"),"",INDEX(B551:B$2,-1+SUMPRODUCT(MAX(ROW(E551:E$2)*(E552=E551:E$2)))))</f>
        <v> </v>
      </c>
      <c r="J552" s="19" t="str">
        <f>IF(OR(E552="",E552="!!!",F552="NEW"),"",COUNTBLANK(OFFSET(A$1,,,SUMPRODUCT(MAX(ROW(E$2:E552)*(E552=E$2:E552)))))-COUNTBLANK(OFFSET(A$1,,,SUMPRODUCT(MAX(ROW(E$1:E551)*(E2=E$1:E551))))))</f>
        <v> </v>
      </c>
      <c r="K552" s="19" t="str">
        <f>IF(OR(E552="",E552="!!!",F552="NEW"),"",INDEX(J$1:J551,SUMPRODUCT(MAX(ROW(E$1:E551)*(E552=E$1:E551)))))</f>
        <v> </v>
      </c>
      <c r="L552" s="20"/>
    </row>
    <row r="553" spans="1:12">
      <c r="A553" s="13" t="s">
        <v>82</v>
      </c>
      <c r="E553" s="15">
        <f>IF(D553="?OLD","!!!","")</f>
        <v/>
      </c>
      <c r="F553" s="16" t="str">
        <f>IF(OR(E553="",E553="!!!"),"",IF(NOT(ISNA(VLOOKUP(E553,E$1:E552,1,FALSE()))),"OLD",IF(AND(E553&lt;&gt;"",E553&lt;&gt;"!!!"),"NEW","")))</f>
        <v> </v>
      </c>
      <c r="G553" s="17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18" t="str">
        <f>IF(J553&lt;&gt;1,"",IF(I553="SBJ","CB","?"))</f>
        <v> </v>
      </c>
      <c r="I553" s="19" t="str">
        <f>IF(OR(E553="",E553="!!!",F553="NEW"),"",INDEX(B552:B$2,-1+SUMPRODUCT(MAX(ROW(E552:E$2)*(E553=E552:E$2)))))</f>
        <v> </v>
      </c>
      <c r="J553" s="19" t="str">
        <f>IF(OR(E553="",E553="!!!",F553="NEW"),"",COUNTBLANK(OFFSET(A$1,,,SUMPRODUCT(MAX(ROW(E$2:E553)*(E553=E$2:E553)))))-COUNTBLANK(OFFSET(A$1,,,SUMPRODUCT(MAX(ROW(E$1:E552)*(E2=E$1:E552))))))</f>
        <v> </v>
      </c>
      <c r="K553" s="19" t="str">
        <f>IF(OR(E553="",E553="!!!",F553="NEW"),"",INDEX(J$1:J552,SUMPRODUCT(MAX(ROW(E$1:E552)*(E553=E$1:E552)))))</f>
        <v> </v>
      </c>
      <c r="L553" s="20"/>
    </row>
    <row r="554" spans="1:12">
      <c r="A554" s="13" t="s">
        <v>77</v>
      </c>
      <c r="B554" s="14" t="s">
        <v>23</v>
      </c>
      <c r="C554" s="14" t="s">
        <v>60</v>
      </c>
      <c r="D554" s="14" t="s">
        <v>25</v>
      </c>
      <c r="E554" s="15">
        <f>IF(D554="?OLD","!!!","")</f>
        <v/>
      </c>
      <c r="F554" s="16" t="str">
        <f>IF(OR(E554="",E554="!!!"),"",IF(NOT(ISNA(VLOOKUP(E554,E$1:E553,1,FALSE()))),"OLD",IF(AND(E554&lt;&gt;"",E554&lt;&gt;"!!!"),"NEW","")))</f>
        <v> </v>
      </c>
      <c r="G554" s="17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18" t="str">
        <f>IF(J554&lt;&gt;1,"",IF(I554="SBJ","CB","?"))</f>
        <v> </v>
      </c>
      <c r="I554" s="19" t="str">
        <f>IF(OR(E554="",E554="!!!",F554="NEW"),"",INDEX(B553:B$2,-1+SUMPRODUCT(MAX(ROW(E553:E$2)*(E554=E553:E$2)))))</f>
        <v> </v>
      </c>
      <c r="J554" s="19" t="str">
        <f>IF(OR(E554="",E554="!!!",F554="NEW"),"",COUNTBLANK(OFFSET(A$1,,,SUMPRODUCT(MAX(ROW(E$2:E554)*(E554=E$2:E554)))))-COUNTBLANK(OFFSET(A$1,,,SUMPRODUCT(MAX(ROW(E$1:E553)*(E2=E$1:E553))))))</f>
        <v> </v>
      </c>
      <c r="K554" s="19" t="str">
        <f>IF(OR(E554="",E554="!!!",F554="NEW"),"",INDEX(J$1:J553,SUMPRODUCT(MAX(ROW(E$1:E553)*(E554=E$1:E553)))))</f>
        <v> </v>
      </c>
      <c r="L554" s="20"/>
    </row>
    <row r="555" spans="1:12">
      <c r="A555" s="13" t="s">
        <v>56</v>
      </c>
      <c r="E555" s="15">
        <f>IF(D555="?OLD","!!!","")</f>
        <v/>
      </c>
      <c r="F555" s="16" t="str">
        <f>IF(OR(E555="",E555="!!!"),"",IF(NOT(ISNA(VLOOKUP(E555,E$1:E554,1,FALSE()))),"OLD",IF(AND(E555&lt;&gt;"",E555&lt;&gt;"!!!"),"NEW","")))</f>
        <v> </v>
      </c>
      <c r="G555" s="17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18" t="str">
        <f>IF(J555&lt;&gt;1,"",IF(I555="SBJ","CB","?"))</f>
        <v> </v>
      </c>
      <c r="I555" s="19" t="str">
        <f>IF(OR(E555="",E555="!!!",F555="NEW"),"",INDEX(B554:B$2,-1+SUMPRODUCT(MAX(ROW(E554:E$2)*(E555=E554:E$2)))))</f>
        <v> </v>
      </c>
      <c r="J555" s="19" t="str">
        <f>IF(OR(E555="",E555="!!!",F555="NEW"),"",COUNTBLANK(OFFSET(A$1,,,SUMPRODUCT(MAX(ROW(E$2:E555)*(E555=E$2:E555)))))-COUNTBLANK(OFFSET(A$1,,,SUMPRODUCT(MAX(ROW(E$1:E554)*(E2=E$1:E554))))))</f>
        <v> </v>
      </c>
      <c r="K555" s="19" t="str">
        <f>IF(OR(E555="",E555="!!!",F555="NEW"),"",INDEX(J$1:J554,SUMPRODUCT(MAX(ROW(E$1:E554)*(E555=E$1:E554)))))</f>
        <v> </v>
      </c>
      <c r="L555" s="20"/>
    </row>
    <row r="556" spans="1:12">
      <c r="A556" s="13" t="s">
        <v>61</v>
      </c>
      <c r="B556" s="14" t="s">
        <v>165</v>
      </c>
      <c r="E556" s="15">
        <f>IF(D556="?OLD","!!!","")</f>
        <v/>
      </c>
      <c r="F556" s="16" t="str">
        <f>IF(OR(E556="",E556="!!!"),"",IF(NOT(ISNA(VLOOKUP(E556,E$1:E555,1,FALSE()))),"OLD",IF(AND(E556&lt;&gt;"",E556&lt;&gt;"!!!"),"NEW","")))</f>
        <v> </v>
      </c>
      <c r="G556" s="17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18" t="str">
        <f>IF(J556&lt;&gt;1,"",IF(I556="SBJ","CB","?"))</f>
        <v> </v>
      </c>
      <c r="I556" s="19" t="str">
        <f>IF(OR(E556="",E556="!!!",F556="NEW"),"",INDEX(B555:B$2,-1+SUMPRODUCT(MAX(ROW(E555:E$2)*(E556=E555:E$2)))))</f>
        <v> </v>
      </c>
      <c r="J556" s="19" t="str">
        <f>IF(OR(E556="",E556="!!!",F556="NEW"),"",COUNTBLANK(OFFSET(A$1,,,SUMPRODUCT(MAX(ROW(E$2:E556)*(E556=E$2:E556)))))-COUNTBLANK(OFFSET(A$1,,,SUMPRODUCT(MAX(ROW(E$1:E555)*(E2=E$1:E555))))))</f>
        <v> </v>
      </c>
      <c r="K556" s="19" t="str">
        <f>IF(OR(E556="",E556="!!!",F556="NEW"),"",INDEX(J$1:J555,SUMPRODUCT(MAX(ROW(E$1:E555)*(E556=E$1:E555)))))</f>
        <v> </v>
      </c>
      <c r="L556" s="20"/>
    </row>
    <row r="557" spans="1:12">
      <c r="A557" s="13" t="s">
        <v>48</v>
      </c>
      <c r="E557" s="15">
        <f>IF(D557="?OLD","!!!","")</f>
        <v/>
      </c>
      <c r="F557" s="16" t="str">
        <f>IF(OR(E557="",E557="!!!"),"",IF(NOT(ISNA(VLOOKUP(E557,E$1:E556,1,FALSE()))),"OLD",IF(AND(E557&lt;&gt;"",E557&lt;&gt;"!!!"),"NEW","")))</f>
        <v> </v>
      </c>
      <c r="G557" s="17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18" t="str">
        <f>IF(J557&lt;&gt;1,"",IF(I557="SBJ","CB","?"))</f>
        <v> </v>
      </c>
      <c r="I557" s="19" t="str">
        <f>IF(OR(E557="",E557="!!!",F557="NEW"),"",INDEX(B556:B$2,-1+SUMPRODUCT(MAX(ROW(E556:E$2)*(E557=E556:E$2)))))</f>
        <v> </v>
      </c>
      <c r="J557" s="19" t="str">
        <f>IF(OR(E557="",E557="!!!",F557="NEW"),"",COUNTBLANK(OFFSET(A$1,,,SUMPRODUCT(MAX(ROW(E$2:E557)*(E557=E$2:E557)))))-COUNTBLANK(OFFSET(A$1,,,SUMPRODUCT(MAX(ROW(E$1:E556)*(E2=E$1:E556))))))</f>
        <v> </v>
      </c>
      <c r="K557" s="19" t="str">
        <f>IF(OR(E557="",E557="!!!",F557="NEW"),"",INDEX(J$1:J556,SUMPRODUCT(MAX(ROW(E$1:E556)*(E557=E$1:E556)))))</f>
        <v> </v>
      </c>
      <c r="L557" s="20"/>
    </row>
    <row r="558" spans="1:12">
      <c r="A558" s="13" t="s">
        <v>102</v>
      </c>
      <c r="E558" s="15">
        <f>IF(D558="?OLD","!!!","")</f>
        <v/>
      </c>
      <c r="F558" s="16" t="str">
        <f>IF(OR(E558="",E558="!!!"),"",IF(NOT(ISNA(VLOOKUP(E558,E$1:E557,1,FALSE()))),"OLD",IF(AND(E558&lt;&gt;"",E558&lt;&gt;"!!!"),"NEW","")))</f>
        <v> </v>
      </c>
      <c r="G558" s="17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18" t="str">
        <f>IF(J558&lt;&gt;1,"",IF(I558="SBJ","CB","?"))</f>
        <v> </v>
      </c>
      <c r="I558" s="19" t="str">
        <f>IF(OR(E558="",E558="!!!",F558="NEW"),"",INDEX(B557:B$2,-1+SUMPRODUCT(MAX(ROW(E557:E$2)*(E558=E557:E$2)))))</f>
        <v> </v>
      </c>
      <c r="J558" s="19" t="str">
        <f>IF(OR(E558="",E558="!!!",F558="NEW"),"",COUNTBLANK(OFFSET(A$1,,,SUMPRODUCT(MAX(ROW(E$2:E558)*(E558=E$2:E558)))))-COUNTBLANK(OFFSET(A$1,,,SUMPRODUCT(MAX(ROW(E$1:E557)*(E2=E$1:E557))))))</f>
        <v> </v>
      </c>
      <c r="K558" s="19" t="str">
        <f>IF(OR(E558="",E558="!!!",F558="NEW"),"",INDEX(J$1:J557,SUMPRODUCT(MAX(ROW(E$1:E557)*(E558=E$1:E557)))))</f>
        <v> </v>
      </c>
      <c r="L558" s="20"/>
    </row>
    <row r="559" spans="1:12">
      <c r="A559" s="13" t="s">
        <v>298</v>
      </c>
      <c r="B559" s="14" t="s">
        <v>27</v>
      </c>
      <c r="C559" s="14" t="s">
        <v>34</v>
      </c>
      <c r="E559" s="15">
        <f>IF(D559="?OLD","!!!","")</f>
        <v/>
      </c>
      <c r="F559" s="16" t="str">
        <f>IF(OR(E559="",E559="!!!"),"",IF(NOT(ISNA(VLOOKUP(E559,E$1:E558,1,FALSE()))),"OLD",IF(AND(E559&lt;&gt;"",E559&lt;&gt;"!!!"),"NEW","")))</f>
        <v> </v>
      </c>
      <c r="G559" s="17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18" t="str">
        <f>IF(J559&lt;&gt;1,"",IF(I559="SBJ","CB","?"))</f>
        <v> </v>
      </c>
      <c r="I559" s="19" t="str">
        <f>IF(OR(E559="",E559="!!!",F559="NEW"),"",INDEX(B558:B$2,-1+SUMPRODUCT(MAX(ROW(E558:E$2)*(E559=E558:E$2)))))</f>
        <v> </v>
      </c>
      <c r="J559" s="19" t="str">
        <f>IF(OR(E559="",E559="!!!",F559="NEW"),"",COUNTBLANK(OFFSET(A$1,,,SUMPRODUCT(MAX(ROW(E$2:E559)*(E559=E$2:E559)))))-COUNTBLANK(OFFSET(A$1,,,SUMPRODUCT(MAX(ROW(E$1:E558)*(E2=E$1:E558))))))</f>
        <v> </v>
      </c>
      <c r="K559" s="19" t="str">
        <f>IF(OR(E559="",E559="!!!",F559="NEW"),"",INDEX(J$1:J558,SUMPRODUCT(MAX(ROW(E$1:E558)*(E559=E$1:E558)))))</f>
        <v> </v>
      </c>
      <c r="L559" s="20"/>
    </row>
    <row r="560" spans="1:12">
      <c r="A560" s="13" t="s">
        <v>127</v>
      </c>
      <c r="E560" s="15">
        <f>IF(D560="?OLD","!!!","")</f>
        <v/>
      </c>
      <c r="F560" s="16" t="str">
        <f>IF(OR(E560="",E560="!!!"),"",IF(NOT(ISNA(VLOOKUP(E560,E$1:E559,1,FALSE()))),"OLD",IF(AND(E560&lt;&gt;"",E560&lt;&gt;"!!!"),"NEW","")))</f>
        <v> </v>
      </c>
      <c r="G560" s="17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18" t="str">
        <f>IF(J560&lt;&gt;1,"",IF(I560="SBJ","CB","?"))</f>
        <v> </v>
      </c>
      <c r="I560" s="19" t="str">
        <f>IF(OR(E560="",E560="!!!",F560="NEW"),"",INDEX(B559:B$2,-1+SUMPRODUCT(MAX(ROW(E559:E$2)*(E560=E559:E$2)))))</f>
        <v> </v>
      </c>
      <c r="J560" s="19" t="str">
        <f>IF(OR(E560="",E560="!!!",F560="NEW"),"",COUNTBLANK(OFFSET(A$1,,,SUMPRODUCT(MAX(ROW(E$2:E560)*(E560=E$2:E560)))))-COUNTBLANK(OFFSET(A$1,,,SUMPRODUCT(MAX(ROW(E$1:E559)*(E2=E$1:E559))))))</f>
        <v> </v>
      </c>
      <c r="K560" s="19" t="str">
        <f>IF(OR(E560="",E560="!!!",F560="NEW"),"",INDEX(J$1:J559,SUMPRODUCT(MAX(ROW(E$1:E559)*(E560=E$1:E559)))))</f>
        <v> </v>
      </c>
      <c r="L560" s="20"/>
    </row>
    <row r="561" spans="1:12">
      <c r="A561" s="13" t="s">
        <v>174</v>
      </c>
      <c r="E561" s="15">
        <f>IF(D561="?OLD","!!!","")</f>
        <v/>
      </c>
      <c r="F561" s="16" t="str">
        <f>IF(OR(E561="",E561="!!!"),"",IF(NOT(ISNA(VLOOKUP(E561,E$1:E560,1,FALSE()))),"OLD",IF(AND(E561&lt;&gt;"",E561&lt;&gt;"!!!"),"NEW","")))</f>
        <v> </v>
      </c>
      <c r="G561" s="17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18" t="str">
        <f>IF(J561&lt;&gt;1,"",IF(I561="SBJ","CB","?"))</f>
        <v> </v>
      </c>
      <c r="I561" s="19" t="str">
        <f>IF(OR(E561="",E561="!!!",F561="NEW"),"",INDEX(B560:B$2,-1+SUMPRODUCT(MAX(ROW(E560:E$2)*(E561=E560:E$2)))))</f>
        <v> </v>
      </c>
      <c r="J561" s="19" t="str">
        <f>IF(OR(E561="",E561="!!!",F561="NEW"),"",COUNTBLANK(OFFSET(A$1,,,SUMPRODUCT(MAX(ROW(E$2:E561)*(E561=E$2:E561)))))-COUNTBLANK(OFFSET(A$1,,,SUMPRODUCT(MAX(ROW(E$1:E560)*(E2=E$1:E560))))))</f>
        <v> </v>
      </c>
      <c r="K561" s="19" t="str">
        <f>IF(OR(E561="",E561="!!!",F561="NEW"),"",INDEX(J$1:J560,SUMPRODUCT(MAX(ROW(E$1:E560)*(E561=E$1:E560)))))</f>
        <v> </v>
      </c>
      <c r="L561" s="20"/>
    </row>
    <row r="562" spans="1:12">
      <c r="A562" s="13" t="s">
        <v>62</v>
      </c>
      <c r="E562" s="15">
        <f>IF(D562="?OLD","!!!","")</f>
        <v/>
      </c>
      <c r="F562" s="16" t="str">
        <f>IF(OR(E562="",E562="!!!"),"",IF(NOT(ISNA(VLOOKUP(E562,E$1:E561,1,FALSE()))),"OLD",IF(AND(E562&lt;&gt;"",E562&lt;&gt;"!!!"),"NEW","")))</f>
        <v> </v>
      </c>
      <c r="G562" s="17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18" t="str">
        <f>IF(J562&lt;&gt;1,"",IF(I562="SBJ","CB","?"))</f>
        <v> </v>
      </c>
      <c r="I562" s="19" t="str">
        <f>IF(OR(E562="",E562="!!!",F562="NEW"),"",INDEX(B561:B$2,-1+SUMPRODUCT(MAX(ROW(E561:E$2)*(E562=E561:E$2)))))</f>
        <v> </v>
      </c>
      <c r="J562" s="19" t="str">
        <f>IF(OR(E562="",E562="!!!",F562="NEW"),"",COUNTBLANK(OFFSET(A$1,,,SUMPRODUCT(MAX(ROW(E$2:E562)*(E562=E$2:E562)))))-COUNTBLANK(OFFSET(A$1,,,SUMPRODUCT(MAX(ROW(E$1:E561)*(E2=E$1:E561))))))</f>
        <v> </v>
      </c>
      <c r="K562" s="19" t="str">
        <f>IF(OR(E562="",E562="!!!",F562="NEW"),"",INDEX(J$1:J561,SUMPRODUCT(MAX(ROW(E$1:E561)*(E562=E$1:E561)))))</f>
        <v> </v>
      </c>
      <c r="L562" s="20"/>
    </row>
    <row r="563" spans="1:12">
      <c r="A563" s="13" t="s">
        <v>299</v>
      </c>
      <c r="E563" s="15">
        <f>IF(D563="?OLD","!!!","")</f>
        <v/>
      </c>
      <c r="F563" s="16" t="str">
        <f>IF(OR(E563="",E563="!!!"),"",IF(NOT(ISNA(VLOOKUP(E563,E$1:E562,1,FALSE()))),"OLD",IF(AND(E563&lt;&gt;"",E563&lt;&gt;"!!!"),"NEW","")))</f>
        <v> </v>
      </c>
      <c r="G563" s="17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18" t="str">
        <f>IF(J563&lt;&gt;1,"",IF(I563="SBJ","CB","?"))</f>
        <v> </v>
      </c>
      <c r="I563" s="19" t="str">
        <f>IF(OR(E563="",E563="!!!",F563="NEW"),"",INDEX(B562:B$2,-1+SUMPRODUCT(MAX(ROW(E562:E$2)*(E563=E562:E$2)))))</f>
        <v> </v>
      </c>
      <c r="J563" s="19" t="str">
        <f>IF(OR(E563="",E563="!!!",F563="NEW"),"",COUNTBLANK(OFFSET(A$1,,,SUMPRODUCT(MAX(ROW(E$2:E563)*(E563=E$2:E563)))))-COUNTBLANK(OFFSET(A$1,,,SUMPRODUCT(MAX(ROW(E$1:E562)*(E2=E$1:E562))))))</f>
        <v> </v>
      </c>
      <c r="K563" s="19" t="str">
        <f>IF(OR(E563="",E563="!!!",F563="NEW"),"",INDEX(J$1:J562,SUMPRODUCT(MAX(ROW(E$1:E562)*(E563=E$1:E562)))))</f>
        <v> </v>
      </c>
      <c r="L563" s="20"/>
    </row>
    <row r="564" spans="1:12">
      <c r="A564" s="13" t="s">
        <v>300</v>
      </c>
      <c r="E564" s="15">
        <f>IF(D564="?OLD","!!!","")</f>
        <v/>
      </c>
      <c r="F564" s="16" t="str">
        <f>IF(OR(E564="",E564="!!!"),"",IF(NOT(ISNA(VLOOKUP(E564,E$1:E563,1,FALSE()))),"OLD",IF(AND(E564&lt;&gt;"",E564&lt;&gt;"!!!"),"NEW","")))</f>
        <v> </v>
      </c>
      <c r="G564" s="17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18" t="str">
        <f>IF(J564&lt;&gt;1,"",IF(I564="SBJ","CB","?"))</f>
        <v> </v>
      </c>
      <c r="I564" s="19" t="str">
        <f>IF(OR(E564="",E564="!!!",F564="NEW"),"",INDEX(B563:B$2,-1+SUMPRODUCT(MAX(ROW(E563:E$2)*(E564=E563:E$2)))))</f>
        <v> </v>
      </c>
      <c r="J564" s="19" t="str">
        <f>IF(OR(E564="",E564="!!!",F564="NEW"),"",COUNTBLANK(OFFSET(A$1,,,SUMPRODUCT(MAX(ROW(E$2:E564)*(E564=E$2:E564)))))-COUNTBLANK(OFFSET(A$1,,,SUMPRODUCT(MAX(ROW(E$1:E563)*(E2=E$1:E563))))))</f>
        <v> </v>
      </c>
      <c r="K564" s="19" t="str">
        <f>IF(OR(E564="",E564="!!!",F564="NEW"),"",INDEX(J$1:J563,SUMPRODUCT(MAX(ROW(E$1:E563)*(E564=E$1:E563)))))</f>
        <v> </v>
      </c>
      <c r="L564" s="20"/>
    </row>
    <row r="565" spans="1:12">
      <c r="A565" s="13" t="s">
        <v>101</v>
      </c>
      <c r="E565" s="15">
        <f>IF(D565="?OLD","!!!","")</f>
        <v/>
      </c>
      <c r="F565" s="16" t="str">
        <f>IF(OR(E565="",E565="!!!"),"",IF(NOT(ISNA(VLOOKUP(E565,E$1:E564,1,FALSE()))),"OLD",IF(AND(E565&lt;&gt;"",E565&lt;&gt;"!!!"),"NEW","")))</f>
        <v> </v>
      </c>
      <c r="G565" s="17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18" t="str">
        <f>IF(J565&lt;&gt;1,"",IF(I565="SBJ","CB","?"))</f>
        <v> </v>
      </c>
      <c r="I565" s="19" t="str">
        <f>IF(OR(E565="",E565="!!!",F565="NEW"),"",INDEX(B564:B$2,-1+SUMPRODUCT(MAX(ROW(E564:E$2)*(E565=E564:E$2)))))</f>
        <v> </v>
      </c>
      <c r="J565" s="19" t="str">
        <f>IF(OR(E565="",E565="!!!",F565="NEW"),"",COUNTBLANK(OFFSET(A$1,,,SUMPRODUCT(MAX(ROW(E$2:E565)*(E565=E$2:E565)))))-COUNTBLANK(OFFSET(A$1,,,SUMPRODUCT(MAX(ROW(E$1:E564)*(E2=E$1:E564))))))</f>
        <v> </v>
      </c>
      <c r="K565" s="19" t="str">
        <f>IF(OR(E565="",E565="!!!",F565="NEW"),"",INDEX(J$1:J564,SUMPRODUCT(MAX(ROW(E$1:E564)*(E565=E$1:E564)))))</f>
        <v> </v>
      </c>
      <c r="L565" s="20"/>
    </row>
    <row r="566" spans="1:12">
      <c r="A566" s="13" t="s">
        <v>56</v>
      </c>
      <c r="E566" s="15">
        <f>IF(D566="?OLD","!!!","")</f>
        <v/>
      </c>
      <c r="F566" s="16" t="str">
        <f>IF(OR(E566="",E566="!!!"),"",IF(NOT(ISNA(VLOOKUP(E566,E$1:E565,1,FALSE()))),"OLD",IF(AND(E566&lt;&gt;"",E566&lt;&gt;"!!!"),"NEW","")))</f>
        <v> </v>
      </c>
      <c r="G566" s="17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18" t="str">
        <f>IF(J566&lt;&gt;1,"",IF(I566="SBJ","CB","?"))</f>
        <v> </v>
      </c>
      <c r="I566" s="19" t="str">
        <f>IF(OR(E566="",E566="!!!",F566="NEW"),"",INDEX(B565:B$2,-1+SUMPRODUCT(MAX(ROW(E565:E$2)*(E566=E565:E$2)))))</f>
        <v> </v>
      </c>
      <c r="J566" s="19" t="str">
        <f>IF(OR(E566="",E566="!!!",F566="NEW"),"",COUNTBLANK(OFFSET(A$1,,,SUMPRODUCT(MAX(ROW(E$2:E566)*(E566=E$2:E566)))))-COUNTBLANK(OFFSET(A$1,,,SUMPRODUCT(MAX(ROW(E$1:E565)*(E2=E$1:E565))))))</f>
        <v> </v>
      </c>
      <c r="K566" s="19" t="str">
        <f>IF(OR(E566="",E566="!!!",F566="NEW"),"",INDEX(J$1:J565,SUMPRODUCT(MAX(ROW(E$1:E565)*(E566=E$1:E565)))))</f>
        <v> </v>
      </c>
      <c r="L566" s="20"/>
    </row>
    <row r="567" spans="1:12">
      <c r="A567" s="13" t="s">
        <v>204</v>
      </c>
      <c r="B567" s="14" t="s">
        <v>88</v>
      </c>
      <c r="C567" s="14" t="s">
        <v>64</v>
      </c>
      <c r="D567" s="14" t="s">
        <v>25</v>
      </c>
      <c r="E567" s="15">
        <f>IF(D567="?OLD","!!!","")</f>
        <v/>
      </c>
      <c r="F567" s="16" t="str">
        <f>IF(OR(E567="",E567="!!!"),"",IF(NOT(ISNA(VLOOKUP(E567,E$1:E566,1,FALSE()))),"OLD",IF(AND(E567&lt;&gt;"",E567&lt;&gt;"!!!"),"NEW","")))</f>
        <v> </v>
      </c>
      <c r="G567" s="17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18" t="str">
        <f>IF(J567&lt;&gt;1,"",IF(I567="SBJ","CB","?"))</f>
        <v> </v>
      </c>
      <c r="I567" s="19" t="str">
        <f>IF(OR(E567="",E567="!!!",F567="NEW"),"",INDEX(B566:B$2,-1+SUMPRODUCT(MAX(ROW(E566:E$2)*(E567=E566:E$2)))))</f>
        <v> </v>
      </c>
      <c r="J567" s="19" t="str">
        <f>IF(OR(E567="",E567="!!!",F567="NEW"),"",COUNTBLANK(OFFSET(A$1,,,SUMPRODUCT(MAX(ROW(E$2:E567)*(E567=E$2:E567)))))-COUNTBLANK(OFFSET(A$1,,,SUMPRODUCT(MAX(ROW(E$1:E566)*(E2=E$1:E566))))))</f>
        <v> </v>
      </c>
      <c r="K567" s="19" t="str">
        <f>IF(OR(E567="",E567="!!!",F567="NEW"),"",INDEX(J$1:J566,SUMPRODUCT(MAX(ROW(E$1:E566)*(E567=E$1:E566)))))</f>
        <v> </v>
      </c>
      <c r="L567" s="20"/>
    </row>
    <row r="568" spans="1:12">
      <c r="A568" s="13" t="s">
        <v>301</v>
      </c>
      <c r="E568" s="15">
        <f>IF(D568="?OLD","!!!","")</f>
        <v/>
      </c>
      <c r="F568" s="16" t="str">
        <f>IF(OR(E568="",E568="!!!"),"",IF(NOT(ISNA(VLOOKUP(E568,E$1:E567,1,FALSE()))),"OLD",IF(AND(E568&lt;&gt;"",E568&lt;&gt;"!!!"),"NEW","")))</f>
        <v> </v>
      </c>
      <c r="G568" s="17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18" t="str">
        <f>IF(J568&lt;&gt;1,"",IF(I568="SBJ","CB","?"))</f>
        <v> </v>
      </c>
      <c r="I568" s="19" t="str">
        <f>IF(OR(E568="",E568="!!!",F568="NEW"),"",INDEX(B567:B$2,-1+SUMPRODUCT(MAX(ROW(E567:E$2)*(E568=E567:E$2)))))</f>
        <v> </v>
      </c>
      <c r="J568" s="19" t="str">
        <f>IF(OR(E568="",E568="!!!",F568="NEW"),"",COUNTBLANK(OFFSET(A$1,,,SUMPRODUCT(MAX(ROW(E$2:E568)*(E568=E$2:E568)))))-COUNTBLANK(OFFSET(A$1,,,SUMPRODUCT(MAX(ROW(E$1:E567)*(E2=E$1:E567))))))</f>
        <v> </v>
      </c>
      <c r="K568" s="19" t="str">
        <f>IF(OR(E568="",E568="!!!",F568="NEW"),"",INDEX(J$1:J567,SUMPRODUCT(MAX(ROW(E$1:E567)*(E568=E$1:E567)))))</f>
        <v> </v>
      </c>
      <c r="L568" s="20"/>
    </row>
    <row r="569" spans="1:12">
      <c r="A569" s="13" t="s">
        <v>116</v>
      </c>
      <c r="E569" s="15">
        <f>IF(D569="?OLD","!!!","")</f>
        <v/>
      </c>
      <c r="F569" s="16" t="str">
        <f>IF(OR(E569="",E569="!!!"),"",IF(NOT(ISNA(VLOOKUP(E569,E$1:E568,1,FALSE()))),"OLD",IF(AND(E569&lt;&gt;"",E569&lt;&gt;"!!!"),"NEW","")))</f>
        <v> </v>
      </c>
      <c r="G569" s="17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18" t="str">
        <f>IF(J569&lt;&gt;1,"",IF(I569="SBJ","CB","?"))</f>
        <v> </v>
      </c>
      <c r="I569" s="19" t="str">
        <f>IF(OR(E569="",E569="!!!",F569="NEW"),"",INDEX(B568:B$2,-1+SUMPRODUCT(MAX(ROW(E568:E$2)*(E569=E568:E$2)))))</f>
        <v> </v>
      </c>
      <c r="J569" s="19" t="str">
        <f>IF(OR(E569="",E569="!!!",F569="NEW"),"",COUNTBLANK(OFFSET(A$1,,,SUMPRODUCT(MAX(ROW(E$2:E569)*(E569=E$2:E569)))))-COUNTBLANK(OFFSET(A$1,,,SUMPRODUCT(MAX(ROW(E$1:E568)*(E2=E$1:E568))))))</f>
        <v> </v>
      </c>
      <c r="K569" s="19" t="str">
        <f>IF(OR(E569="",E569="!!!",F569="NEW"),"",INDEX(J$1:J568,SUMPRODUCT(MAX(ROW(E$1:E568)*(E569=E$1:E568)))))</f>
        <v> </v>
      </c>
      <c r="L569" s="20"/>
    </row>
    <row r="570" spans="1:12">
      <c r="A570" s="13"/>
    </row>
    <row r="571" spans="1:12">
      <c r="A571" s="13" t="s">
        <v>117</v>
      </c>
      <c r="E571" s="15">
        <f>IF(D571="?OLD","!!!","")</f>
        <v/>
      </c>
      <c r="F571" s="16" t="str">
        <f>IF(OR(E571="",E571="!!!"),"",IF(NOT(ISNA(VLOOKUP(E571,E$1:E570,1,FALSE()))),"OLD",IF(AND(E571&lt;&gt;"",E571&lt;&gt;"!!!"),"NEW","")))</f>
        <v> </v>
      </c>
      <c r="G571" s="17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18" t="str">
        <f>IF(J571&lt;&gt;1,"",IF(I571="SBJ","CB","?"))</f>
        <v> </v>
      </c>
      <c r="I571" s="19" t="str">
        <f>IF(OR(E571="",E571="!!!",F571="NEW"),"",INDEX(B570:B$2,-1+SUMPRODUCT(MAX(ROW(E570:E$2)*(E571=E570:E$2)))))</f>
        <v> </v>
      </c>
      <c r="J571" s="19" t="str">
        <f>IF(OR(E571="",E571="!!!",F571="NEW"),"",COUNTBLANK(OFFSET(A$1,,,SUMPRODUCT(MAX(ROW(E$2:E571)*(E571=E$2:E571)))))-COUNTBLANK(OFFSET(A$1,,,SUMPRODUCT(MAX(ROW(E$1:E570)*(E2=E$1:E570))))))</f>
        <v> </v>
      </c>
      <c r="K571" s="19" t="str">
        <f>IF(OR(E571="",E571="!!!",F571="NEW"),"",INDEX(J$1:J570,SUMPRODUCT(MAX(ROW(E$1:E570)*(E571=E$1:E570)))))</f>
        <v> </v>
      </c>
      <c r="L571" s="20"/>
    </row>
    <row r="572" spans="1:12">
      <c r="A572" s="13" t="s">
        <v>302</v>
      </c>
    </row>
    <row r="573" spans="1:12">
      <c r="A573" s="13" t="s">
        <v>119</v>
      </c>
      <c r="E573" s="15">
        <f>IF(D573="?OLD","!!!","")</f>
        <v/>
      </c>
      <c r="F573" s="16" t="str">
        <f>IF(OR(E573="",E573="!!!"),"",IF(NOT(ISNA(VLOOKUP(E573,E$1:E572,1,FALSE()))),"OLD",IF(AND(E573&lt;&gt;"",E573&lt;&gt;"!!!"),"NEW","")))</f>
        <v> </v>
      </c>
      <c r="G573" s="17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18" t="str">
        <f>IF(J573&lt;&gt;1,"",IF(I573="SBJ","CB","?"))</f>
        <v> </v>
      </c>
      <c r="I573" s="19" t="str">
        <f>IF(OR(E573="",E573="!!!",F573="NEW"),"",INDEX(B572:B$2,-1+SUMPRODUCT(MAX(ROW(E572:E$2)*(E573=E572:E$2)))))</f>
        <v> </v>
      </c>
      <c r="J573" s="19" t="str">
        <f>IF(OR(E573="",E573="!!!",F573="NEW"),"",COUNTBLANK(OFFSET(A$1,,,SUMPRODUCT(MAX(ROW(E$2:E573)*(E573=E$2:E573)))))-COUNTBLANK(OFFSET(A$1,,,SUMPRODUCT(MAX(ROW(E$1:E572)*(E2=E$1:E572))))))</f>
        <v> </v>
      </c>
      <c r="K573" s="19" t="str">
        <f>IF(OR(E573="",E573="!!!",F573="NEW"),"",INDEX(J$1:J572,SUMPRODUCT(MAX(ROW(E$1:E572)*(E573=E$1:E572)))))</f>
        <v> </v>
      </c>
      <c r="L573" s="20"/>
    </row>
    <row r="574" spans="1:12">
      <c r="A574" s="13" t="s">
        <v>303</v>
      </c>
      <c r="E574" s="15">
        <f>IF(D574="?OLD","!!!","")</f>
        <v/>
      </c>
      <c r="F574" s="16" t="str">
        <f>IF(OR(E574="",E574="!!!"),"",IF(NOT(ISNA(VLOOKUP(E574,E$1:E573,1,FALSE()))),"OLD",IF(AND(E574&lt;&gt;"",E574&lt;&gt;"!!!"),"NEW","")))</f>
        <v> </v>
      </c>
      <c r="G574" s="17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18" t="str">
        <f>IF(J574&lt;&gt;1,"",IF(I574="SBJ","CB","?"))</f>
        <v> </v>
      </c>
      <c r="I574" s="19" t="str">
        <f>IF(OR(E574="",E574="!!!",F574="NEW"),"",INDEX(B573:B$2,-1+SUMPRODUCT(MAX(ROW(E573:E$2)*(E574=E573:E$2)))))</f>
        <v> </v>
      </c>
      <c r="J574" s="19" t="str">
        <f>IF(OR(E574="",E574="!!!",F574="NEW"),"",COUNTBLANK(OFFSET(A$1,,,SUMPRODUCT(MAX(ROW(E$2:E574)*(E574=E$2:E574)))))-COUNTBLANK(OFFSET(A$1,,,SUMPRODUCT(MAX(ROW(E$1:E573)*(E2=E$1:E573))))))</f>
        <v> </v>
      </c>
      <c r="K574" s="19" t="str">
        <f>IF(OR(E574="",E574="!!!",F574="NEW"),"",INDEX(J$1:J573,SUMPRODUCT(MAX(ROW(E$1:E573)*(E574=E$1:E573)))))</f>
        <v> </v>
      </c>
      <c r="L574" s="20"/>
    </row>
    <row r="575" spans="1:12">
      <c r="A575" s="13" t="s">
        <v>57</v>
      </c>
      <c r="E575" s="15">
        <f>IF(D575="?OLD","!!!","")</f>
        <v/>
      </c>
      <c r="F575" s="16" t="str">
        <f>IF(OR(E575="",E575="!!!"),"",IF(NOT(ISNA(VLOOKUP(E575,E$1:E574,1,FALSE()))),"OLD",IF(AND(E575&lt;&gt;"",E575&lt;&gt;"!!!"),"NEW","")))</f>
        <v> </v>
      </c>
      <c r="G575" s="17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18" t="str">
        <f>IF(J575&lt;&gt;1,"",IF(I575="SBJ","CB","?"))</f>
        <v> </v>
      </c>
      <c r="I575" s="19" t="str">
        <f>IF(OR(E575="",E575="!!!",F575="NEW"),"",INDEX(B574:B$2,-1+SUMPRODUCT(MAX(ROW(E574:E$2)*(E575=E574:E$2)))))</f>
        <v> </v>
      </c>
      <c r="J575" s="19" t="str">
        <f>IF(OR(E575="",E575="!!!",F575="NEW"),"",COUNTBLANK(OFFSET(A$1,,,SUMPRODUCT(MAX(ROW(E$2:E575)*(E575=E$2:E575)))))-COUNTBLANK(OFFSET(A$1,,,SUMPRODUCT(MAX(ROW(E$1:E574)*(E2=E$1:E574))))))</f>
        <v> </v>
      </c>
      <c r="K575" s="19" t="str">
        <f>IF(OR(E575="",E575="!!!",F575="NEW"),"",INDEX(J$1:J574,SUMPRODUCT(MAX(ROW(E$1:E574)*(E575=E$1:E574)))))</f>
        <v> </v>
      </c>
      <c r="L575" s="20"/>
    </row>
    <row r="576" spans="1:12">
      <c r="A576" s="13" t="s">
        <v>304</v>
      </c>
      <c r="B576" s="14" t="s">
        <v>88</v>
      </c>
      <c r="C576" s="14" t="s">
        <v>60</v>
      </c>
      <c r="D576" s="14" t="s">
        <v>25</v>
      </c>
      <c r="E576" s="15">
        <f>IF(D576="?OLD","!!!","")</f>
        <v/>
      </c>
      <c r="F576" s="16" t="str">
        <f>IF(OR(E576="",E576="!!!"),"",IF(NOT(ISNA(VLOOKUP(E576,E$1:E575,1,FALSE()))),"OLD",IF(AND(E576&lt;&gt;"",E576&lt;&gt;"!!!"),"NEW","")))</f>
        <v> </v>
      </c>
      <c r="G576" s="17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18" t="str">
        <f>IF(J576&lt;&gt;1,"",IF(I576="SBJ","CB","?"))</f>
        <v> </v>
      </c>
      <c r="I576" s="19" t="str">
        <f>IF(OR(E576="",E576="!!!",F576="NEW"),"",INDEX(B575:B$2,-1+SUMPRODUCT(MAX(ROW(E575:E$2)*(E576=E575:E$2)))))</f>
        <v> </v>
      </c>
      <c r="J576" s="19" t="str">
        <f>IF(OR(E576="",E576="!!!",F576="NEW"),"",COUNTBLANK(OFFSET(A$1,,,SUMPRODUCT(MAX(ROW(E$2:E576)*(E576=E$2:E576)))))-COUNTBLANK(OFFSET(A$1,,,SUMPRODUCT(MAX(ROW(E$1:E575)*(E2=E$1:E575))))))</f>
        <v> </v>
      </c>
      <c r="K576" s="19" t="str">
        <f>IF(OR(E576="",E576="!!!",F576="NEW"),"",INDEX(J$1:J575,SUMPRODUCT(MAX(ROW(E$1:E575)*(E576=E$1:E575)))))</f>
        <v> </v>
      </c>
      <c r="L576" s="20"/>
    </row>
    <row r="577" spans="1:12">
      <c r="A577" s="13" t="s">
        <v>56</v>
      </c>
      <c r="E577" s="15">
        <f>IF(D577="?OLD","!!!","")</f>
        <v/>
      </c>
      <c r="F577" s="16" t="str">
        <f>IF(OR(E577="",E577="!!!"),"",IF(NOT(ISNA(VLOOKUP(E577,E$1:E576,1,FALSE()))),"OLD",IF(AND(E577&lt;&gt;"",E577&lt;&gt;"!!!"),"NEW","")))</f>
        <v> </v>
      </c>
      <c r="G577" s="17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18" t="str">
        <f>IF(J577&lt;&gt;1,"",IF(I577="SBJ","CB","?"))</f>
        <v> </v>
      </c>
      <c r="I577" s="19" t="str">
        <f>IF(OR(E577="",E577="!!!",F577="NEW"),"",INDEX(B576:B$2,-1+SUMPRODUCT(MAX(ROW(E576:E$2)*(E577=E576:E$2)))))</f>
        <v> </v>
      </c>
      <c r="J577" s="19" t="str">
        <f>IF(OR(E577="",E577="!!!",F577="NEW"),"",COUNTBLANK(OFFSET(A$1,,,SUMPRODUCT(MAX(ROW(E$2:E577)*(E577=E$2:E577)))))-COUNTBLANK(OFFSET(A$1,,,SUMPRODUCT(MAX(ROW(E$1:E576)*(E2=E$1:E576))))))</f>
        <v> </v>
      </c>
      <c r="K577" s="19" t="str">
        <f>IF(OR(E577="",E577="!!!",F577="NEW"),"",INDEX(J$1:J576,SUMPRODUCT(MAX(ROW(E$1:E576)*(E577=E$1:E576)))))</f>
        <v> </v>
      </c>
      <c r="L577" s="20"/>
    </row>
    <row r="578" spans="1:12">
      <c r="A578" s="13" t="s">
        <v>76</v>
      </c>
      <c r="E578" s="15">
        <f>IF(D578="?OLD","!!!","")</f>
        <v/>
      </c>
      <c r="F578" s="16" t="str">
        <f>IF(OR(E578="",E578="!!!"),"",IF(NOT(ISNA(VLOOKUP(E578,E$1:E577,1,FALSE()))),"OLD",IF(AND(E578&lt;&gt;"",E578&lt;&gt;"!!!"),"NEW","")))</f>
        <v> </v>
      </c>
      <c r="G578" s="17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18" t="str">
        <f>IF(J578&lt;&gt;1,"",IF(I578="SBJ","CB","?"))</f>
        <v> </v>
      </c>
      <c r="I578" s="19" t="str">
        <f>IF(OR(E578="",E578="!!!",F578="NEW"),"",INDEX(B577:B$2,-1+SUMPRODUCT(MAX(ROW(E577:E$2)*(E578=E577:E$2)))))</f>
        <v> </v>
      </c>
      <c r="J578" s="19" t="str">
        <f>IF(OR(E578="",E578="!!!",F578="NEW"),"",COUNTBLANK(OFFSET(A$1,,,SUMPRODUCT(MAX(ROW(E$2:E578)*(E578=E$2:E578)))))-COUNTBLANK(OFFSET(A$1,,,SUMPRODUCT(MAX(ROW(E$1:E577)*(E2=E$1:E577))))))</f>
        <v> </v>
      </c>
      <c r="K578" s="19" t="str">
        <f>IF(OR(E578="",E578="!!!",F578="NEW"),"",INDEX(J$1:J577,SUMPRODUCT(MAX(ROW(E$1:E577)*(E578=E$1:E577)))))</f>
        <v> </v>
      </c>
      <c r="L578" s="20"/>
    </row>
    <row r="579" spans="1:12">
      <c r="A579" s="13" t="s">
        <v>57</v>
      </c>
      <c r="E579" s="15">
        <f>IF(D579="?OLD","!!!","")</f>
        <v/>
      </c>
      <c r="F579" s="16" t="str">
        <f>IF(OR(E579="",E579="!!!"),"",IF(NOT(ISNA(VLOOKUP(E579,E$1:E578,1,FALSE()))),"OLD",IF(AND(E579&lt;&gt;"",E579&lt;&gt;"!!!"),"NEW","")))</f>
        <v> </v>
      </c>
      <c r="G579" s="17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18" t="str">
        <f>IF(J579&lt;&gt;1,"",IF(I579="SBJ","CB","?"))</f>
        <v> </v>
      </c>
      <c r="I579" s="19" t="str">
        <f>IF(OR(E579="",E579="!!!",F579="NEW"),"",INDEX(B578:B$2,-1+SUMPRODUCT(MAX(ROW(E578:E$2)*(E579=E578:E$2)))))</f>
        <v> </v>
      </c>
      <c r="J579" s="19" t="str">
        <f>IF(OR(E579="",E579="!!!",F579="NEW"),"",COUNTBLANK(OFFSET(A$1,,,SUMPRODUCT(MAX(ROW(E$2:E579)*(E579=E$2:E579)))))-COUNTBLANK(OFFSET(A$1,,,SUMPRODUCT(MAX(ROW(E$1:E578)*(E2=E$1:E578))))))</f>
        <v> </v>
      </c>
      <c r="K579" s="19" t="str">
        <f>IF(OR(E579="",E579="!!!",F579="NEW"),"",INDEX(J$1:J578,SUMPRODUCT(MAX(ROW(E$1:E578)*(E579=E$1:E578)))))</f>
        <v> </v>
      </c>
      <c r="L579" s="20"/>
    </row>
    <row r="580" spans="1:12">
      <c r="A580" s="13" t="s">
        <v>305</v>
      </c>
      <c r="B580" s="14" t="s">
        <v>219</v>
      </c>
      <c r="C580" s="14" t="s">
        <v>60</v>
      </c>
      <c r="D580" s="14" t="s">
        <v>25</v>
      </c>
      <c r="E580" s="15">
        <f>IF(D580="?OLD","!!!","")</f>
        <v/>
      </c>
      <c r="F580" s="16" t="str">
        <f>IF(OR(E580="",E580="!!!"),"",IF(NOT(ISNA(VLOOKUP(E580,E$1:E579,1,FALSE()))),"OLD",IF(AND(E580&lt;&gt;"",E580&lt;&gt;"!!!"),"NEW","")))</f>
        <v> </v>
      </c>
      <c r="G580" s="17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18" t="str">
        <f>IF(J580&lt;&gt;1,"",IF(I580="SBJ","CB","?"))</f>
        <v> </v>
      </c>
      <c r="I580" s="19" t="str">
        <f>IF(OR(E580="",E580="!!!",F580="NEW"),"",INDEX(B579:B$2,-1+SUMPRODUCT(MAX(ROW(E579:E$2)*(E580=E579:E$2)))))</f>
        <v> </v>
      </c>
      <c r="J580" s="19" t="str">
        <f>IF(OR(E580="",E580="!!!",F580="NEW"),"",COUNTBLANK(OFFSET(A$1,,,SUMPRODUCT(MAX(ROW(E$2:E580)*(E580=E$2:E580)))))-COUNTBLANK(OFFSET(A$1,,,SUMPRODUCT(MAX(ROW(E$1:E579)*(E2=E$1:E579))))))</f>
        <v> </v>
      </c>
      <c r="K580" s="19" t="str">
        <f>IF(OR(E580="",E580="!!!",F580="NEW"),"",INDEX(J$1:J579,SUMPRODUCT(MAX(ROW(E$1:E579)*(E580=E$1:E579)))))</f>
        <v> </v>
      </c>
      <c r="L580" s="20"/>
    </row>
    <row r="581" spans="1:12">
      <c r="A581" s="13" t="s">
        <v>62</v>
      </c>
      <c r="E581" s="15">
        <f>IF(D581="?OLD","!!!","")</f>
        <v/>
      </c>
      <c r="F581" s="16" t="str">
        <f>IF(OR(E581="",E581="!!!"),"",IF(NOT(ISNA(VLOOKUP(E581,E$1:E580,1,FALSE()))),"OLD",IF(AND(E581&lt;&gt;"",E581&lt;&gt;"!!!"),"NEW","")))</f>
        <v> </v>
      </c>
      <c r="G581" s="17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18" t="str">
        <f>IF(J581&lt;&gt;1,"",IF(I581="SBJ","CB","?"))</f>
        <v> </v>
      </c>
      <c r="I581" s="19" t="str">
        <f>IF(OR(E581="",E581="!!!",F581="NEW"),"",INDEX(B580:B$2,-1+SUMPRODUCT(MAX(ROW(E580:E$2)*(E581=E580:E$2)))))</f>
        <v> </v>
      </c>
      <c r="J581" s="19" t="str">
        <f>IF(OR(E581="",E581="!!!",F581="NEW"),"",COUNTBLANK(OFFSET(A$1,,,SUMPRODUCT(MAX(ROW(E$2:E581)*(E581=E$2:E581)))))-COUNTBLANK(OFFSET(A$1,,,SUMPRODUCT(MAX(ROW(E$1:E580)*(E2=E$1:E580))))))</f>
        <v> </v>
      </c>
      <c r="K581" s="19" t="str">
        <f>IF(OR(E581="",E581="!!!",F581="NEW"),"",INDEX(J$1:J580,SUMPRODUCT(MAX(ROW(E$1:E580)*(E581=E$1:E580)))))</f>
        <v> </v>
      </c>
      <c r="L581" s="20"/>
    </row>
    <row r="582" spans="1:12">
      <c r="A582" s="13" t="s">
        <v>306</v>
      </c>
      <c r="E582" s="15">
        <f>IF(D582="?OLD","!!!","")</f>
        <v/>
      </c>
      <c r="F582" s="16" t="str">
        <f>IF(OR(E582="",E582="!!!"),"",IF(NOT(ISNA(VLOOKUP(E582,E$1:E581,1,FALSE()))),"OLD",IF(AND(E582&lt;&gt;"",E582&lt;&gt;"!!!"),"NEW","")))</f>
        <v> </v>
      </c>
      <c r="G582" s="17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18" t="str">
        <f>IF(J582&lt;&gt;1,"",IF(I582="SBJ","CB","?"))</f>
        <v> </v>
      </c>
      <c r="I582" s="19" t="str">
        <f>IF(OR(E582="",E582="!!!",F582="NEW"),"",INDEX(B581:B$2,-1+SUMPRODUCT(MAX(ROW(E581:E$2)*(E582=E581:E$2)))))</f>
        <v> </v>
      </c>
      <c r="J582" s="19" t="str">
        <f>IF(OR(E582="",E582="!!!",F582="NEW"),"",COUNTBLANK(OFFSET(A$1,,,SUMPRODUCT(MAX(ROW(E$2:E582)*(E582=E$2:E582)))))-COUNTBLANK(OFFSET(A$1,,,SUMPRODUCT(MAX(ROW(E$1:E581)*(E2=E$1:E581))))))</f>
        <v> </v>
      </c>
      <c r="K582" s="19" t="str">
        <f>IF(OR(E582="",E582="!!!",F582="NEW"),"",INDEX(J$1:J581,SUMPRODUCT(MAX(ROW(E$1:E581)*(E582=E$1:E581)))))</f>
        <v> </v>
      </c>
      <c r="L582" s="20"/>
    </row>
    <row r="583" spans="1:12">
      <c r="A583" s="13" t="s">
        <v>119</v>
      </c>
      <c r="E583" s="15">
        <f>IF(D583="?OLD","!!!","")</f>
        <v/>
      </c>
      <c r="F583" s="16" t="str">
        <f>IF(OR(E583="",E583="!!!"),"",IF(NOT(ISNA(VLOOKUP(E583,E$1:E582,1,FALSE()))),"OLD",IF(AND(E583&lt;&gt;"",E583&lt;&gt;"!!!"),"NEW","")))</f>
        <v> </v>
      </c>
      <c r="G583" s="17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18" t="str">
        <f>IF(J583&lt;&gt;1,"",IF(I583="SBJ","CB","?"))</f>
        <v> </v>
      </c>
      <c r="I583" s="19" t="str">
        <f>IF(OR(E583="",E583="!!!",F583="NEW"),"",INDEX(B582:B$2,-1+SUMPRODUCT(MAX(ROW(E582:E$2)*(E583=E582:E$2)))))</f>
        <v> </v>
      </c>
      <c r="J583" s="19" t="str">
        <f>IF(OR(E583="",E583="!!!",F583="NEW"),"",COUNTBLANK(OFFSET(A$1,,,SUMPRODUCT(MAX(ROW(E$2:E583)*(E583=E$2:E583)))))-COUNTBLANK(OFFSET(A$1,,,SUMPRODUCT(MAX(ROW(E$1:E582)*(E2=E$1:E582))))))</f>
        <v> </v>
      </c>
      <c r="K583" s="19" t="str">
        <f>IF(OR(E583="",E583="!!!",F583="NEW"),"",INDEX(J$1:J582,SUMPRODUCT(MAX(ROW(E$1:E582)*(E583=E$1:E582)))))</f>
        <v> </v>
      </c>
      <c r="L583" s="20"/>
    </row>
    <row r="584" spans="1:12">
      <c r="A584" s="13" t="s">
        <v>68</v>
      </c>
      <c r="E584" s="15">
        <f>IF(D584="?OLD","!!!","")</f>
        <v/>
      </c>
      <c r="F584" s="16" t="str">
        <f>IF(OR(E584="",E584="!!!"),"",IF(NOT(ISNA(VLOOKUP(E584,E$1:E583,1,FALSE()))),"OLD",IF(AND(E584&lt;&gt;"",E584&lt;&gt;"!!!"),"NEW","")))</f>
        <v> </v>
      </c>
      <c r="G584" s="17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18" t="str">
        <f>IF(J584&lt;&gt;1,"",IF(I584="SBJ","CB","?"))</f>
        <v> </v>
      </c>
      <c r="I584" s="19" t="str">
        <f>IF(OR(E584="",E584="!!!",F584="NEW"),"",INDEX(B583:B$2,-1+SUMPRODUCT(MAX(ROW(E583:E$2)*(E584=E583:E$2)))))</f>
        <v> </v>
      </c>
      <c r="J584" s="19" t="str">
        <f>IF(OR(E584="",E584="!!!",F584="NEW"),"",COUNTBLANK(OFFSET(A$1,,,SUMPRODUCT(MAX(ROW(E$2:E584)*(E584=E$2:E584)))))-COUNTBLANK(OFFSET(A$1,,,SUMPRODUCT(MAX(ROW(E$1:E583)*(E2=E$1:E583))))))</f>
        <v> </v>
      </c>
      <c r="K584" s="19" t="str">
        <f>IF(OR(E584="",E584="!!!",F584="NEW"),"",INDEX(J$1:J583,SUMPRODUCT(MAX(ROW(E$1:E583)*(E584=E$1:E583)))))</f>
        <v> </v>
      </c>
      <c r="L584" s="20"/>
    </row>
    <row r="585" spans="1:12">
      <c r="A585" s="13"/>
    </row>
    <row r="586" spans="1:12">
      <c r="A586" s="13" t="s">
        <v>307</v>
      </c>
    </row>
    <row r="587" spans="1:12">
      <c r="A587" s="13" t="s">
        <v>252</v>
      </c>
      <c r="E587" s="15">
        <f>IF(D587="?OLD","!!!","")</f>
        <v/>
      </c>
      <c r="F587" s="16" t="str">
        <f>IF(OR(E587="",E587="!!!"),"",IF(NOT(ISNA(VLOOKUP(E587,E$1:E586,1,FALSE()))),"OLD",IF(AND(E587&lt;&gt;"",E587&lt;&gt;"!!!"),"NEW","")))</f>
        <v> </v>
      </c>
      <c r="G587" s="17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18" t="str">
        <f>IF(J587&lt;&gt;1,"",IF(I587="SBJ","CB","?"))</f>
        <v> </v>
      </c>
      <c r="I587" s="19" t="str">
        <f>IF(OR(E587="",E587="!!!",F587="NEW"),"",INDEX(B586:B$2,-1+SUMPRODUCT(MAX(ROW(E586:E$2)*(E587=E586:E$2)))))</f>
        <v> </v>
      </c>
      <c r="J587" s="19" t="str">
        <f>IF(OR(E587="",E587="!!!",F587="NEW"),"",COUNTBLANK(OFFSET(A$1,,,SUMPRODUCT(MAX(ROW(E$2:E587)*(E587=E$2:E587)))))-COUNTBLANK(OFFSET(A$1,,,SUMPRODUCT(MAX(ROW(E$1:E586)*(E2=E$1:E586))))))</f>
        <v> </v>
      </c>
      <c r="K587" s="19" t="str">
        <f>IF(OR(E587="",E587="!!!",F587="NEW"),"",INDEX(J$1:J586,SUMPRODUCT(MAX(ROW(E$1:E586)*(E587=E$1:E586)))))</f>
        <v> </v>
      </c>
      <c r="L587" s="20"/>
    </row>
    <row r="588" spans="1:12">
      <c r="A588" s="13" t="s">
        <v>164</v>
      </c>
      <c r="B588" s="14" t="s">
        <v>23</v>
      </c>
      <c r="C588" s="14" t="s">
        <v>24</v>
      </c>
      <c r="D588" s="14" t="s">
        <v>25</v>
      </c>
      <c r="E588" s="15">
        <f>IF(D588="?OLD","!!!","")</f>
        <v/>
      </c>
      <c r="F588" s="16" t="str">
        <f>IF(OR(E588="",E588="!!!"),"",IF(NOT(ISNA(VLOOKUP(E588,E$1:E587,1,FALSE()))),"OLD",IF(AND(E588&lt;&gt;"",E588&lt;&gt;"!!!"),"NEW","")))</f>
        <v> </v>
      </c>
      <c r="G588" s="17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18" t="str">
        <f>IF(J588&lt;&gt;1,"",IF(I588="SBJ","CB","?"))</f>
        <v> </v>
      </c>
      <c r="I588" s="19" t="str">
        <f>IF(OR(E588="",E588="!!!",F588="NEW"),"",INDEX(B587:B$2,-1+SUMPRODUCT(MAX(ROW(E587:E$2)*(E588=E587:E$2)))))</f>
        <v> </v>
      </c>
      <c r="J588" s="19" t="str">
        <f>IF(OR(E588="",E588="!!!",F588="NEW"),"",COUNTBLANK(OFFSET(A$1,,,SUMPRODUCT(MAX(ROW(E$2:E588)*(E588=E$2:E588)))))-COUNTBLANK(OFFSET(A$1,,,SUMPRODUCT(MAX(ROW(E$1:E587)*(E2=E$1:E587))))))</f>
        <v> </v>
      </c>
      <c r="K588" s="19" t="str">
        <f>IF(OR(E588="",E588="!!!",F588="NEW"),"",INDEX(J$1:J587,SUMPRODUCT(MAX(ROW(E$1:E587)*(E588=E$1:E587)))))</f>
        <v> </v>
      </c>
      <c r="L588" s="20"/>
    </row>
    <row r="589" spans="1:12">
      <c r="A589" s="13" t="s">
        <v>308</v>
      </c>
      <c r="E589" s="15">
        <f>IF(D589="?OLD","!!!","")</f>
        <v/>
      </c>
      <c r="F589" s="16" t="str">
        <f>IF(OR(E589="",E589="!!!"),"",IF(NOT(ISNA(VLOOKUP(E589,E$1:E588,1,FALSE()))),"OLD",IF(AND(E589&lt;&gt;"",E589&lt;&gt;"!!!"),"NEW","")))</f>
        <v> </v>
      </c>
      <c r="G589" s="17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18" t="str">
        <f>IF(J589&lt;&gt;1,"",IF(I589="SBJ","CB","?"))</f>
        <v> </v>
      </c>
      <c r="I589" s="19" t="str">
        <f>IF(OR(E589="",E589="!!!",F589="NEW"),"",INDEX(B588:B$2,-1+SUMPRODUCT(MAX(ROW(E588:E$2)*(E589=E588:E$2)))))</f>
        <v> </v>
      </c>
      <c r="J589" s="19" t="str">
        <f>IF(OR(E589="",E589="!!!",F589="NEW"),"",COUNTBLANK(OFFSET(A$1,,,SUMPRODUCT(MAX(ROW(E$2:E589)*(E589=E$2:E589)))))-COUNTBLANK(OFFSET(A$1,,,SUMPRODUCT(MAX(ROW(E$1:E588)*(E2=E$1:E588))))))</f>
        <v> </v>
      </c>
      <c r="K589" s="19" t="str">
        <f>IF(OR(E589="",E589="!!!",F589="NEW"),"",INDEX(J$1:J588,SUMPRODUCT(MAX(ROW(E$1:E588)*(E589=E$1:E588)))))</f>
        <v> </v>
      </c>
      <c r="L589" s="20"/>
    </row>
    <row r="590" spans="1:12">
      <c r="A590" s="13" t="s">
        <v>57</v>
      </c>
      <c r="E590" s="15">
        <f>IF(D590="?OLD","!!!","")</f>
        <v/>
      </c>
      <c r="F590" s="16" t="str">
        <f>IF(OR(E590="",E590="!!!"),"",IF(NOT(ISNA(VLOOKUP(E590,E$1:E589,1,FALSE()))),"OLD",IF(AND(E590&lt;&gt;"",E590&lt;&gt;"!!!"),"NEW","")))</f>
        <v> </v>
      </c>
      <c r="G590" s="17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18" t="str">
        <f>IF(J590&lt;&gt;1,"",IF(I590="SBJ","CB","?"))</f>
        <v> </v>
      </c>
      <c r="I590" s="19" t="str">
        <f>IF(OR(E590="",E590="!!!",F590="NEW"),"",INDEX(B589:B$2,-1+SUMPRODUCT(MAX(ROW(E589:E$2)*(E590=E589:E$2)))))</f>
        <v> </v>
      </c>
      <c r="J590" s="19" t="str">
        <f>IF(OR(E590="",E590="!!!",F590="NEW"),"",COUNTBLANK(OFFSET(A$1,,,SUMPRODUCT(MAX(ROW(E$2:E590)*(E590=E$2:E590)))))-COUNTBLANK(OFFSET(A$1,,,SUMPRODUCT(MAX(ROW(E$1:E589)*(E2=E$1:E589))))))</f>
        <v> </v>
      </c>
      <c r="K590" s="19" t="str">
        <f>IF(OR(E590="",E590="!!!",F590="NEW"),"",INDEX(J$1:J589,SUMPRODUCT(MAX(ROW(E$1:E589)*(E590=E$1:E589)))))</f>
        <v> </v>
      </c>
      <c r="L590" s="20"/>
    </row>
    <row r="591" spans="1:12">
      <c r="A591" s="13" t="s">
        <v>304</v>
      </c>
      <c r="B591" s="14" t="s">
        <v>88</v>
      </c>
      <c r="C591" s="14" t="s">
        <v>60</v>
      </c>
      <c r="D591" s="14" t="s">
        <v>25</v>
      </c>
      <c r="E591" s="15">
        <f>IF(D591="?OLD","!!!","")</f>
        <v/>
      </c>
      <c r="F591" s="16" t="str">
        <f>IF(OR(E591="",E591="!!!"),"",IF(NOT(ISNA(VLOOKUP(E591,E$1:E590,1,FALSE()))),"OLD",IF(AND(E591&lt;&gt;"",E591&lt;&gt;"!!!"),"NEW","")))</f>
        <v> </v>
      </c>
      <c r="G591" s="17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18" t="str">
        <f>IF(J591&lt;&gt;1,"",IF(I591="SBJ","CB","?"))</f>
        <v> </v>
      </c>
      <c r="I591" s="19" t="str">
        <f>IF(OR(E591="",E591="!!!",F591="NEW"),"",INDEX(B590:B$2,-1+SUMPRODUCT(MAX(ROW(E590:E$2)*(E591=E590:E$2)))))</f>
        <v> </v>
      </c>
      <c r="J591" s="19" t="str">
        <f>IF(OR(E591="",E591="!!!",F591="NEW"),"",COUNTBLANK(OFFSET(A$1,,,SUMPRODUCT(MAX(ROW(E$2:E591)*(E591=E$2:E591)))))-COUNTBLANK(OFFSET(A$1,,,SUMPRODUCT(MAX(ROW(E$1:E590)*(E2=E$1:E590))))))</f>
        <v> </v>
      </c>
      <c r="K591" s="19" t="str">
        <f>IF(OR(E591="",E591="!!!",F591="NEW"),"",INDEX(J$1:J590,SUMPRODUCT(MAX(ROW(E$1:E590)*(E591=E$1:E590)))))</f>
        <v> </v>
      </c>
      <c r="L591" s="20"/>
    </row>
    <row r="592" spans="1:12">
      <c r="A592" s="13" t="s">
        <v>56</v>
      </c>
      <c r="E592" s="15">
        <f>IF(D592="?OLD","!!!","")</f>
        <v/>
      </c>
      <c r="F592" s="16" t="str">
        <f>IF(OR(E592="",E592="!!!"),"",IF(NOT(ISNA(VLOOKUP(E592,E$1:E591,1,FALSE()))),"OLD",IF(AND(E592&lt;&gt;"",E592&lt;&gt;"!!!"),"NEW","")))</f>
        <v> </v>
      </c>
      <c r="G592" s="17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18" t="str">
        <f>IF(J592&lt;&gt;1,"",IF(I592="SBJ","CB","?"))</f>
        <v> </v>
      </c>
      <c r="I592" s="19" t="str">
        <f>IF(OR(E592="",E592="!!!",F592="NEW"),"",INDEX(B591:B$2,-1+SUMPRODUCT(MAX(ROW(E591:E$2)*(E592=E591:E$2)))))</f>
        <v> </v>
      </c>
      <c r="J592" s="19" t="str">
        <f>IF(OR(E592="",E592="!!!",F592="NEW"),"",COUNTBLANK(OFFSET(A$1,,,SUMPRODUCT(MAX(ROW(E$2:E592)*(E592=E$2:E592)))))-COUNTBLANK(OFFSET(A$1,,,SUMPRODUCT(MAX(ROW(E$1:E591)*(E2=E$1:E591))))))</f>
        <v> </v>
      </c>
      <c r="K592" s="19" t="str">
        <f>IF(OR(E592="",E592="!!!",F592="NEW"),"",INDEX(J$1:J591,SUMPRODUCT(MAX(ROW(E$1:E591)*(E592=E$1:E591)))))</f>
        <v> </v>
      </c>
      <c r="L592" s="20"/>
    </row>
    <row r="593" spans="1:12">
      <c r="A593" s="13" t="s">
        <v>76</v>
      </c>
      <c r="E593" s="15">
        <f>IF(D593="?OLD","!!!","")</f>
        <v/>
      </c>
      <c r="F593" s="16" t="str">
        <f>IF(OR(E593="",E593="!!!"),"",IF(NOT(ISNA(VLOOKUP(E593,E$1:E592,1,FALSE()))),"OLD",IF(AND(E593&lt;&gt;"",E593&lt;&gt;"!!!"),"NEW","")))</f>
        <v> </v>
      </c>
      <c r="G593" s="17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18" t="str">
        <f>IF(J593&lt;&gt;1,"",IF(I593="SBJ","CB","?"))</f>
        <v> </v>
      </c>
      <c r="I593" s="19" t="str">
        <f>IF(OR(E593="",E593="!!!",F593="NEW"),"",INDEX(B592:B$2,-1+SUMPRODUCT(MAX(ROW(E592:E$2)*(E593=E592:E$2)))))</f>
        <v> </v>
      </c>
      <c r="J593" s="19" t="str">
        <f>IF(OR(E593="",E593="!!!",F593="NEW"),"",COUNTBLANK(OFFSET(A$1,,,SUMPRODUCT(MAX(ROW(E$2:E593)*(E593=E$2:E593)))))-COUNTBLANK(OFFSET(A$1,,,SUMPRODUCT(MAX(ROW(E$1:E592)*(E2=E$1:E592))))))</f>
        <v> </v>
      </c>
      <c r="K593" s="19" t="str">
        <f>IF(OR(E593="",E593="!!!",F593="NEW"),"",INDEX(J$1:J592,SUMPRODUCT(MAX(ROW(E$1:E592)*(E593=E$1:E592)))))</f>
        <v> </v>
      </c>
      <c r="L593" s="20"/>
    </row>
    <row r="594" spans="1:12">
      <c r="A594" s="13" t="s">
        <v>57</v>
      </c>
      <c r="E594" s="15">
        <f>IF(D594="?OLD","!!!","")</f>
        <v/>
      </c>
      <c r="F594" s="16" t="str">
        <f>IF(OR(E594="",E594="!!!"),"",IF(NOT(ISNA(VLOOKUP(E594,E$1:E593,1,FALSE()))),"OLD",IF(AND(E594&lt;&gt;"",E594&lt;&gt;"!!!"),"NEW","")))</f>
        <v> </v>
      </c>
      <c r="G594" s="17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18" t="str">
        <f>IF(J594&lt;&gt;1,"",IF(I594="SBJ","CB","?"))</f>
        <v> </v>
      </c>
      <c r="I594" s="19" t="str">
        <f>IF(OR(E594="",E594="!!!",F594="NEW"),"",INDEX(B593:B$2,-1+SUMPRODUCT(MAX(ROW(E593:E$2)*(E594=E593:E$2)))))</f>
        <v> </v>
      </c>
      <c r="J594" s="19" t="str">
        <f>IF(OR(E594="",E594="!!!",F594="NEW"),"",COUNTBLANK(OFFSET(A$1,,,SUMPRODUCT(MAX(ROW(E$2:E594)*(E594=E$2:E594)))))-COUNTBLANK(OFFSET(A$1,,,SUMPRODUCT(MAX(ROW(E$1:E593)*(E2=E$1:E593))))))</f>
        <v> </v>
      </c>
      <c r="K594" s="19" t="str">
        <f>IF(OR(E594="",E594="!!!",F594="NEW"),"",INDEX(J$1:J593,SUMPRODUCT(MAX(ROW(E$1:E593)*(E594=E$1:E593)))))</f>
        <v> </v>
      </c>
      <c r="L594" s="20"/>
    </row>
    <row r="595" spans="1:12">
      <c r="A595" s="13" t="s">
        <v>305</v>
      </c>
      <c r="B595" s="14" t="s">
        <v>219</v>
      </c>
      <c r="C595" s="14" t="s">
        <v>60</v>
      </c>
      <c r="D595" s="14" t="s">
        <v>25</v>
      </c>
      <c r="E595" s="15">
        <f>IF(D595="?OLD","!!!","")</f>
        <v/>
      </c>
      <c r="F595" s="16" t="str">
        <f>IF(OR(E595="",E595="!!!"),"",IF(NOT(ISNA(VLOOKUP(E595,E$1:E594,1,FALSE()))),"OLD",IF(AND(E595&lt;&gt;"",E595&lt;&gt;"!!!"),"NEW","")))</f>
        <v> </v>
      </c>
      <c r="G595" s="17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18" t="str">
        <f>IF(J595&lt;&gt;1,"",IF(I595="SBJ","CB","?"))</f>
        <v> </v>
      </c>
      <c r="I595" s="19" t="str">
        <f>IF(OR(E595="",E595="!!!",F595="NEW"),"",INDEX(B594:B$2,-1+SUMPRODUCT(MAX(ROW(E594:E$2)*(E595=E594:E$2)))))</f>
        <v> </v>
      </c>
      <c r="J595" s="19" t="str">
        <f>IF(OR(E595="",E595="!!!",F595="NEW"),"",COUNTBLANK(OFFSET(A$1,,,SUMPRODUCT(MAX(ROW(E$2:E595)*(E595=E$2:E595)))))-COUNTBLANK(OFFSET(A$1,,,SUMPRODUCT(MAX(ROW(E$1:E594)*(E2=E$1:E594))))))</f>
        <v> </v>
      </c>
      <c r="K595" s="19" t="str">
        <f>IF(OR(E595="",E595="!!!",F595="NEW"),"",INDEX(J$1:J594,SUMPRODUCT(MAX(ROW(E$1:E594)*(E595=E$1:E594)))))</f>
        <v> </v>
      </c>
      <c r="L595" s="20"/>
    </row>
    <row r="596" spans="1:12">
      <c r="A596" s="13" t="s">
        <v>62</v>
      </c>
      <c r="E596" s="15">
        <f>IF(D596="?OLD","!!!","")</f>
        <v/>
      </c>
      <c r="F596" s="16" t="str">
        <f>IF(OR(E596="",E596="!!!"),"",IF(NOT(ISNA(VLOOKUP(E596,E$1:E595,1,FALSE()))),"OLD",IF(AND(E596&lt;&gt;"",E596&lt;&gt;"!!!"),"NEW","")))</f>
        <v> </v>
      </c>
      <c r="G596" s="17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18" t="str">
        <f>IF(J596&lt;&gt;1,"",IF(I596="SBJ","CB","?"))</f>
        <v> </v>
      </c>
      <c r="I596" s="19" t="str">
        <f>IF(OR(E596="",E596="!!!",F596="NEW"),"",INDEX(B595:B$2,-1+SUMPRODUCT(MAX(ROW(E595:E$2)*(E596=E595:E$2)))))</f>
        <v> </v>
      </c>
      <c r="J596" s="19" t="str">
        <f>IF(OR(E596="",E596="!!!",F596="NEW"),"",COUNTBLANK(OFFSET(A$1,,,SUMPRODUCT(MAX(ROW(E$2:E596)*(E596=E$2:E596)))))-COUNTBLANK(OFFSET(A$1,,,SUMPRODUCT(MAX(ROW(E$1:E595)*(E2=E$1:E595))))))</f>
        <v> </v>
      </c>
      <c r="K596" s="19" t="str">
        <f>IF(OR(E596="",E596="!!!",F596="NEW"),"",INDEX(J$1:J595,SUMPRODUCT(MAX(ROW(E$1:E595)*(E596=E$1:E595)))))</f>
        <v> </v>
      </c>
      <c r="L596" s="20"/>
    </row>
    <row r="597" spans="1:12">
      <c r="A597" s="13" t="s">
        <v>309</v>
      </c>
      <c r="E597" s="15">
        <f>IF(D597="?OLD","!!!","")</f>
        <v/>
      </c>
      <c r="F597" s="16" t="str">
        <f>IF(OR(E597="",E597="!!!"),"",IF(NOT(ISNA(VLOOKUP(E597,E$1:E596,1,FALSE()))),"OLD",IF(AND(E597&lt;&gt;"",E597&lt;&gt;"!!!"),"NEW","")))</f>
        <v> </v>
      </c>
      <c r="G597" s="17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18" t="str">
        <f>IF(J597&lt;&gt;1,"",IF(I597="SBJ","CB","?"))</f>
        <v> </v>
      </c>
      <c r="I597" s="19" t="str">
        <f>IF(OR(E597="",E597="!!!",F597="NEW"),"",INDEX(B596:B$2,-1+SUMPRODUCT(MAX(ROW(E596:E$2)*(E597=E596:E$2)))))</f>
        <v> </v>
      </c>
      <c r="J597" s="19" t="str">
        <f>IF(OR(E597="",E597="!!!",F597="NEW"),"",COUNTBLANK(OFFSET(A$1,,,SUMPRODUCT(MAX(ROW(E$2:E597)*(E597=E$2:E597)))))-COUNTBLANK(OFFSET(A$1,,,SUMPRODUCT(MAX(ROW(E$1:E596)*(E2=E$1:E596))))))</f>
        <v> </v>
      </c>
      <c r="K597" s="19" t="str">
        <f>IF(OR(E597="",E597="!!!",F597="NEW"),"",INDEX(J$1:J596,SUMPRODUCT(MAX(ROW(E$1:E596)*(E597=E$1:E596)))))</f>
        <v> </v>
      </c>
      <c r="L597" s="20"/>
    </row>
    <row r="598" spans="1:12">
      <c r="A598" s="13" t="s">
        <v>68</v>
      </c>
      <c r="E598" s="15">
        <f>IF(D598="?OLD","!!!","")</f>
        <v/>
      </c>
      <c r="F598" s="16" t="str">
        <f>IF(OR(E598="",E598="!!!"),"",IF(NOT(ISNA(VLOOKUP(E598,E$1:E597,1,FALSE()))),"OLD",IF(AND(E598&lt;&gt;"",E598&lt;&gt;"!!!"),"NEW","")))</f>
        <v> </v>
      </c>
      <c r="G598" s="17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18" t="str">
        <f>IF(J598&lt;&gt;1,"",IF(I598="SBJ","CB","?"))</f>
        <v> </v>
      </c>
      <c r="I598" s="19" t="str">
        <f>IF(OR(E598="",E598="!!!",F598="NEW"),"",INDEX(B597:B$2,-1+SUMPRODUCT(MAX(ROW(E597:E$2)*(E598=E597:E$2)))))</f>
        <v> </v>
      </c>
      <c r="J598" s="19" t="str">
        <f>IF(OR(E598="",E598="!!!",F598="NEW"),"",COUNTBLANK(OFFSET(A$1,,,SUMPRODUCT(MAX(ROW(E$2:E598)*(E598=E$2:E598)))))-COUNTBLANK(OFFSET(A$1,,,SUMPRODUCT(MAX(ROW(E$1:E597)*(E2=E$1:E597))))))</f>
        <v> </v>
      </c>
      <c r="K598" s="19" t="str">
        <f>IF(OR(E598="",E598="!!!",F598="NEW"),"",INDEX(J$1:J597,SUMPRODUCT(MAX(ROW(E$1:E597)*(E598=E$1:E597)))))</f>
        <v> </v>
      </c>
      <c r="L598" s="20"/>
    </row>
    <row r="599" spans="1:12">
      <c r="A599" s="13"/>
    </row>
    <row r="600" spans="1:12">
      <c r="A600" s="13" t="s">
        <v>310</v>
      </c>
    </row>
    <row r="601" spans="1:12">
      <c r="A601" s="13" t="s">
        <v>311</v>
      </c>
      <c r="E601" s="15">
        <f>IF(D601="?OLD","!!!","")</f>
        <v/>
      </c>
      <c r="F601" s="16" t="str">
        <f>IF(OR(E601="",E601="!!!"),"",IF(NOT(ISNA(VLOOKUP(E601,E$1:E600,1,FALSE()))),"OLD",IF(AND(E601&lt;&gt;"",E601&lt;&gt;"!!!"),"NEW","")))</f>
        <v> </v>
      </c>
      <c r="G601" s="17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18" t="str">
        <f>IF(J601&lt;&gt;1,"",IF(I601="SBJ","CB","?"))</f>
        <v> </v>
      </c>
      <c r="I601" s="19" t="str">
        <f>IF(OR(E601="",E601="!!!",F601="NEW"),"",INDEX(B600:B$2,-1+SUMPRODUCT(MAX(ROW(E600:E$2)*(E601=E600:E$2)))))</f>
        <v> </v>
      </c>
      <c r="J601" s="19" t="str">
        <f>IF(OR(E601="",E601="!!!",F601="NEW"),"",COUNTBLANK(OFFSET(A$1,,,SUMPRODUCT(MAX(ROW(E$2:E601)*(E601=E$2:E601)))))-COUNTBLANK(OFFSET(A$1,,,SUMPRODUCT(MAX(ROW(E$1:E600)*(E2=E$1:E600))))))</f>
        <v> </v>
      </c>
      <c r="K601" s="19" t="str">
        <f>IF(OR(E601="",E601="!!!",F601="NEW"),"",INDEX(J$1:J600,SUMPRODUCT(MAX(ROW(E$1:E600)*(E601=E$1:E600)))))</f>
        <v> </v>
      </c>
      <c r="L601" s="20"/>
    </row>
    <row r="602" spans="1:12">
      <c r="A602" s="13" t="s">
        <v>312</v>
      </c>
      <c r="E602" s="15">
        <f>IF(D602="?OLD","!!!","")</f>
        <v/>
      </c>
      <c r="F602" s="16" t="str">
        <f>IF(OR(E602="",E602="!!!"),"",IF(NOT(ISNA(VLOOKUP(E602,E$1:E601,1,FALSE()))),"OLD",IF(AND(E602&lt;&gt;"",E602&lt;&gt;"!!!"),"NEW","")))</f>
        <v> </v>
      </c>
      <c r="G602" s="17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18" t="str">
        <f>IF(J602&lt;&gt;1,"",IF(I602="SBJ","CB","?"))</f>
        <v> </v>
      </c>
      <c r="I602" s="19" t="str">
        <f>IF(OR(E602="",E602="!!!",F602="NEW"),"",INDEX(B601:B$2,-1+SUMPRODUCT(MAX(ROW(E601:E$2)*(E602=E601:E$2)))))</f>
        <v> </v>
      </c>
      <c r="J602" s="19" t="str">
        <f>IF(OR(E602="",E602="!!!",F602="NEW"),"",COUNTBLANK(OFFSET(A$1,,,SUMPRODUCT(MAX(ROW(E$2:E602)*(E602=E$2:E602)))))-COUNTBLANK(OFFSET(A$1,,,SUMPRODUCT(MAX(ROW(E$1:E601)*(E2=E$1:E601))))))</f>
        <v> </v>
      </c>
      <c r="K602" s="19" t="str">
        <f>IF(OR(E602="",E602="!!!",F602="NEW"),"",INDEX(J$1:J601,SUMPRODUCT(MAX(ROW(E$1:E601)*(E602=E$1:E601)))))</f>
        <v> </v>
      </c>
      <c r="L602" s="20"/>
    </row>
    <row r="603" spans="1:12">
      <c r="A603" s="13" t="s">
        <v>56</v>
      </c>
      <c r="E603" s="15">
        <f>IF(D603="?OLD","!!!","")</f>
        <v/>
      </c>
      <c r="F603" s="16" t="str">
        <f>IF(OR(E603="",E603="!!!"),"",IF(NOT(ISNA(VLOOKUP(E603,E$1:E602,1,FALSE()))),"OLD",IF(AND(E603&lt;&gt;"",E603&lt;&gt;"!!!"),"NEW","")))</f>
        <v> </v>
      </c>
      <c r="G603" s="17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18" t="str">
        <f>IF(J603&lt;&gt;1,"",IF(I603="SBJ","CB","?"))</f>
        <v> </v>
      </c>
      <c r="I603" s="19" t="str">
        <f>IF(OR(E603="",E603="!!!",F603="NEW"),"",INDEX(B602:B$2,-1+SUMPRODUCT(MAX(ROW(E602:E$2)*(E603=E602:E$2)))))</f>
        <v> </v>
      </c>
      <c r="J603" s="19" t="str">
        <f>IF(OR(E603="",E603="!!!",F603="NEW"),"",COUNTBLANK(OFFSET(A$1,,,SUMPRODUCT(MAX(ROW(E$2:E603)*(E603=E$2:E603)))))-COUNTBLANK(OFFSET(A$1,,,SUMPRODUCT(MAX(ROW(E$1:E602)*(E2=E$1:E602))))))</f>
        <v> </v>
      </c>
      <c r="K603" s="19" t="str">
        <f>IF(OR(E603="",E603="!!!",F603="NEW"),"",INDEX(J$1:J602,SUMPRODUCT(MAX(ROW(E$1:E602)*(E603=E$1:E602)))))</f>
        <v> </v>
      </c>
      <c r="L603" s="20"/>
    </row>
    <row r="604" spans="1:12">
      <c r="A604" s="13" t="s">
        <v>62</v>
      </c>
      <c r="E604" s="15">
        <f>IF(D604="?OLD","!!!","")</f>
        <v/>
      </c>
      <c r="F604" s="16" t="str">
        <f>IF(OR(E604="",E604="!!!"),"",IF(NOT(ISNA(VLOOKUP(E604,E$1:E603,1,FALSE()))),"OLD",IF(AND(E604&lt;&gt;"",E604&lt;&gt;"!!!"),"NEW","")))</f>
        <v> </v>
      </c>
      <c r="G604" s="17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18" t="str">
        <f>IF(J604&lt;&gt;1,"",IF(I604="SBJ","CB","?"))</f>
        <v> </v>
      </c>
      <c r="I604" s="19" t="str">
        <f>IF(OR(E604="",E604="!!!",F604="NEW"),"",INDEX(B603:B$2,-1+SUMPRODUCT(MAX(ROW(E603:E$2)*(E604=E603:E$2)))))</f>
        <v> </v>
      </c>
      <c r="J604" s="19" t="str">
        <f>IF(OR(E604="",E604="!!!",F604="NEW"),"",COUNTBLANK(OFFSET(A$1,,,SUMPRODUCT(MAX(ROW(E$2:E604)*(E604=E$2:E604)))))-COUNTBLANK(OFFSET(A$1,,,SUMPRODUCT(MAX(ROW(E$1:E603)*(E2=E$1:E603))))))</f>
        <v> </v>
      </c>
      <c r="K604" s="19" t="str">
        <f>IF(OR(E604="",E604="!!!",F604="NEW"),"",INDEX(J$1:J603,SUMPRODUCT(MAX(ROW(E$1:E603)*(E604=E$1:E603)))))</f>
        <v> </v>
      </c>
      <c r="L604" s="20"/>
    </row>
    <row r="605" spans="1:12">
      <c r="A605" s="13" t="s">
        <v>313</v>
      </c>
      <c r="E605" s="15">
        <f>IF(D605="?OLD","!!!","")</f>
        <v/>
      </c>
      <c r="F605" s="16" t="str">
        <f>IF(OR(E605="",E605="!!!"),"",IF(NOT(ISNA(VLOOKUP(E605,E$1:E604,1,FALSE()))),"OLD",IF(AND(E605&lt;&gt;"",E605&lt;&gt;"!!!"),"NEW","")))</f>
        <v> </v>
      </c>
      <c r="G605" s="17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18" t="str">
        <f>IF(J605&lt;&gt;1,"",IF(I605="SBJ","CB","?"))</f>
        <v> </v>
      </c>
      <c r="I605" s="19" t="str">
        <f>IF(OR(E605="",E605="!!!",F605="NEW"),"",INDEX(B604:B$2,-1+SUMPRODUCT(MAX(ROW(E604:E$2)*(E605=E604:E$2)))))</f>
        <v> </v>
      </c>
      <c r="J605" s="19" t="str">
        <f>IF(OR(E605="",E605="!!!",F605="NEW"),"",COUNTBLANK(OFFSET(A$1,,,SUMPRODUCT(MAX(ROW(E$2:E605)*(E605=E$2:E605)))))-COUNTBLANK(OFFSET(A$1,,,SUMPRODUCT(MAX(ROW(E$1:E604)*(E2=E$1:E604))))))</f>
        <v> </v>
      </c>
      <c r="K605" s="19" t="str">
        <f>IF(OR(E605="",E605="!!!",F605="NEW"),"",INDEX(J$1:J604,SUMPRODUCT(MAX(ROW(E$1:E604)*(E605=E$1:E604)))))</f>
        <v> </v>
      </c>
      <c r="L605" s="20"/>
    </row>
    <row r="606" spans="1:12">
      <c r="A606" s="13" t="s">
        <v>314</v>
      </c>
      <c r="E606" s="15">
        <f>IF(D606="?OLD","!!!","")</f>
        <v/>
      </c>
      <c r="F606" s="16" t="str">
        <f>IF(OR(E606="",E606="!!!"),"",IF(NOT(ISNA(VLOOKUP(E606,E$1:E605,1,FALSE()))),"OLD",IF(AND(E606&lt;&gt;"",E606&lt;&gt;"!!!"),"NEW","")))</f>
        <v> </v>
      </c>
      <c r="G606" s="17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18" t="str">
        <f>IF(J606&lt;&gt;1,"",IF(I606="SBJ","CB","?"))</f>
        <v> </v>
      </c>
      <c r="I606" s="19" t="str">
        <f>IF(OR(E606="",E606="!!!",F606="NEW"),"",INDEX(B605:B$2,-1+SUMPRODUCT(MAX(ROW(E605:E$2)*(E606=E605:E$2)))))</f>
        <v> </v>
      </c>
      <c r="J606" s="19" t="str">
        <f>IF(OR(E606="",E606="!!!",F606="NEW"),"",COUNTBLANK(OFFSET(A$1,,,SUMPRODUCT(MAX(ROW(E$2:E606)*(E606=E$2:E606)))))-COUNTBLANK(OFFSET(A$1,,,SUMPRODUCT(MAX(ROW(E$1:E605)*(E2=E$1:E605))))))</f>
        <v> </v>
      </c>
      <c r="K606" s="19" t="str">
        <f>IF(OR(E606="",E606="!!!",F606="NEW"),"",INDEX(J$1:J605,SUMPRODUCT(MAX(ROW(E$1:E605)*(E606=E$1:E605)))))</f>
        <v> </v>
      </c>
      <c r="L606" s="20"/>
    </row>
    <row r="607" spans="1:12">
      <c r="A607" s="13" t="s">
        <v>57</v>
      </c>
      <c r="E607" s="15">
        <f>IF(D607="?OLD","!!!","")</f>
        <v/>
      </c>
      <c r="F607" s="16" t="str">
        <f>IF(OR(E607="",E607="!!!"),"",IF(NOT(ISNA(VLOOKUP(E607,E$1:E606,1,FALSE()))),"OLD",IF(AND(E607&lt;&gt;"",E607&lt;&gt;"!!!"),"NEW","")))</f>
        <v> </v>
      </c>
      <c r="G607" s="17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18" t="str">
        <f>IF(J607&lt;&gt;1,"",IF(I607="SBJ","CB","?"))</f>
        <v> </v>
      </c>
      <c r="I607" s="19" t="str">
        <f>IF(OR(E607="",E607="!!!",F607="NEW"),"",INDEX(B606:B$2,-1+SUMPRODUCT(MAX(ROW(E606:E$2)*(E607=E606:E$2)))))</f>
        <v> </v>
      </c>
      <c r="J607" s="19" t="str">
        <f>IF(OR(E607="",E607="!!!",F607="NEW"),"",COUNTBLANK(OFFSET(A$1,,,SUMPRODUCT(MAX(ROW(E$2:E607)*(E607=E$2:E607)))))-COUNTBLANK(OFFSET(A$1,,,SUMPRODUCT(MAX(ROW(E$1:E606)*(E2=E$1:E606))))))</f>
        <v> </v>
      </c>
      <c r="K607" s="19" t="str">
        <f>IF(OR(E607="",E607="!!!",F607="NEW"),"",INDEX(J$1:J606,SUMPRODUCT(MAX(ROW(E$1:E606)*(E607=E$1:E606)))))</f>
        <v> </v>
      </c>
      <c r="L607" s="20"/>
    </row>
    <row r="608" spans="1:12">
      <c r="A608" s="13" t="s">
        <v>82</v>
      </c>
      <c r="E608" s="15">
        <f>IF(D608="?OLD","!!!","")</f>
        <v/>
      </c>
      <c r="F608" s="16" t="str">
        <f>IF(OR(E608="",E608="!!!"),"",IF(NOT(ISNA(VLOOKUP(E608,E$1:E607,1,FALSE()))),"OLD",IF(AND(E608&lt;&gt;"",E608&lt;&gt;"!!!"),"NEW","")))</f>
        <v> </v>
      </c>
      <c r="G608" s="17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18" t="str">
        <f>IF(J608&lt;&gt;1,"",IF(I608="SBJ","CB","?"))</f>
        <v> </v>
      </c>
      <c r="I608" s="19" t="str">
        <f>IF(OR(E608="",E608="!!!",F608="NEW"),"",INDEX(B607:B$2,-1+SUMPRODUCT(MAX(ROW(E607:E$2)*(E608=E607:E$2)))))</f>
        <v> </v>
      </c>
      <c r="J608" s="19" t="str">
        <f>IF(OR(E608="",E608="!!!",F608="NEW"),"",COUNTBLANK(OFFSET(A$1,,,SUMPRODUCT(MAX(ROW(E$2:E608)*(E608=E$2:E608)))))-COUNTBLANK(OFFSET(A$1,,,SUMPRODUCT(MAX(ROW(E$1:E607)*(E2=E$1:E607))))))</f>
        <v> </v>
      </c>
      <c r="K608" s="19" t="str">
        <f>IF(OR(E608="",E608="!!!",F608="NEW"),"",INDEX(J$1:J607,SUMPRODUCT(MAX(ROW(E$1:E607)*(E608=E$1:E607)))))</f>
        <v> </v>
      </c>
      <c r="L608" s="20"/>
    </row>
    <row r="609" spans="1:12">
      <c r="A609" s="13" t="s">
        <v>83</v>
      </c>
      <c r="B609" s="14" t="s">
        <v>45</v>
      </c>
      <c r="C609" s="14" t="s">
        <v>60</v>
      </c>
      <c r="D609" s="14" t="s">
        <v>25</v>
      </c>
      <c r="E609" s="15">
        <f>IF(D609="?OLD","!!!","")</f>
        <v/>
      </c>
      <c r="F609" s="16" t="str">
        <f>IF(OR(E609="",E609="!!!"),"",IF(NOT(ISNA(VLOOKUP(E609,E$1:E608,1,FALSE()))),"OLD",IF(AND(E609&lt;&gt;"",E609&lt;&gt;"!!!"),"NEW","")))</f>
        <v> </v>
      </c>
      <c r="G609" s="17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18" t="str">
        <f>IF(J609&lt;&gt;1,"",IF(I609="SBJ","CB","?"))</f>
        <v> </v>
      </c>
      <c r="I609" s="19" t="str">
        <f>IF(OR(E609="",E609="!!!",F609="NEW"),"",INDEX(B608:B$2,-1+SUMPRODUCT(MAX(ROW(E608:E$2)*(E609=E608:E$2)))))</f>
        <v> </v>
      </c>
      <c r="J609" s="19" t="str">
        <f>IF(OR(E609="",E609="!!!",F609="NEW"),"",COUNTBLANK(OFFSET(A$1,,,SUMPRODUCT(MAX(ROW(E$2:E609)*(E609=E$2:E609)))))-COUNTBLANK(OFFSET(A$1,,,SUMPRODUCT(MAX(ROW(E$1:E608)*(E2=E$1:E608))))))</f>
        <v> </v>
      </c>
      <c r="K609" s="19" t="str">
        <f>IF(OR(E609="",E609="!!!",F609="NEW"),"",INDEX(J$1:J608,SUMPRODUCT(MAX(ROW(E$1:E608)*(E609=E$1:E608)))))</f>
        <v> </v>
      </c>
      <c r="L609" s="20"/>
    </row>
    <row r="610" spans="1:12">
      <c r="A610" s="13" t="s">
        <v>76</v>
      </c>
      <c r="E610" s="15">
        <f>IF(D610="?OLD","!!!","")</f>
        <v/>
      </c>
      <c r="F610" s="16" t="str">
        <f>IF(OR(E610="",E610="!!!"),"",IF(NOT(ISNA(VLOOKUP(E610,E$1:E609,1,FALSE()))),"OLD",IF(AND(E610&lt;&gt;"",E610&lt;&gt;"!!!"),"NEW","")))</f>
        <v> </v>
      </c>
      <c r="G610" s="17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18" t="str">
        <f>IF(J610&lt;&gt;1,"",IF(I610="SBJ","CB","?"))</f>
        <v> </v>
      </c>
      <c r="I610" s="19" t="str">
        <f>IF(OR(E610="",E610="!!!",F610="NEW"),"",INDEX(B609:B$2,-1+SUMPRODUCT(MAX(ROW(E609:E$2)*(E610=E609:E$2)))))</f>
        <v> </v>
      </c>
      <c r="J610" s="19" t="str">
        <f>IF(OR(E610="",E610="!!!",F610="NEW"),"",COUNTBLANK(OFFSET(A$1,,,SUMPRODUCT(MAX(ROW(E$2:E610)*(E610=E$2:E610)))))-COUNTBLANK(OFFSET(A$1,,,SUMPRODUCT(MAX(ROW(E$1:E609)*(E2=E$1:E609))))))</f>
        <v> </v>
      </c>
      <c r="K610" s="19" t="str">
        <f>IF(OR(E610="",E610="!!!",F610="NEW"),"",INDEX(J$1:J609,SUMPRODUCT(MAX(ROW(E$1:E609)*(E610=E$1:E609)))))</f>
        <v> </v>
      </c>
      <c r="L610" s="20"/>
    </row>
    <row r="611" spans="1:12">
      <c r="A611" s="13" t="s">
        <v>57</v>
      </c>
      <c r="B611" s="14" t="s">
        <v>93</v>
      </c>
      <c r="C611" s="14" t="s">
        <v>64</v>
      </c>
      <c r="D611" s="14" t="s">
        <v>25</v>
      </c>
      <c r="E611" s="15">
        <f>IF(D611="?OLD","!!!","")</f>
        <v/>
      </c>
      <c r="F611" s="16" t="str">
        <f>IF(OR(E611="",E611="!!!"),"",IF(NOT(ISNA(VLOOKUP(E611,E$1:E610,1,FALSE()))),"OLD",IF(AND(E611&lt;&gt;"",E611&lt;&gt;"!!!"),"NEW","")))</f>
        <v> </v>
      </c>
      <c r="G611" s="17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18" t="str">
        <f>IF(J611&lt;&gt;1,"",IF(I611="SBJ","CB","?"))</f>
        <v> </v>
      </c>
      <c r="I611" s="19" t="str">
        <f>IF(OR(E611="",E611="!!!",F611="NEW"),"",INDEX(B610:B$2,-1+SUMPRODUCT(MAX(ROW(E610:E$2)*(E611=E610:E$2)))))</f>
        <v> </v>
      </c>
      <c r="J611" s="19" t="str">
        <f>IF(OR(E611="",E611="!!!",F611="NEW"),"",COUNTBLANK(OFFSET(A$1,,,SUMPRODUCT(MAX(ROW(E$2:E611)*(E611=E$2:E611)))))-COUNTBLANK(OFFSET(A$1,,,SUMPRODUCT(MAX(ROW(E$1:E610)*(E2=E$1:E610))))))</f>
        <v> </v>
      </c>
      <c r="K611" s="19" t="str">
        <f>IF(OR(E611="",E611="!!!",F611="NEW"),"",INDEX(J$1:J610,SUMPRODUCT(MAX(ROW(E$1:E610)*(E611=E$1:E610)))))</f>
        <v> </v>
      </c>
      <c r="L611" s="20"/>
    </row>
    <row r="612" spans="1:12">
      <c r="A612" s="13" t="s">
        <v>315</v>
      </c>
      <c r="E612" s="15">
        <f>IF(D612="?OLD","!!!","")</f>
        <v/>
      </c>
      <c r="F612" s="16" t="str">
        <f>IF(OR(E612="",E612="!!!"),"",IF(NOT(ISNA(VLOOKUP(E612,E$1:E611,1,FALSE()))),"OLD",IF(AND(E612&lt;&gt;"",E612&lt;&gt;"!!!"),"NEW","")))</f>
        <v> </v>
      </c>
      <c r="G612" s="17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18" t="str">
        <f>IF(J612&lt;&gt;1,"",IF(I612="SBJ","CB","?"))</f>
        <v> </v>
      </c>
      <c r="I612" s="19" t="str">
        <f>IF(OR(E612="",E612="!!!",F612="NEW"),"",INDEX(B611:B$2,-1+SUMPRODUCT(MAX(ROW(E611:E$2)*(E612=E611:E$2)))))</f>
        <v> </v>
      </c>
      <c r="J612" s="19" t="str">
        <f>IF(OR(E612="",E612="!!!",F612="NEW"),"",COUNTBLANK(OFFSET(A$1,,,SUMPRODUCT(MAX(ROW(E$2:E612)*(E612=E$2:E612)))))-COUNTBLANK(OFFSET(A$1,,,SUMPRODUCT(MAX(ROW(E$1:E611)*(E2=E$1:E611))))))</f>
        <v> </v>
      </c>
      <c r="K612" s="19" t="str">
        <f>IF(OR(E612="",E612="!!!",F612="NEW"),"",INDEX(J$1:J611,SUMPRODUCT(MAX(ROW(E$1:E611)*(E612=E$1:E611)))))</f>
        <v> </v>
      </c>
      <c r="L612" s="20"/>
    </row>
    <row r="613" spans="1:12">
      <c r="A613" s="13" t="s">
        <v>52</v>
      </c>
      <c r="E613" s="15">
        <f>IF(D613="?OLD","!!!","")</f>
        <v/>
      </c>
      <c r="F613" s="16" t="str">
        <f>IF(OR(E613="",E613="!!!"),"",IF(NOT(ISNA(VLOOKUP(E613,E$1:E612,1,FALSE()))),"OLD",IF(AND(E613&lt;&gt;"",E613&lt;&gt;"!!!"),"NEW","")))</f>
        <v> </v>
      </c>
      <c r="G613" s="17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18" t="str">
        <f>IF(J613&lt;&gt;1,"",IF(I613="SBJ","CB","?"))</f>
        <v> </v>
      </c>
      <c r="I613" s="19" t="str">
        <f>IF(OR(E613="",E613="!!!",F613="NEW"),"",INDEX(B612:B$2,-1+SUMPRODUCT(MAX(ROW(E612:E$2)*(E613=E612:E$2)))))</f>
        <v> </v>
      </c>
      <c r="J613" s="19" t="str">
        <f>IF(OR(E613="",E613="!!!",F613="NEW"),"",COUNTBLANK(OFFSET(A$1,,,SUMPRODUCT(MAX(ROW(E$2:E613)*(E613=E$2:E613)))))-COUNTBLANK(OFFSET(A$1,,,SUMPRODUCT(MAX(ROW(E$1:E612)*(E2=E$1:E612))))))</f>
        <v> </v>
      </c>
      <c r="K613" s="19" t="str">
        <f>IF(OR(E613="",E613="!!!",F613="NEW"),"",INDEX(J$1:J612,SUMPRODUCT(MAX(ROW(E$1:E612)*(E613=E$1:E612)))))</f>
        <v> </v>
      </c>
      <c r="L613" s="20"/>
    </row>
    <row r="614" spans="1:12">
      <c r="A614" s="13" t="s">
        <v>316</v>
      </c>
      <c r="B614" s="14" t="s">
        <v>27</v>
      </c>
      <c r="C614" s="14" t="s">
        <v>34</v>
      </c>
      <c r="E614" s="15">
        <f>IF(D614="?OLD","!!!","")</f>
        <v/>
      </c>
      <c r="F614" s="16" t="str">
        <f>IF(OR(E614="",E614="!!!"),"",IF(NOT(ISNA(VLOOKUP(E614,E$1:E613,1,FALSE()))),"OLD",IF(AND(E614&lt;&gt;"",E614&lt;&gt;"!!!"),"NEW","")))</f>
        <v> </v>
      </c>
      <c r="G614" s="17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18" t="str">
        <f>IF(J614&lt;&gt;1,"",IF(I614="SBJ","CB","?"))</f>
        <v> </v>
      </c>
      <c r="I614" s="19" t="str">
        <f>IF(OR(E614="",E614="!!!",F614="NEW"),"",INDEX(B613:B$2,-1+SUMPRODUCT(MAX(ROW(E613:E$2)*(E614=E613:E$2)))))</f>
        <v> </v>
      </c>
      <c r="J614" s="19" t="str">
        <f>IF(OR(E614="",E614="!!!",F614="NEW"),"",COUNTBLANK(OFFSET(A$1,,,SUMPRODUCT(MAX(ROW(E$2:E614)*(E614=E$2:E614)))))-COUNTBLANK(OFFSET(A$1,,,SUMPRODUCT(MAX(ROW(E$1:E613)*(E2=E$1:E613))))))</f>
        <v> </v>
      </c>
      <c r="K614" s="19" t="str">
        <f>IF(OR(E614="",E614="!!!",F614="NEW"),"",INDEX(J$1:J613,SUMPRODUCT(MAX(ROW(E$1:E613)*(E614=E$1:E613)))))</f>
        <v> </v>
      </c>
      <c r="L614" s="20"/>
    </row>
    <row r="615" spans="1:12">
      <c r="A615" s="13" t="s">
        <v>61</v>
      </c>
      <c r="B615" s="14" t="s">
        <v>98</v>
      </c>
      <c r="E615" s="15">
        <f>IF(D615="?OLD","!!!","")</f>
        <v/>
      </c>
      <c r="F615" s="16" t="str">
        <f>IF(OR(E615="",E615="!!!"),"",IF(NOT(ISNA(VLOOKUP(E615,E$1:E614,1,FALSE()))),"OLD",IF(AND(E615&lt;&gt;"",E615&lt;&gt;"!!!"),"NEW","")))</f>
        <v> </v>
      </c>
      <c r="G615" s="17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18" t="str">
        <f>IF(J615&lt;&gt;1,"",IF(I615="SBJ","CB","?"))</f>
        <v> </v>
      </c>
      <c r="I615" s="19" t="str">
        <f>IF(OR(E615="",E615="!!!",F615="NEW"),"",INDEX(B614:B$2,-1+SUMPRODUCT(MAX(ROW(E614:E$2)*(E615=E614:E$2)))))</f>
        <v> </v>
      </c>
      <c r="J615" s="19" t="str">
        <f>IF(OR(E615="",E615="!!!",F615="NEW"),"",COUNTBLANK(OFFSET(A$1,,,SUMPRODUCT(MAX(ROW(E$2:E615)*(E615=E$2:E615)))))-COUNTBLANK(OFFSET(A$1,,,SUMPRODUCT(MAX(ROW(E$1:E614)*(E2=E$1:E614))))))</f>
        <v> </v>
      </c>
      <c r="K615" s="19" t="str">
        <f>IF(OR(E615="",E615="!!!",F615="NEW"),"",INDEX(J$1:J614,SUMPRODUCT(MAX(ROW(E$1:E614)*(E615=E$1:E614)))))</f>
        <v> </v>
      </c>
      <c r="L615" s="20"/>
    </row>
    <row r="616" spans="1:12">
      <c r="A616" s="13" t="s">
        <v>174</v>
      </c>
      <c r="E616" s="15">
        <f>IF(D616="?OLD","!!!","")</f>
        <v/>
      </c>
      <c r="F616" s="16" t="str">
        <f>IF(OR(E616="",E616="!!!"),"",IF(NOT(ISNA(VLOOKUP(E616,E$1:E615,1,FALSE()))),"OLD",IF(AND(E616&lt;&gt;"",E616&lt;&gt;"!!!"),"NEW","")))</f>
        <v> </v>
      </c>
      <c r="G616" s="17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18" t="str">
        <f>IF(J616&lt;&gt;1,"",IF(I616="SBJ","CB","?"))</f>
        <v> </v>
      </c>
      <c r="I616" s="19" t="str">
        <f>IF(OR(E616="",E616="!!!",F616="NEW"),"",INDEX(B615:B$2,-1+SUMPRODUCT(MAX(ROW(E615:E$2)*(E616=E615:E$2)))))</f>
        <v> </v>
      </c>
      <c r="J616" s="19" t="str">
        <f>IF(OR(E616="",E616="!!!",F616="NEW"),"",COUNTBLANK(OFFSET(A$1,,,SUMPRODUCT(MAX(ROW(E$2:E616)*(E616=E$2:E616)))))-COUNTBLANK(OFFSET(A$1,,,SUMPRODUCT(MAX(ROW(E$1:E615)*(E2=E$1:E615))))))</f>
        <v> </v>
      </c>
      <c r="K616" s="19" t="str">
        <f>IF(OR(E616="",E616="!!!",F616="NEW"),"",INDEX(J$1:J615,SUMPRODUCT(MAX(ROW(E$1:E615)*(E616=E$1:E615)))))</f>
        <v> </v>
      </c>
      <c r="L616" s="20"/>
    </row>
    <row r="617" spans="1:12">
      <c r="A617" s="13" t="s">
        <v>62</v>
      </c>
      <c r="B617" s="14" t="s">
        <v>63</v>
      </c>
      <c r="C617" s="14" t="s">
        <v>64</v>
      </c>
      <c r="D617" s="14" t="s">
        <v>25</v>
      </c>
      <c r="E617" s="15">
        <f>IF(D617="?OLD","!!!","")</f>
        <v/>
      </c>
      <c r="F617" s="16" t="str">
        <f>IF(OR(E617="",E617="!!!"),"",IF(NOT(ISNA(VLOOKUP(E617,E$1:E616,1,FALSE()))),"OLD",IF(AND(E617&lt;&gt;"",E617&lt;&gt;"!!!"),"NEW","")))</f>
        <v> </v>
      </c>
      <c r="G617" s="17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18" t="str">
        <f>IF(J617&lt;&gt;1,"",IF(I617="SBJ","CB","?"))</f>
        <v> </v>
      </c>
      <c r="I617" s="19" t="str">
        <f>IF(OR(E617="",E617="!!!",F617="NEW"),"",INDEX(B616:B$2,-1+SUMPRODUCT(MAX(ROW(E616:E$2)*(E617=E616:E$2)))))</f>
        <v> </v>
      </c>
      <c r="J617" s="19" t="str">
        <f>IF(OR(E617="",E617="!!!",F617="NEW"),"",COUNTBLANK(OFFSET(A$1,,,SUMPRODUCT(MAX(ROW(E$2:E617)*(E617=E$2:E617)))))-COUNTBLANK(OFFSET(A$1,,,SUMPRODUCT(MAX(ROW(E$1:E616)*(E2=E$1:E616))))))</f>
        <v> </v>
      </c>
      <c r="K617" s="19" t="str">
        <f>IF(OR(E617="",E617="!!!",F617="NEW"),"",INDEX(J$1:J616,SUMPRODUCT(MAX(ROW(E$1:E616)*(E617=E$1:E616)))))</f>
        <v> </v>
      </c>
      <c r="L617" s="20"/>
    </row>
    <row r="618" spans="1:12">
      <c r="A618" s="13" t="s">
        <v>317</v>
      </c>
      <c r="E618" s="15">
        <f>IF(D618="?OLD","!!!","")</f>
        <v/>
      </c>
      <c r="F618" s="16" t="str">
        <f>IF(OR(E618="",E618="!!!"),"",IF(NOT(ISNA(VLOOKUP(E618,E$1:E617,1,FALSE()))),"OLD",IF(AND(E618&lt;&gt;"",E618&lt;&gt;"!!!"),"NEW","")))</f>
        <v> </v>
      </c>
      <c r="G618" s="17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18" t="str">
        <f>IF(J618&lt;&gt;1,"",IF(I618="SBJ","CB","?"))</f>
        <v> </v>
      </c>
      <c r="I618" s="19" t="str">
        <f>IF(OR(E618="",E618="!!!",F618="NEW"),"",INDEX(B617:B$2,-1+SUMPRODUCT(MAX(ROW(E617:E$2)*(E618=E617:E$2)))))</f>
        <v> </v>
      </c>
      <c r="J618" s="19" t="str">
        <f>IF(OR(E618="",E618="!!!",F618="NEW"),"",COUNTBLANK(OFFSET(A$1,,,SUMPRODUCT(MAX(ROW(E$2:E618)*(E618=E$2:E618)))))-COUNTBLANK(OFFSET(A$1,,,SUMPRODUCT(MAX(ROW(E$1:E617)*(E2=E$1:E617))))))</f>
        <v> </v>
      </c>
      <c r="K618" s="19" t="str">
        <f>IF(OR(E618="",E618="!!!",F618="NEW"),"",INDEX(J$1:J617,SUMPRODUCT(MAX(ROW(E$1:E617)*(E618=E$1:E617)))))</f>
        <v> </v>
      </c>
      <c r="L618" s="20"/>
    </row>
    <row r="619" spans="1:12">
      <c r="A619" s="13" t="s">
        <v>56</v>
      </c>
      <c r="E619" s="15">
        <f>IF(D619="?OLD","!!!","")</f>
        <v/>
      </c>
      <c r="F619" s="16" t="str">
        <f>IF(OR(E619="",E619="!!!"),"",IF(NOT(ISNA(VLOOKUP(E619,E$1:E618,1,FALSE()))),"OLD",IF(AND(E619&lt;&gt;"",E619&lt;&gt;"!!!"),"NEW","")))</f>
        <v> </v>
      </c>
      <c r="G619" s="17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18" t="str">
        <f>IF(J619&lt;&gt;1,"",IF(I619="SBJ","CB","?"))</f>
        <v> </v>
      </c>
      <c r="I619" s="19" t="str">
        <f>IF(OR(E619="",E619="!!!",F619="NEW"),"",INDEX(B618:B$2,-1+SUMPRODUCT(MAX(ROW(E618:E$2)*(E619=E618:E$2)))))</f>
        <v> </v>
      </c>
      <c r="J619" s="19" t="str">
        <f>IF(OR(E619="",E619="!!!",F619="NEW"),"",COUNTBLANK(OFFSET(A$1,,,SUMPRODUCT(MAX(ROW(E$2:E619)*(E619=E$2:E619)))))-COUNTBLANK(OFFSET(A$1,,,SUMPRODUCT(MAX(ROW(E$1:E618)*(E2=E$1:E618))))))</f>
        <v> </v>
      </c>
      <c r="K619" s="19" t="str">
        <f>IF(OR(E619="",E619="!!!",F619="NEW"),"",INDEX(J$1:J618,SUMPRODUCT(MAX(ROW(E$1:E618)*(E619=E$1:E618)))))</f>
        <v> </v>
      </c>
      <c r="L619" s="20"/>
    </row>
    <row r="620" spans="1:12">
      <c r="A620" s="13" t="s">
        <v>127</v>
      </c>
      <c r="E620" s="15">
        <f>IF(D620="?OLD","!!!","")</f>
        <v/>
      </c>
      <c r="F620" s="16" t="str">
        <f>IF(OR(E620="",E620="!!!"),"",IF(NOT(ISNA(VLOOKUP(E620,E$1:E619,1,FALSE()))),"OLD",IF(AND(E620&lt;&gt;"",E620&lt;&gt;"!!!"),"NEW","")))</f>
        <v> </v>
      </c>
      <c r="G620" s="17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18" t="str">
        <f>IF(J620&lt;&gt;1,"",IF(I620="SBJ","CB","?"))</f>
        <v> </v>
      </c>
      <c r="I620" s="19" t="str">
        <f>IF(OR(E620="",E620="!!!",F620="NEW"),"",INDEX(B619:B$2,-1+SUMPRODUCT(MAX(ROW(E619:E$2)*(E620=E619:E$2)))))</f>
        <v> </v>
      </c>
      <c r="J620" s="19" t="str">
        <f>IF(OR(E620="",E620="!!!",F620="NEW"),"",COUNTBLANK(OFFSET(A$1,,,SUMPRODUCT(MAX(ROW(E$2:E620)*(E620=E$2:E620)))))-COUNTBLANK(OFFSET(A$1,,,SUMPRODUCT(MAX(ROW(E$1:E619)*(E2=E$1:E619))))))</f>
        <v> </v>
      </c>
      <c r="K620" s="19" t="str">
        <f>IF(OR(E620="",E620="!!!",F620="NEW"),"",INDEX(J$1:J619,SUMPRODUCT(MAX(ROW(E$1:E619)*(E620=E$1:E619)))))</f>
        <v> </v>
      </c>
      <c r="L620" s="20"/>
    </row>
    <row r="621" spans="1:12">
      <c r="A621" s="13" t="s">
        <v>185</v>
      </c>
      <c r="E621" s="15">
        <f>IF(D621="?OLD","!!!","")</f>
        <v/>
      </c>
      <c r="F621" s="16" t="str">
        <f>IF(OR(E621="",E621="!!!"),"",IF(NOT(ISNA(VLOOKUP(E621,E$1:E620,1,FALSE()))),"OLD",IF(AND(E621&lt;&gt;"",E621&lt;&gt;"!!!"),"NEW","")))</f>
        <v> </v>
      </c>
      <c r="G621" s="17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18" t="str">
        <f>IF(J621&lt;&gt;1,"",IF(I621="SBJ","CB","?"))</f>
        <v> </v>
      </c>
      <c r="I621" s="19" t="str">
        <f>IF(OR(E621="",E621="!!!",F621="NEW"),"",INDEX(B620:B$2,-1+SUMPRODUCT(MAX(ROW(E620:E$2)*(E621=E620:E$2)))))</f>
        <v> </v>
      </c>
      <c r="J621" s="19" t="str">
        <f>IF(OR(E621="",E621="!!!",F621="NEW"),"",COUNTBLANK(OFFSET(A$1,,,SUMPRODUCT(MAX(ROW(E$2:E621)*(E621=E$2:E621)))))-COUNTBLANK(OFFSET(A$1,,,SUMPRODUCT(MAX(ROW(E$1:E620)*(E2=E$1:E620))))))</f>
        <v> </v>
      </c>
      <c r="K621" s="19" t="str">
        <f>IF(OR(E621="",E621="!!!",F621="NEW"),"",INDEX(J$1:J620,SUMPRODUCT(MAX(ROW(E$1:E620)*(E621=E$1:E620)))))</f>
        <v> </v>
      </c>
      <c r="L621" s="20"/>
    </row>
    <row r="622" spans="1:12">
      <c r="A622" s="13" t="s">
        <v>318</v>
      </c>
      <c r="E622" s="15">
        <f>IF(D622="?OLD","!!!","")</f>
        <v/>
      </c>
      <c r="F622" s="16" t="str">
        <f>IF(OR(E622="",E622="!!!"),"",IF(NOT(ISNA(VLOOKUP(E622,E$1:E621,1,FALSE()))),"OLD",IF(AND(E622&lt;&gt;"",E622&lt;&gt;"!!!"),"NEW","")))</f>
        <v> </v>
      </c>
      <c r="G622" s="17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18" t="str">
        <f>IF(J622&lt;&gt;1,"",IF(I622="SBJ","CB","?"))</f>
        <v> </v>
      </c>
      <c r="I622" s="19" t="str">
        <f>IF(OR(E622="",E622="!!!",F622="NEW"),"",INDEX(B621:B$2,-1+SUMPRODUCT(MAX(ROW(E621:E$2)*(E622=E621:E$2)))))</f>
        <v> </v>
      </c>
      <c r="J622" s="19" t="str">
        <f>IF(OR(E622="",E622="!!!",F622="NEW"),"",COUNTBLANK(OFFSET(A$1,,,SUMPRODUCT(MAX(ROW(E$2:E622)*(E622=E$2:E622)))))-COUNTBLANK(OFFSET(A$1,,,SUMPRODUCT(MAX(ROW(E$1:E621)*(E2=E$1:E621))))))</f>
        <v> </v>
      </c>
      <c r="K622" s="19" t="str">
        <f>IF(OR(E622="",E622="!!!",F622="NEW"),"",INDEX(J$1:J621,SUMPRODUCT(MAX(ROW(E$1:E621)*(E622=E$1:E621)))))</f>
        <v> </v>
      </c>
      <c r="L622" s="20"/>
    </row>
    <row r="623" spans="1:12">
      <c r="A623" s="13" t="s">
        <v>319</v>
      </c>
      <c r="B623" s="14" t="s">
        <v>27</v>
      </c>
      <c r="C623" s="14" t="s">
        <v>149</v>
      </c>
      <c r="E623" s="15">
        <f>IF(D623="?OLD","!!!","")</f>
        <v/>
      </c>
      <c r="F623" s="16" t="str">
        <f>IF(OR(E623="",E623="!!!"),"",IF(NOT(ISNA(VLOOKUP(E623,E$1:E622,1,FALSE()))),"OLD",IF(AND(E623&lt;&gt;"",E623&lt;&gt;"!!!"),"NEW","")))</f>
        <v> </v>
      </c>
      <c r="G623" s="17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18" t="str">
        <f>IF(J623&lt;&gt;1,"",IF(I623="SBJ","CB","?"))</f>
        <v> </v>
      </c>
      <c r="I623" s="19" t="str">
        <f>IF(OR(E623="",E623="!!!",F623="NEW"),"",INDEX(B622:B$2,-1+SUMPRODUCT(MAX(ROW(E622:E$2)*(E623=E622:E$2)))))</f>
        <v> </v>
      </c>
      <c r="J623" s="19" t="str">
        <f>IF(OR(E623="",E623="!!!",F623="NEW"),"",COUNTBLANK(OFFSET(A$1,,,SUMPRODUCT(MAX(ROW(E$2:E623)*(E623=E$2:E623)))))-COUNTBLANK(OFFSET(A$1,,,SUMPRODUCT(MAX(ROW(E$1:E622)*(E2=E$1:E622))))))</f>
        <v> </v>
      </c>
      <c r="K623" s="19" t="str">
        <f>IF(OR(E623="",E623="!!!",F623="NEW"),"",INDEX(J$1:J622,SUMPRODUCT(MAX(ROW(E$1:E622)*(E623=E$1:E622)))))</f>
        <v> </v>
      </c>
      <c r="L623" s="20"/>
    </row>
    <row r="624" spans="1:12">
      <c r="A624" s="13" t="s">
        <v>61</v>
      </c>
      <c r="B624" s="14" t="s">
        <v>97</v>
      </c>
      <c r="E624" s="15">
        <f>IF(D624="?OLD","!!!","")</f>
        <v/>
      </c>
      <c r="F624" s="16" t="str">
        <f>IF(OR(E624="",E624="!!!"),"",IF(NOT(ISNA(VLOOKUP(E624,E$1:E623,1,FALSE()))),"OLD",IF(AND(E624&lt;&gt;"",E624&lt;&gt;"!!!"),"NEW","")))</f>
        <v> </v>
      </c>
      <c r="G624" s="17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18" t="str">
        <f>IF(J624&lt;&gt;1,"",IF(I624="SBJ","CB","?"))</f>
        <v> </v>
      </c>
      <c r="I624" s="19" t="str">
        <f>IF(OR(E624="",E624="!!!",F624="NEW"),"",INDEX(B623:B$2,-1+SUMPRODUCT(MAX(ROW(E623:E$2)*(E624=E623:E$2)))))</f>
        <v> </v>
      </c>
      <c r="J624" s="19" t="str">
        <f>IF(OR(E624="",E624="!!!",F624="NEW"),"",COUNTBLANK(OFFSET(A$1,,,SUMPRODUCT(MAX(ROW(E$2:E624)*(E624=E$2:E624)))))-COUNTBLANK(OFFSET(A$1,,,SUMPRODUCT(MAX(ROW(E$1:E623)*(E2=E$1:E623))))))</f>
        <v> </v>
      </c>
      <c r="K624" s="19" t="str">
        <f>IF(OR(E624="",E624="!!!",F624="NEW"),"",INDEX(J$1:J623,SUMPRODUCT(MAX(ROW(E$1:E623)*(E624=E$1:E623)))))</f>
        <v> </v>
      </c>
      <c r="L624" s="20"/>
    </row>
    <row r="625" spans="1:12">
      <c r="A625" s="13" t="s">
        <v>174</v>
      </c>
      <c r="E625" s="15">
        <f>IF(D625="?OLD","!!!","")</f>
        <v/>
      </c>
      <c r="F625" s="16" t="str">
        <f>IF(OR(E625="",E625="!!!"),"",IF(NOT(ISNA(VLOOKUP(E625,E$1:E624,1,FALSE()))),"OLD",IF(AND(E625&lt;&gt;"",E625&lt;&gt;"!!!"),"NEW","")))</f>
        <v> </v>
      </c>
      <c r="G625" s="17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18" t="str">
        <f>IF(J625&lt;&gt;1,"",IF(I625="SBJ","CB","?"))</f>
        <v> </v>
      </c>
      <c r="I625" s="19" t="str">
        <f>IF(OR(E625="",E625="!!!",F625="NEW"),"",INDEX(B624:B$2,-1+SUMPRODUCT(MAX(ROW(E624:E$2)*(E625=E624:E$2)))))</f>
        <v> </v>
      </c>
      <c r="J625" s="19" t="str">
        <f>IF(OR(E625="",E625="!!!",F625="NEW"),"",COUNTBLANK(OFFSET(A$1,,,SUMPRODUCT(MAX(ROW(E$2:E625)*(E625=E$2:E625)))))-COUNTBLANK(OFFSET(A$1,,,SUMPRODUCT(MAX(ROW(E$1:E624)*(E2=E$1:E624))))))</f>
        <v> </v>
      </c>
      <c r="K625" s="19" t="str">
        <f>IF(OR(E625="",E625="!!!",F625="NEW"),"",INDEX(J$1:J624,SUMPRODUCT(MAX(ROW(E$1:E624)*(E625=E$1:E624)))))</f>
        <v> </v>
      </c>
      <c r="L625" s="20"/>
    </row>
    <row r="626" spans="1:12">
      <c r="A626" s="13" t="s">
        <v>160</v>
      </c>
      <c r="E626" s="15">
        <f>IF(D626="?OLD","!!!","")</f>
        <v/>
      </c>
      <c r="F626" s="16" t="str">
        <f>IF(OR(E626="",E626="!!!"),"",IF(NOT(ISNA(VLOOKUP(E626,E$1:E625,1,FALSE()))),"OLD",IF(AND(E626&lt;&gt;"",E626&lt;&gt;"!!!"),"NEW","")))</f>
        <v> </v>
      </c>
      <c r="G626" s="17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18" t="str">
        <f>IF(J626&lt;&gt;1,"",IF(I626="SBJ","CB","?"))</f>
        <v> </v>
      </c>
      <c r="I626" s="19" t="str">
        <f>IF(OR(E626="",E626="!!!",F626="NEW"),"",INDEX(B625:B$2,-1+SUMPRODUCT(MAX(ROW(E625:E$2)*(E626=E625:E$2)))))</f>
        <v> </v>
      </c>
      <c r="J626" s="19" t="str">
        <f>IF(OR(E626="",E626="!!!",F626="NEW"),"",COUNTBLANK(OFFSET(A$1,,,SUMPRODUCT(MAX(ROW(E$2:E626)*(E626=E$2:E626)))))-COUNTBLANK(OFFSET(A$1,,,SUMPRODUCT(MAX(ROW(E$1:E625)*(E2=E$1:E625))))))</f>
        <v> </v>
      </c>
      <c r="K626" s="19" t="str">
        <f>IF(OR(E626="",E626="!!!",F626="NEW"),"",INDEX(J$1:J625,SUMPRODUCT(MAX(ROW(E$1:E625)*(E626=E$1:E625)))))</f>
        <v> </v>
      </c>
      <c r="L626" s="20"/>
    </row>
    <row r="627" spans="1:12">
      <c r="A627" s="13" t="s">
        <v>48</v>
      </c>
      <c r="E627" s="15">
        <f>IF(D627="?OLD","!!!","")</f>
        <v/>
      </c>
      <c r="F627" s="16" t="str">
        <f>IF(OR(E627="",E627="!!!"),"",IF(NOT(ISNA(VLOOKUP(E627,E$1:E626,1,FALSE()))),"OLD",IF(AND(E627&lt;&gt;"",E627&lt;&gt;"!!!"),"NEW","")))</f>
        <v> </v>
      </c>
      <c r="G627" s="17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18" t="str">
        <f>IF(J627&lt;&gt;1,"",IF(I627="SBJ","CB","?"))</f>
        <v> </v>
      </c>
      <c r="I627" s="19" t="str">
        <f>IF(OR(E627="",E627="!!!",F627="NEW"),"",INDEX(B626:B$2,-1+SUMPRODUCT(MAX(ROW(E626:E$2)*(E627=E626:E$2)))))</f>
        <v> </v>
      </c>
      <c r="J627" s="19" t="str">
        <f>IF(OR(E627="",E627="!!!",F627="NEW"),"",COUNTBLANK(OFFSET(A$1,,,SUMPRODUCT(MAX(ROW(E$2:E627)*(E627=E$2:E627)))))-COUNTBLANK(OFFSET(A$1,,,SUMPRODUCT(MAX(ROW(E$1:E626)*(E2=E$1:E626))))))</f>
        <v> </v>
      </c>
      <c r="K627" s="19" t="str">
        <f>IF(OR(E627="",E627="!!!",F627="NEW"),"",INDEX(J$1:J626,SUMPRODUCT(MAX(ROW(E$1:E626)*(E627=E$1:E626)))))</f>
        <v> </v>
      </c>
      <c r="L627" s="20"/>
    </row>
    <row r="628" spans="1:12">
      <c r="A628" s="13" t="s">
        <v>320</v>
      </c>
      <c r="E628" s="15">
        <f>IF(D628="?OLD","!!!","")</f>
        <v/>
      </c>
      <c r="F628" s="16" t="str">
        <f>IF(OR(E628="",E628="!!!"),"",IF(NOT(ISNA(VLOOKUP(E628,E$1:E627,1,FALSE()))),"OLD",IF(AND(E628&lt;&gt;"",E628&lt;&gt;"!!!"),"NEW","")))</f>
        <v> </v>
      </c>
      <c r="G628" s="17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18" t="str">
        <f>IF(J628&lt;&gt;1,"",IF(I628="SBJ","CB","?"))</f>
        <v> </v>
      </c>
      <c r="I628" s="19" t="str">
        <f>IF(OR(E628="",E628="!!!",F628="NEW"),"",INDEX(B627:B$2,-1+SUMPRODUCT(MAX(ROW(E627:E$2)*(E628=E627:E$2)))))</f>
        <v> </v>
      </c>
      <c r="J628" s="19" t="str">
        <f>IF(OR(E628="",E628="!!!",F628="NEW"),"",COUNTBLANK(OFFSET(A$1,,,SUMPRODUCT(MAX(ROW(E$2:E628)*(E628=E$2:E628)))))-COUNTBLANK(OFFSET(A$1,,,SUMPRODUCT(MAX(ROW(E$1:E627)*(E2=E$1:E627))))))</f>
        <v> </v>
      </c>
      <c r="K628" s="19" t="str">
        <f>IF(OR(E628="",E628="!!!",F628="NEW"),"",INDEX(J$1:J627,SUMPRODUCT(MAX(ROW(E$1:E627)*(E628=E$1:E627)))))</f>
        <v> </v>
      </c>
      <c r="L628" s="20"/>
    </row>
    <row r="629" spans="1:12">
      <c r="A629" s="13" t="s">
        <v>68</v>
      </c>
      <c r="E629" s="15">
        <f>IF(D629="?OLD","!!!","")</f>
        <v/>
      </c>
      <c r="F629" s="16" t="str">
        <f>IF(OR(E629="",E629="!!!"),"",IF(NOT(ISNA(VLOOKUP(E629,E$1:E628,1,FALSE()))),"OLD",IF(AND(E629&lt;&gt;"",E629&lt;&gt;"!!!"),"NEW","")))</f>
        <v> </v>
      </c>
      <c r="G629" s="17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18" t="str">
        <f>IF(J629&lt;&gt;1,"",IF(I629="SBJ","CB","?"))</f>
        <v> </v>
      </c>
      <c r="I629" s="19" t="str">
        <f>IF(OR(E629="",E629="!!!",F629="NEW"),"",INDEX(B628:B$2,-1+SUMPRODUCT(MAX(ROW(E628:E$2)*(E629=E628:E$2)))))</f>
        <v> </v>
      </c>
      <c r="J629" s="19" t="str">
        <f>IF(OR(E629="",E629="!!!",F629="NEW"),"",COUNTBLANK(OFFSET(A$1,,,SUMPRODUCT(MAX(ROW(E$2:E629)*(E629=E$2:E629)))))-COUNTBLANK(OFFSET(A$1,,,SUMPRODUCT(MAX(ROW(E$1:E628)*(E2=E$1:E628))))))</f>
        <v> </v>
      </c>
      <c r="K629" s="19" t="str">
        <f>IF(OR(E629="",E629="!!!",F629="NEW"),"",INDEX(J$1:J628,SUMPRODUCT(MAX(ROW(E$1:E628)*(E629=E$1:E628)))))</f>
        <v> </v>
      </c>
      <c r="L629" s="20"/>
    </row>
    <row r="630" spans="1:12">
      <c r="A630" s="13"/>
    </row>
    <row r="631" spans="1:12">
      <c r="A631" s="13" t="s">
        <v>321</v>
      </c>
    </row>
    <row r="632" spans="1:12">
      <c r="A632" s="13" t="s">
        <v>322</v>
      </c>
      <c r="E632" s="15">
        <f>IF(D632="?OLD","!!!","")</f>
        <v/>
      </c>
      <c r="F632" s="16" t="str">
        <f>IF(OR(E632="",E632="!!!"),"",IF(NOT(ISNA(VLOOKUP(E632,E$1:E631,1,FALSE()))),"OLD",IF(AND(E632&lt;&gt;"",E632&lt;&gt;"!!!"),"NEW","")))</f>
        <v> </v>
      </c>
      <c r="G632" s="17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18" t="str">
        <f>IF(J632&lt;&gt;1,"",IF(I632="SBJ","CB","?"))</f>
        <v> </v>
      </c>
      <c r="I632" s="19" t="str">
        <f>IF(OR(E632="",E632="!!!",F632="NEW"),"",INDEX(B631:B$2,-1+SUMPRODUCT(MAX(ROW(E631:E$2)*(E632=E631:E$2)))))</f>
        <v> </v>
      </c>
      <c r="J632" s="19" t="str">
        <f>IF(OR(E632="",E632="!!!",F632="NEW"),"",COUNTBLANK(OFFSET(A$1,,,SUMPRODUCT(MAX(ROW(E$2:E632)*(E632=E$2:E632)))))-COUNTBLANK(OFFSET(A$1,,,SUMPRODUCT(MAX(ROW(E$1:E631)*(E2=E$1:E631))))))</f>
        <v> </v>
      </c>
      <c r="K632" s="19" t="str">
        <f>IF(OR(E632="",E632="!!!",F632="NEW"),"",INDEX(J$1:J631,SUMPRODUCT(MAX(ROW(E$1:E631)*(E632=E$1:E631)))))</f>
        <v> </v>
      </c>
      <c r="L632" s="20"/>
    </row>
    <row r="633" spans="1:12">
      <c r="A633" s="13" t="s">
        <v>323</v>
      </c>
      <c r="E633" s="15">
        <f>IF(D633="?OLD","!!!","")</f>
        <v/>
      </c>
      <c r="F633" s="16" t="str">
        <f>IF(OR(E633="",E633="!!!"),"",IF(NOT(ISNA(VLOOKUP(E633,E$1:E632,1,FALSE()))),"OLD",IF(AND(E633&lt;&gt;"",E633&lt;&gt;"!!!"),"NEW","")))</f>
        <v> </v>
      </c>
      <c r="G633" s="17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18" t="str">
        <f>IF(J633&lt;&gt;1,"",IF(I633="SBJ","CB","?"))</f>
        <v> </v>
      </c>
      <c r="I633" s="19" t="str">
        <f>IF(OR(E633="",E633="!!!",F633="NEW"),"",INDEX(B632:B$2,-1+SUMPRODUCT(MAX(ROW(E632:E$2)*(E633=E632:E$2)))))</f>
        <v> </v>
      </c>
      <c r="J633" s="19" t="str">
        <f>IF(OR(E633="",E633="!!!",F633="NEW"),"",COUNTBLANK(OFFSET(A$1,,,SUMPRODUCT(MAX(ROW(E$2:E633)*(E633=E$2:E633)))))-COUNTBLANK(OFFSET(A$1,,,SUMPRODUCT(MAX(ROW(E$1:E632)*(E2=E$1:E632))))))</f>
        <v> </v>
      </c>
      <c r="K633" s="19" t="str">
        <f>IF(OR(E633="",E633="!!!",F633="NEW"),"",INDEX(J$1:J632,SUMPRODUCT(MAX(ROW(E$1:E632)*(E633=E$1:E632)))))</f>
        <v> </v>
      </c>
      <c r="L633" s="20"/>
    </row>
    <row r="634" spans="1:12">
      <c r="A634" s="13" t="s">
        <v>57</v>
      </c>
      <c r="E634" s="15">
        <f>IF(D634="?OLD","!!!","")</f>
        <v/>
      </c>
      <c r="F634" s="16" t="str">
        <f>IF(OR(E634="",E634="!!!"),"",IF(NOT(ISNA(VLOOKUP(E634,E$1:E633,1,FALSE()))),"OLD",IF(AND(E634&lt;&gt;"",E634&lt;&gt;"!!!"),"NEW","")))</f>
        <v> </v>
      </c>
      <c r="G634" s="17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18" t="str">
        <f>IF(J634&lt;&gt;1,"",IF(I634="SBJ","CB","?"))</f>
        <v> </v>
      </c>
      <c r="I634" s="19" t="str">
        <f>IF(OR(E634="",E634="!!!",F634="NEW"),"",INDEX(B633:B$2,-1+SUMPRODUCT(MAX(ROW(E633:E$2)*(E634=E633:E$2)))))</f>
        <v> </v>
      </c>
      <c r="J634" s="19" t="str">
        <f>IF(OR(E634="",E634="!!!",F634="NEW"),"",COUNTBLANK(OFFSET(A$1,,,SUMPRODUCT(MAX(ROW(E$2:E634)*(E634=E$2:E634)))))-COUNTBLANK(OFFSET(A$1,,,SUMPRODUCT(MAX(ROW(E$1:E633)*(E2=E$1:E633))))))</f>
        <v> </v>
      </c>
      <c r="K634" s="19" t="str">
        <f>IF(OR(E634="",E634="!!!",F634="NEW"),"",INDEX(J$1:J633,SUMPRODUCT(MAX(ROW(E$1:E633)*(E634=E$1:E633)))))</f>
        <v> </v>
      </c>
      <c r="L634" s="20"/>
    </row>
    <row r="635" spans="1:12">
      <c r="A635" s="13" t="s">
        <v>305</v>
      </c>
      <c r="B635" s="14" t="s">
        <v>88</v>
      </c>
      <c r="C635" s="14" t="s">
        <v>60</v>
      </c>
      <c r="D635" s="14" t="s">
        <v>25</v>
      </c>
      <c r="E635" s="15">
        <f>IF(D635="?OLD","!!!","")</f>
        <v/>
      </c>
      <c r="F635" s="16" t="str">
        <f>IF(OR(E635="",E635="!!!"),"",IF(NOT(ISNA(VLOOKUP(E635,E$1:E634,1,FALSE()))),"OLD",IF(AND(E635&lt;&gt;"",E635&lt;&gt;"!!!"),"NEW","")))</f>
        <v> </v>
      </c>
      <c r="G635" s="17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18" t="str">
        <f>IF(J635&lt;&gt;1,"",IF(I635="SBJ","CB","?"))</f>
        <v> </v>
      </c>
      <c r="I635" s="19" t="str">
        <f>IF(OR(E635="",E635="!!!",F635="NEW"),"",INDEX(B634:B$2,-1+SUMPRODUCT(MAX(ROW(E634:E$2)*(E635=E634:E$2)))))</f>
        <v> </v>
      </c>
      <c r="J635" s="19" t="str">
        <f>IF(OR(E635="",E635="!!!",F635="NEW"),"",COUNTBLANK(OFFSET(A$1,,,SUMPRODUCT(MAX(ROW(E$2:E635)*(E635=E$2:E635)))))-COUNTBLANK(OFFSET(A$1,,,SUMPRODUCT(MAX(ROW(E$1:E634)*(E2=E$1:E634))))))</f>
        <v> </v>
      </c>
      <c r="K635" s="19" t="str">
        <f>IF(OR(E635="",E635="!!!",F635="NEW"),"",INDEX(J$1:J634,SUMPRODUCT(MAX(ROW(E$1:E634)*(E635=E$1:E634)))))</f>
        <v> </v>
      </c>
      <c r="L635" s="20"/>
    </row>
    <row r="636" spans="1:12">
      <c r="A636" s="13" t="s">
        <v>76</v>
      </c>
      <c r="E636" s="15">
        <f>IF(D636="?OLD","!!!","")</f>
        <v/>
      </c>
      <c r="F636" s="16" t="str">
        <f>IF(OR(E636="",E636="!!!"),"",IF(NOT(ISNA(VLOOKUP(E636,E$1:E635,1,FALSE()))),"OLD",IF(AND(E636&lt;&gt;"",E636&lt;&gt;"!!!"),"NEW","")))</f>
        <v> </v>
      </c>
      <c r="G636" s="17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18" t="str">
        <f>IF(J636&lt;&gt;1,"",IF(I636="SBJ","CB","?"))</f>
        <v> </v>
      </c>
      <c r="I636" s="19" t="str">
        <f>IF(OR(E636="",E636="!!!",F636="NEW"),"",INDEX(B635:B$2,-1+SUMPRODUCT(MAX(ROW(E635:E$2)*(E636=E635:E$2)))))</f>
        <v> </v>
      </c>
      <c r="J636" s="19" t="str">
        <f>IF(OR(E636="",E636="!!!",F636="NEW"),"",COUNTBLANK(OFFSET(A$1,,,SUMPRODUCT(MAX(ROW(E$2:E636)*(E636=E$2:E636)))))-COUNTBLANK(OFFSET(A$1,,,SUMPRODUCT(MAX(ROW(E$1:E635)*(E2=E$1:E635))))))</f>
        <v> </v>
      </c>
      <c r="K636" s="19" t="str">
        <f>IF(OR(E636="",E636="!!!",F636="NEW"),"",INDEX(J$1:J635,SUMPRODUCT(MAX(ROW(E$1:E635)*(E636=E$1:E635)))))</f>
        <v> </v>
      </c>
      <c r="L636" s="20"/>
    </row>
    <row r="637" spans="1:12">
      <c r="A637" s="13" t="s">
        <v>263</v>
      </c>
      <c r="E637" s="15">
        <f>IF(D637="?OLD","!!!","")</f>
        <v/>
      </c>
      <c r="F637" s="16" t="str">
        <f>IF(OR(E637="",E637="!!!"),"",IF(NOT(ISNA(VLOOKUP(E637,E$1:E636,1,FALSE()))),"OLD",IF(AND(E637&lt;&gt;"",E637&lt;&gt;"!!!"),"NEW","")))</f>
        <v> </v>
      </c>
      <c r="G637" s="17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18" t="str">
        <f>IF(J637&lt;&gt;1,"",IF(I637="SBJ","CB","?"))</f>
        <v> </v>
      </c>
      <c r="I637" s="19" t="str">
        <f>IF(OR(E637="",E637="!!!",F637="NEW"),"",INDEX(B636:B$2,-1+SUMPRODUCT(MAX(ROW(E636:E$2)*(E637=E636:E$2)))))</f>
        <v> </v>
      </c>
      <c r="J637" s="19" t="str">
        <f>IF(OR(E637="",E637="!!!",F637="NEW"),"",COUNTBLANK(OFFSET(A$1,,,SUMPRODUCT(MAX(ROW(E$2:E637)*(E637=E$2:E637)))))-COUNTBLANK(OFFSET(A$1,,,SUMPRODUCT(MAX(ROW(E$1:E636)*(E2=E$1:E636))))))</f>
        <v> </v>
      </c>
      <c r="K637" s="19" t="str">
        <f>IF(OR(E637="",E637="!!!",F637="NEW"),"",INDEX(J$1:J636,SUMPRODUCT(MAX(ROW(E$1:E636)*(E637=E$1:E636)))))</f>
        <v> </v>
      </c>
      <c r="L637" s="20"/>
    </row>
    <row r="638" spans="1:12">
      <c r="A638" s="13" t="s">
        <v>102</v>
      </c>
      <c r="E638" s="15">
        <f>IF(D638="?OLD","!!!","")</f>
        <v/>
      </c>
      <c r="F638" s="16" t="str">
        <f>IF(OR(E638="",E638="!!!"),"",IF(NOT(ISNA(VLOOKUP(E638,E$1:E637,1,FALSE()))),"OLD",IF(AND(E638&lt;&gt;"",E638&lt;&gt;"!!!"),"NEW","")))</f>
        <v> </v>
      </c>
      <c r="G638" s="17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18" t="str">
        <f>IF(J638&lt;&gt;1,"",IF(I638="SBJ","CB","?"))</f>
        <v> </v>
      </c>
      <c r="I638" s="19" t="str">
        <f>IF(OR(E638="",E638="!!!",F638="NEW"),"",INDEX(B637:B$2,-1+SUMPRODUCT(MAX(ROW(E637:E$2)*(E638=E637:E$2)))))</f>
        <v> </v>
      </c>
      <c r="J638" s="19" t="str">
        <f>IF(OR(E638="",E638="!!!",F638="NEW"),"",COUNTBLANK(OFFSET(A$1,,,SUMPRODUCT(MAX(ROW(E$2:E638)*(E638=E$2:E638)))))-COUNTBLANK(OFFSET(A$1,,,SUMPRODUCT(MAX(ROW(E$1:E637)*(E2=E$1:E637))))))</f>
        <v> </v>
      </c>
      <c r="K638" s="19" t="str">
        <f>IF(OR(E638="",E638="!!!",F638="NEW"),"",INDEX(J$1:J637,SUMPRODUCT(MAX(ROW(E$1:E637)*(E638=E$1:E637)))))</f>
        <v> </v>
      </c>
      <c r="L638" s="20"/>
    </row>
    <row r="639" spans="1:12">
      <c r="A639" s="13" t="s">
        <v>324</v>
      </c>
      <c r="E639" s="15">
        <f>IF(D639="?OLD","!!!","")</f>
        <v/>
      </c>
      <c r="F639" s="16" t="str">
        <f>IF(OR(E639="",E639="!!!"),"",IF(NOT(ISNA(VLOOKUP(E639,E$1:E638,1,FALSE()))),"OLD",IF(AND(E639&lt;&gt;"",E639&lt;&gt;"!!!"),"NEW","")))</f>
        <v> </v>
      </c>
      <c r="G639" s="17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18" t="str">
        <f>IF(J639&lt;&gt;1,"",IF(I639="SBJ","CB","?"))</f>
        <v> </v>
      </c>
      <c r="I639" s="19" t="str">
        <f>IF(OR(E639="",E639="!!!",F639="NEW"),"",INDEX(B638:B$2,-1+SUMPRODUCT(MAX(ROW(E638:E$2)*(E639=E638:E$2)))))</f>
        <v> </v>
      </c>
      <c r="J639" s="19" t="str">
        <f>IF(OR(E639="",E639="!!!",F639="NEW"),"",COUNTBLANK(OFFSET(A$1,,,SUMPRODUCT(MAX(ROW(E$2:E639)*(E639=E$2:E639)))))-COUNTBLANK(OFFSET(A$1,,,SUMPRODUCT(MAX(ROW(E$1:E638)*(E2=E$1:E638))))))</f>
        <v> </v>
      </c>
      <c r="K639" s="19" t="str">
        <f>IF(OR(E639="",E639="!!!",F639="NEW"),"",INDEX(J$1:J638,SUMPRODUCT(MAX(ROW(E$1:E638)*(E639=E$1:E638)))))</f>
        <v> </v>
      </c>
      <c r="L639" s="20"/>
    </row>
    <row r="640" spans="1:12">
      <c r="A640" s="13" t="s">
        <v>62</v>
      </c>
      <c r="E640" s="15">
        <f>IF(D640="?OLD","!!!","")</f>
        <v/>
      </c>
      <c r="F640" s="16" t="str">
        <f>IF(OR(E640="",E640="!!!"),"",IF(NOT(ISNA(VLOOKUP(E640,E$1:E639,1,FALSE()))),"OLD",IF(AND(E640&lt;&gt;"",E640&lt;&gt;"!!!"),"NEW","")))</f>
        <v> </v>
      </c>
      <c r="G640" s="17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18" t="str">
        <f>IF(J640&lt;&gt;1,"",IF(I640="SBJ","CB","?"))</f>
        <v> </v>
      </c>
      <c r="I640" s="19" t="str">
        <f>IF(OR(E640="",E640="!!!",F640="NEW"),"",INDEX(B639:B$2,-1+SUMPRODUCT(MAX(ROW(E639:E$2)*(E640=E639:E$2)))))</f>
        <v> </v>
      </c>
      <c r="J640" s="19" t="str">
        <f>IF(OR(E640="",E640="!!!",F640="NEW"),"",COUNTBLANK(OFFSET(A$1,,,SUMPRODUCT(MAX(ROW(E$2:E640)*(E640=E$2:E640)))))-COUNTBLANK(OFFSET(A$1,,,SUMPRODUCT(MAX(ROW(E$1:E639)*(E2=E$1:E639))))))</f>
        <v> </v>
      </c>
      <c r="K640" s="19" t="str">
        <f>IF(OR(E640="",E640="!!!",F640="NEW"),"",INDEX(J$1:J639,SUMPRODUCT(MAX(ROW(E$1:E639)*(E640=E$1:E639)))))</f>
        <v> </v>
      </c>
      <c r="L640" s="20"/>
    </row>
    <row r="641" spans="1:12">
      <c r="A641" s="13" t="s">
        <v>52</v>
      </c>
      <c r="E641" s="15">
        <f>IF(D641="?OLD","!!!","")</f>
        <v/>
      </c>
      <c r="F641" s="16" t="str">
        <f>IF(OR(E641="",E641="!!!"),"",IF(NOT(ISNA(VLOOKUP(E641,E$1:E640,1,FALSE()))),"OLD",IF(AND(E641&lt;&gt;"",E641&lt;&gt;"!!!"),"NEW","")))</f>
        <v> </v>
      </c>
      <c r="G641" s="17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18" t="str">
        <f>IF(J641&lt;&gt;1,"",IF(I641="SBJ","CB","?"))</f>
        <v> </v>
      </c>
      <c r="I641" s="19" t="str">
        <f>IF(OR(E641="",E641="!!!",F641="NEW"),"",INDEX(B640:B$2,-1+SUMPRODUCT(MAX(ROW(E640:E$2)*(E641=E640:E$2)))))</f>
        <v> </v>
      </c>
      <c r="J641" s="19" t="str">
        <f>IF(OR(E641="",E641="!!!",F641="NEW"),"",COUNTBLANK(OFFSET(A$1,,,SUMPRODUCT(MAX(ROW(E$2:E641)*(E641=E$2:E641)))))-COUNTBLANK(OFFSET(A$1,,,SUMPRODUCT(MAX(ROW(E$1:E640)*(E2=E$1:E640))))))</f>
        <v> </v>
      </c>
      <c r="K641" s="19" t="str">
        <f>IF(OR(E641="",E641="!!!",F641="NEW"),"",INDEX(J$1:J640,SUMPRODUCT(MAX(ROW(E$1:E640)*(E641=E$1:E640)))))</f>
        <v> </v>
      </c>
      <c r="L641" s="20"/>
    </row>
    <row r="642" spans="1:12">
      <c r="A642" s="13" t="s">
        <v>95</v>
      </c>
      <c r="E642" s="15">
        <f>IF(D642="?OLD","!!!","")</f>
        <v/>
      </c>
      <c r="F642" s="16" t="str">
        <f>IF(OR(E642="",E642="!!!"),"",IF(NOT(ISNA(VLOOKUP(E642,E$1:E641,1,FALSE()))),"OLD",IF(AND(E642&lt;&gt;"",E642&lt;&gt;"!!!"),"NEW","")))</f>
        <v> </v>
      </c>
      <c r="G642" s="17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18" t="str">
        <f>IF(J642&lt;&gt;1,"",IF(I642="SBJ","CB","?"))</f>
        <v> </v>
      </c>
      <c r="I642" s="19" t="str">
        <f>IF(OR(E642="",E642="!!!",F642="NEW"),"",INDEX(B641:B$2,-1+SUMPRODUCT(MAX(ROW(E641:E$2)*(E642=E641:E$2)))))</f>
        <v> </v>
      </c>
      <c r="J642" s="19" t="str">
        <f>IF(OR(E642="",E642="!!!",F642="NEW"),"",COUNTBLANK(OFFSET(A$1,,,SUMPRODUCT(MAX(ROW(E$2:E642)*(E642=E$2:E642)))))-COUNTBLANK(OFFSET(A$1,,,SUMPRODUCT(MAX(ROW(E$1:E641)*(E2=E$1:E641))))))</f>
        <v> </v>
      </c>
      <c r="K642" s="19" t="str">
        <f>IF(OR(E642="",E642="!!!",F642="NEW"),"",INDEX(J$1:J641,SUMPRODUCT(MAX(ROW(E$1:E641)*(E642=E$1:E641)))))</f>
        <v> </v>
      </c>
      <c r="L642" s="20"/>
    </row>
    <row r="643" spans="1:12">
      <c r="A643" s="13" t="s">
        <v>298</v>
      </c>
      <c r="B643" s="14" t="s">
        <v>33</v>
      </c>
      <c r="C643" s="14" t="s">
        <v>39</v>
      </c>
      <c r="D643" s="14" t="s">
        <v>25</v>
      </c>
      <c r="E643" s="15">
        <f>IF(D643="?OLD","!!!","")</f>
        <v/>
      </c>
      <c r="F643" s="16" t="str">
        <f>IF(OR(E643="",E643="!!!"),"",IF(NOT(ISNA(VLOOKUP(E643,E$1:E642,1,FALSE()))),"OLD",IF(AND(E643&lt;&gt;"",E643&lt;&gt;"!!!"),"NEW","")))</f>
        <v> </v>
      </c>
      <c r="G643" s="17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18" t="str">
        <f>IF(J643&lt;&gt;1,"",IF(I643="SBJ","CB","?"))</f>
        <v> </v>
      </c>
      <c r="I643" s="19" t="str">
        <f>IF(OR(E643="",E643="!!!",F643="NEW"),"",INDEX(B642:B$2,-1+SUMPRODUCT(MAX(ROW(E642:E$2)*(E643=E642:E$2)))))</f>
        <v> </v>
      </c>
      <c r="J643" s="19" t="str">
        <f>IF(OR(E643="",E643="!!!",F643="NEW"),"",COUNTBLANK(OFFSET(A$1,,,SUMPRODUCT(MAX(ROW(E$2:E643)*(E643=E$2:E643)))))-COUNTBLANK(OFFSET(A$1,,,SUMPRODUCT(MAX(ROW(E$1:E642)*(E2=E$1:E642))))))</f>
        <v> </v>
      </c>
      <c r="K643" s="19" t="str">
        <f>IF(OR(E643="",E643="!!!",F643="NEW"),"",INDEX(J$1:J642,SUMPRODUCT(MAX(ROW(E$1:E642)*(E643=E$1:E642)))))</f>
        <v> </v>
      </c>
      <c r="L643" s="20"/>
    </row>
    <row r="644" spans="1:12">
      <c r="A644" s="13" t="s">
        <v>79</v>
      </c>
      <c r="E644" s="15">
        <f>IF(D644="?OLD","!!!","")</f>
        <v/>
      </c>
      <c r="F644" s="16" t="str">
        <f>IF(OR(E644="",E644="!!!"),"",IF(NOT(ISNA(VLOOKUP(E644,E$1:E643,1,FALSE()))),"OLD",IF(AND(E644&lt;&gt;"",E644&lt;&gt;"!!!"),"NEW","")))</f>
        <v> </v>
      </c>
      <c r="G644" s="17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18" t="str">
        <f>IF(J644&lt;&gt;1,"",IF(I644="SBJ","CB","?"))</f>
        <v> </v>
      </c>
      <c r="I644" s="19" t="str">
        <f>IF(OR(E644="",E644="!!!",F644="NEW"),"",INDEX(B643:B$2,-1+SUMPRODUCT(MAX(ROW(E643:E$2)*(E644=E643:E$2)))))</f>
        <v> </v>
      </c>
      <c r="J644" s="19" t="str">
        <f>IF(OR(E644="",E644="!!!",F644="NEW"),"",COUNTBLANK(OFFSET(A$1,,,SUMPRODUCT(MAX(ROW(E$2:E644)*(E644=E$2:E644)))))-COUNTBLANK(OFFSET(A$1,,,SUMPRODUCT(MAX(ROW(E$1:E643)*(E2=E$1:E643))))))</f>
        <v> </v>
      </c>
      <c r="K644" s="19" t="str">
        <f>IF(OR(E644="",E644="!!!",F644="NEW"),"",INDEX(J$1:J643,SUMPRODUCT(MAX(ROW(E$1:E643)*(E644=E$1:E643)))))</f>
        <v> </v>
      </c>
      <c r="L644" s="20"/>
    </row>
    <row r="645" spans="1:12">
      <c r="A645" s="13" t="s">
        <v>57</v>
      </c>
      <c r="E645" s="15">
        <f>IF(D645="?OLD","!!!","")</f>
        <v/>
      </c>
      <c r="F645" s="16" t="str">
        <f>IF(OR(E645="",E645="!!!"),"",IF(NOT(ISNA(VLOOKUP(E645,E$1:E644,1,FALSE()))),"OLD",IF(AND(E645&lt;&gt;"",E645&lt;&gt;"!!!"),"NEW","")))</f>
        <v> </v>
      </c>
      <c r="G645" s="17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18" t="str">
        <f>IF(J645&lt;&gt;1,"",IF(I645="SBJ","CB","?"))</f>
        <v> </v>
      </c>
      <c r="I645" s="19" t="str">
        <f>IF(OR(E645="",E645="!!!",F645="NEW"),"",INDEX(B644:B$2,-1+SUMPRODUCT(MAX(ROW(E644:E$2)*(E645=E644:E$2)))))</f>
        <v> </v>
      </c>
      <c r="J645" s="19" t="str">
        <f>IF(OR(E645="",E645="!!!",F645="NEW"),"",COUNTBLANK(OFFSET(A$1,,,SUMPRODUCT(MAX(ROW(E$2:E645)*(E645=E$2:E645)))))-COUNTBLANK(OFFSET(A$1,,,SUMPRODUCT(MAX(ROW(E$1:E644)*(E2=E$1:E644))))))</f>
        <v> </v>
      </c>
      <c r="K645" s="19" t="str">
        <f>IF(OR(E645="",E645="!!!",F645="NEW"),"",INDEX(J$1:J644,SUMPRODUCT(MAX(ROW(E$1:E644)*(E645=E$1:E644)))))</f>
        <v> </v>
      </c>
      <c r="L645" s="20"/>
    </row>
    <row r="646" spans="1:12">
      <c r="A646" s="13" t="s">
        <v>77</v>
      </c>
      <c r="B646" s="14" t="s">
        <v>63</v>
      </c>
      <c r="C646" s="14" t="s">
        <v>60</v>
      </c>
      <c r="D646" s="14" t="s">
        <v>25</v>
      </c>
      <c r="E646" s="15">
        <f>IF(D646="?OLD","!!!","")</f>
        <v/>
      </c>
      <c r="F646" s="16" t="str">
        <f>IF(OR(E646="",E646="!!!"),"",IF(NOT(ISNA(VLOOKUP(E646,E$1:E645,1,FALSE()))),"OLD",IF(AND(E646&lt;&gt;"",E646&lt;&gt;"!!!"),"NEW","")))</f>
        <v> </v>
      </c>
      <c r="G646" s="17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18" t="str">
        <f>IF(J646&lt;&gt;1,"",IF(I646="SBJ","CB","?"))</f>
        <v> </v>
      </c>
      <c r="I646" s="19" t="str">
        <f>IF(OR(E646="",E646="!!!",F646="NEW"),"",INDEX(B645:B$2,-1+SUMPRODUCT(MAX(ROW(E645:E$2)*(E646=E645:E$2)))))</f>
        <v> </v>
      </c>
      <c r="J646" s="19" t="str">
        <f>IF(OR(E646="",E646="!!!",F646="NEW"),"",COUNTBLANK(OFFSET(A$1,,,SUMPRODUCT(MAX(ROW(E$2:E646)*(E646=E$2:E646)))))-COUNTBLANK(OFFSET(A$1,,,SUMPRODUCT(MAX(ROW(E$1:E645)*(E2=E$1:E645))))))</f>
        <v> </v>
      </c>
      <c r="K646" s="19" t="str">
        <f>IF(OR(E646="",E646="!!!",F646="NEW"),"",INDEX(J$1:J645,SUMPRODUCT(MAX(ROW(E$1:E645)*(E646=E$1:E645)))))</f>
        <v> </v>
      </c>
      <c r="L646" s="20"/>
    </row>
    <row r="647" spans="1:12">
      <c r="A647" s="13" t="s">
        <v>56</v>
      </c>
      <c r="E647" s="15">
        <f>IF(D647="?OLD","!!!","")</f>
        <v/>
      </c>
      <c r="F647" s="16" t="str">
        <f>IF(OR(E647="",E647="!!!"),"",IF(NOT(ISNA(VLOOKUP(E647,E$1:E646,1,FALSE()))),"OLD",IF(AND(E647&lt;&gt;"",E647&lt;&gt;"!!!"),"NEW","")))</f>
        <v> </v>
      </c>
      <c r="G647" s="17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18" t="str">
        <f>IF(J647&lt;&gt;1,"",IF(I647="SBJ","CB","?"))</f>
        <v> </v>
      </c>
      <c r="I647" s="19" t="str">
        <f>IF(OR(E647="",E647="!!!",F647="NEW"),"",INDEX(B646:B$2,-1+SUMPRODUCT(MAX(ROW(E646:E$2)*(E647=E646:E$2)))))</f>
        <v> </v>
      </c>
      <c r="J647" s="19" t="str">
        <f>IF(OR(E647="",E647="!!!",F647="NEW"),"",COUNTBLANK(OFFSET(A$1,,,SUMPRODUCT(MAX(ROW(E$2:E647)*(E647=E$2:E647)))))-COUNTBLANK(OFFSET(A$1,,,SUMPRODUCT(MAX(ROW(E$1:E646)*(E2=E$1:E646))))))</f>
        <v> </v>
      </c>
      <c r="K647" s="19" t="str">
        <f>IF(OR(E647="",E647="!!!",F647="NEW"),"",INDEX(J$1:J646,SUMPRODUCT(MAX(ROW(E$1:E646)*(E647=E$1:E646)))))</f>
        <v> </v>
      </c>
      <c r="L647" s="20"/>
    </row>
    <row r="648" spans="1:12">
      <c r="A648" s="13" t="s">
        <v>325</v>
      </c>
      <c r="E648" s="15">
        <f>IF(D648="?OLD","!!!","")</f>
        <v/>
      </c>
      <c r="F648" s="16" t="str">
        <f>IF(OR(E648="",E648="!!!"),"",IF(NOT(ISNA(VLOOKUP(E648,E$1:E647,1,FALSE()))),"OLD",IF(AND(E648&lt;&gt;"",E648&lt;&gt;"!!!"),"NEW","")))</f>
        <v> </v>
      </c>
      <c r="G648" s="17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18" t="str">
        <f>IF(J648&lt;&gt;1,"",IF(I648="SBJ","CB","?"))</f>
        <v> </v>
      </c>
      <c r="I648" s="19" t="str">
        <f>IF(OR(E648="",E648="!!!",F648="NEW"),"",INDEX(B647:B$2,-1+SUMPRODUCT(MAX(ROW(E647:E$2)*(E648=E647:E$2)))))</f>
        <v> </v>
      </c>
      <c r="J648" s="19" t="str">
        <f>IF(OR(E648="",E648="!!!",F648="NEW"),"",COUNTBLANK(OFFSET(A$1,,,SUMPRODUCT(MAX(ROW(E$2:E648)*(E648=E$2:E648)))))-COUNTBLANK(OFFSET(A$1,,,SUMPRODUCT(MAX(ROW(E$1:E647)*(E2=E$1:E647))))))</f>
        <v> </v>
      </c>
      <c r="K648" s="19" t="str">
        <f>IF(OR(E648="",E648="!!!",F648="NEW"),"",INDEX(J$1:J647,SUMPRODUCT(MAX(ROW(E$1:E647)*(E648=E$1:E647)))))</f>
        <v> </v>
      </c>
      <c r="L648" s="20"/>
    </row>
    <row r="649" spans="1:12">
      <c r="A649" s="13" t="s">
        <v>61</v>
      </c>
      <c r="E649" s="15">
        <f>IF(D649="?OLD","!!!","")</f>
        <v/>
      </c>
      <c r="F649" s="16" t="str">
        <f>IF(OR(E649="",E649="!!!"),"",IF(NOT(ISNA(VLOOKUP(E649,E$1:E648,1,FALSE()))),"OLD",IF(AND(E649&lt;&gt;"",E649&lt;&gt;"!!!"),"NEW","")))</f>
        <v> </v>
      </c>
      <c r="G649" s="17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18" t="str">
        <f>IF(J649&lt;&gt;1,"",IF(I649="SBJ","CB","?"))</f>
        <v> </v>
      </c>
      <c r="I649" s="19" t="str">
        <f>IF(OR(E649="",E649="!!!",F649="NEW"),"",INDEX(B648:B$2,-1+SUMPRODUCT(MAX(ROW(E648:E$2)*(E649=E648:E$2)))))</f>
        <v> </v>
      </c>
      <c r="J649" s="19" t="str">
        <f>IF(OR(E649="",E649="!!!",F649="NEW"),"",COUNTBLANK(OFFSET(A$1,,,SUMPRODUCT(MAX(ROW(E$2:E649)*(E649=E$2:E649)))))-COUNTBLANK(OFFSET(A$1,,,SUMPRODUCT(MAX(ROW(E$1:E648)*(E2=E$1:E648))))))</f>
        <v> </v>
      </c>
      <c r="K649" s="19" t="str">
        <f>IF(OR(E649="",E649="!!!",F649="NEW"),"",INDEX(J$1:J648,SUMPRODUCT(MAX(ROW(E$1:E648)*(E649=E$1:E648)))))</f>
        <v> </v>
      </c>
      <c r="L649" s="20"/>
    </row>
    <row r="650" spans="1:12">
      <c r="A650" s="13" t="s">
        <v>326</v>
      </c>
      <c r="E650" s="15">
        <f>IF(D650="?OLD","!!!","")</f>
        <v/>
      </c>
      <c r="F650" s="16" t="str">
        <f>IF(OR(E650="",E650="!!!"),"",IF(NOT(ISNA(VLOOKUP(E650,E$1:E649,1,FALSE()))),"OLD",IF(AND(E650&lt;&gt;"",E650&lt;&gt;"!!!"),"NEW","")))</f>
        <v> </v>
      </c>
      <c r="G650" s="17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18" t="str">
        <f>IF(J650&lt;&gt;1,"",IF(I650="SBJ","CB","?"))</f>
        <v> </v>
      </c>
      <c r="I650" s="19" t="str">
        <f>IF(OR(E650="",E650="!!!",F650="NEW"),"",INDEX(B649:B$2,-1+SUMPRODUCT(MAX(ROW(E649:E$2)*(E650=E649:E$2)))))</f>
        <v> </v>
      </c>
      <c r="J650" s="19" t="str">
        <f>IF(OR(E650="",E650="!!!",F650="NEW"),"",COUNTBLANK(OFFSET(A$1,,,SUMPRODUCT(MAX(ROW(E$2:E650)*(E650=E$2:E650)))))-COUNTBLANK(OFFSET(A$1,,,SUMPRODUCT(MAX(ROW(E$1:E649)*(E2=E$1:E649))))))</f>
        <v> </v>
      </c>
      <c r="K650" s="19" t="str">
        <f>IF(OR(E650="",E650="!!!",F650="NEW"),"",INDEX(J$1:J649,SUMPRODUCT(MAX(ROW(E$1:E649)*(E650=E$1:E649)))))</f>
        <v> </v>
      </c>
      <c r="L650" s="20"/>
    </row>
    <row r="651" spans="1:12">
      <c r="A651" s="13" t="s">
        <v>36</v>
      </c>
      <c r="B651" s="14" t="s">
        <v>97</v>
      </c>
      <c r="C651" s="14" t="s">
        <v>24</v>
      </c>
      <c r="D651" s="14" t="s">
        <v>25</v>
      </c>
      <c r="E651" s="15">
        <f>IF(D651="?OLD","!!!","")</f>
        <v/>
      </c>
      <c r="F651" s="16" t="str">
        <f>IF(OR(E651="",E651="!!!"),"",IF(NOT(ISNA(VLOOKUP(E651,E$1:E650,1,FALSE()))),"OLD",IF(AND(E651&lt;&gt;"",E651&lt;&gt;"!!!"),"NEW","")))</f>
        <v> </v>
      </c>
      <c r="G651" s="17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18" t="str">
        <f>IF(J651&lt;&gt;1,"",IF(I651="SBJ","CB","?"))</f>
        <v> </v>
      </c>
      <c r="I651" s="19" t="str">
        <f>IF(OR(E651="",E651="!!!",F651="NEW"),"",INDEX(B650:B$2,-1+SUMPRODUCT(MAX(ROW(E650:E$2)*(E651=E650:E$2)))))</f>
        <v> </v>
      </c>
      <c r="J651" s="19" t="str">
        <f>IF(OR(E651="",E651="!!!",F651="NEW"),"",COUNTBLANK(OFFSET(A$1,,,SUMPRODUCT(MAX(ROW(E$2:E651)*(E651=E$2:E651)))))-COUNTBLANK(OFFSET(A$1,,,SUMPRODUCT(MAX(ROW(E$1:E650)*(E2=E$1:E650))))))</f>
        <v> </v>
      </c>
      <c r="K651" s="19" t="str">
        <f>IF(OR(E651="",E651="!!!",F651="NEW"),"",INDEX(J$1:J650,SUMPRODUCT(MAX(ROW(E$1:E650)*(E651=E$1:E650)))))</f>
        <v> </v>
      </c>
      <c r="L651" s="20"/>
    </row>
    <row r="652" spans="1:12">
      <c r="A652" s="13" t="s">
        <v>37</v>
      </c>
      <c r="B652" s="14" t="s">
        <v>106</v>
      </c>
      <c r="C652" s="14" t="s">
        <v>24</v>
      </c>
      <c r="D652" s="14" t="s">
        <v>25</v>
      </c>
      <c r="E652" s="15">
        <f>IF(D652="?OLD","!!!","")</f>
        <v/>
      </c>
      <c r="F652" s="16" t="str">
        <f>IF(OR(E652="",E652="!!!"),"",IF(NOT(ISNA(VLOOKUP(E652,E$1:E651,1,FALSE()))),"OLD",IF(AND(E652&lt;&gt;"",E652&lt;&gt;"!!!"),"NEW","")))</f>
        <v> </v>
      </c>
      <c r="G652" s="17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18" t="str">
        <f>IF(J652&lt;&gt;1,"",IF(I652="SBJ","CB","?"))</f>
        <v> </v>
      </c>
      <c r="I652" s="19" t="str">
        <f>IF(OR(E652="",E652="!!!",F652="NEW"),"",INDEX(B651:B$2,-1+SUMPRODUCT(MAX(ROW(E651:E$2)*(E652=E651:E$2)))))</f>
        <v> </v>
      </c>
      <c r="J652" s="19" t="str">
        <f>IF(OR(E652="",E652="!!!",F652="NEW"),"",COUNTBLANK(OFFSET(A$1,,,SUMPRODUCT(MAX(ROW(E$2:E652)*(E652=E$2:E652)))))-COUNTBLANK(OFFSET(A$1,,,SUMPRODUCT(MAX(ROW(E$1:E651)*(E2=E$1:E651))))))</f>
        <v> </v>
      </c>
      <c r="K652" s="19" t="str">
        <f>IF(OR(E652="",E652="!!!",F652="NEW"),"",INDEX(J$1:J651,SUMPRODUCT(MAX(ROW(E$1:E651)*(E652=E$1:E651)))))</f>
        <v> </v>
      </c>
      <c r="L652" s="20"/>
    </row>
    <row r="653" spans="1:12">
      <c r="A653" s="13" t="s">
        <v>56</v>
      </c>
      <c r="E653" s="15">
        <f>IF(D653="?OLD","!!!","")</f>
        <v/>
      </c>
      <c r="F653" s="16" t="str">
        <f>IF(OR(E653="",E653="!!!"),"",IF(NOT(ISNA(VLOOKUP(E653,E$1:E652,1,FALSE()))),"OLD",IF(AND(E653&lt;&gt;"",E653&lt;&gt;"!!!"),"NEW","")))</f>
        <v> </v>
      </c>
      <c r="G653" s="17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18" t="str">
        <f>IF(J653&lt;&gt;1,"",IF(I653="SBJ","CB","?"))</f>
        <v> </v>
      </c>
      <c r="I653" s="19" t="str">
        <f>IF(OR(E653="",E653="!!!",F653="NEW"),"",INDEX(B652:B$2,-1+SUMPRODUCT(MAX(ROW(E652:E$2)*(E653=E652:E$2)))))</f>
        <v> </v>
      </c>
      <c r="J653" s="19" t="str">
        <f>IF(OR(E653="",E653="!!!",F653="NEW"),"",COUNTBLANK(OFFSET(A$1,,,SUMPRODUCT(MAX(ROW(E$2:E653)*(E653=E$2:E653)))))-COUNTBLANK(OFFSET(A$1,,,SUMPRODUCT(MAX(ROW(E$1:E652)*(E2=E$1:E652))))))</f>
        <v> </v>
      </c>
      <c r="K653" s="19" t="str">
        <f>IF(OR(E653="",E653="!!!",F653="NEW"),"",INDEX(J$1:J652,SUMPRODUCT(MAX(ROW(E$1:E652)*(E653=E$1:E652)))))</f>
        <v> </v>
      </c>
      <c r="L653" s="20"/>
    </row>
    <row r="654" spans="1:12">
      <c r="A654" s="13" t="s">
        <v>61</v>
      </c>
      <c r="B654" s="14" t="s">
        <v>295</v>
      </c>
      <c r="E654" s="15">
        <f>IF(D654="?OLD","!!!","")</f>
        <v/>
      </c>
      <c r="F654" s="16" t="str">
        <f>IF(OR(E654="",E654="!!!"),"",IF(NOT(ISNA(VLOOKUP(E654,E$1:E653,1,FALSE()))),"OLD",IF(AND(E654&lt;&gt;"",E654&lt;&gt;"!!!"),"NEW","")))</f>
        <v> </v>
      </c>
      <c r="G654" s="17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18" t="str">
        <f>IF(J654&lt;&gt;1,"",IF(I654="SBJ","CB","?"))</f>
        <v> </v>
      </c>
      <c r="I654" s="19" t="str">
        <f>IF(OR(E654="",E654="!!!",F654="NEW"),"",INDEX(B653:B$2,-1+SUMPRODUCT(MAX(ROW(E653:E$2)*(E654=E653:E$2)))))</f>
        <v> </v>
      </c>
      <c r="J654" s="19" t="str">
        <f>IF(OR(E654="",E654="!!!",F654="NEW"),"",COUNTBLANK(OFFSET(A$1,,,SUMPRODUCT(MAX(ROW(E$2:E654)*(E654=E$2:E654)))))-COUNTBLANK(OFFSET(A$1,,,SUMPRODUCT(MAX(ROW(E$1:E653)*(E2=E$1:E653))))))</f>
        <v> </v>
      </c>
      <c r="K654" s="19" t="str">
        <f>IF(OR(E654="",E654="!!!",F654="NEW"),"",INDEX(J$1:J653,SUMPRODUCT(MAX(ROW(E$1:E653)*(E654=E$1:E653)))))</f>
        <v> </v>
      </c>
      <c r="L654" s="20"/>
    </row>
    <row r="655" spans="1:12">
      <c r="A655" s="13" t="s">
        <v>56</v>
      </c>
      <c r="E655" s="15">
        <f>IF(D655="?OLD","!!!","")</f>
        <v/>
      </c>
      <c r="F655" s="16" t="str">
        <f>IF(OR(E655="",E655="!!!"),"",IF(NOT(ISNA(VLOOKUP(E655,E$1:E654,1,FALSE()))),"OLD",IF(AND(E655&lt;&gt;"",E655&lt;&gt;"!!!"),"NEW","")))</f>
        <v> </v>
      </c>
      <c r="G655" s="17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18" t="str">
        <f>IF(J655&lt;&gt;1,"",IF(I655="SBJ","CB","?"))</f>
        <v> </v>
      </c>
      <c r="I655" s="19" t="str">
        <f>IF(OR(E655="",E655="!!!",F655="NEW"),"",INDEX(B654:B$2,-1+SUMPRODUCT(MAX(ROW(E654:E$2)*(E655=E654:E$2)))))</f>
        <v> </v>
      </c>
      <c r="J655" s="19" t="str">
        <f>IF(OR(E655="",E655="!!!",F655="NEW"),"",COUNTBLANK(OFFSET(A$1,,,SUMPRODUCT(MAX(ROW(E$2:E655)*(E655=E$2:E655)))))-COUNTBLANK(OFFSET(A$1,,,SUMPRODUCT(MAX(ROW(E$1:E654)*(E2=E$1:E654))))))</f>
        <v> </v>
      </c>
      <c r="K655" s="19" t="str">
        <f>IF(OR(E655="",E655="!!!",F655="NEW"),"",INDEX(J$1:J654,SUMPRODUCT(MAX(ROW(E$1:E654)*(E655=E$1:E654)))))</f>
        <v> </v>
      </c>
      <c r="L655" s="20"/>
    </row>
    <row r="656" spans="1:12">
      <c r="A656" s="13" t="s">
        <v>79</v>
      </c>
      <c r="E656" s="15">
        <f>IF(D656="?OLD","!!!","")</f>
        <v/>
      </c>
      <c r="F656" s="16" t="str">
        <f>IF(OR(E656="",E656="!!!"),"",IF(NOT(ISNA(VLOOKUP(E656,E$1:E655,1,FALSE()))),"OLD",IF(AND(E656&lt;&gt;"",E656&lt;&gt;"!!!"),"NEW","")))</f>
        <v> </v>
      </c>
      <c r="G656" s="17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18" t="str">
        <f>IF(J656&lt;&gt;1,"",IF(I656="SBJ","CB","?"))</f>
        <v> </v>
      </c>
      <c r="I656" s="19" t="str">
        <f>IF(OR(E656="",E656="!!!",F656="NEW"),"",INDEX(B655:B$2,-1+SUMPRODUCT(MAX(ROW(E655:E$2)*(E656=E655:E$2)))))</f>
        <v> </v>
      </c>
      <c r="J656" s="19" t="str">
        <f>IF(OR(E656="",E656="!!!",F656="NEW"),"",COUNTBLANK(OFFSET(A$1,,,SUMPRODUCT(MAX(ROW(E$2:E656)*(E656=E$2:E656)))))-COUNTBLANK(OFFSET(A$1,,,SUMPRODUCT(MAX(ROW(E$1:E655)*(E2=E$1:E655))))))</f>
        <v> </v>
      </c>
      <c r="K656" s="19" t="str">
        <f>IF(OR(E656="",E656="!!!",F656="NEW"),"",INDEX(J$1:J655,SUMPRODUCT(MAX(ROW(E$1:E655)*(E656=E$1:E655)))))</f>
        <v> </v>
      </c>
      <c r="L656" s="20"/>
    </row>
    <row r="657" spans="1:12">
      <c r="A657" s="13" t="s">
        <v>186</v>
      </c>
      <c r="E657" s="15">
        <f>IF(D657="?OLD","!!!","")</f>
        <v/>
      </c>
      <c r="F657" s="16" t="str">
        <f>IF(OR(E657="",E657="!!!"),"",IF(NOT(ISNA(VLOOKUP(E657,E$1:E656,1,FALSE()))),"OLD",IF(AND(E657&lt;&gt;"",E657&lt;&gt;"!!!"),"NEW","")))</f>
        <v> </v>
      </c>
      <c r="G657" s="17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18" t="str">
        <f>IF(J657&lt;&gt;1,"",IF(I657="SBJ","CB","?"))</f>
        <v> </v>
      </c>
      <c r="I657" s="19" t="str">
        <f>IF(OR(E657="",E657="!!!",F657="NEW"),"",INDEX(B656:B$2,-1+SUMPRODUCT(MAX(ROW(E656:E$2)*(E657=E656:E$2)))))</f>
        <v> </v>
      </c>
      <c r="J657" s="19" t="str">
        <f>IF(OR(E657="",E657="!!!",F657="NEW"),"",COUNTBLANK(OFFSET(A$1,,,SUMPRODUCT(MAX(ROW(E$2:E657)*(E657=E$2:E657)))))-COUNTBLANK(OFFSET(A$1,,,SUMPRODUCT(MAX(ROW(E$1:E656)*(E2=E$1:E656))))))</f>
        <v> </v>
      </c>
      <c r="K657" s="19" t="str">
        <f>IF(OR(E657="",E657="!!!",F657="NEW"),"",INDEX(J$1:J656,SUMPRODUCT(MAX(ROW(E$1:E656)*(E657=E$1:E656)))))</f>
        <v> </v>
      </c>
      <c r="L657" s="20"/>
    </row>
    <row r="658" spans="1:12">
      <c r="A658" s="13" t="s">
        <v>102</v>
      </c>
      <c r="E658" s="15">
        <f>IF(D658="?OLD","!!!","")</f>
        <v/>
      </c>
      <c r="F658" s="16" t="str">
        <f>IF(OR(E658="",E658="!!!"),"",IF(NOT(ISNA(VLOOKUP(E658,E$1:E657,1,FALSE()))),"OLD",IF(AND(E658&lt;&gt;"",E658&lt;&gt;"!!!"),"NEW","")))</f>
        <v> </v>
      </c>
      <c r="G658" s="17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18" t="str">
        <f>IF(J658&lt;&gt;1,"",IF(I658="SBJ","CB","?"))</f>
        <v> </v>
      </c>
      <c r="I658" s="19" t="str">
        <f>IF(OR(E658="",E658="!!!",F658="NEW"),"",INDEX(B657:B$2,-1+SUMPRODUCT(MAX(ROW(E657:E$2)*(E658=E657:E$2)))))</f>
        <v> </v>
      </c>
      <c r="J658" s="19" t="str">
        <f>IF(OR(E658="",E658="!!!",F658="NEW"),"",COUNTBLANK(OFFSET(A$1,,,SUMPRODUCT(MAX(ROW(E$2:E658)*(E658=E$2:E658)))))-COUNTBLANK(OFFSET(A$1,,,SUMPRODUCT(MAX(ROW(E$1:E657)*(E2=E$1:E657))))))</f>
        <v> </v>
      </c>
      <c r="K658" s="19" t="str">
        <f>IF(OR(E658="",E658="!!!",F658="NEW"),"",INDEX(J$1:J657,SUMPRODUCT(MAX(ROW(E$1:E657)*(E658=E$1:E657)))))</f>
        <v> </v>
      </c>
      <c r="L658" s="20"/>
    </row>
    <row r="659" spans="1:12">
      <c r="A659" s="13" t="s">
        <v>327</v>
      </c>
      <c r="E659" s="15">
        <f>IF(D659="?OLD","!!!","")</f>
        <v/>
      </c>
      <c r="F659" s="16" t="str">
        <f>IF(OR(E659="",E659="!!!"),"",IF(NOT(ISNA(VLOOKUP(E659,E$1:E658,1,FALSE()))),"OLD",IF(AND(E659&lt;&gt;"",E659&lt;&gt;"!!!"),"NEW","")))</f>
        <v> </v>
      </c>
      <c r="G659" s="17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18" t="str">
        <f>IF(J659&lt;&gt;1,"",IF(I659="SBJ","CB","?"))</f>
        <v> </v>
      </c>
      <c r="I659" s="19" t="str">
        <f>IF(OR(E659="",E659="!!!",F659="NEW"),"",INDEX(B658:B$2,-1+SUMPRODUCT(MAX(ROW(E658:E$2)*(E659=E658:E$2)))))</f>
        <v> </v>
      </c>
      <c r="J659" s="19" t="str">
        <f>IF(OR(E659="",E659="!!!",F659="NEW"),"",COUNTBLANK(OFFSET(A$1,,,SUMPRODUCT(MAX(ROW(E$2:E659)*(E659=E$2:E659)))))-COUNTBLANK(OFFSET(A$1,,,SUMPRODUCT(MAX(ROW(E$1:E658)*(E2=E$1:E658))))))</f>
        <v> </v>
      </c>
      <c r="K659" s="19" t="str">
        <f>IF(OR(E659="",E659="!!!",F659="NEW"),"",INDEX(J$1:J658,SUMPRODUCT(MAX(ROW(E$1:E658)*(E659=E$1:E658)))))</f>
        <v> </v>
      </c>
      <c r="L659" s="20"/>
    </row>
    <row r="660" spans="1:12">
      <c r="A660" s="13" t="s">
        <v>56</v>
      </c>
      <c r="E660" s="15">
        <f>IF(D660="?OLD","!!!","")</f>
        <v/>
      </c>
      <c r="F660" s="16" t="str">
        <f>IF(OR(E660="",E660="!!!"),"",IF(NOT(ISNA(VLOOKUP(E660,E$1:E659,1,FALSE()))),"OLD",IF(AND(E660&lt;&gt;"",E660&lt;&gt;"!!!"),"NEW","")))</f>
        <v> </v>
      </c>
      <c r="G660" s="17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18" t="str">
        <f>IF(J660&lt;&gt;1,"",IF(I660="SBJ","CB","?"))</f>
        <v> </v>
      </c>
      <c r="I660" s="19" t="str">
        <f>IF(OR(E660="",E660="!!!",F660="NEW"),"",INDEX(B659:B$2,-1+SUMPRODUCT(MAX(ROW(E659:E$2)*(E660=E659:E$2)))))</f>
        <v> </v>
      </c>
      <c r="J660" s="19" t="str">
        <f>IF(OR(E660="",E660="!!!",F660="NEW"),"",COUNTBLANK(OFFSET(A$1,,,SUMPRODUCT(MAX(ROW(E$2:E660)*(E660=E$2:E660)))))-COUNTBLANK(OFFSET(A$1,,,SUMPRODUCT(MAX(ROW(E$1:E659)*(E2=E$1:E659))))))</f>
        <v> </v>
      </c>
      <c r="K660" s="19" t="str">
        <f>IF(OR(E660="",E660="!!!",F660="NEW"),"",INDEX(J$1:J659,SUMPRODUCT(MAX(ROW(E$1:E659)*(E660=E$1:E659)))))</f>
        <v> </v>
      </c>
      <c r="L660" s="20"/>
    </row>
    <row r="661" spans="1:12">
      <c r="A661" s="13" t="s">
        <v>328</v>
      </c>
      <c r="E661" s="15">
        <f>IF(D661="?OLD","!!!","")</f>
        <v/>
      </c>
      <c r="F661" s="16" t="str">
        <f>IF(OR(E661="",E661="!!!"),"",IF(NOT(ISNA(VLOOKUP(E661,E$1:E660,1,FALSE()))),"OLD",IF(AND(E661&lt;&gt;"",E661&lt;&gt;"!!!"),"NEW","")))</f>
        <v> </v>
      </c>
      <c r="G661" s="17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18" t="str">
        <f>IF(J661&lt;&gt;1,"",IF(I661="SBJ","CB","?"))</f>
        <v> </v>
      </c>
      <c r="I661" s="19" t="str">
        <f>IF(OR(E661="",E661="!!!",F661="NEW"),"",INDEX(B660:B$2,-1+SUMPRODUCT(MAX(ROW(E660:E$2)*(E661=E660:E$2)))))</f>
        <v> </v>
      </c>
      <c r="J661" s="19" t="str">
        <f>IF(OR(E661="",E661="!!!",F661="NEW"),"",COUNTBLANK(OFFSET(A$1,,,SUMPRODUCT(MAX(ROW(E$2:E661)*(E661=E$2:E661)))))-COUNTBLANK(OFFSET(A$1,,,SUMPRODUCT(MAX(ROW(E$1:E660)*(E2=E$1:E660))))))</f>
        <v> </v>
      </c>
      <c r="K661" s="19" t="str">
        <f>IF(OR(E661="",E661="!!!",F661="NEW"),"",INDEX(J$1:J660,SUMPRODUCT(MAX(ROW(E$1:E660)*(E661=E$1:E660)))))</f>
        <v> </v>
      </c>
      <c r="L661" s="20"/>
    </row>
    <row r="662" spans="1:12">
      <c r="A662" s="13" t="s">
        <v>102</v>
      </c>
      <c r="E662" s="15">
        <f>IF(D662="?OLD","!!!","")</f>
        <v/>
      </c>
      <c r="F662" s="16" t="str">
        <f>IF(OR(E662="",E662="!!!"),"",IF(NOT(ISNA(VLOOKUP(E662,E$1:E661,1,FALSE()))),"OLD",IF(AND(E662&lt;&gt;"",E662&lt;&gt;"!!!"),"NEW","")))</f>
        <v> </v>
      </c>
      <c r="G662" s="17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18" t="str">
        <f>IF(J662&lt;&gt;1,"",IF(I662="SBJ","CB","?"))</f>
        <v> </v>
      </c>
      <c r="I662" s="19" t="str">
        <f>IF(OR(E662="",E662="!!!",F662="NEW"),"",INDEX(B661:B$2,-1+SUMPRODUCT(MAX(ROW(E661:E$2)*(E662=E661:E$2)))))</f>
        <v> </v>
      </c>
      <c r="J662" s="19" t="str">
        <f>IF(OR(E662="",E662="!!!",F662="NEW"),"",COUNTBLANK(OFFSET(A$1,,,SUMPRODUCT(MAX(ROW(E$2:E662)*(E662=E$2:E662)))))-COUNTBLANK(OFFSET(A$1,,,SUMPRODUCT(MAX(ROW(E$1:E661)*(E2=E$1:E661))))))</f>
        <v> </v>
      </c>
      <c r="K662" s="19" t="str">
        <f>IF(OR(E662="",E662="!!!",F662="NEW"),"",INDEX(J$1:J661,SUMPRODUCT(MAX(ROW(E$1:E661)*(E662=E$1:E661)))))</f>
        <v> </v>
      </c>
      <c r="L662" s="20"/>
    </row>
    <row r="663" spans="1:12">
      <c r="A663" s="13" t="s">
        <v>329</v>
      </c>
      <c r="E663" s="15">
        <f>IF(D663="?OLD","!!!","")</f>
        <v/>
      </c>
      <c r="F663" s="16" t="str">
        <f>IF(OR(E663="",E663="!!!"),"",IF(NOT(ISNA(VLOOKUP(E663,E$1:E662,1,FALSE()))),"OLD",IF(AND(E663&lt;&gt;"",E663&lt;&gt;"!!!"),"NEW","")))</f>
        <v> </v>
      </c>
      <c r="G663" s="17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18" t="str">
        <f>IF(J663&lt;&gt;1,"",IF(I663="SBJ","CB","?"))</f>
        <v> </v>
      </c>
      <c r="I663" s="19" t="str">
        <f>IF(OR(E663="",E663="!!!",F663="NEW"),"",INDEX(B662:B$2,-1+SUMPRODUCT(MAX(ROW(E662:E$2)*(E663=E662:E$2)))))</f>
        <v> </v>
      </c>
      <c r="J663" s="19" t="str">
        <f>IF(OR(E663="",E663="!!!",F663="NEW"),"",COUNTBLANK(OFFSET(A$1,,,SUMPRODUCT(MAX(ROW(E$2:E663)*(E663=E$2:E663)))))-COUNTBLANK(OFFSET(A$1,,,SUMPRODUCT(MAX(ROW(E$1:E662)*(E2=E$1:E662))))))</f>
        <v> </v>
      </c>
      <c r="K663" s="19" t="str">
        <f>IF(OR(E663="",E663="!!!",F663="NEW"),"",INDEX(J$1:J662,SUMPRODUCT(MAX(ROW(E$1:E662)*(E663=E$1:E662)))))</f>
        <v> </v>
      </c>
      <c r="L663" s="20"/>
    </row>
    <row r="664" spans="1:12">
      <c r="A664" s="13" t="s">
        <v>102</v>
      </c>
      <c r="E664" s="15">
        <f>IF(D664="?OLD","!!!","")</f>
        <v/>
      </c>
      <c r="F664" s="16" t="str">
        <f>IF(OR(E664="",E664="!!!"),"",IF(NOT(ISNA(VLOOKUP(E664,E$1:E663,1,FALSE()))),"OLD",IF(AND(E664&lt;&gt;"",E664&lt;&gt;"!!!"),"NEW","")))</f>
        <v> </v>
      </c>
      <c r="G664" s="17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18" t="str">
        <f>IF(J664&lt;&gt;1,"",IF(I664="SBJ","CB","?"))</f>
        <v> </v>
      </c>
      <c r="I664" s="19" t="str">
        <f>IF(OR(E664="",E664="!!!",F664="NEW"),"",INDEX(B663:B$2,-1+SUMPRODUCT(MAX(ROW(E663:E$2)*(E664=E663:E$2)))))</f>
        <v> </v>
      </c>
      <c r="J664" s="19" t="str">
        <f>IF(OR(E664="",E664="!!!",F664="NEW"),"",COUNTBLANK(OFFSET(A$1,,,SUMPRODUCT(MAX(ROW(E$2:E664)*(E664=E$2:E664)))))-COUNTBLANK(OFFSET(A$1,,,SUMPRODUCT(MAX(ROW(E$1:E663)*(E2=E$1:E663))))))</f>
        <v> </v>
      </c>
      <c r="K664" s="19" t="str">
        <f>IF(OR(E664="",E664="!!!",F664="NEW"),"",INDEX(J$1:J663,SUMPRODUCT(MAX(ROW(E$1:E663)*(E664=E$1:E663)))))</f>
        <v> </v>
      </c>
      <c r="L664" s="20"/>
    </row>
    <row r="665" spans="1:12">
      <c r="A665" s="13" t="s">
        <v>57</v>
      </c>
      <c r="E665" s="15">
        <f>IF(D665="?OLD","!!!","")</f>
        <v/>
      </c>
      <c r="F665" s="16" t="str">
        <f>IF(OR(E665="",E665="!!!"),"",IF(NOT(ISNA(VLOOKUP(E665,E$1:E664,1,FALSE()))),"OLD",IF(AND(E665&lt;&gt;"",E665&lt;&gt;"!!!"),"NEW","")))</f>
        <v> </v>
      </c>
      <c r="G665" s="17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18" t="str">
        <f>IF(J665&lt;&gt;1,"",IF(I665="SBJ","CB","?"))</f>
        <v> </v>
      </c>
      <c r="I665" s="19" t="str">
        <f>IF(OR(E665="",E665="!!!",F665="NEW"),"",INDEX(B664:B$2,-1+SUMPRODUCT(MAX(ROW(E664:E$2)*(E665=E664:E$2)))))</f>
        <v> </v>
      </c>
      <c r="J665" s="19" t="str">
        <f>IF(OR(E665="",E665="!!!",F665="NEW"),"",COUNTBLANK(OFFSET(A$1,,,SUMPRODUCT(MAX(ROW(E$2:E665)*(E665=E$2:E665)))))-COUNTBLANK(OFFSET(A$1,,,SUMPRODUCT(MAX(ROW(E$1:E664)*(E2=E$1:E664))))))</f>
        <v> </v>
      </c>
      <c r="K665" s="19" t="str">
        <f>IF(OR(E665="",E665="!!!",F665="NEW"),"",INDEX(J$1:J664,SUMPRODUCT(MAX(ROW(E$1:E664)*(E665=E$1:E664)))))</f>
        <v> </v>
      </c>
      <c r="L665" s="20"/>
    </row>
    <row r="666" spans="1:12">
      <c r="A666" s="13" t="s">
        <v>305</v>
      </c>
      <c r="B666" s="14" t="s">
        <v>296</v>
      </c>
      <c r="C666" s="14" t="s">
        <v>60</v>
      </c>
      <c r="D666" s="14" t="s">
        <v>25</v>
      </c>
      <c r="E666" s="15">
        <f>IF(D666="?OLD","!!!","")</f>
        <v/>
      </c>
      <c r="F666" s="16" t="str">
        <f>IF(OR(E666="",E666="!!!"),"",IF(NOT(ISNA(VLOOKUP(E666,E$1:E665,1,FALSE()))),"OLD",IF(AND(E666&lt;&gt;"",E666&lt;&gt;"!!!"),"NEW","")))</f>
        <v> </v>
      </c>
      <c r="G666" s="17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18" t="str">
        <f>IF(J666&lt;&gt;1,"",IF(I666="SBJ","CB","?"))</f>
        <v> </v>
      </c>
      <c r="I666" s="19" t="str">
        <f>IF(OR(E666="",E666="!!!",F666="NEW"),"",INDEX(B665:B$2,-1+SUMPRODUCT(MAX(ROW(E665:E$2)*(E666=E665:E$2)))))</f>
        <v> </v>
      </c>
      <c r="J666" s="19" t="str">
        <f>IF(OR(E666="",E666="!!!",F666="NEW"),"",COUNTBLANK(OFFSET(A$1,,,SUMPRODUCT(MAX(ROW(E$2:E666)*(E666=E$2:E666)))))-COUNTBLANK(OFFSET(A$1,,,SUMPRODUCT(MAX(ROW(E$1:E665)*(E2=E$1:E665))))))</f>
        <v> </v>
      </c>
      <c r="K666" s="19" t="str">
        <f>IF(OR(E666="",E666="!!!",F666="NEW"),"",INDEX(J$1:J665,SUMPRODUCT(MAX(ROW(E$1:E665)*(E666=E$1:E665)))))</f>
        <v> </v>
      </c>
      <c r="L666" s="20"/>
    </row>
    <row r="667" spans="1:12">
      <c r="A667" s="13" t="s">
        <v>68</v>
      </c>
      <c r="E667" s="15">
        <f>IF(D667="?OLD","!!!","")</f>
        <v/>
      </c>
      <c r="F667" s="16" t="str">
        <f>IF(OR(E667="",E667="!!!"),"",IF(NOT(ISNA(VLOOKUP(E667,E$1:E666,1,FALSE()))),"OLD",IF(AND(E667&lt;&gt;"",E667&lt;&gt;"!!!"),"NEW","")))</f>
        <v> </v>
      </c>
      <c r="G667" s="17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18" t="str">
        <f>IF(J667&lt;&gt;1,"",IF(I667="SBJ","CB","?"))</f>
        <v> </v>
      </c>
      <c r="I667" s="19" t="str">
        <f>IF(OR(E667="",E667="!!!",F667="NEW"),"",INDEX(B666:B$2,-1+SUMPRODUCT(MAX(ROW(E666:E$2)*(E667=E666:E$2)))))</f>
        <v> </v>
      </c>
      <c r="J667" s="19" t="str">
        <f>IF(OR(E667="",E667="!!!",F667="NEW"),"",COUNTBLANK(OFFSET(A$1,,,SUMPRODUCT(MAX(ROW(E$2:E667)*(E667=E$2:E667)))))-COUNTBLANK(OFFSET(A$1,,,SUMPRODUCT(MAX(ROW(E$1:E666)*(E2=E$1:E666))))))</f>
        <v> </v>
      </c>
      <c r="K667" s="19" t="str">
        <f>IF(OR(E667="",E667="!!!",F667="NEW"),"",INDEX(J$1:J666,SUMPRODUCT(MAX(ROW(E$1:E666)*(E667=E$1:E666)))))</f>
        <v> </v>
      </c>
      <c r="L667" s="20"/>
    </row>
    <row r="668" spans="1:12">
      <c r="A668" s="13"/>
    </row>
    <row r="669" spans="1:12">
      <c r="A669" s="13" t="s">
        <v>117</v>
      </c>
      <c r="E669" s="15">
        <f>IF(D669="?OLD","!!!","")</f>
        <v/>
      </c>
      <c r="F669" s="16" t="str">
        <f>IF(OR(E669="",E669="!!!"),"",IF(NOT(ISNA(VLOOKUP(E669,E$1:E668,1,FALSE()))),"OLD",IF(AND(E669&lt;&gt;"",E669&lt;&gt;"!!!"),"NEW","")))</f>
        <v> </v>
      </c>
      <c r="G669" s="17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18" t="str">
        <f>IF(J669&lt;&gt;1,"",IF(I669="SBJ","CB","?"))</f>
        <v> </v>
      </c>
      <c r="I669" s="19" t="str">
        <f>IF(OR(E669="",E669="!!!",F669="NEW"),"",INDEX(B668:B$2,-1+SUMPRODUCT(MAX(ROW(E668:E$2)*(E669=E668:E$2)))))</f>
        <v> </v>
      </c>
      <c r="J669" s="19" t="str">
        <f>IF(OR(E669="",E669="!!!",F669="NEW"),"",COUNTBLANK(OFFSET(A$1,,,SUMPRODUCT(MAX(ROW(E$2:E669)*(E669=E$2:E669)))))-COUNTBLANK(OFFSET(A$1,,,SUMPRODUCT(MAX(ROW(E$1:E668)*(E2=E$1:E668))))))</f>
        <v> </v>
      </c>
      <c r="K669" s="19" t="str">
        <f>IF(OR(E669="",E669="!!!",F669="NEW"),"",INDEX(J$1:J668,SUMPRODUCT(MAX(ROW(E$1:E668)*(E669=E$1:E668)))))</f>
        <v> </v>
      </c>
      <c r="L669" s="20"/>
    </row>
    <row r="670" spans="1:12">
      <c r="A670" s="13" t="s">
        <v>281</v>
      </c>
    </row>
    <row r="671" spans="1:12">
      <c r="A671" s="13" t="s">
        <v>119</v>
      </c>
      <c r="E671" s="15">
        <f>IF(D671="?OLD","!!!","")</f>
        <v/>
      </c>
      <c r="F671" s="16" t="str">
        <f>IF(OR(E671="",E671="!!!"),"",IF(NOT(ISNA(VLOOKUP(E671,E$1:E670,1,FALSE()))),"OLD",IF(AND(E671&lt;&gt;"",E671&lt;&gt;"!!!"),"NEW","")))</f>
        <v> </v>
      </c>
      <c r="G671" s="17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18" t="str">
        <f>IF(J671&lt;&gt;1,"",IF(I671="SBJ","CB","?"))</f>
        <v> </v>
      </c>
      <c r="I671" s="19" t="str">
        <f>IF(OR(E671="",E671="!!!",F671="NEW"),"",INDEX(B670:B$2,-1+SUMPRODUCT(MAX(ROW(E670:E$2)*(E671=E670:E$2)))))</f>
        <v> </v>
      </c>
      <c r="J671" s="19" t="str">
        <f>IF(OR(E671="",E671="!!!",F671="NEW"),"",COUNTBLANK(OFFSET(A$1,,,SUMPRODUCT(MAX(ROW(E$2:E671)*(E671=E$2:E671)))))-COUNTBLANK(OFFSET(A$1,,,SUMPRODUCT(MAX(ROW(E$1:E670)*(E2=E$1:E670))))))</f>
        <v> </v>
      </c>
      <c r="K671" s="19" t="str">
        <f>IF(OR(E671="",E671="!!!",F671="NEW"),"",INDEX(J$1:J670,SUMPRODUCT(MAX(ROW(E$1:E670)*(E671=E$1:E670)))))</f>
        <v> </v>
      </c>
      <c r="L671" s="20"/>
    </row>
    <row r="672" spans="1:12">
      <c r="A672" s="13" t="s">
        <v>282</v>
      </c>
      <c r="B672" s="14" t="s">
        <v>45</v>
      </c>
      <c r="C672" s="14" t="s">
        <v>24</v>
      </c>
      <c r="D672" s="14" t="s">
        <v>25</v>
      </c>
      <c r="E672" s="15">
        <f>IF(D672="?OLD","!!!","")</f>
        <v/>
      </c>
      <c r="F672" s="16" t="str">
        <f>IF(OR(E672="",E672="!!!"),"",IF(NOT(ISNA(VLOOKUP(E672,E$1:E671,1,FALSE()))),"OLD",IF(AND(E672&lt;&gt;"",E672&lt;&gt;"!!!"),"NEW","")))</f>
        <v> </v>
      </c>
      <c r="G672" s="17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18" t="str">
        <f>IF(J672&lt;&gt;1,"",IF(I672="SBJ","CB","?"))</f>
        <v> </v>
      </c>
      <c r="I672" s="19" t="str">
        <f>IF(OR(E672="",E672="!!!",F672="NEW"),"",INDEX(B671:B$2,-1+SUMPRODUCT(MAX(ROW(E671:E$2)*(E672=E671:E$2)))))</f>
        <v> </v>
      </c>
      <c r="J672" s="19" t="str">
        <f>IF(OR(E672="",E672="!!!",F672="NEW"),"",COUNTBLANK(OFFSET(A$1,,,SUMPRODUCT(MAX(ROW(E$2:E672)*(E672=E$2:E672)))))-COUNTBLANK(OFFSET(A$1,,,SUMPRODUCT(MAX(ROW(E$1:E671)*(E2=E$1:E671))))))</f>
        <v> </v>
      </c>
      <c r="K672" s="19" t="str">
        <f>IF(OR(E672="",E672="!!!",F672="NEW"),"",INDEX(J$1:J671,SUMPRODUCT(MAX(ROW(E$1:E671)*(E672=E$1:E671)))))</f>
        <v> </v>
      </c>
      <c r="L672" s="20"/>
    </row>
    <row r="673" spans="1:12">
      <c r="A673" s="13" t="s">
        <v>56</v>
      </c>
      <c r="E673" s="15">
        <f>IF(D673="?OLD","!!!","")</f>
        <v/>
      </c>
      <c r="F673" s="16" t="str">
        <f>IF(OR(E673="",E673="!!!"),"",IF(NOT(ISNA(VLOOKUP(E673,E$1:E672,1,FALSE()))),"OLD",IF(AND(E673&lt;&gt;"",E673&lt;&gt;"!!!"),"NEW","")))</f>
        <v> </v>
      </c>
      <c r="G673" s="17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18" t="str">
        <f>IF(J673&lt;&gt;1,"",IF(I673="SBJ","CB","?"))</f>
        <v> </v>
      </c>
      <c r="I673" s="19" t="str">
        <f>IF(OR(E673="",E673="!!!",F673="NEW"),"",INDEX(B672:B$2,-1+SUMPRODUCT(MAX(ROW(E672:E$2)*(E673=E672:E$2)))))</f>
        <v> </v>
      </c>
      <c r="J673" s="19" t="str">
        <f>IF(OR(E673="",E673="!!!",F673="NEW"),"",COUNTBLANK(OFFSET(A$1,,,SUMPRODUCT(MAX(ROW(E$2:E673)*(E673=E$2:E673)))))-COUNTBLANK(OFFSET(A$1,,,SUMPRODUCT(MAX(ROW(E$1:E672)*(E2=E$1:E672))))))</f>
        <v> </v>
      </c>
      <c r="K673" s="19" t="str">
        <f>IF(OR(E673="",E673="!!!",F673="NEW"),"",INDEX(J$1:J672,SUMPRODUCT(MAX(ROW(E$1:E672)*(E673=E$1:E672)))))</f>
        <v> </v>
      </c>
      <c r="L673" s="20"/>
    </row>
    <row r="674" spans="1:12">
      <c r="A674" s="13" t="s">
        <v>283</v>
      </c>
      <c r="B674" s="14" t="s">
        <v>45</v>
      </c>
      <c r="C674" s="14" t="s">
        <v>34</v>
      </c>
      <c r="E674" s="15">
        <f>IF(D674="?OLD","!!!","")</f>
        <v/>
      </c>
      <c r="F674" s="16" t="str">
        <f>IF(OR(E674="",E674="!!!"),"",IF(NOT(ISNA(VLOOKUP(E674,E$1:E673,1,FALSE()))),"OLD",IF(AND(E674&lt;&gt;"",E674&lt;&gt;"!!!"),"NEW","")))</f>
        <v> </v>
      </c>
      <c r="G674" s="17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18" t="str">
        <f>IF(J674&lt;&gt;1,"",IF(I674="SBJ","CB","?"))</f>
        <v> </v>
      </c>
      <c r="I674" s="19" t="str">
        <f>IF(OR(E674="",E674="!!!",F674="NEW"),"",INDEX(B673:B$2,-1+SUMPRODUCT(MAX(ROW(E673:E$2)*(E674=E673:E$2)))))</f>
        <v> </v>
      </c>
      <c r="J674" s="19" t="str">
        <f>IF(OR(E674="",E674="!!!",F674="NEW"),"",COUNTBLANK(OFFSET(A$1,,,SUMPRODUCT(MAX(ROW(E$2:E674)*(E674=E$2:E674)))))-COUNTBLANK(OFFSET(A$1,,,SUMPRODUCT(MAX(ROW(E$1:E673)*(E2=E$1:E673))))))</f>
        <v> </v>
      </c>
      <c r="K674" s="19" t="str">
        <f>IF(OR(E674="",E674="!!!",F674="NEW"),"",INDEX(J$1:J673,SUMPRODUCT(MAX(ROW(E$1:E673)*(E674=E$1:E673)))))</f>
        <v> </v>
      </c>
      <c r="L674" s="20"/>
    </row>
    <row r="675" spans="1:12">
      <c r="A675" s="13" t="s">
        <v>68</v>
      </c>
      <c r="E675" s="15">
        <f>IF(D675="?OLD","!!!","")</f>
        <v/>
      </c>
      <c r="F675" s="16" t="str">
        <f>IF(OR(E675="",E675="!!!"),"",IF(NOT(ISNA(VLOOKUP(E675,E$1:E674,1,FALSE()))),"OLD",IF(AND(E675&lt;&gt;"",E675&lt;&gt;"!!!"),"NEW","")))</f>
        <v> </v>
      </c>
      <c r="G675" s="17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18" t="str">
        <f>IF(J675&lt;&gt;1,"",IF(I675="SBJ","CB","?"))</f>
        <v> </v>
      </c>
      <c r="I675" s="19" t="str">
        <f>IF(OR(E675="",E675="!!!",F675="NEW"),"",INDEX(B674:B$2,-1+SUMPRODUCT(MAX(ROW(E674:E$2)*(E675=E674:E$2)))))</f>
        <v> </v>
      </c>
      <c r="J675" s="19" t="str">
        <f>IF(OR(E675="",E675="!!!",F675="NEW"),"",COUNTBLANK(OFFSET(A$1,,,SUMPRODUCT(MAX(ROW(E$2:E675)*(E675=E$2:E675)))))-COUNTBLANK(OFFSET(A$1,,,SUMPRODUCT(MAX(ROW(E$1:E674)*(E2=E$1:E674))))))</f>
        <v> </v>
      </c>
      <c r="K675" s="19" t="str">
        <f>IF(OR(E675="",E675="!!!",F675="NEW"),"",INDEX(J$1:J674,SUMPRODUCT(MAX(ROW(E$1:E674)*(E675=E$1:E674)))))</f>
        <v> </v>
      </c>
      <c r="L675" s="20"/>
    </row>
    <row r="676" spans="1:12">
      <c r="A676" s="13" t="s">
        <v>119</v>
      </c>
      <c r="E676" s="15">
        <f>IF(D676="?OLD","!!!","")</f>
        <v/>
      </c>
      <c r="F676" s="16" t="str">
        <f>IF(OR(E676="",E676="!!!"),"",IF(NOT(ISNA(VLOOKUP(E676,E$1:E675,1,FALSE()))),"OLD",IF(AND(E676&lt;&gt;"",E676&lt;&gt;"!!!"),"NEW","")))</f>
        <v> </v>
      </c>
      <c r="G676" s="17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18" t="str">
        <f>IF(J676&lt;&gt;1,"",IF(I676="SBJ","CB","?"))</f>
        <v> </v>
      </c>
      <c r="I676" s="19" t="str">
        <f>IF(OR(E676="",E676="!!!",F676="NEW"),"",INDEX(B675:B$2,-1+SUMPRODUCT(MAX(ROW(E675:E$2)*(E676=E675:E$2)))))</f>
        <v> </v>
      </c>
      <c r="J676" s="19" t="str">
        <f>IF(OR(E676="",E676="!!!",F676="NEW"),"",COUNTBLANK(OFFSET(A$1,,,SUMPRODUCT(MAX(ROW(E$2:E676)*(E676=E$2:E676)))))-COUNTBLANK(OFFSET(A$1,,,SUMPRODUCT(MAX(ROW(E$1:E675)*(E2=E$1:E675))))))</f>
        <v> </v>
      </c>
      <c r="K676" s="19" t="str">
        <f>IF(OR(E676="",E676="!!!",F676="NEW"),"",INDEX(J$1:J675,SUMPRODUCT(MAX(ROW(E$1:E675)*(E676=E$1:E675)))))</f>
        <v> </v>
      </c>
      <c r="L676" s="20"/>
    </row>
    <row r="677" spans="1:12">
      <c r="A677" s="13"/>
    </row>
    <row r="678" spans="1:12">
      <c r="A678" s="13" t="s">
        <v>117</v>
      </c>
      <c r="E678" s="15">
        <f>IF(D678="?OLD","!!!","")</f>
        <v/>
      </c>
      <c r="F678" s="16" t="str">
        <f>IF(OR(E678="",E678="!!!"),"",IF(NOT(ISNA(VLOOKUP(E678,E$1:E677,1,FALSE()))),"OLD",IF(AND(E678&lt;&gt;"",E678&lt;&gt;"!!!"),"NEW","")))</f>
        <v> </v>
      </c>
      <c r="G678" s="17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18" t="str">
        <f>IF(J678&lt;&gt;1,"",IF(I678="SBJ","CB","?"))</f>
        <v> </v>
      </c>
      <c r="I678" s="19" t="str">
        <f>IF(OR(E678="",E678="!!!",F678="NEW"),"",INDEX(B677:B$2,-1+SUMPRODUCT(MAX(ROW(E677:E$2)*(E678=E677:E$2)))))</f>
        <v> </v>
      </c>
      <c r="J678" s="19" t="str">
        <f>IF(OR(E678="",E678="!!!",F678="NEW"),"",COUNTBLANK(OFFSET(A$1,,,SUMPRODUCT(MAX(ROW(E$2:E678)*(E678=E$2:E678)))))-COUNTBLANK(OFFSET(A$1,,,SUMPRODUCT(MAX(ROW(E$1:E677)*(E2=E$1:E677))))))</f>
        <v> </v>
      </c>
      <c r="K678" s="19" t="str">
        <f>IF(OR(E678="",E678="!!!",F678="NEW"),"",INDEX(J$1:J677,SUMPRODUCT(MAX(ROW(E$1:E677)*(E678=E$1:E677)))))</f>
        <v> </v>
      </c>
      <c r="L678" s="20"/>
    </row>
    <row r="679" spans="1:12">
      <c r="A679" s="13" t="s">
        <v>284</v>
      </c>
    </row>
    <row r="680" spans="1:12">
      <c r="A680" s="13" t="s">
        <v>119</v>
      </c>
      <c r="E680" s="15">
        <f>IF(D680="?OLD","!!!","")</f>
        <v/>
      </c>
      <c r="F680" s="16" t="str">
        <f>IF(OR(E680="",E680="!!!"),"",IF(NOT(ISNA(VLOOKUP(E680,E$1:E679,1,FALSE()))),"OLD",IF(AND(E680&lt;&gt;"",E680&lt;&gt;"!!!"),"NEW","")))</f>
        <v> </v>
      </c>
      <c r="G680" s="17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18" t="str">
        <f>IF(J680&lt;&gt;1,"",IF(I680="SBJ","CB","?"))</f>
        <v> </v>
      </c>
      <c r="I680" s="19" t="str">
        <f>IF(OR(E680="",E680="!!!",F680="NEW"),"",INDEX(B679:B$2,-1+SUMPRODUCT(MAX(ROW(E679:E$2)*(E680=E679:E$2)))))</f>
        <v> </v>
      </c>
      <c r="J680" s="19" t="str">
        <f>IF(OR(E680="",E680="!!!",F680="NEW"),"",COUNTBLANK(OFFSET(A$1,,,SUMPRODUCT(MAX(ROW(E$2:E680)*(E680=E$2:E680)))))-COUNTBLANK(OFFSET(A$1,,,SUMPRODUCT(MAX(ROW(E$1:E679)*(E2=E$1:E679))))))</f>
        <v> </v>
      </c>
      <c r="K680" s="19" t="str">
        <f>IF(OR(E680="",E680="!!!",F680="NEW"),"",INDEX(J$1:J679,SUMPRODUCT(MAX(ROW(E$1:E679)*(E680=E$1:E679)))))</f>
        <v> </v>
      </c>
      <c r="L680" s="20"/>
    </row>
    <row r="681" spans="1:12">
      <c r="A681" s="13" t="s">
        <v>285</v>
      </c>
      <c r="B681" s="14" t="s">
        <v>23</v>
      </c>
      <c r="C681" s="14" t="s">
        <v>258</v>
      </c>
      <c r="E681" s="15">
        <f>IF(D681="?OLD","!!!","")</f>
        <v/>
      </c>
      <c r="F681" s="16" t="str">
        <f>IF(OR(E681="",E681="!!!"),"",IF(NOT(ISNA(VLOOKUP(E681,E$1:E680,1,FALSE()))),"OLD",IF(AND(E681&lt;&gt;"",E681&lt;&gt;"!!!"),"NEW","")))</f>
        <v> </v>
      </c>
      <c r="G681" s="17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18" t="str">
        <f>IF(J681&lt;&gt;1,"",IF(I681="SBJ","CB","?"))</f>
        <v> </v>
      </c>
      <c r="I681" s="19" t="str">
        <f>IF(OR(E681="",E681="!!!",F681="NEW"),"",INDEX(B680:B$2,-1+SUMPRODUCT(MAX(ROW(E680:E$2)*(E681=E680:E$2)))))</f>
        <v> </v>
      </c>
      <c r="J681" s="19" t="str">
        <f>IF(OR(E681="",E681="!!!",F681="NEW"),"",COUNTBLANK(OFFSET(A$1,,,SUMPRODUCT(MAX(ROW(E$2:E681)*(E681=E$2:E681)))))-COUNTBLANK(OFFSET(A$1,,,SUMPRODUCT(MAX(ROW(E$1:E680)*(E2=E$1:E680))))))</f>
        <v> </v>
      </c>
      <c r="K681" s="19" t="str">
        <f>IF(OR(E681="",E681="!!!",F681="NEW"),"",INDEX(J$1:J680,SUMPRODUCT(MAX(ROW(E$1:E680)*(E681=E$1:E680)))))</f>
        <v> </v>
      </c>
      <c r="L681" s="20"/>
    </row>
    <row r="682" spans="1:12">
      <c r="A682" s="13" t="s">
        <v>286</v>
      </c>
      <c r="E682" s="15">
        <f>IF(D682="?OLD","!!!","")</f>
        <v/>
      </c>
      <c r="F682" s="16" t="str">
        <f>IF(OR(E682="",E682="!!!"),"",IF(NOT(ISNA(VLOOKUP(E682,E$1:E681,1,FALSE()))),"OLD",IF(AND(E682&lt;&gt;"",E682&lt;&gt;"!!!"),"NEW","")))</f>
        <v> </v>
      </c>
      <c r="G682" s="17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18" t="str">
        <f>IF(J682&lt;&gt;1,"",IF(I682="SBJ","CB","?"))</f>
        <v> </v>
      </c>
      <c r="I682" s="19" t="str">
        <f>IF(OR(E682="",E682="!!!",F682="NEW"),"",INDEX(B681:B$2,-1+SUMPRODUCT(MAX(ROW(E681:E$2)*(E682=E681:E$2)))))</f>
        <v> </v>
      </c>
      <c r="J682" s="19" t="str">
        <f>IF(OR(E682="",E682="!!!",F682="NEW"),"",COUNTBLANK(OFFSET(A$1,,,SUMPRODUCT(MAX(ROW(E$2:E682)*(E682=E$2:E682)))))-COUNTBLANK(OFFSET(A$1,,,SUMPRODUCT(MAX(ROW(E$1:E681)*(E2=E$1:E681))))))</f>
        <v> </v>
      </c>
      <c r="K682" s="19" t="str">
        <f>IF(OR(E682="",E682="!!!",F682="NEW"),"",INDEX(J$1:J681,SUMPRODUCT(MAX(ROW(E$1:E681)*(E682=E$1:E681)))))</f>
        <v> </v>
      </c>
      <c r="L682" s="20"/>
    </row>
    <row r="683" spans="1:12">
      <c r="A683" s="13" t="s">
        <v>218</v>
      </c>
      <c r="E683" s="15">
        <f>IF(D683="?OLD","!!!","")</f>
        <v/>
      </c>
      <c r="F683" s="16" t="str">
        <f>IF(OR(E683="",E683="!!!"),"",IF(NOT(ISNA(VLOOKUP(E683,E$1:E682,1,FALSE()))),"OLD",IF(AND(E683&lt;&gt;"",E683&lt;&gt;"!!!"),"NEW","")))</f>
        <v> </v>
      </c>
      <c r="G683" s="17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18" t="str">
        <f>IF(J683&lt;&gt;1,"",IF(I683="SBJ","CB","?"))</f>
        <v> </v>
      </c>
      <c r="I683" s="19" t="str">
        <f>IF(OR(E683="",E683="!!!",F683="NEW"),"",INDEX(B682:B$2,-1+SUMPRODUCT(MAX(ROW(E682:E$2)*(E683=E682:E$2)))))</f>
        <v> </v>
      </c>
      <c r="J683" s="19" t="str">
        <f>IF(OR(E683="",E683="!!!",F683="NEW"),"",COUNTBLANK(OFFSET(A$1,,,SUMPRODUCT(MAX(ROW(E$2:E683)*(E683=E$2:E683)))))-COUNTBLANK(OFFSET(A$1,,,SUMPRODUCT(MAX(ROW(E$1:E682)*(E2=E$1:E682))))))</f>
        <v> </v>
      </c>
      <c r="K683" s="19" t="str">
        <f>IF(OR(E683="",E683="!!!",F683="NEW"),"",INDEX(J$1:J682,SUMPRODUCT(MAX(ROW(E$1:E682)*(E683=E$1:E682)))))</f>
        <v> </v>
      </c>
      <c r="L683" s="20"/>
    </row>
    <row r="684" spans="1:12">
      <c r="A684" s="13" t="s">
        <v>119</v>
      </c>
      <c r="E684" s="15">
        <f>IF(D684="?OLD","!!!","")</f>
        <v/>
      </c>
      <c r="F684" s="16" t="str">
        <f>IF(OR(E684="",E684="!!!"),"",IF(NOT(ISNA(VLOOKUP(E684,E$1:E683,1,FALSE()))),"OLD",IF(AND(E684&lt;&gt;"",E684&lt;&gt;"!!!"),"NEW","")))</f>
        <v> </v>
      </c>
      <c r="G684" s="17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18" t="str">
        <f>IF(J684&lt;&gt;1,"",IF(I684="SBJ","CB","?"))</f>
        <v> </v>
      </c>
      <c r="I684" s="19" t="str">
        <f>IF(OR(E684="",E684="!!!",F684="NEW"),"",INDEX(B683:B$2,-1+SUMPRODUCT(MAX(ROW(E683:E$2)*(E684=E683:E$2)))))</f>
        <v> </v>
      </c>
      <c r="J684" s="19" t="str">
        <f>IF(OR(E684="",E684="!!!",F684="NEW"),"",COUNTBLANK(OFFSET(A$1,,,SUMPRODUCT(MAX(ROW(E$2:E684)*(E684=E$2:E684)))))-COUNTBLANK(OFFSET(A$1,,,SUMPRODUCT(MAX(ROW(E$1:E683)*(E2=E$1:E683))))))</f>
        <v> </v>
      </c>
      <c r="K684" s="19" t="str">
        <f>IF(OR(E684="",E684="!!!",F684="NEW"),"",INDEX(J$1:J683,SUMPRODUCT(MAX(ROW(E$1:E683)*(E684=E$1:E683)))))</f>
        <v> </v>
      </c>
      <c r="L684" s="20"/>
    </row>
    <row r="685" spans="1:12">
      <c r="A685" s="13"/>
    </row>
    <row r="686" spans="1:12">
      <c r="A686" s="13" t="s">
        <v>330</v>
      </c>
    </row>
    <row r="687" spans="1:12">
      <c r="A687" s="13" t="s">
        <v>36</v>
      </c>
      <c r="B687" s="14" t="s">
        <v>23</v>
      </c>
      <c r="C687" s="14" t="s">
        <v>24</v>
      </c>
      <c r="D687" s="14" t="s">
        <v>25</v>
      </c>
      <c r="E687" s="15">
        <f>IF(D687="?OLD","!!!","")</f>
        <v/>
      </c>
      <c r="F687" s="16" t="str">
        <f>IF(OR(E687="",E687="!!!"),"",IF(NOT(ISNA(VLOOKUP(E687,E$1:E686,1,FALSE()))),"OLD",IF(AND(E687&lt;&gt;"",E687&lt;&gt;"!!!"),"NEW","")))</f>
        <v> </v>
      </c>
      <c r="G687" s="17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18" t="str">
        <f>IF(J687&lt;&gt;1,"",IF(I687="SBJ","CB","?"))</f>
        <v> </v>
      </c>
      <c r="I687" s="19" t="str">
        <f>IF(OR(E687="",E687="!!!",F687="NEW"),"",INDEX(B686:B$2,-1+SUMPRODUCT(MAX(ROW(E686:E$2)*(E687=E686:E$2)))))</f>
        <v> </v>
      </c>
      <c r="J687" s="19" t="str">
        <f>IF(OR(E687="",E687="!!!",F687="NEW"),"",COUNTBLANK(OFFSET(A$1,,,SUMPRODUCT(MAX(ROW(E$2:E687)*(E687=E$2:E687)))))-COUNTBLANK(OFFSET(A$1,,,SUMPRODUCT(MAX(ROW(E$1:E686)*(E2=E$1:E686))))))</f>
        <v> </v>
      </c>
      <c r="K687" s="19" t="str">
        <f>IF(OR(E687="",E687="!!!",F687="NEW"),"",INDEX(J$1:J686,SUMPRODUCT(MAX(ROW(E$1:E686)*(E687=E$1:E686)))))</f>
        <v> </v>
      </c>
      <c r="L687" s="20"/>
    </row>
    <row r="688" spans="1:12">
      <c r="A688" s="13" t="s">
        <v>37</v>
      </c>
      <c r="B688" s="14" t="s">
        <v>27</v>
      </c>
      <c r="C688" s="14" t="s">
        <v>24</v>
      </c>
      <c r="D688" s="14" t="s">
        <v>25</v>
      </c>
      <c r="E688" s="15">
        <f>IF(D688="?OLD","!!!","")</f>
        <v/>
      </c>
      <c r="F688" s="16" t="str">
        <f>IF(OR(E688="",E688="!!!"),"",IF(NOT(ISNA(VLOOKUP(E688,E$1:E687,1,FALSE()))),"OLD",IF(AND(E688&lt;&gt;"",E688&lt;&gt;"!!!"),"NEW","")))</f>
        <v> </v>
      </c>
      <c r="G688" s="17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18" t="str">
        <f>IF(J688&lt;&gt;1,"",IF(I688="SBJ","CB","?"))</f>
        <v> </v>
      </c>
      <c r="I688" s="19" t="str">
        <f>IF(OR(E688="",E688="!!!",F688="NEW"),"",INDEX(B687:B$2,-1+SUMPRODUCT(MAX(ROW(E687:E$2)*(E688=E687:E$2)))))</f>
        <v> </v>
      </c>
      <c r="J688" s="19" t="str">
        <f>IF(OR(E688="",E688="!!!",F688="NEW"),"",COUNTBLANK(OFFSET(A$1,,,SUMPRODUCT(MAX(ROW(E$2:E688)*(E688=E$2:E688)))))-COUNTBLANK(OFFSET(A$1,,,SUMPRODUCT(MAX(ROW(E$1:E687)*(E2=E$1:E687))))))</f>
        <v> </v>
      </c>
      <c r="K688" s="19" t="str">
        <f>IF(OR(E688="",E688="!!!",F688="NEW"),"",INDEX(J$1:J687,SUMPRODUCT(MAX(ROW(E$1:E687)*(E688=E$1:E687)))))</f>
        <v> </v>
      </c>
      <c r="L688" s="20"/>
    </row>
    <row r="689" spans="1:12">
      <c r="A689" s="13" t="s">
        <v>56</v>
      </c>
      <c r="E689" s="15">
        <f>IF(D689="?OLD","!!!","")</f>
        <v/>
      </c>
      <c r="F689" s="16" t="str">
        <f>IF(OR(E689="",E689="!!!"),"",IF(NOT(ISNA(VLOOKUP(E689,E$1:E688,1,FALSE()))),"OLD",IF(AND(E689&lt;&gt;"",E689&lt;&gt;"!!!"),"NEW","")))</f>
        <v> </v>
      </c>
      <c r="G689" s="17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18" t="str">
        <f>IF(J689&lt;&gt;1,"",IF(I689="SBJ","CB","?"))</f>
        <v> </v>
      </c>
      <c r="I689" s="19" t="str">
        <f>IF(OR(E689="",E689="!!!",F689="NEW"),"",INDEX(B688:B$2,-1+SUMPRODUCT(MAX(ROW(E688:E$2)*(E689=E688:E$2)))))</f>
        <v> </v>
      </c>
      <c r="J689" s="19" t="str">
        <f>IF(OR(E689="",E689="!!!",F689="NEW"),"",COUNTBLANK(OFFSET(A$1,,,SUMPRODUCT(MAX(ROW(E$2:E689)*(E689=E$2:E689)))))-COUNTBLANK(OFFSET(A$1,,,SUMPRODUCT(MAX(ROW(E$1:E688)*(E2=E$1:E688))))))</f>
        <v> </v>
      </c>
      <c r="K689" s="19" t="str">
        <f>IF(OR(E689="",E689="!!!",F689="NEW"),"",INDEX(J$1:J688,SUMPRODUCT(MAX(ROW(E$1:E688)*(E689=E$1:E688)))))</f>
        <v> </v>
      </c>
      <c r="L689" s="20"/>
    </row>
    <row r="690" spans="1:12">
      <c r="A690" s="13" t="s">
        <v>61</v>
      </c>
      <c r="B690" s="14" t="s">
        <v>165</v>
      </c>
      <c r="E690" s="15">
        <f>IF(D690="?OLD","!!!","")</f>
        <v/>
      </c>
      <c r="F690" s="16" t="str">
        <f>IF(OR(E690="",E690="!!!"),"",IF(NOT(ISNA(VLOOKUP(E690,E$1:E689,1,FALSE()))),"OLD",IF(AND(E690&lt;&gt;"",E690&lt;&gt;"!!!"),"NEW","")))</f>
        <v> </v>
      </c>
      <c r="G690" s="17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18" t="str">
        <f>IF(J690&lt;&gt;1,"",IF(I690="SBJ","CB","?"))</f>
        <v> </v>
      </c>
      <c r="I690" s="19" t="str">
        <f>IF(OR(E690="",E690="!!!",F690="NEW"),"",INDEX(B689:B$2,-1+SUMPRODUCT(MAX(ROW(E689:E$2)*(E690=E689:E$2)))))</f>
        <v> </v>
      </c>
      <c r="J690" s="19" t="str">
        <f>IF(OR(E690="",E690="!!!",F690="NEW"),"",COUNTBLANK(OFFSET(A$1,,,SUMPRODUCT(MAX(ROW(E$2:E690)*(E690=E$2:E690)))))-COUNTBLANK(OFFSET(A$1,,,SUMPRODUCT(MAX(ROW(E$1:E689)*(E2=E$1:E689))))))</f>
        <v> </v>
      </c>
      <c r="K690" s="19" t="str">
        <f>IF(OR(E690="",E690="!!!",F690="NEW"),"",INDEX(J$1:J689,SUMPRODUCT(MAX(ROW(E$1:E689)*(E690=E$1:E689)))))</f>
        <v> </v>
      </c>
      <c r="L690" s="20"/>
    </row>
    <row r="691" spans="1:12">
      <c r="A691" s="13" t="s">
        <v>331</v>
      </c>
      <c r="E691" s="15">
        <f>IF(D691="?OLD","!!!","")</f>
        <v/>
      </c>
      <c r="F691" s="16" t="str">
        <f>IF(OR(E691="",E691="!!!"),"",IF(NOT(ISNA(VLOOKUP(E691,E$1:E690,1,FALSE()))),"OLD",IF(AND(E691&lt;&gt;"",E691&lt;&gt;"!!!"),"NEW","")))</f>
        <v> </v>
      </c>
      <c r="G691" s="17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18" t="str">
        <f>IF(J691&lt;&gt;1,"",IF(I691="SBJ","CB","?"))</f>
        <v> </v>
      </c>
      <c r="I691" s="19" t="str">
        <f>IF(OR(E691="",E691="!!!",F691="NEW"),"",INDEX(B690:B$2,-1+SUMPRODUCT(MAX(ROW(E690:E$2)*(E691=E690:E$2)))))</f>
        <v> </v>
      </c>
      <c r="J691" s="19" t="str">
        <f>IF(OR(E691="",E691="!!!",F691="NEW"),"",COUNTBLANK(OFFSET(A$1,,,SUMPRODUCT(MAX(ROW(E$2:E691)*(E691=E$2:E691)))))-COUNTBLANK(OFFSET(A$1,,,SUMPRODUCT(MAX(ROW(E$1:E690)*(E2=E$1:E690))))))</f>
        <v> </v>
      </c>
      <c r="K691" s="19" t="str">
        <f>IF(OR(E691="",E691="!!!",F691="NEW"),"",INDEX(J$1:J690,SUMPRODUCT(MAX(ROW(E$1:E690)*(E691=E$1:E690)))))</f>
        <v> </v>
      </c>
      <c r="L691" s="20"/>
    </row>
    <row r="692" spans="1:12">
      <c r="A692" s="13" t="s">
        <v>95</v>
      </c>
      <c r="E692" s="15">
        <f>IF(D692="?OLD","!!!","")</f>
        <v/>
      </c>
      <c r="F692" s="16" t="str">
        <f>IF(OR(E692="",E692="!!!"),"",IF(NOT(ISNA(VLOOKUP(E692,E$1:E691,1,FALSE()))),"OLD",IF(AND(E692&lt;&gt;"",E692&lt;&gt;"!!!"),"NEW","")))</f>
        <v> </v>
      </c>
      <c r="G692" s="17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18" t="str">
        <f>IF(J692&lt;&gt;1,"",IF(I692="SBJ","CB","?"))</f>
        <v> </v>
      </c>
      <c r="I692" s="19" t="str">
        <f>IF(OR(E692="",E692="!!!",F692="NEW"),"",INDEX(B691:B$2,-1+SUMPRODUCT(MAX(ROW(E691:E$2)*(E692=E691:E$2)))))</f>
        <v> </v>
      </c>
      <c r="J692" s="19" t="str">
        <f>IF(OR(E692="",E692="!!!",F692="NEW"),"",COUNTBLANK(OFFSET(A$1,,,SUMPRODUCT(MAX(ROW(E$2:E692)*(E692=E$2:E692)))))-COUNTBLANK(OFFSET(A$1,,,SUMPRODUCT(MAX(ROW(E$1:E691)*(E2=E$1:E691))))))</f>
        <v> </v>
      </c>
      <c r="K692" s="19" t="str">
        <f>IF(OR(E692="",E692="!!!",F692="NEW"),"",INDEX(J$1:J691,SUMPRODUCT(MAX(ROW(E$1:E691)*(E692=E$1:E691)))))</f>
        <v> </v>
      </c>
      <c r="L692" s="20"/>
    </row>
    <row r="693" spans="1:12">
      <c r="A693" s="13" t="s">
        <v>332</v>
      </c>
      <c r="B693" s="14" t="s">
        <v>126</v>
      </c>
      <c r="C693" s="14" t="s">
        <v>39</v>
      </c>
      <c r="D693" s="14" t="s">
        <v>25</v>
      </c>
      <c r="E693" s="15">
        <f>IF(D693="?OLD","!!!","")</f>
        <v/>
      </c>
      <c r="F693" s="16" t="str">
        <f>IF(OR(E693="",E693="!!!"),"",IF(NOT(ISNA(VLOOKUP(E693,E$1:E692,1,FALSE()))),"OLD",IF(AND(E693&lt;&gt;"",E693&lt;&gt;"!!!"),"NEW","")))</f>
        <v> </v>
      </c>
      <c r="G693" s="17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18" t="str">
        <f>IF(J693&lt;&gt;1,"",IF(I693="SBJ","CB","?"))</f>
        <v> </v>
      </c>
      <c r="I693" s="19" t="str">
        <f>IF(OR(E693="",E693="!!!",F693="NEW"),"",INDEX(B692:B$2,-1+SUMPRODUCT(MAX(ROW(E692:E$2)*(E693=E692:E$2)))))</f>
        <v> </v>
      </c>
      <c r="J693" s="19" t="str">
        <f>IF(OR(E693="",E693="!!!",F693="NEW"),"",COUNTBLANK(OFFSET(A$1,,,SUMPRODUCT(MAX(ROW(E$2:E693)*(E693=E$2:E693)))))-COUNTBLANK(OFFSET(A$1,,,SUMPRODUCT(MAX(ROW(E$1:E692)*(E2=E$1:E692))))))</f>
        <v> </v>
      </c>
      <c r="K693" s="19" t="str">
        <f>IF(OR(E693="",E693="!!!",F693="NEW"),"",INDEX(J$1:J692,SUMPRODUCT(MAX(ROW(E$1:E692)*(E693=E$1:E692)))))</f>
        <v> </v>
      </c>
      <c r="L693" s="20"/>
    </row>
    <row r="694" spans="1:12">
      <c r="A694" s="13" t="s">
        <v>333</v>
      </c>
      <c r="E694" s="15">
        <f>IF(D694="?OLD","!!!","")</f>
        <v/>
      </c>
      <c r="F694" s="16" t="str">
        <f>IF(OR(E694="",E694="!!!"),"",IF(NOT(ISNA(VLOOKUP(E694,E$1:E693,1,FALSE()))),"OLD",IF(AND(E694&lt;&gt;"",E694&lt;&gt;"!!!"),"NEW","")))</f>
        <v> </v>
      </c>
      <c r="G694" s="17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18" t="str">
        <f>IF(J694&lt;&gt;1,"",IF(I694="SBJ","CB","?"))</f>
        <v> </v>
      </c>
      <c r="I694" s="19" t="str">
        <f>IF(OR(E694="",E694="!!!",F694="NEW"),"",INDEX(B693:B$2,-1+SUMPRODUCT(MAX(ROW(E693:E$2)*(E694=E693:E$2)))))</f>
        <v> </v>
      </c>
      <c r="J694" s="19" t="str">
        <f>IF(OR(E694="",E694="!!!",F694="NEW"),"",COUNTBLANK(OFFSET(A$1,,,SUMPRODUCT(MAX(ROW(E$2:E694)*(E694=E$2:E694)))))-COUNTBLANK(OFFSET(A$1,,,SUMPRODUCT(MAX(ROW(E$1:E693)*(E2=E$1:E693))))))</f>
        <v> </v>
      </c>
      <c r="K694" s="19" t="str">
        <f>IF(OR(E694="",E694="!!!",F694="NEW"),"",INDEX(J$1:J693,SUMPRODUCT(MAX(ROW(E$1:E693)*(E694=E$1:E693)))))</f>
        <v> </v>
      </c>
      <c r="L694" s="20"/>
    </row>
    <row r="695" spans="1:12">
      <c r="A695" s="13" t="s">
        <v>79</v>
      </c>
      <c r="E695" s="15">
        <f>IF(D695="?OLD","!!!","")</f>
        <v/>
      </c>
      <c r="F695" s="16" t="str">
        <f>IF(OR(E695="",E695="!!!"),"",IF(NOT(ISNA(VLOOKUP(E695,E$1:E694,1,FALSE()))),"OLD",IF(AND(E695&lt;&gt;"",E695&lt;&gt;"!!!"),"NEW","")))</f>
        <v> </v>
      </c>
      <c r="G695" s="17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18" t="str">
        <f>IF(J695&lt;&gt;1,"",IF(I695="SBJ","CB","?"))</f>
        <v> </v>
      </c>
      <c r="I695" s="19" t="str">
        <f>IF(OR(E695="",E695="!!!",F695="NEW"),"",INDEX(B694:B$2,-1+SUMPRODUCT(MAX(ROW(E694:E$2)*(E695=E694:E$2)))))</f>
        <v> </v>
      </c>
      <c r="J695" s="19" t="str">
        <f>IF(OR(E695="",E695="!!!",F695="NEW"),"",COUNTBLANK(OFFSET(A$1,,,SUMPRODUCT(MAX(ROW(E$2:E695)*(E695=E$2:E695)))))-COUNTBLANK(OFFSET(A$1,,,SUMPRODUCT(MAX(ROW(E$1:E694)*(E2=E$1:E694))))))</f>
        <v> </v>
      </c>
      <c r="K695" s="19" t="str">
        <f>IF(OR(E695="",E695="!!!",F695="NEW"),"",INDEX(J$1:J694,SUMPRODUCT(MAX(ROW(E$1:E694)*(E695=E$1:E694)))))</f>
        <v> </v>
      </c>
      <c r="L695" s="20"/>
    </row>
    <row r="696" spans="1:12">
      <c r="A696" s="13" t="s">
        <v>95</v>
      </c>
      <c r="E696" s="15">
        <f>IF(D696="?OLD","!!!","")</f>
        <v/>
      </c>
      <c r="F696" s="16" t="str">
        <f>IF(OR(E696="",E696="!!!"),"",IF(NOT(ISNA(VLOOKUP(E696,E$1:E695,1,FALSE()))),"OLD",IF(AND(E696&lt;&gt;"",E696&lt;&gt;"!!!"),"NEW","")))</f>
        <v> </v>
      </c>
      <c r="G696" s="17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18" t="str">
        <f>IF(J696&lt;&gt;1,"",IF(I696="SBJ","CB","?"))</f>
        <v> </v>
      </c>
      <c r="I696" s="19" t="str">
        <f>IF(OR(E696="",E696="!!!",F696="NEW"),"",INDEX(B695:B$2,-1+SUMPRODUCT(MAX(ROW(E695:E$2)*(E696=E695:E$2)))))</f>
        <v> </v>
      </c>
      <c r="J696" s="19" t="str">
        <f>IF(OR(E696="",E696="!!!",F696="NEW"),"",COUNTBLANK(OFFSET(A$1,,,SUMPRODUCT(MAX(ROW(E$2:E696)*(E696=E$2:E696)))))-COUNTBLANK(OFFSET(A$1,,,SUMPRODUCT(MAX(ROW(E$1:E695)*(E2=E$1:E695))))))</f>
        <v> </v>
      </c>
      <c r="K696" s="19" t="str">
        <f>IF(OR(E696="",E696="!!!",F696="NEW"),"",INDEX(J$1:J695,SUMPRODUCT(MAX(ROW(E$1:E695)*(E696=E$1:E695)))))</f>
        <v> </v>
      </c>
      <c r="L696" s="20"/>
    </row>
    <row r="697" spans="1:12">
      <c r="A697" s="13" t="s">
        <v>164</v>
      </c>
      <c r="B697" s="14" t="s">
        <v>63</v>
      </c>
      <c r="C697" s="14" t="s">
        <v>24</v>
      </c>
      <c r="D697" s="14" t="s">
        <v>25</v>
      </c>
      <c r="E697" s="15">
        <f>IF(D697="?OLD","!!!","")</f>
        <v/>
      </c>
      <c r="F697" s="16" t="str">
        <f>IF(OR(E697="",E697="!!!"),"",IF(NOT(ISNA(VLOOKUP(E697,E$1:E696,1,FALSE()))),"OLD",IF(AND(E697&lt;&gt;"",E697&lt;&gt;"!!!"),"NEW","")))</f>
        <v> </v>
      </c>
      <c r="G697" s="17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18" t="str">
        <f>IF(J697&lt;&gt;1,"",IF(I697="SBJ","CB","?"))</f>
        <v> </v>
      </c>
      <c r="I697" s="19" t="str">
        <f>IF(OR(E697="",E697="!!!",F697="NEW"),"",INDEX(B696:B$2,-1+SUMPRODUCT(MAX(ROW(E696:E$2)*(E697=E696:E$2)))))</f>
        <v> </v>
      </c>
      <c r="J697" s="19" t="str">
        <f>IF(OR(E697="",E697="!!!",F697="NEW"),"",COUNTBLANK(OFFSET(A$1,,,SUMPRODUCT(MAX(ROW(E$2:E697)*(E697=E$2:E697)))))-COUNTBLANK(OFFSET(A$1,,,SUMPRODUCT(MAX(ROW(E$1:E696)*(E2=E$1:E696))))))</f>
        <v> </v>
      </c>
      <c r="K697" s="19" t="str">
        <f>IF(OR(E697="",E697="!!!",F697="NEW"),"",INDEX(J$1:J696,SUMPRODUCT(MAX(ROW(E$1:E696)*(E697=E$1:E696)))))</f>
        <v> </v>
      </c>
      <c r="L697" s="20"/>
    </row>
    <row r="698" spans="1:12">
      <c r="A698" s="13" t="s">
        <v>56</v>
      </c>
      <c r="E698" s="15">
        <f>IF(D698="?OLD","!!!","")</f>
        <v/>
      </c>
      <c r="F698" s="16" t="str">
        <f>IF(OR(E698="",E698="!!!"),"",IF(NOT(ISNA(VLOOKUP(E698,E$1:E697,1,FALSE()))),"OLD",IF(AND(E698&lt;&gt;"",E698&lt;&gt;"!!!"),"NEW","")))</f>
        <v> </v>
      </c>
      <c r="G698" s="17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18" t="str">
        <f>IF(J698&lt;&gt;1,"",IF(I698="SBJ","CB","?"))</f>
        <v> </v>
      </c>
      <c r="I698" s="19" t="str">
        <f>IF(OR(E698="",E698="!!!",F698="NEW"),"",INDEX(B697:B$2,-1+SUMPRODUCT(MAX(ROW(E697:E$2)*(E698=E697:E$2)))))</f>
        <v> </v>
      </c>
      <c r="J698" s="19" t="str">
        <f>IF(OR(E698="",E698="!!!",F698="NEW"),"",COUNTBLANK(OFFSET(A$1,,,SUMPRODUCT(MAX(ROW(E$2:E698)*(E698=E$2:E698)))))-COUNTBLANK(OFFSET(A$1,,,SUMPRODUCT(MAX(ROW(E$1:E697)*(E2=E$1:E697))))))</f>
        <v> </v>
      </c>
      <c r="K698" s="19" t="str">
        <f>IF(OR(E698="",E698="!!!",F698="NEW"),"",INDEX(J$1:J697,SUMPRODUCT(MAX(ROW(E$1:E697)*(E698=E$1:E697)))))</f>
        <v> </v>
      </c>
      <c r="L698" s="20"/>
    </row>
    <row r="699" spans="1:12">
      <c r="A699" s="13" t="s">
        <v>175</v>
      </c>
      <c r="E699" s="15">
        <f>IF(D699="?OLD","!!!","")</f>
        <v/>
      </c>
      <c r="F699" s="16" t="str">
        <f>IF(OR(E699="",E699="!!!"),"",IF(NOT(ISNA(VLOOKUP(E699,E$1:E698,1,FALSE()))),"OLD",IF(AND(E699&lt;&gt;"",E699&lt;&gt;"!!!"),"NEW","")))</f>
        <v> </v>
      </c>
      <c r="G699" s="17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18" t="str">
        <f>IF(J699&lt;&gt;1,"",IF(I699="SBJ","CB","?"))</f>
        <v> </v>
      </c>
      <c r="I699" s="19" t="str">
        <f>IF(OR(E699="",E699="!!!",F699="NEW"),"",INDEX(B698:B$2,-1+SUMPRODUCT(MAX(ROW(E698:E$2)*(E699=E698:E$2)))))</f>
        <v> </v>
      </c>
      <c r="J699" s="19" t="str">
        <f>IF(OR(E699="",E699="!!!",F699="NEW"),"",COUNTBLANK(OFFSET(A$1,,,SUMPRODUCT(MAX(ROW(E$2:E699)*(E699=E$2:E699)))))-COUNTBLANK(OFFSET(A$1,,,SUMPRODUCT(MAX(ROW(E$1:E698)*(E2=E$1:E698))))))</f>
        <v> </v>
      </c>
      <c r="K699" s="19" t="str">
        <f>IF(OR(E699="",E699="!!!",F699="NEW"),"",INDEX(J$1:J698,SUMPRODUCT(MAX(ROW(E$1:E698)*(E699=E$1:E698)))))</f>
        <v> </v>
      </c>
      <c r="L699" s="20"/>
    </row>
    <row r="700" spans="1:12">
      <c r="A700" s="13" t="s">
        <v>334</v>
      </c>
      <c r="E700" s="15">
        <f>IF(D700="?OLD","!!!","")</f>
        <v/>
      </c>
      <c r="F700" s="16" t="str">
        <f>IF(OR(E700="",E700="!!!"),"",IF(NOT(ISNA(VLOOKUP(E700,E$1:E699,1,FALSE()))),"OLD",IF(AND(E700&lt;&gt;"",E700&lt;&gt;"!!!"),"NEW","")))</f>
        <v> </v>
      </c>
      <c r="G700" s="17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18" t="str">
        <f>IF(J700&lt;&gt;1,"",IF(I700="SBJ","CB","?"))</f>
        <v> </v>
      </c>
      <c r="I700" s="19" t="str">
        <f>IF(OR(E700="",E700="!!!",F700="NEW"),"",INDEX(B699:B$2,-1+SUMPRODUCT(MAX(ROW(E699:E$2)*(E700=E699:E$2)))))</f>
        <v> </v>
      </c>
      <c r="J700" s="19" t="str">
        <f>IF(OR(E700="",E700="!!!",F700="NEW"),"",COUNTBLANK(OFFSET(A$1,,,SUMPRODUCT(MAX(ROW(E$2:E700)*(E700=E$2:E700)))))-COUNTBLANK(OFFSET(A$1,,,SUMPRODUCT(MAX(ROW(E$1:E699)*(E2=E$1:E699))))))</f>
        <v> </v>
      </c>
      <c r="K700" s="19" t="str">
        <f>IF(OR(E700="",E700="!!!",F700="NEW"),"",INDEX(J$1:J699,SUMPRODUCT(MAX(ROW(E$1:E699)*(E700=E$1:E699)))))</f>
        <v> </v>
      </c>
      <c r="L700" s="20"/>
    </row>
    <row r="701" spans="1:12">
      <c r="A701" s="13" t="s">
        <v>53</v>
      </c>
      <c r="E701" s="15">
        <f>IF(D701="?OLD","!!!","")</f>
        <v/>
      </c>
      <c r="F701" s="16" t="str">
        <f>IF(OR(E701="",E701="!!!"),"",IF(NOT(ISNA(VLOOKUP(E701,E$1:E700,1,FALSE()))),"OLD",IF(AND(E701&lt;&gt;"",E701&lt;&gt;"!!!"),"NEW","")))</f>
        <v> </v>
      </c>
      <c r="G701" s="17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18" t="str">
        <f>IF(J701&lt;&gt;1,"",IF(I701="SBJ","CB","?"))</f>
        <v> </v>
      </c>
      <c r="I701" s="19" t="str">
        <f>IF(OR(E701="",E701="!!!",F701="NEW"),"",INDEX(B700:B$2,-1+SUMPRODUCT(MAX(ROW(E700:E$2)*(E701=E700:E$2)))))</f>
        <v> </v>
      </c>
      <c r="J701" s="19" t="str">
        <f>IF(OR(E701="",E701="!!!",F701="NEW"),"",COUNTBLANK(OFFSET(A$1,,,SUMPRODUCT(MAX(ROW(E$2:E701)*(E701=E$2:E701)))))-COUNTBLANK(OFFSET(A$1,,,SUMPRODUCT(MAX(ROW(E$1:E700)*(E2=E$1:E700))))))</f>
        <v> </v>
      </c>
      <c r="K701" s="19" t="str">
        <f>IF(OR(E701="",E701="!!!",F701="NEW"),"",INDEX(J$1:J700,SUMPRODUCT(MAX(ROW(E$1:E700)*(E701=E$1:E700)))))</f>
        <v> </v>
      </c>
      <c r="L701" s="20"/>
    </row>
    <row r="702" spans="1:12">
      <c r="A702" s="13" t="s">
        <v>122</v>
      </c>
      <c r="B702" s="14" t="s">
        <v>88</v>
      </c>
      <c r="C702" s="14" t="s">
        <v>39</v>
      </c>
      <c r="D702" s="14" t="s">
        <v>25</v>
      </c>
      <c r="E702" s="15">
        <f>IF(D702="?OLD","!!!","")</f>
        <v/>
      </c>
      <c r="F702" s="16" t="str">
        <f>IF(OR(E702="",E702="!!!"),"",IF(NOT(ISNA(VLOOKUP(E702,E$1:E701,1,FALSE()))),"OLD",IF(AND(E702&lt;&gt;"",E702&lt;&gt;"!!!"),"NEW","")))</f>
        <v> </v>
      </c>
      <c r="G702" s="17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18" t="str">
        <f>IF(J702&lt;&gt;1,"",IF(I702="SBJ","CB","?"))</f>
        <v> </v>
      </c>
      <c r="I702" s="19" t="str">
        <f>IF(OR(E702="",E702="!!!",F702="NEW"),"",INDEX(B701:B$2,-1+SUMPRODUCT(MAX(ROW(E701:E$2)*(E702=E701:E$2)))))</f>
        <v> </v>
      </c>
      <c r="J702" s="19" t="str">
        <f>IF(OR(E702="",E702="!!!",F702="NEW"),"",COUNTBLANK(OFFSET(A$1,,,SUMPRODUCT(MAX(ROW(E$2:E702)*(E702=E$2:E702)))))-COUNTBLANK(OFFSET(A$1,,,SUMPRODUCT(MAX(ROW(E$1:E701)*(E2=E$1:E701))))))</f>
        <v> </v>
      </c>
      <c r="K702" s="19" t="str">
        <f>IF(OR(E702="",E702="!!!",F702="NEW"),"",INDEX(J$1:J701,SUMPRODUCT(MAX(ROW(E$1:E701)*(E702=E$1:E701)))))</f>
        <v> </v>
      </c>
      <c r="L702" s="20"/>
    </row>
    <row r="703" spans="1:12">
      <c r="A703" s="13" t="s">
        <v>79</v>
      </c>
      <c r="E703" s="15">
        <f>IF(D703="?OLD","!!!","")</f>
        <v/>
      </c>
      <c r="F703" s="16" t="str">
        <f>IF(OR(E703="",E703="!!!"),"",IF(NOT(ISNA(VLOOKUP(E703,E$1:E702,1,FALSE()))),"OLD",IF(AND(E703&lt;&gt;"",E703&lt;&gt;"!!!"),"NEW","")))</f>
        <v> </v>
      </c>
      <c r="G703" s="17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18" t="str">
        <f>IF(J703&lt;&gt;1,"",IF(I703="SBJ","CB","?"))</f>
        <v> </v>
      </c>
      <c r="I703" s="19" t="str">
        <f>IF(OR(E703="",E703="!!!",F703="NEW"),"",INDEX(B702:B$2,-1+SUMPRODUCT(MAX(ROW(E702:E$2)*(E703=E702:E$2)))))</f>
        <v> </v>
      </c>
      <c r="J703" s="19" t="str">
        <f>IF(OR(E703="",E703="!!!",F703="NEW"),"",COUNTBLANK(OFFSET(A$1,,,SUMPRODUCT(MAX(ROW(E$2:E703)*(E703=E$2:E703)))))-COUNTBLANK(OFFSET(A$1,,,SUMPRODUCT(MAX(ROW(E$1:E702)*(E2=E$1:E702))))))</f>
        <v> </v>
      </c>
      <c r="K703" s="19" t="str">
        <f>IF(OR(E703="",E703="!!!",F703="NEW"),"",INDEX(J$1:J702,SUMPRODUCT(MAX(ROW(E$1:E702)*(E703=E$1:E702)))))</f>
        <v> </v>
      </c>
      <c r="L703" s="20"/>
    </row>
    <row r="704" spans="1:12">
      <c r="A704" s="13" t="s">
        <v>335</v>
      </c>
      <c r="B704" s="14" t="s">
        <v>27</v>
      </c>
      <c r="C704" s="14" t="s">
        <v>34</v>
      </c>
      <c r="E704" s="15">
        <f>IF(D704="?OLD","!!!","")</f>
        <v/>
      </c>
      <c r="F704" s="16" t="str">
        <f>IF(OR(E704="",E704="!!!"),"",IF(NOT(ISNA(VLOOKUP(E704,E$1:E703,1,FALSE()))),"OLD",IF(AND(E704&lt;&gt;"",E704&lt;&gt;"!!!"),"NEW","")))</f>
        <v> </v>
      </c>
      <c r="G704" s="17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18" t="str">
        <f>IF(J704&lt;&gt;1,"",IF(I704="SBJ","CB","?"))</f>
        <v> </v>
      </c>
      <c r="I704" s="19" t="str">
        <f>IF(OR(E704="",E704="!!!",F704="NEW"),"",INDEX(B703:B$2,-1+SUMPRODUCT(MAX(ROW(E703:E$2)*(E704=E703:E$2)))))</f>
        <v> </v>
      </c>
      <c r="J704" s="19" t="str">
        <f>IF(OR(E704="",E704="!!!",F704="NEW"),"",COUNTBLANK(OFFSET(A$1,,,SUMPRODUCT(MAX(ROW(E$2:E704)*(E704=E$2:E704)))))-COUNTBLANK(OFFSET(A$1,,,SUMPRODUCT(MAX(ROW(E$1:E703)*(E2=E$1:E703))))))</f>
        <v> </v>
      </c>
      <c r="K704" s="19" t="str">
        <f>IF(OR(E704="",E704="!!!",F704="NEW"),"",INDEX(J$1:J703,SUMPRODUCT(MAX(ROW(E$1:E703)*(E704=E$1:E703)))))</f>
        <v> </v>
      </c>
      <c r="L704" s="20"/>
    </row>
    <row r="705" spans="1:12">
      <c r="A705" s="13" t="s">
        <v>171</v>
      </c>
      <c r="E705" s="15">
        <f>IF(D705="?OLD","!!!","")</f>
        <v/>
      </c>
      <c r="F705" s="16" t="str">
        <f>IF(OR(E705="",E705="!!!"),"",IF(NOT(ISNA(VLOOKUP(E705,E$1:E704,1,FALSE()))),"OLD",IF(AND(E705&lt;&gt;"",E705&lt;&gt;"!!!"),"NEW","")))</f>
        <v> </v>
      </c>
      <c r="G705" s="17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18" t="str">
        <f>IF(J705&lt;&gt;1,"",IF(I705="SBJ","CB","?"))</f>
        <v> </v>
      </c>
      <c r="I705" s="19" t="str">
        <f>IF(OR(E705="",E705="!!!",F705="NEW"),"",INDEX(B704:B$2,-1+SUMPRODUCT(MAX(ROW(E704:E$2)*(E705=E704:E$2)))))</f>
        <v> </v>
      </c>
      <c r="J705" s="19" t="str">
        <f>IF(OR(E705="",E705="!!!",F705="NEW"),"",COUNTBLANK(OFFSET(A$1,,,SUMPRODUCT(MAX(ROW(E$2:E705)*(E705=E$2:E705)))))-COUNTBLANK(OFFSET(A$1,,,SUMPRODUCT(MAX(ROW(E$1:E704)*(E2=E$1:E704))))))</f>
        <v> </v>
      </c>
      <c r="K705" s="19" t="str">
        <f>IF(OR(E705="",E705="!!!",F705="NEW"),"",INDEX(J$1:J704,SUMPRODUCT(MAX(ROW(E$1:E704)*(E705=E$1:E704)))))</f>
        <v> </v>
      </c>
      <c r="L705" s="20"/>
    </row>
    <row r="706" spans="1:12">
      <c r="A706" s="13" t="s">
        <v>172</v>
      </c>
      <c r="E706" s="15">
        <f>IF(D706="?OLD","!!!","")</f>
        <v/>
      </c>
      <c r="F706" s="16" t="str">
        <f>IF(OR(E706="",E706="!!!"),"",IF(NOT(ISNA(VLOOKUP(E706,E$1:E705,1,FALSE()))),"OLD",IF(AND(E706&lt;&gt;"",E706&lt;&gt;"!!!"),"NEW","")))</f>
        <v> </v>
      </c>
      <c r="G706" s="17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18" t="str">
        <f>IF(J706&lt;&gt;1,"",IF(I706="SBJ","CB","?"))</f>
        <v> </v>
      </c>
      <c r="I706" s="19" t="str">
        <f>IF(OR(E706="",E706="!!!",F706="NEW"),"",INDEX(B705:B$2,-1+SUMPRODUCT(MAX(ROW(E705:E$2)*(E706=E705:E$2)))))</f>
        <v> </v>
      </c>
      <c r="J706" s="19" t="str">
        <f>IF(OR(E706="",E706="!!!",F706="NEW"),"",COUNTBLANK(OFFSET(A$1,,,SUMPRODUCT(MAX(ROW(E$2:E706)*(E706=E$2:E706)))))-COUNTBLANK(OFFSET(A$1,,,SUMPRODUCT(MAX(ROW(E$1:E705)*(E2=E$1:E705))))))</f>
        <v> </v>
      </c>
      <c r="K706" s="19" t="str">
        <f>IF(OR(E706="",E706="!!!",F706="NEW"),"",INDEX(J$1:J705,SUMPRODUCT(MAX(ROW(E$1:E705)*(E706=E$1:E705)))))</f>
        <v> </v>
      </c>
      <c r="L706" s="20"/>
    </row>
    <row r="707" spans="1:12">
      <c r="A707" s="13" t="s">
        <v>336</v>
      </c>
      <c r="E707" s="15">
        <f>IF(D707="?OLD","!!!","")</f>
        <v/>
      </c>
      <c r="F707" s="16" t="str">
        <f>IF(OR(E707="",E707="!!!"),"",IF(NOT(ISNA(VLOOKUP(E707,E$1:E706,1,FALSE()))),"OLD",IF(AND(E707&lt;&gt;"",E707&lt;&gt;"!!!"),"NEW","")))</f>
        <v> </v>
      </c>
      <c r="G707" s="17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18" t="str">
        <f>IF(J707&lt;&gt;1,"",IF(I707="SBJ","CB","?"))</f>
        <v> </v>
      </c>
      <c r="I707" s="19" t="str">
        <f>IF(OR(E707="",E707="!!!",F707="NEW"),"",INDEX(B706:B$2,-1+SUMPRODUCT(MAX(ROW(E706:E$2)*(E707=E706:E$2)))))</f>
        <v> </v>
      </c>
      <c r="J707" s="19" t="str">
        <f>IF(OR(E707="",E707="!!!",F707="NEW"),"",COUNTBLANK(OFFSET(A$1,,,SUMPRODUCT(MAX(ROW(E$2:E707)*(E707=E$2:E707)))))-COUNTBLANK(OFFSET(A$1,,,SUMPRODUCT(MAX(ROW(E$1:E706)*(E2=E$1:E706))))))</f>
        <v> </v>
      </c>
      <c r="K707" s="19" t="str">
        <f>IF(OR(E707="",E707="!!!",F707="NEW"),"",INDEX(J$1:J706,SUMPRODUCT(MAX(ROW(E$1:E706)*(E707=E$1:E706)))))</f>
        <v> </v>
      </c>
      <c r="L707" s="20"/>
    </row>
    <row r="708" spans="1:12">
      <c r="A708" s="13" t="s">
        <v>61</v>
      </c>
      <c r="E708" s="15">
        <f>IF(D708="?OLD","!!!","")</f>
        <v/>
      </c>
      <c r="F708" s="16" t="str">
        <f>IF(OR(E708="",E708="!!!"),"",IF(NOT(ISNA(VLOOKUP(E708,E$1:E707,1,FALSE()))),"OLD",IF(AND(E708&lt;&gt;"",E708&lt;&gt;"!!!"),"NEW","")))</f>
        <v> </v>
      </c>
      <c r="G708" s="17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18" t="str">
        <f>IF(J708&lt;&gt;1,"",IF(I708="SBJ","CB","?"))</f>
        <v> </v>
      </c>
      <c r="I708" s="19" t="str">
        <f>IF(OR(E708="",E708="!!!",F708="NEW"),"",INDEX(B707:B$2,-1+SUMPRODUCT(MAX(ROW(E707:E$2)*(E708=E707:E$2)))))</f>
        <v> </v>
      </c>
      <c r="J708" s="19" t="str">
        <f>IF(OR(E708="",E708="!!!",F708="NEW"),"",COUNTBLANK(OFFSET(A$1,,,SUMPRODUCT(MAX(ROW(E$2:E708)*(E708=E$2:E708)))))-COUNTBLANK(OFFSET(A$1,,,SUMPRODUCT(MAX(ROW(E$1:E707)*(E2=E$1:E707))))))</f>
        <v> </v>
      </c>
      <c r="K708" s="19" t="str">
        <f>IF(OR(E708="",E708="!!!",F708="NEW"),"",INDEX(J$1:J707,SUMPRODUCT(MAX(ROW(E$1:E707)*(E708=E$1:E707)))))</f>
        <v> </v>
      </c>
      <c r="L708" s="20"/>
    </row>
    <row r="709" spans="1:12">
      <c r="A709" s="13" t="s">
        <v>57</v>
      </c>
      <c r="E709" s="15">
        <f>IF(D709="?OLD","!!!","")</f>
        <v/>
      </c>
      <c r="F709" s="16" t="str">
        <f>IF(OR(E709="",E709="!!!"),"",IF(NOT(ISNA(VLOOKUP(E709,E$1:E708,1,FALSE()))),"OLD",IF(AND(E709&lt;&gt;"",E709&lt;&gt;"!!!"),"NEW","")))</f>
        <v> </v>
      </c>
      <c r="G709" s="17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18" t="str">
        <f>IF(J709&lt;&gt;1,"",IF(I709="SBJ","CB","?"))</f>
        <v> </v>
      </c>
      <c r="I709" s="19" t="str">
        <f>IF(OR(E709="",E709="!!!",F709="NEW"),"",INDEX(B708:B$2,-1+SUMPRODUCT(MAX(ROW(E708:E$2)*(E709=E708:E$2)))))</f>
        <v> </v>
      </c>
      <c r="J709" s="19" t="str">
        <f>IF(OR(E709="",E709="!!!",F709="NEW"),"",COUNTBLANK(OFFSET(A$1,,,SUMPRODUCT(MAX(ROW(E$2:E709)*(E709=E$2:E709)))))-COUNTBLANK(OFFSET(A$1,,,SUMPRODUCT(MAX(ROW(E$1:E708)*(E2=E$1:E708))))))</f>
        <v> </v>
      </c>
      <c r="K709" s="19" t="str">
        <f>IF(OR(E709="",E709="!!!",F709="NEW"),"",INDEX(J$1:J708,SUMPRODUCT(MAX(ROW(E$1:E708)*(E709=E$1:E708)))))</f>
        <v> </v>
      </c>
      <c r="L709" s="20"/>
    </row>
    <row r="710" spans="1:12">
      <c r="A710" s="13" t="s">
        <v>71</v>
      </c>
      <c r="B710" s="14" t="s">
        <v>63</v>
      </c>
      <c r="C710" s="14" t="s">
        <v>72</v>
      </c>
      <c r="D710" s="14" t="s">
        <v>25</v>
      </c>
      <c r="E710" s="15">
        <f>IF(D710="?OLD","!!!","")</f>
        <v/>
      </c>
      <c r="F710" s="16" t="str">
        <f>IF(OR(E710="",E710="!!!"),"",IF(NOT(ISNA(VLOOKUP(E710,E$1:E709,1,FALSE()))),"OLD",IF(AND(E710&lt;&gt;"",E710&lt;&gt;"!!!"),"NEW","")))</f>
        <v> </v>
      </c>
      <c r="G710" s="17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18" t="str">
        <f>IF(J710&lt;&gt;1,"",IF(I710="SBJ","CB","?"))</f>
        <v> </v>
      </c>
      <c r="I710" s="19" t="str">
        <f>IF(OR(E710="",E710="!!!",F710="NEW"),"",INDEX(B709:B$2,-1+SUMPRODUCT(MAX(ROW(E709:E$2)*(E710=E709:E$2)))))</f>
        <v> </v>
      </c>
      <c r="J710" s="19" t="str">
        <f>IF(OR(E710="",E710="!!!",F710="NEW"),"",COUNTBLANK(OFFSET(A$1,,,SUMPRODUCT(MAX(ROW(E$2:E710)*(E710=E$2:E710)))))-COUNTBLANK(OFFSET(A$1,,,SUMPRODUCT(MAX(ROW(E$1:E709)*(E2=E$1:E709))))))</f>
        <v> </v>
      </c>
      <c r="K710" s="19" t="str">
        <f>IF(OR(E710="",E710="!!!",F710="NEW"),"",INDEX(J$1:J709,SUMPRODUCT(MAX(ROW(E$1:E709)*(E710=E$1:E709)))))</f>
        <v> </v>
      </c>
      <c r="L710" s="20"/>
    </row>
    <row r="711" spans="1:12">
      <c r="A711" s="13" t="s">
        <v>77</v>
      </c>
      <c r="B711" s="14" t="s">
        <v>165</v>
      </c>
      <c r="C711" s="14" t="s">
        <v>60</v>
      </c>
      <c r="D711" s="14" t="s">
        <v>25</v>
      </c>
      <c r="E711" s="15">
        <f>IF(D711="?OLD","!!!","")</f>
        <v/>
      </c>
      <c r="F711" s="16" t="str">
        <f>IF(OR(E711="",E711="!!!"),"",IF(NOT(ISNA(VLOOKUP(E711,E$1:E710,1,FALSE()))),"OLD",IF(AND(E711&lt;&gt;"",E711&lt;&gt;"!!!"),"NEW","")))</f>
        <v> </v>
      </c>
      <c r="G711" s="17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18" t="str">
        <f>IF(J711&lt;&gt;1,"",IF(I711="SBJ","CB","?"))</f>
        <v> </v>
      </c>
      <c r="I711" s="19" t="str">
        <f>IF(OR(E711="",E711="!!!",F711="NEW"),"",INDEX(B710:B$2,-1+SUMPRODUCT(MAX(ROW(E710:E$2)*(E711=E710:E$2)))))</f>
        <v> </v>
      </c>
      <c r="J711" s="19" t="str">
        <f>IF(OR(E711="",E711="!!!",F711="NEW"),"",COUNTBLANK(OFFSET(A$1,,,SUMPRODUCT(MAX(ROW(E$2:E711)*(E711=E$2:E711)))))-COUNTBLANK(OFFSET(A$1,,,SUMPRODUCT(MAX(ROW(E$1:E710)*(E2=E$1:E710))))))</f>
        <v> </v>
      </c>
      <c r="K711" s="19" t="str">
        <f>IF(OR(E711="",E711="!!!",F711="NEW"),"",INDEX(J$1:J710,SUMPRODUCT(MAX(ROW(E$1:E710)*(E711=E$1:E710)))))</f>
        <v> </v>
      </c>
      <c r="L711" s="20"/>
    </row>
    <row r="712" spans="1:12">
      <c r="A712" s="13" t="s">
        <v>337</v>
      </c>
      <c r="E712" s="15">
        <f>IF(D712="?OLD","!!!","")</f>
        <v/>
      </c>
      <c r="F712" s="16" t="str">
        <f>IF(OR(E712="",E712="!!!"),"",IF(NOT(ISNA(VLOOKUP(E712,E$1:E711,1,FALSE()))),"OLD",IF(AND(E712&lt;&gt;"",E712&lt;&gt;"!!!"),"NEW","")))</f>
        <v> </v>
      </c>
      <c r="G712" s="17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18" t="str">
        <f>IF(J712&lt;&gt;1,"",IF(I712="SBJ","CB","?"))</f>
        <v> </v>
      </c>
      <c r="I712" s="19" t="str">
        <f>IF(OR(E712="",E712="!!!",F712="NEW"),"",INDEX(B711:B$2,-1+SUMPRODUCT(MAX(ROW(E711:E$2)*(E712=E711:E$2)))))</f>
        <v> </v>
      </c>
      <c r="J712" s="19" t="str">
        <f>IF(OR(E712="",E712="!!!",F712="NEW"),"",COUNTBLANK(OFFSET(A$1,,,SUMPRODUCT(MAX(ROW(E$2:E712)*(E712=E$2:E712)))))-COUNTBLANK(OFFSET(A$1,,,SUMPRODUCT(MAX(ROW(E$1:E711)*(E2=E$1:E711))))))</f>
        <v> </v>
      </c>
      <c r="K712" s="19" t="str">
        <f>IF(OR(E712="",E712="!!!",F712="NEW"),"",INDEX(J$1:J711,SUMPRODUCT(MAX(ROW(E$1:E711)*(E712=E$1:E711)))))</f>
        <v> </v>
      </c>
      <c r="L712" s="20"/>
    </row>
    <row r="713" spans="1:12">
      <c r="A713" s="13" t="s">
        <v>338</v>
      </c>
      <c r="E713" s="15">
        <f>IF(D713="?OLD","!!!","")</f>
        <v/>
      </c>
      <c r="F713" s="16" t="str">
        <f>IF(OR(E713="",E713="!!!"),"",IF(NOT(ISNA(VLOOKUP(E713,E$1:E712,1,FALSE()))),"OLD",IF(AND(E713&lt;&gt;"",E713&lt;&gt;"!!!"),"NEW","")))</f>
        <v> </v>
      </c>
      <c r="G713" s="17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18" t="str">
        <f>IF(J713&lt;&gt;1,"",IF(I713="SBJ","CB","?"))</f>
        <v> </v>
      </c>
      <c r="I713" s="19" t="str">
        <f>IF(OR(E713="",E713="!!!",F713="NEW"),"",INDEX(B712:B$2,-1+SUMPRODUCT(MAX(ROW(E712:E$2)*(E713=E712:E$2)))))</f>
        <v> </v>
      </c>
      <c r="J713" s="19" t="str">
        <f>IF(OR(E713="",E713="!!!",F713="NEW"),"",COUNTBLANK(OFFSET(A$1,,,SUMPRODUCT(MAX(ROW(E$2:E713)*(E713=E$2:E713)))))-COUNTBLANK(OFFSET(A$1,,,SUMPRODUCT(MAX(ROW(E$1:E712)*(E2=E$1:E712))))))</f>
        <v> </v>
      </c>
      <c r="K713" s="19" t="str">
        <f>IF(OR(E713="",E713="!!!",F713="NEW"),"",INDEX(J$1:J712,SUMPRODUCT(MAX(ROW(E$1:E712)*(E713=E$1:E712)))))</f>
        <v> </v>
      </c>
      <c r="L713" s="20"/>
    </row>
    <row r="714" spans="1:12">
      <c r="A714" s="13" t="s">
        <v>339</v>
      </c>
      <c r="E714" s="15">
        <f>IF(D714="?OLD","!!!","")</f>
        <v/>
      </c>
      <c r="F714" s="16" t="str">
        <f>IF(OR(E714="",E714="!!!"),"",IF(NOT(ISNA(VLOOKUP(E714,E$1:E713,1,FALSE()))),"OLD",IF(AND(E714&lt;&gt;"",E714&lt;&gt;"!!!"),"NEW","")))</f>
        <v> </v>
      </c>
      <c r="G714" s="17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18" t="str">
        <f>IF(J714&lt;&gt;1,"",IF(I714="SBJ","CB","?"))</f>
        <v> </v>
      </c>
      <c r="I714" s="19" t="str">
        <f>IF(OR(E714="",E714="!!!",F714="NEW"),"",INDEX(B713:B$2,-1+SUMPRODUCT(MAX(ROW(E713:E$2)*(E714=E713:E$2)))))</f>
        <v> </v>
      </c>
      <c r="J714" s="19" t="str">
        <f>IF(OR(E714="",E714="!!!",F714="NEW"),"",COUNTBLANK(OFFSET(A$1,,,SUMPRODUCT(MAX(ROW(E$2:E714)*(E714=E$2:E714)))))-COUNTBLANK(OFFSET(A$1,,,SUMPRODUCT(MAX(ROW(E$1:E713)*(E2=E$1:E713))))))</f>
        <v> </v>
      </c>
      <c r="K714" s="19" t="str">
        <f>IF(OR(E714="",E714="!!!",F714="NEW"),"",INDEX(J$1:J713,SUMPRODUCT(MAX(ROW(E$1:E713)*(E714=E$1:E713)))))</f>
        <v> </v>
      </c>
      <c r="L714" s="20"/>
    </row>
    <row r="715" spans="1:12">
      <c r="A715" s="13" t="s">
        <v>116</v>
      </c>
      <c r="E715" s="15">
        <f>IF(D715="?OLD","!!!","")</f>
        <v/>
      </c>
      <c r="F715" s="16" t="str">
        <f>IF(OR(E715="",E715="!!!"),"",IF(NOT(ISNA(VLOOKUP(E715,E$1:E714,1,FALSE()))),"OLD",IF(AND(E715&lt;&gt;"",E715&lt;&gt;"!!!"),"NEW","")))</f>
        <v> </v>
      </c>
      <c r="G715" s="17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18" t="str">
        <f>IF(J715&lt;&gt;1,"",IF(I715="SBJ","CB","?"))</f>
        <v> </v>
      </c>
      <c r="I715" s="19" t="str">
        <f>IF(OR(E715="",E715="!!!",F715="NEW"),"",INDEX(B714:B$2,-1+SUMPRODUCT(MAX(ROW(E714:E$2)*(E715=E714:E$2)))))</f>
        <v> </v>
      </c>
      <c r="J715" s="19" t="str">
        <f>IF(OR(E715="",E715="!!!",F715="NEW"),"",COUNTBLANK(OFFSET(A$1,,,SUMPRODUCT(MAX(ROW(E$2:E715)*(E715=E$2:E715)))))-COUNTBLANK(OFFSET(A$1,,,SUMPRODUCT(MAX(ROW(E$1:E714)*(E2=E$1:E714))))))</f>
        <v> </v>
      </c>
      <c r="K715" s="19" t="str">
        <f>IF(OR(E715="",E715="!!!",F715="NEW"),"",INDEX(J$1:J714,SUMPRODUCT(MAX(ROW(E$1:E714)*(E715=E$1:E714)))))</f>
        <v> </v>
      </c>
      <c r="L715" s="20"/>
    </row>
    <row r="716" spans="1:12">
      <c r="A716" s="13"/>
    </row>
    <row r="717" spans="1:12">
      <c r="A717" s="13" t="s">
        <v>117</v>
      </c>
      <c r="E717" s="15">
        <f>IF(D717="?OLD","!!!","")</f>
        <v/>
      </c>
      <c r="F717" s="16" t="str">
        <f>IF(OR(E717="",E717="!!!"),"",IF(NOT(ISNA(VLOOKUP(E717,E$1:E716,1,FALSE()))),"OLD",IF(AND(E717&lt;&gt;"",E717&lt;&gt;"!!!"),"NEW","")))</f>
        <v> </v>
      </c>
      <c r="G717" s="17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18" t="str">
        <f>IF(J717&lt;&gt;1,"",IF(I717="SBJ","CB","?"))</f>
        <v> </v>
      </c>
      <c r="I717" s="19" t="str">
        <f>IF(OR(E717="",E717="!!!",F717="NEW"),"",INDEX(B716:B$2,-1+SUMPRODUCT(MAX(ROW(E716:E$2)*(E717=E716:E$2)))))</f>
        <v> </v>
      </c>
      <c r="J717" s="19" t="str">
        <f>IF(OR(E717="",E717="!!!",F717="NEW"),"",COUNTBLANK(OFFSET(A$1,,,SUMPRODUCT(MAX(ROW(E$2:E717)*(E717=E$2:E717)))))-COUNTBLANK(OFFSET(A$1,,,SUMPRODUCT(MAX(ROW(E$1:E716)*(E2=E$1:E716))))))</f>
        <v> </v>
      </c>
      <c r="K717" s="19" t="str">
        <f>IF(OR(E717="",E717="!!!",F717="NEW"),"",INDEX(J$1:J716,SUMPRODUCT(MAX(ROW(E$1:E716)*(E717=E$1:E716)))))</f>
        <v> </v>
      </c>
      <c r="L717" s="20"/>
    </row>
    <row r="718" spans="1:12">
      <c r="A718" s="13" t="s">
        <v>340</v>
      </c>
    </row>
    <row r="719" spans="1:12">
      <c r="A719" s="13" t="s">
        <v>119</v>
      </c>
      <c r="E719" s="15">
        <f>IF(D719="?OLD","!!!","")</f>
        <v/>
      </c>
      <c r="F719" s="16" t="str">
        <f>IF(OR(E719="",E719="!!!"),"",IF(NOT(ISNA(VLOOKUP(E719,E$1:E718,1,FALSE()))),"OLD",IF(AND(E719&lt;&gt;"",E719&lt;&gt;"!!!"),"NEW","")))</f>
        <v> </v>
      </c>
      <c r="G719" s="17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18" t="str">
        <f>IF(J719&lt;&gt;1,"",IF(I719="SBJ","CB","?"))</f>
        <v> </v>
      </c>
      <c r="I719" s="19" t="str">
        <f>IF(OR(E719="",E719="!!!",F719="NEW"),"",INDEX(B718:B$2,-1+SUMPRODUCT(MAX(ROW(E718:E$2)*(E719=E718:E$2)))))</f>
        <v> </v>
      </c>
      <c r="J719" s="19" t="str">
        <f>IF(OR(E719="",E719="!!!",F719="NEW"),"",COUNTBLANK(OFFSET(A$1,,,SUMPRODUCT(MAX(ROW(E$2:E719)*(E719=E$2:E719)))))-COUNTBLANK(OFFSET(A$1,,,SUMPRODUCT(MAX(ROW(E$1:E718)*(E2=E$1:E718))))))</f>
        <v> </v>
      </c>
      <c r="K719" s="19" t="str">
        <f>IF(OR(E719="",E719="!!!",F719="NEW"),"",INDEX(J$1:J718,SUMPRODUCT(MAX(ROW(E$1:E718)*(E719=E$1:E718)))))</f>
        <v> </v>
      </c>
      <c r="L719" s="20"/>
    </row>
    <row r="720" spans="1:12">
      <c r="A720" s="13" t="s">
        <v>288</v>
      </c>
      <c r="E720" s="15">
        <f>IF(D720="?OLD","!!!","")</f>
        <v/>
      </c>
      <c r="F720" s="16" t="str">
        <f>IF(OR(E720="",E720="!!!"),"",IF(NOT(ISNA(VLOOKUP(E720,E$1:E719,1,FALSE()))),"OLD",IF(AND(E720&lt;&gt;"",E720&lt;&gt;"!!!"),"NEW","")))</f>
        <v> </v>
      </c>
      <c r="G720" s="17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18" t="str">
        <f>IF(J720&lt;&gt;1,"",IF(I720="SBJ","CB","?"))</f>
        <v> </v>
      </c>
      <c r="I720" s="19" t="str">
        <f>IF(OR(E720="",E720="!!!",F720="NEW"),"",INDEX(B719:B$2,-1+SUMPRODUCT(MAX(ROW(E719:E$2)*(E720=E719:E$2)))))</f>
        <v> </v>
      </c>
      <c r="J720" s="19" t="str">
        <f>IF(OR(E720="",E720="!!!",F720="NEW"),"",COUNTBLANK(OFFSET(A$1,,,SUMPRODUCT(MAX(ROW(E$2:E720)*(E720=E$2:E720)))))-COUNTBLANK(OFFSET(A$1,,,SUMPRODUCT(MAX(ROW(E$1:E719)*(E2=E$1:E719))))))</f>
        <v> </v>
      </c>
      <c r="K720" s="19" t="str">
        <f>IF(OR(E720="",E720="!!!",F720="NEW"),"",INDEX(J$1:J719,SUMPRODUCT(MAX(ROW(E$1:E719)*(E720=E$1:E719)))))</f>
        <v> </v>
      </c>
      <c r="L720" s="20"/>
    </row>
    <row r="721" spans="1:12">
      <c r="A721" s="13" t="s">
        <v>57</v>
      </c>
      <c r="E721" s="15">
        <f>IF(D721="?OLD","!!!","")</f>
        <v/>
      </c>
      <c r="F721" s="16" t="str">
        <f>IF(OR(E721="",E721="!!!"),"",IF(NOT(ISNA(VLOOKUP(E721,E$1:E720,1,FALSE()))),"OLD",IF(AND(E721&lt;&gt;"",E721&lt;&gt;"!!!"),"NEW","")))</f>
        <v> </v>
      </c>
      <c r="G721" s="17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18" t="str">
        <f>IF(J721&lt;&gt;1,"",IF(I721="SBJ","CB","?"))</f>
        <v> </v>
      </c>
      <c r="I721" s="19" t="str">
        <f>IF(OR(E721="",E721="!!!",F721="NEW"),"",INDEX(B720:B$2,-1+SUMPRODUCT(MAX(ROW(E720:E$2)*(E721=E720:E$2)))))</f>
        <v> </v>
      </c>
      <c r="J721" s="19" t="str">
        <f>IF(OR(E721="",E721="!!!",F721="NEW"),"",COUNTBLANK(OFFSET(A$1,,,SUMPRODUCT(MAX(ROW(E$2:E721)*(E721=E$2:E721)))))-COUNTBLANK(OFFSET(A$1,,,SUMPRODUCT(MAX(ROW(E$1:E720)*(E2=E$1:E720))))))</f>
        <v> </v>
      </c>
      <c r="K721" s="19" t="str">
        <f>IF(OR(E721="",E721="!!!",F721="NEW"),"",INDEX(J$1:J720,SUMPRODUCT(MAX(ROW(E$1:E720)*(E721=E$1:E720)))))</f>
        <v> </v>
      </c>
      <c r="L721" s="20"/>
    </row>
    <row r="722" spans="1:12">
      <c r="A722" s="13" t="s">
        <v>289</v>
      </c>
      <c r="B722" s="14" t="s">
        <v>45</v>
      </c>
      <c r="C722" s="14" t="s">
        <v>60</v>
      </c>
      <c r="D722" s="14" t="s">
        <v>25</v>
      </c>
      <c r="E722" s="15">
        <f>IF(D722="?OLD","!!!","")</f>
        <v/>
      </c>
      <c r="F722" s="16" t="str">
        <f>IF(OR(E722="",E722="!!!"),"",IF(NOT(ISNA(VLOOKUP(E722,E$1:E721,1,FALSE()))),"OLD",IF(AND(E722&lt;&gt;"",E722&lt;&gt;"!!!"),"NEW","")))</f>
        <v> </v>
      </c>
      <c r="G722" s="17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18" t="str">
        <f>IF(J722&lt;&gt;1,"",IF(I722="SBJ","CB","?"))</f>
        <v> </v>
      </c>
      <c r="I722" s="19" t="str">
        <f>IF(OR(E722="",E722="!!!",F722="NEW"),"",INDEX(B721:B$2,-1+SUMPRODUCT(MAX(ROW(E721:E$2)*(E722=E721:E$2)))))</f>
        <v> </v>
      </c>
      <c r="J722" s="19" t="str">
        <f>IF(OR(E722="",E722="!!!",F722="NEW"),"",COUNTBLANK(OFFSET(A$1,,,SUMPRODUCT(MAX(ROW(E$2:E722)*(E722=E$2:E722)))))-COUNTBLANK(OFFSET(A$1,,,SUMPRODUCT(MAX(ROW(E$1:E721)*(E2=E$1:E721))))))</f>
        <v> </v>
      </c>
      <c r="K722" s="19" t="str">
        <f>IF(OR(E722="",E722="!!!",F722="NEW"),"",INDEX(J$1:J721,SUMPRODUCT(MAX(ROW(E$1:E721)*(E722=E$1:E721)))))</f>
        <v> </v>
      </c>
      <c r="L722" s="20"/>
    </row>
    <row r="723" spans="1:12">
      <c r="A723" s="13" t="s">
        <v>55</v>
      </c>
      <c r="E723" s="15">
        <f>IF(D723="?OLD","!!!","")</f>
        <v/>
      </c>
      <c r="F723" s="16" t="str">
        <f>IF(OR(E723="",E723="!!!"),"",IF(NOT(ISNA(VLOOKUP(E723,E$1:E722,1,FALSE()))),"OLD",IF(AND(E723&lt;&gt;"",E723&lt;&gt;"!!!"),"NEW","")))</f>
        <v> </v>
      </c>
      <c r="G723" s="17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18" t="str">
        <f>IF(J723&lt;&gt;1,"",IF(I723="SBJ","CB","?"))</f>
        <v> </v>
      </c>
      <c r="I723" s="19" t="str">
        <f>IF(OR(E723="",E723="!!!",F723="NEW"),"",INDEX(B722:B$2,-1+SUMPRODUCT(MAX(ROW(E722:E$2)*(E723=E722:E$2)))))</f>
        <v> </v>
      </c>
      <c r="J723" s="19" t="str">
        <f>IF(OR(E723="",E723="!!!",F723="NEW"),"",COUNTBLANK(OFFSET(A$1,,,SUMPRODUCT(MAX(ROW(E$2:E723)*(E723=E$2:E723)))))-COUNTBLANK(OFFSET(A$1,,,SUMPRODUCT(MAX(ROW(E$1:E722)*(E2=E$1:E722))))))</f>
        <v> </v>
      </c>
      <c r="K723" s="19" t="str">
        <f>IF(OR(E723="",E723="!!!",F723="NEW"),"",INDEX(J$1:J722,SUMPRODUCT(MAX(ROW(E$1:E722)*(E723=E$1:E722)))))</f>
        <v> </v>
      </c>
      <c r="L723" s="20"/>
    </row>
    <row r="724" spans="1:12">
      <c r="A724" s="13" t="s">
        <v>56</v>
      </c>
      <c r="E724" s="15">
        <f>IF(D724="?OLD","!!!","")</f>
        <v/>
      </c>
      <c r="F724" s="16" t="str">
        <f>IF(OR(E724="",E724="!!!"),"",IF(NOT(ISNA(VLOOKUP(E724,E$1:E723,1,FALSE()))),"OLD",IF(AND(E724&lt;&gt;"",E724&lt;&gt;"!!!"),"NEW","")))</f>
        <v> </v>
      </c>
      <c r="G724" s="17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18" t="str">
        <f>IF(J724&lt;&gt;1,"",IF(I724="SBJ","CB","?"))</f>
        <v> </v>
      </c>
      <c r="I724" s="19" t="str">
        <f>IF(OR(E724="",E724="!!!",F724="NEW"),"",INDEX(B723:B$2,-1+SUMPRODUCT(MAX(ROW(E723:E$2)*(E724=E723:E$2)))))</f>
        <v> </v>
      </c>
      <c r="J724" s="19" t="str">
        <f>IF(OR(E724="",E724="!!!",F724="NEW"),"",COUNTBLANK(OFFSET(A$1,,,SUMPRODUCT(MAX(ROW(E$2:E724)*(E724=E$2:E724)))))-COUNTBLANK(OFFSET(A$1,,,SUMPRODUCT(MAX(ROW(E$1:E723)*(E2=E$1:E723))))))</f>
        <v> </v>
      </c>
      <c r="K724" s="19" t="str">
        <f>IF(OR(E724="",E724="!!!",F724="NEW"),"",INDEX(J$1:J723,SUMPRODUCT(MAX(ROW(E$1:E723)*(E724=E$1:E723)))))</f>
        <v> </v>
      </c>
      <c r="L724" s="20"/>
    </row>
    <row r="725" spans="1:12">
      <c r="A725" s="13" t="s">
        <v>290</v>
      </c>
      <c r="E725" s="15">
        <f>IF(D725="?OLD","!!!","")</f>
        <v/>
      </c>
      <c r="F725" s="16" t="str">
        <f>IF(OR(E725="",E725="!!!"),"",IF(NOT(ISNA(VLOOKUP(E725,E$1:E724,1,FALSE()))),"OLD",IF(AND(E725&lt;&gt;"",E725&lt;&gt;"!!!"),"NEW","")))</f>
        <v> </v>
      </c>
      <c r="G725" s="17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18" t="str">
        <f>IF(J725&lt;&gt;1,"",IF(I725="SBJ","CB","?"))</f>
        <v> </v>
      </c>
      <c r="I725" s="19" t="str">
        <f>IF(OR(E725="",E725="!!!",F725="NEW"),"",INDEX(B724:B$2,-1+SUMPRODUCT(MAX(ROW(E724:E$2)*(E725=E724:E$2)))))</f>
        <v> </v>
      </c>
      <c r="J725" s="19" t="str">
        <f>IF(OR(E725="",E725="!!!",F725="NEW"),"",COUNTBLANK(OFFSET(A$1,,,SUMPRODUCT(MAX(ROW(E$2:E725)*(E725=E$2:E725)))))-COUNTBLANK(OFFSET(A$1,,,SUMPRODUCT(MAX(ROW(E$1:E724)*(E2=E$1:E724))))))</f>
        <v> </v>
      </c>
      <c r="K725" s="19" t="str">
        <f>IF(OR(E725="",E725="!!!",F725="NEW"),"",INDEX(J$1:J724,SUMPRODUCT(MAX(ROW(E$1:E724)*(E725=E$1:E724)))))</f>
        <v> </v>
      </c>
      <c r="L725" s="20"/>
    </row>
    <row r="726" spans="1:12">
      <c r="A726" s="13" t="s">
        <v>36</v>
      </c>
      <c r="B726" s="14" t="s">
        <v>45</v>
      </c>
      <c r="C726" s="14" t="s">
        <v>24</v>
      </c>
      <c r="D726" s="14" t="s">
        <v>25</v>
      </c>
      <c r="E726" s="15">
        <f>IF(D726="?OLD","!!!","")</f>
        <v/>
      </c>
      <c r="F726" s="16" t="str">
        <f>IF(OR(E726="",E726="!!!"),"",IF(NOT(ISNA(VLOOKUP(E726,E$1:E725,1,FALSE()))),"OLD",IF(AND(E726&lt;&gt;"",E726&lt;&gt;"!!!"),"NEW","")))</f>
        <v> </v>
      </c>
      <c r="G726" s="17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18" t="str">
        <f>IF(J726&lt;&gt;1,"",IF(I726="SBJ","CB","?"))</f>
        <v> </v>
      </c>
      <c r="I726" s="19" t="str">
        <f>IF(OR(E726="",E726="!!!",F726="NEW"),"",INDEX(B725:B$2,-1+SUMPRODUCT(MAX(ROW(E725:E$2)*(E726=E725:E$2)))))</f>
        <v> </v>
      </c>
      <c r="J726" s="19" t="str">
        <f>IF(OR(E726="",E726="!!!",F726="NEW"),"",COUNTBLANK(OFFSET(A$1,,,SUMPRODUCT(MAX(ROW(E$2:E726)*(E726=E$2:E726)))))-COUNTBLANK(OFFSET(A$1,,,SUMPRODUCT(MAX(ROW(E$1:E725)*(E2=E$1:E725))))))</f>
        <v> </v>
      </c>
      <c r="K726" s="19" t="str">
        <f>IF(OR(E726="",E726="!!!",F726="NEW"),"",INDEX(J$1:J725,SUMPRODUCT(MAX(ROW(E$1:E725)*(E726=E$1:E725)))))</f>
        <v> </v>
      </c>
      <c r="L726" s="20"/>
    </row>
    <row r="727" spans="1:12">
      <c r="A727" s="13" t="s">
        <v>37</v>
      </c>
      <c r="B727" s="14" t="s">
        <v>27</v>
      </c>
      <c r="C727" s="14" t="s">
        <v>24</v>
      </c>
      <c r="D727" s="14" t="s">
        <v>25</v>
      </c>
      <c r="E727" s="15">
        <f>IF(D727="?OLD","!!!","")</f>
        <v/>
      </c>
      <c r="F727" s="16" t="str">
        <f>IF(OR(E727="",E727="!!!"),"",IF(NOT(ISNA(VLOOKUP(E727,E$1:E726,1,FALSE()))),"OLD",IF(AND(E727&lt;&gt;"",E727&lt;&gt;"!!!"),"NEW","")))</f>
        <v> </v>
      </c>
      <c r="G727" s="17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18" t="str">
        <f>IF(J727&lt;&gt;1,"",IF(I727="SBJ","CB","?"))</f>
        <v> </v>
      </c>
      <c r="I727" s="19" t="str">
        <f>IF(OR(E727="",E727="!!!",F727="NEW"),"",INDEX(B726:B$2,-1+SUMPRODUCT(MAX(ROW(E726:E$2)*(E727=E726:E$2)))))</f>
        <v> </v>
      </c>
      <c r="J727" s="19" t="str">
        <f>IF(OR(E727="",E727="!!!",F727="NEW"),"",COUNTBLANK(OFFSET(A$1,,,SUMPRODUCT(MAX(ROW(E$2:E727)*(E727=E$2:E727)))))-COUNTBLANK(OFFSET(A$1,,,SUMPRODUCT(MAX(ROW(E$1:E726)*(E2=E$1:E726))))))</f>
        <v> </v>
      </c>
      <c r="K727" s="19" t="str">
        <f>IF(OR(E727="",E727="!!!",F727="NEW"),"",INDEX(J$1:J726,SUMPRODUCT(MAX(ROW(E$1:E726)*(E727=E$1:E726)))))</f>
        <v> </v>
      </c>
      <c r="L727" s="20"/>
    </row>
    <row r="728" spans="1:12">
      <c r="A728" s="13" t="s">
        <v>56</v>
      </c>
      <c r="E728" s="15">
        <f>IF(D728="?OLD","!!!","")</f>
        <v/>
      </c>
      <c r="F728" s="16" t="str">
        <f>IF(OR(E728="",E728="!!!"),"",IF(NOT(ISNA(VLOOKUP(E728,E$1:E727,1,FALSE()))),"OLD",IF(AND(E728&lt;&gt;"",E728&lt;&gt;"!!!"),"NEW","")))</f>
        <v> </v>
      </c>
      <c r="G728" s="17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18" t="str">
        <f>IF(J728&lt;&gt;1,"",IF(I728="SBJ","CB","?"))</f>
        <v> </v>
      </c>
      <c r="I728" s="19" t="str">
        <f>IF(OR(E728="",E728="!!!",F728="NEW"),"",INDEX(B727:B$2,-1+SUMPRODUCT(MAX(ROW(E727:E$2)*(E728=E727:E$2)))))</f>
        <v> </v>
      </c>
      <c r="J728" s="19" t="str">
        <f>IF(OR(E728="",E728="!!!",F728="NEW"),"",COUNTBLANK(OFFSET(A$1,,,SUMPRODUCT(MAX(ROW(E$2:E728)*(E728=E$2:E728)))))-COUNTBLANK(OFFSET(A$1,,,SUMPRODUCT(MAX(ROW(E$1:E727)*(E2=E$1:E727))))))</f>
        <v> </v>
      </c>
      <c r="K728" s="19" t="str">
        <f>IF(OR(E728="",E728="!!!",F728="NEW"),"",INDEX(J$1:J727,SUMPRODUCT(MAX(ROW(E$1:E727)*(E728=E$1:E727)))))</f>
        <v> </v>
      </c>
      <c r="L728" s="20"/>
    </row>
    <row r="729" spans="1:12">
      <c r="A729" s="13" t="s">
        <v>61</v>
      </c>
      <c r="B729" s="14" t="s">
        <v>126</v>
      </c>
      <c r="E729" s="15">
        <f>IF(D729="?OLD","!!!","")</f>
        <v/>
      </c>
      <c r="F729" s="16" t="str">
        <f>IF(OR(E729="",E729="!!!"),"",IF(NOT(ISNA(VLOOKUP(E729,E$1:E728,1,FALSE()))),"OLD",IF(AND(E729&lt;&gt;"",E729&lt;&gt;"!!!"),"NEW","")))</f>
        <v> </v>
      </c>
      <c r="G729" s="17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18" t="str">
        <f>IF(J729&lt;&gt;1,"",IF(I729="SBJ","CB","?"))</f>
        <v> </v>
      </c>
      <c r="I729" s="19" t="str">
        <f>IF(OR(E729="",E729="!!!",F729="NEW"),"",INDEX(B728:B$2,-1+SUMPRODUCT(MAX(ROW(E728:E$2)*(E729=E728:E$2)))))</f>
        <v> </v>
      </c>
      <c r="J729" s="19" t="str">
        <f>IF(OR(E729="",E729="!!!",F729="NEW"),"",COUNTBLANK(OFFSET(A$1,,,SUMPRODUCT(MAX(ROW(E$2:E729)*(E729=E$2:E729)))))-COUNTBLANK(OFFSET(A$1,,,SUMPRODUCT(MAX(ROW(E$1:E728)*(E2=E$1:E728))))))</f>
        <v> </v>
      </c>
      <c r="K729" s="19" t="str">
        <f>IF(OR(E729="",E729="!!!",F729="NEW"),"",INDEX(J$1:J728,SUMPRODUCT(MAX(ROW(E$1:E728)*(E729=E$1:E728)))))</f>
        <v> </v>
      </c>
      <c r="L729" s="20"/>
    </row>
    <row r="730" spans="1:12">
      <c r="A730" s="13" t="s">
        <v>293</v>
      </c>
      <c r="E730" s="15">
        <f>IF(D730="?OLD","!!!","")</f>
        <v/>
      </c>
      <c r="F730" s="16" t="str">
        <f>IF(OR(E730="",E730="!!!"),"",IF(NOT(ISNA(VLOOKUP(E730,E$1:E729,1,FALSE()))),"OLD",IF(AND(E730&lt;&gt;"",E730&lt;&gt;"!!!"),"NEW","")))</f>
        <v> </v>
      </c>
      <c r="G730" s="17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18" t="str">
        <f>IF(J730&lt;&gt;1,"",IF(I730="SBJ","CB","?"))</f>
        <v> </v>
      </c>
      <c r="I730" s="19" t="str">
        <f>IF(OR(E730="",E730="!!!",F730="NEW"),"",INDEX(B729:B$2,-1+SUMPRODUCT(MAX(ROW(E729:E$2)*(E730=E729:E$2)))))</f>
        <v> </v>
      </c>
      <c r="J730" s="19" t="str">
        <f>IF(OR(E730="",E730="!!!",F730="NEW"),"",COUNTBLANK(OFFSET(A$1,,,SUMPRODUCT(MAX(ROW(E$2:E730)*(E730=E$2:E730)))))-COUNTBLANK(OFFSET(A$1,,,SUMPRODUCT(MAX(ROW(E$1:E729)*(E2=E$1:E729))))))</f>
        <v> </v>
      </c>
      <c r="K730" s="19" t="str">
        <f>IF(OR(E730="",E730="!!!",F730="NEW"),"",INDEX(J$1:J729,SUMPRODUCT(MAX(ROW(E$1:E729)*(E730=E$1:E729)))))</f>
        <v> </v>
      </c>
      <c r="L730" s="20"/>
    </row>
    <row r="731" spans="1:12">
      <c r="A731" s="13" t="s">
        <v>102</v>
      </c>
      <c r="E731" s="15">
        <f>IF(D731="?OLD","!!!","")</f>
        <v/>
      </c>
      <c r="F731" s="16" t="str">
        <f>IF(OR(E731="",E731="!!!"),"",IF(NOT(ISNA(VLOOKUP(E731,E$1:E730,1,FALSE()))),"OLD",IF(AND(E731&lt;&gt;"",E731&lt;&gt;"!!!"),"NEW","")))</f>
        <v> </v>
      </c>
      <c r="G731" s="17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18" t="str">
        <f>IF(J731&lt;&gt;1,"",IF(I731="SBJ","CB","?"))</f>
        <v> </v>
      </c>
      <c r="I731" s="19" t="str">
        <f>IF(OR(E731="",E731="!!!",F731="NEW"),"",INDEX(B730:B$2,-1+SUMPRODUCT(MAX(ROW(E730:E$2)*(E731=E730:E$2)))))</f>
        <v> </v>
      </c>
      <c r="J731" s="19" t="str">
        <f>IF(OR(E731="",E731="!!!",F731="NEW"),"",COUNTBLANK(OFFSET(A$1,,,SUMPRODUCT(MAX(ROW(E$2:E731)*(E731=E$2:E731)))))-COUNTBLANK(OFFSET(A$1,,,SUMPRODUCT(MAX(ROW(E$1:E730)*(E2=E$1:E730))))))</f>
        <v> </v>
      </c>
      <c r="K731" s="19" t="str">
        <f>IF(OR(E731="",E731="!!!",F731="NEW"),"",INDEX(J$1:J730,SUMPRODUCT(MAX(ROW(E$1:E730)*(E731=E$1:E730)))))</f>
        <v> </v>
      </c>
      <c r="L731" s="20"/>
    </row>
    <row r="732" spans="1:12">
      <c r="A732" s="13" t="s">
        <v>208</v>
      </c>
      <c r="E732" s="15">
        <f>IF(D732="?OLD","!!!","")</f>
        <v/>
      </c>
      <c r="F732" s="16" t="str">
        <f>IF(OR(E732="",E732="!!!"),"",IF(NOT(ISNA(VLOOKUP(E732,E$1:E731,1,FALSE()))),"OLD",IF(AND(E732&lt;&gt;"",E732&lt;&gt;"!!!"),"NEW","")))</f>
        <v> </v>
      </c>
      <c r="G732" s="17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18" t="str">
        <f>IF(J732&lt;&gt;1,"",IF(I732="SBJ","CB","?"))</f>
        <v> </v>
      </c>
      <c r="I732" s="19" t="str">
        <f>IF(OR(E732="",E732="!!!",F732="NEW"),"",INDEX(B731:B$2,-1+SUMPRODUCT(MAX(ROW(E731:E$2)*(E732=E731:E$2)))))</f>
        <v> </v>
      </c>
      <c r="J732" s="19" t="str">
        <f>IF(OR(E732="",E732="!!!",F732="NEW"),"",COUNTBLANK(OFFSET(A$1,,,SUMPRODUCT(MAX(ROW(E$2:E732)*(E732=E$2:E732)))))-COUNTBLANK(OFFSET(A$1,,,SUMPRODUCT(MAX(ROW(E$1:E731)*(E2=E$1:E731))))))</f>
        <v> </v>
      </c>
      <c r="K732" s="19" t="str">
        <f>IF(OR(E732="",E732="!!!",F732="NEW"),"",INDEX(J$1:J731,SUMPRODUCT(MAX(ROW(E$1:E731)*(E732=E$1:E731)))))</f>
        <v> </v>
      </c>
      <c r="L732" s="20"/>
    </row>
    <row r="733" spans="1:12">
      <c r="A733" s="13" t="s">
        <v>294</v>
      </c>
      <c r="E733" s="15">
        <f>IF(D733="?OLD","!!!","")</f>
        <v/>
      </c>
      <c r="F733" s="16" t="str">
        <f>IF(OR(E733="",E733="!!!"),"",IF(NOT(ISNA(VLOOKUP(E733,E$1:E732,1,FALSE()))),"OLD",IF(AND(E733&lt;&gt;"",E733&lt;&gt;"!!!"),"NEW","")))</f>
        <v> </v>
      </c>
      <c r="G733" s="17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18" t="str">
        <f>IF(J733&lt;&gt;1,"",IF(I733="SBJ","CB","?"))</f>
        <v> </v>
      </c>
      <c r="I733" s="19" t="str">
        <f>IF(OR(E733="",E733="!!!",F733="NEW"),"",INDEX(B732:B$2,-1+SUMPRODUCT(MAX(ROW(E732:E$2)*(E733=E732:E$2)))))</f>
        <v> </v>
      </c>
      <c r="J733" s="19" t="str">
        <f>IF(OR(E733="",E733="!!!",F733="NEW"),"",COUNTBLANK(OFFSET(A$1,,,SUMPRODUCT(MAX(ROW(E$2:E733)*(E733=E$2:E733)))))-COUNTBLANK(OFFSET(A$1,,,SUMPRODUCT(MAX(ROW(E$1:E732)*(E2=E$1:E732))))))</f>
        <v> </v>
      </c>
      <c r="K733" s="19" t="str">
        <f>IF(OR(E733="",E733="!!!",F733="NEW"),"",INDEX(J$1:J732,SUMPRODUCT(MAX(ROW(E$1:E732)*(E733=E$1:E732)))))</f>
        <v> </v>
      </c>
      <c r="L733" s="20"/>
    </row>
    <row r="734" spans="1:12">
      <c r="A734" s="13" t="s">
        <v>49</v>
      </c>
      <c r="E734" s="15">
        <f>IF(D734="?OLD","!!!","")</f>
        <v/>
      </c>
      <c r="F734" s="16" t="str">
        <f>IF(OR(E734="",E734="!!!"),"",IF(NOT(ISNA(VLOOKUP(E734,E$1:E733,1,FALSE()))),"OLD",IF(AND(E734&lt;&gt;"",E734&lt;&gt;"!!!"),"NEW","")))</f>
        <v> </v>
      </c>
      <c r="G734" s="17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18" t="str">
        <f>IF(J734&lt;&gt;1,"",IF(I734="SBJ","CB","?"))</f>
        <v> </v>
      </c>
      <c r="I734" s="19" t="str">
        <f>IF(OR(E734="",E734="!!!",F734="NEW"),"",INDEX(B733:B$2,-1+SUMPRODUCT(MAX(ROW(E733:E$2)*(E734=E733:E$2)))))</f>
        <v> </v>
      </c>
      <c r="J734" s="19" t="str">
        <f>IF(OR(E734="",E734="!!!",F734="NEW"),"",COUNTBLANK(OFFSET(A$1,,,SUMPRODUCT(MAX(ROW(E$2:E734)*(E734=E$2:E734)))))-COUNTBLANK(OFFSET(A$1,,,SUMPRODUCT(MAX(ROW(E$1:E733)*(E2=E$1:E733))))))</f>
        <v> </v>
      </c>
      <c r="K734" s="19" t="str">
        <f>IF(OR(E734="",E734="!!!",F734="NEW"),"",INDEX(J$1:J733,SUMPRODUCT(MAX(ROW(E$1:E733)*(E734=E$1:E733)))))</f>
        <v> </v>
      </c>
      <c r="L734" s="20"/>
    </row>
    <row r="735" spans="1:12">
      <c r="A735" s="13" t="s">
        <v>137</v>
      </c>
      <c r="B735" s="14" t="s">
        <v>98</v>
      </c>
      <c r="C735" s="14" t="s">
        <v>51</v>
      </c>
      <c r="E735" s="15">
        <f>IF(D735="?OLD","!!!","")</f>
        <v/>
      </c>
      <c r="F735" s="16" t="str">
        <f>IF(OR(E735="",E735="!!!"),"",IF(NOT(ISNA(VLOOKUP(E735,E$1:E734,1,FALSE()))),"OLD",IF(AND(E735&lt;&gt;"",E735&lt;&gt;"!!!"),"NEW","")))</f>
        <v> </v>
      </c>
      <c r="G735" s="17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18" t="str">
        <f>IF(J735&lt;&gt;1,"",IF(I735="SBJ","CB","?"))</f>
        <v> </v>
      </c>
      <c r="I735" s="19" t="str">
        <f>IF(OR(E735="",E735="!!!",F735="NEW"),"",INDEX(B734:B$2,-1+SUMPRODUCT(MAX(ROW(E734:E$2)*(E735=E734:E$2)))))</f>
        <v> </v>
      </c>
      <c r="J735" s="19" t="str">
        <f>IF(OR(E735="",E735="!!!",F735="NEW"),"",COUNTBLANK(OFFSET(A$1,,,SUMPRODUCT(MAX(ROW(E$2:E735)*(E735=E$2:E735)))))-COUNTBLANK(OFFSET(A$1,,,SUMPRODUCT(MAX(ROW(E$1:E734)*(E2=E$1:E734))))))</f>
        <v> </v>
      </c>
      <c r="K735" s="19" t="str">
        <f>IF(OR(E735="",E735="!!!",F735="NEW"),"",INDEX(J$1:J734,SUMPRODUCT(MAX(ROW(E$1:E734)*(E735=E$1:E734)))))</f>
        <v> </v>
      </c>
      <c r="L735" s="20"/>
    </row>
    <row r="736" spans="1:12">
      <c r="A736" s="13" t="s">
        <v>76</v>
      </c>
      <c r="E736" s="15">
        <f>IF(D736="?OLD","!!!","")</f>
        <v/>
      </c>
      <c r="F736" s="16" t="str">
        <f>IF(OR(E736="",E736="!!!"),"",IF(NOT(ISNA(VLOOKUP(E736,E$1:E735,1,FALSE()))),"OLD",IF(AND(E736&lt;&gt;"",E736&lt;&gt;"!!!"),"NEW","")))</f>
        <v> </v>
      </c>
      <c r="G736" s="17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18" t="str">
        <f>IF(J736&lt;&gt;1,"",IF(I736="SBJ","CB","?"))</f>
        <v> </v>
      </c>
      <c r="I736" s="19" t="str">
        <f>IF(OR(E736="",E736="!!!",F736="NEW"),"",INDEX(B735:B$2,-1+SUMPRODUCT(MAX(ROW(E735:E$2)*(E736=E735:E$2)))))</f>
        <v> </v>
      </c>
      <c r="J736" s="19" t="str">
        <f>IF(OR(E736="",E736="!!!",F736="NEW"),"",COUNTBLANK(OFFSET(A$1,,,SUMPRODUCT(MAX(ROW(E$2:E736)*(E736=E$2:E736)))))-COUNTBLANK(OFFSET(A$1,,,SUMPRODUCT(MAX(ROW(E$1:E735)*(E2=E$1:E735))))))</f>
        <v> </v>
      </c>
      <c r="K736" s="19" t="str">
        <f>IF(OR(E736="",E736="!!!",F736="NEW"),"",INDEX(J$1:J735,SUMPRODUCT(MAX(ROW(E$1:E735)*(E736=E$1:E735)))))</f>
        <v> </v>
      </c>
      <c r="L736" s="20"/>
    </row>
    <row r="737" spans="1:12">
      <c r="A737" s="13" t="s">
        <v>53</v>
      </c>
      <c r="E737" s="15">
        <f>IF(D737="?OLD","!!!","")</f>
        <v/>
      </c>
      <c r="F737" s="16" t="str">
        <f>IF(OR(E737="",E737="!!!"),"",IF(NOT(ISNA(VLOOKUP(E737,E$1:E736,1,FALSE()))),"OLD",IF(AND(E737&lt;&gt;"",E737&lt;&gt;"!!!"),"NEW","")))</f>
        <v> </v>
      </c>
      <c r="G737" s="17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18" t="str">
        <f>IF(J737&lt;&gt;1,"",IF(I737="SBJ","CB","?"))</f>
        <v> </v>
      </c>
      <c r="I737" s="19" t="str">
        <f>IF(OR(E737="",E737="!!!",F737="NEW"),"",INDEX(B736:B$2,-1+SUMPRODUCT(MAX(ROW(E736:E$2)*(E737=E736:E$2)))))</f>
        <v> </v>
      </c>
      <c r="J737" s="19" t="str">
        <f>IF(OR(E737="",E737="!!!",F737="NEW"),"",COUNTBLANK(OFFSET(A$1,,,SUMPRODUCT(MAX(ROW(E$2:E737)*(E737=E$2:E737)))))-COUNTBLANK(OFFSET(A$1,,,SUMPRODUCT(MAX(ROW(E$1:E736)*(E2=E$1:E736))))))</f>
        <v> </v>
      </c>
      <c r="K737" s="19" t="str">
        <f>IF(OR(E737="",E737="!!!",F737="NEW"),"",INDEX(J$1:J736,SUMPRODUCT(MAX(ROW(E$1:E736)*(E737=E$1:E736)))))</f>
        <v> </v>
      </c>
      <c r="L737" s="20"/>
    </row>
    <row r="738" spans="1:12">
      <c r="A738" s="13" t="s">
        <v>139</v>
      </c>
      <c r="B738" s="14" t="s">
        <v>106</v>
      </c>
      <c r="C738" s="14" t="s">
        <v>39</v>
      </c>
      <c r="D738" s="14" t="s">
        <v>25</v>
      </c>
      <c r="E738" s="15">
        <f>IF(D738="?OLD","!!!","")</f>
        <v/>
      </c>
      <c r="F738" s="16" t="str">
        <f>IF(OR(E738="",E738="!!!"),"",IF(NOT(ISNA(VLOOKUP(E738,E$1:E737,1,FALSE()))),"OLD",IF(AND(E738&lt;&gt;"",E738&lt;&gt;"!!!"),"NEW","")))</f>
        <v> </v>
      </c>
      <c r="G738" s="17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18" t="str">
        <f>IF(J738&lt;&gt;1,"",IF(I738="SBJ","CB","?"))</f>
        <v> </v>
      </c>
      <c r="I738" s="19" t="str">
        <f>IF(OR(E738="",E738="!!!",F738="NEW"),"",INDEX(B737:B$2,-1+SUMPRODUCT(MAX(ROW(E737:E$2)*(E738=E737:E$2)))))</f>
        <v> </v>
      </c>
      <c r="J738" s="19" t="str">
        <f>IF(OR(E738="",E738="!!!",F738="NEW"),"",COUNTBLANK(OFFSET(A$1,,,SUMPRODUCT(MAX(ROW(E$2:E738)*(E738=E$2:E738)))))-COUNTBLANK(OFFSET(A$1,,,SUMPRODUCT(MAX(ROW(E$1:E737)*(E2=E$1:E737))))))</f>
        <v> </v>
      </c>
      <c r="K738" s="19" t="str">
        <f>IF(OR(E738="",E738="!!!",F738="NEW"),"",INDEX(J$1:J737,SUMPRODUCT(MAX(ROW(E$1:E737)*(E738=E$1:E737)))))</f>
        <v> </v>
      </c>
      <c r="L738" s="20"/>
    </row>
    <row r="739" spans="1:12">
      <c r="A739" s="13" t="s">
        <v>79</v>
      </c>
      <c r="E739" s="15">
        <f>IF(D739="?OLD","!!!","")</f>
        <v/>
      </c>
      <c r="F739" s="16" t="str">
        <f>IF(OR(E739="",E739="!!!"),"",IF(NOT(ISNA(VLOOKUP(E739,E$1:E738,1,FALSE()))),"OLD",IF(AND(E739&lt;&gt;"",E739&lt;&gt;"!!!"),"NEW","")))</f>
        <v> </v>
      </c>
      <c r="G739" s="17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18" t="str">
        <f>IF(J739&lt;&gt;1,"",IF(I739="SBJ","CB","?"))</f>
        <v> </v>
      </c>
      <c r="I739" s="19" t="str">
        <f>IF(OR(E739="",E739="!!!",F739="NEW"),"",INDEX(B738:B$2,-1+SUMPRODUCT(MAX(ROW(E738:E$2)*(E739=E738:E$2)))))</f>
        <v> </v>
      </c>
      <c r="J739" s="19" t="str">
        <f>IF(OR(E739="",E739="!!!",F739="NEW"),"",COUNTBLANK(OFFSET(A$1,,,SUMPRODUCT(MAX(ROW(E$2:E739)*(E739=E$2:E739)))))-COUNTBLANK(OFFSET(A$1,,,SUMPRODUCT(MAX(ROW(E$1:E738)*(E2=E$1:E738))))))</f>
        <v> </v>
      </c>
      <c r="K739" s="19" t="str">
        <f>IF(OR(E739="",E739="!!!",F739="NEW"),"",INDEX(J$1:J738,SUMPRODUCT(MAX(ROW(E$1:E738)*(E739=E$1:E738)))))</f>
        <v> </v>
      </c>
      <c r="L739" s="20"/>
    </row>
    <row r="740" spans="1:12">
      <c r="A740" s="13" t="s">
        <v>140</v>
      </c>
      <c r="B740" s="14" t="s">
        <v>203</v>
      </c>
      <c r="C740" s="14" t="s">
        <v>34</v>
      </c>
      <c r="E740" s="15">
        <f>IF(D740="?OLD","!!!","")</f>
        <v/>
      </c>
      <c r="F740" s="16" t="str">
        <f>IF(OR(E740="",E740="!!!"),"",IF(NOT(ISNA(VLOOKUP(E740,E$1:E739,1,FALSE()))),"OLD",IF(AND(E740&lt;&gt;"",E740&lt;&gt;"!!!"),"NEW","")))</f>
        <v> </v>
      </c>
      <c r="G740" s="17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18" t="str">
        <f>IF(J740&lt;&gt;1,"",IF(I740="SBJ","CB","?"))</f>
        <v> </v>
      </c>
      <c r="I740" s="19" t="str">
        <f>IF(OR(E740="",E740="!!!",F740="NEW"),"",INDEX(B739:B$2,-1+SUMPRODUCT(MAX(ROW(E739:E$2)*(E740=E739:E$2)))))</f>
        <v> </v>
      </c>
      <c r="J740" s="19" t="str">
        <f>IF(OR(E740="",E740="!!!",F740="NEW"),"",COUNTBLANK(OFFSET(A$1,,,SUMPRODUCT(MAX(ROW(E$2:E740)*(E740=E$2:E740)))))-COUNTBLANK(OFFSET(A$1,,,SUMPRODUCT(MAX(ROW(E$1:E739)*(E2=E$1:E739))))))</f>
        <v> </v>
      </c>
      <c r="K740" s="19" t="str">
        <f>IF(OR(E740="",E740="!!!",F740="NEW"),"",INDEX(J$1:J739,SUMPRODUCT(MAX(ROW(E$1:E739)*(E740=E$1:E739)))))</f>
        <v> </v>
      </c>
      <c r="L740" s="20"/>
    </row>
    <row r="741" spans="1:12">
      <c r="A741" s="13" t="s">
        <v>56</v>
      </c>
      <c r="E741" s="15">
        <f>IF(D741="?OLD","!!!","")</f>
        <v/>
      </c>
      <c r="F741" s="16" t="str">
        <f>IF(OR(E741="",E741="!!!"),"",IF(NOT(ISNA(VLOOKUP(E741,E$1:E740,1,FALSE()))),"OLD",IF(AND(E741&lt;&gt;"",E741&lt;&gt;"!!!"),"NEW","")))</f>
        <v> </v>
      </c>
      <c r="G741" s="17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18" t="str">
        <f>IF(J741&lt;&gt;1,"",IF(I741="SBJ","CB","?"))</f>
        <v> </v>
      </c>
      <c r="I741" s="19" t="str">
        <f>IF(OR(E741="",E741="!!!",F741="NEW"),"",INDEX(B740:B$2,-1+SUMPRODUCT(MAX(ROW(E740:E$2)*(E741=E740:E$2)))))</f>
        <v> </v>
      </c>
      <c r="J741" s="19" t="str">
        <f>IF(OR(E741="",E741="!!!",F741="NEW"),"",COUNTBLANK(OFFSET(A$1,,,SUMPRODUCT(MAX(ROW(E$2:E741)*(E741=E$2:E741)))))-COUNTBLANK(OFFSET(A$1,,,SUMPRODUCT(MAX(ROW(E$1:E740)*(E2=E$1:E740))))))</f>
        <v> </v>
      </c>
      <c r="K741" s="19" t="str">
        <f>IF(OR(E741="",E741="!!!",F741="NEW"),"",INDEX(J$1:J740,SUMPRODUCT(MAX(ROW(E$1:E740)*(E741=E$1:E740)))))</f>
        <v> </v>
      </c>
      <c r="L741" s="20"/>
    </row>
    <row r="742" spans="1:12">
      <c r="A742" s="13" t="s">
        <v>61</v>
      </c>
      <c r="B742" s="14" t="s">
        <v>341</v>
      </c>
      <c r="E742" s="15">
        <f>IF(D742="?OLD","!!!","")</f>
        <v/>
      </c>
      <c r="F742" s="16" t="str">
        <f>IF(OR(E742="",E742="!!!"),"",IF(NOT(ISNA(VLOOKUP(E742,E$1:E741,1,FALSE()))),"OLD",IF(AND(E742&lt;&gt;"",E742&lt;&gt;"!!!"),"NEW","")))</f>
        <v> </v>
      </c>
      <c r="G742" s="17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18" t="str">
        <f>IF(J742&lt;&gt;1,"",IF(I742="SBJ","CB","?"))</f>
        <v> </v>
      </c>
      <c r="I742" s="19" t="str">
        <f>IF(OR(E742="",E742="!!!",F742="NEW"),"",INDEX(B741:B$2,-1+SUMPRODUCT(MAX(ROW(E741:E$2)*(E742=E741:E$2)))))</f>
        <v> </v>
      </c>
      <c r="J742" s="19" t="str">
        <f>IF(OR(E742="",E742="!!!",F742="NEW"),"",COUNTBLANK(OFFSET(A$1,,,SUMPRODUCT(MAX(ROW(E$2:E742)*(E742=E$2:E742)))))-COUNTBLANK(OFFSET(A$1,,,SUMPRODUCT(MAX(ROW(E$1:E741)*(E2=E$1:E741))))))</f>
        <v> </v>
      </c>
      <c r="K742" s="19" t="str">
        <f>IF(OR(E742="",E742="!!!",F742="NEW"),"",INDEX(J$1:J741,SUMPRODUCT(MAX(ROW(E$1:E741)*(E742=E$1:E741)))))</f>
        <v> </v>
      </c>
      <c r="L742" s="20"/>
    </row>
    <row r="743" spans="1:12">
      <c r="A743" s="13" t="s">
        <v>294</v>
      </c>
      <c r="E743" s="15">
        <f>IF(D743="?OLD","!!!","")</f>
        <v/>
      </c>
      <c r="F743" s="16" t="str">
        <f>IF(OR(E743="",E743="!!!"),"",IF(NOT(ISNA(VLOOKUP(E743,E$1:E742,1,FALSE()))),"OLD",IF(AND(E743&lt;&gt;"",E743&lt;&gt;"!!!"),"NEW","")))</f>
        <v> </v>
      </c>
      <c r="G743" s="17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18" t="str">
        <f>IF(J743&lt;&gt;1,"",IF(I743="SBJ","CB","?"))</f>
        <v> </v>
      </c>
      <c r="I743" s="19" t="str">
        <f>IF(OR(E743="",E743="!!!",F743="NEW"),"",INDEX(B742:B$2,-1+SUMPRODUCT(MAX(ROW(E742:E$2)*(E743=E742:E$2)))))</f>
        <v> </v>
      </c>
      <c r="J743" s="19" t="str">
        <f>IF(OR(E743="",E743="!!!",F743="NEW"),"",COUNTBLANK(OFFSET(A$1,,,SUMPRODUCT(MAX(ROW(E$2:E743)*(E743=E$2:E743)))))-COUNTBLANK(OFFSET(A$1,,,SUMPRODUCT(MAX(ROW(E$1:E742)*(E2=E$1:E742))))))</f>
        <v> </v>
      </c>
      <c r="K743" s="19" t="str">
        <f>IF(OR(E743="",E743="!!!",F743="NEW"),"",INDEX(J$1:J742,SUMPRODUCT(MAX(ROW(E$1:E742)*(E743=E$1:E742)))))</f>
        <v> </v>
      </c>
      <c r="L743" s="20"/>
    </row>
    <row r="744" spans="1:12">
      <c r="A744" s="13" t="s">
        <v>212</v>
      </c>
      <c r="E744" s="15">
        <f>IF(D744="?OLD","!!!","")</f>
        <v/>
      </c>
      <c r="F744" s="16" t="str">
        <f>IF(OR(E744="",E744="!!!"),"",IF(NOT(ISNA(VLOOKUP(E744,E$1:E743,1,FALSE()))),"OLD",IF(AND(E744&lt;&gt;"",E744&lt;&gt;"!!!"),"NEW","")))</f>
        <v> </v>
      </c>
      <c r="G744" s="17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18" t="str">
        <f>IF(J744&lt;&gt;1,"",IF(I744="SBJ","CB","?"))</f>
        <v> </v>
      </c>
      <c r="I744" s="19" t="str">
        <f>IF(OR(E744="",E744="!!!",F744="NEW"),"",INDEX(B743:B$2,-1+SUMPRODUCT(MAX(ROW(E743:E$2)*(E744=E743:E$2)))))</f>
        <v> </v>
      </c>
      <c r="J744" s="19" t="str">
        <f>IF(OR(E744="",E744="!!!",F744="NEW"),"",COUNTBLANK(OFFSET(A$1,,,SUMPRODUCT(MAX(ROW(E$2:E744)*(E744=E$2:E744)))))-COUNTBLANK(OFFSET(A$1,,,SUMPRODUCT(MAX(ROW(E$1:E743)*(E2=E$1:E743))))))</f>
        <v> </v>
      </c>
      <c r="K744" s="19" t="str">
        <f>IF(OR(E744="",E744="!!!",F744="NEW"),"",INDEX(J$1:J743,SUMPRODUCT(MAX(ROW(E$1:E743)*(E744=E$1:E743)))))</f>
        <v> </v>
      </c>
      <c r="L744" s="20"/>
    </row>
    <row r="745" spans="1:12">
      <c r="A745" s="13" t="s">
        <v>57</v>
      </c>
      <c r="E745" s="15">
        <f>IF(D745="?OLD","!!!","")</f>
        <v/>
      </c>
      <c r="F745" s="16" t="str">
        <f>IF(OR(E745="",E745="!!!"),"",IF(NOT(ISNA(VLOOKUP(E745,E$1:E744,1,FALSE()))),"OLD",IF(AND(E745&lt;&gt;"",E745&lt;&gt;"!!!"),"NEW","")))</f>
        <v> </v>
      </c>
      <c r="G745" s="17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18" t="str">
        <f>IF(J745&lt;&gt;1,"",IF(I745="SBJ","CB","?"))</f>
        <v> </v>
      </c>
      <c r="I745" s="19" t="str">
        <f>IF(OR(E745="",E745="!!!",F745="NEW"),"",INDEX(B744:B$2,-1+SUMPRODUCT(MAX(ROW(E744:E$2)*(E745=E744:E$2)))))</f>
        <v> </v>
      </c>
      <c r="J745" s="19" t="str">
        <f>IF(OR(E745="",E745="!!!",F745="NEW"),"",COUNTBLANK(OFFSET(A$1,,,SUMPRODUCT(MAX(ROW(E$2:E745)*(E745=E$2:E745)))))-COUNTBLANK(OFFSET(A$1,,,SUMPRODUCT(MAX(ROW(E$1:E744)*(E2=E$1:E744))))))</f>
        <v> </v>
      </c>
      <c r="K745" s="19" t="str">
        <f>IF(OR(E745="",E745="!!!",F745="NEW"),"",INDEX(J$1:J744,SUMPRODUCT(MAX(ROW(E$1:E744)*(E745=E$1:E744)))))</f>
        <v> </v>
      </c>
      <c r="L745" s="20"/>
    </row>
    <row r="746" spans="1:12">
      <c r="A746" s="13" t="s">
        <v>73</v>
      </c>
      <c r="B746" s="14" t="s">
        <v>342</v>
      </c>
      <c r="C746" s="14" t="s">
        <v>60</v>
      </c>
      <c r="D746" s="14" t="s">
        <v>25</v>
      </c>
      <c r="E746" s="15">
        <f>IF(D746="?OLD","!!!","")</f>
        <v/>
      </c>
      <c r="F746" s="16" t="str">
        <f>IF(OR(E746="",E746="!!!"),"",IF(NOT(ISNA(VLOOKUP(E746,E$1:E745,1,FALSE()))),"OLD",IF(AND(E746&lt;&gt;"",E746&lt;&gt;"!!!"),"NEW","")))</f>
        <v> </v>
      </c>
      <c r="G746" s="17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18" t="str">
        <f>IF(J746&lt;&gt;1,"",IF(I746="SBJ","CB","?"))</f>
        <v> </v>
      </c>
      <c r="I746" s="19" t="str">
        <f>IF(OR(E746="",E746="!!!",F746="NEW"),"",INDEX(B745:B$2,-1+SUMPRODUCT(MAX(ROW(E745:E$2)*(E746=E745:E$2)))))</f>
        <v> </v>
      </c>
      <c r="J746" s="19" t="str">
        <f>IF(OR(E746="",E746="!!!",F746="NEW"),"",COUNTBLANK(OFFSET(A$1,,,SUMPRODUCT(MAX(ROW(E$2:E746)*(E746=E$2:E746)))))-COUNTBLANK(OFFSET(A$1,,,SUMPRODUCT(MAX(ROW(E$1:E745)*(E2=E$1:E745))))))</f>
        <v> </v>
      </c>
      <c r="K746" s="19" t="str">
        <f>IF(OR(E746="",E746="!!!",F746="NEW"),"",INDEX(J$1:J745,SUMPRODUCT(MAX(ROW(E$1:E745)*(E746=E$1:E745)))))</f>
        <v> </v>
      </c>
      <c r="L746" s="20"/>
    </row>
    <row r="747" spans="1:12">
      <c r="A747" s="13" t="s">
        <v>207</v>
      </c>
      <c r="B747" s="14" t="s">
        <v>180</v>
      </c>
      <c r="C747" s="14" t="s">
        <v>72</v>
      </c>
      <c r="D747" s="14" t="s">
        <v>25</v>
      </c>
      <c r="E747" s="15">
        <f>IF(D747="?OLD","!!!","")</f>
        <v/>
      </c>
      <c r="F747" s="16" t="str">
        <f>IF(OR(E747="",E747="!!!"),"",IF(NOT(ISNA(VLOOKUP(E747,E$1:E746,1,FALSE()))),"OLD",IF(AND(E747&lt;&gt;"",E747&lt;&gt;"!!!"),"NEW","")))</f>
        <v> </v>
      </c>
      <c r="G747" s="17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18" t="str">
        <f>IF(J747&lt;&gt;1,"",IF(I747="SBJ","CB","?"))</f>
        <v> </v>
      </c>
      <c r="I747" s="19" t="str">
        <f>IF(OR(E747="",E747="!!!",F747="NEW"),"",INDEX(B746:B$2,-1+SUMPRODUCT(MAX(ROW(E746:E$2)*(E747=E746:E$2)))))</f>
        <v> </v>
      </c>
      <c r="J747" s="19" t="str">
        <f>IF(OR(E747="",E747="!!!",F747="NEW"),"",COUNTBLANK(OFFSET(A$1,,,SUMPRODUCT(MAX(ROW(E$2:E747)*(E747=E$2:E747)))))-COUNTBLANK(OFFSET(A$1,,,SUMPRODUCT(MAX(ROW(E$1:E746)*(E2=E$1:E746))))))</f>
        <v> </v>
      </c>
      <c r="K747" s="19" t="str">
        <f>IF(OR(E747="",E747="!!!",F747="NEW"),"",INDEX(J$1:J746,SUMPRODUCT(MAX(ROW(E$1:E746)*(E747=E$1:E746)))))</f>
        <v> </v>
      </c>
      <c r="L747" s="20"/>
    </row>
    <row r="748" spans="1:12">
      <c r="A748" s="13" t="s">
        <v>119</v>
      </c>
      <c r="E748" s="15">
        <f>IF(D748="?OLD","!!!","")</f>
        <v/>
      </c>
      <c r="F748" s="16" t="str">
        <f>IF(OR(E748="",E748="!!!"),"",IF(NOT(ISNA(VLOOKUP(E748,E$1:E747,1,FALSE()))),"OLD",IF(AND(E748&lt;&gt;"",E748&lt;&gt;"!!!"),"NEW","")))</f>
        <v> </v>
      </c>
      <c r="G748" s="17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18" t="str">
        <f>IF(J748&lt;&gt;1,"",IF(I748="SBJ","CB","?"))</f>
        <v> </v>
      </c>
      <c r="I748" s="19" t="str">
        <f>IF(OR(E748="",E748="!!!",F748="NEW"),"",INDEX(B747:B$2,-1+SUMPRODUCT(MAX(ROW(E747:E$2)*(E748=E747:E$2)))))</f>
        <v> </v>
      </c>
      <c r="J748" s="19" t="str">
        <f>IF(OR(E748="",E748="!!!",F748="NEW"),"",COUNTBLANK(OFFSET(A$1,,,SUMPRODUCT(MAX(ROW(E$2:E748)*(E748=E$2:E748)))))-COUNTBLANK(OFFSET(A$1,,,SUMPRODUCT(MAX(ROW(E$1:E747)*(E2=E$1:E747))))))</f>
        <v> </v>
      </c>
      <c r="K748" s="19" t="str">
        <f>IF(OR(E748="",E748="!!!",F748="NEW"),"",INDEX(J$1:J747,SUMPRODUCT(MAX(ROW(E$1:E747)*(E748=E$1:E747)))))</f>
        <v> </v>
      </c>
      <c r="L748" s="20"/>
    </row>
    <row r="749" spans="1:12">
      <c r="A749" s="13" t="s">
        <v>68</v>
      </c>
      <c r="E749" s="15">
        <f>IF(D749="?OLD","!!!","")</f>
        <v/>
      </c>
      <c r="F749" s="16" t="str">
        <f>IF(OR(E749="",E749="!!!"),"",IF(NOT(ISNA(VLOOKUP(E749,E$1:E748,1,FALSE()))),"OLD",IF(AND(E749&lt;&gt;"",E749&lt;&gt;"!!!"),"NEW","")))</f>
        <v> </v>
      </c>
      <c r="G749" s="17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18" t="str">
        <f>IF(J749&lt;&gt;1,"",IF(I749="SBJ","CB","?"))</f>
        <v> </v>
      </c>
      <c r="I749" s="19" t="str">
        <f>IF(OR(E749="",E749="!!!",F749="NEW"),"",INDEX(B748:B$2,-1+SUMPRODUCT(MAX(ROW(E748:E$2)*(E749=E748:E$2)))))</f>
        <v> </v>
      </c>
      <c r="J749" s="19" t="str">
        <f>IF(OR(E749="",E749="!!!",F749="NEW"),"",COUNTBLANK(OFFSET(A$1,,,SUMPRODUCT(MAX(ROW(E$2:E749)*(E749=E$2:E749)))))-COUNTBLANK(OFFSET(A$1,,,SUMPRODUCT(MAX(ROW(E$1:E748)*(E2=E$1:E748))))))</f>
        <v> </v>
      </c>
      <c r="K749" s="19" t="str">
        <f>IF(OR(E749="",E749="!!!",F749="NEW"),"",INDEX(J$1:J748,SUMPRODUCT(MAX(ROW(E$1:E748)*(E749=E$1:E748)))))</f>
        <v> </v>
      </c>
      <c r="L749" s="20"/>
    </row>
    <row r="750" spans="1:12">
      <c r="A750" s="13"/>
    </row>
    <row r="751" spans="1:12">
      <c r="A751" s="13" t="s">
        <v>343</v>
      </c>
    </row>
    <row r="752" spans="1:12">
      <c r="A752" s="13" t="s">
        <v>252</v>
      </c>
      <c r="E752" s="15">
        <f>IF(D752="?OLD","!!!","")</f>
        <v/>
      </c>
      <c r="F752" s="16" t="str">
        <f>IF(OR(E752="",E752="!!!"),"",IF(NOT(ISNA(VLOOKUP(E752,E$1:E751,1,FALSE()))),"OLD",IF(AND(E752&lt;&gt;"",E752&lt;&gt;"!!!"),"NEW","")))</f>
        <v> </v>
      </c>
      <c r="G752" s="17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18" t="str">
        <f>IF(J752&lt;&gt;1,"",IF(I752="SBJ","CB","?"))</f>
        <v> </v>
      </c>
      <c r="I752" s="19" t="str">
        <f>IF(OR(E752="",E752="!!!",F752="NEW"),"",INDEX(B751:B$2,-1+SUMPRODUCT(MAX(ROW(E751:E$2)*(E752=E751:E$2)))))</f>
        <v> </v>
      </c>
      <c r="J752" s="19" t="str">
        <f>IF(OR(E752="",E752="!!!",F752="NEW"),"",COUNTBLANK(OFFSET(A$1,,,SUMPRODUCT(MAX(ROW(E$2:E752)*(E752=E$2:E752)))))-COUNTBLANK(OFFSET(A$1,,,SUMPRODUCT(MAX(ROW(E$1:E751)*(E2=E$1:E751))))))</f>
        <v> </v>
      </c>
      <c r="K752" s="19" t="str">
        <f>IF(OR(E752="",E752="!!!",F752="NEW"),"",INDEX(J$1:J751,SUMPRODUCT(MAX(ROW(E$1:E751)*(E752=E$1:E751)))))</f>
        <v> </v>
      </c>
      <c r="L752" s="20"/>
    </row>
    <row r="753" spans="1:12">
      <c r="A753" s="13" t="s">
        <v>164</v>
      </c>
      <c r="B753" s="14" t="s">
        <v>23</v>
      </c>
      <c r="C753" s="14" t="s">
        <v>24</v>
      </c>
      <c r="D753" s="14" t="s">
        <v>25</v>
      </c>
      <c r="E753" s="15">
        <f>IF(D753="?OLD","!!!","")</f>
        <v/>
      </c>
      <c r="F753" s="16" t="str">
        <f>IF(OR(E753="",E753="!!!"),"",IF(NOT(ISNA(VLOOKUP(E753,E$1:E752,1,FALSE()))),"OLD",IF(AND(E753&lt;&gt;"",E753&lt;&gt;"!!!"),"NEW","")))</f>
        <v> </v>
      </c>
      <c r="G753" s="17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18" t="str">
        <f>IF(J753&lt;&gt;1,"",IF(I753="SBJ","CB","?"))</f>
        <v> </v>
      </c>
      <c r="I753" s="19" t="str">
        <f>IF(OR(E753="",E753="!!!",F753="NEW"),"",INDEX(B752:B$2,-1+SUMPRODUCT(MAX(ROW(E752:E$2)*(E753=E752:E$2)))))</f>
        <v> </v>
      </c>
      <c r="J753" s="19" t="str">
        <f>IF(OR(E753="",E753="!!!",F753="NEW"),"",COUNTBLANK(OFFSET(A$1,,,SUMPRODUCT(MAX(ROW(E$2:E753)*(E753=E$2:E753)))))-COUNTBLANK(OFFSET(A$1,,,SUMPRODUCT(MAX(ROW(E$1:E752)*(E2=E$1:E752))))))</f>
        <v> </v>
      </c>
      <c r="K753" s="19" t="str">
        <f>IF(OR(E753="",E753="!!!",F753="NEW"),"",INDEX(J$1:J752,SUMPRODUCT(MAX(ROW(E$1:E752)*(E753=E$1:E752)))))</f>
        <v> </v>
      </c>
      <c r="L753" s="20"/>
    </row>
    <row r="754" spans="1:12">
      <c r="A754" s="13" t="s">
        <v>301</v>
      </c>
      <c r="E754" s="15">
        <f>IF(D754="?OLD","!!!","")</f>
        <v/>
      </c>
      <c r="F754" s="16" t="str">
        <f>IF(OR(E754="",E754="!!!"),"",IF(NOT(ISNA(VLOOKUP(E754,E$1:E753,1,FALSE()))),"OLD",IF(AND(E754&lt;&gt;"",E754&lt;&gt;"!!!"),"NEW","")))</f>
        <v> </v>
      </c>
      <c r="G754" s="17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18" t="str">
        <f>IF(J754&lt;&gt;1,"",IF(I754="SBJ","CB","?"))</f>
        <v> </v>
      </c>
      <c r="I754" s="19" t="str">
        <f>IF(OR(E754="",E754="!!!",F754="NEW"),"",INDEX(B753:B$2,-1+SUMPRODUCT(MAX(ROW(E753:E$2)*(E754=E753:E$2)))))</f>
        <v> </v>
      </c>
      <c r="J754" s="19" t="str">
        <f>IF(OR(E754="",E754="!!!",F754="NEW"),"",COUNTBLANK(OFFSET(A$1,,,SUMPRODUCT(MAX(ROW(E$2:E754)*(E754=E$2:E754)))))-COUNTBLANK(OFFSET(A$1,,,SUMPRODUCT(MAX(ROW(E$1:E753)*(E2=E$1:E753))))))</f>
        <v> </v>
      </c>
      <c r="K754" s="19" t="str">
        <f>IF(OR(E754="",E754="!!!",F754="NEW"),"",INDEX(J$1:J753,SUMPRODUCT(MAX(ROW(E$1:E753)*(E754=E$1:E753)))))</f>
        <v> </v>
      </c>
      <c r="L754" s="20"/>
    </row>
    <row r="755" spans="1:12">
      <c r="A755" s="13" t="s">
        <v>79</v>
      </c>
      <c r="E755" s="15">
        <f>IF(D755="?OLD","!!!","")</f>
        <v/>
      </c>
      <c r="F755" s="16" t="str">
        <f>IF(OR(E755="",E755="!!!"),"",IF(NOT(ISNA(VLOOKUP(E755,E$1:E754,1,FALSE()))),"OLD",IF(AND(E755&lt;&gt;"",E755&lt;&gt;"!!!"),"NEW","")))</f>
        <v> </v>
      </c>
      <c r="G755" s="17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18" t="str">
        <f>IF(J755&lt;&gt;1,"",IF(I755="SBJ","CB","?"))</f>
        <v> </v>
      </c>
      <c r="I755" s="19" t="str">
        <f>IF(OR(E755="",E755="!!!",F755="NEW"),"",INDEX(B754:B$2,-1+SUMPRODUCT(MAX(ROW(E754:E$2)*(E755=E754:E$2)))))</f>
        <v> </v>
      </c>
      <c r="J755" s="19" t="str">
        <f>IF(OR(E755="",E755="!!!",F755="NEW"),"",COUNTBLANK(OFFSET(A$1,,,SUMPRODUCT(MAX(ROW(E$2:E755)*(E755=E$2:E755)))))-COUNTBLANK(OFFSET(A$1,,,SUMPRODUCT(MAX(ROW(E$1:E754)*(E2=E$1:E754))))))</f>
        <v> </v>
      </c>
      <c r="K755" s="19" t="str">
        <f>IF(OR(E755="",E755="!!!",F755="NEW"),"",INDEX(J$1:J754,SUMPRODUCT(MAX(ROW(E$1:E754)*(E755=E$1:E754)))))</f>
        <v> </v>
      </c>
      <c r="L755" s="20"/>
    </row>
    <row r="756" spans="1:12">
      <c r="A756" s="13" t="s">
        <v>312</v>
      </c>
      <c r="E756" s="15">
        <f>IF(D756="?OLD","!!!","")</f>
        <v/>
      </c>
      <c r="F756" s="16" t="str">
        <f>IF(OR(E756="",E756="!!!"),"",IF(NOT(ISNA(VLOOKUP(E756,E$1:E755,1,FALSE()))),"OLD",IF(AND(E756&lt;&gt;"",E756&lt;&gt;"!!!"),"NEW","")))</f>
        <v> </v>
      </c>
      <c r="G756" s="17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18" t="str">
        <f>IF(J756&lt;&gt;1,"",IF(I756="SBJ","CB","?"))</f>
        <v> </v>
      </c>
      <c r="I756" s="19" t="str">
        <f>IF(OR(E756="",E756="!!!",F756="NEW"),"",INDEX(B755:B$2,-1+SUMPRODUCT(MAX(ROW(E755:E$2)*(E756=E755:E$2)))))</f>
        <v> </v>
      </c>
      <c r="J756" s="19" t="str">
        <f>IF(OR(E756="",E756="!!!",F756="NEW"),"",COUNTBLANK(OFFSET(A$1,,,SUMPRODUCT(MAX(ROW(E$2:E756)*(E756=E$2:E756)))))-COUNTBLANK(OFFSET(A$1,,,SUMPRODUCT(MAX(ROW(E$1:E755)*(E2=E$1:E755))))))</f>
        <v> </v>
      </c>
      <c r="K756" s="19" t="str">
        <f>IF(OR(E756="",E756="!!!",F756="NEW"),"",INDEX(J$1:J755,SUMPRODUCT(MAX(ROW(E$1:E755)*(E756=E$1:E755)))))</f>
        <v> </v>
      </c>
      <c r="L756" s="20"/>
    </row>
    <row r="757" spans="1:12">
      <c r="A757" s="13" t="s">
        <v>56</v>
      </c>
      <c r="E757" s="15">
        <f>IF(D757="?OLD","!!!","")</f>
        <v/>
      </c>
      <c r="F757" s="16" t="str">
        <f>IF(OR(E757="",E757="!!!"),"",IF(NOT(ISNA(VLOOKUP(E757,E$1:E756,1,FALSE()))),"OLD",IF(AND(E757&lt;&gt;"",E757&lt;&gt;"!!!"),"NEW","")))</f>
        <v> </v>
      </c>
      <c r="G757" s="17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18" t="str">
        <f>IF(J757&lt;&gt;1,"",IF(I757="SBJ","CB","?"))</f>
        <v> </v>
      </c>
      <c r="I757" s="19" t="str">
        <f>IF(OR(E757="",E757="!!!",F757="NEW"),"",INDEX(B756:B$2,-1+SUMPRODUCT(MAX(ROW(E756:E$2)*(E757=E756:E$2)))))</f>
        <v> </v>
      </c>
      <c r="J757" s="19" t="str">
        <f>IF(OR(E757="",E757="!!!",F757="NEW"),"",COUNTBLANK(OFFSET(A$1,,,SUMPRODUCT(MAX(ROW(E$2:E757)*(E757=E$2:E757)))))-COUNTBLANK(OFFSET(A$1,,,SUMPRODUCT(MAX(ROW(E$1:E756)*(E2=E$1:E756))))))</f>
        <v> </v>
      </c>
      <c r="K757" s="19" t="str">
        <f>IF(OR(E757="",E757="!!!",F757="NEW"),"",INDEX(J$1:J756,SUMPRODUCT(MAX(ROW(E$1:E756)*(E757=E$1:E756)))))</f>
        <v> </v>
      </c>
      <c r="L757" s="20"/>
    </row>
    <row r="758" spans="1:12">
      <c r="A758" s="13" t="s">
        <v>344</v>
      </c>
      <c r="E758" s="15">
        <f>IF(D758="?OLD","!!!","")</f>
        <v/>
      </c>
      <c r="F758" s="16" t="str">
        <f>IF(OR(E758="",E758="!!!"),"",IF(NOT(ISNA(VLOOKUP(E758,E$1:E757,1,FALSE()))),"OLD",IF(AND(E758&lt;&gt;"",E758&lt;&gt;"!!!"),"NEW","")))</f>
        <v> </v>
      </c>
      <c r="G758" s="17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18" t="str">
        <f>IF(J758&lt;&gt;1,"",IF(I758="SBJ","CB","?"))</f>
        <v> </v>
      </c>
      <c r="I758" s="19" t="str">
        <f>IF(OR(E758="",E758="!!!",F758="NEW"),"",INDEX(B757:B$2,-1+SUMPRODUCT(MAX(ROW(E757:E$2)*(E758=E757:E$2)))))</f>
        <v> </v>
      </c>
      <c r="J758" s="19" t="str">
        <f>IF(OR(E758="",E758="!!!",F758="NEW"),"",COUNTBLANK(OFFSET(A$1,,,SUMPRODUCT(MAX(ROW(E$2:E758)*(E758=E$2:E758)))))-COUNTBLANK(OFFSET(A$1,,,SUMPRODUCT(MAX(ROW(E$1:E757)*(E2=E$1:E757))))))</f>
        <v> </v>
      </c>
      <c r="K758" s="19" t="str">
        <f>IF(OR(E758="",E758="!!!",F758="NEW"),"",INDEX(J$1:J757,SUMPRODUCT(MAX(ROW(E$1:E757)*(E758=E$1:E757)))))</f>
        <v> </v>
      </c>
      <c r="L758" s="20"/>
    </row>
    <row r="759" spans="1:12">
      <c r="A759" s="13" t="s">
        <v>53</v>
      </c>
      <c r="E759" s="15">
        <f>IF(D759="?OLD","!!!","")</f>
        <v/>
      </c>
      <c r="F759" s="16" t="str">
        <f>IF(OR(E759="",E759="!!!"),"",IF(NOT(ISNA(VLOOKUP(E759,E$1:E758,1,FALSE()))),"OLD",IF(AND(E759&lt;&gt;"",E759&lt;&gt;"!!!"),"NEW","")))</f>
        <v> </v>
      </c>
      <c r="G759" s="17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18" t="str">
        <f>IF(J759&lt;&gt;1,"",IF(I759="SBJ","CB","?"))</f>
        <v> </v>
      </c>
      <c r="I759" s="19" t="str">
        <f>IF(OR(E759="",E759="!!!",F759="NEW"),"",INDEX(B758:B$2,-1+SUMPRODUCT(MAX(ROW(E758:E$2)*(E759=E758:E$2)))))</f>
        <v> </v>
      </c>
      <c r="J759" s="19" t="str">
        <f>IF(OR(E759="",E759="!!!",F759="NEW"),"",COUNTBLANK(OFFSET(A$1,,,SUMPRODUCT(MAX(ROW(E$2:E759)*(E759=E$2:E759)))))-COUNTBLANK(OFFSET(A$1,,,SUMPRODUCT(MAX(ROW(E$1:E758)*(E2=E$1:E758))))))</f>
        <v> </v>
      </c>
      <c r="K759" s="19" t="str">
        <f>IF(OR(E759="",E759="!!!",F759="NEW"),"",INDEX(J$1:J758,SUMPRODUCT(MAX(ROW(E$1:E758)*(E759=E$1:E758)))))</f>
        <v> </v>
      </c>
      <c r="L759" s="20"/>
    </row>
    <row r="760" spans="1:12">
      <c r="A760" s="13" t="s">
        <v>122</v>
      </c>
      <c r="E760" s="15">
        <f>IF(D760="?OLD","!!!","")</f>
        <v/>
      </c>
      <c r="F760" s="16" t="str">
        <f>IF(OR(E760="",E760="!!!"),"",IF(NOT(ISNA(VLOOKUP(E760,E$1:E759,1,FALSE()))),"OLD",IF(AND(E760&lt;&gt;"",E760&lt;&gt;"!!!"),"NEW","")))</f>
        <v> </v>
      </c>
      <c r="G760" s="17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18" t="str">
        <f>IF(J760&lt;&gt;1,"",IF(I760="SBJ","CB","?"))</f>
        <v> </v>
      </c>
      <c r="I760" s="19" t="str">
        <f>IF(OR(E760="",E760="!!!",F760="NEW"),"",INDEX(B759:B$2,-1+SUMPRODUCT(MAX(ROW(E759:E$2)*(E760=E759:E$2)))))</f>
        <v> </v>
      </c>
      <c r="J760" s="19" t="str">
        <f>IF(OR(E760="",E760="!!!",F760="NEW"),"",COUNTBLANK(OFFSET(A$1,,,SUMPRODUCT(MAX(ROW(E$2:E760)*(E760=E$2:E760)))))-COUNTBLANK(OFFSET(A$1,,,SUMPRODUCT(MAX(ROW(E$1:E759)*(E2=E$1:E759))))))</f>
        <v> </v>
      </c>
      <c r="K760" s="19" t="str">
        <f>IF(OR(E760="",E760="!!!",F760="NEW"),"",INDEX(J$1:J759,SUMPRODUCT(MAX(ROW(E$1:E759)*(E760=E$1:E759)))))</f>
        <v> </v>
      </c>
      <c r="L760" s="20"/>
    </row>
    <row r="761" spans="1:12">
      <c r="A761" s="13" t="s">
        <v>57</v>
      </c>
      <c r="E761" s="15">
        <f>IF(D761="?OLD","!!!","")</f>
        <v/>
      </c>
      <c r="F761" s="16" t="str">
        <f>IF(OR(E761="",E761="!!!"),"",IF(NOT(ISNA(VLOOKUP(E761,E$1:E760,1,FALSE()))),"OLD",IF(AND(E761&lt;&gt;"",E761&lt;&gt;"!!!"),"NEW","")))</f>
        <v> </v>
      </c>
      <c r="G761" s="17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18" t="str">
        <f>IF(J761&lt;&gt;1,"",IF(I761="SBJ","CB","?"))</f>
        <v> </v>
      </c>
      <c r="I761" s="19" t="str">
        <f>IF(OR(E761="",E761="!!!",F761="NEW"),"",INDEX(B760:B$2,-1+SUMPRODUCT(MAX(ROW(E760:E$2)*(E761=E760:E$2)))))</f>
        <v> </v>
      </c>
      <c r="J761" s="19" t="str">
        <f>IF(OR(E761="",E761="!!!",F761="NEW"),"",COUNTBLANK(OFFSET(A$1,,,SUMPRODUCT(MAX(ROW(E$2:E761)*(E761=E$2:E761)))))-COUNTBLANK(OFFSET(A$1,,,SUMPRODUCT(MAX(ROW(E$1:E760)*(E2=E$1:E760))))))</f>
        <v> </v>
      </c>
      <c r="K761" s="19" t="str">
        <f>IF(OR(E761="",E761="!!!",F761="NEW"),"",INDEX(J$1:J760,SUMPRODUCT(MAX(ROW(E$1:E760)*(E761=E$1:E760)))))</f>
        <v> </v>
      </c>
      <c r="L761" s="20"/>
    </row>
    <row r="762" spans="1:12">
      <c r="A762" s="13" t="s">
        <v>292</v>
      </c>
      <c r="B762" s="14" t="s">
        <v>93</v>
      </c>
      <c r="C762" s="14" t="s">
        <v>60</v>
      </c>
      <c r="D762" s="14" t="s">
        <v>25</v>
      </c>
      <c r="E762" s="15">
        <f>IF(D762="?OLD","!!!","")</f>
        <v/>
      </c>
      <c r="F762" s="16" t="str">
        <f>IF(OR(E762="",E762="!!!"),"",IF(NOT(ISNA(VLOOKUP(E762,E$1:E761,1,FALSE()))),"OLD",IF(AND(E762&lt;&gt;"",E762&lt;&gt;"!!!"),"NEW","")))</f>
        <v> </v>
      </c>
      <c r="G762" s="17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18" t="str">
        <f>IF(J762&lt;&gt;1,"",IF(I762="SBJ","CB","?"))</f>
        <v> </v>
      </c>
      <c r="I762" s="19" t="str">
        <f>IF(OR(E762="",E762="!!!",F762="NEW"),"",INDEX(B761:B$2,-1+SUMPRODUCT(MAX(ROW(E761:E$2)*(E762=E761:E$2)))))</f>
        <v> </v>
      </c>
      <c r="J762" s="19" t="str">
        <f>IF(OR(E762="",E762="!!!",F762="NEW"),"",COUNTBLANK(OFFSET(A$1,,,SUMPRODUCT(MAX(ROW(E$2:E762)*(E762=E$2:E762)))))-COUNTBLANK(OFFSET(A$1,,,SUMPRODUCT(MAX(ROW(E$1:E761)*(E2=E$1:E761))))))</f>
        <v> </v>
      </c>
      <c r="K762" s="19" t="str">
        <f>IF(OR(E762="",E762="!!!",F762="NEW"),"",INDEX(J$1:J761,SUMPRODUCT(MAX(ROW(E$1:E761)*(E762=E$1:E761)))))</f>
        <v> </v>
      </c>
      <c r="L762" s="20"/>
    </row>
    <row r="763" spans="1:12">
      <c r="A763" s="13" t="s">
        <v>116</v>
      </c>
      <c r="E763" s="15">
        <f>IF(D763="?OLD","!!!","")</f>
        <v/>
      </c>
      <c r="F763" s="16" t="str">
        <f>IF(OR(E763="",E763="!!!"),"",IF(NOT(ISNA(VLOOKUP(E763,E$1:E762,1,FALSE()))),"OLD",IF(AND(E763&lt;&gt;"",E763&lt;&gt;"!!!"),"NEW","")))</f>
        <v> </v>
      </c>
      <c r="G763" s="17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18" t="str">
        <f>IF(J763&lt;&gt;1,"",IF(I763="SBJ","CB","?"))</f>
        <v> </v>
      </c>
      <c r="I763" s="19" t="str">
        <f>IF(OR(E763="",E763="!!!",F763="NEW"),"",INDEX(B762:B$2,-1+SUMPRODUCT(MAX(ROW(E762:E$2)*(E763=E762:E$2)))))</f>
        <v> </v>
      </c>
      <c r="J763" s="19" t="str">
        <f>IF(OR(E763="",E763="!!!",F763="NEW"),"",COUNTBLANK(OFFSET(A$1,,,SUMPRODUCT(MAX(ROW(E$2:E763)*(E763=E$2:E763)))))-COUNTBLANK(OFFSET(A$1,,,SUMPRODUCT(MAX(ROW(E$1:E762)*(E2=E$1:E762))))))</f>
        <v> </v>
      </c>
      <c r="K763" s="19" t="str">
        <f>IF(OR(E763="",E763="!!!",F763="NEW"),"",INDEX(J$1:J762,SUMPRODUCT(MAX(ROW(E$1:E762)*(E763=E$1:E762)))))</f>
        <v> </v>
      </c>
      <c r="L763" s="20"/>
    </row>
    <row r="764" spans="1:12">
      <c r="A764" s="13"/>
    </row>
    <row r="765" spans="1:12">
      <c r="A765" s="13" t="s">
        <v>117</v>
      </c>
      <c r="E765" s="15">
        <f>IF(D765="?OLD","!!!","")</f>
        <v/>
      </c>
      <c r="F765" s="16" t="str">
        <f>IF(OR(E765="",E765="!!!"),"",IF(NOT(ISNA(VLOOKUP(E765,E$1:E764,1,FALSE()))),"OLD",IF(AND(E765&lt;&gt;"",E765&lt;&gt;"!!!"),"NEW","")))</f>
        <v> </v>
      </c>
      <c r="G765" s="17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18" t="str">
        <f>IF(J765&lt;&gt;1,"",IF(I765="SBJ","CB","?"))</f>
        <v> </v>
      </c>
      <c r="I765" s="19" t="str">
        <f>IF(OR(E765="",E765="!!!",F765="NEW"),"",INDEX(B764:B$2,-1+SUMPRODUCT(MAX(ROW(E764:E$2)*(E765=E764:E$2)))))</f>
        <v> </v>
      </c>
      <c r="J765" s="19" t="str">
        <f>IF(OR(E765="",E765="!!!",F765="NEW"),"",COUNTBLANK(OFFSET(A$1,,,SUMPRODUCT(MAX(ROW(E$2:E765)*(E765=E$2:E765)))))-COUNTBLANK(OFFSET(A$1,,,SUMPRODUCT(MAX(ROW(E$1:E764)*(E2=E$1:E764))))))</f>
        <v> </v>
      </c>
      <c r="K765" s="19" t="str">
        <f>IF(OR(E765="",E765="!!!",F765="NEW"),"",INDEX(J$1:J764,SUMPRODUCT(MAX(ROW(E$1:E764)*(E765=E$1:E764)))))</f>
        <v> </v>
      </c>
      <c r="L765" s="20"/>
    </row>
    <row r="766" spans="1:12">
      <c r="A766" s="13" t="s">
        <v>345</v>
      </c>
    </row>
    <row r="767" spans="1:12">
      <c r="A767" s="13" t="s">
        <v>119</v>
      </c>
      <c r="E767" s="15">
        <f>IF(D767="?OLD","!!!","")</f>
        <v/>
      </c>
      <c r="F767" s="16" t="str">
        <f>IF(OR(E767="",E767="!!!"),"",IF(NOT(ISNA(VLOOKUP(E767,E$1:E766,1,FALSE()))),"OLD",IF(AND(E767&lt;&gt;"",E767&lt;&gt;"!!!"),"NEW","")))</f>
        <v> </v>
      </c>
      <c r="G767" s="17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18" t="str">
        <f>IF(J767&lt;&gt;1,"",IF(I767="SBJ","CB","?"))</f>
        <v> </v>
      </c>
      <c r="I767" s="19" t="str">
        <f>IF(OR(E767="",E767="!!!",F767="NEW"),"",INDEX(B766:B$2,-1+SUMPRODUCT(MAX(ROW(E766:E$2)*(E767=E766:E$2)))))</f>
        <v> </v>
      </c>
      <c r="J767" s="19" t="str">
        <f>IF(OR(E767="",E767="!!!",F767="NEW"),"",COUNTBLANK(OFFSET(A$1,,,SUMPRODUCT(MAX(ROW(E$2:E767)*(E767=E$2:E767)))))-COUNTBLANK(OFFSET(A$1,,,SUMPRODUCT(MAX(ROW(E$1:E766)*(E2=E$1:E766))))))</f>
        <v> </v>
      </c>
      <c r="K767" s="19" t="str">
        <f>IF(OR(E767="",E767="!!!",F767="NEW"),"",INDEX(J$1:J766,SUMPRODUCT(MAX(ROW(E$1:E766)*(E767=E$1:E766)))))</f>
        <v> </v>
      </c>
      <c r="L767" s="20"/>
    </row>
    <row r="768" spans="1:12">
      <c r="A768" s="13" t="s">
        <v>303</v>
      </c>
      <c r="E768" s="15">
        <f>IF(D768="?OLD","!!!","")</f>
        <v/>
      </c>
      <c r="F768" s="16" t="str">
        <f>IF(OR(E768="",E768="!!!"),"",IF(NOT(ISNA(VLOOKUP(E768,E$1:E767,1,FALSE()))),"OLD",IF(AND(E768&lt;&gt;"",E768&lt;&gt;"!!!"),"NEW","")))</f>
        <v> </v>
      </c>
      <c r="G768" s="17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18" t="str">
        <f>IF(J768&lt;&gt;1,"",IF(I768="SBJ","CB","?"))</f>
        <v> </v>
      </c>
      <c r="I768" s="19" t="str">
        <f>IF(OR(E768="",E768="!!!",F768="NEW"),"",INDEX(B767:B$2,-1+SUMPRODUCT(MAX(ROW(E767:E$2)*(E768=E767:E$2)))))</f>
        <v> </v>
      </c>
      <c r="J768" s="19" t="str">
        <f>IF(OR(E768="",E768="!!!",F768="NEW"),"",COUNTBLANK(OFFSET(A$1,,,SUMPRODUCT(MAX(ROW(E$2:E768)*(E768=E$2:E768)))))-COUNTBLANK(OFFSET(A$1,,,SUMPRODUCT(MAX(ROW(E$1:E767)*(E2=E$1:E767))))))</f>
        <v> </v>
      </c>
      <c r="K768" s="19" t="str">
        <f>IF(OR(E768="",E768="!!!",F768="NEW"),"",INDEX(J$1:J767,SUMPRODUCT(MAX(ROW(E$1:E767)*(E768=E$1:E767)))))</f>
        <v> </v>
      </c>
      <c r="L768" s="20"/>
    </row>
    <row r="769" spans="1:12">
      <c r="A769" s="13" t="s">
        <v>57</v>
      </c>
      <c r="E769" s="15">
        <f>IF(D769="?OLD","!!!","")</f>
        <v/>
      </c>
      <c r="F769" s="16" t="str">
        <f>IF(OR(E769="",E769="!!!"),"",IF(NOT(ISNA(VLOOKUP(E769,E$1:E768,1,FALSE()))),"OLD",IF(AND(E769&lt;&gt;"",E769&lt;&gt;"!!!"),"NEW","")))</f>
        <v> </v>
      </c>
      <c r="G769" s="17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18" t="str">
        <f>IF(J769&lt;&gt;1,"",IF(I769="SBJ","CB","?"))</f>
        <v> </v>
      </c>
      <c r="I769" s="19" t="str">
        <f>IF(OR(E769="",E769="!!!",F769="NEW"),"",INDEX(B768:B$2,-1+SUMPRODUCT(MAX(ROW(E768:E$2)*(E769=E768:E$2)))))</f>
        <v> </v>
      </c>
      <c r="J769" s="19" t="str">
        <f>IF(OR(E769="",E769="!!!",F769="NEW"),"",COUNTBLANK(OFFSET(A$1,,,SUMPRODUCT(MAX(ROW(E$2:E769)*(E769=E$2:E769)))))-COUNTBLANK(OFFSET(A$1,,,SUMPRODUCT(MAX(ROW(E$1:E768)*(E2=E$1:E768))))))</f>
        <v> </v>
      </c>
      <c r="K769" s="19" t="str">
        <f>IF(OR(E769="",E769="!!!",F769="NEW"),"",INDEX(J$1:J768,SUMPRODUCT(MAX(ROW(E$1:E768)*(E769=E$1:E768)))))</f>
        <v> </v>
      </c>
      <c r="L769" s="20"/>
    </row>
    <row r="770" spans="1:12">
      <c r="A770" s="13" t="s">
        <v>304</v>
      </c>
      <c r="B770" s="14" t="s">
        <v>88</v>
      </c>
      <c r="C770" s="14" t="s">
        <v>60</v>
      </c>
      <c r="D770" s="14" t="s">
        <v>25</v>
      </c>
      <c r="E770" s="15">
        <f>IF(D770="?OLD","!!!","")</f>
        <v/>
      </c>
      <c r="F770" s="16" t="str">
        <f>IF(OR(E770="",E770="!!!"),"",IF(NOT(ISNA(VLOOKUP(E770,E$1:E769,1,FALSE()))),"OLD",IF(AND(E770&lt;&gt;"",E770&lt;&gt;"!!!"),"NEW","")))</f>
        <v> </v>
      </c>
      <c r="G770" s="17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18" t="str">
        <f>IF(J770&lt;&gt;1,"",IF(I770="SBJ","CB","?"))</f>
        <v> </v>
      </c>
      <c r="I770" s="19" t="str">
        <f>IF(OR(E770="",E770="!!!",F770="NEW"),"",INDEX(B769:B$2,-1+SUMPRODUCT(MAX(ROW(E769:E$2)*(E770=E769:E$2)))))</f>
        <v> </v>
      </c>
      <c r="J770" s="19" t="str">
        <f>IF(OR(E770="",E770="!!!",F770="NEW"),"",COUNTBLANK(OFFSET(A$1,,,SUMPRODUCT(MAX(ROW(E$2:E770)*(E770=E$2:E770)))))-COUNTBLANK(OFFSET(A$1,,,SUMPRODUCT(MAX(ROW(E$1:E769)*(E2=E$1:E769))))))</f>
        <v> </v>
      </c>
      <c r="K770" s="19" t="str">
        <f>IF(OR(E770="",E770="!!!",F770="NEW"),"",INDEX(J$1:J769,SUMPRODUCT(MAX(ROW(E$1:E769)*(E770=E$1:E769)))))</f>
        <v> </v>
      </c>
      <c r="L770" s="20"/>
    </row>
    <row r="771" spans="1:12">
      <c r="A771" s="13" t="s">
        <v>76</v>
      </c>
      <c r="E771" s="15">
        <f>IF(D771="?OLD","!!!","")</f>
        <v/>
      </c>
      <c r="F771" s="16" t="str">
        <f>IF(OR(E771="",E771="!!!"),"",IF(NOT(ISNA(VLOOKUP(E771,E$1:E770,1,FALSE()))),"OLD",IF(AND(E771&lt;&gt;"",E771&lt;&gt;"!!!"),"NEW","")))</f>
        <v> </v>
      </c>
      <c r="G771" s="17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18" t="str">
        <f>IF(J771&lt;&gt;1,"",IF(I771="SBJ","CB","?"))</f>
        <v> </v>
      </c>
      <c r="I771" s="19" t="str">
        <f>IF(OR(E771="",E771="!!!",F771="NEW"),"",INDEX(B770:B$2,-1+SUMPRODUCT(MAX(ROW(E770:E$2)*(E771=E770:E$2)))))</f>
        <v> </v>
      </c>
      <c r="J771" s="19" t="str">
        <f>IF(OR(E771="",E771="!!!",F771="NEW"),"",COUNTBLANK(OFFSET(A$1,,,SUMPRODUCT(MAX(ROW(E$2:E771)*(E771=E$2:E771)))))-COUNTBLANK(OFFSET(A$1,,,SUMPRODUCT(MAX(ROW(E$1:E770)*(E2=E$1:E770))))))</f>
        <v> </v>
      </c>
      <c r="K771" s="19" t="str">
        <f>IF(OR(E771="",E771="!!!",F771="NEW"),"",INDEX(J$1:J770,SUMPRODUCT(MAX(ROW(E$1:E770)*(E771=E$1:E770)))))</f>
        <v> </v>
      </c>
      <c r="L771" s="20"/>
    </row>
    <row r="772" spans="1:12">
      <c r="A772" s="13" t="s">
        <v>57</v>
      </c>
      <c r="E772" s="15">
        <f>IF(D772="?OLD","!!!","")</f>
        <v/>
      </c>
      <c r="F772" s="16" t="str">
        <f>IF(OR(E772="",E772="!!!"),"",IF(NOT(ISNA(VLOOKUP(E772,E$1:E771,1,FALSE()))),"OLD",IF(AND(E772&lt;&gt;"",E772&lt;&gt;"!!!"),"NEW","")))</f>
        <v> </v>
      </c>
      <c r="G772" s="17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18" t="str">
        <f>IF(J772&lt;&gt;1,"",IF(I772="SBJ","CB","?"))</f>
        <v> </v>
      </c>
      <c r="I772" s="19" t="str">
        <f>IF(OR(E772="",E772="!!!",F772="NEW"),"",INDEX(B771:B$2,-1+SUMPRODUCT(MAX(ROW(E771:E$2)*(E772=E771:E$2)))))</f>
        <v> </v>
      </c>
      <c r="J772" s="19" t="str">
        <f>IF(OR(E772="",E772="!!!",F772="NEW"),"",COUNTBLANK(OFFSET(A$1,,,SUMPRODUCT(MAX(ROW(E$2:E772)*(E772=E$2:E772)))))-COUNTBLANK(OFFSET(A$1,,,SUMPRODUCT(MAX(ROW(E$1:E771)*(E2=E$1:E771))))))</f>
        <v> </v>
      </c>
      <c r="K772" s="19" t="str">
        <f>IF(OR(E772="",E772="!!!",F772="NEW"),"",INDEX(J$1:J771,SUMPRODUCT(MAX(ROW(E$1:E771)*(E772=E$1:E771)))))</f>
        <v> </v>
      </c>
      <c r="L772" s="20"/>
    </row>
    <row r="773" spans="1:12">
      <c r="A773" s="13" t="s">
        <v>305</v>
      </c>
      <c r="B773" s="14" t="s">
        <v>219</v>
      </c>
      <c r="C773" s="14" t="s">
        <v>60</v>
      </c>
      <c r="D773" s="14" t="s">
        <v>25</v>
      </c>
      <c r="E773" s="15">
        <f>IF(D773="?OLD","!!!","")</f>
        <v/>
      </c>
      <c r="F773" s="16" t="str">
        <f>IF(OR(E773="",E773="!!!"),"",IF(NOT(ISNA(VLOOKUP(E773,E$1:E772,1,FALSE()))),"OLD",IF(AND(E773&lt;&gt;"",E773&lt;&gt;"!!!"),"NEW","")))</f>
        <v> </v>
      </c>
      <c r="G773" s="17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18" t="str">
        <f>IF(J773&lt;&gt;1,"",IF(I773="SBJ","CB","?"))</f>
        <v> </v>
      </c>
      <c r="I773" s="19" t="str">
        <f>IF(OR(E773="",E773="!!!",F773="NEW"),"",INDEX(B772:B$2,-1+SUMPRODUCT(MAX(ROW(E772:E$2)*(E773=E772:E$2)))))</f>
        <v> </v>
      </c>
      <c r="J773" s="19" t="str">
        <f>IF(OR(E773="",E773="!!!",F773="NEW"),"",COUNTBLANK(OFFSET(A$1,,,SUMPRODUCT(MAX(ROW(E$2:E773)*(E773=E$2:E773)))))-COUNTBLANK(OFFSET(A$1,,,SUMPRODUCT(MAX(ROW(E$1:E772)*(E2=E$1:E772))))))</f>
        <v> </v>
      </c>
      <c r="K773" s="19" t="str">
        <f>IF(OR(E773="",E773="!!!",F773="NEW"),"",INDEX(J$1:J772,SUMPRODUCT(MAX(ROW(E$1:E772)*(E773=E$1:E772)))))</f>
        <v> </v>
      </c>
      <c r="L773" s="20"/>
    </row>
    <row r="774" spans="1:12">
      <c r="A774" s="13" t="s">
        <v>62</v>
      </c>
      <c r="E774" s="15">
        <f>IF(D774="?OLD","!!!","")</f>
        <v/>
      </c>
      <c r="F774" s="16" t="str">
        <f>IF(OR(E774="",E774="!!!"),"",IF(NOT(ISNA(VLOOKUP(E774,E$1:E773,1,FALSE()))),"OLD",IF(AND(E774&lt;&gt;"",E774&lt;&gt;"!!!"),"NEW","")))</f>
        <v> </v>
      </c>
      <c r="G774" s="17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18" t="str">
        <f>IF(J774&lt;&gt;1,"",IF(I774="SBJ","CB","?"))</f>
        <v> </v>
      </c>
      <c r="I774" s="19" t="str">
        <f>IF(OR(E774="",E774="!!!",F774="NEW"),"",INDEX(B773:B$2,-1+SUMPRODUCT(MAX(ROW(E773:E$2)*(E774=E773:E$2)))))</f>
        <v> </v>
      </c>
      <c r="J774" s="19" t="str">
        <f>IF(OR(E774="",E774="!!!",F774="NEW"),"",COUNTBLANK(OFFSET(A$1,,,SUMPRODUCT(MAX(ROW(E$2:E774)*(E774=E$2:E774)))))-COUNTBLANK(OFFSET(A$1,,,SUMPRODUCT(MAX(ROW(E$1:E773)*(E2=E$1:E773))))))</f>
        <v> </v>
      </c>
      <c r="K774" s="19" t="str">
        <f>IF(OR(E774="",E774="!!!",F774="NEW"),"",INDEX(J$1:J773,SUMPRODUCT(MAX(ROW(E$1:E773)*(E774=E$1:E773)))))</f>
        <v> </v>
      </c>
      <c r="L774" s="20"/>
    </row>
    <row r="775" spans="1:12">
      <c r="A775" s="13" t="s">
        <v>306</v>
      </c>
      <c r="E775" s="15">
        <f>IF(D775="?OLD","!!!","")</f>
        <v/>
      </c>
      <c r="F775" s="16" t="str">
        <f>IF(OR(E775="",E775="!!!"),"",IF(NOT(ISNA(VLOOKUP(E775,E$1:E774,1,FALSE()))),"OLD",IF(AND(E775&lt;&gt;"",E775&lt;&gt;"!!!"),"NEW","")))</f>
        <v> </v>
      </c>
      <c r="G775" s="17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18" t="str">
        <f>IF(J775&lt;&gt;1,"",IF(I775="SBJ","CB","?"))</f>
        <v> </v>
      </c>
      <c r="I775" s="19" t="str">
        <f>IF(OR(E775="",E775="!!!",F775="NEW"),"",INDEX(B774:B$2,-1+SUMPRODUCT(MAX(ROW(E774:E$2)*(E775=E774:E$2)))))</f>
        <v> </v>
      </c>
      <c r="J775" s="19" t="str">
        <f>IF(OR(E775="",E775="!!!",F775="NEW"),"",COUNTBLANK(OFFSET(A$1,,,SUMPRODUCT(MAX(ROW(E$2:E775)*(E775=E$2:E775)))))-COUNTBLANK(OFFSET(A$1,,,SUMPRODUCT(MAX(ROW(E$1:E774)*(E2=E$1:E774))))))</f>
        <v> </v>
      </c>
      <c r="K775" s="19" t="str">
        <f>IF(OR(E775="",E775="!!!",F775="NEW"),"",INDEX(J$1:J774,SUMPRODUCT(MAX(ROW(E$1:E774)*(E775=E$1:E774)))))</f>
        <v> </v>
      </c>
      <c r="L775" s="20"/>
    </row>
    <row r="776" spans="1:12">
      <c r="A776" s="13" t="s">
        <v>68</v>
      </c>
      <c r="E776" s="15">
        <f>IF(D776="?OLD","!!!","")</f>
        <v/>
      </c>
      <c r="F776" s="16" t="str">
        <f>IF(OR(E776="",E776="!!!"),"",IF(NOT(ISNA(VLOOKUP(E776,E$1:E775,1,FALSE()))),"OLD",IF(AND(E776&lt;&gt;"",E776&lt;&gt;"!!!"),"NEW","")))</f>
        <v> </v>
      </c>
      <c r="G776" s="17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18" t="str">
        <f>IF(J776&lt;&gt;1,"",IF(I776="SBJ","CB","?"))</f>
        <v> </v>
      </c>
      <c r="I776" s="19" t="str">
        <f>IF(OR(E776="",E776="!!!",F776="NEW"),"",INDEX(B775:B$2,-1+SUMPRODUCT(MAX(ROW(E775:E$2)*(E776=E775:E$2)))))</f>
        <v> </v>
      </c>
      <c r="J776" s="19" t="str">
        <f>IF(OR(E776="",E776="!!!",F776="NEW"),"",COUNTBLANK(OFFSET(A$1,,,SUMPRODUCT(MAX(ROW(E$2:E776)*(E776=E$2:E776)))))-COUNTBLANK(OFFSET(A$1,,,SUMPRODUCT(MAX(ROW(E$1:E775)*(E2=E$1:E775))))))</f>
        <v> </v>
      </c>
      <c r="K776" s="19" t="str">
        <f>IF(OR(E776="",E776="!!!",F776="NEW"),"",INDEX(J$1:J775,SUMPRODUCT(MAX(ROW(E$1:E775)*(E776=E$1:E775)))))</f>
        <v> </v>
      </c>
      <c r="L776" s="20"/>
    </row>
    <row r="777" spans="1:12">
      <c r="A777" s="13" t="s">
        <v>119</v>
      </c>
      <c r="E777" s="15">
        <f>IF(D777="?OLD","!!!","")</f>
        <v/>
      </c>
      <c r="F777" s="16" t="str">
        <f>IF(OR(E777="",E777="!!!"),"",IF(NOT(ISNA(VLOOKUP(E777,E$1:E776,1,FALSE()))),"OLD",IF(AND(E777&lt;&gt;"",E777&lt;&gt;"!!!"),"NEW","")))</f>
        <v> </v>
      </c>
      <c r="G777" s="17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18" t="str">
        <f>IF(J777&lt;&gt;1,"",IF(I777="SBJ","CB","?"))</f>
        <v> </v>
      </c>
      <c r="I777" s="19" t="str">
        <f>IF(OR(E777="",E777="!!!",F777="NEW"),"",INDEX(B776:B$2,-1+SUMPRODUCT(MAX(ROW(E776:E$2)*(E777=E776:E$2)))))</f>
        <v> </v>
      </c>
      <c r="J777" s="19" t="str">
        <f>IF(OR(E777="",E777="!!!",F777="NEW"),"",COUNTBLANK(OFFSET(A$1,,,SUMPRODUCT(MAX(ROW(E$2:E777)*(E777=E$2:E777)))))-COUNTBLANK(OFFSET(A$1,,,SUMPRODUCT(MAX(ROW(E$1:E776)*(E2=E$1:E776))))))</f>
        <v> </v>
      </c>
      <c r="K777" s="19" t="str">
        <f>IF(OR(E777="",E777="!!!",F777="NEW"),"",INDEX(J$1:J776,SUMPRODUCT(MAX(ROW(E$1:E776)*(E777=E$1:E776)))))</f>
        <v> </v>
      </c>
      <c r="L777" s="20"/>
    </row>
    <row r="778" spans="1:12">
      <c r="A778" s="13"/>
    </row>
    <row r="779" spans="1:12">
      <c r="A779" s="13" t="s">
        <v>346</v>
      </c>
    </row>
    <row r="780" spans="1:12">
      <c r="A780" s="13" t="s">
        <v>36</v>
      </c>
      <c r="B780" s="14" t="s">
        <v>23</v>
      </c>
      <c r="C780" s="14" t="s">
        <v>24</v>
      </c>
      <c r="D780" s="14" t="s">
        <v>25</v>
      </c>
      <c r="E780" s="15">
        <f>IF(D780="?OLD","!!!","")</f>
        <v/>
      </c>
      <c r="F780" s="16" t="str">
        <f>IF(OR(E780="",E780="!!!"),"",IF(NOT(ISNA(VLOOKUP(E780,E$1:E779,1,FALSE()))),"OLD",IF(AND(E780&lt;&gt;"",E780&lt;&gt;"!!!"),"NEW","")))</f>
        <v> </v>
      </c>
      <c r="G780" s="17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18" t="str">
        <f>IF(J780&lt;&gt;1,"",IF(I780="SBJ","CB","?"))</f>
        <v> </v>
      </c>
      <c r="I780" s="19" t="str">
        <f>IF(OR(E780="",E780="!!!",F780="NEW"),"",INDEX(B779:B$2,-1+SUMPRODUCT(MAX(ROW(E779:E$2)*(E780=E779:E$2)))))</f>
        <v> </v>
      </c>
      <c r="J780" s="19" t="str">
        <f>IF(OR(E780="",E780="!!!",F780="NEW"),"",COUNTBLANK(OFFSET(A$1,,,SUMPRODUCT(MAX(ROW(E$2:E780)*(E780=E$2:E780)))))-COUNTBLANK(OFFSET(A$1,,,SUMPRODUCT(MAX(ROW(E$1:E779)*(E2=E$1:E779))))))</f>
        <v> </v>
      </c>
      <c r="K780" s="19" t="str">
        <f>IF(OR(E780="",E780="!!!",F780="NEW"),"",INDEX(J$1:J779,SUMPRODUCT(MAX(ROW(E$1:E779)*(E780=E$1:E779)))))</f>
        <v> </v>
      </c>
      <c r="L780" s="20"/>
    </row>
    <row r="781" spans="1:12">
      <c r="A781" s="13" t="s">
        <v>37</v>
      </c>
      <c r="B781" s="14" t="s">
        <v>27</v>
      </c>
      <c r="C781" s="14" t="s">
        <v>24</v>
      </c>
      <c r="D781" s="14" t="s">
        <v>25</v>
      </c>
      <c r="E781" s="15">
        <f>IF(D781="?OLD","!!!","")</f>
        <v/>
      </c>
      <c r="F781" s="16" t="str">
        <f>IF(OR(E781="",E781="!!!"),"",IF(NOT(ISNA(VLOOKUP(E781,E$1:E780,1,FALSE()))),"OLD",IF(AND(E781&lt;&gt;"",E781&lt;&gt;"!!!"),"NEW","")))</f>
        <v> </v>
      </c>
      <c r="G781" s="17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18" t="str">
        <f>IF(J781&lt;&gt;1,"",IF(I781="SBJ","CB","?"))</f>
        <v> </v>
      </c>
      <c r="I781" s="19" t="str">
        <f>IF(OR(E781="",E781="!!!",F781="NEW"),"",INDEX(B780:B$2,-1+SUMPRODUCT(MAX(ROW(E780:E$2)*(E781=E780:E$2)))))</f>
        <v> </v>
      </c>
      <c r="J781" s="19" t="str">
        <f>IF(OR(E781="",E781="!!!",F781="NEW"),"",COUNTBLANK(OFFSET(A$1,,,SUMPRODUCT(MAX(ROW(E$2:E781)*(E781=E$2:E781)))))-COUNTBLANK(OFFSET(A$1,,,SUMPRODUCT(MAX(ROW(E$1:E780)*(E2=E$1:E780))))))</f>
        <v> </v>
      </c>
      <c r="K781" s="19" t="str">
        <f>IF(OR(E781="",E781="!!!",F781="NEW"),"",INDEX(J$1:J780,SUMPRODUCT(MAX(ROW(E$1:E780)*(E781=E$1:E780)))))</f>
        <v> </v>
      </c>
      <c r="L781" s="20"/>
    </row>
    <row r="782" spans="1:12">
      <c r="A782" s="13" t="s">
        <v>308</v>
      </c>
      <c r="E782" s="15">
        <f>IF(D782="?OLD","!!!","")</f>
        <v/>
      </c>
      <c r="F782" s="16" t="str">
        <f>IF(OR(E782="",E782="!!!"),"",IF(NOT(ISNA(VLOOKUP(E782,E$1:E781,1,FALSE()))),"OLD",IF(AND(E782&lt;&gt;"",E782&lt;&gt;"!!!"),"NEW","")))</f>
        <v> </v>
      </c>
      <c r="G782" s="17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18" t="str">
        <f>IF(J782&lt;&gt;1,"",IF(I782="SBJ","CB","?"))</f>
        <v> </v>
      </c>
      <c r="I782" s="19" t="str">
        <f>IF(OR(E782="",E782="!!!",F782="NEW"),"",INDEX(B781:B$2,-1+SUMPRODUCT(MAX(ROW(E781:E$2)*(E782=E781:E$2)))))</f>
        <v> </v>
      </c>
      <c r="J782" s="19" t="str">
        <f>IF(OR(E782="",E782="!!!",F782="NEW"),"",COUNTBLANK(OFFSET(A$1,,,SUMPRODUCT(MAX(ROW(E$2:E782)*(E782=E$2:E782)))))-COUNTBLANK(OFFSET(A$1,,,SUMPRODUCT(MAX(ROW(E$1:E781)*(E2=E$1:E781))))))</f>
        <v> </v>
      </c>
      <c r="K782" s="19" t="str">
        <f>IF(OR(E782="",E782="!!!",F782="NEW"),"",INDEX(J$1:J781,SUMPRODUCT(MAX(ROW(E$1:E781)*(E782=E$1:E781)))))</f>
        <v> </v>
      </c>
      <c r="L782" s="20"/>
    </row>
    <row r="783" spans="1:12">
      <c r="A783" s="13" t="s">
        <v>57</v>
      </c>
      <c r="E783" s="15">
        <f>IF(D783="?OLD","!!!","")</f>
        <v/>
      </c>
      <c r="F783" s="16" t="str">
        <f>IF(OR(E783="",E783="!!!"),"",IF(NOT(ISNA(VLOOKUP(E783,E$1:E782,1,FALSE()))),"OLD",IF(AND(E783&lt;&gt;"",E783&lt;&gt;"!!!"),"NEW","")))</f>
        <v> </v>
      </c>
      <c r="G783" s="17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18" t="str">
        <f>IF(J783&lt;&gt;1,"",IF(I783="SBJ","CB","?"))</f>
        <v> </v>
      </c>
      <c r="I783" s="19" t="str">
        <f>IF(OR(E783="",E783="!!!",F783="NEW"),"",INDEX(B782:B$2,-1+SUMPRODUCT(MAX(ROW(E782:E$2)*(E783=E782:E$2)))))</f>
        <v> </v>
      </c>
      <c r="J783" s="19" t="str">
        <f>IF(OR(E783="",E783="!!!",F783="NEW"),"",COUNTBLANK(OFFSET(A$1,,,SUMPRODUCT(MAX(ROW(E$2:E783)*(E783=E$2:E783)))))-COUNTBLANK(OFFSET(A$1,,,SUMPRODUCT(MAX(ROW(E$1:E782)*(E2=E$1:E782))))))</f>
        <v> </v>
      </c>
      <c r="K783" s="19" t="str">
        <f>IF(OR(E783="",E783="!!!",F783="NEW"),"",INDEX(J$1:J782,SUMPRODUCT(MAX(ROW(E$1:E782)*(E783=E$1:E782)))))</f>
        <v> </v>
      </c>
      <c r="L783" s="20"/>
    </row>
    <row r="784" spans="1:12">
      <c r="A784" s="13" t="s">
        <v>304</v>
      </c>
      <c r="B784" s="14" t="s">
        <v>88</v>
      </c>
      <c r="C784" s="14" t="s">
        <v>60</v>
      </c>
      <c r="D784" s="14" t="s">
        <v>25</v>
      </c>
      <c r="E784" s="15">
        <f>IF(D784="?OLD","!!!","")</f>
        <v/>
      </c>
      <c r="F784" s="16" t="str">
        <f>IF(OR(E784="",E784="!!!"),"",IF(NOT(ISNA(VLOOKUP(E784,E$1:E783,1,FALSE()))),"OLD",IF(AND(E784&lt;&gt;"",E784&lt;&gt;"!!!"),"NEW","")))</f>
        <v> </v>
      </c>
      <c r="G784" s="17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18" t="str">
        <f>IF(J784&lt;&gt;1,"",IF(I784="SBJ","CB","?"))</f>
        <v> </v>
      </c>
      <c r="I784" s="19" t="str">
        <f>IF(OR(E784="",E784="!!!",F784="NEW"),"",INDEX(B783:B$2,-1+SUMPRODUCT(MAX(ROW(E783:E$2)*(E784=E783:E$2)))))</f>
        <v> </v>
      </c>
      <c r="J784" s="19" t="str">
        <f>IF(OR(E784="",E784="!!!",F784="NEW"),"",COUNTBLANK(OFFSET(A$1,,,SUMPRODUCT(MAX(ROW(E$2:E784)*(E784=E$2:E784)))))-COUNTBLANK(OFFSET(A$1,,,SUMPRODUCT(MAX(ROW(E$1:E783)*(E2=E$1:E783))))))</f>
        <v> </v>
      </c>
      <c r="K784" s="19" t="str">
        <f>IF(OR(E784="",E784="!!!",F784="NEW"),"",INDEX(J$1:J783,SUMPRODUCT(MAX(ROW(E$1:E783)*(E784=E$1:E783)))))</f>
        <v> </v>
      </c>
      <c r="L784" s="20"/>
    </row>
    <row r="785" spans="1:12">
      <c r="A785" s="13" t="s">
        <v>76</v>
      </c>
      <c r="E785" s="15">
        <f>IF(D785="?OLD","!!!","")</f>
        <v/>
      </c>
      <c r="F785" s="16" t="str">
        <f>IF(OR(E785="",E785="!!!"),"",IF(NOT(ISNA(VLOOKUP(E785,E$1:E784,1,FALSE()))),"OLD",IF(AND(E785&lt;&gt;"",E785&lt;&gt;"!!!"),"NEW","")))</f>
        <v> </v>
      </c>
      <c r="G785" s="17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18" t="str">
        <f>IF(J785&lt;&gt;1,"",IF(I785="SBJ","CB","?"))</f>
        <v> </v>
      </c>
      <c r="I785" s="19" t="str">
        <f>IF(OR(E785="",E785="!!!",F785="NEW"),"",INDEX(B784:B$2,-1+SUMPRODUCT(MAX(ROW(E784:E$2)*(E785=E784:E$2)))))</f>
        <v> </v>
      </c>
      <c r="J785" s="19" t="str">
        <f>IF(OR(E785="",E785="!!!",F785="NEW"),"",COUNTBLANK(OFFSET(A$1,,,SUMPRODUCT(MAX(ROW(E$2:E785)*(E785=E$2:E785)))))-COUNTBLANK(OFFSET(A$1,,,SUMPRODUCT(MAX(ROW(E$1:E784)*(E2=E$1:E784))))))</f>
        <v> </v>
      </c>
      <c r="K785" s="19" t="str">
        <f>IF(OR(E785="",E785="!!!",F785="NEW"),"",INDEX(J$1:J784,SUMPRODUCT(MAX(ROW(E$1:E784)*(E785=E$1:E784)))))</f>
        <v> </v>
      </c>
      <c r="L785" s="20"/>
    </row>
    <row r="786" spans="1:12">
      <c r="A786" s="13" t="s">
        <v>57</v>
      </c>
      <c r="E786" s="15">
        <f>IF(D786="?OLD","!!!","")</f>
        <v/>
      </c>
      <c r="F786" s="16" t="str">
        <f>IF(OR(E786="",E786="!!!"),"",IF(NOT(ISNA(VLOOKUP(E786,E$1:E785,1,FALSE()))),"OLD",IF(AND(E786&lt;&gt;"",E786&lt;&gt;"!!!"),"NEW","")))</f>
        <v> </v>
      </c>
      <c r="G786" s="17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18" t="str">
        <f>IF(J786&lt;&gt;1,"",IF(I786="SBJ","CB","?"))</f>
        <v> </v>
      </c>
      <c r="I786" s="19" t="str">
        <f>IF(OR(E786="",E786="!!!",F786="NEW"),"",INDEX(B785:B$2,-1+SUMPRODUCT(MAX(ROW(E785:E$2)*(E786=E785:E$2)))))</f>
        <v> </v>
      </c>
      <c r="J786" s="19" t="str">
        <f>IF(OR(E786="",E786="!!!",F786="NEW"),"",COUNTBLANK(OFFSET(A$1,,,SUMPRODUCT(MAX(ROW(E$2:E786)*(E786=E$2:E786)))))-COUNTBLANK(OFFSET(A$1,,,SUMPRODUCT(MAX(ROW(E$1:E785)*(E2=E$1:E785))))))</f>
        <v> </v>
      </c>
      <c r="K786" s="19" t="str">
        <f>IF(OR(E786="",E786="!!!",F786="NEW"),"",INDEX(J$1:J785,SUMPRODUCT(MAX(ROW(E$1:E785)*(E786=E$1:E785)))))</f>
        <v> </v>
      </c>
      <c r="L786" s="20"/>
    </row>
    <row r="787" spans="1:12">
      <c r="A787" s="13" t="s">
        <v>305</v>
      </c>
      <c r="B787" s="14" t="s">
        <v>165</v>
      </c>
      <c r="C787" s="14" t="s">
        <v>60</v>
      </c>
      <c r="D787" s="14" t="s">
        <v>25</v>
      </c>
      <c r="E787" s="15">
        <f>IF(D787="?OLD","!!!","")</f>
        <v/>
      </c>
      <c r="F787" s="16" t="str">
        <f>IF(OR(E787="",E787="!!!"),"",IF(NOT(ISNA(VLOOKUP(E787,E$1:E786,1,FALSE()))),"OLD",IF(AND(E787&lt;&gt;"",E787&lt;&gt;"!!!"),"NEW","")))</f>
        <v> </v>
      </c>
      <c r="G787" s="17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18" t="str">
        <f>IF(J787&lt;&gt;1,"",IF(I787="SBJ","CB","?"))</f>
        <v> </v>
      </c>
      <c r="I787" s="19" t="str">
        <f>IF(OR(E787="",E787="!!!",F787="NEW"),"",INDEX(B786:B$2,-1+SUMPRODUCT(MAX(ROW(E786:E$2)*(E787=E786:E$2)))))</f>
        <v> </v>
      </c>
      <c r="J787" s="19" t="str">
        <f>IF(OR(E787="",E787="!!!",F787="NEW"),"",COUNTBLANK(OFFSET(A$1,,,SUMPRODUCT(MAX(ROW(E$2:E787)*(E787=E$2:E787)))))-COUNTBLANK(OFFSET(A$1,,,SUMPRODUCT(MAX(ROW(E$1:E786)*(E2=E$1:E786))))))</f>
        <v> </v>
      </c>
      <c r="K787" s="19" t="str">
        <f>IF(OR(E787="",E787="!!!",F787="NEW"),"",INDEX(J$1:J786,SUMPRODUCT(MAX(ROW(E$1:E786)*(E787=E$1:E786)))))</f>
        <v> </v>
      </c>
      <c r="L787" s="20"/>
    </row>
    <row r="788" spans="1:12">
      <c r="A788" s="13" t="s">
        <v>62</v>
      </c>
      <c r="E788" s="15">
        <f>IF(D788="?OLD","!!!","")</f>
        <v/>
      </c>
      <c r="F788" s="16" t="str">
        <f>IF(OR(E788="",E788="!!!"),"",IF(NOT(ISNA(VLOOKUP(E788,E$1:E787,1,FALSE()))),"OLD",IF(AND(E788&lt;&gt;"",E788&lt;&gt;"!!!"),"NEW","")))</f>
        <v> </v>
      </c>
      <c r="G788" s="17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18" t="str">
        <f>IF(J788&lt;&gt;1,"",IF(I788="SBJ","CB","?"))</f>
        <v> </v>
      </c>
      <c r="I788" s="19" t="str">
        <f>IF(OR(E788="",E788="!!!",F788="NEW"),"",INDEX(B787:B$2,-1+SUMPRODUCT(MAX(ROW(E787:E$2)*(E788=E787:E$2)))))</f>
        <v> </v>
      </c>
      <c r="J788" s="19" t="str">
        <f>IF(OR(E788="",E788="!!!",F788="NEW"),"",COUNTBLANK(OFFSET(A$1,,,SUMPRODUCT(MAX(ROW(E$2:E788)*(E788=E$2:E788)))))-COUNTBLANK(OFFSET(A$1,,,SUMPRODUCT(MAX(ROW(E$1:E787)*(E2=E$1:E787))))))</f>
        <v> </v>
      </c>
      <c r="K788" s="19" t="str">
        <f>IF(OR(E788="",E788="!!!",F788="NEW"),"",INDEX(J$1:J787,SUMPRODUCT(MAX(ROW(E$1:E787)*(E788=E$1:E787)))))</f>
        <v> </v>
      </c>
      <c r="L788" s="20"/>
    </row>
    <row r="789" spans="1:12">
      <c r="A789" s="13" t="s">
        <v>309</v>
      </c>
      <c r="E789" s="15">
        <f>IF(D789="?OLD","!!!","")</f>
        <v/>
      </c>
      <c r="F789" s="16" t="str">
        <f>IF(OR(E789="",E789="!!!"),"",IF(NOT(ISNA(VLOOKUP(E789,E$1:E788,1,FALSE()))),"OLD",IF(AND(E789&lt;&gt;"",E789&lt;&gt;"!!!"),"NEW","")))</f>
        <v> </v>
      </c>
      <c r="G789" s="17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18" t="str">
        <f>IF(J789&lt;&gt;1,"",IF(I789="SBJ","CB","?"))</f>
        <v> </v>
      </c>
      <c r="I789" s="19" t="str">
        <f>IF(OR(E789="",E789="!!!",F789="NEW"),"",INDEX(B788:B$2,-1+SUMPRODUCT(MAX(ROW(E788:E$2)*(E789=E788:E$2)))))</f>
        <v> </v>
      </c>
      <c r="J789" s="19" t="str">
        <f>IF(OR(E789="",E789="!!!",F789="NEW"),"",COUNTBLANK(OFFSET(A$1,,,SUMPRODUCT(MAX(ROW(E$2:E789)*(E789=E$2:E789)))))-COUNTBLANK(OFFSET(A$1,,,SUMPRODUCT(MAX(ROW(E$1:E788)*(E2=E$1:E788))))))</f>
        <v> </v>
      </c>
      <c r="K789" s="19" t="str">
        <f>IF(OR(E789="",E789="!!!",F789="NEW"),"",INDEX(J$1:J788,SUMPRODUCT(MAX(ROW(E$1:E788)*(E789=E$1:E788)))))</f>
        <v> </v>
      </c>
      <c r="L789" s="20"/>
    </row>
    <row r="790" spans="1:12">
      <c r="A790" s="13" t="s">
        <v>68</v>
      </c>
      <c r="E790" s="15">
        <f>IF(D790="?OLD","!!!","")</f>
        <v/>
      </c>
      <c r="F790" s="16" t="str">
        <f>IF(OR(E790="",E790="!!!"),"",IF(NOT(ISNA(VLOOKUP(E790,E$1:E789,1,FALSE()))),"OLD",IF(AND(E790&lt;&gt;"",E790&lt;&gt;"!!!"),"NEW","")))</f>
        <v> </v>
      </c>
      <c r="G790" s="17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18" t="str">
        <f>IF(J790&lt;&gt;1,"",IF(I790="SBJ","CB","?"))</f>
        <v> </v>
      </c>
      <c r="I790" s="19" t="str">
        <f>IF(OR(E790="",E790="!!!",F790="NEW"),"",INDEX(B789:B$2,-1+SUMPRODUCT(MAX(ROW(E789:E$2)*(E790=E789:E$2)))))</f>
        <v> </v>
      </c>
      <c r="J790" s="19" t="str">
        <f>IF(OR(E790="",E790="!!!",F790="NEW"),"",COUNTBLANK(OFFSET(A$1,,,SUMPRODUCT(MAX(ROW(E$2:E790)*(E790=E$2:E790)))))-COUNTBLANK(OFFSET(A$1,,,SUMPRODUCT(MAX(ROW(E$1:E789)*(E2=E$1:E789))))))</f>
        <v> </v>
      </c>
      <c r="K790" s="19" t="str">
        <f>IF(OR(E790="",E790="!!!",F790="NEW"),"",INDEX(J$1:J789,SUMPRODUCT(MAX(ROW(E$1:E789)*(E790=E$1:E789)))))</f>
        <v> </v>
      </c>
      <c r="L790" s="20"/>
    </row>
    <row r="791" spans="1:12">
      <c r="A791" s="13"/>
    </row>
    <row r="792" spans="1:12">
      <c r="A792" s="13" t="s">
        <v>347</v>
      </c>
    </row>
    <row r="793" spans="1:12">
      <c r="A793" s="13" t="s">
        <v>252</v>
      </c>
      <c r="E793" s="15">
        <f>IF(D793="?OLD","!!!","")</f>
        <v/>
      </c>
      <c r="F793" s="16" t="str">
        <f>IF(OR(E793="",E793="!!!"),"",IF(NOT(ISNA(VLOOKUP(E793,E$1:E792,1,FALSE()))),"OLD",IF(AND(E793&lt;&gt;"",E793&lt;&gt;"!!!"),"NEW","")))</f>
        <v> </v>
      </c>
      <c r="G793" s="17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18" t="str">
        <f>IF(J793&lt;&gt;1,"",IF(I793="SBJ","CB","?"))</f>
        <v> </v>
      </c>
      <c r="I793" s="19" t="str">
        <f>IF(OR(E793="",E793="!!!",F793="NEW"),"",INDEX(B792:B$2,-1+SUMPRODUCT(MAX(ROW(E792:E$2)*(E793=E792:E$2)))))</f>
        <v> </v>
      </c>
      <c r="J793" s="19" t="str">
        <f>IF(OR(E793="",E793="!!!",F793="NEW"),"",COUNTBLANK(OFFSET(A$1,,,SUMPRODUCT(MAX(ROW(E$2:E793)*(E793=E$2:E793)))))-COUNTBLANK(OFFSET(A$1,,,SUMPRODUCT(MAX(ROW(E$1:E792)*(E2=E$1:E792))))))</f>
        <v> </v>
      </c>
      <c r="K793" s="19" t="str">
        <f>IF(OR(E793="",E793="!!!",F793="NEW"),"",INDEX(J$1:J792,SUMPRODUCT(MAX(ROW(E$1:E792)*(E793=E$1:E792)))))</f>
        <v> </v>
      </c>
      <c r="L793" s="20"/>
    </row>
    <row r="794" spans="1:12">
      <c r="A794" s="13" t="s">
        <v>164</v>
      </c>
      <c r="B794" s="14" t="s">
        <v>23</v>
      </c>
      <c r="C794" s="14" t="s">
        <v>24</v>
      </c>
      <c r="D794" s="14" t="s">
        <v>25</v>
      </c>
      <c r="E794" s="15">
        <f>IF(D794="?OLD","!!!","")</f>
        <v/>
      </c>
      <c r="F794" s="16" t="str">
        <f>IF(OR(E794="",E794="!!!"),"",IF(NOT(ISNA(VLOOKUP(E794,E$1:E793,1,FALSE()))),"OLD",IF(AND(E794&lt;&gt;"",E794&lt;&gt;"!!!"),"NEW","")))</f>
        <v> </v>
      </c>
      <c r="G794" s="17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18" t="str">
        <f>IF(J794&lt;&gt;1,"",IF(I794="SBJ","CB","?"))</f>
        <v> </v>
      </c>
      <c r="I794" s="19" t="str">
        <f>IF(OR(E794="",E794="!!!",F794="NEW"),"",INDEX(B793:B$2,-1+SUMPRODUCT(MAX(ROW(E793:E$2)*(E794=E793:E$2)))))</f>
        <v> </v>
      </c>
      <c r="J794" s="19" t="str">
        <f>IF(OR(E794="",E794="!!!",F794="NEW"),"",COUNTBLANK(OFFSET(A$1,,,SUMPRODUCT(MAX(ROW(E$2:E794)*(E794=E$2:E794)))))-COUNTBLANK(OFFSET(A$1,,,SUMPRODUCT(MAX(ROW(E$1:E793)*(E2=E$1:E793))))))</f>
        <v> </v>
      </c>
      <c r="K794" s="19" t="str">
        <f>IF(OR(E794="",E794="!!!",F794="NEW"),"",INDEX(J$1:J793,SUMPRODUCT(MAX(ROW(E$1:E793)*(E794=E$1:E793)))))</f>
        <v> </v>
      </c>
      <c r="L794" s="20"/>
    </row>
    <row r="795" spans="1:12">
      <c r="A795" s="13" t="s">
        <v>56</v>
      </c>
      <c r="E795" s="15">
        <f>IF(D795="?OLD","!!!","")</f>
        <v/>
      </c>
      <c r="F795" s="16" t="str">
        <f>IF(OR(E795="",E795="!!!"),"",IF(NOT(ISNA(VLOOKUP(E795,E$1:E794,1,FALSE()))),"OLD",IF(AND(E795&lt;&gt;"",E795&lt;&gt;"!!!"),"NEW","")))</f>
        <v> </v>
      </c>
      <c r="G795" s="17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18" t="str">
        <f>IF(J795&lt;&gt;1,"",IF(I795="SBJ","CB","?"))</f>
        <v> </v>
      </c>
      <c r="I795" s="19" t="str">
        <f>IF(OR(E795="",E795="!!!",F795="NEW"),"",INDEX(B794:B$2,-1+SUMPRODUCT(MAX(ROW(E794:E$2)*(E795=E794:E$2)))))</f>
        <v> </v>
      </c>
      <c r="J795" s="19" t="str">
        <f>IF(OR(E795="",E795="!!!",F795="NEW"),"",COUNTBLANK(OFFSET(A$1,,,SUMPRODUCT(MAX(ROW(E$2:E795)*(E795=E$2:E795)))))-COUNTBLANK(OFFSET(A$1,,,SUMPRODUCT(MAX(ROW(E$1:E794)*(E2=E$1:E794))))))</f>
        <v> </v>
      </c>
      <c r="K795" s="19" t="str">
        <f>IF(OR(E795="",E795="!!!",F795="NEW"),"",INDEX(J$1:J794,SUMPRODUCT(MAX(ROW(E$1:E794)*(E795=E$1:E794)))))</f>
        <v> </v>
      </c>
      <c r="L795" s="20"/>
    </row>
    <row r="796" spans="1:12">
      <c r="A796" s="13" t="s">
        <v>348</v>
      </c>
      <c r="E796" s="15">
        <f>IF(D796="?OLD","!!!","")</f>
        <v/>
      </c>
      <c r="F796" s="16" t="str">
        <f>IF(OR(E796="",E796="!!!"),"",IF(NOT(ISNA(VLOOKUP(E796,E$1:E795,1,FALSE()))),"OLD",IF(AND(E796&lt;&gt;"",E796&lt;&gt;"!!!"),"NEW","")))</f>
        <v> </v>
      </c>
      <c r="G796" s="17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18" t="str">
        <f>IF(J796&lt;&gt;1,"",IF(I796="SBJ","CB","?"))</f>
        <v> </v>
      </c>
      <c r="I796" s="19" t="str">
        <f>IF(OR(E796="",E796="!!!",F796="NEW"),"",INDEX(B795:B$2,-1+SUMPRODUCT(MAX(ROW(E795:E$2)*(E796=E795:E$2)))))</f>
        <v> </v>
      </c>
      <c r="J796" s="19" t="str">
        <f>IF(OR(E796="",E796="!!!",F796="NEW"),"",COUNTBLANK(OFFSET(A$1,,,SUMPRODUCT(MAX(ROW(E$2:E796)*(E796=E$2:E796)))))-COUNTBLANK(OFFSET(A$1,,,SUMPRODUCT(MAX(ROW(E$1:E795)*(E2=E$1:E795))))))</f>
        <v> </v>
      </c>
      <c r="K796" s="19" t="str">
        <f>IF(OR(E796="",E796="!!!",F796="NEW"),"",INDEX(J$1:J795,SUMPRODUCT(MAX(ROW(E$1:E795)*(E796=E$1:E795)))))</f>
        <v> </v>
      </c>
      <c r="L796" s="20"/>
    </row>
    <row r="797" spans="1:12">
      <c r="A797" s="13" t="s">
        <v>57</v>
      </c>
      <c r="E797" s="15">
        <f>IF(D797="?OLD","!!!","")</f>
        <v/>
      </c>
      <c r="F797" s="16" t="str">
        <f>IF(OR(E797="",E797="!!!"),"",IF(NOT(ISNA(VLOOKUP(E797,E$1:E796,1,FALSE()))),"OLD",IF(AND(E797&lt;&gt;"",E797&lt;&gt;"!!!"),"NEW","")))</f>
        <v> </v>
      </c>
      <c r="G797" s="17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18" t="str">
        <f>IF(J797&lt;&gt;1,"",IF(I797="SBJ","CB","?"))</f>
        <v> </v>
      </c>
      <c r="I797" s="19" t="str">
        <f>IF(OR(E797="",E797="!!!",F797="NEW"),"",INDEX(B796:B$2,-1+SUMPRODUCT(MAX(ROW(E796:E$2)*(E797=E796:E$2)))))</f>
        <v> </v>
      </c>
      <c r="J797" s="19" t="str">
        <f>IF(OR(E797="",E797="!!!",F797="NEW"),"",COUNTBLANK(OFFSET(A$1,,,SUMPRODUCT(MAX(ROW(E$2:E797)*(E797=E$2:E797)))))-COUNTBLANK(OFFSET(A$1,,,SUMPRODUCT(MAX(ROW(E$1:E796)*(E2=E$1:E796))))))</f>
        <v> </v>
      </c>
      <c r="K797" s="19" t="str">
        <f>IF(OR(E797="",E797="!!!",F797="NEW"),"",INDEX(J$1:J796,SUMPRODUCT(MAX(ROW(E$1:E796)*(E797=E$1:E796)))))</f>
        <v> </v>
      </c>
      <c r="L797" s="20"/>
    </row>
    <row r="798" spans="1:12">
      <c r="A798" s="13" t="s">
        <v>349</v>
      </c>
      <c r="E798" s="15">
        <f>IF(D798="?OLD","!!!","")</f>
        <v/>
      </c>
      <c r="F798" s="16" t="str">
        <f>IF(OR(E798="",E798="!!!"),"",IF(NOT(ISNA(VLOOKUP(E798,E$1:E797,1,FALSE()))),"OLD",IF(AND(E798&lt;&gt;"",E798&lt;&gt;"!!!"),"NEW","")))</f>
        <v> </v>
      </c>
      <c r="G798" s="17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18" t="str">
        <f>IF(J798&lt;&gt;1,"",IF(I798="SBJ","CB","?"))</f>
        <v> </v>
      </c>
      <c r="I798" s="19" t="str">
        <f>IF(OR(E798="",E798="!!!",F798="NEW"),"",INDEX(B797:B$2,-1+SUMPRODUCT(MAX(ROW(E797:E$2)*(E798=E797:E$2)))))</f>
        <v> </v>
      </c>
      <c r="J798" s="19" t="str">
        <f>IF(OR(E798="",E798="!!!",F798="NEW"),"",COUNTBLANK(OFFSET(A$1,,,SUMPRODUCT(MAX(ROW(E$2:E798)*(E798=E$2:E798)))))-COUNTBLANK(OFFSET(A$1,,,SUMPRODUCT(MAX(ROW(E$1:E797)*(E2=E$1:E797))))))</f>
        <v> </v>
      </c>
      <c r="K798" s="19" t="str">
        <f>IF(OR(E798="",E798="!!!",F798="NEW"),"",INDEX(J$1:J797,SUMPRODUCT(MAX(ROW(E$1:E797)*(E798=E$1:E797)))))</f>
        <v> </v>
      </c>
      <c r="L798" s="20"/>
    </row>
    <row r="799" spans="1:12">
      <c r="A799" s="13" t="s">
        <v>56</v>
      </c>
      <c r="E799" s="15">
        <f>IF(D799="?OLD","!!!","")</f>
        <v/>
      </c>
      <c r="F799" s="16" t="str">
        <f>IF(OR(E799="",E799="!!!"),"",IF(NOT(ISNA(VLOOKUP(E799,E$1:E798,1,FALSE()))),"OLD",IF(AND(E799&lt;&gt;"",E799&lt;&gt;"!!!"),"NEW","")))</f>
        <v> </v>
      </c>
      <c r="G799" s="17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18" t="str">
        <f>IF(J799&lt;&gt;1,"",IF(I799="SBJ","CB","?"))</f>
        <v> </v>
      </c>
      <c r="I799" s="19" t="str">
        <f>IF(OR(E799="",E799="!!!",F799="NEW"),"",INDEX(B798:B$2,-1+SUMPRODUCT(MAX(ROW(E798:E$2)*(E799=E798:E$2)))))</f>
        <v> </v>
      </c>
      <c r="J799" s="19" t="str">
        <f>IF(OR(E799="",E799="!!!",F799="NEW"),"",COUNTBLANK(OFFSET(A$1,,,SUMPRODUCT(MAX(ROW(E$2:E799)*(E799=E$2:E799)))))-COUNTBLANK(OFFSET(A$1,,,SUMPRODUCT(MAX(ROW(E$1:E798)*(E2=E$1:E798))))))</f>
        <v> </v>
      </c>
      <c r="K799" s="19" t="str">
        <f>IF(OR(E799="",E799="!!!",F799="NEW"),"",INDEX(J$1:J798,SUMPRODUCT(MAX(ROW(E$1:E798)*(E799=E$1:E798)))))</f>
        <v> </v>
      </c>
      <c r="L799" s="20"/>
    </row>
    <row r="800" spans="1:12">
      <c r="A800" s="13" t="s">
        <v>87</v>
      </c>
      <c r="B800" s="14" t="s">
        <v>88</v>
      </c>
      <c r="C800" s="14" t="s">
        <v>64</v>
      </c>
      <c r="D800" s="14" t="s">
        <v>25</v>
      </c>
      <c r="E800" s="15">
        <f>IF(D800="?OLD","!!!","")</f>
        <v/>
      </c>
      <c r="F800" s="16" t="str">
        <f>IF(OR(E800="",E800="!!!"),"",IF(NOT(ISNA(VLOOKUP(E800,E$1:E799,1,FALSE()))),"OLD",IF(AND(E800&lt;&gt;"",E800&lt;&gt;"!!!"),"NEW","")))</f>
        <v> </v>
      </c>
      <c r="G800" s="17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18" t="str">
        <f>IF(J800&lt;&gt;1,"",IF(I800="SBJ","CB","?"))</f>
        <v> </v>
      </c>
      <c r="I800" s="19" t="str">
        <f>IF(OR(E800="",E800="!!!",F800="NEW"),"",INDEX(B799:B$2,-1+SUMPRODUCT(MAX(ROW(E799:E$2)*(E800=E799:E$2)))))</f>
        <v> </v>
      </c>
      <c r="J800" s="19" t="str">
        <f>IF(OR(E800="",E800="!!!",F800="NEW"),"",COUNTBLANK(OFFSET(A$1,,,SUMPRODUCT(MAX(ROW(E$2:E800)*(E800=E$2:E800)))))-COUNTBLANK(OFFSET(A$1,,,SUMPRODUCT(MAX(ROW(E$1:E799)*(E2=E$1:E799))))))</f>
        <v> </v>
      </c>
      <c r="K800" s="19" t="str">
        <f>IF(OR(E800="",E800="!!!",F800="NEW"),"",INDEX(J$1:J799,SUMPRODUCT(MAX(ROW(E$1:E799)*(E800=E$1:E799)))))</f>
        <v> </v>
      </c>
      <c r="L800" s="20"/>
    </row>
    <row r="801" spans="1:12">
      <c r="A801" s="13" t="s">
        <v>115</v>
      </c>
      <c r="E801" s="15">
        <f>IF(D801="?OLD","!!!","")</f>
        <v/>
      </c>
      <c r="F801" s="16" t="str">
        <f>IF(OR(E801="",E801="!!!"),"",IF(NOT(ISNA(VLOOKUP(E801,E$1:E800,1,FALSE()))),"OLD",IF(AND(E801&lt;&gt;"",E801&lt;&gt;"!!!"),"NEW","")))</f>
        <v> </v>
      </c>
      <c r="G801" s="17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18" t="str">
        <f>IF(J801&lt;&gt;1,"",IF(I801="SBJ","CB","?"))</f>
        <v> </v>
      </c>
      <c r="I801" s="19" t="str">
        <f>IF(OR(E801="",E801="!!!",F801="NEW"),"",INDEX(B800:B$2,-1+SUMPRODUCT(MAX(ROW(E800:E$2)*(E801=E800:E$2)))))</f>
        <v> </v>
      </c>
      <c r="J801" s="19" t="str">
        <f>IF(OR(E801="",E801="!!!",F801="NEW"),"",COUNTBLANK(OFFSET(A$1,,,SUMPRODUCT(MAX(ROW(E$2:E801)*(E801=E$2:E801)))))-COUNTBLANK(OFFSET(A$1,,,SUMPRODUCT(MAX(ROW(E$1:E800)*(E2=E$1:E800))))))</f>
        <v> </v>
      </c>
      <c r="K801" s="19" t="str">
        <f>IF(OR(E801="",E801="!!!",F801="NEW"),"",INDEX(J$1:J800,SUMPRODUCT(MAX(ROW(E$1:E800)*(E801=E$1:E800)))))</f>
        <v> </v>
      </c>
      <c r="L801" s="20"/>
    </row>
    <row r="802" spans="1:12">
      <c r="A802" s="13" t="s">
        <v>56</v>
      </c>
      <c r="E802" s="15">
        <f>IF(D802="?OLD","!!!","")</f>
        <v/>
      </c>
      <c r="F802" s="16" t="str">
        <f>IF(OR(E802="",E802="!!!"),"",IF(NOT(ISNA(VLOOKUP(E802,E$1:E801,1,FALSE()))),"OLD",IF(AND(E802&lt;&gt;"",E802&lt;&gt;"!!!"),"NEW","")))</f>
        <v> </v>
      </c>
      <c r="G802" s="17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18" t="str">
        <f>IF(J802&lt;&gt;1,"",IF(I802="SBJ","CB","?"))</f>
        <v> </v>
      </c>
      <c r="I802" s="19" t="str">
        <f>IF(OR(E802="",E802="!!!",F802="NEW"),"",INDEX(B801:B$2,-1+SUMPRODUCT(MAX(ROW(E801:E$2)*(E802=E801:E$2)))))</f>
        <v> </v>
      </c>
      <c r="J802" s="19" t="str">
        <f>IF(OR(E802="",E802="!!!",F802="NEW"),"",COUNTBLANK(OFFSET(A$1,,,SUMPRODUCT(MAX(ROW(E$2:E802)*(E802=E$2:E802)))))-COUNTBLANK(OFFSET(A$1,,,SUMPRODUCT(MAX(ROW(E$1:E801)*(E2=E$1:E801))))))</f>
        <v> </v>
      </c>
      <c r="K802" s="19" t="str">
        <f>IF(OR(E802="",E802="!!!",F802="NEW"),"",INDEX(J$1:J801,SUMPRODUCT(MAX(ROW(E$1:E801)*(E802=E$1:E801)))))</f>
        <v> </v>
      </c>
      <c r="L802" s="20"/>
    </row>
    <row r="803" spans="1:12">
      <c r="A803" s="13" t="s">
        <v>350</v>
      </c>
      <c r="E803" s="15">
        <f>IF(D803="?OLD","!!!","")</f>
        <v/>
      </c>
      <c r="F803" s="16" t="str">
        <f>IF(OR(E803="",E803="!!!"),"",IF(NOT(ISNA(VLOOKUP(E803,E$1:E802,1,FALSE()))),"OLD",IF(AND(E803&lt;&gt;"",E803&lt;&gt;"!!!"),"NEW","")))</f>
        <v> </v>
      </c>
      <c r="G803" s="17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18" t="str">
        <f>IF(J803&lt;&gt;1,"",IF(I803="SBJ","CB","?"))</f>
        <v> </v>
      </c>
      <c r="I803" s="19" t="str">
        <f>IF(OR(E803="",E803="!!!",F803="NEW"),"",INDEX(B802:B$2,-1+SUMPRODUCT(MAX(ROW(E802:E$2)*(E803=E802:E$2)))))</f>
        <v> </v>
      </c>
      <c r="J803" s="19" t="str">
        <f>IF(OR(E803="",E803="!!!",F803="NEW"),"",COUNTBLANK(OFFSET(A$1,,,SUMPRODUCT(MAX(ROW(E$2:E803)*(E803=E$2:E803)))))-COUNTBLANK(OFFSET(A$1,,,SUMPRODUCT(MAX(ROW(E$1:E802)*(E2=E$1:E802))))))</f>
        <v> </v>
      </c>
      <c r="K803" s="19" t="str">
        <f>IF(OR(E803="",E803="!!!",F803="NEW"),"",INDEX(J$1:J802,SUMPRODUCT(MAX(ROW(E$1:E802)*(E803=E$1:E802)))))</f>
        <v> </v>
      </c>
      <c r="L803" s="20"/>
    </row>
    <row r="804" spans="1:12">
      <c r="A804" s="13" t="s">
        <v>62</v>
      </c>
      <c r="E804" s="15">
        <f>IF(D804="?OLD","!!!","")</f>
        <v/>
      </c>
      <c r="F804" s="16" t="str">
        <f>IF(OR(E804="",E804="!!!"),"",IF(NOT(ISNA(VLOOKUP(E804,E$1:E803,1,FALSE()))),"OLD",IF(AND(E804&lt;&gt;"",E804&lt;&gt;"!!!"),"NEW","")))</f>
        <v> </v>
      </c>
      <c r="G804" s="17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18" t="str">
        <f>IF(J804&lt;&gt;1,"",IF(I804="SBJ","CB","?"))</f>
        <v> </v>
      </c>
      <c r="I804" s="19" t="str">
        <f>IF(OR(E804="",E804="!!!",F804="NEW"),"",INDEX(B803:B$2,-1+SUMPRODUCT(MAX(ROW(E803:E$2)*(E804=E803:E$2)))))</f>
        <v> </v>
      </c>
      <c r="J804" s="19" t="str">
        <f>IF(OR(E804="",E804="!!!",F804="NEW"),"",COUNTBLANK(OFFSET(A$1,,,SUMPRODUCT(MAX(ROW(E$2:E804)*(E804=E$2:E804)))))-COUNTBLANK(OFFSET(A$1,,,SUMPRODUCT(MAX(ROW(E$1:E803)*(E2=E$1:E803))))))</f>
        <v> </v>
      </c>
      <c r="K804" s="19" t="str">
        <f>IF(OR(E804="",E804="!!!",F804="NEW"),"",INDEX(J$1:J803,SUMPRODUCT(MAX(ROW(E$1:E803)*(E804=E$1:E803)))))</f>
        <v> </v>
      </c>
      <c r="L804" s="20"/>
    </row>
    <row r="805" spans="1:12">
      <c r="A805" s="13" t="s">
        <v>351</v>
      </c>
      <c r="E805" s="15">
        <f>IF(D805="?OLD","!!!","")</f>
        <v/>
      </c>
      <c r="F805" s="16" t="str">
        <f>IF(OR(E805="",E805="!!!"),"",IF(NOT(ISNA(VLOOKUP(E805,E$1:E804,1,FALSE()))),"OLD",IF(AND(E805&lt;&gt;"",E805&lt;&gt;"!!!"),"NEW","")))</f>
        <v> </v>
      </c>
      <c r="G805" s="17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18" t="str">
        <f>IF(J805&lt;&gt;1,"",IF(I805="SBJ","CB","?"))</f>
        <v> </v>
      </c>
      <c r="I805" s="19" t="str">
        <f>IF(OR(E805="",E805="!!!",F805="NEW"),"",INDEX(B804:B$2,-1+SUMPRODUCT(MAX(ROW(E804:E$2)*(E805=E804:E$2)))))</f>
        <v> </v>
      </c>
      <c r="J805" s="19" t="str">
        <f>IF(OR(E805="",E805="!!!",F805="NEW"),"",COUNTBLANK(OFFSET(A$1,,,SUMPRODUCT(MAX(ROW(E$2:E805)*(E805=E$2:E805)))))-COUNTBLANK(OFFSET(A$1,,,SUMPRODUCT(MAX(ROW(E$1:E804)*(E2=E$1:E804))))))</f>
        <v> </v>
      </c>
      <c r="K805" s="19" t="str">
        <f>IF(OR(E805="",E805="!!!",F805="NEW"),"",INDEX(J$1:J804,SUMPRODUCT(MAX(ROW(E$1:E804)*(E805=E$1:E804)))))</f>
        <v> </v>
      </c>
      <c r="L805" s="20"/>
    </row>
    <row r="806" spans="1:12">
      <c r="A806" s="13" t="s">
        <v>87</v>
      </c>
      <c r="E806" s="15">
        <f>IF(D806="?OLD","!!!","")</f>
        <v/>
      </c>
      <c r="F806" s="16" t="str">
        <f>IF(OR(E806="",E806="!!!"),"",IF(NOT(ISNA(VLOOKUP(E806,E$1:E805,1,FALSE()))),"OLD",IF(AND(E806&lt;&gt;"",E806&lt;&gt;"!!!"),"NEW","")))</f>
        <v> </v>
      </c>
      <c r="G806" s="17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18" t="str">
        <f>IF(J806&lt;&gt;1,"",IF(I806="SBJ","CB","?"))</f>
        <v> </v>
      </c>
      <c r="I806" s="19" t="str">
        <f>IF(OR(E806="",E806="!!!",F806="NEW"),"",INDEX(B805:B$2,-1+SUMPRODUCT(MAX(ROW(E805:E$2)*(E806=E805:E$2)))))</f>
        <v> </v>
      </c>
      <c r="J806" s="19" t="str">
        <f>IF(OR(E806="",E806="!!!",F806="NEW"),"",COUNTBLANK(OFFSET(A$1,,,SUMPRODUCT(MAX(ROW(E$2:E806)*(E806=E$2:E806)))))-COUNTBLANK(OFFSET(A$1,,,SUMPRODUCT(MAX(ROW(E$1:E805)*(E2=E$1:E805))))))</f>
        <v> </v>
      </c>
      <c r="K806" s="19" t="str">
        <f>IF(OR(E806="",E806="!!!",F806="NEW"),"",INDEX(J$1:J805,SUMPRODUCT(MAX(ROW(E$1:E805)*(E806=E$1:E805)))))</f>
        <v> </v>
      </c>
      <c r="L806" s="20"/>
    </row>
    <row r="807" spans="1:12">
      <c r="A807" s="13" t="s">
        <v>352</v>
      </c>
      <c r="B807" s="14" t="s">
        <v>27</v>
      </c>
      <c r="C807" s="14" t="s">
        <v>60</v>
      </c>
      <c r="D807" s="14" t="s">
        <v>25</v>
      </c>
      <c r="E807" s="15">
        <f>IF(D807="?OLD","!!!","")</f>
        <v/>
      </c>
      <c r="F807" s="16" t="str">
        <f>IF(OR(E807="",E807="!!!"),"",IF(NOT(ISNA(VLOOKUP(E807,E$1:E806,1,FALSE()))),"OLD",IF(AND(E807&lt;&gt;"",E807&lt;&gt;"!!!"),"NEW","")))</f>
        <v> </v>
      </c>
      <c r="G807" s="17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18" t="str">
        <f>IF(J807&lt;&gt;1,"",IF(I807="SBJ","CB","?"))</f>
        <v> </v>
      </c>
      <c r="I807" s="19" t="str">
        <f>IF(OR(E807="",E807="!!!",F807="NEW"),"",INDEX(B806:B$2,-1+SUMPRODUCT(MAX(ROW(E806:E$2)*(E807=E806:E$2)))))</f>
        <v> </v>
      </c>
      <c r="J807" s="19" t="str">
        <f>IF(OR(E807="",E807="!!!",F807="NEW"),"",COUNTBLANK(OFFSET(A$1,,,SUMPRODUCT(MAX(ROW(E$2:E807)*(E807=E$2:E807)))))-COUNTBLANK(OFFSET(A$1,,,SUMPRODUCT(MAX(ROW(E$1:E806)*(E2=E$1:E806))))))</f>
        <v> </v>
      </c>
      <c r="K807" s="19" t="str">
        <f>IF(OR(E807="",E807="!!!",F807="NEW"),"",INDEX(J$1:J806,SUMPRODUCT(MAX(ROW(E$1:E806)*(E807=E$1:E806)))))</f>
        <v> </v>
      </c>
      <c r="L807" s="20"/>
    </row>
    <row r="808" spans="1:12">
      <c r="A808" s="13" t="s">
        <v>116</v>
      </c>
      <c r="E808" s="15">
        <f>IF(D808="?OLD","!!!","")</f>
        <v/>
      </c>
      <c r="F808" s="16" t="str">
        <f>IF(OR(E808="",E808="!!!"),"",IF(NOT(ISNA(VLOOKUP(E808,E$1:E807,1,FALSE()))),"OLD",IF(AND(E808&lt;&gt;"",E808&lt;&gt;"!!!"),"NEW","")))</f>
        <v> </v>
      </c>
      <c r="G808" s="17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18" t="str">
        <f>IF(J808&lt;&gt;1,"",IF(I808="SBJ","CB","?"))</f>
        <v> </v>
      </c>
      <c r="I808" s="19" t="str">
        <f>IF(OR(E808="",E808="!!!",F808="NEW"),"",INDEX(B807:B$2,-1+SUMPRODUCT(MAX(ROW(E807:E$2)*(E808=E807:E$2)))))</f>
        <v> </v>
      </c>
      <c r="J808" s="19" t="str">
        <f>IF(OR(E808="",E808="!!!",F808="NEW"),"",COUNTBLANK(OFFSET(A$1,,,SUMPRODUCT(MAX(ROW(E$2:E808)*(E808=E$2:E808)))))-COUNTBLANK(OFFSET(A$1,,,SUMPRODUCT(MAX(ROW(E$1:E807)*(E2=E$1:E807))))))</f>
        <v> </v>
      </c>
      <c r="K808" s="19" t="str">
        <f>IF(OR(E808="",E808="!!!",F808="NEW"),"",INDEX(J$1:J807,SUMPRODUCT(MAX(ROW(E$1:E807)*(E808=E$1:E807)))))</f>
        <v> </v>
      </c>
      <c r="L808" s="20"/>
    </row>
    <row r="809" spans="1:12">
      <c r="A809" s="13"/>
    </row>
    <row r="810" spans="1:12">
      <c r="A810" s="13" t="s">
        <v>117</v>
      </c>
      <c r="E810" s="15">
        <f>IF(D810="?OLD","!!!","")</f>
        <v/>
      </c>
      <c r="F810" s="16" t="str">
        <f>IF(OR(E810="",E810="!!!"),"",IF(NOT(ISNA(VLOOKUP(E810,E$1:E809,1,FALSE()))),"OLD",IF(AND(E810&lt;&gt;"",E810&lt;&gt;"!!!"),"NEW","")))</f>
        <v> </v>
      </c>
      <c r="G810" s="17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18" t="str">
        <f>IF(J810&lt;&gt;1,"",IF(I810="SBJ","CB","?"))</f>
        <v> </v>
      </c>
      <c r="I810" s="19" t="str">
        <f>IF(OR(E810="",E810="!!!",F810="NEW"),"",INDEX(B809:B$2,-1+SUMPRODUCT(MAX(ROW(E809:E$2)*(E810=E809:E$2)))))</f>
        <v> </v>
      </c>
      <c r="J810" s="19" t="str">
        <f>IF(OR(E810="",E810="!!!",F810="NEW"),"",COUNTBLANK(OFFSET(A$1,,,SUMPRODUCT(MAX(ROW(E$2:E810)*(E810=E$2:E810)))))-COUNTBLANK(OFFSET(A$1,,,SUMPRODUCT(MAX(ROW(E$1:E809)*(E2=E$1:E809))))))</f>
        <v> </v>
      </c>
      <c r="K810" s="19" t="str">
        <f>IF(OR(E810="",E810="!!!",F810="NEW"),"",INDEX(J$1:J809,SUMPRODUCT(MAX(ROW(E$1:E809)*(E810=E$1:E809)))))</f>
        <v> </v>
      </c>
      <c r="L810" s="20"/>
    </row>
    <row r="811" spans="1:12">
      <c r="A811" s="13" t="s">
        <v>353</v>
      </c>
    </row>
    <row r="812" spans="1:12">
      <c r="A812" s="13" t="s">
        <v>119</v>
      </c>
      <c r="E812" s="15">
        <f>IF(D812="?OLD","!!!","")</f>
        <v/>
      </c>
      <c r="F812" s="16" t="str">
        <f>IF(OR(E812="",E812="!!!"),"",IF(NOT(ISNA(VLOOKUP(E812,E$1:E811,1,FALSE()))),"OLD",IF(AND(E812&lt;&gt;"",E812&lt;&gt;"!!!"),"NEW","")))</f>
        <v> </v>
      </c>
      <c r="G812" s="17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18" t="str">
        <f>IF(J812&lt;&gt;1,"",IF(I812="SBJ","CB","?"))</f>
        <v> </v>
      </c>
      <c r="I812" s="19" t="str">
        <f>IF(OR(E812="",E812="!!!",F812="NEW"),"",INDEX(B811:B$2,-1+SUMPRODUCT(MAX(ROW(E811:E$2)*(E812=E811:E$2)))))</f>
        <v> </v>
      </c>
      <c r="J812" s="19" t="str">
        <f>IF(OR(E812="",E812="!!!",F812="NEW"),"",COUNTBLANK(OFFSET(A$1,,,SUMPRODUCT(MAX(ROW(E$2:E812)*(E812=E$2:E812)))))-COUNTBLANK(OFFSET(A$1,,,SUMPRODUCT(MAX(ROW(E$1:E811)*(E2=E$1:E811))))))</f>
        <v> </v>
      </c>
      <c r="K812" s="19" t="str">
        <f>IF(OR(E812="",E812="!!!",F812="NEW"),"",INDEX(J$1:J811,SUMPRODUCT(MAX(ROW(E$1:E811)*(E812=E$1:E811)))))</f>
        <v> </v>
      </c>
      <c r="L812" s="20"/>
    </row>
    <row r="813" spans="1:12">
      <c r="A813" s="13" t="s">
        <v>354</v>
      </c>
      <c r="B813" s="14" t="s">
        <v>45</v>
      </c>
      <c r="C813" s="14" t="s">
        <v>24</v>
      </c>
      <c r="D813" s="14" t="s">
        <v>25</v>
      </c>
      <c r="E813" s="15">
        <f>IF(D813="?OLD","!!!","")</f>
        <v/>
      </c>
      <c r="F813" s="16" t="str">
        <f>IF(OR(E813="",E813="!!!"),"",IF(NOT(ISNA(VLOOKUP(E813,E$1:E812,1,FALSE()))),"OLD",IF(AND(E813&lt;&gt;"",E813&lt;&gt;"!!!"),"NEW","")))</f>
        <v> </v>
      </c>
      <c r="G813" s="17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18" t="str">
        <f>IF(J813&lt;&gt;1,"",IF(I813="SBJ","CB","?"))</f>
        <v> </v>
      </c>
      <c r="I813" s="19" t="str">
        <f>IF(OR(E813="",E813="!!!",F813="NEW"),"",INDEX(B812:B$2,-1+SUMPRODUCT(MAX(ROW(E812:E$2)*(E813=E812:E$2)))))</f>
        <v> </v>
      </c>
      <c r="J813" s="19" t="str">
        <f>IF(OR(E813="",E813="!!!",F813="NEW"),"",COUNTBLANK(OFFSET(A$1,,,SUMPRODUCT(MAX(ROW(E$2:E813)*(E813=E$2:E813)))))-COUNTBLANK(OFFSET(A$1,,,SUMPRODUCT(MAX(ROW(E$1:E812)*(E2=E$1:E812))))))</f>
        <v> </v>
      </c>
      <c r="K813" s="19" t="str">
        <f>IF(OR(E813="",E813="!!!",F813="NEW"),"",INDEX(J$1:J812,SUMPRODUCT(MAX(ROW(E$1:E812)*(E813=E$1:E812)))))</f>
        <v> </v>
      </c>
      <c r="L813" s="20"/>
    </row>
    <row r="814" spans="1:12">
      <c r="A814" s="13" t="s">
        <v>57</v>
      </c>
      <c r="E814" s="15">
        <f>IF(D814="?OLD","!!!","")</f>
        <v/>
      </c>
      <c r="F814" s="16" t="str">
        <f>IF(OR(E814="",E814="!!!"),"",IF(NOT(ISNA(VLOOKUP(E814,E$1:E813,1,FALSE()))),"OLD",IF(AND(E814&lt;&gt;"",E814&lt;&gt;"!!!"),"NEW","")))</f>
        <v> </v>
      </c>
      <c r="G814" s="17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18" t="str">
        <f>IF(J814&lt;&gt;1,"",IF(I814="SBJ","CB","?"))</f>
        <v> </v>
      </c>
      <c r="I814" s="19" t="str">
        <f>IF(OR(E814="",E814="!!!",F814="NEW"),"",INDEX(B813:B$2,-1+SUMPRODUCT(MAX(ROW(E813:E$2)*(E814=E813:E$2)))))</f>
        <v> </v>
      </c>
      <c r="J814" s="19" t="str">
        <f>IF(OR(E814="",E814="!!!",F814="NEW"),"",COUNTBLANK(OFFSET(A$1,,,SUMPRODUCT(MAX(ROW(E$2:E814)*(E814=E$2:E814)))))-COUNTBLANK(OFFSET(A$1,,,SUMPRODUCT(MAX(ROW(E$1:E813)*(E2=E$1:E813))))))</f>
        <v> </v>
      </c>
      <c r="K814" s="19" t="str">
        <f>IF(OR(E814="",E814="!!!",F814="NEW"),"",INDEX(J$1:J813,SUMPRODUCT(MAX(ROW(E$1:E813)*(E814=E$1:E813)))))</f>
        <v> </v>
      </c>
      <c r="L814" s="20"/>
    </row>
    <row r="815" spans="1:12">
      <c r="A815" s="13" t="s">
        <v>137</v>
      </c>
      <c r="B815" s="14" t="s">
        <v>45</v>
      </c>
      <c r="C815" s="14" t="s">
        <v>60</v>
      </c>
      <c r="D815" s="14" t="s">
        <v>25</v>
      </c>
      <c r="E815" s="15">
        <f>IF(D815="?OLD","!!!","")</f>
        <v/>
      </c>
      <c r="F815" s="16" t="str">
        <f>IF(OR(E815="",E815="!!!"),"",IF(NOT(ISNA(VLOOKUP(E815,E$1:E814,1,FALSE()))),"OLD",IF(AND(E815&lt;&gt;"",E815&lt;&gt;"!!!"),"NEW","")))</f>
        <v> </v>
      </c>
      <c r="G815" s="17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18" t="str">
        <f>IF(J815&lt;&gt;1,"",IF(I815="SBJ","CB","?"))</f>
        <v> </v>
      </c>
      <c r="I815" s="19" t="str">
        <f>IF(OR(E815="",E815="!!!",F815="NEW"),"",INDEX(B814:B$2,-1+SUMPRODUCT(MAX(ROW(E814:E$2)*(E815=E814:E$2)))))</f>
        <v> </v>
      </c>
      <c r="J815" s="19" t="str">
        <f>IF(OR(E815="",E815="!!!",F815="NEW"),"",COUNTBLANK(OFFSET(A$1,,,SUMPRODUCT(MAX(ROW(E$2:E815)*(E815=E$2:E815)))))-COUNTBLANK(OFFSET(A$1,,,SUMPRODUCT(MAX(ROW(E$1:E814)*(E2=E$1:E814))))))</f>
        <v> </v>
      </c>
      <c r="K815" s="19" t="str">
        <f>IF(OR(E815="",E815="!!!",F815="NEW"),"",INDEX(J$1:J814,SUMPRODUCT(MAX(ROW(E$1:E814)*(E815=E$1:E814)))))</f>
        <v> </v>
      </c>
      <c r="L815" s="20"/>
    </row>
    <row r="816" spans="1:12">
      <c r="A816" s="13" t="s">
        <v>76</v>
      </c>
      <c r="E816" s="15">
        <f>IF(D816="?OLD","!!!","")</f>
        <v/>
      </c>
      <c r="F816" s="16" t="str">
        <f>IF(OR(E816="",E816="!!!"),"",IF(NOT(ISNA(VLOOKUP(E816,E$1:E815,1,FALSE()))),"OLD",IF(AND(E816&lt;&gt;"",E816&lt;&gt;"!!!"),"NEW","")))</f>
        <v> </v>
      </c>
      <c r="G816" s="17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18" t="str">
        <f>IF(J816&lt;&gt;1,"",IF(I816="SBJ","CB","?"))</f>
        <v> </v>
      </c>
      <c r="I816" s="19" t="str">
        <f>IF(OR(E816="",E816="!!!",F816="NEW"),"",INDEX(B815:B$2,-1+SUMPRODUCT(MAX(ROW(E815:E$2)*(E816=E815:E$2)))))</f>
        <v> </v>
      </c>
      <c r="J816" s="19" t="str">
        <f>IF(OR(E816="",E816="!!!",F816="NEW"),"",COUNTBLANK(OFFSET(A$1,,,SUMPRODUCT(MAX(ROW(E$2:E816)*(E816=E$2:E816)))))-COUNTBLANK(OFFSET(A$1,,,SUMPRODUCT(MAX(ROW(E$1:E815)*(E2=E$1:E815))))))</f>
        <v> </v>
      </c>
      <c r="K816" s="19" t="str">
        <f>IF(OR(E816="",E816="!!!",F816="NEW"),"",INDEX(J$1:J815,SUMPRODUCT(MAX(ROW(E$1:E815)*(E816=E$1:E815)))))</f>
        <v> </v>
      </c>
      <c r="L816" s="20"/>
    </row>
    <row r="817" spans="1:12">
      <c r="A817" s="13" t="s">
        <v>95</v>
      </c>
      <c r="E817" s="15">
        <f>IF(D817="?OLD","!!!","")</f>
        <v/>
      </c>
      <c r="F817" s="16" t="str">
        <f>IF(OR(E817="",E817="!!!"),"",IF(NOT(ISNA(VLOOKUP(E817,E$1:E816,1,FALSE()))),"OLD",IF(AND(E817&lt;&gt;"",E817&lt;&gt;"!!!"),"NEW","")))</f>
        <v> </v>
      </c>
      <c r="G817" s="17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18" t="str">
        <f>IF(J817&lt;&gt;1,"",IF(I817="SBJ","CB","?"))</f>
        <v> </v>
      </c>
      <c r="I817" s="19" t="str">
        <f>IF(OR(E817="",E817="!!!",F817="NEW"),"",INDEX(B816:B$2,-1+SUMPRODUCT(MAX(ROW(E816:E$2)*(E817=E816:E$2)))))</f>
        <v> </v>
      </c>
      <c r="J817" s="19" t="str">
        <f>IF(OR(E817="",E817="!!!",F817="NEW"),"",COUNTBLANK(OFFSET(A$1,,,SUMPRODUCT(MAX(ROW(E$2:E817)*(E817=E$2:E817)))))-COUNTBLANK(OFFSET(A$1,,,SUMPRODUCT(MAX(ROW(E$1:E816)*(E2=E$1:E816))))))</f>
        <v> </v>
      </c>
      <c r="K817" s="19" t="str">
        <f>IF(OR(E817="",E817="!!!",F817="NEW"),"",INDEX(J$1:J816,SUMPRODUCT(MAX(ROW(E$1:E816)*(E817=E$1:E816)))))</f>
        <v> </v>
      </c>
      <c r="L817" s="20"/>
    </row>
    <row r="818" spans="1:12">
      <c r="A818" s="13" t="s">
        <v>139</v>
      </c>
      <c r="B818" s="14" t="s">
        <v>27</v>
      </c>
      <c r="C818" s="14" t="s">
        <v>39</v>
      </c>
      <c r="D818" s="14" t="s">
        <v>25</v>
      </c>
      <c r="E818" s="15">
        <f>IF(D818="?OLD","!!!","")</f>
        <v/>
      </c>
      <c r="F818" s="16" t="str">
        <f>IF(OR(E818="",E818="!!!"),"",IF(NOT(ISNA(VLOOKUP(E818,E$1:E817,1,FALSE()))),"OLD",IF(AND(E818&lt;&gt;"",E818&lt;&gt;"!!!"),"NEW","")))</f>
        <v> </v>
      </c>
      <c r="G818" s="17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18" t="str">
        <f>IF(J818&lt;&gt;1,"",IF(I818="SBJ","CB","?"))</f>
        <v> </v>
      </c>
      <c r="I818" s="19" t="str">
        <f>IF(OR(E818="",E818="!!!",F818="NEW"),"",INDEX(B817:B$2,-1+SUMPRODUCT(MAX(ROW(E817:E$2)*(E818=E817:E$2)))))</f>
        <v> </v>
      </c>
      <c r="J818" s="19" t="str">
        <f>IF(OR(E818="",E818="!!!",F818="NEW"),"",COUNTBLANK(OFFSET(A$1,,,SUMPRODUCT(MAX(ROW(E$2:E818)*(E818=E$2:E818)))))-COUNTBLANK(OFFSET(A$1,,,SUMPRODUCT(MAX(ROW(E$1:E817)*(E2=E$1:E817))))))</f>
        <v> </v>
      </c>
      <c r="K818" s="19" t="str">
        <f>IF(OR(E818="",E818="!!!",F818="NEW"),"",INDEX(J$1:J817,SUMPRODUCT(MAX(ROW(E$1:E817)*(E818=E$1:E817)))))</f>
        <v> </v>
      </c>
      <c r="L818" s="20"/>
    </row>
    <row r="819" spans="1:12">
      <c r="A819" s="13" t="s">
        <v>79</v>
      </c>
      <c r="E819" s="15">
        <f>IF(D819="?OLD","!!!","")</f>
        <v/>
      </c>
      <c r="F819" s="16" t="str">
        <f>IF(OR(E819="",E819="!!!"),"",IF(NOT(ISNA(VLOOKUP(E819,E$1:E818,1,FALSE()))),"OLD",IF(AND(E819&lt;&gt;"",E819&lt;&gt;"!!!"),"NEW","")))</f>
        <v> </v>
      </c>
      <c r="G819" s="17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18" t="str">
        <f>IF(J819&lt;&gt;1,"",IF(I819="SBJ","CB","?"))</f>
        <v> </v>
      </c>
      <c r="I819" s="19" t="str">
        <f>IF(OR(E819="",E819="!!!",F819="NEW"),"",INDEX(B818:B$2,-1+SUMPRODUCT(MAX(ROW(E818:E$2)*(E819=E818:E$2)))))</f>
        <v> </v>
      </c>
      <c r="J819" s="19" t="str">
        <f>IF(OR(E819="",E819="!!!",F819="NEW"),"",COUNTBLANK(OFFSET(A$1,,,SUMPRODUCT(MAX(ROW(E$2:E819)*(E819=E$2:E819)))))-COUNTBLANK(OFFSET(A$1,,,SUMPRODUCT(MAX(ROW(E$1:E818)*(E2=E$1:E818))))))</f>
        <v> </v>
      </c>
      <c r="K819" s="19" t="str">
        <f>IF(OR(E819="",E819="!!!",F819="NEW"),"",INDEX(J$1:J818,SUMPRODUCT(MAX(ROW(E$1:E818)*(E819=E$1:E818)))))</f>
        <v> </v>
      </c>
      <c r="L819" s="20"/>
    </row>
    <row r="820" spans="1:12">
      <c r="A820" s="13" t="s">
        <v>140</v>
      </c>
      <c r="B820" s="14" t="s">
        <v>33</v>
      </c>
      <c r="C820" s="14" t="s">
        <v>34</v>
      </c>
      <c r="E820" s="15">
        <f>IF(D820="?OLD","!!!","")</f>
        <v/>
      </c>
      <c r="F820" s="16" t="str">
        <f>IF(OR(E820="",E820="!!!"),"",IF(NOT(ISNA(VLOOKUP(E820,E$1:E819,1,FALSE()))),"OLD",IF(AND(E820&lt;&gt;"",E820&lt;&gt;"!!!"),"NEW","")))</f>
        <v> </v>
      </c>
      <c r="G820" s="17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18" t="str">
        <f>IF(J820&lt;&gt;1,"",IF(I820="SBJ","CB","?"))</f>
        <v> </v>
      </c>
      <c r="I820" s="19" t="str">
        <f>IF(OR(E820="",E820="!!!",F820="NEW"),"",INDEX(B819:B$2,-1+SUMPRODUCT(MAX(ROW(E819:E$2)*(E820=E819:E$2)))))</f>
        <v> </v>
      </c>
      <c r="J820" s="19" t="str">
        <f>IF(OR(E820="",E820="!!!",F820="NEW"),"",COUNTBLANK(OFFSET(A$1,,,SUMPRODUCT(MAX(ROW(E$2:E820)*(E820=E$2:E820)))))-COUNTBLANK(OFFSET(A$1,,,SUMPRODUCT(MAX(ROW(E$1:E819)*(E2=E$1:E819))))))</f>
        <v> </v>
      </c>
      <c r="K820" s="19" t="str">
        <f>IF(OR(E820="",E820="!!!",F820="NEW"),"",INDEX(J$1:J819,SUMPRODUCT(MAX(ROW(E$1:E819)*(E820=E$1:E819)))))</f>
        <v> </v>
      </c>
      <c r="L820" s="20"/>
    </row>
    <row r="821" spans="1:12">
      <c r="A821" s="13" t="s">
        <v>314</v>
      </c>
      <c r="E821" s="15">
        <f>IF(D821="?OLD","!!!","")</f>
        <v/>
      </c>
      <c r="F821" s="16" t="str">
        <f>IF(OR(E821="",E821="!!!"),"",IF(NOT(ISNA(VLOOKUP(E821,E$1:E820,1,FALSE()))),"OLD",IF(AND(E821&lt;&gt;"",E821&lt;&gt;"!!!"),"NEW","")))</f>
        <v> </v>
      </c>
      <c r="G821" s="17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18" t="str">
        <f>IF(J821&lt;&gt;1,"",IF(I821="SBJ","CB","?"))</f>
        <v> </v>
      </c>
      <c r="I821" s="19" t="str">
        <f>IF(OR(E821="",E821="!!!",F821="NEW"),"",INDEX(B820:B$2,-1+SUMPRODUCT(MAX(ROW(E820:E$2)*(E821=E820:E$2)))))</f>
        <v> </v>
      </c>
      <c r="J821" s="19" t="str">
        <f>IF(OR(E821="",E821="!!!",F821="NEW"),"",COUNTBLANK(OFFSET(A$1,,,SUMPRODUCT(MAX(ROW(E$2:E821)*(E821=E$2:E821)))))-COUNTBLANK(OFFSET(A$1,,,SUMPRODUCT(MAX(ROW(E$1:E820)*(E2=E$1:E820))))))</f>
        <v> </v>
      </c>
      <c r="K821" s="19" t="str">
        <f>IF(OR(E821="",E821="!!!",F821="NEW"),"",INDEX(J$1:J820,SUMPRODUCT(MAX(ROW(E$1:E820)*(E821=E$1:E820)))))</f>
        <v> </v>
      </c>
      <c r="L821" s="20"/>
    </row>
    <row r="822" spans="1:12">
      <c r="A822" s="13" t="s">
        <v>57</v>
      </c>
      <c r="E822" s="15">
        <f>IF(D822="?OLD","!!!","")</f>
        <v/>
      </c>
      <c r="F822" s="16" t="str">
        <f>IF(OR(E822="",E822="!!!"),"",IF(NOT(ISNA(VLOOKUP(E822,E$1:E821,1,FALSE()))),"OLD",IF(AND(E822&lt;&gt;"",E822&lt;&gt;"!!!"),"NEW","")))</f>
        <v> </v>
      </c>
      <c r="G822" s="17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18" t="str">
        <f>IF(J822&lt;&gt;1,"",IF(I822="SBJ","CB","?"))</f>
        <v> </v>
      </c>
      <c r="I822" s="19" t="str">
        <f>IF(OR(E822="",E822="!!!",F822="NEW"),"",INDEX(B821:B$2,-1+SUMPRODUCT(MAX(ROW(E821:E$2)*(E822=E821:E$2)))))</f>
        <v> </v>
      </c>
      <c r="J822" s="19" t="str">
        <f>IF(OR(E822="",E822="!!!",F822="NEW"),"",COUNTBLANK(OFFSET(A$1,,,SUMPRODUCT(MAX(ROW(E$2:E822)*(E822=E$2:E822)))))-COUNTBLANK(OFFSET(A$1,,,SUMPRODUCT(MAX(ROW(E$1:E821)*(E2=E$1:E821))))))</f>
        <v> </v>
      </c>
      <c r="K822" s="19" t="str">
        <f>IF(OR(E822="",E822="!!!",F822="NEW"),"",INDEX(J$1:J821,SUMPRODUCT(MAX(ROW(E$1:E821)*(E822=E$1:E821)))))</f>
        <v> </v>
      </c>
      <c r="L822" s="20"/>
    </row>
    <row r="823" spans="1:12">
      <c r="A823" s="13" t="s">
        <v>355</v>
      </c>
      <c r="B823" s="14" t="s">
        <v>33</v>
      </c>
      <c r="C823" s="14" t="s">
        <v>60</v>
      </c>
      <c r="D823" s="14" t="s">
        <v>25</v>
      </c>
      <c r="E823" s="15">
        <f>IF(D823="?OLD","!!!","")</f>
        <v/>
      </c>
      <c r="F823" s="16" t="str">
        <f>IF(OR(E823="",E823="!!!"),"",IF(NOT(ISNA(VLOOKUP(E823,E$1:E822,1,FALSE()))),"OLD",IF(AND(E823&lt;&gt;"",E823&lt;&gt;"!!!"),"NEW","")))</f>
        <v> </v>
      </c>
      <c r="G823" s="17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18" t="str">
        <f>IF(J823&lt;&gt;1,"",IF(I823="SBJ","CB","?"))</f>
        <v> </v>
      </c>
      <c r="I823" s="19" t="str">
        <f>IF(OR(E823="",E823="!!!",F823="NEW"),"",INDEX(B822:B$2,-1+SUMPRODUCT(MAX(ROW(E822:E$2)*(E823=E822:E$2)))))</f>
        <v> </v>
      </c>
      <c r="J823" s="19" t="str">
        <f>IF(OR(E823="",E823="!!!",F823="NEW"),"",COUNTBLANK(OFFSET(A$1,,,SUMPRODUCT(MAX(ROW(E$2:E823)*(E823=E$2:E823)))))-COUNTBLANK(OFFSET(A$1,,,SUMPRODUCT(MAX(ROW(E$1:E822)*(E2=E$1:E822))))))</f>
        <v> </v>
      </c>
      <c r="K823" s="19" t="str">
        <f>IF(OR(E823="",E823="!!!",F823="NEW"),"",INDEX(J$1:J822,SUMPRODUCT(MAX(ROW(E$1:E822)*(E823=E$1:E822)))))</f>
        <v> </v>
      </c>
      <c r="L823" s="20"/>
    </row>
    <row r="824" spans="1:12">
      <c r="A824" s="13" t="s">
        <v>76</v>
      </c>
      <c r="E824" s="15">
        <f>IF(D824="?OLD","!!!","")</f>
        <v/>
      </c>
      <c r="F824" s="16" t="str">
        <f>IF(OR(E824="",E824="!!!"),"",IF(NOT(ISNA(VLOOKUP(E824,E$1:E823,1,FALSE()))),"OLD",IF(AND(E824&lt;&gt;"",E824&lt;&gt;"!!!"),"NEW","")))</f>
        <v> </v>
      </c>
      <c r="G824" s="17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18" t="str">
        <f>IF(J824&lt;&gt;1,"",IF(I824="SBJ","CB","?"))</f>
        <v> </v>
      </c>
      <c r="I824" s="19" t="str">
        <f>IF(OR(E824="",E824="!!!",F824="NEW"),"",INDEX(B823:B$2,-1+SUMPRODUCT(MAX(ROW(E823:E$2)*(E824=E823:E$2)))))</f>
        <v> </v>
      </c>
      <c r="J824" s="19" t="str">
        <f>IF(OR(E824="",E824="!!!",F824="NEW"),"",COUNTBLANK(OFFSET(A$1,,,SUMPRODUCT(MAX(ROW(E$2:E824)*(E824=E$2:E824)))))-COUNTBLANK(OFFSET(A$1,,,SUMPRODUCT(MAX(ROW(E$1:E823)*(E2=E$1:E823))))))</f>
        <v> </v>
      </c>
      <c r="K824" s="19" t="str">
        <f>IF(OR(E824="",E824="!!!",F824="NEW"),"",INDEX(J$1:J823,SUMPRODUCT(MAX(ROW(E$1:E823)*(E824=E$1:E823)))))</f>
        <v> </v>
      </c>
      <c r="L824" s="20"/>
    </row>
    <row r="825" spans="1:12">
      <c r="A825" s="13" t="s">
        <v>356</v>
      </c>
      <c r="B825" s="14" t="s">
        <v>63</v>
      </c>
      <c r="C825" s="14" t="s">
        <v>34</v>
      </c>
      <c r="E825" s="15">
        <f>IF(D825="?OLD","!!!","")</f>
        <v/>
      </c>
      <c r="F825" s="16" t="str">
        <f>IF(OR(E825="",E825="!!!"),"",IF(NOT(ISNA(VLOOKUP(E825,E$1:E824,1,FALSE()))),"OLD",IF(AND(E825&lt;&gt;"",E825&lt;&gt;"!!!"),"NEW","")))</f>
        <v> </v>
      </c>
      <c r="G825" s="17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18" t="str">
        <f>IF(J825&lt;&gt;1,"",IF(I825="SBJ","CB","?"))</f>
        <v> </v>
      </c>
      <c r="I825" s="19" t="str">
        <f>IF(OR(E825="",E825="!!!",F825="NEW"),"",INDEX(B824:B$2,-1+SUMPRODUCT(MAX(ROW(E824:E$2)*(E825=E824:E$2)))))</f>
        <v> </v>
      </c>
      <c r="J825" s="19" t="str">
        <f>IF(OR(E825="",E825="!!!",F825="NEW"),"",COUNTBLANK(OFFSET(A$1,,,SUMPRODUCT(MAX(ROW(E$2:E825)*(E825=E$2:E825)))))-COUNTBLANK(OFFSET(A$1,,,SUMPRODUCT(MAX(ROW(E$1:E824)*(E2=E$1:E824))))))</f>
        <v> </v>
      </c>
      <c r="K825" s="19" t="str">
        <f>IF(OR(E825="",E825="!!!",F825="NEW"),"",INDEX(J$1:J824,SUMPRODUCT(MAX(ROW(E$1:E824)*(E825=E$1:E824)))))</f>
        <v> </v>
      </c>
      <c r="L825" s="20"/>
    </row>
    <row r="826" spans="1:12">
      <c r="A826" s="13" t="s">
        <v>102</v>
      </c>
      <c r="E826" s="15">
        <f>IF(D826="?OLD","!!!","")</f>
        <v/>
      </c>
      <c r="F826" s="16" t="str">
        <f>IF(OR(E826="",E826="!!!"),"",IF(NOT(ISNA(VLOOKUP(E826,E$1:E825,1,FALSE()))),"OLD",IF(AND(E826&lt;&gt;"",E826&lt;&gt;"!!!"),"NEW","")))</f>
        <v> </v>
      </c>
      <c r="G826" s="17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18" t="str">
        <f>IF(J826&lt;&gt;1,"",IF(I826="SBJ","CB","?"))</f>
        <v> </v>
      </c>
      <c r="I826" s="19" t="str">
        <f>IF(OR(E826="",E826="!!!",F826="NEW"),"",INDEX(B825:B$2,-1+SUMPRODUCT(MAX(ROW(E825:E$2)*(E826=E825:E$2)))))</f>
        <v> </v>
      </c>
      <c r="J826" s="19" t="str">
        <f>IF(OR(E826="",E826="!!!",F826="NEW"),"",COUNTBLANK(OFFSET(A$1,,,SUMPRODUCT(MAX(ROW(E$2:E826)*(E826=E$2:E826)))))-COUNTBLANK(OFFSET(A$1,,,SUMPRODUCT(MAX(ROW(E$1:E825)*(E2=E$1:E825))))))</f>
        <v> </v>
      </c>
      <c r="K826" s="19" t="str">
        <f>IF(OR(E826="",E826="!!!",F826="NEW"),"",INDEX(J$1:J825,SUMPRODUCT(MAX(ROW(E$1:E825)*(E826=E$1:E825)))))</f>
        <v> </v>
      </c>
      <c r="L826" s="20"/>
    </row>
    <row r="827" spans="1:12">
      <c r="A827" s="13" t="s">
        <v>298</v>
      </c>
      <c r="B827" s="14" t="s">
        <v>33</v>
      </c>
      <c r="C827" s="14" t="s">
        <v>39</v>
      </c>
      <c r="D827" s="14" t="s">
        <v>25</v>
      </c>
      <c r="E827" s="15">
        <f>IF(D827="?OLD","!!!","")</f>
        <v/>
      </c>
      <c r="F827" s="16" t="str">
        <f>IF(OR(E827="",E827="!!!"),"",IF(NOT(ISNA(VLOOKUP(E827,E$1:E826,1,FALSE()))),"OLD",IF(AND(E827&lt;&gt;"",E827&lt;&gt;"!!!"),"NEW","")))</f>
        <v> </v>
      </c>
      <c r="G827" s="17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18" t="str">
        <f>IF(J827&lt;&gt;1,"",IF(I827="SBJ","CB","?"))</f>
        <v> </v>
      </c>
      <c r="I827" s="19" t="str">
        <f>IF(OR(E827="",E827="!!!",F827="NEW"),"",INDEX(B826:B$2,-1+SUMPRODUCT(MAX(ROW(E826:E$2)*(E827=E826:E$2)))))</f>
        <v> </v>
      </c>
      <c r="J827" s="19" t="str">
        <f>IF(OR(E827="",E827="!!!",F827="NEW"),"",COUNTBLANK(OFFSET(A$1,,,SUMPRODUCT(MAX(ROW(E$2:E827)*(E827=E$2:E827)))))-COUNTBLANK(OFFSET(A$1,,,SUMPRODUCT(MAX(ROW(E$1:E826)*(E2=E$1:E826))))))</f>
        <v> </v>
      </c>
      <c r="K827" s="19" t="str">
        <f>IF(OR(E827="",E827="!!!",F827="NEW"),"",INDEX(J$1:J826,SUMPRODUCT(MAX(ROW(E$1:E826)*(E827=E$1:E826)))))</f>
        <v> </v>
      </c>
      <c r="L827" s="20"/>
    </row>
    <row r="828" spans="1:12">
      <c r="A828" s="13" t="s">
        <v>209</v>
      </c>
      <c r="E828" s="15">
        <f>IF(D828="?OLD","!!!","")</f>
        <v/>
      </c>
      <c r="F828" s="16" t="str">
        <f>IF(OR(E828="",E828="!!!"),"",IF(NOT(ISNA(VLOOKUP(E828,E$1:E827,1,FALSE()))),"OLD",IF(AND(E828&lt;&gt;"",E828&lt;&gt;"!!!"),"NEW","")))</f>
        <v> </v>
      </c>
      <c r="G828" s="17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18" t="str">
        <f>IF(J828&lt;&gt;1,"",IF(I828="SBJ","CB","?"))</f>
        <v> </v>
      </c>
      <c r="I828" s="19" t="str">
        <f>IF(OR(E828="",E828="!!!",F828="NEW"),"",INDEX(B827:B$2,-1+SUMPRODUCT(MAX(ROW(E827:E$2)*(E828=E827:E$2)))))</f>
        <v> </v>
      </c>
      <c r="J828" s="19" t="str">
        <f>IF(OR(E828="",E828="!!!",F828="NEW"),"",COUNTBLANK(OFFSET(A$1,,,SUMPRODUCT(MAX(ROW(E$2:E828)*(E828=E$2:E828)))))-COUNTBLANK(OFFSET(A$1,,,SUMPRODUCT(MAX(ROW(E$1:E827)*(E2=E$1:E827))))))</f>
        <v> </v>
      </c>
      <c r="K828" s="19" t="str">
        <f>IF(OR(E828="",E828="!!!",F828="NEW"),"",INDEX(J$1:J827,SUMPRODUCT(MAX(ROW(E$1:E827)*(E828=E$1:E827)))))</f>
        <v> </v>
      </c>
      <c r="L828" s="20"/>
    </row>
    <row r="829" spans="1:12">
      <c r="A829" s="13" t="s">
        <v>357</v>
      </c>
      <c r="B829" s="14" t="s">
        <v>63</v>
      </c>
      <c r="C829" s="14" t="s">
        <v>64</v>
      </c>
      <c r="D829" s="14" t="s">
        <v>25</v>
      </c>
      <c r="E829" s="15">
        <f>IF(D829="?OLD","!!!","")</f>
        <v/>
      </c>
      <c r="F829" s="16" t="str">
        <f>IF(OR(E829="",E829="!!!"),"",IF(NOT(ISNA(VLOOKUP(E829,E$1:E828,1,FALSE()))),"OLD",IF(AND(E829&lt;&gt;"",E829&lt;&gt;"!!!"),"NEW","")))</f>
        <v> </v>
      </c>
      <c r="G829" s="17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18" t="str">
        <f>IF(J829&lt;&gt;1,"",IF(I829="SBJ","CB","?"))</f>
        <v> </v>
      </c>
      <c r="I829" s="19" t="str">
        <f>IF(OR(E829="",E829="!!!",F829="NEW"),"",INDEX(B828:B$2,-1+SUMPRODUCT(MAX(ROW(E828:E$2)*(E829=E828:E$2)))))</f>
        <v> </v>
      </c>
      <c r="J829" s="19" t="str">
        <f>IF(OR(E829="",E829="!!!",F829="NEW"),"",COUNTBLANK(OFFSET(A$1,,,SUMPRODUCT(MAX(ROW(E$2:E829)*(E829=E$2:E829)))))-COUNTBLANK(OFFSET(A$1,,,SUMPRODUCT(MAX(ROW(E$1:E828)*(E2=E$1:E828))))))</f>
        <v> </v>
      </c>
      <c r="K829" s="19" t="str">
        <f>IF(OR(E829="",E829="!!!",F829="NEW"),"",INDEX(J$1:J828,SUMPRODUCT(MAX(ROW(E$1:E828)*(E829=E$1:E828)))))</f>
        <v> </v>
      </c>
      <c r="L829" s="20"/>
    </row>
    <row r="830" spans="1:12">
      <c r="A830" s="13" t="s">
        <v>119</v>
      </c>
      <c r="E830" s="15">
        <f>IF(D830="?OLD","!!!","")</f>
        <v/>
      </c>
      <c r="F830" s="16" t="str">
        <f>IF(OR(E830="",E830="!!!"),"",IF(NOT(ISNA(VLOOKUP(E830,E$1:E829,1,FALSE()))),"OLD",IF(AND(E830&lt;&gt;"",E830&lt;&gt;"!!!"),"NEW","")))</f>
        <v> </v>
      </c>
      <c r="G830" s="17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18" t="str">
        <f>IF(J830&lt;&gt;1,"",IF(I830="SBJ","CB","?"))</f>
        <v> </v>
      </c>
      <c r="I830" s="19" t="str">
        <f>IF(OR(E830="",E830="!!!",F830="NEW"),"",INDEX(B829:B$2,-1+SUMPRODUCT(MAX(ROW(E829:E$2)*(E830=E829:E$2)))))</f>
        <v> </v>
      </c>
      <c r="J830" s="19" t="str">
        <f>IF(OR(E830="",E830="!!!",F830="NEW"),"",COUNTBLANK(OFFSET(A$1,,,SUMPRODUCT(MAX(ROW(E$2:E830)*(E830=E$2:E830)))))-COUNTBLANK(OFFSET(A$1,,,SUMPRODUCT(MAX(ROW(E$1:E829)*(E2=E$1:E829))))))</f>
        <v> </v>
      </c>
      <c r="K830" s="19" t="str">
        <f>IF(OR(E830="",E830="!!!",F830="NEW"),"",INDEX(J$1:J829,SUMPRODUCT(MAX(ROW(E$1:E829)*(E830=E$1:E829)))))</f>
        <v> </v>
      </c>
      <c r="L830" s="20"/>
    </row>
    <row r="831" spans="1:12">
      <c r="A831" s="13" t="s">
        <v>68</v>
      </c>
      <c r="E831" s="15">
        <f>IF(D831="?OLD","!!!","")</f>
        <v/>
      </c>
      <c r="F831" s="16" t="str">
        <f>IF(OR(E831="",E831="!!!"),"",IF(NOT(ISNA(VLOOKUP(E831,E$1:E830,1,FALSE()))),"OLD",IF(AND(E831&lt;&gt;"",E831&lt;&gt;"!!!"),"NEW","")))</f>
        <v> </v>
      </c>
      <c r="G831" s="17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18" t="str">
        <f>IF(J831&lt;&gt;1,"",IF(I831="SBJ","CB","?"))</f>
        <v> </v>
      </c>
      <c r="I831" s="19" t="str">
        <f>IF(OR(E831="",E831="!!!",F831="NEW"),"",INDEX(B830:B$2,-1+SUMPRODUCT(MAX(ROW(E830:E$2)*(E831=E830:E$2)))))</f>
        <v> </v>
      </c>
      <c r="J831" s="19" t="str">
        <f>IF(OR(E831="",E831="!!!",F831="NEW"),"",COUNTBLANK(OFFSET(A$1,,,SUMPRODUCT(MAX(ROW(E$2:E831)*(E831=E$2:E831)))))-COUNTBLANK(OFFSET(A$1,,,SUMPRODUCT(MAX(ROW(E$1:E830)*(E2=E$1:E830))))))</f>
        <v> </v>
      </c>
      <c r="K831" s="19" t="str">
        <f>IF(OR(E831="",E831="!!!",F831="NEW"),"",INDEX(J$1:J830,SUMPRODUCT(MAX(ROW(E$1:E830)*(E831=E$1:E830)))))</f>
        <v> </v>
      </c>
      <c r="L831" s="20"/>
    </row>
    <row r="832" spans="1:12">
      <c r="A832" s="13"/>
    </row>
    <row r="833" spans="1:12">
      <c r="A833" s="13" t="s">
        <v>358</v>
      </c>
    </row>
    <row r="834" spans="1:12">
      <c r="A834" s="13" t="s">
        <v>36</v>
      </c>
      <c r="B834" s="14" t="s">
        <v>23</v>
      </c>
      <c r="C834" s="14" t="s">
        <v>24</v>
      </c>
      <c r="D834" s="14" t="s">
        <v>25</v>
      </c>
      <c r="E834" s="15">
        <f>IF(D834="?OLD","!!!","")</f>
        <v/>
      </c>
      <c r="F834" s="16" t="str">
        <f>IF(OR(E834="",E834="!!!"),"",IF(NOT(ISNA(VLOOKUP(E834,E$1:E833,1,FALSE()))),"OLD",IF(AND(E834&lt;&gt;"",E834&lt;&gt;"!!!"),"NEW","")))</f>
        <v> </v>
      </c>
      <c r="G834" s="17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18" t="str">
        <f>IF(J834&lt;&gt;1,"",IF(I834="SBJ","CB","?"))</f>
        <v> </v>
      </c>
      <c r="I834" s="19" t="str">
        <f>IF(OR(E834="",E834="!!!",F834="NEW"),"",INDEX(B833:B$2,-1+SUMPRODUCT(MAX(ROW(E833:E$2)*(E834=E833:E$2)))))</f>
        <v> </v>
      </c>
      <c r="J834" s="19" t="str">
        <f>IF(OR(E834="",E834="!!!",F834="NEW"),"",COUNTBLANK(OFFSET(A$1,,,SUMPRODUCT(MAX(ROW(E$2:E834)*(E834=E$2:E834)))))-COUNTBLANK(OFFSET(A$1,,,SUMPRODUCT(MAX(ROW(E$1:E833)*(E2=E$1:E833))))))</f>
        <v> </v>
      </c>
      <c r="K834" s="19" t="str">
        <f>IF(OR(E834="",E834="!!!",F834="NEW"),"",INDEX(J$1:J833,SUMPRODUCT(MAX(ROW(E$1:E833)*(E834=E$1:E833)))))</f>
        <v> </v>
      </c>
      <c r="L834" s="20"/>
    </row>
    <row r="835" spans="1:12">
      <c r="A835" s="13" t="s">
        <v>37</v>
      </c>
      <c r="B835" s="14" t="s">
        <v>27</v>
      </c>
      <c r="C835" s="14" t="s">
        <v>24</v>
      </c>
      <c r="D835" s="14" t="s">
        <v>25</v>
      </c>
      <c r="E835" s="15">
        <f>IF(D835="?OLD","!!!","")</f>
        <v/>
      </c>
      <c r="F835" s="16" t="str">
        <f>IF(OR(E835="",E835="!!!"),"",IF(NOT(ISNA(VLOOKUP(E835,E$1:E834,1,FALSE()))),"OLD",IF(AND(E835&lt;&gt;"",E835&lt;&gt;"!!!"),"NEW","")))</f>
        <v> </v>
      </c>
      <c r="G835" s="17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18" t="str">
        <f>IF(J835&lt;&gt;1,"",IF(I835="SBJ","CB","?"))</f>
        <v> </v>
      </c>
      <c r="I835" s="19" t="str">
        <f>IF(OR(E835="",E835="!!!",F835="NEW"),"",INDEX(B834:B$2,-1+SUMPRODUCT(MAX(ROW(E834:E$2)*(E835=E834:E$2)))))</f>
        <v> </v>
      </c>
      <c r="J835" s="19" t="str">
        <f>IF(OR(E835="",E835="!!!",F835="NEW"),"",COUNTBLANK(OFFSET(A$1,,,SUMPRODUCT(MAX(ROW(E$2:E835)*(E835=E$2:E835)))))-COUNTBLANK(OFFSET(A$1,,,SUMPRODUCT(MAX(ROW(E$1:E834)*(E2=E$1:E834))))))</f>
        <v> </v>
      </c>
      <c r="K835" s="19" t="str">
        <f>IF(OR(E835="",E835="!!!",F835="NEW"),"",INDEX(J$1:J834,SUMPRODUCT(MAX(ROW(E$1:E834)*(E835=E$1:E834)))))</f>
        <v> </v>
      </c>
      <c r="L835" s="20"/>
    </row>
    <row r="836" spans="1:12">
      <c r="A836" s="13" t="s">
        <v>62</v>
      </c>
      <c r="E836" s="15">
        <f>IF(D836="?OLD","!!!","")</f>
        <v/>
      </c>
      <c r="F836" s="16" t="str">
        <f>IF(OR(E836="",E836="!!!"),"",IF(NOT(ISNA(VLOOKUP(E836,E$1:E835,1,FALSE()))),"OLD",IF(AND(E836&lt;&gt;"",E836&lt;&gt;"!!!"),"NEW","")))</f>
        <v> </v>
      </c>
      <c r="G836" s="17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18" t="str">
        <f>IF(J836&lt;&gt;1,"",IF(I836="SBJ","CB","?"))</f>
        <v> </v>
      </c>
      <c r="I836" s="19" t="str">
        <f>IF(OR(E836="",E836="!!!",F836="NEW"),"",INDEX(B835:B$2,-1+SUMPRODUCT(MAX(ROW(E835:E$2)*(E836=E835:E$2)))))</f>
        <v> </v>
      </c>
      <c r="J836" s="19" t="str">
        <f>IF(OR(E836="",E836="!!!",F836="NEW"),"",COUNTBLANK(OFFSET(A$1,,,SUMPRODUCT(MAX(ROW(E$2:E836)*(E836=E$2:E836)))))-COUNTBLANK(OFFSET(A$1,,,SUMPRODUCT(MAX(ROW(E$1:E835)*(E2=E$1:E835))))))</f>
        <v> </v>
      </c>
      <c r="K836" s="19" t="str">
        <f>IF(OR(E836="",E836="!!!",F836="NEW"),"",INDEX(J$1:J835,SUMPRODUCT(MAX(ROW(E$1:E835)*(E836=E$1:E835)))))</f>
        <v> </v>
      </c>
      <c r="L836" s="20"/>
    </row>
    <row r="837" spans="1:12">
      <c r="A837" s="13" t="s">
        <v>359</v>
      </c>
      <c r="E837" s="15">
        <f>IF(D837="?OLD","!!!","")</f>
        <v/>
      </c>
      <c r="F837" s="16" t="str">
        <f>IF(OR(E837="",E837="!!!"),"",IF(NOT(ISNA(VLOOKUP(E837,E$1:E836,1,FALSE()))),"OLD",IF(AND(E837&lt;&gt;"",E837&lt;&gt;"!!!"),"NEW","")))</f>
        <v> </v>
      </c>
      <c r="G837" s="17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18" t="str">
        <f>IF(J837&lt;&gt;1,"",IF(I837="SBJ","CB","?"))</f>
        <v> </v>
      </c>
      <c r="I837" s="19" t="str">
        <f>IF(OR(E837="",E837="!!!",F837="NEW"),"",INDEX(B836:B$2,-1+SUMPRODUCT(MAX(ROW(E836:E$2)*(E837=E836:E$2)))))</f>
        <v> </v>
      </c>
      <c r="J837" s="19" t="str">
        <f>IF(OR(E837="",E837="!!!",F837="NEW"),"",COUNTBLANK(OFFSET(A$1,,,SUMPRODUCT(MAX(ROW(E$2:E837)*(E837=E$2:E837)))))-COUNTBLANK(OFFSET(A$1,,,SUMPRODUCT(MAX(ROW(E$1:E836)*(E2=E$1:E836))))))</f>
        <v> </v>
      </c>
      <c r="K837" s="19" t="str">
        <f>IF(OR(E837="",E837="!!!",F837="NEW"),"",INDEX(J$1:J836,SUMPRODUCT(MAX(ROW(E$1:E836)*(E837=E$1:E836)))))</f>
        <v> </v>
      </c>
      <c r="L837" s="20"/>
    </row>
    <row r="838" spans="1:12">
      <c r="A838" s="13" t="s">
        <v>360</v>
      </c>
      <c r="E838" s="15">
        <f>IF(D838="?OLD","!!!","")</f>
        <v/>
      </c>
      <c r="F838" s="16" t="str">
        <f>IF(OR(E838="",E838="!!!"),"",IF(NOT(ISNA(VLOOKUP(E838,E$1:E837,1,FALSE()))),"OLD",IF(AND(E838&lt;&gt;"",E838&lt;&gt;"!!!"),"NEW","")))</f>
        <v> </v>
      </c>
      <c r="G838" s="17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18" t="str">
        <f>IF(J838&lt;&gt;1,"",IF(I838="SBJ","CB","?"))</f>
        <v> </v>
      </c>
      <c r="I838" s="19" t="str">
        <f>IF(OR(E838="",E838="!!!",F838="NEW"),"",INDEX(B837:B$2,-1+SUMPRODUCT(MAX(ROW(E837:E$2)*(E838=E837:E$2)))))</f>
        <v> </v>
      </c>
      <c r="J838" s="19" t="str">
        <f>IF(OR(E838="",E838="!!!",F838="NEW"),"",COUNTBLANK(OFFSET(A$1,,,SUMPRODUCT(MAX(ROW(E$2:E838)*(E838=E$2:E838)))))-COUNTBLANK(OFFSET(A$1,,,SUMPRODUCT(MAX(ROW(E$1:E837)*(E2=E$1:E837))))))</f>
        <v> </v>
      </c>
      <c r="K838" s="19" t="str">
        <f>IF(OR(E838="",E838="!!!",F838="NEW"),"",INDEX(J$1:J837,SUMPRODUCT(MAX(ROW(E$1:E837)*(E838=E$1:E837)))))</f>
        <v> </v>
      </c>
      <c r="L838" s="20"/>
    </row>
    <row r="839" spans="1:12">
      <c r="A839" s="13" t="s">
        <v>361</v>
      </c>
      <c r="E839" s="15">
        <f>IF(D839="?OLD","!!!","")</f>
        <v/>
      </c>
      <c r="F839" s="16" t="str">
        <f>IF(OR(E839="",E839="!!!"),"",IF(NOT(ISNA(VLOOKUP(E839,E$1:E838,1,FALSE()))),"OLD",IF(AND(E839&lt;&gt;"",E839&lt;&gt;"!!!"),"NEW","")))</f>
        <v> </v>
      </c>
      <c r="G839" s="17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18" t="str">
        <f>IF(J839&lt;&gt;1,"",IF(I839="SBJ","CB","?"))</f>
        <v> </v>
      </c>
      <c r="I839" s="19" t="str">
        <f>IF(OR(E839="",E839="!!!",F839="NEW"),"",INDEX(B838:B$2,-1+SUMPRODUCT(MAX(ROW(E838:E$2)*(E839=E838:E$2)))))</f>
        <v> </v>
      </c>
      <c r="J839" s="19" t="str">
        <f>IF(OR(E839="",E839="!!!",F839="NEW"),"",COUNTBLANK(OFFSET(A$1,,,SUMPRODUCT(MAX(ROW(E$2:E839)*(E839=E$2:E839)))))-COUNTBLANK(OFFSET(A$1,,,SUMPRODUCT(MAX(ROW(E$1:E838)*(E2=E$1:E838))))))</f>
        <v> </v>
      </c>
      <c r="K839" s="19" t="str">
        <f>IF(OR(E839="",E839="!!!",F839="NEW"),"",INDEX(J$1:J838,SUMPRODUCT(MAX(ROW(E$1:E838)*(E839=E$1:E838)))))</f>
        <v> </v>
      </c>
      <c r="L839" s="20"/>
    </row>
    <row r="840" spans="1:12">
      <c r="A840" s="13" t="s">
        <v>52</v>
      </c>
      <c r="E840" s="15">
        <f>IF(D840="?OLD","!!!","")</f>
        <v/>
      </c>
      <c r="F840" s="16" t="str">
        <f>IF(OR(E840="",E840="!!!"),"",IF(NOT(ISNA(VLOOKUP(E840,E$1:E839,1,FALSE()))),"OLD",IF(AND(E840&lt;&gt;"",E840&lt;&gt;"!!!"),"NEW","")))</f>
        <v> </v>
      </c>
      <c r="G840" s="17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18" t="str">
        <f>IF(J840&lt;&gt;1,"",IF(I840="SBJ","CB","?"))</f>
        <v> </v>
      </c>
      <c r="I840" s="19" t="str">
        <f>IF(OR(E840="",E840="!!!",F840="NEW"),"",INDEX(B839:B$2,-1+SUMPRODUCT(MAX(ROW(E839:E$2)*(E840=E839:E$2)))))</f>
        <v> </v>
      </c>
      <c r="J840" s="19" t="str">
        <f>IF(OR(E840="",E840="!!!",F840="NEW"),"",COUNTBLANK(OFFSET(A$1,,,SUMPRODUCT(MAX(ROW(E$2:E840)*(E840=E$2:E840)))))-COUNTBLANK(OFFSET(A$1,,,SUMPRODUCT(MAX(ROW(E$1:E839)*(E2=E$1:E839))))))</f>
        <v> </v>
      </c>
      <c r="K840" s="19" t="str">
        <f>IF(OR(E840="",E840="!!!",F840="NEW"),"",INDEX(J$1:J839,SUMPRODUCT(MAX(ROW(E$1:E839)*(E840=E$1:E839)))))</f>
        <v> </v>
      </c>
      <c r="L840" s="20"/>
    </row>
    <row r="841" spans="1:12">
      <c r="A841" s="13" t="s">
        <v>95</v>
      </c>
      <c r="E841" s="15">
        <f>IF(D841="?OLD","!!!","")</f>
        <v/>
      </c>
      <c r="F841" s="16" t="str">
        <f>IF(OR(E841="",E841="!!!"),"",IF(NOT(ISNA(VLOOKUP(E841,E$1:E840,1,FALSE()))),"OLD",IF(AND(E841&lt;&gt;"",E841&lt;&gt;"!!!"),"NEW","")))</f>
        <v> </v>
      </c>
      <c r="G841" s="17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18" t="str">
        <f>IF(J841&lt;&gt;1,"",IF(I841="SBJ","CB","?"))</f>
        <v> </v>
      </c>
      <c r="I841" s="19" t="str">
        <f>IF(OR(E841="",E841="!!!",F841="NEW"),"",INDEX(B840:B$2,-1+SUMPRODUCT(MAX(ROW(E840:E$2)*(E841=E840:E$2)))))</f>
        <v> </v>
      </c>
      <c r="J841" s="19" t="str">
        <f>IF(OR(E841="",E841="!!!",F841="NEW"),"",COUNTBLANK(OFFSET(A$1,,,SUMPRODUCT(MAX(ROW(E$2:E841)*(E841=E$2:E841)))))-COUNTBLANK(OFFSET(A$1,,,SUMPRODUCT(MAX(ROW(E$1:E840)*(E2=E$1:E840))))))</f>
        <v> </v>
      </c>
      <c r="K841" s="19" t="str">
        <f>IF(OR(E841="",E841="!!!",F841="NEW"),"",INDEX(J$1:J840,SUMPRODUCT(MAX(ROW(E$1:E840)*(E841=E$1:E840)))))</f>
        <v> </v>
      </c>
      <c r="L841" s="20"/>
    </row>
    <row r="842" spans="1:12">
      <c r="A842" s="13" t="s">
        <v>298</v>
      </c>
      <c r="B842" s="14" t="s">
        <v>27</v>
      </c>
      <c r="C842" s="14" t="s">
        <v>60</v>
      </c>
      <c r="D842" s="14" t="s">
        <v>25</v>
      </c>
      <c r="E842" s="15">
        <f>IF(D842="?OLD","!!!","")</f>
        <v/>
      </c>
      <c r="F842" s="16" t="str">
        <f>IF(OR(E842="",E842="!!!"),"",IF(NOT(ISNA(VLOOKUP(E842,E$1:E841,1,FALSE()))),"OLD",IF(AND(E842&lt;&gt;"",E842&lt;&gt;"!!!"),"NEW","")))</f>
        <v> </v>
      </c>
      <c r="G842" s="17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18" t="str">
        <f>IF(J842&lt;&gt;1,"",IF(I842="SBJ","CB","?"))</f>
        <v> </v>
      </c>
      <c r="I842" s="19" t="str">
        <f>IF(OR(E842="",E842="!!!",F842="NEW"),"",INDEX(B841:B$2,-1+SUMPRODUCT(MAX(ROW(E841:E$2)*(E842=E841:E$2)))))</f>
        <v> </v>
      </c>
      <c r="J842" s="19" t="str">
        <f>IF(OR(E842="",E842="!!!",F842="NEW"),"",COUNTBLANK(OFFSET(A$1,,,SUMPRODUCT(MAX(ROW(E$2:E842)*(E842=E$2:E842)))))-COUNTBLANK(OFFSET(A$1,,,SUMPRODUCT(MAX(ROW(E$1:E841)*(E2=E$1:E841))))))</f>
        <v> </v>
      </c>
      <c r="K842" s="19" t="str">
        <f>IF(OR(E842="",E842="!!!",F842="NEW"),"",INDEX(J$1:J841,SUMPRODUCT(MAX(ROW(E$1:E841)*(E842=E$1:E841)))))</f>
        <v> </v>
      </c>
      <c r="L842" s="20"/>
    </row>
    <row r="843" spans="1:12">
      <c r="A843" s="13" t="s">
        <v>56</v>
      </c>
      <c r="E843" s="15">
        <f>IF(D843="?OLD","!!!","")</f>
        <v/>
      </c>
      <c r="F843" s="16" t="str">
        <f>IF(OR(E843="",E843="!!!"),"",IF(NOT(ISNA(VLOOKUP(E843,E$1:E842,1,FALSE()))),"OLD",IF(AND(E843&lt;&gt;"",E843&lt;&gt;"!!!"),"NEW","")))</f>
        <v> </v>
      </c>
      <c r="G843" s="17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18" t="str">
        <f>IF(J843&lt;&gt;1,"",IF(I843="SBJ","CB","?"))</f>
        <v> </v>
      </c>
      <c r="I843" s="19" t="str">
        <f>IF(OR(E843="",E843="!!!",F843="NEW"),"",INDEX(B842:B$2,-1+SUMPRODUCT(MAX(ROW(E842:E$2)*(E843=E842:E$2)))))</f>
        <v> </v>
      </c>
      <c r="J843" s="19" t="str">
        <f>IF(OR(E843="",E843="!!!",F843="NEW"),"",COUNTBLANK(OFFSET(A$1,,,SUMPRODUCT(MAX(ROW(E$2:E843)*(E843=E$2:E843)))))-COUNTBLANK(OFFSET(A$1,,,SUMPRODUCT(MAX(ROW(E$1:E842)*(E2=E$1:E842))))))</f>
        <v> </v>
      </c>
      <c r="K843" s="19" t="str">
        <f>IF(OR(E843="",E843="!!!",F843="NEW"),"",INDEX(J$1:J842,SUMPRODUCT(MAX(ROW(E$1:E842)*(E843=E$1:E842)))))</f>
        <v> </v>
      </c>
      <c r="L843" s="20"/>
    </row>
    <row r="844" spans="1:12">
      <c r="A844" s="13" t="s">
        <v>192</v>
      </c>
      <c r="E844" s="15">
        <f>IF(D844="?OLD","!!!","")</f>
        <v/>
      </c>
      <c r="F844" s="16" t="str">
        <f>IF(OR(E844="",E844="!!!"),"",IF(NOT(ISNA(VLOOKUP(E844,E$1:E843,1,FALSE()))),"OLD",IF(AND(E844&lt;&gt;"",E844&lt;&gt;"!!!"),"NEW","")))</f>
        <v> </v>
      </c>
      <c r="G844" s="17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18" t="str">
        <f>IF(J844&lt;&gt;1,"",IF(I844="SBJ","CB","?"))</f>
        <v> </v>
      </c>
      <c r="I844" s="19" t="str">
        <f>IF(OR(E844="",E844="!!!",F844="NEW"),"",INDEX(B843:B$2,-1+SUMPRODUCT(MAX(ROW(E843:E$2)*(E844=E843:E$2)))))</f>
        <v> </v>
      </c>
      <c r="J844" s="19" t="str">
        <f>IF(OR(E844="",E844="!!!",F844="NEW"),"",COUNTBLANK(OFFSET(A$1,,,SUMPRODUCT(MAX(ROW(E$2:E844)*(E844=E$2:E844)))))-COUNTBLANK(OFFSET(A$1,,,SUMPRODUCT(MAX(ROW(E$1:E843)*(E2=E$1:E843))))))</f>
        <v> </v>
      </c>
      <c r="K844" s="19" t="str">
        <f>IF(OR(E844="",E844="!!!",F844="NEW"),"",INDEX(J$1:J843,SUMPRODUCT(MAX(ROW(E$1:E843)*(E844=E$1:E843)))))</f>
        <v> </v>
      </c>
      <c r="L844" s="20"/>
    </row>
    <row r="845" spans="1:12">
      <c r="A845" s="13" t="s">
        <v>175</v>
      </c>
      <c r="E845" s="15">
        <f>IF(D845="?OLD","!!!","")</f>
        <v/>
      </c>
      <c r="F845" s="16" t="str">
        <f>IF(OR(E845="",E845="!!!"),"",IF(NOT(ISNA(VLOOKUP(E845,E$1:E844,1,FALSE()))),"OLD",IF(AND(E845&lt;&gt;"",E845&lt;&gt;"!!!"),"NEW","")))</f>
        <v> </v>
      </c>
      <c r="G845" s="17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18" t="str">
        <f>IF(J845&lt;&gt;1,"",IF(I845="SBJ","CB","?"))</f>
        <v> </v>
      </c>
      <c r="I845" s="19" t="str">
        <f>IF(OR(E845="",E845="!!!",F845="NEW"),"",INDEX(B844:B$2,-1+SUMPRODUCT(MAX(ROW(E844:E$2)*(E845=E844:E$2)))))</f>
        <v> </v>
      </c>
      <c r="J845" s="19" t="str">
        <f>IF(OR(E845="",E845="!!!",F845="NEW"),"",COUNTBLANK(OFFSET(A$1,,,SUMPRODUCT(MAX(ROW(E$2:E845)*(E845=E$2:E845)))))-COUNTBLANK(OFFSET(A$1,,,SUMPRODUCT(MAX(ROW(E$1:E844)*(E2=E$1:E844))))))</f>
        <v> </v>
      </c>
      <c r="K845" s="19" t="str">
        <f>IF(OR(E845="",E845="!!!",F845="NEW"),"",INDEX(J$1:J844,SUMPRODUCT(MAX(ROW(E$1:E844)*(E845=E$1:E844)))))</f>
        <v> </v>
      </c>
      <c r="L845" s="20"/>
    </row>
    <row r="846" spans="1:12">
      <c r="A846" s="13" t="s">
        <v>49</v>
      </c>
      <c r="E846" s="15">
        <f>IF(D846="?OLD","!!!","")</f>
        <v/>
      </c>
      <c r="F846" s="16" t="str">
        <f>IF(OR(E846="",E846="!!!"),"",IF(NOT(ISNA(VLOOKUP(E846,E$1:E845,1,FALSE()))),"OLD",IF(AND(E846&lt;&gt;"",E846&lt;&gt;"!!!"),"NEW","")))</f>
        <v> </v>
      </c>
      <c r="G846" s="17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18" t="str">
        <f>IF(J846&lt;&gt;1,"",IF(I846="SBJ","CB","?"))</f>
        <v> </v>
      </c>
      <c r="I846" s="19" t="str">
        <f>IF(OR(E846="",E846="!!!",F846="NEW"),"",INDEX(B845:B$2,-1+SUMPRODUCT(MAX(ROW(E845:E$2)*(E846=E845:E$2)))))</f>
        <v> </v>
      </c>
      <c r="J846" s="19" t="str">
        <f>IF(OR(E846="",E846="!!!",F846="NEW"),"",COUNTBLANK(OFFSET(A$1,,,SUMPRODUCT(MAX(ROW(E$2:E846)*(E846=E$2:E846)))))-COUNTBLANK(OFFSET(A$1,,,SUMPRODUCT(MAX(ROW(E$1:E845)*(E2=E$1:E845))))))</f>
        <v> </v>
      </c>
      <c r="K846" s="19" t="str">
        <f>IF(OR(E846="",E846="!!!",F846="NEW"),"",INDEX(J$1:J845,SUMPRODUCT(MAX(ROW(E$1:E845)*(E846=E$1:E845)))))</f>
        <v> </v>
      </c>
      <c r="L846" s="20"/>
    </row>
    <row r="847" spans="1:12">
      <c r="A847" s="13" t="s">
        <v>168</v>
      </c>
      <c r="E847" s="15">
        <f>IF(D847="?OLD","!!!","")</f>
        <v/>
      </c>
      <c r="F847" s="16" t="str">
        <f>IF(OR(E847="",E847="!!!"),"",IF(NOT(ISNA(VLOOKUP(E847,E$1:E846,1,FALSE()))),"OLD",IF(AND(E847&lt;&gt;"",E847&lt;&gt;"!!!"),"NEW","")))</f>
        <v> </v>
      </c>
      <c r="G847" s="17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18" t="str">
        <f>IF(J847&lt;&gt;1,"",IF(I847="SBJ","CB","?"))</f>
        <v> </v>
      </c>
      <c r="I847" s="19" t="str">
        <f>IF(OR(E847="",E847="!!!",F847="NEW"),"",INDEX(B846:B$2,-1+SUMPRODUCT(MAX(ROW(E846:E$2)*(E847=E846:E$2)))))</f>
        <v> </v>
      </c>
      <c r="J847" s="19" t="str">
        <f>IF(OR(E847="",E847="!!!",F847="NEW"),"",COUNTBLANK(OFFSET(A$1,,,SUMPRODUCT(MAX(ROW(E$2:E847)*(E847=E$2:E847)))))-COUNTBLANK(OFFSET(A$1,,,SUMPRODUCT(MAX(ROW(E$1:E846)*(E2=E$1:E846))))))</f>
        <v> </v>
      </c>
      <c r="K847" s="19" t="str">
        <f>IF(OR(E847="",E847="!!!",F847="NEW"),"",INDEX(J$1:J846,SUMPRODUCT(MAX(ROW(E$1:E846)*(E847=E$1:E846)))))</f>
        <v> </v>
      </c>
      <c r="L847" s="20"/>
    </row>
    <row r="848" spans="1:12">
      <c r="A848" s="13" t="s">
        <v>362</v>
      </c>
      <c r="B848" s="14" t="s">
        <v>126</v>
      </c>
      <c r="C848" s="14" t="s">
        <v>51</v>
      </c>
      <c r="E848" s="15">
        <f>IF(D848="?OLD","!!!","")</f>
        <v/>
      </c>
      <c r="F848" s="16" t="str">
        <f>IF(OR(E848="",E848="!!!"),"",IF(NOT(ISNA(VLOOKUP(E848,E$1:E847,1,FALSE()))),"OLD",IF(AND(E848&lt;&gt;"",E848&lt;&gt;"!!!"),"NEW","")))</f>
        <v> </v>
      </c>
      <c r="G848" s="17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18" t="str">
        <f>IF(J848&lt;&gt;1,"",IF(I848="SBJ","CB","?"))</f>
        <v> </v>
      </c>
      <c r="I848" s="19" t="str">
        <f>IF(OR(E848="",E848="!!!",F848="NEW"),"",INDEX(B847:B$2,-1+SUMPRODUCT(MAX(ROW(E847:E$2)*(E848=E847:E$2)))))</f>
        <v> </v>
      </c>
      <c r="J848" s="19" t="str">
        <f>IF(OR(E848="",E848="!!!",F848="NEW"),"",COUNTBLANK(OFFSET(A$1,,,SUMPRODUCT(MAX(ROW(E$2:E848)*(E848=E$2:E848)))))-COUNTBLANK(OFFSET(A$1,,,SUMPRODUCT(MAX(ROW(E$1:E847)*(E2=E$1:E847))))))</f>
        <v> </v>
      </c>
      <c r="K848" s="19" t="str">
        <f>IF(OR(E848="",E848="!!!",F848="NEW"),"",INDEX(J$1:J847,SUMPRODUCT(MAX(ROW(E$1:E847)*(E848=E$1:E847)))))</f>
        <v> </v>
      </c>
      <c r="L848" s="20"/>
    </row>
    <row r="849" spans="1:12">
      <c r="A849" s="13" t="s">
        <v>52</v>
      </c>
      <c r="E849" s="15">
        <f>IF(D849="?OLD","!!!","")</f>
        <v/>
      </c>
      <c r="F849" s="16" t="str">
        <f>IF(OR(E849="",E849="!!!"),"",IF(NOT(ISNA(VLOOKUP(E849,E$1:E848,1,FALSE()))),"OLD",IF(AND(E849&lt;&gt;"",E849&lt;&gt;"!!!"),"NEW","")))</f>
        <v> </v>
      </c>
      <c r="G849" s="17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18" t="str">
        <f>IF(J849&lt;&gt;1,"",IF(I849="SBJ","CB","?"))</f>
        <v> </v>
      </c>
      <c r="I849" s="19" t="str">
        <f>IF(OR(E849="",E849="!!!",F849="NEW"),"",INDEX(B848:B$2,-1+SUMPRODUCT(MAX(ROW(E848:E$2)*(E849=E848:E$2)))))</f>
        <v> </v>
      </c>
      <c r="J849" s="19" t="str">
        <f>IF(OR(E849="",E849="!!!",F849="NEW"),"",COUNTBLANK(OFFSET(A$1,,,SUMPRODUCT(MAX(ROW(E$2:E849)*(E849=E$2:E849)))))-COUNTBLANK(OFFSET(A$1,,,SUMPRODUCT(MAX(ROW(E$1:E848)*(E2=E$1:E848))))))</f>
        <v> </v>
      </c>
      <c r="K849" s="19" t="str">
        <f>IF(OR(E849="",E849="!!!",F849="NEW"),"",INDEX(J$1:J848,SUMPRODUCT(MAX(ROW(E$1:E848)*(E849=E$1:E848)))))</f>
        <v> </v>
      </c>
      <c r="L849" s="20"/>
    </row>
    <row r="850" spans="1:12">
      <c r="A850" s="13" t="s">
        <v>95</v>
      </c>
      <c r="E850" s="15">
        <f>IF(D850="?OLD","!!!","")</f>
        <v/>
      </c>
      <c r="F850" s="16" t="str">
        <f>IF(OR(E850="",E850="!!!"),"",IF(NOT(ISNA(VLOOKUP(E850,E$1:E849,1,FALSE()))),"OLD",IF(AND(E850&lt;&gt;"",E850&lt;&gt;"!!!"),"NEW","")))</f>
        <v> </v>
      </c>
      <c r="G850" s="17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18" t="str">
        <f>IF(J850&lt;&gt;1,"",IF(I850="SBJ","CB","?"))</f>
        <v> </v>
      </c>
      <c r="I850" s="19" t="str">
        <f>IF(OR(E850="",E850="!!!",F850="NEW"),"",INDEX(B849:B$2,-1+SUMPRODUCT(MAX(ROW(E849:E$2)*(E850=E849:E$2)))))</f>
        <v> </v>
      </c>
      <c r="J850" s="19" t="str">
        <f>IF(OR(E850="",E850="!!!",F850="NEW"),"",COUNTBLANK(OFFSET(A$1,,,SUMPRODUCT(MAX(ROW(E$2:E850)*(E850=E$2:E850)))))-COUNTBLANK(OFFSET(A$1,,,SUMPRODUCT(MAX(ROW(E$1:E849)*(E2=E$1:E849))))))</f>
        <v> </v>
      </c>
      <c r="K850" s="19" t="str">
        <f>IF(OR(E850="",E850="!!!",F850="NEW"),"",INDEX(J$1:J849,SUMPRODUCT(MAX(ROW(E$1:E849)*(E850=E$1:E849)))))</f>
        <v> </v>
      </c>
      <c r="L850" s="20"/>
    </row>
    <row r="851" spans="1:12">
      <c r="A851" s="13" t="s">
        <v>67</v>
      </c>
      <c r="E851" s="15">
        <f>IF(D851="?OLD","!!!","")</f>
        <v/>
      </c>
      <c r="F851" s="16" t="str">
        <f>IF(OR(E851="",E851="!!!"),"",IF(NOT(ISNA(VLOOKUP(E851,E$1:E850,1,FALSE()))),"OLD",IF(AND(E851&lt;&gt;"",E851&lt;&gt;"!!!"),"NEW","")))</f>
        <v> </v>
      </c>
      <c r="G851" s="17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18" t="str">
        <f>IF(J851&lt;&gt;1,"",IF(I851="SBJ","CB","?"))</f>
        <v> </v>
      </c>
      <c r="I851" s="19" t="str">
        <f>IF(OR(E851="",E851="!!!",F851="NEW"),"",INDEX(B850:B$2,-1+SUMPRODUCT(MAX(ROW(E850:E$2)*(E851=E850:E$2)))))</f>
        <v> </v>
      </c>
      <c r="J851" s="19" t="str">
        <f>IF(OR(E851="",E851="!!!",F851="NEW"),"",COUNTBLANK(OFFSET(A$1,,,SUMPRODUCT(MAX(ROW(E$2:E851)*(E851=E$2:E851)))))-COUNTBLANK(OFFSET(A$1,,,SUMPRODUCT(MAX(ROW(E$1:E850)*(E2=E$1:E850))))))</f>
        <v> </v>
      </c>
      <c r="K851" s="19" t="str">
        <f>IF(OR(E851="",E851="!!!",F851="NEW"),"",INDEX(J$1:J850,SUMPRODUCT(MAX(ROW(E$1:E850)*(E851=E$1:E850)))))</f>
        <v> </v>
      </c>
      <c r="L851" s="20"/>
    </row>
    <row r="852" spans="1:12">
      <c r="A852" s="13" t="s">
        <v>363</v>
      </c>
      <c r="E852" s="15">
        <f>IF(D852="?OLD","!!!","")</f>
        <v/>
      </c>
      <c r="F852" s="16" t="str">
        <f>IF(OR(E852="",E852="!!!"),"",IF(NOT(ISNA(VLOOKUP(E852,E$1:E851,1,FALSE()))),"OLD",IF(AND(E852&lt;&gt;"",E852&lt;&gt;"!!!"),"NEW","")))</f>
        <v> </v>
      </c>
      <c r="G852" s="17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18" t="str">
        <f>IF(J852&lt;&gt;1,"",IF(I852="SBJ","CB","?"))</f>
        <v> </v>
      </c>
      <c r="I852" s="19" t="str">
        <f>IF(OR(E852="",E852="!!!",F852="NEW"),"",INDEX(B851:B$2,-1+SUMPRODUCT(MAX(ROW(E851:E$2)*(E852=E851:E$2)))))</f>
        <v> </v>
      </c>
      <c r="J852" s="19" t="str">
        <f>IF(OR(E852="",E852="!!!",F852="NEW"),"",COUNTBLANK(OFFSET(A$1,,,SUMPRODUCT(MAX(ROW(E$2:E852)*(E852=E$2:E852)))))-COUNTBLANK(OFFSET(A$1,,,SUMPRODUCT(MAX(ROW(E$1:E851)*(E2=E$1:E851))))))</f>
        <v> </v>
      </c>
      <c r="K852" s="19" t="str">
        <f>IF(OR(E852="",E852="!!!",F852="NEW"),"",INDEX(J$1:J851,SUMPRODUCT(MAX(ROW(E$1:E851)*(E852=E$1:E851)))))</f>
        <v> </v>
      </c>
      <c r="L852" s="20"/>
    </row>
    <row r="853" spans="1:12">
      <c r="A853" s="13" t="s">
        <v>48</v>
      </c>
      <c r="E853" s="15">
        <f>IF(D853="?OLD","!!!","")</f>
        <v/>
      </c>
      <c r="F853" s="16" t="str">
        <f>IF(OR(E853="",E853="!!!"),"",IF(NOT(ISNA(VLOOKUP(E853,E$1:E852,1,FALSE()))),"OLD",IF(AND(E853&lt;&gt;"",E853&lt;&gt;"!!!"),"NEW","")))</f>
        <v> </v>
      </c>
      <c r="G853" s="17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18" t="str">
        <f>IF(J853&lt;&gt;1,"",IF(I853="SBJ","CB","?"))</f>
        <v> </v>
      </c>
      <c r="I853" s="19" t="str">
        <f>IF(OR(E853="",E853="!!!",F853="NEW"),"",INDEX(B852:B$2,-1+SUMPRODUCT(MAX(ROW(E852:E$2)*(E853=E852:E$2)))))</f>
        <v> </v>
      </c>
      <c r="J853" s="19" t="str">
        <f>IF(OR(E853="",E853="!!!",F853="NEW"),"",COUNTBLANK(OFFSET(A$1,,,SUMPRODUCT(MAX(ROW(E$2:E853)*(E853=E$2:E853)))))-COUNTBLANK(OFFSET(A$1,,,SUMPRODUCT(MAX(ROW(E$1:E852)*(E2=E$1:E852))))))</f>
        <v> </v>
      </c>
      <c r="K853" s="19" t="str">
        <f>IF(OR(E853="",E853="!!!",F853="NEW"),"",INDEX(J$1:J852,SUMPRODUCT(MAX(ROW(E$1:E852)*(E853=E$1:E852)))))</f>
        <v> </v>
      </c>
      <c r="L853" s="20"/>
    </row>
    <row r="854" spans="1:12">
      <c r="A854" s="13" t="s">
        <v>364</v>
      </c>
      <c r="E854" s="15">
        <f>IF(D854="?OLD","!!!","")</f>
        <v/>
      </c>
      <c r="F854" s="16" t="str">
        <f>IF(OR(E854="",E854="!!!"),"",IF(NOT(ISNA(VLOOKUP(E854,E$1:E853,1,FALSE()))),"OLD",IF(AND(E854&lt;&gt;"",E854&lt;&gt;"!!!"),"NEW","")))</f>
        <v> </v>
      </c>
      <c r="G854" s="17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18" t="str">
        <f>IF(J854&lt;&gt;1,"",IF(I854="SBJ","CB","?"))</f>
        <v> </v>
      </c>
      <c r="I854" s="19" t="str">
        <f>IF(OR(E854="",E854="!!!",F854="NEW"),"",INDEX(B853:B$2,-1+SUMPRODUCT(MAX(ROW(E853:E$2)*(E854=E853:E$2)))))</f>
        <v> </v>
      </c>
      <c r="J854" s="19" t="str">
        <f>IF(OR(E854="",E854="!!!",F854="NEW"),"",COUNTBLANK(OFFSET(A$1,,,SUMPRODUCT(MAX(ROW(E$2:E854)*(E854=E$2:E854)))))-COUNTBLANK(OFFSET(A$1,,,SUMPRODUCT(MAX(ROW(E$1:E853)*(E2=E$1:E853))))))</f>
        <v> </v>
      </c>
      <c r="K854" s="19" t="str">
        <f>IF(OR(E854="",E854="!!!",F854="NEW"),"",INDEX(J$1:J853,SUMPRODUCT(MAX(ROW(E$1:E853)*(E854=E$1:E853)))))</f>
        <v> </v>
      </c>
      <c r="L854" s="20"/>
    </row>
    <row r="855" spans="1:12">
      <c r="A855" s="13" t="s">
        <v>57</v>
      </c>
      <c r="E855" s="15">
        <f>IF(D855="?OLD","!!!","")</f>
        <v/>
      </c>
      <c r="F855" s="16" t="str">
        <f>IF(OR(E855="",E855="!!!"),"",IF(NOT(ISNA(VLOOKUP(E855,E$1:E854,1,FALSE()))),"OLD",IF(AND(E855&lt;&gt;"",E855&lt;&gt;"!!!"),"NEW","")))</f>
        <v> </v>
      </c>
      <c r="G855" s="17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18" t="str">
        <f>IF(J855&lt;&gt;1,"",IF(I855="SBJ","CB","?"))</f>
        <v> </v>
      </c>
      <c r="I855" s="19" t="str">
        <f>IF(OR(E855="",E855="!!!",F855="NEW"),"",INDEX(B854:B$2,-1+SUMPRODUCT(MAX(ROW(E854:E$2)*(E855=E854:E$2)))))</f>
        <v> </v>
      </c>
      <c r="J855" s="19" t="str">
        <f>IF(OR(E855="",E855="!!!",F855="NEW"),"",COUNTBLANK(OFFSET(A$1,,,SUMPRODUCT(MAX(ROW(E$2:E855)*(E855=E$2:E855)))))-COUNTBLANK(OFFSET(A$1,,,SUMPRODUCT(MAX(ROW(E$1:E854)*(E2=E$1:E854))))))</f>
        <v> </v>
      </c>
      <c r="K855" s="19" t="str">
        <f>IF(OR(E855="",E855="!!!",F855="NEW"),"",INDEX(J$1:J854,SUMPRODUCT(MAX(ROW(E$1:E854)*(E855=E$1:E854)))))</f>
        <v> </v>
      </c>
      <c r="L855" s="20"/>
    </row>
    <row r="856" spans="1:12">
      <c r="A856" s="13" t="s">
        <v>71</v>
      </c>
      <c r="B856" s="14" t="s">
        <v>106</v>
      </c>
      <c r="C856" s="14" t="s">
        <v>72</v>
      </c>
      <c r="D856" s="14" t="s">
        <v>25</v>
      </c>
      <c r="E856" s="15">
        <f>IF(D856="?OLD","!!!","")</f>
        <v/>
      </c>
      <c r="F856" s="16" t="str">
        <f>IF(OR(E856="",E856="!!!"),"",IF(NOT(ISNA(VLOOKUP(E856,E$1:E855,1,FALSE()))),"OLD",IF(AND(E856&lt;&gt;"",E856&lt;&gt;"!!!"),"NEW","")))</f>
        <v> </v>
      </c>
      <c r="G856" s="17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18" t="str">
        <f>IF(J856&lt;&gt;1,"",IF(I856="SBJ","CB","?"))</f>
        <v> </v>
      </c>
      <c r="I856" s="19" t="str">
        <f>IF(OR(E856="",E856="!!!",F856="NEW"),"",INDEX(B855:B$2,-1+SUMPRODUCT(MAX(ROW(E855:E$2)*(E856=E855:E$2)))))</f>
        <v> </v>
      </c>
      <c r="J856" s="19" t="str">
        <f>IF(OR(E856="",E856="!!!",F856="NEW"),"",COUNTBLANK(OFFSET(A$1,,,SUMPRODUCT(MAX(ROW(E$2:E856)*(E856=E$2:E856)))))-COUNTBLANK(OFFSET(A$1,,,SUMPRODUCT(MAX(ROW(E$1:E855)*(E2=E$1:E855))))))</f>
        <v> </v>
      </c>
      <c r="K856" s="19" t="str">
        <f>IF(OR(E856="",E856="!!!",F856="NEW"),"",INDEX(J$1:J855,SUMPRODUCT(MAX(ROW(E$1:E855)*(E856=E$1:E855)))))</f>
        <v> </v>
      </c>
      <c r="L856" s="20"/>
    </row>
    <row r="857" spans="1:12">
      <c r="A857" s="13" t="s">
        <v>77</v>
      </c>
      <c r="B857" s="14" t="s">
        <v>97</v>
      </c>
      <c r="C857" s="14" t="s">
        <v>60</v>
      </c>
      <c r="D857" s="14" t="s">
        <v>25</v>
      </c>
      <c r="E857" s="15">
        <f>IF(D857="?OLD","!!!","")</f>
        <v/>
      </c>
      <c r="F857" s="16" t="str">
        <f>IF(OR(E857="",E857="!!!"),"",IF(NOT(ISNA(VLOOKUP(E857,E$1:E856,1,FALSE()))),"OLD",IF(AND(E857&lt;&gt;"",E857&lt;&gt;"!!!"),"NEW","")))</f>
        <v> </v>
      </c>
      <c r="G857" s="17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18" t="str">
        <f>IF(J857&lt;&gt;1,"",IF(I857="SBJ","CB","?"))</f>
        <v> </v>
      </c>
      <c r="I857" s="19" t="str">
        <f>IF(OR(E857="",E857="!!!",F857="NEW"),"",INDEX(B856:B$2,-1+SUMPRODUCT(MAX(ROW(E856:E$2)*(E857=E856:E$2)))))</f>
        <v> </v>
      </c>
      <c r="J857" s="19" t="str">
        <f>IF(OR(E857="",E857="!!!",F857="NEW"),"",COUNTBLANK(OFFSET(A$1,,,SUMPRODUCT(MAX(ROW(E$2:E857)*(E857=E$2:E857)))))-COUNTBLANK(OFFSET(A$1,,,SUMPRODUCT(MAX(ROW(E$1:E856)*(E2=E$1:E856))))))</f>
        <v> </v>
      </c>
      <c r="K857" s="19" t="str">
        <f>IF(OR(E857="",E857="!!!",F857="NEW"),"",INDEX(J$1:J856,SUMPRODUCT(MAX(ROW(E$1:E856)*(E857=E$1:E856)))))</f>
        <v> </v>
      </c>
      <c r="L857" s="20"/>
    </row>
    <row r="858" spans="1:12">
      <c r="A858" s="13" t="s">
        <v>56</v>
      </c>
      <c r="E858" s="15">
        <f>IF(D858="?OLD","!!!","")</f>
        <v/>
      </c>
      <c r="F858" s="16" t="str">
        <f>IF(OR(E858="",E858="!!!"),"",IF(NOT(ISNA(VLOOKUP(E858,E$1:E857,1,FALSE()))),"OLD",IF(AND(E858&lt;&gt;"",E858&lt;&gt;"!!!"),"NEW","")))</f>
        <v> </v>
      </c>
      <c r="G858" s="17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18" t="str">
        <f>IF(J858&lt;&gt;1,"",IF(I858="SBJ","CB","?"))</f>
        <v> </v>
      </c>
      <c r="I858" s="19" t="str">
        <f>IF(OR(E858="",E858="!!!",F858="NEW"),"",INDEX(B857:B$2,-1+SUMPRODUCT(MAX(ROW(E857:E$2)*(E858=E857:E$2)))))</f>
        <v> </v>
      </c>
      <c r="J858" s="19" t="str">
        <f>IF(OR(E858="",E858="!!!",F858="NEW"),"",COUNTBLANK(OFFSET(A$1,,,SUMPRODUCT(MAX(ROW(E$2:E858)*(E858=E$2:E858)))))-COUNTBLANK(OFFSET(A$1,,,SUMPRODUCT(MAX(ROW(E$1:E857)*(E2=E$1:E857))))))</f>
        <v> </v>
      </c>
      <c r="K858" s="19" t="str">
        <f>IF(OR(E858="",E858="!!!",F858="NEW"),"",INDEX(J$1:J857,SUMPRODUCT(MAX(ROW(E$1:E857)*(E858=E$1:E857)))))</f>
        <v> </v>
      </c>
      <c r="L858" s="20"/>
    </row>
    <row r="859" spans="1:12">
      <c r="A859" s="13" t="s">
        <v>365</v>
      </c>
      <c r="E859" s="15">
        <f>IF(D859="?OLD","!!!","")</f>
        <v/>
      </c>
      <c r="F859" s="16" t="str">
        <f>IF(OR(E859="",E859="!!!"),"",IF(NOT(ISNA(VLOOKUP(E859,E$1:E858,1,FALSE()))),"OLD",IF(AND(E859&lt;&gt;"",E859&lt;&gt;"!!!"),"NEW","")))</f>
        <v> </v>
      </c>
      <c r="G859" s="17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18" t="str">
        <f>IF(J859&lt;&gt;1,"",IF(I859="SBJ","CB","?"))</f>
        <v> </v>
      </c>
      <c r="I859" s="19" t="str">
        <f>IF(OR(E859="",E859="!!!",F859="NEW"),"",INDEX(B858:B$2,-1+SUMPRODUCT(MAX(ROW(E858:E$2)*(E859=E858:E$2)))))</f>
        <v> </v>
      </c>
      <c r="J859" s="19" t="str">
        <f>IF(OR(E859="",E859="!!!",F859="NEW"),"",COUNTBLANK(OFFSET(A$1,,,SUMPRODUCT(MAX(ROW(E$2:E859)*(E859=E$2:E859)))))-COUNTBLANK(OFFSET(A$1,,,SUMPRODUCT(MAX(ROW(E$1:E858)*(E2=E$1:E858))))))</f>
        <v> </v>
      </c>
      <c r="K859" s="19" t="str">
        <f>IF(OR(E859="",E859="!!!",F859="NEW"),"",INDEX(J$1:J858,SUMPRODUCT(MAX(ROW(E$1:E858)*(E859=E$1:E858)))))</f>
        <v> </v>
      </c>
      <c r="L859" s="20"/>
    </row>
    <row r="860" spans="1:12">
      <c r="A860" s="13" t="s">
        <v>48</v>
      </c>
      <c r="E860" s="15">
        <f>IF(D860="?OLD","!!!","")</f>
        <v/>
      </c>
      <c r="F860" s="16" t="str">
        <f>IF(OR(E860="",E860="!!!"),"",IF(NOT(ISNA(VLOOKUP(E860,E$1:E859,1,FALSE()))),"OLD",IF(AND(E860&lt;&gt;"",E860&lt;&gt;"!!!"),"NEW","")))</f>
        <v> </v>
      </c>
      <c r="G860" s="17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18" t="str">
        <f>IF(J860&lt;&gt;1,"",IF(I860="SBJ","CB","?"))</f>
        <v> </v>
      </c>
      <c r="I860" s="19" t="str">
        <f>IF(OR(E860="",E860="!!!",F860="NEW"),"",INDEX(B859:B$2,-1+SUMPRODUCT(MAX(ROW(E859:E$2)*(E860=E859:E$2)))))</f>
        <v> </v>
      </c>
      <c r="J860" s="19" t="str">
        <f>IF(OR(E860="",E860="!!!",F860="NEW"),"",COUNTBLANK(OFFSET(A$1,,,SUMPRODUCT(MAX(ROW(E$2:E860)*(E860=E$2:E860)))))-COUNTBLANK(OFFSET(A$1,,,SUMPRODUCT(MAX(ROW(E$1:E859)*(E2=E$1:E859))))))</f>
        <v> </v>
      </c>
      <c r="K860" s="19" t="str">
        <f>IF(OR(E860="",E860="!!!",F860="NEW"),"",INDEX(J$1:J859,SUMPRODUCT(MAX(ROW(E$1:E859)*(E860=E$1:E859)))))</f>
        <v> </v>
      </c>
      <c r="L860" s="20"/>
    </row>
    <row r="861" spans="1:12">
      <c r="A861" s="13" t="s">
        <v>366</v>
      </c>
      <c r="E861" s="15">
        <f>IF(D861="?OLD","!!!","")</f>
        <v/>
      </c>
      <c r="F861" s="16" t="str">
        <f>IF(OR(E861="",E861="!!!"),"",IF(NOT(ISNA(VLOOKUP(E861,E$1:E860,1,FALSE()))),"OLD",IF(AND(E861&lt;&gt;"",E861&lt;&gt;"!!!"),"NEW","")))</f>
        <v> </v>
      </c>
      <c r="G861" s="17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18" t="str">
        <f>IF(J861&lt;&gt;1,"",IF(I861="SBJ","CB","?"))</f>
        <v> </v>
      </c>
      <c r="I861" s="19" t="str">
        <f>IF(OR(E861="",E861="!!!",F861="NEW"),"",INDEX(B860:B$2,-1+SUMPRODUCT(MAX(ROW(E860:E$2)*(E861=E860:E$2)))))</f>
        <v> </v>
      </c>
      <c r="J861" s="19" t="str">
        <f>IF(OR(E861="",E861="!!!",F861="NEW"),"",COUNTBLANK(OFFSET(A$1,,,SUMPRODUCT(MAX(ROW(E$2:E861)*(E861=E$2:E861)))))-COUNTBLANK(OFFSET(A$1,,,SUMPRODUCT(MAX(ROW(E$1:E860)*(E2=E$1:E860))))))</f>
        <v> </v>
      </c>
      <c r="K861" s="19" t="str">
        <f>IF(OR(E861="",E861="!!!",F861="NEW"),"",INDEX(J$1:J860,SUMPRODUCT(MAX(ROW(E$1:E860)*(E861=E$1:E860)))))</f>
        <v> </v>
      </c>
      <c r="L861" s="20"/>
    </row>
    <row r="862" spans="1:12">
      <c r="A862" s="13" t="s">
        <v>367</v>
      </c>
      <c r="E862" s="15">
        <f>IF(D862="?OLD","!!!","")</f>
        <v/>
      </c>
      <c r="F862" s="16" t="str">
        <f>IF(OR(E862="",E862="!!!"),"",IF(NOT(ISNA(VLOOKUP(E862,E$1:E861,1,FALSE()))),"OLD",IF(AND(E862&lt;&gt;"",E862&lt;&gt;"!!!"),"NEW","")))</f>
        <v> </v>
      </c>
      <c r="G862" s="17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18" t="str">
        <f>IF(J862&lt;&gt;1,"",IF(I862="SBJ","CB","?"))</f>
        <v> </v>
      </c>
      <c r="I862" s="19" t="str">
        <f>IF(OR(E862="",E862="!!!",F862="NEW"),"",INDEX(B861:B$2,-1+SUMPRODUCT(MAX(ROW(E861:E$2)*(E862=E861:E$2)))))</f>
        <v> </v>
      </c>
      <c r="J862" s="19" t="str">
        <f>IF(OR(E862="",E862="!!!",F862="NEW"),"",COUNTBLANK(OFFSET(A$1,,,SUMPRODUCT(MAX(ROW(E$2:E862)*(E862=E$2:E862)))))-COUNTBLANK(OFFSET(A$1,,,SUMPRODUCT(MAX(ROW(E$1:E861)*(E2=E$1:E861))))))</f>
        <v> </v>
      </c>
      <c r="K862" s="19" t="str">
        <f>IF(OR(E862="",E862="!!!",F862="NEW"),"",INDEX(J$1:J861,SUMPRODUCT(MAX(ROW(E$1:E861)*(E862=E$1:E861)))))</f>
        <v> </v>
      </c>
      <c r="L862" s="20"/>
    </row>
    <row r="863" spans="1:12">
      <c r="A863" s="13" t="s">
        <v>68</v>
      </c>
      <c r="E863" s="15">
        <f>IF(D863="?OLD","!!!","")</f>
        <v/>
      </c>
      <c r="F863" s="16" t="str">
        <f>IF(OR(E863="",E863="!!!"),"",IF(NOT(ISNA(VLOOKUP(E863,E$1:E862,1,FALSE()))),"OLD",IF(AND(E863&lt;&gt;"",E863&lt;&gt;"!!!"),"NEW","")))</f>
        <v> </v>
      </c>
      <c r="G863" s="17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18" t="str">
        <f>IF(J863&lt;&gt;1,"",IF(I863="SBJ","CB","?"))</f>
        <v> </v>
      </c>
      <c r="I863" s="19" t="str">
        <f>IF(OR(E863="",E863="!!!",F863="NEW"),"",INDEX(B862:B$2,-1+SUMPRODUCT(MAX(ROW(E862:E$2)*(E863=E862:E$2)))))</f>
        <v> </v>
      </c>
      <c r="J863" s="19" t="str">
        <f>IF(OR(E863="",E863="!!!",F863="NEW"),"",COUNTBLANK(OFFSET(A$1,,,SUMPRODUCT(MAX(ROW(E$2:E863)*(E863=E$2:E863)))))-COUNTBLANK(OFFSET(A$1,,,SUMPRODUCT(MAX(ROW(E$1:E862)*(E2=E$1:E862))))))</f>
        <v> </v>
      </c>
      <c r="K863" s="19" t="str">
        <f>IF(OR(E863="",E863="!!!",F863="NEW"),"",INDEX(J$1:J862,SUMPRODUCT(MAX(ROW(E$1:E862)*(E863=E$1:E862)))))</f>
        <v> </v>
      </c>
      <c r="L863" s="20"/>
    </row>
    <row r="864" spans="1:12">
      <c r="A864" s="13"/>
    </row>
    <row r="865" spans="1:12">
      <c r="A865" s="13" t="s">
        <v>368</v>
      </c>
    </row>
    <row r="866" spans="1:12">
      <c r="A866" s="13" t="s">
        <v>157</v>
      </c>
      <c r="E866" s="15">
        <f>IF(D866="?OLD","!!!","")</f>
        <v/>
      </c>
      <c r="F866" s="16" t="str">
        <f>IF(OR(E866="",E866="!!!"),"",IF(NOT(ISNA(VLOOKUP(E866,E$1:E865,1,FALSE()))),"OLD",IF(AND(E866&lt;&gt;"",E866&lt;&gt;"!!!"),"NEW","")))</f>
        <v> </v>
      </c>
      <c r="G866" s="17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18" t="str">
        <f>IF(J866&lt;&gt;1,"",IF(I866="SBJ","CB","?"))</f>
        <v> </v>
      </c>
      <c r="I866" s="19" t="str">
        <f>IF(OR(E866="",E866="!!!",F866="NEW"),"",INDEX(B865:B$2,-1+SUMPRODUCT(MAX(ROW(E865:E$2)*(E866=E865:E$2)))))</f>
        <v> </v>
      </c>
      <c r="J866" s="19" t="str">
        <f>IF(OR(E866="",E866="!!!",F866="NEW"),"",COUNTBLANK(OFFSET(A$1,,,SUMPRODUCT(MAX(ROW(E$2:E866)*(E866=E$2:E866)))))-COUNTBLANK(OFFSET(A$1,,,SUMPRODUCT(MAX(ROW(E$1:E865)*(E2=E$1:E865))))))</f>
        <v> </v>
      </c>
      <c r="K866" s="19" t="str">
        <f>IF(OR(E866="",E866="!!!",F866="NEW"),"",INDEX(J$1:J865,SUMPRODUCT(MAX(ROW(E$1:E865)*(E866=E$1:E865)))))</f>
        <v> </v>
      </c>
      <c r="L866" s="20"/>
    </row>
    <row r="867" spans="1:12">
      <c r="A867" s="13" t="s">
        <v>369</v>
      </c>
      <c r="E867" s="15">
        <f>IF(D867="?OLD","!!!","")</f>
        <v/>
      </c>
      <c r="F867" s="16" t="str">
        <f>IF(OR(E867="",E867="!!!"),"",IF(NOT(ISNA(VLOOKUP(E867,E$1:E866,1,FALSE()))),"OLD",IF(AND(E867&lt;&gt;"",E867&lt;&gt;"!!!"),"NEW","")))</f>
        <v> </v>
      </c>
      <c r="G867" s="17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18" t="str">
        <f>IF(J867&lt;&gt;1,"",IF(I867="SBJ","CB","?"))</f>
        <v> </v>
      </c>
      <c r="I867" s="19" t="str">
        <f>IF(OR(E867="",E867="!!!",F867="NEW"),"",INDEX(B866:B$2,-1+SUMPRODUCT(MAX(ROW(E866:E$2)*(E867=E866:E$2)))))</f>
        <v> </v>
      </c>
      <c r="J867" s="19" t="str">
        <f>IF(OR(E867="",E867="!!!",F867="NEW"),"",COUNTBLANK(OFFSET(A$1,,,SUMPRODUCT(MAX(ROW(E$2:E867)*(E867=E$2:E867)))))-COUNTBLANK(OFFSET(A$1,,,SUMPRODUCT(MAX(ROW(E$1:E866)*(E2=E$1:E866))))))</f>
        <v> </v>
      </c>
      <c r="K867" s="19" t="str">
        <f>IF(OR(E867="",E867="!!!",F867="NEW"),"",INDEX(J$1:J866,SUMPRODUCT(MAX(ROW(E$1:E866)*(E867=E$1:E866)))))</f>
        <v> </v>
      </c>
      <c r="L867" s="20"/>
    </row>
    <row r="868" spans="1:12">
      <c r="A868" s="13" t="s">
        <v>102</v>
      </c>
      <c r="E868" s="15">
        <f>IF(D868="?OLD","!!!","")</f>
        <v/>
      </c>
      <c r="F868" s="16" t="str">
        <f>IF(OR(E868="",E868="!!!"),"",IF(NOT(ISNA(VLOOKUP(E868,E$1:E867,1,FALSE()))),"OLD",IF(AND(E868&lt;&gt;"",E868&lt;&gt;"!!!"),"NEW","")))</f>
        <v> </v>
      </c>
      <c r="G868" s="17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18" t="str">
        <f>IF(J868&lt;&gt;1,"",IF(I868="SBJ","CB","?"))</f>
        <v> </v>
      </c>
      <c r="I868" s="19" t="str">
        <f>IF(OR(E868="",E868="!!!",F868="NEW"),"",INDEX(B867:B$2,-1+SUMPRODUCT(MAX(ROW(E867:E$2)*(E868=E867:E$2)))))</f>
        <v> </v>
      </c>
      <c r="J868" s="19" t="str">
        <f>IF(OR(E868="",E868="!!!",F868="NEW"),"",COUNTBLANK(OFFSET(A$1,,,SUMPRODUCT(MAX(ROW(E$2:E868)*(E868=E$2:E868)))))-COUNTBLANK(OFFSET(A$1,,,SUMPRODUCT(MAX(ROW(E$1:E867)*(E2=E$1:E867))))))</f>
        <v> </v>
      </c>
      <c r="K868" s="19" t="str">
        <f>IF(OR(E868="",E868="!!!",F868="NEW"),"",INDEX(J$1:J867,SUMPRODUCT(MAX(ROW(E$1:E867)*(E868=E$1:E867)))))</f>
        <v> </v>
      </c>
      <c r="L868" s="20"/>
    </row>
    <row r="869" spans="1:12">
      <c r="A869" s="13" t="s">
        <v>146</v>
      </c>
      <c r="E869" s="15">
        <f>IF(D869="?OLD","!!!","")</f>
        <v/>
      </c>
      <c r="F869" s="16" t="str">
        <f>IF(OR(E869="",E869="!!!"),"",IF(NOT(ISNA(VLOOKUP(E869,E$1:E868,1,FALSE()))),"OLD",IF(AND(E869&lt;&gt;"",E869&lt;&gt;"!!!"),"NEW","")))</f>
        <v> </v>
      </c>
      <c r="G869" s="17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18" t="str">
        <f>IF(J869&lt;&gt;1,"",IF(I869="SBJ","CB","?"))</f>
        <v> </v>
      </c>
      <c r="I869" s="19" t="str">
        <f>IF(OR(E869="",E869="!!!",F869="NEW"),"",INDEX(B868:B$2,-1+SUMPRODUCT(MAX(ROW(E868:E$2)*(E869=E868:E$2)))))</f>
        <v> </v>
      </c>
      <c r="J869" s="19" t="str">
        <f>IF(OR(E869="",E869="!!!",F869="NEW"),"",COUNTBLANK(OFFSET(A$1,,,SUMPRODUCT(MAX(ROW(E$2:E869)*(E869=E$2:E869)))))-COUNTBLANK(OFFSET(A$1,,,SUMPRODUCT(MAX(ROW(E$1:E868)*(E2=E$1:E868))))))</f>
        <v> </v>
      </c>
      <c r="K869" s="19" t="str">
        <f>IF(OR(E869="",E869="!!!",F869="NEW"),"",INDEX(J$1:J868,SUMPRODUCT(MAX(ROW(E$1:E868)*(E869=E$1:E868)))))</f>
        <v> </v>
      </c>
      <c r="L869" s="20"/>
    </row>
    <row r="870" spans="1:12">
      <c r="A870" s="13" t="s">
        <v>116</v>
      </c>
      <c r="E870" s="15">
        <f>IF(D870="?OLD","!!!","")</f>
        <v/>
      </c>
      <c r="F870" s="16" t="str">
        <f>IF(OR(E870="",E870="!!!"),"",IF(NOT(ISNA(VLOOKUP(E870,E$1:E869,1,FALSE()))),"OLD",IF(AND(E870&lt;&gt;"",E870&lt;&gt;"!!!"),"NEW","")))</f>
        <v> </v>
      </c>
      <c r="G870" s="17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18" t="str">
        <f>IF(J870&lt;&gt;1,"",IF(I870="SBJ","CB","?"))</f>
        <v> </v>
      </c>
      <c r="I870" s="19" t="str">
        <f>IF(OR(E870="",E870="!!!",F870="NEW"),"",INDEX(B869:B$2,-1+SUMPRODUCT(MAX(ROW(E869:E$2)*(E870=E869:E$2)))))</f>
        <v> </v>
      </c>
      <c r="J870" s="19" t="str">
        <f>IF(OR(E870="",E870="!!!",F870="NEW"),"",COUNTBLANK(OFFSET(A$1,,,SUMPRODUCT(MAX(ROW(E$2:E870)*(E870=E$2:E870)))))-COUNTBLANK(OFFSET(A$1,,,SUMPRODUCT(MAX(ROW(E$1:E869)*(E2=E$1:E869))))))</f>
        <v> </v>
      </c>
      <c r="K870" s="19" t="str">
        <f>IF(OR(E870="",E870="!!!",F870="NEW"),"",INDEX(J$1:J869,SUMPRODUCT(MAX(ROW(E$1:E869)*(E870=E$1:E869)))))</f>
        <v> </v>
      </c>
      <c r="L870" s="20"/>
    </row>
    <row r="871" spans="1:12">
      <c r="A871" s="13"/>
    </row>
    <row r="872" spans="1:12">
      <c r="A872" s="13" t="s">
        <v>117</v>
      </c>
      <c r="E872" s="15">
        <f>IF(D872="?OLD","!!!","")</f>
        <v/>
      </c>
      <c r="F872" s="16" t="str">
        <f>IF(OR(E872="",E872="!!!"),"",IF(NOT(ISNA(VLOOKUP(E872,E$1:E871,1,FALSE()))),"OLD",IF(AND(E872&lt;&gt;"",E872&lt;&gt;"!!!"),"NEW","")))</f>
        <v> </v>
      </c>
      <c r="G872" s="17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18" t="str">
        <f>IF(J872&lt;&gt;1,"",IF(I872="SBJ","CB","?"))</f>
        <v> </v>
      </c>
      <c r="I872" s="19" t="str">
        <f>IF(OR(E872="",E872="!!!",F872="NEW"),"",INDEX(B871:B$2,-1+SUMPRODUCT(MAX(ROW(E871:E$2)*(E872=E871:E$2)))))</f>
        <v> </v>
      </c>
      <c r="J872" s="19" t="str">
        <f>IF(OR(E872="",E872="!!!",F872="NEW"),"",COUNTBLANK(OFFSET(A$1,,,SUMPRODUCT(MAX(ROW(E$2:E872)*(E872=E$2:E872)))))-COUNTBLANK(OFFSET(A$1,,,SUMPRODUCT(MAX(ROW(E$1:E871)*(E2=E$1:E871))))))</f>
        <v> </v>
      </c>
      <c r="K872" s="19" t="str">
        <f>IF(OR(E872="",E872="!!!",F872="NEW"),"",INDEX(J$1:J871,SUMPRODUCT(MAX(ROW(E$1:E871)*(E872=E$1:E871)))))</f>
        <v> </v>
      </c>
      <c r="L872" s="20"/>
    </row>
    <row r="873" spans="1:12">
      <c r="A873" s="13" t="s">
        <v>370</v>
      </c>
    </row>
    <row r="874" spans="1:12">
      <c r="A874" s="13" t="s">
        <v>119</v>
      </c>
      <c r="E874" s="15">
        <f>IF(D874="?OLD","!!!","")</f>
        <v/>
      </c>
      <c r="F874" s="16" t="str">
        <f>IF(OR(E874="",E874="!!!"),"",IF(NOT(ISNA(VLOOKUP(E874,E$1:E873,1,FALSE()))),"OLD",IF(AND(E874&lt;&gt;"",E874&lt;&gt;"!!!"),"NEW","")))</f>
        <v> </v>
      </c>
      <c r="G874" s="17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18" t="str">
        <f>IF(J874&lt;&gt;1,"",IF(I874="SBJ","CB","?"))</f>
        <v> </v>
      </c>
      <c r="I874" s="19" t="str">
        <f>IF(OR(E874="",E874="!!!",F874="NEW"),"",INDEX(B873:B$2,-1+SUMPRODUCT(MAX(ROW(E873:E$2)*(E874=E873:E$2)))))</f>
        <v> </v>
      </c>
      <c r="J874" s="19" t="str">
        <f>IF(OR(E874="",E874="!!!",F874="NEW"),"",COUNTBLANK(OFFSET(A$1,,,SUMPRODUCT(MAX(ROW(E$2:E874)*(E874=E$2:E874)))))-COUNTBLANK(OFFSET(A$1,,,SUMPRODUCT(MAX(ROW(E$1:E873)*(E2=E$1:E873))))))</f>
        <v> </v>
      </c>
      <c r="K874" s="19" t="str">
        <f>IF(OR(E874="",E874="!!!",F874="NEW"),"",INDEX(J$1:J873,SUMPRODUCT(MAX(ROW(E$1:E873)*(E874=E$1:E873)))))</f>
        <v> </v>
      </c>
      <c r="L874" s="20"/>
    </row>
    <row r="875" spans="1:12">
      <c r="A875" s="13" t="s">
        <v>371</v>
      </c>
      <c r="E875" s="15">
        <f>IF(D875="?OLD","!!!","")</f>
        <v/>
      </c>
      <c r="F875" s="16" t="str">
        <f>IF(OR(E875="",E875="!!!"),"",IF(NOT(ISNA(VLOOKUP(E875,E$1:E874,1,FALSE()))),"OLD",IF(AND(E875&lt;&gt;"",E875&lt;&gt;"!!!"),"NEW","")))</f>
        <v> </v>
      </c>
      <c r="G875" s="17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18" t="str">
        <f>IF(J875&lt;&gt;1,"",IF(I875="SBJ","CB","?"))</f>
        <v> </v>
      </c>
      <c r="I875" s="19" t="str">
        <f>IF(OR(E875="",E875="!!!",F875="NEW"),"",INDEX(B874:B$2,-1+SUMPRODUCT(MAX(ROW(E874:E$2)*(E875=E874:E$2)))))</f>
        <v> </v>
      </c>
      <c r="J875" s="19" t="str">
        <f>IF(OR(E875="",E875="!!!",F875="NEW"),"",COUNTBLANK(OFFSET(A$1,,,SUMPRODUCT(MAX(ROW(E$2:E875)*(E875=E$2:E875)))))-COUNTBLANK(OFFSET(A$1,,,SUMPRODUCT(MAX(ROW(E$1:E874)*(E2=E$1:E874))))))</f>
        <v> </v>
      </c>
      <c r="K875" s="19" t="str">
        <f>IF(OR(E875="",E875="!!!",F875="NEW"),"",INDEX(J$1:J874,SUMPRODUCT(MAX(ROW(E$1:E874)*(E875=E$1:E874)))))</f>
        <v> </v>
      </c>
      <c r="L875" s="20"/>
    </row>
    <row r="876" spans="1:12">
      <c r="A876" s="13" t="s">
        <v>77</v>
      </c>
      <c r="B876" s="14" t="s">
        <v>45</v>
      </c>
      <c r="C876" s="14" t="s">
        <v>86</v>
      </c>
      <c r="E876" s="15">
        <f>IF(D876="?OLD","!!!","")</f>
        <v/>
      </c>
      <c r="F876" s="16" t="str">
        <f>IF(OR(E876="",E876="!!!"),"",IF(NOT(ISNA(VLOOKUP(E876,E$1:E875,1,FALSE()))),"OLD",IF(AND(E876&lt;&gt;"",E876&lt;&gt;"!!!"),"NEW","")))</f>
        <v> </v>
      </c>
      <c r="G876" s="17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18" t="str">
        <f>IF(J876&lt;&gt;1,"",IF(I876="SBJ","CB","?"))</f>
        <v> </v>
      </c>
      <c r="I876" s="19" t="str">
        <f>IF(OR(E876="",E876="!!!",F876="NEW"),"",INDEX(B875:B$2,-1+SUMPRODUCT(MAX(ROW(E875:E$2)*(E876=E875:E$2)))))</f>
        <v> </v>
      </c>
      <c r="J876" s="19" t="str">
        <f>IF(OR(E876="",E876="!!!",F876="NEW"),"",COUNTBLANK(OFFSET(A$1,,,SUMPRODUCT(MAX(ROW(E$2:E876)*(E876=E$2:E876)))))-COUNTBLANK(OFFSET(A$1,,,SUMPRODUCT(MAX(ROW(E$1:E875)*(E2=E$1:E875))))))</f>
        <v> </v>
      </c>
      <c r="K876" s="19" t="str">
        <f>IF(OR(E876="",E876="!!!",F876="NEW"),"",INDEX(J$1:J875,SUMPRODUCT(MAX(ROW(E$1:E875)*(E876=E$1:E875)))))</f>
        <v> </v>
      </c>
      <c r="L876" s="20"/>
    </row>
    <row r="877" spans="1:12">
      <c r="A877" s="13" t="s">
        <v>207</v>
      </c>
      <c r="B877" s="14" t="s">
        <v>45</v>
      </c>
      <c r="C877" s="14" t="s">
        <v>72</v>
      </c>
      <c r="D877" s="14" t="s">
        <v>25</v>
      </c>
      <c r="E877" s="15">
        <f>IF(D877="?OLD","!!!","")</f>
        <v/>
      </c>
      <c r="F877" s="16" t="str">
        <f>IF(OR(E877="",E877="!!!"),"",IF(NOT(ISNA(VLOOKUP(E877,E$1:E876,1,FALSE()))),"OLD",IF(AND(E877&lt;&gt;"",E877&lt;&gt;"!!!"),"NEW","")))</f>
        <v> </v>
      </c>
      <c r="G877" s="17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18" t="str">
        <f>IF(J877&lt;&gt;1,"",IF(I877="SBJ","CB","?"))</f>
        <v> </v>
      </c>
      <c r="I877" s="19" t="str">
        <f>IF(OR(E877="",E877="!!!",F877="NEW"),"",INDEX(B876:B$2,-1+SUMPRODUCT(MAX(ROW(E876:E$2)*(E877=E876:E$2)))))</f>
        <v> </v>
      </c>
      <c r="J877" s="19" t="str">
        <f>IF(OR(E877="",E877="!!!",F877="NEW"),"",COUNTBLANK(OFFSET(A$1,,,SUMPRODUCT(MAX(ROW(E$2:E877)*(E877=E$2:E877)))))-COUNTBLANK(OFFSET(A$1,,,SUMPRODUCT(MAX(ROW(E$1:E876)*(E2=E$1:E876))))))</f>
        <v> </v>
      </c>
      <c r="K877" s="19" t="str">
        <f>IF(OR(E877="",E877="!!!",F877="NEW"),"",INDEX(J$1:J876,SUMPRODUCT(MAX(ROW(E$1:E876)*(E877=E$1:E876)))))</f>
        <v> </v>
      </c>
      <c r="L877" s="20"/>
    </row>
    <row r="878" spans="1:12">
      <c r="A878" s="13" t="s">
        <v>56</v>
      </c>
      <c r="E878" s="15">
        <f>IF(D878="?OLD","!!!","")</f>
        <v/>
      </c>
      <c r="F878" s="16" t="str">
        <f>IF(OR(E878="",E878="!!!"),"",IF(NOT(ISNA(VLOOKUP(E878,E$1:E877,1,FALSE()))),"OLD",IF(AND(E878&lt;&gt;"",E878&lt;&gt;"!!!"),"NEW","")))</f>
        <v> </v>
      </c>
      <c r="G878" s="17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18" t="str">
        <f>IF(J878&lt;&gt;1,"",IF(I878="SBJ","CB","?"))</f>
        <v> </v>
      </c>
      <c r="I878" s="19" t="str">
        <f>IF(OR(E878="",E878="!!!",F878="NEW"),"",INDEX(B877:B$2,-1+SUMPRODUCT(MAX(ROW(E877:E$2)*(E878=E877:E$2)))))</f>
        <v> </v>
      </c>
      <c r="J878" s="19" t="str">
        <f>IF(OR(E878="",E878="!!!",F878="NEW"),"",COUNTBLANK(OFFSET(A$1,,,SUMPRODUCT(MAX(ROW(E$2:E878)*(E878=E$2:E878)))))-COUNTBLANK(OFFSET(A$1,,,SUMPRODUCT(MAX(ROW(E$1:E877)*(E2=E$1:E877))))))</f>
        <v> </v>
      </c>
      <c r="K878" s="19" t="str">
        <f>IF(OR(E878="",E878="!!!",F878="NEW"),"",INDEX(J$1:J877,SUMPRODUCT(MAX(ROW(E$1:E877)*(E878=E$1:E877)))))</f>
        <v> </v>
      </c>
      <c r="L878" s="20"/>
    </row>
    <row r="879" spans="1:12">
      <c r="A879" s="13" t="s">
        <v>61</v>
      </c>
      <c r="B879" s="14" t="s">
        <v>165</v>
      </c>
      <c r="E879" s="15">
        <f>IF(D879="?OLD","!!!","")</f>
        <v/>
      </c>
      <c r="F879" s="16" t="str">
        <f>IF(OR(E879="",E879="!!!"),"",IF(NOT(ISNA(VLOOKUP(E879,E$1:E878,1,FALSE()))),"OLD",IF(AND(E879&lt;&gt;"",E879&lt;&gt;"!!!"),"NEW","")))</f>
        <v> </v>
      </c>
      <c r="G879" s="17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18" t="str">
        <f>IF(J879&lt;&gt;1,"",IF(I879="SBJ","CB","?"))</f>
        <v> </v>
      </c>
      <c r="I879" s="19" t="str">
        <f>IF(OR(E879="",E879="!!!",F879="NEW"),"",INDEX(B878:B$2,-1+SUMPRODUCT(MAX(ROW(E878:E$2)*(E879=E878:E$2)))))</f>
        <v> </v>
      </c>
      <c r="J879" s="19" t="str">
        <f>IF(OR(E879="",E879="!!!",F879="NEW"),"",COUNTBLANK(OFFSET(A$1,,,SUMPRODUCT(MAX(ROW(E$2:E879)*(E879=E$2:E879)))))-COUNTBLANK(OFFSET(A$1,,,SUMPRODUCT(MAX(ROW(E$1:E878)*(E2=E$1:E878))))))</f>
        <v> </v>
      </c>
      <c r="K879" s="19" t="str">
        <f>IF(OR(E879="",E879="!!!",F879="NEW"),"",INDEX(J$1:J878,SUMPRODUCT(MAX(ROW(E$1:E878)*(E879=E$1:E878)))))</f>
        <v> </v>
      </c>
      <c r="L879" s="20"/>
    </row>
    <row r="880" spans="1:12">
      <c r="A880" s="13" t="s">
        <v>372</v>
      </c>
      <c r="E880" s="15">
        <f>IF(D880="?OLD","!!!","")</f>
        <v/>
      </c>
      <c r="F880" s="16" t="str">
        <f>IF(OR(E880="",E880="!!!"),"",IF(NOT(ISNA(VLOOKUP(E880,E$1:E879,1,FALSE()))),"OLD",IF(AND(E880&lt;&gt;"",E880&lt;&gt;"!!!"),"NEW","")))</f>
        <v> </v>
      </c>
      <c r="G880" s="17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18" t="str">
        <f>IF(J880&lt;&gt;1,"",IF(I880="SBJ","CB","?"))</f>
        <v> </v>
      </c>
      <c r="I880" s="19" t="str">
        <f>IF(OR(E880="",E880="!!!",F880="NEW"),"",INDEX(B879:B$2,-1+SUMPRODUCT(MAX(ROW(E879:E$2)*(E880=E879:E$2)))))</f>
        <v> </v>
      </c>
      <c r="J880" s="19" t="str">
        <f>IF(OR(E880="",E880="!!!",F880="NEW"),"",COUNTBLANK(OFFSET(A$1,,,SUMPRODUCT(MAX(ROW(E$2:E880)*(E880=E$2:E880)))))-COUNTBLANK(OFFSET(A$1,,,SUMPRODUCT(MAX(ROW(E$1:E879)*(E2=E$1:E879))))))</f>
        <v> </v>
      </c>
      <c r="K880" s="19" t="str">
        <f>IF(OR(E880="",E880="!!!",F880="NEW"),"",INDEX(J$1:J879,SUMPRODUCT(MAX(ROW(E$1:E879)*(E880=E$1:E879)))))</f>
        <v> </v>
      </c>
      <c r="L880" s="20"/>
    </row>
    <row r="881" spans="1:12">
      <c r="A881" s="13" t="s">
        <v>373</v>
      </c>
      <c r="E881" s="15">
        <f>IF(D881="?OLD","!!!","")</f>
        <v/>
      </c>
      <c r="F881" s="16" t="str">
        <f>IF(OR(E881="",E881="!!!"),"",IF(NOT(ISNA(VLOOKUP(E881,E$1:E880,1,FALSE()))),"OLD",IF(AND(E881&lt;&gt;"",E881&lt;&gt;"!!!"),"NEW","")))</f>
        <v> </v>
      </c>
      <c r="G881" s="17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18" t="str">
        <f>IF(J881&lt;&gt;1,"",IF(I881="SBJ","CB","?"))</f>
        <v> </v>
      </c>
      <c r="I881" s="19" t="str">
        <f>IF(OR(E881="",E881="!!!",F881="NEW"),"",INDEX(B880:B$2,-1+SUMPRODUCT(MAX(ROW(E880:E$2)*(E881=E880:E$2)))))</f>
        <v> </v>
      </c>
      <c r="J881" s="19" t="str">
        <f>IF(OR(E881="",E881="!!!",F881="NEW"),"",COUNTBLANK(OFFSET(A$1,,,SUMPRODUCT(MAX(ROW(E$2:E881)*(E881=E$2:E881)))))-COUNTBLANK(OFFSET(A$1,,,SUMPRODUCT(MAX(ROW(E$1:E880)*(E2=E$1:E880))))))</f>
        <v> </v>
      </c>
      <c r="K881" s="19" t="str">
        <f>IF(OR(E881="",E881="!!!",F881="NEW"),"",INDEX(J$1:J880,SUMPRODUCT(MAX(ROW(E$1:E880)*(E881=E$1:E880)))))</f>
        <v> </v>
      </c>
      <c r="L881" s="20"/>
    </row>
    <row r="882" spans="1:12">
      <c r="A882" s="13" t="s">
        <v>61</v>
      </c>
      <c r="E882" s="15">
        <f>IF(D882="?OLD","!!!","")</f>
        <v/>
      </c>
      <c r="F882" s="16" t="str">
        <f>IF(OR(E882="",E882="!!!"),"",IF(NOT(ISNA(VLOOKUP(E882,E$1:E881,1,FALSE()))),"OLD",IF(AND(E882&lt;&gt;"",E882&lt;&gt;"!!!"),"NEW","")))</f>
        <v> </v>
      </c>
      <c r="G882" s="17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18" t="str">
        <f>IF(J882&lt;&gt;1,"",IF(I882="SBJ","CB","?"))</f>
        <v> </v>
      </c>
      <c r="I882" s="19" t="str">
        <f>IF(OR(E882="",E882="!!!",F882="NEW"),"",INDEX(B881:B$2,-1+SUMPRODUCT(MAX(ROW(E881:E$2)*(E882=E881:E$2)))))</f>
        <v> </v>
      </c>
      <c r="J882" s="19" t="str">
        <f>IF(OR(E882="",E882="!!!",F882="NEW"),"",COUNTBLANK(OFFSET(A$1,,,SUMPRODUCT(MAX(ROW(E$2:E882)*(E882=E$2:E882)))))-COUNTBLANK(OFFSET(A$1,,,SUMPRODUCT(MAX(ROW(E$1:E881)*(E2=E$1:E881))))))</f>
        <v> </v>
      </c>
      <c r="K882" s="19" t="str">
        <f>IF(OR(E882="",E882="!!!",F882="NEW"),"",INDEX(J$1:J881,SUMPRODUCT(MAX(ROW(E$1:E881)*(E882=E$1:E881)))))</f>
        <v> </v>
      </c>
      <c r="L882" s="20"/>
    </row>
    <row r="883" spans="1:12">
      <c r="A883" s="13" t="s">
        <v>374</v>
      </c>
      <c r="E883" s="15">
        <f>IF(D883="?OLD","!!!","")</f>
        <v/>
      </c>
      <c r="F883" s="16" t="str">
        <f>IF(OR(E883="",E883="!!!"),"",IF(NOT(ISNA(VLOOKUP(E883,E$1:E882,1,FALSE()))),"OLD",IF(AND(E883&lt;&gt;"",E883&lt;&gt;"!!!"),"NEW","")))</f>
        <v> </v>
      </c>
      <c r="G883" s="17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18" t="str">
        <f>IF(J883&lt;&gt;1,"",IF(I883="SBJ","CB","?"))</f>
        <v> </v>
      </c>
      <c r="I883" s="19" t="str">
        <f>IF(OR(E883="",E883="!!!",F883="NEW"),"",INDEX(B882:B$2,-1+SUMPRODUCT(MAX(ROW(E882:E$2)*(E883=E882:E$2)))))</f>
        <v> </v>
      </c>
      <c r="J883" s="19" t="str">
        <f>IF(OR(E883="",E883="!!!",F883="NEW"),"",COUNTBLANK(OFFSET(A$1,,,SUMPRODUCT(MAX(ROW(E$2:E883)*(E883=E$2:E883)))))-COUNTBLANK(OFFSET(A$1,,,SUMPRODUCT(MAX(ROW(E$1:E882)*(E2=E$1:E882))))))</f>
        <v> </v>
      </c>
      <c r="K883" s="19" t="str">
        <f>IF(OR(E883="",E883="!!!",F883="NEW"),"",INDEX(J$1:J882,SUMPRODUCT(MAX(ROW(E$1:E882)*(E883=E$1:E882)))))</f>
        <v> </v>
      </c>
      <c r="L883" s="20"/>
    </row>
    <row r="884" spans="1:12">
      <c r="A884" s="13" t="s">
        <v>222</v>
      </c>
      <c r="E884" s="15">
        <f>IF(D884="?OLD","!!!","")</f>
        <v/>
      </c>
      <c r="F884" s="16" t="str">
        <f>IF(OR(E884="",E884="!!!"),"",IF(NOT(ISNA(VLOOKUP(E884,E$1:E883,1,FALSE()))),"OLD",IF(AND(E884&lt;&gt;"",E884&lt;&gt;"!!!"),"NEW","")))</f>
        <v> </v>
      </c>
      <c r="G884" s="17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18" t="str">
        <f>IF(J884&lt;&gt;1,"",IF(I884="SBJ","CB","?"))</f>
        <v> </v>
      </c>
      <c r="I884" s="19" t="str">
        <f>IF(OR(E884="",E884="!!!",F884="NEW"),"",INDEX(B883:B$2,-1+SUMPRODUCT(MAX(ROW(E883:E$2)*(E884=E883:E$2)))))</f>
        <v> </v>
      </c>
      <c r="J884" s="19" t="str">
        <f>IF(OR(E884="",E884="!!!",F884="NEW"),"",COUNTBLANK(OFFSET(A$1,,,SUMPRODUCT(MAX(ROW(E$2:E884)*(E884=E$2:E884)))))-COUNTBLANK(OFFSET(A$1,,,SUMPRODUCT(MAX(ROW(E$1:E883)*(E2=E$1:E883))))))</f>
        <v> </v>
      </c>
      <c r="K884" s="19" t="str">
        <f>IF(OR(E884="",E884="!!!",F884="NEW"),"",INDEX(J$1:J883,SUMPRODUCT(MAX(ROW(E$1:E883)*(E884=E$1:E883)))))</f>
        <v> </v>
      </c>
      <c r="L884" s="20"/>
    </row>
    <row r="885" spans="1:12">
      <c r="A885" s="13" t="s">
        <v>119</v>
      </c>
      <c r="E885" s="15">
        <f>IF(D885="?OLD","!!!","")</f>
        <v/>
      </c>
      <c r="F885" s="16" t="str">
        <f>IF(OR(E885="",E885="!!!"),"",IF(NOT(ISNA(VLOOKUP(E885,E$1:E884,1,FALSE()))),"OLD",IF(AND(E885&lt;&gt;"",E885&lt;&gt;"!!!"),"NEW","")))</f>
        <v> </v>
      </c>
      <c r="G885" s="17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18" t="str">
        <f>IF(J885&lt;&gt;1,"",IF(I885="SBJ","CB","?"))</f>
        <v> </v>
      </c>
      <c r="I885" s="19" t="str">
        <f>IF(OR(E885="",E885="!!!",F885="NEW"),"",INDEX(B884:B$2,-1+SUMPRODUCT(MAX(ROW(E884:E$2)*(E885=E884:E$2)))))</f>
        <v> </v>
      </c>
      <c r="J885" s="19" t="str">
        <f>IF(OR(E885="",E885="!!!",F885="NEW"),"",COUNTBLANK(OFFSET(A$1,,,SUMPRODUCT(MAX(ROW(E$2:E885)*(E885=E$2:E885)))))-COUNTBLANK(OFFSET(A$1,,,SUMPRODUCT(MAX(ROW(E$1:E884)*(E2=E$1:E884))))))</f>
        <v> </v>
      </c>
      <c r="K885" s="19" t="str">
        <f>IF(OR(E885="",E885="!!!",F885="NEW"),"",INDEX(J$1:J884,SUMPRODUCT(MAX(ROW(E$1:E884)*(E885=E$1:E884)))))</f>
        <v> </v>
      </c>
      <c r="L885" s="20"/>
    </row>
    <row r="886" spans="1:12">
      <c r="A886" s="13" t="s">
        <v>68</v>
      </c>
      <c r="E886" s="15">
        <f>IF(D886="?OLD","!!!","")</f>
        <v/>
      </c>
      <c r="F886" s="16" t="str">
        <f>IF(OR(E886="",E886="!!!"),"",IF(NOT(ISNA(VLOOKUP(E886,E$1:E885,1,FALSE()))),"OLD",IF(AND(E886&lt;&gt;"",E886&lt;&gt;"!!!"),"NEW","")))</f>
        <v> </v>
      </c>
      <c r="G886" s="17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18" t="str">
        <f>IF(J886&lt;&gt;1,"",IF(I886="SBJ","CB","?"))</f>
        <v> </v>
      </c>
      <c r="I886" s="19" t="str">
        <f>IF(OR(E886="",E886="!!!",F886="NEW"),"",INDEX(B885:B$2,-1+SUMPRODUCT(MAX(ROW(E885:E$2)*(E886=E885:E$2)))))</f>
        <v> </v>
      </c>
      <c r="J886" s="19" t="str">
        <f>IF(OR(E886="",E886="!!!",F886="NEW"),"",COUNTBLANK(OFFSET(A$1,,,SUMPRODUCT(MAX(ROW(E$2:E886)*(E886=E$2:E886)))))-COUNTBLANK(OFFSET(A$1,,,SUMPRODUCT(MAX(ROW(E$1:E885)*(E2=E$1:E885))))))</f>
        <v> </v>
      </c>
      <c r="K886" s="19" t="str">
        <f>IF(OR(E886="",E886="!!!",F886="NEW"),"",INDEX(J$1:J885,SUMPRODUCT(MAX(ROW(E$1:E885)*(E886=E$1:E885)))))</f>
        <v> </v>
      </c>
      <c r="L886" s="20"/>
    </row>
    <row r="887" spans="1:12">
      <c r="A887" s="13"/>
    </row>
    <row r="888" spans="1:12">
      <c r="A888" s="13" t="s">
        <v>117</v>
      </c>
      <c r="E888" s="15">
        <f>IF(D888="?OLD","!!!","")</f>
        <v/>
      </c>
      <c r="F888" s="16" t="str">
        <f>IF(OR(E888="",E888="!!!"),"",IF(NOT(ISNA(VLOOKUP(E888,E$1:E887,1,FALSE()))),"OLD",IF(AND(E888&lt;&gt;"",E888&lt;&gt;"!!!"),"NEW","")))</f>
        <v> </v>
      </c>
      <c r="G888" s="17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18" t="str">
        <f>IF(J888&lt;&gt;1,"",IF(I888="SBJ","CB","?"))</f>
        <v> </v>
      </c>
      <c r="I888" s="19" t="str">
        <f>IF(OR(E888="",E888="!!!",F888="NEW"),"",INDEX(B887:B$2,-1+SUMPRODUCT(MAX(ROW(E887:E$2)*(E888=E887:E$2)))))</f>
        <v> </v>
      </c>
      <c r="J888" s="19" t="str">
        <f>IF(OR(E888="",E888="!!!",F888="NEW"),"",COUNTBLANK(OFFSET(A$1,,,SUMPRODUCT(MAX(ROW(E$2:E888)*(E888=E$2:E888)))))-COUNTBLANK(OFFSET(A$1,,,SUMPRODUCT(MAX(ROW(E$1:E887)*(E2=E$1:E887))))))</f>
        <v> </v>
      </c>
      <c r="K888" s="19" t="str">
        <f>IF(OR(E888="",E888="!!!",F888="NEW"),"",INDEX(J$1:J887,SUMPRODUCT(MAX(ROW(E$1:E887)*(E888=E$1:E887)))))</f>
        <v> </v>
      </c>
      <c r="L888" s="20"/>
    </row>
    <row r="889" spans="1:12">
      <c r="A889" s="13" t="s">
        <v>375</v>
      </c>
    </row>
    <row r="890" spans="1:12">
      <c r="A890" s="13" t="s">
        <v>119</v>
      </c>
      <c r="E890" s="15">
        <f>IF(D890="?OLD","!!!","")</f>
        <v/>
      </c>
      <c r="F890" s="16" t="str">
        <f>IF(OR(E890="",E890="!!!"),"",IF(NOT(ISNA(VLOOKUP(E890,E$1:E889,1,FALSE()))),"OLD",IF(AND(E890&lt;&gt;"",E890&lt;&gt;"!!!"),"NEW","")))</f>
        <v> </v>
      </c>
      <c r="G890" s="17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18" t="str">
        <f>IF(J890&lt;&gt;1,"",IF(I890="SBJ","CB","?"))</f>
        <v> </v>
      </c>
      <c r="I890" s="19" t="str">
        <f>IF(OR(E890="",E890="!!!",F890="NEW"),"",INDEX(B889:B$2,-1+SUMPRODUCT(MAX(ROW(E889:E$2)*(E890=E889:E$2)))))</f>
        <v> </v>
      </c>
      <c r="J890" s="19" t="str">
        <f>IF(OR(E890="",E890="!!!",F890="NEW"),"",COUNTBLANK(OFFSET(A$1,,,SUMPRODUCT(MAX(ROW(E$2:E890)*(E890=E$2:E890)))))-COUNTBLANK(OFFSET(A$1,,,SUMPRODUCT(MAX(ROW(E$1:E889)*(E2=E$1:E889))))))</f>
        <v> </v>
      </c>
      <c r="K890" s="19" t="str">
        <f>IF(OR(E890="",E890="!!!",F890="NEW"),"",INDEX(J$1:J889,SUMPRODUCT(MAX(ROW(E$1:E889)*(E890=E$1:E889)))))</f>
        <v> </v>
      </c>
      <c r="L890" s="20"/>
    </row>
    <row r="891" spans="1:12">
      <c r="A891" s="13" t="s">
        <v>376</v>
      </c>
      <c r="B891" s="14" t="s">
        <v>88</v>
      </c>
      <c r="C891" s="14" t="s">
        <v>64</v>
      </c>
      <c r="D891" s="14" t="s">
        <v>25</v>
      </c>
      <c r="E891" s="15">
        <f>IF(D891="?OLD","!!!","")</f>
        <v/>
      </c>
      <c r="F891" s="16" t="str">
        <f>IF(OR(E891="",E891="!!!"),"",IF(NOT(ISNA(VLOOKUP(E891,E$1:E890,1,FALSE()))),"OLD",IF(AND(E891&lt;&gt;"",E891&lt;&gt;"!!!"),"NEW","")))</f>
        <v> </v>
      </c>
      <c r="G891" s="17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18" t="str">
        <f>IF(J891&lt;&gt;1,"",IF(I891="SBJ","CB","?"))</f>
        <v> </v>
      </c>
      <c r="I891" s="19" t="str">
        <f>IF(OR(E891="",E891="!!!",F891="NEW"),"",INDEX(B890:B$2,-1+SUMPRODUCT(MAX(ROW(E890:E$2)*(E891=E890:E$2)))))</f>
        <v> </v>
      </c>
      <c r="J891" s="19" t="str">
        <f>IF(OR(E891="",E891="!!!",F891="NEW"),"",COUNTBLANK(OFFSET(A$1,,,SUMPRODUCT(MAX(ROW(E$2:E891)*(E891=E$2:E891)))))-COUNTBLANK(OFFSET(A$1,,,SUMPRODUCT(MAX(ROW(E$1:E890)*(E2=E$1:E890))))))</f>
        <v> </v>
      </c>
      <c r="K891" s="19" t="str">
        <f>IF(OR(E891="",E891="!!!",F891="NEW"),"",INDEX(J$1:J890,SUMPRODUCT(MAX(ROW(E$1:E890)*(E891=E$1:E890)))))</f>
        <v> </v>
      </c>
      <c r="L891" s="20"/>
    </row>
    <row r="892" spans="1:12">
      <c r="A892" s="13" t="s">
        <v>286</v>
      </c>
      <c r="E892" s="15">
        <f>IF(D892="?OLD","!!!","")</f>
        <v/>
      </c>
      <c r="F892" s="16" t="str">
        <f>IF(OR(E892="",E892="!!!"),"",IF(NOT(ISNA(VLOOKUP(E892,E$1:E891,1,FALSE()))),"OLD",IF(AND(E892&lt;&gt;"",E892&lt;&gt;"!!!"),"NEW","")))</f>
        <v> </v>
      </c>
      <c r="G892" s="17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18" t="str">
        <f>IF(J892&lt;&gt;1,"",IF(I892="SBJ","CB","?"))</f>
        <v> </v>
      </c>
      <c r="I892" s="19" t="str">
        <f>IF(OR(E892="",E892="!!!",F892="NEW"),"",INDEX(B891:B$2,-1+SUMPRODUCT(MAX(ROW(E891:E$2)*(E892=E891:E$2)))))</f>
        <v> </v>
      </c>
      <c r="J892" s="19" t="str">
        <f>IF(OR(E892="",E892="!!!",F892="NEW"),"",COUNTBLANK(OFFSET(A$1,,,SUMPRODUCT(MAX(ROW(E$2:E892)*(E892=E$2:E892)))))-COUNTBLANK(OFFSET(A$1,,,SUMPRODUCT(MAX(ROW(E$1:E891)*(E2=E$1:E891))))))</f>
        <v> </v>
      </c>
      <c r="K892" s="19" t="str">
        <f>IF(OR(E892="",E892="!!!",F892="NEW"),"",INDEX(J$1:J891,SUMPRODUCT(MAX(ROW(E$1:E891)*(E892=E$1:E891)))))</f>
        <v> </v>
      </c>
      <c r="L892" s="20"/>
    </row>
    <row r="893" spans="1:12">
      <c r="A893" s="13" t="s">
        <v>151</v>
      </c>
      <c r="E893" s="15">
        <f>IF(D893="?OLD","!!!","")</f>
        <v/>
      </c>
      <c r="F893" s="16" t="str">
        <f>IF(OR(E893="",E893="!!!"),"",IF(NOT(ISNA(VLOOKUP(E893,E$1:E892,1,FALSE()))),"OLD",IF(AND(E893&lt;&gt;"",E893&lt;&gt;"!!!"),"NEW","")))</f>
        <v> </v>
      </c>
      <c r="G893" s="17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18" t="str">
        <f>IF(J893&lt;&gt;1,"",IF(I893="SBJ","CB","?"))</f>
        <v> </v>
      </c>
      <c r="I893" s="19" t="str">
        <f>IF(OR(E893="",E893="!!!",F893="NEW"),"",INDEX(B892:B$2,-1+SUMPRODUCT(MAX(ROW(E892:E$2)*(E893=E892:E$2)))))</f>
        <v> </v>
      </c>
      <c r="J893" s="19" t="str">
        <f>IF(OR(E893="",E893="!!!",F893="NEW"),"",COUNTBLANK(OFFSET(A$1,,,SUMPRODUCT(MAX(ROW(E$2:E893)*(E893=E$2:E893)))))-COUNTBLANK(OFFSET(A$1,,,SUMPRODUCT(MAX(ROW(E$1:E892)*(E2=E$1:E892))))))</f>
        <v> </v>
      </c>
      <c r="K893" s="19" t="str">
        <f>IF(OR(E893="",E893="!!!",F893="NEW"),"",INDEX(J$1:J892,SUMPRODUCT(MAX(ROW(E$1:E892)*(E893=E$1:E892)))))</f>
        <v> </v>
      </c>
      <c r="L893" s="20"/>
    </row>
    <row r="894" spans="1:12">
      <c r="A894" s="13" t="s">
        <v>377</v>
      </c>
      <c r="E894" s="15">
        <f>IF(D894="?OLD","!!!","")</f>
        <v/>
      </c>
      <c r="F894" s="16" t="str">
        <f>IF(OR(E894="",E894="!!!"),"",IF(NOT(ISNA(VLOOKUP(E894,E$1:E893,1,FALSE()))),"OLD",IF(AND(E894&lt;&gt;"",E894&lt;&gt;"!!!"),"NEW","")))</f>
        <v> </v>
      </c>
      <c r="G894" s="17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18" t="str">
        <f>IF(J894&lt;&gt;1,"",IF(I894="SBJ","CB","?"))</f>
        <v> </v>
      </c>
      <c r="I894" s="19" t="str">
        <f>IF(OR(E894="",E894="!!!",F894="NEW"),"",INDEX(B893:B$2,-1+SUMPRODUCT(MAX(ROW(E893:E$2)*(E894=E893:E$2)))))</f>
        <v> </v>
      </c>
      <c r="J894" s="19" t="str">
        <f>IF(OR(E894="",E894="!!!",F894="NEW"),"",COUNTBLANK(OFFSET(A$1,,,SUMPRODUCT(MAX(ROW(E$2:E894)*(E894=E$2:E894)))))-COUNTBLANK(OFFSET(A$1,,,SUMPRODUCT(MAX(ROW(E$1:E893)*(E2=E$1:E893))))))</f>
        <v> </v>
      </c>
      <c r="K894" s="19" t="str">
        <f>IF(OR(E894="",E894="!!!",F894="NEW"),"",INDEX(J$1:J893,SUMPRODUCT(MAX(ROW(E$1:E893)*(E894=E$1:E893)))))</f>
        <v> </v>
      </c>
      <c r="L894" s="20"/>
    </row>
    <row r="895" spans="1:12">
      <c r="A895" s="13" t="s">
        <v>378</v>
      </c>
      <c r="B895" s="14" t="s">
        <v>93</v>
      </c>
      <c r="C895" s="14" t="s">
        <v>64</v>
      </c>
      <c r="D895" s="14" t="s">
        <v>25</v>
      </c>
      <c r="E895" s="15">
        <f>IF(D895="?OLD","!!!","")</f>
        <v/>
      </c>
      <c r="F895" s="16" t="str">
        <f>IF(OR(E895="",E895="!!!"),"",IF(NOT(ISNA(VLOOKUP(E895,E$1:E894,1,FALSE()))),"OLD",IF(AND(E895&lt;&gt;"",E895&lt;&gt;"!!!"),"NEW","")))</f>
        <v> </v>
      </c>
      <c r="G895" s="17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18" t="str">
        <f>IF(J895&lt;&gt;1,"",IF(I895="SBJ","CB","?"))</f>
        <v> </v>
      </c>
      <c r="I895" s="19" t="str">
        <f>IF(OR(E895="",E895="!!!",F895="NEW"),"",INDEX(B894:B$2,-1+SUMPRODUCT(MAX(ROW(E894:E$2)*(E895=E894:E$2)))))</f>
        <v> </v>
      </c>
      <c r="J895" s="19" t="str">
        <f>IF(OR(E895="",E895="!!!",F895="NEW"),"",COUNTBLANK(OFFSET(A$1,,,SUMPRODUCT(MAX(ROW(E$2:E895)*(E895=E$2:E895)))))-COUNTBLANK(OFFSET(A$1,,,SUMPRODUCT(MAX(ROW(E$1:E894)*(E2=E$1:E894))))))</f>
        <v> </v>
      </c>
      <c r="K895" s="19" t="str">
        <f>IF(OR(E895="",E895="!!!",F895="NEW"),"",INDEX(J$1:J894,SUMPRODUCT(MAX(ROW(E$1:E894)*(E895=E$1:E894)))))</f>
        <v> </v>
      </c>
      <c r="L895" s="20"/>
    </row>
    <row r="896" spans="1:12">
      <c r="A896" s="13" t="s">
        <v>379</v>
      </c>
      <c r="E896" s="15">
        <f>IF(D896="?OLD","!!!","")</f>
        <v/>
      </c>
      <c r="F896" s="16" t="str">
        <f>IF(OR(E896="",E896="!!!"),"",IF(NOT(ISNA(VLOOKUP(E896,E$1:E895,1,FALSE()))),"OLD",IF(AND(E896&lt;&gt;"",E896&lt;&gt;"!!!"),"NEW","")))</f>
        <v> </v>
      </c>
      <c r="G896" s="17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18" t="str">
        <f>IF(J896&lt;&gt;1,"",IF(I896="SBJ","CB","?"))</f>
        <v> </v>
      </c>
      <c r="I896" s="19" t="str">
        <f>IF(OR(E896="",E896="!!!",F896="NEW"),"",INDEX(B895:B$2,-1+SUMPRODUCT(MAX(ROW(E895:E$2)*(E896=E895:E$2)))))</f>
        <v> </v>
      </c>
      <c r="J896" s="19" t="str">
        <f>IF(OR(E896="",E896="!!!",F896="NEW"),"",COUNTBLANK(OFFSET(A$1,,,SUMPRODUCT(MAX(ROW(E$2:E896)*(E896=E$2:E896)))))-COUNTBLANK(OFFSET(A$1,,,SUMPRODUCT(MAX(ROW(E$1:E895)*(E2=E$1:E895))))))</f>
        <v> </v>
      </c>
      <c r="K896" s="19" t="str">
        <f>IF(OR(E896="",E896="!!!",F896="NEW"),"",INDEX(J$1:J895,SUMPRODUCT(MAX(ROW(E$1:E895)*(E896=E$1:E895)))))</f>
        <v> </v>
      </c>
      <c r="L896" s="20"/>
    </row>
    <row r="897" spans="1:12">
      <c r="A897" s="13" t="s">
        <v>56</v>
      </c>
      <c r="E897" s="15">
        <f>IF(D897="?OLD","!!!","")</f>
        <v/>
      </c>
      <c r="F897" s="16" t="str">
        <f>IF(OR(E897="",E897="!!!"),"",IF(NOT(ISNA(VLOOKUP(E897,E$1:E896,1,FALSE()))),"OLD",IF(AND(E897&lt;&gt;"",E897&lt;&gt;"!!!"),"NEW","")))</f>
        <v> </v>
      </c>
      <c r="G897" s="17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18" t="str">
        <f>IF(J897&lt;&gt;1,"",IF(I897="SBJ","CB","?"))</f>
        <v> </v>
      </c>
      <c r="I897" s="19" t="str">
        <f>IF(OR(E897="",E897="!!!",F897="NEW"),"",INDEX(B896:B$2,-1+SUMPRODUCT(MAX(ROW(E896:E$2)*(E897=E896:E$2)))))</f>
        <v> </v>
      </c>
      <c r="J897" s="19" t="str">
        <f>IF(OR(E897="",E897="!!!",F897="NEW"),"",COUNTBLANK(OFFSET(A$1,,,SUMPRODUCT(MAX(ROW(E$2:E897)*(E897=E$2:E897)))))-COUNTBLANK(OFFSET(A$1,,,SUMPRODUCT(MAX(ROW(E$1:E896)*(E2=E$1:E896))))))</f>
        <v> </v>
      </c>
      <c r="K897" s="19" t="str">
        <f>IF(OR(E897="",E897="!!!",F897="NEW"),"",INDEX(J$1:J896,SUMPRODUCT(MAX(ROW(E$1:E896)*(E897=E$1:E896)))))</f>
        <v> </v>
      </c>
      <c r="L897" s="20"/>
    </row>
    <row r="898" spans="1:12">
      <c r="A898" s="13" t="s">
        <v>55</v>
      </c>
      <c r="E898" s="15">
        <f>IF(D898="?OLD","!!!","")</f>
        <v/>
      </c>
      <c r="F898" s="16" t="str">
        <f>IF(OR(E898="",E898="!!!"),"",IF(NOT(ISNA(VLOOKUP(E898,E$1:E897,1,FALSE()))),"OLD",IF(AND(E898&lt;&gt;"",E898&lt;&gt;"!!!"),"NEW","")))</f>
        <v> </v>
      </c>
      <c r="G898" s="17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18" t="str">
        <f>IF(J898&lt;&gt;1,"",IF(I898="SBJ","CB","?"))</f>
        <v> </v>
      </c>
      <c r="I898" s="19" t="str">
        <f>IF(OR(E898="",E898="!!!",F898="NEW"),"",INDEX(B897:B$2,-1+SUMPRODUCT(MAX(ROW(E897:E$2)*(E898=E897:E$2)))))</f>
        <v> </v>
      </c>
      <c r="J898" s="19" t="str">
        <f>IF(OR(E898="",E898="!!!",F898="NEW"),"",COUNTBLANK(OFFSET(A$1,,,SUMPRODUCT(MAX(ROW(E$2:E898)*(E898=E$2:E898)))))-COUNTBLANK(OFFSET(A$1,,,SUMPRODUCT(MAX(ROW(E$1:E897)*(E2=E$1:E897))))))</f>
        <v> </v>
      </c>
      <c r="K898" s="19" t="str">
        <f>IF(OR(E898="",E898="!!!",F898="NEW"),"",INDEX(J$1:J897,SUMPRODUCT(MAX(ROW(E$1:E897)*(E898=E$1:E897)))))</f>
        <v> </v>
      </c>
      <c r="L898" s="20"/>
    </row>
    <row r="899" spans="1:12">
      <c r="A899" s="13" t="s">
        <v>207</v>
      </c>
      <c r="B899" s="14" t="s">
        <v>93</v>
      </c>
      <c r="C899" s="14" t="s">
        <v>64</v>
      </c>
      <c r="D899" s="14" t="s">
        <v>25</v>
      </c>
      <c r="E899" s="15">
        <f>IF(D899="?OLD","!!!","")</f>
        <v/>
      </c>
      <c r="F899" s="16" t="str">
        <f>IF(OR(E899="",E899="!!!"),"",IF(NOT(ISNA(VLOOKUP(E899,E$1:E898,1,FALSE()))),"OLD",IF(AND(E899&lt;&gt;"",E899&lt;&gt;"!!!"),"NEW","")))</f>
        <v> </v>
      </c>
      <c r="G899" s="17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18" t="str">
        <f>IF(J899&lt;&gt;1,"",IF(I899="SBJ","CB","?"))</f>
        <v> </v>
      </c>
      <c r="I899" s="19" t="str">
        <f>IF(OR(E899="",E899="!!!",F899="NEW"),"",INDEX(B898:B$2,-1+SUMPRODUCT(MAX(ROW(E898:E$2)*(E899=E898:E$2)))))</f>
        <v> </v>
      </c>
      <c r="J899" s="19" t="str">
        <f>IF(OR(E899="",E899="!!!",F899="NEW"),"",COUNTBLANK(OFFSET(A$1,,,SUMPRODUCT(MAX(ROW(E$2:E899)*(E899=E$2:E899)))))-COUNTBLANK(OFFSET(A$1,,,SUMPRODUCT(MAX(ROW(E$1:E898)*(E2=E$1:E898))))))</f>
        <v> </v>
      </c>
      <c r="K899" s="19" t="str">
        <f>IF(OR(E899="",E899="!!!",F899="NEW"),"",INDEX(J$1:J898,SUMPRODUCT(MAX(ROW(E$1:E898)*(E899=E$1:E898)))))</f>
        <v> </v>
      </c>
      <c r="L899" s="20"/>
    </row>
    <row r="900" spans="1:12">
      <c r="A900" s="13" t="s">
        <v>68</v>
      </c>
      <c r="E900" s="15">
        <f>IF(D900="?OLD","!!!","")</f>
        <v/>
      </c>
      <c r="F900" s="16" t="str">
        <f>IF(OR(E900="",E900="!!!"),"",IF(NOT(ISNA(VLOOKUP(E900,E$1:E899,1,FALSE()))),"OLD",IF(AND(E900&lt;&gt;"",E900&lt;&gt;"!!!"),"NEW","")))</f>
        <v> </v>
      </c>
      <c r="G900" s="17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18" t="str">
        <f>IF(J900&lt;&gt;1,"",IF(I900="SBJ","CB","?"))</f>
        <v> </v>
      </c>
      <c r="I900" s="19" t="str">
        <f>IF(OR(E900="",E900="!!!",F900="NEW"),"",INDEX(B899:B$2,-1+SUMPRODUCT(MAX(ROW(E899:E$2)*(E900=E899:E$2)))))</f>
        <v> </v>
      </c>
      <c r="J900" s="19" t="str">
        <f>IF(OR(E900="",E900="!!!",F900="NEW"),"",COUNTBLANK(OFFSET(A$1,,,SUMPRODUCT(MAX(ROW(E$2:E900)*(E900=E$2:E900)))))-COUNTBLANK(OFFSET(A$1,,,SUMPRODUCT(MAX(ROW(E$1:E899)*(E2=E$1:E899))))))</f>
        <v> </v>
      </c>
      <c r="K900" s="19" t="str">
        <f>IF(OR(E900="",E900="!!!",F900="NEW"),"",INDEX(J$1:J899,SUMPRODUCT(MAX(ROW(E$1:E899)*(E900=E$1:E899)))))</f>
        <v> </v>
      </c>
      <c r="L900" s="20"/>
    </row>
    <row r="901" spans="1:12">
      <c r="A901" s="13" t="s">
        <v>119</v>
      </c>
      <c r="E901" s="15">
        <f>IF(D901="?OLD","!!!","")</f>
        <v/>
      </c>
      <c r="F901" s="16" t="str">
        <f>IF(OR(E901="",E901="!!!"),"",IF(NOT(ISNA(VLOOKUP(E901,E$1:E900,1,FALSE()))),"OLD",IF(AND(E901&lt;&gt;"",E901&lt;&gt;"!!!"),"NEW","")))</f>
        <v> </v>
      </c>
      <c r="G901" s="17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18" t="str">
        <f>IF(J901&lt;&gt;1,"",IF(I901="SBJ","CB","?"))</f>
        <v> </v>
      </c>
      <c r="I901" s="19" t="str">
        <f>IF(OR(E901="",E901="!!!",F901="NEW"),"",INDEX(B900:B$2,-1+SUMPRODUCT(MAX(ROW(E900:E$2)*(E901=E900:E$2)))))</f>
        <v> </v>
      </c>
      <c r="J901" s="19" t="str">
        <f>IF(OR(E901="",E901="!!!",F901="NEW"),"",COUNTBLANK(OFFSET(A$1,,,SUMPRODUCT(MAX(ROW(E$2:E901)*(E901=E$2:E901)))))-COUNTBLANK(OFFSET(A$1,,,SUMPRODUCT(MAX(ROW(E$1:E900)*(E2=E$1:E900))))))</f>
        <v> </v>
      </c>
      <c r="K901" s="19" t="str">
        <f>IF(OR(E901="",E901="!!!",F901="NEW"),"",INDEX(J$1:J900,SUMPRODUCT(MAX(ROW(E$1:E900)*(E901=E$1:E900)))))</f>
        <v> </v>
      </c>
      <c r="L901" s="20"/>
    </row>
    <row r="902" spans="1:12">
      <c r="A902" s="13"/>
    </row>
    <row r="903" spans="1:12">
      <c r="A903" s="13" t="s">
        <v>117</v>
      </c>
      <c r="E903" s="15">
        <f>IF(D903="?OLD","!!!","")</f>
        <v/>
      </c>
      <c r="F903" s="16" t="str">
        <f>IF(OR(E903="",E903="!!!"),"",IF(NOT(ISNA(VLOOKUP(E903,E$1:E902,1,FALSE()))),"OLD",IF(AND(E903&lt;&gt;"",E903&lt;&gt;"!!!"),"NEW","")))</f>
        <v> </v>
      </c>
      <c r="G903" s="17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18" t="str">
        <f>IF(J903&lt;&gt;1,"",IF(I903="SBJ","CB","?"))</f>
        <v> </v>
      </c>
      <c r="I903" s="19" t="str">
        <f>IF(OR(E903="",E903="!!!",F903="NEW"),"",INDEX(B902:B$2,-1+SUMPRODUCT(MAX(ROW(E902:E$2)*(E903=E902:E$2)))))</f>
        <v> </v>
      </c>
      <c r="J903" s="19" t="str">
        <f>IF(OR(E903="",E903="!!!",F903="NEW"),"",COUNTBLANK(OFFSET(A$1,,,SUMPRODUCT(MAX(ROW(E$2:E903)*(E903=E$2:E903)))))-COUNTBLANK(OFFSET(A$1,,,SUMPRODUCT(MAX(ROW(E$1:E902)*(E2=E$1:E902))))))</f>
        <v> </v>
      </c>
      <c r="K903" s="19" t="str">
        <f>IF(OR(E903="",E903="!!!",F903="NEW"),"",INDEX(J$1:J902,SUMPRODUCT(MAX(ROW(E$1:E902)*(E903=E$1:E902)))))</f>
        <v> </v>
      </c>
      <c r="L903" s="20"/>
    </row>
    <row r="904" spans="1:12">
      <c r="A904" s="13" t="s">
        <v>380</v>
      </c>
    </row>
    <row r="905" spans="1:12">
      <c r="A905" s="13" t="s">
        <v>119</v>
      </c>
      <c r="E905" s="15">
        <f>IF(D905="?OLD","!!!","")</f>
        <v/>
      </c>
      <c r="F905" s="16" t="str">
        <f>IF(OR(E905="",E905="!!!"),"",IF(NOT(ISNA(VLOOKUP(E905,E$1:E904,1,FALSE()))),"OLD",IF(AND(E905&lt;&gt;"",E905&lt;&gt;"!!!"),"NEW","")))</f>
        <v> </v>
      </c>
      <c r="G905" s="17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18" t="str">
        <f>IF(J905&lt;&gt;1,"",IF(I905="SBJ","CB","?"))</f>
        <v> </v>
      </c>
      <c r="I905" s="19" t="str">
        <f>IF(OR(E905="",E905="!!!",F905="NEW"),"",INDEX(B904:B$2,-1+SUMPRODUCT(MAX(ROW(E904:E$2)*(E905=E904:E$2)))))</f>
        <v> </v>
      </c>
      <c r="J905" s="19" t="str">
        <f>IF(OR(E905="",E905="!!!",F905="NEW"),"",COUNTBLANK(OFFSET(A$1,,,SUMPRODUCT(MAX(ROW(E$2:E905)*(E905=E$2:E905)))))-COUNTBLANK(OFFSET(A$1,,,SUMPRODUCT(MAX(ROW(E$1:E904)*(E2=E$1:E904))))))</f>
        <v> </v>
      </c>
      <c r="K905" s="19" t="str">
        <f>IF(OR(E905="",E905="!!!",F905="NEW"),"",INDEX(J$1:J904,SUMPRODUCT(MAX(ROW(E$1:E904)*(E905=E$1:E904)))))</f>
        <v> </v>
      </c>
      <c r="L905" s="20"/>
    </row>
    <row r="906" spans="1:12">
      <c r="A906" s="13" t="s">
        <v>371</v>
      </c>
      <c r="E906" s="15">
        <f>IF(D906="?OLD","!!!","")</f>
        <v/>
      </c>
      <c r="F906" s="16" t="str">
        <f>IF(OR(E906="",E906="!!!"),"",IF(NOT(ISNA(VLOOKUP(E906,E$1:E905,1,FALSE()))),"OLD",IF(AND(E906&lt;&gt;"",E906&lt;&gt;"!!!"),"NEW","")))</f>
        <v> </v>
      </c>
      <c r="G906" s="17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18" t="str">
        <f>IF(J906&lt;&gt;1,"",IF(I906="SBJ","CB","?"))</f>
        <v> </v>
      </c>
      <c r="I906" s="19" t="str">
        <f>IF(OR(E906="",E906="!!!",F906="NEW"),"",INDEX(B905:B$2,-1+SUMPRODUCT(MAX(ROW(E905:E$2)*(E906=E905:E$2)))))</f>
        <v> </v>
      </c>
      <c r="J906" s="19" t="str">
        <f>IF(OR(E906="",E906="!!!",F906="NEW"),"",COUNTBLANK(OFFSET(A$1,,,SUMPRODUCT(MAX(ROW(E$2:E906)*(E906=E$2:E906)))))-COUNTBLANK(OFFSET(A$1,,,SUMPRODUCT(MAX(ROW(E$1:E905)*(E2=E$1:E905))))))</f>
        <v> </v>
      </c>
      <c r="K906" s="19" t="str">
        <f>IF(OR(E906="",E906="!!!",F906="NEW"),"",INDEX(J$1:J905,SUMPRODUCT(MAX(ROW(E$1:E905)*(E906=E$1:E905)))))</f>
        <v> </v>
      </c>
      <c r="L906" s="20"/>
    </row>
    <row r="907" spans="1:12">
      <c r="A907" s="13" t="s">
        <v>77</v>
      </c>
      <c r="B907" s="14" t="s">
        <v>45</v>
      </c>
      <c r="C907" s="14" t="s">
        <v>86</v>
      </c>
      <c r="E907" s="15">
        <f>IF(D907="?OLD","!!!","")</f>
        <v/>
      </c>
      <c r="F907" s="16" t="str">
        <f>IF(OR(E907="",E907="!!!"),"",IF(NOT(ISNA(VLOOKUP(E907,E$1:E906,1,FALSE()))),"OLD",IF(AND(E907&lt;&gt;"",E907&lt;&gt;"!!!"),"NEW","")))</f>
        <v> </v>
      </c>
      <c r="G907" s="17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18" t="str">
        <f>IF(J907&lt;&gt;1,"",IF(I907="SBJ","CB","?"))</f>
        <v> </v>
      </c>
      <c r="I907" s="19" t="str">
        <f>IF(OR(E907="",E907="!!!",F907="NEW"),"",INDEX(B906:B$2,-1+SUMPRODUCT(MAX(ROW(E906:E$2)*(E907=E906:E$2)))))</f>
        <v> </v>
      </c>
      <c r="J907" s="19" t="str">
        <f>IF(OR(E907="",E907="!!!",F907="NEW"),"",COUNTBLANK(OFFSET(A$1,,,SUMPRODUCT(MAX(ROW(E$2:E907)*(E907=E$2:E907)))))-COUNTBLANK(OFFSET(A$1,,,SUMPRODUCT(MAX(ROW(E$1:E906)*(E2=E$1:E906))))))</f>
        <v> </v>
      </c>
      <c r="K907" s="19" t="str">
        <f>IF(OR(E907="",E907="!!!",F907="NEW"),"",INDEX(J$1:J906,SUMPRODUCT(MAX(ROW(E$1:E906)*(E907=E$1:E906)))))</f>
        <v> </v>
      </c>
      <c r="L907" s="20"/>
    </row>
    <row r="908" spans="1:12">
      <c r="A908" s="13" t="s">
        <v>207</v>
      </c>
      <c r="B908" s="14" t="s">
        <v>45</v>
      </c>
      <c r="C908" s="14" t="s">
        <v>72</v>
      </c>
      <c r="D908" s="14" t="s">
        <v>25</v>
      </c>
      <c r="E908" s="15">
        <f>IF(D908="?OLD","!!!","")</f>
        <v/>
      </c>
      <c r="F908" s="16" t="str">
        <f>IF(OR(E908="",E908="!!!"),"",IF(NOT(ISNA(VLOOKUP(E908,E$1:E907,1,FALSE()))),"OLD",IF(AND(E908&lt;&gt;"",E908&lt;&gt;"!!!"),"NEW","")))</f>
        <v> </v>
      </c>
      <c r="G908" s="17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18" t="str">
        <f>IF(J908&lt;&gt;1,"",IF(I908="SBJ","CB","?"))</f>
        <v> </v>
      </c>
      <c r="I908" s="19" t="str">
        <f>IF(OR(E908="",E908="!!!",F908="NEW"),"",INDEX(B907:B$2,-1+SUMPRODUCT(MAX(ROW(E907:E$2)*(E908=E907:E$2)))))</f>
        <v> </v>
      </c>
      <c r="J908" s="19" t="str">
        <f>IF(OR(E908="",E908="!!!",F908="NEW"),"",COUNTBLANK(OFFSET(A$1,,,SUMPRODUCT(MAX(ROW(E$2:E908)*(E908=E$2:E908)))))-COUNTBLANK(OFFSET(A$1,,,SUMPRODUCT(MAX(ROW(E$1:E907)*(E2=E$1:E907))))))</f>
        <v> </v>
      </c>
      <c r="K908" s="19" t="str">
        <f>IF(OR(E908="",E908="!!!",F908="NEW"),"",INDEX(J$1:J907,SUMPRODUCT(MAX(ROW(E$1:E907)*(E908=E$1:E907)))))</f>
        <v> </v>
      </c>
      <c r="L908" s="20"/>
    </row>
    <row r="909" spans="1:12">
      <c r="A909" s="13" t="s">
        <v>56</v>
      </c>
      <c r="E909" s="15">
        <f>IF(D909="?OLD","!!!","")</f>
        <v/>
      </c>
      <c r="F909" s="16" t="str">
        <f>IF(OR(E909="",E909="!!!"),"",IF(NOT(ISNA(VLOOKUP(E909,E$1:E908,1,FALSE()))),"OLD",IF(AND(E909&lt;&gt;"",E909&lt;&gt;"!!!"),"NEW","")))</f>
        <v> </v>
      </c>
      <c r="G909" s="17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18" t="str">
        <f>IF(J909&lt;&gt;1,"",IF(I909="SBJ","CB","?"))</f>
        <v> </v>
      </c>
      <c r="I909" s="19" t="str">
        <f>IF(OR(E909="",E909="!!!",F909="NEW"),"",INDEX(B908:B$2,-1+SUMPRODUCT(MAX(ROW(E908:E$2)*(E909=E908:E$2)))))</f>
        <v> </v>
      </c>
      <c r="J909" s="19" t="str">
        <f>IF(OR(E909="",E909="!!!",F909="NEW"),"",COUNTBLANK(OFFSET(A$1,,,SUMPRODUCT(MAX(ROW(E$2:E909)*(E909=E$2:E909)))))-COUNTBLANK(OFFSET(A$1,,,SUMPRODUCT(MAX(ROW(E$1:E908)*(E2=E$1:E908))))))</f>
        <v> </v>
      </c>
      <c r="K909" s="19" t="str">
        <f>IF(OR(E909="",E909="!!!",F909="NEW"),"",INDEX(J$1:J908,SUMPRODUCT(MAX(ROW(E$1:E908)*(E909=E$1:E908)))))</f>
        <v> </v>
      </c>
      <c r="L909" s="20"/>
    </row>
    <row r="910" spans="1:12">
      <c r="A910" s="13" t="s">
        <v>61</v>
      </c>
      <c r="B910" s="14" t="s">
        <v>165</v>
      </c>
      <c r="E910" s="15">
        <f>IF(D910="?OLD","!!!","")</f>
        <v/>
      </c>
      <c r="F910" s="16" t="str">
        <f>IF(OR(E910="",E910="!!!"),"",IF(NOT(ISNA(VLOOKUP(E910,E$1:E909,1,FALSE()))),"OLD",IF(AND(E910&lt;&gt;"",E910&lt;&gt;"!!!"),"NEW","")))</f>
        <v> </v>
      </c>
      <c r="G910" s="17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18" t="str">
        <f>IF(J910&lt;&gt;1,"",IF(I910="SBJ","CB","?"))</f>
        <v> </v>
      </c>
      <c r="I910" s="19" t="str">
        <f>IF(OR(E910="",E910="!!!",F910="NEW"),"",INDEX(B909:B$2,-1+SUMPRODUCT(MAX(ROW(E909:E$2)*(E910=E909:E$2)))))</f>
        <v> </v>
      </c>
      <c r="J910" s="19" t="str">
        <f>IF(OR(E910="",E910="!!!",F910="NEW"),"",COUNTBLANK(OFFSET(A$1,,,SUMPRODUCT(MAX(ROW(E$2:E910)*(E910=E$2:E910)))))-COUNTBLANK(OFFSET(A$1,,,SUMPRODUCT(MAX(ROW(E$1:E909)*(E2=E$1:E909))))))</f>
        <v> </v>
      </c>
      <c r="K910" s="19" t="str">
        <f>IF(OR(E910="",E910="!!!",F910="NEW"),"",INDEX(J$1:J909,SUMPRODUCT(MAX(ROW(E$1:E909)*(E910=E$1:E909)))))</f>
        <v> </v>
      </c>
      <c r="L910" s="20"/>
    </row>
    <row r="911" spans="1:12">
      <c r="A911" s="13" t="s">
        <v>261</v>
      </c>
      <c r="B911" s="14" t="s">
        <v>27</v>
      </c>
      <c r="C911" s="14" t="s">
        <v>34</v>
      </c>
      <c r="E911" s="15">
        <f>IF(D911="?OLD","!!!","")</f>
        <v/>
      </c>
      <c r="F911" s="16" t="str">
        <f>IF(OR(E911="",E911="!!!"),"",IF(NOT(ISNA(VLOOKUP(E911,E$1:E910,1,FALSE()))),"OLD",IF(AND(E911&lt;&gt;"",E911&lt;&gt;"!!!"),"NEW","")))</f>
        <v> </v>
      </c>
      <c r="G911" s="17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18" t="str">
        <f>IF(J911&lt;&gt;1,"",IF(I911="SBJ","CB","?"))</f>
        <v> </v>
      </c>
      <c r="I911" s="19" t="str">
        <f>IF(OR(E911="",E911="!!!",F911="NEW"),"",INDEX(B910:B$2,-1+SUMPRODUCT(MAX(ROW(E910:E$2)*(E911=E910:E$2)))))</f>
        <v> </v>
      </c>
      <c r="J911" s="19" t="str">
        <f>IF(OR(E911="",E911="!!!",F911="NEW"),"",COUNTBLANK(OFFSET(A$1,,,SUMPRODUCT(MAX(ROW(E$2:E911)*(E911=E$2:E911)))))-COUNTBLANK(OFFSET(A$1,,,SUMPRODUCT(MAX(ROW(E$1:E910)*(E2=E$1:E910))))))</f>
        <v> </v>
      </c>
      <c r="K911" s="19" t="str">
        <f>IF(OR(E911="",E911="!!!",F911="NEW"),"",INDEX(J$1:J910,SUMPRODUCT(MAX(ROW(E$1:E910)*(E911=E$1:E910)))))</f>
        <v> </v>
      </c>
      <c r="L911" s="20"/>
    </row>
    <row r="912" spans="1:12">
      <c r="A912" s="13" t="s">
        <v>373</v>
      </c>
      <c r="E912" s="15">
        <f>IF(D912="?OLD","!!!","")</f>
        <v/>
      </c>
      <c r="F912" s="16" t="str">
        <f>IF(OR(E912="",E912="!!!"),"",IF(NOT(ISNA(VLOOKUP(E912,E$1:E911,1,FALSE()))),"OLD",IF(AND(E912&lt;&gt;"",E912&lt;&gt;"!!!"),"NEW","")))</f>
        <v> </v>
      </c>
      <c r="G912" s="17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18" t="str">
        <f>IF(J912&lt;&gt;1,"",IF(I912="SBJ","CB","?"))</f>
        <v> </v>
      </c>
      <c r="I912" s="19" t="str">
        <f>IF(OR(E912="",E912="!!!",F912="NEW"),"",INDEX(B911:B$2,-1+SUMPRODUCT(MAX(ROW(E911:E$2)*(E912=E911:E$2)))))</f>
        <v> </v>
      </c>
      <c r="J912" s="19" t="str">
        <f>IF(OR(E912="",E912="!!!",F912="NEW"),"",COUNTBLANK(OFFSET(A$1,,,SUMPRODUCT(MAX(ROW(E$2:E912)*(E912=E$2:E912)))))-COUNTBLANK(OFFSET(A$1,,,SUMPRODUCT(MAX(ROW(E$1:E911)*(E2=E$1:E911))))))</f>
        <v> </v>
      </c>
      <c r="K912" s="19" t="str">
        <f>IF(OR(E912="",E912="!!!",F912="NEW"),"",INDEX(J$1:J911,SUMPRODUCT(MAX(ROW(E$1:E911)*(E912=E$1:E911)))))</f>
        <v> </v>
      </c>
      <c r="L912" s="20"/>
    </row>
    <row r="913" spans="1:12">
      <c r="A913" s="13" t="s">
        <v>61</v>
      </c>
      <c r="B913" s="14" t="s">
        <v>98</v>
      </c>
      <c r="E913" s="15">
        <f>IF(D913="?OLD","!!!","")</f>
        <v/>
      </c>
      <c r="F913" s="16" t="str">
        <f>IF(OR(E913="",E913="!!!"),"",IF(NOT(ISNA(VLOOKUP(E913,E$1:E912,1,FALSE()))),"OLD",IF(AND(E913&lt;&gt;"",E913&lt;&gt;"!!!"),"NEW","")))</f>
        <v> </v>
      </c>
      <c r="G913" s="17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18" t="str">
        <f>IF(J913&lt;&gt;1,"",IF(I913="SBJ","CB","?"))</f>
        <v> </v>
      </c>
      <c r="I913" s="19" t="str">
        <f>IF(OR(E913="",E913="!!!",F913="NEW"),"",INDEX(B912:B$2,-1+SUMPRODUCT(MAX(ROW(E912:E$2)*(E913=E912:E$2)))))</f>
        <v> </v>
      </c>
      <c r="J913" s="19" t="str">
        <f>IF(OR(E913="",E913="!!!",F913="NEW"),"",COUNTBLANK(OFFSET(A$1,,,SUMPRODUCT(MAX(ROW(E$2:E913)*(E913=E$2:E913)))))-COUNTBLANK(OFFSET(A$1,,,SUMPRODUCT(MAX(ROW(E$1:E912)*(E2=E$1:E912))))))</f>
        <v> </v>
      </c>
      <c r="K913" s="19" t="str">
        <f>IF(OR(E913="",E913="!!!",F913="NEW"),"",INDEX(J$1:J912,SUMPRODUCT(MAX(ROW(E$1:E912)*(E913=E$1:E912)))))</f>
        <v> </v>
      </c>
      <c r="L913" s="20"/>
    </row>
    <row r="914" spans="1:12">
      <c r="A914" s="13" t="s">
        <v>374</v>
      </c>
      <c r="E914" s="15">
        <f>IF(D914="?OLD","!!!","")</f>
        <v/>
      </c>
      <c r="F914" s="16" t="str">
        <f>IF(OR(E914="",E914="!!!"),"",IF(NOT(ISNA(VLOOKUP(E914,E$1:E913,1,FALSE()))),"OLD",IF(AND(E914&lt;&gt;"",E914&lt;&gt;"!!!"),"NEW","")))</f>
        <v> </v>
      </c>
      <c r="G914" s="17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18" t="str">
        <f>IF(J914&lt;&gt;1,"",IF(I914="SBJ","CB","?"))</f>
        <v> </v>
      </c>
      <c r="I914" s="19" t="str">
        <f>IF(OR(E914="",E914="!!!",F914="NEW"),"",INDEX(B913:B$2,-1+SUMPRODUCT(MAX(ROW(E913:E$2)*(E914=E913:E$2)))))</f>
        <v> </v>
      </c>
      <c r="J914" s="19" t="str">
        <f>IF(OR(E914="",E914="!!!",F914="NEW"),"",COUNTBLANK(OFFSET(A$1,,,SUMPRODUCT(MAX(ROW(E$2:E914)*(E914=E$2:E914)))))-COUNTBLANK(OFFSET(A$1,,,SUMPRODUCT(MAX(ROW(E$1:E913)*(E2=E$1:E913))))))</f>
        <v> </v>
      </c>
      <c r="K914" s="19" t="str">
        <f>IF(OR(E914="",E914="!!!",F914="NEW"),"",INDEX(J$1:J913,SUMPRODUCT(MAX(ROW(E$1:E913)*(E914=E$1:E913)))))</f>
        <v> </v>
      </c>
      <c r="L914" s="20"/>
    </row>
    <row r="915" spans="1:12">
      <c r="A915" s="13" t="s">
        <v>222</v>
      </c>
      <c r="E915" s="15">
        <f>IF(D915="?OLD","!!!","")</f>
        <v/>
      </c>
      <c r="F915" s="16" t="str">
        <f>IF(OR(E915="",E915="!!!"),"",IF(NOT(ISNA(VLOOKUP(E915,E$1:E914,1,FALSE()))),"OLD",IF(AND(E915&lt;&gt;"",E915&lt;&gt;"!!!"),"NEW","")))</f>
        <v> </v>
      </c>
      <c r="G915" s="17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18" t="str">
        <f>IF(J915&lt;&gt;1,"",IF(I915="SBJ","CB","?"))</f>
        <v> </v>
      </c>
      <c r="I915" s="19" t="str">
        <f>IF(OR(E915="",E915="!!!",F915="NEW"),"",INDEX(B914:B$2,-1+SUMPRODUCT(MAX(ROW(E914:E$2)*(E915=E914:E$2)))))</f>
        <v> </v>
      </c>
      <c r="J915" s="19" t="str">
        <f>IF(OR(E915="",E915="!!!",F915="NEW"),"",COUNTBLANK(OFFSET(A$1,,,SUMPRODUCT(MAX(ROW(E$2:E915)*(E915=E$2:E915)))))-COUNTBLANK(OFFSET(A$1,,,SUMPRODUCT(MAX(ROW(E$1:E914)*(E2=E$1:E914))))))</f>
        <v> </v>
      </c>
      <c r="K915" s="19" t="str">
        <f>IF(OR(E915="",E915="!!!",F915="NEW"),"",INDEX(J$1:J914,SUMPRODUCT(MAX(ROW(E$1:E914)*(E915=E$1:E914)))))</f>
        <v> </v>
      </c>
      <c r="L915" s="20"/>
    </row>
    <row r="916" spans="1:12">
      <c r="A916" s="13" t="s">
        <v>119</v>
      </c>
      <c r="E916" s="15">
        <f>IF(D916="?OLD","!!!","")</f>
        <v/>
      </c>
      <c r="F916" s="16" t="str">
        <f>IF(OR(E916="",E916="!!!"),"",IF(NOT(ISNA(VLOOKUP(E916,E$1:E915,1,FALSE()))),"OLD",IF(AND(E916&lt;&gt;"",E916&lt;&gt;"!!!"),"NEW","")))</f>
        <v> </v>
      </c>
      <c r="G916" s="17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18" t="str">
        <f>IF(J916&lt;&gt;1,"",IF(I916="SBJ","CB","?"))</f>
        <v> </v>
      </c>
      <c r="I916" s="19" t="str">
        <f>IF(OR(E916="",E916="!!!",F916="NEW"),"",INDEX(B915:B$2,-1+SUMPRODUCT(MAX(ROW(E915:E$2)*(E916=E915:E$2)))))</f>
        <v> </v>
      </c>
      <c r="J916" s="19" t="str">
        <f>IF(OR(E916="",E916="!!!",F916="NEW"),"",COUNTBLANK(OFFSET(A$1,,,SUMPRODUCT(MAX(ROW(E$2:E916)*(E916=E$2:E916)))))-COUNTBLANK(OFFSET(A$1,,,SUMPRODUCT(MAX(ROW(E$1:E915)*(E2=E$1:E915))))))</f>
        <v> </v>
      </c>
      <c r="K916" s="19" t="str">
        <f>IF(OR(E916="",E916="!!!",F916="NEW"),"",INDEX(J$1:J915,SUMPRODUCT(MAX(ROW(E$1:E915)*(E916=E$1:E915)))))</f>
        <v> </v>
      </c>
      <c r="L916" s="20"/>
    </row>
    <row r="917" spans="1:12">
      <c r="A917" s="13"/>
    </row>
    <row r="918" spans="1:12">
      <c r="A918" s="13" t="s">
        <v>117</v>
      </c>
      <c r="E918" s="15">
        <f>IF(D918="?OLD","!!!","")</f>
        <v/>
      </c>
      <c r="F918" s="16" t="str">
        <f>IF(OR(E918="",E918="!!!"),"",IF(NOT(ISNA(VLOOKUP(E918,E$1:E917,1,FALSE()))),"OLD",IF(AND(E918&lt;&gt;"",E918&lt;&gt;"!!!"),"NEW","")))</f>
        <v> </v>
      </c>
      <c r="G918" s="17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18" t="str">
        <f>IF(J918&lt;&gt;1,"",IF(I918="SBJ","CB","?"))</f>
        <v> </v>
      </c>
      <c r="I918" s="19" t="str">
        <f>IF(OR(E918="",E918="!!!",F918="NEW"),"",INDEX(B917:B$2,-1+SUMPRODUCT(MAX(ROW(E917:E$2)*(E918=E917:E$2)))))</f>
        <v> </v>
      </c>
      <c r="J918" s="19" t="str">
        <f>IF(OR(E918="",E918="!!!",F918="NEW"),"",COUNTBLANK(OFFSET(A$1,,,SUMPRODUCT(MAX(ROW(E$2:E918)*(E918=E$2:E918)))))-COUNTBLANK(OFFSET(A$1,,,SUMPRODUCT(MAX(ROW(E$1:E917)*(E2=E$1:E917))))))</f>
        <v> </v>
      </c>
      <c r="K918" s="19" t="str">
        <f>IF(OR(E918="",E918="!!!",F918="NEW"),"",INDEX(J$1:J917,SUMPRODUCT(MAX(ROW(E$1:E917)*(E918=E$1:E917)))))</f>
        <v> </v>
      </c>
      <c r="L918" s="20"/>
    </row>
    <row r="919" spans="1:12">
      <c r="A919" s="13" t="s">
        <v>381</v>
      </c>
    </row>
    <row r="920" spans="1:12">
      <c r="A920" s="13" t="s">
        <v>119</v>
      </c>
      <c r="E920" s="15">
        <f>IF(D920="?OLD","!!!","")</f>
        <v/>
      </c>
      <c r="F920" s="16" t="str">
        <f>IF(OR(E920="",E920="!!!"),"",IF(NOT(ISNA(VLOOKUP(E920,E$1:E919,1,FALSE()))),"OLD",IF(AND(E920&lt;&gt;"",E920&lt;&gt;"!!!"),"NEW","")))</f>
        <v> </v>
      </c>
      <c r="G920" s="17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18" t="str">
        <f>IF(J920&lt;&gt;1,"",IF(I920="SBJ","CB","?"))</f>
        <v> </v>
      </c>
      <c r="I920" s="19" t="str">
        <f>IF(OR(E920="",E920="!!!",F920="NEW"),"",INDEX(B919:B$2,-1+SUMPRODUCT(MAX(ROW(E919:E$2)*(E920=E919:E$2)))))</f>
        <v> </v>
      </c>
      <c r="J920" s="19" t="str">
        <f>IF(OR(E920="",E920="!!!",F920="NEW"),"",COUNTBLANK(OFFSET(A$1,,,SUMPRODUCT(MAX(ROW(E$2:E920)*(E920=E$2:E920)))))-COUNTBLANK(OFFSET(A$1,,,SUMPRODUCT(MAX(ROW(E$1:E919)*(E2=E$1:E919))))))</f>
        <v> </v>
      </c>
      <c r="K920" s="19" t="str">
        <f>IF(OR(E920="",E920="!!!",F920="NEW"),"",INDEX(J$1:J919,SUMPRODUCT(MAX(ROW(E$1:E919)*(E920=E$1:E919)))))</f>
        <v> </v>
      </c>
      <c r="L920" s="20"/>
    </row>
    <row r="921" spans="1:12">
      <c r="A921" s="13" t="s">
        <v>376</v>
      </c>
      <c r="B921" s="14" t="s">
        <v>88</v>
      </c>
      <c r="C921" s="14" t="s">
        <v>64</v>
      </c>
      <c r="D921" s="14" t="s">
        <v>25</v>
      </c>
      <c r="E921" s="15">
        <f>IF(D921="?OLD","!!!","")</f>
        <v/>
      </c>
      <c r="F921" s="16" t="str">
        <f>IF(OR(E921="",E921="!!!"),"",IF(NOT(ISNA(VLOOKUP(E921,E$1:E920,1,FALSE()))),"OLD",IF(AND(E921&lt;&gt;"",E921&lt;&gt;"!!!"),"NEW","")))</f>
        <v> </v>
      </c>
      <c r="G921" s="17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18" t="str">
        <f>IF(J921&lt;&gt;1,"",IF(I921="SBJ","CB","?"))</f>
        <v> </v>
      </c>
      <c r="I921" s="19" t="str">
        <f>IF(OR(E921="",E921="!!!",F921="NEW"),"",INDEX(B920:B$2,-1+SUMPRODUCT(MAX(ROW(E920:E$2)*(E921=E920:E$2)))))</f>
        <v> </v>
      </c>
      <c r="J921" s="19" t="str">
        <f>IF(OR(E921="",E921="!!!",F921="NEW"),"",COUNTBLANK(OFFSET(A$1,,,SUMPRODUCT(MAX(ROW(E$2:E921)*(E921=E$2:E921)))))-COUNTBLANK(OFFSET(A$1,,,SUMPRODUCT(MAX(ROW(E$1:E920)*(E2=E$1:E920))))))</f>
        <v> </v>
      </c>
      <c r="K921" s="19" t="str">
        <f>IF(OR(E921="",E921="!!!",F921="NEW"),"",INDEX(J$1:J920,SUMPRODUCT(MAX(ROW(E$1:E920)*(E921=E$1:E920)))))</f>
        <v> </v>
      </c>
      <c r="L921" s="20"/>
    </row>
    <row r="922" spans="1:12">
      <c r="A922" s="13" t="s">
        <v>286</v>
      </c>
      <c r="E922" s="15">
        <f>IF(D922="?OLD","!!!","")</f>
        <v/>
      </c>
      <c r="F922" s="16" t="str">
        <f>IF(OR(E922="",E922="!!!"),"",IF(NOT(ISNA(VLOOKUP(E922,E$1:E921,1,FALSE()))),"OLD",IF(AND(E922&lt;&gt;"",E922&lt;&gt;"!!!"),"NEW","")))</f>
        <v> </v>
      </c>
      <c r="G922" s="17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18" t="str">
        <f>IF(J922&lt;&gt;1,"",IF(I922="SBJ","CB","?"))</f>
        <v> </v>
      </c>
      <c r="I922" s="19" t="str">
        <f>IF(OR(E922="",E922="!!!",F922="NEW"),"",INDEX(B921:B$2,-1+SUMPRODUCT(MAX(ROW(E921:E$2)*(E922=E921:E$2)))))</f>
        <v> </v>
      </c>
      <c r="J922" s="19" t="str">
        <f>IF(OR(E922="",E922="!!!",F922="NEW"),"",COUNTBLANK(OFFSET(A$1,,,SUMPRODUCT(MAX(ROW(E$2:E922)*(E922=E$2:E922)))))-COUNTBLANK(OFFSET(A$1,,,SUMPRODUCT(MAX(ROW(E$1:E921)*(E2=E$1:E921))))))</f>
        <v> </v>
      </c>
      <c r="K922" s="19" t="str">
        <f>IF(OR(E922="",E922="!!!",F922="NEW"),"",INDEX(J$1:J921,SUMPRODUCT(MAX(ROW(E$1:E921)*(E922=E$1:E921)))))</f>
        <v> </v>
      </c>
      <c r="L922" s="20"/>
    </row>
    <row r="923" spans="1:12">
      <c r="A923" s="13" t="s">
        <v>151</v>
      </c>
      <c r="E923" s="15">
        <f>IF(D923="?OLD","!!!","")</f>
        <v/>
      </c>
      <c r="F923" s="16" t="str">
        <f>IF(OR(E923="",E923="!!!"),"",IF(NOT(ISNA(VLOOKUP(E923,E$1:E922,1,FALSE()))),"OLD",IF(AND(E923&lt;&gt;"",E923&lt;&gt;"!!!"),"NEW","")))</f>
        <v> </v>
      </c>
      <c r="G923" s="17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18" t="str">
        <f>IF(J923&lt;&gt;1,"",IF(I923="SBJ","CB","?"))</f>
        <v> </v>
      </c>
      <c r="I923" s="19" t="str">
        <f>IF(OR(E923="",E923="!!!",F923="NEW"),"",INDEX(B922:B$2,-1+SUMPRODUCT(MAX(ROW(E922:E$2)*(E923=E922:E$2)))))</f>
        <v> </v>
      </c>
      <c r="J923" s="19" t="str">
        <f>IF(OR(E923="",E923="!!!",F923="NEW"),"",COUNTBLANK(OFFSET(A$1,,,SUMPRODUCT(MAX(ROW(E$2:E923)*(E923=E$2:E923)))))-COUNTBLANK(OFFSET(A$1,,,SUMPRODUCT(MAX(ROW(E$1:E922)*(E2=E$1:E922))))))</f>
        <v> </v>
      </c>
      <c r="K923" s="19" t="str">
        <f>IF(OR(E923="",E923="!!!",F923="NEW"),"",INDEX(J$1:J922,SUMPRODUCT(MAX(ROW(E$1:E922)*(E923=E$1:E922)))))</f>
        <v> </v>
      </c>
      <c r="L923" s="20"/>
    </row>
    <row r="924" spans="1:12">
      <c r="A924" s="13" t="s">
        <v>382</v>
      </c>
      <c r="E924" s="15">
        <f>IF(D924="?OLD","!!!","")</f>
        <v/>
      </c>
      <c r="F924" s="16" t="str">
        <f>IF(OR(E924="",E924="!!!"),"",IF(NOT(ISNA(VLOOKUP(E924,E$1:E923,1,FALSE()))),"OLD",IF(AND(E924&lt;&gt;"",E924&lt;&gt;"!!!"),"NEW","")))</f>
        <v> </v>
      </c>
      <c r="G924" s="17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18" t="str">
        <f>IF(J924&lt;&gt;1,"",IF(I924="SBJ","CB","?"))</f>
        <v> </v>
      </c>
      <c r="I924" s="19" t="str">
        <f>IF(OR(E924="",E924="!!!",F924="NEW"),"",INDEX(B923:B$2,-1+SUMPRODUCT(MAX(ROW(E923:E$2)*(E924=E923:E$2)))))</f>
        <v> </v>
      </c>
      <c r="J924" s="19" t="str">
        <f>IF(OR(E924="",E924="!!!",F924="NEW"),"",COUNTBLANK(OFFSET(A$1,,,SUMPRODUCT(MAX(ROW(E$2:E924)*(E924=E$2:E924)))))-COUNTBLANK(OFFSET(A$1,,,SUMPRODUCT(MAX(ROW(E$1:E923)*(E2=E$1:E923))))))</f>
        <v> </v>
      </c>
      <c r="K924" s="19" t="str">
        <f>IF(OR(E924="",E924="!!!",F924="NEW"),"",INDEX(J$1:J923,SUMPRODUCT(MAX(ROW(E$1:E923)*(E924=E$1:E923)))))</f>
        <v> </v>
      </c>
      <c r="L924" s="20"/>
    </row>
    <row r="925" spans="1:12">
      <c r="A925" s="13" t="s">
        <v>379</v>
      </c>
      <c r="E925" s="15">
        <f>IF(D925="?OLD","!!!","")</f>
        <v/>
      </c>
      <c r="F925" s="16" t="str">
        <f>IF(OR(E925="",E925="!!!"),"",IF(NOT(ISNA(VLOOKUP(E925,E$1:E924,1,FALSE()))),"OLD",IF(AND(E925&lt;&gt;"",E925&lt;&gt;"!!!"),"NEW","")))</f>
        <v> </v>
      </c>
      <c r="G925" s="17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18" t="str">
        <f>IF(J925&lt;&gt;1,"",IF(I925="SBJ","CB","?"))</f>
        <v> </v>
      </c>
      <c r="I925" s="19" t="str">
        <f>IF(OR(E925="",E925="!!!",F925="NEW"),"",INDEX(B924:B$2,-1+SUMPRODUCT(MAX(ROW(E924:E$2)*(E925=E924:E$2)))))</f>
        <v> </v>
      </c>
      <c r="J925" s="19" t="str">
        <f>IF(OR(E925="",E925="!!!",F925="NEW"),"",COUNTBLANK(OFFSET(A$1,,,SUMPRODUCT(MAX(ROW(E$2:E925)*(E925=E$2:E925)))))-COUNTBLANK(OFFSET(A$1,,,SUMPRODUCT(MAX(ROW(E$1:E924)*(E2=E$1:E924))))))</f>
        <v> </v>
      </c>
      <c r="K925" s="19" t="str">
        <f>IF(OR(E925="",E925="!!!",F925="NEW"),"",INDEX(J$1:J924,SUMPRODUCT(MAX(ROW(E$1:E924)*(E925=E$1:E924)))))</f>
        <v> </v>
      </c>
      <c r="L925" s="20"/>
    </row>
    <row r="926" spans="1:12">
      <c r="A926" s="13" t="s">
        <v>56</v>
      </c>
      <c r="E926" s="15">
        <f>IF(D926="?OLD","!!!","")</f>
        <v/>
      </c>
      <c r="F926" s="16" t="str">
        <f>IF(OR(E926="",E926="!!!"),"",IF(NOT(ISNA(VLOOKUP(E926,E$1:E925,1,FALSE()))),"OLD",IF(AND(E926&lt;&gt;"",E926&lt;&gt;"!!!"),"NEW","")))</f>
        <v> </v>
      </c>
      <c r="G926" s="17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18" t="str">
        <f>IF(J926&lt;&gt;1,"",IF(I926="SBJ","CB","?"))</f>
        <v> </v>
      </c>
      <c r="I926" s="19" t="str">
        <f>IF(OR(E926="",E926="!!!",F926="NEW"),"",INDEX(B925:B$2,-1+SUMPRODUCT(MAX(ROW(E925:E$2)*(E926=E925:E$2)))))</f>
        <v> </v>
      </c>
      <c r="J926" s="19" t="str">
        <f>IF(OR(E926="",E926="!!!",F926="NEW"),"",COUNTBLANK(OFFSET(A$1,,,SUMPRODUCT(MAX(ROW(E$2:E926)*(E926=E$2:E926)))))-COUNTBLANK(OFFSET(A$1,,,SUMPRODUCT(MAX(ROW(E$1:E925)*(E2=E$1:E925))))))</f>
        <v> </v>
      </c>
      <c r="K926" s="19" t="str">
        <f>IF(OR(E926="",E926="!!!",F926="NEW"),"",INDEX(J$1:J925,SUMPRODUCT(MAX(ROW(E$1:E925)*(E926=E$1:E925)))))</f>
        <v> </v>
      </c>
      <c r="L926" s="20"/>
    </row>
    <row r="927" spans="1:12">
      <c r="A927" s="13" t="s">
        <v>55</v>
      </c>
      <c r="E927" s="15">
        <f>IF(D927="?OLD","!!!","")</f>
        <v/>
      </c>
      <c r="F927" s="16" t="str">
        <f>IF(OR(E927="",E927="!!!"),"",IF(NOT(ISNA(VLOOKUP(E927,E$1:E926,1,FALSE()))),"OLD",IF(AND(E927&lt;&gt;"",E927&lt;&gt;"!!!"),"NEW","")))</f>
        <v> </v>
      </c>
      <c r="G927" s="17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18" t="str">
        <f>IF(J927&lt;&gt;1,"",IF(I927="SBJ","CB","?"))</f>
        <v> </v>
      </c>
      <c r="I927" s="19" t="str">
        <f>IF(OR(E927="",E927="!!!",F927="NEW"),"",INDEX(B926:B$2,-1+SUMPRODUCT(MAX(ROW(E926:E$2)*(E927=E926:E$2)))))</f>
        <v> </v>
      </c>
      <c r="J927" s="19" t="str">
        <f>IF(OR(E927="",E927="!!!",F927="NEW"),"",COUNTBLANK(OFFSET(A$1,,,SUMPRODUCT(MAX(ROW(E$2:E927)*(E927=E$2:E927)))))-COUNTBLANK(OFFSET(A$1,,,SUMPRODUCT(MAX(ROW(E$1:E926)*(E2=E$1:E926))))))</f>
        <v> </v>
      </c>
      <c r="K927" s="19" t="str">
        <f>IF(OR(E927="",E927="!!!",F927="NEW"),"",INDEX(J$1:J926,SUMPRODUCT(MAX(ROW(E$1:E926)*(E927=E$1:E926)))))</f>
        <v> </v>
      </c>
      <c r="L927" s="20"/>
    </row>
    <row r="928" spans="1:12">
      <c r="A928" s="13" t="s">
        <v>207</v>
      </c>
      <c r="B928" s="14" t="s">
        <v>93</v>
      </c>
      <c r="C928" s="14" t="s">
        <v>64</v>
      </c>
      <c r="D928" s="14" t="s">
        <v>25</v>
      </c>
      <c r="E928" s="15">
        <f>IF(D928="?OLD","!!!","")</f>
        <v/>
      </c>
      <c r="F928" s="16" t="str">
        <f>IF(OR(E928="",E928="!!!"),"",IF(NOT(ISNA(VLOOKUP(E928,E$1:E927,1,FALSE()))),"OLD",IF(AND(E928&lt;&gt;"",E928&lt;&gt;"!!!"),"NEW","")))</f>
        <v> </v>
      </c>
      <c r="G928" s="17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18" t="str">
        <f>IF(J928&lt;&gt;1,"",IF(I928="SBJ","CB","?"))</f>
        <v> </v>
      </c>
      <c r="I928" s="19" t="str">
        <f>IF(OR(E928="",E928="!!!",F928="NEW"),"",INDEX(B927:B$2,-1+SUMPRODUCT(MAX(ROW(E927:E$2)*(E928=E927:E$2)))))</f>
        <v> </v>
      </c>
      <c r="J928" s="19" t="str">
        <f>IF(OR(E928="",E928="!!!",F928="NEW"),"",COUNTBLANK(OFFSET(A$1,,,SUMPRODUCT(MAX(ROW(E$2:E928)*(E928=E$2:E928)))))-COUNTBLANK(OFFSET(A$1,,,SUMPRODUCT(MAX(ROW(E$1:E927)*(E2=E$1:E927))))))</f>
        <v> </v>
      </c>
      <c r="K928" s="19" t="str">
        <f>IF(OR(E928="",E928="!!!",F928="NEW"),"",INDEX(J$1:J927,SUMPRODUCT(MAX(ROW(E$1:E927)*(E928=E$1:E927)))))</f>
        <v> </v>
      </c>
      <c r="L928" s="20"/>
    </row>
    <row r="929" spans="1:12">
      <c r="A929" s="13" t="s">
        <v>68</v>
      </c>
      <c r="E929" s="15">
        <f>IF(D929="?OLD","!!!","")</f>
        <v/>
      </c>
      <c r="F929" s="16" t="str">
        <f>IF(OR(E929="",E929="!!!"),"",IF(NOT(ISNA(VLOOKUP(E929,E$1:E928,1,FALSE()))),"OLD",IF(AND(E929&lt;&gt;"",E929&lt;&gt;"!!!"),"NEW","")))</f>
        <v> </v>
      </c>
      <c r="G929" s="17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18" t="str">
        <f>IF(J929&lt;&gt;1,"",IF(I929="SBJ","CB","?"))</f>
        <v> </v>
      </c>
      <c r="I929" s="19" t="str">
        <f>IF(OR(E929="",E929="!!!",F929="NEW"),"",INDEX(B928:B$2,-1+SUMPRODUCT(MAX(ROW(E928:E$2)*(E929=E928:E$2)))))</f>
        <v> </v>
      </c>
      <c r="J929" s="19" t="str">
        <f>IF(OR(E929="",E929="!!!",F929="NEW"),"",COUNTBLANK(OFFSET(A$1,,,SUMPRODUCT(MAX(ROW(E$2:E929)*(E929=E$2:E929)))))-COUNTBLANK(OFFSET(A$1,,,SUMPRODUCT(MAX(ROW(E$1:E928)*(E2=E$1:E928))))))</f>
        <v> </v>
      </c>
      <c r="K929" s="19" t="str">
        <f>IF(OR(E929="",E929="!!!",F929="NEW"),"",INDEX(J$1:J928,SUMPRODUCT(MAX(ROW(E$1:E928)*(E929=E$1:E928)))))</f>
        <v> </v>
      </c>
      <c r="L929" s="20"/>
    </row>
    <row r="930" spans="1:12">
      <c r="A930" s="13" t="s">
        <v>119</v>
      </c>
      <c r="E930" s="15">
        <f>IF(D930="?OLD","!!!","")</f>
        <v/>
      </c>
      <c r="F930" s="16" t="str">
        <f>IF(OR(E930="",E930="!!!"),"",IF(NOT(ISNA(VLOOKUP(E930,E$1:E929,1,FALSE()))),"OLD",IF(AND(E930&lt;&gt;"",E930&lt;&gt;"!!!"),"NEW","")))</f>
        <v> </v>
      </c>
      <c r="G930" s="17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18" t="str">
        <f>IF(J930&lt;&gt;1,"",IF(I930="SBJ","CB","?"))</f>
        <v> </v>
      </c>
      <c r="I930" s="19" t="str">
        <f>IF(OR(E930="",E930="!!!",F930="NEW"),"",INDEX(B929:B$2,-1+SUMPRODUCT(MAX(ROW(E929:E$2)*(E930=E929:E$2)))))</f>
        <v> </v>
      </c>
      <c r="J930" s="19" t="str">
        <f>IF(OR(E930="",E930="!!!",F930="NEW"),"",COUNTBLANK(OFFSET(A$1,,,SUMPRODUCT(MAX(ROW(E$2:E930)*(E930=E$2:E930)))))-COUNTBLANK(OFFSET(A$1,,,SUMPRODUCT(MAX(ROW(E$1:E929)*(E2=E$1:E929))))))</f>
        <v> </v>
      </c>
      <c r="K930" s="19" t="str">
        <f>IF(OR(E930="",E930="!!!",F930="NEW"),"",INDEX(J$1:J929,SUMPRODUCT(MAX(ROW(E$1:E929)*(E930=E$1:E929)))))</f>
        <v> </v>
      </c>
      <c r="L930" s="20"/>
    </row>
    <row r="931" spans="1:12">
      <c r="A931" s="13"/>
    </row>
    <row r="932" spans="1:12">
      <c r="A932" s="13" t="s">
        <v>117</v>
      </c>
      <c r="E932" s="15">
        <f>IF(D932="?OLD","!!!","")</f>
        <v/>
      </c>
      <c r="F932" s="16" t="str">
        <f>IF(OR(E932="",E932="!!!"),"",IF(NOT(ISNA(VLOOKUP(E932,E$1:E931,1,FALSE()))),"OLD",IF(AND(E932&lt;&gt;"",E932&lt;&gt;"!!!"),"NEW","")))</f>
        <v> </v>
      </c>
      <c r="G932" s="17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18" t="str">
        <f>IF(J932&lt;&gt;1,"",IF(I932="SBJ","CB","?"))</f>
        <v> </v>
      </c>
      <c r="I932" s="19" t="str">
        <f>IF(OR(E932="",E932="!!!",F932="NEW"),"",INDEX(B931:B$2,-1+SUMPRODUCT(MAX(ROW(E931:E$2)*(E932=E931:E$2)))))</f>
        <v> </v>
      </c>
      <c r="J932" s="19" t="str">
        <f>IF(OR(E932="",E932="!!!",F932="NEW"),"",COUNTBLANK(OFFSET(A$1,,,SUMPRODUCT(MAX(ROW(E$2:E932)*(E932=E$2:E932)))))-COUNTBLANK(OFFSET(A$1,,,SUMPRODUCT(MAX(ROW(E$1:E931)*(E2=E$1:E931))))))</f>
        <v> </v>
      </c>
      <c r="K932" s="19" t="str">
        <f>IF(OR(E932="",E932="!!!",F932="NEW"),"",INDEX(J$1:J931,SUMPRODUCT(MAX(ROW(E$1:E931)*(E932=E$1:E931)))))</f>
        <v> </v>
      </c>
      <c r="L932" s="20"/>
    </row>
    <row r="933" spans="1:12">
      <c r="A933" s="13" t="s">
        <v>383</v>
      </c>
    </row>
    <row r="934" spans="1:12">
      <c r="A934" s="13" t="s">
        <v>119</v>
      </c>
      <c r="E934" s="15">
        <f>IF(D934="?OLD","!!!","")</f>
        <v/>
      </c>
      <c r="F934" s="16" t="str">
        <f>IF(OR(E934="",E934="!!!"),"",IF(NOT(ISNA(VLOOKUP(E934,E$1:E933,1,FALSE()))),"OLD",IF(AND(E934&lt;&gt;"",E934&lt;&gt;"!!!"),"NEW","")))</f>
        <v> </v>
      </c>
      <c r="G934" s="17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18" t="str">
        <f>IF(J934&lt;&gt;1,"",IF(I934="SBJ","CB","?"))</f>
        <v> </v>
      </c>
      <c r="I934" s="19" t="str">
        <f>IF(OR(E934="",E934="!!!",F934="NEW"),"",INDEX(B933:B$2,-1+SUMPRODUCT(MAX(ROW(E933:E$2)*(E934=E933:E$2)))))</f>
        <v> </v>
      </c>
      <c r="J934" s="19" t="str">
        <f>IF(OR(E934="",E934="!!!",F934="NEW"),"",COUNTBLANK(OFFSET(A$1,,,SUMPRODUCT(MAX(ROW(E$2:E934)*(E934=E$2:E934)))))-COUNTBLANK(OFFSET(A$1,,,SUMPRODUCT(MAX(ROW(E$1:E933)*(E2=E$1:E933))))))</f>
        <v> </v>
      </c>
      <c r="K934" s="19" t="str">
        <f>IF(OR(E934="",E934="!!!",F934="NEW"),"",INDEX(J$1:J933,SUMPRODUCT(MAX(ROW(E$1:E933)*(E934=E$1:E933)))))</f>
        <v> </v>
      </c>
      <c r="L934" s="20"/>
    </row>
    <row r="935" spans="1:12">
      <c r="A935" s="13" t="s">
        <v>371</v>
      </c>
      <c r="E935" s="15">
        <f>IF(D935="?OLD","!!!","")</f>
        <v/>
      </c>
      <c r="F935" s="16" t="str">
        <f>IF(OR(E935="",E935="!!!"),"",IF(NOT(ISNA(VLOOKUP(E935,E$1:E934,1,FALSE()))),"OLD",IF(AND(E935&lt;&gt;"",E935&lt;&gt;"!!!"),"NEW","")))</f>
        <v> </v>
      </c>
      <c r="G935" s="17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18" t="str">
        <f>IF(J935&lt;&gt;1,"",IF(I935="SBJ","CB","?"))</f>
        <v> </v>
      </c>
      <c r="I935" s="19" t="str">
        <f>IF(OR(E935="",E935="!!!",F935="NEW"),"",INDEX(B934:B$2,-1+SUMPRODUCT(MAX(ROW(E934:E$2)*(E935=E934:E$2)))))</f>
        <v> </v>
      </c>
      <c r="J935" s="19" t="str">
        <f>IF(OR(E935="",E935="!!!",F935="NEW"),"",COUNTBLANK(OFFSET(A$1,,,SUMPRODUCT(MAX(ROW(E$2:E935)*(E935=E$2:E935)))))-COUNTBLANK(OFFSET(A$1,,,SUMPRODUCT(MAX(ROW(E$1:E934)*(E2=E$1:E934))))))</f>
        <v> </v>
      </c>
      <c r="K935" s="19" t="str">
        <f>IF(OR(E935="",E935="!!!",F935="NEW"),"",INDEX(J$1:J934,SUMPRODUCT(MAX(ROW(E$1:E934)*(E935=E$1:E934)))))</f>
        <v> </v>
      </c>
      <c r="L935" s="20"/>
    </row>
    <row r="936" spans="1:12">
      <c r="A936" s="13" t="s">
        <v>77</v>
      </c>
      <c r="B936" s="14" t="s">
        <v>45</v>
      </c>
      <c r="C936" s="14" t="s">
        <v>86</v>
      </c>
      <c r="E936" s="15">
        <f>IF(D936="?OLD","!!!","")</f>
        <v/>
      </c>
      <c r="F936" s="16" t="str">
        <f>IF(OR(E936="",E936="!!!"),"",IF(NOT(ISNA(VLOOKUP(E936,E$1:E935,1,FALSE()))),"OLD",IF(AND(E936&lt;&gt;"",E936&lt;&gt;"!!!"),"NEW","")))</f>
        <v> </v>
      </c>
      <c r="G936" s="17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18" t="str">
        <f>IF(J936&lt;&gt;1,"",IF(I936="SBJ","CB","?"))</f>
        <v> </v>
      </c>
      <c r="I936" s="19" t="str">
        <f>IF(OR(E936="",E936="!!!",F936="NEW"),"",INDEX(B935:B$2,-1+SUMPRODUCT(MAX(ROW(E935:E$2)*(E936=E935:E$2)))))</f>
        <v> </v>
      </c>
      <c r="J936" s="19" t="str">
        <f>IF(OR(E936="",E936="!!!",F936="NEW"),"",COUNTBLANK(OFFSET(A$1,,,SUMPRODUCT(MAX(ROW(E$2:E936)*(E936=E$2:E936)))))-COUNTBLANK(OFFSET(A$1,,,SUMPRODUCT(MAX(ROW(E$1:E935)*(E2=E$1:E935))))))</f>
        <v> </v>
      </c>
      <c r="K936" s="19" t="str">
        <f>IF(OR(E936="",E936="!!!",F936="NEW"),"",INDEX(J$1:J935,SUMPRODUCT(MAX(ROW(E$1:E935)*(E936=E$1:E935)))))</f>
        <v> </v>
      </c>
      <c r="L936" s="20"/>
    </row>
    <row r="937" spans="1:12">
      <c r="A937" s="13" t="s">
        <v>207</v>
      </c>
      <c r="B937" s="14" t="s">
        <v>45</v>
      </c>
      <c r="C937" s="14" t="s">
        <v>72</v>
      </c>
      <c r="D937" s="14" t="s">
        <v>25</v>
      </c>
      <c r="E937" s="15">
        <f>IF(D937="?OLD","!!!","")</f>
        <v/>
      </c>
      <c r="F937" s="16" t="str">
        <f>IF(OR(E937="",E937="!!!"),"",IF(NOT(ISNA(VLOOKUP(E937,E$1:E936,1,FALSE()))),"OLD",IF(AND(E937&lt;&gt;"",E937&lt;&gt;"!!!"),"NEW","")))</f>
        <v> </v>
      </c>
      <c r="G937" s="17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18" t="str">
        <f>IF(J937&lt;&gt;1,"",IF(I937="SBJ","CB","?"))</f>
        <v> </v>
      </c>
      <c r="I937" s="19" t="str">
        <f>IF(OR(E937="",E937="!!!",F937="NEW"),"",INDEX(B936:B$2,-1+SUMPRODUCT(MAX(ROW(E936:E$2)*(E937=E936:E$2)))))</f>
        <v> </v>
      </c>
      <c r="J937" s="19" t="str">
        <f>IF(OR(E937="",E937="!!!",F937="NEW"),"",COUNTBLANK(OFFSET(A$1,,,SUMPRODUCT(MAX(ROW(E$2:E937)*(E937=E$2:E937)))))-COUNTBLANK(OFFSET(A$1,,,SUMPRODUCT(MAX(ROW(E$1:E936)*(E2=E$1:E936))))))</f>
        <v> </v>
      </c>
      <c r="K937" s="19" t="str">
        <f>IF(OR(E937="",E937="!!!",F937="NEW"),"",INDEX(J$1:J936,SUMPRODUCT(MAX(ROW(E$1:E936)*(E937=E$1:E936)))))</f>
        <v> </v>
      </c>
      <c r="L937" s="20"/>
    </row>
    <row r="938" spans="1:12">
      <c r="A938" s="13" t="s">
        <v>56</v>
      </c>
      <c r="E938" s="15">
        <f>IF(D938="?OLD","!!!","")</f>
        <v/>
      </c>
      <c r="F938" s="16" t="str">
        <f>IF(OR(E938="",E938="!!!"),"",IF(NOT(ISNA(VLOOKUP(E938,E$1:E937,1,FALSE()))),"OLD",IF(AND(E938&lt;&gt;"",E938&lt;&gt;"!!!"),"NEW","")))</f>
        <v> </v>
      </c>
      <c r="G938" s="17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18" t="str">
        <f>IF(J938&lt;&gt;1,"",IF(I938="SBJ","CB","?"))</f>
        <v> </v>
      </c>
      <c r="I938" s="19" t="str">
        <f>IF(OR(E938="",E938="!!!",F938="NEW"),"",INDEX(B937:B$2,-1+SUMPRODUCT(MAX(ROW(E937:E$2)*(E938=E937:E$2)))))</f>
        <v> </v>
      </c>
      <c r="J938" s="19" t="str">
        <f>IF(OR(E938="",E938="!!!",F938="NEW"),"",COUNTBLANK(OFFSET(A$1,,,SUMPRODUCT(MAX(ROW(E$2:E938)*(E938=E$2:E938)))))-COUNTBLANK(OFFSET(A$1,,,SUMPRODUCT(MAX(ROW(E$1:E937)*(E2=E$1:E937))))))</f>
        <v> </v>
      </c>
      <c r="K938" s="19" t="str">
        <f>IF(OR(E938="",E938="!!!",F938="NEW"),"",INDEX(J$1:J937,SUMPRODUCT(MAX(ROW(E$1:E937)*(E938=E$1:E937)))))</f>
        <v> </v>
      </c>
      <c r="L938" s="20"/>
    </row>
    <row r="939" spans="1:12">
      <c r="A939" s="13" t="s">
        <v>61</v>
      </c>
      <c r="B939" s="14" t="s">
        <v>165</v>
      </c>
      <c r="E939" s="15">
        <f>IF(D939="?OLD","!!!","")</f>
        <v/>
      </c>
      <c r="F939" s="16" t="str">
        <f>IF(OR(E939="",E939="!!!"),"",IF(NOT(ISNA(VLOOKUP(E939,E$1:E938,1,FALSE()))),"OLD",IF(AND(E939&lt;&gt;"",E939&lt;&gt;"!!!"),"NEW","")))</f>
        <v> </v>
      </c>
      <c r="G939" s="17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18" t="str">
        <f>IF(J939&lt;&gt;1,"",IF(I939="SBJ","CB","?"))</f>
        <v> </v>
      </c>
      <c r="I939" s="19" t="str">
        <f>IF(OR(E939="",E939="!!!",F939="NEW"),"",INDEX(B938:B$2,-1+SUMPRODUCT(MAX(ROW(E938:E$2)*(E939=E938:E$2)))))</f>
        <v> </v>
      </c>
      <c r="J939" s="19" t="str">
        <f>IF(OR(E939="",E939="!!!",F939="NEW"),"",COUNTBLANK(OFFSET(A$1,,,SUMPRODUCT(MAX(ROW(E$2:E939)*(E939=E$2:E939)))))-COUNTBLANK(OFFSET(A$1,,,SUMPRODUCT(MAX(ROW(E$1:E938)*(E2=E$1:E938))))))</f>
        <v> </v>
      </c>
      <c r="K939" s="19" t="str">
        <f>IF(OR(E939="",E939="!!!",F939="NEW"),"",INDEX(J$1:J938,SUMPRODUCT(MAX(ROW(E$1:E938)*(E939=E$1:E938)))))</f>
        <v> </v>
      </c>
      <c r="L939" s="20"/>
    </row>
    <row r="940" spans="1:12">
      <c r="A940" s="13" t="s">
        <v>384</v>
      </c>
      <c r="E940" s="15">
        <f>IF(D940="?OLD","!!!","")</f>
        <v/>
      </c>
      <c r="F940" s="16" t="str">
        <f>IF(OR(E940="",E940="!!!"),"",IF(NOT(ISNA(VLOOKUP(E940,E$1:E939,1,FALSE()))),"OLD",IF(AND(E940&lt;&gt;"",E940&lt;&gt;"!!!"),"NEW","")))</f>
        <v> </v>
      </c>
      <c r="G940" s="17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18" t="str">
        <f>IF(J940&lt;&gt;1,"",IF(I940="SBJ","CB","?"))</f>
        <v> </v>
      </c>
      <c r="I940" s="19" t="str">
        <f>IF(OR(E940="",E940="!!!",F940="NEW"),"",INDEX(B939:B$2,-1+SUMPRODUCT(MAX(ROW(E939:E$2)*(E940=E939:E$2)))))</f>
        <v> </v>
      </c>
      <c r="J940" s="19" t="str">
        <f>IF(OR(E940="",E940="!!!",F940="NEW"),"",COUNTBLANK(OFFSET(A$1,,,SUMPRODUCT(MAX(ROW(E$2:E940)*(E940=E$2:E940)))))-COUNTBLANK(OFFSET(A$1,,,SUMPRODUCT(MAX(ROW(E$1:E939)*(E2=E$1:E939))))))</f>
        <v> </v>
      </c>
      <c r="K940" s="19" t="str">
        <f>IF(OR(E940="",E940="!!!",F940="NEW"),"",INDEX(J$1:J939,SUMPRODUCT(MAX(ROW(E$1:E939)*(E940=E$1:E939)))))</f>
        <v> </v>
      </c>
      <c r="L940" s="20"/>
    </row>
    <row r="941" spans="1:12">
      <c r="A941" s="13" t="s">
        <v>373</v>
      </c>
      <c r="E941" s="15">
        <f>IF(D941="?OLD","!!!","")</f>
        <v/>
      </c>
      <c r="F941" s="16" t="str">
        <f>IF(OR(E941="",E941="!!!"),"",IF(NOT(ISNA(VLOOKUP(E941,E$1:E940,1,FALSE()))),"OLD",IF(AND(E941&lt;&gt;"",E941&lt;&gt;"!!!"),"NEW","")))</f>
        <v> </v>
      </c>
      <c r="G941" s="17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18" t="str">
        <f>IF(J941&lt;&gt;1,"",IF(I941="SBJ","CB","?"))</f>
        <v> </v>
      </c>
      <c r="I941" s="19" t="str">
        <f>IF(OR(E941="",E941="!!!",F941="NEW"),"",INDEX(B940:B$2,-1+SUMPRODUCT(MAX(ROW(E940:E$2)*(E941=E940:E$2)))))</f>
        <v> </v>
      </c>
      <c r="J941" s="19" t="str">
        <f>IF(OR(E941="",E941="!!!",F941="NEW"),"",COUNTBLANK(OFFSET(A$1,,,SUMPRODUCT(MAX(ROW(E$2:E941)*(E941=E$2:E941)))))-COUNTBLANK(OFFSET(A$1,,,SUMPRODUCT(MAX(ROW(E$1:E940)*(E2=E$1:E940))))))</f>
        <v> </v>
      </c>
      <c r="K941" s="19" t="str">
        <f>IF(OR(E941="",E941="!!!",F941="NEW"),"",INDEX(J$1:J940,SUMPRODUCT(MAX(ROW(E$1:E940)*(E941=E$1:E940)))))</f>
        <v> </v>
      </c>
      <c r="L941" s="20"/>
    </row>
    <row r="942" spans="1:12">
      <c r="A942" s="13" t="s">
        <v>61</v>
      </c>
      <c r="E942" s="15">
        <f>IF(D942="?OLD","!!!","")</f>
        <v/>
      </c>
      <c r="F942" s="16" t="str">
        <f>IF(OR(E942="",E942="!!!"),"",IF(NOT(ISNA(VLOOKUP(E942,E$1:E941,1,FALSE()))),"OLD",IF(AND(E942&lt;&gt;"",E942&lt;&gt;"!!!"),"NEW","")))</f>
        <v> </v>
      </c>
      <c r="G942" s="17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18" t="str">
        <f>IF(J942&lt;&gt;1,"",IF(I942="SBJ","CB","?"))</f>
        <v> </v>
      </c>
      <c r="I942" s="19" t="str">
        <f>IF(OR(E942="",E942="!!!",F942="NEW"),"",INDEX(B941:B$2,-1+SUMPRODUCT(MAX(ROW(E941:E$2)*(E942=E941:E$2)))))</f>
        <v> </v>
      </c>
      <c r="J942" s="19" t="str">
        <f>IF(OR(E942="",E942="!!!",F942="NEW"),"",COUNTBLANK(OFFSET(A$1,,,SUMPRODUCT(MAX(ROW(E$2:E942)*(E942=E$2:E942)))))-COUNTBLANK(OFFSET(A$1,,,SUMPRODUCT(MAX(ROW(E$1:E941)*(E2=E$1:E941))))))</f>
        <v> </v>
      </c>
      <c r="K942" s="19" t="str">
        <f>IF(OR(E942="",E942="!!!",F942="NEW"),"",INDEX(J$1:J941,SUMPRODUCT(MAX(ROW(E$1:E941)*(E942=E$1:E941)))))</f>
        <v> </v>
      </c>
      <c r="L942" s="20"/>
    </row>
    <row r="943" spans="1:12">
      <c r="A943" s="13" t="s">
        <v>374</v>
      </c>
      <c r="E943" s="15">
        <f>IF(D943="?OLD","!!!","")</f>
        <v/>
      </c>
      <c r="F943" s="16" t="str">
        <f>IF(OR(E943="",E943="!!!"),"",IF(NOT(ISNA(VLOOKUP(E943,E$1:E942,1,FALSE()))),"OLD",IF(AND(E943&lt;&gt;"",E943&lt;&gt;"!!!"),"NEW","")))</f>
        <v> </v>
      </c>
      <c r="G943" s="17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18" t="str">
        <f>IF(J943&lt;&gt;1,"",IF(I943="SBJ","CB","?"))</f>
        <v> </v>
      </c>
      <c r="I943" s="19" t="str">
        <f>IF(OR(E943="",E943="!!!",F943="NEW"),"",INDEX(B942:B$2,-1+SUMPRODUCT(MAX(ROW(E942:E$2)*(E943=E942:E$2)))))</f>
        <v> </v>
      </c>
      <c r="J943" s="19" t="str">
        <f>IF(OR(E943="",E943="!!!",F943="NEW"),"",COUNTBLANK(OFFSET(A$1,,,SUMPRODUCT(MAX(ROW(E$2:E943)*(E943=E$2:E943)))))-COUNTBLANK(OFFSET(A$1,,,SUMPRODUCT(MAX(ROW(E$1:E942)*(E2=E$1:E942))))))</f>
        <v> </v>
      </c>
      <c r="K943" s="19" t="str">
        <f>IF(OR(E943="",E943="!!!",F943="NEW"),"",INDEX(J$1:J942,SUMPRODUCT(MAX(ROW(E$1:E942)*(E943=E$1:E942)))))</f>
        <v> </v>
      </c>
      <c r="L943" s="20"/>
    </row>
    <row r="944" spans="1:12">
      <c r="A944" s="13" t="s">
        <v>222</v>
      </c>
      <c r="E944" s="15">
        <f>IF(D944="?OLD","!!!","")</f>
        <v/>
      </c>
      <c r="F944" s="16" t="str">
        <f>IF(OR(E944="",E944="!!!"),"",IF(NOT(ISNA(VLOOKUP(E944,E$1:E943,1,FALSE()))),"OLD",IF(AND(E944&lt;&gt;"",E944&lt;&gt;"!!!"),"NEW","")))</f>
        <v> </v>
      </c>
      <c r="G944" s="17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18" t="str">
        <f>IF(J944&lt;&gt;1,"",IF(I944="SBJ","CB","?"))</f>
        <v> </v>
      </c>
      <c r="I944" s="19" t="str">
        <f>IF(OR(E944="",E944="!!!",F944="NEW"),"",INDEX(B943:B$2,-1+SUMPRODUCT(MAX(ROW(E943:E$2)*(E944=E943:E$2)))))</f>
        <v> </v>
      </c>
      <c r="J944" s="19" t="str">
        <f>IF(OR(E944="",E944="!!!",F944="NEW"),"",COUNTBLANK(OFFSET(A$1,,,SUMPRODUCT(MAX(ROW(E$2:E944)*(E944=E$2:E944)))))-COUNTBLANK(OFFSET(A$1,,,SUMPRODUCT(MAX(ROW(E$1:E943)*(E2=E$1:E943))))))</f>
        <v> </v>
      </c>
      <c r="K944" s="19" t="str">
        <f>IF(OR(E944="",E944="!!!",F944="NEW"),"",INDEX(J$1:J943,SUMPRODUCT(MAX(ROW(E$1:E943)*(E944=E$1:E943)))))</f>
        <v> </v>
      </c>
      <c r="L944" s="20"/>
    </row>
    <row r="945" spans="1:12">
      <c r="A945" s="13" t="s">
        <v>119</v>
      </c>
      <c r="E945" s="15">
        <f>IF(D945="?OLD","!!!","")</f>
        <v/>
      </c>
      <c r="F945" s="16" t="str">
        <f>IF(OR(E945="",E945="!!!"),"",IF(NOT(ISNA(VLOOKUP(E945,E$1:E944,1,FALSE()))),"OLD",IF(AND(E945&lt;&gt;"",E945&lt;&gt;"!!!"),"NEW","")))</f>
        <v> </v>
      </c>
      <c r="G945" s="17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18" t="str">
        <f>IF(J945&lt;&gt;1,"",IF(I945="SBJ","CB","?"))</f>
        <v> </v>
      </c>
      <c r="I945" s="19" t="str">
        <f>IF(OR(E945="",E945="!!!",F945="NEW"),"",INDEX(B944:B$2,-1+SUMPRODUCT(MAX(ROW(E944:E$2)*(E945=E944:E$2)))))</f>
        <v> </v>
      </c>
      <c r="J945" s="19" t="str">
        <f>IF(OR(E945="",E945="!!!",F945="NEW"),"",COUNTBLANK(OFFSET(A$1,,,SUMPRODUCT(MAX(ROW(E$2:E945)*(E945=E$2:E945)))))-COUNTBLANK(OFFSET(A$1,,,SUMPRODUCT(MAX(ROW(E$1:E944)*(E2=E$1:E944))))))</f>
        <v> </v>
      </c>
      <c r="K945" s="19" t="str">
        <f>IF(OR(E945="",E945="!!!",F945="NEW"),"",INDEX(J$1:J944,SUMPRODUCT(MAX(ROW(E$1:E944)*(E945=E$1:E944)))))</f>
        <v> </v>
      </c>
      <c r="L945" s="20"/>
    </row>
    <row r="946" spans="1:12">
      <c r="A946" s="13"/>
    </row>
    <row r="947" spans="1:12">
      <c r="A947" s="13" t="s">
        <v>117</v>
      </c>
      <c r="E947" s="15">
        <f>IF(D947="?OLD","!!!","")</f>
        <v/>
      </c>
      <c r="F947" s="16" t="str">
        <f>IF(OR(E947="",E947="!!!"),"",IF(NOT(ISNA(VLOOKUP(E947,E$1:E946,1,FALSE()))),"OLD",IF(AND(E947&lt;&gt;"",E947&lt;&gt;"!!!"),"NEW","")))</f>
        <v> </v>
      </c>
      <c r="G947" s="17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18" t="str">
        <f>IF(J947&lt;&gt;1,"",IF(I947="SBJ","CB","?"))</f>
        <v> </v>
      </c>
      <c r="I947" s="19" t="str">
        <f>IF(OR(E947="",E947="!!!",F947="NEW"),"",INDEX(B946:B$2,-1+SUMPRODUCT(MAX(ROW(E946:E$2)*(E947=E946:E$2)))))</f>
        <v> </v>
      </c>
      <c r="J947" s="19" t="str">
        <f>IF(OR(E947="",E947="!!!",F947="NEW"),"",COUNTBLANK(OFFSET(A$1,,,SUMPRODUCT(MAX(ROW(E$2:E947)*(E947=E$2:E947)))))-COUNTBLANK(OFFSET(A$1,,,SUMPRODUCT(MAX(ROW(E$1:E946)*(E2=E$1:E946))))))</f>
        <v> </v>
      </c>
      <c r="K947" s="19" t="str">
        <f>IF(OR(E947="",E947="!!!",F947="NEW"),"",INDEX(J$1:J946,SUMPRODUCT(MAX(ROW(E$1:E946)*(E947=E$1:E946)))))</f>
        <v> </v>
      </c>
      <c r="L947" s="20"/>
    </row>
    <row r="948" spans="1:12">
      <c r="A948" s="13" t="s">
        <v>385</v>
      </c>
    </row>
    <row r="949" spans="1:12">
      <c r="A949" s="13" t="s">
        <v>119</v>
      </c>
      <c r="E949" s="15">
        <f>IF(D949="?OLD","!!!","")</f>
        <v/>
      </c>
      <c r="F949" s="16" t="str">
        <f>IF(OR(E949="",E949="!!!"),"",IF(NOT(ISNA(VLOOKUP(E949,E$1:E948,1,FALSE()))),"OLD",IF(AND(E949&lt;&gt;"",E949&lt;&gt;"!!!"),"NEW","")))</f>
        <v> </v>
      </c>
      <c r="G949" s="17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18" t="str">
        <f>IF(J949&lt;&gt;1,"",IF(I949="SBJ","CB","?"))</f>
        <v> </v>
      </c>
      <c r="I949" s="19" t="str">
        <f>IF(OR(E949="",E949="!!!",F949="NEW"),"",INDEX(B948:B$2,-1+SUMPRODUCT(MAX(ROW(E948:E$2)*(E949=E948:E$2)))))</f>
        <v> </v>
      </c>
      <c r="J949" s="19" t="str">
        <f>IF(OR(E949="",E949="!!!",F949="NEW"),"",COUNTBLANK(OFFSET(A$1,,,SUMPRODUCT(MAX(ROW(E$2:E949)*(E949=E$2:E949)))))-COUNTBLANK(OFFSET(A$1,,,SUMPRODUCT(MAX(ROW(E$1:E948)*(E2=E$1:E948))))))</f>
        <v> </v>
      </c>
      <c r="K949" s="19" t="str">
        <f>IF(OR(E949="",E949="!!!",F949="NEW"),"",INDEX(J$1:J948,SUMPRODUCT(MAX(ROW(E$1:E948)*(E949=E$1:E948)))))</f>
        <v> </v>
      </c>
      <c r="L949" s="20"/>
    </row>
    <row r="950" spans="1:12">
      <c r="A950" s="13" t="s">
        <v>376</v>
      </c>
      <c r="B950" s="14" t="s">
        <v>88</v>
      </c>
      <c r="C950" s="14" t="s">
        <v>64</v>
      </c>
      <c r="D950" s="14" t="s">
        <v>25</v>
      </c>
      <c r="E950" s="15">
        <f>IF(D950="?OLD","!!!","")</f>
        <v/>
      </c>
      <c r="F950" s="16" t="str">
        <f>IF(OR(E950="",E950="!!!"),"",IF(NOT(ISNA(VLOOKUP(E950,E$1:E949,1,FALSE()))),"OLD",IF(AND(E950&lt;&gt;"",E950&lt;&gt;"!!!"),"NEW","")))</f>
        <v> </v>
      </c>
      <c r="G950" s="17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18" t="str">
        <f>IF(J950&lt;&gt;1,"",IF(I950="SBJ","CB","?"))</f>
        <v> </v>
      </c>
      <c r="I950" s="19" t="str">
        <f>IF(OR(E950="",E950="!!!",F950="NEW"),"",INDEX(B949:B$2,-1+SUMPRODUCT(MAX(ROW(E949:E$2)*(E950=E949:E$2)))))</f>
        <v> </v>
      </c>
      <c r="J950" s="19" t="str">
        <f>IF(OR(E950="",E950="!!!",F950="NEW"),"",COUNTBLANK(OFFSET(A$1,,,SUMPRODUCT(MAX(ROW(E$2:E950)*(E950=E$2:E950)))))-COUNTBLANK(OFFSET(A$1,,,SUMPRODUCT(MAX(ROW(E$1:E949)*(E2=E$1:E949))))))</f>
        <v> </v>
      </c>
      <c r="K950" s="19" t="str">
        <f>IF(OR(E950="",E950="!!!",F950="NEW"),"",INDEX(J$1:J949,SUMPRODUCT(MAX(ROW(E$1:E949)*(E950=E$1:E949)))))</f>
        <v> </v>
      </c>
      <c r="L950" s="20"/>
    </row>
    <row r="951" spans="1:12">
      <c r="A951" s="13" t="s">
        <v>286</v>
      </c>
      <c r="E951" s="15">
        <f>IF(D951="?OLD","!!!","")</f>
        <v/>
      </c>
      <c r="F951" s="16" t="str">
        <f>IF(OR(E951="",E951="!!!"),"",IF(NOT(ISNA(VLOOKUP(E951,E$1:E950,1,FALSE()))),"OLD",IF(AND(E951&lt;&gt;"",E951&lt;&gt;"!!!"),"NEW","")))</f>
        <v> </v>
      </c>
      <c r="G951" s="17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18" t="str">
        <f>IF(J951&lt;&gt;1,"",IF(I951="SBJ","CB","?"))</f>
        <v> </v>
      </c>
      <c r="I951" s="19" t="str">
        <f>IF(OR(E951="",E951="!!!",F951="NEW"),"",INDEX(B950:B$2,-1+SUMPRODUCT(MAX(ROW(E950:E$2)*(E951=E950:E$2)))))</f>
        <v> </v>
      </c>
      <c r="J951" s="19" t="str">
        <f>IF(OR(E951="",E951="!!!",F951="NEW"),"",COUNTBLANK(OFFSET(A$1,,,SUMPRODUCT(MAX(ROW(E$2:E951)*(E951=E$2:E951)))))-COUNTBLANK(OFFSET(A$1,,,SUMPRODUCT(MAX(ROW(E$1:E950)*(E2=E$1:E950))))))</f>
        <v> </v>
      </c>
      <c r="K951" s="19" t="str">
        <f>IF(OR(E951="",E951="!!!",F951="NEW"),"",INDEX(J$1:J950,SUMPRODUCT(MAX(ROW(E$1:E950)*(E951=E$1:E950)))))</f>
        <v> </v>
      </c>
      <c r="L951" s="20"/>
    </row>
    <row r="952" spans="1:12">
      <c r="A952" s="13" t="s">
        <v>151</v>
      </c>
      <c r="E952" s="15">
        <f>IF(D952="?OLD","!!!","")</f>
        <v/>
      </c>
      <c r="F952" s="16" t="str">
        <f>IF(OR(E952="",E952="!!!"),"",IF(NOT(ISNA(VLOOKUP(E952,E$1:E951,1,FALSE()))),"OLD",IF(AND(E952&lt;&gt;"",E952&lt;&gt;"!!!"),"NEW","")))</f>
        <v> </v>
      </c>
      <c r="G952" s="17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18" t="str">
        <f>IF(J952&lt;&gt;1,"",IF(I952="SBJ","CB","?"))</f>
        <v> </v>
      </c>
      <c r="I952" s="19" t="str">
        <f>IF(OR(E952="",E952="!!!",F952="NEW"),"",INDEX(B951:B$2,-1+SUMPRODUCT(MAX(ROW(E951:E$2)*(E952=E951:E$2)))))</f>
        <v> </v>
      </c>
      <c r="J952" s="19" t="str">
        <f>IF(OR(E952="",E952="!!!",F952="NEW"),"",COUNTBLANK(OFFSET(A$1,,,SUMPRODUCT(MAX(ROW(E$2:E952)*(E952=E$2:E952)))))-COUNTBLANK(OFFSET(A$1,,,SUMPRODUCT(MAX(ROW(E$1:E951)*(E2=E$1:E951))))))</f>
        <v> </v>
      </c>
      <c r="K952" s="19" t="str">
        <f>IF(OR(E952="",E952="!!!",F952="NEW"),"",INDEX(J$1:J951,SUMPRODUCT(MAX(ROW(E$1:E951)*(E952=E$1:E951)))))</f>
        <v> </v>
      </c>
      <c r="L952" s="20"/>
    </row>
    <row r="953" spans="1:12">
      <c r="A953" s="13" t="s">
        <v>386</v>
      </c>
      <c r="E953" s="15">
        <f>IF(D953="?OLD","!!!","")</f>
        <v/>
      </c>
      <c r="F953" s="16" t="str">
        <f>IF(OR(E953="",E953="!!!"),"",IF(NOT(ISNA(VLOOKUP(E953,E$1:E952,1,FALSE()))),"OLD",IF(AND(E953&lt;&gt;"",E953&lt;&gt;"!!!"),"NEW","")))</f>
        <v> </v>
      </c>
      <c r="G953" s="17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18" t="str">
        <f>IF(J953&lt;&gt;1,"",IF(I953="SBJ","CB","?"))</f>
        <v> </v>
      </c>
      <c r="I953" s="19" t="str">
        <f>IF(OR(E953="",E953="!!!",F953="NEW"),"",INDEX(B952:B$2,-1+SUMPRODUCT(MAX(ROW(E952:E$2)*(E953=E952:E$2)))))</f>
        <v> </v>
      </c>
      <c r="J953" s="19" t="str">
        <f>IF(OR(E953="",E953="!!!",F953="NEW"),"",COUNTBLANK(OFFSET(A$1,,,SUMPRODUCT(MAX(ROW(E$2:E953)*(E953=E$2:E953)))))-COUNTBLANK(OFFSET(A$1,,,SUMPRODUCT(MAX(ROW(E$1:E952)*(E2=E$1:E952))))))</f>
        <v> </v>
      </c>
      <c r="K953" s="19" t="str">
        <f>IF(OR(E953="",E953="!!!",F953="NEW"),"",INDEX(J$1:J952,SUMPRODUCT(MAX(ROW(E$1:E952)*(E953=E$1:E952)))))</f>
        <v> </v>
      </c>
      <c r="L953" s="20"/>
    </row>
    <row r="954" spans="1:12">
      <c r="A954" s="13" t="s">
        <v>387</v>
      </c>
      <c r="B954" s="14" t="s">
        <v>93</v>
      </c>
      <c r="C954" s="14" t="s">
        <v>64</v>
      </c>
      <c r="D954" s="14" t="s">
        <v>25</v>
      </c>
      <c r="E954" s="15">
        <f>IF(D954="?OLD","!!!","")</f>
        <v/>
      </c>
      <c r="F954" s="16" t="str">
        <f>IF(OR(E954="",E954="!!!"),"",IF(NOT(ISNA(VLOOKUP(E954,E$1:E953,1,FALSE()))),"OLD",IF(AND(E954&lt;&gt;"",E954&lt;&gt;"!!!"),"NEW","")))</f>
        <v> </v>
      </c>
      <c r="G954" s="17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18" t="str">
        <f>IF(J954&lt;&gt;1,"",IF(I954="SBJ","CB","?"))</f>
        <v> </v>
      </c>
      <c r="I954" s="19" t="str">
        <f>IF(OR(E954="",E954="!!!",F954="NEW"),"",INDEX(B953:B$2,-1+SUMPRODUCT(MAX(ROW(E953:E$2)*(E954=E953:E$2)))))</f>
        <v> </v>
      </c>
      <c r="J954" s="19" t="str">
        <f>IF(OR(E954="",E954="!!!",F954="NEW"),"",COUNTBLANK(OFFSET(A$1,,,SUMPRODUCT(MAX(ROW(E$2:E954)*(E954=E$2:E954)))))-COUNTBLANK(OFFSET(A$1,,,SUMPRODUCT(MAX(ROW(E$1:E953)*(E2=E$1:E953))))))</f>
        <v> </v>
      </c>
      <c r="K954" s="19" t="str">
        <f>IF(OR(E954="",E954="!!!",F954="NEW"),"",INDEX(J$1:J953,SUMPRODUCT(MAX(ROW(E$1:E953)*(E954=E$1:E953)))))</f>
        <v> </v>
      </c>
      <c r="L954" s="20"/>
    </row>
    <row r="955" spans="1:12">
      <c r="A955" s="13" t="s">
        <v>379</v>
      </c>
      <c r="E955" s="15">
        <f>IF(D955="?OLD","!!!","")</f>
        <v/>
      </c>
      <c r="F955" s="16" t="str">
        <f>IF(OR(E955="",E955="!!!"),"",IF(NOT(ISNA(VLOOKUP(E955,E$1:E954,1,FALSE()))),"OLD",IF(AND(E955&lt;&gt;"",E955&lt;&gt;"!!!"),"NEW","")))</f>
        <v> </v>
      </c>
      <c r="G955" s="17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18" t="str">
        <f>IF(J955&lt;&gt;1,"",IF(I955="SBJ","CB","?"))</f>
        <v> </v>
      </c>
      <c r="I955" s="19" t="str">
        <f>IF(OR(E955="",E955="!!!",F955="NEW"),"",INDEX(B954:B$2,-1+SUMPRODUCT(MAX(ROW(E954:E$2)*(E955=E954:E$2)))))</f>
        <v> </v>
      </c>
      <c r="J955" s="19" t="str">
        <f>IF(OR(E955="",E955="!!!",F955="NEW"),"",COUNTBLANK(OFFSET(A$1,,,SUMPRODUCT(MAX(ROW(E$2:E955)*(E955=E$2:E955)))))-COUNTBLANK(OFFSET(A$1,,,SUMPRODUCT(MAX(ROW(E$1:E954)*(E2=E$1:E954))))))</f>
        <v> </v>
      </c>
      <c r="K955" s="19" t="str">
        <f>IF(OR(E955="",E955="!!!",F955="NEW"),"",INDEX(J$1:J954,SUMPRODUCT(MAX(ROW(E$1:E954)*(E955=E$1:E954)))))</f>
        <v> </v>
      </c>
      <c r="L955" s="20"/>
    </row>
    <row r="956" spans="1:12">
      <c r="A956" s="13" t="s">
        <v>56</v>
      </c>
      <c r="E956" s="15">
        <f>IF(D956="?OLD","!!!","")</f>
        <v/>
      </c>
      <c r="F956" s="16" t="str">
        <f>IF(OR(E956="",E956="!!!"),"",IF(NOT(ISNA(VLOOKUP(E956,E$1:E955,1,FALSE()))),"OLD",IF(AND(E956&lt;&gt;"",E956&lt;&gt;"!!!"),"NEW","")))</f>
        <v> </v>
      </c>
      <c r="G956" s="17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18" t="str">
        <f>IF(J956&lt;&gt;1,"",IF(I956="SBJ","CB","?"))</f>
        <v> </v>
      </c>
      <c r="I956" s="19" t="str">
        <f>IF(OR(E956="",E956="!!!",F956="NEW"),"",INDEX(B955:B$2,-1+SUMPRODUCT(MAX(ROW(E955:E$2)*(E956=E955:E$2)))))</f>
        <v> </v>
      </c>
      <c r="J956" s="19" t="str">
        <f>IF(OR(E956="",E956="!!!",F956="NEW"),"",COUNTBLANK(OFFSET(A$1,,,SUMPRODUCT(MAX(ROW(E$2:E956)*(E956=E$2:E956)))))-COUNTBLANK(OFFSET(A$1,,,SUMPRODUCT(MAX(ROW(E$1:E955)*(E2=E$1:E955))))))</f>
        <v> </v>
      </c>
      <c r="K956" s="19" t="str">
        <f>IF(OR(E956="",E956="!!!",F956="NEW"),"",INDEX(J$1:J955,SUMPRODUCT(MAX(ROW(E$1:E955)*(E956=E$1:E955)))))</f>
        <v> </v>
      </c>
      <c r="L956" s="20"/>
    </row>
    <row r="957" spans="1:12">
      <c r="A957" s="13" t="s">
        <v>55</v>
      </c>
      <c r="E957" s="15">
        <f>IF(D957="?OLD","!!!","")</f>
        <v/>
      </c>
      <c r="F957" s="16" t="str">
        <f>IF(OR(E957="",E957="!!!"),"",IF(NOT(ISNA(VLOOKUP(E957,E$1:E956,1,FALSE()))),"OLD",IF(AND(E957&lt;&gt;"",E957&lt;&gt;"!!!"),"NEW","")))</f>
        <v> </v>
      </c>
      <c r="G957" s="17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18" t="str">
        <f>IF(J957&lt;&gt;1,"",IF(I957="SBJ","CB","?"))</f>
        <v> </v>
      </c>
      <c r="I957" s="19" t="str">
        <f>IF(OR(E957="",E957="!!!",F957="NEW"),"",INDEX(B956:B$2,-1+SUMPRODUCT(MAX(ROW(E956:E$2)*(E957=E956:E$2)))))</f>
        <v> </v>
      </c>
      <c r="J957" s="19" t="str">
        <f>IF(OR(E957="",E957="!!!",F957="NEW"),"",COUNTBLANK(OFFSET(A$1,,,SUMPRODUCT(MAX(ROW(E$2:E957)*(E957=E$2:E957)))))-COUNTBLANK(OFFSET(A$1,,,SUMPRODUCT(MAX(ROW(E$1:E956)*(E2=E$1:E956))))))</f>
        <v> </v>
      </c>
      <c r="K957" s="19" t="str">
        <f>IF(OR(E957="",E957="!!!",F957="NEW"),"",INDEX(J$1:J956,SUMPRODUCT(MAX(ROW(E$1:E956)*(E957=E$1:E956)))))</f>
        <v> </v>
      </c>
      <c r="L957" s="20"/>
    </row>
    <row r="958" spans="1:12">
      <c r="A958" s="13" t="s">
        <v>207</v>
      </c>
      <c r="B958" s="14" t="s">
        <v>93</v>
      </c>
      <c r="C958" s="14" t="s">
        <v>64</v>
      </c>
      <c r="D958" s="14" t="s">
        <v>25</v>
      </c>
      <c r="E958" s="15">
        <f>IF(D958="?OLD","!!!","")</f>
        <v/>
      </c>
      <c r="F958" s="16" t="str">
        <f>IF(OR(E958="",E958="!!!"),"",IF(NOT(ISNA(VLOOKUP(E958,E$1:E957,1,FALSE()))),"OLD",IF(AND(E958&lt;&gt;"",E958&lt;&gt;"!!!"),"NEW","")))</f>
        <v> </v>
      </c>
      <c r="G958" s="17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18" t="str">
        <f>IF(J958&lt;&gt;1,"",IF(I958="SBJ","CB","?"))</f>
        <v> </v>
      </c>
      <c r="I958" s="19" t="str">
        <f>IF(OR(E958="",E958="!!!",F958="NEW"),"",INDEX(B957:B$2,-1+SUMPRODUCT(MAX(ROW(E957:E$2)*(E958=E957:E$2)))))</f>
        <v> </v>
      </c>
      <c r="J958" s="19" t="str">
        <f>IF(OR(E958="",E958="!!!",F958="NEW"),"",COUNTBLANK(OFFSET(A$1,,,SUMPRODUCT(MAX(ROW(E$2:E958)*(E958=E$2:E958)))))-COUNTBLANK(OFFSET(A$1,,,SUMPRODUCT(MAX(ROW(E$1:E957)*(E2=E$1:E957))))))</f>
        <v> </v>
      </c>
      <c r="K958" s="19" t="str">
        <f>IF(OR(E958="",E958="!!!",F958="NEW"),"",INDEX(J$1:J957,SUMPRODUCT(MAX(ROW(E$1:E957)*(E958=E$1:E957)))))</f>
        <v> </v>
      </c>
      <c r="L958" s="20"/>
    </row>
    <row r="959" spans="1:12">
      <c r="A959" s="13" t="s">
        <v>68</v>
      </c>
      <c r="E959" s="15">
        <f>IF(D959="?OLD","!!!","")</f>
        <v/>
      </c>
      <c r="F959" s="16" t="str">
        <f>IF(OR(E959="",E959="!!!"),"",IF(NOT(ISNA(VLOOKUP(E959,E$1:E958,1,FALSE()))),"OLD",IF(AND(E959&lt;&gt;"",E959&lt;&gt;"!!!"),"NEW","")))</f>
        <v> </v>
      </c>
      <c r="G959" s="17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18" t="str">
        <f>IF(J959&lt;&gt;1,"",IF(I959="SBJ","CB","?"))</f>
        <v> </v>
      </c>
      <c r="I959" s="19" t="str">
        <f>IF(OR(E959="",E959="!!!",F959="NEW"),"",INDEX(B958:B$2,-1+SUMPRODUCT(MAX(ROW(E958:E$2)*(E959=E958:E$2)))))</f>
        <v> </v>
      </c>
      <c r="J959" s="19" t="str">
        <f>IF(OR(E959="",E959="!!!",F959="NEW"),"",COUNTBLANK(OFFSET(A$1,,,SUMPRODUCT(MAX(ROW(E$2:E959)*(E959=E$2:E959)))))-COUNTBLANK(OFFSET(A$1,,,SUMPRODUCT(MAX(ROW(E$1:E958)*(E2=E$1:E958))))))</f>
        <v> </v>
      </c>
      <c r="K959" s="19" t="str">
        <f>IF(OR(E959="",E959="!!!",F959="NEW"),"",INDEX(J$1:J958,SUMPRODUCT(MAX(ROW(E$1:E958)*(E959=E$1:E958)))))</f>
        <v> </v>
      </c>
      <c r="L959" s="20"/>
    </row>
    <row r="960" spans="1:12">
      <c r="A960" s="13" t="s">
        <v>119</v>
      </c>
      <c r="E960" s="15">
        <f>IF(D960="?OLD","!!!","")</f>
        <v/>
      </c>
      <c r="F960" s="16" t="str">
        <f>IF(OR(E960="",E960="!!!"),"",IF(NOT(ISNA(VLOOKUP(E960,E$1:E959,1,FALSE()))),"OLD",IF(AND(E960&lt;&gt;"",E960&lt;&gt;"!!!"),"NEW","")))</f>
        <v> </v>
      </c>
      <c r="G960" s="17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18" t="str">
        <f>IF(J960&lt;&gt;1,"",IF(I960="SBJ","CB","?"))</f>
        <v> </v>
      </c>
      <c r="I960" s="19" t="str">
        <f>IF(OR(E960="",E960="!!!",F960="NEW"),"",INDEX(B959:B$2,-1+SUMPRODUCT(MAX(ROW(E959:E$2)*(E960=E959:E$2)))))</f>
        <v> </v>
      </c>
      <c r="J960" s="19" t="str">
        <f>IF(OR(E960="",E960="!!!",F960="NEW"),"",COUNTBLANK(OFFSET(A$1,,,SUMPRODUCT(MAX(ROW(E$2:E960)*(E960=E$2:E960)))))-COUNTBLANK(OFFSET(A$1,,,SUMPRODUCT(MAX(ROW(E$1:E959)*(E2=E$1:E959))))))</f>
        <v> </v>
      </c>
      <c r="K960" s="19" t="str">
        <f>IF(OR(E960="",E960="!!!",F960="NEW"),"",INDEX(J$1:J959,SUMPRODUCT(MAX(ROW(E$1:E959)*(E960=E$1:E959)))))</f>
        <v> </v>
      </c>
      <c r="L960" s="20"/>
    </row>
    <row r="961" spans="1:12">
      <c r="A961" s="13"/>
    </row>
    <row r="962" spans="1:12">
      <c r="A962" s="13" t="s">
        <v>117</v>
      </c>
      <c r="E962" s="15">
        <f>IF(D962="?OLD","!!!","")</f>
        <v/>
      </c>
      <c r="F962" s="16" t="str">
        <f>IF(OR(E962="",E962="!!!"),"",IF(NOT(ISNA(VLOOKUP(E962,E$1:E961,1,FALSE()))),"OLD",IF(AND(E962&lt;&gt;"",E962&lt;&gt;"!!!"),"NEW","")))</f>
        <v> </v>
      </c>
      <c r="G962" s="17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18" t="str">
        <f>IF(J962&lt;&gt;1,"",IF(I962="SBJ","CB","?"))</f>
        <v> </v>
      </c>
      <c r="I962" s="19" t="str">
        <f>IF(OR(E962="",E962="!!!",F962="NEW"),"",INDEX(B961:B$2,-1+SUMPRODUCT(MAX(ROW(E961:E$2)*(E962=E961:E$2)))))</f>
        <v> </v>
      </c>
      <c r="J962" s="19" t="str">
        <f>IF(OR(E962="",E962="!!!",F962="NEW"),"",COUNTBLANK(OFFSET(A$1,,,SUMPRODUCT(MAX(ROW(E$2:E962)*(E962=E$2:E962)))))-COUNTBLANK(OFFSET(A$1,,,SUMPRODUCT(MAX(ROW(E$1:E961)*(E2=E$1:E961))))))</f>
        <v> </v>
      </c>
      <c r="K962" s="19" t="str">
        <f>IF(OR(E962="",E962="!!!",F962="NEW"),"",INDEX(J$1:J961,SUMPRODUCT(MAX(ROW(E$1:E961)*(E962=E$1:E961)))))</f>
        <v> </v>
      </c>
      <c r="L962" s="20"/>
    </row>
    <row r="963" spans="1:12">
      <c r="A963" s="13" t="s">
        <v>388</v>
      </c>
    </row>
    <row r="964" spans="1:12">
      <c r="A964" s="13" t="s">
        <v>119</v>
      </c>
      <c r="E964" s="15">
        <f>IF(D964="?OLD","!!!","")</f>
        <v/>
      </c>
      <c r="F964" s="16" t="str">
        <f>IF(OR(E964="",E964="!!!"),"",IF(NOT(ISNA(VLOOKUP(E964,E$1:E963,1,FALSE()))),"OLD",IF(AND(E964&lt;&gt;"",E964&lt;&gt;"!!!"),"NEW","")))</f>
        <v> </v>
      </c>
      <c r="G964" s="17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18" t="str">
        <f>IF(J964&lt;&gt;1,"",IF(I964="SBJ","CB","?"))</f>
        <v> </v>
      </c>
      <c r="I964" s="19" t="str">
        <f>IF(OR(E964="",E964="!!!",F964="NEW"),"",INDEX(B963:B$2,-1+SUMPRODUCT(MAX(ROW(E963:E$2)*(E964=E963:E$2)))))</f>
        <v> </v>
      </c>
      <c r="J964" s="19" t="str">
        <f>IF(OR(E964="",E964="!!!",F964="NEW"),"",COUNTBLANK(OFFSET(A$1,,,SUMPRODUCT(MAX(ROW(E$2:E964)*(E964=E$2:E964)))))-COUNTBLANK(OFFSET(A$1,,,SUMPRODUCT(MAX(ROW(E$1:E963)*(E2=E$1:E963))))))</f>
        <v> </v>
      </c>
      <c r="K964" s="19" t="str">
        <f>IF(OR(E964="",E964="!!!",F964="NEW"),"",INDEX(J$1:J963,SUMPRODUCT(MAX(ROW(E$1:E963)*(E964=E$1:E963)))))</f>
        <v> </v>
      </c>
      <c r="L964" s="20"/>
    </row>
    <row r="965" spans="1:12">
      <c r="A965" s="13" t="s">
        <v>371</v>
      </c>
      <c r="E965" s="15">
        <f>IF(D965="?OLD","!!!","")</f>
        <v/>
      </c>
      <c r="F965" s="16" t="str">
        <f>IF(OR(E965="",E965="!!!"),"",IF(NOT(ISNA(VLOOKUP(E965,E$1:E964,1,FALSE()))),"OLD",IF(AND(E965&lt;&gt;"",E965&lt;&gt;"!!!"),"NEW","")))</f>
        <v> </v>
      </c>
      <c r="G965" s="17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18" t="str">
        <f>IF(J965&lt;&gt;1,"",IF(I965="SBJ","CB","?"))</f>
        <v> </v>
      </c>
      <c r="I965" s="19" t="str">
        <f>IF(OR(E965="",E965="!!!",F965="NEW"),"",INDEX(B964:B$2,-1+SUMPRODUCT(MAX(ROW(E964:E$2)*(E965=E964:E$2)))))</f>
        <v> </v>
      </c>
      <c r="J965" s="19" t="str">
        <f>IF(OR(E965="",E965="!!!",F965="NEW"),"",COUNTBLANK(OFFSET(A$1,,,SUMPRODUCT(MAX(ROW(E$2:E965)*(E965=E$2:E965)))))-COUNTBLANK(OFFSET(A$1,,,SUMPRODUCT(MAX(ROW(E$1:E964)*(E2=E$1:E964))))))</f>
        <v> </v>
      </c>
      <c r="K965" s="19" t="str">
        <f>IF(OR(E965="",E965="!!!",F965="NEW"),"",INDEX(J$1:J964,SUMPRODUCT(MAX(ROW(E$1:E964)*(E965=E$1:E964)))))</f>
        <v> </v>
      </c>
      <c r="L965" s="20"/>
    </row>
    <row r="966" spans="1:12">
      <c r="A966" s="13" t="s">
        <v>77</v>
      </c>
      <c r="B966" s="14" t="s">
        <v>45</v>
      </c>
      <c r="C966" s="14" t="s">
        <v>86</v>
      </c>
      <c r="E966" s="15">
        <f>IF(D966="?OLD","!!!","")</f>
        <v/>
      </c>
      <c r="F966" s="16" t="str">
        <f>IF(OR(E966="",E966="!!!"),"",IF(NOT(ISNA(VLOOKUP(E966,E$1:E965,1,FALSE()))),"OLD",IF(AND(E966&lt;&gt;"",E966&lt;&gt;"!!!"),"NEW","")))</f>
        <v> </v>
      </c>
      <c r="G966" s="17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18" t="str">
        <f>IF(J966&lt;&gt;1,"",IF(I966="SBJ","CB","?"))</f>
        <v> </v>
      </c>
      <c r="I966" s="19" t="str">
        <f>IF(OR(E966="",E966="!!!",F966="NEW"),"",INDEX(B965:B$2,-1+SUMPRODUCT(MAX(ROW(E965:E$2)*(E966=E965:E$2)))))</f>
        <v> </v>
      </c>
      <c r="J966" s="19" t="str">
        <f>IF(OR(E966="",E966="!!!",F966="NEW"),"",COUNTBLANK(OFFSET(A$1,,,SUMPRODUCT(MAX(ROW(E$2:E966)*(E966=E$2:E966)))))-COUNTBLANK(OFFSET(A$1,,,SUMPRODUCT(MAX(ROW(E$1:E965)*(E2=E$1:E965))))))</f>
        <v> </v>
      </c>
      <c r="K966" s="19" t="str">
        <f>IF(OR(E966="",E966="!!!",F966="NEW"),"",INDEX(J$1:J965,SUMPRODUCT(MAX(ROW(E$1:E965)*(E966=E$1:E965)))))</f>
        <v> </v>
      </c>
      <c r="L966" s="20"/>
    </row>
    <row r="967" spans="1:12">
      <c r="A967" s="13" t="s">
        <v>207</v>
      </c>
      <c r="B967" s="14" t="s">
        <v>45</v>
      </c>
      <c r="C967" s="14" t="s">
        <v>72</v>
      </c>
      <c r="D967" s="14" t="s">
        <v>25</v>
      </c>
      <c r="E967" s="15">
        <f>IF(D967="?OLD","!!!","")</f>
        <v/>
      </c>
      <c r="F967" s="16" t="str">
        <f>IF(OR(E967="",E967="!!!"),"",IF(NOT(ISNA(VLOOKUP(E967,E$1:E966,1,FALSE()))),"OLD",IF(AND(E967&lt;&gt;"",E967&lt;&gt;"!!!"),"NEW","")))</f>
        <v> </v>
      </c>
      <c r="G967" s="17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18" t="str">
        <f>IF(J967&lt;&gt;1,"",IF(I967="SBJ","CB","?"))</f>
        <v> </v>
      </c>
      <c r="I967" s="19" t="str">
        <f>IF(OR(E967="",E967="!!!",F967="NEW"),"",INDEX(B966:B$2,-1+SUMPRODUCT(MAX(ROW(E966:E$2)*(E967=E966:E$2)))))</f>
        <v> </v>
      </c>
      <c r="J967" s="19" t="str">
        <f>IF(OR(E967="",E967="!!!",F967="NEW"),"",COUNTBLANK(OFFSET(A$1,,,SUMPRODUCT(MAX(ROW(E$2:E967)*(E967=E$2:E967)))))-COUNTBLANK(OFFSET(A$1,,,SUMPRODUCT(MAX(ROW(E$1:E966)*(E2=E$1:E966))))))</f>
        <v> </v>
      </c>
      <c r="K967" s="19" t="str">
        <f>IF(OR(E967="",E967="!!!",F967="NEW"),"",INDEX(J$1:J966,SUMPRODUCT(MAX(ROW(E$1:E966)*(E967=E$1:E966)))))</f>
        <v> </v>
      </c>
      <c r="L967" s="20"/>
    </row>
    <row r="968" spans="1:12">
      <c r="A968" s="13" t="s">
        <v>56</v>
      </c>
      <c r="E968" s="15">
        <f>IF(D968="?OLD","!!!","")</f>
        <v/>
      </c>
      <c r="F968" s="16" t="str">
        <f>IF(OR(E968="",E968="!!!"),"",IF(NOT(ISNA(VLOOKUP(E968,E$1:E967,1,FALSE()))),"OLD",IF(AND(E968&lt;&gt;"",E968&lt;&gt;"!!!"),"NEW","")))</f>
        <v> </v>
      </c>
      <c r="G968" s="17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18" t="str">
        <f>IF(J968&lt;&gt;1,"",IF(I968="SBJ","CB","?"))</f>
        <v> </v>
      </c>
      <c r="I968" s="19" t="str">
        <f>IF(OR(E968="",E968="!!!",F968="NEW"),"",INDEX(B967:B$2,-1+SUMPRODUCT(MAX(ROW(E967:E$2)*(E968=E967:E$2)))))</f>
        <v> </v>
      </c>
      <c r="J968" s="19" t="str">
        <f>IF(OR(E968="",E968="!!!",F968="NEW"),"",COUNTBLANK(OFFSET(A$1,,,SUMPRODUCT(MAX(ROW(E$2:E968)*(E968=E$2:E968)))))-COUNTBLANK(OFFSET(A$1,,,SUMPRODUCT(MAX(ROW(E$1:E967)*(E2=E$1:E967))))))</f>
        <v> </v>
      </c>
      <c r="K968" s="19" t="str">
        <f>IF(OR(E968="",E968="!!!",F968="NEW"),"",INDEX(J$1:J967,SUMPRODUCT(MAX(ROW(E$1:E967)*(E968=E$1:E967)))))</f>
        <v> </v>
      </c>
      <c r="L968" s="20"/>
    </row>
    <row r="969" spans="1:12">
      <c r="A969" s="13" t="s">
        <v>61</v>
      </c>
      <c r="B969" s="14" t="s">
        <v>219</v>
      </c>
      <c r="E969" s="15">
        <f>IF(D969="?OLD","!!!","")</f>
        <v/>
      </c>
      <c r="F969" s="16" t="str">
        <f>IF(OR(E969="",E969="!!!"),"",IF(NOT(ISNA(VLOOKUP(E969,E$1:E968,1,FALSE()))),"OLD",IF(AND(E969&lt;&gt;"",E969&lt;&gt;"!!!"),"NEW","")))</f>
        <v> </v>
      </c>
      <c r="G969" s="17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18" t="str">
        <f>IF(J969&lt;&gt;1,"",IF(I969="SBJ","CB","?"))</f>
        <v> </v>
      </c>
      <c r="I969" s="19" t="str">
        <f>IF(OR(E969="",E969="!!!",F969="NEW"),"",INDEX(B968:B$2,-1+SUMPRODUCT(MAX(ROW(E968:E$2)*(E969=E968:E$2)))))</f>
        <v> </v>
      </c>
      <c r="J969" s="19" t="str">
        <f>IF(OR(E969="",E969="!!!",F969="NEW"),"",COUNTBLANK(OFFSET(A$1,,,SUMPRODUCT(MAX(ROW(E$2:E969)*(E969=E$2:E969)))))-COUNTBLANK(OFFSET(A$1,,,SUMPRODUCT(MAX(ROW(E$1:E968)*(E2=E$1:E968))))))</f>
        <v> </v>
      </c>
      <c r="K969" s="19" t="str">
        <f>IF(OR(E969="",E969="!!!",F969="NEW"),"",INDEX(J$1:J968,SUMPRODUCT(MAX(ROW(E$1:E968)*(E969=E$1:E968)))))</f>
        <v> </v>
      </c>
      <c r="L969" s="20"/>
    </row>
    <row r="970" spans="1:12">
      <c r="A970" s="13" t="s">
        <v>389</v>
      </c>
      <c r="B970" s="14" t="s">
        <v>45</v>
      </c>
      <c r="C970" s="14" t="s">
        <v>34</v>
      </c>
      <c r="E970" s="15">
        <f>IF(D970="?OLD","!!!","")</f>
        <v/>
      </c>
      <c r="F970" s="16" t="str">
        <f>IF(OR(E970="",E970="!!!"),"",IF(NOT(ISNA(VLOOKUP(E970,E$1:E969,1,FALSE()))),"OLD",IF(AND(E970&lt;&gt;"",E970&lt;&gt;"!!!"),"NEW","")))</f>
        <v> </v>
      </c>
      <c r="G970" s="17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18" t="str">
        <f>IF(J970&lt;&gt;1,"",IF(I970="SBJ","CB","?"))</f>
        <v> </v>
      </c>
      <c r="I970" s="19" t="str">
        <f>IF(OR(E970="",E970="!!!",F970="NEW"),"",INDEX(B969:B$2,-1+SUMPRODUCT(MAX(ROW(E969:E$2)*(E970=E969:E$2)))))</f>
        <v> </v>
      </c>
      <c r="J970" s="19" t="str">
        <f>IF(OR(E970="",E970="!!!",F970="NEW"),"",COUNTBLANK(OFFSET(A$1,,,SUMPRODUCT(MAX(ROW(E$2:E970)*(E970=E$2:E970)))))-COUNTBLANK(OFFSET(A$1,,,SUMPRODUCT(MAX(ROW(E$1:E969)*(E2=E$1:E969))))))</f>
        <v> </v>
      </c>
      <c r="K970" s="19" t="str">
        <f>IF(OR(E970="",E970="!!!",F970="NEW"),"",INDEX(J$1:J969,SUMPRODUCT(MAX(ROW(E$1:E969)*(E970=E$1:E969)))))</f>
        <v> </v>
      </c>
      <c r="L970" s="20"/>
    </row>
    <row r="971" spans="1:12">
      <c r="A971" s="13" t="s">
        <v>373</v>
      </c>
      <c r="E971" s="15">
        <f>IF(D971="?OLD","!!!","")</f>
        <v/>
      </c>
      <c r="F971" s="16" t="str">
        <f>IF(OR(E971="",E971="!!!"),"",IF(NOT(ISNA(VLOOKUP(E971,E$1:E970,1,FALSE()))),"OLD",IF(AND(E971&lt;&gt;"",E971&lt;&gt;"!!!"),"NEW","")))</f>
        <v> </v>
      </c>
      <c r="G971" s="17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18" t="str">
        <f>IF(J971&lt;&gt;1,"",IF(I971="SBJ","CB","?"))</f>
        <v> </v>
      </c>
      <c r="I971" s="19" t="str">
        <f>IF(OR(E971="",E971="!!!",F971="NEW"),"",INDEX(B970:B$2,-1+SUMPRODUCT(MAX(ROW(E970:E$2)*(E971=E970:E$2)))))</f>
        <v> </v>
      </c>
      <c r="J971" s="19" t="str">
        <f>IF(OR(E971="",E971="!!!",F971="NEW"),"",COUNTBLANK(OFFSET(A$1,,,SUMPRODUCT(MAX(ROW(E$2:E971)*(E971=E$2:E971)))))-COUNTBLANK(OFFSET(A$1,,,SUMPRODUCT(MAX(ROW(E$1:E970)*(E2=E$1:E970))))))</f>
        <v> </v>
      </c>
      <c r="K971" s="19" t="str">
        <f>IF(OR(E971="",E971="!!!",F971="NEW"),"",INDEX(J$1:J970,SUMPRODUCT(MAX(ROW(E$1:E970)*(E971=E$1:E970)))))</f>
        <v> </v>
      </c>
      <c r="L971" s="20"/>
    </row>
    <row r="972" spans="1:12">
      <c r="A972" s="13" t="s">
        <v>61</v>
      </c>
      <c r="B972" s="14" t="s">
        <v>165</v>
      </c>
      <c r="E972" s="15">
        <f>IF(D972="?OLD","!!!","")</f>
        <v/>
      </c>
      <c r="F972" s="16" t="str">
        <f>IF(OR(E972="",E972="!!!"),"",IF(NOT(ISNA(VLOOKUP(E972,E$1:E971,1,FALSE()))),"OLD",IF(AND(E972&lt;&gt;"",E972&lt;&gt;"!!!"),"NEW","")))</f>
        <v> </v>
      </c>
      <c r="G972" s="17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18" t="str">
        <f>IF(J972&lt;&gt;1,"",IF(I972="SBJ","CB","?"))</f>
        <v> </v>
      </c>
      <c r="I972" s="19" t="str">
        <f>IF(OR(E972="",E972="!!!",F972="NEW"),"",INDEX(B971:B$2,-1+SUMPRODUCT(MAX(ROW(E971:E$2)*(E972=E971:E$2)))))</f>
        <v> </v>
      </c>
      <c r="J972" s="19" t="str">
        <f>IF(OR(E972="",E972="!!!",F972="NEW"),"",COUNTBLANK(OFFSET(A$1,,,SUMPRODUCT(MAX(ROW(E$2:E972)*(E972=E$2:E972)))))-COUNTBLANK(OFFSET(A$1,,,SUMPRODUCT(MAX(ROW(E$1:E971)*(E2=E$1:E971))))))</f>
        <v> </v>
      </c>
      <c r="K972" s="19" t="str">
        <f>IF(OR(E972="",E972="!!!",F972="NEW"),"",INDEX(J$1:J971,SUMPRODUCT(MAX(ROW(E$1:E971)*(E972=E$1:E971)))))</f>
        <v> </v>
      </c>
      <c r="L972" s="20"/>
    </row>
    <row r="973" spans="1:12">
      <c r="A973" s="13" t="s">
        <v>374</v>
      </c>
      <c r="E973" s="15">
        <f>IF(D973="?OLD","!!!","")</f>
        <v/>
      </c>
      <c r="F973" s="16" t="str">
        <f>IF(OR(E973="",E973="!!!"),"",IF(NOT(ISNA(VLOOKUP(E973,E$1:E972,1,FALSE()))),"OLD",IF(AND(E973&lt;&gt;"",E973&lt;&gt;"!!!"),"NEW","")))</f>
        <v> </v>
      </c>
      <c r="G973" s="17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18" t="str">
        <f>IF(J973&lt;&gt;1,"",IF(I973="SBJ","CB","?"))</f>
        <v> </v>
      </c>
      <c r="I973" s="19" t="str">
        <f>IF(OR(E973="",E973="!!!",F973="NEW"),"",INDEX(B972:B$2,-1+SUMPRODUCT(MAX(ROW(E972:E$2)*(E973=E972:E$2)))))</f>
        <v> </v>
      </c>
      <c r="J973" s="19" t="str">
        <f>IF(OR(E973="",E973="!!!",F973="NEW"),"",COUNTBLANK(OFFSET(A$1,,,SUMPRODUCT(MAX(ROW(E$2:E973)*(E973=E$2:E973)))))-COUNTBLANK(OFFSET(A$1,,,SUMPRODUCT(MAX(ROW(E$1:E972)*(E2=E$1:E972))))))</f>
        <v> </v>
      </c>
      <c r="K973" s="19" t="str">
        <f>IF(OR(E973="",E973="!!!",F973="NEW"),"",INDEX(J$1:J972,SUMPRODUCT(MAX(ROW(E$1:E972)*(E973=E$1:E972)))))</f>
        <v> </v>
      </c>
      <c r="L973" s="20"/>
    </row>
    <row r="974" spans="1:12">
      <c r="A974" s="13" t="s">
        <v>222</v>
      </c>
      <c r="E974" s="15">
        <f>IF(D974="?OLD","!!!","")</f>
        <v/>
      </c>
      <c r="F974" s="16" t="str">
        <f>IF(OR(E974="",E974="!!!"),"",IF(NOT(ISNA(VLOOKUP(E974,E$1:E973,1,FALSE()))),"OLD",IF(AND(E974&lt;&gt;"",E974&lt;&gt;"!!!"),"NEW","")))</f>
        <v> </v>
      </c>
      <c r="G974" s="17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18" t="str">
        <f>IF(J974&lt;&gt;1,"",IF(I974="SBJ","CB","?"))</f>
        <v> </v>
      </c>
      <c r="I974" s="19" t="str">
        <f>IF(OR(E974="",E974="!!!",F974="NEW"),"",INDEX(B973:B$2,-1+SUMPRODUCT(MAX(ROW(E973:E$2)*(E974=E973:E$2)))))</f>
        <v> </v>
      </c>
      <c r="J974" s="19" t="str">
        <f>IF(OR(E974="",E974="!!!",F974="NEW"),"",COUNTBLANK(OFFSET(A$1,,,SUMPRODUCT(MAX(ROW(E$2:E974)*(E974=E$2:E974)))))-COUNTBLANK(OFFSET(A$1,,,SUMPRODUCT(MAX(ROW(E$1:E973)*(E2=E$1:E973))))))</f>
        <v> </v>
      </c>
      <c r="K974" s="19" t="str">
        <f>IF(OR(E974="",E974="!!!",F974="NEW"),"",INDEX(J$1:J973,SUMPRODUCT(MAX(ROW(E$1:E973)*(E974=E$1:E973)))))</f>
        <v> </v>
      </c>
      <c r="L974" s="20"/>
    </row>
    <row r="975" spans="1:12">
      <c r="A975" s="13" t="s">
        <v>119</v>
      </c>
      <c r="E975" s="15">
        <f>IF(D975="?OLD","!!!","")</f>
        <v/>
      </c>
      <c r="F975" s="16" t="str">
        <f>IF(OR(E975="",E975="!!!"),"",IF(NOT(ISNA(VLOOKUP(E975,E$1:E974,1,FALSE()))),"OLD",IF(AND(E975&lt;&gt;"",E975&lt;&gt;"!!!"),"NEW","")))</f>
        <v> </v>
      </c>
      <c r="G975" s="17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18" t="str">
        <f>IF(J975&lt;&gt;1,"",IF(I975="SBJ","CB","?"))</f>
        <v> </v>
      </c>
      <c r="I975" s="19" t="str">
        <f>IF(OR(E975="",E975="!!!",F975="NEW"),"",INDEX(B974:B$2,-1+SUMPRODUCT(MAX(ROW(E974:E$2)*(E975=E974:E$2)))))</f>
        <v> </v>
      </c>
      <c r="J975" s="19" t="str">
        <f>IF(OR(E975="",E975="!!!",F975="NEW"),"",COUNTBLANK(OFFSET(A$1,,,SUMPRODUCT(MAX(ROW(E$2:E975)*(E975=E$2:E975)))))-COUNTBLANK(OFFSET(A$1,,,SUMPRODUCT(MAX(ROW(E$1:E974)*(E2=E$1:E974))))))</f>
        <v> </v>
      </c>
      <c r="K975" s="19" t="str">
        <f>IF(OR(E975="",E975="!!!",F975="NEW"),"",INDEX(J$1:J974,SUMPRODUCT(MAX(ROW(E$1:E974)*(E975=E$1:E974)))))</f>
        <v> </v>
      </c>
      <c r="L975" s="20"/>
    </row>
    <row r="976" spans="1:12">
      <c r="A976" s="13"/>
    </row>
    <row r="977" spans="1:12">
      <c r="A977" s="13" t="s">
        <v>117</v>
      </c>
      <c r="E977" s="15">
        <f>IF(D977="?OLD","!!!","")</f>
        <v/>
      </c>
      <c r="F977" s="16" t="str">
        <f>IF(OR(E977="",E977="!!!"),"",IF(NOT(ISNA(VLOOKUP(E977,E$1:E976,1,FALSE()))),"OLD",IF(AND(E977&lt;&gt;"",E977&lt;&gt;"!!!"),"NEW","")))</f>
        <v> </v>
      </c>
      <c r="G977" s="17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18" t="str">
        <f>IF(J977&lt;&gt;1,"",IF(I977="SBJ","CB","?"))</f>
        <v> </v>
      </c>
      <c r="I977" s="19" t="str">
        <f>IF(OR(E977="",E977="!!!",F977="NEW"),"",INDEX(B976:B$2,-1+SUMPRODUCT(MAX(ROW(E976:E$2)*(E977=E976:E$2)))))</f>
        <v> </v>
      </c>
      <c r="J977" s="19" t="str">
        <f>IF(OR(E977="",E977="!!!",F977="NEW"),"",COUNTBLANK(OFFSET(A$1,,,SUMPRODUCT(MAX(ROW(E$2:E977)*(E977=E$2:E977)))))-COUNTBLANK(OFFSET(A$1,,,SUMPRODUCT(MAX(ROW(E$1:E976)*(E2=E$1:E976))))))</f>
        <v> </v>
      </c>
      <c r="K977" s="19" t="str">
        <f>IF(OR(E977="",E977="!!!",F977="NEW"),"",INDEX(J$1:J976,SUMPRODUCT(MAX(ROW(E$1:E976)*(E977=E$1:E976)))))</f>
        <v> </v>
      </c>
      <c r="L977" s="20"/>
    </row>
    <row r="978" spans="1:12">
      <c r="A978" s="13" t="s">
        <v>390</v>
      </c>
    </row>
    <row r="979" spans="1:12">
      <c r="A979" s="13" t="s">
        <v>119</v>
      </c>
      <c r="E979" s="15">
        <f>IF(D979="?OLD","!!!","")</f>
        <v/>
      </c>
      <c r="F979" s="16" t="str">
        <f>IF(OR(E979="",E979="!!!"),"",IF(NOT(ISNA(VLOOKUP(E979,E$1:E978,1,FALSE()))),"OLD",IF(AND(E979&lt;&gt;"",E979&lt;&gt;"!!!"),"NEW","")))</f>
        <v> </v>
      </c>
      <c r="G979" s="17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18" t="str">
        <f>IF(J979&lt;&gt;1,"",IF(I979="SBJ","CB","?"))</f>
        <v> </v>
      </c>
      <c r="I979" s="19" t="str">
        <f>IF(OR(E979="",E979="!!!",F979="NEW"),"",INDEX(B978:B$2,-1+SUMPRODUCT(MAX(ROW(E978:E$2)*(E979=E978:E$2)))))</f>
        <v> </v>
      </c>
      <c r="J979" s="19" t="str">
        <f>IF(OR(E979="",E979="!!!",F979="NEW"),"",COUNTBLANK(OFFSET(A$1,,,SUMPRODUCT(MAX(ROW(E$2:E979)*(E979=E$2:E979)))))-COUNTBLANK(OFFSET(A$1,,,SUMPRODUCT(MAX(ROW(E$1:E978)*(E2=E$1:E978))))))</f>
        <v> </v>
      </c>
      <c r="K979" s="19" t="str">
        <f>IF(OR(E979="",E979="!!!",F979="NEW"),"",INDEX(J$1:J978,SUMPRODUCT(MAX(ROW(E$1:E978)*(E979=E$1:E978)))))</f>
        <v> </v>
      </c>
      <c r="L979" s="20"/>
    </row>
    <row r="980" spans="1:12">
      <c r="A980" s="13" t="s">
        <v>376</v>
      </c>
      <c r="B980" s="14" t="s">
        <v>88</v>
      </c>
      <c r="C980" s="14" t="s">
        <v>64</v>
      </c>
      <c r="D980" s="14" t="s">
        <v>25</v>
      </c>
      <c r="E980" s="15">
        <f>IF(D980="?OLD","!!!","")</f>
        <v/>
      </c>
      <c r="F980" s="16" t="str">
        <f>IF(OR(E980="",E980="!!!"),"",IF(NOT(ISNA(VLOOKUP(E980,E$1:E979,1,FALSE()))),"OLD",IF(AND(E980&lt;&gt;"",E980&lt;&gt;"!!!"),"NEW","")))</f>
        <v> </v>
      </c>
      <c r="G980" s="17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18" t="str">
        <f>IF(J980&lt;&gt;1,"",IF(I980="SBJ","CB","?"))</f>
        <v> </v>
      </c>
      <c r="I980" s="19" t="str">
        <f>IF(OR(E980="",E980="!!!",F980="NEW"),"",INDEX(B979:B$2,-1+SUMPRODUCT(MAX(ROW(E979:E$2)*(E980=E979:E$2)))))</f>
        <v> </v>
      </c>
      <c r="J980" s="19" t="str">
        <f>IF(OR(E980="",E980="!!!",F980="NEW"),"",COUNTBLANK(OFFSET(A$1,,,SUMPRODUCT(MAX(ROW(E$2:E980)*(E980=E$2:E980)))))-COUNTBLANK(OFFSET(A$1,,,SUMPRODUCT(MAX(ROW(E$1:E979)*(E2=E$1:E979))))))</f>
        <v> </v>
      </c>
      <c r="K980" s="19" t="str">
        <f>IF(OR(E980="",E980="!!!",F980="NEW"),"",INDEX(J$1:J979,SUMPRODUCT(MAX(ROW(E$1:E979)*(E980=E$1:E979)))))</f>
        <v> </v>
      </c>
      <c r="L980" s="20"/>
    </row>
    <row r="981" spans="1:12">
      <c r="A981" s="13" t="s">
        <v>286</v>
      </c>
      <c r="E981" s="15">
        <f>IF(D981="?OLD","!!!","")</f>
        <v/>
      </c>
      <c r="F981" s="16" t="str">
        <f>IF(OR(E981="",E981="!!!"),"",IF(NOT(ISNA(VLOOKUP(E981,E$1:E980,1,FALSE()))),"OLD",IF(AND(E981&lt;&gt;"",E981&lt;&gt;"!!!"),"NEW","")))</f>
        <v> </v>
      </c>
      <c r="G981" s="17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18" t="str">
        <f>IF(J981&lt;&gt;1,"",IF(I981="SBJ","CB","?"))</f>
        <v> </v>
      </c>
      <c r="I981" s="19" t="str">
        <f>IF(OR(E981="",E981="!!!",F981="NEW"),"",INDEX(B980:B$2,-1+SUMPRODUCT(MAX(ROW(E980:E$2)*(E981=E980:E$2)))))</f>
        <v> </v>
      </c>
      <c r="J981" s="19" t="str">
        <f>IF(OR(E981="",E981="!!!",F981="NEW"),"",COUNTBLANK(OFFSET(A$1,,,SUMPRODUCT(MAX(ROW(E$2:E981)*(E981=E$2:E981)))))-COUNTBLANK(OFFSET(A$1,,,SUMPRODUCT(MAX(ROW(E$1:E980)*(E2=E$1:E980))))))</f>
        <v> </v>
      </c>
      <c r="K981" s="19" t="str">
        <f>IF(OR(E981="",E981="!!!",F981="NEW"),"",INDEX(J$1:J980,SUMPRODUCT(MAX(ROW(E$1:E980)*(E981=E$1:E980)))))</f>
        <v> </v>
      </c>
      <c r="L981" s="20"/>
    </row>
    <row r="982" spans="1:12">
      <c r="A982" s="13" t="s">
        <v>151</v>
      </c>
      <c r="E982" s="15">
        <f>IF(D982="?OLD","!!!","")</f>
        <v/>
      </c>
      <c r="F982" s="16" t="str">
        <f>IF(OR(E982="",E982="!!!"),"",IF(NOT(ISNA(VLOOKUP(E982,E$1:E981,1,FALSE()))),"OLD",IF(AND(E982&lt;&gt;"",E982&lt;&gt;"!!!"),"NEW","")))</f>
        <v> </v>
      </c>
      <c r="G982" s="17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18" t="str">
        <f>IF(J982&lt;&gt;1,"",IF(I982="SBJ","CB","?"))</f>
        <v> </v>
      </c>
      <c r="I982" s="19" t="str">
        <f>IF(OR(E982="",E982="!!!",F982="NEW"),"",INDEX(B981:B$2,-1+SUMPRODUCT(MAX(ROW(E981:E$2)*(E982=E981:E$2)))))</f>
        <v> </v>
      </c>
      <c r="J982" s="19" t="str">
        <f>IF(OR(E982="",E982="!!!",F982="NEW"),"",COUNTBLANK(OFFSET(A$1,,,SUMPRODUCT(MAX(ROW(E$2:E982)*(E982=E$2:E982)))))-COUNTBLANK(OFFSET(A$1,,,SUMPRODUCT(MAX(ROW(E$1:E981)*(E2=E$1:E981))))))</f>
        <v> </v>
      </c>
      <c r="K982" s="19" t="str">
        <f>IF(OR(E982="",E982="!!!",F982="NEW"),"",INDEX(J$1:J981,SUMPRODUCT(MAX(ROW(E$1:E981)*(E982=E$1:E981)))))</f>
        <v> </v>
      </c>
      <c r="L982" s="20"/>
    </row>
    <row r="983" spans="1:12">
      <c r="A983" s="13" t="s">
        <v>236</v>
      </c>
      <c r="E983" s="15">
        <f>IF(D983="?OLD","!!!","")</f>
        <v/>
      </c>
      <c r="F983" s="16" t="str">
        <f>IF(OR(E983="",E983="!!!"),"",IF(NOT(ISNA(VLOOKUP(E983,E$1:E982,1,FALSE()))),"OLD",IF(AND(E983&lt;&gt;"",E983&lt;&gt;"!!!"),"NEW","")))</f>
        <v> </v>
      </c>
      <c r="G983" s="17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18" t="str">
        <f>IF(J983&lt;&gt;1,"",IF(I983="SBJ","CB","?"))</f>
        <v> </v>
      </c>
      <c r="I983" s="19" t="str">
        <f>IF(OR(E983="",E983="!!!",F983="NEW"),"",INDEX(B982:B$2,-1+SUMPRODUCT(MAX(ROW(E982:E$2)*(E983=E982:E$2)))))</f>
        <v> </v>
      </c>
      <c r="J983" s="19" t="str">
        <f>IF(OR(E983="",E983="!!!",F983="NEW"),"",COUNTBLANK(OFFSET(A$1,,,SUMPRODUCT(MAX(ROW(E$2:E983)*(E983=E$2:E983)))))-COUNTBLANK(OFFSET(A$1,,,SUMPRODUCT(MAX(ROW(E$1:E982)*(E2=E$1:E982))))))</f>
        <v> </v>
      </c>
      <c r="K983" s="19" t="str">
        <f>IF(OR(E983="",E983="!!!",F983="NEW"),"",INDEX(J$1:J982,SUMPRODUCT(MAX(ROW(E$1:E982)*(E983=E$1:E982)))))</f>
        <v> </v>
      </c>
      <c r="L983" s="20"/>
    </row>
    <row r="984" spans="1:12">
      <c r="A984" s="13" t="s">
        <v>387</v>
      </c>
      <c r="B984" s="14" t="s">
        <v>93</v>
      </c>
      <c r="C984" s="14" t="s">
        <v>64</v>
      </c>
      <c r="D984" s="14" t="s">
        <v>25</v>
      </c>
      <c r="E984" s="15">
        <f>IF(D984="?OLD","!!!","")</f>
        <v/>
      </c>
      <c r="F984" s="16" t="str">
        <f>IF(OR(E984="",E984="!!!"),"",IF(NOT(ISNA(VLOOKUP(E984,E$1:E983,1,FALSE()))),"OLD",IF(AND(E984&lt;&gt;"",E984&lt;&gt;"!!!"),"NEW","")))</f>
        <v> </v>
      </c>
      <c r="G984" s="17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18" t="str">
        <f>IF(J984&lt;&gt;1,"",IF(I984="SBJ","CB","?"))</f>
        <v> </v>
      </c>
      <c r="I984" s="19" t="str">
        <f>IF(OR(E984="",E984="!!!",F984="NEW"),"",INDEX(B983:B$2,-1+SUMPRODUCT(MAX(ROW(E983:E$2)*(E984=E983:E$2)))))</f>
        <v> </v>
      </c>
      <c r="J984" s="19" t="str">
        <f>IF(OR(E984="",E984="!!!",F984="NEW"),"",COUNTBLANK(OFFSET(A$1,,,SUMPRODUCT(MAX(ROW(E$2:E984)*(E984=E$2:E984)))))-COUNTBLANK(OFFSET(A$1,,,SUMPRODUCT(MAX(ROW(E$1:E983)*(E2=E$1:E983))))))</f>
        <v> </v>
      </c>
      <c r="K984" s="19" t="str">
        <f>IF(OR(E984="",E984="!!!",F984="NEW"),"",INDEX(J$1:J983,SUMPRODUCT(MAX(ROW(E$1:E983)*(E984=E$1:E983)))))</f>
        <v> </v>
      </c>
      <c r="L984" s="20"/>
    </row>
    <row r="985" spans="1:12">
      <c r="A985" s="13" t="s">
        <v>379</v>
      </c>
      <c r="E985" s="15">
        <f>IF(D985="?OLD","!!!","")</f>
        <v/>
      </c>
      <c r="F985" s="16" t="str">
        <f>IF(OR(E985="",E985="!!!"),"",IF(NOT(ISNA(VLOOKUP(E985,E$1:E984,1,FALSE()))),"OLD",IF(AND(E985&lt;&gt;"",E985&lt;&gt;"!!!"),"NEW","")))</f>
        <v> </v>
      </c>
      <c r="G985" s="17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18" t="str">
        <f>IF(J985&lt;&gt;1,"",IF(I985="SBJ","CB","?"))</f>
        <v> </v>
      </c>
      <c r="I985" s="19" t="str">
        <f>IF(OR(E985="",E985="!!!",F985="NEW"),"",INDEX(B984:B$2,-1+SUMPRODUCT(MAX(ROW(E984:E$2)*(E985=E984:E$2)))))</f>
        <v> </v>
      </c>
      <c r="J985" s="19" t="str">
        <f>IF(OR(E985="",E985="!!!",F985="NEW"),"",COUNTBLANK(OFFSET(A$1,,,SUMPRODUCT(MAX(ROW(E$2:E985)*(E985=E$2:E985)))))-COUNTBLANK(OFFSET(A$1,,,SUMPRODUCT(MAX(ROW(E$1:E984)*(E2=E$1:E984))))))</f>
        <v> </v>
      </c>
      <c r="K985" s="19" t="str">
        <f>IF(OR(E985="",E985="!!!",F985="NEW"),"",INDEX(J$1:J984,SUMPRODUCT(MAX(ROW(E$1:E984)*(E985=E$1:E984)))))</f>
        <v> </v>
      </c>
      <c r="L985" s="20"/>
    </row>
    <row r="986" spans="1:12">
      <c r="A986" s="13" t="s">
        <v>56</v>
      </c>
      <c r="E986" s="15">
        <f>IF(D986="?OLD","!!!","")</f>
        <v/>
      </c>
      <c r="F986" s="16" t="str">
        <f>IF(OR(E986="",E986="!!!"),"",IF(NOT(ISNA(VLOOKUP(E986,E$1:E985,1,FALSE()))),"OLD",IF(AND(E986&lt;&gt;"",E986&lt;&gt;"!!!"),"NEW","")))</f>
        <v> </v>
      </c>
      <c r="G986" s="17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18" t="str">
        <f>IF(J986&lt;&gt;1,"",IF(I986="SBJ","CB","?"))</f>
        <v> </v>
      </c>
      <c r="I986" s="19" t="str">
        <f>IF(OR(E986="",E986="!!!",F986="NEW"),"",INDEX(B985:B$2,-1+SUMPRODUCT(MAX(ROW(E985:E$2)*(E986=E985:E$2)))))</f>
        <v> </v>
      </c>
      <c r="J986" s="19" t="str">
        <f>IF(OR(E986="",E986="!!!",F986="NEW"),"",COUNTBLANK(OFFSET(A$1,,,SUMPRODUCT(MAX(ROW(E$2:E986)*(E986=E$2:E986)))))-COUNTBLANK(OFFSET(A$1,,,SUMPRODUCT(MAX(ROW(E$1:E985)*(E2=E$1:E985))))))</f>
        <v> </v>
      </c>
      <c r="K986" s="19" t="str">
        <f>IF(OR(E986="",E986="!!!",F986="NEW"),"",INDEX(J$1:J985,SUMPRODUCT(MAX(ROW(E$1:E985)*(E986=E$1:E985)))))</f>
        <v> </v>
      </c>
      <c r="L986" s="20"/>
    </row>
    <row r="987" spans="1:12">
      <c r="A987" s="13" t="s">
        <v>55</v>
      </c>
      <c r="E987" s="15">
        <f>IF(D987="?OLD","!!!","")</f>
        <v/>
      </c>
      <c r="F987" s="16" t="str">
        <f>IF(OR(E987="",E987="!!!"),"",IF(NOT(ISNA(VLOOKUP(E987,E$1:E986,1,FALSE()))),"OLD",IF(AND(E987&lt;&gt;"",E987&lt;&gt;"!!!"),"NEW","")))</f>
        <v> </v>
      </c>
      <c r="G987" s="17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18" t="str">
        <f>IF(J987&lt;&gt;1,"",IF(I987="SBJ","CB","?"))</f>
        <v> </v>
      </c>
      <c r="I987" s="19" t="str">
        <f>IF(OR(E987="",E987="!!!",F987="NEW"),"",INDEX(B986:B$2,-1+SUMPRODUCT(MAX(ROW(E986:E$2)*(E987=E986:E$2)))))</f>
        <v> </v>
      </c>
      <c r="J987" s="19" t="str">
        <f>IF(OR(E987="",E987="!!!",F987="NEW"),"",COUNTBLANK(OFFSET(A$1,,,SUMPRODUCT(MAX(ROW(E$2:E987)*(E987=E$2:E987)))))-COUNTBLANK(OFFSET(A$1,,,SUMPRODUCT(MAX(ROW(E$1:E986)*(E2=E$1:E986))))))</f>
        <v> </v>
      </c>
      <c r="K987" s="19" t="str">
        <f>IF(OR(E987="",E987="!!!",F987="NEW"),"",INDEX(J$1:J986,SUMPRODUCT(MAX(ROW(E$1:E986)*(E987=E$1:E986)))))</f>
        <v> </v>
      </c>
      <c r="L987" s="20"/>
    </row>
    <row r="988" spans="1:12">
      <c r="A988" s="13" t="s">
        <v>207</v>
      </c>
      <c r="B988" s="14" t="s">
        <v>93</v>
      </c>
      <c r="C988" s="14" t="s">
        <v>64</v>
      </c>
      <c r="D988" s="14" t="s">
        <v>25</v>
      </c>
      <c r="E988" s="15">
        <f>IF(D988="?OLD","!!!","")</f>
        <v/>
      </c>
      <c r="F988" s="16" t="str">
        <f>IF(OR(E988="",E988="!!!"),"",IF(NOT(ISNA(VLOOKUP(E988,E$1:E987,1,FALSE()))),"OLD",IF(AND(E988&lt;&gt;"",E988&lt;&gt;"!!!"),"NEW","")))</f>
        <v> </v>
      </c>
      <c r="G988" s="17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18" t="str">
        <f>IF(J988&lt;&gt;1,"",IF(I988="SBJ","CB","?"))</f>
        <v> </v>
      </c>
      <c r="I988" s="19" t="str">
        <f>IF(OR(E988="",E988="!!!",F988="NEW"),"",INDEX(B987:B$2,-1+SUMPRODUCT(MAX(ROW(E987:E$2)*(E988=E987:E$2)))))</f>
        <v> </v>
      </c>
      <c r="J988" s="19" t="str">
        <f>IF(OR(E988="",E988="!!!",F988="NEW"),"",COUNTBLANK(OFFSET(A$1,,,SUMPRODUCT(MAX(ROW(E$2:E988)*(E988=E$2:E988)))))-COUNTBLANK(OFFSET(A$1,,,SUMPRODUCT(MAX(ROW(E$1:E987)*(E2=E$1:E987))))))</f>
        <v> </v>
      </c>
      <c r="K988" s="19" t="str">
        <f>IF(OR(E988="",E988="!!!",F988="NEW"),"",INDEX(J$1:J987,SUMPRODUCT(MAX(ROW(E$1:E987)*(E988=E$1:E987)))))</f>
        <v> </v>
      </c>
      <c r="L988" s="20"/>
    </row>
    <row r="989" spans="1:12">
      <c r="A989" s="13" t="s">
        <v>68</v>
      </c>
      <c r="E989" s="15">
        <f>IF(D989="?OLD","!!!","")</f>
        <v/>
      </c>
      <c r="F989" s="16" t="str">
        <f>IF(OR(E989="",E989="!!!"),"",IF(NOT(ISNA(VLOOKUP(E989,E$1:E988,1,FALSE()))),"OLD",IF(AND(E989&lt;&gt;"",E989&lt;&gt;"!!!"),"NEW","")))</f>
        <v> </v>
      </c>
      <c r="G989" s="17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18" t="str">
        <f>IF(J989&lt;&gt;1,"",IF(I989="SBJ","CB","?"))</f>
        <v> </v>
      </c>
      <c r="I989" s="19" t="str">
        <f>IF(OR(E989="",E989="!!!",F989="NEW"),"",INDEX(B988:B$2,-1+SUMPRODUCT(MAX(ROW(E988:E$2)*(E989=E988:E$2)))))</f>
        <v> </v>
      </c>
      <c r="J989" s="19" t="str">
        <f>IF(OR(E989="",E989="!!!",F989="NEW"),"",COUNTBLANK(OFFSET(A$1,,,SUMPRODUCT(MAX(ROW(E$2:E989)*(E989=E$2:E989)))))-COUNTBLANK(OFFSET(A$1,,,SUMPRODUCT(MAX(ROW(E$1:E988)*(E2=E$1:E988))))))</f>
        <v> </v>
      </c>
      <c r="K989" s="19" t="str">
        <f>IF(OR(E989="",E989="!!!",F989="NEW"),"",INDEX(J$1:J988,SUMPRODUCT(MAX(ROW(E$1:E988)*(E989=E$1:E988)))))</f>
        <v> </v>
      </c>
      <c r="L989" s="20"/>
    </row>
    <row r="990" spans="1:12">
      <c r="A990" s="13" t="s">
        <v>119</v>
      </c>
      <c r="E990" s="15">
        <f>IF(D990="?OLD","!!!","")</f>
        <v/>
      </c>
      <c r="F990" s="16" t="str">
        <f>IF(OR(E990="",E990="!!!"),"",IF(NOT(ISNA(VLOOKUP(E990,E$1:E989,1,FALSE()))),"OLD",IF(AND(E990&lt;&gt;"",E990&lt;&gt;"!!!"),"NEW","")))</f>
        <v> </v>
      </c>
      <c r="G990" s="17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18" t="str">
        <f>IF(J990&lt;&gt;1,"",IF(I990="SBJ","CB","?"))</f>
        <v> </v>
      </c>
      <c r="I990" s="19" t="str">
        <f>IF(OR(E990="",E990="!!!",F990="NEW"),"",INDEX(B989:B$2,-1+SUMPRODUCT(MAX(ROW(E989:E$2)*(E990=E989:E$2)))))</f>
        <v> </v>
      </c>
      <c r="J990" s="19" t="str">
        <f>IF(OR(E990="",E990="!!!",F990="NEW"),"",COUNTBLANK(OFFSET(A$1,,,SUMPRODUCT(MAX(ROW(E$2:E990)*(E990=E$2:E990)))))-COUNTBLANK(OFFSET(A$1,,,SUMPRODUCT(MAX(ROW(E$1:E989)*(E2=E$1:E989))))))</f>
        <v> </v>
      </c>
      <c r="K990" s="19" t="str">
        <f>IF(OR(E990="",E990="!!!",F990="NEW"),"",INDEX(J$1:J989,SUMPRODUCT(MAX(ROW(E$1:E989)*(E990=E$1:E989)))))</f>
        <v> </v>
      </c>
      <c r="L990" s="20"/>
    </row>
    <row r="991" spans="1:12">
      <c r="A991" s="13"/>
    </row>
    <row r="992" spans="1:12">
      <c r="A992" s="13" t="s">
        <v>117</v>
      </c>
      <c r="E992" s="15">
        <f>IF(D992="?OLD","!!!","")</f>
        <v/>
      </c>
      <c r="F992" s="16" t="str">
        <f>IF(OR(E992="",E992="!!!"),"",IF(NOT(ISNA(VLOOKUP(E992,E$1:E991,1,FALSE()))),"OLD",IF(AND(E992&lt;&gt;"",E992&lt;&gt;"!!!"),"NEW","")))</f>
        <v> </v>
      </c>
      <c r="G992" s="17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18" t="str">
        <f>IF(J992&lt;&gt;1,"",IF(I992="SBJ","CB","?"))</f>
        <v> </v>
      </c>
      <c r="I992" s="19" t="str">
        <f>IF(OR(E992="",E992="!!!",F992="NEW"),"",INDEX(B991:B$2,-1+SUMPRODUCT(MAX(ROW(E991:E$2)*(E992=E991:E$2)))))</f>
        <v> </v>
      </c>
      <c r="J992" s="19" t="str">
        <f>IF(OR(E992="",E992="!!!",F992="NEW"),"",COUNTBLANK(OFFSET(A$1,,,SUMPRODUCT(MAX(ROW(E$2:E992)*(E992=E$2:E992)))))-COUNTBLANK(OFFSET(A$1,,,SUMPRODUCT(MAX(ROW(E$1:E991)*(E2=E$1:E991))))))</f>
        <v> </v>
      </c>
      <c r="K992" s="19" t="str">
        <f>IF(OR(E992="",E992="!!!",F992="NEW"),"",INDEX(J$1:J991,SUMPRODUCT(MAX(ROW(E$1:E991)*(E992=E$1:E991)))))</f>
        <v> </v>
      </c>
      <c r="L992" s="20"/>
    </row>
    <row r="993" spans="1:12">
      <c r="A993" s="13" t="s">
        <v>391</v>
      </c>
    </row>
    <row r="994" spans="1:12">
      <c r="A994" s="13" t="s">
        <v>119</v>
      </c>
      <c r="E994" s="15">
        <f>IF(D994="?OLD","!!!","")</f>
        <v/>
      </c>
      <c r="F994" s="16" t="str">
        <f>IF(OR(E994="",E994="!!!"),"",IF(NOT(ISNA(VLOOKUP(E994,E$1:E993,1,FALSE()))),"OLD",IF(AND(E994&lt;&gt;"",E994&lt;&gt;"!!!"),"NEW","")))</f>
        <v> </v>
      </c>
      <c r="G994" s="17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18" t="str">
        <f>IF(J994&lt;&gt;1,"",IF(I994="SBJ","CB","?"))</f>
        <v> </v>
      </c>
      <c r="I994" s="19" t="str">
        <f>IF(OR(E994="",E994="!!!",F994="NEW"),"",INDEX(B993:B$2,-1+SUMPRODUCT(MAX(ROW(E993:E$2)*(E994=E993:E$2)))))</f>
        <v> </v>
      </c>
      <c r="J994" s="19" t="str">
        <f>IF(OR(E994="",E994="!!!",F994="NEW"),"",COUNTBLANK(OFFSET(A$1,,,SUMPRODUCT(MAX(ROW(E$2:E994)*(E994=E$2:E994)))))-COUNTBLANK(OFFSET(A$1,,,SUMPRODUCT(MAX(ROW(E$1:E993)*(E2=E$1:E993))))))</f>
        <v> </v>
      </c>
      <c r="K994" s="19" t="str">
        <f>IF(OR(E994="",E994="!!!",F994="NEW"),"",INDEX(J$1:J993,SUMPRODUCT(MAX(ROW(E$1:E993)*(E994=E$1:E993)))))</f>
        <v> </v>
      </c>
      <c r="L994" s="20"/>
    </row>
    <row r="995" spans="1:12">
      <c r="A995" s="13" t="s">
        <v>371</v>
      </c>
      <c r="E995" s="15">
        <f>IF(D995="?OLD","!!!","")</f>
        <v/>
      </c>
      <c r="F995" s="16" t="str">
        <f>IF(OR(E995="",E995="!!!"),"",IF(NOT(ISNA(VLOOKUP(E995,E$1:E994,1,FALSE()))),"OLD",IF(AND(E995&lt;&gt;"",E995&lt;&gt;"!!!"),"NEW","")))</f>
        <v> </v>
      </c>
      <c r="G995" s="17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18" t="str">
        <f>IF(J995&lt;&gt;1,"",IF(I995="SBJ","CB","?"))</f>
        <v> </v>
      </c>
      <c r="I995" s="19" t="str">
        <f>IF(OR(E995="",E995="!!!",F995="NEW"),"",INDEX(B994:B$2,-1+SUMPRODUCT(MAX(ROW(E994:E$2)*(E995=E994:E$2)))))</f>
        <v> </v>
      </c>
      <c r="J995" s="19" t="str">
        <f>IF(OR(E995="",E995="!!!",F995="NEW"),"",COUNTBLANK(OFFSET(A$1,,,SUMPRODUCT(MAX(ROW(E$2:E995)*(E995=E$2:E995)))))-COUNTBLANK(OFFSET(A$1,,,SUMPRODUCT(MAX(ROW(E$1:E994)*(E2=E$1:E994))))))</f>
        <v> </v>
      </c>
      <c r="K995" s="19" t="str">
        <f>IF(OR(E995="",E995="!!!",F995="NEW"),"",INDEX(J$1:J994,SUMPRODUCT(MAX(ROW(E$1:E994)*(E995=E$1:E994)))))</f>
        <v> </v>
      </c>
      <c r="L995" s="20"/>
    </row>
    <row r="996" spans="1:12">
      <c r="A996" s="13" t="s">
        <v>77</v>
      </c>
      <c r="B996" s="14" t="s">
        <v>45</v>
      </c>
      <c r="C996" s="14" t="s">
        <v>86</v>
      </c>
      <c r="E996" s="15">
        <f>IF(D996="?OLD","!!!","")</f>
        <v/>
      </c>
      <c r="F996" s="16" t="str">
        <f>IF(OR(E996="",E996="!!!"),"",IF(NOT(ISNA(VLOOKUP(E996,E$1:E995,1,FALSE()))),"OLD",IF(AND(E996&lt;&gt;"",E996&lt;&gt;"!!!"),"NEW","")))</f>
        <v> </v>
      </c>
      <c r="G996" s="17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18" t="str">
        <f>IF(J996&lt;&gt;1,"",IF(I996="SBJ","CB","?"))</f>
        <v> </v>
      </c>
      <c r="I996" s="19" t="str">
        <f>IF(OR(E996="",E996="!!!",F996="NEW"),"",INDEX(B995:B$2,-1+SUMPRODUCT(MAX(ROW(E995:E$2)*(E996=E995:E$2)))))</f>
        <v> </v>
      </c>
      <c r="J996" s="19" t="str">
        <f>IF(OR(E996="",E996="!!!",F996="NEW"),"",COUNTBLANK(OFFSET(A$1,,,SUMPRODUCT(MAX(ROW(E$2:E996)*(E996=E$2:E996)))))-COUNTBLANK(OFFSET(A$1,,,SUMPRODUCT(MAX(ROW(E$1:E995)*(E2=E$1:E995))))))</f>
        <v> </v>
      </c>
      <c r="K996" s="19" t="str">
        <f>IF(OR(E996="",E996="!!!",F996="NEW"),"",INDEX(J$1:J995,SUMPRODUCT(MAX(ROW(E$1:E995)*(E996=E$1:E995)))))</f>
        <v> </v>
      </c>
      <c r="L996" s="20"/>
    </row>
    <row r="997" spans="1:12">
      <c r="A997" s="13" t="s">
        <v>207</v>
      </c>
      <c r="B997" s="14" t="s">
        <v>45</v>
      </c>
      <c r="C997" s="14" t="s">
        <v>72</v>
      </c>
      <c r="D997" s="14" t="s">
        <v>25</v>
      </c>
      <c r="E997" s="15">
        <f>IF(D997="?OLD","!!!","")</f>
        <v/>
      </c>
      <c r="F997" s="16" t="str">
        <f>IF(OR(E997="",E997="!!!"),"",IF(NOT(ISNA(VLOOKUP(E997,E$1:E996,1,FALSE()))),"OLD",IF(AND(E997&lt;&gt;"",E997&lt;&gt;"!!!"),"NEW","")))</f>
        <v> </v>
      </c>
      <c r="G997" s="17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18" t="str">
        <f>IF(J997&lt;&gt;1,"",IF(I997="SBJ","CB","?"))</f>
        <v> </v>
      </c>
      <c r="I997" s="19" t="str">
        <f>IF(OR(E997="",E997="!!!",F997="NEW"),"",INDEX(B996:B$2,-1+SUMPRODUCT(MAX(ROW(E996:E$2)*(E997=E996:E$2)))))</f>
        <v> </v>
      </c>
      <c r="J997" s="19" t="str">
        <f>IF(OR(E997="",E997="!!!",F997="NEW"),"",COUNTBLANK(OFFSET(A$1,,,SUMPRODUCT(MAX(ROW(E$2:E997)*(E997=E$2:E997)))))-COUNTBLANK(OFFSET(A$1,,,SUMPRODUCT(MAX(ROW(E$1:E996)*(E2=E$1:E996))))))</f>
        <v> </v>
      </c>
      <c r="K997" s="19" t="str">
        <f>IF(OR(E997="",E997="!!!",F997="NEW"),"",INDEX(J$1:J996,SUMPRODUCT(MAX(ROW(E$1:E996)*(E997=E$1:E996)))))</f>
        <v> </v>
      </c>
      <c r="L997" s="20"/>
    </row>
    <row r="998" spans="1:12">
      <c r="A998" s="13" t="s">
        <v>56</v>
      </c>
      <c r="E998" s="15">
        <f>IF(D998="?OLD","!!!","")</f>
        <v/>
      </c>
      <c r="F998" s="16" t="str">
        <f>IF(OR(E998="",E998="!!!"),"",IF(NOT(ISNA(VLOOKUP(E998,E$1:E997,1,FALSE()))),"OLD",IF(AND(E998&lt;&gt;"",E998&lt;&gt;"!!!"),"NEW","")))</f>
        <v> </v>
      </c>
      <c r="G998" s="17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18" t="str">
        <f>IF(J998&lt;&gt;1,"",IF(I998="SBJ","CB","?"))</f>
        <v> </v>
      </c>
      <c r="I998" s="19" t="str">
        <f>IF(OR(E998="",E998="!!!",F998="NEW"),"",INDEX(B997:B$2,-1+SUMPRODUCT(MAX(ROW(E997:E$2)*(E998=E997:E$2)))))</f>
        <v> </v>
      </c>
      <c r="J998" s="19" t="str">
        <f>IF(OR(E998="",E998="!!!",F998="NEW"),"",COUNTBLANK(OFFSET(A$1,,,SUMPRODUCT(MAX(ROW(E$2:E998)*(E998=E$2:E998)))))-COUNTBLANK(OFFSET(A$1,,,SUMPRODUCT(MAX(ROW(E$1:E997)*(E2=E$1:E997))))))</f>
        <v> </v>
      </c>
      <c r="K998" s="19" t="str">
        <f>IF(OR(E998="",E998="!!!",F998="NEW"),"",INDEX(J$1:J997,SUMPRODUCT(MAX(ROW(E$1:E997)*(E998=E$1:E997)))))</f>
        <v> </v>
      </c>
      <c r="L998" s="20"/>
    </row>
    <row r="999" spans="1:12">
      <c r="A999" s="13" t="s">
        <v>61</v>
      </c>
      <c r="B999" s="14" t="s">
        <v>219</v>
      </c>
      <c r="E999" s="15">
        <f>IF(D999="?OLD","!!!","")</f>
        <v/>
      </c>
      <c r="F999" s="16" t="str">
        <f>IF(OR(E999="",E999="!!!"),"",IF(NOT(ISNA(VLOOKUP(E999,E$1:E998,1,FALSE()))),"OLD",IF(AND(E999&lt;&gt;"",E999&lt;&gt;"!!!"),"NEW","")))</f>
        <v> </v>
      </c>
      <c r="G999" s="17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18" t="str">
        <f>IF(J999&lt;&gt;1,"",IF(I999="SBJ","CB","?"))</f>
        <v> </v>
      </c>
      <c r="I999" s="19" t="str">
        <f>IF(OR(E999="",E999="!!!",F999="NEW"),"",INDEX(B998:B$2,-1+SUMPRODUCT(MAX(ROW(E998:E$2)*(E999=E998:E$2)))))</f>
        <v> </v>
      </c>
      <c r="J999" s="19" t="str">
        <f>IF(OR(E999="",E999="!!!",F999="NEW"),"",COUNTBLANK(OFFSET(A$1,,,SUMPRODUCT(MAX(ROW(E$2:E999)*(E999=E$2:E999)))))-COUNTBLANK(OFFSET(A$1,,,SUMPRODUCT(MAX(ROW(E$1:E998)*(E2=E$1:E998))))))</f>
        <v> </v>
      </c>
      <c r="K999" s="19" t="str">
        <f>IF(OR(E999="",E999="!!!",F999="NEW"),"",INDEX(J$1:J998,SUMPRODUCT(MAX(ROW(E$1:E998)*(E999=E$1:E998)))))</f>
        <v> </v>
      </c>
      <c r="L999" s="20"/>
    </row>
    <row r="1000" spans="1:12">
      <c r="A1000" s="13" t="s">
        <v>392</v>
      </c>
      <c r="B1000" s="14" t="s">
        <v>45</v>
      </c>
      <c r="C1000" s="14" t="s">
        <v>34</v>
      </c>
      <c r="E1000" s="15">
        <f>IF(D1000="?OLD","!!!","")</f>
        <v/>
      </c>
      <c r="F1000" s="16" t="str">
        <f>IF(OR(E1000="",E1000="!!!"),"",IF(NOT(ISNA(VLOOKUP(E1000,E$1:E999,1,FALSE()))),"OLD",IF(AND(E1000&lt;&gt;"",E1000&lt;&gt;"!!!"),"NEW","")))</f>
        <v> </v>
      </c>
      <c r="G1000" s="17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18" t="str">
        <f>IF(J1000&lt;&gt;1,"",IF(I1000="SBJ","CB","?"))</f>
        <v> </v>
      </c>
      <c r="I1000" s="19" t="str">
        <f>IF(OR(E1000="",E1000="!!!",F1000="NEW"),"",INDEX(B999:B$2,-1+SUMPRODUCT(MAX(ROW(E999:E$2)*(E1000=E999:E$2)))))</f>
        <v> </v>
      </c>
      <c r="J1000" s="19" t="str">
        <f>IF(OR(E1000="",E1000="!!!",F1000="NEW"),"",COUNTBLANK(OFFSET(A$1,,,SUMPRODUCT(MAX(ROW(E$2:E1000)*(E1000=E$2:E1000)))))-COUNTBLANK(OFFSET(A$1,,,SUMPRODUCT(MAX(ROW(E$1:E999)*(E2=E$1:E999))))))</f>
        <v> </v>
      </c>
      <c r="K1000" s="19" t="str">
        <f>IF(OR(E1000="",E1000="!!!",F1000="NEW"),"",INDEX(J$1:J999,SUMPRODUCT(MAX(ROW(E$1:E999)*(E1000=E$1:E999)))))</f>
        <v> </v>
      </c>
      <c r="L1000" s="20"/>
    </row>
    <row r="1001" spans="1:12">
      <c r="A1001" s="13" t="s">
        <v>373</v>
      </c>
      <c r="E1001" s="15">
        <f>IF(D1001="?OLD","!!!","")</f>
        <v/>
      </c>
      <c r="F1001" s="16" t="str">
        <f>IF(OR(E1001="",E1001="!!!"),"",IF(NOT(ISNA(VLOOKUP(E1001,E$1:E1000,1,FALSE()))),"OLD",IF(AND(E1001&lt;&gt;"",E1001&lt;&gt;"!!!"),"NEW","")))</f>
        <v> </v>
      </c>
      <c r="G1001" s="17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18" t="str">
        <f>IF(J1001&lt;&gt;1,"",IF(I1001="SBJ","CB","?"))</f>
        <v> </v>
      </c>
      <c r="I1001" s="19" t="str">
        <f>IF(OR(E1001="",E1001="!!!",F1001="NEW"),"",INDEX(B1000:B$2,-1+SUMPRODUCT(MAX(ROW(E1000:E$2)*(E1001=E1000:E$2)))))</f>
        <v> </v>
      </c>
      <c r="J1001" s="19" t="str">
        <f>IF(OR(E1001="",E1001="!!!",F1001="NEW"),"",COUNTBLANK(OFFSET(A$1,,,SUMPRODUCT(MAX(ROW(E$2:E1001)*(E1001=E$2:E1001)))))-COUNTBLANK(OFFSET(A$1,,,SUMPRODUCT(MAX(ROW(E$1:E1000)*(E2=E$1:E1000))))))</f>
        <v> </v>
      </c>
      <c r="K1001" s="19" t="str">
        <f>IF(OR(E1001="",E1001="!!!",F1001="NEW"),"",INDEX(J$1:J1000,SUMPRODUCT(MAX(ROW(E$1:E1000)*(E1001=E$1:E1000)))))</f>
        <v> </v>
      </c>
      <c r="L1001" s="20"/>
    </row>
    <row r="1002" spans="1:12">
      <c r="A1002" s="13" t="s">
        <v>61</v>
      </c>
      <c r="B1002" s="14" t="s">
        <v>165</v>
      </c>
      <c r="E1002" s="15">
        <f>IF(D1002="?OLD","!!!","")</f>
        <v/>
      </c>
      <c r="F1002" s="16" t="str">
        <f>IF(OR(E1002="",E1002="!!!"),"",IF(NOT(ISNA(VLOOKUP(E1002,E$1:E1001,1,FALSE()))),"OLD",IF(AND(E1002&lt;&gt;"",E1002&lt;&gt;"!!!"),"NEW","")))</f>
        <v> </v>
      </c>
      <c r="G1002" s="17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18" t="str">
        <f>IF(J1002&lt;&gt;1,"",IF(I1002="SBJ","CB","?"))</f>
        <v> </v>
      </c>
      <c r="I1002" s="19" t="str">
        <f>IF(OR(E1002="",E1002="!!!",F1002="NEW"),"",INDEX(B1001:B$2,-1+SUMPRODUCT(MAX(ROW(E1001:E$2)*(E1002=E1001:E$2)))))</f>
        <v> </v>
      </c>
      <c r="J1002" s="19" t="str">
        <f>IF(OR(E1002="",E1002="!!!",F1002="NEW"),"",COUNTBLANK(OFFSET(A$1,,,SUMPRODUCT(MAX(ROW(E$2:E1002)*(E1002=E$2:E1002)))))-COUNTBLANK(OFFSET(A$1,,,SUMPRODUCT(MAX(ROW(E$1:E1001)*(E2=E$1:E1001))))))</f>
        <v> </v>
      </c>
      <c r="K1002" s="19" t="str">
        <f>IF(OR(E1002="",E1002="!!!",F1002="NEW"),"",INDEX(J$1:J1001,SUMPRODUCT(MAX(ROW(E$1:E1001)*(E1002=E$1:E1001)))))</f>
        <v> </v>
      </c>
      <c r="L1002" s="20"/>
    </row>
    <row r="1003" spans="1:12">
      <c r="A1003" s="13" t="s">
        <v>374</v>
      </c>
      <c r="E1003" s="15">
        <f>IF(D1003="?OLD","!!!","")</f>
        <v/>
      </c>
      <c r="F1003" s="16" t="str">
        <f>IF(OR(E1003="",E1003="!!!"),"",IF(NOT(ISNA(VLOOKUP(E1003,E$1:E1002,1,FALSE()))),"OLD",IF(AND(E1003&lt;&gt;"",E1003&lt;&gt;"!!!"),"NEW","")))</f>
        <v> </v>
      </c>
      <c r="G1003" s="17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18" t="str">
        <f>IF(J1003&lt;&gt;1,"",IF(I1003="SBJ","CB","?"))</f>
        <v> </v>
      </c>
      <c r="I1003" s="19" t="str">
        <f>IF(OR(E1003="",E1003="!!!",F1003="NEW"),"",INDEX(B1002:B$2,-1+SUMPRODUCT(MAX(ROW(E1002:E$2)*(E1003=E1002:E$2)))))</f>
        <v> </v>
      </c>
      <c r="J1003" s="19" t="str">
        <f>IF(OR(E1003="",E1003="!!!",F1003="NEW"),"",COUNTBLANK(OFFSET(A$1,,,SUMPRODUCT(MAX(ROW(E$2:E1003)*(E1003=E$2:E1003)))))-COUNTBLANK(OFFSET(A$1,,,SUMPRODUCT(MAX(ROW(E$1:E1002)*(E2=E$1:E1002))))))</f>
        <v> </v>
      </c>
      <c r="K1003" s="19" t="str">
        <f>IF(OR(E1003="",E1003="!!!",F1003="NEW"),"",INDEX(J$1:J1002,SUMPRODUCT(MAX(ROW(E$1:E1002)*(E1003=E$1:E1002)))))</f>
        <v> </v>
      </c>
      <c r="L1003" s="20"/>
    </row>
    <row r="1004" spans="1:12">
      <c r="A1004" s="13" t="s">
        <v>222</v>
      </c>
      <c r="E1004" s="15">
        <f>IF(D1004="?OLD","!!!","")</f>
        <v/>
      </c>
      <c r="F1004" s="16" t="str">
        <f>IF(OR(E1004="",E1004="!!!"),"",IF(NOT(ISNA(VLOOKUP(E1004,E$1:E1003,1,FALSE()))),"OLD",IF(AND(E1004&lt;&gt;"",E1004&lt;&gt;"!!!"),"NEW","")))</f>
        <v> </v>
      </c>
      <c r="G1004" s="17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18" t="str">
        <f>IF(J1004&lt;&gt;1,"",IF(I1004="SBJ","CB","?"))</f>
        <v> </v>
      </c>
      <c r="I1004" s="19" t="str">
        <f>IF(OR(E1004="",E1004="!!!",F1004="NEW"),"",INDEX(B1003:B$2,-1+SUMPRODUCT(MAX(ROW(E1003:E$2)*(E1004=E1003:E$2)))))</f>
        <v> </v>
      </c>
      <c r="J1004" s="19" t="str">
        <f>IF(OR(E1004="",E1004="!!!",F1004="NEW"),"",COUNTBLANK(OFFSET(A$1,,,SUMPRODUCT(MAX(ROW(E$2:E1004)*(E1004=E$2:E1004)))))-COUNTBLANK(OFFSET(A$1,,,SUMPRODUCT(MAX(ROW(E$1:E1003)*(E2=E$1:E1003))))))</f>
        <v> </v>
      </c>
      <c r="K1004" s="19" t="str">
        <f>IF(OR(E1004="",E1004="!!!",F1004="NEW"),"",INDEX(J$1:J1003,SUMPRODUCT(MAX(ROW(E$1:E1003)*(E1004=E$1:E1003)))))</f>
        <v> </v>
      </c>
      <c r="L1004" s="20"/>
    </row>
    <row r="1005" spans="1:12">
      <c r="A1005" s="13" t="s">
        <v>119</v>
      </c>
      <c r="E1005" s="15">
        <f>IF(D1005="?OLD","!!!","")</f>
        <v/>
      </c>
      <c r="F1005" s="16" t="str">
        <f>IF(OR(E1005="",E1005="!!!"),"",IF(NOT(ISNA(VLOOKUP(E1005,E$1:E1004,1,FALSE()))),"OLD",IF(AND(E1005&lt;&gt;"",E1005&lt;&gt;"!!!"),"NEW","")))</f>
        <v> </v>
      </c>
      <c r="G1005" s="17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18" t="str">
        <f>IF(J1005&lt;&gt;1,"",IF(I1005="SBJ","CB","?"))</f>
        <v> </v>
      </c>
      <c r="I1005" s="19" t="str">
        <f>IF(OR(E1005="",E1005="!!!",F1005="NEW"),"",INDEX(B1004:B$2,-1+SUMPRODUCT(MAX(ROW(E1004:E$2)*(E1005=E1004:E$2)))))</f>
        <v> </v>
      </c>
      <c r="J1005" s="19" t="str">
        <f>IF(OR(E1005="",E1005="!!!",F1005="NEW"),"",COUNTBLANK(OFFSET(A$1,,,SUMPRODUCT(MAX(ROW(E$2:E1005)*(E1005=E$2:E1005)))))-COUNTBLANK(OFFSET(A$1,,,SUMPRODUCT(MAX(ROW(E$1:E1004)*(E2=E$1:E1004))))))</f>
        <v> </v>
      </c>
      <c r="K1005" s="19" t="str">
        <f>IF(OR(E1005="",E1005="!!!",F1005="NEW"),"",INDEX(J$1:J1004,SUMPRODUCT(MAX(ROW(E$1:E1004)*(E1005=E$1:E1004)))))</f>
        <v> </v>
      </c>
      <c r="L1005" s="20"/>
    </row>
    <row r="1006" spans="1:12">
      <c r="A1006" s="13"/>
    </row>
    <row r="1007" spans="1:12">
      <c r="A1007" s="13" t="s">
        <v>117</v>
      </c>
      <c r="E1007" s="15">
        <f>IF(D1007="?OLD","!!!","")</f>
        <v/>
      </c>
      <c r="F1007" s="16" t="str">
        <f>IF(OR(E1007="",E1007="!!!"),"",IF(NOT(ISNA(VLOOKUP(E1007,E$1:E1006,1,FALSE()))),"OLD",IF(AND(E1007&lt;&gt;"",E1007&lt;&gt;"!!!"),"NEW","")))</f>
        <v> </v>
      </c>
      <c r="G1007" s="17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18" t="str">
        <f>IF(J1007&lt;&gt;1,"",IF(I1007="SBJ","CB","?"))</f>
        <v> </v>
      </c>
      <c r="I1007" s="19" t="str">
        <f>IF(OR(E1007="",E1007="!!!",F1007="NEW"),"",INDEX(B1006:B$2,-1+SUMPRODUCT(MAX(ROW(E1006:E$2)*(E1007=E1006:E$2)))))</f>
        <v> </v>
      </c>
      <c r="J1007" s="19" t="str">
        <f>IF(OR(E1007="",E1007="!!!",F1007="NEW"),"",COUNTBLANK(OFFSET(A$1,,,SUMPRODUCT(MAX(ROW(E$2:E1007)*(E1007=E$2:E1007)))))-COUNTBLANK(OFFSET(A$1,,,SUMPRODUCT(MAX(ROW(E$1:E1006)*(E2=E$1:E1006))))))</f>
        <v> </v>
      </c>
      <c r="K1007" s="19" t="str">
        <f>IF(OR(E1007="",E1007="!!!",F1007="NEW"),"",INDEX(J$1:J1006,SUMPRODUCT(MAX(ROW(E$1:E1006)*(E1007=E$1:E1006)))))</f>
        <v> </v>
      </c>
      <c r="L1007" s="20"/>
    </row>
    <row r="1008" spans="1:12">
      <c r="A1008" s="13" t="s">
        <v>393</v>
      </c>
    </row>
    <row r="1009" spans="1:12">
      <c r="A1009" s="13" t="s">
        <v>119</v>
      </c>
      <c r="E1009" s="15">
        <f>IF(D1009="?OLD","!!!","")</f>
        <v/>
      </c>
      <c r="F1009" s="16" t="str">
        <f>IF(OR(E1009="",E1009="!!!"),"",IF(NOT(ISNA(VLOOKUP(E1009,E$1:E1008,1,FALSE()))),"OLD",IF(AND(E1009&lt;&gt;"",E1009&lt;&gt;"!!!"),"NEW","")))</f>
        <v> </v>
      </c>
      <c r="G1009" s="17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18" t="str">
        <f>IF(J1009&lt;&gt;1,"",IF(I1009="SBJ","CB","?"))</f>
        <v> </v>
      </c>
      <c r="I1009" s="19" t="str">
        <f>IF(OR(E1009="",E1009="!!!",F1009="NEW"),"",INDEX(B1008:B$2,-1+SUMPRODUCT(MAX(ROW(E1008:E$2)*(E1009=E1008:E$2)))))</f>
        <v> </v>
      </c>
      <c r="J1009" s="19" t="str">
        <f>IF(OR(E1009="",E1009="!!!",F1009="NEW"),"",COUNTBLANK(OFFSET(A$1,,,SUMPRODUCT(MAX(ROW(E$2:E1009)*(E1009=E$2:E1009)))))-COUNTBLANK(OFFSET(A$1,,,SUMPRODUCT(MAX(ROW(E$1:E1008)*(E2=E$1:E1008))))))</f>
        <v> </v>
      </c>
      <c r="K1009" s="19" t="str">
        <f>IF(OR(E1009="",E1009="!!!",F1009="NEW"),"",INDEX(J$1:J1008,SUMPRODUCT(MAX(ROW(E$1:E1008)*(E1009=E$1:E1008)))))</f>
        <v> </v>
      </c>
      <c r="L1009" s="20"/>
    </row>
    <row r="1010" spans="1:12">
      <c r="A1010" s="13" t="s">
        <v>376</v>
      </c>
      <c r="B1010" s="14" t="s">
        <v>88</v>
      </c>
      <c r="C1010" s="14" t="s">
        <v>64</v>
      </c>
      <c r="D1010" s="14" t="s">
        <v>25</v>
      </c>
      <c r="E1010" s="15">
        <f>IF(D1010="?OLD","!!!","")</f>
        <v/>
      </c>
      <c r="F1010" s="16" t="str">
        <f>IF(OR(E1010="",E1010="!!!"),"",IF(NOT(ISNA(VLOOKUP(E1010,E$1:E1009,1,FALSE()))),"OLD",IF(AND(E1010&lt;&gt;"",E1010&lt;&gt;"!!!"),"NEW","")))</f>
        <v> </v>
      </c>
      <c r="G1010" s="17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18" t="str">
        <f>IF(J1010&lt;&gt;1,"",IF(I1010="SBJ","CB","?"))</f>
        <v> </v>
      </c>
      <c r="I1010" s="19" t="str">
        <f>IF(OR(E1010="",E1010="!!!",F1010="NEW"),"",INDEX(B1009:B$2,-1+SUMPRODUCT(MAX(ROW(E1009:E$2)*(E1010=E1009:E$2)))))</f>
        <v> </v>
      </c>
      <c r="J1010" s="19" t="str">
        <f>IF(OR(E1010="",E1010="!!!",F1010="NEW"),"",COUNTBLANK(OFFSET(A$1,,,SUMPRODUCT(MAX(ROW(E$2:E1010)*(E1010=E$2:E1010)))))-COUNTBLANK(OFFSET(A$1,,,SUMPRODUCT(MAX(ROW(E$1:E1009)*(E2=E$1:E1009))))))</f>
        <v> </v>
      </c>
      <c r="K1010" s="19" t="str">
        <f>IF(OR(E1010="",E1010="!!!",F1010="NEW"),"",INDEX(J$1:J1009,SUMPRODUCT(MAX(ROW(E$1:E1009)*(E1010=E$1:E1009)))))</f>
        <v> </v>
      </c>
      <c r="L1010" s="20"/>
    </row>
    <row r="1011" spans="1:12">
      <c r="A1011" s="13" t="s">
        <v>286</v>
      </c>
      <c r="E1011" s="15">
        <f>IF(D1011="?OLD","!!!","")</f>
        <v/>
      </c>
      <c r="F1011" s="16" t="str">
        <f>IF(OR(E1011="",E1011="!!!"),"",IF(NOT(ISNA(VLOOKUP(E1011,E$1:E1010,1,FALSE()))),"OLD",IF(AND(E1011&lt;&gt;"",E1011&lt;&gt;"!!!"),"NEW","")))</f>
        <v> </v>
      </c>
      <c r="G1011" s="17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18" t="str">
        <f>IF(J1011&lt;&gt;1,"",IF(I1011="SBJ","CB","?"))</f>
        <v> </v>
      </c>
      <c r="I1011" s="19" t="str">
        <f>IF(OR(E1011="",E1011="!!!",F1011="NEW"),"",INDEX(B1010:B$2,-1+SUMPRODUCT(MAX(ROW(E1010:E$2)*(E1011=E1010:E$2)))))</f>
        <v> </v>
      </c>
      <c r="J1011" s="19" t="str">
        <f>IF(OR(E1011="",E1011="!!!",F1011="NEW"),"",COUNTBLANK(OFFSET(A$1,,,SUMPRODUCT(MAX(ROW(E$2:E1011)*(E1011=E$2:E1011)))))-COUNTBLANK(OFFSET(A$1,,,SUMPRODUCT(MAX(ROW(E$1:E1010)*(E2=E$1:E1010))))))</f>
        <v> </v>
      </c>
      <c r="K1011" s="19" t="str">
        <f>IF(OR(E1011="",E1011="!!!",F1011="NEW"),"",INDEX(J$1:J1010,SUMPRODUCT(MAX(ROW(E$1:E1010)*(E1011=E$1:E1010)))))</f>
        <v> </v>
      </c>
      <c r="L1011" s="20"/>
    </row>
    <row r="1012" spans="1:12">
      <c r="A1012" s="13" t="s">
        <v>151</v>
      </c>
      <c r="E1012" s="15">
        <f>IF(D1012="?OLD","!!!","")</f>
        <v/>
      </c>
      <c r="F1012" s="16" t="str">
        <f>IF(OR(E1012="",E1012="!!!"),"",IF(NOT(ISNA(VLOOKUP(E1012,E$1:E1011,1,FALSE()))),"OLD",IF(AND(E1012&lt;&gt;"",E1012&lt;&gt;"!!!"),"NEW","")))</f>
        <v> </v>
      </c>
      <c r="G1012" s="17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18" t="str">
        <f>IF(J1012&lt;&gt;1,"",IF(I1012="SBJ","CB","?"))</f>
        <v> </v>
      </c>
      <c r="I1012" s="19" t="str">
        <f>IF(OR(E1012="",E1012="!!!",F1012="NEW"),"",INDEX(B1011:B$2,-1+SUMPRODUCT(MAX(ROW(E1011:E$2)*(E1012=E1011:E$2)))))</f>
        <v> </v>
      </c>
      <c r="J1012" s="19" t="str">
        <f>IF(OR(E1012="",E1012="!!!",F1012="NEW"),"",COUNTBLANK(OFFSET(A$1,,,SUMPRODUCT(MAX(ROW(E$2:E1012)*(E1012=E$2:E1012)))))-COUNTBLANK(OFFSET(A$1,,,SUMPRODUCT(MAX(ROW(E$1:E1011)*(E2=E$1:E1011))))))</f>
        <v> </v>
      </c>
      <c r="K1012" s="19" t="str">
        <f>IF(OR(E1012="",E1012="!!!",F1012="NEW"),"",INDEX(J$1:J1011,SUMPRODUCT(MAX(ROW(E$1:E1011)*(E1012=E$1:E1011)))))</f>
        <v> </v>
      </c>
      <c r="L1012" s="20"/>
    </row>
    <row r="1013" spans="1:12">
      <c r="A1013" s="13" t="s">
        <v>170</v>
      </c>
      <c r="E1013" s="15">
        <f>IF(D1013="?OLD","!!!","")</f>
        <v/>
      </c>
      <c r="F1013" s="16" t="str">
        <f>IF(OR(E1013="",E1013="!!!"),"",IF(NOT(ISNA(VLOOKUP(E1013,E$1:E1012,1,FALSE()))),"OLD",IF(AND(E1013&lt;&gt;"",E1013&lt;&gt;"!!!"),"NEW","")))</f>
        <v> </v>
      </c>
      <c r="G1013" s="17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18" t="str">
        <f>IF(J1013&lt;&gt;1,"",IF(I1013="SBJ","CB","?"))</f>
        <v> </v>
      </c>
      <c r="I1013" s="19" t="str">
        <f>IF(OR(E1013="",E1013="!!!",F1013="NEW"),"",INDEX(B1012:B$2,-1+SUMPRODUCT(MAX(ROW(E1012:E$2)*(E1013=E1012:E$2)))))</f>
        <v> </v>
      </c>
      <c r="J1013" s="19" t="str">
        <f>IF(OR(E1013="",E1013="!!!",F1013="NEW"),"",COUNTBLANK(OFFSET(A$1,,,SUMPRODUCT(MAX(ROW(E$2:E1013)*(E1013=E$2:E1013)))))-COUNTBLANK(OFFSET(A$1,,,SUMPRODUCT(MAX(ROW(E$1:E1012)*(E2=E$1:E1012))))))</f>
        <v> </v>
      </c>
      <c r="K1013" s="19" t="str">
        <f>IF(OR(E1013="",E1013="!!!",F1013="NEW"),"",INDEX(J$1:J1012,SUMPRODUCT(MAX(ROW(E$1:E1012)*(E1013=E$1:E1012)))))</f>
        <v> </v>
      </c>
      <c r="L1013" s="20"/>
    </row>
    <row r="1014" spans="1:12">
      <c r="A1014" s="13" t="s">
        <v>378</v>
      </c>
      <c r="B1014" s="14" t="s">
        <v>93</v>
      </c>
      <c r="C1014" s="14" t="s">
        <v>64</v>
      </c>
      <c r="D1014" s="14" t="s">
        <v>25</v>
      </c>
      <c r="E1014" s="15">
        <f>IF(D1014="?OLD","!!!","")</f>
        <v/>
      </c>
      <c r="F1014" s="16" t="str">
        <f>IF(OR(E1014="",E1014="!!!"),"",IF(NOT(ISNA(VLOOKUP(E1014,E$1:E1013,1,FALSE()))),"OLD",IF(AND(E1014&lt;&gt;"",E1014&lt;&gt;"!!!"),"NEW","")))</f>
        <v> </v>
      </c>
      <c r="G1014" s="17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18" t="str">
        <f>IF(J1014&lt;&gt;1,"",IF(I1014="SBJ","CB","?"))</f>
        <v> </v>
      </c>
      <c r="I1014" s="19" t="str">
        <f>IF(OR(E1014="",E1014="!!!",F1014="NEW"),"",INDEX(B1013:B$2,-1+SUMPRODUCT(MAX(ROW(E1013:E$2)*(E1014=E1013:E$2)))))</f>
        <v> </v>
      </c>
      <c r="J1014" s="19" t="str">
        <f>IF(OR(E1014="",E1014="!!!",F1014="NEW"),"",COUNTBLANK(OFFSET(A$1,,,SUMPRODUCT(MAX(ROW(E$2:E1014)*(E1014=E$2:E1014)))))-COUNTBLANK(OFFSET(A$1,,,SUMPRODUCT(MAX(ROW(E$1:E1013)*(E2=E$1:E1013))))))</f>
        <v> </v>
      </c>
      <c r="K1014" s="19" t="str">
        <f>IF(OR(E1014="",E1014="!!!",F1014="NEW"),"",INDEX(J$1:J1013,SUMPRODUCT(MAX(ROW(E$1:E1013)*(E1014=E$1:E1013)))))</f>
        <v> </v>
      </c>
      <c r="L1014" s="20"/>
    </row>
    <row r="1015" spans="1:12">
      <c r="A1015" s="13" t="s">
        <v>379</v>
      </c>
      <c r="E1015" s="15">
        <f>IF(D1015="?OLD","!!!","")</f>
        <v/>
      </c>
      <c r="F1015" s="16" t="str">
        <f>IF(OR(E1015="",E1015="!!!"),"",IF(NOT(ISNA(VLOOKUP(E1015,E$1:E1014,1,FALSE()))),"OLD",IF(AND(E1015&lt;&gt;"",E1015&lt;&gt;"!!!"),"NEW","")))</f>
        <v> </v>
      </c>
      <c r="G1015" s="17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18" t="str">
        <f>IF(J1015&lt;&gt;1,"",IF(I1015="SBJ","CB","?"))</f>
        <v> </v>
      </c>
      <c r="I1015" s="19" t="str">
        <f>IF(OR(E1015="",E1015="!!!",F1015="NEW"),"",INDEX(B1014:B$2,-1+SUMPRODUCT(MAX(ROW(E1014:E$2)*(E1015=E1014:E$2)))))</f>
        <v> </v>
      </c>
      <c r="J1015" s="19" t="str">
        <f>IF(OR(E1015="",E1015="!!!",F1015="NEW"),"",COUNTBLANK(OFFSET(A$1,,,SUMPRODUCT(MAX(ROW(E$2:E1015)*(E1015=E$2:E1015)))))-COUNTBLANK(OFFSET(A$1,,,SUMPRODUCT(MAX(ROW(E$1:E1014)*(E2=E$1:E1014))))))</f>
        <v> </v>
      </c>
      <c r="K1015" s="19" t="str">
        <f>IF(OR(E1015="",E1015="!!!",F1015="NEW"),"",INDEX(J$1:J1014,SUMPRODUCT(MAX(ROW(E$1:E1014)*(E1015=E$1:E1014)))))</f>
        <v> </v>
      </c>
      <c r="L1015" s="20"/>
    </row>
    <row r="1016" spans="1:12">
      <c r="A1016" s="13" t="s">
        <v>68</v>
      </c>
      <c r="E1016" s="15">
        <f>IF(D1016="?OLD","!!!","")</f>
        <v/>
      </c>
      <c r="F1016" s="16" t="str">
        <f>IF(OR(E1016="",E1016="!!!"),"",IF(NOT(ISNA(VLOOKUP(E1016,E$1:E1015,1,FALSE()))),"OLD",IF(AND(E1016&lt;&gt;"",E1016&lt;&gt;"!!!"),"NEW","")))</f>
        <v> </v>
      </c>
      <c r="G1016" s="17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18" t="str">
        <f>IF(J1016&lt;&gt;1,"",IF(I1016="SBJ","CB","?"))</f>
        <v> </v>
      </c>
      <c r="I1016" s="19" t="str">
        <f>IF(OR(E1016="",E1016="!!!",F1016="NEW"),"",INDEX(B1015:B$2,-1+SUMPRODUCT(MAX(ROW(E1015:E$2)*(E1016=E1015:E$2)))))</f>
        <v> </v>
      </c>
      <c r="J1016" s="19" t="str">
        <f>IF(OR(E1016="",E1016="!!!",F1016="NEW"),"",COUNTBLANK(OFFSET(A$1,,,SUMPRODUCT(MAX(ROW(E$2:E1016)*(E1016=E$2:E1016)))))-COUNTBLANK(OFFSET(A$1,,,SUMPRODUCT(MAX(ROW(E$1:E1015)*(E2=E$1:E1015))))))</f>
        <v> </v>
      </c>
      <c r="K1016" s="19" t="str">
        <f>IF(OR(E1016="",E1016="!!!",F1016="NEW"),"",INDEX(J$1:J1015,SUMPRODUCT(MAX(ROW(E$1:E1015)*(E1016=E$1:E1015)))))</f>
        <v> </v>
      </c>
      <c r="L1016" s="20"/>
    </row>
    <row r="1017" spans="1:12">
      <c r="A1017" s="13" t="s">
        <v>119</v>
      </c>
      <c r="E1017" s="15">
        <f>IF(D1017="?OLD","!!!","")</f>
        <v/>
      </c>
      <c r="F1017" s="16" t="str">
        <f>IF(OR(E1017="",E1017="!!!"),"",IF(NOT(ISNA(VLOOKUP(E1017,E$1:E1016,1,FALSE()))),"OLD",IF(AND(E1017&lt;&gt;"",E1017&lt;&gt;"!!!"),"NEW","")))</f>
        <v> </v>
      </c>
      <c r="G1017" s="17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18" t="str">
        <f>IF(J1017&lt;&gt;1,"",IF(I1017="SBJ","CB","?"))</f>
        <v> </v>
      </c>
      <c r="I1017" s="19" t="str">
        <f>IF(OR(E1017="",E1017="!!!",F1017="NEW"),"",INDEX(B1016:B$2,-1+SUMPRODUCT(MAX(ROW(E1016:E$2)*(E1017=E1016:E$2)))))</f>
        <v> </v>
      </c>
      <c r="J1017" s="19" t="str">
        <f>IF(OR(E1017="",E1017="!!!",F1017="NEW"),"",COUNTBLANK(OFFSET(A$1,,,SUMPRODUCT(MAX(ROW(E$2:E1017)*(E1017=E$2:E1017)))))-COUNTBLANK(OFFSET(A$1,,,SUMPRODUCT(MAX(ROW(E$1:E1016)*(E2=E$1:E1016))))))</f>
        <v> </v>
      </c>
      <c r="K1017" s="19" t="str">
        <f>IF(OR(E1017="",E1017="!!!",F1017="NEW"),"",INDEX(J$1:J1016,SUMPRODUCT(MAX(ROW(E$1:E1016)*(E1017=E$1:E1016)))))</f>
        <v> </v>
      </c>
      <c r="L1017" s="20"/>
    </row>
    <row r="1018" spans="1:12">
      <c r="A1018" s="13"/>
    </row>
    <row r="1019" spans="1:12">
      <c r="A1019" s="13" t="s">
        <v>394</v>
      </c>
    </row>
    <row r="1020" spans="1:12">
      <c r="A1020" s="13" t="s">
        <v>157</v>
      </c>
      <c r="E1020" s="15">
        <f>IF(D1020="?OLD","!!!","")</f>
        <v/>
      </c>
      <c r="F1020" s="16" t="str">
        <f>IF(OR(E1020="",E1020="!!!"),"",IF(NOT(ISNA(VLOOKUP(E1020,E$1:E1019,1,FALSE()))),"OLD",IF(AND(E1020&lt;&gt;"",E1020&lt;&gt;"!!!"),"NEW","")))</f>
        <v> </v>
      </c>
      <c r="G1020" s="17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18" t="str">
        <f>IF(J1020&lt;&gt;1,"",IF(I1020="SBJ","CB","?"))</f>
        <v> </v>
      </c>
      <c r="I1020" s="19" t="str">
        <f>IF(OR(E1020="",E1020="!!!",F1020="NEW"),"",INDEX(B1019:B$2,-1+SUMPRODUCT(MAX(ROW(E1019:E$2)*(E1020=E1019:E$2)))))</f>
        <v> </v>
      </c>
      <c r="J1020" s="19" t="str">
        <f>IF(OR(E1020="",E1020="!!!",F1020="NEW"),"",COUNTBLANK(OFFSET(A$1,,,SUMPRODUCT(MAX(ROW(E$2:E1020)*(E1020=E$2:E1020)))))-COUNTBLANK(OFFSET(A$1,,,SUMPRODUCT(MAX(ROW(E$1:E1019)*(E2=E$1:E1019))))))</f>
        <v> </v>
      </c>
      <c r="K1020" s="19" t="str">
        <f>IF(OR(E1020="",E1020="!!!",F1020="NEW"),"",INDEX(J$1:J1019,SUMPRODUCT(MAX(ROW(E$1:E1019)*(E1020=E$1:E1019)))))</f>
        <v> </v>
      </c>
      <c r="L1020" s="20"/>
    </row>
    <row r="1021" spans="1:12">
      <c r="A1021" s="13" t="s">
        <v>52</v>
      </c>
      <c r="E1021" s="15">
        <f>IF(D1021="?OLD","!!!","")</f>
        <v/>
      </c>
      <c r="F1021" s="16" t="str">
        <f>IF(OR(E1021="",E1021="!!!"),"",IF(NOT(ISNA(VLOOKUP(E1021,E$1:E1020,1,FALSE()))),"OLD",IF(AND(E1021&lt;&gt;"",E1021&lt;&gt;"!!!"),"NEW","")))</f>
        <v> </v>
      </c>
      <c r="G1021" s="17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18" t="str">
        <f>IF(J1021&lt;&gt;1,"",IF(I1021="SBJ","CB","?"))</f>
        <v> </v>
      </c>
      <c r="I1021" s="19" t="str">
        <f>IF(OR(E1021="",E1021="!!!",F1021="NEW"),"",INDEX(B1020:B$2,-1+SUMPRODUCT(MAX(ROW(E1020:E$2)*(E1021=E1020:E$2)))))</f>
        <v> </v>
      </c>
      <c r="J1021" s="19" t="str">
        <f>IF(OR(E1021="",E1021="!!!",F1021="NEW"),"",COUNTBLANK(OFFSET(A$1,,,SUMPRODUCT(MAX(ROW(E$2:E1021)*(E1021=E$2:E1021)))))-COUNTBLANK(OFFSET(A$1,,,SUMPRODUCT(MAX(ROW(E$1:E1020)*(E2=E$1:E1020))))))</f>
        <v> </v>
      </c>
      <c r="K1021" s="19" t="str">
        <f>IF(OR(E1021="",E1021="!!!",F1021="NEW"),"",INDEX(J$1:J1020,SUMPRODUCT(MAX(ROW(E$1:E1020)*(E1021=E$1:E1020)))))</f>
        <v> </v>
      </c>
      <c r="L1021" s="20"/>
    </row>
    <row r="1022" spans="1:12">
      <c r="A1022" s="13" t="s">
        <v>95</v>
      </c>
      <c r="E1022" s="15">
        <f>IF(D1022="?OLD","!!!","")</f>
        <v/>
      </c>
      <c r="F1022" s="16" t="str">
        <f>IF(OR(E1022="",E1022="!!!"),"",IF(NOT(ISNA(VLOOKUP(E1022,E$1:E1021,1,FALSE()))),"OLD",IF(AND(E1022&lt;&gt;"",E1022&lt;&gt;"!!!"),"NEW","")))</f>
        <v> </v>
      </c>
      <c r="G1022" s="17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18" t="str">
        <f>IF(J1022&lt;&gt;1,"",IF(I1022="SBJ","CB","?"))</f>
        <v> </v>
      </c>
      <c r="I1022" s="19" t="str">
        <f>IF(OR(E1022="",E1022="!!!",F1022="NEW"),"",INDEX(B1021:B$2,-1+SUMPRODUCT(MAX(ROW(E1021:E$2)*(E1022=E1021:E$2)))))</f>
        <v> </v>
      </c>
      <c r="J1022" s="19" t="str">
        <f>IF(OR(E1022="",E1022="!!!",F1022="NEW"),"",COUNTBLANK(OFFSET(A$1,,,SUMPRODUCT(MAX(ROW(E$2:E1022)*(E1022=E$2:E1022)))))-COUNTBLANK(OFFSET(A$1,,,SUMPRODUCT(MAX(ROW(E$1:E1021)*(E2=E$1:E1021))))))</f>
        <v> </v>
      </c>
      <c r="K1022" s="19" t="str">
        <f>IF(OR(E1022="",E1022="!!!",F1022="NEW"),"",INDEX(J$1:J1021,SUMPRODUCT(MAX(ROW(E$1:E1021)*(E1022=E$1:E1021)))))</f>
        <v> </v>
      </c>
      <c r="L1022" s="20"/>
    </row>
    <row r="1023" spans="1:12">
      <c r="A1023" s="13" t="s">
        <v>395</v>
      </c>
      <c r="E1023" s="15">
        <f>IF(D1023="?OLD","!!!","")</f>
        <v/>
      </c>
      <c r="F1023" s="16" t="str">
        <f>IF(OR(E1023="",E1023="!!!"),"",IF(NOT(ISNA(VLOOKUP(E1023,E$1:E1022,1,FALSE()))),"OLD",IF(AND(E1023&lt;&gt;"",E1023&lt;&gt;"!!!"),"NEW","")))</f>
        <v> </v>
      </c>
      <c r="G1023" s="17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18" t="str">
        <f>IF(J1023&lt;&gt;1,"",IF(I1023="SBJ","CB","?"))</f>
        <v> </v>
      </c>
      <c r="I1023" s="19" t="str">
        <f>IF(OR(E1023="",E1023="!!!",F1023="NEW"),"",INDEX(B1022:B$2,-1+SUMPRODUCT(MAX(ROW(E1022:E$2)*(E1023=E1022:E$2)))))</f>
        <v> </v>
      </c>
      <c r="J1023" s="19" t="str">
        <f>IF(OR(E1023="",E1023="!!!",F1023="NEW"),"",COUNTBLANK(OFFSET(A$1,,,SUMPRODUCT(MAX(ROW(E$2:E1023)*(E1023=E$2:E1023)))))-COUNTBLANK(OFFSET(A$1,,,SUMPRODUCT(MAX(ROW(E$1:E1022)*(E2=E$1:E1022))))))</f>
        <v> </v>
      </c>
      <c r="K1023" s="19" t="str">
        <f>IF(OR(E1023="",E1023="!!!",F1023="NEW"),"",INDEX(J$1:J1022,SUMPRODUCT(MAX(ROW(E$1:E1022)*(E1023=E$1:E1022)))))</f>
        <v> </v>
      </c>
      <c r="L1023" s="20"/>
    </row>
    <row r="1024" spans="1:12">
      <c r="A1024" s="13" t="s">
        <v>100</v>
      </c>
      <c r="E1024" s="15">
        <f>IF(D1024="?OLD","!!!","")</f>
        <v/>
      </c>
      <c r="F1024" s="16" t="str">
        <f>IF(OR(E1024="",E1024="!!!"),"",IF(NOT(ISNA(VLOOKUP(E1024,E$1:E1023,1,FALSE()))),"OLD",IF(AND(E1024&lt;&gt;"",E1024&lt;&gt;"!!!"),"NEW","")))</f>
        <v> </v>
      </c>
      <c r="G1024" s="17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18" t="str">
        <f>IF(J1024&lt;&gt;1,"",IF(I1024="SBJ","CB","?"))</f>
        <v> </v>
      </c>
      <c r="I1024" s="19" t="str">
        <f>IF(OR(E1024="",E1024="!!!",F1024="NEW"),"",INDEX(B1023:B$2,-1+SUMPRODUCT(MAX(ROW(E1023:E$2)*(E1024=E1023:E$2)))))</f>
        <v> </v>
      </c>
      <c r="J1024" s="19" t="str">
        <f>IF(OR(E1024="",E1024="!!!",F1024="NEW"),"",COUNTBLANK(OFFSET(A$1,,,SUMPRODUCT(MAX(ROW(E$2:E1024)*(E1024=E$2:E1024)))))-COUNTBLANK(OFFSET(A$1,,,SUMPRODUCT(MAX(ROW(E$1:E1023)*(E2=E$1:E1023))))))</f>
        <v> </v>
      </c>
      <c r="K1024" s="19" t="str">
        <f>IF(OR(E1024="",E1024="!!!",F1024="NEW"),"",INDEX(J$1:J1023,SUMPRODUCT(MAX(ROW(E$1:E1023)*(E1024=E$1:E1023)))))</f>
        <v> </v>
      </c>
      <c r="L1024" s="20"/>
    </row>
    <row r="1025" spans="1:12">
      <c r="A1025" s="13" t="s">
        <v>56</v>
      </c>
      <c r="E1025" s="15">
        <f>IF(D1025="?OLD","!!!","")</f>
        <v/>
      </c>
      <c r="F1025" s="16" t="str">
        <f>IF(OR(E1025="",E1025="!!!"),"",IF(NOT(ISNA(VLOOKUP(E1025,E$1:E1024,1,FALSE()))),"OLD",IF(AND(E1025&lt;&gt;"",E1025&lt;&gt;"!!!"),"NEW","")))</f>
        <v> </v>
      </c>
      <c r="G1025" s="17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18" t="str">
        <f>IF(J1025&lt;&gt;1,"",IF(I1025="SBJ","CB","?"))</f>
        <v> </v>
      </c>
      <c r="I1025" s="19" t="str">
        <f>IF(OR(E1025="",E1025="!!!",F1025="NEW"),"",INDEX(B1024:B$2,-1+SUMPRODUCT(MAX(ROW(E1024:E$2)*(E1025=E1024:E$2)))))</f>
        <v> </v>
      </c>
      <c r="J1025" s="19" t="str">
        <f>IF(OR(E1025="",E1025="!!!",F1025="NEW"),"",COUNTBLANK(OFFSET(A$1,,,SUMPRODUCT(MAX(ROW(E$2:E1025)*(E1025=E$2:E1025)))))-COUNTBLANK(OFFSET(A$1,,,SUMPRODUCT(MAX(ROW(E$1:E1024)*(E2=E$1:E1024))))))</f>
        <v> </v>
      </c>
      <c r="K1025" s="19" t="str">
        <f>IF(OR(E1025="",E1025="!!!",F1025="NEW"),"",INDEX(J$1:J1024,SUMPRODUCT(MAX(ROW(E$1:E1024)*(E1025=E$1:E1024)))))</f>
        <v> </v>
      </c>
      <c r="L1025" s="20"/>
    </row>
    <row r="1026" spans="1:12">
      <c r="A1026" s="13" t="s">
        <v>226</v>
      </c>
      <c r="E1026" s="15">
        <f>IF(D1026="?OLD","!!!","")</f>
        <v/>
      </c>
      <c r="F1026" s="16" t="str">
        <f>IF(OR(E1026="",E1026="!!!"),"",IF(NOT(ISNA(VLOOKUP(E1026,E$1:E1025,1,FALSE()))),"OLD",IF(AND(E1026&lt;&gt;"",E1026&lt;&gt;"!!!"),"NEW","")))</f>
        <v> </v>
      </c>
      <c r="G1026" s="17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18" t="str">
        <f>IF(J1026&lt;&gt;1,"",IF(I1026="SBJ","CB","?"))</f>
        <v> </v>
      </c>
      <c r="I1026" s="19" t="str">
        <f>IF(OR(E1026="",E1026="!!!",F1026="NEW"),"",INDEX(B1025:B$2,-1+SUMPRODUCT(MAX(ROW(E1025:E$2)*(E1026=E1025:E$2)))))</f>
        <v> </v>
      </c>
      <c r="J1026" s="19" t="str">
        <f>IF(OR(E1026="",E1026="!!!",F1026="NEW"),"",COUNTBLANK(OFFSET(A$1,,,SUMPRODUCT(MAX(ROW(E$2:E1026)*(E1026=E$2:E1026)))))-COUNTBLANK(OFFSET(A$1,,,SUMPRODUCT(MAX(ROW(E$1:E1025)*(E2=E$1:E1025))))))</f>
        <v> </v>
      </c>
      <c r="K1026" s="19" t="str">
        <f>IF(OR(E1026="",E1026="!!!",F1026="NEW"),"",INDEX(J$1:J1025,SUMPRODUCT(MAX(ROW(E$1:E1025)*(E1026=E$1:E1025)))))</f>
        <v> </v>
      </c>
      <c r="L1026" s="20"/>
    </row>
    <row r="1027" spans="1:12">
      <c r="A1027" s="13" t="s">
        <v>396</v>
      </c>
      <c r="B1027" s="14" t="s">
        <v>23</v>
      </c>
      <c r="C1027" s="14" t="s">
        <v>84</v>
      </c>
      <c r="D1027" s="14" t="s">
        <v>25</v>
      </c>
      <c r="E1027" s="15">
        <f>IF(D1027="?OLD","!!!","")</f>
        <v/>
      </c>
      <c r="F1027" s="16" t="str">
        <f>IF(OR(E1027="",E1027="!!!"),"",IF(NOT(ISNA(VLOOKUP(E1027,E$1:E1026,1,FALSE()))),"OLD",IF(AND(E1027&lt;&gt;"",E1027&lt;&gt;"!!!"),"NEW","")))</f>
        <v> </v>
      </c>
      <c r="G1027" s="17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18" t="str">
        <f>IF(J1027&lt;&gt;1,"",IF(I1027="SBJ","CB","?"))</f>
        <v> </v>
      </c>
      <c r="I1027" s="19" t="str">
        <f>IF(OR(E1027="",E1027="!!!",F1027="NEW"),"",INDEX(B1026:B$2,-1+SUMPRODUCT(MAX(ROW(E1026:E$2)*(E1027=E1026:E$2)))))</f>
        <v> </v>
      </c>
      <c r="J1027" s="19" t="str">
        <f>IF(OR(E1027="",E1027="!!!",F1027="NEW"),"",COUNTBLANK(OFFSET(A$1,,,SUMPRODUCT(MAX(ROW(E$2:E1027)*(E1027=E$2:E1027)))))-COUNTBLANK(OFFSET(A$1,,,SUMPRODUCT(MAX(ROW(E$1:E1026)*(E2=E$1:E1026))))))</f>
        <v> </v>
      </c>
      <c r="K1027" s="19" t="str">
        <f>IF(OR(E1027="",E1027="!!!",F1027="NEW"),"",INDEX(J$1:J1026,SUMPRODUCT(MAX(ROW(E$1:E1026)*(E1027=E$1:E1026)))))</f>
        <v> </v>
      </c>
      <c r="L1027" s="20"/>
    </row>
    <row r="1028" spans="1:12">
      <c r="A1028" s="13" t="s">
        <v>79</v>
      </c>
      <c r="E1028" s="15">
        <f>IF(D1028="?OLD","!!!","")</f>
        <v/>
      </c>
      <c r="F1028" s="16" t="str">
        <f>IF(OR(E1028="",E1028="!!!"),"",IF(NOT(ISNA(VLOOKUP(E1028,E$1:E1027,1,FALSE()))),"OLD",IF(AND(E1028&lt;&gt;"",E1028&lt;&gt;"!!!"),"NEW","")))</f>
        <v> </v>
      </c>
      <c r="G1028" s="17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18" t="str">
        <f>IF(J1028&lt;&gt;1,"",IF(I1028="SBJ","CB","?"))</f>
        <v> </v>
      </c>
      <c r="I1028" s="19" t="str">
        <f>IF(OR(E1028="",E1028="!!!",F1028="NEW"),"",INDEX(B1027:B$2,-1+SUMPRODUCT(MAX(ROW(E1027:E$2)*(E1028=E1027:E$2)))))</f>
        <v> </v>
      </c>
      <c r="J1028" s="19" t="str">
        <f>IF(OR(E1028="",E1028="!!!",F1028="NEW"),"",COUNTBLANK(OFFSET(A$1,,,SUMPRODUCT(MAX(ROW(E$2:E1028)*(E1028=E$2:E1028)))))-COUNTBLANK(OFFSET(A$1,,,SUMPRODUCT(MAX(ROW(E$1:E1027)*(E2=E$1:E1027))))))</f>
        <v> </v>
      </c>
      <c r="K1028" s="19" t="str">
        <f>IF(OR(E1028="",E1028="!!!",F1028="NEW"),"",INDEX(J$1:J1027,SUMPRODUCT(MAX(ROW(E$1:E1027)*(E1028=E$1:E1027)))))</f>
        <v> </v>
      </c>
      <c r="L1028" s="20"/>
    </row>
    <row r="1029" spans="1:12">
      <c r="A1029" s="13" t="s">
        <v>164</v>
      </c>
      <c r="B1029" s="14" t="s">
        <v>27</v>
      </c>
      <c r="C1029" s="14" t="s">
        <v>24</v>
      </c>
      <c r="D1029" s="14" t="s">
        <v>25</v>
      </c>
      <c r="E1029" s="15">
        <f>IF(D1029="?OLD","!!!","")</f>
        <v/>
      </c>
      <c r="F1029" s="16" t="str">
        <f>IF(OR(E1029="",E1029="!!!"),"",IF(NOT(ISNA(VLOOKUP(E1029,E$1:E1028,1,FALSE()))),"OLD",IF(AND(E1029&lt;&gt;"",E1029&lt;&gt;"!!!"),"NEW","")))</f>
        <v> </v>
      </c>
      <c r="G1029" s="17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18" t="str">
        <f>IF(J1029&lt;&gt;1,"",IF(I1029="SBJ","CB","?"))</f>
        <v> </v>
      </c>
      <c r="I1029" s="19" t="str">
        <f>IF(OR(E1029="",E1029="!!!",F1029="NEW"),"",INDEX(B1028:B$2,-1+SUMPRODUCT(MAX(ROW(E1028:E$2)*(E1029=E1028:E$2)))))</f>
        <v> </v>
      </c>
      <c r="J1029" s="19" t="str">
        <f>IF(OR(E1029="",E1029="!!!",F1029="NEW"),"",COUNTBLANK(OFFSET(A$1,,,SUMPRODUCT(MAX(ROW(E$2:E1029)*(E1029=E$2:E1029)))))-COUNTBLANK(OFFSET(A$1,,,SUMPRODUCT(MAX(ROW(E$1:E1028)*(E2=E$1:E1028))))))</f>
        <v> </v>
      </c>
      <c r="K1029" s="19" t="str">
        <f>IF(OR(E1029="",E1029="!!!",F1029="NEW"),"",INDEX(J$1:J1028,SUMPRODUCT(MAX(ROW(E$1:E1028)*(E1029=E$1:E1028)))))</f>
        <v> </v>
      </c>
      <c r="L1029" s="20"/>
    </row>
    <row r="1030" spans="1:12">
      <c r="A1030" s="13" t="s">
        <v>62</v>
      </c>
      <c r="E1030" s="15">
        <f>IF(D1030="?OLD","!!!","")</f>
        <v/>
      </c>
      <c r="F1030" s="16" t="str">
        <f>IF(OR(E1030="",E1030="!!!"),"",IF(NOT(ISNA(VLOOKUP(E1030,E$1:E1029,1,FALSE()))),"OLD",IF(AND(E1030&lt;&gt;"",E1030&lt;&gt;"!!!"),"NEW","")))</f>
        <v> </v>
      </c>
      <c r="G1030" s="17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18" t="str">
        <f>IF(J1030&lt;&gt;1,"",IF(I1030="SBJ","CB","?"))</f>
        <v> </v>
      </c>
      <c r="I1030" s="19" t="str">
        <f>IF(OR(E1030="",E1030="!!!",F1030="NEW"),"",INDEX(B1029:B$2,-1+SUMPRODUCT(MAX(ROW(E1029:E$2)*(E1030=E1029:E$2)))))</f>
        <v> </v>
      </c>
      <c r="J1030" s="19" t="str">
        <f>IF(OR(E1030="",E1030="!!!",F1030="NEW"),"",COUNTBLANK(OFFSET(A$1,,,SUMPRODUCT(MAX(ROW(E$2:E1030)*(E1030=E$2:E1030)))))-COUNTBLANK(OFFSET(A$1,,,SUMPRODUCT(MAX(ROW(E$1:E1029)*(E2=E$1:E1029))))))</f>
        <v> </v>
      </c>
      <c r="K1030" s="19" t="str">
        <f>IF(OR(E1030="",E1030="!!!",F1030="NEW"),"",INDEX(J$1:J1029,SUMPRODUCT(MAX(ROW(E$1:E1029)*(E1030=E$1:E1029)))))</f>
        <v> </v>
      </c>
      <c r="L1030" s="20"/>
    </row>
    <row r="1031" spans="1:12">
      <c r="A1031" s="13" t="s">
        <v>313</v>
      </c>
      <c r="E1031" s="15">
        <f>IF(D1031="?OLD","!!!","")</f>
        <v/>
      </c>
      <c r="F1031" s="16" t="str">
        <f>IF(OR(E1031="",E1031="!!!"),"",IF(NOT(ISNA(VLOOKUP(E1031,E$1:E1030,1,FALSE()))),"OLD",IF(AND(E1031&lt;&gt;"",E1031&lt;&gt;"!!!"),"NEW","")))</f>
        <v> </v>
      </c>
      <c r="G1031" s="17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18" t="str">
        <f>IF(J1031&lt;&gt;1,"",IF(I1031="SBJ","CB","?"))</f>
        <v> </v>
      </c>
      <c r="I1031" s="19" t="str">
        <f>IF(OR(E1031="",E1031="!!!",F1031="NEW"),"",INDEX(B1030:B$2,-1+SUMPRODUCT(MAX(ROW(E1030:E$2)*(E1031=E1030:E$2)))))</f>
        <v> </v>
      </c>
      <c r="J1031" s="19" t="str">
        <f>IF(OR(E1031="",E1031="!!!",F1031="NEW"),"",COUNTBLANK(OFFSET(A$1,,,SUMPRODUCT(MAX(ROW(E$2:E1031)*(E1031=E$2:E1031)))))-COUNTBLANK(OFFSET(A$1,,,SUMPRODUCT(MAX(ROW(E$1:E1030)*(E2=E$1:E1030))))))</f>
        <v> </v>
      </c>
      <c r="K1031" s="19" t="str">
        <f>IF(OR(E1031="",E1031="!!!",F1031="NEW"),"",INDEX(J$1:J1030,SUMPRODUCT(MAX(ROW(E$1:E1030)*(E1031=E$1:E1030)))))</f>
        <v> </v>
      </c>
      <c r="L1031" s="20"/>
    </row>
    <row r="1032" spans="1:12">
      <c r="A1032" s="13" t="s">
        <v>314</v>
      </c>
      <c r="E1032" s="15">
        <f>IF(D1032="?OLD","!!!","")</f>
        <v/>
      </c>
      <c r="F1032" s="16" t="str">
        <f>IF(OR(E1032="",E1032="!!!"),"",IF(NOT(ISNA(VLOOKUP(E1032,E$1:E1031,1,FALSE()))),"OLD",IF(AND(E1032&lt;&gt;"",E1032&lt;&gt;"!!!"),"NEW","")))</f>
        <v> </v>
      </c>
      <c r="G1032" s="17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18" t="str">
        <f>IF(J1032&lt;&gt;1,"",IF(I1032="SBJ","CB","?"))</f>
        <v> </v>
      </c>
      <c r="I1032" s="19" t="str">
        <f>IF(OR(E1032="",E1032="!!!",F1032="NEW"),"",INDEX(B1031:B$2,-1+SUMPRODUCT(MAX(ROW(E1031:E$2)*(E1032=E1031:E$2)))))</f>
        <v> </v>
      </c>
      <c r="J1032" s="19" t="str">
        <f>IF(OR(E1032="",E1032="!!!",F1032="NEW"),"",COUNTBLANK(OFFSET(A$1,,,SUMPRODUCT(MAX(ROW(E$2:E1032)*(E1032=E$2:E1032)))))-COUNTBLANK(OFFSET(A$1,,,SUMPRODUCT(MAX(ROW(E$1:E1031)*(E2=E$1:E1031))))))</f>
        <v> </v>
      </c>
      <c r="K1032" s="19" t="str">
        <f>IF(OR(E1032="",E1032="!!!",F1032="NEW"),"",INDEX(J$1:J1031,SUMPRODUCT(MAX(ROW(E$1:E1031)*(E1032=E$1:E1031)))))</f>
        <v> </v>
      </c>
      <c r="L1032" s="20"/>
    </row>
    <row r="1033" spans="1:12">
      <c r="A1033" s="13" t="s">
        <v>95</v>
      </c>
      <c r="E1033" s="15">
        <f>IF(D1033="?OLD","!!!","")</f>
        <v/>
      </c>
      <c r="F1033" s="16" t="str">
        <f>IF(OR(E1033="",E1033="!!!"),"",IF(NOT(ISNA(VLOOKUP(E1033,E$1:E1032,1,FALSE()))),"OLD",IF(AND(E1033&lt;&gt;"",E1033&lt;&gt;"!!!"),"NEW","")))</f>
        <v> </v>
      </c>
      <c r="G1033" s="17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18" t="str">
        <f>IF(J1033&lt;&gt;1,"",IF(I1033="SBJ","CB","?"))</f>
        <v> </v>
      </c>
      <c r="I1033" s="19" t="str">
        <f>IF(OR(E1033="",E1033="!!!",F1033="NEW"),"",INDEX(B1032:B$2,-1+SUMPRODUCT(MAX(ROW(E1032:E$2)*(E1033=E1032:E$2)))))</f>
        <v> </v>
      </c>
      <c r="J1033" s="19" t="str">
        <f>IF(OR(E1033="",E1033="!!!",F1033="NEW"),"",COUNTBLANK(OFFSET(A$1,,,SUMPRODUCT(MAX(ROW(E$2:E1033)*(E1033=E$2:E1033)))))-COUNTBLANK(OFFSET(A$1,,,SUMPRODUCT(MAX(ROW(E$1:E1032)*(E2=E$1:E1032))))))</f>
        <v> </v>
      </c>
      <c r="K1033" s="19" t="str">
        <f>IF(OR(E1033="",E1033="!!!",F1033="NEW"),"",INDEX(J$1:J1032,SUMPRODUCT(MAX(ROW(E$1:E1032)*(E1033=E$1:E1032)))))</f>
        <v> </v>
      </c>
      <c r="L1033" s="20"/>
    </row>
    <row r="1034" spans="1:12">
      <c r="A1034" s="13" t="s">
        <v>397</v>
      </c>
      <c r="E1034" s="15">
        <f>IF(D1034="?OLD","!!!","")</f>
        <v/>
      </c>
      <c r="F1034" s="16" t="str">
        <f>IF(OR(E1034="",E1034="!!!"),"",IF(NOT(ISNA(VLOOKUP(E1034,E$1:E1033,1,FALSE()))),"OLD",IF(AND(E1034&lt;&gt;"",E1034&lt;&gt;"!!!"),"NEW","")))</f>
        <v> </v>
      </c>
      <c r="G1034" s="17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18" t="str">
        <f>IF(J1034&lt;&gt;1,"",IF(I1034="SBJ","CB","?"))</f>
        <v> </v>
      </c>
      <c r="I1034" s="19" t="str">
        <f>IF(OR(E1034="",E1034="!!!",F1034="NEW"),"",INDEX(B1033:B$2,-1+SUMPRODUCT(MAX(ROW(E1033:E$2)*(E1034=E1033:E$2)))))</f>
        <v> </v>
      </c>
      <c r="J1034" s="19" t="str">
        <f>IF(OR(E1034="",E1034="!!!",F1034="NEW"),"",COUNTBLANK(OFFSET(A$1,,,SUMPRODUCT(MAX(ROW(E$2:E1034)*(E1034=E$2:E1034)))))-COUNTBLANK(OFFSET(A$1,,,SUMPRODUCT(MAX(ROW(E$1:E1033)*(E2=E$1:E1033))))))</f>
        <v> </v>
      </c>
      <c r="K1034" s="19" t="str">
        <f>IF(OR(E1034="",E1034="!!!",F1034="NEW"),"",INDEX(J$1:J1033,SUMPRODUCT(MAX(ROW(E$1:E1033)*(E1034=E$1:E1033)))))</f>
        <v> </v>
      </c>
      <c r="L1034" s="20"/>
    </row>
    <row r="1035" spans="1:12">
      <c r="A1035" s="13" t="s">
        <v>36</v>
      </c>
      <c r="B1035" s="14" t="s">
        <v>45</v>
      </c>
      <c r="C1035" s="14" t="s">
        <v>24</v>
      </c>
      <c r="D1035" s="14" t="s">
        <v>25</v>
      </c>
      <c r="E1035" s="15">
        <f>IF(D1035="?OLD","!!!","")</f>
        <v/>
      </c>
      <c r="F1035" s="16" t="str">
        <f>IF(OR(E1035="",E1035="!!!"),"",IF(NOT(ISNA(VLOOKUP(E1035,E$1:E1034,1,FALSE()))),"OLD",IF(AND(E1035&lt;&gt;"",E1035&lt;&gt;"!!!"),"NEW","")))</f>
        <v> </v>
      </c>
      <c r="G1035" s="17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18" t="str">
        <f>IF(J1035&lt;&gt;1,"",IF(I1035="SBJ","CB","?"))</f>
        <v> </v>
      </c>
      <c r="I1035" s="19" t="str">
        <f>IF(OR(E1035="",E1035="!!!",F1035="NEW"),"",INDEX(B1034:B$2,-1+SUMPRODUCT(MAX(ROW(E1034:E$2)*(E1035=E1034:E$2)))))</f>
        <v> </v>
      </c>
      <c r="J1035" s="19" t="str">
        <f>IF(OR(E1035="",E1035="!!!",F1035="NEW"),"",COUNTBLANK(OFFSET(A$1,,,SUMPRODUCT(MAX(ROW(E$2:E1035)*(E1035=E$2:E1035)))))-COUNTBLANK(OFFSET(A$1,,,SUMPRODUCT(MAX(ROW(E$1:E1034)*(E2=E$1:E1034))))))</f>
        <v> </v>
      </c>
      <c r="K1035" s="19" t="str">
        <f>IF(OR(E1035="",E1035="!!!",F1035="NEW"),"",INDEX(J$1:J1034,SUMPRODUCT(MAX(ROW(E$1:E1034)*(E1035=E$1:E1034)))))</f>
        <v> </v>
      </c>
      <c r="L1035" s="20"/>
    </row>
    <row r="1036" spans="1:12">
      <c r="A1036" s="13" t="s">
        <v>37</v>
      </c>
      <c r="B1036" s="14" t="s">
        <v>27</v>
      </c>
      <c r="C1036" s="14" t="s">
        <v>24</v>
      </c>
      <c r="D1036" s="14" t="s">
        <v>25</v>
      </c>
      <c r="E1036" s="15">
        <f>IF(D1036="?OLD","!!!","")</f>
        <v/>
      </c>
      <c r="F1036" s="16" t="str">
        <f>IF(OR(E1036="",E1036="!!!"),"",IF(NOT(ISNA(VLOOKUP(E1036,E$1:E1035,1,FALSE()))),"OLD",IF(AND(E1036&lt;&gt;"",E1036&lt;&gt;"!!!"),"NEW","")))</f>
        <v> </v>
      </c>
      <c r="G1036" s="17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18" t="str">
        <f>IF(J1036&lt;&gt;1,"",IF(I1036="SBJ","CB","?"))</f>
        <v> </v>
      </c>
      <c r="I1036" s="19" t="str">
        <f>IF(OR(E1036="",E1036="!!!",F1036="NEW"),"",INDEX(B1035:B$2,-1+SUMPRODUCT(MAX(ROW(E1035:E$2)*(E1036=E1035:E$2)))))</f>
        <v> </v>
      </c>
      <c r="J1036" s="19" t="str">
        <f>IF(OR(E1036="",E1036="!!!",F1036="NEW"),"",COUNTBLANK(OFFSET(A$1,,,SUMPRODUCT(MAX(ROW(E$2:E1036)*(E1036=E$2:E1036)))))-COUNTBLANK(OFFSET(A$1,,,SUMPRODUCT(MAX(ROW(E$1:E1035)*(E2=E$1:E1035))))))</f>
        <v> </v>
      </c>
      <c r="K1036" s="19" t="str">
        <f>IF(OR(E1036="",E1036="!!!",F1036="NEW"),"",INDEX(J$1:J1035,SUMPRODUCT(MAX(ROW(E$1:E1035)*(E1036=E$1:E1035)))))</f>
        <v> </v>
      </c>
      <c r="L1036" s="20"/>
    </row>
    <row r="1037" spans="1:12">
      <c r="A1037" s="13" t="s">
        <v>56</v>
      </c>
      <c r="E1037" s="15">
        <f>IF(D1037="?OLD","!!!","")</f>
        <v/>
      </c>
      <c r="F1037" s="16" t="str">
        <f>IF(OR(E1037="",E1037="!!!"),"",IF(NOT(ISNA(VLOOKUP(E1037,E$1:E1036,1,FALSE()))),"OLD",IF(AND(E1037&lt;&gt;"",E1037&lt;&gt;"!!!"),"NEW","")))</f>
        <v> </v>
      </c>
      <c r="G1037" s="17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18" t="str">
        <f>IF(J1037&lt;&gt;1,"",IF(I1037="SBJ","CB","?"))</f>
        <v> </v>
      </c>
      <c r="I1037" s="19" t="str">
        <f>IF(OR(E1037="",E1037="!!!",F1037="NEW"),"",INDEX(B1036:B$2,-1+SUMPRODUCT(MAX(ROW(E1036:E$2)*(E1037=E1036:E$2)))))</f>
        <v> </v>
      </c>
      <c r="J1037" s="19" t="str">
        <f>IF(OR(E1037="",E1037="!!!",F1037="NEW"),"",COUNTBLANK(OFFSET(A$1,,,SUMPRODUCT(MAX(ROW(E$2:E1037)*(E1037=E$2:E1037)))))-COUNTBLANK(OFFSET(A$1,,,SUMPRODUCT(MAX(ROW(E$1:E1036)*(E2=E$1:E1036))))))</f>
        <v> </v>
      </c>
      <c r="K1037" s="19" t="str">
        <f>IF(OR(E1037="",E1037="!!!",F1037="NEW"),"",INDEX(J$1:J1036,SUMPRODUCT(MAX(ROW(E$1:E1036)*(E1037=E$1:E1036)))))</f>
        <v> </v>
      </c>
      <c r="L1037" s="20"/>
    </row>
    <row r="1038" spans="1:12">
      <c r="A1038" s="13" t="s">
        <v>76</v>
      </c>
      <c r="E1038" s="15">
        <f>IF(D1038="?OLD","!!!","")</f>
        <v/>
      </c>
      <c r="F1038" s="16" t="str">
        <f>IF(OR(E1038="",E1038="!!!"),"",IF(NOT(ISNA(VLOOKUP(E1038,E$1:E1037,1,FALSE()))),"OLD",IF(AND(E1038&lt;&gt;"",E1038&lt;&gt;"!!!"),"NEW","")))</f>
        <v> </v>
      </c>
      <c r="G1038" s="17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18" t="str">
        <f>IF(J1038&lt;&gt;1,"",IF(I1038="SBJ","CB","?"))</f>
        <v> </v>
      </c>
      <c r="I1038" s="19" t="str">
        <f>IF(OR(E1038="",E1038="!!!",F1038="NEW"),"",INDEX(B1037:B$2,-1+SUMPRODUCT(MAX(ROW(E1037:E$2)*(E1038=E1037:E$2)))))</f>
        <v> </v>
      </c>
      <c r="J1038" s="19" t="str">
        <f>IF(OR(E1038="",E1038="!!!",F1038="NEW"),"",COUNTBLANK(OFFSET(A$1,,,SUMPRODUCT(MAX(ROW(E$2:E1038)*(E1038=E$2:E1038)))))-COUNTBLANK(OFFSET(A$1,,,SUMPRODUCT(MAX(ROW(E$1:E1037)*(E2=E$1:E1037))))))</f>
        <v> </v>
      </c>
      <c r="K1038" s="19" t="str">
        <f>IF(OR(E1038="",E1038="!!!",F1038="NEW"),"",INDEX(J$1:J1037,SUMPRODUCT(MAX(ROW(E$1:E1037)*(E1038=E$1:E1037)))))</f>
        <v> </v>
      </c>
      <c r="L1038" s="20"/>
    </row>
    <row r="1039" spans="1:12">
      <c r="A1039" s="13" t="s">
        <v>24</v>
      </c>
      <c r="B1039" s="14" t="s">
        <v>93</v>
      </c>
      <c r="C1039" s="14" t="s">
        <v>64</v>
      </c>
      <c r="D1039" s="14" t="s">
        <v>25</v>
      </c>
      <c r="E1039" s="15">
        <f>IF(D1039="?OLD","!!!","")</f>
        <v/>
      </c>
      <c r="F1039" s="16" t="str">
        <f>IF(OR(E1039="",E1039="!!!"),"",IF(NOT(ISNA(VLOOKUP(E1039,E$1:E1038,1,FALSE()))),"OLD",IF(AND(E1039&lt;&gt;"",E1039&lt;&gt;"!!!"),"NEW","")))</f>
        <v> </v>
      </c>
      <c r="G1039" s="17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18" t="str">
        <f>IF(J1039&lt;&gt;1,"",IF(I1039="SBJ","CB","?"))</f>
        <v> </v>
      </c>
      <c r="I1039" s="19" t="str">
        <f>IF(OR(E1039="",E1039="!!!",F1039="NEW"),"",INDEX(B1038:B$2,-1+SUMPRODUCT(MAX(ROW(E1038:E$2)*(E1039=E1038:E$2)))))</f>
        <v> </v>
      </c>
      <c r="J1039" s="19" t="str">
        <f>IF(OR(E1039="",E1039="!!!",F1039="NEW"),"",COUNTBLANK(OFFSET(A$1,,,SUMPRODUCT(MAX(ROW(E$2:E1039)*(E1039=E$2:E1039)))))-COUNTBLANK(OFFSET(A$1,,,SUMPRODUCT(MAX(ROW(E$1:E1038)*(E2=E$1:E1038))))))</f>
        <v> </v>
      </c>
      <c r="K1039" s="19" t="str">
        <f>IF(OR(E1039="",E1039="!!!",F1039="NEW"),"",INDEX(J$1:J1038,SUMPRODUCT(MAX(ROW(E$1:E1038)*(E1039=E$1:E1038)))))</f>
        <v> </v>
      </c>
      <c r="L1039" s="20"/>
    </row>
    <row r="1040" spans="1:12">
      <c r="A1040" s="13" t="s">
        <v>398</v>
      </c>
      <c r="E1040" s="15">
        <f>IF(D1040="?OLD","!!!","")</f>
        <v/>
      </c>
      <c r="F1040" s="16" t="str">
        <f>IF(OR(E1040="",E1040="!!!"),"",IF(NOT(ISNA(VLOOKUP(E1040,E$1:E1039,1,FALSE()))),"OLD",IF(AND(E1040&lt;&gt;"",E1040&lt;&gt;"!!!"),"NEW","")))</f>
        <v> </v>
      </c>
      <c r="G1040" s="17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18" t="str">
        <f>IF(J1040&lt;&gt;1,"",IF(I1040="SBJ","CB","?"))</f>
        <v> </v>
      </c>
      <c r="I1040" s="19" t="str">
        <f>IF(OR(E1040="",E1040="!!!",F1040="NEW"),"",INDEX(B1039:B$2,-1+SUMPRODUCT(MAX(ROW(E1039:E$2)*(E1040=E1039:E$2)))))</f>
        <v> </v>
      </c>
      <c r="J1040" s="19" t="str">
        <f>IF(OR(E1040="",E1040="!!!",F1040="NEW"),"",COUNTBLANK(OFFSET(A$1,,,SUMPRODUCT(MAX(ROW(E$2:E1040)*(E1040=E$2:E1040)))))-COUNTBLANK(OFFSET(A$1,,,SUMPRODUCT(MAX(ROW(E$1:E1039)*(E2=E$1:E1039))))))</f>
        <v> </v>
      </c>
      <c r="K1040" s="19" t="str">
        <f>IF(OR(E1040="",E1040="!!!",F1040="NEW"),"",INDEX(J$1:J1039,SUMPRODUCT(MAX(ROW(E$1:E1039)*(E1040=E$1:E1039)))))</f>
        <v> </v>
      </c>
      <c r="L1040" s="20"/>
    </row>
    <row r="1041" spans="1:12">
      <c r="A1041" s="13" t="s">
        <v>53</v>
      </c>
      <c r="E1041" s="15">
        <f>IF(D1041="?OLD","!!!","")</f>
        <v/>
      </c>
      <c r="F1041" s="16" t="str">
        <f>IF(OR(E1041="",E1041="!!!"),"",IF(NOT(ISNA(VLOOKUP(E1041,E$1:E1040,1,FALSE()))),"OLD",IF(AND(E1041&lt;&gt;"",E1041&lt;&gt;"!!!"),"NEW","")))</f>
        <v> </v>
      </c>
      <c r="G1041" s="17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18" t="str">
        <f>IF(J1041&lt;&gt;1,"",IF(I1041="SBJ","CB","?"))</f>
        <v> </v>
      </c>
      <c r="I1041" s="19" t="str">
        <f>IF(OR(E1041="",E1041="!!!",F1041="NEW"),"",INDEX(B1040:B$2,-1+SUMPRODUCT(MAX(ROW(E1040:E$2)*(E1041=E1040:E$2)))))</f>
        <v> </v>
      </c>
      <c r="J1041" s="19" t="str">
        <f>IF(OR(E1041="",E1041="!!!",F1041="NEW"),"",COUNTBLANK(OFFSET(A$1,,,SUMPRODUCT(MAX(ROW(E$2:E1041)*(E1041=E$2:E1041)))))-COUNTBLANK(OFFSET(A$1,,,SUMPRODUCT(MAX(ROW(E$1:E1040)*(E2=E$1:E1040))))))</f>
        <v> </v>
      </c>
      <c r="K1041" s="19" t="str">
        <f>IF(OR(E1041="",E1041="!!!",F1041="NEW"),"",INDEX(J$1:J1040,SUMPRODUCT(MAX(ROW(E$1:E1040)*(E1041=E$1:E1040)))))</f>
        <v> </v>
      </c>
      <c r="L1041" s="20"/>
    </row>
    <row r="1042" spans="1:12">
      <c r="A1042" s="13" t="s">
        <v>399</v>
      </c>
      <c r="B1042" s="14" t="s">
        <v>93</v>
      </c>
      <c r="C1042" s="14" t="s">
        <v>51</v>
      </c>
      <c r="E1042" s="15">
        <f>IF(D1042="?OLD","!!!","")</f>
        <v/>
      </c>
      <c r="F1042" s="16" t="str">
        <f>IF(OR(E1042="",E1042="!!!"),"",IF(NOT(ISNA(VLOOKUP(E1042,E$1:E1041,1,FALSE()))),"OLD",IF(AND(E1042&lt;&gt;"",E1042&lt;&gt;"!!!"),"NEW","")))</f>
        <v> </v>
      </c>
      <c r="G1042" s="17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18" t="str">
        <f>IF(J1042&lt;&gt;1,"",IF(I1042="SBJ","CB","?"))</f>
        <v> </v>
      </c>
      <c r="I1042" s="19" t="str">
        <f>IF(OR(E1042="",E1042="!!!",F1042="NEW"),"",INDEX(B1041:B$2,-1+SUMPRODUCT(MAX(ROW(E1041:E$2)*(E1042=E1041:E$2)))))</f>
        <v> </v>
      </c>
      <c r="J1042" s="19" t="str">
        <f>IF(OR(E1042="",E1042="!!!",F1042="NEW"),"",COUNTBLANK(OFFSET(A$1,,,SUMPRODUCT(MAX(ROW(E$2:E1042)*(E1042=E$2:E1042)))))-COUNTBLANK(OFFSET(A$1,,,SUMPRODUCT(MAX(ROW(E$1:E1041)*(E2=E$1:E1041))))))</f>
        <v> </v>
      </c>
      <c r="K1042" s="19" t="str">
        <f>IF(OR(E1042="",E1042="!!!",F1042="NEW"),"",INDEX(J$1:J1041,SUMPRODUCT(MAX(ROW(E$1:E1041)*(E1042=E$1:E1041)))))</f>
        <v> </v>
      </c>
      <c r="L1042" s="20"/>
    </row>
    <row r="1043" spans="1:12">
      <c r="A1043" s="13" t="s">
        <v>68</v>
      </c>
      <c r="E1043" s="15">
        <f>IF(D1043="?OLD","!!!","")</f>
        <v/>
      </c>
      <c r="F1043" s="16" t="str">
        <f>IF(OR(E1043="",E1043="!!!"),"",IF(NOT(ISNA(VLOOKUP(E1043,E$1:E1042,1,FALSE()))),"OLD",IF(AND(E1043&lt;&gt;"",E1043&lt;&gt;"!!!"),"NEW","")))</f>
        <v> </v>
      </c>
      <c r="G1043" s="17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18" t="str">
        <f>IF(J1043&lt;&gt;1,"",IF(I1043="SBJ","CB","?"))</f>
        <v> </v>
      </c>
      <c r="I1043" s="19" t="str">
        <f>IF(OR(E1043="",E1043="!!!",F1043="NEW"),"",INDEX(B1042:B$2,-1+SUMPRODUCT(MAX(ROW(E1042:E$2)*(E1043=E1042:E$2)))))</f>
        <v> </v>
      </c>
      <c r="J1043" s="19" t="str">
        <f>IF(OR(E1043="",E1043="!!!",F1043="NEW"),"",COUNTBLANK(OFFSET(A$1,,,SUMPRODUCT(MAX(ROW(E$2:E1043)*(E1043=E$2:E1043)))))-COUNTBLANK(OFFSET(A$1,,,SUMPRODUCT(MAX(ROW(E$1:E1042)*(E2=E$1:E1042))))))</f>
        <v> </v>
      </c>
      <c r="K1043" s="19" t="str">
        <f>IF(OR(E1043="",E1043="!!!",F1043="NEW"),"",INDEX(J$1:J1042,SUMPRODUCT(MAX(ROW(E$1:E1042)*(E1043=E$1:E1042)))))</f>
        <v> </v>
      </c>
      <c r="L1043" s="20"/>
    </row>
    <row r="1044" spans="1:12">
      <c r="A1044" s="13"/>
    </row>
    <row r="1045" spans="1:12">
      <c r="A1045" s="13" t="s">
        <v>400</v>
      </c>
    </row>
    <row r="1046" spans="1:12">
      <c r="A1046" s="13" t="s">
        <v>70</v>
      </c>
      <c r="E1046" s="15">
        <f>IF(D1046="?OLD","!!!","")</f>
        <v/>
      </c>
      <c r="F1046" s="16" t="str">
        <f>IF(OR(E1046="",E1046="!!!"),"",IF(NOT(ISNA(VLOOKUP(E1046,E$1:E1045,1,FALSE()))),"OLD",IF(AND(E1046&lt;&gt;"",E1046&lt;&gt;"!!!"),"NEW","")))</f>
        <v> </v>
      </c>
      <c r="G1046" s="17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18" t="str">
        <f>IF(J1046&lt;&gt;1,"",IF(I1046="SBJ","CB","?"))</f>
        <v> </v>
      </c>
      <c r="I1046" s="19" t="str">
        <f>IF(OR(E1046="",E1046="!!!",F1046="NEW"),"",INDEX(B1045:B$2,-1+SUMPRODUCT(MAX(ROW(E1045:E$2)*(E1046=E1045:E$2)))))</f>
        <v> </v>
      </c>
      <c r="J1046" s="19" t="str">
        <f>IF(OR(E1046="",E1046="!!!",F1046="NEW"),"",COUNTBLANK(OFFSET(A$1,,,SUMPRODUCT(MAX(ROW(E$2:E1046)*(E1046=E$2:E1046)))))-COUNTBLANK(OFFSET(A$1,,,SUMPRODUCT(MAX(ROW(E$1:E1045)*(E2=E$1:E1045))))))</f>
        <v> </v>
      </c>
      <c r="K1046" s="19" t="str">
        <f>IF(OR(E1046="",E1046="!!!",F1046="NEW"),"",INDEX(J$1:J1045,SUMPRODUCT(MAX(ROW(E$1:E1045)*(E1046=E$1:E1045)))))</f>
        <v> </v>
      </c>
      <c r="L1046" s="20"/>
    </row>
    <row r="1047" spans="1:12">
      <c r="A1047" s="13" t="s">
        <v>401</v>
      </c>
      <c r="B1047" s="14" t="s">
        <v>23</v>
      </c>
      <c r="C1047" s="14" t="s">
        <v>39</v>
      </c>
      <c r="D1047" s="14" t="s">
        <v>25</v>
      </c>
      <c r="E1047" s="15">
        <f>IF(D1047="?OLD","!!!","")</f>
        <v/>
      </c>
      <c r="F1047" s="16" t="str">
        <f>IF(OR(E1047="",E1047="!!!"),"",IF(NOT(ISNA(VLOOKUP(E1047,E$1:E1046,1,FALSE()))),"OLD",IF(AND(E1047&lt;&gt;"",E1047&lt;&gt;"!!!"),"NEW","")))</f>
        <v> </v>
      </c>
      <c r="G1047" s="17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18" t="str">
        <f>IF(J1047&lt;&gt;1,"",IF(I1047="SBJ","CB","?"))</f>
        <v> </v>
      </c>
      <c r="I1047" s="19" t="str">
        <f>IF(OR(E1047="",E1047="!!!",F1047="NEW"),"",INDEX(B1046:B$2,-1+SUMPRODUCT(MAX(ROW(E1046:E$2)*(E1047=E1046:E$2)))))</f>
        <v> </v>
      </c>
      <c r="J1047" s="19" t="str">
        <f>IF(OR(E1047="",E1047="!!!",F1047="NEW"),"",COUNTBLANK(OFFSET(A$1,,,SUMPRODUCT(MAX(ROW(E$2:E1047)*(E1047=E$2:E1047)))))-COUNTBLANK(OFFSET(A$1,,,SUMPRODUCT(MAX(ROW(E$1:E1046)*(E2=E$1:E1046))))))</f>
        <v> </v>
      </c>
      <c r="K1047" s="19" t="str">
        <f>IF(OR(E1047="",E1047="!!!",F1047="NEW"),"",INDEX(J$1:J1046,SUMPRODUCT(MAX(ROW(E$1:E1046)*(E1047=E$1:E1046)))))</f>
        <v> </v>
      </c>
      <c r="L1047" s="20"/>
    </row>
    <row r="1048" spans="1:12">
      <c r="A1048" s="13" t="s">
        <v>79</v>
      </c>
      <c r="E1048" s="15">
        <f>IF(D1048="?OLD","!!!","")</f>
        <v/>
      </c>
      <c r="F1048" s="16" t="str">
        <f>IF(OR(E1048="",E1048="!!!"),"",IF(NOT(ISNA(VLOOKUP(E1048,E$1:E1047,1,FALSE()))),"OLD",IF(AND(E1048&lt;&gt;"",E1048&lt;&gt;"!!!"),"NEW","")))</f>
        <v> </v>
      </c>
      <c r="G1048" s="17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18" t="str">
        <f>IF(J1048&lt;&gt;1,"",IF(I1048="SBJ","CB","?"))</f>
        <v> </v>
      </c>
      <c r="I1048" s="19" t="str">
        <f>IF(OR(E1048="",E1048="!!!",F1048="NEW"),"",INDEX(B1047:B$2,-1+SUMPRODUCT(MAX(ROW(E1047:E$2)*(E1048=E1047:E$2)))))</f>
        <v> </v>
      </c>
      <c r="J1048" s="19" t="str">
        <f>IF(OR(E1048="",E1048="!!!",F1048="NEW"),"",COUNTBLANK(OFFSET(A$1,,,SUMPRODUCT(MAX(ROW(E$2:E1048)*(E1048=E$2:E1048)))))-COUNTBLANK(OFFSET(A$1,,,SUMPRODUCT(MAX(ROW(E$1:E1047)*(E2=E$1:E1047))))))</f>
        <v> </v>
      </c>
      <c r="K1048" s="19" t="str">
        <f>IF(OR(E1048="",E1048="!!!",F1048="NEW"),"",INDEX(J$1:J1047,SUMPRODUCT(MAX(ROW(E$1:E1047)*(E1048=E$1:E1047)))))</f>
        <v> </v>
      </c>
      <c r="L1048" s="20"/>
    </row>
    <row r="1049" spans="1:12">
      <c r="A1049" s="13" t="s">
        <v>36</v>
      </c>
      <c r="B1049" s="14" t="s">
        <v>27</v>
      </c>
      <c r="C1049" s="14" t="s">
        <v>24</v>
      </c>
      <c r="D1049" s="14" t="s">
        <v>25</v>
      </c>
      <c r="E1049" s="15">
        <f>IF(D1049="?OLD","!!!","")</f>
        <v/>
      </c>
      <c r="F1049" s="16" t="str">
        <f>IF(OR(E1049="",E1049="!!!"),"",IF(NOT(ISNA(VLOOKUP(E1049,E$1:E1048,1,FALSE()))),"OLD",IF(AND(E1049&lt;&gt;"",E1049&lt;&gt;"!!!"),"NEW","")))</f>
        <v> </v>
      </c>
      <c r="G1049" s="17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18" t="str">
        <f>IF(J1049&lt;&gt;1,"",IF(I1049="SBJ","CB","?"))</f>
        <v> </v>
      </c>
      <c r="I1049" s="19" t="str">
        <f>IF(OR(E1049="",E1049="!!!",F1049="NEW"),"",INDEX(B1048:B$2,-1+SUMPRODUCT(MAX(ROW(E1048:E$2)*(E1049=E1048:E$2)))))</f>
        <v> </v>
      </c>
      <c r="J1049" s="19" t="str">
        <f>IF(OR(E1049="",E1049="!!!",F1049="NEW"),"",COUNTBLANK(OFFSET(A$1,,,SUMPRODUCT(MAX(ROW(E$2:E1049)*(E1049=E$2:E1049)))))-COUNTBLANK(OFFSET(A$1,,,SUMPRODUCT(MAX(ROW(E$1:E1048)*(E2=E$1:E1048))))))</f>
        <v> </v>
      </c>
      <c r="K1049" s="19" t="str">
        <f>IF(OR(E1049="",E1049="!!!",F1049="NEW"),"",INDEX(J$1:J1048,SUMPRODUCT(MAX(ROW(E$1:E1048)*(E1049=E$1:E1048)))))</f>
        <v> </v>
      </c>
      <c r="L1049" s="20"/>
    </row>
    <row r="1050" spans="1:12">
      <c r="A1050" s="13" t="s">
        <v>37</v>
      </c>
      <c r="B1050" s="14" t="s">
        <v>33</v>
      </c>
      <c r="C1050" s="14" t="s">
        <v>24</v>
      </c>
      <c r="D1050" s="14" t="s">
        <v>25</v>
      </c>
      <c r="E1050" s="15">
        <f>IF(D1050="?OLD","!!!","")</f>
        <v/>
      </c>
      <c r="F1050" s="16" t="str">
        <f>IF(OR(E1050="",E1050="!!!"),"",IF(NOT(ISNA(VLOOKUP(E1050,E$1:E1049,1,FALSE()))),"OLD",IF(AND(E1050&lt;&gt;"",E1050&lt;&gt;"!!!"),"NEW","")))</f>
        <v> </v>
      </c>
      <c r="G1050" s="17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18" t="str">
        <f>IF(J1050&lt;&gt;1,"",IF(I1050="SBJ","CB","?"))</f>
        <v> </v>
      </c>
      <c r="I1050" s="19" t="str">
        <f>IF(OR(E1050="",E1050="!!!",F1050="NEW"),"",INDEX(B1049:B$2,-1+SUMPRODUCT(MAX(ROW(E1049:E$2)*(E1050=E1049:E$2)))))</f>
        <v> </v>
      </c>
      <c r="J1050" s="19" t="str">
        <f>IF(OR(E1050="",E1050="!!!",F1050="NEW"),"",COUNTBLANK(OFFSET(A$1,,,SUMPRODUCT(MAX(ROW(E$2:E1050)*(E1050=E$2:E1050)))))-COUNTBLANK(OFFSET(A$1,,,SUMPRODUCT(MAX(ROW(E$1:E1049)*(E2=E$1:E1049))))))</f>
        <v> </v>
      </c>
      <c r="K1050" s="19" t="str">
        <f>IF(OR(E1050="",E1050="!!!",F1050="NEW"),"",INDEX(J$1:J1049,SUMPRODUCT(MAX(ROW(E$1:E1049)*(E1050=E$1:E1049)))))</f>
        <v> </v>
      </c>
      <c r="L1050" s="20"/>
    </row>
    <row r="1051" spans="1:12">
      <c r="A1051" s="13" t="s">
        <v>402</v>
      </c>
      <c r="E1051" s="15">
        <f>IF(D1051="?OLD","!!!","")</f>
        <v/>
      </c>
      <c r="F1051" s="16" t="str">
        <f>IF(OR(E1051="",E1051="!!!"),"",IF(NOT(ISNA(VLOOKUP(E1051,E$1:E1050,1,FALSE()))),"OLD",IF(AND(E1051&lt;&gt;"",E1051&lt;&gt;"!!!"),"NEW","")))</f>
        <v> </v>
      </c>
      <c r="G1051" s="17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18" t="str">
        <f>IF(J1051&lt;&gt;1,"",IF(I1051="SBJ","CB","?"))</f>
        <v> </v>
      </c>
      <c r="I1051" s="19" t="str">
        <f>IF(OR(E1051="",E1051="!!!",F1051="NEW"),"",INDEX(B1050:B$2,-1+SUMPRODUCT(MAX(ROW(E1050:E$2)*(E1051=E1050:E$2)))))</f>
        <v> </v>
      </c>
      <c r="J1051" s="19" t="str">
        <f>IF(OR(E1051="",E1051="!!!",F1051="NEW"),"",COUNTBLANK(OFFSET(A$1,,,SUMPRODUCT(MAX(ROW(E$2:E1051)*(E1051=E$2:E1051)))))-COUNTBLANK(OFFSET(A$1,,,SUMPRODUCT(MAX(ROW(E$1:E1050)*(E2=E$1:E1050))))))</f>
        <v> </v>
      </c>
      <c r="K1051" s="19" t="str">
        <f>IF(OR(E1051="",E1051="!!!",F1051="NEW"),"",INDEX(J$1:J1050,SUMPRODUCT(MAX(ROW(E$1:E1050)*(E1051=E$1:E1050)))))</f>
        <v> </v>
      </c>
      <c r="L1051" s="20"/>
    </row>
    <row r="1052" spans="1:12">
      <c r="A1052" s="13" t="s">
        <v>67</v>
      </c>
      <c r="E1052" s="15">
        <f>IF(D1052="?OLD","!!!","")</f>
        <v/>
      </c>
      <c r="F1052" s="16" t="str">
        <f>IF(OR(E1052="",E1052="!!!"),"",IF(NOT(ISNA(VLOOKUP(E1052,E$1:E1051,1,FALSE()))),"OLD",IF(AND(E1052&lt;&gt;"",E1052&lt;&gt;"!!!"),"NEW","")))</f>
        <v> </v>
      </c>
      <c r="G1052" s="17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18" t="str">
        <f>IF(J1052&lt;&gt;1,"",IF(I1052="SBJ","CB","?"))</f>
        <v> </v>
      </c>
      <c r="I1052" s="19" t="str">
        <f>IF(OR(E1052="",E1052="!!!",F1052="NEW"),"",INDEX(B1051:B$2,-1+SUMPRODUCT(MAX(ROW(E1051:E$2)*(E1052=E1051:E$2)))))</f>
        <v> </v>
      </c>
      <c r="J1052" s="19" t="str">
        <f>IF(OR(E1052="",E1052="!!!",F1052="NEW"),"",COUNTBLANK(OFFSET(A$1,,,SUMPRODUCT(MAX(ROW(E$2:E1052)*(E1052=E$2:E1052)))))-COUNTBLANK(OFFSET(A$1,,,SUMPRODUCT(MAX(ROW(E$1:E1051)*(E2=E$1:E1051))))))</f>
        <v> </v>
      </c>
      <c r="K1052" s="19" t="str">
        <f>IF(OR(E1052="",E1052="!!!",F1052="NEW"),"",INDEX(J$1:J1051,SUMPRODUCT(MAX(ROW(E$1:E1051)*(E1052=E$1:E1051)))))</f>
        <v> </v>
      </c>
      <c r="L1052" s="20"/>
    </row>
    <row r="1053" spans="1:12">
      <c r="A1053" s="13" t="s">
        <v>102</v>
      </c>
      <c r="E1053" s="15">
        <f>IF(D1053="?OLD","!!!","")</f>
        <v/>
      </c>
      <c r="F1053" s="16" t="str">
        <f>IF(OR(E1053="",E1053="!!!"),"",IF(NOT(ISNA(VLOOKUP(E1053,E$1:E1052,1,FALSE()))),"OLD",IF(AND(E1053&lt;&gt;"",E1053&lt;&gt;"!!!"),"NEW","")))</f>
        <v> </v>
      </c>
      <c r="G1053" s="17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18" t="str">
        <f>IF(J1053&lt;&gt;1,"",IF(I1053="SBJ","CB","?"))</f>
        <v> </v>
      </c>
      <c r="I1053" s="19" t="str">
        <f>IF(OR(E1053="",E1053="!!!",F1053="NEW"),"",INDEX(B1052:B$2,-1+SUMPRODUCT(MAX(ROW(E1052:E$2)*(E1053=E1052:E$2)))))</f>
        <v> </v>
      </c>
      <c r="J1053" s="19" t="str">
        <f>IF(OR(E1053="",E1053="!!!",F1053="NEW"),"",COUNTBLANK(OFFSET(A$1,,,SUMPRODUCT(MAX(ROW(E$2:E1053)*(E1053=E$2:E1053)))))-COUNTBLANK(OFFSET(A$1,,,SUMPRODUCT(MAX(ROW(E$1:E1052)*(E2=E$1:E1052))))))</f>
        <v> </v>
      </c>
      <c r="K1053" s="19" t="str">
        <f>IF(OR(E1053="",E1053="!!!",F1053="NEW"),"",INDEX(J$1:J1052,SUMPRODUCT(MAX(ROW(E$1:E1052)*(E1053=E$1:E1052)))))</f>
        <v> </v>
      </c>
      <c r="L1053" s="20"/>
    </row>
    <row r="1054" spans="1:12">
      <c r="A1054" s="13" t="s">
        <v>270</v>
      </c>
      <c r="E1054" s="15">
        <f>IF(D1054="?OLD","!!!","")</f>
        <v/>
      </c>
      <c r="F1054" s="16" t="str">
        <f>IF(OR(E1054="",E1054="!!!"),"",IF(NOT(ISNA(VLOOKUP(E1054,E$1:E1053,1,FALSE()))),"OLD",IF(AND(E1054&lt;&gt;"",E1054&lt;&gt;"!!!"),"NEW","")))</f>
        <v> </v>
      </c>
      <c r="G1054" s="17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18" t="str">
        <f>IF(J1054&lt;&gt;1,"",IF(I1054="SBJ","CB","?"))</f>
        <v> </v>
      </c>
      <c r="I1054" s="19" t="str">
        <f>IF(OR(E1054="",E1054="!!!",F1054="NEW"),"",INDEX(B1053:B$2,-1+SUMPRODUCT(MAX(ROW(E1053:E$2)*(E1054=E1053:E$2)))))</f>
        <v> </v>
      </c>
      <c r="J1054" s="19" t="str">
        <f>IF(OR(E1054="",E1054="!!!",F1054="NEW"),"",COUNTBLANK(OFFSET(A$1,,,SUMPRODUCT(MAX(ROW(E$2:E1054)*(E1054=E$2:E1054)))))-COUNTBLANK(OFFSET(A$1,,,SUMPRODUCT(MAX(ROW(E$1:E1053)*(E2=E$1:E1053))))))</f>
        <v> </v>
      </c>
      <c r="K1054" s="19" t="str">
        <f>IF(OR(E1054="",E1054="!!!",F1054="NEW"),"",INDEX(J$1:J1053,SUMPRODUCT(MAX(ROW(E$1:E1053)*(E1054=E$1:E1053)))))</f>
        <v> </v>
      </c>
      <c r="L1054" s="20"/>
    </row>
    <row r="1055" spans="1:12">
      <c r="A1055" s="13" t="s">
        <v>403</v>
      </c>
      <c r="B1055" s="14" t="s">
        <v>27</v>
      </c>
      <c r="C1055" s="14" t="s">
        <v>60</v>
      </c>
      <c r="D1055" s="14" t="s">
        <v>25</v>
      </c>
      <c r="E1055" s="15">
        <f>IF(D1055="?OLD","!!!","")</f>
        <v/>
      </c>
      <c r="F1055" s="16" t="str">
        <f>IF(OR(E1055="",E1055="!!!"),"",IF(NOT(ISNA(VLOOKUP(E1055,E$1:E1054,1,FALSE()))),"OLD",IF(AND(E1055&lt;&gt;"",E1055&lt;&gt;"!!!"),"NEW","")))</f>
        <v> </v>
      </c>
      <c r="G1055" s="17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18" t="str">
        <f>IF(J1055&lt;&gt;1,"",IF(I1055="SBJ","CB","?"))</f>
        <v> </v>
      </c>
      <c r="I1055" s="19" t="str">
        <f>IF(OR(E1055="",E1055="!!!",F1055="NEW"),"",INDEX(B1054:B$2,-1+SUMPRODUCT(MAX(ROW(E1054:E$2)*(E1055=E1054:E$2)))))</f>
        <v> </v>
      </c>
      <c r="J1055" s="19" t="str">
        <f>IF(OR(E1055="",E1055="!!!",F1055="NEW"),"",COUNTBLANK(OFFSET(A$1,,,SUMPRODUCT(MAX(ROW(E$2:E1055)*(E1055=E$2:E1055)))))-COUNTBLANK(OFFSET(A$1,,,SUMPRODUCT(MAX(ROW(E$1:E1054)*(E2=E$1:E1054))))))</f>
        <v> </v>
      </c>
      <c r="K1055" s="19" t="str">
        <f>IF(OR(E1055="",E1055="!!!",F1055="NEW"),"",INDEX(J$1:J1054,SUMPRODUCT(MAX(ROW(E$1:E1054)*(E1055=E$1:E1054)))))</f>
        <v> </v>
      </c>
      <c r="L1055" s="20"/>
    </row>
    <row r="1056" spans="1:12">
      <c r="A1056" s="13" t="s">
        <v>76</v>
      </c>
      <c r="E1056" s="15">
        <f>IF(D1056="?OLD","!!!","")</f>
        <v/>
      </c>
      <c r="F1056" s="16" t="str">
        <f>IF(OR(E1056="",E1056="!!!"),"",IF(NOT(ISNA(VLOOKUP(E1056,E$1:E1055,1,FALSE()))),"OLD",IF(AND(E1056&lt;&gt;"",E1056&lt;&gt;"!!!"),"NEW","")))</f>
        <v> </v>
      </c>
      <c r="G1056" s="17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18" t="str">
        <f>IF(J1056&lt;&gt;1,"",IF(I1056="SBJ","CB","?"))</f>
        <v> </v>
      </c>
      <c r="I1056" s="19" t="str">
        <f>IF(OR(E1056="",E1056="!!!",F1056="NEW"),"",INDEX(B1055:B$2,-1+SUMPRODUCT(MAX(ROW(E1055:E$2)*(E1056=E1055:E$2)))))</f>
        <v> </v>
      </c>
      <c r="J1056" s="19" t="str">
        <f>IF(OR(E1056="",E1056="!!!",F1056="NEW"),"",COUNTBLANK(OFFSET(A$1,,,SUMPRODUCT(MAX(ROW(E$2:E1056)*(E1056=E$2:E1056)))))-COUNTBLANK(OFFSET(A$1,,,SUMPRODUCT(MAX(ROW(E$1:E1055)*(E2=E$1:E1055))))))</f>
        <v> </v>
      </c>
      <c r="K1056" s="19" t="str">
        <f>IF(OR(E1056="",E1056="!!!",F1056="NEW"),"",INDEX(J$1:J1055,SUMPRODUCT(MAX(ROW(E$1:E1055)*(E1056=E$1:E1055)))))</f>
        <v> </v>
      </c>
      <c r="L1056" s="20"/>
    </row>
    <row r="1057" spans="1:12">
      <c r="A1057" s="13" t="s">
        <v>102</v>
      </c>
      <c r="E1057" s="15">
        <f>IF(D1057="?OLD","!!!","")</f>
        <v/>
      </c>
      <c r="F1057" s="16" t="str">
        <f>IF(OR(E1057="",E1057="!!!"),"",IF(NOT(ISNA(VLOOKUP(E1057,E$1:E1056,1,FALSE()))),"OLD",IF(AND(E1057&lt;&gt;"",E1057&lt;&gt;"!!!"),"NEW","")))</f>
        <v> </v>
      </c>
      <c r="G1057" s="17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18" t="str">
        <f>IF(J1057&lt;&gt;1,"",IF(I1057="SBJ","CB","?"))</f>
        <v> </v>
      </c>
      <c r="I1057" s="19" t="str">
        <f>IF(OR(E1057="",E1057="!!!",F1057="NEW"),"",INDEX(B1056:B$2,-1+SUMPRODUCT(MAX(ROW(E1056:E$2)*(E1057=E1056:E$2)))))</f>
        <v> </v>
      </c>
      <c r="J1057" s="19" t="str">
        <f>IF(OR(E1057="",E1057="!!!",F1057="NEW"),"",COUNTBLANK(OFFSET(A$1,,,SUMPRODUCT(MAX(ROW(E$2:E1057)*(E1057=E$2:E1057)))))-COUNTBLANK(OFFSET(A$1,,,SUMPRODUCT(MAX(ROW(E$1:E1056)*(E2=E$1:E1056))))))</f>
        <v> </v>
      </c>
      <c r="K1057" s="19" t="str">
        <f>IF(OR(E1057="",E1057="!!!",F1057="NEW"),"",INDEX(J$1:J1056,SUMPRODUCT(MAX(ROW(E$1:E1056)*(E1057=E$1:E1056)))))</f>
        <v> </v>
      </c>
      <c r="L1057" s="20"/>
    </row>
    <row r="1058" spans="1:12">
      <c r="A1058" s="13" t="s">
        <v>87</v>
      </c>
      <c r="E1058" s="15">
        <f>IF(D1058="?OLD","!!!","")</f>
        <v/>
      </c>
      <c r="F1058" s="16" t="str">
        <f>IF(OR(E1058="",E1058="!!!"),"",IF(NOT(ISNA(VLOOKUP(E1058,E$1:E1057,1,FALSE()))),"OLD",IF(AND(E1058&lt;&gt;"",E1058&lt;&gt;"!!!"),"NEW","")))</f>
        <v> </v>
      </c>
      <c r="G1058" s="17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18" t="str">
        <f>IF(J1058&lt;&gt;1,"",IF(I1058="SBJ","CB","?"))</f>
        <v> </v>
      </c>
      <c r="I1058" s="19" t="str">
        <f>IF(OR(E1058="",E1058="!!!",F1058="NEW"),"",INDEX(B1057:B$2,-1+SUMPRODUCT(MAX(ROW(E1057:E$2)*(E1058=E1057:E$2)))))</f>
        <v> </v>
      </c>
      <c r="J1058" s="19" t="str">
        <f>IF(OR(E1058="",E1058="!!!",F1058="NEW"),"",COUNTBLANK(OFFSET(A$1,,,SUMPRODUCT(MAX(ROW(E$2:E1058)*(E1058=E$2:E1058)))))-COUNTBLANK(OFFSET(A$1,,,SUMPRODUCT(MAX(ROW(E$1:E1057)*(E2=E$1:E1057))))))</f>
        <v> </v>
      </c>
      <c r="K1058" s="19" t="str">
        <f>IF(OR(E1058="",E1058="!!!",F1058="NEW"),"",INDEX(J$1:J1057,SUMPRODUCT(MAX(ROW(E$1:E1057)*(E1058=E$1:E1057)))))</f>
        <v> </v>
      </c>
      <c r="L1058" s="20"/>
    </row>
    <row r="1059" spans="1:12">
      <c r="A1059" s="13" t="s">
        <v>404</v>
      </c>
      <c r="B1059" s="14" t="s">
        <v>33</v>
      </c>
      <c r="C1059" s="14" t="s">
        <v>60</v>
      </c>
      <c r="D1059" s="14" t="s">
        <v>25</v>
      </c>
      <c r="E1059" s="15">
        <f>IF(D1059="?OLD","!!!","")</f>
        <v/>
      </c>
      <c r="F1059" s="16" t="str">
        <f>IF(OR(E1059="",E1059="!!!"),"",IF(NOT(ISNA(VLOOKUP(E1059,E$1:E1058,1,FALSE()))),"OLD",IF(AND(E1059&lt;&gt;"",E1059&lt;&gt;"!!!"),"NEW","")))</f>
        <v> </v>
      </c>
      <c r="G1059" s="17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18" t="str">
        <f>IF(J1059&lt;&gt;1,"",IF(I1059="SBJ","CB","?"))</f>
        <v> </v>
      </c>
      <c r="I1059" s="19" t="str">
        <f>IF(OR(E1059="",E1059="!!!",F1059="NEW"),"",INDEX(B1058:B$2,-1+SUMPRODUCT(MAX(ROW(E1058:E$2)*(E1059=E1058:E$2)))))</f>
        <v> </v>
      </c>
      <c r="J1059" s="19" t="str">
        <f>IF(OR(E1059="",E1059="!!!",F1059="NEW"),"",COUNTBLANK(OFFSET(A$1,,,SUMPRODUCT(MAX(ROW(E$2:E1059)*(E1059=E$2:E1059)))))-COUNTBLANK(OFFSET(A$1,,,SUMPRODUCT(MAX(ROW(E$1:E1058)*(E2=E$1:E1058))))))</f>
        <v> </v>
      </c>
      <c r="K1059" s="19" t="str">
        <f>IF(OR(E1059="",E1059="!!!",F1059="NEW"),"",INDEX(J$1:J1058,SUMPRODUCT(MAX(ROW(E$1:E1058)*(E1059=E$1:E1058)))))</f>
        <v> </v>
      </c>
      <c r="L1059" s="20"/>
    </row>
    <row r="1060" spans="1:12">
      <c r="A1060" s="13" t="s">
        <v>56</v>
      </c>
      <c r="E1060" s="15">
        <f>IF(D1060="?OLD","!!!","")</f>
        <v/>
      </c>
      <c r="F1060" s="16" t="str">
        <f>IF(OR(E1060="",E1060="!!!"),"",IF(NOT(ISNA(VLOOKUP(E1060,E$1:E1059,1,FALSE()))),"OLD",IF(AND(E1060&lt;&gt;"",E1060&lt;&gt;"!!!"),"NEW","")))</f>
        <v> </v>
      </c>
      <c r="G1060" s="17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18" t="str">
        <f>IF(J1060&lt;&gt;1,"",IF(I1060="SBJ","CB","?"))</f>
        <v> </v>
      </c>
      <c r="I1060" s="19" t="str">
        <f>IF(OR(E1060="",E1060="!!!",F1060="NEW"),"",INDEX(B1059:B$2,-1+SUMPRODUCT(MAX(ROW(E1059:E$2)*(E1060=E1059:E$2)))))</f>
        <v> </v>
      </c>
      <c r="J1060" s="19" t="str">
        <f>IF(OR(E1060="",E1060="!!!",F1060="NEW"),"",COUNTBLANK(OFFSET(A$1,,,SUMPRODUCT(MAX(ROW(E$2:E1060)*(E1060=E$2:E1060)))))-COUNTBLANK(OFFSET(A$1,,,SUMPRODUCT(MAX(ROW(E$1:E1059)*(E2=E$1:E1059))))))</f>
        <v> </v>
      </c>
      <c r="K1060" s="19" t="str">
        <f>IF(OR(E1060="",E1060="!!!",F1060="NEW"),"",INDEX(J$1:J1059,SUMPRODUCT(MAX(ROW(E$1:E1059)*(E1060=E$1:E1059)))))</f>
        <v> </v>
      </c>
      <c r="L1060" s="20"/>
    </row>
    <row r="1061" spans="1:12">
      <c r="A1061" s="13" t="s">
        <v>76</v>
      </c>
      <c r="E1061" s="15">
        <f>IF(D1061="?OLD","!!!","")</f>
        <v/>
      </c>
      <c r="F1061" s="16" t="str">
        <f>IF(OR(E1061="",E1061="!!!"),"",IF(NOT(ISNA(VLOOKUP(E1061,E$1:E1060,1,FALSE()))),"OLD",IF(AND(E1061&lt;&gt;"",E1061&lt;&gt;"!!!"),"NEW","")))</f>
        <v> </v>
      </c>
      <c r="G1061" s="17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18" t="str">
        <f>IF(J1061&lt;&gt;1,"",IF(I1061="SBJ","CB","?"))</f>
        <v> </v>
      </c>
      <c r="I1061" s="19" t="str">
        <f>IF(OR(E1061="",E1061="!!!",F1061="NEW"),"",INDEX(B1060:B$2,-1+SUMPRODUCT(MAX(ROW(E1060:E$2)*(E1061=E1060:E$2)))))</f>
        <v> </v>
      </c>
      <c r="J1061" s="19" t="str">
        <f>IF(OR(E1061="",E1061="!!!",F1061="NEW"),"",COUNTBLANK(OFFSET(A$1,,,SUMPRODUCT(MAX(ROW(E$2:E1061)*(E1061=E$2:E1061)))))-COUNTBLANK(OFFSET(A$1,,,SUMPRODUCT(MAX(ROW(E$1:E1060)*(E2=E$1:E1060))))))</f>
        <v> </v>
      </c>
      <c r="K1061" s="19" t="str">
        <f>IF(OR(E1061="",E1061="!!!",F1061="NEW"),"",INDEX(J$1:J1060,SUMPRODUCT(MAX(ROW(E$1:E1060)*(E1061=E$1:E1060)))))</f>
        <v> </v>
      </c>
      <c r="L1061" s="20"/>
    </row>
    <row r="1062" spans="1:12">
      <c r="A1062" s="13" t="s">
        <v>405</v>
      </c>
      <c r="E1062" s="15">
        <f>IF(D1062="?OLD","!!!","")</f>
        <v/>
      </c>
      <c r="F1062" s="16" t="str">
        <f>IF(OR(E1062="",E1062="!!!"),"",IF(NOT(ISNA(VLOOKUP(E1062,E$1:E1061,1,FALSE()))),"OLD",IF(AND(E1062&lt;&gt;"",E1062&lt;&gt;"!!!"),"NEW","")))</f>
        <v> </v>
      </c>
      <c r="G1062" s="17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18" t="str">
        <f>IF(J1062&lt;&gt;1,"",IF(I1062="SBJ","CB","?"))</f>
        <v> </v>
      </c>
      <c r="I1062" s="19" t="str">
        <f>IF(OR(E1062="",E1062="!!!",F1062="NEW"),"",INDEX(B1061:B$2,-1+SUMPRODUCT(MAX(ROW(E1061:E$2)*(E1062=E1061:E$2)))))</f>
        <v> </v>
      </c>
      <c r="J1062" s="19" t="str">
        <f>IF(OR(E1062="",E1062="!!!",F1062="NEW"),"",COUNTBLANK(OFFSET(A$1,,,SUMPRODUCT(MAX(ROW(E$2:E1062)*(E1062=E$2:E1062)))))-COUNTBLANK(OFFSET(A$1,,,SUMPRODUCT(MAX(ROW(E$1:E1061)*(E2=E$1:E1061))))))</f>
        <v> </v>
      </c>
      <c r="K1062" s="19" t="str">
        <f>IF(OR(E1062="",E1062="!!!",F1062="NEW"),"",INDEX(J$1:J1061,SUMPRODUCT(MAX(ROW(E$1:E1061)*(E1062=E$1:E1061)))))</f>
        <v> </v>
      </c>
      <c r="L1062" s="20"/>
    </row>
    <row r="1063" spans="1:12">
      <c r="A1063" s="13" t="s">
        <v>102</v>
      </c>
      <c r="E1063" s="15">
        <f>IF(D1063="?OLD","!!!","")</f>
        <v/>
      </c>
      <c r="F1063" s="16" t="str">
        <f>IF(OR(E1063="",E1063="!!!"),"",IF(NOT(ISNA(VLOOKUP(E1063,E$1:E1062,1,FALSE()))),"OLD",IF(AND(E1063&lt;&gt;"",E1063&lt;&gt;"!!!"),"NEW","")))</f>
        <v> </v>
      </c>
      <c r="G1063" s="17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18" t="str">
        <f>IF(J1063&lt;&gt;1,"",IF(I1063="SBJ","CB","?"))</f>
        <v> </v>
      </c>
      <c r="I1063" s="19" t="str">
        <f>IF(OR(E1063="",E1063="!!!",F1063="NEW"),"",INDEX(B1062:B$2,-1+SUMPRODUCT(MAX(ROW(E1062:E$2)*(E1063=E1062:E$2)))))</f>
        <v> </v>
      </c>
      <c r="J1063" s="19" t="str">
        <f>IF(OR(E1063="",E1063="!!!",F1063="NEW"),"",COUNTBLANK(OFFSET(A$1,,,SUMPRODUCT(MAX(ROW(E$2:E1063)*(E1063=E$2:E1063)))))-COUNTBLANK(OFFSET(A$1,,,SUMPRODUCT(MAX(ROW(E$1:E1062)*(E2=E$1:E1062))))))</f>
        <v> </v>
      </c>
      <c r="K1063" s="19" t="str">
        <f>IF(OR(E1063="",E1063="!!!",F1063="NEW"),"",INDEX(J$1:J1062,SUMPRODUCT(MAX(ROW(E$1:E1062)*(E1063=E$1:E1062)))))</f>
        <v> </v>
      </c>
      <c r="L1063" s="20"/>
    </row>
    <row r="1064" spans="1:12">
      <c r="A1064" s="13" t="s">
        <v>87</v>
      </c>
      <c r="E1064" s="15">
        <f>IF(D1064="?OLD","!!!","")</f>
        <v/>
      </c>
      <c r="F1064" s="16" t="str">
        <f>IF(OR(E1064="",E1064="!!!"),"",IF(NOT(ISNA(VLOOKUP(E1064,E$1:E1063,1,FALSE()))),"OLD",IF(AND(E1064&lt;&gt;"",E1064&lt;&gt;"!!!"),"NEW","")))</f>
        <v> </v>
      </c>
      <c r="G1064" s="17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18" t="str">
        <f>IF(J1064&lt;&gt;1,"",IF(I1064="SBJ","CB","?"))</f>
        <v> </v>
      </c>
      <c r="I1064" s="19" t="str">
        <f>IF(OR(E1064="",E1064="!!!",F1064="NEW"),"",INDEX(B1063:B$2,-1+SUMPRODUCT(MAX(ROW(E1063:E$2)*(E1064=E1063:E$2)))))</f>
        <v> </v>
      </c>
      <c r="J1064" s="19" t="str">
        <f>IF(OR(E1064="",E1064="!!!",F1064="NEW"),"",COUNTBLANK(OFFSET(A$1,,,SUMPRODUCT(MAX(ROW(E$2:E1064)*(E1064=E$2:E1064)))))-COUNTBLANK(OFFSET(A$1,,,SUMPRODUCT(MAX(ROW(E$1:E1063)*(E2=E$1:E1063))))))</f>
        <v> </v>
      </c>
      <c r="K1064" s="19" t="str">
        <f>IF(OR(E1064="",E1064="!!!",F1064="NEW"),"",INDEX(J$1:J1063,SUMPRODUCT(MAX(ROW(E$1:E1063)*(E1064=E$1:E1063)))))</f>
        <v> </v>
      </c>
      <c r="L1064" s="20"/>
    </row>
    <row r="1065" spans="1:12">
      <c r="A1065" s="13" t="s">
        <v>404</v>
      </c>
      <c r="B1065" s="14" t="s">
        <v>45</v>
      </c>
      <c r="C1065" s="14" t="s">
        <v>60</v>
      </c>
      <c r="D1065" s="14" t="s">
        <v>25</v>
      </c>
      <c r="E1065" s="15">
        <f>IF(D1065="?OLD","!!!","")</f>
        <v/>
      </c>
      <c r="F1065" s="16" t="str">
        <f>IF(OR(E1065="",E1065="!!!"),"",IF(NOT(ISNA(VLOOKUP(E1065,E$1:E1064,1,FALSE()))),"OLD",IF(AND(E1065&lt;&gt;"",E1065&lt;&gt;"!!!"),"NEW","")))</f>
        <v> </v>
      </c>
      <c r="G1065" s="17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18" t="str">
        <f>IF(J1065&lt;&gt;1,"",IF(I1065="SBJ","CB","?"))</f>
        <v> </v>
      </c>
      <c r="I1065" s="19" t="str">
        <f>IF(OR(E1065="",E1065="!!!",F1065="NEW"),"",INDEX(B1064:B$2,-1+SUMPRODUCT(MAX(ROW(E1064:E$2)*(E1065=E1064:E$2)))))</f>
        <v> </v>
      </c>
      <c r="J1065" s="19" t="str">
        <f>IF(OR(E1065="",E1065="!!!",F1065="NEW"),"",COUNTBLANK(OFFSET(A$1,,,SUMPRODUCT(MAX(ROW(E$2:E1065)*(E1065=E$2:E1065)))))-COUNTBLANK(OFFSET(A$1,,,SUMPRODUCT(MAX(ROW(E$1:E1064)*(E2=E$1:E1064))))))</f>
        <v> </v>
      </c>
      <c r="K1065" s="19" t="str">
        <f>IF(OR(E1065="",E1065="!!!",F1065="NEW"),"",INDEX(J$1:J1064,SUMPRODUCT(MAX(ROW(E$1:E1064)*(E1065=E$1:E1064)))))</f>
        <v> </v>
      </c>
      <c r="L1065" s="20"/>
    </row>
    <row r="1066" spans="1:12">
      <c r="A1066" s="13" t="s">
        <v>56</v>
      </c>
      <c r="E1066" s="15">
        <f>IF(D1066="?OLD","!!!","")</f>
        <v/>
      </c>
      <c r="F1066" s="16" t="str">
        <f>IF(OR(E1066="",E1066="!!!"),"",IF(NOT(ISNA(VLOOKUP(E1066,E$1:E1065,1,FALSE()))),"OLD",IF(AND(E1066&lt;&gt;"",E1066&lt;&gt;"!!!"),"NEW","")))</f>
        <v> </v>
      </c>
      <c r="G1066" s="17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18" t="str">
        <f>IF(J1066&lt;&gt;1,"",IF(I1066="SBJ","CB","?"))</f>
        <v> </v>
      </c>
      <c r="I1066" s="19" t="str">
        <f>IF(OR(E1066="",E1066="!!!",F1066="NEW"),"",INDEX(B1065:B$2,-1+SUMPRODUCT(MAX(ROW(E1065:E$2)*(E1066=E1065:E$2)))))</f>
        <v> </v>
      </c>
      <c r="J1066" s="19" t="str">
        <f>IF(OR(E1066="",E1066="!!!",F1066="NEW"),"",COUNTBLANK(OFFSET(A$1,,,SUMPRODUCT(MAX(ROW(E$2:E1066)*(E1066=E$2:E1066)))))-COUNTBLANK(OFFSET(A$1,,,SUMPRODUCT(MAX(ROW(E$1:E1065)*(E2=E$1:E1065))))))</f>
        <v> </v>
      </c>
      <c r="K1066" s="19" t="str">
        <f>IF(OR(E1066="",E1066="!!!",F1066="NEW"),"",INDEX(J$1:J1065,SUMPRODUCT(MAX(ROW(E$1:E1065)*(E1066=E$1:E1065)))))</f>
        <v> </v>
      </c>
      <c r="L1066" s="20"/>
    </row>
    <row r="1067" spans="1:12">
      <c r="A1067" s="13" t="s">
        <v>61</v>
      </c>
      <c r="B1067" s="14" t="s">
        <v>165</v>
      </c>
      <c r="E1067" s="15">
        <f>IF(D1067="?OLD","!!!","")</f>
        <v/>
      </c>
      <c r="F1067" s="16" t="str">
        <f>IF(OR(E1067="",E1067="!!!"),"",IF(NOT(ISNA(VLOOKUP(E1067,E$1:E1066,1,FALSE()))),"OLD",IF(AND(E1067&lt;&gt;"",E1067&lt;&gt;"!!!"),"NEW","")))</f>
        <v> </v>
      </c>
      <c r="G1067" s="17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18" t="str">
        <f>IF(J1067&lt;&gt;1,"",IF(I1067="SBJ","CB","?"))</f>
        <v> </v>
      </c>
      <c r="I1067" s="19" t="str">
        <f>IF(OR(E1067="",E1067="!!!",F1067="NEW"),"",INDEX(B1066:B$2,-1+SUMPRODUCT(MAX(ROW(E1066:E$2)*(E1067=E1066:E$2)))))</f>
        <v> </v>
      </c>
      <c r="J1067" s="19" t="str">
        <f>IF(OR(E1067="",E1067="!!!",F1067="NEW"),"",COUNTBLANK(OFFSET(A$1,,,SUMPRODUCT(MAX(ROW(E$2:E1067)*(E1067=E$2:E1067)))))-COUNTBLANK(OFFSET(A$1,,,SUMPRODUCT(MAX(ROW(E$1:E1066)*(E2=E$1:E1066))))))</f>
        <v> </v>
      </c>
      <c r="K1067" s="19" t="str">
        <f>IF(OR(E1067="",E1067="!!!",F1067="NEW"),"",INDEX(J$1:J1066,SUMPRODUCT(MAX(ROW(E$1:E1066)*(E1067=E$1:E1066)))))</f>
        <v> </v>
      </c>
      <c r="L1067" s="20"/>
    </row>
    <row r="1068" spans="1:12">
      <c r="A1068" s="13" t="s">
        <v>174</v>
      </c>
      <c r="E1068" s="15">
        <f>IF(D1068="?OLD","!!!","")</f>
        <v/>
      </c>
      <c r="F1068" s="16" t="str">
        <f>IF(OR(E1068="",E1068="!!!"),"",IF(NOT(ISNA(VLOOKUP(E1068,E$1:E1067,1,FALSE()))),"OLD",IF(AND(E1068&lt;&gt;"",E1068&lt;&gt;"!!!"),"NEW","")))</f>
        <v> </v>
      </c>
      <c r="G1068" s="17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18" t="str">
        <f>IF(J1068&lt;&gt;1,"",IF(I1068="SBJ","CB","?"))</f>
        <v> </v>
      </c>
      <c r="I1068" s="19" t="str">
        <f>IF(OR(E1068="",E1068="!!!",F1068="NEW"),"",INDEX(B1067:B$2,-1+SUMPRODUCT(MAX(ROW(E1067:E$2)*(E1068=E1067:E$2)))))</f>
        <v> </v>
      </c>
      <c r="J1068" s="19" t="str">
        <f>IF(OR(E1068="",E1068="!!!",F1068="NEW"),"",COUNTBLANK(OFFSET(A$1,,,SUMPRODUCT(MAX(ROW(E$2:E1068)*(E1068=E$2:E1068)))))-COUNTBLANK(OFFSET(A$1,,,SUMPRODUCT(MAX(ROW(E$1:E1067)*(E2=E$1:E1067))))))</f>
        <v> </v>
      </c>
      <c r="K1068" s="19" t="str">
        <f>IF(OR(E1068="",E1068="!!!",F1068="NEW"),"",INDEX(J$1:J1067,SUMPRODUCT(MAX(ROW(E$1:E1067)*(E1068=E$1:E1067)))))</f>
        <v> </v>
      </c>
      <c r="L1068" s="20"/>
    </row>
    <row r="1069" spans="1:12">
      <c r="A1069" s="13" t="s">
        <v>406</v>
      </c>
      <c r="E1069" s="15">
        <f>IF(D1069="?OLD","!!!","")</f>
        <v/>
      </c>
      <c r="F1069" s="16" t="str">
        <f>IF(OR(E1069="",E1069="!!!"),"",IF(NOT(ISNA(VLOOKUP(E1069,E$1:E1068,1,FALSE()))),"OLD",IF(AND(E1069&lt;&gt;"",E1069&lt;&gt;"!!!"),"NEW","")))</f>
        <v> </v>
      </c>
      <c r="G1069" s="17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18" t="str">
        <f>IF(J1069&lt;&gt;1,"",IF(I1069="SBJ","CB","?"))</f>
        <v> </v>
      </c>
      <c r="I1069" s="19" t="str">
        <f>IF(OR(E1069="",E1069="!!!",F1069="NEW"),"",INDEX(B1068:B$2,-1+SUMPRODUCT(MAX(ROW(E1068:E$2)*(E1069=E1068:E$2)))))</f>
        <v> </v>
      </c>
      <c r="J1069" s="19" t="str">
        <f>IF(OR(E1069="",E1069="!!!",F1069="NEW"),"",COUNTBLANK(OFFSET(A$1,,,SUMPRODUCT(MAX(ROW(E$2:E1069)*(E1069=E$2:E1069)))))-COUNTBLANK(OFFSET(A$1,,,SUMPRODUCT(MAX(ROW(E$1:E1068)*(E2=E$1:E1068))))))</f>
        <v> </v>
      </c>
      <c r="K1069" s="19" t="str">
        <f>IF(OR(E1069="",E1069="!!!",F1069="NEW"),"",INDEX(J$1:J1068,SUMPRODUCT(MAX(ROW(E$1:E1068)*(E1069=E$1:E1068)))))</f>
        <v> </v>
      </c>
      <c r="L1069" s="20"/>
    </row>
    <row r="1070" spans="1:12">
      <c r="A1070" s="13" t="s">
        <v>66</v>
      </c>
      <c r="E1070" s="15">
        <f>IF(D1070="?OLD","!!!","")</f>
        <v/>
      </c>
      <c r="F1070" s="16" t="str">
        <f>IF(OR(E1070="",E1070="!!!"),"",IF(NOT(ISNA(VLOOKUP(E1070,E$1:E1069,1,FALSE()))),"OLD",IF(AND(E1070&lt;&gt;"",E1070&lt;&gt;"!!!"),"NEW","")))</f>
        <v> </v>
      </c>
      <c r="G1070" s="17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18" t="str">
        <f>IF(J1070&lt;&gt;1,"",IF(I1070="SBJ","CB","?"))</f>
        <v> </v>
      </c>
      <c r="I1070" s="19" t="str">
        <f>IF(OR(E1070="",E1070="!!!",F1070="NEW"),"",INDEX(B1069:B$2,-1+SUMPRODUCT(MAX(ROW(E1069:E$2)*(E1070=E1069:E$2)))))</f>
        <v> </v>
      </c>
      <c r="J1070" s="19" t="str">
        <f>IF(OR(E1070="",E1070="!!!",F1070="NEW"),"",COUNTBLANK(OFFSET(A$1,,,SUMPRODUCT(MAX(ROW(E$2:E1070)*(E1070=E$2:E1070)))))-COUNTBLANK(OFFSET(A$1,,,SUMPRODUCT(MAX(ROW(E$1:E1069)*(E2=E$1:E1069))))))</f>
        <v> </v>
      </c>
      <c r="K1070" s="19" t="str">
        <f>IF(OR(E1070="",E1070="!!!",F1070="NEW"),"",INDEX(J$1:J1069,SUMPRODUCT(MAX(ROW(E$1:E1069)*(E1070=E$1:E1069)))))</f>
        <v> </v>
      </c>
      <c r="L1070" s="20"/>
    </row>
    <row r="1071" spans="1:12">
      <c r="A1071" s="13" t="s">
        <v>200</v>
      </c>
      <c r="E1071" s="15">
        <f>IF(D1071="?OLD","!!!","")</f>
        <v/>
      </c>
      <c r="F1071" s="16" t="str">
        <f>IF(OR(E1071="",E1071="!!!"),"",IF(NOT(ISNA(VLOOKUP(E1071,E$1:E1070,1,FALSE()))),"OLD",IF(AND(E1071&lt;&gt;"",E1071&lt;&gt;"!!!"),"NEW","")))</f>
        <v> </v>
      </c>
      <c r="G1071" s="17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18" t="str">
        <f>IF(J1071&lt;&gt;1,"",IF(I1071="SBJ","CB","?"))</f>
        <v> </v>
      </c>
      <c r="I1071" s="19" t="str">
        <f>IF(OR(E1071="",E1071="!!!",F1071="NEW"),"",INDEX(B1070:B$2,-1+SUMPRODUCT(MAX(ROW(E1070:E$2)*(E1071=E1070:E$2)))))</f>
        <v> </v>
      </c>
      <c r="J1071" s="19" t="str">
        <f>IF(OR(E1071="",E1071="!!!",F1071="NEW"),"",COUNTBLANK(OFFSET(A$1,,,SUMPRODUCT(MAX(ROW(E$2:E1071)*(E1071=E$2:E1071)))))-COUNTBLANK(OFFSET(A$1,,,SUMPRODUCT(MAX(ROW(E$1:E1070)*(E2=E$1:E1070))))))</f>
        <v> </v>
      </c>
      <c r="K1071" s="19" t="str">
        <f>IF(OR(E1071="",E1071="!!!",F1071="NEW"),"",INDEX(J$1:J1070,SUMPRODUCT(MAX(ROW(E$1:E1070)*(E1071=E$1:E1070)))))</f>
        <v> </v>
      </c>
      <c r="L1071" s="20"/>
    </row>
    <row r="1072" spans="1:12">
      <c r="A1072" s="13" t="s">
        <v>62</v>
      </c>
      <c r="E1072" s="15">
        <f>IF(D1072="?OLD","!!!","")</f>
        <v/>
      </c>
      <c r="F1072" s="16" t="str">
        <f>IF(OR(E1072="",E1072="!!!"),"",IF(NOT(ISNA(VLOOKUP(E1072,E$1:E1071,1,FALSE()))),"OLD",IF(AND(E1072&lt;&gt;"",E1072&lt;&gt;"!!!"),"NEW","")))</f>
        <v> </v>
      </c>
      <c r="G1072" s="17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18" t="str">
        <f>IF(J1072&lt;&gt;1,"",IF(I1072="SBJ","CB","?"))</f>
        <v> </v>
      </c>
      <c r="I1072" s="19" t="str">
        <f>IF(OR(E1072="",E1072="!!!",F1072="NEW"),"",INDEX(B1071:B$2,-1+SUMPRODUCT(MAX(ROW(E1071:E$2)*(E1072=E1071:E$2)))))</f>
        <v> </v>
      </c>
      <c r="J1072" s="19" t="str">
        <f>IF(OR(E1072="",E1072="!!!",F1072="NEW"),"",COUNTBLANK(OFFSET(A$1,,,SUMPRODUCT(MAX(ROW(E$2:E1072)*(E1072=E$2:E1072)))))-COUNTBLANK(OFFSET(A$1,,,SUMPRODUCT(MAX(ROW(E$1:E1071)*(E2=E$1:E1071))))))</f>
        <v> </v>
      </c>
      <c r="K1072" s="19" t="str">
        <f>IF(OR(E1072="",E1072="!!!",F1072="NEW"),"",INDEX(J$1:J1071,SUMPRODUCT(MAX(ROW(E$1:E1071)*(E1072=E$1:E1071)))))</f>
        <v> </v>
      </c>
      <c r="L1072" s="20"/>
    </row>
    <row r="1073" spans="1:12">
      <c r="A1073" s="13" t="s">
        <v>102</v>
      </c>
      <c r="E1073" s="15">
        <f>IF(D1073="?OLD","!!!","")</f>
        <v/>
      </c>
      <c r="F1073" s="16" t="str">
        <f>IF(OR(E1073="",E1073="!!!"),"",IF(NOT(ISNA(VLOOKUP(E1073,E$1:E1072,1,FALSE()))),"OLD",IF(AND(E1073&lt;&gt;"",E1073&lt;&gt;"!!!"),"NEW","")))</f>
        <v> </v>
      </c>
      <c r="G1073" s="17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18" t="str">
        <f>IF(J1073&lt;&gt;1,"",IF(I1073="SBJ","CB","?"))</f>
        <v> </v>
      </c>
      <c r="I1073" s="19" t="str">
        <f>IF(OR(E1073="",E1073="!!!",F1073="NEW"),"",INDEX(B1072:B$2,-1+SUMPRODUCT(MAX(ROW(E1072:E$2)*(E1073=E1072:E$2)))))</f>
        <v> </v>
      </c>
      <c r="J1073" s="19" t="str">
        <f>IF(OR(E1073="",E1073="!!!",F1073="NEW"),"",COUNTBLANK(OFFSET(A$1,,,SUMPRODUCT(MAX(ROW(E$2:E1073)*(E1073=E$2:E1073)))))-COUNTBLANK(OFFSET(A$1,,,SUMPRODUCT(MAX(ROW(E$1:E1072)*(E2=E$1:E1072))))))</f>
        <v> </v>
      </c>
      <c r="K1073" s="19" t="str">
        <f>IF(OR(E1073="",E1073="!!!",F1073="NEW"),"",INDEX(J$1:J1072,SUMPRODUCT(MAX(ROW(E$1:E1072)*(E1073=E$1:E1072)))))</f>
        <v> </v>
      </c>
      <c r="L1073" s="20"/>
    </row>
    <row r="1074" spans="1:12">
      <c r="A1074" s="13" t="s">
        <v>407</v>
      </c>
      <c r="E1074" s="15">
        <f>IF(D1074="?OLD","!!!","")</f>
        <v/>
      </c>
      <c r="F1074" s="16" t="str">
        <f>IF(OR(E1074="",E1074="!!!"),"",IF(NOT(ISNA(VLOOKUP(E1074,E$1:E1073,1,FALSE()))),"OLD",IF(AND(E1074&lt;&gt;"",E1074&lt;&gt;"!!!"),"NEW","")))</f>
        <v> </v>
      </c>
      <c r="G1074" s="17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18" t="str">
        <f>IF(J1074&lt;&gt;1,"",IF(I1074="SBJ","CB","?"))</f>
        <v> </v>
      </c>
      <c r="I1074" s="19" t="str">
        <f>IF(OR(E1074="",E1074="!!!",F1074="NEW"),"",INDEX(B1073:B$2,-1+SUMPRODUCT(MAX(ROW(E1073:E$2)*(E1074=E1073:E$2)))))</f>
        <v> </v>
      </c>
      <c r="J1074" s="19" t="str">
        <f>IF(OR(E1074="",E1074="!!!",F1074="NEW"),"",COUNTBLANK(OFFSET(A$1,,,SUMPRODUCT(MAX(ROW(E$2:E1074)*(E1074=E$2:E1074)))))-COUNTBLANK(OFFSET(A$1,,,SUMPRODUCT(MAX(ROW(E$1:E1073)*(E2=E$1:E1073))))))</f>
        <v> </v>
      </c>
      <c r="K1074" s="19" t="str">
        <f>IF(OR(E1074="",E1074="!!!",F1074="NEW"),"",INDEX(J$1:J1073,SUMPRODUCT(MAX(ROW(E$1:E1073)*(E1074=E$1:E1073)))))</f>
        <v> </v>
      </c>
      <c r="L1074" s="20"/>
    </row>
    <row r="1075" spans="1:12">
      <c r="A1075" s="13" t="s">
        <v>151</v>
      </c>
      <c r="E1075" s="15">
        <f>IF(D1075="?OLD","!!!","")</f>
        <v/>
      </c>
      <c r="F1075" s="16" t="str">
        <f>IF(OR(E1075="",E1075="!!!"),"",IF(NOT(ISNA(VLOOKUP(E1075,E$1:E1074,1,FALSE()))),"OLD",IF(AND(E1075&lt;&gt;"",E1075&lt;&gt;"!!!"),"NEW","")))</f>
        <v> </v>
      </c>
      <c r="G1075" s="17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18" t="str">
        <f>IF(J1075&lt;&gt;1,"",IF(I1075="SBJ","CB","?"))</f>
        <v> </v>
      </c>
      <c r="I1075" s="19" t="str">
        <f>IF(OR(E1075="",E1075="!!!",F1075="NEW"),"",INDEX(B1074:B$2,-1+SUMPRODUCT(MAX(ROW(E1074:E$2)*(E1075=E1074:E$2)))))</f>
        <v> </v>
      </c>
      <c r="J1075" s="19" t="str">
        <f>IF(OR(E1075="",E1075="!!!",F1075="NEW"),"",COUNTBLANK(OFFSET(A$1,,,SUMPRODUCT(MAX(ROW(E$2:E1075)*(E1075=E$2:E1075)))))-COUNTBLANK(OFFSET(A$1,,,SUMPRODUCT(MAX(ROW(E$1:E1074)*(E2=E$1:E1074))))))</f>
        <v> </v>
      </c>
      <c r="K1075" s="19" t="str">
        <f>IF(OR(E1075="",E1075="!!!",F1075="NEW"),"",INDEX(J$1:J1074,SUMPRODUCT(MAX(ROW(E$1:E1074)*(E1075=E$1:E1074)))))</f>
        <v> </v>
      </c>
      <c r="L1075" s="20"/>
    </row>
    <row r="1076" spans="1:12">
      <c r="A1076" s="13" t="s">
        <v>57</v>
      </c>
      <c r="E1076" s="15">
        <f>IF(D1076="?OLD","!!!","")</f>
        <v/>
      </c>
      <c r="F1076" s="16" t="str">
        <f>IF(OR(E1076="",E1076="!!!"),"",IF(NOT(ISNA(VLOOKUP(E1076,E$1:E1075,1,FALSE()))),"OLD",IF(AND(E1076&lt;&gt;"",E1076&lt;&gt;"!!!"),"NEW","")))</f>
        <v> </v>
      </c>
      <c r="G1076" s="17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18" t="str">
        <f>IF(J1076&lt;&gt;1,"",IF(I1076="SBJ","CB","?"))</f>
        <v> </v>
      </c>
      <c r="I1076" s="19" t="str">
        <f>IF(OR(E1076="",E1076="!!!",F1076="NEW"),"",INDEX(B1075:B$2,-1+SUMPRODUCT(MAX(ROW(E1075:E$2)*(E1076=E1075:E$2)))))</f>
        <v> </v>
      </c>
      <c r="J1076" s="19" t="str">
        <f>IF(OR(E1076="",E1076="!!!",F1076="NEW"),"",COUNTBLANK(OFFSET(A$1,,,SUMPRODUCT(MAX(ROW(E$2:E1076)*(E1076=E$2:E1076)))))-COUNTBLANK(OFFSET(A$1,,,SUMPRODUCT(MAX(ROW(E$1:E1075)*(E2=E$1:E1075))))))</f>
        <v> </v>
      </c>
      <c r="K1076" s="19" t="str">
        <f>IF(OR(E1076="",E1076="!!!",F1076="NEW"),"",INDEX(J$1:J1075,SUMPRODUCT(MAX(ROW(E$1:E1075)*(E1076=E$1:E1075)))))</f>
        <v> </v>
      </c>
      <c r="L1076" s="20"/>
    </row>
    <row r="1077" spans="1:12">
      <c r="A1077" s="13" t="s">
        <v>255</v>
      </c>
      <c r="B1077" s="14" t="s">
        <v>106</v>
      </c>
      <c r="C1077" s="14" t="s">
        <v>39</v>
      </c>
      <c r="D1077" s="14" t="s">
        <v>25</v>
      </c>
      <c r="E1077" s="15">
        <f>IF(D1077="?OLD","!!!","")</f>
        <v/>
      </c>
      <c r="F1077" s="16" t="str">
        <f>IF(OR(E1077="",E1077="!!!"),"",IF(NOT(ISNA(VLOOKUP(E1077,E$1:E1076,1,FALSE()))),"OLD",IF(AND(E1077&lt;&gt;"",E1077&lt;&gt;"!!!"),"NEW","")))</f>
        <v> </v>
      </c>
      <c r="G1077" s="17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18" t="str">
        <f>IF(J1077&lt;&gt;1,"",IF(I1077="SBJ","CB","?"))</f>
        <v> </v>
      </c>
      <c r="I1077" s="19" t="str">
        <f>IF(OR(E1077="",E1077="!!!",F1077="NEW"),"",INDEX(B1076:B$2,-1+SUMPRODUCT(MAX(ROW(E1076:E$2)*(E1077=E1076:E$2)))))</f>
        <v> </v>
      </c>
      <c r="J1077" s="19" t="str">
        <f>IF(OR(E1077="",E1077="!!!",F1077="NEW"),"",COUNTBLANK(OFFSET(A$1,,,SUMPRODUCT(MAX(ROW(E$2:E1077)*(E1077=E$2:E1077)))))-COUNTBLANK(OFFSET(A$1,,,SUMPRODUCT(MAX(ROW(E$1:E1076)*(E2=E$1:E1076))))))</f>
        <v> </v>
      </c>
      <c r="K1077" s="19" t="str">
        <f>IF(OR(E1077="",E1077="!!!",F1077="NEW"),"",INDEX(J$1:J1076,SUMPRODUCT(MAX(ROW(E$1:E1076)*(E1077=E$1:E1076)))))</f>
        <v> </v>
      </c>
      <c r="L1077" s="20"/>
    </row>
    <row r="1078" spans="1:12">
      <c r="A1078" s="13" t="s">
        <v>209</v>
      </c>
      <c r="E1078" s="15">
        <f>IF(D1078="?OLD","!!!","")</f>
        <v/>
      </c>
      <c r="F1078" s="16" t="str">
        <f>IF(OR(E1078="",E1078="!!!"),"",IF(NOT(ISNA(VLOOKUP(E1078,E$1:E1077,1,FALSE()))),"OLD",IF(AND(E1078&lt;&gt;"",E1078&lt;&gt;"!!!"),"NEW","")))</f>
        <v> </v>
      </c>
      <c r="G1078" s="17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18" t="str">
        <f>IF(J1078&lt;&gt;1,"",IF(I1078="SBJ","CB","?"))</f>
        <v> </v>
      </c>
      <c r="I1078" s="19" t="str">
        <f>IF(OR(E1078="",E1078="!!!",F1078="NEW"),"",INDEX(B1077:B$2,-1+SUMPRODUCT(MAX(ROW(E1077:E$2)*(E1078=E1077:E$2)))))</f>
        <v> </v>
      </c>
      <c r="J1078" s="19" t="str">
        <f>IF(OR(E1078="",E1078="!!!",F1078="NEW"),"",COUNTBLANK(OFFSET(A$1,,,SUMPRODUCT(MAX(ROW(E$2:E1078)*(E1078=E$2:E1078)))))-COUNTBLANK(OFFSET(A$1,,,SUMPRODUCT(MAX(ROW(E$1:E1077)*(E2=E$1:E1077))))))</f>
        <v> </v>
      </c>
      <c r="K1078" s="19" t="str">
        <f>IF(OR(E1078="",E1078="!!!",F1078="NEW"),"",INDEX(J$1:J1077,SUMPRODUCT(MAX(ROW(E$1:E1077)*(E1078=E$1:E1077)))))</f>
        <v> </v>
      </c>
      <c r="L1078" s="20"/>
    </row>
    <row r="1079" spans="1:12">
      <c r="A1079" s="13" t="s">
        <v>408</v>
      </c>
      <c r="B1079" s="14" t="s">
        <v>203</v>
      </c>
      <c r="C1079" s="14" t="s">
        <v>34</v>
      </c>
      <c r="E1079" s="15">
        <f>IF(D1079="?OLD","!!!","")</f>
        <v/>
      </c>
      <c r="F1079" s="16" t="str">
        <f>IF(OR(E1079="",E1079="!!!"),"",IF(NOT(ISNA(VLOOKUP(E1079,E$1:E1078,1,FALSE()))),"OLD",IF(AND(E1079&lt;&gt;"",E1079&lt;&gt;"!!!"),"NEW","")))</f>
        <v> </v>
      </c>
      <c r="G1079" s="17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18" t="str">
        <f>IF(J1079&lt;&gt;1,"",IF(I1079="SBJ","CB","?"))</f>
        <v> </v>
      </c>
      <c r="I1079" s="19" t="str">
        <f>IF(OR(E1079="",E1079="!!!",F1079="NEW"),"",INDEX(B1078:B$2,-1+SUMPRODUCT(MAX(ROW(E1078:E$2)*(E1079=E1078:E$2)))))</f>
        <v> </v>
      </c>
      <c r="J1079" s="19" t="str">
        <f>IF(OR(E1079="",E1079="!!!",F1079="NEW"),"",COUNTBLANK(OFFSET(A$1,,,SUMPRODUCT(MAX(ROW(E$2:E1079)*(E1079=E$2:E1079)))))-COUNTBLANK(OFFSET(A$1,,,SUMPRODUCT(MAX(ROW(E$1:E1078)*(E2=E$1:E1078))))))</f>
        <v> </v>
      </c>
      <c r="K1079" s="19" t="str">
        <f>IF(OR(E1079="",E1079="!!!",F1079="NEW"),"",INDEX(J$1:J1078,SUMPRODUCT(MAX(ROW(E$1:E1078)*(E1079=E$1:E1078)))))</f>
        <v> </v>
      </c>
      <c r="L1079" s="20"/>
    </row>
    <row r="1080" spans="1:12">
      <c r="A1080" s="13" t="s">
        <v>61</v>
      </c>
      <c r="B1080" s="14" t="s">
        <v>342</v>
      </c>
      <c r="E1080" s="15">
        <f>IF(D1080="?OLD","!!!","")</f>
        <v/>
      </c>
      <c r="F1080" s="16" t="str">
        <f>IF(OR(E1080="",E1080="!!!"),"",IF(NOT(ISNA(VLOOKUP(E1080,E$1:E1079,1,FALSE()))),"OLD",IF(AND(E1080&lt;&gt;"",E1080&lt;&gt;"!!!"),"NEW","")))</f>
        <v> </v>
      </c>
      <c r="G1080" s="17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18" t="str">
        <f>IF(J1080&lt;&gt;1,"",IF(I1080="SBJ","CB","?"))</f>
        <v> </v>
      </c>
      <c r="I1080" s="19" t="str">
        <f>IF(OR(E1080="",E1080="!!!",F1080="NEW"),"",INDEX(B1079:B$2,-1+SUMPRODUCT(MAX(ROW(E1079:E$2)*(E1080=E1079:E$2)))))</f>
        <v> </v>
      </c>
      <c r="J1080" s="19" t="str">
        <f>IF(OR(E1080="",E1080="!!!",F1080="NEW"),"",COUNTBLANK(OFFSET(A$1,,,SUMPRODUCT(MAX(ROW(E$2:E1080)*(E1080=E$2:E1080)))))-COUNTBLANK(OFFSET(A$1,,,SUMPRODUCT(MAX(ROW(E$1:E1079)*(E2=E$1:E1079))))))</f>
        <v> </v>
      </c>
      <c r="K1080" s="19" t="str">
        <f>IF(OR(E1080="",E1080="!!!",F1080="NEW"),"",INDEX(J$1:J1079,SUMPRODUCT(MAX(ROW(E$1:E1079)*(E1080=E$1:E1079)))))</f>
        <v> </v>
      </c>
      <c r="L1080" s="20"/>
    </row>
    <row r="1081" spans="1:12">
      <c r="A1081" s="13" t="s">
        <v>174</v>
      </c>
      <c r="E1081" s="15">
        <f>IF(D1081="?OLD","!!!","")</f>
        <v/>
      </c>
      <c r="F1081" s="16" t="str">
        <f>IF(OR(E1081="",E1081="!!!"),"",IF(NOT(ISNA(VLOOKUP(E1081,E$1:E1080,1,FALSE()))),"OLD",IF(AND(E1081&lt;&gt;"",E1081&lt;&gt;"!!!"),"NEW","")))</f>
        <v> </v>
      </c>
      <c r="G1081" s="17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18" t="str">
        <f>IF(J1081&lt;&gt;1,"",IF(I1081="SBJ","CB","?"))</f>
        <v> </v>
      </c>
      <c r="I1081" s="19" t="str">
        <f>IF(OR(E1081="",E1081="!!!",F1081="NEW"),"",INDEX(B1080:B$2,-1+SUMPRODUCT(MAX(ROW(E1080:E$2)*(E1081=E1080:E$2)))))</f>
        <v> </v>
      </c>
      <c r="J1081" s="19" t="str">
        <f>IF(OR(E1081="",E1081="!!!",F1081="NEW"),"",COUNTBLANK(OFFSET(A$1,,,SUMPRODUCT(MAX(ROW(E$2:E1081)*(E1081=E$2:E1081)))))-COUNTBLANK(OFFSET(A$1,,,SUMPRODUCT(MAX(ROW(E$1:E1080)*(E2=E$1:E1080))))))</f>
        <v> </v>
      </c>
      <c r="K1081" s="19" t="str">
        <f>IF(OR(E1081="",E1081="!!!",F1081="NEW"),"",INDEX(J$1:J1080,SUMPRODUCT(MAX(ROW(E$1:E1080)*(E1081=E$1:E1080)))))</f>
        <v> </v>
      </c>
      <c r="L1081" s="20"/>
    </row>
    <row r="1082" spans="1:12">
      <c r="A1082" s="13" t="s">
        <v>62</v>
      </c>
      <c r="B1082" s="14" t="s">
        <v>296</v>
      </c>
      <c r="C1082" s="14" t="s">
        <v>64</v>
      </c>
      <c r="D1082" s="14" t="s">
        <v>25</v>
      </c>
      <c r="E1082" s="15">
        <f>IF(D1082="?OLD","!!!","")</f>
        <v/>
      </c>
      <c r="F1082" s="16" t="str">
        <f>IF(OR(E1082="",E1082="!!!"),"",IF(NOT(ISNA(VLOOKUP(E1082,E$1:E1081,1,FALSE()))),"OLD",IF(AND(E1082&lt;&gt;"",E1082&lt;&gt;"!!!"),"NEW","")))</f>
        <v> </v>
      </c>
      <c r="G1082" s="17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18" t="str">
        <f>IF(J1082&lt;&gt;1,"",IF(I1082="SBJ","CB","?"))</f>
        <v> </v>
      </c>
      <c r="I1082" s="19" t="str">
        <f>IF(OR(E1082="",E1082="!!!",F1082="NEW"),"",INDEX(B1081:B$2,-1+SUMPRODUCT(MAX(ROW(E1081:E$2)*(E1082=E1081:E$2)))))</f>
        <v> </v>
      </c>
      <c r="J1082" s="19" t="str">
        <f>IF(OR(E1082="",E1082="!!!",F1082="NEW"),"",COUNTBLANK(OFFSET(A$1,,,SUMPRODUCT(MAX(ROW(E$2:E1082)*(E1082=E$2:E1082)))))-COUNTBLANK(OFFSET(A$1,,,SUMPRODUCT(MAX(ROW(E$1:E1081)*(E2=E$1:E1081))))))</f>
        <v> </v>
      </c>
      <c r="K1082" s="19" t="str">
        <f>IF(OR(E1082="",E1082="!!!",F1082="NEW"),"",INDEX(J$1:J1081,SUMPRODUCT(MAX(ROW(E$1:E1081)*(E1082=E$1:E1081)))))</f>
        <v> </v>
      </c>
      <c r="L1082" s="20"/>
    </row>
    <row r="1083" spans="1:12">
      <c r="A1083" s="13" t="s">
        <v>409</v>
      </c>
      <c r="E1083" s="15">
        <f>IF(D1083="?OLD","!!!","")</f>
        <v/>
      </c>
      <c r="F1083" s="16" t="str">
        <f>IF(OR(E1083="",E1083="!!!"),"",IF(NOT(ISNA(VLOOKUP(E1083,E$1:E1082,1,FALSE()))),"OLD",IF(AND(E1083&lt;&gt;"",E1083&lt;&gt;"!!!"),"NEW","")))</f>
        <v> </v>
      </c>
      <c r="G1083" s="17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18" t="str">
        <f>IF(J1083&lt;&gt;1,"",IF(I1083="SBJ","CB","?"))</f>
        <v> </v>
      </c>
      <c r="I1083" s="19" t="str">
        <f>IF(OR(E1083="",E1083="!!!",F1083="NEW"),"",INDEX(B1082:B$2,-1+SUMPRODUCT(MAX(ROW(E1082:E$2)*(E1083=E1082:E$2)))))</f>
        <v> </v>
      </c>
      <c r="J1083" s="19" t="str">
        <f>IF(OR(E1083="",E1083="!!!",F1083="NEW"),"",COUNTBLANK(OFFSET(A$1,,,SUMPRODUCT(MAX(ROW(E$2:E1083)*(E1083=E$2:E1083)))))-COUNTBLANK(OFFSET(A$1,,,SUMPRODUCT(MAX(ROW(E$1:E1082)*(E2=E$1:E1082))))))</f>
        <v> </v>
      </c>
      <c r="K1083" s="19" t="str">
        <f>IF(OR(E1083="",E1083="!!!",F1083="NEW"),"",INDEX(J$1:J1082,SUMPRODUCT(MAX(ROW(E$1:E1082)*(E1083=E$1:E1082)))))</f>
        <v> </v>
      </c>
      <c r="L1083" s="20"/>
    </row>
    <row r="1084" spans="1:12">
      <c r="A1084" s="13" t="s">
        <v>116</v>
      </c>
      <c r="E1084" s="15">
        <f>IF(D1084="?OLD","!!!","")</f>
        <v/>
      </c>
      <c r="F1084" s="16" t="str">
        <f>IF(OR(E1084="",E1084="!!!"),"",IF(NOT(ISNA(VLOOKUP(E1084,E$1:E1083,1,FALSE()))),"OLD",IF(AND(E1084&lt;&gt;"",E1084&lt;&gt;"!!!"),"NEW","")))</f>
        <v> </v>
      </c>
      <c r="G1084" s="17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18" t="str">
        <f>IF(J1084&lt;&gt;1,"",IF(I1084="SBJ","CB","?"))</f>
        <v> </v>
      </c>
      <c r="I1084" s="19" t="str">
        <f>IF(OR(E1084="",E1084="!!!",F1084="NEW"),"",INDEX(B1083:B$2,-1+SUMPRODUCT(MAX(ROW(E1083:E$2)*(E1084=E1083:E$2)))))</f>
        <v> </v>
      </c>
      <c r="J1084" s="19" t="str">
        <f>IF(OR(E1084="",E1084="!!!",F1084="NEW"),"",COUNTBLANK(OFFSET(A$1,,,SUMPRODUCT(MAX(ROW(E$2:E1084)*(E1084=E$2:E1084)))))-COUNTBLANK(OFFSET(A$1,,,SUMPRODUCT(MAX(ROW(E$1:E1083)*(E2=E$1:E1083))))))</f>
        <v> </v>
      </c>
      <c r="K1084" s="19" t="str">
        <f>IF(OR(E1084="",E1084="!!!",F1084="NEW"),"",INDEX(J$1:J1083,SUMPRODUCT(MAX(ROW(E$1:E1083)*(E1084=E$1:E1083)))))</f>
        <v> </v>
      </c>
      <c r="L1084" s="20"/>
    </row>
    <row r="1085" spans="1:12">
      <c r="A1085" s="13"/>
    </row>
    <row r="1086" spans="1:12">
      <c r="A1086" s="13" t="s">
        <v>410</v>
      </c>
    </row>
    <row r="1087" spans="1:12">
      <c r="A1087" s="13" t="s">
        <v>127</v>
      </c>
      <c r="E1087" s="15">
        <f>IF(D1087="?OLD","!!!","")</f>
        <v/>
      </c>
      <c r="F1087" s="16" t="str">
        <f>IF(OR(E1087="",E1087="!!!"),"",IF(NOT(ISNA(VLOOKUP(E1087,E$1:E1086,1,FALSE()))),"OLD",IF(AND(E1087&lt;&gt;"",E1087&lt;&gt;"!!!"),"NEW","")))</f>
        <v> </v>
      </c>
      <c r="G1087" s="17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18" t="str">
        <f>IF(J1087&lt;&gt;1,"",IF(I1087="SBJ","CB","?"))</f>
        <v> </v>
      </c>
      <c r="I1087" s="19" t="str">
        <f>IF(OR(E1087="",E1087="!!!",F1087="NEW"),"",INDEX(B1086:B$2,-1+SUMPRODUCT(MAX(ROW(E1086:E$2)*(E1087=E1086:E$2)))))</f>
        <v> </v>
      </c>
      <c r="J1087" s="19" t="str">
        <f>IF(OR(E1087="",E1087="!!!",F1087="NEW"),"",COUNTBLANK(OFFSET(A$1,,,SUMPRODUCT(MAX(ROW(E$2:E1087)*(E1087=E$2:E1087)))))-COUNTBLANK(OFFSET(A$1,,,SUMPRODUCT(MAX(ROW(E$1:E1086)*(E2=E$1:E1086))))))</f>
        <v> </v>
      </c>
      <c r="K1087" s="19" t="str">
        <f>IF(OR(E1087="",E1087="!!!",F1087="NEW"),"",INDEX(J$1:J1086,SUMPRODUCT(MAX(ROW(E$1:E1086)*(E1087=E$1:E1086)))))</f>
        <v> </v>
      </c>
      <c r="L1087" s="20"/>
    </row>
    <row r="1088" spans="1:12">
      <c r="A1088" s="13" t="s">
        <v>79</v>
      </c>
      <c r="E1088" s="15">
        <f>IF(D1088="?OLD","!!!","")</f>
        <v/>
      </c>
      <c r="F1088" s="16" t="str">
        <f>IF(OR(E1088="",E1088="!!!"),"",IF(NOT(ISNA(VLOOKUP(E1088,E$1:E1087,1,FALSE()))),"OLD",IF(AND(E1088&lt;&gt;"",E1088&lt;&gt;"!!!"),"NEW","")))</f>
        <v> </v>
      </c>
      <c r="G1088" s="17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18" t="str">
        <f>IF(J1088&lt;&gt;1,"",IF(I1088="SBJ","CB","?"))</f>
        <v> </v>
      </c>
      <c r="I1088" s="19" t="str">
        <f>IF(OR(E1088="",E1088="!!!",F1088="NEW"),"",INDEX(B1087:B$2,-1+SUMPRODUCT(MAX(ROW(E1087:E$2)*(E1088=E1087:E$2)))))</f>
        <v> </v>
      </c>
      <c r="J1088" s="19" t="str">
        <f>IF(OR(E1088="",E1088="!!!",F1088="NEW"),"",COUNTBLANK(OFFSET(A$1,,,SUMPRODUCT(MAX(ROW(E$2:E1088)*(E1088=E$2:E1088)))))-COUNTBLANK(OFFSET(A$1,,,SUMPRODUCT(MAX(ROW(E$1:E1087)*(E2=E$1:E1087))))))</f>
        <v> </v>
      </c>
      <c r="K1088" s="19" t="str">
        <f>IF(OR(E1088="",E1088="!!!",F1088="NEW"),"",INDEX(J$1:J1087,SUMPRODUCT(MAX(ROW(E$1:E1087)*(E1088=E$1:E1087)))))</f>
        <v> </v>
      </c>
      <c r="L1088" s="20"/>
    </row>
    <row r="1089" spans="1:12">
      <c r="A1089" s="13" t="s">
        <v>270</v>
      </c>
      <c r="E1089" s="15">
        <f>IF(D1089="?OLD","!!!","")</f>
        <v/>
      </c>
      <c r="F1089" s="16" t="str">
        <f>IF(OR(E1089="",E1089="!!!"),"",IF(NOT(ISNA(VLOOKUP(E1089,E$1:E1088,1,FALSE()))),"OLD",IF(AND(E1089&lt;&gt;"",E1089&lt;&gt;"!!!"),"NEW","")))</f>
        <v> </v>
      </c>
      <c r="G1089" s="17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18" t="str">
        <f>IF(J1089&lt;&gt;1,"",IF(I1089="SBJ","CB","?"))</f>
        <v> </v>
      </c>
      <c r="I1089" s="19" t="str">
        <f>IF(OR(E1089="",E1089="!!!",F1089="NEW"),"",INDEX(B1088:B$2,-1+SUMPRODUCT(MAX(ROW(E1088:E$2)*(E1089=E1088:E$2)))))</f>
        <v> </v>
      </c>
      <c r="J1089" s="19" t="str">
        <f>IF(OR(E1089="",E1089="!!!",F1089="NEW"),"",COUNTBLANK(OFFSET(A$1,,,SUMPRODUCT(MAX(ROW(E$2:E1089)*(E1089=E$2:E1089)))))-COUNTBLANK(OFFSET(A$1,,,SUMPRODUCT(MAX(ROW(E$1:E1088)*(E2=E$1:E1088))))))</f>
        <v> </v>
      </c>
      <c r="K1089" s="19" t="str">
        <f>IF(OR(E1089="",E1089="!!!",F1089="NEW"),"",INDEX(J$1:J1088,SUMPRODUCT(MAX(ROW(E$1:E1088)*(E1089=E$1:E1088)))))</f>
        <v> </v>
      </c>
      <c r="L1089" s="20"/>
    </row>
    <row r="1090" spans="1:12">
      <c r="A1090" s="13" t="s">
        <v>411</v>
      </c>
      <c r="B1090" s="14" t="s">
        <v>27</v>
      </c>
      <c r="C1090" s="14" t="s">
        <v>60</v>
      </c>
      <c r="D1090" s="14" t="s">
        <v>25</v>
      </c>
      <c r="E1090" s="15">
        <f>IF(D1090="?OLD","!!!","")</f>
        <v/>
      </c>
      <c r="F1090" s="16" t="str">
        <f>IF(OR(E1090="",E1090="!!!"),"",IF(NOT(ISNA(VLOOKUP(E1090,E$1:E1089,1,FALSE()))),"OLD",IF(AND(E1090&lt;&gt;"",E1090&lt;&gt;"!!!"),"NEW","")))</f>
        <v> </v>
      </c>
      <c r="G1090" s="17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18" t="str">
        <f>IF(J1090&lt;&gt;1,"",IF(I1090="SBJ","CB","?"))</f>
        <v> </v>
      </c>
      <c r="I1090" s="19" t="str">
        <f>IF(OR(E1090="",E1090="!!!",F1090="NEW"),"",INDEX(B1089:B$2,-1+SUMPRODUCT(MAX(ROW(E1089:E$2)*(E1090=E1089:E$2)))))</f>
        <v> </v>
      </c>
      <c r="J1090" s="19" t="str">
        <f>IF(OR(E1090="",E1090="!!!",F1090="NEW"),"",COUNTBLANK(OFFSET(A$1,,,SUMPRODUCT(MAX(ROW(E$2:E1090)*(E1090=E$2:E1090)))))-COUNTBLANK(OFFSET(A$1,,,SUMPRODUCT(MAX(ROW(E$1:E1089)*(E2=E$1:E1089))))))</f>
        <v> </v>
      </c>
      <c r="K1090" s="19" t="str">
        <f>IF(OR(E1090="",E1090="!!!",F1090="NEW"),"",INDEX(J$1:J1089,SUMPRODUCT(MAX(ROW(E$1:E1089)*(E1090=E$1:E1089)))))</f>
        <v> </v>
      </c>
      <c r="L1090" s="20"/>
    </row>
    <row r="1091" spans="1:12">
      <c r="A1091" s="13" t="s">
        <v>412</v>
      </c>
      <c r="E1091" s="15">
        <f>IF(D1091="?OLD","!!!","")</f>
        <v/>
      </c>
      <c r="F1091" s="16" t="str">
        <f>IF(OR(E1091="",E1091="!!!"),"",IF(NOT(ISNA(VLOOKUP(E1091,E$1:E1090,1,FALSE()))),"OLD",IF(AND(E1091&lt;&gt;"",E1091&lt;&gt;"!!!"),"NEW","")))</f>
        <v> </v>
      </c>
      <c r="G1091" s="17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18" t="str">
        <f>IF(J1091&lt;&gt;1,"",IF(I1091="SBJ","CB","?"))</f>
        <v> </v>
      </c>
      <c r="I1091" s="19" t="str">
        <f>IF(OR(E1091="",E1091="!!!",F1091="NEW"),"",INDEX(B1090:B$2,-1+SUMPRODUCT(MAX(ROW(E1090:E$2)*(E1091=E1090:E$2)))))</f>
        <v> </v>
      </c>
      <c r="J1091" s="19" t="str">
        <f>IF(OR(E1091="",E1091="!!!",F1091="NEW"),"",COUNTBLANK(OFFSET(A$1,,,SUMPRODUCT(MAX(ROW(E$2:E1091)*(E1091=E$2:E1091)))))-COUNTBLANK(OFFSET(A$1,,,SUMPRODUCT(MAX(ROW(E$1:E1090)*(E2=E$1:E1090))))))</f>
        <v> </v>
      </c>
      <c r="K1091" s="19" t="str">
        <f>IF(OR(E1091="",E1091="!!!",F1091="NEW"),"",INDEX(J$1:J1090,SUMPRODUCT(MAX(ROW(E$1:E1090)*(E1091=E$1:E1090)))))</f>
        <v> </v>
      </c>
      <c r="L1091" s="20"/>
    </row>
    <row r="1092" spans="1:12">
      <c r="A1092" s="13" t="s">
        <v>74</v>
      </c>
      <c r="E1092" s="15">
        <f>IF(D1092="?OLD","!!!","")</f>
        <v/>
      </c>
      <c r="F1092" s="16" t="str">
        <f>IF(OR(E1092="",E1092="!!!"),"",IF(NOT(ISNA(VLOOKUP(E1092,E$1:E1091,1,FALSE()))),"OLD",IF(AND(E1092&lt;&gt;"",E1092&lt;&gt;"!!!"),"NEW","")))</f>
        <v> </v>
      </c>
      <c r="G1092" s="17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18" t="str">
        <f>IF(J1092&lt;&gt;1,"",IF(I1092="SBJ","CB","?"))</f>
        <v> </v>
      </c>
      <c r="I1092" s="19" t="str">
        <f>IF(OR(E1092="",E1092="!!!",F1092="NEW"),"",INDEX(B1091:B$2,-1+SUMPRODUCT(MAX(ROW(E1091:E$2)*(E1092=E1091:E$2)))))</f>
        <v> </v>
      </c>
      <c r="J1092" s="19" t="str">
        <f>IF(OR(E1092="",E1092="!!!",F1092="NEW"),"",COUNTBLANK(OFFSET(A$1,,,SUMPRODUCT(MAX(ROW(E$2:E1092)*(E1092=E$2:E1092)))))-COUNTBLANK(OFFSET(A$1,,,SUMPRODUCT(MAX(ROW(E$1:E1091)*(E2=E$1:E1091))))))</f>
        <v> </v>
      </c>
      <c r="K1092" s="19" t="str">
        <f>IF(OR(E1092="",E1092="!!!",F1092="NEW"),"",INDEX(J$1:J1091,SUMPRODUCT(MAX(ROW(E$1:E1091)*(E1092=E$1:E1091)))))</f>
        <v> </v>
      </c>
      <c r="L1092" s="20"/>
    </row>
    <row r="1093" spans="1:12">
      <c r="A1093" s="13" t="s">
        <v>286</v>
      </c>
      <c r="E1093" s="15">
        <f>IF(D1093="?OLD","!!!","")</f>
        <v/>
      </c>
      <c r="F1093" s="16" t="str">
        <f>IF(OR(E1093="",E1093="!!!"),"",IF(NOT(ISNA(VLOOKUP(E1093,E$1:E1092,1,FALSE()))),"OLD",IF(AND(E1093&lt;&gt;"",E1093&lt;&gt;"!!!"),"NEW","")))</f>
        <v> </v>
      </c>
      <c r="G1093" s="17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18" t="str">
        <f>IF(J1093&lt;&gt;1,"",IF(I1093="SBJ","CB","?"))</f>
        <v> </v>
      </c>
      <c r="I1093" s="19" t="str">
        <f>IF(OR(E1093="",E1093="!!!",F1093="NEW"),"",INDEX(B1092:B$2,-1+SUMPRODUCT(MAX(ROW(E1092:E$2)*(E1093=E1092:E$2)))))</f>
        <v> </v>
      </c>
      <c r="J1093" s="19" t="str">
        <f>IF(OR(E1093="",E1093="!!!",F1093="NEW"),"",COUNTBLANK(OFFSET(A$1,,,SUMPRODUCT(MAX(ROW(E$2:E1093)*(E1093=E$2:E1093)))))-COUNTBLANK(OFFSET(A$1,,,SUMPRODUCT(MAX(ROW(E$1:E1092)*(E2=E$1:E1092))))))</f>
        <v> </v>
      </c>
      <c r="K1093" s="19" t="str">
        <f>IF(OR(E1093="",E1093="!!!",F1093="NEW"),"",INDEX(J$1:J1092,SUMPRODUCT(MAX(ROW(E$1:E1092)*(E1093=E$1:E1092)))))</f>
        <v> </v>
      </c>
      <c r="L1093" s="20"/>
    </row>
    <row r="1094" spans="1:12">
      <c r="A1094" s="13" t="s">
        <v>105</v>
      </c>
      <c r="E1094" s="15">
        <f>IF(D1094="?OLD","!!!","")</f>
        <v/>
      </c>
      <c r="F1094" s="16" t="str">
        <f>IF(OR(E1094="",E1094="!!!"),"",IF(NOT(ISNA(VLOOKUP(E1094,E$1:E1093,1,FALSE()))),"OLD",IF(AND(E1094&lt;&gt;"",E1094&lt;&gt;"!!!"),"NEW","")))</f>
        <v> </v>
      </c>
      <c r="G1094" s="17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18" t="str">
        <f>IF(J1094&lt;&gt;1,"",IF(I1094="SBJ","CB","?"))</f>
        <v> </v>
      </c>
      <c r="I1094" s="19" t="str">
        <f>IF(OR(E1094="",E1094="!!!",F1094="NEW"),"",INDEX(B1093:B$2,-1+SUMPRODUCT(MAX(ROW(E1093:E$2)*(E1094=E1093:E$2)))))</f>
        <v> </v>
      </c>
      <c r="J1094" s="19" t="str">
        <f>IF(OR(E1094="",E1094="!!!",F1094="NEW"),"",COUNTBLANK(OFFSET(A$1,,,SUMPRODUCT(MAX(ROW(E$2:E1094)*(E1094=E$2:E1094)))))-COUNTBLANK(OFFSET(A$1,,,SUMPRODUCT(MAX(ROW(E$1:E1093)*(E2=E$1:E1093))))))</f>
        <v> </v>
      </c>
      <c r="K1094" s="19" t="str">
        <f>IF(OR(E1094="",E1094="!!!",F1094="NEW"),"",INDEX(J$1:J1093,SUMPRODUCT(MAX(ROW(E$1:E1093)*(E1094=E$1:E1093)))))</f>
        <v> </v>
      </c>
      <c r="L1094" s="20"/>
    </row>
    <row r="1095" spans="1:12">
      <c r="A1095" s="13" t="s">
        <v>76</v>
      </c>
      <c r="E1095" s="15">
        <f>IF(D1095="?OLD","!!!","")</f>
        <v/>
      </c>
      <c r="F1095" s="16" t="str">
        <f>IF(OR(E1095="",E1095="!!!"),"",IF(NOT(ISNA(VLOOKUP(E1095,E$1:E1094,1,FALSE()))),"OLD",IF(AND(E1095&lt;&gt;"",E1095&lt;&gt;"!!!"),"NEW","")))</f>
        <v> </v>
      </c>
      <c r="G1095" s="17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18" t="str">
        <f>IF(J1095&lt;&gt;1,"",IF(I1095="SBJ","CB","?"))</f>
        <v> </v>
      </c>
      <c r="I1095" s="19" t="str">
        <f>IF(OR(E1095="",E1095="!!!",F1095="NEW"),"",INDEX(B1094:B$2,-1+SUMPRODUCT(MAX(ROW(E1094:E$2)*(E1095=E1094:E$2)))))</f>
        <v> </v>
      </c>
      <c r="J1095" s="19" t="str">
        <f>IF(OR(E1095="",E1095="!!!",F1095="NEW"),"",COUNTBLANK(OFFSET(A$1,,,SUMPRODUCT(MAX(ROW(E$2:E1095)*(E1095=E$2:E1095)))))-COUNTBLANK(OFFSET(A$1,,,SUMPRODUCT(MAX(ROW(E$1:E1094)*(E2=E$1:E1094))))))</f>
        <v> </v>
      </c>
      <c r="K1095" s="19" t="str">
        <f>IF(OR(E1095="",E1095="!!!",F1095="NEW"),"",INDEX(J$1:J1094,SUMPRODUCT(MAX(ROW(E$1:E1094)*(E1095=E$1:E1094)))))</f>
        <v> </v>
      </c>
      <c r="L1095" s="20"/>
    </row>
    <row r="1096" spans="1:12">
      <c r="A1096" s="13" t="s">
        <v>79</v>
      </c>
      <c r="E1096" s="15">
        <f>IF(D1096="?OLD","!!!","")</f>
        <v/>
      </c>
      <c r="F1096" s="16" t="str">
        <f>IF(OR(E1096="",E1096="!!!"),"",IF(NOT(ISNA(VLOOKUP(E1096,E$1:E1095,1,FALSE()))),"OLD",IF(AND(E1096&lt;&gt;"",E1096&lt;&gt;"!!!"),"NEW","")))</f>
        <v> </v>
      </c>
      <c r="G1096" s="17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18" t="str">
        <f>IF(J1096&lt;&gt;1,"",IF(I1096="SBJ","CB","?"))</f>
        <v> </v>
      </c>
      <c r="I1096" s="19" t="str">
        <f>IF(OR(E1096="",E1096="!!!",F1096="NEW"),"",INDEX(B1095:B$2,-1+SUMPRODUCT(MAX(ROW(E1095:E$2)*(E1096=E1095:E$2)))))</f>
        <v> </v>
      </c>
      <c r="J1096" s="19" t="str">
        <f>IF(OR(E1096="",E1096="!!!",F1096="NEW"),"",COUNTBLANK(OFFSET(A$1,,,SUMPRODUCT(MAX(ROW(E$2:E1096)*(E1096=E$2:E1096)))))-COUNTBLANK(OFFSET(A$1,,,SUMPRODUCT(MAX(ROW(E$1:E1095)*(E2=E$1:E1095))))))</f>
        <v> </v>
      </c>
      <c r="K1096" s="19" t="str">
        <f>IF(OR(E1096="",E1096="!!!",F1096="NEW"),"",INDEX(J$1:J1095,SUMPRODUCT(MAX(ROW(E$1:E1095)*(E1096=E$1:E1095)))))</f>
        <v> </v>
      </c>
      <c r="L1096" s="20"/>
    </row>
    <row r="1097" spans="1:12">
      <c r="A1097" s="13" t="s">
        <v>413</v>
      </c>
      <c r="E1097" s="15">
        <f>IF(D1097="?OLD","!!!","")</f>
        <v/>
      </c>
      <c r="F1097" s="16" t="str">
        <f>IF(OR(E1097="",E1097="!!!"),"",IF(NOT(ISNA(VLOOKUP(E1097,E$1:E1096,1,FALSE()))),"OLD",IF(AND(E1097&lt;&gt;"",E1097&lt;&gt;"!!!"),"NEW","")))</f>
        <v> </v>
      </c>
      <c r="G1097" s="17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18" t="str">
        <f>IF(J1097&lt;&gt;1,"",IF(I1097="SBJ","CB","?"))</f>
        <v> </v>
      </c>
      <c r="I1097" s="19" t="str">
        <f>IF(OR(E1097="",E1097="!!!",F1097="NEW"),"",INDEX(B1096:B$2,-1+SUMPRODUCT(MAX(ROW(E1096:E$2)*(E1097=E1096:E$2)))))</f>
        <v> </v>
      </c>
      <c r="J1097" s="19" t="str">
        <f>IF(OR(E1097="",E1097="!!!",F1097="NEW"),"",COUNTBLANK(OFFSET(A$1,,,SUMPRODUCT(MAX(ROW(E$2:E1097)*(E1097=E$2:E1097)))))-COUNTBLANK(OFFSET(A$1,,,SUMPRODUCT(MAX(ROW(E$1:E1096)*(E2=E$1:E1096))))))</f>
        <v> </v>
      </c>
      <c r="K1097" s="19" t="str">
        <f>IF(OR(E1097="",E1097="!!!",F1097="NEW"),"",INDEX(J$1:J1096,SUMPRODUCT(MAX(ROW(E$1:E1096)*(E1097=E$1:E1096)))))</f>
        <v> </v>
      </c>
      <c r="L1097" s="20"/>
    </row>
    <row r="1098" spans="1:12">
      <c r="A1098" s="13" t="s">
        <v>414</v>
      </c>
      <c r="B1098" s="14" t="s">
        <v>33</v>
      </c>
      <c r="C1098" s="14" t="s">
        <v>86</v>
      </c>
      <c r="E1098" s="15">
        <f>IF(D1098="?OLD","!!!","")</f>
        <v/>
      </c>
      <c r="F1098" s="16" t="str">
        <f>IF(OR(E1098="",E1098="!!!"),"",IF(NOT(ISNA(VLOOKUP(E1098,E$1:E1097,1,FALSE()))),"OLD",IF(AND(E1098&lt;&gt;"",E1098&lt;&gt;"!!!"),"NEW","")))</f>
        <v> </v>
      </c>
      <c r="G1098" s="17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18" t="str">
        <f>IF(J1098&lt;&gt;1,"",IF(I1098="SBJ","CB","?"))</f>
        <v> </v>
      </c>
      <c r="I1098" s="19" t="str">
        <f>IF(OR(E1098="",E1098="!!!",F1098="NEW"),"",INDEX(B1097:B$2,-1+SUMPRODUCT(MAX(ROW(E1097:E$2)*(E1098=E1097:E$2)))))</f>
        <v> </v>
      </c>
      <c r="J1098" s="19" t="str">
        <f>IF(OR(E1098="",E1098="!!!",F1098="NEW"),"",COUNTBLANK(OFFSET(A$1,,,SUMPRODUCT(MAX(ROW(E$2:E1098)*(E1098=E$2:E1098)))))-COUNTBLANK(OFFSET(A$1,,,SUMPRODUCT(MAX(ROW(E$1:E1097)*(E2=E$1:E1097))))))</f>
        <v> </v>
      </c>
      <c r="K1098" s="19" t="str">
        <f>IF(OR(E1098="",E1098="!!!",F1098="NEW"),"",INDEX(J$1:J1097,SUMPRODUCT(MAX(ROW(E$1:E1097)*(E1098=E$1:E1097)))))</f>
        <v> </v>
      </c>
      <c r="L1098" s="20"/>
    </row>
    <row r="1099" spans="1:12">
      <c r="A1099" s="13" t="s">
        <v>56</v>
      </c>
      <c r="E1099" s="15">
        <f>IF(D1099="?OLD","!!!","")</f>
        <v/>
      </c>
      <c r="F1099" s="16" t="str">
        <f>IF(OR(E1099="",E1099="!!!"),"",IF(NOT(ISNA(VLOOKUP(E1099,E$1:E1098,1,FALSE()))),"OLD",IF(AND(E1099&lt;&gt;"",E1099&lt;&gt;"!!!"),"NEW","")))</f>
        <v> </v>
      </c>
      <c r="G1099" s="17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18" t="str">
        <f>IF(J1099&lt;&gt;1,"",IF(I1099="SBJ","CB","?"))</f>
        <v> </v>
      </c>
      <c r="I1099" s="19" t="str">
        <f>IF(OR(E1099="",E1099="!!!",F1099="NEW"),"",INDEX(B1098:B$2,-1+SUMPRODUCT(MAX(ROW(E1098:E$2)*(E1099=E1098:E$2)))))</f>
        <v> </v>
      </c>
      <c r="J1099" s="19" t="str">
        <f>IF(OR(E1099="",E1099="!!!",F1099="NEW"),"",COUNTBLANK(OFFSET(A$1,,,SUMPRODUCT(MAX(ROW(E$2:E1099)*(E1099=E$2:E1099)))))-COUNTBLANK(OFFSET(A$1,,,SUMPRODUCT(MAX(ROW(E$1:E1098)*(E2=E$1:E1098))))))</f>
        <v> </v>
      </c>
      <c r="K1099" s="19" t="str">
        <f>IF(OR(E1099="",E1099="!!!",F1099="NEW"),"",INDEX(J$1:J1098,SUMPRODUCT(MAX(ROW(E$1:E1098)*(E1099=E$1:E1098)))))</f>
        <v> </v>
      </c>
      <c r="L1099" s="20"/>
    </row>
    <row r="1100" spans="1:12">
      <c r="A1100" s="13" t="s">
        <v>76</v>
      </c>
      <c r="E1100" s="15">
        <f>IF(D1100="?OLD","!!!","")</f>
        <v/>
      </c>
      <c r="F1100" s="16" t="str">
        <f>IF(OR(E1100="",E1100="!!!"),"",IF(NOT(ISNA(VLOOKUP(E1100,E$1:E1099,1,FALSE()))),"OLD",IF(AND(E1100&lt;&gt;"",E1100&lt;&gt;"!!!"),"NEW","")))</f>
        <v> </v>
      </c>
      <c r="G1100" s="17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18" t="str">
        <f>IF(J1100&lt;&gt;1,"",IF(I1100="SBJ","CB","?"))</f>
        <v> </v>
      </c>
      <c r="I1100" s="19" t="str">
        <f>IF(OR(E1100="",E1100="!!!",F1100="NEW"),"",INDEX(B1099:B$2,-1+SUMPRODUCT(MAX(ROW(E1099:E$2)*(E1100=E1099:E$2)))))</f>
        <v> </v>
      </c>
      <c r="J1100" s="19" t="str">
        <f>IF(OR(E1100="",E1100="!!!",F1100="NEW"),"",COUNTBLANK(OFFSET(A$1,,,SUMPRODUCT(MAX(ROW(E$2:E1100)*(E1100=E$2:E1100)))))-COUNTBLANK(OFFSET(A$1,,,SUMPRODUCT(MAX(ROW(E$1:E1099)*(E2=E$1:E1099))))))</f>
        <v> </v>
      </c>
      <c r="K1100" s="19" t="str">
        <f>IF(OR(E1100="",E1100="!!!",F1100="NEW"),"",INDEX(J$1:J1099,SUMPRODUCT(MAX(ROW(E$1:E1099)*(E1100=E$1:E1099)))))</f>
        <v> </v>
      </c>
      <c r="L1100" s="20"/>
    </row>
    <row r="1101" spans="1:12">
      <c r="A1101" s="13" t="s">
        <v>270</v>
      </c>
      <c r="E1101" s="15">
        <f>IF(D1101="?OLD","!!!","")</f>
        <v/>
      </c>
      <c r="F1101" s="16" t="str">
        <f>IF(OR(E1101="",E1101="!!!"),"",IF(NOT(ISNA(VLOOKUP(E1101,E$1:E1100,1,FALSE()))),"OLD",IF(AND(E1101&lt;&gt;"",E1101&lt;&gt;"!!!"),"NEW","")))</f>
        <v> </v>
      </c>
      <c r="G1101" s="17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18" t="str">
        <f>IF(J1101&lt;&gt;1,"",IF(I1101="SBJ","CB","?"))</f>
        <v> </v>
      </c>
      <c r="I1101" s="19" t="str">
        <f>IF(OR(E1101="",E1101="!!!",F1101="NEW"),"",INDEX(B1100:B$2,-1+SUMPRODUCT(MAX(ROW(E1100:E$2)*(E1101=E1100:E$2)))))</f>
        <v> </v>
      </c>
      <c r="J1101" s="19" t="str">
        <f>IF(OR(E1101="",E1101="!!!",F1101="NEW"),"",COUNTBLANK(OFFSET(A$1,,,SUMPRODUCT(MAX(ROW(E$2:E1101)*(E1101=E$2:E1101)))))-COUNTBLANK(OFFSET(A$1,,,SUMPRODUCT(MAX(ROW(E$1:E1100)*(E2=E$1:E1100))))))</f>
        <v> </v>
      </c>
      <c r="K1101" s="19" t="str">
        <f>IF(OR(E1101="",E1101="!!!",F1101="NEW"),"",INDEX(J$1:J1100,SUMPRODUCT(MAX(ROW(E$1:E1100)*(E1101=E$1:E1100)))))</f>
        <v> </v>
      </c>
      <c r="L1101" s="20"/>
    </row>
    <row r="1102" spans="1:12">
      <c r="A1102" s="13" t="s">
        <v>58</v>
      </c>
      <c r="E1102" s="15">
        <f>IF(D1102="?OLD","!!!","")</f>
        <v/>
      </c>
      <c r="F1102" s="16" t="str">
        <f>IF(OR(E1102="",E1102="!!!"),"",IF(NOT(ISNA(VLOOKUP(E1102,E$1:E1101,1,FALSE()))),"OLD",IF(AND(E1102&lt;&gt;"",E1102&lt;&gt;"!!!"),"NEW","")))</f>
        <v> </v>
      </c>
      <c r="G1102" s="17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18" t="str">
        <f>IF(J1102&lt;&gt;1,"",IF(I1102="SBJ","CB","?"))</f>
        <v> </v>
      </c>
      <c r="I1102" s="19" t="str">
        <f>IF(OR(E1102="",E1102="!!!",F1102="NEW"),"",INDEX(B1101:B$2,-1+SUMPRODUCT(MAX(ROW(E1101:E$2)*(E1102=E1101:E$2)))))</f>
        <v> </v>
      </c>
      <c r="J1102" s="19" t="str">
        <f>IF(OR(E1102="",E1102="!!!",F1102="NEW"),"",COUNTBLANK(OFFSET(A$1,,,SUMPRODUCT(MAX(ROW(E$2:E1102)*(E1102=E$2:E1102)))))-COUNTBLANK(OFFSET(A$1,,,SUMPRODUCT(MAX(ROW(E$1:E1101)*(E2=E$1:E1101))))))</f>
        <v> </v>
      </c>
      <c r="K1102" s="19" t="str">
        <f>IF(OR(E1102="",E1102="!!!",F1102="NEW"),"",INDEX(J$1:J1101,SUMPRODUCT(MAX(ROW(E$1:E1101)*(E1102=E$1:E1101)))))</f>
        <v> </v>
      </c>
      <c r="L1102" s="20"/>
    </row>
    <row r="1103" spans="1:12">
      <c r="A1103" s="13" t="s">
        <v>415</v>
      </c>
      <c r="E1103" s="15">
        <f>IF(D1103="?OLD","!!!","")</f>
        <v/>
      </c>
      <c r="F1103" s="16" t="str">
        <f>IF(OR(E1103="",E1103="!!!"),"",IF(NOT(ISNA(VLOOKUP(E1103,E$1:E1102,1,FALSE()))),"OLD",IF(AND(E1103&lt;&gt;"",E1103&lt;&gt;"!!!"),"NEW","")))</f>
        <v> </v>
      </c>
      <c r="G1103" s="17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18" t="str">
        <f>IF(J1103&lt;&gt;1,"",IF(I1103="SBJ","CB","?"))</f>
        <v> </v>
      </c>
      <c r="I1103" s="19" t="str">
        <f>IF(OR(E1103="",E1103="!!!",F1103="NEW"),"",INDEX(B1102:B$2,-1+SUMPRODUCT(MAX(ROW(E1102:E$2)*(E1103=E1102:E$2)))))</f>
        <v> </v>
      </c>
      <c r="J1103" s="19" t="str">
        <f>IF(OR(E1103="",E1103="!!!",F1103="NEW"),"",COUNTBLANK(OFFSET(A$1,,,SUMPRODUCT(MAX(ROW(E$2:E1103)*(E1103=E$2:E1103)))))-COUNTBLANK(OFFSET(A$1,,,SUMPRODUCT(MAX(ROW(E$1:E1102)*(E2=E$1:E1102))))))</f>
        <v> </v>
      </c>
      <c r="K1103" s="19" t="str">
        <f>IF(OR(E1103="",E1103="!!!",F1103="NEW"),"",INDEX(J$1:J1102,SUMPRODUCT(MAX(ROW(E$1:E1102)*(E1103=E$1:E1102)))))</f>
        <v> </v>
      </c>
      <c r="L1103" s="20"/>
    </row>
    <row r="1104" spans="1:12">
      <c r="A1104" s="13" t="s">
        <v>416</v>
      </c>
      <c r="E1104" s="15">
        <f>IF(D1104="?OLD","!!!","")</f>
        <v/>
      </c>
      <c r="F1104" s="16" t="str">
        <f>IF(OR(E1104="",E1104="!!!"),"",IF(NOT(ISNA(VLOOKUP(E1104,E$1:E1103,1,FALSE()))),"OLD",IF(AND(E1104&lt;&gt;"",E1104&lt;&gt;"!!!"),"NEW","")))</f>
        <v> </v>
      </c>
      <c r="G1104" s="17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18" t="str">
        <f>IF(J1104&lt;&gt;1,"",IF(I1104="SBJ","CB","?"))</f>
        <v> </v>
      </c>
      <c r="I1104" s="19" t="str">
        <f>IF(OR(E1104="",E1104="!!!",F1104="NEW"),"",INDEX(B1103:B$2,-1+SUMPRODUCT(MAX(ROW(E1103:E$2)*(E1104=E1103:E$2)))))</f>
        <v> </v>
      </c>
      <c r="J1104" s="19" t="str">
        <f>IF(OR(E1104="",E1104="!!!",F1104="NEW"),"",COUNTBLANK(OFFSET(A$1,,,SUMPRODUCT(MAX(ROW(E$2:E1104)*(E1104=E$2:E1104)))))-COUNTBLANK(OFFSET(A$1,,,SUMPRODUCT(MAX(ROW(E$1:E1103)*(E2=E$1:E1103))))))</f>
        <v> </v>
      </c>
      <c r="K1104" s="19" t="str">
        <f>IF(OR(E1104="",E1104="!!!",F1104="NEW"),"",INDEX(J$1:J1103,SUMPRODUCT(MAX(ROW(E$1:E1103)*(E1104=E$1:E1103)))))</f>
        <v> </v>
      </c>
      <c r="L1104" s="20"/>
    </row>
    <row r="1105" spans="1:12">
      <c r="A1105" s="13" t="s">
        <v>417</v>
      </c>
      <c r="E1105" s="15">
        <f>IF(D1105="?OLD","!!!","")</f>
        <v/>
      </c>
      <c r="F1105" s="16" t="str">
        <f>IF(OR(E1105="",E1105="!!!"),"",IF(NOT(ISNA(VLOOKUP(E1105,E$1:E1104,1,FALSE()))),"OLD",IF(AND(E1105&lt;&gt;"",E1105&lt;&gt;"!!!"),"NEW","")))</f>
        <v> </v>
      </c>
      <c r="G1105" s="17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18" t="str">
        <f>IF(J1105&lt;&gt;1,"",IF(I1105="SBJ","CB","?"))</f>
        <v> </v>
      </c>
      <c r="I1105" s="19" t="str">
        <f>IF(OR(E1105="",E1105="!!!",F1105="NEW"),"",INDEX(B1104:B$2,-1+SUMPRODUCT(MAX(ROW(E1104:E$2)*(E1105=E1104:E$2)))))</f>
        <v> </v>
      </c>
      <c r="J1105" s="19" t="str">
        <f>IF(OR(E1105="",E1105="!!!",F1105="NEW"),"",COUNTBLANK(OFFSET(A$1,,,SUMPRODUCT(MAX(ROW(E$2:E1105)*(E1105=E$2:E1105)))))-COUNTBLANK(OFFSET(A$1,,,SUMPRODUCT(MAX(ROW(E$1:E1104)*(E2=E$1:E1104))))))</f>
        <v> </v>
      </c>
      <c r="K1105" s="19" t="str">
        <f>IF(OR(E1105="",E1105="!!!",F1105="NEW"),"",INDEX(J$1:J1104,SUMPRODUCT(MAX(ROW(E$1:E1104)*(E1105=E$1:E1104)))))</f>
        <v> </v>
      </c>
      <c r="L1105" s="20"/>
    </row>
    <row r="1106" spans="1:12">
      <c r="A1106" s="13" t="s">
        <v>418</v>
      </c>
      <c r="B1106" s="14" t="s">
        <v>45</v>
      </c>
      <c r="C1106" s="14" t="s">
        <v>136</v>
      </c>
      <c r="D1106" s="14" t="s">
        <v>25</v>
      </c>
      <c r="E1106" s="15">
        <f>IF(D1106="?OLD","!!!","")</f>
        <v/>
      </c>
      <c r="F1106" s="16" t="str">
        <f>IF(OR(E1106="",E1106="!!!"),"",IF(NOT(ISNA(VLOOKUP(E1106,E$1:E1105,1,FALSE()))),"OLD",IF(AND(E1106&lt;&gt;"",E1106&lt;&gt;"!!!"),"NEW","")))</f>
        <v> </v>
      </c>
      <c r="G1106" s="17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18" t="str">
        <f>IF(J1106&lt;&gt;1,"",IF(I1106="SBJ","CB","?"))</f>
        <v> </v>
      </c>
      <c r="I1106" s="19" t="str">
        <f>IF(OR(E1106="",E1106="!!!",F1106="NEW"),"",INDEX(B1105:B$2,-1+SUMPRODUCT(MAX(ROW(E1105:E$2)*(E1106=E1105:E$2)))))</f>
        <v> </v>
      </c>
      <c r="J1106" s="19" t="str">
        <f>IF(OR(E1106="",E1106="!!!",F1106="NEW"),"",COUNTBLANK(OFFSET(A$1,,,SUMPRODUCT(MAX(ROW(E$2:E1106)*(E1106=E$2:E1106)))))-COUNTBLANK(OFFSET(A$1,,,SUMPRODUCT(MAX(ROW(E$1:E1105)*(E2=E$1:E1105))))))</f>
        <v> </v>
      </c>
      <c r="K1106" s="19" t="str">
        <f>IF(OR(E1106="",E1106="!!!",F1106="NEW"),"",INDEX(J$1:J1105,SUMPRODUCT(MAX(ROW(E$1:E1105)*(E1106=E$1:E1105)))))</f>
        <v> </v>
      </c>
      <c r="L1106" s="20"/>
    </row>
    <row r="1107" spans="1:12">
      <c r="A1107" s="13" t="s">
        <v>61</v>
      </c>
      <c r="B1107" s="14" t="s">
        <v>219</v>
      </c>
      <c r="E1107" s="15">
        <f>IF(D1107="?OLD","!!!","")</f>
        <v/>
      </c>
      <c r="F1107" s="16" t="str">
        <f>IF(OR(E1107="",E1107="!!!"),"",IF(NOT(ISNA(VLOOKUP(E1107,E$1:E1106,1,FALSE()))),"OLD",IF(AND(E1107&lt;&gt;"",E1107&lt;&gt;"!!!"),"NEW","")))</f>
        <v> </v>
      </c>
      <c r="G1107" s="17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18" t="str">
        <f>IF(J1107&lt;&gt;1,"",IF(I1107="SBJ","CB","?"))</f>
        <v> </v>
      </c>
      <c r="I1107" s="19" t="str">
        <f>IF(OR(E1107="",E1107="!!!",F1107="NEW"),"",INDEX(B1106:B$2,-1+SUMPRODUCT(MAX(ROW(E1106:E$2)*(E1107=E1106:E$2)))))</f>
        <v> </v>
      </c>
      <c r="J1107" s="19" t="str">
        <f>IF(OR(E1107="",E1107="!!!",F1107="NEW"),"",COUNTBLANK(OFFSET(A$1,,,SUMPRODUCT(MAX(ROW(E$2:E1107)*(E1107=E$2:E1107)))))-COUNTBLANK(OFFSET(A$1,,,SUMPRODUCT(MAX(ROW(E$1:E1106)*(E2=E$1:E1106))))))</f>
        <v> </v>
      </c>
      <c r="K1107" s="19" t="str">
        <f>IF(OR(E1107="",E1107="!!!",F1107="NEW"),"",INDEX(J$1:J1106,SUMPRODUCT(MAX(ROW(E$1:E1106)*(E1107=E$1:E1106)))))</f>
        <v> </v>
      </c>
      <c r="L1107" s="20"/>
    </row>
    <row r="1108" spans="1:12">
      <c r="A1108" s="13" t="s">
        <v>129</v>
      </c>
      <c r="E1108" s="15">
        <f>IF(D1108="?OLD","!!!","")</f>
        <v/>
      </c>
      <c r="F1108" s="16" t="str">
        <f>IF(OR(E1108="",E1108="!!!"),"",IF(NOT(ISNA(VLOOKUP(E1108,E$1:E1107,1,FALSE()))),"OLD",IF(AND(E1108&lt;&gt;"",E1108&lt;&gt;"!!!"),"NEW","")))</f>
        <v> </v>
      </c>
      <c r="G1108" s="17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18" t="str">
        <f>IF(J1108&lt;&gt;1,"",IF(I1108="SBJ","CB","?"))</f>
        <v> </v>
      </c>
      <c r="I1108" s="19" t="str">
        <f>IF(OR(E1108="",E1108="!!!",F1108="NEW"),"",INDEX(B1107:B$2,-1+SUMPRODUCT(MAX(ROW(E1107:E$2)*(E1108=E1107:E$2)))))</f>
        <v> </v>
      </c>
      <c r="J1108" s="19" t="str">
        <f>IF(OR(E1108="",E1108="!!!",F1108="NEW"),"",COUNTBLANK(OFFSET(A$1,,,SUMPRODUCT(MAX(ROW(E$2:E1108)*(E1108=E$2:E1108)))))-COUNTBLANK(OFFSET(A$1,,,SUMPRODUCT(MAX(ROW(E$1:E1107)*(E2=E$1:E1107))))))</f>
        <v> </v>
      </c>
      <c r="K1108" s="19" t="str">
        <f>IF(OR(E1108="",E1108="!!!",F1108="NEW"),"",INDEX(J$1:J1107,SUMPRODUCT(MAX(ROW(E$1:E1107)*(E1108=E$1:E1107)))))</f>
        <v> </v>
      </c>
      <c r="L1108" s="20"/>
    </row>
    <row r="1109" spans="1:12">
      <c r="A1109" s="13" t="s">
        <v>419</v>
      </c>
      <c r="B1109" s="14" t="s">
        <v>93</v>
      </c>
      <c r="C1109" s="14" t="s">
        <v>39</v>
      </c>
      <c r="D1109" s="14" t="s">
        <v>25</v>
      </c>
      <c r="E1109" s="15">
        <f>IF(D1109="?OLD","!!!","")</f>
        <v/>
      </c>
      <c r="F1109" s="16" t="str">
        <f>IF(OR(E1109="",E1109="!!!"),"",IF(NOT(ISNA(VLOOKUP(E1109,E$1:E1108,1,FALSE()))),"OLD",IF(AND(E1109&lt;&gt;"",E1109&lt;&gt;"!!!"),"NEW","")))</f>
        <v> </v>
      </c>
      <c r="G1109" s="17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18" t="str">
        <f>IF(J1109&lt;&gt;1,"",IF(I1109="SBJ","CB","?"))</f>
        <v> </v>
      </c>
      <c r="I1109" s="19" t="str">
        <f>IF(OR(E1109="",E1109="!!!",F1109="NEW"),"",INDEX(B1108:B$2,-1+SUMPRODUCT(MAX(ROW(E1108:E$2)*(E1109=E1108:E$2)))))</f>
        <v> </v>
      </c>
      <c r="J1109" s="19" t="str">
        <f>IF(OR(E1109="",E1109="!!!",F1109="NEW"),"",COUNTBLANK(OFFSET(A$1,,,SUMPRODUCT(MAX(ROW(E$2:E1109)*(E1109=E$2:E1109)))))-COUNTBLANK(OFFSET(A$1,,,SUMPRODUCT(MAX(ROW(E$1:E1108)*(E2=E$1:E1108))))))</f>
        <v> </v>
      </c>
      <c r="K1109" s="19" t="str">
        <f>IF(OR(E1109="",E1109="!!!",F1109="NEW"),"",INDEX(J$1:J1108,SUMPRODUCT(MAX(ROW(E$1:E1108)*(E1109=E$1:E1108)))))</f>
        <v> </v>
      </c>
      <c r="L1109" s="20"/>
    </row>
    <row r="1110" spans="1:12">
      <c r="A1110" s="13" t="s">
        <v>79</v>
      </c>
      <c r="E1110" s="15">
        <f>IF(D1110="?OLD","!!!","")</f>
        <v/>
      </c>
      <c r="F1110" s="16" t="str">
        <f>IF(OR(E1110="",E1110="!!!"),"",IF(NOT(ISNA(VLOOKUP(E1110,E$1:E1109,1,FALSE()))),"OLD",IF(AND(E1110&lt;&gt;"",E1110&lt;&gt;"!!!"),"NEW","")))</f>
        <v> </v>
      </c>
      <c r="G1110" s="17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18" t="str">
        <f>IF(J1110&lt;&gt;1,"",IF(I1110="SBJ","CB","?"))</f>
        <v> </v>
      </c>
      <c r="I1110" s="19" t="str">
        <f>IF(OR(E1110="",E1110="!!!",F1110="NEW"),"",INDEX(B1109:B$2,-1+SUMPRODUCT(MAX(ROW(E1109:E$2)*(E1110=E1109:E$2)))))</f>
        <v> </v>
      </c>
      <c r="J1110" s="19" t="str">
        <f>IF(OR(E1110="",E1110="!!!",F1110="NEW"),"",COUNTBLANK(OFFSET(A$1,,,SUMPRODUCT(MAX(ROW(E$2:E1110)*(E1110=E$2:E1110)))))-COUNTBLANK(OFFSET(A$1,,,SUMPRODUCT(MAX(ROW(E$1:E1109)*(E2=E$1:E1109))))))</f>
        <v> </v>
      </c>
      <c r="K1110" s="19" t="str">
        <f>IF(OR(E1110="",E1110="!!!",F1110="NEW"),"",INDEX(J$1:J1109,SUMPRODUCT(MAX(ROW(E$1:E1109)*(E1110=E$1:E1109)))))</f>
        <v> </v>
      </c>
      <c r="L1110" s="20"/>
    </row>
    <row r="1111" spans="1:12">
      <c r="A1111" s="13" t="s">
        <v>420</v>
      </c>
      <c r="B1111" s="14" t="s">
        <v>33</v>
      </c>
      <c r="C1111" s="14" t="s">
        <v>34</v>
      </c>
      <c r="E1111" s="15">
        <f>IF(D1111="?OLD","!!!","")</f>
        <v/>
      </c>
      <c r="F1111" s="16" t="str">
        <f>IF(OR(E1111="",E1111="!!!"),"",IF(NOT(ISNA(VLOOKUP(E1111,E$1:E1110,1,FALSE()))),"OLD",IF(AND(E1111&lt;&gt;"",E1111&lt;&gt;"!!!"),"NEW","")))</f>
        <v> </v>
      </c>
      <c r="G1111" s="17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18" t="str">
        <f>IF(J1111&lt;&gt;1,"",IF(I1111="SBJ","CB","?"))</f>
        <v> </v>
      </c>
      <c r="I1111" s="19" t="str">
        <f>IF(OR(E1111="",E1111="!!!",F1111="NEW"),"",INDEX(B1110:B$2,-1+SUMPRODUCT(MAX(ROW(E1110:E$2)*(E1111=E1110:E$2)))))</f>
        <v> </v>
      </c>
      <c r="J1111" s="19" t="str">
        <f>IF(OR(E1111="",E1111="!!!",F1111="NEW"),"",COUNTBLANK(OFFSET(A$1,,,SUMPRODUCT(MAX(ROW(E$2:E1111)*(E1111=E$2:E1111)))))-COUNTBLANK(OFFSET(A$1,,,SUMPRODUCT(MAX(ROW(E$1:E1110)*(E2=E$1:E1110))))))</f>
        <v> </v>
      </c>
      <c r="K1111" s="19" t="str">
        <f>IF(OR(E1111="",E1111="!!!",F1111="NEW"),"",INDEX(J$1:J1110,SUMPRODUCT(MAX(ROW(E$1:E1110)*(E1111=E$1:E1110)))))</f>
        <v> </v>
      </c>
      <c r="L1111" s="20"/>
    </row>
    <row r="1112" spans="1:12">
      <c r="A1112" s="13" t="s">
        <v>421</v>
      </c>
      <c r="E1112" s="15">
        <f>IF(D1112="?OLD","!!!","")</f>
        <v/>
      </c>
      <c r="F1112" s="16" t="str">
        <f>IF(OR(E1112="",E1112="!!!"),"",IF(NOT(ISNA(VLOOKUP(E1112,E$1:E1111,1,FALSE()))),"OLD",IF(AND(E1112&lt;&gt;"",E1112&lt;&gt;"!!!"),"NEW","")))</f>
        <v> </v>
      </c>
      <c r="G1112" s="17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18" t="str">
        <f>IF(J1112&lt;&gt;1,"",IF(I1112="SBJ","CB","?"))</f>
        <v> </v>
      </c>
      <c r="I1112" s="19" t="str">
        <f>IF(OR(E1112="",E1112="!!!",F1112="NEW"),"",INDEX(B1111:B$2,-1+SUMPRODUCT(MAX(ROW(E1111:E$2)*(E1112=E1111:E$2)))))</f>
        <v> </v>
      </c>
      <c r="J1112" s="19" t="str">
        <f>IF(OR(E1112="",E1112="!!!",F1112="NEW"),"",COUNTBLANK(OFFSET(A$1,,,SUMPRODUCT(MAX(ROW(E$2:E1112)*(E1112=E$2:E1112)))))-COUNTBLANK(OFFSET(A$1,,,SUMPRODUCT(MAX(ROW(E$1:E1111)*(E2=E$1:E1111))))))</f>
        <v> </v>
      </c>
      <c r="K1112" s="19" t="str">
        <f>IF(OR(E1112="",E1112="!!!",F1112="NEW"),"",INDEX(J$1:J1111,SUMPRODUCT(MAX(ROW(E$1:E1111)*(E1112=E$1:E1111)))))</f>
        <v> </v>
      </c>
      <c r="L1112" s="20"/>
    </row>
    <row r="1113" spans="1:12">
      <c r="A1113" s="13" t="s">
        <v>76</v>
      </c>
      <c r="E1113" s="15">
        <f>IF(D1113="?OLD","!!!","")</f>
        <v/>
      </c>
      <c r="F1113" s="16" t="str">
        <f>IF(OR(E1113="",E1113="!!!"),"",IF(NOT(ISNA(VLOOKUP(E1113,E$1:E1112,1,FALSE()))),"OLD",IF(AND(E1113&lt;&gt;"",E1113&lt;&gt;"!!!"),"NEW","")))</f>
        <v> </v>
      </c>
      <c r="G1113" s="17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18" t="str">
        <f>IF(J1113&lt;&gt;1,"",IF(I1113="SBJ","CB","?"))</f>
        <v> </v>
      </c>
      <c r="I1113" s="19" t="str">
        <f>IF(OR(E1113="",E1113="!!!",F1113="NEW"),"",INDEX(B1112:B$2,-1+SUMPRODUCT(MAX(ROW(E1112:E$2)*(E1113=E1112:E$2)))))</f>
        <v> </v>
      </c>
      <c r="J1113" s="19" t="str">
        <f>IF(OR(E1113="",E1113="!!!",F1113="NEW"),"",COUNTBLANK(OFFSET(A$1,,,SUMPRODUCT(MAX(ROW(E$2:E1113)*(E1113=E$2:E1113)))))-COUNTBLANK(OFFSET(A$1,,,SUMPRODUCT(MAX(ROW(E$1:E1112)*(E2=E$1:E1112))))))</f>
        <v> </v>
      </c>
      <c r="K1113" s="19" t="str">
        <f>IF(OR(E1113="",E1113="!!!",F1113="NEW"),"",INDEX(J$1:J1112,SUMPRODUCT(MAX(ROW(E$1:E1112)*(E1113=E$1:E1112)))))</f>
        <v> </v>
      </c>
      <c r="L1113" s="20"/>
    </row>
    <row r="1114" spans="1:12">
      <c r="A1114" s="13" t="s">
        <v>422</v>
      </c>
      <c r="E1114" s="15">
        <f>IF(D1114="?OLD","!!!","")</f>
        <v/>
      </c>
      <c r="F1114" s="16" t="str">
        <f>IF(OR(E1114="",E1114="!!!"),"",IF(NOT(ISNA(VLOOKUP(E1114,E$1:E1113,1,FALSE()))),"OLD",IF(AND(E1114&lt;&gt;"",E1114&lt;&gt;"!!!"),"NEW","")))</f>
        <v> </v>
      </c>
      <c r="G1114" s="17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18" t="str">
        <f>IF(J1114&lt;&gt;1,"",IF(I1114="SBJ","CB","?"))</f>
        <v> </v>
      </c>
      <c r="I1114" s="19" t="str">
        <f>IF(OR(E1114="",E1114="!!!",F1114="NEW"),"",INDEX(B1113:B$2,-1+SUMPRODUCT(MAX(ROW(E1113:E$2)*(E1114=E1113:E$2)))))</f>
        <v> </v>
      </c>
      <c r="J1114" s="19" t="str">
        <f>IF(OR(E1114="",E1114="!!!",F1114="NEW"),"",COUNTBLANK(OFFSET(A$1,,,SUMPRODUCT(MAX(ROW(E$2:E1114)*(E1114=E$2:E1114)))))-COUNTBLANK(OFFSET(A$1,,,SUMPRODUCT(MAX(ROW(E$1:E1113)*(E2=E$1:E1113))))))</f>
        <v> </v>
      </c>
      <c r="K1114" s="19" t="str">
        <f>IF(OR(E1114="",E1114="!!!",F1114="NEW"),"",INDEX(J$1:J1113,SUMPRODUCT(MAX(ROW(E$1:E1113)*(E1114=E$1:E1113)))))</f>
        <v> </v>
      </c>
      <c r="L1114" s="20"/>
    </row>
    <row r="1115" spans="1:12">
      <c r="A1115" s="13" t="s">
        <v>79</v>
      </c>
      <c r="E1115" s="15">
        <f>IF(D1115="?OLD","!!!","")</f>
        <v/>
      </c>
      <c r="F1115" s="16" t="str">
        <f>IF(OR(E1115="",E1115="!!!"),"",IF(NOT(ISNA(VLOOKUP(E1115,E$1:E1114,1,FALSE()))),"OLD",IF(AND(E1115&lt;&gt;"",E1115&lt;&gt;"!!!"),"NEW","")))</f>
        <v> </v>
      </c>
      <c r="G1115" s="17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18" t="str">
        <f>IF(J1115&lt;&gt;1,"",IF(I1115="SBJ","CB","?"))</f>
        <v> </v>
      </c>
      <c r="I1115" s="19" t="str">
        <f>IF(OR(E1115="",E1115="!!!",F1115="NEW"),"",INDEX(B1114:B$2,-1+SUMPRODUCT(MAX(ROW(E1114:E$2)*(E1115=E1114:E$2)))))</f>
        <v> </v>
      </c>
      <c r="J1115" s="19" t="str">
        <f>IF(OR(E1115="",E1115="!!!",F1115="NEW"),"",COUNTBLANK(OFFSET(A$1,,,SUMPRODUCT(MAX(ROW(E$2:E1115)*(E1115=E$2:E1115)))))-COUNTBLANK(OFFSET(A$1,,,SUMPRODUCT(MAX(ROW(E$1:E1114)*(E2=E$1:E1114))))))</f>
        <v> </v>
      </c>
      <c r="K1115" s="19" t="str">
        <f>IF(OR(E1115="",E1115="!!!",F1115="NEW"),"",INDEX(J$1:J1114,SUMPRODUCT(MAX(ROW(E$1:E1114)*(E1115=E$1:E1114)))))</f>
        <v> </v>
      </c>
      <c r="L1115" s="20"/>
    </row>
    <row r="1116" spans="1:12">
      <c r="A1116" s="13" t="s">
        <v>423</v>
      </c>
      <c r="B1116" s="14" t="s">
        <v>203</v>
      </c>
      <c r="C1116" s="14" t="s">
        <v>34</v>
      </c>
      <c r="E1116" s="15">
        <f>IF(D1116="?OLD","!!!","")</f>
        <v/>
      </c>
      <c r="F1116" s="16" t="str">
        <f>IF(OR(E1116="",E1116="!!!"),"",IF(NOT(ISNA(VLOOKUP(E1116,E$1:E1115,1,FALSE()))),"OLD",IF(AND(E1116&lt;&gt;"",E1116&lt;&gt;"!!!"),"NEW","")))</f>
        <v> </v>
      </c>
      <c r="G1116" s="17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18" t="str">
        <f>IF(J1116&lt;&gt;1,"",IF(I1116="SBJ","CB","?"))</f>
        <v> </v>
      </c>
      <c r="I1116" s="19" t="str">
        <f>IF(OR(E1116="",E1116="!!!",F1116="NEW"),"",INDEX(B1115:B$2,-1+SUMPRODUCT(MAX(ROW(E1115:E$2)*(E1116=E1115:E$2)))))</f>
        <v> </v>
      </c>
      <c r="J1116" s="19" t="str">
        <f>IF(OR(E1116="",E1116="!!!",F1116="NEW"),"",COUNTBLANK(OFFSET(A$1,,,SUMPRODUCT(MAX(ROW(E$2:E1116)*(E1116=E$2:E1116)))))-COUNTBLANK(OFFSET(A$1,,,SUMPRODUCT(MAX(ROW(E$1:E1115)*(E2=E$1:E1115))))))</f>
        <v> </v>
      </c>
      <c r="K1116" s="19" t="str">
        <f>IF(OR(E1116="",E1116="!!!",F1116="NEW"),"",INDEX(J$1:J1115,SUMPRODUCT(MAX(ROW(E$1:E1115)*(E1116=E$1:E1115)))))</f>
        <v> </v>
      </c>
      <c r="L1116" s="20"/>
    </row>
    <row r="1117" spans="1:12">
      <c r="A1117" s="13" t="s">
        <v>76</v>
      </c>
      <c r="E1117" s="15">
        <f>IF(D1117="?OLD","!!!","")</f>
        <v/>
      </c>
      <c r="F1117" s="16" t="str">
        <f>IF(OR(E1117="",E1117="!!!"),"",IF(NOT(ISNA(VLOOKUP(E1117,E$1:E1116,1,FALSE()))),"OLD",IF(AND(E1117&lt;&gt;"",E1117&lt;&gt;"!!!"),"NEW","")))</f>
        <v> </v>
      </c>
      <c r="G1117" s="17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18" t="str">
        <f>IF(J1117&lt;&gt;1,"",IF(I1117="SBJ","CB","?"))</f>
        <v> </v>
      </c>
      <c r="I1117" s="19" t="str">
        <f>IF(OR(E1117="",E1117="!!!",F1117="NEW"),"",INDEX(B1116:B$2,-1+SUMPRODUCT(MAX(ROW(E1116:E$2)*(E1117=E1116:E$2)))))</f>
        <v> </v>
      </c>
      <c r="J1117" s="19" t="str">
        <f>IF(OR(E1117="",E1117="!!!",F1117="NEW"),"",COUNTBLANK(OFFSET(A$1,,,SUMPRODUCT(MAX(ROW(E$2:E1117)*(E1117=E$2:E1117)))))-COUNTBLANK(OFFSET(A$1,,,SUMPRODUCT(MAX(ROW(E$1:E1116)*(E2=E$1:E1116))))))</f>
        <v> </v>
      </c>
      <c r="K1117" s="19" t="str">
        <f>IF(OR(E1117="",E1117="!!!",F1117="NEW"),"",INDEX(J$1:J1116,SUMPRODUCT(MAX(ROW(E$1:E1116)*(E1117=E$1:E1116)))))</f>
        <v> </v>
      </c>
      <c r="L1117" s="20"/>
    </row>
    <row r="1118" spans="1:12">
      <c r="A1118" s="13" t="s">
        <v>79</v>
      </c>
      <c r="E1118" s="15">
        <f>IF(D1118="?OLD","!!!","")</f>
        <v/>
      </c>
      <c r="F1118" s="16" t="str">
        <f>IF(OR(E1118="",E1118="!!!"),"",IF(NOT(ISNA(VLOOKUP(E1118,E$1:E1117,1,FALSE()))),"OLD",IF(AND(E1118&lt;&gt;"",E1118&lt;&gt;"!!!"),"NEW","")))</f>
        <v> </v>
      </c>
      <c r="G1118" s="17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18" t="str">
        <f>IF(J1118&lt;&gt;1,"",IF(I1118="SBJ","CB","?"))</f>
        <v> </v>
      </c>
      <c r="I1118" s="19" t="str">
        <f>IF(OR(E1118="",E1118="!!!",F1118="NEW"),"",INDEX(B1117:B$2,-1+SUMPRODUCT(MAX(ROW(E1117:E$2)*(E1118=E1117:E$2)))))</f>
        <v> </v>
      </c>
      <c r="J1118" s="19" t="str">
        <f>IF(OR(E1118="",E1118="!!!",F1118="NEW"),"",COUNTBLANK(OFFSET(A$1,,,SUMPRODUCT(MAX(ROW(E$2:E1118)*(E1118=E$2:E1118)))))-COUNTBLANK(OFFSET(A$1,,,SUMPRODUCT(MAX(ROW(E$1:E1117)*(E2=E$1:E1117))))))</f>
        <v> </v>
      </c>
      <c r="K1118" s="19" t="str">
        <f>IF(OR(E1118="",E1118="!!!",F1118="NEW"),"",INDEX(J$1:J1117,SUMPRODUCT(MAX(ROW(E$1:E1117)*(E1118=E$1:E1117)))))</f>
        <v> </v>
      </c>
      <c r="L1118" s="20"/>
    </row>
    <row r="1119" spans="1:12">
      <c r="A1119" s="13" t="s">
        <v>424</v>
      </c>
      <c r="E1119" s="15">
        <f>IF(D1119="?OLD","!!!","")</f>
        <v/>
      </c>
      <c r="F1119" s="16" t="str">
        <f>IF(OR(E1119="",E1119="!!!"),"",IF(NOT(ISNA(VLOOKUP(E1119,E$1:E1118,1,FALSE()))),"OLD",IF(AND(E1119&lt;&gt;"",E1119&lt;&gt;"!!!"),"NEW","")))</f>
        <v> </v>
      </c>
      <c r="G1119" s="17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18" t="str">
        <f>IF(J1119&lt;&gt;1,"",IF(I1119="SBJ","CB","?"))</f>
        <v> </v>
      </c>
      <c r="I1119" s="19" t="str">
        <f>IF(OR(E1119="",E1119="!!!",F1119="NEW"),"",INDEX(B1118:B$2,-1+SUMPRODUCT(MAX(ROW(E1118:E$2)*(E1119=E1118:E$2)))))</f>
        <v> </v>
      </c>
      <c r="J1119" s="19" t="str">
        <f>IF(OR(E1119="",E1119="!!!",F1119="NEW"),"",COUNTBLANK(OFFSET(A$1,,,SUMPRODUCT(MAX(ROW(E$2:E1119)*(E1119=E$2:E1119)))))-COUNTBLANK(OFFSET(A$1,,,SUMPRODUCT(MAX(ROW(E$1:E1118)*(E2=E$1:E1118))))))</f>
        <v> </v>
      </c>
      <c r="K1119" s="19" t="str">
        <f>IF(OR(E1119="",E1119="!!!",F1119="NEW"),"",INDEX(J$1:J1118,SUMPRODUCT(MAX(ROW(E$1:E1118)*(E1119=E$1:E1118)))))</f>
        <v> </v>
      </c>
      <c r="L1119" s="20"/>
    </row>
    <row r="1120" spans="1:12">
      <c r="A1120" s="13" t="s">
        <v>425</v>
      </c>
      <c r="B1120" s="14" t="s">
        <v>296</v>
      </c>
      <c r="C1120" s="14" t="s">
        <v>34</v>
      </c>
      <c r="E1120" s="15">
        <f>IF(D1120="?OLD","!!!","")</f>
        <v/>
      </c>
      <c r="F1120" s="16" t="str">
        <f>IF(OR(E1120="",E1120="!!!"),"",IF(NOT(ISNA(VLOOKUP(E1120,E$1:E1119,1,FALSE()))),"OLD",IF(AND(E1120&lt;&gt;"",E1120&lt;&gt;"!!!"),"NEW","")))</f>
        <v> </v>
      </c>
      <c r="G1120" s="17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18" t="str">
        <f>IF(J1120&lt;&gt;1,"",IF(I1120="SBJ","CB","?"))</f>
        <v> </v>
      </c>
      <c r="I1120" s="19" t="str">
        <f>IF(OR(E1120="",E1120="!!!",F1120="NEW"),"",INDEX(B1119:B$2,-1+SUMPRODUCT(MAX(ROW(E1119:E$2)*(E1120=E1119:E$2)))))</f>
        <v> </v>
      </c>
      <c r="J1120" s="19" t="str">
        <f>IF(OR(E1120="",E1120="!!!",F1120="NEW"),"",COUNTBLANK(OFFSET(A$1,,,SUMPRODUCT(MAX(ROW(E$2:E1120)*(E1120=E$2:E1120)))))-COUNTBLANK(OFFSET(A$1,,,SUMPRODUCT(MAX(ROW(E$1:E1119)*(E2=E$1:E1119))))))</f>
        <v> </v>
      </c>
      <c r="K1120" s="19" t="str">
        <f>IF(OR(E1120="",E1120="!!!",F1120="NEW"),"",INDEX(J$1:J1119,SUMPRODUCT(MAX(ROW(E$1:E1119)*(E1120=E$1:E1119)))))</f>
        <v> </v>
      </c>
      <c r="L1120" s="20"/>
    </row>
    <row r="1121" spans="1:12">
      <c r="A1121" s="13" t="s">
        <v>68</v>
      </c>
      <c r="E1121" s="15">
        <f>IF(D1121="?OLD","!!!","")</f>
        <v/>
      </c>
      <c r="F1121" s="16" t="str">
        <f>IF(OR(E1121="",E1121="!!!"),"",IF(NOT(ISNA(VLOOKUP(E1121,E$1:E1120,1,FALSE()))),"OLD",IF(AND(E1121&lt;&gt;"",E1121&lt;&gt;"!!!"),"NEW","")))</f>
        <v> </v>
      </c>
      <c r="G1121" s="17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18" t="str">
        <f>IF(J1121&lt;&gt;1,"",IF(I1121="SBJ","CB","?"))</f>
        <v> </v>
      </c>
      <c r="I1121" s="19" t="str">
        <f>IF(OR(E1121="",E1121="!!!",F1121="NEW"),"",INDEX(B1120:B$2,-1+SUMPRODUCT(MAX(ROW(E1120:E$2)*(E1121=E1120:E$2)))))</f>
        <v> </v>
      </c>
      <c r="J1121" s="19" t="str">
        <f>IF(OR(E1121="",E1121="!!!",F1121="NEW"),"",COUNTBLANK(OFFSET(A$1,,,SUMPRODUCT(MAX(ROW(E$2:E1121)*(E1121=E$2:E1121)))))-COUNTBLANK(OFFSET(A$1,,,SUMPRODUCT(MAX(ROW(E$1:E1120)*(E2=E$1:E1120))))))</f>
        <v> </v>
      </c>
      <c r="K1121" s="19" t="str">
        <f>IF(OR(E1121="",E1121="!!!",F1121="NEW"),"",INDEX(J$1:J1120,SUMPRODUCT(MAX(ROW(E$1:E1120)*(E1121=E$1:E1120)))))</f>
        <v> </v>
      </c>
      <c r="L1121" s="20"/>
    </row>
    <row r="1122" spans="1:12">
      <c r="A1122" s="13"/>
    </row>
    <row r="1123" spans="1:12">
      <c r="A1123" s="13" t="s">
        <v>117</v>
      </c>
      <c r="E1123" s="15">
        <f>IF(D1123="?OLD","!!!","")</f>
        <v/>
      </c>
      <c r="F1123" s="16" t="str">
        <f>IF(OR(E1123="",E1123="!!!"),"",IF(NOT(ISNA(VLOOKUP(E1123,E$1:E1122,1,FALSE()))),"OLD",IF(AND(E1123&lt;&gt;"",E1123&lt;&gt;"!!!"),"NEW","")))</f>
        <v> </v>
      </c>
      <c r="G1123" s="17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18" t="str">
        <f>IF(J1123&lt;&gt;1,"",IF(I1123="SBJ","CB","?"))</f>
        <v> </v>
      </c>
      <c r="I1123" s="19" t="str">
        <f>IF(OR(E1123="",E1123="!!!",F1123="NEW"),"",INDEX(B1122:B$2,-1+SUMPRODUCT(MAX(ROW(E1122:E$2)*(E1123=E1122:E$2)))))</f>
        <v> </v>
      </c>
      <c r="J1123" s="19" t="str">
        <f>IF(OR(E1123="",E1123="!!!",F1123="NEW"),"",COUNTBLANK(OFFSET(A$1,,,SUMPRODUCT(MAX(ROW(E$2:E1123)*(E1123=E$2:E1123)))))-COUNTBLANK(OFFSET(A$1,,,SUMPRODUCT(MAX(ROW(E$1:E1122)*(E2=E$1:E1122))))))</f>
        <v> </v>
      </c>
      <c r="K1123" s="19" t="str">
        <f>IF(OR(E1123="",E1123="!!!",F1123="NEW"),"",INDEX(J$1:J1122,SUMPRODUCT(MAX(ROW(E$1:E1122)*(E1123=E$1:E1122)))))</f>
        <v> </v>
      </c>
      <c r="L1123" s="20"/>
    </row>
    <row r="1124" spans="1:12">
      <c r="A1124" s="13" t="s">
        <v>426</v>
      </c>
    </row>
    <row r="1125" spans="1:12">
      <c r="A1125" s="13" t="s">
        <v>427</v>
      </c>
      <c r="E1125" s="15">
        <f>IF(D1125="?OLD","!!!","")</f>
        <v/>
      </c>
      <c r="F1125" s="16" t="str">
        <f>IF(OR(E1125="",E1125="!!!"),"",IF(NOT(ISNA(VLOOKUP(E1125,E$1:E1124,1,FALSE()))),"OLD",IF(AND(E1125&lt;&gt;"",E1125&lt;&gt;"!!!"),"NEW","")))</f>
        <v> </v>
      </c>
      <c r="G1125" s="17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18" t="str">
        <f>IF(J1125&lt;&gt;1,"",IF(I1125="SBJ","CB","?"))</f>
        <v> </v>
      </c>
      <c r="I1125" s="19" t="str">
        <f>IF(OR(E1125="",E1125="!!!",F1125="NEW"),"",INDEX(B1124:B$2,-1+SUMPRODUCT(MAX(ROW(E1124:E$2)*(E1125=E1124:E$2)))))</f>
        <v> </v>
      </c>
      <c r="J1125" s="19" t="str">
        <f>IF(OR(E1125="",E1125="!!!",F1125="NEW"),"",COUNTBLANK(OFFSET(A$1,,,SUMPRODUCT(MAX(ROW(E$2:E1125)*(E1125=E$2:E1125)))))-COUNTBLANK(OFFSET(A$1,,,SUMPRODUCT(MAX(ROW(E$1:E1124)*(E2=E$1:E1124))))))</f>
        <v> </v>
      </c>
      <c r="K1125" s="19" t="str">
        <f>IF(OR(E1125="",E1125="!!!",F1125="NEW"),"",INDEX(J$1:J1124,SUMPRODUCT(MAX(ROW(E$1:E1124)*(E1125=E$1:E1124)))))</f>
        <v> </v>
      </c>
      <c r="L1125" s="20"/>
    </row>
    <row r="1126" spans="1:12">
      <c r="A1126" s="13" t="s">
        <v>428</v>
      </c>
      <c r="E1126" s="15">
        <f>IF(D1126="?OLD","!!!","")</f>
        <v/>
      </c>
      <c r="F1126" s="16" t="str">
        <f>IF(OR(E1126="",E1126="!!!"),"",IF(NOT(ISNA(VLOOKUP(E1126,E$1:E1125,1,FALSE()))),"OLD",IF(AND(E1126&lt;&gt;"",E1126&lt;&gt;"!!!"),"NEW","")))</f>
        <v> </v>
      </c>
      <c r="G1126" s="17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18" t="str">
        <f>IF(J1126&lt;&gt;1,"",IF(I1126="SBJ","CB","?"))</f>
        <v> </v>
      </c>
      <c r="I1126" s="19" t="str">
        <f>IF(OR(E1126="",E1126="!!!",F1126="NEW"),"",INDEX(B1125:B$2,-1+SUMPRODUCT(MAX(ROW(E1125:E$2)*(E1126=E1125:E$2)))))</f>
        <v> </v>
      </c>
      <c r="J1126" s="19" t="str">
        <f>IF(OR(E1126="",E1126="!!!",F1126="NEW"),"",COUNTBLANK(OFFSET(A$1,,,SUMPRODUCT(MAX(ROW(E$2:E1126)*(E1126=E$2:E1126)))))-COUNTBLANK(OFFSET(A$1,,,SUMPRODUCT(MAX(ROW(E$1:E1125)*(E2=E$1:E1125))))))</f>
        <v> </v>
      </c>
      <c r="K1126" s="19" t="str">
        <f>IF(OR(E1126="",E1126="!!!",F1126="NEW"),"",INDEX(J$1:J1125,SUMPRODUCT(MAX(ROW(E$1:E1125)*(E1126=E$1:E1125)))))</f>
        <v> </v>
      </c>
      <c r="L1126" s="20"/>
    </row>
    <row r="1127" spans="1:12">
      <c r="A1127" s="13" t="s">
        <v>429</v>
      </c>
      <c r="E1127" s="15">
        <f>IF(D1127="?OLD","!!!","")</f>
        <v/>
      </c>
      <c r="F1127" s="16" t="str">
        <f>IF(OR(E1127="",E1127="!!!"),"",IF(NOT(ISNA(VLOOKUP(E1127,E$1:E1126,1,FALSE()))),"OLD",IF(AND(E1127&lt;&gt;"",E1127&lt;&gt;"!!!"),"NEW","")))</f>
        <v> </v>
      </c>
      <c r="G1127" s="17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18" t="str">
        <f>IF(J1127&lt;&gt;1,"",IF(I1127="SBJ","CB","?"))</f>
        <v> </v>
      </c>
      <c r="I1127" s="19" t="str">
        <f>IF(OR(E1127="",E1127="!!!",F1127="NEW"),"",INDEX(B1126:B$2,-1+SUMPRODUCT(MAX(ROW(E1126:E$2)*(E1127=E1126:E$2)))))</f>
        <v> </v>
      </c>
      <c r="J1127" s="19" t="str">
        <f>IF(OR(E1127="",E1127="!!!",F1127="NEW"),"",COUNTBLANK(OFFSET(A$1,,,SUMPRODUCT(MAX(ROW(E$2:E1127)*(E1127=E$2:E1127)))))-COUNTBLANK(OFFSET(A$1,,,SUMPRODUCT(MAX(ROW(E$1:E1126)*(E2=E$1:E1126))))))</f>
        <v> </v>
      </c>
      <c r="K1127" s="19" t="str">
        <f>IF(OR(E1127="",E1127="!!!",F1127="NEW"),"",INDEX(J$1:J1126,SUMPRODUCT(MAX(ROW(E$1:E1126)*(E1127=E$1:E1126)))))</f>
        <v> </v>
      </c>
      <c r="L1127" s="20"/>
    </row>
    <row r="1128" spans="1:12">
      <c r="A1128" s="13" t="s">
        <v>119</v>
      </c>
      <c r="E1128" s="15">
        <f>IF(D1128="?OLD","!!!","")</f>
        <v/>
      </c>
      <c r="F1128" s="16" t="str">
        <f>IF(OR(E1128="",E1128="!!!"),"",IF(NOT(ISNA(VLOOKUP(E1128,E$1:E1127,1,FALSE()))),"OLD",IF(AND(E1128&lt;&gt;"",E1128&lt;&gt;"!!!"),"NEW","")))</f>
        <v> </v>
      </c>
      <c r="G1128" s="17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18" t="str">
        <f>IF(J1128&lt;&gt;1,"",IF(I1128="SBJ","CB","?"))</f>
        <v> </v>
      </c>
      <c r="I1128" s="19" t="str">
        <f>IF(OR(E1128="",E1128="!!!",F1128="NEW"),"",INDEX(B1127:B$2,-1+SUMPRODUCT(MAX(ROW(E1127:E$2)*(E1128=E1127:E$2)))))</f>
        <v> </v>
      </c>
      <c r="J1128" s="19" t="str">
        <f>IF(OR(E1128="",E1128="!!!",F1128="NEW"),"",COUNTBLANK(OFFSET(A$1,,,SUMPRODUCT(MAX(ROW(E$2:E1128)*(E1128=E$2:E1128)))))-COUNTBLANK(OFFSET(A$1,,,SUMPRODUCT(MAX(ROW(E$1:E1127)*(E2=E$1:E1127))))))</f>
        <v> </v>
      </c>
      <c r="K1128" s="19" t="str">
        <f>IF(OR(E1128="",E1128="!!!",F1128="NEW"),"",INDEX(J$1:J1127,SUMPRODUCT(MAX(ROW(E$1:E1127)*(E1128=E$1:E1127)))))</f>
        <v> </v>
      </c>
      <c r="L1128" s="20"/>
    </row>
    <row r="1129" spans="1:12">
      <c r="A1129" s="13" t="s">
        <v>430</v>
      </c>
      <c r="E1129" s="15">
        <f>IF(D1129="?OLD","!!!","")</f>
        <v/>
      </c>
      <c r="F1129" s="16" t="str">
        <f>IF(OR(E1129="",E1129="!!!"),"",IF(NOT(ISNA(VLOOKUP(E1129,E$1:E1128,1,FALSE()))),"OLD",IF(AND(E1129&lt;&gt;"",E1129&lt;&gt;"!!!"),"NEW","")))</f>
        <v> </v>
      </c>
      <c r="G1129" s="17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18" t="str">
        <f>IF(J1129&lt;&gt;1,"",IF(I1129="SBJ","CB","?"))</f>
        <v> </v>
      </c>
      <c r="I1129" s="19" t="str">
        <f>IF(OR(E1129="",E1129="!!!",F1129="NEW"),"",INDEX(B1128:B$2,-1+SUMPRODUCT(MAX(ROW(E1128:E$2)*(E1129=E1128:E$2)))))</f>
        <v> </v>
      </c>
      <c r="J1129" s="19" t="str">
        <f>IF(OR(E1129="",E1129="!!!",F1129="NEW"),"",COUNTBLANK(OFFSET(A$1,,,SUMPRODUCT(MAX(ROW(E$2:E1129)*(E1129=E$2:E1129)))))-COUNTBLANK(OFFSET(A$1,,,SUMPRODUCT(MAX(ROW(E$1:E1128)*(E2=E$1:E1128))))))</f>
        <v> </v>
      </c>
      <c r="K1129" s="19" t="str">
        <f>IF(OR(E1129="",E1129="!!!",F1129="NEW"),"",INDEX(J$1:J1128,SUMPRODUCT(MAX(ROW(E$1:E1128)*(E1129=E$1:E1128)))))</f>
        <v> </v>
      </c>
      <c r="L1129" s="20"/>
    </row>
    <row r="1130" spans="1:12">
      <c r="A1130" s="13" t="s">
        <v>102</v>
      </c>
      <c r="E1130" s="15">
        <f>IF(D1130="?OLD","!!!","")</f>
        <v/>
      </c>
      <c r="F1130" s="16" t="str">
        <f>IF(OR(E1130="",E1130="!!!"),"",IF(NOT(ISNA(VLOOKUP(E1130,E$1:E1129,1,FALSE()))),"OLD",IF(AND(E1130&lt;&gt;"",E1130&lt;&gt;"!!!"),"NEW","")))</f>
        <v> </v>
      </c>
      <c r="G1130" s="17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18" t="str">
        <f>IF(J1130&lt;&gt;1,"",IF(I1130="SBJ","CB","?"))</f>
        <v> </v>
      </c>
      <c r="I1130" s="19" t="str">
        <f>IF(OR(E1130="",E1130="!!!",F1130="NEW"),"",INDEX(B1129:B$2,-1+SUMPRODUCT(MAX(ROW(E1129:E$2)*(E1130=E1129:E$2)))))</f>
        <v> </v>
      </c>
      <c r="J1130" s="19" t="str">
        <f>IF(OR(E1130="",E1130="!!!",F1130="NEW"),"",COUNTBLANK(OFFSET(A$1,,,SUMPRODUCT(MAX(ROW(E$2:E1130)*(E1130=E$2:E1130)))))-COUNTBLANK(OFFSET(A$1,,,SUMPRODUCT(MAX(ROW(E$1:E1129)*(E2=E$1:E1129))))))</f>
        <v> </v>
      </c>
      <c r="K1130" s="19" t="str">
        <f>IF(OR(E1130="",E1130="!!!",F1130="NEW"),"",INDEX(J$1:J1129,SUMPRODUCT(MAX(ROW(E$1:E1129)*(E1130=E$1:E1129)))))</f>
        <v> </v>
      </c>
      <c r="L1130" s="20"/>
    </row>
    <row r="1131" spans="1:12">
      <c r="A1131" s="13" t="s">
        <v>431</v>
      </c>
      <c r="B1131" s="14" t="s">
        <v>45</v>
      </c>
      <c r="C1131" s="14" t="s">
        <v>24</v>
      </c>
      <c r="D1131" s="14" t="s">
        <v>25</v>
      </c>
      <c r="E1131" s="15">
        <f>IF(D1131="?OLD","!!!","")</f>
        <v/>
      </c>
      <c r="F1131" s="16" t="str">
        <f>IF(OR(E1131="",E1131="!!!"),"",IF(NOT(ISNA(VLOOKUP(E1131,E$1:E1130,1,FALSE()))),"OLD",IF(AND(E1131&lt;&gt;"",E1131&lt;&gt;"!!!"),"NEW","")))</f>
        <v> </v>
      </c>
      <c r="G1131" s="17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18" t="str">
        <f>IF(J1131&lt;&gt;1,"",IF(I1131="SBJ","CB","?"))</f>
        <v> </v>
      </c>
      <c r="I1131" s="19" t="str">
        <f>IF(OR(E1131="",E1131="!!!",F1131="NEW"),"",INDEX(B1130:B$2,-1+SUMPRODUCT(MAX(ROW(E1130:E$2)*(E1131=E1130:E$2)))))</f>
        <v> </v>
      </c>
      <c r="J1131" s="19" t="str">
        <f>IF(OR(E1131="",E1131="!!!",F1131="NEW"),"",COUNTBLANK(OFFSET(A$1,,,SUMPRODUCT(MAX(ROW(E$2:E1131)*(E1131=E$2:E1131)))))-COUNTBLANK(OFFSET(A$1,,,SUMPRODUCT(MAX(ROW(E$1:E1130)*(E2=E$1:E1130))))))</f>
        <v> </v>
      </c>
      <c r="K1131" s="19" t="str">
        <f>IF(OR(E1131="",E1131="!!!",F1131="NEW"),"",INDEX(J$1:J1130,SUMPRODUCT(MAX(ROW(E$1:E1130)*(E1131=E$1:E1130)))))</f>
        <v> </v>
      </c>
      <c r="L1131" s="20"/>
    </row>
    <row r="1132" spans="1:12">
      <c r="A1132" s="13" t="s">
        <v>119</v>
      </c>
      <c r="E1132" s="15">
        <f>IF(D1132="?OLD","!!!","")</f>
        <v/>
      </c>
      <c r="F1132" s="16" t="str">
        <f>IF(OR(E1132="",E1132="!!!"),"",IF(NOT(ISNA(VLOOKUP(E1132,E$1:E1131,1,FALSE()))),"OLD",IF(AND(E1132&lt;&gt;"",E1132&lt;&gt;"!!!"),"NEW","")))</f>
        <v> </v>
      </c>
      <c r="G1132" s="17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18" t="str">
        <f>IF(J1132&lt;&gt;1,"",IF(I1132="SBJ","CB","?"))</f>
        <v> </v>
      </c>
      <c r="I1132" s="19" t="str">
        <f>IF(OR(E1132="",E1132="!!!",F1132="NEW"),"",INDEX(B1131:B$2,-1+SUMPRODUCT(MAX(ROW(E1131:E$2)*(E1132=E1131:E$2)))))</f>
        <v> </v>
      </c>
      <c r="J1132" s="19" t="str">
        <f>IF(OR(E1132="",E1132="!!!",F1132="NEW"),"",COUNTBLANK(OFFSET(A$1,,,SUMPRODUCT(MAX(ROW(E$2:E1132)*(E1132=E$2:E1132)))))-COUNTBLANK(OFFSET(A$1,,,SUMPRODUCT(MAX(ROW(E$1:E1131)*(E2=E$1:E1131))))))</f>
        <v> </v>
      </c>
      <c r="K1132" s="19" t="str">
        <f>IF(OR(E1132="",E1132="!!!",F1132="NEW"),"",INDEX(J$1:J1131,SUMPRODUCT(MAX(ROW(E$1:E1131)*(E1132=E$1:E1131)))))</f>
        <v> </v>
      </c>
      <c r="L1132" s="20"/>
    </row>
    <row r="1133" spans="1:12">
      <c r="A1133" s="13" t="s">
        <v>432</v>
      </c>
      <c r="E1133" s="15">
        <f>IF(D1133="?OLD","!!!","")</f>
        <v/>
      </c>
      <c r="F1133" s="16" t="str">
        <f>IF(OR(E1133="",E1133="!!!"),"",IF(NOT(ISNA(VLOOKUP(E1133,E$1:E1132,1,FALSE()))),"OLD",IF(AND(E1133&lt;&gt;"",E1133&lt;&gt;"!!!"),"NEW","")))</f>
        <v> </v>
      </c>
      <c r="G1133" s="17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18" t="str">
        <f>IF(J1133&lt;&gt;1,"",IF(I1133="SBJ","CB","?"))</f>
        <v> </v>
      </c>
      <c r="I1133" s="19" t="str">
        <f>IF(OR(E1133="",E1133="!!!",F1133="NEW"),"",INDEX(B1132:B$2,-1+SUMPRODUCT(MAX(ROW(E1132:E$2)*(E1133=E1132:E$2)))))</f>
        <v> </v>
      </c>
      <c r="J1133" s="19" t="str">
        <f>IF(OR(E1133="",E1133="!!!",F1133="NEW"),"",COUNTBLANK(OFFSET(A$1,,,SUMPRODUCT(MAX(ROW(E$2:E1133)*(E1133=E$2:E1133)))))-COUNTBLANK(OFFSET(A$1,,,SUMPRODUCT(MAX(ROW(E$1:E1132)*(E2=E$1:E1132))))))</f>
        <v> </v>
      </c>
      <c r="K1133" s="19" t="str">
        <f>IF(OR(E1133="",E1133="!!!",F1133="NEW"),"",INDEX(J$1:J1132,SUMPRODUCT(MAX(ROW(E$1:E1132)*(E1133=E$1:E1132)))))</f>
        <v> </v>
      </c>
      <c r="L1133" s="20"/>
    </row>
    <row r="1134" spans="1:12">
      <c r="A1134" s="13" t="s">
        <v>433</v>
      </c>
      <c r="E1134" s="15">
        <f>IF(D1134="?OLD","!!!","")</f>
        <v/>
      </c>
      <c r="F1134" s="16" t="str">
        <f>IF(OR(E1134="",E1134="!!!"),"",IF(NOT(ISNA(VLOOKUP(E1134,E$1:E1133,1,FALSE()))),"OLD",IF(AND(E1134&lt;&gt;"",E1134&lt;&gt;"!!!"),"NEW","")))</f>
        <v> </v>
      </c>
      <c r="G1134" s="17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18" t="str">
        <f>IF(J1134&lt;&gt;1,"",IF(I1134="SBJ","CB","?"))</f>
        <v> </v>
      </c>
      <c r="I1134" s="19" t="str">
        <f>IF(OR(E1134="",E1134="!!!",F1134="NEW"),"",INDEX(B1133:B$2,-1+SUMPRODUCT(MAX(ROW(E1133:E$2)*(E1134=E1133:E$2)))))</f>
        <v> </v>
      </c>
      <c r="J1134" s="19" t="str">
        <f>IF(OR(E1134="",E1134="!!!",F1134="NEW"),"",COUNTBLANK(OFFSET(A$1,,,SUMPRODUCT(MAX(ROW(E$2:E1134)*(E1134=E$2:E1134)))))-COUNTBLANK(OFFSET(A$1,,,SUMPRODUCT(MAX(ROW(E$1:E1133)*(E2=E$1:E1133))))))</f>
        <v> </v>
      </c>
      <c r="K1134" s="19" t="str">
        <f>IF(OR(E1134="",E1134="!!!",F1134="NEW"),"",INDEX(J$1:J1133,SUMPRODUCT(MAX(ROW(E$1:E1133)*(E1134=E$1:E1133)))))</f>
        <v> </v>
      </c>
      <c r="L1134" s="20"/>
    </row>
    <row r="1135" spans="1:12">
      <c r="A1135" s="13" t="s">
        <v>434</v>
      </c>
      <c r="E1135" s="15">
        <f>IF(D1135="?OLD","!!!","")</f>
        <v/>
      </c>
      <c r="F1135" s="16" t="str">
        <f>IF(OR(E1135="",E1135="!!!"),"",IF(NOT(ISNA(VLOOKUP(E1135,E$1:E1134,1,FALSE()))),"OLD",IF(AND(E1135&lt;&gt;"",E1135&lt;&gt;"!!!"),"NEW","")))</f>
        <v> </v>
      </c>
      <c r="G1135" s="17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18" t="str">
        <f>IF(J1135&lt;&gt;1,"",IF(I1135="SBJ","CB","?"))</f>
        <v> </v>
      </c>
      <c r="I1135" s="19" t="str">
        <f>IF(OR(E1135="",E1135="!!!",F1135="NEW"),"",INDEX(B1134:B$2,-1+SUMPRODUCT(MAX(ROW(E1134:E$2)*(E1135=E1134:E$2)))))</f>
        <v> </v>
      </c>
      <c r="J1135" s="19" t="str">
        <f>IF(OR(E1135="",E1135="!!!",F1135="NEW"),"",COUNTBLANK(OFFSET(A$1,,,SUMPRODUCT(MAX(ROW(E$2:E1135)*(E1135=E$2:E1135)))))-COUNTBLANK(OFFSET(A$1,,,SUMPRODUCT(MAX(ROW(E$1:E1134)*(E2=E$1:E1134))))))</f>
        <v> </v>
      </c>
      <c r="K1135" s="19" t="str">
        <f>IF(OR(E1135="",E1135="!!!",F1135="NEW"),"",INDEX(J$1:J1134,SUMPRODUCT(MAX(ROW(E$1:E1134)*(E1135=E$1:E1134)))))</f>
        <v> </v>
      </c>
      <c r="L1135" s="20"/>
    </row>
    <row r="1136" spans="1:12">
      <c r="A1136" s="13" t="s">
        <v>431</v>
      </c>
      <c r="B1136" s="14" t="s">
        <v>23</v>
      </c>
      <c r="C1136" s="14" t="s">
        <v>24</v>
      </c>
      <c r="D1136" s="14" t="s">
        <v>25</v>
      </c>
      <c r="E1136" s="15">
        <f>IF(D1136="?OLD","!!!","")</f>
        <v/>
      </c>
      <c r="F1136" s="16" t="str">
        <f>IF(OR(E1136="",E1136="!!!"),"",IF(NOT(ISNA(VLOOKUP(E1136,E$1:E1135,1,FALSE()))),"OLD",IF(AND(E1136&lt;&gt;"",E1136&lt;&gt;"!!!"),"NEW","")))</f>
        <v> </v>
      </c>
      <c r="G1136" s="17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18" t="str">
        <f>IF(J1136&lt;&gt;1,"",IF(I1136="SBJ","CB","?"))</f>
        <v> </v>
      </c>
      <c r="I1136" s="19" t="str">
        <f>IF(OR(E1136="",E1136="!!!",F1136="NEW"),"",INDEX(B1135:B$2,-1+SUMPRODUCT(MAX(ROW(E1135:E$2)*(E1136=E1135:E$2)))))</f>
        <v> </v>
      </c>
      <c r="J1136" s="19" t="str">
        <f>IF(OR(E1136="",E1136="!!!",F1136="NEW"),"",COUNTBLANK(OFFSET(A$1,,,SUMPRODUCT(MAX(ROW(E$2:E1136)*(E1136=E$2:E1136)))))-COUNTBLANK(OFFSET(A$1,,,SUMPRODUCT(MAX(ROW(E$1:E1135)*(E2=E$1:E1135))))))</f>
        <v> </v>
      </c>
      <c r="K1136" s="19" t="str">
        <f>IF(OR(E1136="",E1136="!!!",F1136="NEW"),"",INDEX(J$1:J1135,SUMPRODUCT(MAX(ROW(E$1:E1135)*(E1136=E$1:E1135)))))</f>
        <v> </v>
      </c>
      <c r="L1136" s="20"/>
    </row>
    <row r="1137" spans="1:12">
      <c r="A1137" s="13" t="s">
        <v>435</v>
      </c>
      <c r="E1137" s="15">
        <f>IF(D1137="?OLD","!!!","")</f>
        <v/>
      </c>
      <c r="F1137" s="16" t="str">
        <f>IF(OR(E1137="",E1137="!!!"),"",IF(NOT(ISNA(VLOOKUP(E1137,E$1:E1136,1,FALSE()))),"OLD",IF(AND(E1137&lt;&gt;"",E1137&lt;&gt;"!!!"),"NEW","")))</f>
        <v> </v>
      </c>
      <c r="G1137" s="17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18" t="str">
        <f>IF(J1137&lt;&gt;1,"",IF(I1137="SBJ","CB","?"))</f>
        <v> </v>
      </c>
      <c r="I1137" s="19" t="str">
        <f>IF(OR(E1137="",E1137="!!!",F1137="NEW"),"",INDEX(B1136:B$2,-1+SUMPRODUCT(MAX(ROW(E1136:E$2)*(E1137=E1136:E$2)))))</f>
        <v> </v>
      </c>
      <c r="J1137" s="19" t="str">
        <f>IF(OR(E1137="",E1137="!!!",F1137="NEW"),"",COUNTBLANK(OFFSET(A$1,,,SUMPRODUCT(MAX(ROW(E$2:E1137)*(E1137=E$2:E1137)))))-COUNTBLANK(OFFSET(A$1,,,SUMPRODUCT(MAX(ROW(E$1:E1136)*(E2=E$1:E1136))))))</f>
        <v> </v>
      </c>
      <c r="K1137" s="19" t="str">
        <f>IF(OR(E1137="",E1137="!!!",F1137="NEW"),"",INDEX(J$1:J1136,SUMPRODUCT(MAX(ROW(E$1:E1136)*(E1137=E$1:E1136)))))</f>
        <v> </v>
      </c>
      <c r="L1137" s="20"/>
    </row>
    <row r="1138" spans="1:12">
      <c r="A1138" s="13" t="s">
        <v>435</v>
      </c>
      <c r="E1138" s="15">
        <f>IF(D1138="?OLD","!!!","")</f>
        <v/>
      </c>
      <c r="F1138" s="16" t="str">
        <f>IF(OR(E1138="",E1138="!!!"),"",IF(NOT(ISNA(VLOOKUP(E1138,E$1:E1137,1,FALSE()))),"OLD",IF(AND(E1138&lt;&gt;"",E1138&lt;&gt;"!!!"),"NEW","")))</f>
        <v> </v>
      </c>
      <c r="G1138" s="17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18" t="str">
        <f>IF(J1138&lt;&gt;1,"",IF(I1138="SBJ","CB","?"))</f>
        <v> </v>
      </c>
      <c r="I1138" s="19" t="str">
        <f>IF(OR(E1138="",E1138="!!!",F1138="NEW"),"",INDEX(B1137:B$2,-1+SUMPRODUCT(MAX(ROW(E1137:E$2)*(E1138=E1137:E$2)))))</f>
        <v> </v>
      </c>
      <c r="J1138" s="19" t="str">
        <f>IF(OR(E1138="",E1138="!!!",F1138="NEW"),"",COUNTBLANK(OFFSET(A$1,,,SUMPRODUCT(MAX(ROW(E$2:E1138)*(E1138=E$2:E1138)))))-COUNTBLANK(OFFSET(A$1,,,SUMPRODUCT(MAX(ROW(E$1:E1137)*(E2=E$1:E1137))))))</f>
        <v> </v>
      </c>
      <c r="K1138" s="19" t="str">
        <f>IF(OR(E1138="",E1138="!!!",F1138="NEW"),"",INDEX(J$1:J1137,SUMPRODUCT(MAX(ROW(E$1:E1137)*(E1138=E$1:E1137)))))</f>
        <v> </v>
      </c>
      <c r="L1138" s="20"/>
    </row>
    <row r="1139" spans="1:12">
      <c r="A1139" s="13" t="s">
        <v>436</v>
      </c>
      <c r="E1139" s="15">
        <f>IF(D1139="?OLD","!!!","")</f>
        <v/>
      </c>
      <c r="F1139" s="16" t="str">
        <f>IF(OR(E1139="",E1139="!!!"),"",IF(NOT(ISNA(VLOOKUP(E1139,E$1:E1138,1,FALSE()))),"OLD",IF(AND(E1139&lt;&gt;"",E1139&lt;&gt;"!!!"),"NEW","")))</f>
        <v> </v>
      </c>
      <c r="G1139" s="17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18" t="str">
        <f>IF(J1139&lt;&gt;1,"",IF(I1139="SBJ","CB","?"))</f>
        <v> </v>
      </c>
      <c r="I1139" s="19" t="str">
        <f>IF(OR(E1139="",E1139="!!!",F1139="NEW"),"",INDEX(B1138:B$2,-1+SUMPRODUCT(MAX(ROW(E1138:E$2)*(E1139=E1138:E$2)))))</f>
        <v> </v>
      </c>
      <c r="J1139" s="19" t="str">
        <f>IF(OR(E1139="",E1139="!!!",F1139="NEW"),"",COUNTBLANK(OFFSET(A$1,,,SUMPRODUCT(MAX(ROW(E$2:E1139)*(E1139=E$2:E1139)))))-COUNTBLANK(OFFSET(A$1,,,SUMPRODUCT(MAX(ROW(E$1:E1138)*(E2=E$1:E1138))))))</f>
        <v> </v>
      </c>
      <c r="K1139" s="19" t="str">
        <f>IF(OR(E1139="",E1139="!!!",F1139="NEW"),"",INDEX(J$1:J1138,SUMPRODUCT(MAX(ROW(E$1:E1138)*(E1139=E$1:E1138)))))</f>
        <v> </v>
      </c>
      <c r="L1139" s="20"/>
    </row>
    <row r="1140" spans="1:12">
      <c r="A1140" s="13" t="s">
        <v>49</v>
      </c>
      <c r="E1140" s="15">
        <f>IF(D1140="?OLD","!!!","")</f>
        <v/>
      </c>
      <c r="F1140" s="16" t="str">
        <f>IF(OR(E1140="",E1140="!!!"),"",IF(NOT(ISNA(VLOOKUP(E1140,E$1:E1139,1,FALSE()))),"OLD",IF(AND(E1140&lt;&gt;"",E1140&lt;&gt;"!!!"),"NEW","")))</f>
        <v> </v>
      </c>
      <c r="G1140" s="17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18" t="str">
        <f>IF(J1140&lt;&gt;1,"",IF(I1140="SBJ","CB","?"))</f>
        <v> </v>
      </c>
      <c r="I1140" s="19" t="str">
        <f>IF(OR(E1140="",E1140="!!!",F1140="NEW"),"",INDEX(B1139:B$2,-1+SUMPRODUCT(MAX(ROW(E1139:E$2)*(E1140=E1139:E$2)))))</f>
        <v> </v>
      </c>
      <c r="J1140" s="19" t="str">
        <f>IF(OR(E1140="",E1140="!!!",F1140="NEW"),"",COUNTBLANK(OFFSET(A$1,,,SUMPRODUCT(MAX(ROW(E$2:E1140)*(E1140=E$2:E1140)))))-COUNTBLANK(OFFSET(A$1,,,SUMPRODUCT(MAX(ROW(E$1:E1139)*(E2=E$1:E1139))))))</f>
        <v> </v>
      </c>
      <c r="K1140" s="19" t="str">
        <f>IF(OR(E1140="",E1140="!!!",F1140="NEW"),"",INDEX(J$1:J1139,SUMPRODUCT(MAX(ROW(E$1:E1139)*(E1140=E$1:E1139)))))</f>
        <v> </v>
      </c>
      <c r="L1140" s="20"/>
    </row>
    <row r="1141" spans="1:12">
      <c r="A1141" s="13" t="s">
        <v>292</v>
      </c>
      <c r="B1141" s="14" t="s">
        <v>88</v>
      </c>
      <c r="C1141" s="14" t="s">
        <v>39</v>
      </c>
      <c r="D1141" s="14" t="s">
        <v>25</v>
      </c>
      <c r="E1141" s="15">
        <f>IF(D1141="?OLD","!!!","")</f>
        <v/>
      </c>
      <c r="F1141" s="16" t="str">
        <f>IF(OR(E1141="",E1141="!!!"),"",IF(NOT(ISNA(VLOOKUP(E1141,E$1:E1140,1,FALSE()))),"OLD",IF(AND(E1141&lt;&gt;"",E1141&lt;&gt;"!!!"),"NEW","")))</f>
        <v> </v>
      </c>
      <c r="G1141" s="17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18" t="str">
        <f>IF(J1141&lt;&gt;1,"",IF(I1141="SBJ","CB","?"))</f>
        <v> </v>
      </c>
      <c r="I1141" s="19" t="str">
        <f>IF(OR(E1141="",E1141="!!!",F1141="NEW"),"",INDEX(B1140:B$2,-1+SUMPRODUCT(MAX(ROW(E1140:E$2)*(E1141=E1140:E$2)))))</f>
        <v> </v>
      </c>
      <c r="J1141" s="19" t="str">
        <f>IF(OR(E1141="",E1141="!!!",F1141="NEW"),"",COUNTBLANK(OFFSET(A$1,,,SUMPRODUCT(MAX(ROW(E$2:E1141)*(E1141=E$2:E1141)))))-COUNTBLANK(OFFSET(A$1,,,SUMPRODUCT(MAX(ROW(E$1:E1140)*(E2=E$1:E1140))))))</f>
        <v> </v>
      </c>
      <c r="K1141" s="19" t="str">
        <f>IF(OR(E1141="",E1141="!!!",F1141="NEW"),"",INDEX(J$1:J1140,SUMPRODUCT(MAX(ROW(E$1:E1140)*(E1141=E$1:E1140)))))</f>
        <v> </v>
      </c>
      <c r="L1141" s="20"/>
    </row>
    <row r="1142" spans="1:12">
      <c r="A1142" s="13" t="s">
        <v>79</v>
      </c>
      <c r="E1142" s="15">
        <f>IF(D1142="?OLD","!!!","")</f>
        <v/>
      </c>
      <c r="F1142" s="16" t="str">
        <f>IF(OR(E1142="",E1142="!!!"),"",IF(NOT(ISNA(VLOOKUP(E1142,E$1:E1141,1,FALSE()))),"OLD",IF(AND(E1142&lt;&gt;"",E1142&lt;&gt;"!!!"),"NEW","")))</f>
        <v> </v>
      </c>
      <c r="G1142" s="17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18" t="str">
        <f>IF(J1142&lt;&gt;1,"",IF(I1142="SBJ","CB","?"))</f>
        <v> </v>
      </c>
      <c r="I1142" s="19" t="str">
        <f>IF(OR(E1142="",E1142="!!!",F1142="NEW"),"",INDEX(B1141:B$2,-1+SUMPRODUCT(MAX(ROW(E1141:E$2)*(E1142=E1141:E$2)))))</f>
        <v> </v>
      </c>
      <c r="J1142" s="19" t="str">
        <f>IF(OR(E1142="",E1142="!!!",F1142="NEW"),"",COUNTBLANK(OFFSET(A$1,,,SUMPRODUCT(MAX(ROW(E$2:E1142)*(E1142=E$2:E1142)))))-COUNTBLANK(OFFSET(A$1,,,SUMPRODUCT(MAX(ROW(E$1:E1141)*(E2=E$1:E1141))))))</f>
        <v> </v>
      </c>
      <c r="K1142" s="19" t="str">
        <f>IF(OR(E1142="",E1142="!!!",F1142="NEW"),"",INDEX(J$1:J1141,SUMPRODUCT(MAX(ROW(E$1:E1141)*(E1142=E$1:E1141)))))</f>
        <v> </v>
      </c>
      <c r="L1142" s="20"/>
    </row>
    <row r="1143" spans="1:12">
      <c r="A1143" s="13" t="s">
        <v>437</v>
      </c>
      <c r="B1143" s="14" t="s">
        <v>27</v>
      </c>
      <c r="C1143" s="14" t="s">
        <v>39</v>
      </c>
      <c r="D1143" s="14" t="s">
        <v>25</v>
      </c>
      <c r="E1143" s="15">
        <f>IF(D1143="?OLD","!!!","")</f>
        <v/>
      </c>
      <c r="F1143" s="16" t="str">
        <f>IF(OR(E1143="",E1143="!!!"),"",IF(NOT(ISNA(VLOOKUP(E1143,E$1:E1142,1,FALSE()))),"OLD",IF(AND(E1143&lt;&gt;"",E1143&lt;&gt;"!!!"),"NEW","")))</f>
        <v> </v>
      </c>
      <c r="G1143" s="17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18" t="str">
        <f>IF(J1143&lt;&gt;1,"",IF(I1143="SBJ","CB","?"))</f>
        <v> </v>
      </c>
      <c r="I1143" s="19" t="str">
        <f>IF(OR(E1143="",E1143="!!!",F1143="NEW"),"",INDEX(B1142:B$2,-1+SUMPRODUCT(MAX(ROW(E1142:E$2)*(E1143=E1142:E$2)))))</f>
        <v> </v>
      </c>
      <c r="J1143" s="19" t="str">
        <f>IF(OR(E1143="",E1143="!!!",F1143="NEW"),"",COUNTBLANK(OFFSET(A$1,,,SUMPRODUCT(MAX(ROW(E$2:E1143)*(E1143=E$2:E1143)))))-COUNTBLANK(OFFSET(A$1,,,SUMPRODUCT(MAX(ROW(E$1:E1142)*(E2=E$1:E1142))))))</f>
        <v> </v>
      </c>
      <c r="K1143" s="19" t="str">
        <f>IF(OR(E1143="",E1143="!!!",F1143="NEW"),"",INDEX(J$1:J1142,SUMPRODUCT(MAX(ROW(E$1:E1142)*(E1143=E$1:E1142)))))</f>
        <v> </v>
      </c>
      <c r="L1143" s="20"/>
    </row>
    <row r="1144" spans="1:12">
      <c r="A1144" s="13" t="s">
        <v>314</v>
      </c>
      <c r="E1144" s="15">
        <f>IF(D1144="?OLD","!!!","")</f>
        <v/>
      </c>
      <c r="F1144" s="16" t="str">
        <f>IF(OR(E1144="",E1144="!!!"),"",IF(NOT(ISNA(VLOOKUP(E1144,E$1:E1143,1,FALSE()))),"OLD",IF(AND(E1144&lt;&gt;"",E1144&lt;&gt;"!!!"),"NEW","")))</f>
        <v> </v>
      </c>
      <c r="G1144" s="17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18" t="str">
        <f>IF(J1144&lt;&gt;1,"",IF(I1144="SBJ","CB","?"))</f>
        <v> </v>
      </c>
      <c r="I1144" s="19" t="str">
        <f>IF(OR(E1144="",E1144="!!!",F1144="NEW"),"",INDEX(B1143:B$2,-1+SUMPRODUCT(MAX(ROW(E1143:E$2)*(E1144=E1143:E$2)))))</f>
        <v> </v>
      </c>
      <c r="J1144" s="19" t="str">
        <f>IF(OR(E1144="",E1144="!!!",F1144="NEW"),"",COUNTBLANK(OFFSET(A$1,,,SUMPRODUCT(MAX(ROW(E$2:E1144)*(E1144=E$2:E1144)))))-COUNTBLANK(OFFSET(A$1,,,SUMPRODUCT(MAX(ROW(E$1:E1143)*(E2=E$1:E1143))))))</f>
        <v> </v>
      </c>
      <c r="K1144" s="19" t="str">
        <f>IF(OR(E1144="",E1144="!!!",F1144="NEW"),"",INDEX(J$1:J1143,SUMPRODUCT(MAX(ROW(E$1:E1143)*(E1144=E$1:E1143)))))</f>
        <v> </v>
      </c>
      <c r="L1144" s="20"/>
    </row>
    <row r="1145" spans="1:12">
      <c r="A1145" s="13" t="s">
        <v>435</v>
      </c>
      <c r="E1145" s="15">
        <f>IF(D1145="?OLD","!!!","")</f>
        <v/>
      </c>
      <c r="F1145" s="16" t="str">
        <f>IF(OR(E1145="",E1145="!!!"),"",IF(NOT(ISNA(VLOOKUP(E1145,E$1:E1144,1,FALSE()))),"OLD",IF(AND(E1145&lt;&gt;"",E1145&lt;&gt;"!!!"),"NEW","")))</f>
        <v> </v>
      </c>
      <c r="G1145" s="17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18" t="str">
        <f>IF(J1145&lt;&gt;1,"",IF(I1145="SBJ","CB","?"))</f>
        <v> </v>
      </c>
      <c r="I1145" s="19" t="str">
        <f>IF(OR(E1145="",E1145="!!!",F1145="NEW"),"",INDEX(B1144:B$2,-1+SUMPRODUCT(MAX(ROW(E1144:E$2)*(E1145=E1144:E$2)))))</f>
        <v> </v>
      </c>
      <c r="J1145" s="19" t="str">
        <f>IF(OR(E1145="",E1145="!!!",F1145="NEW"),"",COUNTBLANK(OFFSET(A$1,,,SUMPRODUCT(MAX(ROW(E$2:E1145)*(E1145=E$2:E1145)))))-COUNTBLANK(OFFSET(A$1,,,SUMPRODUCT(MAX(ROW(E$1:E1144)*(E2=E$1:E1144))))))</f>
        <v> </v>
      </c>
      <c r="K1145" s="19" t="str">
        <f>IF(OR(E1145="",E1145="!!!",F1145="NEW"),"",INDEX(J$1:J1144,SUMPRODUCT(MAX(ROW(E$1:E1144)*(E1145=E$1:E1144)))))</f>
        <v> </v>
      </c>
      <c r="L1145" s="20"/>
    </row>
    <row r="1146" spans="1:12">
      <c r="A1146" s="13" t="s">
        <v>435</v>
      </c>
      <c r="E1146" s="15">
        <f>IF(D1146="?OLD","!!!","")</f>
        <v/>
      </c>
      <c r="F1146" s="16" t="str">
        <f>IF(OR(E1146="",E1146="!!!"),"",IF(NOT(ISNA(VLOOKUP(E1146,E$1:E1145,1,FALSE()))),"OLD",IF(AND(E1146&lt;&gt;"",E1146&lt;&gt;"!!!"),"NEW","")))</f>
        <v> </v>
      </c>
      <c r="G1146" s="17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18" t="str">
        <f>IF(J1146&lt;&gt;1,"",IF(I1146="SBJ","CB","?"))</f>
        <v> </v>
      </c>
      <c r="I1146" s="19" t="str">
        <f>IF(OR(E1146="",E1146="!!!",F1146="NEW"),"",INDEX(B1145:B$2,-1+SUMPRODUCT(MAX(ROW(E1145:E$2)*(E1146=E1145:E$2)))))</f>
        <v> </v>
      </c>
      <c r="J1146" s="19" t="str">
        <f>IF(OR(E1146="",E1146="!!!",F1146="NEW"),"",COUNTBLANK(OFFSET(A$1,,,SUMPRODUCT(MAX(ROW(E$2:E1146)*(E1146=E$2:E1146)))))-COUNTBLANK(OFFSET(A$1,,,SUMPRODUCT(MAX(ROW(E$1:E1145)*(E2=E$1:E1145))))))</f>
        <v> </v>
      </c>
      <c r="K1146" s="19" t="str">
        <f>IF(OR(E1146="",E1146="!!!",F1146="NEW"),"",INDEX(J$1:J1145,SUMPRODUCT(MAX(ROW(E$1:E1145)*(E1146=E$1:E1145)))))</f>
        <v> </v>
      </c>
      <c r="L1146" s="20"/>
    </row>
    <row r="1147" spans="1:12">
      <c r="A1147" s="13" t="s">
        <v>428</v>
      </c>
      <c r="E1147" s="15">
        <f>IF(D1147="?OLD","!!!","")</f>
        <v/>
      </c>
      <c r="F1147" s="16" t="str">
        <f>IF(OR(E1147="",E1147="!!!"),"",IF(NOT(ISNA(VLOOKUP(E1147,E$1:E1146,1,FALSE()))),"OLD",IF(AND(E1147&lt;&gt;"",E1147&lt;&gt;"!!!"),"NEW","")))</f>
        <v> </v>
      </c>
      <c r="G1147" s="17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18" t="str">
        <f>IF(J1147&lt;&gt;1,"",IF(I1147="SBJ","CB","?"))</f>
        <v> </v>
      </c>
      <c r="I1147" s="19" t="str">
        <f>IF(OR(E1147="",E1147="!!!",F1147="NEW"),"",INDEX(B1146:B$2,-1+SUMPRODUCT(MAX(ROW(E1146:E$2)*(E1147=E1146:E$2)))))</f>
        <v> </v>
      </c>
      <c r="J1147" s="19" t="str">
        <f>IF(OR(E1147="",E1147="!!!",F1147="NEW"),"",COUNTBLANK(OFFSET(A$1,,,SUMPRODUCT(MAX(ROW(E$2:E1147)*(E1147=E$2:E1147)))))-COUNTBLANK(OFFSET(A$1,,,SUMPRODUCT(MAX(ROW(E$1:E1146)*(E2=E$1:E1146))))))</f>
        <v> </v>
      </c>
      <c r="K1147" s="19" t="str">
        <f>IF(OR(E1147="",E1147="!!!",F1147="NEW"),"",INDEX(J$1:J1146,SUMPRODUCT(MAX(ROW(E$1:E1146)*(E1147=E$1:E1146)))))</f>
        <v> </v>
      </c>
      <c r="L1147" s="20"/>
    </row>
    <row r="1148" spans="1:12">
      <c r="A1148" s="13" t="s">
        <v>438</v>
      </c>
      <c r="B1148" s="14" t="s">
        <v>33</v>
      </c>
      <c r="C1148" s="14" t="s">
        <v>24</v>
      </c>
      <c r="D1148" s="14" t="s">
        <v>25</v>
      </c>
      <c r="E1148" s="15">
        <f>IF(D1148="?OLD","!!!","")</f>
        <v/>
      </c>
      <c r="F1148" s="16" t="str">
        <f>IF(OR(E1148="",E1148="!!!"),"",IF(NOT(ISNA(VLOOKUP(E1148,E$1:E1147,1,FALSE()))),"OLD",IF(AND(E1148&lt;&gt;"",E1148&lt;&gt;"!!!"),"NEW","")))</f>
        <v> </v>
      </c>
      <c r="G1148" s="17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18" t="str">
        <f>IF(J1148&lt;&gt;1,"",IF(I1148="SBJ","CB","?"))</f>
        <v> </v>
      </c>
      <c r="I1148" s="19" t="str">
        <f>IF(OR(E1148="",E1148="!!!",F1148="NEW"),"",INDEX(B1147:B$2,-1+SUMPRODUCT(MAX(ROW(E1147:E$2)*(E1148=E1147:E$2)))))</f>
        <v> </v>
      </c>
      <c r="J1148" s="19" t="str">
        <f>IF(OR(E1148="",E1148="!!!",F1148="NEW"),"",COUNTBLANK(OFFSET(A$1,,,SUMPRODUCT(MAX(ROW(E$2:E1148)*(E1148=E$2:E1148)))))-COUNTBLANK(OFFSET(A$1,,,SUMPRODUCT(MAX(ROW(E$1:E1147)*(E2=E$1:E1147))))))</f>
        <v> </v>
      </c>
      <c r="K1148" s="19" t="str">
        <f>IF(OR(E1148="",E1148="!!!",F1148="NEW"),"",INDEX(J$1:J1147,SUMPRODUCT(MAX(ROW(E$1:E1147)*(E1148=E$1:E1147)))))</f>
        <v> </v>
      </c>
      <c r="L1148" s="20"/>
    </row>
    <row r="1149" spans="1:12">
      <c r="A1149" s="13" t="s">
        <v>119</v>
      </c>
      <c r="E1149" s="15">
        <f>IF(D1149="?OLD","!!!","")</f>
        <v/>
      </c>
      <c r="F1149" s="16" t="str">
        <f>IF(OR(E1149="",E1149="!!!"),"",IF(NOT(ISNA(VLOOKUP(E1149,E$1:E1148,1,FALSE()))),"OLD",IF(AND(E1149&lt;&gt;"",E1149&lt;&gt;"!!!"),"NEW","")))</f>
        <v> </v>
      </c>
      <c r="G1149" s="17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18" t="str">
        <f>IF(J1149&lt;&gt;1,"",IF(I1149="SBJ","CB","?"))</f>
        <v> </v>
      </c>
      <c r="I1149" s="19" t="str">
        <f>IF(OR(E1149="",E1149="!!!",F1149="NEW"),"",INDEX(B1148:B$2,-1+SUMPRODUCT(MAX(ROW(E1148:E$2)*(E1149=E1148:E$2)))))</f>
        <v> </v>
      </c>
      <c r="J1149" s="19" t="str">
        <f>IF(OR(E1149="",E1149="!!!",F1149="NEW"),"",COUNTBLANK(OFFSET(A$1,,,SUMPRODUCT(MAX(ROW(E$2:E1149)*(E1149=E$2:E1149)))))-COUNTBLANK(OFFSET(A$1,,,SUMPRODUCT(MAX(ROW(E$1:E1148)*(E2=E$1:E1148))))))</f>
        <v> </v>
      </c>
      <c r="K1149" s="19" t="str">
        <f>IF(OR(E1149="",E1149="!!!",F1149="NEW"),"",INDEX(J$1:J1148,SUMPRODUCT(MAX(ROW(E$1:E1148)*(E1149=E$1:E1148)))))</f>
        <v> </v>
      </c>
      <c r="L1149" s="20"/>
    </row>
    <row r="1150" spans="1:12">
      <c r="A1150" s="13" t="s">
        <v>439</v>
      </c>
      <c r="B1150" s="14" t="s">
        <v>63</v>
      </c>
      <c r="C1150" s="14" t="s">
        <v>24</v>
      </c>
      <c r="D1150" s="14" t="s">
        <v>25</v>
      </c>
      <c r="E1150" s="15">
        <f>IF(D1150="?OLD","!!!","")</f>
        <v/>
      </c>
      <c r="F1150" s="16" t="str">
        <f>IF(OR(E1150="",E1150="!!!"),"",IF(NOT(ISNA(VLOOKUP(E1150,E$1:E1149,1,FALSE()))),"OLD",IF(AND(E1150&lt;&gt;"",E1150&lt;&gt;"!!!"),"NEW","")))</f>
        <v> </v>
      </c>
      <c r="G1150" s="17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18" t="str">
        <f>IF(J1150&lt;&gt;1,"",IF(I1150="SBJ","CB","?"))</f>
        <v> </v>
      </c>
      <c r="I1150" s="19" t="str">
        <f>IF(OR(E1150="",E1150="!!!",F1150="NEW"),"",INDEX(B1149:B$2,-1+SUMPRODUCT(MAX(ROW(E1149:E$2)*(E1150=E1149:E$2)))))</f>
        <v> </v>
      </c>
      <c r="J1150" s="19" t="str">
        <f>IF(OR(E1150="",E1150="!!!",F1150="NEW"),"",COUNTBLANK(OFFSET(A$1,,,SUMPRODUCT(MAX(ROW(E$2:E1150)*(E1150=E$2:E1150)))))-COUNTBLANK(OFFSET(A$1,,,SUMPRODUCT(MAX(ROW(E$1:E1149)*(E2=E$1:E1149))))))</f>
        <v> </v>
      </c>
      <c r="K1150" s="19" t="str">
        <f>IF(OR(E1150="",E1150="!!!",F1150="NEW"),"",INDEX(J$1:J1149,SUMPRODUCT(MAX(ROW(E$1:E1149)*(E1150=E$1:E1149)))))</f>
        <v> </v>
      </c>
      <c r="L1150" s="20"/>
    </row>
    <row r="1151" spans="1:12">
      <c r="A1151" s="13" t="s">
        <v>37</v>
      </c>
      <c r="B1151" s="14" t="s">
        <v>106</v>
      </c>
      <c r="C1151" s="14" t="s">
        <v>24</v>
      </c>
      <c r="D1151" s="14" t="s">
        <v>25</v>
      </c>
      <c r="E1151" s="15">
        <f>IF(D1151="?OLD","!!!","")</f>
        <v/>
      </c>
      <c r="F1151" s="16" t="str">
        <f>IF(OR(E1151="",E1151="!!!"),"",IF(NOT(ISNA(VLOOKUP(E1151,E$1:E1150,1,FALSE()))),"OLD",IF(AND(E1151&lt;&gt;"",E1151&lt;&gt;"!!!"),"NEW","")))</f>
        <v> </v>
      </c>
      <c r="G1151" s="17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18" t="str">
        <f>IF(J1151&lt;&gt;1,"",IF(I1151="SBJ","CB","?"))</f>
        <v> </v>
      </c>
      <c r="I1151" s="19" t="str">
        <f>IF(OR(E1151="",E1151="!!!",F1151="NEW"),"",INDEX(B1150:B$2,-1+SUMPRODUCT(MAX(ROW(E1150:E$2)*(E1151=E1150:E$2)))))</f>
        <v> </v>
      </c>
      <c r="J1151" s="19" t="str">
        <f>IF(OR(E1151="",E1151="!!!",F1151="NEW"),"",COUNTBLANK(OFFSET(A$1,,,SUMPRODUCT(MAX(ROW(E$2:E1151)*(E1151=E$2:E1151)))))-COUNTBLANK(OFFSET(A$1,,,SUMPRODUCT(MAX(ROW(E$1:E1150)*(E2=E$1:E1150))))))</f>
        <v> </v>
      </c>
      <c r="K1151" s="19" t="str">
        <f>IF(OR(E1151="",E1151="!!!",F1151="NEW"),"",INDEX(J$1:J1150,SUMPRODUCT(MAX(ROW(E$1:E1150)*(E1151=E$1:E1150)))))</f>
        <v> </v>
      </c>
      <c r="L1151" s="20"/>
    </row>
    <row r="1152" spans="1:12">
      <c r="A1152" s="13" t="s">
        <v>119</v>
      </c>
      <c r="E1152" s="15">
        <f>IF(D1152="?OLD","!!!","")</f>
        <v/>
      </c>
      <c r="F1152" s="16" t="str">
        <f>IF(OR(E1152="",E1152="!!!"),"",IF(NOT(ISNA(VLOOKUP(E1152,E$1:E1151,1,FALSE()))),"OLD",IF(AND(E1152&lt;&gt;"",E1152&lt;&gt;"!!!"),"NEW","")))</f>
        <v> </v>
      </c>
      <c r="G1152" s="17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18" t="str">
        <f>IF(J1152&lt;&gt;1,"",IF(I1152="SBJ","CB","?"))</f>
        <v> </v>
      </c>
      <c r="I1152" s="19" t="str">
        <f>IF(OR(E1152="",E1152="!!!",F1152="NEW"),"",INDEX(B1151:B$2,-1+SUMPRODUCT(MAX(ROW(E1151:E$2)*(E1152=E1151:E$2)))))</f>
        <v> </v>
      </c>
      <c r="J1152" s="19" t="str">
        <f>IF(OR(E1152="",E1152="!!!",F1152="NEW"),"",COUNTBLANK(OFFSET(A$1,,,SUMPRODUCT(MAX(ROW(E$2:E1152)*(E1152=E$2:E1152)))))-COUNTBLANK(OFFSET(A$1,,,SUMPRODUCT(MAX(ROW(E$1:E1151)*(E2=E$1:E1151))))))</f>
        <v> </v>
      </c>
      <c r="K1152" s="19" t="str">
        <f>IF(OR(E1152="",E1152="!!!",F1152="NEW"),"",INDEX(J$1:J1151,SUMPRODUCT(MAX(ROW(E$1:E1151)*(E1152=E$1:E1151)))))</f>
        <v> </v>
      </c>
      <c r="L1152" s="20"/>
    </row>
    <row r="1153" spans="1:12">
      <c r="A1153" s="13" t="s">
        <v>432</v>
      </c>
      <c r="E1153" s="15">
        <f>IF(D1153="?OLD","!!!","")</f>
        <v/>
      </c>
      <c r="F1153" s="16" t="str">
        <f>IF(OR(E1153="",E1153="!!!"),"",IF(NOT(ISNA(VLOOKUP(E1153,E$1:E1152,1,FALSE()))),"OLD",IF(AND(E1153&lt;&gt;"",E1153&lt;&gt;"!!!"),"NEW","")))</f>
        <v> </v>
      </c>
      <c r="G1153" s="17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18" t="str">
        <f>IF(J1153&lt;&gt;1,"",IF(I1153="SBJ","CB","?"))</f>
        <v> </v>
      </c>
      <c r="I1153" s="19" t="str">
        <f>IF(OR(E1153="",E1153="!!!",F1153="NEW"),"",INDEX(B1152:B$2,-1+SUMPRODUCT(MAX(ROW(E1152:E$2)*(E1153=E1152:E$2)))))</f>
        <v> </v>
      </c>
      <c r="J1153" s="19" t="str">
        <f>IF(OR(E1153="",E1153="!!!",F1153="NEW"),"",COUNTBLANK(OFFSET(A$1,,,SUMPRODUCT(MAX(ROW(E$2:E1153)*(E1153=E$2:E1153)))))-COUNTBLANK(OFFSET(A$1,,,SUMPRODUCT(MAX(ROW(E$1:E1152)*(E2=E$1:E1152))))))</f>
        <v> </v>
      </c>
      <c r="K1153" s="19" t="str">
        <f>IF(OR(E1153="",E1153="!!!",F1153="NEW"),"",INDEX(J$1:J1152,SUMPRODUCT(MAX(ROW(E$1:E1152)*(E1153=E$1:E1152)))))</f>
        <v> </v>
      </c>
      <c r="L1153" s="20"/>
    </row>
    <row r="1154" spans="1:12">
      <c r="A1154" s="13" t="s">
        <v>435</v>
      </c>
      <c r="E1154" s="15">
        <f>IF(D1154="?OLD","!!!","")</f>
        <v/>
      </c>
      <c r="F1154" s="16" t="str">
        <f>IF(OR(E1154="",E1154="!!!"),"",IF(NOT(ISNA(VLOOKUP(E1154,E$1:E1153,1,FALSE()))),"OLD",IF(AND(E1154&lt;&gt;"",E1154&lt;&gt;"!!!"),"NEW","")))</f>
        <v> </v>
      </c>
      <c r="G1154" s="17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18" t="str">
        <f>IF(J1154&lt;&gt;1,"",IF(I1154="SBJ","CB","?"))</f>
        <v> </v>
      </c>
      <c r="I1154" s="19" t="str">
        <f>IF(OR(E1154="",E1154="!!!",F1154="NEW"),"",INDEX(B1153:B$2,-1+SUMPRODUCT(MAX(ROW(E1153:E$2)*(E1154=E1153:E$2)))))</f>
        <v> </v>
      </c>
      <c r="J1154" s="19" t="str">
        <f>IF(OR(E1154="",E1154="!!!",F1154="NEW"),"",COUNTBLANK(OFFSET(A$1,,,SUMPRODUCT(MAX(ROW(E$2:E1154)*(E1154=E$2:E1154)))))-COUNTBLANK(OFFSET(A$1,,,SUMPRODUCT(MAX(ROW(E$1:E1153)*(E2=E$1:E1153))))))</f>
        <v> </v>
      </c>
      <c r="K1154" s="19" t="str">
        <f>IF(OR(E1154="",E1154="!!!",F1154="NEW"),"",INDEX(J$1:J1153,SUMPRODUCT(MAX(ROW(E$1:E1153)*(E1154=E$1:E1153)))))</f>
        <v> </v>
      </c>
      <c r="L1154" s="20"/>
    </row>
    <row r="1155" spans="1:12">
      <c r="A1155" s="13" t="s">
        <v>435</v>
      </c>
      <c r="E1155" s="15">
        <f>IF(D1155="?OLD","!!!","")</f>
        <v/>
      </c>
      <c r="F1155" s="16" t="str">
        <f>IF(OR(E1155="",E1155="!!!"),"",IF(NOT(ISNA(VLOOKUP(E1155,E$1:E1154,1,FALSE()))),"OLD",IF(AND(E1155&lt;&gt;"",E1155&lt;&gt;"!!!"),"NEW","")))</f>
        <v> </v>
      </c>
      <c r="G1155" s="17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18" t="str">
        <f>IF(J1155&lt;&gt;1,"",IF(I1155="SBJ","CB","?"))</f>
        <v> </v>
      </c>
      <c r="I1155" s="19" t="str">
        <f>IF(OR(E1155="",E1155="!!!",F1155="NEW"),"",INDEX(B1154:B$2,-1+SUMPRODUCT(MAX(ROW(E1154:E$2)*(E1155=E1154:E$2)))))</f>
        <v> </v>
      </c>
      <c r="J1155" s="19" t="str">
        <f>IF(OR(E1155="",E1155="!!!",F1155="NEW"),"",COUNTBLANK(OFFSET(A$1,,,SUMPRODUCT(MAX(ROW(E$2:E1155)*(E1155=E$2:E1155)))))-COUNTBLANK(OFFSET(A$1,,,SUMPRODUCT(MAX(ROW(E$1:E1154)*(E2=E$1:E1154))))))</f>
        <v> </v>
      </c>
      <c r="K1155" s="19" t="str">
        <f>IF(OR(E1155="",E1155="!!!",F1155="NEW"),"",INDEX(J$1:J1154,SUMPRODUCT(MAX(ROW(E$1:E1154)*(E1155=E$1:E1154)))))</f>
        <v> </v>
      </c>
      <c r="L1155" s="20"/>
    </row>
    <row r="1156" spans="1:12">
      <c r="A1156" s="13"/>
    </row>
    <row r="1157" spans="1:12">
      <c r="A1157" s="13" t="s">
        <v>117</v>
      </c>
      <c r="E1157" s="15">
        <f>IF(D1157="?OLD","!!!","")</f>
        <v/>
      </c>
      <c r="F1157" s="16" t="str">
        <f>IF(OR(E1157="",E1157="!!!"),"",IF(NOT(ISNA(VLOOKUP(E1157,E$1:E1156,1,FALSE()))),"OLD",IF(AND(E1157&lt;&gt;"",E1157&lt;&gt;"!!!"),"NEW","")))</f>
        <v> </v>
      </c>
      <c r="G1157" s="17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18" t="str">
        <f>IF(J1157&lt;&gt;1,"",IF(I1157="SBJ","CB","?"))</f>
        <v> </v>
      </c>
      <c r="I1157" s="19" t="str">
        <f>IF(OR(E1157="",E1157="!!!",F1157="NEW"),"",INDEX(B1156:B$2,-1+SUMPRODUCT(MAX(ROW(E1156:E$2)*(E1157=E1156:E$2)))))</f>
        <v> </v>
      </c>
      <c r="J1157" s="19" t="str">
        <f>IF(OR(E1157="",E1157="!!!",F1157="NEW"),"",COUNTBLANK(OFFSET(A$1,,,SUMPRODUCT(MAX(ROW(E$2:E1157)*(E1157=E$2:E1157)))))-COUNTBLANK(OFFSET(A$1,,,SUMPRODUCT(MAX(ROW(E$1:E1156)*(E2=E$1:E1156))))))</f>
        <v> </v>
      </c>
      <c r="K1157" s="19" t="str">
        <f>IF(OR(E1157="",E1157="!!!",F1157="NEW"),"",INDEX(J$1:J1156,SUMPRODUCT(MAX(ROW(E$1:E1156)*(E1157=E$1:E1156)))))</f>
        <v> </v>
      </c>
      <c r="L1157" s="20"/>
    </row>
    <row r="1158" spans="1:12">
      <c r="A1158" s="13" t="s">
        <v>440</v>
      </c>
    </row>
    <row r="1159" spans="1:12">
      <c r="A1159" s="13" t="s">
        <v>427</v>
      </c>
      <c r="E1159" s="15">
        <f>IF(D1159="?OLD","!!!","")</f>
        <v/>
      </c>
      <c r="F1159" s="16" t="str">
        <f>IF(OR(E1159="",E1159="!!!"),"",IF(NOT(ISNA(VLOOKUP(E1159,E$1:E1158,1,FALSE()))),"OLD",IF(AND(E1159&lt;&gt;"",E1159&lt;&gt;"!!!"),"NEW","")))</f>
        <v> </v>
      </c>
      <c r="G1159" s="17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18" t="str">
        <f>IF(J1159&lt;&gt;1,"",IF(I1159="SBJ","CB","?"))</f>
        <v> </v>
      </c>
      <c r="I1159" s="19" t="str">
        <f>IF(OR(E1159="",E1159="!!!",F1159="NEW"),"",INDEX(B1158:B$2,-1+SUMPRODUCT(MAX(ROW(E1158:E$2)*(E1159=E1158:E$2)))))</f>
        <v> </v>
      </c>
      <c r="J1159" s="19" t="str">
        <f>IF(OR(E1159="",E1159="!!!",F1159="NEW"),"",COUNTBLANK(OFFSET(A$1,,,SUMPRODUCT(MAX(ROW(E$2:E1159)*(E1159=E$2:E1159)))))-COUNTBLANK(OFFSET(A$1,,,SUMPRODUCT(MAX(ROW(E$1:E1158)*(E2=E$1:E1158))))))</f>
        <v> </v>
      </c>
      <c r="K1159" s="19" t="str">
        <f>IF(OR(E1159="",E1159="!!!",F1159="NEW"),"",INDEX(J$1:J1158,SUMPRODUCT(MAX(ROW(E$1:E1158)*(E1159=E$1:E1158)))))</f>
        <v> </v>
      </c>
      <c r="L1159" s="20"/>
    </row>
    <row r="1160" spans="1:12">
      <c r="A1160" s="13" t="s">
        <v>428</v>
      </c>
      <c r="E1160" s="15">
        <f>IF(D1160="?OLD","!!!","")</f>
        <v/>
      </c>
      <c r="F1160" s="16" t="str">
        <f>IF(OR(E1160="",E1160="!!!"),"",IF(NOT(ISNA(VLOOKUP(E1160,E$1:E1159,1,FALSE()))),"OLD",IF(AND(E1160&lt;&gt;"",E1160&lt;&gt;"!!!"),"NEW","")))</f>
        <v> </v>
      </c>
      <c r="G1160" s="17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18" t="str">
        <f>IF(J1160&lt;&gt;1,"",IF(I1160="SBJ","CB","?"))</f>
        <v> </v>
      </c>
      <c r="I1160" s="19" t="str">
        <f>IF(OR(E1160="",E1160="!!!",F1160="NEW"),"",INDEX(B1159:B$2,-1+SUMPRODUCT(MAX(ROW(E1159:E$2)*(E1160=E1159:E$2)))))</f>
        <v> </v>
      </c>
      <c r="J1160" s="19" t="str">
        <f>IF(OR(E1160="",E1160="!!!",F1160="NEW"),"",COUNTBLANK(OFFSET(A$1,,,SUMPRODUCT(MAX(ROW(E$2:E1160)*(E1160=E$2:E1160)))))-COUNTBLANK(OFFSET(A$1,,,SUMPRODUCT(MAX(ROW(E$1:E1159)*(E2=E$1:E1159))))))</f>
        <v> </v>
      </c>
      <c r="K1160" s="19" t="str">
        <f>IF(OR(E1160="",E1160="!!!",F1160="NEW"),"",INDEX(J$1:J1159,SUMPRODUCT(MAX(ROW(E$1:E1159)*(E1160=E$1:E1159)))))</f>
        <v> </v>
      </c>
      <c r="L1160" s="20"/>
    </row>
    <row r="1161" spans="1:12">
      <c r="A1161" s="13" t="s">
        <v>441</v>
      </c>
      <c r="E1161" s="15">
        <f>IF(D1161="?OLD","!!!","")</f>
        <v/>
      </c>
      <c r="F1161" s="16" t="str">
        <f>IF(OR(E1161="",E1161="!!!"),"",IF(NOT(ISNA(VLOOKUP(E1161,E$1:E1160,1,FALSE()))),"OLD",IF(AND(E1161&lt;&gt;"",E1161&lt;&gt;"!!!"),"NEW","")))</f>
        <v> </v>
      </c>
      <c r="G1161" s="17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18" t="str">
        <f>IF(J1161&lt;&gt;1,"",IF(I1161="SBJ","CB","?"))</f>
        <v> </v>
      </c>
      <c r="I1161" s="19" t="str">
        <f>IF(OR(E1161="",E1161="!!!",F1161="NEW"),"",INDEX(B1160:B$2,-1+SUMPRODUCT(MAX(ROW(E1160:E$2)*(E1161=E1160:E$2)))))</f>
        <v> </v>
      </c>
      <c r="J1161" s="19" t="str">
        <f>IF(OR(E1161="",E1161="!!!",F1161="NEW"),"",COUNTBLANK(OFFSET(A$1,,,SUMPRODUCT(MAX(ROW(E$2:E1161)*(E1161=E$2:E1161)))))-COUNTBLANK(OFFSET(A$1,,,SUMPRODUCT(MAX(ROW(E$1:E1160)*(E2=E$1:E1160))))))</f>
        <v> </v>
      </c>
      <c r="K1161" s="19" t="str">
        <f>IF(OR(E1161="",E1161="!!!",F1161="NEW"),"",INDEX(J$1:J1160,SUMPRODUCT(MAX(ROW(E$1:E1160)*(E1161=E$1:E1160)))))</f>
        <v> </v>
      </c>
      <c r="L1161" s="20"/>
    </row>
    <row r="1162" spans="1:12">
      <c r="A1162" s="13" t="s">
        <v>119</v>
      </c>
      <c r="E1162" s="15">
        <f>IF(D1162="?OLD","!!!","")</f>
        <v/>
      </c>
      <c r="F1162" s="16" t="str">
        <f>IF(OR(E1162="",E1162="!!!"),"",IF(NOT(ISNA(VLOOKUP(E1162,E$1:E1161,1,FALSE()))),"OLD",IF(AND(E1162&lt;&gt;"",E1162&lt;&gt;"!!!"),"NEW","")))</f>
        <v> </v>
      </c>
      <c r="G1162" s="17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18" t="str">
        <f>IF(J1162&lt;&gt;1,"",IF(I1162="SBJ","CB","?"))</f>
        <v> </v>
      </c>
      <c r="I1162" s="19" t="str">
        <f>IF(OR(E1162="",E1162="!!!",F1162="NEW"),"",INDEX(B1161:B$2,-1+SUMPRODUCT(MAX(ROW(E1161:E$2)*(E1162=E1161:E$2)))))</f>
        <v> </v>
      </c>
      <c r="J1162" s="19" t="str">
        <f>IF(OR(E1162="",E1162="!!!",F1162="NEW"),"",COUNTBLANK(OFFSET(A$1,,,SUMPRODUCT(MAX(ROW(E$2:E1162)*(E1162=E$2:E1162)))))-COUNTBLANK(OFFSET(A$1,,,SUMPRODUCT(MAX(ROW(E$1:E1161)*(E2=E$1:E1161))))))</f>
        <v> </v>
      </c>
      <c r="K1162" s="19" t="str">
        <f>IF(OR(E1162="",E1162="!!!",F1162="NEW"),"",INDEX(J$1:J1161,SUMPRODUCT(MAX(ROW(E$1:E1161)*(E1162=E$1:E1161)))))</f>
        <v> </v>
      </c>
      <c r="L1162" s="20"/>
    </row>
    <row r="1163" spans="1:12">
      <c r="A1163" s="13" t="s">
        <v>430</v>
      </c>
      <c r="E1163" s="15">
        <f>IF(D1163="?OLD","!!!","")</f>
        <v/>
      </c>
      <c r="F1163" s="16" t="str">
        <f>IF(OR(E1163="",E1163="!!!"),"",IF(NOT(ISNA(VLOOKUP(E1163,E$1:E1162,1,FALSE()))),"OLD",IF(AND(E1163&lt;&gt;"",E1163&lt;&gt;"!!!"),"NEW","")))</f>
        <v> </v>
      </c>
      <c r="G1163" s="17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18" t="str">
        <f>IF(J1163&lt;&gt;1,"",IF(I1163="SBJ","CB","?"))</f>
        <v> </v>
      </c>
      <c r="I1163" s="19" t="str">
        <f>IF(OR(E1163="",E1163="!!!",F1163="NEW"),"",INDEX(B1162:B$2,-1+SUMPRODUCT(MAX(ROW(E1162:E$2)*(E1163=E1162:E$2)))))</f>
        <v> </v>
      </c>
      <c r="J1163" s="19" t="str">
        <f>IF(OR(E1163="",E1163="!!!",F1163="NEW"),"",COUNTBLANK(OFFSET(A$1,,,SUMPRODUCT(MAX(ROW(E$2:E1163)*(E1163=E$2:E1163)))))-COUNTBLANK(OFFSET(A$1,,,SUMPRODUCT(MAX(ROW(E$1:E1162)*(E2=E$1:E1162))))))</f>
        <v> </v>
      </c>
      <c r="K1163" s="19" t="str">
        <f>IF(OR(E1163="",E1163="!!!",F1163="NEW"),"",INDEX(J$1:J1162,SUMPRODUCT(MAX(ROW(E$1:E1162)*(E1163=E$1:E1162)))))</f>
        <v> </v>
      </c>
      <c r="L1163" s="20"/>
    </row>
    <row r="1164" spans="1:12">
      <c r="A1164" s="13" t="s">
        <v>102</v>
      </c>
      <c r="E1164" s="15">
        <f>IF(D1164="?OLD","!!!","")</f>
        <v/>
      </c>
      <c r="F1164" s="16" t="str">
        <f>IF(OR(E1164="",E1164="!!!"),"",IF(NOT(ISNA(VLOOKUP(E1164,E$1:E1163,1,FALSE()))),"OLD",IF(AND(E1164&lt;&gt;"",E1164&lt;&gt;"!!!"),"NEW","")))</f>
        <v> </v>
      </c>
      <c r="G1164" s="17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18" t="str">
        <f>IF(J1164&lt;&gt;1,"",IF(I1164="SBJ","CB","?"))</f>
        <v> </v>
      </c>
      <c r="I1164" s="19" t="str">
        <f>IF(OR(E1164="",E1164="!!!",F1164="NEW"),"",INDEX(B1163:B$2,-1+SUMPRODUCT(MAX(ROW(E1163:E$2)*(E1164=E1163:E$2)))))</f>
        <v> </v>
      </c>
      <c r="J1164" s="19" t="str">
        <f>IF(OR(E1164="",E1164="!!!",F1164="NEW"),"",COUNTBLANK(OFFSET(A$1,,,SUMPRODUCT(MAX(ROW(E$2:E1164)*(E1164=E$2:E1164)))))-COUNTBLANK(OFFSET(A$1,,,SUMPRODUCT(MAX(ROW(E$1:E1163)*(E2=E$1:E1163))))))</f>
        <v> </v>
      </c>
      <c r="K1164" s="19" t="str">
        <f>IF(OR(E1164="",E1164="!!!",F1164="NEW"),"",INDEX(J$1:J1163,SUMPRODUCT(MAX(ROW(E$1:E1163)*(E1164=E$1:E1163)))))</f>
        <v> </v>
      </c>
      <c r="L1164" s="20"/>
    </row>
    <row r="1165" spans="1:12">
      <c r="A1165" s="13" t="s">
        <v>442</v>
      </c>
      <c r="B1165" s="14" t="s">
        <v>27</v>
      </c>
      <c r="C1165" s="14" t="s">
        <v>24</v>
      </c>
      <c r="D1165" s="14" t="s">
        <v>25</v>
      </c>
      <c r="E1165" s="15">
        <f>IF(D1165="?OLD","!!!","")</f>
        <v/>
      </c>
      <c r="F1165" s="16" t="str">
        <f>IF(OR(E1165="",E1165="!!!"),"",IF(NOT(ISNA(VLOOKUP(E1165,E$1:E1164,1,FALSE()))),"OLD",IF(AND(E1165&lt;&gt;"",E1165&lt;&gt;"!!!"),"NEW","")))</f>
        <v> </v>
      </c>
      <c r="G1165" s="17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18" t="str">
        <f>IF(J1165&lt;&gt;1,"",IF(I1165="SBJ","CB","?"))</f>
        <v> </v>
      </c>
      <c r="I1165" s="19" t="str">
        <f>IF(OR(E1165="",E1165="!!!",F1165="NEW"),"",INDEX(B1164:B$2,-1+SUMPRODUCT(MAX(ROW(E1164:E$2)*(E1165=E1164:E$2)))))</f>
        <v> </v>
      </c>
      <c r="J1165" s="19" t="str">
        <f>IF(OR(E1165="",E1165="!!!",F1165="NEW"),"",COUNTBLANK(OFFSET(A$1,,,SUMPRODUCT(MAX(ROW(E$2:E1165)*(E1165=E$2:E1165)))))-COUNTBLANK(OFFSET(A$1,,,SUMPRODUCT(MAX(ROW(E$1:E1164)*(E2=E$1:E1164))))))</f>
        <v> </v>
      </c>
      <c r="K1165" s="19" t="str">
        <f>IF(OR(E1165="",E1165="!!!",F1165="NEW"),"",INDEX(J$1:J1164,SUMPRODUCT(MAX(ROW(E$1:E1164)*(E1165=E$1:E1164)))))</f>
        <v> </v>
      </c>
      <c r="L1165" s="20"/>
    </row>
    <row r="1166" spans="1:12">
      <c r="A1166" s="13" t="s">
        <v>119</v>
      </c>
      <c r="E1166" s="15">
        <f>IF(D1166="?OLD","!!!","")</f>
        <v/>
      </c>
      <c r="F1166" s="16" t="str">
        <f>IF(OR(E1166="",E1166="!!!"),"",IF(NOT(ISNA(VLOOKUP(E1166,E$1:E1165,1,FALSE()))),"OLD",IF(AND(E1166&lt;&gt;"",E1166&lt;&gt;"!!!"),"NEW","")))</f>
        <v> </v>
      </c>
      <c r="G1166" s="17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18" t="str">
        <f>IF(J1166&lt;&gt;1,"",IF(I1166="SBJ","CB","?"))</f>
        <v> </v>
      </c>
      <c r="I1166" s="19" t="str">
        <f>IF(OR(E1166="",E1166="!!!",F1166="NEW"),"",INDEX(B1165:B$2,-1+SUMPRODUCT(MAX(ROW(E1165:E$2)*(E1166=E1165:E$2)))))</f>
        <v> </v>
      </c>
      <c r="J1166" s="19" t="str">
        <f>IF(OR(E1166="",E1166="!!!",F1166="NEW"),"",COUNTBLANK(OFFSET(A$1,,,SUMPRODUCT(MAX(ROW(E$2:E1166)*(E1166=E$2:E1166)))))-COUNTBLANK(OFFSET(A$1,,,SUMPRODUCT(MAX(ROW(E$1:E1165)*(E2=E$1:E1165))))))</f>
        <v> </v>
      </c>
      <c r="K1166" s="19" t="str">
        <f>IF(OR(E1166="",E1166="!!!",F1166="NEW"),"",INDEX(J$1:J1165,SUMPRODUCT(MAX(ROW(E$1:E1165)*(E1166=E$1:E1165)))))</f>
        <v> </v>
      </c>
      <c r="L1166" s="20"/>
    </row>
    <row r="1167" spans="1:12">
      <c r="A1167" s="13" t="s">
        <v>432</v>
      </c>
      <c r="E1167" s="15">
        <f>IF(D1167="?OLD","!!!","")</f>
        <v/>
      </c>
      <c r="F1167" s="16" t="str">
        <f>IF(OR(E1167="",E1167="!!!"),"",IF(NOT(ISNA(VLOOKUP(E1167,E$1:E1166,1,FALSE()))),"OLD",IF(AND(E1167&lt;&gt;"",E1167&lt;&gt;"!!!"),"NEW","")))</f>
        <v> </v>
      </c>
      <c r="G1167" s="17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18" t="str">
        <f>IF(J1167&lt;&gt;1,"",IF(I1167="SBJ","CB","?"))</f>
        <v> </v>
      </c>
      <c r="I1167" s="19" t="str">
        <f>IF(OR(E1167="",E1167="!!!",F1167="NEW"),"",INDEX(B1166:B$2,-1+SUMPRODUCT(MAX(ROW(E1166:E$2)*(E1167=E1166:E$2)))))</f>
        <v> </v>
      </c>
      <c r="J1167" s="19" t="str">
        <f>IF(OR(E1167="",E1167="!!!",F1167="NEW"),"",COUNTBLANK(OFFSET(A$1,,,SUMPRODUCT(MAX(ROW(E$2:E1167)*(E1167=E$2:E1167)))))-COUNTBLANK(OFFSET(A$1,,,SUMPRODUCT(MAX(ROW(E$1:E1166)*(E2=E$1:E1166))))))</f>
        <v> </v>
      </c>
      <c r="K1167" s="19" t="str">
        <f>IF(OR(E1167="",E1167="!!!",F1167="NEW"),"",INDEX(J$1:J1166,SUMPRODUCT(MAX(ROW(E$1:E1166)*(E1167=E$1:E1166)))))</f>
        <v> </v>
      </c>
      <c r="L1167" s="20"/>
    </row>
    <row r="1168" spans="1:12">
      <c r="A1168" s="13" t="s">
        <v>433</v>
      </c>
      <c r="E1168" s="15">
        <f>IF(D1168="?OLD","!!!","")</f>
        <v/>
      </c>
      <c r="F1168" s="16" t="str">
        <f>IF(OR(E1168="",E1168="!!!"),"",IF(NOT(ISNA(VLOOKUP(E1168,E$1:E1167,1,FALSE()))),"OLD",IF(AND(E1168&lt;&gt;"",E1168&lt;&gt;"!!!"),"NEW","")))</f>
        <v> </v>
      </c>
      <c r="G1168" s="17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18" t="str">
        <f>IF(J1168&lt;&gt;1,"",IF(I1168="SBJ","CB","?"))</f>
        <v> </v>
      </c>
      <c r="I1168" s="19" t="str">
        <f>IF(OR(E1168="",E1168="!!!",F1168="NEW"),"",INDEX(B1167:B$2,-1+SUMPRODUCT(MAX(ROW(E1167:E$2)*(E1168=E1167:E$2)))))</f>
        <v> </v>
      </c>
      <c r="J1168" s="19" t="str">
        <f>IF(OR(E1168="",E1168="!!!",F1168="NEW"),"",COUNTBLANK(OFFSET(A$1,,,SUMPRODUCT(MAX(ROW(E$2:E1168)*(E1168=E$2:E1168)))))-COUNTBLANK(OFFSET(A$1,,,SUMPRODUCT(MAX(ROW(E$1:E1167)*(E2=E$1:E1167))))))</f>
        <v> </v>
      </c>
      <c r="K1168" s="19" t="str">
        <f>IF(OR(E1168="",E1168="!!!",F1168="NEW"),"",INDEX(J$1:J1167,SUMPRODUCT(MAX(ROW(E$1:E1167)*(E1168=E$1:E1167)))))</f>
        <v> </v>
      </c>
      <c r="L1168" s="20"/>
    </row>
    <row r="1169" spans="1:12">
      <c r="A1169" s="13" t="s">
        <v>434</v>
      </c>
      <c r="E1169" s="15">
        <f>IF(D1169="?OLD","!!!","")</f>
        <v/>
      </c>
      <c r="F1169" s="16" t="str">
        <f>IF(OR(E1169="",E1169="!!!"),"",IF(NOT(ISNA(VLOOKUP(E1169,E$1:E1168,1,FALSE()))),"OLD",IF(AND(E1169&lt;&gt;"",E1169&lt;&gt;"!!!"),"NEW","")))</f>
        <v> </v>
      </c>
      <c r="G1169" s="17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18" t="str">
        <f>IF(J1169&lt;&gt;1,"",IF(I1169="SBJ","CB","?"))</f>
        <v> </v>
      </c>
      <c r="I1169" s="19" t="str">
        <f>IF(OR(E1169="",E1169="!!!",F1169="NEW"),"",INDEX(B1168:B$2,-1+SUMPRODUCT(MAX(ROW(E1168:E$2)*(E1169=E1168:E$2)))))</f>
        <v> </v>
      </c>
      <c r="J1169" s="19" t="str">
        <f>IF(OR(E1169="",E1169="!!!",F1169="NEW"),"",COUNTBLANK(OFFSET(A$1,,,SUMPRODUCT(MAX(ROW(E$2:E1169)*(E1169=E$2:E1169)))))-COUNTBLANK(OFFSET(A$1,,,SUMPRODUCT(MAX(ROW(E$1:E1168)*(E2=E$1:E1168))))))</f>
        <v> </v>
      </c>
      <c r="K1169" s="19" t="str">
        <f>IF(OR(E1169="",E1169="!!!",F1169="NEW"),"",INDEX(J$1:J1168,SUMPRODUCT(MAX(ROW(E$1:E1168)*(E1169=E$1:E1168)))))</f>
        <v> </v>
      </c>
      <c r="L1169" s="20"/>
    </row>
    <row r="1170" spans="1:12">
      <c r="A1170" s="13" t="s">
        <v>443</v>
      </c>
      <c r="B1170" s="14" t="s">
        <v>23</v>
      </c>
      <c r="C1170" s="14" t="s">
        <v>24</v>
      </c>
      <c r="D1170" s="14" t="s">
        <v>25</v>
      </c>
      <c r="E1170" s="15">
        <f>IF(D1170="?OLD","!!!","")</f>
        <v/>
      </c>
      <c r="F1170" s="16" t="str">
        <f>IF(OR(E1170="",E1170="!!!"),"",IF(NOT(ISNA(VLOOKUP(E1170,E$1:E1169,1,FALSE()))),"OLD",IF(AND(E1170&lt;&gt;"",E1170&lt;&gt;"!!!"),"NEW","")))</f>
        <v> </v>
      </c>
      <c r="G1170" s="17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18" t="str">
        <f>IF(J1170&lt;&gt;1,"",IF(I1170="SBJ","CB","?"))</f>
        <v> </v>
      </c>
      <c r="I1170" s="19" t="str">
        <f>IF(OR(E1170="",E1170="!!!",F1170="NEW"),"",INDEX(B1169:B$2,-1+SUMPRODUCT(MAX(ROW(E1169:E$2)*(E1170=E1169:E$2)))))</f>
        <v> </v>
      </c>
      <c r="J1170" s="19" t="str">
        <f>IF(OR(E1170="",E1170="!!!",F1170="NEW"),"",COUNTBLANK(OFFSET(A$1,,,SUMPRODUCT(MAX(ROW(E$2:E1170)*(E1170=E$2:E1170)))))-COUNTBLANK(OFFSET(A$1,,,SUMPRODUCT(MAX(ROW(E$1:E1169)*(E2=E$1:E1169))))))</f>
        <v> </v>
      </c>
      <c r="K1170" s="19" t="str">
        <f>IF(OR(E1170="",E1170="!!!",F1170="NEW"),"",INDEX(J$1:J1169,SUMPRODUCT(MAX(ROW(E$1:E1169)*(E1170=E$1:E1169)))))</f>
        <v> </v>
      </c>
      <c r="L1170" s="20"/>
    </row>
    <row r="1171" spans="1:12">
      <c r="A1171" s="13" t="s">
        <v>435</v>
      </c>
      <c r="E1171" s="15">
        <f>IF(D1171="?OLD","!!!","")</f>
        <v/>
      </c>
      <c r="F1171" s="16" t="str">
        <f>IF(OR(E1171="",E1171="!!!"),"",IF(NOT(ISNA(VLOOKUP(E1171,E$1:E1170,1,FALSE()))),"OLD",IF(AND(E1171&lt;&gt;"",E1171&lt;&gt;"!!!"),"NEW","")))</f>
        <v> </v>
      </c>
      <c r="G1171" s="17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18" t="str">
        <f>IF(J1171&lt;&gt;1,"",IF(I1171="SBJ","CB","?"))</f>
        <v> </v>
      </c>
      <c r="I1171" s="19" t="str">
        <f>IF(OR(E1171="",E1171="!!!",F1171="NEW"),"",INDEX(B1170:B$2,-1+SUMPRODUCT(MAX(ROW(E1170:E$2)*(E1171=E1170:E$2)))))</f>
        <v> </v>
      </c>
      <c r="J1171" s="19" t="str">
        <f>IF(OR(E1171="",E1171="!!!",F1171="NEW"),"",COUNTBLANK(OFFSET(A$1,,,SUMPRODUCT(MAX(ROW(E$2:E1171)*(E1171=E$2:E1171)))))-COUNTBLANK(OFFSET(A$1,,,SUMPRODUCT(MAX(ROW(E$1:E1170)*(E2=E$1:E1170))))))</f>
        <v> </v>
      </c>
      <c r="K1171" s="19" t="str">
        <f>IF(OR(E1171="",E1171="!!!",F1171="NEW"),"",INDEX(J$1:J1170,SUMPRODUCT(MAX(ROW(E$1:E1170)*(E1171=E$1:E1170)))))</f>
        <v> </v>
      </c>
      <c r="L1171" s="20"/>
    </row>
    <row r="1172" spans="1:12">
      <c r="A1172" s="13" t="s">
        <v>444</v>
      </c>
      <c r="E1172" s="15">
        <f>IF(D1172="?OLD","!!!","")</f>
        <v/>
      </c>
      <c r="F1172" s="16" t="str">
        <f>IF(OR(E1172="",E1172="!!!"),"",IF(NOT(ISNA(VLOOKUP(E1172,E$1:E1171,1,FALSE()))),"OLD",IF(AND(E1172&lt;&gt;"",E1172&lt;&gt;"!!!"),"NEW","")))</f>
        <v> </v>
      </c>
      <c r="G1172" s="17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18" t="str">
        <f>IF(J1172&lt;&gt;1,"",IF(I1172="SBJ","CB","?"))</f>
        <v> </v>
      </c>
      <c r="I1172" s="19" t="str">
        <f>IF(OR(E1172="",E1172="!!!",F1172="NEW"),"",INDEX(B1171:B$2,-1+SUMPRODUCT(MAX(ROW(E1171:E$2)*(E1172=E1171:E$2)))))</f>
        <v> </v>
      </c>
      <c r="J1172" s="19" t="str">
        <f>IF(OR(E1172="",E1172="!!!",F1172="NEW"),"",COUNTBLANK(OFFSET(A$1,,,SUMPRODUCT(MAX(ROW(E$2:E1172)*(E1172=E$2:E1172)))))-COUNTBLANK(OFFSET(A$1,,,SUMPRODUCT(MAX(ROW(E$1:E1171)*(E2=E$1:E1171))))))</f>
        <v> </v>
      </c>
      <c r="K1172" s="19" t="str">
        <f>IF(OR(E1172="",E1172="!!!",F1172="NEW"),"",INDEX(J$1:J1171,SUMPRODUCT(MAX(ROW(E$1:E1171)*(E1172=E$1:E1171)))))</f>
        <v> </v>
      </c>
      <c r="L1172" s="20"/>
    </row>
    <row r="1173" spans="1:12">
      <c r="A1173" s="13" t="s">
        <v>445</v>
      </c>
      <c r="E1173" s="15">
        <f>IF(D1173="?OLD","!!!","")</f>
        <v/>
      </c>
      <c r="F1173" s="16" t="str">
        <f>IF(OR(E1173="",E1173="!!!"),"",IF(NOT(ISNA(VLOOKUP(E1173,E$1:E1172,1,FALSE()))),"OLD",IF(AND(E1173&lt;&gt;"",E1173&lt;&gt;"!!!"),"NEW","")))</f>
        <v> </v>
      </c>
      <c r="G1173" s="17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18" t="str">
        <f>IF(J1173&lt;&gt;1,"",IF(I1173="SBJ","CB","?"))</f>
        <v> </v>
      </c>
      <c r="I1173" s="19" t="str">
        <f>IF(OR(E1173="",E1173="!!!",F1173="NEW"),"",INDEX(B1172:B$2,-1+SUMPRODUCT(MAX(ROW(E1172:E$2)*(E1173=E1172:E$2)))))</f>
        <v> </v>
      </c>
      <c r="J1173" s="19" t="str">
        <f>IF(OR(E1173="",E1173="!!!",F1173="NEW"),"",COUNTBLANK(OFFSET(A$1,,,SUMPRODUCT(MAX(ROW(E$2:E1173)*(E1173=E$2:E1173)))))-COUNTBLANK(OFFSET(A$1,,,SUMPRODUCT(MAX(ROW(E$1:E1172)*(E2=E$1:E1172))))))</f>
        <v> </v>
      </c>
      <c r="K1173" s="19" t="str">
        <f>IF(OR(E1173="",E1173="!!!",F1173="NEW"),"",INDEX(J$1:J1172,SUMPRODUCT(MAX(ROW(E$1:E1172)*(E1173=E$1:E1172)))))</f>
        <v> </v>
      </c>
      <c r="L1173" s="20"/>
    </row>
    <row r="1174" spans="1:12">
      <c r="A1174" s="13" t="s">
        <v>446</v>
      </c>
      <c r="B1174" s="14" t="s">
        <v>88</v>
      </c>
      <c r="C1174" s="14" t="s">
        <v>34</v>
      </c>
      <c r="E1174" s="15">
        <f>IF(D1174="?OLD","!!!","")</f>
        <v/>
      </c>
      <c r="F1174" s="16" t="str">
        <f>IF(OR(E1174="",E1174="!!!"),"",IF(NOT(ISNA(VLOOKUP(E1174,E$1:E1173,1,FALSE()))),"OLD",IF(AND(E1174&lt;&gt;"",E1174&lt;&gt;"!!!"),"NEW","")))</f>
        <v> </v>
      </c>
      <c r="G1174" s="17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18" t="str">
        <f>IF(J1174&lt;&gt;1,"",IF(I1174="SBJ","CB","?"))</f>
        <v> </v>
      </c>
      <c r="I1174" s="19" t="str">
        <f>IF(OR(E1174="",E1174="!!!",F1174="NEW"),"",INDEX(B1173:B$2,-1+SUMPRODUCT(MAX(ROW(E1173:E$2)*(E1174=E1173:E$2)))))</f>
        <v> </v>
      </c>
      <c r="J1174" s="19" t="str">
        <f>IF(OR(E1174="",E1174="!!!",F1174="NEW"),"",COUNTBLANK(OFFSET(A$1,,,SUMPRODUCT(MAX(ROW(E$2:E1174)*(E1174=E$2:E1174)))))-COUNTBLANK(OFFSET(A$1,,,SUMPRODUCT(MAX(ROW(E$1:E1173)*(E2=E$1:E1173))))))</f>
        <v> </v>
      </c>
      <c r="K1174" s="19" t="str">
        <f>IF(OR(E1174="",E1174="!!!",F1174="NEW"),"",INDEX(J$1:J1173,SUMPRODUCT(MAX(ROW(E$1:E1173)*(E1174=E$1:E1173)))))</f>
        <v> </v>
      </c>
      <c r="L1174" s="20"/>
    </row>
    <row r="1175" spans="1:12">
      <c r="A1175" s="13" t="s">
        <v>314</v>
      </c>
      <c r="E1175" s="15">
        <f>IF(D1175="?OLD","!!!","")</f>
        <v/>
      </c>
      <c r="F1175" s="16" t="str">
        <f>IF(OR(E1175="",E1175="!!!"),"",IF(NOT(ISNA(VLOOKUP(E1175,E$1:E1174,1,FALSE()))),"OLD",IF(AND(E1175&lt;&gt;"",E1175&lt;&gt;"!!!"),"NEW","")))</f>
        <v> </v>
      </c>
      <c r="G1175" s="17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18" t="str">
        <f>IF(J1175&lt;&gt;1,"",IF(I1175="SBJ","CB","?"))</f>
        <v> </v>
      </c>
      <c r="I1175" s="19" t="str">
        <f>IF(OR(E1175="",E1175="!!!",F1175="NEW"),"",INDEX(B1174:B$2,-1+SUMPRODUCT(MAX(ROW(E1174:E$2)*(E1175=E1174:E$2)))))</f>
        <v> </v>
      </c>
      <c r="J1175" s="19" t="str">
        <f>IF(OR(E1175="",E1175="!!!",F1175="NEW"),"",COUNTBLANK(OFFSET(A$1,,,SUMPRODUCT(MAX(ROW(E$2:E1175)*(E1175=E$2:E1175)))))-COUNTBLANK(OFFSET(A$1,,,SUMPRODUCT(MAX(ROW(E$1:E1174)*(E2=E$1:E1174))))))</f>
        <v> </v>
      </c>
      <c r="K1175" s="19" t="str">
        <f>IF(OR(E1175="",E1175="!!!",F1175="NEW"),"",INDEX(J$1:J1174,SUMPRODUCT(MAX(ROW(E$1:E1174)*(E1175=E$1:E1174)))))</f>
        <v> </v>
      </c>
      <c r="L1175" s="20"/>
    </row>
    <row r="1176" spans="1:12">
      <c r="A1176" s="13" t="s">
        <v>435</v>
      </c>
      <c r="E1176" s="15">
        <f>IF(D1176="?OLD","!!!","")</f>
        <v/>
      </c>
      <c r="F1176" s="16" t="str">
        <f>IF(OR(E1176="",E1176="!!!"),"",IF(NOT(ISNA(VLOOKUP(E1176,E$1:E1175,1,FALSE()))),"OLD",IF(AND(E1176&lt;&gt;"",E1176&lt;&gt;"!!!"),"NEW","")))</f>
        <v> </v>
      </c>
      <c r="G1176" s="17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18" t="str">
        <f>IF(J1176&lt;&gt;1,"",IF(I1176="SBJ","CB","?"))</f>
        <v> </v>
      </c>
      <c r="I1176" s="19" t="str">
        <f>IF(OR(E1176="",E1176="!!!",F1176="NEW"),"",INDEX(B1175:B$2,-1+SUMPRODUCT(MAX(ROW(E1175:E$2)*(E1176=E1175:E$2)))))</f>
        <v> </v>
      </c>
      <c r="J1176" s="19" t="str">
        <f>IF(OR(E1176="",E1176="!!!",F1176="NEW"),"",COUNTBLANK(OFFSET(A$1,,,SUMPRODUCT(MAX(ROW(E$2:E1176)*(E1176=E$2:E1176)))))-COUNTBLANK(OFFSET(A$1,,,SUMPRODUCT(MAX(ROW(E$1:E1175)*(E2=E$1:E1175))))))</f>
        <v> </v>
      </c>
      <c r="K1176" s="19" t="str">
        <f>IF(OR(E1176="",E1176="!!!",F1176="NEW"),"",INDEX(J$1:J1175,SUMPRODUCT(MAX(ROW(E$1:E1175)*(E1176=E$1:E1175)))))</f>
        <v> </v>
      </c>
      <c r="L1176" s="20"/>
    </row>
    <row r="1177" spans="1:12">
      <c r="A1177" s="13" t="s">
        <v>435</v>
      </c>
      <c r="E1177" s="15">
        <f>IF(D1177="?OLD","!!!","")</f>
        <v/>
      </c>
      <c r="F1177" s="16" t="str">
        <f>IF(OR(E1177="",E1177="!!!"),"",IF(NOT(ISNA(VLOOKUP(E1177,E$1:E1176,1,FALSE()))),"OLD",IF(AND(E1177&lt;&gt;"",E1177&lt;&gt;"!!!"),"NEW","")))</f>
        <v> </v>
      </c>
      <c r="G1177" s="17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18" t="str">
        <f>IF(J1177&lt;&gt;1,"",IF(I1177="SBJ","CB","?"))</f>
        <v> </v>
      </c>
      <c r="I1177" s="19" t="str">
        <f>IF(OR(E1177="",E1177="!!!",F1177="NEW"),"",INDEX(B1176:B$2,-1+SUMPRODUCT(MAX(ROW(E1176:E$2)*(E1177=E1176:E$2)))))</f>
        <v> </v>
      </c>
      <c r="J1177" s="19" t="str">
        <f>IF(OR(E1177="",E1177="!!!",F1177="NEW"),"",COUNTBLANK(OFFSET(A$1,,,SUMPRODUCT(MAX(ROW(E$2:E1177)*(E1177=E$2:E1177)))))-COUNTBLANK(OFFSET(A$1,,,SUMPRODUCT(MAX(ROW(E$1:E1176)*(E2=E$1:E1176))))))</f>
        <v> </v>
      </c>
      <c r="K1177" s="19" t="str">
        <f>IF(OR(E1177="",E1177="!!!",F1177="NEW"),"",INDEX(J$1:J1176,SUMPRODUCT(MAX(ROW(E$1:E1176)*(E1177=E$1:E1176)))))</f>
        <v> </v>
      </c>
      <c r="L1177" s="20"/>
    </row>
    <row r="1178" spans="1:12">
      <c r="A1178" s="13" t="s">
        <v>428</v>
      </c>
      <c r="E1178" s="15">
        <f>IF(D1178="?OLD","!!!","")</f>
        <v/>
      </c>
      <c r="F1178" s="16" t="str">
        <f>IF(OR(E1178="",E1178="!!!"),"",IF(NOT(ISNA(VLOOKUP(E1178,E$1:E1177,1,FALSE()))),"OLD",IF(AND(E1178&lt;&gt;"",E1178&lt;&gt;"!!!"),"NEW","")))</f>
        <v> </v>
      </c>
      <c r="G1178" s="17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18" t="str">
        <f>IF(J1178&lt;&gt;1,"",IF(I1178="SBJ","CB","?"))</f>
        <v> </v>
      </c>
      <c r="I1178" s="19" t="str">
        <f>IF(OR(E1178="",E1178="!!!",F1178="NEW"),"",INDEX(B1177:B$2,-1+SUMPRODUCT(MAX(ROW(E1177:E$2)*(E1178=E1177:E$2)))))</f>
        <v> </v>
      </c>
      <c r="J1178" s="19" t="str">
        <f>IF(OR(E1178="",E1178="!!!",F1178="NEW"),"",COUNTBLANK(OFFSET(A$1,,,SUMPRODUCT(MAX(ROW(E$2:E1178)*(E1178=E$2:E1178)))))-COUNTBLANK(OFFSET(A$1,,,SUMPRODUCT(MAX(ROW(E$1:E1177)*(E2=E$1:E1177))))))</f>
        <v> </v>
      </c>
      <c r="K1178" s="19" t="str">
        <f>IF(OR(E1178="",E1178="!!!",F1178="NEW"),"",INDEX(J$1:J1177,SUMPRODUCT(MAX(ROW(E$1:E1177)*(E1178=E$1:E1177)))))</f>
        <v> </v>
      </c>
      <c r="L1178" s="20"/>
    </row>
    <row r="1179" spans="1:12">
      <c r="A1179" s="13" t="s">
        <v>447</v>
      </c>
      <c r="B1179" s="14" t="s">
        <v>33</v>
      </c>
      <c r="C1179" s="14" t="s">
        <v>24</v>
      </c>
      <c r="D1179" s="14" t="s">
        <v>25</v>
      </c>
      <c r="E1179" s="15">
        <f>IF(D1179="?OLD","!!!","")</f>
        <v/>
      </c>
      <c r="F1179" s="16" t="str">
        <f>IF(OR(E1179="",E1179="!!!"),"",IF(NOT(ISNA(VLOOKUP(E1179,E$1:E1178,1,FALSE()))),"OLD",IF(AND(E1179&lt;&gt;"",E1179&lt;&gt;"!!!"),"NEW","")))</f>
        <v> </v>
      </c>
      <c r="G1179" s="17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18" t="str">
        <f>IF(J1179&lt;&gt;1,"",IF(I1179="SBJ","CB","?"))</f>
        <v> </v>
      </c>
      <c r="I1179" s="19" t="str">
        <f>IF(OR(E1179="",E1179="!!!",F1179="NEW"),"",INDEX(B1178:B$2,-1+SUMPRODUCT(MAX(ROW(E1178:E$2)*(E1179=E1178:E$2)))))</f>
        <v> </v>
      </c>
      <c r="J1179" s="19" t="str">
        <f>IF(OR(E1179="",E1179="!!!",F1179="NEW"),"",COUNTBLANK(OFFSET(A$1,,,SUMPRODUCT(MAX(ROW(E$2:E1179)*(E1179=E$2:E1179)))))-COUNTBLANK(OFFSET(A$1,,,SUMPRODUCT(MAX(ROW(E$1:E1178)*(E2=E$1:E1178))))))</f>
        <v> </v>
      </c>
      <c r="K1179" s="19" t="str">
        <f>IF(OR(E1179="",E1179="!!!",F1179="NEW"),"",INDEX(J$1:J1178,SUMPRODUCT(MAX(ROW(E$1:E1178)*(E1179=E$1:E1178)))))</f>
        <v> </v>
      </c>
      <c r="L1179" s="20"/>
    </row>
    <row r="1180" spans="1:12">
      <c r="A1180" s="13" t="s">
        <v>119</v>
      </c>
      <c r="E1180" s="15">
        <f>IF(D1180="?OLD","!!!","")</f>
        <v/>
      </c>
      <c r="F1180" s="16" t="str">
        <f>IF(OR(E1180="",E1180="!!!"),"",IF(NOT(ISNA(VLOOKUP(E1180,E$1:E1179,1,FALSE()))),"OLD",IF(AND(E1180&lt;&gt;"",E1180&lt;&gt;"!!!"),"NEW","")))</f>
        <v> </v>
      </c>
      <c r="G1180" s="17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18" t="str">
        <f>IF(J1180&lt;&gt;1,"",IF(I1180="SBJ","CB","?"))</f>
        <v> </v>
      </c>
      <c r="I1180" s="19" t="str">
        <f>IF(OR(E1180="",E1180="!!!",F1180="NEW"),"",INDEX(B1179:B$2,-1+SUMPRODUCT(MAX(ROW(E1179:E$2)*(E1180=E1179:E$2)))))</f>
        <v> </v>
      </c>
      <c r="J1180" s="19" t="str">
        <f>IF(OR(E1180="",E1180="!!!",F1180="NEW"),"",COUNTBLANK(OFFSET(A$1,,,SUMPRODUCT(MAX(ROW(E$2:E1180)*(E1180=E$2:E1180)))))-COUNTBLANK(OFFSET(A$1,,,SUMPRODUCT(MAX(ROW(E$1:E1179)*(E2=E$1:E1179))))))</f>
        <v> </v>
      </c>
      <c r="K1180" s="19" t="str">
        <f>IF(OR(E1180="",E1180="!!!",F1180="NEW"),"",INDEX(J$1:J1179,SUMPRODUCT(MAX(ROW(E$1:E1179)*(E1180=E$1:E1179)))))</f>
        <v> </v>
      </c>
      <c r="L1180" s="20"/>
    </row>
    <row r="1181" spans="1:12">
      <c r="A1181" s="13" t="s">
        <v>448</v>
      </c>
      <c r="E1181" s="15">
        <f>IF(D1181="?OLD","!!!","")</f>
        <v/>
      </c>
      <c r="F1181" s="16" t="str">
        <f>IF(OR(E1181="",E1181="!!!"),"",IF(NOT(ISNA(VLOOKUP(E1181,E$1:E1180,1,FALSE()))),"OLD",IF(AND(E1181&lt;&gt;"",E1181&lt;&gt;"!!!"),"NEW","")))</f>
        <v> </v>
      </c>
      <c r="G1181" s="17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18" t="str">
        <f>IF(J1181&lt;&gt;1,"",IF(I1181="SBJ","CB","?"))</f>
        <v> </v>
      </c>
      <c r="I1181" s="19" t="str">
        <f>IF(OR(E1181="",E1181="!!!",F1181="NEW"),"",INDEX(B1180:B$2,-1+SUMPRODUCT(MAX(ROW(E1180:E$2)*(E1181=E1180:E$2)))))</f>
        <v> </v>
      </c>
      <c r="J1181" s="19" t="str">
        <f>IF(OR(E1181="",E1181="!!!",F1181="NEW"),"",COUNTBLANK(OFFSET(A$1,,,SUMPRODUCT(MAX(ROW(E$2:E1181)*(E1181=E$2:E1181)))))-COUNTBLANK(OFFSET(A$1,,,SUMPRODUCT(MAX(ROW(E$1:E1180)*(E2=E$1:E1180))))))</f>
        <v> </v>
      </c>
      <c r="K1181" s="19" t="str">
        <f>IF(OR(E1181="",E1181="!!!",F1181="NEW"),"",INDEX(J$1:J1180,SUMPRODUCT(MAX(ROW(E$1:E1180)*(E1181=E$1:E1180)))))</f>
        <v> </v>
      </c>
      <c r="L1181" s="20"/>
    </row>
    <row r="1182" spans="1:12">
      <c r="A1182" s="13" t="s">
        <v>449</v>
      </c>
      <c r="B1182" s="14" t="s">
        <v>165</v>
      </c>
      <c r="C1182" s="14" t="s">
        <v>24</v>
      </c>
      <c r="D1182" s="14" t="s">
        <v>25</v>
      </c>
      <c r="E1182" s="15">
        <f>IF(D1182="?OLD","!!!","")</f>
        <v/>
      </c>
      <c r="F1182" s="16" t="str">
        <f>IF(OR(E1182="",E1182="!!!"),"",IF(NOT(ISNA(VLOOKUP(E1182,E$1:E1181,1,FALSE()))),"OLD",IF(AND(E1182&lt;&gt;"",E1182&lt;&gt;"!!!"),"NEW","")))</f>
        <v> </v>
      </c>
      <c r="G1182" s="17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18" t="str">
        <f>IF(J1182&lt;&gt;1,"",IF(I1182="SBJ","CB","?"))</f>
        <v> </v>
      </c>
      <c r="I1182" s="19" t="str">
        <f>IF(OR(E1182="",E1182="!!!",F1182="NEW"),"",INDEX(B1181:B$2,-1+SUMPRODUCT(MAX(ROW(E1181:E$2)*(E1182=E1181:E$2)))))</f>
        <v> </v>
      </c>
      <c r="J1182" s="19" t="str">
        <f>IF(OR(E1182="",E1182="!!!",F1182="NEW"),"",COUNTBLANK(OFFSET(A$1,,,SUMPRODUCT(MAX(ROW(E$2:E1182)*(E1182=E$2:E1182)))))-COUNTBLANK(OFFSET(A$1,,,SUMPRODUCT(MAX(ROW(E$1:E1181)*(E2=E$1:E1181))))))</f>
        <v> </v>
      </c>
      <c r="K1182" s="19" t="str">
        <f>IF(OR(E1182="",E1182="!!!",F1182="NEW"),"",INDEX(J$1:J1181,SUMPRODUCT(MAX(ROW(E$1:E1181)*(E1182=E$1:E1181)))))</f>
        <v> </v>
      </c>
      <c r="L1182" s="20"/>
    </row>
    <row r="1183" spans="1:12">
      <c r="A1183" s="13" t="s">
        <v>450</v>
      </c>
      <c r="B1183" s="14" t="s">
        <v>63</v>
      </c>
      <c r="C1183" s="14" t="s">
        <v>24</v>
      </c>
      <c r="D1183" s="14" t="s">
        <v>25</v>
      </c>
      <c r="E1183" s="15">
        <f>IF(D1183="?OLD","!!!","")</f>
        <v/>
      </c>
      <c r="F1183" s="16" t="str">
        <f>IF(OR(E1183="",E1183="!!!"),"",IF(NOT(ISNA(VLOOKUP(E1183,E$1:E1182,1,FALSE()))),"OLD",IF(AND(E1183&lt;&gt;"",E1183&lt;&gt;"!!!"),"NEW","")))</f>
        <v> </v>
      </c>
      <c r="G1183" s="17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18" t="str">
        <f>IF(J1183&lt;&gt;1,"",IF(I1183="SBJ","CB","?"))</f>
        <v> </v>
      </c>
      <c r="I1183" s="19" t="str">
        <f>IF(OR(E1183="",E1183="!!!",F1183="NEW"),"",INDEX(B1182:B$2,-1+SUMPRODUCT(MAX(ROW(E1182:E$2)*(E1183=E1182:E$2)))))</f>
        <v> </v>
      </c>
      <c r="J1183" s="19" t="str">
        <f>IF(OR(E1183="",E1183="!!!",F1183="NEW"),"",COUNTBLANK(OFFSET(A$1,,,SUMPRODUCT(MAX(ROW(E$2:E1183)*(E1183=E$2:E1183)))))-COUNTBLANK(OFFSET(A$1,,,SUMPRODUCT(MAX(ROW(E$1:E1182)*(E2=E$1:E1182))))))</f>
        <v> </v>
      </c>
      <c r="K1183" s="19" t="str">
        <f>IF(OR(E1183="",E1183="!!!",F1183="NEW"),"",INDEX(J$1:J1182,SUMPRODUCT(MAX(ROW(E$1:E1182)*(E1183=E$1:E1182)))))</f>
        <v> </v>
      </c>
      <c r="L1183" s="20"/>
    </row>
    <row r="1184" spans="1:12">
      <c r="A1184" s="13" t="s">
        <v>451</v>
      </c>
      <c r="E1184" s="15">
        <f>IF(D1184="?OLD","!!!","")</f>
        <v/>
      </c>
      <c r="F1184" s="16" t="str">
        <f>IF(OR(E1184="",E1184="!!!"),"",IF(NOT(ISNA(VLOOKUP(E1184,E$1:E1183,1,FALSE()))),"OLD",IF(AND(E1184&lt;&gt;"",E1184&lt;&gt;"!!!"),"NEW","")))</f>
        <v> </v>
      </c>
      <c r="G1184" s="17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18" t="str">
        <f>IF(J1184&lt;&gt;1,"",IF(I1184="SBJ","CB","?"))</f>
        <v> </v>
      </c>
      <c r="I1184" s="19" t="str">
        <f>IF(OR(E1184="",E1184="!!!",F1184="NEW"),"",INDEX(B1183:B$2,-1+SUMPRODUCT(MAX(ROW(E1183:E$2)*(E1184=E1183:E$2)))))</f>
        <v> </v>
      </c>
      <c r="J1184" s="19" t="str">
        <f>IF(OR(E1184="",E1184="!!!",F1184="NEW"),"",COUNTBLANK(OFFSET(A$1,,,SUMPRODUCT(MAX(ROW(E$2:E1184)*(E1184=E$2:E1184)))))-COUNTBLANK(OFFSET(A$1,,,SUMPRODUCT(MAX(ROW(E$1:E1183)*(E2=E$1:E1183))))))</f>
        <v> </v>
      </c>
      <c r="K1184" s="19" t="str">
        <f>IF(OR(E1184="",E1184="!!!",F1184="NEW"),"",INDEX(J$1:J1183,SUMPRODUCT(MAX(ROW(E$1:E1183)*(E1184=E$1:E1183)))))</f>
        <v> </v>
      </c>
      <c r="L1184" s="20"/>
    </row>
    <row r="1185" spans="1:12">
      <c r="A1185" s="13" t="s">
        <v>428</v>
      </c>
      <c r="E1185" s="15">
        <f>IF(D1185="?OLD","!!!","")</f>
        <v/>
      </c>
      <c r="F1185" s="16" t="str">
        <f>IF(OR(E1185="",E1185="!!!"),"",IF(NOT(ISNA(VLOOKUP(E1185,E$1:E1184,1,FALSE()))),"OLD",IF(AND(E1185&lt;&gt;"",E1185&lt;&gt;"!!!"),"NEW","")))</f>
        <v> </v>
      </c>
      <c r="G1185" s="17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18" t="str">
        <f>IF(J1185&lt;&gt;1,"",IF(I1185="SBJ","CB","?"))</f>
        <v> </v>
      </c>
      <c r="I1185" s="19" t="str">
        <f>IF(OR(E1185="",E1185="!!!",F1185="NEW"),"",INDEX(B1184:B$2,-1+SUMPRODUCT(MAX(ROW(E1184:E$2)*(E1185=E1184:E$2)))))</f>
        <v> </v>
      </c>
      <c r="J1185" s="19" t="str">
        <f>IF(OR(E1185="",E1185="!!!",F1185="NEW"),"",COUNTBLANK(OFFSET(A$1,,,SUMPRODUCT(MAX(ROW(E$2:E1185)*(E1185=E$2:E1185)))))-COUNTBLANK(OFFSET(A$1,,,SUMPRODUCT(MAX(ROW(E$1:E1184)*(E2=E$1:E1184))))))</f>
        <v> </v>
      </c>
      <c r="K1185" s="19" t="str">
        <f>IF(OR(E1185="",E1185="!!!",F1185="NEW"),"",INDEX(J$1:J1184,SUMPRODUCT(MAX(ROW(E$1:E1184)*(E1185=E$1:E1184)))))</f>
        <v> </v>
      </c>
      <c r="L1185" s="20"/>
    </row>
    <row r="1186" spans="1:12">
      <c r="A1186" s="13" t="s">
        <v>26</v>
      </c>
      <c r="B1186" s="14" t="s">
        <v>33</v>
      </c>
      <c r="C1186" s="14" t="s">
        <v>24</v>
      </c>
      <c r="D1186" s="14" t="s">
        <v>25</v>
      </c>
      <c r="E1186" s="15">
        <f>IF(D1186="?OLD","!!!","")</f>
        <v/>
      </c>
      <c r="F1186" s="16" t="str">
        <f>IF(OR(E1186="",E1186="!!!"),"",IF(NOT(ISNA(VLOOKUP(E1186,E$1:E1185,1,FALSE()))),"OLD",IF(AND(E1186&lt;&gt;"",E1186&lt;&gt;"!!!"),"NEW","")))</f>
        <v> </v>
      </c>
      <c r="G1186" s="17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18" t="str">
        <f>IF(J1186&lt;&gt;1,"",IF(I1186="SBJ","CB","?"))</f>
        <v> </v>
      </c>
      <c r="I1186" s="19" t="str">
        <f>IF(OR(E1186="",E1186="!!!",F1186="NEW"),"",INDEX(B1185:B$2,-1+SUMPRODUCT(MAX(ROW(E1185:E$2)*(E1186=E1185:E$2)))))</f>
        <v> </v>
      </c>
      <c r="J1186" s="19" t="str">
        <f>IF(OR(E1186="",E1186="!!!",F1186="NEW"),"",COUNTBLANK(OFFSET(A$1,,,SUMPRODUCT(MAX(ROW(E$2:E1186)*(E1186=E$2:E1186)))))-COUNTBLANK(OFFSET(A$1,,,SUMPRODUCT(MAX(ROW(E$1:E1185)*(E2=E$1:E1185))))))</f>
        <v> </v>
      </c>
      <c r="K1186" s="19" t="str">
        <f>IF(OR(E1186="",E1186="!!!",F1186="NEW"),"",INDEX(J$1:J1185,SUMPRODUCT(MAX(ROW(E$1:E1185)*(E1186=E$1:E1185)))))</f>
        <v> </v>
      </c>
      <c r="L1186" s="20"/>
    </row>
    <row r="1187" spans="1:12">
      <c r="A1187" s="13" t="s">
        <v>432</v>
      </c>
      <c r="E1187" s="15">
        <f>IF(D1187="?OLD","!!!","")</f>
        <v/>
      </c>
      <c r="F1187" s="16" t="str">
        <f>IF(OR(E1187="",E1187="!!!"),"",IF(NOT(ISNA(VLOOKUP(E1187,E$1:E1186,1,FALSE()))),"OLD",IF(AND(E1187&lt;&gt;"",E1187&lt;&gt;"!!!"),"NEW","")))</f>
        <v> </v>
      </c>
      <c r="G1187" s="17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18" t="str">
        <f>IF(J1187&lt;&gt;1,"",IF(I1187="SBJ","CB","?"))</f>
        <v> </v>
      </c>
      <c r="I1187" s="19" t="str">
        <f>IF(OR(E1187="",E1187="!!!",F1187="NEW"),"",INDEX(B1186:B$2,-1+SUMPRODUCT(MAX(ROW(E1186:E$2)*(E1187=E1186:E$2)))))</f>
        <v> </v>
      </c>
      <c r="J1187" s="19" t="str">
        <f>IF(OR(E1187="",E1187="!!!",F1187="NEW"),"",COUNTBLANK(OFFSET(A$1,,,SUMPRODUCT(MAX(ROW(E$2:E1187)*(E1187=E$2:E1187)))))-COUNTBLANK(OFFSET(A$1,,,SUMPRODUCT(MAX(ROW(E$1:E1186)*(E2=E$1:E1186))))))</f>
        <v> </v>
      </c>
      <c r="K1187" s="19" t="str">
        <f>IF(OR(E1187="",E1187="!!!",F1187="NEW"),"",INDEX(J$1:J1186,SUMPRODUCT(MAX(ROW(E$1:E1186)*(E1187=E$1:E1186)))))</f>
        <v> </v>
      </c>
      <c r="L1187" s="20"/>
    </row>
    <row r="1188" spans="1:12">
      <c r="A1188" s="13" t="s">
        <v>119</v>
      </c>
      <c r="E1188" s="15">
        <f>IF(D1188="?OLD","!!!","")</f>
        <v/>
      </c>
      <c r="F1188" s="16" t="str">
        <f>IF(OR(E1188="",E1188="!!!"),"",IF(NOT(ISNA(VLOOKUP(E1188,E$1:E1187,1,FALSE()))),"OLD",IF(AND(E1188&lt;&gt;"",E1188&lt;&gt;"!!!"),"NEW","")))</f>
        <v> </v>
      </c>
      <c r="G1188" s="17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18" t="str">
        <f>IF(J1188&lt;&gt;1,"",IF(I1188="SBJ","CB","?"))</f>
        <v> </v>
      </c>
      <c r="I1188" s="19" t="str">
        <f>IF(OR(E1188="",E1188="!!!",F1188="NEW"),"",INDEX(B1187:B$2,-1+SUMPRODUCT(MAX(ROW(E1187:E$2)*(E1188=E1187:E$2)))))</f>
        <v> </v>
      </c>
      <c r="J1188" s="19" t="str">
        <f>IF(OR(E1188="",E1188="!!!",F1188="NEW"),"",COUNTBLANK(OFFSET(A$1,,,SUMPRODUCT(MAX(ROW(E$2:E1188)*(E1188=E$2:E1188)))))-COUNTBLANK(OFFSET(A$1,,,SUMPRODUCT(MAX(ROW(E$1:E1187)*(E2=E$1:E1187))))))</f>
        <v> </v>
      </c>
      <c r="K1188" s="19" t="str">
        <f>IF(OR(E1188="",E1188="!!!",F1188="NEW"),"",INDEX(J$1:J1187,SUMPRODUCT(MAX(ROW(E$1:E1187)*(E1188=E$1:E1187)))))</f>
        <v> </v>
      </c>
      <c r="L1188" s="20"/>
    </row>
    <row r="1189" spans="1:12">
      <c r="A1189" s="13" t="s">
        <v>432</v>
      </c>
      <c r="E1189" s="15">
        <f>IF(D1189="?OLD","!!!","")</f>
        <v/>
      </c>
      <c r="F1189" s="16" t="str">
        <f>IF(OR(E1189="",E1189="!!!"),"",IF(NOT(ISNA(VLOOKUP(E1189,E$1:E1188,1,FALSE()))),"OLD",IF(AND(E1189&lt;&gt;"",E1189&lt;&gt;"!!!"),"NEW","")))</f>
        <v> </v>
      </c>
      <c r="G1189" s="17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18" t="str">
        <f>IF(J1189&lt;&gt;1,"",IF(I1189="SBJ","CB","?"))</f>
        <v> </v>
      </c>
      <c r="I1189" s="19" t="str">
        <f>IF(OR(E1189="",E1189="!!!",F1189="NEW"),"",INDEX(B1188:B$2,-1+SUMPRODUCT(MAX(ROW(E1188:E$2)*(E1189=E1188:E$2)))))</f>
        <v> </v>
      </c>
      <c r="J1189" s="19" t="str">
        <f>IF(OR(E1189="",E1189="!!!",F1189="NEW"),"",COUNTBLANK(OFFSET(A$1,,,SUMPRODUCT(MAX(ROW(E$2:E1189)*(E1189=E$2:E1189)))))-COUNTBLANK(OFFSET(A$1,,,SUMPRODUCT(MAX(ROW(E$1:E1188)*(E2=E$1:E1188))))))</f>
        <v> </v>
      </c>
      <c r="K1189" s="19" t="str">
        <f>IF(OR(E1189="",E1189="!!!",F1189="NEW"),"",INDEX(J$1:J1188,SUMPRODUCT(MAX(ROW(E$1:E1188)*(E1189=E$1:E1188)))))</f>
        <v> </v>
      </c>
      <c r="L1189" s="20"/>
    </row>
    <row r="1190" spans="1:12">
      <c r="A1190" s="13" t="s">
        <v>435</v>
      </c>
      <c r="E1190" s="15">
        <f>IF(D1190="?OLD","!!!","")</f>
        <v/>
      </c>
      <c r="F1190" s="16" t="str">
        <f>IF(OR(E1190="",E1190="!!!"),"",IF(NOT(ISNA(VLOOKUP(E1190,E$1:E1189,1,FALSE()))),"OLD",IF(AND(E1190&lt;&gt;"",E1190&lt;&gt;"!!!"),"NEW","")))</f>
        <v> </v>
      </c>
      <c r="G1190" s="17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18" t="str">
        <f>IF(J1190&lt;&gt;1,"",IF(I1190="SBJ","CB","?"))</f>
        <v> </v>
      </c>
      <c r="I1190" s="19" t="str">
        <f>IF(OR(E1190="",E1190="!!!",F1190="NEW"),"",INDEX(B1189:B$2,-1+SUMPRODUCT(MAX(ROW(E1189:E$2)*(E1190=E1189:E$2)))))</f>
        <v> </v>
      </c>
      <c r="J1190" s="19" t="str">
        <f>IF(OR(E1190="",E1190="!!!",F1190="NEW"),"",COUNTBLANK(OFFSET(A$1,,,SUMPRODUCT(MAX(ROW(E$2:E1190)*(E1190=E$2:E1190)))))-COUNTBLANK(OFFSET(A$1,,,SUMPRODUCT(MAX(ROW(E$1:E1189)*(E2=E$1:E1189))))))</f>
        <v> </v>
      </c>
      <c r="K1190" s="19" t="str">
        <f>IF(OR(E1190="",E1190="!!!",F1190="NEW"),"",INDEX(J$1:J1189,SUMPRODUCT(MAX(ROW(E$1:E1189)*(E1190=E$1:E1189)))))</f>
        <v> </v>
      </c>
      <c r="L1190" s="20"/>
    </row>
    <row r="1191" spans="1:12">
      <c r="A1191" s="13" t="s">
        <v>435</v>
      </c>
      <c r="E1191" s="15">
        <f>IF(D1191="?OLD","!!!","")</f>
        <v/>
      </c>
      <c r="F1191" s="16" t="str">
        <f>IF(OR(E1191="",E1191="!!!"),"",IF(NOT(ISNA(VLOOKUP(E1191,E$1:E1190,1,FALSE()))),"OLD",IF(AND(E1191&lt;&gt;"",E1191&lt;&gt;"!!!"),"NEW","")))</f>
        <v> </v>
      </c>
      <c r="G1191" s="17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18" t="str">
        <f>IF(J1191&lt;&gt;1,"",IF(I1191="SBJ","CB","?"))</f>
        <v> </v>
      </c>
      <c r="I1191" s="19" t="str">
        <f>IF(OR(E1191="",E1191="!!!",F1191="NEW"),"",INDEX(B1190:B$2,-1+SUMPRODUCT(MAX(ROW(E1190:E$2)*(E1191=E1190:E$2)))))</f>
        <v> </v>
      </c>
      <c r="J1191" s="19" t="str">
        <f>IF(OR(E1191="",E1191="!!!",F1191="NEW"),"",COUNTBLANK(OFFSET(A$1,,,SUMPRODUCT(MAX(ROW(E$2:E1191)*(E1191=E$2:E1191)))))-COUNTBLANK(OFFSET(A$1,,,SUMPRODUCT(MAX(ROW(E$1:E1190)*(E2=E$1:E1190))))))</f>
        <v> </v>
      </c>
      <c r="K1191" s="19" t="str">
        <f>IF(OR(E1191="",E1191="!!!",F1191="NEW"),"",INDEX(J$1:J1190,SUMPRODUCT(MAX(ROW(E$1:E1190)*(E1191=E$1:E1190)))))</f>
        <v> </v>
      </c>
      <c r="L1191" s="20"/>
    </row>
    <row r="1192" spans="1:12">
      <c r="A1192" s="13"/>
    </row>
  </sheetData>
  <sheetProtection sheet="1" objects="1" scenarios="1"/>
  <hyperlinks>
    <hyperlink ref="A1127" r:id="rId1"/>
    <hyperlink ref="A1148" r:id="rId2"/>
    <hyperlink ref="A1161" r:id="rId3"/>
    <hyperlink ref="A1179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2025-07-10T18:08:14Z</dcterms:created>
  <dcterms:modified xsi:type="dcterms:W3CDTF">2025-07-10T18:08:14Z</dcterms:modified>
</cp:coreProperties>
</file>